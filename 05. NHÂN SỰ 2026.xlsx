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ml.chartshapes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1.BÁO CÁO/04. NHÂN SỰ - DIỄM/2026/"/>
    </mc:Choice>
  </mc:AlternateContent>
  <xr:revisionPtr revIDLastSave="837" documentId="13_ncr:1_{80E51D5C-AF89-46F1-AD09-63F11BBD504F}" xr6:coauthVersionLast="47" xr6:coauthVersionMax="47" xr10:uidLastSave="{5AD27AFF-EEC4-4468-823E-34A03524A951}"/>
  <bookViews>
    <workbookView xWindow="-120" yWindow="-120" windowWidth="29040" windowHeight="15720" tabRatio="782" activeTab="12" xr2:uid="{6C79E5FC-31DD-4E17-BA9D-12EA2F7143B2}"/>
  </bookViews>
  <sheets>
    <sheet name="00. DM" sheetId="7" r:id="rId1"/>
    <sheet name="Data&gt;&gt; 2025" sheetId="8" state="hidden" r:id="rId2"/>
    <sheet name="Mapping" sheetId="11" state="hidden" r:id="rId3"/>
    <sheet name="Data 2025 &gt;&gt;" sheetId="21" state="hidden" r:id="rId4"/>
    <sheet name="01. CP Nhân sự 2025" sheetId="2" state="hidden" r:id="rId5"/>
    <sheet name="Sheet3" sheetId="16" state="hidden" r:id="rId6"/>
    <sheet name="Data 2026&gt;&gt;" sheetId="22" r:id="rId7"/>
    <sheet name="01. CP Nhân sự " sheetId="20" r:id="rId8"/>
    <sheet name="02. ĐỊNH BIÊN" sheetId="1" r:id="rId9"/>
    <sheet name="ĐB" sheetId="15" state="hidden" r:id="rId10"/>
    <sheet name="Báo cáo&gt;&gt;" sheetId="9" r:id="rId11"/>
    <sheet name="03. Chart" sheetId="5" r:id="rId12"/>
    <sheet name="04. CP nhân sự thuê ngoài" sheetId="6" r:id="rId13"/>
    <sheet name="05. Giờ công" sheetId="17" state="hidden" r:id="rId14"/>
    <sheet name="06. Chart giờ công" sheetId="19" state="hidden" r:id="rId15"/>
    <sheet name="07. Chart nghỉ việc" sheetId="14" r:id="rId16"/>
    <sheet name="SLSX" sheetId="18" state="hidden" r:id="rId17"/>
    <sheet name="TKKT" sheetId="4" state="hidden" r:id="rId18"/>
    <sheet name="Sheet2" sheetId="3" state="hidden" r:id="rId19"/>
  </sheets>
  <definedNames>
    <definedName name="__accountcodevg__X">#REF!</definedName>
    <definedName name="__disaccountcode1__X">#REF!</definedName>
    <definedName name="__disaccountcode2__X">#REF!</definedName>
    <definedName name="__disaccountcode3__X">#REF!</definedName>
    <definedName name="__lookup1__X">#REF!</definedName>
    <definedName name="__lookup2__X">#REF!</definedName>
    <definedName name="__params__">#REF!</definedName>
    <definedName name="_xlnm._FilterDatabase" localSheetId="0" hidden="1">'00. DM'!$A$3:$E$12</definedName>
    <definedName name="_xlnm._FilterDatabase" localSheetId="7" hidden="1">'01. CP Nhân sự '!$A$72:$L$212</definedName>
    <definedName name="_xlnm._FilterDatabase" localSheetId="4" hidden="1">'01. CP Nhân sự 2025'!$A$4:$L$144</definedName>
    <definedName name="_xlnm._FilterDatabase" localSheetId="8" hidden="1">'02. ĐỊNH BIÊN'!$A$5:$BW$51</definedName>
    <definedName name="_xlnm._FilterDatabase" localSheetId="13" hidden="1">'05. Giờ công'!$C$5:$AS$14</definedName>
    <definedName name="_xlnm._FilterDatabase" localSheetId="3" hidden="1">'Data 2025 &gt;&gt;'!$A$2:$T$2361</definedName>
    <definedName name="_xlnm._FilterDatabase" localSheetId="6" hidden="1">'Data 2026&gt;&gt;'!$A$2:$T$847</definedName>
    <definedName name="_xlnm._FilterDatabase" localSheetId="1" hidden="1">'Data&gt;&gt; 2025'!$A$2:$T$2376</definedName>
    <definedName name="_xlnm._FilterDatabase" localSheetId="9" hidden="1">ĐB!$A$5:$F$50</definedName>
    <definedName name="_xlnm._FilterDatabase" localSheetId="2" hidden="1">Mapping!$A$1:$F$137</definedName>
    <definedName name="thang10">#REF!</definedName>
    <definedName name="thang1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6" l="1"/>
  <c r="E19" i="6"/>
  <c r="G19" i="6"/>
  <c r="B19" i="6"/>
  <c r="D19" i="6" l="1"/>
  <c r="Q9" i="6"/>
  <c r="A638" i="22" l="1"/>
  <c r="B638" i="22"/>
  <c r="C638" i="22"/>
  <c r="A639" i="22"/>
  <c r="B639" i="22"/>
  <c r="C639" i="22"/>
  <c r="A640" i="22"/>
  <c r="B640" i="22"/>
  <c r="C640" i="22"/>
  <c r="A641" i="22"/>
  <c r="B641" i="22"/>
  <c r="C641" i="22"/>
  <c r="A642" i="22"/>
  <c r="B642" i="22"/>
  <c r="C642" i="22"/>
  <c r="A643" i="22"/>
  <c r="B643" i="22"/>
  <c r="C643" i="22"/>
  <c r="A644" i="22"/>
  <c r="B644" i="22"/>
  <c r="C644" i="22"/>
  <c r="A645" i="22"/>
  <c r="B645" i="22"/>
  <c r="C645" i="22"/>
  <c r="A646" i="22"/>
  <c r="B646" i="22"/>
  <c r="C646" i="22"/>
  <c r="A647" i="22"/>
  <c r="B647" i="22"/>
  <c r="C647" i="22"/>
  <c r="A648" i="22"/>
  <c r="B648" i="22"/>
  <c r="C648" i="22"/>
  <c r="A649" i="22"/>
  <c r="B649" i="22"/>
  <c r="C649" i="22"/>
  <c r="A650" i="22"/>
  <c r="B650" i="22"/>
  <c r="C650" i="22"/>
  <c r="A651" i="22"/>
  <c r="B651" i="22"/>
  <c r="C651" i="22"/>
  <c r="A652" i="22"/>
  <c r="B652" i="22"/>
  <c r="C652" i="22"/>
  <c r="A653" i="22"/>
  <c r="B653" i="22"/>
  <c r="C653" i="22"/>
  <c r="A654" i="22"/>
  <c r="B654" i="22"/>
  <c r="C654" i="22"/>
  <c r="A655" i="22"/>
  <c r="B655" i="22"/>
  <c r="C655" i="22"/>
  <c r="A656" i="22"/>
  <c r="B656" i="22"/>
  <c r="C656" i="22"/>
  <c r="A657" i="22"/>
  <c r="B657" i="22"/>
  <c r="C657" i="22"/>
  <c r="A658" i="22"/>
  <c r="B658" i="22"/>
  <c r="C658" i="22"/>
  <c r="A659" i="22"/>
  <c r="B659" i="22"/>
  <c r="C659" i="22"/>
  <c r="A660" i="22"/>
  <c r="B660" i="22"/>
  <c r="C660" i="22"/>
  <c r="A661" i="22"/>
  <c r="B661" i="22"/>
  <c r="C661" i="22"/>
  <c r="A662" i="22"/>
  <c r="B662" i="22"/>
  <c r="C662" i="22"/>
  <c r="A663" i="22"/>
  <c r="B663" i="22"/>
  <c r="C663" i="22"/>
  <c r="A664" i="22"/>
  <c r="B664" i="22"/>
  <c r="C664" i="22"/>
  <c r="A665" i="22"/>
  <c r="B665" i="22"/>
  <c r="C665" i="22"/>
  <c r="A666" i="22"/>
  <c r="B666" i="22"/>
  <c r="C666" i="22"/>
  <c r="A667" i="22"/>
  <c r="B667" i="22"/>
  <c r="C667" i="22"/>
  <c r="A668" i="22"/>
  <c r="B668" i="22"/>
  <c r="C668" i="22"/>
  <c r="A669" i="22"/>
  <c r="B669" i="22"/>
  <c r="C669" i="22"/>
  <c r="A670" i="22"/>
  <c r="B670" i="22"/>
  <c r="C670" i="22"/>
  <c r="A671" i="22"/>
  <c r="B671" i="22"/>
  <c r="C671" i="22"/>
  <c r="A672" i="22"/>
  <c r="B672" i="22"/>
  <c r="C672" i="22"/>
  <c r="A673" i="22"/>
  <c r="B673" i="22"/>
  <c r="C673" i="22"/>
  <c r="A674" i="22"/>
  <c r="B674" i="22"/>
  <c r="C674" i="22"/>
  <c r="A675" i="22"/>
  <c r="B675" i="22"/>
  <c r="C675" i="22"/>
  <c r="A676" i="22"/>
  <c r="B676" i="22"/>
  <c r="C676" i="22"/>
  <c r="A677" i="22"/>
  <c r="B677" i="22"/>
  <c r="C677" i="22"/>
  <c r="A678" i="22"/>
  <c r="B678" i="22"/>
  <c r="C678" i="22"/>
  <c r="A679" i="22"/>
  <c r="B679" i="22"/>
  <c r="C679" i="22"/>
  <c r="A680" i="22"/>
  <c r="B680" i="22"/>
  <c r="C680" i="22"/>
  <c r="A681" i="22"/>
  <c r="B681" i="22"/>
  <c r="C681" i="22"/>
  <c r="A682" i="22"/>
  <c r="B682" i="22"/>
  <c r="C682" i="22"/>
  <c r="A683" i="22"/>
  <c r="B683" i="22"/>
  <c r="C683" i="22"/>
  <c r="A684" i="22"/>
  <c r="B684" i="22"/>
  <c r="C684" i="22"/>
  <c r="A685" i="22"/>
  <c r="B685" i="22"/>
  <c r="C685" i="22"/>
  <c r="A686" i="22"/>
  <c r="B686" i="22"/>
  <c r="C686" i="22"/>
  <c r="A687" i="22"/>
  <c r="B687" i="22"/>
  <c r="C687" i="22"/>
  <c r="A688" i="22"/>
  <c r="B688" i="22"/>
  <c r="C688" i="22"/>
  <c r="A689" i="22"/>
  <c r="B689" i="22"/>
  <c r="C689" i="22"/>
  <c r="A690" i="22"/>
  <c r="B690" i="22"/>
  <c r="C690" i="22"/>
  <c r="A691" i="22"/>
  <c r="B691" i="22"/>
  <c r="C691" i="22"/>
  <c r="A692" i="22"/>
  <c r="B692" i="22"/>
  <c r="C692" i="22"/>
  <c r="A693" i="22"/>
  <c r="B693" i="22"/>
  <c r="C693" i="22"/>
  <c r="A694" i="22"/>
  <c r="B694" i="22"/>
  <c r="C694" i="22"/>
  <c r="A695" i="22"/>
  <c r="B695" i="22"/>
  <c r="C695" i="22"/>
  <c r="A696" i="22"/>
  <c r="B696" i="22"/>
  <c r="C696" i="22"/>
  <c r="A697" i="22"/>
  <c r="B697" i="22"/>
  <c r="C697" i="22"/>
  <c r="A698" i="22"/>
  <c r="B698" i="22"/>
  <c r="C698" i="22"/>
  <c r="A699" i="22"/>
  <c r="B699" i="22"/>
  <c r="C699" i="22"/>
  <c r="A700" i="22"/>
  <c r="B700" i="22"/>
  <c r="C700" i="22"/>
  <c r="A701" i="22"/>
  <c r="B701" i="22"/>
  <c r="C701" i="22"/>
  <c r="A702" i="22"/>
  <c r="B702" i="22"/>
  <c r="C702" i="22"/>
  <c r="A703" i="22"/>
  <c r="B703" i="22"/>
  <c r="C703" i="22"/>
  <c r="A704" i="22"/>
  <c r="B704" i="22"/>
  <c r="C704" i="22"/>
  <c r="A705" i="22"/>
  <c r="B705" i="22"/>
  <c r="C705" i="22"/>
  <c r="A706" i="22"/>
  <c r="B706" i="22"/>
  <c r="C706" i="22"/>
  <c r="A707" i="22"/>
  <c r="B707" i="22"/>
  <c r="C707" i="22"/>
  <c r="A708" i="22"/>
  <c r="B708" i="22"/>
  <c r="C708" i="22"/>
  <c r="A709" i="22"/>
  <c r="B709" i="22"/>
  <c r="C709" i="22"/>
  <c r="A710" i="22"/>
  <c r="B710" i="22"/>
  <c r="C710" i="22"/>
  <c r="A711" i="22"/>
  <c r="B711" i="22"/>
  <c r="C711" i="22"/>
  <c r="A712" i="22"/>
  <c r="B712" i="22"/>
  <c r="C712" i="22"/>
  <c r="A713" i="22"/>
  <c r="B713" i="22"/>
  <c r="C713" i="22"/>
  <c r="A714" i="22"/>
  <c r="B714" i="22"/>
  <c r="C714" i="22"/>
  <c r="A715" i="22"/>
  <c r="B715" i="22"/>
  <c r="C715" i="22"/>
  <c r="A716" i="22"/>
  <c r="B716" i="22"/>
  <c r="C716" i="22"/>
  <c r="A717" i="22"/>
  <c r="B717" i="22"/>
  <c r="C717" i="22"/>
  <c r="A718" i="22"/>
  <c r="B718" i="22"/>
  <c r="C718" i="22"/>
  <c r="A719" i="22"/>
  <c r="B719" i="22"/>
  <c r="C719" i="22"/>
  <c r="A720" i="22"/>
  <c r="B720" i="22"/>
  <c r="C720" i="22"/>
  <c r="A721" i="22"/>
  <c r="B721" i="22"/>
  <c r="C721" i="22"/>
  <c r="A722" i="22"/>
  <c r="B722" i="22"/>
  <c r="C722" i="22"/>
  <c r="A723" i="22"/>
  <c r="B723" i="22"/>
  <c r="C723" i="22"/>
  <c r="A724" i="22"/>
  <c r="B724" i="22"/>
  <c r="C724" i="22"/>
  <c r="A725" i="22"/>
  <c r="B725" i="22"/>
  <c r="C725" i="22"/>
  <c r="A726" i="22"/>
  <c r="B726" i="22"/>
  <c r="C726" i="22"/>
  <c r="A727" i="22"/>
  <c r="B727" i="22"/>
  <c r="C727" i="22"/>
  <c r="A728" i="22"/>
  <c r="B728" i="22"/>
  <c r="C728" i="22"/>
  <c r="A729" i="22"/>
  <c r="B729" i="22"/>
  <c r="C729" i="22"/>
  <c r="A730" i="22"/>
  <c r="B730" i="22"/>
  <c r="C730" i="22"/>
  <c r="A731" i="22"/>
  <c r="B731" i="22"/>
  <c r="C731" i="22"/>
  <c r="A732" i="22"/>
  <c r="B732" i="22"/>
  <c r="C732" i="22"/>
  <c r="A733" i="22"/>
  <c r="B733" i="22"/>
  <c r="C733" i="22"/>
  <c r="A734" i="22"/>
  <c r="B734" i="22"/>
  <c r="C734" i="22"/>
  <c r="A735" i="22"/>
  <c r="B735" i="22"/>
  <c r="C735" i="22"/>
  <c r="A736" i="22"/>
  <c r="B736" i="22"/>
  <c r="C736" i="22"/>
  <c r="A737" i="22"/>
  <c r="B737" i="22"/>
  <c r="C737" i="22"/>
  <c r="A738" i="22"/>
  <c r="B738" i="22"/>
  <c r="C738" i="22"/>
  <c r="A739" i="22"/>
  <c r="B739" i="22"/>
  <c r="C739" i="22"/>
  <c r="A740" i="22"/>
  <c r="B740" i="22"/>
  <c r="C740" i="22"/>
  <c r="A741" i="22"/>
  <c r="B741" i="22"/>
  <c r="C741" i="22"/>
  <c r="A742" i="22"/>
  <c r="B742" i="22"/>
  <c r="C742" i="22"/>
  <c r="A743" i="22"/>
  <c r="B743" i="22"/>
  <c r="C743" i="22"/>
  <c r="A744" i="22"/>
  <c r="B744" i="22"/>
  <c r="C744" i="22"/>
  <c r="A745" i="22"/>
  <c r="B745" i="22"/>
  <c r="C745" i="22"/>
  <c r="A746" i="22"/>
  <c r="B746" i="22"/>
  <c r="C746" i="22"/>
  <c r="A747" i="22"/>
  <c r="B747" i="22"/>
  <c r="C747" i="22"/>
  <c r="A748" i="22"/>
  <c r="B748" i="22"/>
  <c r="C748" i="22"/>
  <c r="A749" i="22"/>
  <c r="B749" i="22"/>
  <c r="C749" i="22"/>
  <c r="A750" i="22"/>
  <c r="B750" i="22"/>
  <c r="C750" i="22"/>
  <c r="A751" i="22"/>
  <c r="B751" i="22"/>
  <c r="C751" i="22"/>
  <c r="A752" i="22"/>
  <c r="B752" i="22"/>
  <c r="C752" i="22"/>
  <c r="A753" i="22"/>
  <c r="B753" i="22"/>
  <c r="C753" i="22"/>
  <c r="A754" i="22"/>
  <c r="B754" i="22"/>
  <c r="C754" i="22"/>
  <c r="A755" i="22"/>
  <c r="B755" i="22"/>
  <c r="C755" i="22"/>
  <c r="A756" i="22"/>
  <c r="B756" i="22"/>
  <c r="C756" i="22"/>
  <c r="A757" i="22"/>
  <c r="B757" i="22"/>
  <c r="C757" i="22"/>
  <c r="A758" i="22"/>
  <c r="B758" i="22"/>
  <c r="C758" i="22"/>
  <c r="A759" i="22"/>
  <c r="B759" i="22"/>
  <c r="C759" i="22"/>
  <c r="A760" i="22"/>
  <c r="B760" i="22"/>
  <c r="C760" i="22"/>
  <c r="A761" i="22"/>
  <c r="B761" i="22"/>
  <c r="C761" i="22"/>
  <c r="A762" i="22"/>
  <c r="B762" i="22"/>
  <c r="C762" i="22"/>
  <c r="A763" i="22"/>
  <c r="B763" i="22"/>
  <c r="C763" i="22"/>
  <c r="A764" i="22"/>
  <c r="B764" i="22"/>
  <c r="C764" i="22"/>
  <c r="A765" i="22"/>
  <c r="B765" i="22"/>
  <c r="C765" i="22"/>
  <c r="A766" i="22"/>
  <c r="B766" i="22"/>
  <c r="C766" i="22"/>
  <c r="A767" i="22"/>
  <c r="B767" i="22"/>
  <c r="C767" i="22"/>
  <c r="A768" i="22"/>
  <c r="B768" i="22"/>
  <c r="C768" i="22"/>
  <c r="A769" i="22"/>
  <c r="B769" i="22"/>
  <c r="C769" i="22"/>
  <c r="A770" i="22"/>
  <c r="B770" i="22"/>
  <c r="C770" i="22"/>
  <c r="A771" i="22"/>
  <c r="B771" i="22"/>
  <c r="C771" i="22"/>
  <c r="A772" i="22"/>
  <c r="B772" i="22"/>
  <c r="C772" i="22"/>
  <c r="A773" i="22"/>
  <c r="B773" i="22"/>
  <c r="C773" i="22"/>
  <c r="A774" i="22"/>
  <c r="B774" i="22"/>
  <c r="C774" i="22"/>
  <c r="A775" i="22"/>
  <c r="B775" i="22"/>
  <c r="C775" i="22"/>
  <c r="A776" i="22"/>
  <c r="B776" i="22"/>
  <c r="C776" i="22"/>
  <c r="A777" i="22"/>
  <c r="B777" i="22"/>
  <c r="C777" i="22"/>
  <c r="A778" i="22"/>
  <c r="B778" i="22"/>
  <c r="C778" i="22"/>
  <c r="A779" i="22"/>
  <c r="B779" i="22"/>
  <c r="C779" i="22"/>
  <c r="A780" i="22"/>
  <c r="B780" i="22"/>
  <c r="C780" i="22"/>
  <c r="A781" i="22"/>
  <c r="B781" i="22"/>
  <c r="C781" i="22"/>
  <c r="A782" i="22"/>
  <c r="B782" i="22"/>
  <c r="C782" i="22"/>
  <c r="A783" i="22"/>
  <c r="B783" i="22"/>
  <c r="C783" i="22"/>
  <c r="A784" i="22"/>
  <c r="B784" i="22"/>
  <c r="C784" i="22"/>
  <c r="A785" i="22"/>
  <c r="B785" i="22"/>
  <c r="C785" i="22"/>
  <c r="A786" i="22"/>
  <c r="B786" i="22"/>
  <c r="C786" i="22"/>
  <c r="A787" i="22"/>
  <c r="B787" i="22"/>
  <c r="C787" i="22"/>
  <c r="A788" i="22"/>
  <c r="B788" i="22"/>
  <c r="C788" i="22"/>
  <c r="A789" i="22"/>
  <c r="B789" i="22"/>
  <c r="C789" i="22"/>
  <c r="A790" i="22"/>
  <c r="B790" i="22"/>
  <c r="C790" i="22"/>
  <c r="A791" i="22"/>
  <c r="B791" i="22"/>
  <c r="C791" i="22"/>
  <c r="A792" i="22"/>
  <c r="B792" i="22"/>
  <c r="C792" i="22"/>
  <c r="A793" i="22"/>
  <c r="B793" i="22"/>
  <c r="C793" i="22"/>
  <c r="A794" i="22"/>
  <c r="B794" i="22"/>
  <c r="C794" i="22"/>
  <c r="A795" i="22"/>
  <c r="B795" i="22"/>
  <c r="C795" i="22"/>
  <c r="A796" i="22"/>
  <c r="B796" i="22"/>
  <c r="C796" i="22"/>
  <c r="A797" i="22"/>
  <c r="B797" i="22"/>
  <c r="C797" i="22"/>
  <c r="A798" i="22"/>
  <c r="B798" i="22"/>
  <c r="C798" i="22"/>
  <c r="A799" i="22"/>
  <c r="B799" i="22"/>
  <c r="C799" i="22"/>
  <c r="A800" i="22"/>
  <c r="B800" i="22"/>
  <c r="C800" i="22"/>
  <c r="A801" i="22"/>
  <c r="B801" i="22"/>
  <c r="C801" i="22"/>
  <c r="A802" i="22"/>
  <c r="B802" i="22"/>
  <c r="C802" i="22"/>
  <c r="A803" i="22"/>
  <c r="B803" i="22"/>
  <c r="C803" i="22"/>
  <c r="A804" i="22"/>
  <c r="B804" i="22"/>
  <c r="C804" i="22"/>
  <c r="A805" i="22"/>
  <c r="B805" i="22"/>
  <c r="C805" i="22"/>
  <c r="A806" i="22"/>
  <c r="B806" i="22"/>
  <c r="C806" i="22"/>
  <c r="A807" i="22"/>
  <c r="B807" i="22"/>
  <c r="C807" i="22"/>
  <c r="A808" i="22"/>
  <c r="B808" i="22"/>
  <c r="C808" i="22"/>
  <c r="A809" i="22"/>
  <c r="B809" i="22"/>
  <c r="C809" i="22"/>
  <c r="A810" i="22"/>
  <c r="B810" i="22"/>
  <c r="C810" i="22"/>
  <c r="A811" i="22"/>
  <c r="B811" i="22"/>
  <c r="C811" i="22"/>
  <c r="A812" i="22"/>
  <c r="B812" i="22"/>
  <c r="C812" i="22"/>
  <c r="A813" i="22"/>
  <c r="B813" i="22"/>
  <c r="C813" i="22"/>
  <c r="A814" i="22"/>
  <c r="B814" i="22"/>
  <c r="C814" i="22"/>
  <c r="A815" i="22"/>
  <c r="B815" i="22"/>
  <c r="C815" i="22"/>
  <c r="A816" i="22"/>
  <c r="B816" i="22"/>
  <c r="C816" i="22"/>
  <c r="A817" i="22"/>
  <c r="B817" i="22"/>
  <c r="C817" i="22"/>
  <c r="A818" i="22"/>
  <c r="B818" i="22"/>
  <c r="C818" i="22"/>
  <c r="A819" i="22"/>
  <c r="B819" i="22"/>
  <c r="C819" i="22"/>
  <c r="A820" i="22"/>
  <c r="B820" i="22"/>
  <c r="C820" i="22"/>
  <c r="A821" i="22"/>
  <c r="B821" i="22"/>
  <c r="C821" i="22"/>
  <c r="A822" i="22"/>
  <c r="B822" i="22"/>
  <c r="C822" i="22"/>
  <c r="A823" i="22"/>
  <c r="B823" i="22"/>
  <c r="C823" i="22"/>
  <c r="A824" i="22"/>
  <c r="B824" i="22"/>
  <c r="C824" i="22"/>
  <c r="A825" i="22"/>
  <c r="B825" i="22"/>
  <c r="C825" i="22"/>
  <c r="A826" i="22"/>
  <c r="B826" i="22"/>
  <c r="C826" i="22"/>
  <c r="A827" i="22"/>
  <c r="B827" i="22"/>
  <c r="C827" i="22"/>
  <c r="A828" i="22"/>
  <c r="B828" i="22"/>
  <c r="C828" i="22"/>
  <c r="A829" i="22"/>
  <c r="B829" i="22"/>
  <c r="C829" i="22"/>
  <c r="A830" i="22"/>
  <c r="B830" i="22"/>
  <c r="C830" i="22"/>
  <c r="A831" i="22"/>
  <c r="B831" i="22"/>
  <c r="C831" i="22"/>
  <c r="A832" i="22"/>
  <c r="B832" i="22"/>
  <c r="C832" i="22"/>
  <c r="A833" i="22"/>
  <c r="B833" i="22"/>
  <c r="C833" i="22"/>
  <c r="A834" i="22"/>
  <c r="B834" i="22"/>
  <c r="C834" i="22"/>
  <c r="A835" i="22"/>
  <c r="B835" i="22"/>
  <c r="C835" i="22"/>
  <c r="A836" i="22"/>
  <c r="B836" i="22"/>
  <c r="C836" i="22"/>
  <c r="A837" i="22"/>
  <c r="B837" i="22"/>
  <c r="C837" i="22"/>
  <c r="A838" i="22"/>
  <c r="B838" i="22"/>
  <c r="C838" i="22"/>
  <c r="A839" i="22"/>
  <c r="B839" i="22"/>
  <c r="C839" i="22"/>
  <c r="A840" i="22"/>
  <c r="B840" i="22"/>
  <c r="C840" i="22"/>
  <c r="A841" i="22"/>
  <c r="B841" i="22"/>
  <c r="C841" i="22"/>
  <c r="A842" i="22"/>
  <c r="B842" i="22"/>
  <c r="C842" i="22"/>
  <c r="A843" i="22"/>
  <c r="B843" i="22"/>
  <c r="C843" i="22"/>
  <c r="A844" i="22"/>
  <c r="B844" i="22"/>
  <c r="C844" i="22"/>
  <c r="A845" i="22"/>
  <c r="B845" i="22"/>
  <c r="C845" i="22"/>
  <c r="A846" i="22"/>
  <c r="B846" i="22"/>
  <c r="C846" i="22"/>
  <c r="A847" i="22"/>
  <c r="B847" i="22"/>
  <c r="C847" i="22"/>
  <c r="D63" i="20"/>
  <c r="D60" i="20"/>
  <c r="D56" i="20"/>
  <c r="D54" i="20"/>
  <c r="D52" i="20"/>
  <c r="D51" i="20"/>
  <c r="D50" i="20"/>
  <c r="N61" i="14"/>
  <c r="M61" i="14"/>
  <c r="L61" i="14"/>
  <c r="K61" i="14"/>
  <c r="J61" i="14"/>
  <c r="I61" i="14"/>
  <c r="H61" i="14"/>
  <c r="G61" i="14"/>
  <c r="F61" i="14"/>
  <c r="E61" i="14"/>
  <c r="D61" i="14"/>
  <c r="C61" i="14"/>
  <c r="D62" i="14"/>
  <c r="H40" i="1"/>
  <c r="H35" i="1"/>
  <c r="D61" i="20" s="1"/>
  <c r="H32" i="1"/>
  <c r="D59" i="20" s="1"/>
  <c r="H25" i="1"/>
  <c r="D58" i="20" s="1"/>
  <c r="H18" i="1"/>
  <c r="D57" i="20" s="1"/>
  <c r="F61" i="20" l="1"/>
  <c r="I61" i="20"/>
  <c r="H58" i="20"/>
  <c r="F59" i="20"/>
  <c r="G51" i="20"/>
  <c r="G59" i="20"/>
  <c r="F54" i="20"/>
  <c r="I51" i="20"/>
  <c r="G54" i="20"/>
  <c r="E57" i="20"/>
  <c r="I59" i="20"/>
  <c r="G62" i="20"/>
  <c r="F51" i="20"/>
  <c r="H51" i="20"/>
  <c r="H59" i="20"/>
  <c r="H54" i="20"/>
  <c r="J59" i="20"/>
  <c r="H62" i="20"/>
  <c r="J53" i="20"/>
  <c r="E62" i="20"/>
  <c r="J56" i="20"/>
  <c r="J51" i="20"/>
  <c r="E52" i="20"/>
  <c r="I54" i="20"/>
  <c r="G57" i="20"/>
  <c r="E60" i="20"/>
  <c r="I62" i="20"/>
  <c r="H50" i="20"/>
  <c r="F62" i="20"/>
  <c r="F57" i="20"/>
  <c r="F52" i="20"/>
  <c r="J54" i="20"/>
  <c r="H57" i="20"/>
  <c r="F60" i="20"/>
  <c r="J62" i="20"/>
  <c r="J61" i="20"/>
  <c r="I56" i="20"/>
  <c r="E55" i="20"/>
  <c r="E63" i="20"/>
  <c r="J55" i="20"/>
  <c r="J63" i="20"/>
  <c r="H56" i="20"/>
  <c r="E54" i="20"/>
  <c r="G52" i="20"/>
  <c r="I57" i="20"/>
  <c r="G60" i="20"/>
  <c r="H52" i="20"/>
  <c r="F55" i="20"/>
  <c r="J57" i="20"/>
  <c r="H60" i="20"/>
  <c r="F63" i="20"/>
  <c r="G63" i="20"/>
  <c r="F50" i="20"/>
  <c r="J52" i="20"/>
  <c r="H55" i="20"/>
  <c r="F58" i="20"/>
  <c r="J60" i="20"/>
  <c r="H63" i="20"/>
  <c r="F53" i="20"/>
  <c r="E50" i="20"/>
  <c r="I52" i="20"/>
  <c r="G55" i="20"/>
  <c r="E58" i="20"/>
  <c r="I60" i="20"/>
  <c r="G50" i="20"/>
  <c r="E53" i="20"/>
  <c r="I55" i="20"/>
  <c r="G58" i="20"/>
  <c r="E61" i="20"/>
  <c r="I63" i="20"/>
  <c r="E56" i="20"/>
  <c r="I58" i="20"/>
  <c r="J50" i="20"/>
  <c r="J58" i="20"/>
  <c r="H61" i="20"/>
  <c r="I50" i="20"/>
  <c r="G53" i="20"/>
  <c r="G61" i="20"/>
  <c r="H53" i="20"/>
  <c r="F56" i="20"/>
  <c r="E51" i="20"/>
  <c r="I53" i="20"/>
  <c r="G56" i="20"/>
  <c r="E59" i="20"/>
  <c r="H14" i="1"/>
  <c r="D55" i="20" s="1"/>
  <c r="H9" i="1"/>
  <c r="D53" i="20" s="1"/>
  <c r="C2396" i="8"/>
  <c r="B2396" i="8"/>
  <c r="A2396" i="8"/>
  <c r="C2395" i="8"/>
  <c r="B2395" i="8"/>
  <c r="A2395" i="8"/>
  <c r="C2394" i="8"/>
  <c r="B2394" i="8"/>
  <c r="A2394" i="8"/>
  <c r="C2393" i="8"/>
  <c r="B2393" i="8"/>
  <c r="A2393" i="8"/>
  <c r="C2392" i="8"/>
  <c r="B2392" i="8"/>
  <c r="A2392" i="8"/>
  <c r="C2391" i="8"/>
  <c r="B2391" i="8"/>
  <c r="A2391" i="8"/>
  <c r="C2390" i="8"/>
  <c r="B2390" i="8"/>
  <c r="A2390" i="8"/>
  <c r="C2389" i="8"/>
  <c r="B2389" i="8"/>
  <c r="A2389" i="8"/>
  <c r="C2388" i="8"/>
  <c r="B2388" i="8"/>
  <c r="A2388" i="8"/>
  <c r="C2387" i="8"/>
  <c r="B2387" i="8"/>
  <c r="A2387" i="8"/>
  <c r="C2386" i="8"/>
  <c r="B2386" i="8"/>
  <c r="A2386" i="8"/>
  <c r="C2385" i="8"/>
  <c r="B2385" i="8"/>
  <c r="A2385" i="8"/>
  <c r="C2384" i="8"/>
  <c r="B2384" i="8"/>
  <c r="A2384" i="8"/>
  <c r="C2383" i="8"/>
  <c r="B2383" i="8"/>
  <c r="A2383" i="8"/>
  <c r="C2382" i="8"/>
  <c r="B2382" i="8"/>
  <c r="A2382" i="8"/>
  <c r="C2381" i="8"/>
  <c r="B2381" i="8"/>
  <c r="A2381" i="8"/>
  <c r="C2380" i="8"/>
  <c r="B2380" i="8"/>
  <c r="A2380" i="8"/>
  <c r="C2379" i="8"/>
  <c r="B2379" i="8"/>
  <c r="A2379" i="8"/>
  <c r="C2378" i="8"/>
  <c r="B2378" i="8"/>
  <c r="A2378" i="8"/>
  <c r="C2377" i="8"/>
  <c r="B2377" i="8"/>
  <c r="A2377" i="8"/>
  <c r="D64" i="20" l="1"/>
  <c r="K59" i="20"/>
  <c r="O59" i="20" s="1"/>
  <c r="K58" i="20"/>
  <c r="O58" i="20" s="1"/>
  <c r="K63" i="20"/>
  <c r="O63" i="20" s="1"/>
  <c r="K57" i="20"/>
  <c r="O57" i="20" s="1"/>
  <c r="K54" i="20"/>
  <c r="O54" i="20" s="1"/>
  <c r="K60" i="20"/>
  <c r="O60" i="20" s="1"/>
  <c r="K61" i="20"/>
  <c r="O61" i="20" s="1"/>
  <c r="F64" i="20"/>
  <c r="E64" i="20"/>
  <c r="G64" i="20"/>
  <c r="I64" i="20"/>
  <c r="H64" i="20"/>
  <c r="K53" i="20"/>
  <c r="O53" i="20" s="1"/>
  <c r="J64" i="20"/>
  <c r="K56" i="20"/>
  <c r="O56" i="20" s="1"/>
  <c r="K55" i="20"/>
  <c r="O55" i="20" s="1"/>
  <c r="K62" i="20"/>
  <c r="O62" i="20" s="1"/>
  <c r="K51" i="20"/>
  <c r="O51" i="20" s="1"/>
  <c r="K50" i="20"/>
  <c r="O50" i="20" s="1"/>
  <c r="K52" i="20"/>
  <c r="O52" i="20" s="1"/>
  <c r="N1" i="8"/>
  <c r="C2376" i="8"/>
  <c r="B2376" i="8"/>
  <c r="A2376" i="8"/>
  <c r="C2375" i="8"/>
  <c r="B2375" i="8"/>
  <c r="A2375" i="8"/>
  <c r="C2374" i="8"/>
  <c r="B2374" i="8"/>
  <c r="A2374" i="8"/>
  <c r="C2373" i="8"/>
  <c r="B2373" i="8"/>
  <c r="A2373" i="8"/>
  <c r="C2372" i="8"/>
  <c r="B2372" i="8"/>
  <c r="A2372" i="8"/>
  <c r="C2371" i="8"/>
  <c r="B2371" i="8"/>
  <c r="A2371" i="8"/>
  <c r="C2370" i="8"/>
  <c r="B2370" i="8"/>
  <c r="A2370" i="8"/>
  <c r="C2369" i="8"/>
  <c r="B2369" i="8"/>
  <c r="A2369" i="8"/>
  <c r="C2368" i="8"/>
  <c r="B2368" i="8"/>
  <c r="A2368" i="8"/>
  <c r="C2367" i="8"/>
  <c r="B2367" i="8"/>
  <c r="A2367" i="8"/>
  <c r="C2366" i="8"/>
  <c r="B2366" i="8"/>
  <c r="A2366" i="8"/>
  <c r="C2365" i="8"/>
  <c r="B2365" i="8"/>
  <c r="A2365" i="8"/>
  <c r="C2364" i="8"/>
  <c r="B2364" i="8"/>
  <c r="A2364" i="8"/>
  <c r="C2363" i="8"/>
  <c r="B2363" i="8"/>
  <c r="A2363" i="8"/>
  <c r="K64" i="20" l="1"/>
  <c r="C2362" i="8"/>
  <c r="B2362" i="8"/>
  <c r="A2362" i="8"/>
  <c r="O64" i="20" l="1"/>
  <c r="E111" i="20"/>
  <c r="F111" i="20"/>
  <c r="G111" i="20"/>
  <c r="H111" i="20"/>
  <c r="I111" i="20"/>
  <c r="J111" i="20"/>
  <c r="E112" i="20"/>
  <c r="F112" i="20"/>
  <c r="G112" i="20"/>
  <c r="H112" i="20"/>
  <c r="I112" i="20"/>
  <c r="J112" i="20"/>
  <c r="E102" i="20"/>
  <c r="F102" i="20"/>
  <c r="G102" i="20"/>
  <c r="H102" i="20"/>
  <c r="I102" i="20"/>
  <c r="J102" i="20"/>
  <c r="E103" i="20"/>
  <c r="F103" i="20"/>
  <c r="G103" i="20"/>
  <c r="H103" i="20"/>
  <c r="I103" i="20"/>
  <c r="J103" i="20"/>
  <c r="E104" i="20"/>
  <c r="F104" i="20"/>
  <c r="G104" i="20"/>
  <c r="H104" i="20"/>
  <c r="I104" i="20"/>
  <c r="J104" i="20"/>
  <c r="E105" i="20"/>
  <c r="F105" i="20"/>
  <c r="G105" i="20"/>
  <c r="H105" i="20"/>
  <c r="I105" i="20"/>
  <c r="J105" i="20"/>
  <c r="E106" i="20"/>
  <c r="F106" i="20"/>
  <c r="G106" i="20"/>
  <c r="H106" i="20"/>
  <c r="I106" i="20"/>
  <c r="J106" i="20"/>
  <c r="E107" i="20"/>
  <c r="F107" i="20"/>
  <c r="G107" i="20"/>
  <c r="H107" i="20"/>
  <c r="I107" i="20"/>
  <c r="J107" i="20"/>
  <c r="E108" i="20"/>
  <c r="F108" i="20"/>
  <c r="G108" i="20"/>
  <c r="H108" i="20"/>
  <c r="I108" i="20"/>
  <c r="J108" i="20"/>
  <c r="E109" i="20"/>
  <c r="F109" i="20"/>
  <c r="G109" i="20"/>
  <c r="H109" i="20"/>
  <c r="I109" i="20"/>
  <c r="J109" i="20"/>
  <c r="E110" i="20"/>
  <c r="F110" i="20"/>
  <c r="G110" i="20"/>
  <c r="H110" i="20"/>
  <c r="I110" i="20"/>
  <c r="J110" i="20"/>
  <c r="E113" i="20"/>
  <c r="F113" i="20"/>
  <c r="G113" i="20"/>
  <c r="H113" i="20"/>
  <c r="I113" i="20"/>
  <c r="J113" i="20"/>
  <c r="E101" i="20"/>
  <c r="F101" i="20"/>
  <c r="G101" i="20"/>
  <c r="H101" i="20"/>
  <c r="I101" i="20"/>
  <c r="J101" i="20"/>
  <c r="E114" i="20" l="1"/>
  <c r="D48" i="20"/>
  <c r="D45" i="20"/>
  <c r="D41" i="20"/>
  <c r="D39" i="20"/>
  <c r="D37" i="20"/>
  <c r="D36" i="20"/>
  <c r="D35" i="20"/>
  <c r="G40" i="1"/>
  <c r="G35" i="1"/>
  <c r="D46" i="20" s="1"/>
  <c r="G32" i="1"/>
  <c r="D44" i="20" s="1"/>
  <c r="G25" i="1"/>
  <c r="D43" i="20" s="1"/>
  <c r="G18" i="1"/>
  <c r="D42" i="20" s="1"/>
  <c r="G14" i="1"/>
  <c r="D40" i="20" s="1"/>
  <c r="G9" i="1"/>
  <c r="D38" i="20" s="1"/>
  <c r="A420" i="22" l="1"/>
  <c r="B420" i="22"/>
  <c r="C420" i="22"/>
  <c r="A421" i="22"/>
  <c r="B421" i="22"/>
  <c r="C421" i="22"/>
  <c r="A422" i="22"/>
  <c r="B422" i="22"/>
  <c r="C422" i="22"/>
  <c r="A423" i="22"/>
  <c r="B423" i="22"/>
  <c r="C423" i="22"/>
  <c r="A424" i="22"/>
  <c r="B424" i="22"/>
  <c r="C424" i="22"/>
  <c r="A425" i="22"/>
  <c r="B425" i="22"/>
  <c r="C425" i="22"/>
  <c r="A426" i="22"/>
  <c r="B426" i="22"/>
  <c r="C426" i="22"/>
  <c r="A427" i="22"/>
  <c r="B427" i="22"/>
  <c r="C427" i="22"/>
  <c r="A428" i="22"/>
  <c r="B428" i="22"/>
  <c r="C428" i="22"/>
  <c r="A429" i="22"/>
  <c r="B429" i="22"/>
  <c r="C429" i="22"/>
  <c r="A430" i="22"/>
  <c r="B430" i="22"/>
  <c r="C430" i="22"/>
  <c r="A431" i="22"/>
  <c r="B431" i="22"/>
  <c r="C431" i="22"/>
  <c r="A432" i="22"/>
  <c r="B432" i="22"/>
  <c r="C432" i="22"/>
  <c r="A433" i="22"/>
  <c r="B433" i="22"/>
  <c r="C433" i="22"/>
  <c r="A434" i="22"/>
  <c r="B434" i="22"/>
  <c r="C434" i="22"/>
  <c r="A435" i="22"/>
  <c r="B435" i="22"/>
  <c r="C435" i="22"/>
  <c r="A436" i="22"/>
  <c r="B436" i="22"/>
  <c r="C436" i="22"/>
  <c r="A437" i="22"/>
  <c r="B437" i="22"/>
  <c r="C437" i="22"/>
  <c r="A438" i="22"/>
  <c r="B438" i="22"/>
  <c r="C438" i="22"/>
  <c r="A439" i="22"/>
  <c r="B439" i="22"/>
  <c r="C439" i="22"/>
  <c r="A440" i="22"/>
  <c r="B440" i="22"/>
  <c r="C440" i="22"/>
  <c r="A441" i="22"/>
  <c r="B441" i="22"/>
  <c r="C441" i="22"/>
  <c r="A442" i="22"/>
  <c r="B442" i="22"/>
  <c r="C442" i="22"/>
  <c r="A443" i="22"/>
  <c r="B443" i="22"/>
  <c r="C443" i="22"/>
  <c r="A444" i="22"/>
  <c r="B444" i="22"/>
  <c r="C444" i="22"/>
  <c r="A445" i="22"/>
  <c r="B445" i="22"/>
  <c r="C445" i="22"/>
  <c r="A446" i="22"/>
  <c r="B446" i="22"/>
  <c r="C446" i="22"/>
  <c r="A447" i="22"/>
  <c r="B447" i="22"/>
  <c r="C447" i="22"/>
  <c r="A448" i="22"/>
  <c r="B448" i="22"/>
  <c r="C448" i="22"/>
  <c r="A449" i="22"/>
  <c r="B449" i="22"/>
  <c r="C449" i="22"/>
  <c r="A450" i="22"/>
  <c r="B450" i="22"/>
  <c r="C450" i="22"/>
  <c r="A451" i="22"/>
  <c r="B451" i="22"/>
  <c r="C451" i="22"/>
  <c r="A452" i="22"/>
  <c r="B452" i="22"/>
  <c r="C452" i="22"/>
  <c r="A453" i="22"/>
  <c r="B453" i="22"/>
  <c r="C453" i="22"/>
  <c r="A454" i="22"/>
  <c r="B454" i="22"/>
  <c r="C454" i="22"/>
  <c r="A455" i="22"/>
  <c r="B455" i="22"/>
  <c r="C455" i="22"/>
  <c r="A456" i="22"/>
  <c r="B456" i="22"/>
  <c r="C456" i="22"/>
  <c r="A457" i="22"/>
  <c r="B457" i="22"/>
  <c r="C457" i="22"/>
  <c r="A458" i="22"/>
  <c r="B458" i="22"/>
  <c r="C458" i="22"/>
  <c r="A459" i="22"/>
  <c r="B459" i="22"/>
  <c r="C459" i="22"/>
  <c r="A460" i="22"/>
  <c r="B460" i="22"/>
  <c r="C460" i="22"/>
  <c r="A461" i="22"/>
  <c r="B461" i="22"/>
  <c r="C461" i="22"/>
  <c r="A462" i="22"/>
  <c r="B462" i="22"/>
  <c r="C462" i="22"/>
  <c r="A463" i="22"/>
  <c r="B463" i="22"/>
  <c r="C463" i="22"/>
  <c r="A464" i="22"/>
  <c r="B464" i="22"/>
  <c r="C464" i="22"/>
  <c r="A465" i="22"/>
  <c r="B465" i="22"/>
  <c r="C465" i="22"/>
  <c r="A466" i="22"/>
  <c r="B466" i="22"/>
  <c r="C466" i="22"/>
  <c r="A467" i="22"/>
  <c r="B467" i="22"/>
  <c r="C467" i="22"/>
  <c r="A468" i="22"/>
  <c r="B468" i="22"/>
  <c r="C468" i="22"/>
  <c r="A469" i="22"/>
  <c r="B469" i="22"/>
  <c r="C469" i="22"/>
  <c r="A470" i="22"/>
  <c r="B470" i="22"/>
  <c r="C470" i="22"/>
  <c r="A471" i="22"/>
  <c r="B471" i="22"/>
  <c r="C471" i="22"/>
  <c r="A472" i="22"/>
  <c r="B472" i="22"/>
  <c r="C472" i="22"/>
  <c r="A473" i="22"/>
  <c r="B473" i="22"/>
  <c r="C473" i="22"/>
  <c r="A474" i="22"/>
  <c r="B474" i="22"/>
  <c r="C474" i="22"/>
  <c r="A475" i="22"/>
  <c r="B475" i="22"/>
  <c r="C475" i="22"/>
  <c r="A476" i="22"/>
  <c r="B476" i="22"/>
  <c r="C476" i="22"/>
  <c r="A477" i="22"/>
  <c r="B477" i="22"/>
  <c r="C477" i="22"/>
  <c r="A478" i="22"/>
  <c r="B478" i="22"/>
  <c r="C478" i="22"/>
  <c r="A479" i="22"/>
  <c r="B479" i="22"/>
  <c r="C479" i="22"/>
  <c r="A480" i="22"/>
  <c r="B480" i="22"/>
  <c r="C480" i="22"/>
  <c r="A481" i="22"/>
  <c r="B481" i="22"/>
  <c r="C481" i="22"/>
  <c r="A482" i="22"/>
  <c r="B482" i="22"/>
  <c r="C482" i="22"/>
  <c r="A483" i="22"/>
  <c r="B483" i="22"/>
  <c r="C483" i="22"/>
  <c r="A484" i="22"/>
  <c r="B484" i="22"/>
  <c r="C484" i="22"/>
  <c r="A485" i="22"/>
  <c r="B485" i="22"/>
  <c r="C485" i="22"/>
  <c r="A486" i="22"/>
  <c r="B486" i="22"/>
  <c r="C486" i="22"/>
  <c r="A487" i="22"/>
  <c r="B487" i="22"/>
  <c r="C487" i="22"/>
  <c r="A488" i="22"/>
  <c r="B488" i="22"/>
  <c r="C488" i="22"/>
  <c r="A489" i="22"/>
  <c r="B489" i="22"/>
  <c r="C489" i="22"/>
  <c r="A490" i="22"/>
  <c r="B490" i="22"/>
  <c r="C490" i="22"/>
  <c r="A491" i="22"/>
  <c r="B491" i="22"/>
  <c r="C491" i="22"/>
  <c r="A492" i="22"/>
  <c r="B492" i="22"/>
  <c r="C492" i="22"/>
  <c r="A493" i="22"/>
  <c r="B493" i="22"/>
  <c r="C493" i="22"/>
  <c r="A494" i="22"/>
  <c r="B494" i="22"/>
  <c r="C494" i="22"/>
  <c r="A495" i="22"/>
  <c r="B495" i="22"/>
  <c r="C495" i="22"/>
  <c r="A496" i="22"/>
  <c r="B496" i="22"/>
  <c r="C496" i="22"/>
  <c r="A497" i="22"/>
  <c r="B497" i="22"/>
  <c r="C497" i="22"/>
  <c r="A498" i="22"/>
  <c r="B498" i="22"/>
  <c r="C498" i="22"/>
  <c r="A499" i="22"/>
  <c r="B499" i="22"/>
  <c r="C499" i="22"/>
  <c r="A500" i="22"/>
  <c r="B500" i="22"/>
  <c r="C500" i="22"/>
  <c r="A501" i="22"/>
  <c r="B501" i="22"/>
  <c r="C501" i="22"/>
  <c r="A502" i="22"/>
  <c r="B502" i="22"/>
  <c r="C502" i="22"/>
  <c r="A503" i="22"/>
  <c r="B503" i="22"/>
  <c r="C503" i="22"/>
  <c r="A504" i="22"/>
  <c r="B504" i="22"/>
  <c r="C504" i="22"/>
  <c r="A505" i="22"/>
  <c r="B505" i="22"/>
  <c r="C505" i="22"/>
  <c r="A506" i="22"/>
  <c r="B506" i="22"/>
  <c r="C506" i="22"/>
  <c r="A507" i="22"/>
  <c r="B507" i="22"/>
  <c r="C507" i="22"/>
  <c r="A508" i="22"/>
  <c r="B508" i="22"/>
  <c r="C508" i="22"/>
  <c r="A509" i="22"/>
  <c r="B509" i="22"/>
  <c r="C509" i="22"/>
  <c r="A510" i="22"/>
  <c r="B510" i="22"/>
  <c r="C510" i="22"/>
  <c r="A511" i="22"/>
  <c r="B511" i="22"/>
  <c r="C511" i="22"/>
  <c r="A512" i="22"/>
  <c r="B512" i="22"/>
  <c r="C512" i="22"/>
  <c r="A513" i="22"/>
  <c r="B513" i="22"/>
  <c r="C513" i="22"/>
  <c r="A514" i="22"/>
  <c r="B514" i="22"/>
  <c r="C514" i="22"/>
  <c r="A515" i="22"/>
  <c r="B515" i="22"/>
  <c r="C515" i="22"/>
  <c r="A516" i="22"/>
  <c r="B516" i="22"/>
  <c r="C516" i="22"/>
  <c r="A517" i="22"/>
  <c r="B517" i="22"/>
  <c r="C517" i="22"/>
  <c r="A518" i="22"/>
  <c r="B518" i="22"/>
  <c r="C518" i="22"/>
  <c r="A519" i="22"/>
  <c r="B519" i="22"/>
  <c r="C519" i="22"/>
  <c r="A520" i="22"/>
  <c r="B520" i="22"/>
  <c r="C520" i="22"/>
  <c r="A521" i="22"/>
  <c r="B521" i="22"/>
  <c r="C521" i="22"/>
  <c r="A522" i="22"/>
  <c r="B522" i="22"/>
  <c r="C522" i="22"/>
  <c r="A523" i="22"/>
  <c r="B523" i="22"/>
  <c r="C523" i="22"/>
  <c r="A524" i="22"/>
  <c r="B524" i="22"/>
  <c r="C524" i="22"/>
  <c r="A525" i="22"/>
  <c r="B525" i="22"/>
  <c r="C525" i="22"/>
  <c r="A526" i="22"/>
  <c r="B526" i="22"/>
  <c r="C526" i="22"/>
  <c r="A527" i="22"/>
  <c r="B527" i="22"/>
  <c r="C527" i="22"/>
  <c r="A528" i="22"/>
  <c r="B528" i="22"/>
  <c r="C528" i="22"/>
  <c r="A529" i="22"/>
  <c r="B529" i="22"/>
  <c r="C529" i="22"/>
  <c r="A530" i="22"/>
  <c r="B530" i="22"/>
  <c r="C530" i="22"/>
  <c r="A531" i="22"/>
  <c r="B531" i="22"/>
  <c r="C531" i="22"/>
  <c r="A532" i="22"/>
  <c r="B532" i="22"/>
  <c r="C532" i="22"/>
  <c r="A533" i="22"/>
  <c r="B533" i="22"/>
  <c r="C533" i="22"/>
  <c r="A534" i="22"/>
  <c r="B534" i="22"/>
  <c r="C534" i="22"/>
  <c r="A535" i="22"/>
  <c r="B535" i="22"/>
  <c r="C535" i="22"/>
  <c r="A536" i="22"/>
  <c r="B536" i="22"/>
  <c r="C536" i="22"/>
  <c r="A537" i="22"/>
  <c r="B537" i="22"/>
  <c r="C537" i="22"/>
  <c r="A538" i="22"/>
  <c r="B538" i="22"/>
  <c r="C538" i="22"/>
  <c r="A539" i="22"/>
  <c r="B539" i="22"/>
  <c r="C539" i="22"/>
  <c r="A540" i="22"/>
  <c r="B540" i="22"/>
  <c r="C540" i="22"/>
  <c r="A541" i="22"/>
  <c r="B541" i="22"/>
  <c r="C541" i="22"/>
  <c r="A542" i="22"/>
  <c r="B542" i="22"/>
  <c r="C542" i="22"/>
  <c r="A543" i="22"/>
  <c r="B543" i="22"/>
  <c r="C543" i="22"/>
  <c r="A544" i="22"/>
  <c r="B544" i="22"/>
  <c r="C544" i="22"/>
  <c r="A545" i="22"/>
  <c r="B545" i="22"/>
  <c r="C545" i="22"/>
  <c r="A546" i="22"/>
  <c r="B546" i="22"/>
  <c r="C546" i="22"/>
  <c r="A547" i="22"/>
  <c r="B547" i="22"/>
  <c r="C547" i="22"/>
  <c r="A548" i="22"/>
  <c r="B548" i="22"/>
  <c r="C548" i="22"/>
  <c r="A549" i="22"/>
  <c r="B549" i="22"/>
  <c r="C549" i="22"/>
  <c r="A550" i="22"/>
  <c r="B550" i="22"/>
  <c r="C550" i="22"/>
  <c r="A551" i="22"/>
  <c r="B551" i="22"/>
  <c r="C551" i="22"/>
  <c r="A552" i="22"/>
  <c r="B552" i="22"/>
  <c r="C552" i="22"/>
  <c r="A553" i="22"/>
  <c r="B553" i="22"/>
  <c r="C553" i="22"/>
  <c r="A554" i="22"/>
  <c r="B554" i="22"/>
  <c r="C554" i="22"/>
  <c r="A555" i="22"/>
  <c r="B555" i="22"/>
  <c r="C555" i="22"/>
  <c r="A556" i="22"/>
  <c r="B556" i="22"/>
  <c r="C556" i="22"/>
  <c r="A557" i="22"/>
  <c r="B557" i="22"/>
  <c r="C557" i="22"/>
  <c r="A558" i="22"/>
  <c r="B558" i="22"/>
  <c r="C558" i="22"/>
  <c r="A559" i="22"/>
  <c r="B559" i="22"/>
  <c r="C559" i="22"/>
  <c r="A560" i="22"/>
  <c r="B560" i="22"/>
  <c r="C560" i="22"/>
  <c r="A561" i="22"/>
  <c r="B561" i="22"/>
  <c r="C561" i="22"/>
  <c r="A562" i="22"/>
  <c r="B562" i="22"/>
  <c r="C562" i="22"/>
  <c r="A563" i="22"/>
  <c r="B563" i="22"/>
  <c r="C563" i="22"/>
  <c r="A564" i="22"/>
  <c r="B564" i="22"/>
  <c r="C564" i="22"/>
  <c r="A565" i="22"/>
  <c r="B565" i="22"/>
  <c r="C565" i="22"/>
  <c r="A566" i="22"/>
  <c r="B566" i="22"/>
  <c r="C566" i="22"/>
  <c r="A567" i="22"/>
  <c r="B567" i="22"/>
  <c r="C567" i="22"/>
  <c r="A568" i="22"/>
  <c r="B568" i="22"/>
  <c r="C568" i="22"/>
  <c r="A569" i="22"/>
  <c r="B569" i="22"/>
  <c r="C569" i="22"/>
  <c r="A570" i="22"/>
  <c r="B570" i="22"/>
  <c r="C570" i="22"/>
  <c r="A571" i="22"/>
  <c r="B571" i="22"/>
  <c r="C571" i="22"/>
  <c r="A572" i="22"/>
  <c r="B572" i="22"/>
  <c r="C572" i="22"/>
  <c r="A573" i="22"/>
  <c r="B573" i="22"/>
  <c r="C573" i="22"/>
  <c r="A574" i="22"/>
  <c r="B574" i="22"/>
  <c r="C574" i="22"/>
  <c r="A575" i="22"/>
  <c r="B575" i="22"/>
  <c r="C575" i="22"/>
  <c r="A576" i="22"/>
  <c r="B576" i="22"/>
  <c r="C576" i="22"/>
  <c r="A577" i="22"/>
  <c r="B577" i="22"/>
  <c r="C577" i="22"/>
  <c r="A578" i="22"/>
  <c r="B578" i="22"/>
  <c r="C578" i="22"/>
  <c r="A579" i="22"/>
  <c r="B579" i="22"/>
  <c r="C579" i="22"/>
  <c r="A580" i="22"/>
  <c r="B580" i="22"/>
  <c r="C580" i="22"/>
  <c r="A581" i="22"/>
  <c r="B581" i="22"/>
  <c r="C581" i="22"/>
  <c r="A582" i="22"/>
  <c r="B582" i="22"/>
  <c r="C582" i="22"/>
  <c r="A583" i="22"/>
  <c r="B583" i="22"/>
  <c r="C583" i="22"/>
  <c r="A584" i="22"/>
  <c r="B584" i="22"/>
  <c r="C584" i="22"/>
  <c r="A585" i="22"/>
  <c r="B585" i="22"/>
  <c r="C585" i="22"/>
  <c r="A586" i="22"/>
  <c r="B586" i="22"/>
  <c r="C586" i="22"/>
  <c r="A587" i="22"/>
  <c r="B587" i="22"/>
  <c r="C587" i="22"/>
  <c r="A588" i="22"/>
  <c r="B588" i="22"/>
  <c r="C588" i="22"/>
  <c r="A589" i="22"/>
  <c r="B589" i="22"/>
  <c r="C589" i="22"/>
  <c r="A590" i="22"/>
  <c r="B590" i="22"/>
  <c r="C590" i="22"/>
  <c r="A591" i="22"/>
  <c r="B591" i="22"/>
  <c r="C591" i="22"/>
  <c r="A592" i="22"/>
  <c r="B592" i="22"/>
  <c r="C592" i="22"/>
  <c r="A593" i="22"/>
  <c r="B593" i="22"/>
  <c r="C593" i="22"/>
  <c r="A594" i="22"/>
  <c r="B594" i="22"/>
  <c r="C594" i="22"/>
  <c r="A595" i="22"/>
  <c r="B595" i="22"/>
  <c r="C595" i="22"/>
  <c r="A596" i="22"/>
  <c r="B596" i="22"/>
  <c r="C596" i="22"/>
  <c r="A597" i="22"/>
  <c r="B597" i="22"/>
  <c r="C597" i="22"/>
  <c r="A598" i="22"/>
  <c r="B598" i="22"/>
  <c r="C598" i="22"/>
  <c r="A599" i="22"/>
  <c r="B599" i="22"/>
  <c r="C599" i="22"/>
  <c r="A600" i="22"/>
  <c r="B600" i="22"/>
  <c r="C600" i="22"/>
  <c r="A601" i="22"/>
  <c r="B601" i="22"/>
  <c r="C601" i="22"/>
  <c r="A602" i="22"/>
  <c r="B602" i="22"/>
  <c r="C602" i="22"/>
  <c r="A603" i="22"/>
  <c r="B603" i="22"/>
  <c r="C603" i="22"/>
  <c r="A604" i="22"/>
  <c r="B604" i="22"/>
  <c r="C604" i="22"/>
  <c r="A605" i="22"/>
  <c r="B605" i="22"/>
  <c r="C605" i="22"/>
  <c r="A606" i="22"/>
  <c r="B606" i="22"/>
  <c r="C606" i="22"/>
  <c r="A607" i="22"/>
  <c r="B607" i="22"/>
  <c r="C607" i="22"/>
  <c r="A608" i="22"/>
  <c r="B608" i="22"/>
  <c r="C608" i="22"/>
  <c r="A609" i="22"/>
  <c r="B609" i="22"/>
  <c r="C609" i="22"/>
  <c r="A610" i="22"/>
  <c r="B610" i="22"/>
  <c r="C610" i="22"/>
  <c r="A611" i="22"/>
  <c r="B611" i="22"/>
  <c r="C611" i="22"/>
  <c r="A612" i="22"/>
  <c r="B612" i="22"/>
  <c r="C612" i="22"/>
  <c r="A613" i="22"/>
  <c r="B613" i="22"/>
  <c r="C613" i="22"/>
  <c r="A614" i="22"/>
  <c r="B614" i="22"/>
  <c r="C614" i="22"/>
  <c r="A615" i="22"/>
  <c r="B615" i="22"/>
  <c r="C615" i="22"/>
  <c r="A616" i="22"/>
  <c r="B616" i="22"/>
  <c r="C616" i="22"/>
  <c r="A617" i="22"/>
  <c r="B617" i="22"/>
  <c r="C617" i="22"/>
  <c r="A618" i="22"/>
  <c r="B618" i="22"/>
  <c r="C618" i="22"/>
  <c r="A619" i="22"/>
  <c r="B619" i="22"/>
  <c r="C619" i="22"/>
  <c r="A620" i="22"/>
  <c r="B620" i="22"/>
  <c r="C620" i="22"/>
  <c r="A621" i="22"/>
  <c r="B621" i="22"/>
  <c r="C621" i="22"/>
  <c r="A622" i="22"/>
  <c r="B622" i="22"/>
  <c r="C622" i="22"/>
  <c r="A623" i="22"/>
  <c r="B623" i="22"/>
  <c r="C623" i="22"/>
  <c r="A624" i="22"/>
  <c r="B624" i="22"/>
  <c r="C624" i="22"/>
  <c r="A625" i="22"/>
  <c r="B625" i="22"/>
  <c r="C625" i="22"/>
  <c r="A626" i="22"/>
  <c r="B626" i="22"/>
  <c r="C626" i="22"/>
  <c r="A627" i="22"/>
  <c r="B627" i="22"/>
  <c r="C627" i="22"/>
  <c r="A628" i="22"/>
  <c r="B628" i="22"/>
  <c r="C628" i="22"/>
  <c r="A629" i="22"/>
  <c r="B629" i="22"/>
  <c r="C629" i="22"/>
  <c r="A630" i="22"/>
  <c r="B630" i="22"/>
  <c r="C630" i="22"/>
  <c r="A631" i="22"/>
  <c r="B631" i="22"/>
  <c r="C631" i="22"/>
  <c r="A632" i="22"/>
  <c r="B632" i="22"/>
  <c r="C632" i="22"/>
  <c r="A633" i="22"/>
  <c r="B633" i="22"/>
  <c r="C633" i="22"/>
  <c r="A634" i="22"/>
  <c r="B634" i="22"/>
  <c r="C634" i="22"/>
  <c r="A635" i="22"/>
  <c r="B635" i="22"/>
  <c r="C635" i="22"/>
  <c r="A636" i="22"/>
  <c r="B636" i="22"/>
  <c r="C636" i="22"/>
  <c r="A637" i="22"/>
  <c r="B637" i="22"/>
  <c r="C637" i="22"/>
  <c r="I39" i="20" l="1"/>
  <c r="J48" i="20"/>
  <c r="J35" i="20"/>
  <c r="J36" i="20"/>
  <c r="I35" i="20"/>
  <c r="H35" i="20"/>
  <c r="F37" i="20"/>
  <c r="F35" i="20"/>
  <c r="H37" i="20"/>
  <c r="J39" i="20"/>
  <c r="E42" i="20"/>
  <c r="G44" i="20"/>
  <c r="I46" i="20"/>
  <c r="E35" i="20"/>
  <c r="G35" i="20"/>
  <c r="I37" i="20"/>
  <c r="F42" i="20"/>
  <c r="H44" i="20"/>
  <c r="J46" i="20"/>
  <c r="J37" i="20"/>
  <c r="E40" i="20"/>
  <c r="G42" i="20"/>
  <c r="I44" i="20"/>
  <c r="E47" i="20"/>
  <c r="F40" i="20"/>
  <c r="H42" i="20"/>
  <c r="J44" i="20"/>
  <c r="F47" i="20"/>
  <c r="H46" i="20"/>
  <c r="E38" i="20"/>
  <c r="G40" i="20"/>
  <c r="I42" i="20"/>
  <c r="G47" i="20"/>
  <c r="F38" i="20"/>
  <c r="H40" i="20"/>
  <c r="J42" i="20"/>
  <c r="E45" i="20"/>
  <c r="H47" i="20"/>
  <c r="E36" i="20"/>
  <c r="G38" i="20"/>
  <c r="I40" i="20"/>
  <c r="F45" i="20"/>
  <c r="I47" i="20"/>
  <c r="F36" i="20"/>
  <c r="H38" i="20"/>
  <c r="J40" i="20"/>
  <c r="E43" i="20"/>
  <c r="G45" i="20"/>
  <c r="J47" i="20"/>
  <c r="G36" i="20"/>
  <c r="I38" i="20"/>
  <c r="F43" i="20"/>
  <c r="H45" i="20"/>
  <c r="G37" i="20"/>
  <c r="H36" i="20"/>
  <c r="J38" i="20"/>
  <c r="E41" i="20"/>
  <c r="G43" i="20"/>
  <c r="I45" i="20"/>
  <c r="E48" i="20"/>
  <c r="I36" i="20"/>
  <c r="F41" i="20"/>
  <c r="H43" i="20"/>
  <c r="J45" i="20"/>
  <c r="F48" i="20"/>
  <c r="F44" i="20"/>
  <c r="E39" i="20"/>
  <c r="G41" i="20"/>
  <c r="I43" i="20"/>
  <c r="G48" i="20"/>
  <c r="F39" i="20"/>
  <c r="H41" i="20"/>
  <c r="J43" i="20"/>
  <c r="E46" i="20"/>
  <c r="H48" i="20"/>
  <c r="E37" i="20"/>
  <c r="G39" i="20"/>
  <c r="I41" i="20"/>
  <c r="F46" i="20"/>
  <c r="I48" i="20"/>
  <c r="H39" i="20"/>
  <c r="J41" i="20"/>
  <c r="E44" i="20"/>
  <c r="G46" i="20"/>
  <c r="K39" i="20" l="1"/>
  <c r="O39" i="20" s="1"/>
  <c r="K42" i="20"/>
  <c r="O42" i="20" s="1"/>
  <c r="K43" i="20"/>
  <c r="O43" i="20" s="1"/>
  <c r="K36" i="20"/>
  <c r="O36" i="20" s="1"/>
  <c r="K40" i="20"/>
  <c r="O40" i="20" s="1"/>
  <c r="G49" i="20"/>
  <c r="K41" i="20"/>
  <c r="O41" i="20" s="1"/>
  <c r="J49" i="20"/>
  <c r="K38" i="20"/>
  <c r="O38" i="20" s="1"/>
  <c r="E49" i="20"/>
  <c r="I49" i="20"/>
  <c r="H49" i="20"/>
  <c r="K47" i="20"/>
  <c r="O47" i="20" s="1"/>
  <c r="K37" i="20"/>
  <c r="O37" i="20" s="1"/>
  <c r="K45" i="20"/>
  <c r="O45" i="20" s="1"/>
  <c r="K46" i="20"/>
  <c r="O46" i="20" s="1"/>
  <c r="K44" i="20"/>
  <c r="O44" i="20" s="1"/>
  <c r="F49" i="20"/>
  <c r="K35" i="20"/>
  <c r="O35" i="20" s="1"/>
  <c r="K48" i="20"/>
  <c r="O48" i="20" s="1"/>
  <c r="K49" i="20" l="1"/>
  <c r="L64" i="20" s="1"/>
  <c r="P18" i="6"/>
  <c r="O18" i="6"/>
  <c r="D11" i="6"/>
  <c r="B17" i="6"/>
  <c r="O49" i="20" l="1"/>
  <c r="A305" i="22"/>
  <c r="A306" i="22"/>
  <c r="A307" i="22"/>
  <c r="A308" i="22"/>
  <c r="A309" i="22"/>
  <c r="A310" i="22"/>
  <c r="A311" i="22"/>
  <c r="A312" i="22"/>
  <c r="A313" i="22"/>
  <c r="A314" i="22"/>
  <c r="A315" i="22"/>
  <c r="A316" i="22"/>
  <c r="A317" i="22"/>
  <c r="A318" i="22"/>
  <c r="A319" i="22"/>
  <c r="A320" i="22"/>
  <c r="A321" i="22"/>
  <c r="A322" i="22"/>
  <c r="A323" i="22"/>
  <c r="A324" i="22"/>
  <c r="A325" i="22"/>
  <c r="A326" i="22"/>
  <c r="A327" i="22"/>
  <c r="A328" i="22"/>
  <c r="A329" i="22"/>
  <c r="A330" i="22"/>
  <c r="A331" i="22"/>
  <c r="A332" i="22"/>
  <c r="A333" i="22"/>
  <c r="A334" i="22"/>
  <c r="A335" i="22"/>
  <c r="A336" i="22"/>
  <c r="A337" i="22"/>
  <c r="A338" i="22"/>
  <c r="A339" i="22"/>
  <c r="A340" i="22"/>
  <c r="A341" i="22"/>
  <c r="A342" i="22"/>
  <c r="A343" i="22"/>
  <c r="A344" i="22"/>
  <c r="A345" i="22"/>
  <c r="A346" i="22"/>
  <c r="A347" i="22"/>
  <c r="A348" i="22"/>
  <c r="A349" i="22"/>
  <c r="A350" i="22"/>
  <c r="A351" i="22"/>
  <c r="A352" i="22"/>
  <c r="A353" i="22"/>
  <c r="A354" i="22"/>
  <c r="A355" i="22"/>
  <c r="A356" i="22"/>
  <c r="A357" i="22"/>
  <c r="A358" i="22"/>
  <c r="A359" i="22"/>
  <c r="A360" i="22"/>
  <c r="A361" i="22"/>
  <c r="A362" i="22"/>
  <c r="A363" i="22"/>
  <c r="A364" i="22"/>
  <c r="A365" i="22"/>
  <c r="A366" i="22"/>
  <c r="A367" i="22"/>
  <c r="A368" i="22"/>
  <c r="A369" i="22"/>
  <c r="A370" i="22"/>
  <c r="A371" i="22"/>
  <c r="A372" i="22"/>
  <c r="A373" i="22"/>
  <c r="A374" i="22"/>
  <c r="A375" i="22"/>
  <c r="A376" i="22"/>
  <c r="A377" i="22"/>
  <c r="A378" i="22"/>
  <c r="A379" i="22"/>
  <c r="A380" i="22"/>
  <c r="A381" i="22"/>
  <c r="A382" i="22"/>
  <c r="A383" i="22"/>
  <c r="A384" i="22"/>
  <c r="A385" i="22"/>
  <c r="A386" i="22"/>
  <c r="A387" i="22"/>
  <c r="A388" i="22"/>
  <c r="A389" i="22"/>
  <c r="A390" i="22"/>
  <c r="A391" i="22"/>
  <c r="A392" i="22"/>
  <c r="A393" i="22"/>
  <c r="A394" i="22"/>
  <c r="A395" i="22"/>
  <c r="A396" i="22"/>
  <c r="A397" i="22"/>
  <c r="A398" i="22"/>
  <c r="A399" i="22"/>
  <c r="A400" i="22"/>
  <c r="A401" i="22"/>
  <c r="A402" i="22"/>
  <c r="A403" i="22"/>
  <c r="A404" i="22"/>
  <c r="A405" i="22"/>
  <c r="A406" i="22"/>
  <c r="A407" i="22"/>
  <c r="A408" i="22"/>
  <c r="A409" i="22"/>
  <c r="A410" i="22"/>
  <c r="A411" i="22"/>
  <c r="A412" i="22"/>
  <c r="A413" i="22"/>
  <c r="A414" i="22"/>
  <c r="A415" i="22"/>
  <c r="A416" i="22"/>
  <c r="A417" i="22"/>
  <c r="A418" i="22"/>
  <c r="A419" i="22"/>
  <c r="B225" i="22"/>
  <c r="C225" i="22"/>
  <c r="B226" i="22"/>
  <c r="C226" i="22"/>
  <c r="B227" i="22"/>
  <c r="C227" i="22"/>
  <c r="B228" i="22"/>
  <c r="C228" i="22"/>
  <c r="B229" i="22"/>
  <c r="C229" i="22"/>
  <c r="B230" i="22"/>
  <c r="C230" i="22"/>
  <c r="B231" i="22"/>
  <c r="C231" i="22"/>
  <c r="B232" i="22"/>
  <c r="C232" i="22"/>
  <c r="B233" i="22"/>
  <c r="C233" i="22"/>
  <c r="B234" i="22"/>
  <c r="C234" i="22"/>
  <c r="B235" i="22"/>
  <c r="C235" i="22"/>
  <c r="B236" i="22"/>
  <c r="C236" i="22"/>
  <c r="B237" i="22"/>
  <c r="C237" i="22"/>
  <c r="B238" i="22"/>
  <c r="C238" i="22"/>
  <c r="B239" i="22"/>
  <c r="C239" i="22"/>
  <c r="B240" i="22"/>
  <c r="C240" i="22"/>
  <c r="B241" i="22"/>
  <c r="C241" i="22"/>
  <c r="B242" i="22"/>
  <c r="C242" i="22"/>
  <c r="B243" i="22"/>
  <c r="C243" i="22"/>
  <c r="B244" i="22"/>
  <c r="C244" i="22"/>
  <c r="B245" i="22"/>
  <c r="C245" i="22"/>
  <c r="B246" i="22"/>
  <c r="C246" i="22"/>
  <c r="B247" i="22"/>
  <c r="C247" i="22"/>
  <c r="B248" i="22"/>
  <c r="C248" i="22"/>
  <c r="B249" i="22"/>
  <c r="C249" i="22"/>
  <c r="B250" i="22"/>
  <c r="C250" i="22"/>
  <c r="B251" i="22"/>
  <c r="C251" i="22"/>
  <c r="B252" i="22"/>
  <c r="C252" i="22"/>
  <c r="B253" i="22"/>
  <c r="C253" i="22"/>
  <c r="B254" i="22"/>
  <c r="C254" i="22"/>
  <c r="B255" i="22"/>
  <c r="C255" i="22"/>
  <c r="B256" i="22"/>
  <c r="C256" i="22"/>
  <c r="B257" i="22"/>
  <c r="C257" i="22"/>
  <c r="B258" i="22"/>
  <c r="C258" i="22"/>
  <c r="B259" i="22"/>
  <c r="C259" i="22"/>
  <c r="B260" i="22"/>
  <c r="C260" i="22"/>
  <c r="B261" i="22"/>
  <c r="C261" i="22"/>
  <c r="B262" i="22"/>
  <c r="C262" i="22"/>
  <c r="B263" i="22"/>
  <c r="C263" i="22"/>
  <c r="B264" i="22"/>
  <c r="C264" i="22"/>
  <c r="B265" i="22"/>
  <c r="C265" i="22"/>
  <c r="B266" i="22"/>
  <c r="C266" i="22"/>
  <c r="B267" i="22"/>
  <c r="C267" i="22"/>
  <c r="B268" i="22"/>
  <c r="C268" i="22"/>
  <c r="B269" i="22"/>
  <c r="C269" i="22"/>
  <c r="B270" i="22"/>
  <c r="C270" i="22"/>
  <c r="B271" i="22"/>
  <c r="C271" i="22"/>
  <c r="B272" i="22"/>
  <c r="C272" i="22"/>
  <c r="B273" i="22"/>
  <c r="C273" i="22"/>
  <c r="B274" i="22"/>
  <c r="C274" i="22"/>
  <c r="B275" i="22"/>
  <c r="C275" i="22"/>
  <c r="B276" i="22"/>
  <c r="C276" i="22"/>
  <c r="B277" i="22"/>
  <c r="C277" i="22"/>
  <c r="B278" i="22"/>
  <c r="C278" i="22"/>
  <c r="B279" i="22"/>
  <c r="C279" i="22"/>
  <c r="B280" i="22"/>
  <c r="C280" i="22"/>
  <c r="B281" i="22"/>
  <c r="C281" i="22"/>
  <c r="B282" i="22"/>
  <c r="C282" i="22"/>
  <c r="B283" i="22"/>
  <c r="C283" i="22"/>
  <c r="B284" i="22"/>
  <c r="C284" i="22"/>
  <c r="B285" i="22"/>
  <c r="C285" i="22"/>
  <c r="B286" i="22"/>
  <c r="C286" i="22"/>
  <c r="B287" i="22"/>
  <c r="C287" i="22"/>
  <c r="B288" i="22"/>
  <c r="C288" i="22"/>
  <c r="B289" i="22"/>
  <c r="C289" i="22"/>
  <c r="B290" i="22"/>
  <c r="C290" i="22"/>
  <c r="B291" i="22"/>
  <c r="C291" i="22"/>
  <c r="B292" i="22"/>
  <c r="C292" i="22"/>
  <c r="B293" i="22"/>
  <c r="C293" i="22"/>
  <c r="B294" i="22"/>
  <c r="C294" i="22"/>
  <c r="B295" i="22"/>
  <c r="C295" i="22"/>
  <c r="B296" i="22"/>
  <c r="C296" i="22"/>
  <c r="B297" i="22"/>
  <c r="C297" i="22"/>
  <c r="B298" i="22"/>
  <c r="C298" i="22"/>
  <c r="B299" i="22"/>
  <c r="C299" i="22"/>
  <c r="B300" i="22"/>
  <c r="C300" i="22"/>
  <c r="B301" i="22"/>
  <c r="C301" i="22"/>
  <c r="B302" i="22"/>
  <c r="C302" i="22"/>
  <c r="B303" i="22"/>
  <c r="C303" i="22"/>
  <c r="B304" i="22"/>
  <c r="C304" i="22"/>
  <c r="B305" i="22"/>
  <c r="C305" i="22"/>
  <c r="B306" i="22"/>
  <c r="C306" i="22"/>
  <c r="B307" i="22"/>
  <c r="C307" i="22"/>
  <c r="B308" i="22"/>
  <c r="C308" i="22"/>
  <c r="B309" i="22"/>
  <c r="C309" i="22"/>
  <c r="B310" i="22"/>
  <c r="C310" i="22"/>
  <c r="B311" i="22"/>
  <c r="C311" i="22"/>
  <c r="B312" i="22"/>
  <c r="C312" i="22"/>
  <c r="B313" i="22"/>
  <c r="C313" i="22"/>
  <c r="B314" i="22"/>
  <c r="C314" i="22"/>
  <c r="B315" i="22"/>
  <c r="C315" i="22"/>
  <c r="B316" i="22"/>
  <c r="C316" i="22"/>
  <c r="B317" i="22"/>
  <c r="C317" i="22"/>
  <c r="B318" i="22"/>
  <c r="C318" i="22"/>
  <c r="B319" i="22"/>
  <c r="C319" i="22"/>
  <c r="B320" i="22"/>
  <c r="C320" i="22"/>
  <c r="B321" i="22"/>
  <c r="C321" i="22"/>
  <c r="B322" i="22"/>
  <c r="C322" i="22"/>
  <c r="B323" i="22"/>
  <c r="C323" i="22"/>
  <c r="B324" i="22"/>
  <c r="C324" i="22"/>
  <c r="B325" i="22"/>
  <c r="C325" i="22"/>
  <c r="B326" i="22"/>
  <c r="C326" i="22"/>
  <c r="B327" i="22"/>
  <c r="C327" i="22"/>
  <c r="B328" i="22"/>
  <c r="C328" i="22"/>
  <c r="B329" i="22"/>
  <c r="C329" i="22"/>
  <c r="B330" i="22"/>
  <c r="C330" i="22"/>
  <c r="B331" i="22"/>
  <c r="C331" i="22"/>
  <c r="B332" i="22"/>
  <c r="C332" i="22"/>
  <c r="B333" i="22"/>
  <c r="C333" i="22"/>
  <c r="B334" i="22"/>
  <c r="C334" i="22"/>
  <c r="B335" i="22"/>
  <c r="C335" i="22"/>
  <c r="B336" i="22"/>
  <c r="C336" i="22"/>
  <c r="B337" i="22"/>
  <c r="C337" i="22"/>
  <c r="B338" i="22"/>
  <c r="C338" i="22"/>
  <c r="B339" i="22"/>
  <c r="C339" i="22"/>
  <c r="B340" i="22"/>
  <c r="C340" i="22"/>
  <c r="B341" i="22"/>
  <c r="C341" i="22"/>
  <c r="B342" i="22"/>
  <c r="C342" i="22"/>
  <c r="B343" i="22"/>
  <c r="C343" i="22"/>
  <c r="B344" i="22"/>
  <c r="C344" i="22"/>
  <c r="B345" i="22"/>
  <c r="C345" i="22"/>
  <c r="B346" i="22"/>
  <c r="C346" i="22"/>
  <c r="B347" i="22"/>
  <c r="C347" i="22"/>
  <c r="B348" i="22"/>
  <c r="C348" i="22"/>
  <c r="B349" i="22"/>
  <c r="C349" i="22"/>
  <c r="B350" i="22"/>
  <c r="C350" i="22"/>
  <c r="B351" i="22"/>
  <c r="C351" i="22"/>
  <c r="B352" i="22"/>
  <c r="C352" i="22"/>
  <c r="B353" i="22"/>
  <c r="C353" i="22"/>
  <c r="B354" i="22"/>
  <c r="C354" i="22"/>
  <c r="B355" i="22"/>
  <c r="C355" i="22"/>
  <c r="B356" i="22"/>
  <c r="C356" i="22"/>
  <c r="B357" i="22"/>
  <c r="C357" i="22"/>
  <c r="B358" i="22"/>
  <c r="C358" i="22"/>
  <c r="B359" i="22"/>
  <c r="C359" i="22"/>
  <c r="B360" i="22"/>
  <c r="C360" i="22"/>
  <c r="B361" i="22"/>
  <c r="C361" i="22"/>
  <c r="B362" i="22"/>
  <c r="C362" i="22"/>
  <c r="B363" i="22"/>
  <c r="C363" i="22"/>
  <c r="B364" i="22"/>
  <c r="C364" i="22"/>
  <c r="B365" i="22"/>
  <c r="C365" i="22"/>
  <c r="B366" i="22"/>
  <c r="C366" i="22"/>
  <c r="B367" i="22"/>
  <c r="C367" i="22"/>
  <c r="B368" i="22"/>
  <c r="C368" i="22"/>
  <c r="B369" i="22"/>
  <c r="C369" i="22"/>
  <c r="B370" i="22"/>
  <c r="C370" i="22"/>
  <c r="B371" i="22"/>
  <c r="C371" i="22"/>
  <c r="B372" i="22"/>
  <c r="C372" i="22"/>
  <c r="B373" i="22"/>
  <c r="C373" i="22"/>
  <c r="B374" i="22"/>
  <c r="C374" i="22"/>
  <c r="B375" i="22"/>
  <c r="C375" i="22"/>
  <c r="B376" i="22"/>
  <c r="C376" i="22"/>
  <c r="B377" i="22"/>
  <c r="C377" i="22"/>
  <c r="B378" i="22"/>
  <c r="C378" i="22"/>
  <c r="B379" i="22"/>
  <c r="C379" i="22"/>
  <c r="B380" i="22"/>
  <c r="C380" i="22"/>
  <c r="B381" i="22"/>
  <c r="C381" i="22"/>
  <c r="B382" i="22"/>
  <c r="C382" i="22"/>
  <c r="B383" i="22"/>
  <c r="C383" i="22"/>
  <c r="B384" i="22"/>
  <c r="C384" i="22"/>
  <c r="B385" i="22"/>
  <c r="C385" i="22"/>
  <c r="B386" i="22"/>
  <c r="C386" i="22"/>
  <c r="B387" i="22"/>
  <c r="C387" i="22"/>
  <c r="B388" i="22"/>
  <c r="C388" i="22"/>
  <c r="B389" i="22"/>
  <c r="C389" i="22"/>
  <c r="B390" i="22"/>
  <c r="C390" i="22"/>
  <c r="B391" i="22"/>
  <c r="C391" i="22"/>
  <c r="B392" i="22"/>
  <c r="C392" i="22"/>
  <c r="B393" i="22"/>
  <c r="C393" i="22"/>
  <c r="B394" i="22"/>
  <c r="C394" i="22"/>
  <c r="B395" i="22"/>
  <c r="C395" i="22"/>
  <c r="B396" i="22"/>
  <c r="C396" i="22"/>
  <c r="B397" i="22"/>
  <c r="C397" i="22"/>
  <c r="B398" i="22"/>
  <c r="C398" i="22"/>
  <c r="B399" i="22"/>
  <c r="C399" i="22"/>
  <c r="B400" i="22"/>
  <c r="C400" i="22"/>
  <c r="B401" i="22"/>
  <c r="C401" i="22"/>
  <c r="B402" i="22"/>
  <c r="C402" i="22"/>
  <c r="B403" i="22"/>
  <c r="C403" i="22"/>
  <c r="B404" i="22"/>
  <c r="C404" i="22"/>
  <c r="B405" i="22"/>
  <c r="C405" i="22"/>
  <c r="B406" i="22"/>
  <c r="C406" i="22"/>
  <c r="B407" i="22"/>
  <c r="C407" i="22"/>
  <c r="B408" i="22"/>
  <c r="C408" i="22"/>
  <c r="B409" i="22"/>
  <c r="C409" i="22"/>
  <c r="B410" i="22"/>
  <c r="C410" i="22"/>
  <c r="B411" i="22"/>
  <c r="C411" i="22"/>
  <c r="B412" i="22"/>
  <c r="C412" i="22"/>
  <c r="B413" i="22"/>
  <c r="C413" i="22"/>
  <c r="B414" i="22"/>
  <c r="C414" i="22"/>
  <c r="B415" i="22"/>
  <c r="C415" i="22"/>
  <c r="B416" i="22"/>
  <c r="C416" i="22"/>
  <c r="B417" i="22"/>
  <c r="C417" i="22"/>
  <c r="B418" i="22"/>
  <c r="C418" i="22"/>
  <c r="B419" i="22"/>
  <c r="C419" i="22"/>
  <c r="C63" i="14" l="1"/>
  <c r="C62" i="14"/>
  <c r="D11" i="14"/>
  <c r="J11" i="14" s="1"/>
  <c r="D9" i="14"/>
  <c r="J9" i="14" s="1"/>
  <c r="F3" i="14"/>
  <c r="D33" i="20"/>
  <c r="D30" i="20"/>
  <c r="D26" i="20"/>
  <c r="D24" i="20"/>
  <c r="D22" i="20"/>
  <c r="D21" i="20"/>
  <c r="D20" i="20"/>
  <c r="J33" i="20"/>
  <c r="I33" i="20"/>
  <c r="H33" i="20"/>
  <c r="G33" i="20"/>
  <c r="F33" i="20"/>
  <c r="E33" i="20"/>
  <c r="J32" i="20"/>
  <c r="I32" i="20"/>
  <c r="H32" i="20"/>
  <c r="G32" i="20"/>
  <c r="F32" i="20"/>
  <c r="E32" i="20"/>
  <c r="J31" i="20"/>
  <c r="I31" i="20"/>
  <c r="H31" i="20"/>
  <c r="G31" i="20"/>
  <c r="F31" i="20"/>
  <c r="E31" i="20"/>
  <c r="J30" i="20"/>
  <c r="I30" i="20"/>
  <c r="H30" i="20"/>
  <c r="G30" i="20"/>
  <c r="F30" i="20"/>
  <c r="E30" i="20"/>
  <c r="J29" i="20"/>
  <c r="I29" i="20"/>
  <c r="H29" i="20"/>
  <c r="G29" i="20"/>
  <c r="F29" i="20"/>
  <c r="E29" i="20"/>
  <c r="J28" i="20"/>
  <c r="I28" i="20"/>
  <c r="H28" i="20"/>
  <c r="G28" i="20"/>
  <c r="F28" i="20"/>
  <c r="E28" i="20"/>
  <c r="J27" i="20"/>
  <c r="I27" i="20"/>
  <c r="H27" i="20"/>
  <c r="G27" i="20"/>
  <c r="F27" i="20"/>
  <c r="E27" i="20"/>
  <c r="J26" i="20"/>
  <c r="I26" i="20"/>
  <c r="H26" i="20"/>
  <c r="G26" i="20"/>
  <c r="F26" i="20"/>
  <c r="E26" i="20"/>
  <c r="J25" i="20"/>
  <c r="I25" i="20"/>
  <c r="H25" i="20"/>
  <c r="G25" i="20"/>
  <c r="F25" i="20"/>
  <c r="E25" i="20"/>
  <c r="J24" i="20"/>
  <c r="I24" i="20"/>
  <c r="H24" i="20"/>
  <c r="G24" i="20"/>
  <c r="F24" i="20"/>
  <c r="E24" i="20"/>
  <c r="J23" i="20"/>
  <c r="I23" i="20"/>
  <c r="H23" i="20"/>
  <c r="G23" i="20"/>
  <c r="F23" i="20"/>
  <c r="E23" i="20"/>
  <c r="J22" i="20"/>
  <c r="I22" i="20"/>
  <c r="H22" i="20"/>
  <c r="G22" i="20"/>
  <c r="F22" i="20"/>
  <c r="E22" i="20"/>
  <c r="J21" i="20"/>
  <c r="I21" i="20"/>
  <c r="H21" i="20"/>
  <c r="G21" i="20"/>
  <c r="F21" i="20"/>
  <c r="E21" i="20"/>
  <c r="J20" i="20"/>
  <c r="I20" i="20"/>
  <c r="H20" i="20"/>
  <c r="G20" i="20"/>
  <c r="F20" i="20"/>
  <c r="E20" i="20"/>
  <c r="K25" i="20" l="1"/>
  <c r="O25" i="20" s="1"/>
  <c r="K23" i="20"/>
  <c r="O23" i="20" s="1"/>
  <c r="K27" i="20"/>
  <c r="O27" i="20" s="1"/>
  <c r="K33" i="20"/>
  <c r="O33" i="20" s="1"/>
  <c r="G34" i="20"/>
  <c r="K29" i="20"/>
  <c r="O29" i="20" s="1"/>
  <c r="I34" i="20"/>
  <c r="K32" i="20"/>
  <c r="O32" i="20" s="1"/>
  <c r="H34" i="20"/>
  <c r="K21" i="20"/>
  <c r="O21" i="20" s="1"/>
  <c r="J34" i="20"/>
  <c r="K30" i="20"/>
  <c r="O30" i="20" s="1"/>
  <c r="K28" i="20"/>
  <c r="O28" i="20" s="1"/>
  <c r="K26" i="20"/>
  <c r="O26" i="20" s="1"/>
  <c r="K24" i="20"/>
  <c r="O24" i="20" s="1"/>
  <c r="F34" i="20"/>
  <c r="K31" i="20"/>
  <c r="O31" i="20" s="1"/>
  <c r="K22" i="20"/>
  <c r="O22" i="20" s="1"/>
  <c r="E34" i="20"/>
  <c r="K20" i="20"/>
  <c r="O20" i="20" s="1"/>
  <c r="K34" i="20" l="1"/>
  <c r="O34" i="20" s="1"/>
  <c r="L49" i="20" l="1"/>
  <c r="F40" i="1"/>
  <c r="F35" i="1"/>
  <c r="F25" i="1"/>
  <c r="F18" i="1"/>
  <c r="F9" i="1"/>
  <c r="F32" i="1"/>
  <c r="F14" i="1"/>
  <c r="D25" i="20" l="1"/>
  <c r="D29" i="20"/>
  <c r="D23" i="20"/>
  <c r="D27" i="20"/>
  <c r="D28" i="20"/>
  <c r="D31" i="20"/>
  <c r="D18" i="20"/>
  <c r="D15" i="20"/>
  <c r="D11" i="20"/>
  <c r="D9" i="20"/>
  <c r="D7" i="20"/>
  <c r="D6" i="20"/>
  <c r="D5" i="20"/>
  <c r="A215" i="22"/>
  <c r="A216" i="22"/>
  <c r="A217" i="22"/>
  <c r="A218" i="22"/>
  <c r="A219" i="22"/>
  <c r="A220" i="22"/>
  <c r="A221" i="22"/>
  <c r="A222" i="22"/>
  <c r="A223" i="22"/>
  <c r="A224" i="22"/>
  <c r="A225" i="22"/>
  <c r="A226" i="22"/>
  <c r="A227" i="22"/>
  <c r="A228" i="22"/>
  <c r="A229" i="22"/>
  <c r="A230" i="22"/>
  <c r="A231" i="22"/>
  <c r="A232" i="22"/>
  <c r="A233" i="22"/>
  <c r="A234" i="22"/>
  <c r="A235" i="22"/>
  <c r="A236" i="22"/>
  <c r="A237" i="22"/>
  <c r="A238" i="22"/>
  <c r="A239" i="22"/>
  <c r="A240" i="22"/>
  <c r="A241" i="22"/>
  <c r="A242" i="22"/>
  <c r="A243" i="22"/>
  <c r="A244" i="22"/>
  <c r="A245" i="22"/>
  <c r="A246" i="22"/>
  <c r="A247" i="22"/>
  <c r="A248" i="22"/>
  <c r="A249" i="22"/>
  <c r="A250" i="22"/>
  <c r="A251" i="22"/>
  <c r="A252" i="22"/>
  <c r="A253" i="22"/>
  <c r="A254" i="22"/>
  <c r="A255" i="22"/>
  <c r="A256" i="22"/>
  <c r="A257" i="22"/>
  <c r="A258" i="22"/>
  <c r="A259" i="22"/>
  <c r="A260" i="22"/>
  <c r="A261" i="22"/>
  <c r="A262" i="22"/>
  <c r="A263" i="22"/>
  <c r="A264" i="22"/>
  <c r="A265" i="22"/>
  <c r="A266" i="22"/>
  <c r="A267" i="22"/>
  <c r="A268" i="22"/>
  <c r="A269" i="22"/>
  <c r="A270" i="22"/>
  <c r="A271" i="22"/>
  <c r="A272" i="22"/>
  <c r="A273" i="22"/>
  <c r="A274" i="22"/>
  <c r="A275" i="22"/>
  <c r="A276" i="22"/>
  <c r="A277" i="22"/>
  <c r="A278" i="22"/>
  <c r="A279" i="22"/>
  <c r="A280" i="22"/>
  <c r="A281" i="22"/>
  <c r="A282" i="22"/>
  <c r="A283" i="22"/>
  <c r="A284" i="22"/>
  <c r="A285" i="22"/>
  <c r="A286" i="22"/>
  <c r="A287" i="22"/>
  <c r="A288" i="22"/>
  <c r="A289" i="22"/>
  <c r="A290" i="22"/>
  <c r="A291" i="22"/>
  <c r="A292" i="22"/>
  <c r="A293" i="22"/>
  <c r="A294" i="22"/>
  <c r="A295" i="22"/>
  <c r="A296" i="22"/>
  <c r="A297" i="22"/>
  <c r="A298" i="22"/>
  <c r="A299" i="22"/>
  <c r="A300" i="22"/>
  <c r="A301" i="22"/>
  <c r="A302" i="22"/>
  <c r="A303" i="22"/>
  <c r="A304" i="22"/>
  <c r="A204" i="22"/>
  <c r="A205" i="22"/>
  <c r="A206" i="22"/>
  <c r="A207" i="22"/>
  <c r="A208" i="22"/>
  <c r="A209" i="22"/>
  <c r="A210" i="22"/>
  <c r="A211" i="22"/>
  <c r="A212" i="22"/>
  <c r="A213" i="22"/>
  <c r="A214" i="22"/>
  <c r="A191" i="22"/>
  <c r="A192" i="22"/>
  <c r="A193" i="22"/>
  <c r="A194" i="22"/>
  <c r="A195" i="22"/>
  <c r="A196" i="22"/>
  <c r="A197" i="22"/>
  <c r="A198" i="22"/>
  <c r="A199" i="22"/>
  <c r="A200" i="22"/>
  <c r="A201" i="22"/>
  <c r="A202" i="22"/>
  <c r="A203" i="22"/>
  <c r="A146" i="22"/>
  <c r="A147" i="22"/>
  <c r="A148" i="22"/>
  <c r="A149" i="22"/>
  <c r="A150" i="22"/>
  <c r="A151" i="22"/>
  <c r="A152" i="22"/>
  <c r="A153" i="22"/>
  <c r="A154" i="22"/>
  <c r="A155" i="22"/>
  <c r="A156" i="22"/>
  <c r="A157" i="22"/>
  <c r="A158" i="22"/>
  <c r="A159" i="22"/>
  <c r="A160" i="22"/>
  <c r="A161" i="22"/>
  <c r="A162" i="22"/>
  <c r="A163" i="22"/>
  <c r="A164" i="22"/>
  <c r="A165" i="22"/>
  <c r="A166" i="22"/>
  <c r="A167" i="22"/>
  <c r="A168" i="22"/>
  <c r="A169" i="22"/>
  <c r="A170" i="22"/>
  <c r="A171" i="22"/>
  <c r="A172" i="22"/>
  <c r="A173" i="22"/>
  <c r="A174" i="22"/>
  <c r="A175" i="22"/>
  <c r="A176" i="22"/>
  <c r="A177" i="22"/>
  <c r="A178" i="22"/>
  <c r="A179" i="22"/>
  <c r="A180" i="22"/>
  <c r="A181" i="22"/>
  <c r="A182" i="22"/>
  <c r="A183" i="22"/>
  <c r="A184" i="22"/>
  <c r="A185" i="22"/>
  <c r="A186" i="22"/>
  <c r="A187" i="22"/>
  <c r="A188" i="22"/>
  <c r="A189" i="22"/>
  <c r="A190" i="22"/>
  <c r="A135" i="22"/>
  <c r="A136" i="22"/>
  <c r="A137" i="22"/>
  <c r="A138" i="22"/>
  <c r="A139" i="22"/>
  <c r="A140" i="22"/>
  <c r="A141" i="22"/>
  <c r="A142" i="22"/>
  <c r="A143" i="22"/>
  <c r="A144" i="22"/>
  <c r="A145" i="22"/>
  <c r="A124" i="22"/>
  <c r="A125" i="22"/>
  <c r="A126" i="22"/>
  <c r="A127" i="22"/>
  <c r="A128" i="22"/>
  <c r="A129" i="22"/>
  <c r="A130" i="22"/>
  <c r="A131" i="22"/>
  <c r="A132" i="22"/>
  <c r="A133" i="22"/>
  <c r="A134" i="22"/>
  <c r="A117" i="22"/>
  <c r="A118" i="22"/>
  <c r="A119" i="22"/>
  <c r="A120" i="22"/>
  <c r="A121" i="22"/>
  <c r="A122" i="22"/>
  <c r="A123" i="22"/>
  <c r="A113" i="22"/>
  <c r="A114" i="22"/>
  <c r="A115" i="22"/>
  <c r="A116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B84" i="22"/>
  <c r="B4" i="22"/>
  <c r="C4" i="22"/>
  <c r="B5" i="22"/>
  <c r="C5" i="22"/>
  <c r="B6" i="22"/>
  <c r="C6" i="22"/>
  <c r="B7" i="22"/>
  <c r="C7" i="22"/>
  <c r="B8" i="22"/>
  <c r="C8" i="22"/>
  <c r="B9" i="22"/>
  <c r="C9" i="22"/>
  <c r="B10" i="22"/>
  <c r="C10" i="22"/>
  <c r="B11" i="22"/>
  <c r="C11" i="22"/>
  <c r="B12" i="22"/>
  <c r="C12" i="22"/>
  <c r="B13" i="22"/>
  <c r="C13" i="22"/>
  <c r="B14" i="22"/>
  <c r="C14" i="22"/>
  <c r="B15" i="22"/>
  <c r="C15" i="22"/>
  <c r="B16" i="22"/>
  <c r="C16" i="22"/>
  <c r="B17" i="22"/>
  <c r="C17" i="22"/>
  <c r="B18" i="22"/>
  <c r="C18" i="22"/>
  <c r="B19" i="22"/>
  <c r="C19" i="22"/>
  <c r="B20" i="22"/>
  <c r="C20" i="22"/>
  <c r="B21" i="22"/>
  <c r="C21" i="22"/>
  <c r="B22" i="22"/>
  <c r="C22" i="22"/>
  <c r="B23" i="22"/>
  <c r="C23" i="22"/>
  <c r="B24" i="22"/>
  <c r="C24" i="22"/>
  <c r="B25" i="22"/>
  <c r="C25" i="22"/>
  <c r="B26" i="22"/>
  <c r="C26" i="22"/>
  <c r="B27" i="22"/>
  <c r="C27" i="22"/>
  <c r="B28" i="22"/>
  <c r="C28" i="22"/>
  <c r="B29" i="22"/>
  <c r="C29" i="22"/>
  <c r="B30" i="22"/>
  <c r="C30" i="22"/>
  <c r="B31" i="22"/>
  <c r="C31" i="22"/>
  <c r="B32" i="22"/>
  <c r="C32" i="22"/>
  <c r="B33" i="22"/>
  <c r="C33" i="22"/>
  <c r="B34" i="22"/>
  <c r="C34" i="22"/>
  <c r="B35" i="22"/>
  <c r="C35" i="22"/>
  <c r="B36" i="22"/>
  <c r="C36" i="22"/>
  <c r="B37" i="22"/>
  <c r="C37" i="22"/>
  <c r="B38" i="22"/>
  <c r="C38" i="22"/>
  <c r="B39" i="22"/>
  <c r="C39" i="22"/>
  <c r="B40" i="22"/>
  <c r="C40" i="22"/>
  <c r="B41" i="22"/>
  <c r="C41" i="22"/>
  <c r="B42" i="22"/>
  <c r="C42" i="22"/>
  <c r="B43" i="22"/>
  <c r="C43" i="22"/>
  <c r="B44" i="22"/>
  <c r="C44" i="22"/>
  <c r="B45" i="22"/>
  <c r="C45" i="22"/>
  <c r="B46" i="22"/>
  <c r="C46" i="22"/>
  <c r="B47" i="22"/>
  <c r="C47" i="22"/>
  <c r="B48" i="22"/>
  <c r="C48" i="22"/>
  <c r="B49" i="22"/>
  <c r="C49" i="22"/>
  <c r="B50" i="22"/>
  <c r="C50" i="22"/>
  <c r="B51" i="22"/>
  <c r="C51" i="22"/>
  <c r="B52" i="22"/>
  <c r="C52" i="22"/>
  <c r="B53" i="22"/>
  <c r="C53" i="22"/>
  <c r="B54" i="22"/>
  <c r="C54" i="22"/>
  <c r="B55" i="22"/>
  <c r="C55" i="22"/>
  <c r="B56" i="22"/>
  <c r="C56" i="22"/>
  <c r="B57" i="22"/>
  <c r="C57" i="22"/>
  <c r="B58" i="22"/>
  <c r="C58" i="22"/>
  <c r="B59" i="22"/>
  <c r="C59" i="22"/>
  <c r="B60" i="22"/>
  <c r="C60" i="22"/>
  <c r="B61" i="22"/>
  <c r="C61" i="22"/>
  <c r="B62" i="22"/>
  <c r="C62" i="22"/>
  <c r="B63" i="22"/>
  <c r="C63" i="22"/>
  <c r="B64" i="22"/>
  <c r="C64" i="22"/>
  <c r="B65" i="22"/>
  <c r="C65" i="22"/>
  <c r="B66" i="22"/>
  <c r="C66" i="22"/>
  <c r="B67" i="22"/>
  <c r="C67" i="22"/>
  <c r="B68" i="22"/>
  <c r="C68" i="22"/>
  <c r="B69" i="22"/>
  <c r="C69" i="22"/>
  <c r="B70" i="22"/>
  <c r="C70" i="22"/>
  <c r="B71" i="22"/>
  <c r="C71" i="22"/>
  <c r="B72" i="22"/>
  <c r="C72" i="22"/>
  <c r="B73" i="22"/>
  <c r="C73" i="22"/>
  <c r="B74" i="22"/>
  <c r="C74" i="22"/>
  <c r="B75" i="22"/>
  <c r="C75" i="22"/>
  <c r="B76" i="22"/>
  <c r="C76" i="22"/>
  <c r="B77" i="22"/>
  <c r="C77" i="22"/>
  <c r="B78" i="22"/>
  <c r="C78" i="22"/>
  <c r="B79" i="22"/>
  <c r="C79" i="22"/>
  <c r="B80" i="22"/>
  <c r="C80" i="22"/>
  <c r="B81" i="22"/>
  <c r="C81" i="22"/>
  <c r="B82" i="22"/>
  <c r="C82" i="22"/>
  <c r="B83" i="22"/>
  <c r="C83" i="22"/>
  <c r="C84" i="22"/>
  <c r="B85" i="22"/>
  <c r="C85" i="22"/>
  <c r="B86" i="22"/>
  <c r="C86" i="22"/>
  <c r="B87" i="22"/>
  <c r="C87" i="22"/>
  <c r="B88" i="22"/>
  <c r="C88" i="22"/>
  <c r="B89" i="22"/>
  <c r="C89" i="22"/>
  <c r="B90" i="22"/>
  <c r="C90" i="22"/>
  <c r="B91" i="22"/>
  <c r="C91" i="22"/>
  <c r="B92" i="22"/>
  <c r="C92" i="22"/>
  <c r="B93" i="22"/>
  <c r="C93" i="22"/>
  <c r="B94" i="22"/>
  <c r="C94" i="22"/>
  <c r="B95" i="22"/>
  <c r="C95" i="22"/>
  <c r="B96" i="22"/>
  <c r="C96" i="22"/>
  <c r="B97" i="22"/>
  <c r="C97" i="22"/>
  <c r="B98" i="22"/>
  <c r="C98" i="22"/>
  <c r="B99" i="22"/>
  <c r="C99" i="22"/>
  <c r="B100" i="22"/>
  <c r="C100" i="22"/>
  <c r="B101" i="22"/>
  <c r="C101" i="22"/>
  <c r="B102" i="22"/>
  <c r="C102" i="22"/>
  <c r="B103" i="22"/>
  <c r="C103" i="22"/>
  <c r="B104" i="22"/>
  <c r="C104" i="22"/>
  <c r="B105" i="22"/>
  <c r="C105" i="22"/>
  <c r="B106" i="22"/>
  <c r="C106" i="22"/>
  <c r="B107" i="22"/>
  <c r="C107" i="22"/>
  <c r="B108" i="22"/>
  <c r="C108" i="22"/>
  <c r="B109" i="22"/>
  <c r="C109" i="22"/>
  <c r="B110" i="22"/>
  <c r="C110" i="22"/>
  <c r="B111" i="22"/>
  <c r="C111" i="22"/>
  <c r="B112" i="22"/>
  <c r="C112" i="22"/>
  <c r="B113" i="22"/>
  <c r="C113" i="22"/>
  <c r="B114" i="22"/>
  <c r="C114" i="22"/>
  <c r="B115" i="22"/>
  <c r="C115" i="22"/>
  <c r="B116" i="22"/>
  <c r="C116" i="22"/>
  <c r="B117" i="22"/>
  <c r="C117" i="22"/>
  <c r="B118" i="22"/>
  <c r="C118" i="22"/>
  <c r="B119" i="22"/>
  <c r="C119" i="22"/>
  <c r="B120" i="22"/>
  <c r="C120" i="22"/>
  <c r="B121" i="22"/>
  <c r="C121" i="22"/>
  <c r="B122" i="22"/>
  <c r="C122" i="22"/>
  <c r="B123" i="22"/>
  <c r="C123" i="22"/>
  <c r="B124" i="22"/>
  <c r="C124" i="22"/>
  <c r="B125" i="22"/>
  <c r="C125" i="22"/>
  <c r="B126" i="22"/>
  <c r="C126" i="22"/>
  <c r="B127" i="22"/>
  <c r="C127" i="22"/>
  <c r="B128" i="22"/>
  <c r="C128" i="22"/>
  <c r="B129" i="22"/>
  <c r="C129" i="22"/>
  <c r="B130" i="22"/>
  <c r="C130" i="22"/>
  <c r="B131" i="22"/>
  <c r="C131" i="22"/>
  <c r="B132" i="22"/>
  <c r="C132" i="22"/>
  <c r="B133" i="22"/>
  <c r="C133" i="22"/>
  <c r="B134" i="22"/>
  <c r="C134" i="22"/>
  <c r="B135" i="22"/>
  <c r="C135" i="22"/>
  <c r="B136" i="22"/>
  <c r="C136" i="22"/>
  <c r="B137" i="22"/>
  <c r="C137" i="22"/>
  <c r="B138" i="22"/>
  <c r="C138" i="22"/>
  <c r="B139" i="22"/>
  <c r="C139" i="22"/>
  <c r="B140" i="22"/>
  <c r="C140" i="22"/>
  <c r="B141" i="22"/>
  <c r="C141" i="22"/>
  <c r="B142" i="22"/>
  <c r="C142" i="22"/>
  <c r="B143" i="22"/>
  <c r="C143" i="22"/>
  <c r="B144" i="22"/>
  <c r="C144" i="22"/>
  <c r="B145" i="22"/>
  <c r="C145" i="22"/>
  <c r="B146" i="22"/>
  <c r="C146" i="22"/>
  <c r="B147" i="22"/>
  <c r="C147" i="22"/>
  <c r="B148" i="22"/>
  <c r="C148" i="22"/>
  <c r="B149" i="22"/>
  <c r="C149" i="22"/>
  <c r="B150" i="22"/>
  <c r="C150" i="22"/>
  <c r="B151" i="22"/>
  <c r="C151" i="22"/>
  <c r="B152" i="22"/>
  <c r="C152" i="22"/>
  <c r="B153" i="22"/>
  <c r="C153" i="22"/>
  <c r="B154" i="22"/>
  <c r="C154" i="22"/>
  <c r="B155" i="22"/>
  <c r="C155" i="22"/>
  <c r="B156" i="22"/>
  <c r="C156" i="22"/>
  <c r="B157" i="22"/>
  <c r="C157" i="22"/>
  <c r="B158" i="22"/>
  <c r="C158" i="22"/>
  <c r="B159" i="22"/>
  <c r="C159" i="22"/>
  <c r="B160" i="22"/>
  <c r="C160" i="22"/>
  <c r="B161" i="22"/>
  <c r="C161" i="22"/>
  <c r="B162" i="22"/>
  <c r="C162" i="22"/>
  <c r="B163" i="22"/>
  <c r="C163" i="22"/>
  <c r="B164" i="22"/>
  <c r="C164" i="22"/>
  <c r="B165" i="22"/>
  <c r="C165" i="22"/>
  <c r="B166" i="22"/>
  <c r="C166" i="22"/>
  <c r="B167" i="22"/>
  <c r="C167" i="22"/>
  <c r="B168" i="22"/>
  <c r="C168" i="22"/>
  <c r="B169" i="22"/>
  <c r="C169" i="22"/>
  <c r="B170" i="22"/>
  <c r="C170" i="22"/>
  <c r="B171" i="22"/>
  <c r="C171" i="22"/>
  <c r="B172" i="22"/>
  <c r="C172" i="22"/>
  <c r="B173" i="22"/>
  <c r="C173" i="22"/>
  <c r="B174" i="22"/>
  <c r="C174" i="22"/>
  <c r="B175" i="22"/>
  <c r="C175" i="22"/>
  <c r="B176" i="22"/>
  <c r="C176" i="22"/>
  <c r="B177" i="22"/>
  <c r="C177" i="22"/>
  <c r="B178" i="22"/>
  <c r="C178" i="22"/>
  <c r="B179" i="22"/>
  <c r="C179" i="22"/>
  <c r="B180" i="22"/>
  <c r="C180" i="22"/>
  <c r="B181" i="22"/>
  <c r="C181" i="22"/>
  <c r="B182" i="22"/>
  <c r="C182" i="22"/>
  <c r="B183" i="22"/>
  <c r="C183" i="22"/>
  <c r="B184" i="22"/>
  <c r="C184" i="22"/>
  <c r="B185" i="22"/>
  <c r="C185" i="22"/>
  <c r="B186" i="22"/>
  <c r="C186" i="22"/>
  <c r="B187" i="22"/>
  <c r="C187" i="22"/>
  <c r="B188" i="22"/>
  <c r="C188" i="22"/>
  <c r="B189" i="22"/>
  <c r="C189" i="22"/>
  <c r="B190" i="22"/>
  <c r="C190" i="22"/>
  <c r="B191" i="22"/>
  <c r="C191" i="22"/>
  <c r="B192" i="22"/>
  <c r="C192" i="22"/>
  <c r="B193" i="22"/>
  <c r="C193" i="22"/>
  <c r="B194" i="22"/>
  <c r="C194" i="22"/>
  <c r="B195" i="22"/>
  <c r="C195" i="22"/>
  <c r="B196" i="22"/>
  <c r="C196" i="22"/>
  <c r="B197" i="22"/>
  <c r="C197" i="22"/>
  <c r="B198" i="22"/>
  <c r="C198" i="22"/>
  <c r="B199" i="22"/>
  <c r="C199" i="22"/>
  <c r="B200" i="22"/>
  <c r="C200" i="22"/>
  <c r="B201" i="22"/>
  <c r="C201" i="22"/>
  <c r="B202" i="22"/>
  <c r="C202" i="22"/>
  <c r="B203" i="22"/>
  <c r="C203" i="22"/>
  <c r="B204" i="22"/>
  <c r="C204" i="22"/>
  <c r="B205" i="22"/>
  <c r="C205" i="22"/>
  <c r="B206" i="22"/>
  <c r="C206" i="22"/>
  <c r="B207" i="22"/>
  <c r="C207" i="22"/>
  <c r="B208" i="22"/>
  <c r="C208" i="22"/>
  <c r="B209" i="22"/>
  <c r="C209" i="22"/>
  <c r="B210" i="22"/>
  <c r="C210" i="22"/>
  <c r="B211" i="22"/>
  <c r="C211" i="22"/>
  <c r="B212" i="22"/>
  <c r="C212" i="22"/>
  <c r="B213" i="22"/>
  <c r="C213" i="22"/>
  <c r="B214" i="22"/>
  <c r="C214" i="22"/>
  <c r="B215" i="22"/>
  <c r="C215" i="22"/>
  <c r="B216" i="22"/>
  <c r="C216" i="22"/>
  <c r="B217" i="22"/>
  <c r="C217" i="22"/>
  <c r="B218" i="22"/>
  <c r="C218" i="22"/>
  <c r="B219" i="22"/>
  <c r="C219" i="22"/>
  <c r="B220" i="22"/>
  <c r="C220" i="22"/>
  <c r="B221" i="22"/>
  <c r="C221" i="22"/>
  <c r="B222" i="22"/>
  <c r="C222" i="22"/>
  <c r="B223" i="22"/>
  <c r="C223" i="22"/>
  <c r="B224" i="22"/>
  <c r="C224" i="22"/>
  <c r="C3" i="22"/>
  <c r="B3" i="22"/>
  <c r="A3" i="22"/>
  <c r="N1" i="22"/>
  <c r="D34" i="20" l="1"/>
  <c r="D49" i="20"/>
  <c r="J15" i="20"/>
  <c r="E15" i="20"/>
  <c r="F15" i="20"/>
  <c r="G15" i="20"/>
  <c r="H15" i="20"/>
  <c r="I15" i="20"/>
  <c r="J13" i="20"/>
  <c r="I16" i="20"/>
  <c r="J5" i="20"/>
  <c r="E6" i="20"/>
  <c r="I8" i="20"/>
  <c r="G11" i="20"/>
  <c r="E14" i="20"/>
  <c r="I17" i="20"/>
  <c r="F11" i="20"/>
  <c r="F6" i="20"/>
  <c r="J8" i="20"/>
  <c r="H11" i="20"/>
  <c r="F14" i="20"/>
  <c r="J17" i="20"/>
  <c r="G6" i="20"/>
  <c r="E9" i="20"/>
  <c r="I11" i="20"/>
  <c r="G14" i="20"/>
  <c r="H16" i="20"/>
  <c r="H8" i="20"/>
  <c r="H6" i="20"/>
  <c r="F9" i="20"/>
  <c r="J11" i="20"/>
  <c r="H14" i="20"/>
  <c r="I6" i="20"/>
  <c r="G9" i="20"/>
  <c r="E12" i="20"/>
  <c r="I14" i="20"/>
  <c r="F17" i="20"/>
  <c r="J16" i="20"/>
  <c r="J6" i="20"/>
  <c r="H9" i="20"/>
  <c r="F12" i="20"/>
  <c r="J14" i="20"/>
  <c r="E17" i="20"/>
  <c r="E7" i="20"/>
  <c r="I9" i="20"/>
  <c r="G12" i="20"/>
  <c r="E18" i="20"/>
  <c r="F7" i="20"/>
  <c r="J9" i="20"/>
  <c r="H12" i="20"/>
  <c r="F18" i="20"/>
  <c r="G7" i="20"/>
  <c r="E10" i="20"/>
  <c r="I12" i="20"/>
  <c r="G18" i="20"/>
  <c r="G17" i="20"/>
  <c r="H7" i="20"/>
  <c r="F10" i="20"/>
  <c r="J12" i="20"/>
  <c r="H18" i="20"/>
  <c r="E5" i="20"/>
  <c r="I7" i="20"/>
  <c r="G10" i="20"/>
  <c r="E13" i="20"/>
  <c r="I18" i="20"/>
  <c r="F5" i="20"/>
  <c r="J7" i="20"/>
  <c r="H10" i="20"/>
  <c r="F13" i="20"/>
  <c r="J18" i="20"/>
  <c r="G5" i="20"/>
  <c r="E8" i="20"/>
  <c r="I10" i="20"/>
  <c r="G13" i="20"/>
  <c r="F16" i="20"/>
  <c r="H5" i="20"/>
  <c r="F8" i="20"/>
  <c r="J10" i="20"/>
  <c r="H13" i="20"/>
  <c r="G16" i="20"/>
  <c r="I5" i="20"/>
  <c r="G8" i="20"/>
  <c r="E11" i="20"/>
  <c r="I13" i="20"/>
  <c r="H17" i="20"/>
  <c r="E16" i="20"/>
  <c r="E35" i="1"/>
  <c r="D16" i="20" s="1"/>
  <c r="E40" i="1"/>
  <c r="E32" i="1"/>
  <c r="D14" i="20" s="1"/>
  <c r="E25" i="1"/>
  <c r="D13" i="20" s="1"/>
  <c r="E18" i="1"/>
  <c r="D12" i="20" s="1"/>
  <c r="E14" i="1"/>
  <c r="D10" i="20" s="1"/>
  <c r="E9" i="1"/>
  <c r="D8" i="20" s="1"/>
  <c r="B37" i="14"/>
  <c r="R18" i="6"/>
  <c r="Q18" i="6"/>
  <c r="G18" i="6"/>
  <c r="F18" i="6"/>
  <c r="F19" i="6" s="1"/>
  <c r="N78" i="5"/>
  <c r="M78" i="5"/>
  <c r="L78" i="5"/>
  <c r="K78" i="5"/>
  <c r="J78" i="5"/>
  <c r="I78" i="5"/>
  <c r="H78" i="5"/>
  <c r="G78" i="5"/>
  <c r="F78" i="5"/>
  <c r="E78" i="5"/>
  <c r="D78" i="5"/>
  <c r="C78" i="5"/>
  <c r="N75" i="5"/>
  <c r="M75" i="5"/>
  <c r="L75" i="5"/>
  <c r="K75" i="5"/>
  <c r="J75" i="5"/>
  <c r="I75" i="5"/>
  <c r="H75" i="5"/>
  <c r="G75" i="5"/>
  <c r="F75" i="5"/>
  <c r="E75" i="5"/>
  <c r="D75" i="5"/>
  <c r="C75" i="5"/>
  <c r="N81" i="5"/>
  <c r="M81" i="5"/>
  <c r="L81" i="5"/>
  <c r="K81" i="5"/>
  <c r="J81" i="5"/>
  <c r="I81" i="5"/>
  <c r="H81" i="5"/>
  <c r="G81" i="5"/>
  <c r="F81" i="5"/>
  <c r="E81" i="5"/>
  <c r="D81" i="5"/>
  <c r="C81" i="5"/>
  <c r="N43" i="5"/>
  <c r="M43" i="5"/>
  <c r="L43" i="5"/>
  <c r="K43" i="5"/>
  <c r="J43" i="5"/>
  <c r="I43" i="5"/>
  <c r="H43" i="5"/>
  <c r="G43" i="5"/>
  <c r="F43" i="5"/>
  <c r="E43" i="5"/>
  <c r="D43" i="5"/>
  <c r="C43" i="5"/>
  <c r="N37" i="5"/>
  <c r="M37" i="5"/>
  <c r="L37" i="5"/>
  <c r="K37" i="5"/>
  <c r="J37" i="5"/>
  <c r="I37" i="5"/>
  <c r="H37" i="5"/>
  <c r="G37" i="5"/>
  <c r="F37" i="5"/>
  <c r="E37" i="5"/>
  <c r="D37" i="5"/>
  <c r="C37" i="5"/>
  <c r="N40" i="5"/>
  <c r="M40" i="5"/>
  <c r="L40" i="5"/>
  <c r="K40" i="5"/>
  <c r="J40" i="5"/>
  <c r="I40" i="5"/>
  <c r="H40" i="5"/>
  <c r="G40" i="5"/>
  <c r="F40" i="5"/>
  <c r="E40" i="5"/>
  <c r="D40" i="5"/>
  <c r="C40" i="5"/>
  <c r="K11" i="20" l="1"/>
  <c r="O11" i="20" s="1"/>
  <c r="K15" i="20"/>
  <c r="O15" i="20" s="1"/>
  <c r="G19" i="20"/>
  <c r="D19" i="20"/>
  <c r="I19" i="20"/>
  <c r="J19" i="20"/>
  <c r="F19" i="20"/>
  <c r="K5" i="20"/>
  <c r="O5" i="20" s="1"/>
  <c r="K8" i="20"/>
  <c r="O8" i="20" s="1"/>
  <c r="K9" i="20"/>
  <c r="O9" i="20" s="1"/>
  <c r="H19" i="20"/>
  <c r="K12" i="20"/>
  <c r="O12" i="20" s="1"/>
  <c r="K16" i="20"/>
  <c r="O16" i="20" s="1"/>
  <c r="K13" i="20"/>
  <c r="O13" i="20" s="1"/>
  <c r="K10" i="20"/>
  <c r="O10" i="20" s="1"/>
  <c r="K18" i="20"/>
  <c r="O18" i="20" s="1"/>
  <c r="K14" i="20"/>
  <c r="O14" i="20" s="1"/>
  <c r="K7" i="20"/>
  <c r="O7" i="20" s="1"/>
  <c r="K6" i="20"/>
  <c r="O6" i="20" s="1"/>
  <c r="K17" i="20"/>
  <c r="O17" i="20" s="1"/>
  <c r="E19" i="20"/>
  <c r="S56" i="1"/>
  <c r="S54" i="1"/>
  <c r="R56" i="1"/>
  <c r="R54" i="1"/>
  <c r="Q56" i="1"/>
  <c r="Q54" i="1"/>
  <c r="F77" i="1"/>
  <c r="G77" i="1"/>
  <c r="H77" i="1"/>
  <c r="I77" i="1"/>
  <c r="J77" i="1"/>
  <c r="K77" i="1"/>
  <c r="L77" i="1"/>
  <c r="M77" i="1"/>
  <c r="N77" i="1"/>
  <c r="O77" i="1"/>
  <c r="P77" i="1"/>
  <c r="Q77" i="1"/>
  <c r="T77" i="1"/>
  <c r="F78" i="1"/>
  <c r="G78" i="1"/>
  <c r="H78" i="1"/>
  <c r="I78" i="1"/>
  <c r="J78" i="1"/>
  <c r="K78" i="1"/>
  <c r="L78" i="1"/>
  <c r="M78" i="1"/>
  <c r="N78" i="1"/>
  <c r="O78" i="1"/>
  <c r="P78" i="1"/>
  <c r="Q78" i="1"/>
  <c r="T78" i="1"/>
  <c r="E77" i="1"/>
  <c r="E78" i="1"/>
  <c r="F76" i="1"/>
  <c r="G76" i="1"/>
  <c r="H76" i="1"/>
  <c r="I76" i="1"/>
  <c r="J76" i="1"/>
  <c r="K76" i="1"/>
  <c r="L76" i="1"/>
  <c r="M76" i="1"/>
  <c r="N76" i="1"/>
  <c r="O76" i="1"/>
  <c r="P76" i="1"/>
  <c r="Q76" i="1"/>
  <c r="T76" i="1"/>
  <c r="E76" i="1"/>
  <c r="C64" i="14" s="1"/>
  <c r="R75" i="1"/>
  <c r="D16" i="14" s="1"/>
  <c r="J16" i="14" s="1"/>
  <c r="R74" i="1"/>
  <c r="R78" i="1" s="1"/>
  <c r="R73" i="1"/>
  <c r="R72" i="1"/>
  <c r="D14" i="14" s="1"/>
  <c r="R71" i="1"/>
  <c r="D13" i="14" s="1"/>
  <c r="R70" i="1"/>
  <c r="D12" i="14" s="1"/>
  <c r="R69" i="1"/>
  <c r="R68" i="1"/>
  <c r="D10" i="14" s="1"/>
  <c r="R67" i="1"/>
  <c r="R66" i="1"/>
  <c r="D8" i="14" s="1"/>
  <c r="R65" i="1"/>
  <c r="D7" i="14" s="1"/>
  <c r="J7" i="14" s="1"/>
  <c r="R64" i="1"/>
  <c r="D6" i="14" s="1"/>
  <c r="R63" i="1"/>
  <c r="D5" i="14" s="1"/>
  <c r="T48" i="1"/>
  <c r="S48" i="1"/>
  <c r="T47" i="1"/>
  <c r="T46" i="1"/>
  <c r="T45" i="1"/>
  <c r="T44" i="1"/>
  <c r="S44" i="1"/>
  <c r="T43" i="1"/>
  <c r="T42" i="1"/>
  <c r="T41" i="1"/>
  <c r="T39" i="1"/>
  <c r="T38" i="1"/>
  <c r="T37" i="1"/>
  <c r="T36" i="1"/>
  <c r="T34" i="1"/>
  <c r="T33" i="1"/>
  <c r="T31" i="1"/>
  <c r="T30" i="1"/>
  <c r="T29" i="1"/>
  <c r="T28" i="1"/>
  <c r="T27" i="1"/>
  <c r="T26" i="1"/>
  <c r="T24" i="1"/>
  <c r="T23" i="1"/>
  <c r="T22" i="1"/>
  <c r="T21" i="1"/>
  <c r="T20" i="1"/>
  <c r="T19" i="1"/>
  <c r="T16" i="1"/>
  <c r="T15" i="1"/>
  <c r="T12" i="1"/>
  <c r="T11" i="1"/>
  <c r="T10" i="1"/>
  <c r="Q48" i="1"/>
  <c r="Q47" i="1"/>
  <c r="Q46" i="1"/>
  <c r="Q45" i="1"/>
  <c r="Q44" i="1"/>
  <c r="Q43" i="1"/>
  <c r="Q42" i="1"/>
  <c r="Q41" i="1"/>
  <c r="Q40" i="1"/>
  <c r="Q51" i="1" s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AU41" i="1"/>
  <c r="S41" i="1" s="1"/>
  <c r="P51" i="1"/>
  <c r="O51" i="1"/>
  <c r="N51" i="1"/>
  <c r="M51" i="1"/>
  <c r="L51" i="1"/>
  <c r="K51" i="1"/>
  <c r="J51" i="1"/>
  <c r="I51" i="1"/>
  <c r="H51" i="1"/>
  <c r="G51" i="1"/>
  <c r="F51" i="1"/>
  <c r="E51" i="1"/>
  <c r="P50" i="1"/>
  <c r="O50" i="1"/>
  <c r="N50" i="1"/>
  <c r="M50" i="1"/>
  <c r="L50" i="1"/>
  <c r="K50" i="1"/>
  <c r="J50" i="1"/>
  <c r="I50" i="1"/>
  <c r="H50" i="1"/>
  <c r="G50" i="1"/>
  <c r="F50" i="1"/>
  <c r="E50" i="1"/>
  <c r="P49" i="1"/>
  <c r="O49" i="1"/>
  <c r="N49" i="1"/>
  <c r="N57" i="1" s="1"/>
  <c r="M49" i="1"/>
  <c r="M57" i="1" s="1"/>
  <c r="L49" i="1"/>
  <c r="L57" i="1" s="1"/>
  <c r="K49" i="1"/>
  <c r="K57" i="1" s="1"/>
  <c r="J49" i="1"/>
  <c r="J57" i="1" s="1"/>
  <c r="I49" i="1"/>
  <c r="H49" i="1"/>
  <c r="G49" i="1"/>
  <c r="F49" i="1"/>
  <c r="F57" i="1" s="1"/>
  <c r="E49" i="1"/>
  <c r="E55" i="1" s="1"/>
  <c r="R48" i="1"/>
  <c r="R47" i="1"/>
  <c r="R46" i="1"/>
  <c r="R45" i="1"/>
  <c r="R44" i="1"/>
  <c r="R43" i="1"/>
  <c r="R42" i="1"/>
  <c r="R41" i="1"/>
  <c r="R39" i="1"/>
  <c r="R38" i="1"/>
  <c r="R37" i="1"/>
  <c r="R36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AG40" i="1"/>
  <c r="AG51" i="1" s="1"/>
  <c r="AF40" i="1"/>
  <c r="AF51" i="1" s="1"/>
  <c r="AE40" i="1"/>
  <c r="AD40" i="1"/>
  <c r="AD51" i="1" s="1"/>
  <c r="AC40" i="1"/>
  <c r="AC51" i="1" s="1"/>
  <c r="AB40" i="1"/>
  <c r="AB51" i="1" s="1"/>
  <c r="AA40" i="1"/>
  <c r="AA51" i="1" s="1"/>
  <c r="Z40" i="1"/>
  <c r="Z51" i="1" s="1"/>
  <c r="Y40" i="1"/>
  <c r="Y51" i="1" s="1"/>
  <c r="X40" i="1"/>
  <c r="X51" i="1" s="1"/>
  <c r="W40" i="1"/>
  <c r="W51" i="1" s="1"/>
  <c r="V40" i="1"/>
  <c r="AG35" i="1"/>
  <c r="AF35" i="1"/>
  <c r="AE35" i="1"/>
  <c r="AE50" i="1" s="1"/>
  <c r="AD35" i="1"/>
  <c r="AC35" i="1"/>
  <c r="AC49" i="1" s="1"/>
  <c r="AB35" i="1"/>
  <c r="AB50" i="1" s="1"/>
  <c r="AA35" i="1"/>
  <c r="Z35" i="1"/>
  <c r="Y35" i="1"/>
  <c r="Y50" i="1" s="1"/>
  <c r="X35" i="1"/>
  <c r="W35" i="1"/>
  <c r="V35" i="1"/>
  <c r="V50" i="1" s="1"/>
  <c r="C2361" i="21"/>
  <c r="B2361" i="21"/>
  <c r="A2361" i="21"/>
  <c r="C2360" i="21"/>
  <c r="B2360" i="21"/>
  <c r="A2360" i="21"/>
  <c r="C2359" i="21"/>
  <c r="B2359" i="21"/>
  <c r="A2359" i="21"/>
  <c r="C2358" i="21"/>
  <c r="B2358" i="21"/>
  <c r="A2358" i="21"/>
  <c r="C2357" i="21"/>
  <c r="B2357" i="21"/>
  <c r="A2357" i="21"/>
  <c r="C2356" i="21"/>
  <c r="B2356" i="21"/>
  <c r="A2356" i="21"/>
  <c r="C2355" i="21"/>
  <c r="B2355" i="21"/>
  <c r="A2355" i="21"/>
  <c r="C2354" i="21"/>
  <c r="B2354" i="21"/>
  <c r="A2354" i="21"/>
  <c r="C2353" i="21"/>
  <c r="B2353" i="21"/>
  <c r="A2353" i="21"/>
  <c r="C2352" i="21"/>
  <c r="B2352" i="21"/>
  <c r="A2352" i="21"/>
  <c r="C2351" i="21"/>
  <c r="B2351" i="21"/>
  <c r="A2351" i="21"/>
  <c r="C2350" i="21"/>
  <c r="B2350" i="21"/>
  <c r="A2350" i="21"/>
  <c r="C2349" i="21"/>
  <c r="B2349" i="21"/>
  <c r="A2349" i="21"/>
  <c r="C2348" i="21"/>
  <c r="B2348" i="21"/>
  <c r="A2348" i="21"/>
  <c r="C2347" i="21"/>
  <c r="B2347" i="21"/>
  <c r="A2347" i="21"/>
  <c r="C2346" i="21"/>
  <c r="B2346" i="21"/>
  <c r="A2346" i="21"/>
  <c r="C2345" i="21"/>
  <c r="B2345" i="21"/>
  <c r="A2345" i="21"/>
  <c r="C2344" i="21"/>
  <c r="B2344" i="21"/>
  <c r="A2344" i="21"/>
  <c r="C2343" i="21"/>
  <c r="B2343" i="21"/>
  <c r="A2343" i="21"/>
  <c r="C2342" i="21"/>
  <c r="B2342" i="21"/>
  <c r="A2342" i="21"/>
  <c r="C2341" i="21"/>
  <c r="B2341" i="21"/>
  <c r="A2341" i="21"/>
  <c r="C2340" i="21"/>
  <c r="B2340" i="21"/>
  <c r="A2340" i="21"/>
  <c r="C2339" i="21"/>
  <c r="B2339" i="21"/>
  <c r="A2339" i="21"/>
  <c r="C2338" i="21"/>
  <c r="B2338" i="21"/>
  <c r="A2338" i="21"/>
  <c r="C2337" i="21"/>
  <c r="B2337" i="21"/>
  <c r="A2337" i="21"/>
  <c r="C2336" i="21"/>
  <c r="B2336" i="21"/>
  <c r="A2336" i="21"/>
  <c r="C2335" i="21"/>
  <c r="B2335" i="21"/>
  <c r="A2335" i="21"/>
  <c r="C2334" i="21"/>
  <c r="B2334" i="21"/>
  <c r="A2334" i="21"/>
  <c r="C2333" i="21"/>
  <c r="B2333" i="21"/>
  <c r="A2333" i="21"/>
  <c r="C2332" i="21"/>
  <c r="B2332" i="21"/>
  <c r="A2332" i="21"/>
  <c r="C2331" i="21"/>
  <c r="B2331" i="21"/>
  <c r="A2331" i="21"/>
  <c r="C2330" i="21"/>
  <c r="B2330" i="21"/>
  <c r="A2330" i="21"/>
  <c r="C2329" i="21"/>
  <c r="B2329" i="21"/>
  <c r="A2329" i="21"/>
  <c r="C2328" i="21"/>
  <c r="B2328" i="21"/>
  <c r="A2328" i="21"/>
  <c r="C2327" i="21"/>
  <c r="B2327" i="21"/>
  <c r="A2327" i="21"/>
  <c r="C2326" i="21"/>
  <c r="B2326" i="21"/>
  <c r="A2326" i="21"/>
  <c r="C2325" i="21"/>
  <c r="B2325" i="21"/>
  <c r="A2325" i="21"/>
  <c r="C2324" i="21"/>
  <c r="B2324" i="21"/>
  <c r="A2324" i="21"/>
  <c r="C2323" i="21"/>
  <c r="B2323" i="21"/>
  <c r="A2323" i="21"/>
  <c r="C2322" i="21"/>
  <c r="B2322" i="21"/>
  <c r="A2322" i="21"/>
  <c r="C2321" i="21"/>
  <c r="B2321" i="21"/>
  <c r="A2321" i="21"/>
  <c r="C2320" i="21"/>
  <c r="B2320" i="21"/>
  <c r="A2320" i="21"/>
  <c r="C2319" i="21"/>
  <c r="B2319" i="21"/>
  <c r="A2319" i="21"/>
  <c r="C2318" i="21"/>
  <c r="B2318" i="21"/>
  <c r="A2318" i="21"/>
  <c r="C2317" i="21"/>
  <c r="B2317" i="21"/>
  <c r="A2317" i="21"/>
  <c r="C2316" i="21"/>
  <c r="B2316" i="21"/>
  <c r="A2316" i="21"/>
  <c r="C2315" i="21"/>
  <c r="B2315" i="21"/>
  <c r="A2315" i="21"/>
  <c r="C2314" i="21"/>
  <c r="B2314" i="21"/>
  <c r="A2314" i="21"/>
  <c r="C2313" i="21"/>
  <c r="B2313" i="21"/>
  <c r="A2313" i="21"/>
  <c r="C2312" i="21"/>
  <c r="B2312" i="21"/>
  <c r="A2312" i="21"/>
  <c r="C2311" i="21"/>
  <c r="B2311" i="21"/>
  <c r="A2311" i="21"/>
  <c r="C2310" i="21"/>
  <c r="B2310" i="21"/>
  <c r="A2310" i="21"/>
  <c r="C2309" i="21"/>
  <c r="B2309" i="21"/>
  <c r="A2309" i="21"/>
  <c r="C2308" i="21"/>
  <c r="B2308" i="21"/>
  <c r="A2308" i="21"/>
  <c r="C2307" i="21"/>
  <c r="B2307" i="21"/>
  <c r="A2307" i="21"/>
  <c r="C2306" i="21"/>
  <c r="B2306" i="21"/>
  <c r="A2306" i="21"/>
  <c r="C2305" i="21"/>
  <c r="B2305" i="21"/>
  <c r="A2305" i="21"/>
  <c r="C2304" i="21"/>
  <c r="B2304" i="21"/>
  <c r="A2304" i="21"/>
  <c r="C2303" i="21"/>
  <c r="B2303" i="21"/>
  <c r="A2303" i="21"/>
  <c r="C2302" i="21"/>
  <c r="B2302" i="21"/>
  <c r="A2302" i="21"/>
  <c r="C2301" i="21"/>
  <c r="B2301" i="21"/>
  <c r="A2301" i="21"/>
  <c r="C2300" i="21"/>
  <c r="B2300" i="21"/>
  <c r="A2300" i="21"/>
  <c r="C2299" i="21"/>
  <c r="B2299" i="21"/>
  <c r="A2299" i="21"/>
  <c r="C2298" i="21"/>
  <c r="B2298" i="21"/>
  <c r="A2298" i="21"/>
  <c r="C2297" i="21"/>
  <c r="B2297" i="21"/>
  <c r="A2297" i="21"/>
  <c r="C2296" i="21"/>
  <c r="B2296" i="21"/>
  <c r="A2296" i="21"/>
  <c r="C2295" i="21"/>
  <c r="B2295" i="21"/>
  <c r="A2295" i="21"/>
  <c r="C2294" i="21"/>
  <c r="B2294" i="21"/>
  <c r="A2294" i="21"/>
  <c r="C2293" i="21"/>
  <c r="B2293" i="21"/>
  <c r="A2293" i="21"/>
  <c r="C2292" i="21"/>
  <c r="B2292" i="21"/>
  <c r="A2292" i="21"/>
  <c r="C2291" i="21"/>
  <c r="B2291" i="21"/>
  <c r="A2291" i="21"/>
  <c r="C2290" i="21"/>
  <c r="B2290" i="21"/>
  <c r="A2290" i="21"/>
  <c r="C2289" i="21"/>
  <c r="B2289" i="21"/>
  <c r="A2289" i="21"/>
  <c r="C2288" i="21"/>
  <c r="B2288" i="21"/>
  <c r="A2288" i="21"/>
  <c r="C2287" i="21"/>
  <c r="B2287" i="21"/>
  <c r="A2287" i="21"/>
  <c r="C2286" i="21"/>
  <c r="B2286" i="21"/>
  <c r="A2286" i="21"/>
  <c r="C2285" i="21"/>
  <c r="B2285" i="21"/>
  <c r="A2285" i="21"/>
  <c r="C2284" i="21"/>
  <c r="B2284" i="21"/>
  <c r="A2284" i="21"/>
  <c r="C2283" i="21"/>
  <c r="B2283" i="21"/>
  <c r="A2283" i="21"/>
  <c r="C2282" i="21"/>
  <c r="B2282" i="21"/>
  <c r="A2282" i="21"/>
  <c r="C2281" i="21"/>
  <c r="B2281" i="21"/>
  <c r="A2281" i="21"/>
  <c r="C2280" i="21"/>
  <c r="B2280" i="21"/>
  <c r="A2280" i="21"/>
  <c r="C2279" i="21"/>
  <c r="B2279" i="21"/>
  <c r="A2279" i="21"/>
  <c r="C2278" i="21"/>
  <c r="B2278" i="21"/>
  <c r="A2278" i="21"/>
  <c r="C2277" i="21"/>
  <c r="B2277" i="21"/>
  <c r="A2277" i="21"/>
  <c r="C2276" i="21"/>
  <c r="B2276" i="21"/>
  <c r="A2276" i="21"/>
  <c r="C2275" i="21"/>
  <c r="B2275" i="21"/>
  <c r="A2275" i="21"/>
  <c r="C2274" i="21"/>
  <c r="B2274" i="21"/>
  <c r="A2274" i="21"/>
  <c r="C2273" i="21"/>
  <c r="B2273" i="21"/>
  <c r="A2273" i="21"/>
  <c r="C2272" i="21"/>
  <c r="B2272" i="21"/>
  <c r="A2272" i="21"/>
  <c r="C2271" i="21"/>
  <c r="B2271" i="21"/>
  <c r="A2271" i="21"/>
  <c r="C2270" i="21"/>
  <c r="B2270" i="21"/>
  <c r="A2270" i="21"/>
  <c r="C2269" i="21"/>
  <c r="B2269" i="21"/>
  <c r="A2269" i="21"/>
  <c r="C2268" i="21"/>
  <c r="B2268" i="21"/>
  <c r="A2268" i="21"/>
  <c r="C2267" i="21"/>
  <c r="B2267" i="21"/>
  <c r="A2267" i="21"/>
  <c r="C2266" i="21"/>
  <c r="B2266" i="21"/>
  <c r="A2266" i="21"/>
  <c r="C2265" i="21"/>
  <c r="B2265" i="21"/>
  <c r="A2265" i="21"/>
  <c r="C2264" i="21"/>
  <c r="B2264" i="21"/>
  <c r="A2264" i="21"/>
  <c r="C2263" i="21"/>
  <c r="B2263" i="21"/>
  <c r="A2263" i="21"/>
  <c r="C2262" i="21"/>
  <c r="B2262" i="21"/>
  <c r="A2262" i="21"/>
  <c r="C2261" i="21"/>
  <c r="B2261" i="21"/>
  <c r="A2261" i="21"/>
  <c r="C2260" i="21"/>
  <c r="B2260" i="21"/>
  <c r="A2260" i="21"/>
  <c r="C2259" i="21"/>
  <c r="B2259" i="21"/>
  <c r="A2259" i="21"/>
  <c r="C2258" i="21"/>
  <c r="B2258" i="21"/>
  <c r="A2258" i="21"/>
  <c r="C2257" i="21"/>
  <c r="B2257" i="21"/>
  <c r="A2257" i="21"/>
  <c r="C2256" i="21"/>
  <c r="B2256" i="21"/>
  <c r="A2256" i="21"/>
  <c r="C2255" i="21"/>
  <c r="B2255" i="21"/>
  <c r="A2255" i="21"/>
  <c r="C2254" i="21"/>
  <c r="B2254" i="21"/>
  <c r="A2254" i="21"/>
  <c r="C2253" i="21"/>
  <c r="B2253" i="21"/>
  <c r="A2253" i="21"/>
  <c r="C2252" i="21"/>
  <c r="B2252" i="21"/>
  <c r="A2252" i="21"/>
  <c r="C2251" i="21"/>
  <c r="B2251" i="21"/>
  <c r="A2251" i="21"/>
  <c r="C2250" i="21"/>
  <c r="B2250" i="21"/>
  <c r="A2250" i="21"/>
  <c r="C2249" i="21"/>
  <c r="B2249" i="21"/>
  <c r="A2249" i="21"/>
  <c r="C2248" i="21"/>
  <c r="B2248" i="21"/>
  <c r="A2248" i="21"/>
  <c r="C2247" i="21"/>
  <c r="B2247" i="21"/>
  <c r="A2247" i="21"/>
  <c r="C2246" i="21"/>
  <c r="B2246" i="21"/>
  <c r="A2246" i="21"/>
  <c r="C2245" i="21"/>
  <c r="B2245" i="21"/>
  <c r="A2245" i="21"/>
  <c r="C2244" i="21"/>
  <c r="B2244" i="21"/>
  <c r="A2244" i="21"/>
  <c r="C2243" i="21"/>
  <c r="B2243" i="21"/>
  <c r="A2243" i="21"/>
  <c r="C2242" i="21"/>
  <c r="B2242" i="21"/>
  <c r="A2242" i="21"/>
  <c r="C2241" i="21"/>
  <c r="B2241" i="21"/>
  <c r="A2241" i="21"/>
  <c r="C2240" i="21"/>
  <c r="B2240" i="21"/>
  <c r="A2240" i="21"/>
  <c r="C2239" i="21"/>
  <c r="B2239" i="21"/>
  <c r="A2239" i="21"/>
  <c r="C2238" i="21"/>
  <c r="B2238" i="21"/>
  <c r="A2238" i="21"/>
  <c r="C2237" i="21"/>
  <c r="B2237" i="21"/>
  <c r="A2237" i="21"/>
  <c r="C2236" i="21"/>
  <c r="B2236" i="21"/>
  <c r="A2236" i="21"/>
  <c r="C2235" i="21"/>
  <c r="B2235" i="21"/>
  <c r="A2235" i="21"/>
  <c r="C2234" i="21"/>
  <c r="B2234" i="21"/>
  <c r="A2234" i="21"/>
  <c r="C2233" i="21"/>
  <c r="B2233" i="21"/>
  <c r="A2233" i="21"/>
  <c r="C2232" i="21"/>
  <c r="B2232" i="21"/>
  <c r="A2232" i="21"/>
  <c r="C2231" i="21"/>
  <c r="B2231" i="21"/>
  <c r="A2231" i="21"/>
  <c r="C2230" i="21"/>
  <c r="B2230" i="21"/>
  <c r="A2230" i="21"/>
  <c r="C2229" i="21"/>
  <c r="B2229" i="21"/>
  <c r="A2229" i="21"/>
  <c r="C2228" i="21"/>
  <c r="B2228" i="21"/>
  <c r="A2228" i="21"/>
  <c r="C2227" i="21"/>
  <c r="B2227" i="21"/>
  <c r="A2227" i="21"/>
  <c r="C2226" i="21"/>
  <c r="B2226" i="21"/>
  <c r="A2226" i="21"/>
  <c r="C2225" i="21"/>
  <c r="B2225" i="21"/>
  <c r="A2225" i="21"/>
  <c r="C2224" i="21"/>
  <c r="B2224" i="21"/>
  <c r="A2224" i="21"/>
  <c r="C2223" i="21"/>
  <c r="B2223" i="21"/>
  <c r="A2223" i="21"/>
  <c r="C2222" i="21"/>
  <c r="B2222" i="21"/>
  <c r="A2222" i="21"/>
  <c r="C2221" i="21"/>
  <c r="B2221" i="21"/>
  <c r="A2221" i="21"/>
  <c r="C2220" i="21"/>
  <c r="B2220" i="21"/>
  <c r="A2220" i="21"/>
  <c r="C2219" i="21"/>
  <c r="B2219" i="21"/>
  <c r="A2219" i="21"/>
  <c r="C2218" i="21"/>
  <c r="B2218" i="21"/>
  <c r="A2218" i="21"/>
  <c r="C2217" i="21"/>
  <c r="B2217" i="21"/>
  <c r="A2217" i="21"/>
  <c r="C2216" i="21"/>
  <c r="B2216" i="21"/>
  <c r="A2216" i="21"/>
  <c r="C2215" i="21"/>
  <c r="B2215" i="21"/>
  <c r="A2215" i="21"/>
  <c r="C2214" i="21"/>
  <c r="B2214" i="21"/>
  <c r="A2214" i="21"/>
  <c r="C2213" i="21"/>
  <c r="B2213" i="21"/>
  <c r="A2213" i="21"/>
  <c r="C2212" i="21"/>
  <c r="B2212" i="21"/>
  <c r="A2212" i="21"/>
  <c r="C2211" i="21"/>
  <c r="B2211" i="21"/>
  <c r="A2211" i="21"/>
  <c r="C2210" i="21"/>
  <c r="B2210" i="21"/>
  <c r="A2210" i="21"/>
  <c r="C2209" i="21"/>
  <c r="B2209" i="21"/>
  <c r="A2209" i="21"/>
  <c r="C2208" i="21"/>
  <c r="B2208" i="21"/>
  <c r="A2208" i="21"/>
  <c r="C2207" i="21"/>
  <c r="B2207" i="21"/>
  <c r="A2207" i="21"/>
  <c r="C2206" i="21"/>
  <c r="B2206" i="21"/>
  <c r="A2206" i="21"/>
  <c r="C2205" i="21"/>
  <c r="B2205" i="21"/>
  <c r="A2205" i="21"/>
  <c r="C2204" i="21"/>
  <c r="B2204" i="21"/>
  <c r="A2204" i="21"/>
  <c r="C2203" i="21"/>
  <c r="B2203" i="21"/>
  <c r="A2203" i="21"/>
  <c r="C2202" i="21"/>
  <c r="B2202" i="21"/>
  <c r="A2202" i="21"/>
  <c r="C2201" i="21"/>
  <c r="B2201" i="21"/>
  <c r="A2201" i="21"/>
  <c r="C2200" i="21"/>
  <c r="B2200" i="21"/>
  <c r="A2200" i="21"/>
  <c r="C2199" i="21"/>
  <c r="B2199" i="21"/>
  <c r="A2199" i="21"/>
  <c r="C2198" i="21"/>
  <c r="B2198" i="21"/>
  <c r="A2198" i="21"/>
  <c r="C2197" i="21"/>
  <c r="B2197" i="21"/>
  <c r="A2197" i="21"/>
  <c r="C2196" i="21"/>
  <c r="B2196" i="21"/>
  <c r="A2196" i="21"/>
  <c r="C2195" i="21"/>
  <c r="B2195" i="21"/>
  <c r="A2195" i="21"/>
  <c r="C2194" i="21"/>
  <c r="B2194" i="21"/>
  <c r="A2194" i="21"/>
  <c r="C2193" i="21"/>
  <c r="B2193" i="21"/>
  <c r="A2193" i="21"/>
  <c r="C2192" i="21"/>
  <c r="B2192" i="21"/>
  <c r="A2192" i="21"/>
  <c r="C2191" i="21"/>
  <c r="B2191" i="21"/>
  <c r="A2191" i="21"/>
  <c r="C2190" i="21"/>
  <c r="B2190" i="21"/>
  <c r="A2190" i="21"/>
  <c r="C2189" i="21"/>
  <c r="B2189" i="21"/>
  <c r="A2189" i="21"/>
  <c r="C2188" i="21"/>
  <c r="B2188" i="21"/>
  <c r="A2188" i="21"/>
  <c r="C2187" i="21"/>
  <c r="B2187" i="21"/>
  <c r="A2187" i="21"/>
  <c r="C2186" i="21"/>
  <c r="B2186" i="21"/>
  <c r="A2186" i="21"/>
  <c r="C2185" i="21"/>
  <c r="B2185" i="21"/>
  <c r="A2185" i="21"/>
  <c r="C2184" i="21"/>
  <c r="B2184" i="21"/>
  <c r="A2184" i="21"/>
  <c r="C2183" i="21"/>
  <c r="B2183" i="21"/>
  <c r="A2183" i="21"/>
  <c r="C2182" i="21"/>
  <c r="B2182" i="21"/>
  <c r="A2182" i="21"/>
  <c r="C2181" i="21"/>
  <c r="B2181" i="21"/>
  <c r="A2181" i="21"/>
  <c r="C2180" i="21"/>
  <c r="B2180" i="21"/>
  <c r="A2180" i="21"/>
  <c r="C2179" i="21"/>
  <c r="B2179" i="21"/>
  <c r="A2179" i="21"/>
  <c r="C2178" i="21"/>
  <c r="B2178" i="21"/>
  <c r="A2178" i="21"/>
  <c r="C2177" i="21"/>
  <c r="B2177" i="21"/>
  <c r="A2177" i="21"/>
  <c r="C2176" i="21"/>
  <c r="B2176" i="21"/>
  <c r="A2176" i="21"/>
  <c r="C2175" i="21"/>
  <c r="B2175" i="21"/>
  <c r="A2175" i="21"/>
  <c r="C2174" i="21"/>
  <c r="B2174" i="21"/>
  <c r="A2174" i="21"/>
  <c r="C2173" i="21"/>
  <c r="B2173" i="21"/>
  <c r="A2173" i="21"/>
  <c r="C2172" i="21"/>
  <c r="B2172" i="21"/>
  <c r="A2172" i="21"/>
  <c r="C2171" i="21"/>
  <c r="B2171" i="21"/>
  <c r="A2171" i="21"/>
  <c r="C2170" i="21"/>
  <c r="B2170" i="21"/>
  <c r="A2170" i="21"/>
  <c r="C2169" i="21"/>
  <c r="B2169" i="21"/>
  <c r="A2169" i="21"/>
  <c r="C2168" i="21"/>
  <c r="B2168" i="21"/>
  <c r="A2168" i="21"/>
  <c r="C2167" i="21"/>
  <c r="B2167" i="21"/>
  <c r="A2167" i="21"/>
  <c r="C2166" i="21"/>
  <c r="B2166" i="21"/>
  <c r="A2166" i="21"/>
  <c r="C2165" i="21"/>
  <c r="B2165" i="21"/>
  <c r="A2165" i="21"/>
  <c r="C2164" i="21"/>
  <c r="B2164" i="21"/>
  <c r="A2164" i="21"/>
  <c r="C2163" i="21"/>
  <c r="B2163" i="21"/>
  <c r="A2163" i="21"/>
  <c r="C2162" i="21"/>
  <c r="B2162" i="21"/>
  <c r="A2162" i="21"/>
  <c r="C2161" i="21"/>
  <c r="B2161" i="21"/>
  <c r="A2161" i="21"/>
  <c r="C2160" i="21"/>
  <c r="B2160" i="21"/>
  <c r="A2160" i="21"/>
  <c r="C2159" i="21"/>
  <c r="B2159" i="21"/>
  <c r="A2159" i="21"/>
  <c r="C2158" i="21"/>
  <c r="B2158" i="21"/>
  <c r="A2158" i="21"/>
  <c r="C2157" i="21"/>
  <c r="B2157" i="21"/>
  <c r="A2157" i="21"/>
  <c r="C2156" i="21"/>
  <c r="B2156" i="21"/>
  <c r="A2156" i="21"/>
  <c r="C2155" i="21"/>
  <c r="B2155" i="21"/>
  <c r="A2155" i="21"/>
  <c r="C2154" i="21"/>
  <c r="B2154" i="21"/>
  <c r="A2154" i="21"/>
  <c r="C2153" i="21"/>
  <c r="B2153" i="21"/>
  <c r="A2153" i="21"/>
  <c r="C2152" i="21"/>
  <c r="B2152" i="21"/>
  <c r="A2152" i="21"/>
  <c r="C2151" i="21"/>
  <c r="B2151" i="21"/>
  <c r="A2151" i="21"/>
  <c r="C2150" i="21"/>
  <c r="B2150" i="21"/>
  <c r="A2150" i="21"/>
  <c r="C2149" i="21"/>
  <c r="B2149" i="21"/>
  <c r="A2149" i="21"/>
  <c r="C2148" i="21"/>
  <c r="B2148" i="21"/>
  <c r="A2148" i="21"/>
  <c r="C2147" i="21"/>
  <c r="B2147" i="21"/>
  <c r="A2147" i="21"/>
  <c r="C2146" i="21"/>
  <c r="B2146" i="21"/>
  <c r="A2146" i="21"/>
  <c r="C2145" i="21"/>
  <c r="B2145" i="21"/>
  <c r="A2145" i="21"/>
  <c r="C2144" i="21"/>
  <c r="B2144" i="21"/>
  <c r="A2144" i="21"/>
  <c r="C2143" i="21"/>
  <c r="B2143" i="21"/>
  <c r="A2143" i="21"/>
  <c r="C2142" i="21"/>
  <c r="B2142" i="21"/>
  <c r="A2142" i="21"/>
  <c r="C2141" i="21"/>
  <c r="B2141" i="21"/>
  <c r="A2141" i="21"/>
  <c r="C2140" i="21"/>
  <c r="B2140" i="21"/>
  <c r="A2140" i="21"/>
  <c r="C2139" i="21"/>
  <c r="B2139" i="21"/>
  <c r="A2139" i="21"/>
  <c r="C2138" i="21"/>
  <c r="B2138" i="21"/>
  <c r="A2138" i="21"/>
  <c r="C2137" i="21"/>
  <c r="B2137" i="21"/>
  <c r="A2137" i="21"/>
  <c r="C2136" i="21"/>
  <c r="B2136" i="21"/>
  <c r="A2136" i="21"/>
  <c r="C2135" i="21"/>
  <c r="B2135" i="21"/>
  <c r="A2135" i="21"/>
  <c r="C2134" i="21"/>
  <c r="B2134" i="21"/>
  <c r="A2134" i="21"/>
  <c r="C2133" i="21"/>
  <c r="B2133" i="21"/>
  <c r="A2133" i="21"/>
  <c r="C2132" i="21"/>
  <c r="B2132" i="21"/>
  <c r="A2132" i="21"/>
  <c r="C2131" i="21"/>
  <c r="B2131" i="21"/>
  <c r="A2131" i="21"/>
  <c r="C2130" i="21"/>
  <c r="B2130" i="21"/>
  <c r="A2130" i="21"/>
  <c r="C2129" i="21"/>
  <c r="B2129" i="21"/>
  <c r="A2129" i="21"/>
  <c r="C2128" i="21"/>
  <c r="B2128" i="21"/>
  <c r="A2128" i="21"/>
  <c r="C2127" i="21"/>
  <c r="B2127" i="21"/>
  <c r="A2127" i="21"/>
  <c r="C2126" i="21"/>
  <c r="B2126" i="21"/>
  <c r="A2126" i="21"/>
  <c r="C2125" i="21"/>
  <c r="B2125" i="21"/>
  <c r="A2125" i="21"/>
  <c r="C2124" i="21"/>
  <c r="B2124" i="21"/>
  <c r="A2124" i="21"/>
  <c r="C2123" i="21"/>
  <c r="B2123" i="21"/>
  <c r="A2123" i="21"/>
  <c r="C2122" i="21"/>
  <c r="B2122" i="21"/>
  <c r="A2122" i="21"/>
  <c r="C2121" i="21"/>
  <c r="B2121" i="21"/>
  <c r="A2121" i="21"/>
  <c r="C2120" i="21"/>
  <c r="B2120" i="21"/>
  <c r="A2120" i="21"/>
  <c r="C2119" i="21"/>
  <c r="B2119" i="21"/>
  <c r="A2119" i="21"/>
  <c r="C2118" i="21"/>
  <c r="B2118" i="21"/>
  <c r="A2118" i="21"/>
  <c r="C2117" i="21"/>
  <c r="B2117" i="21"/>
  <c r="A2117" i="21"/>
  <c r="C2116" i="21"/>
  <c r="B2116" i="21"/>
  <c r="A2116" i="21"/>
  <c r="C2115" i="21"/>
  <c r="B2115" i="21"/>
  <c r="A2115" i="21"/>
  <c r="C2114" i="21"/>
  <c r="B2114" i="21"/>
  <c r="A2114" i="21"/>
  <c r="C2113" i="21"/>
  <c r="B2113" i="21"/>
  <c r="A2113" i="21"/>
  <c r="C2112" i="21"/>
  <c r="B2112" i="21"/>
  <c r="A2112" i="21"/>
  <c r="C2111" i="21"/>
  <c r="B2111" i="21"/>
  <c r="A2111" i="21"/>
  <c r="C2110" i="21"/>
  <c r="B2110" i="21"/>
  <c r="A2110" i="21"/>
  <c r="C2109" i="21"/>
  <c r="B2109" i="21"/>
  <c r="A2109" i="21"/>
  <c r="C2108" i="21"/>
  <c r="B2108" i="21"/>
  <c r="A2108" i="21"/>
  <c r="C2107" i="21"/>
  <c r="B2107" i="21"/>
  <c r="A2107" i="21"/>
  <c r="C2106" i="21"/>
  <c r="B2106" i="21"/>
  <c r="A2106" i="21"/>
  <c r="C2105" i="21"/>
  <c r="B2105" i="21"/>
  <c r="A2105" i="21"/>
  <c r="C2104" i="21"/>
  <c r="B2104" i="21"/>
  <c r="A2104" i="21"/>
  <c r="C2103" i="21"/>
  <c r="B2103" i="21"/>
  <c r="A2103" i="21"/>
  <c r="C2102" i="21"/>
  <c r="B2102" i="21"/>
  <c r="A2102" i="21"/>
  <c r="C2101" i="21"/>
  <c r="B2101" i="21"/>
  <c r="A2101" i="21"/>
  <c r="C2100" i="21"/>
  <c r="B2100" i="21"/>
  <c r="A2100" i="21"/>
  <c r="C2099" i="21"/>
  <c r="B2099" i="21"/>
  <c r="A2099" i="21"/>
  <c r="C2098" i="21"/>
  <c r="B2098" i="21"/>
  <c r="A2098" i="21"/>
  <c r="C2097" i="21"/>
  <c r="B2097" i="21"/>
  <c r="A2097" i="21"/>
  <c r="C2096" i="21"/>
  <c r="B2096" i="21"/>
  <c r="A2096" i="21"/>
  <c r="C2095" i="21"/>
  <c r="B2095" i="21"/>
  <c r="A2095" i="21"/>
  <c r="C2094" i="21"/>
  <c r="B2094" i="21"/>
  <c r="A2094" i="21"/>
  <c r="C2093" i="21"/>
  <c r="B2093" i="21"/>
  <c r="A2093" i="21"/>
  <c r="C2092" i="21"/>
  <c r="B2092" i="21"/>
  <c r="A2092" i="21"/>
  <c r="C2091" i="21"/>
  <c r="B2091" i="21"/>
  <c r="A2091" i="21"/>
  <c r="C2090" i="21"/>
  <c r="B2090" i="21"/>
  <c r="A2090" i="21"/>
  <c r="C2089" i="21"/>
  <c r="B2089" i="21"/>
  <c r="A2089" i="21"/>
  <c r="C2088" i="21"/>
  <c r="B2088" i="21"/>
  <c r="A2088" i="21"/>
  <c r="C2087" i="21"/>
  <c r="B2087" i="21"/>
  <c r="A2087" i="21"/>
  <c r="C2086" i="21"/>
  <c r="B2086" i="21"/>
  <c r="A2086" i="21"/>
  <c r="C2085" i="21"/>
  <c r="B2085" i="21"/>
  <c r="A2085" i="21"/>
  <c r="C2084" i="21"/>
  <c r="B2084" i="21"/>
  <c r="A2084" i="21"/>
  <c r="C2083" i="21"/>
  <c r="B2083" i="21"/>
  <c r="A2083" i="21"/>
  <c r="C2082" i="21"/>
  <c r="B2082" i="21"/>
  <c r="A2082" i="21"/>
  <c r="C2081" i="21"/>
  <c r="B2081" i="21"/>
  <c r="A2081" i="21"/>
  <c r="C2080" i="21"/>
  <c r="B2080" i="21"/>
  <c r="A2080" i="21"/>
  <c r="C2079" i="21"/>
  <c r="B2079" i="21"/>
  <c r="A2079" i="21"/>
  <c r="C2078" i="21"/>
  <c r="B2078" i="21"/>
  <c r="A2078" i="21"/>
  <c r="C2077" i="21"/>
  <c r="B2077" i="21"/>
  <c r="A2077" i="21"/>
  <c r="C2076" i="21"/>
  <c r="B2076" i="21"/>
  <c r="A2076" i="21"/>
  <c r="C2075" i="21"/>
  <c r="B2075" i="21"/>
  <c r="A2075" i="21"/>
  <c r="C2074" i="21"/>
  <c r="B2074" i="21"/>
  <c r="A2074" i="21"/>
  <c r="C2073" i="21"/>
  <c r="B2073" i="21"/>
  <c r="A2073" i="21"/>
  <c r="C2072" i="21"/>
  <c r="B2072" i="21"/>
  <c r="A2072" i="21"/>
  <c r="C2071" i="21"/>
  <c r="B2071" i="21"/>
  <c r="A2071" i="21"/>
  <c r="C2070" i="21"/>
  <c r="B2070" i="21"/>
  <c r="A2070" i="21"/>
  <c r="C2069" i="21"/>
  <c r="B2069" i="21"/>
  <c r="A2069" i="21"/>
  <c r="C2068" i="21"/>
  <c r="B2068" i="21"/>
  <c r="A2068" i="21"/>
  <c r="C2067" i="21"/>
  <c r="B2067" i="21"/>
  <c r="A2067" i="21"/>
  <c r="C2066" i="21"/>
  <c r="B2066" i="21"/>
  <c r="A2066" i="21"/>
  <c r="C2065" i="21"/>
  <c r="B2065" i="21"/>
  <c r="A2065" i="21"/>
  <c r="C2064" i="21"/>
  <c r="B2064" i="21"/>
  <c r="A2064" i="21"/>
  <c r="C2063" i="21"/>
  <c r="B2063" i="21"/>
  <c r="A2063" i="21"/>
  <c r="C2062" i="21"/>
  <c r="B2062" i="21"/>
  <c r="A2062" i="21"/>
  <c r="C2061" i="21"/>
  <c r="B2061" i="21"/>
  <c r="A2061" i="21"/>
  <c r="C2060" i="21"/>
  <c r="B2060" i="21"/>
  <c r="A2060" i="21"/>
  <c r="C2059" i="21"/>
  <c r="B2059" i="21"/>
  <c r="A2059" i="21"/>
  <c r="C2058" i="21"/>
  <c r="B2058" i="21"/>
  <c r="A2058" i="21"/>
  <c r="C2057" i="21"/>
  <c r="B2057" i="21"/>
  <c r="A2057" i="21"/>
  <c r="C2056" i="21"/>
  <c r="B2056" i="21"/>
  <c r="A2056" i="21"/>
  <c r="C2055" i="21"/>
  <c r="B2055" i="21"/>
  <c r="A2055" i="21"/>
  <c r="C2054" i="21"/>
  <c r="B2054" i="21"/>
  <c r="A2054" i="21"/>
  <c r="C2053" i="21"/>
  <c r="B2053" i="21"/>
  <c r="A2053" i="21"/>
  <c r="C2052" i="21"/>
  <c r="B2052" i="21"/>
  <c r="A2052" i="21"/>
  <c r="C2051" i="21"/>
  <c r="B2051" i="21"/>
  <c r="A2051" i="21"/>
  <c r="C2050" i="21"/>
  <c r="B2050" i="21"/>
  <c r="A2050" i="21"/>
  <c r="C2049" i="21"/>
  <c r="B2049" i="21"/>
  <c r="A2049" i="21"/>
  <c r="C2048" i="21"/>
  <c r="B2048" i="21"/>
  <c r="A2048" i="21"/>
  <c r="C2047" i="21"/>
  <c r="B2047" i="21"/>
  <c r="A2047" i="21"/>
  <c r="C2046" i="21"/>
  <c r="B2046" i="21"/>
  <c r="A2046" i="21"/>
  <c r="C2045" i="21"/>
  <c r="B2045" i="21"/>
  <c r="A2045" i="21"/>
  <c r="C2044" i="21"/>
  <c r="B2044" i="21"/>
  <c r="A2044" i="21"/>
  <c r="C2043" i="21"/>
  <c r="B2043" i="21"/>
  <c r="A2043" i="21"/>
  <c r="C2042" i="21"/>
  <c r="B2042" i="21"/>
  <c r="A2042" i="21"/>
  <c r="C2041" i="21"/>
  <c r="B2041" i="21"/>
  <c r="A2041" i="21"/>
  <c r="C2040" i="21"/>
  <c r="B2040" i="21"/>
  <c r="A2040" i="21"/>
  <c r="C2039" i="21"/>
  <c r="B2039" i="21"/>
  <c r="A2039" i="21"/>
  <c r="C2038" i="21"/>
  <c r="B2038" i="21"/>
  <c r="A2038" i="21"/>
  <c r="C2037" i="21"/>
  <c r="B2037" i="21"/>
  <c r="A2037" i="21"/>
  <c r="C2036" i="21"/>
  <c r="B2036" i="21"/>
  <c r="A2036" i="21"/>
  <c r="C2035" i="21"/>
  <c r="B2035" i="21"/>
  <c r="A2035" i="21"/>
  <c r="C2034" i="21"/>
  <c r="B2034" i="21"/>
  <c r="A2034" i="21"/>
  <c r="C2033" i="21"/>
  <c r="B2033" i="21"/>
  <c r="A2033" i="21"/>
  <c r="C2032" i="21"/>
  <c r="B2032" i="21"/>
  <c r="A2032" i="21"/>
  <c r="C2031" i="21"/>
  <c r="B2031" i="21"/>
  <c r="A2031" i="21"/>
  <c r="C2030" i="21"/>
  <c r="B2030" i="21"/>
  <c r="A2030" i="21"/>
  <c r="C2029" i="21"/>
  <c r="B2029" i="21"/>
  <c r="A2029" i="21"/>
  <c r="C2028" i="21"/>
  <c r="B2028" i="21"/>
  <c r="A2028" i="21"/>
  <c r="C2027" i="21"/>
  <c r="B2027" i="21"/>
  <c r="A2027" i="21"/>
  <c r="C2026" i="21"/>
  <c r="B2026" i="21"/>
  <c r="A2026" i="21"/>
  <c r="C2025" i="21"/>
  <c r="B2025" i="21"/>
  <c r="A2025" i="21"/>
  <c r="C2024" i="21"/>
  <c r="B2024" i="21"/>
  <c r="A2024" i="21"/>
  <c r="C2023" i="21"/>
  <c r="B2023" i="21"/>
  <c r="A2023" i="21"/>
  <c r="C2022" i="21"/>
  <c r="B2022" i="21"/>
  <c r="A2022" i="21"/>
  <c r="C2021" i="21"/>
  <c r="B2021" i="21"/>
  <c r="A2021" i="21"/>
  <c r="C2020" i="21"/>
  <c r="B2020" i="21"/>
  <c r="A2020" i="21"/>
  <c r="C2019" i="21"/>
  <c r="B2019" i="21"/>
  <c r="A2019" i="21"/>
  <c r="C2018" i="21"/>
  <c r="B2018" i="21"/>
  <c r="A2018" i="21"/>
  <c r="C2017" i="21"/>
  <c r="B2017" i="21"/>
  <c r="A2017" i="21"/>
  <c r="C2016" i="21"/>
  <c r="B2016" i="21"/>
  <c r="A2016" i="21"/>
  <c r="C2015" i="21"/>
  <c r="B2015" i="21"/>
  <c r="A2015" i="21"/>
  <c r="C2014" i="21"/>
  <c r="B2014" i="21"/>
  <c r="A2014" i="21"/>
  <c r="C2013" i="21"/>
  <c r="B2013" i="21"/>
  <c r="A2013" i="21"/>
  <c r="C2012" i="21"/>
  <c r="B2012" i="21"/>
  <c r="A2012" i="21"/>
  <c r="C2011" i="21"/>
  <c r="B2011" i="21"/>
  <c r="A2011" i="21"/>
  <c r="C2010" i="21"/>
  <c r="B2010" i="21"/>
  <c r="A2010" i="21"/>
  <c r="C2009" i="21"/>
  <c r="B2009" i="21"/>
  <c r="A2009" i="21"/>
  <c r="C2008" i="21"/>
  <c r="B2008" i="21"/>
  <c r="A2008" i="21"/>
  <c r="C2007" i="21"/>
  <c r="B2007" i="21"/>
  <c r="A2007" i="21"/>
  <c r="C2006" i="21"/>
  <c r="B2006" i="21"/>
  <c r="A2006" i="21"/>
  <c r="C2005" i="21"/>
  <c r="B2005" i="21"/>
  <c r="A2005" i="21"/>
  <c r="C2004" i="21"/>
  <c r="B2004" i="21"/>
  <c r="A2004" i="21"/>
  <c r="C2003" i="21"/>
  <c r="B2003" i="21"/>
  <c r="A2003" i="21"/>
  <c r="C2002" i="21"/>
  <c r="B2002" i="21"/>
  <c r="A2002" i="21"/>
  <c r="C2001" i="21"/>
  <c r="B2001" i="21"/>
  <c r="A2001" i="21"/>
  <c r="C2000" i="21"/>
  <c r="B2000" i="21"/>
  <c r="A2000" i="21"/>
  <c r="C1999" i="21"/>
  <c r="B1999" i="21"/>
  <c r="A1999" i="21"/>
  <c r="C1998" i="21"/>
  <c r="B1998" i="21"/>
  <c r="A1998" i="21"/>
  <c r="C1997" i="21"/>
  <c r="B1997" i="21"/>
  <c r="A1997" i="21"/>
  <c r="C1996" i="21"/>
  <c r="B1996" i="21"/>
  <c r="A1996" i="21"/>
  <c r="C1995" i="21"/>
  <c r="B1995" i="21"/>
  <c r="A1995" i="21"/>
  <c r="C1994" i="21"/>
  <c r="B1994" i="21"/>
  <c r="A1994" i="21"/>
  <c r="C1993" i="21"/>
  <c r="B1993" i="21"/>
  <c r="A1993" i="21"/>
  <c r="C1992" i="21"/>
  <c r="B1992" i="21"/>
  <c r="A1992" i="21"/>
  <c r="C1991" i="21"/>
  <c r="B1991" i="21"/>
  <c r="A1991" i="21"/>
  <c r="C1990" i="21"/>
  <c r="B1990" i="21"/>
  <c r="A1990" i="21"/>
  <c r="C1989" i="21"/>
  <c r="B1989" i="21"/>
  <c r="A1989" i="21"/>
  <c r="C1988" i="21"/>
  <c r="B1988" i="21"/>
  <c r="A1988" i="21"/>
  <c r="C1987" i="21"/>
  <c r="B1987" i="21"/>
  <c r="A1987" i="21"/>
  <c r="C1986" i="21"/>
  <c r="B1986" i="21"/>
  <c r="A1986" i="21"/>
  <c r="C1985" i="21"/>
  <c r="B1985" i="21"/>
  <c r="A1985" i="21"/>
  <c r="C1984" i="21"/>
  <c r="B1984" i="21"/>
  <c r="A1984" i="21"/>
  <c r="C1983" i="21"/>
  <c r="B1983" i="21"/>
  <c r="A1983" i="21"/>
  <c r="C1982" i="21"/>
  <c r="B1982" i="21"/>
  <c r="A1982" i="21"/>
  <c r="C1981" i="21"/>
  <c r="B1981" i="21"/>
  <c r="A1981" i="21"/>
  <c r="C1980" i="21"/>
  <c r="B1980" i="21"/>
  <c r="A1980" i="21"/>
  <c r="C1979" i="21"/>
  <c r="B1979" i="21"/>
  <c r="A1979" i="21"/>
  <c r="C1978" i="21"/>
  <c r="B1978" i="21"/>
  <c r="A1978" i="21"/>
  <c r="C1977" i="21"/>
  <c r="B1977" i="21"/>
  <c r="A1977" i="21"/>
  <c r="C1976" i="21"/>
  <c r="B1976" i="21"/>
  <c r="A1976" i="21"/>
  <c r="C1975" i="21"/>
  <c r="B1975" i="21"/>
  <c r="A1975" i="21"/>
  <c r="C1974" i="21"/>
  <c r="B1974" i="21"/>
  <c r="A1974" i="21"/>
  <c r="C1973" i="21"/>
  <c r="B1973" i="21"/>
  <c r="A1973" i="21"/>
  <c r="C1972" i="21"/>
  <c r="B1972" i="21"/>
  <c r="A1972" i="21"/>
  <c r="C1971" i="21"/>
  <c r="B1971" i="21"/>
  <c r="A1971" i="21"/>
  <c r="C1970" i="21"/>
  <c r="B1970" i="21"/>
  <c r="A1970" i="21"/>
  <c r="C1969" i="21"/>
  <c r="B1969" i="21"/>
  <c r="A1969" i="21"/>
  <c r="C1968" i="21"/>
  <c r="B1968" i="21"/>
  <c r="A1968" i="21"/>
  <c r="C1967" i="21"/>
  <c r="B1967" i="21"/>
  <c r="A1967" i="21"/>
  <c r="C1966" i="21"/>
  <c r="B1966" i="21"/>
  <c r="A1966" i="21"/>
  <c r="C1965" i="21"/>
  <c r="B1965" i="21"/>
  <c r="A1965" i="21"/>
  <c r="C1964" i="21"/>
  <c r="B1964" i="21"/>
  <c r="A1964" i="21"/>
  <c r="C1963" i="21"/>
  <c r="B1963" i="21"/>
  <c r="A1963" i="21"/>
  <c r="C1962" i="21"/>
  <c r="B1962" i="21"/>
  <c r="A1962" i="21"/>
  <c r="C1961" i="21"/>
  <c r="B1961" i="21"/>
  <c r="A1961" i="21"/>
  <c r="C1960" i="21"/>
  <c r="B1960" i="21"/>
  <c r="A1960" i="21"/>
  <c r="C1959" i="21"/>
  <c r="B1959" i="21"/>
  <c r="A1959" i="21"/>
  <c r="C1958" i="21"/>
  <c r="B1958" i="21"/>
  <c r="A1958" i="21"/>
  <c r="C1957" i="21"/>
  <c r="B1957" i="21"/>
  <c r="A1957" i="21"/>
  <c r="C1956" i="21"/>
  <c r="B1956" i="21"/>
  <c r="A1956" i="21"/>
  <c r="C1955" i="21"/>
  <c r="B1955" i="21"/>
  <c r="A1955" i="21"/>
  <c r="C1954" i="21"/>
  <c r="B1954" i="21"/>
  <c r="A1954" i="21"/>
  <c r="C1953" i="21"/>
  <c r="B1953" i="21"/>
  <c r="A1953" i="21"/>
  <c r="C1952" i="21"/>
  <c r="B1952" i="21"/>
  <c r="A1952" i="21"/>
  <c r="C1951" i="21"/>
  <c r="B1951" i="21"/>
  <c r="A1951" i="21"/>
  <c r="C1950" i="21"/>
  <c r="B1950" i="21"/>
  <c r="A1950" i="21"/>
  <c r="C1949" i="21"/>
  <c r="B1949" i="21"/>
  <c r="A1949" i="21"/>
  <c r="C1948" i="21"/>
  <c r="B1948" i="21"/>
  <c r="A1948" i="21"/>
  <c r="C1947" i="21"/>
  <c r="B1947" i="21"/>
  <c r="A1947" i="21"/>
  <c r="C1946" i="21"/>
  <c r="B1946" i="21"/>
  <c r="A1946" i="21"/>
  <c r="C1945" i="21"/>
  <c r="B1945" i="21"/>
  <c r="A1945" i="21"/>
  <c r="C1944" i="21"/>
  <c r="B1944" i="21"/>
  <c r="A1944" i="21"/>
  <c r="C1943" i="21"/>
  <c r="B1943" i="21"/>
  <c r="A1943" i="21"/>
  <c r="C1942" i="21"/>
  <c r="B1942" i="21"/>
  <c r="A1942" i="21"/>
  <c r="C1941" i="21"/>
  <c r="B1941" i="21"/>
  <c r="A1941" i="21"/>
  <c r="C1940" i="21"/>
  <c r="B1940" i="21"/>
  <c r="A1940" i="21"/>
  <c r="C1939" i="21"/>
  <c r="B1939" i="21"/>
  <c r="A1939" i="21"/>
  <c r="C1938" i="21"/>
  <c r="B1938" i="21"/>
  <c r="A1938" i="21"/>
  <c r="C1937" i="21"/>
  <c r="B1937" i="21"/>
  <c r="A1937" i="21"/>
  <c r="C1936" i="21"/>
  <c r="B1936" i="21"/>
  <c r="A1936" i="21"/>
  <c r="C1935" i="21"/>
  <c r="B1935" i="21"/>
  <c r="A1935" i="21"/>
  <c r="C1934" i="21"/>
  <c r="B1934" i="21"/>
  <c r="A1934" i="21"/>
  <c r="C1933" i="21"/>
  <c r="B1933" i="21"/>
  <c r="A1933" i="21"/>
  <c r="C1932" i="21"/>
  <c r="B1932" i="21"/>
  <c r="A1932" i="21"/>
  <c r="C1931" i="21"/>
  <c r="B1931" i="21"/>
  <c r="A1931" i="21"/>
  <c r="C1930" i="21"/>
  <c r="B1930" i="21"/>
  <c r="A1930" i="21"/>
  <c r="C1929" i="21"/>
  <c r="B1929" i="21"/>
  <c r="A1929" i="21"/>
  <c r="C1928" i="21"/>
  <c r="B1928" i="21"/>
  <c r="A1928" i="21"/>
  <c r="C1927" i="21"/>
  <c r="B1927" i="21"/>
  <c r="A1927" i="21"/>
  <c r="C1926" i="21"/>
  <c r="B1926" i="21"/>
  <c r="A1926" i="21"/>
  <c r="C1925" i="21"/>
  <c r="B1925" i="21"/>
  <c r="A1925" i="21"/>
  <c r="C1924" i="21"/>
  <c r="B1924" i="21"/>
  <c r="A1924" i="21"/>
  <c r="C1923" i="21"/>
  <c r="B1923" i="21"/>
  <c r="A1923" i="21"/>
  <c r="C1922" i="21"/>
  <c r="B1922" i="21"/>
  <c r="A1922" i="21"/>
  <c r="C1921" i="21"/>
  <c r="B1921" i="21"/>
  <c r="A1921" i="21"/>
  <c r="C1920" i="21"/>
  <c r="B1920" i="21"/>
  <c r="A1920" i="21"/>
  <c r="C1919" i="21"/>
  <c r="B1919" i="21"/>
  <c r="A1919" i="21"/>
  <c r="C1918" i="21"/>
  <c r="B1918" i="21"/>
  <c r="A1918" i="21"/>
  <c r="C1917" i="21"/>
  <c r="B1917" i="21"/>
  <c r="A1917" i="21"/>
  <c r="C1916" i="21"/>
  <c r="B1916" i="21"/>
  <c r="A1916" i="21"/>
  <c r="C1915" i="21"/>
  <c r="B1915" i="21"/>
  <c r="A1915" i="21"/>
  <c r="C1914" i="21"/>
  <c r="B1914" i="21"/>
  <c r="A1914" i="21"/>
  <c r="C1913" i="21"/>
  <c r="B1913" i="21"/>
  <c r="A1913" i="21"/>
  <c r="C1912" i="21"/>
  <c r="B1912" i="21"/>
  <c r="A1912" i="21"/>
  <c r="C1911" i="21"/>
  <c r="B1911" i="21"/>
  <c r="A1911" i="21"/>
  <c r="C1910" i="21"/>
  <c r="B1910" i="21"/>
  <c r="A1910" i="21"/>
  <c r="C1909" i="21"/>
  <c r="B1909" i="21"/>
  <c r="A1909" i="21"/>
  <c r="C1908" i="21"/>
  <c r="B1908" i="21"/>
  <c r="A1908" i="21"/>
  <c r="C1907" i="21"/>
  <c r="B1907" i="21"/>
  <c r="A1907" i="21"/>
  <c r="C1906" i="21"/>
  <c r="B1906" i="21"/>
  <c r="A1906" i="21"/>
  <c r="C1905" i="21"/>
  <c r="B1905" i="21"/>
  <c r="A1905" i="21"/>
  <c r="C1904" i="21"/>
  <c r="B1904" i="21"/>
  <c r="A1904" i="21"/>
  <c r="C1903" i="21"/>
  <c r="B1903" i="21"/>
  <c r="A1903" i="21"/>
  <c r="C1902" i="21"/>
  <c r="B1902" i="21"/>
  <c r="A1902" i="21"/>
  <c r="C1901" i="21"/>
  <c r="B1901" i="21"/>
  <c r="A1901" i="21"/>
  <c r="C1900" i="21"/>
  <c r="B1900" i="21"/>
  <c r="A1900" i="21"/>
  <c r="C1899" i="21"/>
  <c r="B1899" i="21"/>
  <c r="A1899" i="21"/>
  <c r="C1898" i="21"/>
  <c r="B1898" i="21"/>
  <c r="A1898" i="21"/>
  <c r="C1897" i="21"/>
  <c r="B1897" i="21"/>
  <c r="A1897" i="21"/>
  <c r="C1896" i="21"/>
  <c r="B1896" i="21"/>
  <c r="A1896" i="21"/>
  <c r="C1895" i="21"/>
  <c r="B1895" i="21"/>
  <c r="A1895" i="21"/>
  <c r="C1894" i="21"/>
  <c r="B1894" i="21"/>
  <c r="A1894" i="21"/>
  <c r="C1893" i="21"/>
  <c r="B1893" i="21"/>
  <c r="A1893" i="21"/>
  <c r="C1892" i="21"/>
  <c r="B1892" i="21"/>
  <c r="A1892" i="21"/>
  <c r="C1891" i="21"/>
  <c r="B1891" i="21"/>
  <c r="A1891" i="21"/>
  <c r="C1890" i="21"/>
  <c r="B1890" i="21"/>
  <c r="A1890" i="21"/>
  <c r="C1889" i="21"/>
  <c r="B1889" i="21"/>
  <c r="A1889" i="21"/>
  <c r="C1888" i="21"/>
  <c r="B1888" i="21"/>
  <c r="A1888" i="21"/>
  <c r="C1887" i="21"/>
  <c r="B1887" i="21"/>
  <c r="A1887" i="21"/>
  <c r="C1886" i="21"/>
  <c r="B1886" i="21"/>
  <c r="A1886" i="21"/>
  <c r="C1885" i="21"/>
  <c r="B1885" i="21"/>
  <c r="A1885" i="21"/>
  <c r="C1884" i="21"/>
  <c r="B1884" i="21"/>
  <c r="A1884" i="21"/>
  <c r="C1883" i="21"/>
  <c r="B1883" i="21"/>
  <c r="A1883" i="21"/>
  <c r="C1882" i="21"/>
  <c r="B1882" i="21"/>
  <c r="A1882" i="21"/>
  <c r="C1881" i="21"/>
  <c r="B1881" i="21"/>
  <c r="A1881" i="21"/>
  <c r="C1880" i="21"/>
  <c r="B1880" i="21"/>
  <c r="A1880" i="21"/>
  <c r="C1879" i="21"/>
  <c r="B1879" i="21"/>
  <c r="A1879" i="21"/>
  <c r="C1878" i="21"/>
  <c r="B1878" i="21"/>
  <c r="A1878" i="21"/>
  <c r="C1877" i="21"/>
  <c r="B1877" i="21"/>
  <c r="A1877" i="21"/>
  <c r="C1876" i="21"/>
  <c r="B1876" i="21"/>
  <c r="A1876" i="21"/>
  <c r="C1875" i="21"/>
  <c r="B1875" i="21"/>
  <c r="A1875" i="21"/>
  <c r="C1874" i="21"/>
  <c r="B1874" i="21"/>
  <c r="A1874" i="21"/>
  <c r="C1873" i="21"/>
  <c r="B1873" i="21"/>
  <c r="A1873" i="21"/>
  <c r="C1872" i="21"/>
  <c r="B1872" i="21"/>
  <c r="A1872" i="21"/>
  <c r="C1871" i="21"/>
  <c r="B1871" i="21"/>
  <c r="A1871" i="21"/>
  <c r="C1870" i="21"/>
  <c r="B1870" i="21"/>
  <c r="A1870" i="21"/>
  <c r="C1869" i="21"/>
  <c r="B1869" i="21"/>
  <c r="A1869" i="21"/>
  <c r="C1868" i="21"/>
  <c r="B1868" i="21"/>
  <c r="A1868" i="21"/>
  <c r="C1867" i="21"/>
  <c r="B1867" i="21"/>
  <c r="A1867" i="21"/>
  <c r="C1866" i="21"/>
  <c r="B1866" i="21"/>
  <c r="A1866" i="21"/>
  <c r="C1865" i="21"/>
  <c r="B1865" i="21"/>
  <c r="A1865" i="21"/>
  <c r="C1864" i="21"/>
  <c r="B1864" i="21"/>
  <c r="A1864" i="21"/>
  <c r="C1863" i="21"/>
  <c r="B1863" i="21"/>
  <c r="A1863" i="21"/>
  <c r="C1862" i="21"/>
  <c r="B1862" i="21"/>
  <c r="A1862" i="21"/>
  <c r="C1861" i="21"/>
  <c r="B1861" i="21"/>
  <c r="A1861" i="21"/>
  <c r="C1860" i="21"/>
  <c r="B1860" i="21"/>
  <c r="A1860" i="21"/>
  <c r="C1859" i="21"/>
  <c r="B1859" i="21"/>
  <c r="A1859" i="21"/>
  <c r="C1858" i="21"/>
  <c r="B1858" i="21"/>
  <c r="A1858" i="21"/>
  <c r="C1857" i="21"/>
  <c r="B1857" i="21"/>
  <c r="A1857" i="21"/>
  <c r="C1856" i="21"/>
  <c r="B1856" i="21"/>
  <c r="A1856" i="21"/>
  <c r="C1855" i="21"/>
  <c r="B1855" i="21"/>
  <c r="A1855" i="21"/>
  <c r="C1854" i="21"/>
  <c r="B1854" i="21"/>
  <c r="A1854" i="21"/>
  <c r="C1853" i="21"/>
  <c r="B1853" i="21"/>
  <c r="A1853" i="21"/>
  <c r="C1852" i="21"/>
  <c r="B1852" i="21"/>
  <c r="A1852" i="21"/>
  <c r="C1851" i="21"/>
  <c r="B1851" i="21"/>
  <c r="A1851" i="21"/>
  <c r="C1850" i="21"/>
  <c r="B1850" i="21"/>
  <c r="A1850" i="21"/>
  <c r="C1849" i="21"/>
  <c r="B1849" i="21"/>
  <c r="A1849" i="21"/>
  <c r="C1848" i="21"/>
  <c r="B1848" i="21"/>
  <c r="A1848" i="21"/>
  <c r="C1847" i="21"/>
  <c r="B1847" i="21"/>
  <c r="A1847" i="21"/>
  <c r="C1846" i="21"/>
  <c r="B1846" i="21"/>
  <c r="A1846" i="21"/>
  <c r="C1845" i="21"/>
  <c r="B1845" i="21"/>
  <c r="A1845" i="21"/>
  <c r="C1844" i="21"/>
  <c r="B1844" i="21"/>
  <c r="A1844" i="21"/>
  <c r="C1843" i="21"/>
  <c r="B1843" i="21"/>
  <c r="A1843" i="21"/>
  <c r="C1842" i="21"/>
  <c r="B1842" i="21"/>
  <c r="A1842" i="21"/>
  <c r="C1841" i="21"/>
  <c r="B1841" i="21"/>
  <c r="A1841" i="21"/>
  <c r="C1840" i="21"/>
  <c r="B1840" i="21"/>
  <c r="A1840" i="21"/>
  <c r="C1839" i="21"/>
  <c r="B1839" i="21"/>
  <c r="A1839" i="21"/>
  <c r="C1838" i="21"/>
  <c r="B1838" i="21"/>
  <c r="A1838" i="21"/>
  <c r="C1837" i="21"/>
  <c r="B1837" i="21"/>
  <c r="A1837" i="21"/>
  <c r="C1836" i="21"/>
  <c r="B1836" i="21"/>
  <c r="A1836" i="21"/>
  <c r="C1835" i="21"/>
  <c r="B1835" i="21"/>
  <c r="A1835" i="21"/>
  <c r="C1834" i="21"/>
  <c r="B1834" i="21"/>
  <c r="A1834" i="21"/>
  <c r="C1833" i="21"/>
  <c r="B1833" i="21"/>
  <c r="A1833" i="21"/>
  <c r="C1832" i="21"/>
  <c r="B1832" i="21"/>
  <c r="A1832" i="21"/>
  <c r="C1831" i="21"/>
  <c r="B1831" i="21"/>
  <c r="A1831" i="21"/>
  <c r="C1830" i="21"/>
  <c r="B1830" i="21"/>
  <c r="A1830" i="21"/>
  <c r="C1829" i="21"/>
  <c r="B1829" i="21"/>
  <c r="A1829" i="21"/>
  <c r="C1828" i="21"/>
  <c r="B1828" i="21"/>
  <c r="A1828" i="21"/>
  <c r="C1827" i="21"/>
  <c r="B1827" i="21"/>
  <c r="A1827" i="21"/>
  <c r="C1826" i="21"/>
  <c r="B1826" i="21"/>
  <c r="A1826" i="21"/>
  <c r="C1825" i="21"/>
  <c r="B1825" i="21"/>
  <c r="A1825" i="21"/>
  <c r="C1824" i="21"/>
  <c r="B1824" i="21"/>
  <c r="A1824" i="21"/>
  <c r="C1823" i="21"/>
  <c r="B1823" i="21"/>
  <c r="A1823" i="21"/>
  <c r="C1822" i="21"/>
  <c r="B1822" i="21"/>
  <c r="A1822" i="21"/>
  <c r="C1821" i="21"/>
  <c r="B1821" i="21"/>
  <c r="A1821" i="21"/>
  <c r="C1820" i="21"/>
  <c r="B1820" i="21"/>
  <c r="A1820" i="21"/>
  <c r="C1819" i="21"/>
  <c r="B1819" i="21"/>
  <c r="A1819" i="21"/>
  <c r="C1818" i="21"/>
  <c r="B1818" i="21"/>
  <c r="A1818" i="21"/>
  <c r="C1817" i="21"/>
  <c r="B1817" i="21"/>
  <c r="A1817" i="21"/>
  <c r="C1816" i="21"/>
  <c r="B1816" i="21"/>
  <c r="A1816" i="21"/>
  <c r="C1815" i="21"/>
  <c r="B1815" i="21"/>
  <c r="A1815" i="21"/>
  <c r="C1814" i="21"/>
  <c r="B1814" i="21"/>
  <c r="A1814" i="21"/>
  <c r="C1813" i="21"/>
  <c r="B1813" i="21"/>
  <c r="A1813" i="21"/>
  <c r="C1812" i="21"/>
  <c r="B1812" i="21"/>
  <c r="A1812" i="21"/>
  <c r="C1811" i="21"/>
  <c r="B1811" i="21"/>
  <c r="A1811" i="21"/>
  <c r="C1810" i="21"/>
  <c r="B1810" i="21"/>
  <c r="A1810" i="21"/>
  <c r="C1809" i="21"/>
  <c r="B1809" i="21"/>
  <c r="A1809" i="21"/>
  <c r="C1808" i="21"/>
  <c r="B1808" i="21"/>
  <c r="A1808" i="21"/>
  <c r="C1807" i="21"/>
  <c r="B1807" i="21"/>
  <c r="A1807" i="21"/>
  <c r="C1806" i="21"/>
  <c r="B1806" i="21"/>
  <c r="A1806" i="21"/>
  <c r="C1805" i="21"/>
  <c r="B1805" i="21"/>
  <c r="A1805" i="21"/>
  <c r="C1804" i="21"/>
  <c r="B1804" i="21"/>
  <c r="A1804" i="21"/>
  <c r="C1803" i="21"/>
  <c r="B1803" i="21"/>
  <c r="A1803" i="21"/>
  <c r="C1802" i="21"/>
  <c r="B1802" i="21"/>
  <c r="A1802" i="21"/>
  <c r="C1801" i="21"/>
  <c r="B1801" i="21"/>
  <c r="A1801" i="21"/>
  <c r="C1800" i="21"/>
  <c r="B1800" i="21"/>
  <c r="A1800" i="21"/>
  <c r="C1799" i="21"/>
  <c r="B1799" i="21"/>
  <c r="A1799" i="21"/>
  <c r="C1798" i="21"/>
  <c r="B1798" i="21"/>
  <c r="A1798" i="21"/>
  <c r="C1797" i="21"/>
  <c r="B1797" i="21"/>
  <c r="A1797" i="21"/>
  <c r="C1796" i="21"/>
  <c r="B1796" i="21"/>
  <c r="A1796" i="21"/>
  <c r="C1795" i="21"/>
  <c r="B1795" i="21"/>
  <c r="A1795" i="21"/>
  <c r="C1794" i="21"/>
  <c r="B1794" i="21"/>
  <c r="A1794" i="21"/>
  <c r="C1793" i="21"/>
  <c r="B1793" i="21"/>
  <c r="A1793" i="21"/>
  <c r="C1792" i="21"/>
  <c r="B1792" i="21"/>
  <c r="A1792" i="21"/>
  <c r="C1791" i="21"/>
  <c r="B1791" i="21"/>
  <c r="A1791" i="21"/>
  <c r="C1790" i="21"/>
  <c r="B1790" i="21"/>
  <c r="A1790" i="21"/>
  <c r="C1789" i="21"/>
  <c r="B1789" i="21"/>
  <c r="A1789" i="21"/>
  <c r="C1788" i="21"/>
  <c r="B1788" i="21"/>
  <c r="A1788" i="21"/>
  <c r="C1787" i="21"/>
  <c r="B1787" i="21"/>
  <c r="A1787" i="21"/>
  <c r="C1786" i="21"/>
  <c r="B1786" i="21"/>
  <c r="A1786" i="21"/>
  <c r="C1785" i="21"/>
  <c r="B1785" i="21"/>
  <c r="A1785" i="21"/>
  <c r="C1784" i="21"/>
  <c r="B1784" i="21"/>
  <c r="A1784" i="21"/>
  <c r="C1783" i="21"/>
  <c r="B1783" i="21"/>
  <c r="A1783" i="21"/>
  <c r="C1782" i="21"/>
  <c r="B1782" i="21"/>
  <c r="A1782" i="21"/>
  <c r="C1781" i="21"/>
  <c r="B1781" i="21"/>
  <c r="A1781" i="21"/>
  <c r="C1780" i="21"/>
  <c r="B1780" i="21"/>
  <c r="A1780" i="21"/>
  <c r="C1779" i="21"/>
  <c r="B1779" i="21"/>
  <c r="A1779" i="21"/>
  <c r="C1778" i="21"/>
  <c r="B1778" i="21"/>
  <c r="A1778" i="21"/>
  <c r="C1777" i="21"/>
  <c r="B1777" i="21"/>
  <c r="A1777" i="21"/>
  <c r="C1776" i="21"/>
  <c r="B1776" i="21"/>
  <c r="A1776" i="21"/>
  <c r="C1775" i="21"/>
  <c r="B1775" i="21"/>
  <c r="A1775" i="21"/>
  <c r="C1774" i="21"/>
  <c r="B1774" i="21"/>
  <c r="A1774" i="21"/>
  <c r="C1773" i="21"/>
  <c r="B1773" i="21"/>
  <c r="A1773" i="21"/>
  <c r="C1772" i="21"/>
  <c r="B1772" i="21"/>
  <c r="A1772" i="21"/>
  <c r="C1771" i="21"/>
  <c r="B1771" i="21"/>
  <c r="A1771" i="21"/>
  <c r="C1770" i="21"/>
  <c r="B1770" i="21"/>
  <c r="A1770" i="21"/>
  <c r="C1769" i="21"/>
  <c r="B1769" i="21"/>
  <c r="A1769" i="21"/>
  <c r="C1768" i="21"/>
  <c r="B1768" i="21"/>
  <c r="A1768" i="21"/>
  <c r="C1767" i="21"/>
  <c r="B1767" i="21"/>
  <c r="A1767" i="21"/>
  <c r="C1766" i="21"/>
  <c r="B1766" i="21"/>
  <c r="A1766" i="21"/>
  <c r="C1765" i="21"/>
  <c r="B1765" i="21"/>
  <c r="A1765" i="21"/>
  <c r="C1764" i="21"/>
  <c r="B1764" i="21"/>
  <c r="A1764" i="21"/>
  <c r="C1763" i="21"/>
  <c r="B1763" i="21"/>
  <c r="A1763" i="21"/>
  <c r="C1762" i="21"/>
  <c r="B1762" i="21"/>
  <c r="A1762" i="21"/>
  <c r="C1761" i="21"/>
  <c r="B1761" i="21"/>
  <c r="A1761" i="21"/>
  <c r="C1760" i="21"/>
  <c r="B1760" i="21"/>
  <c r="A1760" i="21"/>
  <c r="C1759" i="21"/>
  <c r="B1759" i="21"/>
  <c r="A1759" i="21"/>
  <c r="C1758" i="21"/>
  <c r="B1758" i="21"/>
  <c r="A1758" i="21"/>
  <c r="C1757" i="21"/>
  <c r="B1757" i="21"/>
  <c r="A1757" i="21"/>
  <c r="C1756" i="21"/>
  <c r="B1756" i="21"/>
  <c r="A1756" i="21"/>
  <c r="C1755" i="21"/>
  <c r="B1755" i="21"/>
  <c r="A1755" i="21"/>
  <c r="C1754" i="21"/>
  <c r="B1754" i="21"/>
  <c r="A1754" i="21"/>
  <c r="C1753" i="21"/>
  <c r="B1753" i="21"/>
  <c r="A1753" i="21"/>
  <c r="C1752" i="21"/>
  <c r="B1752" i="21"/>
  <c r="A1752" i="21"/>
  <c r="C1751" i="21"/>
  <c r="B1751" i="21"/>
  <c r="A1751" i="21"/>
  <c r="C1750" i="21"/>
  <c r="B1750" i="21"/>
  <c r="A1750" i="21"/>
  <c r="C1749" i="21"/>
  <c r="B1749" i="21"/>
  <c r="A1749" i="21"/>
  <c r="C1748" i="21"/>
  <c r="B1748" i="21"/>
  <c r="A1748" i="21"/>
  <c r="C1747" i="21"/>
  <c r="B1747" i="21"/>
  <c r="A1747" i="21"/>
  <c r="C1746" i="21"/>
  <c r="B1746" i="21"/>
  <c r="A1746" i="21"/>
  <c r="C1745" i="21"/>
  <c r="B1745" i="21"/>
  <c r="A1745" i="21"/>
  <c r="C1744" i="21"/>
  <c r="B1744" i="21"/>
  <c r="A1744" i="21"/>
  <c r="C1743" i="21"/>
  <c r="B1743" i="21"/>
  <c r="A1743" i="21"/>
  <c r="C1742" i="21"/>
  <c r="B1742" i="21"/>
  <c r="A1742" i="21"/>
  <c r="C1741" i="21"/>
  <c r="B1741" i="21"/>
  <c r="A1741" i="21"/>
  <c r="C1740" i="21"/>
  <c r="B1740" i="21"/>
  <c r="A1740" i="21"/>
  <c r="C1739" i="21"/>
  <c r="B1739" i="21"/>
  <c r="A1739" i="21"/>
  <c r="C1738" i="21"/>
  <c r="B1738" i="21"/>
  <c r="A1738" i="21"/>
  <c r="C1737" i="21"/>
  <c r="B1737" i="21"/>
  <c r="A1737" i="21"/>
  <c r="C1736" i="21"/>
  <c r="B1736" i="21"/>
  <c r="A1736" i="21"/>
  <c r="C1735" i="21"/>
  <c r="B1735" i="21"/>
  <c r="A1735" i="21"/>
  <c r="C1734" i="21"/>
  <c r="B1734" i="21"/>
  <c r="A1734" i="21"/>
  <c r="C1733" i="21"/>
  <c r="B1733" i="21"/>
  <c r="A1733" i="21"/>
  <c r="C1732" i="21"/>
  <c r="B1732" i="21"/>
  <c r="A1732" i="21"/>
  <c r="C1731" i="21"/>
  <c r="B1731" i="21"/>
  <c r="A1731" i="21"/>
  <c r="C1730" i="21"/>
  <c r="B1730" i="21"/>
  <c r="A1730" i="21"/>
  <c r="C1729" i="21"/>
  <c r="B1729" i="21"/>
  <c r="A1729" i="21"/>
  <c r="C1728" i="21"/>
  <c r="B1728" i="21"/>
  <c r="A1728" i="21"/>
  <c r="C1727" i="21"/>
  <c r="B1727" i="21"/>
  <c r="A1727" i="21"/>
  <c r="C1726" i="21"/>
  <c r="B1726" i="21"/>
  <c r="A1726" i="21"/>
  <c r="C1725" i="21"/>
  <c r="B1725" i="21"/>
  <c r="A1725" i="21"/>
  <c r="C1724" i="21"/>
  <c r="B1724" i="21"/>
  <c r="A1724" i="21"/>
  <c r="C1723" i="21"/>
  <c r="B1723" i="21"/>
  <c r="A1723" i="21"/>
  <c r="C1722" i="21"/>
  <c r="B1722" i="21"/>
  <c r="A1722" i="21"/>
  <c r="C1721" i="21"/>
  <c r="B1721" i="21"/>
  <c r="A1721" i="21"/>
  <c r="C1720" i="21"/>
  <c r="B1720" i="21"/>
  <c r="A1720" i="21"/>
  <c r="C1719" i="21"/>
  <c r="B1719" i="21"/>
  <c r="A1719" i="21"/>
  <c r="C1718" i="21"/>
  <c r="B1718" i="21"/>
  <c r="A1718" i="21"/>
  <c r="C1717" i="21"/>
  <c r="B1717" i="21"/>
  <c r="A1717" i="21"/>
  <c r="C1716" i="21"/>
  <c r="B1716" i="21"/>
  <c r="A1716" i="21"/>
  <c r="C1715" i="21"/>
  <c r="B1715" i="21"/>
  <c r="A1715" i="21"/>
  <c r="C1714" i="21"/>
  <c r="B1714" i="21"/>
  <c r="A1714" i="21"/>
  <c r="C1713" i="21"/>
  <c r="B1713" i="21"/>
  <c r="A1713" i="21"/>
  <c r="C1712" i="21"/>
  <c r="B1712" i="21"/>
  <c r="A1712" i="21"/>
  <c r="C1711" i="21"/>
  <c r="B1711" i="21"/>
  <c r="A1711" i="21"/>
  <c r="C1710" i="21"/>
  <c r="B1710" i="21"/>
  <c r="A1710" i="21"/>
  <c r="C1709" i="21"/>
  <c r="B1709" i="21"/>
  <c r="A1709" i="21"/>
  <c r="C1708" i="21"/>
  <c r="B1708" i="21"/>
  <c r="A1708" i="21"/>
  <c r="C1707" i="21"/>
  <c r="B1707" i="21"/>
  <c r="A1707" i="21"/>
  <c r="C1706" i="21"/>
  <c r="B1706" i="21"/>
  <c r="A1706" i="21"/>
  <c r="C1705" i="21"/>
  <c r="B1705" i="21"/>
  <c r="A1705" i="21"/>
  <c r="C1704" i="21"/>
  <c r="B1704" i="21"/>
  <c r="A1704" i="21"/>
  <c r="C1703" i="21"/>
  <c r="B1703" i="21"/>
  <c r="A1703" i="21"/>
  <c r="C1702" i="21"/>
  <c r="B1702" i="21"/>
  <c r="A1702" i="21"/>
  <c r="C1701" i="21"/>
  <c r="B1701" i="21"/>
  <c r="A1701" i="21"/>
  <c r="C1700" i="21"/>
  <c r="B1700" i="21"/>
  <c r="A1700" i="21"/>
  <c r="C1699" i="21"/>
  <c r="B1699" i="21"/>
  <c r="A1699" i="21"/>
  <c r="C1698" i="21"/>
  <c r="B1698" i="21"/>
  <c r="A1698" i="21"/>
  <c r="C1697" i="21"/>
  <c r="B1697" i="21"/>
  <c r="A1697" i="21"/>
  <c r="C1696" i="21"/>
  <c r="B1696" i="21"/>
  <c r="A1696" i="21"/>
  <c r="C1695" i="21"/>
  <c r="B1695" i="21"/>
  <c r="A1695" i="21"/>
  <c r="C1694" i="21"/>
  <c r="B1694" i="21"/>
  <c r="A1694" i="21"/>
  <c r="C1693" i="21"/>
  <c r="B1693" i="21"/>
  <c r="A1693" i="21"/>
  <c r="C1692" i="21"/>
  <c r="B1692" i="21"/>
  <c r="A1692" i="21"/>
  <c r="C1691" i="21"/>
  <c r="B1691" i="21"/>
  <c r="A1691" i="21"/>
  <c r="C1690" i="21"/>
  <c r="B1690" i="21"/>
  <c r="A1690" i="21"/>
  <c r="C1689" i="21"/>
  <c r="B1689" i="21"/>
  <c r="A1689" i="21"/>
  <c r="C1688" i="21"/>
  <c r="B1688" i="21"/>
  <c r="A1688" i="21"/>
  <c r="C1687" i="21"/>
  <c r="B1687" i="21"/>
  <c r="A1687" i="21"/>
  <c r="C1686" i="21"/>
  <c r="B1686" i="21"/>
  <c r="A1686" i="21"/>
  <c r="C1685" i="21"/>
  <c r="B1685" i="21"/>
  <c r="A1685" i="21"/>
  <c r="C1684" i="21"/>
  <c r="B1684" i="21"/>
  <c r="A1684" i="21"/>
  <c r="C1683" i="21"/>
  <c r="B1683" i="21"/>
  <c r="A1683" i="21"/>
  <c r="C1682" i="21"/>
  <c r="B1682" i="21"/>
  <c r="A1682" i="21"/>
  <c r="C1681" i="21"/>
  <c r="B1681" i="21"/>
  <c r="A1681" i="21"/>
  <c r="C1680" i="21"/>
  <c r="B1680" i="21"/>
  <c r="A1680" i="21"/>
  <c r="C1679" i="21"/>
  <c r="B1679" i="21"/>
  <c r="A1679" i="21"/>
  <c r="C1678" i="21"/>
  <c r="B1678" i="21"/>
  <c r="A1678" i="21"/>
  <c r="C1677" i="21"/>
  <c r="B1677" i="21"/>
  <c r="A1677" i="21"/>
  <c r="C1676" i="21"/>
  <c r="B1676" i="21"/>
  <c r="A1676" i="21"/>
  <c r="C1675" i="21"/>
  <c r="B1675" i="21"/>
  <c r="A1675" i="21"/>
  <c r="C1674" i="21"/>
  <c r="B1674" i="21"/>
  <c r="A1674" i="21"/>
  <c r="C1673" i="21"/>
  <c r="B1673" i="21"/>
  <c r="A1673" i="21"/>
  <c r="C1672" i="21"/>
  <c r="B1672" i="21"/>
  <c r="A1672" i="21"/>
  <c r="C1671" i="21"/>
  <c r="B1671" i="21"/>
  <c r="A1671" i="21"/>
  <c r="C1670" i="21"/>
  <c r="B1670" i="21"/>
  <c r="A1670" i="21"/>
  <c r="C1669" i="21"/>
  <c r="B1669" i="21"/>
  <c r="A1669" i="21"/>
  <c r="C1668" i="21"/>
  <c r="B1668" i="21"/>
  <c r="A1668" i="21"/>
  <c r="C1667" i="21"/>
  <c r="B1667" i="21"/>
  <c r="A1667" i="21"/>
  <c r="C1666" i="21"/>
  <c r="B1666" i="21"/>
  <c r="A1666" i="21"/>
  <c r="C1665" i="21"/>
  <c r="B1665" i="21"/>
  <c r="A1665" i="21"/>
  <c r="C1664" i="21"/>
  <c r="B1664" i="21"/>
  <c r="A1664" i="21"/>
  <c r="C1663" i="21"/>
  <c r="B1663" i="21"/>
  <c r="A1663" i="21"/>
  <c r="C1662" i="21"/>
  <c r="B1662" i="21"/>
  <c r="A1662" i="21"/>
  <c r="C1661" i="21"/>
  <c r="B1661" i="21"/>
  <c r="A1661" i="21"/>
  <c r="C1660" i="21"/>
  <c r="B1660" i="21"/>
  <c r="A1660" i="21"/>
  <c r="C1659" i="21"/>
  <c r="B1659" i="21"/>
  <c r="A1659" i="21"/>
  <c r="C1658" i="21"/>
  <c r="B1658" i="21"/>
  <c r="A1658" i="21"/>
  <c r="C1657" i="21"/>
  <c r="B1657" i="21"/>
  <c r="A1657" i="21"/>
  <c r="C1656" i="21"/>
  <c r="B1656" i="21"/>
  <c r="A1656" i="21"/>
  <c r="C1655" i="21"/>
  <c r="B1655" i="21"/>
  <c r="A1655" i="21"/>
  <c r="C1654" i="21"/>
  <c r="B1654" i="21"/>
  <c r="A1654" i="21"/>
  <c r="C1653" i="21"/>
  <c r="B1653" i="21"/>
  <c r="A1653" i="21"/>
  <c r="C1652" i="21"/>
  <c r="B1652" i="21"/>
  <c r="A1652" i="21"/>
  <c r="C1651" i="21"/>
  <c r="B1651" i="21"/>
  <c r="A1651" i="21"/>
  <c r="C1650" i="21"/>
  <c r="B1650" i="21"/>
  <c r="A1650" i="21"/>
  <c r="C1649" i="21"/>
  <c r="B1649" i="21"/>
  <c r="A1649" i="21"/>
  <c r="C1648" i="21"/>
  <c r="B1648" i="21"/>
  <c r="A1648" i="21"/>
  <c r="C1647" i="21"/>
  <c r="B1647" i="21"/>
  <c r="A1647" i="21"/>
  <c r="C1646" i="21"/>
  <c r="B1646" i="21"/>
  <c r="A1646" i="21"/>
  <c r="C1645" i="21"/>
  <c r="B1645" i="21"/>
  <c r="A1645" i="21"/>
  <c r="C1644" i="21"/>
  <c r="B1644" i="21"/>
  <c r="A1644" i="21"/>
  <c r="C1643" i="21"/>
  <c r="B1643" i="21"/>
  <c r="A1643" i="21"/>
  <c r="C1642" i="21"/>
  <c r="B1642" i="21"/>
  <c r="A1642" i="21"/>
  <c r="C1641" i="21"/>
  <c r="B1641" i="21"/>
  <c r="A1641" i="21"/>
  <c r="C1640" i="21"/>
  <c r="B1640" i="21"/>
  <c r="A1640" i="21"/>
  <c r="C1639" i="21"/>
  <c r="B1639" i="21"/>
  <c r="A1639" i="21"/>
  <c r="C1638" i="21"/>
  <c r="B1638" i="21"/>
  <c r="A1638" i="21"/>
  <c r="C1637" i="21"/>
  <c r="B1637" i="21"/>
  <c r="A1637" i="21"/>
  <c r="C1636" i="21"/>
  <c r="B1636" i="21"/>
  <c r="A1636" i="21"/>
  <c r="C1635" i="21"/>
  <c r="B1635" i="21"/>
  <c r="A1635" i="21"/>
  <c r="C1634" i="21"/>
  <c r="B1634" i="21"/>
  <c r="A1634" i="21"/>
  <c r="C1633" i="21"/>
  <c r="B1633" i="21"/>
  <c r="A1633" i="21"/>
  <c r="C1632" i="21"/>
  <c r="B1632" i="21"/>
  <c r="A1632" i="21"/>
  <c r="C1631" i="21"/>
  <c r="B1631" i="21"/>
  <c r="A1631" i="21"/>
  <c r="C1630" i="21"/>
  <c r="B1630" i="21"/>
  <c r="A1630" i="21"/>
  <c r="C1629" i="21"/>
  <c r="B1629" i="21"/>
  <c r="A1629" i="21"/>
  <c r="C1628" i="21"/>
  <c r="B1628" i="21"/>
  <c r="A1628" i="21"/>
  <c r="C1627" i="21"/>
  <c r="B1627" i="21"/>
  <c r="A1627" i="21"/>
  <c r="C1626" i="21"/>
  <c r="B1626" i="21"/>
  <c r="A1626" i="21"/>
  <c r="C1625" i="21"/>
  <c r="B1625" i="21"/>
  <c r="A1625" i="21"/>
  <c r="C1624" i="21"/>
  <c r="B1624" i="21"/>
  <c r="A1624" i="21"/>
  <c r="C1623" i="21"/>
  <c r="B1623" i="21"/>
  <c r="A1623" i="21"/>
  <c r="C1622" i="21"/>
  <c r="B1622" i="21"/>
  <c r="A1622" i="21"/>
  <c r="C1621" i="21"/>
  <c r="B1621" i="21"/>
  <c r="A1621" i="21"/>
  <c r="C1620" i="21"/>
  <c r="B1620" i="21"/>
  <c r="A1620" i="21"/>
  <c r="C1619" i="21"/>
  <c r="B1619" i="21"/>
  <c r="A1619" i="21"/>
  <c r="C1618" i="21"/>
  <c r="B1618" i="21"/>
  <c r="A1618" i="21"/>
  <c r="C1617" i="21"/>
  <c r="B1617" i="21"/>
  <c r="A1617" i="21"/>
  <c r="C1616" i="21"/>
  <c r="B1616" i="21"/>
  <c r="A1616" i="21"/>
  <c r="C1615" i="21"/>
  <c r="B1615" i="21"/>
  <c r="A1615" i="21"/>
  <c r="C1614" i="21"/>
  <c r="B1614" i="21"/>
  <c r="A1614" i="21"/>
  <c r="C1613" i="21"/>
  <c r="B1613" i="21"/>
  <c r="A1613" i="21"/>
  <c r="C1612" i="21"/>
  <c r="B1612" i="21"/>
  <c r="A1612" i="21"/>
  <c r="C1611" i="21"/>
  <c r="B1611" i="21"/>
  <c r="A1611" i="21"/>
  <c r="C1610" i="21"/>
  <c r="B1610" i="21"/>
  <c r="A1610" i="21"/>
  <c r="C1609" i="21"/>
  <c r="B1609" i="21"/>
  <c r="A1609" i="21"/>
  <c r="C1608" i="21"/>
  <c r="B1608" i="21"/>
  <c r="A1608" i="21"/>
  <c r="C1607" i="21"/>
  <c r="B1607" i="21"/>
  <c r="A1607" i="21"/>
  <c r="C1606" i="21"/>
  <c r="B1606" i="21"/>
  <c r="A1606" i="21"/>
  <c r="C1605" i="21"/>
  <c r="B1605" i="21"/>
  <c r="A1605" i="21"/>
  <c r="C1604" i="21"/>
  <c r="B1604" i="21"/>
  <c r="A1604" i="21"/>
  <c r="C1603" i="21"/>
  <c r="B1603" i="21"/>
  <c r="A1603" i="21"/>
  <c r="C1602" i="21"/>
  <c r="B1602" i="21"/>
  <c r="A1602" i="21"/>
  <c r="C1601" i="21"/>
  <c r="B1601" i="21"/>
  <c r="A1601" i="21"/>
  <c r="C1600" i="21"/>
  <c r="B1600" i="21"/>
  <c r="A1600" i="21"/>
  <c r="C1599" i="21"/>
  <c r="B1599" i="21"/>
  <c r="A1599" i="21"/>
  <c r="C1598" i="21"/>
  <c r="B1598" i="21"/>
  <c r="A1598" i="21"/>
  <c r="C1597" i="21"/>
  <c r="B1597" i="21"/>
  <c r="A1597" i="21"/>
  <c r="C1596" i="21"/>
  <c r="B1596" i="21"/>
  <c r="A1596" i="21"/>
  <c r="C1595" i="21"/>
  <c r="B1595" i="21"/>
  <c r="A1595" i="21"/>
  <c r="C1594" i="21"/>
  <c r="B1594" i="21"/>
  <c r="A1594" i="21"/>
  <c r="C1593" i="21"/>
  <c r="B1593" i="21"/>
  <c r="A1593" i="21"/>
  <c r="C1592" i="21"/>
  <c r="B1592" i="21"/>
  <c r="A1592" i="21"/>
  <c r="C1591" i="21"/>
  <c r="B1591" i="21"/>
  <c r="A1591" i="21"/>
  <c r="C1590" i="21"/>
  <c r="B1590" i="21"/>
  <c r="A1590" i="21"/>
  <c r="C1589" i="21"/>
  <c r="B1589" i="21"/>
  <c r="A1589" i="21"/>
  <c r="C1588" i="21"/>
  <c r="B1588" i="21"/>
  <c r="A1588" i="21"/>
  <c r="C1587" i="21"/>
  <c r="B1587" i="21"/>
  <c r="A1587" i="21"/>
  <c r="C1586" i="21"/>
  <c r="B1586" i="21"/>
  <c r="A1586" i="21"/>
  <c r="C1585" i="21"/>
  <c r="B1585" i="21"/>
  <c r="A1585" i="21"/>
  <c r="C1584" i="21"/>
  <c r="B1584" i="21"/>
  <c r="A1584" i="21"/>
  <c r="C1583" i="21"/>
  <c r="B1583" i="21"/>
  <c r="A1583" i="21"/>
  <c r="C1582" i="21"/>
  <c r="B1582" i="21"/>
  <c r="A1582" i="21"/>
  <c r="C1581" i="21"/>
  <c r="B1581" i="21"/>
  <c r="A1581" i="21"/>
  <c r="C1580" i="21"/>
  <c r="B1580" i="21"/>
  <c r="A1580" i="21"/>
  <c r="C1579" i="21"/>
  <c r="B1579" i="21"/>
  <c r="A1579" i="21"/>
  <c r="C1578" i="21"/>
  <c r="B1578" i="21"/>
  <c r="A1578" i="21"/>
  <c r="C1577" i="21"/>
  <c r="B1577" i="21"/>
  <c r="A1577" i="21"/>
  <c r="C1576" i="21"/>
  <c r="B1576" i="21"/>
  <c r="A1576" i="21"/>
  <c r="C1575" i="21"/>
  <c r="B1575" i="21"/>
  <c r="A1575" i="21"/>
  <c r="C1574" i="21"/>
  <c r="B1574" i="21"/>
  <c r="A1574" i="21"/>
  <c r="C1573" i="21"/>
  <c r="B1573" i="21"/>
  <c r="A1573" i="21"/>
  <c r="C1572" i="21"/>
  <c r="B1572" i="21"/>
  <c r="A1572" i="21"/>
  <c r="C1571" i="21"/>
  <c r="B1571" i="21"/>
  <c r="A1571" i="21"/>
  <c r="C1570" i="21"/>
  <c r="B1570" i="21"/>
  <c r="A1570" i="21"/>
  <c r="C1569" i="21"/>
  <c r="B1569" i="21"/>
  <c r="A1569" i="21"/>
  <c r="C1568" i="21"/>
  <c r="B1568" i="21"/>
  <c r="A1568" i="21"/>
  <c r="C1567" i="21"/>
  <c r="B1567" i="21"/>
  <c r="A1567" i="21"/>
  <c r="C1566" i="21"/>
  <c r="B1566" i="21"/>
  <c r="A1566" i="21"/>
  <c r="C1565" i="21"/>
  <c r="B1565" i="21"/>
  <c r="A1565" i="21"/>
  <c r="C1564" i="21"/>
  <c r="B1564" i="21"/>
  <c r="A1564" i="21"/>
  <c r="C1563" i="21"/>
  <c r="B1563" i="21"/>
  <c r="A1563" i="21"/>
  <c r="C1562" i="21"/>
  <c r="B1562" i="21"/>
  <c r="A1562" i="21"/>
  <c r="C1561" i="21"/>
  <c r="B1561" i="21"/>
  <c r="A1561" i="21"/>
  <c r="C1560" i="21"/>
  <c r="B1560" i="21"/>
  <c r="A1560" i="21"/>
  <c r="C1559" i="21"/>
  <c r="B1559" i="21"/>
  <c r="A1559" i="21"/>
  <c r="C1558" i="21"/>
  <c r="B1558" i="21"/>
  <c r="A1558" i="21"/>
  <c r="C1557" i="21"/>
  <c r="B1557" i="21"/>
  <c r="A1557" i="21"/>
  <c r="C1556" i="21"/>
  <c r="B1556" i="21"/>
  <c r="A1556" i="21"/>
  <c r="C1555" i="21"/>
  <c r="B1555" i="21"/>
  <c r="A1555" i="21"/>
  <c r="C1554" i="21"/>
  <c r="B1554" i="21"/>
  <c r="A1554" i="21"/>
  <c r="C1553" i="21"/>
  <c r="B1553" i="21"/>
  <c r="A1553" i="21"/>
  <c r="C1552" i="21"/>
  <c r="B1552" i="21"/>
  <c r="A1552" i="21"/>
  <c r="C1551" i="21"/>
  <c r="B1551" i="21"/>
  <c r="A1551" i="21"/>
  <c r="C1550" i="21"/>
  <c r="B1550" i="21"/>
  <c r="A1550" i="21"/>
  <c r="C1549" i="21"/>
  <c r="B1549" i="21"/>
  <c r="A1549" i="21"/>
  <c r="C1548" i="21"/>
  <c r="B1548" i="21"/>
  <c r="A1548" i="21"/>
  <c r="C1547" i="21"/>
  <c r="B1547" i="21"/>
  <c r="A1547" i="21"/>
  <c r="C1546" i="21"/>
  <c r="B1546" i="21"/>
  <c r="A1546" i="21"/>
  <c r="C1545" i="21"/>
  <c r="B1545" i="21"/>
  <c r="A1545" i="21"/>
  <c r="C1544" i="21"/>
  <c r="B1544" i="21"/>
  <c r="A1544" i="21"/>
  <c r="C1543" i="21"/>
  <c r="B1543" i="21"/>
  <c r="A1543" i="21"/>
  <c r="C1542" i="21"/>
  <c r="B1542" i="21"/>
  <c r="A1542" i="21"/>
  <c r="C1541" i="21"/>
  <c r="B1541" i="21"/>
  <c r="A1541" i="21"/>
  <c r="C1540" i="21"/>
  <c r="B1540" i="21"/>
  <c r="A1540" i="21"/>
  <c r="C1539" i="21"/>
  <c r="B1539" i="21"/>
  <c r="A1539" i="21"/>
  <c r="C1538" i="21"/>
  <c r="B1538" i="21"/>
  <c r="A1538" i="21"/>
  <c r="C1537" i="21"/>
  <c r="B1537" i="21"/>
  <c r="A1537" i="21"/>
  <c r="C1536" i="21"/>
  <c r="B1536" i="21"/>
  <c r="A1536" i="21"/>
  <c r="C1535" i="21"/>
  <c r="B1535" i="21"/>
  <c r="A1535" i="21"/>
  <c r="C1534" i="21"/>
  <c r="B1534" i="21"/>
  <c r="A1534" i="21"/>
  <c r="C1533" i="21"/>
  <c r="B1533" i="21"/>
  <c r="A1533" i="21"/>
  <c r="C1532" i="21"/>
  <c r="B1532" i="21"/>
  <c r="A1532" i="21"/>
  <c r="C1531" i="21"/>
  <c r="B1531" i="21"/>
  <c r="A1531" i="21"/>
  <c r="C1530" i="21"/>
  <c r="B1530" i="21"/>
  <c r="A1530" i="21"/>
  <c r="C1529" i="21"/>
  <c r="B1529" i="21"/>
  <c r="A1529" i="21"/>
  <c r="C1528" i="21"/>
  <c r="B1528" i="21"/>
  <c r="A1528" i="21"/>
  <c r="C1527" i="21"/>
  <c r="B1527" i="21"/>
  <c r="A1527" i="21"/>
  <c r="C1526" i="21"/>
  <c r="B1526" i="21"/>
  <c r="A1526" i="21"/>
  <c r="C1525" i="21"/>
  <c r="B1525" i="21"/>
  <c r="A1525" i="21"/>
  <c r="C1524" i="21"/>
  <c r="B1524" i="21"/>
  <c r="A1524" i="21"/>
  <c r="C1523" i="21"/>
  <c r="B1523" i="21"/>
  <c r="A1523" i="21"/>
  <c r="C1522" i="21"/>
  <c r="B1522" i="21"/>
  <c r="A1522" i="21"/>
  <c r="C1521" i="21"/>
  <c r="B1521" i="21"/>
  <c r="A1521" i="21"/>
  <c r="C1520" i="21"/>
  <c r="B1520" i="21"/>
  <c r="A1520" i="21"/>
  <c r="C1519" i="21"/>
  <c r="B1519" i="21"/>
  <c r="A1519" i="21"/>
  <c r="C1518" i="21"/>
  <c r="B1518" i="21"/>
  <c r="A1518" i="21"/>
  <c r="C1517" i="21"/>
  <c r="B1517" i="21"/>
  <c r="A1517" i="21"/>
  <c r="C1516" i="21"/>
  <c r="B1516" i="21"/>
  <c r="A1516" i="21"/>
  <c r="C1515" i="21"/>
  <c r="B1515" i="21"/>
  <c r="A1515" i="21"/>
  <c r="C1514" i="21"/>
  <c r="B1514" i="21"/>
  <c r="A1514" i="21"/>
  <c r="C1513" i="21"/>
  <c r="B1513" i="21"/>
  <c r="A1513" i="21"/>
  <c r="C1512" i="21"/>
  <c r="B1512" i="21"/>
  <c r="A1512" i="21"/>
  <c r="C1511" i="21"/>
  <c r="B1511" i="21"/>
  <c r="A1511" i="21"/>
  <c r="C1510" i="21"/>
  <c r="B1510" i="21"/>
  <c r="A1510" i="21"/>
  <c r="C1509" i="21"/>
  <c r="B1509" i="21"/>
  <c r="A1509" i="21"/>
  <c r="C1508" i="21"/>
  <c r="B1508" i="21"/>
  <c r="A1508" i="21"/>
  <c r="C1507" i="21"/>
  <c r="B1507" i="21"/>
  <c r="A1507" i="21"/>
  <c r="C1506" i="21"/>
  <c r="B1506" i="21"/>
  <c r="A1506" i="21"/>
  <c r="C1505" i="21"/>
  <c r="B1505" i="21"/>
  <c r="A1505" i="21"/>
  <c r="C1504" i="21"/>
  <c r="B1504" i="21"/>
  <c r="A1504" i="21"/>
  <c r="C1503" i="21"/>
  <c r="B1503" i="21"/>
  <c r="A1503" i="21"/>
  <c r="C1502" i="21"/>
  <c r="B1502" i="21"/>
  <c r="A1502" i="21"/>
  <c r="C1501" i="21"/>
  <c r="B1501" i="21"/>
  <c r="A1501" i="21"/>
  <c r="C1500" i="21"/>
  <c r="B1500" i="21"/>
  <c r="A1500" i="21"/>
  <c r="C1499" i="21"/>
  <c r="B1499" i="21"/>
  <c r="A1499" i="21"/>
  <c r="C1498" i="21"/>
  <c r="B1498" i="21"/>
  <c r="A1498" i="21"/>
  <c r="C1497" i="21"/>
  <c r="B1497" i="21"/>
  <c r="A1497" i="21"/>
  <c r="C1496" i="21"/>
  <c r="B1496" i="21"/>
  <c r="A1496" i="21"/>
  <c r="C1495" i="21"/>
  <c r="B1495" i="21"/>
  <c r="A1495" i="21"/>
  <c r="C1494" i="21"/>
  <c r="B1494" i="21"/>
  <c r="A1494" i="21"/>
  <c r="C1493" i="21"/>
  <c r="B1493" i="21"/>
  <c r="A1493" i="21"/>
  <c r="C1492" i="21"/>
  <c r="B1492" i="21"/>
  <c r="A1492" i="21"/>
  <c r="C1491" i="21"/>
  <c r="B1491" i="21"/>
  <c r="A1491" i="21"/>
  <c r="C1490" i="21"/>
  <c r="B1490" i="21"/>
  <c r="A1490" i="21"/>
  <c r="C1489" i="21"/>
  <c r="B1489" i="21"/>
  <c r="A1489" i="21"/>
  <c r="C1488" i="21"/>
  <c r="B1488" i="21"/>
  <c r="A1488" i="21"/>
  <c r="C1487" i="21"/>
  <c r="B1487" i="21"/>
  <c r="A1487" i="21"/>
  <c r="C1486" i="21"/>
  <c r="B1486" i="21"/>
  <c r="A1486" i="21"/>
  <c r="C1485" i="21"/>
  <c r="B1485" i="21"/>
  <c r="A1485" i="21"/>
  <c r="C1484" i="21"/>
  <c r="B1484" i="21"/>
  <c r="A1484" i="21"/>
  <c r="C1483" i="21"/>
  <c r="B1483" i="21"/>
  <c r="A1483" i="21"/>
  <c r="C1482" i="21"/>
  <c r="B1482" i="21"/>
  <c r="A1482" i="21"/>
  <c r="C1481" i="21"/>
  <c r="B1481" i="21"/>
  <c r="A1481" i="21"/>
  <c r="C1480" i="21"/>
  <c r="B1480" i="21"/>
  <c r="A1480" i="21"/>
  <c r="C1479" i="21"/>
  <c r="B1479" i="21"/>
  <c r="A1479" i="21"/>
  <c r="C1478" i="21"/>
  <c r="B1478" i="21"/>
  <c r="A1478" i="21"/>
  <c r="C1477" i="21"/>
  <c r="B1477" i="21"/>
  <c r="A1477" i="21"/>
  <c r="C1476" i="21"/>
  <c r="B1476" i="21"/>
  <c r="A1476" i="21"/>
  <c r="C1475" i="21"/>
  <c r="B1475" i="21"/>
  <c r="A1475" i="21"/>
  <c r="C1474" i="21"/>
  <c r="B1474" i="21"/>
  <c r="A1474" i="21"/>
  <c r="C1473" i="21"/>
  <c r="B1473" i="21"/>
  <c r="A1473" i="21"/>
  <c r="C1472" i="21"/>
  <c r="B1472" i="21"/>
  <c r="A1472" i="21"/>
  <c r="C1471" i="21"/>
  <c r="B1471" i="21"/>
  <c r="A1471" i="21"/>
  <c r="C1470" i="21"/>
  <c r="B1470" i="21"/>
  <c r="A1470" i="21"/>
  <c r="C1469" i="21"/>
  <c r="B1469" i="21"/>
  <c r="A1469" i="21"/>
  <c r="C1468" i="21"/>
  <c r="B1468" i="21"/>
  <c r="A1468" i="21"/>
  <c r="C1467" i="21"/>
  <c r="B1467" i="21"/>
  <c r="A1467" i="21"/>
  <c r="C1466" i="21"/>
  <c r="B1466" i="21"/>
  <c r="A1466" i="21"/>
  <c r="C1465" i="21"/>
  <c r="B1465" i="21"/>
  <c r="A1465" i="21"/>
  <c r="C1464" i="21"/>
  <c r="B1464" i="21"/>
  <c r="A1464" i="21"/>
  <c r="C1463" i="21"/>
  <c r="B1463" i="21"/>
  <c r="A1463" i="21"/>
  <c r="C1462" i="21"/>
  <c r="B1462" i="21"/>
  <c r="A1462" i="21"/>
  <c r="C1461" i="21"/>
  <c r="B1461" i="21"/>
  <c r="A1461" i="21"/>
  <c r="C1460" i="21"/>
  <c r="B1460" i="21"/>
  <c r="A1460" i="21"/>
  <c r="C1459" i="21"/>
  <c r="B1459" i="21"/>
  <c r="A1459" i="21"/>
  <c r="C1458" i="21"/>
  <c r="B1458" i="21"/>
  <c r="A1458" i="21"/>
  <c r="C1457" i="21"/>
  <c r="B1457" i="21"/>
  <c r="A1457" i="21"/>
  <c r="C1456" i="21"/>
  <c r="B1456" i="21"/>
  <c r="A1456" i="21"/>
  <c r="C1455" i="21"/>
  <c r="B1455" i="21"/>
  <c r="A1455" i="21"/>
  <c r="C1454" i="21"/>
  <c r="B1454" i="21"/>
  <c r="A1454" i="21"/>
  <c r="C1453" i="21"/>
  <c r="B1453" i="21"/>
  <c r="A1453" i="21"/>
  <c r="C1452" i="21"/>
  <c r="B1452" i="21"/>
  <c r="A1452" i="21"/>
  <c r="C1451" i="21"/>
  <c r="B1451" i="21"/>
  <c r="A1451" i="21"/>
  <c r="C1450" i="21"/>
  <c r="B1450" i="21"/>
  <c r="A1450" i="21"/>
  <c r="C1449" i="21"/>
  <c r="B1449" i="21"/>
  <c r="A1449" i="21"/>
  <c r="C1448" i="21"/>
  <c r="B1448" i="21"/>
  <c r="A1448" i="21"/>
  <c r="C1447" i="21"/>
  <c r="B1447" i="21"/>
  <c r="A1447" i="21"/>
  <c r="C1446" i="21"/>
  <c r="B1446" i="21"/>
  <c r="A1446" i="21"/>
  <c r="C1445" i="21"/>
  <c r="B1445" i="21"/>
  <c r="A1445" i="21"/>
  <c r="C1444" i="21"/>
  <c r="B1444" i="21"/>
  <c r="A1444" i="21"/>
  <c r="C1443" i="21"/>
  <c r="B1443" i="21"/>
  <c r="A1443" i="21"/>
  <c r="C1442" i="21"/>
  <c r="B1442" i="21"/>
  <c r="A1442" i="21"/>
  <c r="C1441" i="21"/>
  <c r="B1441" i="21"/>
  <c r="A1441" i="21"/>
  <c r="C1440" i="21"/>
  <c r="B1440" i="21"/>
  <c r="A1440" i="21"/>
  <c r="C1439" i="21"/>
  <c r="B1439" i="21"/>
  <c r="A1439" i="21"/>
  <c r="C1438" i="21"/>
  <c r="B1438" i="21"/>
  <c r="A1438" i="21"/>
  <c r="C1437" i="21"/>
  <c r="B1437" i="21"/>
  <c r="A1437" i="21"/>
  <c r="C1436" i="21"/>
  <c r="B1436" i="21"/>
  <c r="A1436" i="21"/>
  <c r="C1435" i="21"/>
  <c r="B1435" i="21"/>
  <c r="A1435" i="21"/>
  <c r="C1434" i="21"/>
  <c r="B1434" i="21"/>
  <c r="A1434" i="21"/>
  <c r="C1433" i="21"/>
  <c r="B1433" i="21"/>
  <c r="A1433" i="21"/>
  <c r="C1432" i="21"/>
  <c r="B1432" i="21"/>
  <c r="A1432" i="21"/>
  <c r="C1431" i="21"/>
  <c r="B1431" i="21"/>
  <c r="A1431" i="21"/>
  <c r="C1430" i="21"/>
  <c r="B1430" i="21"/>
  <c r="A1430" i="21"/>
  <c r="C1429" i="21"/>
  <c r="B1429" i="21"/>
  <c r="A1429" i="21"/>
  <c r="C1428" i="21"/>
  <c r="B1428" i="21"/>
  <c r="A1428" i="21"/>
  <c r="C1427" i="21"/>
  <c r="B1427" i="21"/>
  <c r="A1427" i="21"/>
  <c r="C1426" i="21"/>
  <c r="B1426" i="21"/>
  <c r="A1426" i="21"/>
  <c r="C1425" i="21"/>
  <c r="B1425" i="21"/>
  <c r="A1425" i="21"/>
  <c r="C1424" i="21"/>
  <c r="B1424" i="21"/>
  <c r="A1424" i="21"/>
  <c r="C1423" i="21"/>
  <c r="B1423" i="21"/>
  <c r="A1423" i="21"/>
  <c r="C1422" i="21"/>
  <c r="B1422" i="21"/>
  <c r="A1422" i="21"/>
  <c r="C1421" i="21"/>
  <c r="B1421" i="21"/>
  <c r="A1421" i="21"/>
  <c r="C1420" i="21"/>
  <c r="B1420" i="21"/>
  <c r="A1420" i="21"/>
  <c r="C1419" i="21"/>
  <c r="B1419" i="21"/>
  <c r="A1419" i="21"/>
  <c r="C1418" i="21"/>
  <c r="B1418" i="21"/>
  <c r="A1418" i="21"/>
  <c r="C1417" i="21"/>
  <c r="B1417" i="21"/>
  <c r="A1417" i="21"/>
  <c r="C1416" i="21"/>
  <c r="B1416" i="21"/>
  <c r="A1416" i="21"/>
  <c r="C1415" i="21"/>
  <c r="B1415" i="21"/>
  <c r="A1415" i="21"/>
  <c r="C1414" i="21"/>
  <c r="B1414" i="21"/>
  <c r="A1414" i="21"/>
  <c r="C1413" i="21"/>
  <c r="B1413" i="21"/>
  <c r="A1413" i="21"/>
  <c r="C1412" i="21"/>
  <c r="B1412" i="21"/>
  <c r="A1412" i="21"/>
  <c r="C1411" i="21"/>
  <c r="B1411" i="21"/>
  <c r="A1411" i="21"/>
  <c r="C1410" i="21"/>
  <c r="B1410" i="21"/>
  <c r="A1410" i="21"/>
  <c r="C1409" i="21"/>
  <c r="B1409" i="21"/>
  <c r="A1409" i="21"/>
  <c r="C1408" i="21"/>
  <c r="B1408" i="21"/>
  <c r="A1408" i="21"/>
  <c r="C1407" i="21"/>
  <c r="B1407" i="21"/>
  <c r="A1407" i="21"/>
  <c r="C1406" i="21"/>
  <c r="B1406" i="21"/>
  <c r="A1406" i="21"/>
  <c r="C1405" i="21"/>
  <c r="B1405" i="21"/>
  <c r="A1405" i="21"/>
  <c r="C1404" i="21"/>
  <c r="B1404" i="21"/>
  <c r="A1404" i="21"/>
  <c r="C1403" i="21"/>
  <c r="B1403" i="21"/>
  <c r="A1403" i="21"/>
  <c r="C1402" i="21"/>
  <c r="B1402" i="21"/>
  <c r="A1402" i="21"/>
  <c r="C1401" i="21"/>
  <c r="B1401" i="21"/>
  <c r="A1401" i="21"/>
  <c r="C1400" i="21"/>
  <c r="B1400" i="21"/>
  <c r="A1400" i="21"/>
  <c r="C1399" i="21"/>
  <c r="B1399" i="21"/>
  <c r="A1399" i="21"/>
  <c r="C1398" i="21"/>
  <c r="B1398" i="21"/>
  <c r="A1398" i="21"/>
  <c r="C1397" i="21"/>
  <c r="B1397" i="21"/>
  <c r="A1397" i="21"/>
  <c r="C1396" i="21"/>
  <c r="B1396" i="21"/>
  <c r="A1396" i="21"/>
  <c r="C1395" i="21"/>
  <c r="B1395" i="21"/>
  <c r="A1395" i="21"/>
  <c r="C1394" i="21"/>
  <c r="B1394" i="21"/>
  <c r="A1394" i="21"/>
  <c r="C1393" i="21"/>
  <c r="B1393" i="21"/>
  <c r="A1393" i="21"/>
  <c r="C1392" i="21"/>
  <c r="B1392" i="21"/>
  <c r="A1392" i="21"/>
  <c r="C1391" i="21"/>
  <c r="B1391" i="21"/>
  <c r="A1391" i="21"/>
  <c r="C1390" i="21"/>
  <c r="B1390" i="21"/>
  <c r="A1390" i="21"/>
  <c r="C1389" i="21"/>
  <c r="B1389" i="21"/>
  <c r="A1389" i="21"/>
  <c r="C1388" i="21"/>
  <c r="B1388" i="21"/>
  <c r="A1388" i="21"/>
  <c r="C1387" i="21"/>
  <c r="B1387" i="21"/>
  <c r="A1387" i="21"/>
  <c r="C1386" i="21"/>
  <c r="B1386" i="21"/>
  <c r="A1386" i="21"/>
  <c r="C1385" i="21"/>
  <c r="B1385" i="21"/>
  <c r="A1385" i="21"/>
  <c r="C1384" i="21"/>
  <c r="B1384" i="21"/>
  <c r="C1383" i="21"/>
  <c r="B1383" i="21"/>
  <c r="C1382" i="21"/>
  <c r="B1382" i="21"/>
  <c r="C1381" i="21"/>
  <c r="B1381" i="21"/>
  <c r="C1380" i="21"/>
  <c r="B1380" i="21"/>
  <c r="C1379" i="21"/>
  <c r="B1379" i="21"/>
  <c r="C1378" i="21"/>
  <c r="B1378" i="21"/>
  <c r="C1377" i="21"/>
  <c r="B1377" i="21"/>
  <c r="C1376" i="21"/>
  <c r="B1376" i="21"/>
  <c r="C1375" i="21"/>
  <c r="B1375" i="21"/>
  <c r="C1374" i="21"/>
  <c r="B1374" i="21"/>
  <c r="C1373" i="21"/>
  <c r="B1373" i="21"/>
  <c r="C1372" i="21"/>
  <c r="B1372" i="21"/>
  <c r="C1371" i="21"/>
  <c r="B1371" i="21"/>
  <c r="C1370" i="21"/>
  <c r="B1370" i="21"/>
  <c r="C1369" i="21"/>
  <c r="B1369" i="21"/>
  <c r="C1368" i="21"/>
  <c r="B1368" i="21"/>
  <c r="C1367" i="21"/>
  <c r="B1367" i="21"/>
  <c r="C1366" i="21"/>
  <c r="B1366" i="21"/>
  <c r="C1365" i="21"/>
  <c r="B1365" i="21"/>
  <c r="C1364" i="21"/>
  <c r="B1364" i="21"/>
  <c r="C1363" i="21"/>
  <c r="B1363" i="21"/>
  <c r="C1362" i="21"/>
  <c r="B1362" i="21"/>
  <c r="C1361" i="21"/>
  <c r="B1361" i="21"/>
  <c r="C1360" i="21"/>
  <c r="B1360" i="21"/>
  <c r="C1359" i="21"/>
  <c r="B1359" i="21"/>
  <c r="C1358" i="21"/>
  <c r="B1358" i="21"/>
  <c r="C1357" i="21"/>
  <c r="B1357" i="21"/>
  <c r="C1356" i="21"/>
  <c r="B1356" i="21"/>
  <c r="C1355" i="21"/>
  <c r="B1355" i="21"/>
  <c r="C1354" i="21"/>
  <c r="B1354" i="21"/>
  <c r="C1353" i="21"/>
  <c r="B1353" i="21"/>
  <c r="C1352" i="21"/>
  <c r="B1352" i="21"/>
  <c r="C1351" i="21"/>
  <c r="B1351" i="21"/>
  <c r="C1350" i="21"/>
  <c r="B1350" i="21"/>
  <c r="C1349" i="21"/>
  <c r="B1349" i="21"/>
  <c r="C1348" i="21"/>
  <c r="B1348" i="21"/>
  <c r="C1347" i="21"/>
  <c r="B1347" i="21"/>
  <c r="C1346" i="21"/>
  <c r="B1346" i="21"/>
  <c r="C1345" i="21"/>
  <c r="B1345" i="21"/>
  <c r="C1344" i="21"/>
  <c r="B1344" i="21"/>
  <c r="C1343" i="21"/>
  <c r="B1343" i="21"/>
  <c r="C1342" i="21"/>
  <c r="B1342" i="21"/>
  <c r="C1341" i="21"/>
  <c r="B1341" i="21"/>
  <c r="C1340" i="21"/>
  <c r="B1340" i="21"/>
  <c r="C1339" i="21"/>
  <c r="B1339" i="21"/>
  <c r="C1338" i="21"/>
  <c r="B1338" i="21"/>
  <c r="C1337" i="21"/>
  <c r="B1337" i="21"/>
  <c r="C1336" i="21"/>
  <c r="B1336" i="21"/>
  <c r="C1335" i="21"/>
  <c r="B1335" i="21"/>
  <c r="C1334" i="21"/>
  <c r="B1334" i="21"/>
  <c r="C1333" i="21"/>
  <c r="B1333" i="21"/>
  <c r="C1332" i="21"/>
  <c r="B1332" i="21"/>
  <c r="C1331" i="21"/>
  <c r="B1331" i="21"/>
  <c r="C1330" i="21"/>
  <c r="B1330" i="21"/>
  <c r="C1329" i="21"/>
  <c r="B1329" i="21"/>
  <c r="C1328" i="21"/>
  <c r="B1328" i="21"/>
  <c r="C1327" i="21"/>
  <c r="B1327" i="21"/>
  <c r="C1326" i="21"/>
  <c r="B1326" i="21"/>
  <c r="C1325" i="21"/>
  <c r="B1325" i="21"/>
  <c r="C1324" i="21"/>
  <c r="B1324" i="21"/>
  <c r="C1323" i="21"/>
  <c r="B1323" i="21"/>
  <c r="C1322" i="21"/>
  <c r="B1322" i="21"/>
  <c r="C1321" i="21"/>
  <c r="B1321" i="21"/>
  <c r="C1320" i="21"/>
  <c r="B1320" i="21"/>
  <c r="C1319" i="21"/>
  <c r="B1319" i="21"/>
  <c r="C1318" i="21"/>
  <c r="B1318" i="21"/>
  <c r="C1317" i="21"/>
  <c r="B1317" i="21"/>
  <c r="C1316" i="21"/>
  <c r="B1316" i="21"/>
  <c r="C1315" i="21"/>
  <c r="B1315" i="21"/>
  <c r="C1314" i="21"/>
  <c r="B1314" i="21"/>
  <c r="C1313" i="21"/>
  <c r="B1313" i="21"/>
  <c r="C1312" i="21"/>
  <c r="B1312" i="21"/>
  <c r="C1311" i="21"/>
  <c r="B1311" i="21"/>
  <c r="C1310" i="21"/>
  <c r="B1310" i="21"/>
  <c r="C1309" i="21"/>
  <c r="B1309" i="21"/>
  <c r="C1308" i="21"/>
  <c r="B1308" i="21"/>
  <c r="C1307" i="21"/>
  <c r="B1307" i="21"/>
  <c r="C1306" i="21"/>
  <c r="B1306" i="21"/>
  <c r="C1305" i="21"/>
  <c r="B1305" i="21"/>
  <c r="C1304" i="21"/>
  <c r="B1304" i="21"/>
  <c r="C1303" i="21"/>
  <c r="B1303" i="21"/>
  <c r="C1302" i="21"/>
  <c r="B1302" i="21"/>
  <c r="C1301" i="21"/>
  <c r="B1301" i="21"/>
  <c r="C1300" i="21"/>
  <c r="B1300" i="21"/>
  <c r="C1299" i="21"/>
  <c r="B1299" i="21"/>
  <c r="C1298" i="21"/>
  <c r="B1298" i="21"/>
  <c r="C1297" i="21"/>
  <c r="B1297" i="21"/>
  <c r="C1296" i="21"/>
  <c r="B1296" i="21"/>
  <c r="C1295" i="21"/>
  <c r="B1295" i="21"/>
  <c r="C1294" i="21"/>
  <c r="B1294" i="21"/>
  <c r="C1293" i="21"/>
  <c r="B1293" i="21"/>
  <c r="C1292" i="21"/>
  <c r="B1292" i="21"/>
  <c r="C1291" i="21"/>
  <c r="B1291" i="21"/>
  <c r="C1290" i="21"/>
  <c r="B1290" i="21"/>
  <c r="C1289" i="21"/>
  <c r="B1289" i="21"/>
  <c r="C1288" i="21"/>
  <c r="B1288" i="21"/>
  <c r="C1287" i="21"/>
  <c r="B1287" i="21"/>
  <c r="C1286" i="21"/>
  <c r="B1286" i="21"/>
  <c r="C1285" i="21"/>
  <c r="B1285" i="21"/>
  <c r="C1284" i="21"/>
  <c r="B1284" i="21"/>
  <c r="C1283" i="21"/>
  <c r="B1283" i="21"/>
  <c r="C1282" i="21"/>
  <c r="B1282" i="21"/>
  <c r="C1281" i="21"/>
  <c r="B1281" i="21"/>
  <c r="C1280" i="21"/>
  <c r="B1280" i="21"/>
  <c r="C1279" i="21"/>
  <c r="B1279" i="21"/>
  <c r="C1278" i="21"/>
  <c r="B1278" i="21"/>
  <c r="C1277" i="21"/>
  <c r="B1277" i="21"/>
  <c r="C1276" i="21"/>
  <c r="B1276" i="21"/>
  <c r="C1275" i="21"/>
  <c r="B1275" i="21"/>
  <c r="C1274" i="21"/>
  <c r="B1274" i="21"/>
  <c r="C1273" i="21"/>
  <c r="B1273" i="21"/>
  <c r="C1272" i="21"/>
  <c r="B1272" i="21"/>
  <c r="C1271" i="21"/>
  <c r="B1271" i="21"/>
  <c r="C1270" i="21"/>
  <c r="B1270" i="21"/>
  <c r="C1269" i="21"/>
  <c r="B1269" i="21"/>
  <c r="C1268" i="21"/>
  <c r="B1268" i="21"/>
  <c r="C1267" i="21"/>
  <c r="B1267" i="21"/>
  <c r="C1266" i="21"/>
  <c r="B1266" i="21"/>
  <c r="C1265" i="21"/>
  <c r="B1265" i="21"/>
  <c r="C1264" i="21"/>
  <c r="B1264" i="21"/>
  <c r="C1263" i="21"/>
  <c r="B1263" i="21"/>
  <c r="C1262" i="21"/>
  <c r="B1262" i="21"/>
  <c r="C1261" i="21"/>
  <c r="B1261" i="21"/>
  <c r="C1260" i="21"/>
  <c r="B1260" i="21"/>
  <c r="C1259" i="21"/>
  <c r="B1259" i="21"/>
  <c r="C1258" i="21"/>
  <c r="B1258" i="21"/>
  <c r="C1257" i="21"/>
  <c r="B1257" i="21"/>
  <c r="C1256" i="21"/>
  <c r="B1256" i="21"/>
  <c r="C1255" i="21"/>
  <c r="B1255" i="21"/>
  <c r="C1254" i="21"/>
  <c r="B1254" i="21"/>
  <c r="C1253" i="21"/>
  <c r="B1253" i="21"/>
  <c r="C1252" i="21"/>
  <c r="B1252" i="21"/>
  <c r="C1251" i="21"/>
  <c r="B1251" i="21"/>
  <c r="C1250" i="21"/>
  <c r="B1250" i="21"/>
  <c r="C1249" i="21"/>
  <c r="B1249" i="21"/>
  <c r="C1248" i="21"/>
  <c r="B1248" i="21"/>
  <c r="C1247" i="21"/>
  <c r="B1247" i="21"/>
  <c r="C1246" i="21"/>
  <c r="B1246" i="21"/>
  <c r="C1245" i="21"/>
  <c r="B1245" i="21"/>
  <c r="C1244" i="21"/>
  <c r="B1244" i="21"/>
  <c r="C1243" i="21"/>
  <c r="B1243" i="21"/>
  <c r="C1242" i="21"/>
  <c r="B1242" i="21"/>
  <c r="C1241" i="21"/>
  <c r="B1241" i="21"/>
  <c r="C1240" i="21"/>
  <c r="B1240" i="21"/>
  <c r="C1239" i="21"/>
  <c r="B1239" i="21"/>
  <c r="C1238" i="21"/>
  <c r="B1238" i="21"/>
  <c r="C1237" i="21"/>
  <c r="B1237" i="21"/>
  <c r="C1236" i="21"/>
  <c r="B1236" i="21"/>
  <c r="C1235" i="21"/>
  <c r="B1235" i="21"/>
  <c r="C1234" i="21"/>
  <c r="B1234" i="21"/>
  <c r="C1233" i="21"/>
  <c r="B1233" i="21"/>
  <c r="C1232" i="21"/>
  <c r="B1232" i="21"/>
  <c r="C1231" i="21"/>
  <c r="B1231" i="21"/>
  <c r="C1230" i="21"/>
  <c r="B1230" i="21"/>
  <c r="C1229" i="21"/>
  <c r="B1229" i="21"/>
  <c r="C1228" i="21"/>
  <c r="B1228" i="21"/>
  <c r="C1227" i="21"/>
  <c r="B1227" i="21"/>
  <c r="C1226" i="21"/>
  <c r="B1226" i="21"/>
  <c r="C1225" i="21"/>
  <c r="B1225" i="21"/>
  <c r="C1224" i="21"/>
  <c r="B1224" i="21"/>
  <c r="C1223" i="21"/>
  <c r="B1223" i="21"/>
  <c r="C1222" i="21"/>
  <c r="B1222" i="21"/>
  <c r="C1221" i="21"/>
  <c r="B1221" i="21"/>
  <c r="C1220" i="21"/>
  <c r="B1220" i="21"/>
  <c r="C1219" i="21"/>
  <c r="B1219" i="21"/>
  <c r="C1218" i="21"/>
  <c r="B1218" i="21"/>
  <c r="C1217" i="21"/>
  <c r="B1217" i="21"/>
  <c r="C1216" i="21"/>
  <c r="B1216" i="21"/>
  <c r="C1215" i="21"/>
  <c r="B1215" i="21"/>
  <c r="C1214" i="21"/>
  <c r="B1214" i="21"/>
  <c r="C1213" i="21"/>
  <c r="B1213" i="21"/>
  <c r="C1212" i="21"/>
  <c r="B1212" i="21"/>
  <c r="C1211" i="21"/>
  <c r="B1211" i="21"/>
  <c r="C1210" i="21"/>
  <c r="B1210" i="21"/>
  <c r="C1209" i="21"/>
  <c r="B1209" i="21"/>
  <c r="C1208" i="21"/>
  <c r="B1208" i="21"/>
  <c r="C1207" i="21"/>
  <c r="B1207" i="21"/>
  <c r="C1206" i="21"/>
  <c r="B1206" i="21"/>
  <c r="C1205" i="21"/>
  <c r="B1205" i="21"/>
  <c r="C1204" i="21"/>
  <c r="B1204" i="21"/>
  <c r="C1203" i="21"/>
  <c r="B1203" i="21"/>
  <c r="C1202" i="21"/>
  <c r="B1202" i="21"/>
  <c r="C1201" i="21"/>
  <c r="B1201" i="21"/>
  <c r="C1200" i="21"/>
  <c r="B1200" i="21"/>
  <c r="C1199" i="21"/>
  <c r="B1199" i="21"/>
  <c r="C1198" i="21"/>
  <c r="B1198" i="21"/>
  <c r="C1197" i="21"/>
  <c r="B1197" i="21"/>
  <c r="C1196" i="21"/>
  <c r="B1196" i="21"/>
  <c r="C1195" i="21"/>
  <c r="B1195" i="21"/>
  <c r="C1194" i="21"/>
  <c r="B1194" i="21"/>
  <c r="C1193" i="21"/>
  <c r="B1193" i="21"/>
  <c r="C1192" i="21"/>
  <c r="B1192" i="21"/>
  <c r="C1191" i="21"/>
  <c r="B1191" i="21"/>
  <c r="C1190" i="21"/>
  <c r="B1190" i="21"/>
  <c r="C1189" i="21"/>
  <c r="B1189" i="21"/>
  <c r="C1188" i="21"/>
  <c r="B1188" i="21"/>
  <c r="C1187" i="21"/>
  <c r="B1187" i="21"/>
  <c r="C1186" i="21"/>
  <c r="B1186" i="21"/>
  <c r="C1185" i="21"/>
  <c r="B1185" i="21"/>
  <c r="C1184" i="21"/>
  <c r="B1184" i="21"/>
  <c r="C1183" i="21"/>
  <c r="B1183" i="21"/>
  <c r="C1182" i="21"/>
  <c r="B1182" i="21"/>
  <c r="C1181" i="21"/>
  <c r="B1181" i="21"/>
  <c r="C1180" i="21"/>
  <c r="B1180" i="21"/>
  <c r="C1179" i="21"/>
  <c r="B1179" i="21"/>
  <c r="C1178" i="21"/>
  <c r="B1178" i="21"/>
  <c r="C1177" i="21"/>
  <c r="B1177" i="21"/>
  <c r="C1176" i="21"/>
  <c r="B1176" i="21"/>
  <c r="C1175" i="21"/>
  <c r="B1175" i="21"/>
  <c r="C1174" i="21"/>
  <c r="B1174" i="21"/>
  <c r="C1173" i="21"/>
  <c r="B1173" i="21"/>
  <c r="C1172" i="21"/>
  <c r="B1172" i="21"/>
  <c r="C1171" i="21"/>
  <c r="B1171" i="21"/>
  <c r="C1170" i="21"/>
  <c r="B1170" i="21"/>
  <c r="C1169" i="21"/>
  <c r="B1169" i="21"/>
  <c r="C1168" i="21"/>
  <c r="B1168" i="21"/>
  <c r="C1167" i="21"/>
  <c r="B1167" i="21"/>
  <c r="C1166" i="21"/>
  <c r="B1166" i="21"/>
  <c r="C1165" i="21"/>
  <c r="B1165" i="21"/>
  <c r="C1164" i="21"/>
  <c r="B1164" i="21"/>
  <c r="C1163" i="21"/>
  <c r="B1163" i="21"/>
  <c r="C1162" i="21"/>
  <c r="B1162" i="21"/>
  <c r="C1161" i="21"/>
  <c r="B1161" i="21"/>
  <c r="C1160" i="21"/>
  <c r="B1160" i="21"/>
  <c r="C1159" i="21"/>
  <c r="B1159" i="21"/>
  <c r="C1158" i="21"/>
  <c r="B1158" i="21"/>
  <c r="C1157" i="21"/>
  <c r="B1157" i="21"/>
  <c r="C1156" i="21"/>
  <c r="B1156" i="21"/>
  <c r="C1155" i="21"/>
  <c r="B1155" i="21"/>
  <c r="C1154" i="21"/>
  <c r="B1154" i="21"/>
  <c r="C1153" i="21"/>
  <c r="B1153" i="21"/>
  <c r="C1152" i="21"/>
  <c r="B1152" i="21"/>
  <c r="C1151" i="21"/>
  <c r="B1151" i="21"/>
  <c r="C1150" i="21"/>
  <c r="B1150" i="21"/>
  <c r="C1149" i="21"/>
  <c r="B1149" i="21"/>
  <c r="C1148" i="21"/>
  <c r="B1148" i="21"/>
  <c r="C1147" i="21"/>
  <c r="B1147" i="21"/>
  <c r="C1146" i="21"/>
  <c r="B1146" i="21"/>
  <c r="C1145" i="21"/>
  <c r="B1145" i="21"/>
  <c r="C1144" i="21"/>
  <c r="B1144" i="21"/>
  <c r="C1143" i="21"/>
  <c r="B1143" i="21"/>
  <c r="C1142" i="21"/>
  <c r="B1142" i="21"/>
  <c r="C1141" i="21"/>
  <c r="B1141" i="21"/>
  <c r="C1140" i="21"/>
  <c r="B1140" i="21"/>
  <c r="C1139" i="21"/>
  <c r="B1139" i="21"/>
  <c r="C1138" i="21"/>
  <c r="B1138" i="21"/>
  <c r="C1137" i="21"/>
  <c r="B1137" i="21"/>
  <c r="C1136" i="21"/>
  <c r="B1136" i="21"/>
  <c r="C1135" i="21"/>
  <c r="B1135" i="21"/>
  <c r="C1134" i="21"/>
  <c r="B1134" i="21"/>
  <c r="C1133" i="21"/>
  <c r="B1133" i="21"/>
  <c r="C1132" i="21"/>
  <c r="B1132" i="21"/>
  <c r="C1131" i="21"/>
  <c r="B1131" i="21"/>
  <c r="C1130" i="21"/>
  <c r="B1130" i="21"/>
  <c r="C1129" i="21"/>
  <c r="B1129" i="21"/>
  <c r="C1128" i="21"/>
  <c r="B1128" i="21"/>
  <c r="C1127" i="21"/>
  <c r="B1127" i="21"/>
  <c r="C1126" i="21"/>
  <c r="B1126" i="21"/>
  <c r="C1125" i="21"/>
  <c r="B1125" i="21"/>
  <c r="C1124" i="21"/>
  <c r="B1124" i="21"/>
  <c r="C1123" i="21"/>
  <c r="B1123" i="21"/>
  <c r="C1122" i="21"/>
  <c r="B1122" i="21"/>
  <c r="C1121" i="21"/>
  <c r="B1121" i="21"/>
  <c r="C1120" i="21"/>
  <c r="B1120" i="21"/>
  <c r="C1119" i="21"/>
  <c r="B1119" i="21"/>
  <c r="C1118" i="21"/>
  <c r="B1118" i="21"/>
  <c r="C1117" i="21"/>
  <c r="B1117" i="21"/>
  <c r="C1116" i="21"/>
  <c r="B1116" i="21"/>
  <c r="C1115" i="21"/>
  <c r="B1115" i="21"/>
  <c r="C1114" i="21"/>
  <c r="B1114" i="21"/>
  <c r="C1113" i="21"/>
  <c r="B1113" i="21"/>
  <c r="C1112" i="21"/>
  <c r="B1112" i="21"/>
  <c r="C1111" i="21"/>
  <c r="B1111" i="21"/>
  <c r="C1110" i="21"/>
  <c r="B1110" i="21"/>
  <c r="C1109" i="21"/>
  <c r="B1109" i="21"/>
  <c r="C1108" i="21"/>
  <c r="B1108" i="21"/>
  <c r="C1107" i="21"/>
  <c r="B1107" i="21"/>
  <c r="C1106" i="21"/>
  <c r="B1106" i="21"/>
  <c r="C1105" i="21"/>
  <c r="B1105" i="21"/>
  <c r="C1104" i="21"/>
  <c r="B1104" i="21"/>
  <c r="C1103" i="21"/>
  <c r="B1103" i="21"/>
  <c r="C1102" i="21"/>
  <c r="B1102" i="21"/>
  <c r="C1101" i="21"/>
  <c r="B1101" i="21"/>
  <c r="C1100" i="21"/>
  <c r="B1100" i="21"/>
  <c r="C1099" i="21"/>
  <c r="B1099" i="21"/>
  <c r="C1098" i="21"/>
  <c r="B1098" i="21"/>
  <c r="C1097" i="21"/>
  <c r="B1097" i="21"/>
  <c r="C1096" i="21"/>
  <c r="B1096" i="21"/>
  <c r="C1095" i="21"/>
  <c r="B1095" i="21"/>
  <c r="C1094" i="21"/>
  <c r="B1094" i="21"/>
  <c r="C1093" i="21"/>
  <c r="B1093" i="21"/>
  <c r="C1092" i="21"/>
  <c r="B1092" i="21"/>
  <c r="C1091" i="21"/>
  <c r="B1091" i="21"/>
  <c r="C1090" i="21"/>
  <c r="B1090" i="21"/>
  <c r="C1089" i="21"/>
  <c r="B1089" i="21"/>
  <c r="C1088" i="21"/>
  <c r="B1088" i="21"/>
  <c r="C1087" i="21"/>
  <c r="B1087" i="21"/>
  <c r="C1086" i="21"/>
  <c r="B1086" i="21"/>
  <c r="C1085" i="21"/>
  <c r="B1085" i="21"/>
  <c r="C1084" i="21"/>
  <c r="B1084" i="21"/>
  <c r="C1083" i="21"/>
  <c r="B1083" i="21"/>
  <c r="C1082" i="21"/>
  <c r="B1082" i="21"/>
  <c r="C1081" i="21"/>
  <c r="B1081" i="21"/>
  <c r="C1080" i="21"/>
  <c r="B1080" i="21"/>
  <c r="C1079" i="21"/>
  <c r="B1079" i="21"/>
  <c r="C1078" i="21"/>
  <c r="B1078" i="21"/>
  <c r="C1077" i="21"/>
  <c r="B1077" i="21"/>
  <c r="C1076" i="21"/>
  <c r="B1076" i="21"/>
  <c r="C1075" i="21"/>
  <c r="B1075" i="21"/>
  <c r="C1074" i="21"/>
  <c r="B1074" i="21"/>
  <c r="C1073" i="21"/>
  <c r="B1073" i="21"/>
  <c r="C1072" i="21"/>
  <c r="B1072" i="21"/>
  <c r="C1071" i="21"/>
  <c r="B1071" i="21"/>
  <c r="C1070" i="21"/>
  <c r="B1070" i="21"/>
  <c r="C1069" i="21"/>
  <c r="B1069" i="21"/>
  <c r="C1068" i="21"/>
  <c r="B1068" i="21"/>
  <c r="C1067" i="21"/>
  <c r="B1067" i="21"/>
  <c r="C1066" i="21"/>
  <c r="B1066" i="21"/>
  <c r="C1065" i="21"/>
  <c r="B1065" i="21"/>
  <c r="C1064" i="21"/>
  <c r="B1064" i="21"/>
  <c r="C1063" i="21"/>
  <c r="B1063" i="21"/>
  <c r="C1062" i="21"/>
  <c r="B1062" i="21"/>
  <c r="C1061" i="21"/>
  <c r="B1061" i="21"/>
  <c r="C1060" i="21"/>
  <c r="B1060" i="21"/>
  <c r="C1059" i="21"/>
  <c r="B1059" i="21"/>
  <c r="C1058" i="21"/>
  <c r="B1058" i="21"/>
  <c r="C1057" i="21"/>
  <c r="B1057" i="21"/>
  <c r="C1056" i="21"/>
  <c r="B1056" i="21"/>
  <c r="C1055" i="21"/>
  <c r="B1055" i="21"/>
  <c r="C1054" i="21"/>
  <c r="B1054" i="21"/>
  <c r="C1053" i="21"/>
  <c r="B1053" i="21"/>
  <c r="C1052" i="21"/>
  <c r="B1052" i="21"/>
  <c r="C1051" i="21"/>
  <c r="B1051" i="21"/>
  <c r="C1050" i="21"/>
  <c r="B1050" i="21"/>
  <c r="C1049" i="21"/>
  <c r="B1049" i="21"/>
  <c r="C1048" i="21"/>
  <c r="B1048" i="21"/>
  <c r="C1047" i="21"/>
  <c r="B1047" i="21"/>
  <c r="C1046" i="21"/>
  <c r="B1046" i="21"/>
  <c r="C1045" i="21"/>
  <c r="B1045" i="21"/>
  <c r="C1044" i="21"/>
  <c r="B1044" i="21"/>
  <c r="C1043" i="21"/>
  <c r="B1043" i="21"/>
  <c r="C1042" i="21"/>
  <c r="B1042" i="21"/>
  <c r="C1041" i="21"/>
  <c r="B1041" i="21"/>
  <c r="C1040" i="21"/>
  <c r="B1040" i="21"/>
  <c r="C1039" i="21"/>
  <c r="B1039" i="21"/>
  <c r="C1038" i="21"/>
  <c r="B1038" i="21"/>
  <c r="C1037" i="21"/>
  <c r="B1037" i="21"/>
  <c r="C1036" i="21"/>
  <c r="B1036" i="21"/>
  <c r="C1035" i="21"/>
  <c r="B1035" i="21"/>
  <c r="C1034" i="21"/>
  <c r="B1034" i="21"/>
  <c r="C1033" i="21"/>
  <c r="B1033" i="21"/>
  <c r="C1032" i="21"/>
  <c r="B1032" i="21"/>
  <c r="C1031" i="21"/>
  <c r="B1031" i="21"/>
  <c r="C1030" i="21"/>
  <c r="B1030" i="21"/>
  <c r="C1029" i="21"/>
  <c r="B1029" i="21"/>
  <c r="C1028" i="21"/>
  <c r="B1028" i="21"/>
  <c r="C1027" i="21"/>
  <c r="B1027" i="21"/>
  <c r="C1026" i="21"/>
  <c r="B1026" i="21"/>
  <c r="C1025" i="21"/>
  <c r="B1025" i="21"/>
  <c r="C1024" i="21"/>
  <c r="B1024" i="21"/>
  <c r="C1023" i="21"/>
  <c r="B1023" i="21"/>
  <c r="C1022" i="21"/>
  <c r="B1022" i="21"/>
  <c r="C1021" i="21"/>
  <c r="B1021" i="21"/>
  <c r="C1020" i="21"/>
  <c r="B1020" i="21"/>
  <c r="C1019" i="21"/>
  <c r="B1019" i="21"/>
  <c r="C1018" i="21"/>
  <c r="B1018" i="21"/>
  <c r="C1017" i="21"/>
  <c r="B1017" i="21"/>
  <c r="C1016" i="21"/>
  <c r="B1016" i="21"/>
  <c r="C1015" i="21"/>
  <c r="B1015" i="21"/>
  <c r="C1014" i="21"/>
  <c r="B1014" i="21"/>
  <c r="C1013" i="21"/>
  <c r="B1013" i="21"/>
  <c r="C1012" i="21"/>
  <c r="B1012" i="21"/>
  <c r="C1011" i="21"/>
  <c r="B1011" i="21"/>
  <c r="C1010" i="21"/>
  <c r="B1010" i="21"/>
  <c r="C1009" i="21"/>
  <c r="B1009" i="21"/>
  <c r="C1008" i="21"/>
  <c r="B1008" i="21"/>
  <c r="C1007" i="21"/>
  <c r="B1007" i="21"/>
  <c r="C1006" i="21"/>
  <c r="B1006" i="21"/>
  <c r="C1005" i="21"/>
  <c r="B1005" i="21"/>
  <c r="C1004" i="21"/>
  <c r="B1004" i="21"/>
  <c r="C1003" i="21"/>
  <c r="B1003" i="21"/>
  <c r="C1002" i="21"/>
  <c r="B1002" i="21"/>
  <c r="C1001" i="21"/>
  <c r="B1001" i="21"/>
  <c r="C1000" i="21"/>
  <c r="B1000" i="21"/>
  <c r="C999" i="21"/>
  <c r="B999" i="21"/>
  <c r="C998" i="21"/>
  <c r="B998" i="21"/>
  <c r="C997" i="21"/>
  <c r="B997" i="21"/>
  <c r="C996" i="21"/>
  <c r="B996" i="21"/>
  <c r="C995" i="21"/>
  <c r="B995" i="21"/>
  <c r="C994" i="21"/>
  <c r="B994" i="21"/>
  <c r="C993" i="21"/>
  <c r="B993" i="21"/>
  <c r="C992" i="21"/>
  <c r="B992" i="21"/>
  <c r="C991" i="21"/>
  <c r="B991" i="21"/>
  <c r="C990" i="21"/>
  <c r="B990" i="21"/>
  <c r="C989" i="21"/>
  <c r="B989" i="21"/>
  <c r="C988" i="21"/>
  <c r="B988" i="21"/>
  <c r="C987" i="21"/>
  <c r="B987" i="21"/>
  <c r="C986" i="21"/>
  <c r="B986" i="21"/>
  <c r="C985" i="21"/>
  <c r="B985" i="21"/>
  <c r="C984" i="21"/>
  <c r="B984" i="21"/>
  <c r="C983" i="21"/>
  <c r="B983" i="21"/>
  <c r="C982" i="21"/>
  <c r="B982" i="21"/>
  <c r="C981" i="21"/>
  <c r="B981" i="21"/>
  <c r="C980" i="21"/>
  <c r="B980" i="21"/>
  <c r="C979" i="21"/>
  <c r="B979" i="21"/>
  <c r="C978" i="21"/>
  <c r="B978" i="21"/>
  <c r="C977" i="21"/>
  <c r="B977" i="21"/>
  <c r="C976" i="21"/>
  <c r="B976" i="21"/>
  <c r="C975" i="21"/>
  <c r="B975" i="21"/>
  <c r="C974" i="21"/>
  <c r="B974" i="21"/>
  <c r="C973" i="21"/>
  <c r="B973" i="21"/>
  <c r="C972" i="21"/>
  <c r="B972" i="21"/>
  <c r="C971" i="21"/>
  <c r="B971" i="21"/>
  <c r="C970" i="21"/>
  <c r="B970" i="21"/>
  <c r="C969" i="21"/>
  <c r="B969" i="21"/>
  <c r="C968" i="21"/>
  <c r="B968" i="21"/>
  <c r="C967" i="21"/>
  <c r="B967" i="21"/>
  <c r="C966" i="21"/>
  <c r="B966" i="21"/>
  <c r="C965" i="21"/>
  <c r="B965" i="21"/>
  <c r="C964" i="21"/>
  <c r="B964" i="21"/>
  <c r="C963" i="21"/>
  <c r="B963" i="21"/>
  <c r="C962" i="21"/>
  <c r="B962" i="21"/>
  <c r="C961" i="21"/>
  <c r="B961" i="21"/>
  <c r="C960" i="21"/>
  <c r="B960" i="21"/>
  <c r="C959" i="21"/>
  <c r="B959" i="21"/>
  <c r="C958" i="21"/>
  <c r="B958" i="21"/>
  <c r="C957" i="21"/>
  <c r="B957" i="21"/>
  <c r="C956" i="21"/>
  <c r="B956" i="21"/>
  <c r="C955" i="21"/>
  <c r="B955" i="21"/>
  <c r="C954" i="21"/>
  <c r="B954" i="21"/>
  <c r="C953" i="21"/>
  <c r="B953" i="21"/>
  <c r="C952" i="21"/>
  <c r="B952" i="21"/>
  <c r="C951" i="21"/>
  <c r="B951" i="21"/>
  <c r="C950" i="21"/>
  <c r="B950" i="21"/>
  <c r="C949" i="21"/>
  <c r="B949" i="21"/>
  <c r="C948" i="21"/>
  <c r="B948" i="21"/>
  <c r="C947" i="21"/>
  <c r="B947" i="21"/>
  <c r="C946" i="21"/>
  <c r="B946" i="21"/>
  <c r="C945" i="21"/>
  <c r="B945" i="21"/>
  <c r="C944" i="21"/>
  <c r="B944" i="21"/>
  <c r="C943" i="21"/>
  <c r="B943" i="21"/>
  <c r="C942" i="21"/>
  <c r="B942" i="21"/>
  <c r="C941" i="21"/>
  <c r="B941" i="21"/>
  <c r="C940" i="21"/>
  <c r="B940" i="21"/>
  <c r="C939" i="21"/>
  <c r="B939" i="21"/>
  <c r="C938" i="21"/>
  <c r="B938" i="21"/>
  <c r="C937" i="21"/>
  <c r="B937" i="21"/>
  <c r="C936" i="21"/>
  <c r="B936" i="21"/>
  <c r="C935" i="21"/>
  <c r="B935" i="21"/>
  <c r="C934" i="21"/>
  <c r="B934" i="21"/>
  <c r="C933" i="21"/>
  <c r="B933" i="21"/>
  <c r="C932" i="21"/>
  <c r="B932" i="21"/>
  <c r="C931" i="21"/>
  <c r="B931" i="21"/>
  <c r="C930" i="21"/>
  <c r="B930" i="21"/>
  <c r="C929" i="21"/>
  <c r="B929" i="21"/>
  <c r="C928" i="21"/>
  <c r="B928" i="21"/>
  <c r="C927" i="21"/>
  <c r="B927" i="21"/>
  <c r="C926" i="21"/>
  <c r="B926" i="21"/>
  <c r="C925" i="21"/>
  <c r="B925" i="21"/>
  <c r="C924" i="21"/>
  <c r="B924" i="21"/>
  <c r="C923" i="21"/>
  <c r="B923" i="21"/>
  <c r="C922" i="21"/>
  <c r="B922" i="21"/>
  <c r="C921" i="21"/>
  <c r="B921" i="21"/>
  <c r="C920" i="21"/>
  <c r="B920" i="21"/>
  <c r="C919" i="21"/>
  <c r="B919" i="21"/>
  <c r="C918" i="21"/>
  <c r="B918" i="21"/>
  <c r="C917" i="21"/>
  <c r="B917" i="21"/>
  <c r="C916" i="21"/>
  <c r="B916" i="21"/>
  <c r="C915" i="21"/>
  <c r="B915" i="21"/>
  <c r="C914" i="21"/>
  <c r="B914" i="21"/>
  <c r="C913" i="21"/>
  <c r="B913" i="21"/>
  <c r="C912" i="21"/>
  <c r="B912" i="21"/>
  <c r="C911" i="21"/>
  <c r="B911" i="21"/>
  <c r="C910" i="21"/>
  <c r="B910" i="21"/>
  <c r="C909" i="21"/>
  <c r="B909" i="21"/>
  <c r="C908" i="21"/>
  <c r="B908" i="21"/>
  <c r="C907" i="21"/>
  <c r="B907" i="21"/>
  <c r="C906" i="21"/>
  <c r="B906" i="21"/>
  <c r="C905" i="21"/>
  <c r="B905" i="21"/>
  <c r="C904" i="21"/>
  <c r="B904" i="21"/>
  <c r="C903" i="21"/>
  <c r="B903" i="21"/>
  <c r="C902" i="21"/>
  <c r="B902" i="21"/>
  <c r="C901" i="21"/>
  <c r="B901" i="21"/>
  <c r="C900" i="21"/>
  <c r="B900" i="21"/>
  <c r="C899" i="21"/>
  <c r="B899" i="21"/>
  <c r="C898" i="21"/>
  <c r="B898" i="21"/>
  <c r="C897" i="21"/>
  <c r="B897" i="21"/>
  <c r="C896" i="21"/>
  <c r="B896" i="21"/>
  <c r="C895" i="21"/>
  <c r="B895" i="21"/>
  <c r="C894" i="21"/>
  <c r="B894" i="21"/>
  <c r="C893" i="21"/>
  <c r="B893" i="21"/>
  <c r="C892" i="21"/>
  <c r="B892" i="21"/>
  <c r="C891" i="21"/>
  <c r="B891" i="21"/>
  <c r="C890" i="21"/>
  <c r="B890" i="21"/>
  <c r="C889" i="21"/>
  <c r="B889" i="21"/>
  <c r="C888" i="21"/>
  <c r="B888" i="21"/>
  <c r="C887" i="21"/>
  <c r="B887" i="21"/>
  <c r="C886" i="21"/>
  <c r="B886" i="21"/>
  <c r="C885" i="21"/>
  <c r="B885" i="21"/>
  <c r="C884" i="21"/>
  <c r="B884" i="21"/>
  <c r="C883" i="21"/>
  <c r="B883" i="21"/>
  <c r="C882" i="21"/>
  <c r="B882" i="21"/>
  <c r="C881" i="21"/>
  <c r="B881" i="21"/>
  <c r="C880" i="21"/>
  <c r="B880" i="21"/>
  <c r="C879" i="21"/>
  <c r="B879" i="21"/>
  <c r="C878" i="21"/>
  <c r="B878" i="21"/>
  <c r="C877" i="21"/>
  <c r="B877" i="21"/>
  <c r="C876" i="21"/>
  <c r="B876" i="21"/>
  <c r="C875" i="21"/>
  <c r="B875" i="21"/>
  <c r="C874" i="21"/>
  <c r="B874" i="21"/>
  <c r="C873" i="21"/>
  <c r="B873" i="21"/>
  <c r="C872" i="21"/>
  <c r="B872" i="21"/>
  <c r="C871" i="21"/>
  <c r="B871" i="21"/>
  <c r="C870" i="21"/>
  <c r="B870" i="21"/>
  <c r="C869" i="21"/>
  <c r="B869" i="21"/>
  <c r="C868" i="21"/>
  <c r="B868" i="21"/>
  <c r="C867" i="21"/>
  <c r="B867" i="21"/>
  <c r="C866" i="21"/>
  <c r="B866" i="21"/>
  <c r="C865" i="21"/>
  <c r="B865" i="21"/>
  <c r="C864" i="21"/>
  <c r="B864" i="21"/>
  <c r="C863" i="21"/>
  <c r="B863" i="21"/>
  <c r="C862" i="21"/>
  <c r="B862" i="21"/>
  <c r="C861" i="21"/>
  <c r="B861" i="21"/>
  <c r="C860" i="21"/>
  <c r="B860" i="21"/>
  <c r="C859" i="21"/>
  <c r="B859" i="21"/>
  <c r="C858" i="21"/>
  <c r="B858" i="21"/>
  <c r="C857" i="21"/>
  <c r="B857" i="21"/>
  <c r="C856" i="21"/>
  <c r="B856" i="21"/>
  <c r="C855" i="21"/>
  <c r="B855" i="21"/>
  <c r="C854" i="21"/>
  <c r="B854" i="21"/>
  <c r="C853" i="21"/>
  <c r="B853" i="21"/>
  <c r="C852" i="21"/>
  <c r="B852" i="21"/>
  <c r="C851" i="21"/>
  <c r="B851" i="21"/>
  <c r="C850" i="21"/>
  <c r="B850" i="21"/>
  <c r="C849" i="21"/>
  <c r="B849" i="21"/>
  <c r="C848" i="21"/>
  <c r="B848" i="21"/>
  <c r="C847" i="21"/>
  <c r="B847" i="21"/>
  <c r="C846" i="21"/>
  <c r="B846" i="21"/>
  <c r="C845" i="21"/>
  <c r="B845" i="21"/>
  <c r="C844" i="21"/>
  <c r="B844" i="21"/>
  <c r="C843" i="21"/>
  <c r="B843" i="21"/>
  <c r="C842" i="21"/>
  <c r="B842" i="21"/>
  <c r="C841" i="21"/>
  <c r="B841" i="21"/>
  <c r="C840" i="21"/>
  <c r="B840" i="21"/>
  <c r="C839" i="21"/>
  <c r="B839" i="21"/>
  <c r="C838" i="21"/>
  <c r="B838" i="21"/>
  <c r="C837" i="21"/>
  <c r="B837" i="21"/>
  <c r="C836" i="21"/>
  <c r="B836" i="21"/>
  <c r="C835" i="21"/>
  <c r="B835" i="21"/>
  <c r="C834" i="21"/>
  <c r="B834" i="21"/>
  <c r="C833" i="21"/>
  <c r="B833" i="21"/>
  <c r="C832" i="21"/>
  <c r="B832" i="21"/>
  <c r="C831" i="21"/>
  <c r="B831" i="21"/>
  <c r="C830" i="21"/>
  <c r="B830" i="21"/>
  <c r="C829" i="21"/>
  <c r="B829" i="21"/>
  <c r="C828" i="21"/>
  <c r="B828" i="21"/>
  <c r="C827" i="21"/>
  <c r="B827" i="21"/>
  <c r="C826" i="21"/>
  <c r="B826" i="21"/>
  <c r="C825" i="21"/>
  <c r="B825" i="21"/>
  <c r="C824" i="21"/>
  <c r="B824" i="21"/>
  <c r="C823" i="21"/>
  <c r="B823" i="21"/>
  <c r="C822" i="21"/>
  <c r="B822" i="21"/>
  <c r="C821" i="21"/>
  <c r="B821" i="21"/>
  <c r="C820" i="21"/>
  <c r="B820" i="21"/>
  <c r="C819" i="21"/>
  <c r="B819" i="21"/>
  <c r="C818" i="21"/>
  <c r="B818" i="21"/>
  <c r="C817" i="21"/>
  <c r="B817" i="21"/>
  <c r="C816" i="21"/>
  <c r="B816" i="21"/>
  <c r="C815" i="21"/>
  <c r="B815" i="21"/>
  <c r="C814" i="21"/>
  <c r="B814" i="21"/>
  <c r="C813" i="21"/>
  <c r="B813" i="21"/>
  <c r="C812" i="21"/>
  <c r="B812" i="21"/>
  <c r="C811" i="21"/>
  <c r="B811" i="21"/>
  <c r="C810" i="21"/>
  <c r="B810" i="21"/>
  <c r="C809" i="21"/>
  <c r="B809" i="21"/>
  <c r="C808" i="21"/>
  <c r="B808" i="21"/>
  <c r="C807" i="21"/>
  <c r="B807" i="21"/>
  <c r="C806" i="21"/>
  <c r="B806" i="21"/>
  <c r="C805" i="21"/>
  <c r="B805" i="21"/>
  <c r="C804" i="21"/>
  <c r="B804" i="21"/>
  <c r="C803" i="21"/>
  <c r="B803" i="21"/>
  <c r="C802" i="21"/>
  <c r="B802" i="21"/>
  <c r="C801" i="21"/>
  <c r="B801" i="21"/>
  <c r="C800" i="21"/>
  <c r="B800" i="21"/>
  <c r="C799" i="21"/>
  <c r="B799" i="21"/>
  <c r="C798" i="21"/>
  <c r="B798" i="21"/>
  <c r="C797" i="21"/>
  <c r="B797" i="21"/>
  <c r="C796" i="21"/>
  <c r="B796" i="21"/>
  <c r="C795" i="21"/>
  <c r="B795" i="21"/>
  <c r="C794" i="21"/>
  <c r="B794" i="21"/>
  <c r="C793" i="21"/>
  <c r="B793" i="21"/>
  <c r="C792" i="21"/>
  <c r="B792" i="21"/>
  <c r="C791" i="21"/>
  <c r="B791" i="21"/>
  <c r="C790" i="21"/>
  <c r="B790" i="21"/>
  <c r="C789" i="21"/>
  <c r="B789" i="21"/>
  <c r="C788" i="21"/>
  <c r="B788" i="21"/>
  <c r="C787" i="21"/>
  <c r="B787" i="21"/>
  <c r="C786" i="21"/>
  <c r="B786" i="21"/>
  <c r="C785" i="21"/>
  <c r="B785" i="21"/>
  <c r="C784" i="21"/>
  <c r="B784" i="21"/>
  <c r="C783" i="21"/>
  <c r="B783" i="21"/>
  <c r="C782" i="21"/>
  <c r="B782" i="21"/>
  <c r="C781" i="21"/>
  <c r="B781" i="21"/>
  <c r="C780" i="21"/>
  <c r="B780" i="21"/>
  <c r="C779" i="21"/>
  <c r="B779" i="21"/>
  <c r="C778" i="21"/>
  <c r="B778" i="21"/>
  <c r="C777" i="21"/>
  <c r="B777" i="21"/>
  <c r="C776" i="21"/>
  <c r="B776" i="21"/>
  <c r="C775" i="21"/>
  <c r="B775" i="21"/>
  <c r="C774" i="21"/>
  <c r="B774" i="21"/>
  <c r="C773" i="21"/>
  <c r="B773" i="21"/>
  <c r="C772" i="21"/>
  <c r="B772" i="21"/>
  <c r="C771" i="21"/>
  <c r="B771" i="21"/>
  <c r="C770" i="21"/>
  <c r="B770" i="21"/>
  <c r="C769" i="21"/>
  <c r="B769" i="21"/>
  <c r="C768" i="21"/>
  <c r="B768" i="21"/>
  <c r="C767" i="21"/>
  <c r="B767" i="21"/>
  <c r="C766" i="21"/>
  <c r="B766" i="21"/>
  <c r="C765" i="21"/>
  <c r="B765" i="21"/>
  <c r="C764" i="21"/>
  <c r="B764" i="21"/>
  <c r="C763" i="21"/>
  <c r="B763" i="21"/>
  <c r="C762" i="21"/>
  <c r="B762" i="21"/>
  <c r="C761" i="21"/>
  <c r="B761" i="21"/>
  <c r="C760" i="21"/>
  <c r="B760" i="21"/>
  <c r="C759" i="21"/>
  <c r="B759" i="21"/>
  <c r="C758" i="21"/>
  <c r="B758" i="21"/>
  <c r="C757" i="21"/>
  <c r="B757" i="21"/>
  <c r="C756" i="21"/>
  <c r="B756" i="21"/>
  <c r="C755" i="21"/>
  <c r="B755" i="21"/>
  <c r="C754" i="21"/>
  <c r="B754" i="21"/>
  <c r="C753" i="21"/>
  <c r="B753" i="21"/>
  <c r="C752" i="21"/>
  <c r="B752" i="21"/>
  <c r="C751" i="21"/>
  <c r="B751" i="21"/>
  <c r="C750" i="21"/>
  <c r="B750" i="21"/>
  <c r="C749" i="21"/>
  <c r="B749" i="21"/>
  <c r="C748" i="21"/>
  <c r="B748" i="21"/>
  <c r="C747" i="21"/>
  <c r="B747" i="21"/>
  <c r="C746" i="21"/>
  <c r="B746" i="21"/>
  <c r="C745" i="21"/>
  <c r="B745" i="21"/>
  <c r="C744" i="21"/>
  <c r="B744" i="21"/>
  <c r="C743" i="21"/>
  <c r="B743" i="21"/>
  <c r="C742" i="21"/>
  <c r="B742" i="21"/>
  <c r="C741" i="21"/>
  <c r="B741" i="21"/>
  <c r="C740" i="21"/>
  <c r="B740" i="21"/>
  <c r="C739" i="21"/>
  <c r="B739" i="21"/>
  <c r="C738" i="21"/>
  <c r="B738" i="21"/>
  <c r="C737" i="21"/>
  <c r="B737" i="21"/>
  <c r="C736" i="21"/>
  <c r="B736" i="21"/>
  <c r="C735" i="21"/>
  <c r="B735" i="21"/>
  <c r="C734" i="21"/>
  <c r="B734" i="21"/>
  <c r="C733" i="21"/>
  <c r="B733" i="21"/>
  <c r="C732" i="21"/>
  <c r="B732" i="21"/>
  <c r="C731" i="21"/>
  <c r="B731" i="21"/>
  <c r="C730" i="21"/>
  <c r="B730" i="21"/>
  <c r="C729" i="21"/>
  <c r="B729" i="21"/>
  <c r="C728" i="21"/>
  <c r="B728" i="21"/>
  <c r="C727" i="21"/>
  <c r="B727" i="21"/>
  <c r="C726" i="21"/>
  <c r="B726" i="21"/>
  <c r="C725" i="21"/>
  <c r="B725" i="21"/>
  <c r="C724" i="21"/>
  <c r="B724" i="21"/>
  <c r="C723" i="21"/>
  <c r="B723" i="21"/>
  <c r="C722" i="21"/>
  <c r="B722" i="21"/>
  <c r="C721" i="21"/>
  <c r="B721" i="21"/>
  <c r="C720" i="21"/>
  <c r="B720" i="21"/>
  <c r="C719" i="21"/>
  <c r="B719" i="21"/>
  <c r="C718" i="21"/>
  <c r="B718" i="21"/>
  <c r="C717" i="21"/>
  <c r="B717" i="21"/>
  <c r="C716" i="21"/>
  <c r="B716" i="21"/>
  <c r="C715" i="21"/>
  <c r="B715" i="21"/>
  <c r="C714" i="21"/>
  <c r="B714" i="21"/>
  <c r="C713" i="21"/>
  <c r="B713" i="21"/>
  <c r="C712" i="21"/>
  <c r="B712" i="21"/>
  <c r="C711" i="21"/>
  <c r="B711" i="21"/>
  <c r="C710" i="21"/>
  <c r="B710" i="21"/>
  <c r="C709" i="21"/>
  <c r="B709" i="21"/>
  <c r="C708" i="21"/>
  <c r="B708" i="21"/>
  <c r="C707" i="21"/>
  <c r="B707" i="21"/>
  <c r="C706" i="21"/>
  <c r="B706" i="21"/>
  <c r="C705" i="21"/>
  <c r="B705" i="21"/>
  <c r="C704" i="21"/>
  <c r="B704" i="21"/>
  <c r="C703" i="21"/>
  <c r="B703" i="21"/>
  <c r="C702" i="21"/>
  <c r="B702" i="21"/>
  <c r="C701" i="21"/>
  <c r="B701" i="21"/>
  <c r="C700" i="21"/>
  <c r="B700" i="21"/>
  <c r="C699" i="21"/>
  <c r="B699" i="21"/>
  <c r="C698" i="21"/>
  <c r="B698" i="21"/>
  <c r="C697" i="21"/>
  <c r="B697" i="21"/>
  <c r="C696" i="21"/>
  <c r="B696" i="21"/>
  <c r="C695" i="21"/>
  <c r="B695" i="21"/>
  <c r="C694" i="21"/>
  <c r="B694" i="21"/>
  <c r="C693" i="21"/>
  <c r="B693" i="21"/>
  <c r="C692" i="21"/>
  <c r="B692" i="21"/>
  <c r="C691" i="21"/>
  <c r="B691" i="21"/>
  <c r="C690" i="21"/>
  <c r="B690" i="21"/>
  <c r="C689" i="21"/>
  <c r="B689" i="21"/>
  <c r="C688" i="21"/>
  <c r="B688" i="21"/>
  <c r="C687" i="21"/>
  <c r="B687" i="21"/>
  <c r="C686" i="21"/>
  <c r="B686" i="21"/>
  <c r="C685" i="21"/>
  <c r="B685" i="21"/>
  <c r="C684" i="21"/>
  <c r="B684" i="21"/>
  <c r="C683" i="21"/>
  <c r="B683" i="21"/>
  <c r="C682" i="21"/>
  <c r="B682" i="21"/>
  <c r="C681" i="21"/>
  <c r="B681" i="21"/>
  <c r="C680" i="21"/>
  <c r="B680" i="21"/>
  <c r="C679" i="21"/>
  <c r="B679" i="21"/>
  <c r="C678" i="21"/>
  <c r="B678" i="21"/>
  <c r="C677" i="21"/>
  <c r="B677" i="21"/>
  <c r="C676" i="21"/>
  <c r="B676" i="21"/>
  <c r="C675" i="21"/>
  <c r="B675" i="21"/>
  <c r="C674" i="21"/>
  <c r="B674" i="21"/>
  <c r="C673" i="21"/>
  <c r="B673" i="21"/>
  <c r="C672" i="21"/>
  <c r="B672" i="21"/>
  <c r="C671" i="21"/>
  <c r="B671" i="21"/>
  <c r="C670" i="21"/>
  <c r="B670" i="21"/>
  <c r="C669" i="21"/>
  <c r="B669" i="21"/>
  <c r="C668" i="21"/>
  <c r="B668" i="21"/>
  <c r="C667" i="21"/>
  <c r="B667" i="21"/>
  <c r="C666" i="21"/>
  <c r="B666" i="21"/>
  <c r="C665" i="21"/>
  <c r="B665" i="21"/>
  <c r="C664" i="21"/>
  <c r="B664" i="21"/>
  <c r="C663" i="21"/>
  <c r="B663" i="21"/>
  <c r="C662" i="21"/>
  <c r="B662" i="21"/>
  <c r="C661" i="21"/>
  <c r="B661" i="21"/>
  <c r="C660" i="21"/>
  <c r="B660" i="21"/>
  <c r="C659" i="21"/>
  <c r="B659" i="21"/>
  <c r="C658" i="21"/>
  <c r="B658" i="21"/>
  <c r="C657" i="21"/>
  <c r="B657" i="21"/>
  <c r="C656" i="21"/>
  <c r="B656" i="21"/>
  <c r="C655" i="21"/>
  <c r="B655" i="21"/>
  <c r="C654" i="21"/>
  <c r="B654" i="21"/>
  <c r="C653" i="21"/>
  <c r="B653" i="21"/>
  <c r="C652" i="21"/>
  <c r="B652" i="21"/>
  <c r="C651" i="21"/>
  <c r="B651" i="21"/>
  <c r="C650" i="21"/>
  <c r="B650" i="21"/>
  <c r="C649" i="21"/>
  <c r="B649" i="21"/>
  <c r="C648" i="21"/>
  <c r="B648" i="21"/>
  <c r="C647" i="21"/>
  <c r="B647" i="21"/>
  <c r="C646" i="21"/>
  <c r="B646" i="21"/>
  <c r="C645" i="21"/>
  <c r="B645" i="21"/>
  <c r="C644" i="21"/>
  <c r="B644" i="21"/>
  <c r="C643" i="21"/>
  <c r="B643" i="21"/>
  <c r="C642" i="21"/>
  <c r="B642" i="21"/>
  <c r="C641" i="21"/>
  <c r="B641" i="21"/>
  <c r="C640" i="21"/>
  <c r="B640" i="21"/>
  <c r="C639" i="21"/>
  <c r="B639" i="21"/>
  <c r="C638" i="21"/>
  <c r="B638" i="21"/>
  <c r="C637" i="21"/>
  <c r="B637" i="21"/>
  <c r="C636" i="21"/>
  <c r="B636" i="21"/>
  <c r="C635" i="21"/>
  <c r="B635" i="21"/>
  <c r="C634" i="21"/>
  <c r="B634" i="21"/>
  <c r="C633" i="21"/>
  <c r="B633" i="21"/>
  <c r="N1" i="21"/>
  <c r="D239" i="20"/>
  <c r="D237" i="20"/>
  <c r="D236" i="20"/>
  <c r="D235" i="20"/>
  <c r="D234" i="20"/>
  <c r="D233" i="20"/>
  <c r="D232" i="20"/>
  <c r="D231" i="20"/>
  <c r="D230" i="20"/>
  <c r="D229" i="20"/>
  <c r="D228" i="20"/>
  <c r="D227" i="20"/>
  <c r="D225" i="20"/>
  <c r="D222" i="20"/>
  <c r="D221" i="20"/>
  <c r="D220" i="20"/>
  <c r="D219" i="20"/>
  <c r="D218" i="20"/>
  <c r="D217" i="20"/>
  <c r="D216" i="20"/>
  <c r="D215" i="20"/>
  <c r="D214" i="20"/>
  <c r="D213" i="20"/>
  <c r="D211" i="20"/>
  <c r="D208" i="20"/>
  <c r="D207" i="20"/>
  <c r="D206" i="20"/>
  <c r="D205" i="20"/>
  <c r="D204" i="20"/>
  <c r="D203" i="20"/>
  <c r="D202" i="20"/>
  <c r="D201" i="20"/>
  <c r="D200" i="20"/>
  <c r="D199" i="20"/>
  <c r="D197" i="20"/>
  <c r="D194" i="20"/>
  <c r="D193" i="20"/>
  <c r="D192" i="20"/>
  <c r="D191" i="20"/>
  <c r="D190" i="20"/>
  <c r="D189" i="20"/>
  <c r="D188" i="20"/>
  <c r="D187" i="20"/>
  <c r="D186" i="20"/>
  <c r="D185" i="20"/>
  <c r="D183" i="20"/>
  <c r="D181" i="20"/>
  <c r="D180" i="20"/>
  <c r="D179" i="20"/>
  <c r="D178" i="20"/>
  <c r="D177" i="20"/>
  <c r="D176" i="20"/>
  <c r="D175" i="20"/>
  <c r="D174" i="20"/>
  <c r="D173" i="20"/>
  <c r="D172" i="20"/>
  <c r="D171" i="20"/>
  <c r="D169" i="20"/>
  <c r="D167" i="20"/>
  <c r="D166" i="20"/>
  <c r="D165" i="20"/>
  <c r="D164" i="20"/>
  <c r="D163" i="20"/>
  <c r="D162" i="20"/>
  <c r="D161" i="20"/>
  <c r="D160" i="20"/>
  <c r="D159" i="20"/>
  <c r="D158" i="20"/>
  <c r="D157" i="20"/>
  <c r="D155" i="20"/>
  <c r="D153" i="20"/>
  <c r="D152" i="20"/>
  <c r="D151" i="20"/>
  <c r="D150" i="20"/>
  <c r="D149" i="20"/>
  <c r="D148" i="20"/>
  <c r="D147" i="20"/>
  <c r="D146" i="20"/>
  <c r="D145" i="20"/>
  <c r="D144" i="20"/>
  <c r="D143" i="20"/>
  <c r="D141" i="20"/>
  <c r="D139" i="20"/>
  <c r="D138" i="20"/>
  <c r="D137" i="20"/>
  <c r="D136" i="20"/>
  <c r="D135" i="20"/>
  <c r="D134" i="20"/>
  <c r="D133" i="20"/>
  <c r="D132" i="20"/>
  <c r="D131" i="20"/>
  <c r="D130" i="20"/>
  <c r="D129" i="20"/>
  <c r="D127" i="20"/>
  <c r="D125" i="20"/>
  <c r="D124" i="20"/>
  <c r="D123" i="20"/>
  <c r="D122" i="20"/>
  <c r="D121" i="20"/>
  <c r="D120" i="20"/>
  <c r="D119" i="20"/>
  <c r="D118" i="20"/>
  <c r="D117" i="20"/>
  <c r="D116" i="20"/>
  <c r="D115" i="20"/>
  <c r="J114" i="20"/>
  <c r="I114" i="20"/>
  <c r="H114" i="20"/>
  <c r="G114" i="20"/>
  <c r="F114" i="20"/>
  <c r="K113" i="20"/>
  <c r="O113" i="20" s="1"/>
  <c r="D113" i="20"/>
  <c r="K112" i="20"/>
  <c r="O112" i="20" s="1"/>
  <c r="K111" i="20"/>
  <c r="O111" i="20" s="1"/>
  <c r="D111" i="20"/>
  <c r="K110" i="20"/>
  <c r="O110" i="20" s="1"/>
  <c r="D110" i="20"/>
  <c r="K109" i="20"/>
  <c r="O109" i="20" s="1"/>
  <c r="D109" i="20"/>
  <c r="K108" i="20"/>
  <c r="O108" i="20" s="1"/>
  <c r="D108" i="20"/>
  <c r="K107" i="20"/>
  <c r="O107" i="20" s="1"/>
  <c r="D107" i="20"/>
  <c r="K106" i="20"/>
  <c r="O106" i="20" s="1"/>
  <c r="D106" i="20"/>
  <c r="K105" i="20"/>
  <c r="O105" i="20" s="1"/>
  <c r="D105" i="20"/>
  <c r="K104" i="20"/>
  <c r="O104" i="20" s="1"/>
  <c r="D104" i="20"/>
  <c r="K103" i="20"/>
  <c r="O103" i="20" s="1"/>
  <c r="D103" i="20"/>
  <c r="K102" i="20"/>
  <c r="O102" i="20" s="1"/>
  <c r="D102" i="20"/>
  <c r="K101" i="20"/>
  <c r="O101" i="20" s="1"/>
  <c r="D101" i="20"/>
  <c r="I100" i="20"/>
  <c r="H100" i="20"/>
  <c r="G100" i="20"/>
  <c r="F100" i="20"/>
  <c r="E100" i="20"/>
  <c r="K99" i="20"/>
  <c r="O99" i="20" s="1"/>
  <c r="D99" i="20"/>
  <c r="K98" i="20"/>
  <c r="O98" i="20" s="1"/>
  <c r="K97" i="20"/>
  <c r="O97" i="20" s="1"/>
  <c r="D97" i="20"/>
  <c r="K96" i="20"/>
  <c r="O96" i="20" s="1"/>
  <c r="D96" i="20"/>
  <c r="J95" i="20"/>
  <c r="D95" i="20"/>
  <c r="K94" i="20"/>
  <c r="O94" i="20" s="1"/>
  <c r="D94" i="20"/>
  <c r="K93" i="20"/>
  <c r="O93" i="20" s="1"/>
  <c r="D93" i="20"/>
  <c r="K92" i="20"/>
  <c r="O92" i="20" s="1"/>
  <c r="D92" i="20"/>
  <c r="K91" i="20"/>
  <c r="D91" i="20"/>
  <c r="K90" i="20"/>
  <c r="O90" i="20" s="1"/>
  <c r="D90" i="20"/>
  <c r="K89" i="20"/>
  <c r="O89" i="20" s="1"/>
  <c r="D89" i="20"/>
  <c r="K88" i="20"/>
  <c r="O88" i="20" s="1"/>
  <c r="D88" i="20"/>
  <c r="K87" i="20"/>
  <c r="O87" i="20" s="1"/>
  <c r="D87" i="20"/>
  <c r="J86" i="20"/>
  <c r="I86" i="20"/>
  <c r="H86" i="20"/>
  <c r="G86" i="20"/>
  <c r="F86" i="20"/>
  <c r="E86" i="20"/>
  <c r="K85" i="20"/>
  <c r="O85" i="20" s="1"/>
  <c r="K84" i="20"/>
  <c r="O84" i="20" s="1"/>
  <c r="K83" i="20"/>
  <c r="O83" i="20" s="1"/>
  <c r="D83" i="20"/>
  <c r="K82" i="20"/>
  <c r="O82" i="20" s="1"/>
  <c r="D82" i="20"/>
  <c r="K81" i="20"/>
  <c r="O81" i="20" s="1"/>
  <c r="D81" i="20"/>
  <c r="K80" i="20"/>
  <c r="O80" i="20" s="1"/>
  <c r="D80" i="20"/>
  <c r="K79" i="20"/>
  <c r="O79" i="20" s="1"/>
  <c r="D79" i="20"/>
  <c r="K78" i="20"/>
  <c r="O78" i="20" s="1"/>
  <c r="D78" i="20"/>
  <c r="K77" i="20"/>
  <c r="D77" i="20"/>
  <c r="K76" i="20"/>
  <c r="O76" i="20" s="1"/>
  <c r="D76" i="20"/>
  <c r="K75" i="20"/>
  <c r="O75" i="20" s="1"/>
  <c r="D75" i="20"/>
  <c r="K74" i="20"/>
  <c r="O74" i="20" s="1"/>
  <c r="D74" i="20"/>
  <c r="K73" i="20"/>
  <c r="O73" i="20" s="1"/>
  <c r="D73" i="20"/>
  <c r="N71" i="20"/>
  <c r="N3" i="20" s="1"/>
  <c r="D171" i="2"/>
  <c r="D168" i="2"/>
  <c r="D167" i="2"/>
  <c r="D166" i="2"/>
  <c r="D165" i="2"/>
  <c r="D164" i="2"/>
  <c r="D163" i="2"/>
  <c r="D162" i="2"/>
  <c r="D161" i="2"/>
  <c r="D160" i="2"/>
  <c r="D159" i="2"/>
  <c r="A2175" i="8"/>
  <c r="B2175" i="8"/>
  <c r="C2175" i="8"/>
  <c r="A2176" i="8"/>
  <c r="B2176" i="8"/>
  <c r="C2176" i="8"/>
  <c r="A2177" i="8"/>
  <c r="B2177" i="8"/>
  <c r="C2177" i="8"/>
  <c r="A2178" i="8"/>
  <c r="B2178" i="8"/>
  <c r="C2178" i="8"/>
  <c r="A2179" i="8"/>
  <c r="B2179" i="8"/>
  <c r="C2179" i="8"/>
  <c r="A2180" i="8"/>
  <c r="B2180" i="8"/>
  <c r="C2180" i="8"/>
  <c r="A2181" i="8"/>
  <c r="B2181" i="8"/>
  <c r="C2181" i="8"/>
  <c r="A2182" i="8"/>
  <c r="B2182" i="8"/>
  <c r="C2182" i="8"/>
  <c r="A2183" i="8"/>
  <c r="B2183" i="8"/>
  <c r="C2183" i="8"/>
  <c r="A2184" i="8"/>
  <c r="B2184" i="8"/>
  <c r="C2184" i="8"/>
  <c r="A2185" i="8"/>
  <c r="B2185" i="8"/>
  <c r="C2185" i="8"/>
  <c r="A2186" i="8"/>
  <c r="B2186" i="8"/>
  <c r="C2186" i="8"/>
  <c r="A2187" i="8"/>
  <c r="B2187" i="8"/>
  <c r="C2187" i="8"/>
  <c r="A2188" i="8"/>
  <c r="B2188" i="8"/>
  <c r="C2188" i="8"/>
  <c r="A2189" i="8"/>
  <c r="B2189" i="8"/>
  <c r="C2189" i="8"/>
  <c r="A2190" i="8"/>
  <c r="B2190" i="8"/>
  <c r="C2190" i="8"/>
  <c r="A2191" i="8"/>
  <c r="B2191" i="8"/>
  <c r="C2191" i="8"/>
  <c r="A2192" i="8"/>
  <c r="B2192" i="8"/>
  <c r="C2192" i="8"/>
  <c r="A2193" i="8"/>
  <c r="B2193" i="8"/>
  <c r="C2193" i="8"/>
  <c r="A2194" i="8"/>
  <c r="B2194" i="8"/>
  <c r="C2194" i="8"/>
  <c r="A2195" i="8"/>
  <c r="B2195" i="8"/>
  <c r="C2195" i="8"/>
  <c r="A2196" i="8"/>
  <c r="B2196" i="8"/>
  <c r="C2196" i="8"/>
  <c r="A2197" i="8"/>
  <c r="B2197" i="8"/>
  <c r="C2197" i="8"/>
  <c r="A2198" i="8"/>
  <c r="B2198" i="8"/>
  <c r="C2198" i="8"/>
  <c r="A2199" i="8"/>
  <c r="B2199" i="8"/>
  <c r="C2199" i="8"/>
  <c r="A2200" i="8"/>
  <c r="B2200" i="8"/>
  <c r="C2200" i="8"/>
  <c r="A2201" i="8"/>
  <c r="B2201" i="8"/>
  <c r="C2201" i="8"/>
  <c r="A2202" i="8"/>
  <c r="B2202" i="8"/>
  <c r="C2202" i="8"/>
  <c r="A2203" i="8"/>
  <c r="B2203" i="8"/>
  <c r="C2203" i="8"/>
  <c r="A2204" i="8"/>
  <c r="B2204" i="8"/>
  <c r="C2204" i="8"/>
  <c r="A2205" i="8"/>
  <c r="B2205" i="8"/>
  <c r="C2205" i="8"/>
  <c r="A2206" i="8"/>
  <c r="B2206" i="8"/>
  <c r="C2206" i="8"/>
  <c r="A2207" i="8"/>
  <c r="B2207" i="8"/>
  <c r="C2207" i="8"/>
  <c r="A2208" i="8"/>
  <c r="B2208" i="8"/>
  <c r="C2208" i="8"/>
  <c r="A2209" i="8"/>
  <c r="B2209" i="8"/>
  <c r="C2209" i="8"/>
  <c r="A2210" i="8"/>
  <c r="B2210" i="8"/>
  <c r="C2210" i="8"/>
  <c r="A2211" i="8"/>
  <c r="B2211" i="8"/>
  <c r="C2211" i="8"/>
  <c r="A2212" i="8"/>
  <c r="B2212" i="8"/>
  <c r="C2212" i="8"/>
  <c r="A2213" i="8"/>
  <c r="B2213" i="8"/>
  <c r="C2213" i="8"/>
  <c r="A2214" i="8"/>
  <c r="B2214" i="8"/>
  <c r="C2214" i="8"/>
  <c r="A2215" i="8"/>
  <c r="B2215" i="8"/>
  <c r="C2215" i="8"/>
  <c r="A2216" i="8"/>
  <c r="B2216" i="8"/>
  <c r="C2216" i="8"/>
  <c r="A2217" i="8"/>
  <c r="B2217" i="8"/>
  <c r="C2217" i="8"/>
  <c r="A2218" i="8"/>
  <c r="B2218" i="8"/>
  <c r="C2218" i="8"/>
  <c r="A2219" i="8"/>
  <c r="B2219" i="8"/>
  <c r="C2219" i="8"/>
  <c r="A2220" i="8"/>
  <c r="B2220" i="8"/>
  <c r="C2220" i="8"/>
  <c r="A2221" i="8"/>
  <c r="B2221" i="8"/>
  <c r="C2221" i="8"/>
  <c r="A2222" i="8"/>
  <c r="B2222" i="8"/>
  <c r="C2222" i="8"/>
  <c r="A2223" i="8"/>
  <c r="B2223" i="8"/>
  <c r="C2223" i="8"/>
  <c r="A2224" i="8"/>
  <c r="B2224" i="8"/>
  <c r="C2224" i="8"/>
  <c r="A2225" i="8"/>
  <c r="B2225" i="8"/>
  <c r="C2225" i="8"/>
  <c r="A2226" i="8"/>
  <c r="B2226" i="8"/>
  <c r="C2226" i="8"/>
  <c r="A2227" i="8"/>
  <c r="B2227" i="8"/>
  <c r="C2227" i="8"/>
  <c r="A2228" i="8"/>
  <c r="B2228" i="8"/>
  <c r="C2228" i="8"/>
  <c r="A2229" i="8"/>
  <c r="B2229" i="8"/>
  <c r="C2229" i="8"/>
  <c r="A2230" i="8"/>
  <c r="B2230" i="8"/>
  <c r="C2230" i="8"/>
  <c r="A2231" i="8"/>
  <c r="B2231" i="8"/>
  <c r="C2231" i="8"/>
  <c r="A2232" i="8"/>
  <c r="B2232" i="8"/>
  <c r="C2232" i="8"/>
  <c r="A2233" i="8"/>
  <c r="B2233" i="8"/>
  <c r="C2233" i="8"/>
  <c r="A2234" i="8"/>
  <c r="B2234" i="8"/>
  <c r="C2234" i="8"/>
  <c r="A2235" i="8"/>
  <c r="B2235" i="8"/>
  <c r="C2235" i="8"/>
  <c r="A2236" i="8"/>
  <c r="B2236" i="8"/>
  <c r="C2236" i="8"/>
  <c r="A2237" i="8"/>
  <c r="B2237" i="8"/>
  <c r="C2237" i="8"/>
  <c r="A2238" i="8"/>
  <c r="B2238" i="8"/>
  <c r="C2238" i="8"/>
  <c r="A2239" i="8"/>
  <c r="B2239" i="8"/>
  <c r="C2239" i="8"/>
  <c r="A2240" i="8"/>
  <c r="B2240" i="8"/>
  <c r="C2240" i="8"/>
  <c r="A2241" i="8"/>
  <c r="B2241" i="8"/>
  <c r="C2241" i="8"/>
  <c r="A2242" i="8"/>
  <c r="B2242" i="8"/>
  <c r="C2242" i="8"/>
  <c r="A2243" i="8"/>
  <c r="B2243" i="8"/>
  <c r="C2243" i="8"/>
  <c r="A2244" i="8"/>
  <c r="B2244" i="8"/>
  <c r="C2244" i="8"/>
  <c r="A2245" i="8"/>
  <c r="B2245" i="8"/>
  <c r="C2245" i="8"/>
  <c r="A2246" i="8"/>
  <c r="B2246" i="8"/>
  <c r="C2246" i="8"/>
  <c r="A2247" i="8"/>
  <c r="B2247" i="8"/>
  <c r="C2247" i="8"/>
  <c r="A2248" i="8"/>
  <c r="B2248" i="8"/>
  <c r="C2248" i="8"/>
  <c r="A2249" i="8"/>
  <c r="B2249" i="8"/>
  <c r="C2249" i="8"/>
  <c r="A2250" i="8"/>
  <c r="B2250" i="8"/>
  <c r="C2250" i="8"/>
  <c r="A2251" i="8"/>
  <c r="B2251" i="8"/>
  <c r="C2251" i="8"/>
  <c r="A2252" i="8"/>
  <c r="B2252" i="8"/>
  <c r="C2252" i="8"/>
  <c r="A2253" i="8"/>
  <c r="B2253" i="8"/>
  <c r="C2253" i="8"/>
  <c r="A2254" i="8"/>
  <c r="B2254" i="8"/>
  <c r="C2254" i="8"/>
  <c r="A2255" i="8"/>
  <c r="B2255" i="8"/>
  <c r="C2255" i="8"/>
  <c r="A2256" i="8"/>
  <c r="B2256" i="8"/>
  <c r="C2256" i="8"/>
  <c r="A2257" i="8"/>
  <c r="B2257" i="8"/>
  <c r="C2257" i="8"/>
  <c r="A2258" i="8"/>
  <c r="B2258" i="8"/>
  <c r="C2258" i="8"/>
  <c r="A2259" i="8"/>
  <c r="B2259" i="8"/>
  <c r="C2259" i="8"/>
  <c r="A2260" i="8"/>
  <c r="B2260" i="8"/>
  <c r="C2260" i="8"/>
  <c r="A2261" i="8"/>
  <c r="B2261" i="8"/>
  <c r="C2261" i="8"/>
  <c r="A2262" i="8"/>
  <c r="B2262" i="8"/>
  <c r="C2262" i="8"/>
  <c r="A2263" i="8"/>
  <c r="B2263" i="8"/>
  <c r="C2263" i="8"/>
  <c r="A2264" i="8"/>
  <c r="B2264" i="8"/>
  <c r="C2264" i="8"/>
  <c r="A2265" i="8"/>
  <c r="B2265" i="8"/>
  <c r="C2265" i="8"/>
  <c r="A2266" i="8"/>
  <c r="B2266" i="8"/>
  <c r="C2266" i="8"/>
  <c r="A2267" i="8"/>
  <c r="B2267" i="8"/>
  <c r="C2267" i="8"/>
  <c r="A2268" i="8"/>
  <c r="B2268" i="8"/>
  <c r="C2268" i="8"/>
  <c r="A2269" i="8"/>
  <c r="B2269" i="8"/>
  <c r="C2269" i="8"/>
  <c r="A2270" i="8"/>
  <c r="B2270" i="8"/>
  <c r="C2270" i="8"/>
  <c r="A2271" i="8"/>
  <c r="B2271" i="8"/>
  <c r="C2271" i="8"/>
  <c r="A2272" i="8"/>
  <c r="B2272" i="8"/>
  <c r="C2272" i="8"/>
  <c r="A2273" i="8"/>
  <c r="B2273" i="8"/>
  <c r="C2273" i="8"/>
  <c r="A2274" i="8"/>
  <c r="B2274" i="8"/>
  <c r="C2274" i="8"/>
  <c r="A2275" i="8"/>
  <c r="B2275" i="8"/>
  <c r="C2275" i="8"/>
  <c r="A2276" i="8"/>
  <c r="B2276" i="8"/>
  <c r="C2276" i="8"/>
  <c r="A2277" i="8"/>
  <c r="B2277" i="8"/>
  <c r="C2277" i="8"/>
  <c r="A2278" i="8"/>
  <c r="B2278" i="8"/>
  <c r="C2278" i="8"/>
  <c r="A2279" i="8"/>
  <c r="B2279" i="8"/>
  <c r="C2279" i="8"/>
  <c r="A2280" i="8"/>
  <c r="B2280" i="8"/>
  <c r="C2280" i="8"/>
  <c r="A2281" i="8"/>
  <c r="B2281" i="8"/>
  <c r="C2281" i="8"/>
  <c r="A2282" i="8"/>
  <c r="B2282" i="8"/>
  <c r="C2282" i="8"/>
  <c r="A2283" i="8"/>
  <c r="B2283" i="8"/>
  <c r="C2283" i="8"/>
  <c r="A2284" i="8"/>
  <c r="B2284" i="8"/>
  <c r="C2284" i="8"/>
  <c r="A2285" i="8"/>
  <c r="B2285" i="8"/>
  <c r="C2285" i="8"/>
  <c r="A2286" i="8"/>
  <c r="B2286" i="8"/>
  <c r="C2286" i="8"/>
  <c r="A2287" i="8"/>
  <c r="B2287" i="8"/>
  <c r="C2287" i="8"/>
  <c r="A2288" i="8"/>
  <c r="B2288" i="8"/>
  <c r="C2288" i="8"/>
  <c r="A2289" i="8"/>
  <c r="B2289" i="8"/>
  <c r="C2289" i="8"/>
  <c r="A2290" i="8"/>
  <c r="B2290" i="8"/>
  <c r="C2290" i="8"/>
  <c r="A2291" i="8"/>
  <c r="B2291" i="8"/>
  <c r="C2291" i="8"/>
  <c r="A2292" i="8"/>
  <c r="B2292" i="8"/>
  <c r="C2292" i="8"/>
  <c r="A2293" i="8"/>
  <c r="B2293" i="8"/>
  <c r="C2293" i="8"/>
  <c r="A2294" i="8"/>
  <c r="B2294" i="8"/>
  <c r="C2294" i="8"/>
  <c r="A2295" i="8"/>
  <c r="B2295" i="8"/>
  <c r="C2295" i="8"/>
  <c r="A2296" i="8"/>
  <c r="B2296" i="8"/>
  <c r="C2296" i="8"/>
  <c r="A2297" i="8"/>
  <c r="B2297" i="8"/>
  <c r="C2297" i="8"/>
  <c r="A2298" i="8"/>
  <c r="B2298" i="8"/>
  <c r="C2298" i="8"/>
  <c r="A2299" i="8"/>
  <c r="B2299" i="8"/>
  <c r="C2299" i="8"/>
  <c r="A2300" i="8"/>
  <c r="B2300" i="8"/>
  <c r="C2300" i="8"/>
  <c r="A2301" i="8"/>
  <c r="B2301" i="8"/>
  <c r="C2301" i="8"/>
  <c r="A2302" i="8"/>
  <c r="B2302" i="8"/>
  <c r="C2302" i="8"/>
  <c r="A2303" i="8"/>
  <c r="B2303" i="8"/>
  <c r="C2303" i="8"/>
  <c r="A2304" i="8"/>
  <c r="B2304" i="8"/>
  <c r="C2304" i="8"/>
  <c r="A2305" i="8"/>
  <c r="B2305" i="8"/>
  <c r="C2305" i="8"/>
  <c r="A2306" i="8"/>
  <c r="B2306" i="8"/>
  <c r="C2306" i="8"/>
  <c r="A2307" i="8"/>
  <c r="B2307" i="8"/>
  <c r="C2307" i="8"/>
  <c r="A2308" i="8"/>
  <c r="B2308" i="8"/>
  <c r="C2308" i="8"/>
  <c r="A2309" i="8"/>
  <c r="B2309" i="8"/>
  <c r="C2309" i="8"/>
  <c r="A2310" i="8"/>
  <c r="B2310" i="8"/>
  <c r="C2310" i="8"/>
  <c r="A2311" i="8"/>
  <c r="B2311" i="8"/>
  <c r="C2311" i="8"/>
  <c r="A2312" i="8"/>
  <c r="B2312" i="8"/>
  <c r="C2312" i="8"/>
  <c r="A2313" i="8"/>
  <c r="B2313" i="8"/>
  <c r="C2313" i="8"/>
  <c r="A2314" i="8"/>
  <c r="B2314" i="8"/>
  <c r="C2314" i="8"/>
  <c r="A2315" i="8"/>
  <c r="B2315" i="8"/>
  <c r="C2315" i="8"/>
  <c r="A2316" i="8"/>
  <c r="B2316" i="8"/>
  <c r="C2316" i="8"/>
  <c r="A2317" i="8"/>
  <c r="B2317" i="8"/>
  <c r="C2317" i="8"/>
  <c r="A2318" i="8"/>
  <c r="B2318" i="8"/>
  <c r="C2318" i="8"/>
  <c r="A2319" i="8"/>
  <c r="B2319" i="8"/>
  <c r="C2319" i="8"/>
  <c r="A2320" i="8"/>
  <c r="B2320" i="8"/>
  <c r="C2320" i="8"/>
  <c r="A2321" i="8"/>
  <c r="B2321" i="8"/>
  <c r="C2321" i="8"/>
  <c r="A2322" i="8"/>
  <c r="B2322" i="8"/>
  <c r="C2322" i="8"/>
  <c r="A2323" i="8"/>
  <c r="B2323" i="8"/>
  <c r="C2323" i="8"/>
  <c r="A2324" i="8"/>
  <c r="B2324" i="8"/>
  <c r="C2324" i="8"/>
  <c r="A2325" i="8"/>
  <c r="B2325" i="8"/>
  <c r="C2325" i="8"/>
  <c r="A2326" i="8"/>
  <c r="B2326" i="8"/>
  <c r="C2326" i="8"/>
  <c r="A2327" i="8"/>
  <c r="B2327" i="8"/>
  <c r="C2327" i="8"/>
  <c r="A2328" i="8"/>
  <c r="B2328" i="8"/>
  <c r="C2328" i="8"/>
  <c r="A2329" i="8"/>
  <c r="B2329" i="8"/>
  <c r="C2329" i="8"/>
  <c r="A2330" i="8"/>
  <c r="B2330" i="8"/>
  <c r="C2330" i="8"/>
  <c r="A2331" i="8"/>
  <c r="B2331" i="8"/>
  <c r="C2331" i="8"/>
  <c r="A2332" i="8"/>
  <c r="B2332" i="8"/>
  <c r="C2332" i="8"/>
  <c r="A2333" i="8"/>
  <c r="B2333" i="8"/>
  <c r="C2333" i="8"/>
  <c r="A2334" i="8"/>
  <c r="B2334" i="8"/>
  <c r="C2334" i="8"/>
  <c r="A2335" i="8"/>
  <c r="B2335" i="8"/>
  <c r="C2335" i="8"/>
  <c r="A2336" i="8"/>
  <c r="B2336" i="8"/>
  <c r="C2336" i="8"/>
  <c r="A2337" i="8"/>
  <c r="B2337" i="8"/>
  <c r="C2337" i="8"/>
  <c r="A2338" i="8"/>
  <c r="B2338" i="8"/>
  <c r="C2338" i="8"/>
  <c r="A2339" i="8"/>
  <c r="B2339" i="8"/>
  <c r="C2339" i="8"/>
  <c r="A2340" i="8"/>
  <c r="B2340" i="8"/>
  <c r="C2340" i="8"/>
  <c r="A2341" i="8"/>
  <c r="B2341" i="8"/>
  <c r="C2341" i="8"/>
  <c r="A2342" i="8"/>
  <c r="B2342" i="8"/>
  <c r="C2342" i="8"/>
  <c r="A2343" i="8"/>
  <c r="B2343" i="8"/>
  <c r="C2343" i="8"/>
  <c r="A2344" i="8"/>
  <c r="B2344" i="8"/>
  <c r="C2344" i="8"/>
  <c r="A2345" i="8"/>
  <c r="B2345" i="8"/>
  <c r="C2345" i="8"/>
  <c r="A2346" i="8"/>
  <c r="B2346" i="8"/>
  <c r="C2346" i="8"/>
  <c r="A2347" i="8"/>
  <c r="B2347" i="8"/>
  <c r="C2347" i="8"/>
  <c r="A2348" i="8"/>
  <c r="B2348" i="8"/>
  <c r="C2348" i="8"/>
  <c r="A2349" i="8"/>
  <c r="B2349" i="8"/>
  <c r="C2349" i="8"/>
  <c r="A2350" i="8"/>
  <c r="B2350" i="8"/>
  <c r="C2350" i="8"/>
  <c r="A2351" i="8"/>
  <c r="B2351" i="8"/>
  <c r="C2351" i="8"/>
  <c r="A2352" i="8"/>
  <c r="B2352" i="8"/>
  <c r="C2352" i="8"/>
  <c r="A2353" i="8"/>
  <c r="B2353" i="8"/>
  <c r="C2353" i="8"/>
  <c r="A2354" i="8"/>
  <c r="B2354" i="8"/>
  <c r="C2354" i="8"/>
  <c r="A2355" i="8"/>
  <c r="B2355" i="8"/>
  <c r="C2355" i="8"/>
  <c r="A2356" i="8"/>
  <c r="B2356" i="8"/>
  <c r="C2356" i="8"/>
  <c r="A2357" i="8"/>
  <c r="B2357" i="8"/>
  <c r="C2357" i="8"/>
  <c r="A2358" i="8"/>
  <c r="B2358" i="8"/>
  <c r="C2358" i="8"/>
  <c r="A2359" i="8"/>
  <c r="B2359" i="8"/>
  <c r="C2359" i="8"/>
  <c r="A2360" i="8"/>
  <c r="B2360" i="8"/>
  <c r="C2360" i="8"/>
  <c r="A2361" i="8"/>
  <c r="B2361" i="8"/>
  <c r="C2361" i="8"/>
  <c r="Q2" i="1" l="1"/>
  <c r="X50" i="1"/>
  <c r="X2" i="1"/>
  <c r="F235" i="20"/>
  <c r="G228" i="20"/>
  <c r="D64" i="14"/>
  <c r="E64" i="14" s="1"/>
  <c r="F64" i="14" s="1"/>
  <c r="G64" i="14" s="1"/>
  <c r="H64" i="14" s="1"/>
  <c r="I64" i="14" s="1"/>
  <c r="J64" i="14" s="1"/>
  <c r="K64" i="14" s="1"/>
  <c r="L64" i="14" s="1"/>
  <c r="M64" i="14" s="1"/>
  <c r="N64" i="14" s="1"/>
  <c r="D15" i="14"/>
  <c r="J12" i="14" s="1"/>
  <c r="W50" i="1"/>
  <c r="W2" i="1"/>
  <c r="G55" i="1"/>
  <c r="G57" i="1"/>
  <c r="H55" i="1"/>
  <c r="H57" i="1"/>
  <c r="I55" i="1"/>
  <c r="I57" i="1"/>
  <c r="AD49" i="1"/>
  <c r="K77" i="5" s="1"/>
  <c r="O55" i="1"/>
  <c r="O57" i="1"/>
  <c r="R40" i="1"/>
  <c r="R51" i="1" s="1"/>
  <c r="P55" i="1"/>
  <c r="P57" i="1"/>
  <c r="K19" i="20"/>
  <c r="O19" i="20" s="1"/>
  <c r="O77" i="20"/>
  <c r="K95" i="20"/>
  <c r="O95" i="20" s="1"/>
  <c r="J100" i="20"/>
  <c r="AG49" i="1"/>
  <c r="AG57" i="1" s="1"/>
  <c r="AG50" i="1"/>
  <c r="AF50" i="1"/>
  <c r="AF49" i="1"/>
  <c r="AF57" i="1" s="1"/>
  <c r="H236" i="20"/>
  <c r="Q50" i="1"/>
  <c r="R35" i="1"/>
  <c r="R2" i="1" s="1"/>
  <c r="S2" i="1" s="1"/>
  <c r="Y49" i="1"/>
  <c r="Y57" i="1" s="1"/>
  <c r="Z49" i="1"/>
  <c r="G77" i="5" s="1"/>
  <c r="J55" i="1"/>
  <c r="AA49" i="1"/>
  <c r="H39" i="5" s="1"/>
  <c r="AE49" i="1"/>
  <c r="L39" i="5" s="1"/>
  <c r="K55" i="1"/>
  <c r="Q49" i="1"/>
  <c r="Q57" i="1" s="1"/>
  <c r="L55" i="1"/>
  <c r="V49" i="1"/>
  <c r="C77" i="5" s="1"/>
  <c r="V51" i="1"/>
  <c r="J39" i="5"/>
  <c r="J77" i="5"/>
  <c r="AC55" i="1"/>
  <c r="AC57" i="1"/>
  <c r="W49" i="1"/>
  <c r="Z50" i="1"/>
  <c r="AE51" i="1"/>
  <c r="E36" i="5"/>
  <c r="E74" i="5"/>
  <c r="X49" i="1"/>
  <c r="AA50" i="1"/>
  <c r="F74" i="5"/>
  <c r="F36" i="5"/>
  <c r="G74" i="5"/>
  <c r="G36" i="5"/>
  <c r="E57" i="1"/>
  <c r="AC50" i="1"/>
  <c r="H74" i="5"/>
  <c r="H36" i="5"/>
  <c r="AD50" i="1"/>
  <c r="I74" i="5"/>
  <c r="I36" i="5"/>
  <c r="D36" i="5"/>
  <c r="D38" i="5" s="1"/>
  <c r="D74" i="5"/>
  <c r="AB49" i="1"/>
  <c r="J74" i="5"/>
  <c r="J36" i="5"/>
  <c r="K74" i="5"/>
  <c r="K36" i="5"/>
  <c r="F55" i="1"/>
  <c r="L36" i="5"/>
  <c r="L74" i="5"/>
  <c r="M36" i="5"/>
  <c r="M74" i="5"/>
  <c r="N36" i="5"/>
  <c r="N74" i="5"/>
  <c r="C9" i="5" a="1"/>
  <c r="C9" i="5" s="1"/>
  <c r="C10" i="5" a="1"/>
  <c r="C10" i="5" s="1"/>
  <c r="M55" i="1"/>
  <c r="C36" i="5"/>
  <c r="C38" i="5" s="1"/>
  <c r="C74" i="5"/>
  <c r="C76" i="5" s="1"/>
  <c r="R76" i="1"/>
  <c r="R77" i="1"/>
  <c r="N55" i="1"/>
  <c r="D184" i="20"/>
  <c r="D226" i="20"/>
  <c r="D212" i="20"/>
  <c r="D198" i="20"/>
  <c r="D240" i="20"/>
  <c r="D128" i="20"/>
  <c r="D170" i="20"/>
  <c r="D156" i="20"/>
  <c r="D100" i="20"/>
  <c r="D86" i="20"/>
  <c r="D114" i="20"/>
  <c r="D142" i="20"/>
  <c r="H237" i="20"/>
  <c r="H228" i="20"/>
  <c r="J230" i="20"/>
  <c r="E233" i="20"/>
  <c r="G235" i="20"/>
  <c r="I237" i="20"/>
  <c r="I230" i="20"/>
  <c r="I228" i="20"/>
  <c r="F233" i="20"/>
  <c r="H235" i="20"/>
  <c r="J237" i="20"/>
  <c r="J228" i="20"/>
  <c r="E231" i="20"/>
  <c r="G233" i="20"/>
  <c r="I235" i="20"/>
  <c r="E238" i="20"/>
  <c r="F231" i="20"/>
  <c r="H233" i="20"/>
  <c r="J235" i="20"/>
  <c r="F238" i="20"/>
  <c r="E229" i="20"/>
  <c r="G231" i="20"/>
  <c r="I233" i="20"/>
  <c r="G238" i="20"/>
  <c r="F229" i="20"/>
  <c r="H231" i="20"/>
  <c r="J233" i="20"/>
  <c r="E236" i="20"/>
  <c r="H238" i="20"/>
  <c r="E227" i="20"/>
  <c r="G229" i="20"/>
  <c r="I231" i="20"/>
  <c r="F236" i="20"/>
  <c r="I238" i="20"/>
  <c r="F227" i="20"/>
  <c r="H229" i="20"/>
  <c r="J231" i="20"/>
  <c r="E234" i="20"/>
  <c r="G236" i="20"/>
  <c r="J238" i="20"/>
  <c r="G227" i="20"/>
  <c r="I229" i="20"/>
  <c r="F234" i="20"/>
  <c r="J168" i="2"/>
  <c r="H227" i="20"/>
  <c r="J229" i="20"/>
  <c r="E232" i="20"/>
  <c r="G234" i="20"/>
  <c r="I236" i="20"/>
  <c r="E239" i="20"/>
  <c r="I227" i="20"/>
  <c r="F232" i="20"/>
  <c r="H234" i="20"/>
  <c r="J236" i="20"/>
  <c r="F239" i="20"/>
  <c r="J227" i="20"/>
  <c r="E230" i="20"/>
  <c r="G232" i="20"/>
  <c r="I234" i="20"/>
  <c r="G239" i="20"/>
  <c r="F230" i="20"/>
  <c r="H232" i="20"/>
  <c r="J234" i="20"/>
  <c r="E237" i="20"/>
  <c r="H239" i="20"/>
  <c r="E228" i="20"/>
  <c r="G230" i="20"/>
  <c r="I232" i="20"/>
  <c r="F237" i="20"/>
  <c r="I239" i="20"/>
  <c r="F228" i="20"/>
  <c r="H230" i="20"/>
  <c r="J232" i="20"/>
  <c r="E235" i="20"/>
  <c r="G237" i="20"/>
  <c r="J239" i="20"/>
  <c r="K86" i="20"/>
  <c r="O91" i="20"/>
  <c r="K114" i="20"/>
  <c r="L83" i="20"/>
  <c r="H171" i="2"/>
  <c r="H163" i="2"/>
  <c r="J160" i="2"/>
  <c r="F166" i="2"/>
  <c r="G168" i="2"/>
  <c r="E161" i="2"/>
  <c r="I165" i="2"/>
  <c r="H160" i="2"/>
  <c r="F171" i="2"/>
  <c r="G160" i="2"/>
  <c r="E163" i="2"/>
  <c r="I160" i="2"/>
  <c r="G163" i="2"/>
  <c r="E166" i="2"/>
  <c r="I168" i="2"/>
  <c r="G171" i="2"/>
  <c r="F161" i="2"/>
  <c r="J171" i="2"/>
  <c r="G161" i="2"/>
  <c r="E164" i="2"/>
  <c r="I166" i="2"/>
  <c r="G169" i="2"/>
  <c r="F169" i="2"/>
  <c r="H161" i="2"/>
  <c r="F164" i="2"/>
  <c r="J166" i="2"/>
  <c r="H169" i="2"/>
  <c r="H166" i="2"/>
  <c r="E159" i="2"/>
  <c r="I161" i="2"/>
  <c r="G164" i="2"/>
  <c r="E167" i="2"/>
  <c r="I169" i="2"/>
  <c r="J163" i="2"/>
  <c r="F159" i="2"/>
  <c r="J161" i="2"/>
  <c r="H164" i="2"/>
  <c r="F167" i="2"/>
  <c r="J169" i="2"/>
  <c r="G159" i="2"/>
  <c r="E162" i="2"/>
  <c r="I164" i="2"/>
  <c r="G167" i="2"/>
  <c r="E170" i="2"/>
  <c r="I171" i="2"/>
  <c r="H159" i="2"/>
  <c r="F162" i="2"/>
  <c r="J164" i="2"/>
  <c r="H167" i="2"/>
  <c r="F170" i="2"/>
  <c r="E169" i="2"/>
  <c r="I159" i="2"/>
  <c r="G162" i="2"/>
  <c r="E165" i="2"/>
  <c r="I167" i="2"/>
  <c r="G170" i="2"/>
  <c r="J159" i="2"/>
  <c r="H162" i="2"/>
  <c r="F165" i="2"/>
  <c r="J167" i="2"/>
  <c r="H170" i="2"/>
  <c r="G166" i="2"/>
  <c r="E160" i="2"/>
  <c r="I162" i="2"/>
  <c r="G165" i="2"/>
  <c r="E168" i="2"/>
  <c r="I170" i="2"/>
  <c r="I163" i="2"/>
  <c r="F160" i="2"/>
  <c r="J162" i="2"/>
  <c r="H165" i="2"/>
  <c r="F168" i="2"/>
  <c r="J170" i="2"/>
  <c r="E171" i="2"/>
  <c r="F163" i="2"/>
  <c r="J165" i="2"/>
  <c r="H168" i="2"/>
  <c r="AT40" i="1"/>
  <c r="AT35" i="1"/>
  <c r="D169" i="2" s="1"/>
  <c r="D172" i="2" s="1"/>
  <c r="J8" i="14" l="1"/>
  <c r="J10" i="14"/>
  <c r="AG55" i="1"/>
  <c r="N77" i="5"/>
  <c r="L34" i="20"/>
  <c r="J5" i="14"/>
  <c r="J15" i="14"/>
  <c r="J14" i="14"/>
  <c r="J13" i="14"/>
  <c r="J6" i="14"/>
  <c r="D24" i="14" s="1"/>
  <c r="AE57" i="1"/>
  <c r="AE55" i="1"/>
  <c r="R49" i="1"/>
  <c r="R57" i="1" s="1"/>
  <c r="F39" i="5"/>
  <c r="N39" i="5"/>
  <c r="AF55" i="1"/>
  <c r="F77" i="5"/>
  <c r="V55" i="1"/>
  <c r="L77" i="5"/>
  <c r="Y55" i="1"/>
  <c r="K39" i="5"/>
  <c r="M39" i="5"/>
  <c r="M77" i="5"/>
  <c r="AD57" i="1"/>
  <c r="AD55" i="1"/>
  <c r="K100" i="20"/>
  <c r="K227" i="20"/>
  <c r="K237" i="20"/>
  <c r="K238" i="20"/>
  <c r="K235" i="20"/>
  <c r="Q55" i="1"/>
  <c r="AA57" i="1"/>
  <c r="AA55" i="1"/>
  <c r="H77" i="5"/>
  <c r="Z57" i="1"/>
  <c r="R50" i="1"/>
  <c r="Z55" i="1"/>
  <c r="B9" i="5" a="1"/>
  <c r="B9" i="5" s="1"/>
  <c r="G39" i="5"/>
  <c r="C39" i="5"/>
  <c r="V57" i="1"/>
  <c r="B10" i="5" a="1"/>
  <c r="B10" i="5" s="1"/>
  <c r="D77" i="5"/>
  <c r="D39" i="5"/>
  <c r="W57" i="1"/>
  <c r="W55" i="1"/>
  <c r="D17" i="14"/>
  <c r="G5" i="14" s="1"/>
  <c r="I39" i="5"/>
  <c r="I77" i="5"/>
  <c r="AB55" i="1"/>
  <c r="AB57" i="1"/>
  <c r="E39" i="5"/>
  <c r="E77" i="5"/>
  <c r="X57" i="1"/>
  <c r="X55" i="1"/>
  <c r="K232" i="20"/>
  <c r="E240" i="20"/>
  <c r="H240" i="20"/>
  <c r="K231" i="20"/>
  <c r="K236" i="20"/>
  <c r="K230" i="20"/>
  <c r="G240" i="20"/>
  <c r="J240" i="20"/>
  <c r="K234" i="20"/>
  <c r="K229" i="20"/>
  <c r="K233" i="20"/>
  <c r="I240" i="20"/>
  <c r="F240" i="20"/>
  <c r="K228" i="20"/>
  <c r="K239" i="20"/>
  <c r="O114" i="20"/>
  <c r="O86" i="20"/>
  <c r="K160" i="2"/>
  <c r="K166" i="2"/>
  <c r="G172" i="2"/>
  <c r="K163" i="2"/>
  <c r="K171" i="2"/>
  <c r="K169" i="2"/>
  <c r="K167" i="2"/>
  <c r="K170" i="2"/>
  <c r="I172" i="2"/>
  <c r="J172" i="2"/>
  <c r="K162" i="2"/>
  <c r="F172" i="2"/>
  <c r="K159" i="2"/>
  <c r="H172" i="2"/>
  <c r="K168" i="2"/>
  <c r="K164" i="2"/>
  <c r="K161" i="2"/>
  <c r="K165" i="2"/>
  <c r="E172" i="2"/>
  <c r="A33" i="17"/>
  <c r="A36" i="17"/>
  <c r="A37" i="17"/>
  <c r="A32" i="17"/>
  <c r="D25" i="14" l="1"/>
  <c r="D22" i="14"/>
  <c r="D32" i="14"/>
  <c r="D28" i="14"/>
  <c r="D21" i="14"/>
  <c r="D30" i="14"/>
  <c r="D27" i="14"/>
  <c r="L100" i="20"/>
  <c r="L114" i="20"/>
  <c r="D26" i="14"/>
  <c r="D29" i="14"/>
  <c r="D23" i="14"/>
  <c r="D31" i="14"/>
  <c r="O100" i="20"/>
  <c r="G16" i="14"/>
  <c r="G15" i="14"/>
  <c r="G10" i="14"/>
  <c r="G9" i="14"/>
  <c r="G11" i="14"/>
  <c r="K240" i="20"/>
  <c r="G6" i="14"/>
  <c r="G13" i="14"/>
  <c r="G12" i="14"/>
  <c r="G14" i="14"/>
  <c r="G8" i="14"/>
  <c r="R55" i="1"/>
  <c r="G7" i="14"/>
  <c r="K172" i="2"/>
  <c r="O172" i="2" s="1"/>
  <c r="A16" i="19"/>
  <c r="A17" i="19"/>
  <c r="A9" i="19"/>
  <c r="A10" i="19"/>
  <c r="O240" i="20" l="1"/>
  <c r="L19" i="20"/>
  <c r="D33" i="14"/>
  <c r="G33" i="14"/>
  <c r="G24" i="14"/>
  <c r="G23" i="14"/>
  <c r="G25" i="14"/>
  <c r="G28" i="14"/>
  <c r="G22" i="14"/>
  <c r="G21" i="14"/>
  <c r="G27" i="14"/>
  <c r="G30" i="14"/>
  <c r="G32" i="14"/>
  <c r="G29" i="14"/>
  <c r="G26" i="14"/>
  <c r="G31" i="14"/>
  <c r="BN22" i="17"/>
  <c r="BN21" i="17"/>
  <c r="BN20" i="17"/>
  <c r="BN19" i="17"/>
  <c r="BN18" i="17"/>
  <c r="BN17" i="17"/>
  <c r="BI22" i="17"/>
  <c r="BI21" i="17"/>
  <c r="BI19" i="17"/>
  <c r="BI18" i="17"/>
  <c r="BD22" i="17"/>
  <c r="BD21" i="17"/>
  <c r="BD20" i="17"/>
  <c r="BD19" i="17"/>
  <c r="BD18" i="17"/>
  <c r="BD17" i="17"/>
  <c r="AY22" i="17"/>
  <c r="AY21" i="17"/>
  <c r="AY19" i="17"/>
  <c r="AY18" i="17"/>
  <c r="AY17" i="17" s="1"/>
  <c r="AT22" i="17"/>
  <c r="AT21" i="17"/>
  <c r="AT20" i="17" s="1"/>
  <c r="AT19" i="17"/>
  <c r="AT18" i="17"/>
  <c r="AT17" i="17" s="1"/>
  <c r="AO22" i="17"/>
  <c r="AO21" i="17"/>
  <c r="AO20" i="17" s="1"/>
  <c r="AO19" i="17"/>
  <c r="AO18" i="17"/>
  <c r="AJ22" i="17"/>
  <c r="AJ21" i="17"/>
  <c r="AJ20" i="17" s="1"/>
  <c r="AJ19" i="17"/>
  <c r="AJ18" i="17"/>
  <c r="AE22" i="17"/>
  <c r="AE21" i="17"/>
  <c r="AE20" i="17"/>
  <c r="AE19" i="17"/>
  <c r="AE18" i="17"/>
  <c r="AE17" i="17" s="1"/>
  <c r="Z22" i="17"/>
  <c r="Z21" i="17"/>
  <c r="Z19" i="17"/>
  <c r="Z18" i="17"/>
  <c r="Z17" i="17"/>
  <c r="U22" i="17"/>
  <c r="U21" i="17"/>
  <c r="U19" i="17"/>
  <c r="U18" i="17"/>
  <c r="U17" i="17"/>
  <c r="P22" i="17"/>
  <c r="P20" i="17" s="1"/>
  <c r="P21" i="17"/>
  <c r="P19" i="17"/>
  <c r="P18" i="17"/>
  <c r="P17" i="17" s="1"/>
  <c r="BM37" i="17"/>
  <c r="BL37" i="17"/>
  <c r="BK37" i="17"/>
  <c r="BJ37" i="17"/>
  <c r="BH37" i="17"/>
  <c r="BG37" i="17"/>
  <c r="BF37" i="17"/>
  <c r="BE37" i="17"/>
  <c r="BC37" i="17"/>
  <c r="BB37" i="17"/>
  <c r="BA37" i="17"/>
  <c r="AZ37" i="17"/>
  <c r="AX37" i="17"/>
  <c r="AW37" i="17"/>
  <c r="AV37" i="17"/>
  <c r="AU37" i="17"/>
  <c r="AS37" i="17"/>
  <c r="AR37" i="17"/>
  <c r="AQ37" i="17"/>
  <c r="AP37" i="17"/>
  <c r="AN37" i="17"/>
  <c r="AM37" i="17"/>
  <c r="AL37" i="17"/>
  <c r="AK37" i="17"/>
  <c r="AI37" i="17"/>
  <c r="AH37" i="17"/>
  <c r="AG37" i="17"/>
  <c r="AF37" i="17"/>
  <c r="AD37" i="17"/>
  <c r="AC37" i="17"/>
  <c r="AB37" i="17"/>
  <c r="AA37" i="17"/>
  <c r="Y37" i="17"/>
  <c r="X37" i="17"/>
  <c r="W37" i="17"/>
  <c r="V37" i="17"/>
  <c r="T37" i="17"/>
  <c r="S37" i="17"/>
  <c r="R37" i="17"/>
  <c r="Q37" i="17"/>
  <c r="O37" i="17"/>
  <c r="N37" i="17"/>
  <c r="M37" i="17"/>
  <c r="L37" i="17"/>
  <c r="K22" i="17"/>
  <c r="K21" i="17"/>
  <c r="K19" i="17"/>
  <c r="K18" i="17"/>
  <c r="K17" i="17" s="1"/>
  <c r="E14" i="18"/>
  <c r="F14" i="18"/>
  <c r="G14" i="18"/>
  <c r="H14" i="18"/>
  <c r="I14" i="18"/>
  <c r="J14" i="18"/>
  <c r="K14" i="18"/>
  <c r="L14" i="18"/>
  <c r="M14" i="18"/>
  <c r="N14" i="18"/>
  <c r="D14" i="18"/>
  <c r="E7" i="18"/>
  <c r="F7" i="18"/>
  <c r="G7" i="18"/>
  <c r="H7" i="18"/>
  <c r="I7" i="18"/>
  <c r="J7" i="18"/>
  <c r="K7" i="18"/>
  <c r="L7" i="18"/>
  <c r="M7" i="18"/>
  <c r="N7" i="18"/>
  <c r="D7" i="18"/>
  <c r="Z20" i="17" l="1"/>
  <c r="AY20" i="17"/>
  <c r="AO17" i="17"/>
  <c r="BI17" i="17"/>
  <c r="AJ17" i="17"/>
  <c r="BI20" i="17"/>
  <c r="U20" i="17"/>
  <c r="K20" i="17"/>
  <c r="L32" i="17"/>
  <c r="M32" i="17"/>
  <c r="N32" i="17"/>
  <c r="O32" i="17"/>
  <c r="Q32" i="17"/>
  <c r="R32" i="17"/>
  <c r="S32" i="17"/>
  <c r="T32" i="17"/>
  <c r="V32" i="17"/>
  <c r="W32" i="17"/>
  <c r="X32" i="17"/>
  <c r="Y32" i="17"/>
  <c r="AA32" i="17"/>
  <c r="AB32" i="17"/>
  <c r="AC32" i="17"/>
  <c r="AD32" i="17"/>
  <c r="AF32" i="17"/>
  <c r="AG32" i="17"/>
  <c r="AH32" i="17"/>
  <c r="AI32" i="17"/>
  <c r="AK32" i="17"/>
  <c r="AL32" i="17"/>
  <c r="AM32" i="17"/>
  <c r="AN32" i="17"/>
  <c r="AP32" i="17"/>
  <c r="AQ32" i="17"/>
  <c r="AR32" i="17"/>
  <c r="AS32" i="17"/>
  <c r="AU32" i="17"/>
  <c r="AV32" i="17"/>
  <c r="AW32" i="17"/>
  <c r="AX32" i="17"/>
  <c r="AZ32" i="17"/>
  <c r="BA32" i="17"/>
  <c r="BB32" i="17"/>
  <c r="BC32" i="17"/>
  <c r="BE32" i="17"/>
  <c r="BF32" i="17"/>
  <c r="BG32" i="17"/>
  <c r="BH32" i="17"/>
  <c r="BJ32" i="17"/>
  <c r="BK32" i="17"/>
  <c r="BL32" i="17"/>
  <c r="BM32" i="17"/>
  <c r="L33" i="17"/>
  <c r="L36" i="17" s="1"/>
  <c r="M33" i="17"/>
  <c r="M36" i="17" s="1"/>
  <c r="N33" i="17"/>
  <c r="N36" i="17" s="1"/>
  <c r="O33" i="17"/>
  <c r="O36" i="17" s="1"/>
  <c r="Q33" i="17"/>
  <c r="Q36" i="17" s="1"/>
  <c r="R33" i="17"/>
  <c r="R36" i="17" s="1"/>
  <c r="S33" i="17"/>
  <c r="S36" i="17" s="1"/>
  <c r="T33" i="17"/>
  <c r="T36" i="17" s="1"/>
  <c r="V33" i="17"/>
  <c r="V36" i="17" s="1"/>
  <c r="W33" i="17"/>
  <c r="W36" i="17" s="1"/>
  <c r="X33" i="17"/>
  <c r="X36" i="17" s="1"/>
  <c r="Y33" i="17"/>
  <c r="Y36" i="17" s="1"/>
  <c r="AA33" i="17"/>
  <c r="AA36" i="17" s="1"/>
  <c r="AB33" i="17"/>
  <c r="AB36" i="17" s="1"/>
  <c r="AC33" i="17"/>
  <c r="AC36" i="17" s="1"/>
  <c r="AD33" i="17"/>
  <c r="AD36" i="17" s="1"/>
  <c r="AF33" i="17"/>
  <c r="AF36" i="17" s="1"/>
  <c r="AG33" i="17"/>
  <c r="AG36" i="17" s="1"/>
  <c r="AH33" i="17"/>
  <c r="AH36" i="17" s="1"/>
  <c r="AI33" i="17"/>
  <c r="AI36" i="17" s="1"/>
  <c r="AK33" i="17"/>
  <c r="AK36" i="17" s="1"/>
  <c r="AL33" i="17"/>
  <c r="AL36" i="17" s="1"/>
  <c r="AM33" i="17"/>
  <c r="AM36" i="17" s="1"/>
  <c r="AN33" i="17"/>
  <c r="AN36" i="17" s="1"/>
  <c r="AP33" i="17"/>
  <c r="AP36" i="17" s="1"/>
  <c r="AQ33" i="17"/>
  <c r="AQ36" i="17" s="1"/>
  <c r="AR33" i="17"/>
  <c r="AR36" i="17" s="1"/>
  <c r="AS33" i="17"/>
  <c r="AS36" i="17" s="1"/>
  <c r="AU33" i="17"/>
  <c r="AU36" i="17" s="1"/>
  <c r="AV33" i="17"/>
  <c r="AV36" i="17" s="1"/>
  <c r="AW33" i="17"/>
  <c r="AW36" i="17" s="1"/>
  <c r="AX33" i="17"/>
  <c r="AX36" i="17" s="1"/>
  <c r="AZ33" i="17"/>
  <c r="AZ36" i="17" s="1"/>
  <c r="BA33" i="17"/>
  <c r="BA36" i="17" s="1"/>
  <c r="BB33" i="17"/>
  <c r="BB36" i="17" s="1"/>
  <c r="BC33" i="17"/>
  <c r="BC36" i="17" s="1"/>
  <c r="BE33" i="17"/>
  <c r="BE36" i="17" s="1"/>
  <c r="BF33" i="17"/>
  <c r="BF36" i="17" s="1"/>
  <c r="BG33" i="17"/>
  <c r="BG36" i="17" s="1"/>
  <c r="BH33" i="17"/>
  <c r="BH36" i="17" s="1"/>
  <c r="BJ33" i="17"/>
  <c r="BJ36" i="17" s="1"/>
  <c r="BK33" i="17"/>
  <c r="BK36" i="17" s="1"/>
  <c r="BL33" i="17"/>
  <c r="BL36" i="17" s="1"/>
  <c r="BM33" i="17"/>
  <c r="BM36" i="17" s="1"/>
  <c r="B7" i="17" l="1"/>
  <c r="B8" i="17"/>
  <c r="B9" i="17"/>
  <c r="B10" i="17"/>
  <c r="B11" i="17"/>
  <c r="B12" i="17"/>
  <c r="B13" i="17"/>
  <c r="B14" i="17"/>
  <c r="B6" i="17"/>
  <c r="BN14" i="17"/>
  <c r="BI14" i="17"/>
  <c r="BD14" i="17"/>
  <c r="AY14" i="17"/>
  <c r="AT14" i="17"/>
  <c r="AO14" i="17"/>
  <c r="AE14" i="17"/>
  <c r="Z14" i="17"/>
  <c r="U14" i="17"/>
  <c r="K14" i="17"/>
  <c r="BN13" i="17"/>
  <c r="BI13" i="17"/>
  <c r="BD13" i="17"/>
  <c r="AY13" i="17"/>
  <c r="AT13" i="17"/>
  <c r="AO13" i="17"/>
  <c r="AJ13" i="17"/>
  <c r="AE13" i="17"/>
  <c r="P13" i="17"/>
  <c r="K13" i="17"/>
  <c r="BI12" i="17"/>
  <c r="BD12" i="17"/>
  <c r="AY12" i="17"/>
  <c r="AT12" i="17"/>
  <c r="AO12" i="17"/>
  <c r="AJ12" i="17"/>
  <c r="AE12" i="17"/>
  <c r="Z12" i="17"/>
  <c r="U12" i="17"/>
  <c r="BN11" i="17"/>
  <c r="BN28" i="17" s="1"/>
  <c r="BI11" i="17"/>
  <c r="BI28" i="17" s="1"/>
  <c r="AY11" i="17"/>
  <c r="AY28" i="17" s="1"/>
  <c r="AT11" i="17"/>
  <c r="AT28" i="17" s="1"/>
  <c r="AO11" i="17"/>
  <c r="AO28" i="17" s="1"/>
  <c r="AJ11" i="17"/>
  <c r="AJ28" i="17" s="1"/>
  <c r="AE11" i="17"/>
  <c r="AE28" i="17" s="1"/>
  <c r="Z11" i="17"/>
  <c r="Z28" i="17" s="1"/>
  <c r="U11" i="17"/>
  <c r="U28" i="17" s="1"/>
  <c r="P11" i="17"/>
  <c r="P28" i="17" s="1"/>
  <c r="K11" i="17"/>
  <c r="K28" i="17" s="1"/>
  <c r="BD10" i="17"/>
  <c r="AY10" i="17"/>
  <c r="AO10" i="17"/>
  <c r="AJ10" i="17"/>
  <c r="AE10" i="17"/>
  <c r="Z10" i="17"/>
  <c r="U10" i="17"/>
  <c r="P10" i="17"/>
  <c r="K10" i="17"/>
  <c r="BN9" i="17"/>
  <c r="BI9" i="17"/>
  <c r="AT9" i="17"/>
  <c r="AO9" i="17"/>
  <c r="AE9" i="17"/>
  <c r="Z9" i="17"/>
  <c r="U9" i="17"/>
  <c r="P9" i="17"/>
  <c r="K9" i="17"/>
  <c r="BI8" i="17"/>
  <c r="BI25" i="17" s="1"/>
  <c r="AY8" i="17"/>
  <c r="AY25" i="17" s="1"/>
  <c r="AT8" i="17"/>
  <c r="AT25" i="17" s="1"/>
  <c r="AJ8" i="17"/>
  <c r="AJ25" i="17" s="1"/>
  <c r="AE8" i="17"/>
  <c r="AE25" i="17" s="1"/>
  <c r="U8" i="17"/>
  <c r="U25" i="17" s="1"/>
  <c r="K8" i="17"/>
  <c r="K25" i="17" s="1"/>
  <c r="BN7" i="17"/>
  <c r="BI7" i="17"/>
  <c r="AY7" i="17"/>
  <c r="AT7" i="17"/>
  <c r="AO7" i="17"/>
  <c r="AJ7" i="17"/>
  <c r="Z7" i="17"/>
  <c r="U7" i="17"/>
  <c r="K7" i="17"/>
  <c r="BM15" i="17"/>
  <c r="BL15" i="17"/>
  <c r="BK15" i="17"/>
  <c r="BJ15" i="17"/>
  <c r="BH15" i="17"/>
  <c r="BG15" i="17"/>
  <c r="BI6" i="17"/>
  <c r="AZ15" i="17"/>
  <c r="AX15" i="17"/>
  <c r="AW15" i="17"/>
  <c r="AV15" i="17"/>
  <c r="AU15" i="17"/>
  <c r="AS15" i="17"/>
  <c r="AP15" i="17"/>
  <c r="AL15" i="17"/>
  <c r="AK15" i="17"/>
  <c r="AI15" i="17"/>
  <c r="AH15" i="17"/>
  <c r="AG15" i="17"/>
  <c r="AF15" i="17"/>
  <c r="AB15" i="17"/>
  <c r="AE6" i="17"/>
  <c r="X15" i="17"/>
  <c r="W15" i="17"/>
  <c r="V15" i="17"/>
  <c r="T15" i="17"/>
  <c r="S15" i="17"/>
  <c r="R15" i="17"/>
  <c r="Q15" i="17"/>
  <c r="N15" i="17"/>
  <c r="P6" i="17"/>
  <c r="J15" i="17"/>
  <c r="I15" i="17"/>
  <c r="H15" i="17"/>
  <c r="K6" i="17"/>
  <c r="P26" i="17" l="1"/>
  <c r="P36" i="17" s="1"/>
  <c r="D16" i="19" s="1"/>
  <c r="U26" i="17"/>
  <c r="U36" i="17" s="1"/>
  <c r="E16" i="19" s="1"/>
  <c r="K26" i="17"/>
  <c r="K36" i="17" s="1"/>
  <c r="C16" i="19" s="1"/>
  <c r="Z26" i="17"/>
  <c r="Z36" i="17" s="1"/>
  <c r="F16" i="19" s="1"/>
  <c r="AE29" i="17"/>
  <c r="AE37" i="17" s="1"/>
  <c r="G17" i="19" s="1"/>
  <c r="AE26" i="17"/>
  <c r="AE36" i="17" s="1"/>
  <c r="G16" i="19" s="1"/>
  <c r="AE27" i="17"/>
  <c r="AE33" i="17" s="1"/>
  <c r="G10" i="19" s="1"/>
  <c r="AO29" i="17"/>
  <c r="AO37" i="17" s="1"/>
  <c r="I17" i="19" s="1"/>
  <c r="AT29" i="17"/>
  <c r="AT37" i="17" s="1"/>
  <c r="J17" i="19" s="1"/>
  <c r="K24" i="17"/>
  <c r="K32" i="17" s="1"/>
  <c r="C9" i="19" s="1"/>
  <c r="AY29" i="17"/>
  <c r="AY37" i="17" s="1"/>
  <c r="K17" i="19" s="1"/>
  <c r="U24" i="17"/>
  <c r="U32" i="17" s="1"/>
  <c r="E9" i="19" s="1"/>
  <c r="BD29" i="17"/>
  <c r="BD37" i="17" s="1"/>
  <c r="L17" i="19" s="1"/>
  <c r="AO26" i="17"/>
  <c r="AO36" i="17" s="1"/>
  <c r="I16" i="19" s="1"/>
  <c r="BI29" i="17"/>
  <c r="BI37" i="17" s="1"/>
  <c r="M17" i="19" s="1"/>
  <c r="P7" i="17"/>
  <c r="P12" i="17"/>
  <c r="BF15" i="17"/>
  <c r="AO8" i="17"/>
  <c r="AO25" i="17" s="1"/>
  <c r="Z13" i="17"/>
  <c r="Z29" i="17" s="1"/>
  <c r="Z37" i="17" s="1"/>
  <c r="F17" i="19" s="1"/>
  <c r="BD9" i="17"/>
  <c r="BD26" i="17" s="1"/>
  <c r="BD36" i="17" s="1"/>
  <c r="L16" i="19" s="1"/>
  <c r="BD11" i="17"/>
  <c r="Z8" i="17"/>
  <c r="Z25" i="17" s="1"/>
  <c r="Z24" i="17" s="1"/>
  <c r="Z32" i="17" s="1"/>
  <c r="F9" i="19" s="1"/>
  <c r="U13" i="17"/>
  <c r="U29" i="17" s="1"/>
  <c r="U37" i="17" s="1"/>
  <c r="E17" i="19" s="1"/>
  <c r="BN12" i="17"/>
  <c r="AJ9" i="17"/>
  <c r="AJ26" i="17" s="1"/>
  <c r="AJ36" i="17" s="1"/>
  <c r="H16" i="19" s="1"/>
  <c r="AC15" i="17"/>
  <c r="AD15" i="17"/>
  <c r="AY9" i="17"/>
  <c r="AY26" i="17" s="1"/>
  <c r="AY36" i="17" s="1"/>
  <c r="K16" i="19" s="1"/>
  <c r="AT10" i="17"/>
  <c r="AT26" i="17" s="1"/>
  <c r="AT36" i="17" s="1"/>
  <c r="J16" i="19" s="1"/>
  <c r="BN10" i="17"/>
  <c r="BN26" i="17" s="1"/>
  <c r="BN36" i="17" s="1"/>
  <c r="M15" i="17"/>
  <c r="BD7" i="17"/>
  <c r="BA15" i="17"/>
  <c r="K12" i="17"/>
  <c r="BB15" i="17"/>
  <c r="BC15" i="17"/>
  <c r="AN15" i="17"/>
  <c r="AJ14" i="17"/>
  <c r="AJ29" i="17" s="1"/>
  <c r="AJ37" i="17" s="1"/>
  <c r="H17" i="19" s="1"/>
  <c r="AQ15" i="17"/>
  <c r="AT6" i="17"/>
  <c r="BI10" i="17"/>
  <c r="BI26" i="17" s="1"/>
  <c r="BI36" i="17" s="1"/>
  <c r="M16" i="19" s="1"/>
  <c r="P14" i="17"/>
  <c r="L15" i="17"/>
  <c r="AR15" i="17"/>
  <c r="AA15" i="17"/>
  <c r="BN8" i="17"/>
  <c r="BN25" i="17" s="1"/>
  <c r="AM15" i="17"/>
  <c r="AJ6" i="17"/>
  <c r="BD8" i="17"/>
  <c r="BD25" i="17" s="1"/>
  <c r="U6" i="17"/>
  <c r="O15" i="17"/>
  <c r="BN6" i="17"/>
  <c r="AE7" i="17"/>
  <c r="AE15" i="17" s="1"/>
  <c r="AY6" i="17"/>
  <c r="Z6" i="17"/>
  <c r="AO6" i="17"/>
  <c r="Y15" i="17"/>
  <c r="BE15" i="17"/>
  <c r="BD6" i="17"/>
  <c r="P8" i="17"/>
  <c r="P25" i="17" s="1"/>
  <c r="G15" i="17"/>
  <c r="P29" i="17" l="1"/>
  <c r="P37" i="17" s="1"/>
  <c r="D17" i="19" s="1"/>
  <c r="O16" i="19"/>
  <c r="BI24" i="17"/>
  <c r="BI32" i="17" s="1"/>
  <c r="M9" i="19" s="1"/>
  <c r="AY27" i="17"/>
  <c r="AY33" i="17" s="1"/>
  <c r="K10" i="19" s="1"/>
  <c r="AT27" i="17"/>
  <c r="AT33" i="17" s="1"/>
  <c r="J10" i="19" s="1"/>
  <c r="AJ24" i="17"/>
  <c r="AJ32" i="17" s="1"/>
  <c r="H9" i="19" s="1"/>
  <c r="AJ27" i="17"/>
  <c r="AJ33" i="17" s="1"/>
  <c r="H10" i="19" s="1"/>
  <c r="AO27" i="17"/>
  <c r="AO33" i="17" s="1"/>
  <c r="I10" i="19" s="1"/>
  <c r="P24" i="17"/>
  <c r="P32" i="17" s="1"/>
  <c r="D9" i="19" s="1"/>
  <c r="AT24" i="17"/>
  <c r="AT32" i="17" s="1"/>
  <c r="J9" i="19" s="1"/>
  <c r="AY24" i="17"/>
  <c r="AY32" i="17" s="1"/>
  <c r="K9" i="19" s="1"/>
  <c r="BI27" i="17"/>
  <c r="BI33" i="17" s="1"/>
  <c r="M10" i="19" s="1"/>
  <c r="AE24" i="17"/>
  <c r="AE32" i="17" s="1"/>
  <c r="G9" i="19" s="1"/>
  <c r="AO24" i="17"/>
  <c r="AO32" i="17" s="1"/>
  <c r="I9" i="19" s="1"/>
  <c r="U27" i="17"/>
  <c r="U33" i="17" s="1"/>
  <c r="E10" i="19" s="1"/>
  <c r="Z27" i="17"/>
  <c r="Z33" i="17" s="1"/>
  <c r="F10" i="19" s="1"/>
  <c r="BD24" i="17"/>
  <c r="BD32" i="17" s="1"/>
  <c r="L9" i="19" s="1"/>
  <c r="BD28" i="17"/>
  <c r="BD27" i="17" s="1"/>
  <c r="BD33" i="17" s="1"/>
  <c r="L10" i="19" s="1"/>
  <c r="K15" i="17"/>
  <c r="K29" i="17"/>
  <c r="K37" i="17" s="1"/>
  <c r="C17" i="19" s="1"/>
  <c r="O17" i="19" s="1"/>
  <c r="P27" i="17"/>
  <c r="P33" i="17" s="1"/>
  <c r="D10" i="19" s="1"/>
  <c r="BN29" i="17"/>
  <c r="BN37" i="17" s="1"/>
  <c r="BN24" i="17"/>
  <c r="BN32" i="17" s="1"/>
  <c r="U15" i="17"/>
  <c r="BN15" i="17"/>
  <c r="AT15" i="17"/>
  <c r="Z15" i="17"/>
  <c r="AY15" i="17"/>
  <c r="P15" i="17"/>
  <c r="AO15" i="17"/>
  <c r="BI15" i="17"/>
  <c r="AJ15" i="17"/>
  <c r="BD15" i="17"/>
  <c r="O9" i="19" l="1"/>
  <c r="BN27" i="17"/>
  <c r="BN33" i="17" s="1"/>
  <c r="K27" i="17"/>
  <c r="K33" i="17" s="1"/>
  <c r="C10" i="19" s="1"/>
  <c r="O10" i="19" s="1"/>
  <c r="AU40" i="1"/>
  <c r="AV46" i="1"/>
  <c r="AU46" i="1"/>
  <c r="S46" i="1" s="1"/>
  <c r="AV41" i="1"/>
  <c r="AV45" i="1"/>
  <c r="AU45" i="1"/>
  <c r="S45" i="1" s="1"/>
  <c r="AV44" i="1"/>
  <c r="AV42" i="1"/>
  <c r="AU42" i="1"/>
  <c r="S42" i="1" s="1"/>
  <c r="AV43" i="1"/>
  <c r="AU43" i="1"/>
  <c r="S43" i="1" s="1"/>
  <c r="AV39" i="1"/>
  <c r="AU39" i="1"/>
  <c r="S39" i="1" s="1"/>
  <c r="AV38" i="1"/>
  <c r="AU38" i="1"/>
  <c r="S38" i="1" s="1"/>
  <c r="AV37" i="1"/>
  <c r="AU37" i="1"/>
  <c r="S37" i="1" s="1"/>
  <c r="AV36" i="1"/>
  <c r="AU36" i="1"/>
  <c r="S36" i="1" s="1"/>
  <c r="AV24" i="1"/>
  <c r="AU24" i="1"/>
  <c r="S24" i="1" s="1"/>
  <c r="AV23" i="1"/>
  <c r="AU23" i="1"/>
  <c r="S23" i="1" s="1"/>
  <c r="AV22" i="1"/>
  <c r="AU22" i="1"/>
  <c r="S22" i="1" s="1"/>
  <c r="AV21" i="1"/>
  <c r="AU21" i="1"/>
  <c r="S21" i="1" s="1"/>
  <c r="AV20" i="1"/>
  <c r="AU20" i="1"/>
  <c r="S20" i="1" s="1"/>
  <c r="AV19" i="1"/>
  <c r="AU19" i="1"/>
  <c r="S19" i="1" s="1"/>
  <c r="S40" i="1" l="1"/>
  <c r="S51" i="1" s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I50" i="1"/>
  <c r="AJ50" i="1"/>
  <c r="AK50" i="1"/>
  <c r="AL50" i="1"/>
  <c r="AM50" i="1"/>
  <c r="AN50" i="1"/>
  <c r="AO50" i="1"/>
  <c r="AP50" i="1"/>
  <c r="AQ50" i="1"/>
  <c r="AR50" i="1"/>
  <c r="AS50" i="1"/>
  <c r="AU10" i="1"/>
  <c r="S10" i="1" s="1"/>
  <c r="AV10" i="1"/>
  <c r="AU11" i="1"/>
  <c r="S11" i="1" s="1"/>
  <c r="AV11" i="1"/>
  <c r="AU12" i="1"/>
  <c r="S12" i="1" s="1"/>
  <c r="AV12" i="1"/>
  <c r="AU26" i="1"/>
  <c r="S26" i="1" s="1"/>
  <c r="AV26" i="1"/>
  <c r="AU27" i="1"/>
  <c r="S27" i="1" s="1"/>
  <c r="AV27" i="1"/>
  <c r="AU28" i="1"/>
  <c r="S28" i="1" s="1"/>
  <c r="AV28" i="1"/>
  <c r="AU29" i="1"/>
  <c r="S29" i="1" s="1"/>
  <c r="AV29" i="1"/>
  <c r="AU30" i="1"/>
  <c r="S30" i="1" s="1"/>
  <c r="AV30" i="1"/>
  <c r="AU31" i="1"/>
  <c r="S31" i="1" s="1"/>
  <c r="AV31" i="1"/>
  <c r="AU15" i="1"/>
  <c r="S15" i="1" s="1"/>
  <c r="AV15" i="1"/>
  <c r="AU16" i="1"/>
  <c r="S16" i="1" s="1"/>
  <c r="AV16" i="1"/>
  <c r="AU33" i="1"/>
  <c r="S33" i="1" s="1"/>
  <c r="AV33" i="1"/>
  <c r="AU34" i="1"/>
  <c r="S34" i="1" s="1"/>
  <c r="AV34" i="1"/>
  <c r="G42" i="5" l="1"/>
  <c r="G44" i="5" s="1"/>
  <c r="G80" i="5"/>
  <c r="G82" i="5" s="1"/>
  <c r="M42" i="5"/>
  <c r="M44" i="5" s="1"/>
  <c r="M80" i="5"/>
  <c r="M82" i="5" s="1"/>
  <c r="F80" i="5"/>
  <c r="F82" i="5" s="1"/>
  <c r="F42" i="5"/>
  <c r="F44" i="5" s="1"/>
  <c r="C80" i="5"/>
  <c r="C82" i="5" s="1"/>
  <c r="C42" i="5"/>
  <c r="C44" i="5" s="1"/>
  <c r="N80" i="5"/>
  <c r="N82" i="5" s="1"/>
  <c r="N42" i="5"/>
  <c r="N44" i="5" s="1"/>
  <c r="D80" i="5"/>
  <c r="D82" i="5" s="1"/>
  <c r="D42" i="5"/>
  <c r="D44" i="5" s="1"/>
  <c r="K42" i="5"/>
  <c r="K44" i="5" s="1"/>
  <c r="K80" i="5"/>
  <c r="K82" i="5" s="1"/>
  <c r="L42" i="5"/>
  <c r="L44" i="5" s="1"/>
  <c r="L80" i="5"/>
  <c r="L82" i="5" s="1"/>
  <c r="E42" i="5"/>
  <c r="E44" i="5" s="1"/>
  <c r="E80" i="5"/>
  <c r="E82" i="5" s="1"/>
  <c r="H80" i="5"/>
  <c r="H82" i="5" s="1"/>
  <c r="H42" i="5"/>
  <c r="H44" i="5" s="1"/>
  <c r="I80" i="5"/>
  <c r="I82" i="5" s="1"/>
  <c r="I42" i="5"/>
  <c r="I44" i="5" s="1"/>
  <c r="J42" i="5"/>
  <c r="J44" i="5" s="1"/>
  <c r="J80" i="5"/>
  <c r="J82" i="5" s="1"/>
  <c r="L10" i="6"/>
  <c r="O44" i="5" l="1"/>
  <c r="O82" i="5"/>
  <c r="D10" i="6"/>
  <c r="L6" i="6" l="1"/>
  <c r="L7" i="6"/>
  <c r="L15" i="6" l="1"/>
  <c r="I15" i="6"/>
  <c r="L14" i="6" l="1"/>
  <c r="L13" i="6" l="1"/>
  <c r="L12" i="6" l="1"/>
  <c r="M18" i="6" l="1"/>
  <c r="L18" i="6"/>
  <c r="N3" i="2" l="1"/>
  <c r="J18" i="16"/>
  <c r="I18" i="16"/>
  <c r="H18" i="16"/>
  <c r="G18" i="16"/>
  <c r="F18" i="16"/>
  <c r="E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D18" i="16"/>
  <c r="A1968" i="8"/>
  <c r="B1968" i="8"/>
  <c r="C1968" i="8"/>
  <c r="A1969" i="8"/>
  <c r="B1969" i="8"/>
  <c r="C1969" i="8"/>
  <c r="A1970" i="8"/>
  <c r="B1970" i="8"/>
  <c r="C1970" i="8"/>
  <c r="A1971" i="8"/>
  <c r="B1971" i="8"/>
  <c r="C1971" i="8"/>
  <c r="A1972" i="8"/>
  <c r="B1972" i="8"/>
  <c r="C1972" i="8"/>
  <c r="A1973" i="8"/>
  <c r="B1973" i="8"/>
  <c r="C1973" i="8"/>
  <c r="A1974" i="8"/>
  <c r="B1974" i="8"/>
  <c r="C1974" i="8"/>
  <c r="A1975" i="8"/>
  <c r="B1975" i="8"/>
  <c r="C1975" i="8"/>
  <c r="A1976" i="8"/>
  <c r="B1976" i="8"/>
  <c r="C1976" i="8"/>
  <c r="A1977" i="8"/>
  <c r="B1977" i="8"/>
  <c r="C1977" i="8"/>
  <c r="A1978" i="8"/>
  <c r="B1978" i="8"/>
  <c r="C1978" i="8"/>
  <c r="A1979" i="8"/>
  <c r="B1979" i="8"/>
  <c r="C1979" i="8"/>
  <c r="A1980" i="8"/>
  <c r="B1980" i="8"/>
  <c r="C1980" i="8"/>
  <c r="A1981" i="8"/>
  <c r="B1981" i="8"/>
  <c r="C1981" i="8"/>
  <c r="A1982" i="8"/>
  <c r="B1982" i="8"/>
  <c r="C1982" i="8"/>
  <c r="A1983" i="8"/>
  <c r="B1983" i="8"/>
  <c r="C1983" i="8"/>
  <c r="A1984" i="8"/>
  <c r="B1984" i="8"/>
  <c r="C1984" i="8"/>
  <c r="A1985" i="8"/>
  <c r="B1985" i="8"/>
  <c r="C1985" i="8"/>
  <c r="A1986" i="8"/>
  <c r="B1986" i="8"/>
  <c r="C1986" i="8"/>
  <c r="A1987" i="8"/>
  <c r="B1987" i="8"/>
  <c r="C1987" i="8"/>
  <c r="A1988" i="8"/>
  <c r="B1988" i="8"/>
  <c r="C1988" i="8"/>
  <c r="A1989" i="8"/>
  <c r="B1989" i="8"/>
  <c r="C1989" i="8"/>
  <c r="A1990" i="8"/>
  <c r="B1990" i="8"/>
  <c r="C1990" i="8"/>
  <c r="A1991" i="8"/>
  <c r="B1991" i="8"/>
  <c r="C1991" i="8"/>
  <c r="A1992" i="8"/>
  <c r="B1992" i="8"/>
  <c r="C1992" i="8"/>
  <c r="A1993" i="8"/>
  <c r="B1993" i="8"/>
  <c r="C1993" i="8"/>
  <c r="A1994" i="8"/>
  <c r="B1994" i="8"/>
  <c r="C1994" i="8"/>
  <c r="A1995" i="8"/>
  <c r="B1995" i="8"/>
  <c r="C1995" i="8"/>
  <c r="A1996" i="8"/>
  <c r="B1996" i="8"/>
  <c r="C1996" i="8"/>
  <c r="A1997" i="8"/>
  <c r="B1997" i="8"/>
  <c r="C1997" i="8"/>
  <c r="A1998" i="8"/>
  <c r="B1998" i="8"/>
  <c r="C1998" i="8"/>
  <c r="A1999" i="8"/>
  <c r="B1999" i="8"/>
  <c r="C1999" i="8"/>
  <c r="A2000" i="8"/>
  <c r="B2000" i="8"/>
  <c r="C2000" i="8"/>
  <c r="A2001" i="8"/>
  <c r="B2001" i="8"/>
  <c r="C2001" i="8"/>
  <c r="A2002" i="8"/>
  <c r="B2002" i="8"/>
  <c r="C2002" i="8"/>
  <c r="A2003" i="8"/>
  <c r="B2003" i="8"/>
  <c r="C2003" i="8"/>
  <c r="A2004" i="8"/>
  <c r="B2004" i="8"/>
  <c r="C2004" i="8"/>
  <c r="A2005" i="8"/>
  <c r="B2005" i="8"/>
  <c r="C2005" i="8"/>
  <c r="A2006" i="8"/>
  <c r="B2006" i="8"/>
  <c r="C2006" i="8"/>
  <c r="A2007" i="8"/>
  <c r="B2007" i="8"/>
  <c r="C2007" i="8"/>
  <c r="A2008" i="8"/>
  <c r="B2008" i="8"/>
  <c r="C2008" i="8"/>
  <c r="A2009" i="8"/>
  <c r="B2009" i="8"/>
  <c r="C2009" i="8"/>
  <c r="A2010" i="8"/>
  <c r="B2010" i="8"/>
  <c r="C2010" i="8"/>
  <c r="A2011" i="8"/>
  <c r="B2011" i="8"/>
  <c r="C2011" i="8"/>
  <c r="A2012" i="8"/>
  <c r="B2012" i="8"/>
  <c r="C2012" i="8"/>
  <c r="A2013" i="8"/>
  <c r="B2013" i="8"/>
  <c r="C2013" i="8"/>
  <c r="A2014" i="8"/>
  <c r="B2014" i="8"/>
  <c r="C2014" i="8"/>
  <c r="A2015" i="8"/>
  <c r="B2015" i="8"/>
  <c r="C2015" i="8"/>
  <c r="A2016" i="8"/>
  <c r="B2016" i="8"/>
  <c r="C2016" i="8"/>
  <c r="A2017" i="8"/>
  <c r="B2017" i="8"/>
  <c r="C2017" i="8"/>
  <c r="A2018" i="8"/>
  <c r="B2018" i="8"/>
  <c r="C2018" i="8"/>
  <c r="A2019" i="8"/>
  <c r="B2019" i="8"/>
  <c r="C2019" i="8"/>
  <c r="A2020" i="8"/>
  <c r="B2020" i="8"/>
  <c r="C2020" i="8"/>
  <c r="A2021" i="8"/>
  <c r="B2021" i="8"/>
  <c r="C2021" i="8"/>
  <c r="A2022" i="8"/>
  <c r="B2022" i="8"/>
  <c r="C2022" i="8"/>
  <c r="A2023" i="8"/>
  <c r="B2023" i="8"/>
  <c r="C2023" i="8"/>
  <c r="A2024" i="8"/>
  <c r="B2024" i="8"/>
  <c r="C2024" i="8"/>
  <c r="A2025" i="8"/>
  <c r="B2025" i="8"/>
  <c r="C2025" i="8"/>
  <c r="A2026" i="8"/>
  <c r="B2026" i="8"/>
  <c r="C2026" i="8"/>
  <c r="A2027" i="8"/>
  <c r="B2027" i="8"/>
  <c r="C2027" i="8"/>
  <c r="A2028" i="8"/>
  <c r="B2028" i="8"/>
  <c r="C2028" i="8"/>
  <c r="A2029" i="8"/>
  <c r="B2029" i="8"/>
  <c r="C2029" i="8"/>
  <c r="A2030" i="8"/>
  <c r="B2030" i="8"/>
  <c r="C2030" i="8"/>
  <c r="A2031" i="8"/>
  <c r="B2031" i="8"/>
  <c r="C2031" i="8"/>
  <c r="A2032" i="8"/>
  <c r="B2032" i="8"/>
  <c r="C2032" i="8"/>
  <c r="A2033" i="8"/>
  <c r="B2033" i="8"/>
  <c r="C2033" i="8"/>
  <c r="A2034" i="8"/>
  <c r="B2034" i="8"/>
  <c r="C2034" i="8"/>
  <c r="A2035" i="8"/>
  <c r="B2035" i="8"/>
  <c r="C2035" i="8"/>
  <c r="A2036" i="8"/>
  <c r="B2036" i="8"/>
  <c r="C2036" i="8"/>
  <c r="A2037" i="8"/>
  <c r="B2037" i="8"/>
  <c r="C2037" i="8"/>
  <c r="A2038" i="8"/>
  <c r="B2038" i="8"/>
  <c r="C2038" i="8"/>
  <c r="A2039" i="8"/>
  <c r="B2039" i="8"/>
  <c r="C2039" i="8"/>
  <c r="A2040" i="8"/>
  <c r="B2040" i="8"/>
  <c r="C2040" i="8"/>
  <c r="A2041" i="8"/>
  <c r="B2041" i="8"/>
  <c r="C2041" i="8"/>
  <c r="A2042" i="8"/>
  <c r="B2042" i="8"/>
  <c r="C2042" i="8"/>
  <c r="A2043" i="8"/>
  <c r="B2043" i="8"/>
  <c r="C2043" i="8"/>
  <c r="A2044" i="8"/>
  <c r="B2044" i="8"/>
  <c r="C2044" i="8"/>
  <c r="A2045" i="8"/>
  <c r="B2045" i="8"/>
  <c r="C2045" i="8"/>
  <c r="A2046" i="8"/>
  <c r="B2046" i="8"/>
  <c r="C2046" i="8"/>
  <c r="A2047" i="8"/>
  <c r="B2047" i="8"/>
  <c r="C2047" i="8"/>
  <c r="A2048" i="8"/>
  <c r="B2048" i="8"/>
  <c r="C2048" i="8"/>
  <c r="A2049" i="8"/>
  <c r="B2049" i="8"/>
  <c r="C2049" i="8"/>
  <c r="A2050" i="8"/>
  <c r="B2050" i="8"/>
  <c r="C2050" i="8"/>
  <c r="A2051" i="8"/>
  <c r="B2051" i="8"/>
  <c r="C2051" i="8"/>
  <c r="A2052" i="8"/>
  <c r="B2052" i="8"/>
  <c r="C2052" i="8"/>
  <c r="A2053" i="8"/>
  <c r="B2053" i="8"/>
  <c r="C2053" i="8"/>
  <c r="A2054" i="8"/>
  <c r="B2054" i="8"/>
  <c r="C2054" i="8"/>
  <c r="A2055" i="8"/>
  <c r="B2055" i="8"/>
  <c r="C2055" i="8"/>
  <c r="A2056" i="8"/>
  <c r="B2056" i="8"/>
  <c r="C2056" i="8"/>
  <c r="A2057" i="8"/>
  <c r="B2057" i="8"/>
  <c r="C2057" i="8"/>
  <c r="A2058" i="8"/>
  <c r="B2058" i="8"/>
  <c r="C2058" i="8"/>
  <c r="A2059" i="8"/>
  <c r="B2059" i="8"/>
  <c r="C2059" i="8"/>
  <c r="A2060" i="8"/>
  <c r="B2060" i="8"/>
  <c r="C2060" i="8"/>
  <c r="A2061" i="8"/>
  <c r="B2061" i="8"/>
  <c r="C2061" i="8"/>
  <c r="A2062" i="8"/>
  <c r="B2062" i="8"/>
  <c r="C2062" i="8"/>
  <c r="A2063" i="8"/>
  <c r="B2063" i="8"/>
  <c r="C2063" i="8"/>
  <c r="A2064" i="8"/>
  <c r="B2064" i="8"/>
  <c r="C2064" i="8"/>
  <c r="A2065" i="8"/>
  <c r="B2065" i="8"/>
  <c r="C2065" i="8"/>
  <c r="A2066" i="8"/>
  <c r="B2066" i="8"/>
  <c r="C2066" i="8"/>
  <c r="A2067" i="8"/>
  <c r="B2067" i="8"/>
  <c r="C2067" i="8"/>
  <c r="A2068" i="8"/>
  <c r="B2068" i="8"/>
  <c r="C2068" i="8"/>
  <c r="A2069" i="8"/>
  <c r="B2069" i="8"/>
  <c r="C2069" i="8"/>
  <c r="A2070" i="8"/>
  <c r="B2070" i="8"/>
  <c r="C2070" i="8"/>
  <c r="A2071" i="8"/>
  <c r="B2071" i="8"/>
  <c r="C2071" i="8"/>
  <c r="A2072" i="8"/>
  <c r="B2072" i="8"/>
  <c r="C2072" i="8"/>
  <c r="A2073" i="8"/>
  <c r="B2073" i="8"/>
  <c r="C2073" i="8"/>
  <c r="A2074" i="8"/>
  <c r="B2074" i="8"/>
  <c r="C2074" i="8"/>
  <c r="A2075" i="8"/>
  <c r="B2075" i="8"/>
  <c r="C2075" i="8"/>
  <c r="A2076" i="8"/>
  <c r="B2076" i="8"/>
  <c r="C2076" i="8"/>
  <c r="A2077" i="8"/>
  <c r="B2077" i="8"/>
  <c r="C2077" i="8"/>
  <c r="A2078" i="8"/>
  <c r="B2078" i="8"/>
  <c r="C2078" i="8"/>
  <c r="A2079" i="8"/>
  <c r="B2079" i="8"/>
  <c r="C2079" i="8"/>
  <c r="A2080" i="8"/>
  <c r="B2080" i="8"/>
  <c r="C2080" i="8"/>
  <c r="A2081" i="8"/>
  <c r="B2081" i="8"/>
  <c r="C2081" i="8"/>
  <c r="A2082" i="8"/>
  <c r="B2082" i="8"/>
  <c r="C2082" i="8"/>
  <c r="A2083" i="8"/>
  <c r="B2083" i="8"/>
  <c r="C2083" i="8"/>
  <c r="A2084" i="8"/>
  <c r="B2084" i="8"/>
  <c r="C2084" i="8"/>
  <c r="A2085" i="8"/>
  <c r="B2085" i="8"/>
  <c r="C2085" i="8"/>
  <c r="A2086" i="8"/>
  <c r="B2086" i="8"/>
  <c r="C2086" i="8"/>
  <c r="A2087" i="8"/>
  <c r="B2087" i="8"/>
  <c r="C2087" i="8"/>
  <c r="A2088" i="8"/>
  <c r="B2088" i="8"/>
  <c r="C2088" i="8"/>
  <c r="A2089" i="8"/>
  <c r="B2089" i="8"/>
  <c r="C2089" i="8"/>
  <c r="A2090" i="8"/>
  <c r="B2090" i="8"/>
  <c r="C2090" i="8"/>
  <c r="A2091" i="8"/>
  <c r="B2091" i="8"/>
  <c r="C2091" i="8"/>
  <c r="A2092" i="8"/>
  <c r="B2092" i="8"/>
  <c r="C2092" i="8"/>
  <c r="A2093" i="8"/>
  <c r="B2093" i="8"/>
  <c r="C2093" i="8"/>
  <c r="A2094" i="8"/>
  <c r="B2094" i="8"/>
  <c r="C2094" i="8"/>
  <c r="A2095" i="8"/>
  <c r="B2095" i="8"/>
  <c r="C2095" i="8"/>
  <c r="A2096" i="8"/>
  <c r="B2096" i="8"/>
  <c r="C2096" i="8"/>
  <c r="A2097" i="8"/>
  <c r="B2097" i="8"/>
  <c r="C2097" i="8"/>
  <c r="A2098" i="8"/>
  <c r="B2098" i="8"/>
  <c r="C2098" i="8"/>
  <c r="A2099" i="8"/>
  <c r="B2099" i="8"/>
  <c r="C2099" i="8"/>
  <c r="A2100" i="8"/>
  <c r="B2100" i="8"/>
  <c r="C2100" i="8"/>
  <c r="A2101" i="8"/>
  <c r="B2101" i="8"/>
  <c r="C2101" i="8"/>
  <c r="A2102" i="8"/>
  <c r="B2102" i="8"/>
  <c r="C2102" i="8"/>
  <c r="A2103" i="8"/>
  <c r="B2103" i="8"/>
  <c r="C2103" i="8"/>
  <c r="A2104" i="8"/>
  <c r="B2104" i="8"/>
  <c r="C2104" i="8"/>
  <c r="A2105" i="8"/>
  <c r="B2105" i="8"/>
  <c r="C2105" i="8"/>
  <c r="A2106" i="8"/>
  <c r="B2106" i="8"/>
  <c r="C2106" i="8"/>
  <c r="A2107" i="8"/>
  <c r="B2107" i="8"/>
  <c r="C2107" i="8"/>
  <c r="A2108" i="8"/>
  <c r="B2108" i="8"/>
  <c r="C2108" i="8"/>
  <c r="A2109" i="8"/>
  <c r="B2109" i="8"/>
  <c r="C2109" i="8"/>
  <c r="A2110" i="8"/>
  <c r="B2110" i="8"/>
  <c r="C2110" i="8"/>
  <c r="A2111" i="8"/>
  <c r="B2111" i="8"/>
  <c r="C2111" i="8"/>
  <c r="A2112" i="8"/>
  <c r="B2112" i="8"/>
  <c r="C2112" i="8"/>
  <c r="A2113" i="8"/>
  <c r="B2113" i="8"/>
  <c r="C2113" i="8"/>
  <c r="A2114" i="8"/>
  <c r="B2114" i="8"/>
  <c r="C2114" i="8"/>
  <c r="A2115" i="8"/>
  <c r="B2115" i="8"/>
  <c r="C2115" i="8"/>
  <c r="A2116" i="8"/>
  <c r="B2116" i="8"/>
  <c r="C2116" i="8"/>
  <c r="A2117" i="8"/>
  <c r="B2117" i="8"/>
  <c r="C2117" i="8"/>
  <c r="A2118" i="8"/>
  <c r="B2118" i="8"/>
  <c r="C2118" i="8"/>
  <c r="A2119" i="8"/>
  <c r="B2119" i="8"/>
  <c r="C2119" i="8"/>
  <c r="A2120" i="8"/>
  <c r="B2120" i="8"/>
  <c r="C2120" i="8"/>
  <c r="A2121" i="8"/>
  <c r="B2121" i="8"/>
  <c r="C2121" i="8"/>
  <c r="A2122" i="8"/>
  <c r="B2122" i="8"/>
  <c r="C2122" i="8"/>
  <c r="A2123" i="8"/>
  <c r="B2123" i="8"/>
  <c r="C2123" i="8"/>
  <c r="A2124" i="8"/>
  <c r="B2124" i="8"/>
  <c r="C2124" i="8"/>
  <c r="A2125" i="8"/>
  <c r="B2125" i="8"/>
  <c r="C2125" i="8"/>
  <c r="A2126" i="8"/>
  <c r="B2126" i="8"/>
  <c r="C2126" i="8"/>
  <c r="A2127" i="8"/>
  <c r="B2127" i="8"/>
  <c r="C2127" i="8"/>
  <c r="A2128" i="8"/>
  <c r="B2128" i="8"/>
  <c r="C2128" i="8"/>
  <c r="A2129" i="8"/>
  <c r="B2129" i="8"/>
  <c r="C2129" i="8"/>
  <c r="A2130" i="8"/>
  <c r="B2130" i="8"/>
  <c r="C2130" i="8"/>
  <c r="A2131" i="8"/>
  <c r="B2131" i="8"/>
  <c r="C2131" i="8"/>
  <c r="A2132" i="8"/>
  <c r="B2132" i="8"/>
  <c r="C2132" i="8"/>
  <c r="A2133" i="8"/>
  <c r="B2133" i="8"/>
  <c r="C2133" i="8"/>
  <c r="A2134" i="8"/>
  <c r="B2134" i="8"/>
  <c r="C2134" i="8"/>
  <c r="A2135" i="8"/>
  <c r="B2135" i="8"/>
  <c r="C2135" i="8"/>
  <c r="A2136" i="8"/>
  <c r="B2136" i="8"/>
  <c r="C2136" i="8"/>
  <c r="A2137" i="8"/>
  <c r="B2137" i="8"/>
  <c r="C2137" i="8"/>
  <c r="A2138" i="8"/>
  <c r="B2138" i="8"/>
  <c r="C2138" i="8"/>
  <c r="A2139" i="8"/>
  <c r="B2139" i="8"/>
  <c r="C2139" i="8"/>
  <c r="A2140" i="8"/>
  <c r="B2140" i="8"/>
  <c r="C2140" i="8"/>
  <c r="A2141" i="8"/>
  <c r="B2141" i="8"/>
  <c r="C2141" i="8"/>
  <c r="A2142" i="8"/>
  <c r="B2142" i="8"/>
  <c r="C2142" i="8"/>
  <c r="A2143" i="8"/>
  <c r="B2143" i="8"/>
  <c r="C2143" i="8"/>
  <c r="A2144" i="8"/>
  <c r="B2144" i="8"/>
  <c r="C2144" i="8"/>
  <c r="A2145" i="8"/>
  <c r="B2145" i="8"/>
  <c r="C2145" i="8"/>
  <c r="A2146" i="8"/>
  <c r="B2146" i="8"/>
  <c r="C2146" i="8"/>
  <c r="A2147" i="8"/>
  <c r="B2147" i="8"/>
  <c r="C2147" i="8"/>
  <c r="A2148" i="8"/>
  <c r="B2148" i="8"/>
  <c r="C2148" i="8"/>
  <c r="A2149" i="8"/>
  <c r="B2149" i="8"/>
  <c r="C2149" i="8"/>
  <c r="A2150" i="8"/>
  <c r="B2150" i="8"/>
  <c r="C2150" i="8"/>
  <c r="A2151" i="8"/>
  <c r="B2151" i="8"/>
  <c r="C2151" i="8"/>
  <c r="A2152" i="8"/>
  <c r="B2152" i="8"/>
  <c r="C2152" i="8"/>
  <c r="A2153" i="8"/>
  <c r="B2153" i="8"/>
  <c r="C2153" i="8"/>
  <c r="A2154" i="8"/>
  <c r="B2154" i="8"/>
  <c r="C2154" i="8"/>
  <c r="A2155" i="8"/>
  <c r="B2155" i="8"/>
  <c r="C2155" i="8"/>
  <c r="A2156" i="8"/>
  <c r="B2156" i="8"/>
  <c r="C2156" i="8"/>
  <c r="A2157" i="8"/>
  <c r="B2157" i="8"/>
  <c r="C2157" i="8"/>
  <c r="A2158" i="8"/>
  <c r="B2158" i="8"/>
  <c r="C2158" i="8"/>
  <c r="A2159" i="8"/>
  <c r="B2159" i="8"/>
  <c r="C2159" i="8"/>
  <c r="A2160" i="8"/>
  <c r="B2160" i="8"/>
  <c r="C2160" i="8"/>
  <c r="A2161" i="8"/>
  <c r="B2161" i="8"/>
  <c r="C2161" i="8"/>
  <c r="A2162" i="8"/>
  <c r="B2162" i="8"/>
  <c r="C2162" i="8"/>
  <c r="A2163" i="8"/>
  <c r="B2163" i="8"/>
  <c r="C2163" i="8"/>
  <c r="A2164" i="8"/>
  <c r="B2164" i="8"/>
  <c r="C2164" i="8"/>
  <c r="A2165" i="8"/>
  <c r="B2165" i="8"/>
  <c r="C2165" i="8"/>
  <c r="A2166" i="8"/>
  <c r="B2166" i="8"/>
  <c r="C2166" i="8"/>
  <c r="A2167" i="8"/>
  <c r="B2167" i="8"/>
  <c r="C2167" i="8"/>
  <c r="A2168" i="8"/>
  <c r="B2168" i="8"/>
  <c r="C2168" i="8"/>
  <c r="A2169" i="8"/>
  <c r="B2169" i="8"/>
  <c r="C2169" i="8"/>
  <c r="A2170" i="8"/>
  <c r="B2170" i="8"/>
  <c r="C2170" i="8"/>
  <c r="A2171" i="8"/>
  <c r="B2171" i="8"/>
  <c r="C2171" i="8"/>
  <c r="A2172" i="8"/>
  <c r="B2172" i="8"/>
  <c r="C2172" i="8"/>
  <c r="A2173" i="8"/>
  <c r="B2173" i="8"/>
  <c r="C2173" i="8"/>
  <c r="A2174" i="8"/>
  <c r="B2174" i="8"/>
  <c r="C2174" i="8"/>
  <c r="E225" i="20" l="1"/>
  <c r="H222" i="20"/>
  <c r="F220" i="20"/>
  <c r="I215" i="20"/>
  <c r="G213" i="20"/>
  <c r="G222" i="20"/>
  <c r="E220" i="20"/>
  <c r="J217" i="20"/>
  <c r="H215" i="20"/>
  <c r="F213" i="20"/>
  <c r="J224" i="20"/>
  <c r="F222" i="20"/>
  <c r="I217" i="20"/>
  <c r="G215" i="20"/>
  <c r="E213" i="20"/>
  <c r="I224" i="20"/>
  <c r="E222" i="20"/>
  <c r="J219" i="20"/>
  <c r="H217" i="20"/>
  <c r="F215" i="20"/>
  <c r="H224" i="20"/>
  <c r="I219" i="20"/>
  <c r="G217" i="20"/>
  <c r="E215" i="20"/>
  <c r="G224" i="20"/>
  <c r="J221" i="20"/>
  <c r="H219" i="20"/>
  <c r="F217" i="20"/>
  <c r="F224" i="20"/>
  <c r="I221" i="20"/>
  <c r="G219" i="20"/>
  <c r="E217" i="20"/>
  <c r="J214" i="20"/>
  <c r="E224" i="20"/>
  <c r="H221" i="20"/>
  <c r="F219" i="20"/>
  <c r="I214" i="20"/>
  <c r="J223" i="20"/>
  <c r="G221" i="20"/>
  <c r="E219" i="20"/>
  <c r="J216" i="20"/>
  <c r="H214" i="20"/>
  <c r="I223" i="20"/>
  <c r="F221" i="20"/>
  <c r="I216" i="20"/>
  <c r="G214" i="20"/>
  <c r="H223" i="20"/>
  <c r="E221" i="20"/>
  <c r="J218" i="20"/>
  <c r="H216" i="20"/>
  <c r="F214" i="20"/>
  <c r="J225" i="20"/>
  <c r="G223" i="20"/>
  <c r="I218" i="20"/>
  <c r="G216" i="20"/>
  <c r="E214" i="20"/>
  <c r="E218" i="20"/>
  <c r="I225" i="20"/>
  <c r="F223" i="20"/>
  <c r="J220" i="20"/>
  <c r="H218" i="20"/>
  <c r="F216" i="20"/>
  <c r="G220" i="20"/>
  <c r="H225" i="20"/>
  <c r="E223" i="20"/>
  <c r="I220" i="20"/>
  <c r="G218" i="20"/>
  <c r="E216" i="20"/>
  <c r="J213" i="20"/>
  <c r="F225" i="20"/>
  <c r="J215" i="20"/>
  <c r="G225" i="20"/>
  <c r="J222" i="20"/>
  <c r="H220" i="20"/>
  <c r="F218" i="20"/>
  <c r="I213" i="20"/>
  <c r="I222" i="20"/>
  <c r="H213" i="20"/>
  <c r="K18" i="16"/>
  <c r="D158" i="2"/>
  <c r="A1792" i="8"/>
  <c r="B1792" i="8"/>
  <c r="C1792" i="8"/>
  <c r="A1793" i="8"/>
  <c r="B1793" i="8"/>
  <c r="C1793" i="8"/>
  <c r="A1794" i="8"/>
  <c r="B1794" i="8"/>
  <c r="C1794" i="8"/>
  <c r="A1795" i="8"/>
  <c r="B1795" i="8"/>
  <c r="C1795" i="8"/>
  <c r="A1796" i="8"/>
  <c r="B1796" i="8"/>
  <c r="C1796" i="8"/>
  <c r="A1797" i="8"/>
  <c r="B1797" i="8"/>
  <c r="C1797" i="8"/>
  <c r="A1798" i="8"/>
  <c r="B1798" i="8"/>
  <c r="C1798" i="8"/>
  <c r="A1799" i="8"/>
  <c r="B1799" i="8"/>
  <c r="C1799" i="8"/>
  <c r="A1800" i="8"/>
  <c r="B1800" i="8"/>
  <c r="C1800" i="8"/>
  <c r="A1801" i="8"/>
  <c r="B1801" i="8"/>
  <c r="C1801" i="8"/>
  <c r="A1802" i="8"/>
  <c r="B1802" i="8"/>
  <c r="C1802" i="8"/>
  <c r="A1803" i="8"/>
  <c r="B1803" i="8"/>
  <c r="C1803" i="8"/>
  <c r="A1804" i="8"/>
  <c r="B1804" i="8"/>
  <c r="C1804" i="8"/>
  <c r="A1805" i="8"/>
  <c r="B1805" i="8"/>
  <c r="C1805" i="8"/>
  <c r="A1806" i="8"/>
  <c r="B1806" i="8"/>
  <c r="C1806" i="8"/>
  <c r="A1807" i="8"/>
  <c r="B1807" i="8"/>
  <c r="C1807" i="8"/>
  <c r="A1808" i="8"/>
  <c r="B1808" i="8"/>
  <c r="C1808" i="8"/>
  <c r="A1809" i="8"/>
  <c r="B1809" i="8"/>
  <c r="C1809" i="8"/>
  <c r="A1810" i="8"/>
  <c r="B1810" i="8"/>
  <c r="C1810" i="8"/>
  <c r="A1811" i="8"/>
  <c r="B1811" i="8"/>
  <c r="C1811" i="8"/>
  <c r="A1812" i="8"/>
  <c r="B1812" i="8"/>
  <c r="C1812" i="8"/>
  <c r="A1813" i="8"/>
  <c r="B1813" i="8"/>
  <c r="C1813" i="8"/>
  <c r="A1814" i="8"/>
  <c r="B1814" i="8"/>
  <c r="C1814" i="8"/>
  <c r="A1815" i="8"/>
  <c r="B1815" i="8"/>
  <c r="C1815" i="8"/>
  <c r="A1816" i="8"/>
  <c r="B1816" i="8"/>
  <c r="C1816" i="8"/>
  <c r="A1817" i="8"/>
  <c r="B1817" i="8"/>
  <c r="C1817" i="8"/>
  <c r="A1818" i="8"/>
  <c r="B1818" i="8"/>
  <c r="C1818" i="8"/>
  <c r="A1819" i="8"/>
  <c r="B1819" i="8"/>
  <c r="C1819" i="8"/>
  <c r="A1820" i="8"/>
  <c r="B1820" i="8"/>
  <c r="C1820" i="8"/>
  <c r="A1821" i="8"/>
  <c r="B1821" i="8"/>
  <c r="C1821" i="8"/>
  <c r="A1822" i="8"/>
  <c r="B1822" i="8"/>
  <c r="C1822" i="8"/>
  <c r="A1823" i="8"/>
  <c r="B1823" i="8"/>
  <c r="C1823" i="8"/>
  <c r="A1824" i="8"/>
  <c r="B1824" i="8"/>
  <c r="C1824" i="8"/>
  <c r="A1825" i="8"/>
  <c r="B1825" i="8"/>
  <c r="C1825" i="8"/>
  <c r="A1826" i="8"/>
  <c r="B1826" i="8"/>
  <c r="C1826" i="8"/>
  <c r="A1827" i="8"/>
  <c r="B1827" i="8"/>
  <c r="C1827" i="8"/>
  <c r="A1828" i="8"/>
  <c r="B1828" i="8"/>
  <c r="C1828" i="8"/>
  <c r="A1829" i="8"/>
  <c r="B1829" i="8"/>
  <c r="C1829" i="8"/>
  <c r="A1830" i="8"/>
  <c r="B1830" i="8"/>
  <c r="C1830" i="8"/>
  <c r="A1831" i="8"/>
  <c r="B1831" i="8"/>
  <c r="C1831" i="8"/>
  <c r="A1832" i="8"/>
  <c r="B1832" i="8"/>
  <c r="C1832" i="8"/>
  <c r="A1833" i="8"/>
  <c r="B1833" i="8"/>
  <c r="C1833" i="8"/>
  <c r="A1834" i="8"/>
  <c r="B1834" i="8"/>
  <c r="C1834" i="8"/>
  <c r="A1835" i="8"/>
  <c r="B1835" i="8"/>
  <c r="C1835" i="8"/>
  <c r="A1836" i="8"/>
  <c r="B1836" i="8"/>
  <c r="C1836" i="8"/>
  <c r="A1837" i="8"/>
  <c r="B1837" i="8"/>
  <c r="C1837" i="8"/>
  <c r="A1838" i="8"/>
  <c r="B1838" i="8"/>
  <c r="C1838" i="8"/>
  <c r="A1839" i="8"/>
  <c r="B1839" i="8"/>
  <c r="C1839" i="8"/>
  <c r="A1840" i="8"/>
  <c r="B1840" i="8"/>
  <c r="C1840" i="8"/>
  <c r="A1841" i="8"/>
  <c r="B1841" i="8"/>
  <c r="C1841" i="8"/>
  <c r="A1842" i="8"/>
  <c r="B1842" i="8"/>
  <c r="C1842" i="8"/>
  <c r="A1843" i="8"/>
  <c r="B1843" i="8"/>
  <c r="C1843" i="8"/>
  <c r="A1844" i="8"/>
  <c r="B1844" i="8"/>
  <c r="C1844" i="8"/>
  <c r="A1845" i="8"/>
  <c r="B1845" i="8"/>
  <c r="C1845" i="8"/>
  <c r="A1846" i="8"/>
  <c r="B1846" i="8"/>
  <c r="C1846" i="8"/>
  <c r="A1847" i="8"/>
  <c r="B1847" i="8"/>
  <c r="C1847" i="8"/>
  <c r="A1848" i="8"/>
  <c r="B1848" i="8"/>
  <c r="C1848" i="8"/>
  <c r="A1849" i="8"/>
  <c r="B1849" i="8"/>
  <c r="C1849" i="8"/>
  <c r="A1850" i="8"/>
  <c r="B1850" i="8"/>
  <c r="C1850" i="8"/>
  <c r="A1851" i="8"/>
  <c r="B1851" i="8"/>
  <c r="C1851" i="8"/>
  <c r="A1852" i="8"/>
  <c r="B1852" i="8"/>
  <c r="C1852" i="8"/>
  <c r="A1853" i="8"/>
  <c r="B1853" i="8"/>
  <c r="C1853" i="8"/>
  <c r="A1854" i="8"/>
  <c r="B1854" i="8"/>
  <c r="C1854" i="8"/>
  <c r="A1855" i="8"/>
  <c r="B1855" i="8"/>
  <c r="C1855" i="8"/>
  <c r="A1856" i="8"/>
  <c r="B1856" i="8"/>
  <c r="C1856" i="8"/>
  <c r="A1857" i="8"/>
  <c r="B1857" i="8"/>
  <c r="C1857" i="8"/>
  <c r="A1858" i="8"/>
  <c r="B1858" i="8"/>
  <c r="C1858" i="8"/>
  <c r="A1859" i="8"/>
  <c r="B1859" i="8"/>
  <c r="C1859" i="8"/>
  <c r="A1860" i="8"/>
  <c r="B1860" i="8"/>
  <c r="C1860" i="8"/>
  <c r="A1861" i="8"/>
  <c r="B1861" i="8"/>
  <c r="C1861" i="8"/>
  <c r="A1862" i="8"/>
  <c r="B1862" i="8"/>
  <c r="C1862" i="8"/>
  <c r="A1863" i="8"/>
  <c r="B1863" i="8"/>
  <c r="C1863" i="8"/>
  <c r="A1864" i="8"/>
  <c r="B1864" i="8"/>
  <c r="C1864" i="8"/>
  <c r="A1865" i="8"/>
  <c r="B1865" i="8"/>
  <c r="C1865" i="8"/>
  <c r="A1866" i="8"/>
  <c r="B1866" i="8"/>
  <c r="C1866" i="8"/>
  <c r="A1867" i="8"/>
  <c r="B1867" i="8"/>
  <c r="C1867" i="8"/>
  <c r="A1868" i="8"/>
  <c r="B1868" i="8"/>
  <c r="C1868" i="8"/>
  <c r="A1869" i="8"/>
  <c r="B1869" i="8"/>
  <c r="C1869" i="8"/>
  <c r="A1870" i="8"/>
  <c r="B1870" i="8"/>
  <c r="C1870" i="8"/>
  <c r="A1871" i="8"/>
  <c r="B1871" i="8"/>
  <c r="C1871" i="8"/>
  <c r="A1872" i="8"/>
  <c r="B1872" i="8"/>
  <c r="C1872" i="8"/>
  <c r="A1873" i="8"/>
  <c r="B1873" i="8"/>
  <c r="C1873" i="8"/>
  <c r="A1874" i="8"/>
  <c r="B1874" i="8"/>
  <c r="C1874" i="8"/>
  <c r="A1875" i="8"/>
  <c r="B1875" i="8"/>
  <c r="C1875" i="8"/>
  <c r="A1876" i="8"/>
  <c r="B1876" i="8"/>
  <c r="C1876" i="8"/>
  <c r="A1877" i="8"/>
  <c r="B1877" i="8"/>
  <c r="C1877" i="8"/>
  <c r="A1878" i="8"/>
  <c r="B1878" i="8"/>
  <c r="C1878" i="8"/>
  <c r="A1879" i="8"/>
  <c r="B1879" i="8"/>
  <c r="C1879" i="8"/>
  <c r="A1880" i="8"/>
  <c r="B1880" i="8"/>
  <c r="C1880" i="8"/>
  <c r="A1881" i="8"/>
  <c r="B1881" i="8"/>
  <c r="C1881" i="8"/>
  <c r="A1882" i="8"/>
  <c r="B1882" i="8"/>
  <c r="C1882" i="8"/>
  <c r="A1883" i="8"/>
  <c r="B1883" i="8"/>
  <c r="C1883" i="8"/>
  <c r="A1884" i="8"/>
  <c r="B1884" i="8"/>
  <c r="C1884" i="8"/>
  <c r="A1885" i="8"/>
  <c r="B1885" i="8"/>
  <c r="C1885" i="8"/>
  <c r="A1886" i="8"/>
  <c r="B1886" i="8"/>
  <c r="C1886" i="8"/>
  <c r="A1887" i="8"/>
  <c r="B1887" i="8"/>
  <c r="C1887" i="8"/>
  <c r="A1888" i="8"/>
  <c r="B1888" i="8"/>
  <c r="C1888" i="8"/>
  <c r="A1889" i="8"/>
  <c r="B1889" i="8"/>
  <c r="C1889" i="8"/>
  <c r="A1890" i="8"/>
  <c r="B1890" i="8"/>
  <c r="C1890" i="8"/>
  <c r="A1891" i="8"/>
  <c r="B1891" i="8"/>
  <c r="C1891" i="8"/>
  <c r="A1892" i="8"/>
  <c r="B1892" i="8"/>
  <c r="C1892" i="8"/>
  <c r="A1893" i="8"/>
  <c r="B1893" i="8"/>
  <c r="C1893" i="8"/>
  <c r="A1894" i="8"/>
  <c r="B1894" i="8"/>
  <c r="C1894" i="8"/>
  <c r="A1895" i="8"/>
  <c r="B1895" i="8"/>
  <c r="C1895" i="8"/>
  <c r="A1896" i="8"/>
  <c r="B1896" i="8"/>
  <c r="C1896" i="8"/>
  <c r="A1897" i="8"/>
  <c r="B1897" i="8"/>
  <c r="C1897" i="8"/>
  <c r="A1898" i="8"/>
  <c r="B1898" i="8"/>
  <c r="C1898" i="8"/>
  <c r="A1899" i="8"/>
  <c r="B1899" i="8"/>
  <c r="C1899" i="8"/>
  <c r="A1900" i="8"/>
  <c r="B1900" i="8"/>
  <c r="C1900" i="8"/>
  <c r="A1901" i="8"/>
  <c r="B1901" i="8"/>
  <c r="C1901" i="8"/>
  <c r="A1902" i="8"/>
  <c r="B1902" i="8"/>
  <c r="C1902" i="8"/>
  <c r="A1903" i="8"/>
  <c r="B1903" i="8"/>
  <c r="C1903" i="8"/>
  <c r="A1904" i="8"/>
  <c r="B1904" i="8"/>
  <c r="C1904" i="8"/>
  <c r="A1905" i="8"/>
  <c r="B1905" i="8"/>
  <c r="C1905" i="8"/>
  <c r="A1906" i="8"/>
  <c r="B1906" i="8"/>
  <c r="C1906" i="8"/>
  <c r="A1907" i="8"/>
  <c r="B1907" i="8"/>
  <c r="C1907" i="8"/>
  <c r="A1908" i="8"/>
  <c r="B1908" i="8"/>
  <c r="C1908" i="8"/>
  <c r="A1909" i="8"/>
  <c r="B1909" i="8"/>
  <c r="C1909" i="8"/>
  <c r="A1910" i="8"/>
  <c r="B1910" i="8"/>
  <c r="C1910" i="8"/>
  <c r="A1911" i="8"/>
  <c r="B1911" i="8"/>
  <c r="C1911" i="8"/>
  <c r="A1912" i="8"/>
  <c r="B1912" i="8"/>
  <c r="C1912" i="8"/>
  <c r="A1913" i="8"/>
  <c r="B1913" i="8"/>
  <c r="C1913" i="8"/>
  <c r="A1914" i="8"/>
  <c r="B1914" i="8"/>
  <c r="C1914" i="8"/>
  <c r="A1915" i="8"/>
  <c r="B1915" i="8"/>
  <c r="C1915" i="8"/>
  <c r="A1916" i="8"/>
  <c r="B1916" i="8"/>
  <c r="C1916" i="8"/>
  <c r="A1917" i="8"/>
  <c r="B1917" i="8"/>
  <c r="C1917" i="8"/>
  <c r="A1918" i="8"/>
  <c r="B1918" i="8"/>
  <c r="C1918" i="8"/>
  <c r="A1919" i="8"/>
  <c r="B1919" i="8"/>
  <c r="C1919" i="8"/>
  <c r="A1920" i="8"/>
  <c r="B1920" i="8"/>
  <c r="C1920" i="8"/>
  <c r="A1921" i="8"/>
  <c r="B1921" i="8"/>
  <c r="C1921" i="8"/>
  <c r="A1922" i="8"/>
  <c r="B1922" i="8"/>
  <c r="C1922" i="8"/>
  <c r="A1923" i="8"/>
  <c r="B1923" i="8"/>
  <c r="C1923" i="8"/>
  <c r="A1924" i="8"/>
  <c r="B1924" i="8"/>
  <c r="C1924" i="8"/>
  <c r="A1925" i="8"/>
  <c r="B1925" i="8"/>
  <c r="C1925" i="8"/>
  <c r="A1926" i="8"/>
  <c r="B1926" i="8"/>
  <c r="C1926" i="8"/>
  <c r="A1927" i="8"/>
  <c r="B1927" i="8"/>
  <c r="C1927" i="8"/>
  <c r="A1928" i="8"/>
  <c r="B1928" i="8"/>
  <c r="C1928" i="8"/>
  <c r="A1929" i="8"/>
  <c r="B1929" i="8"/>
  <c r="C1929" i="8"/>
  <c r="A1930" i="8"/>
  <c r="B1930" i="8"/>
  <c r="C1930" i="8"/>
  <c r="A1931" i="8"/>
  <c r="B1931" i="8"/>
  <c r="C1931" i="8"/>
  <c r="A1932" i="8"/>
  <c r="B1932" i="8"/>
  <c r="C1932" i="8"/>
  <c r="A1933" i="8"/>
  <c r="B1933" i="8"/>
  <c r="C1933" i="8"/>
  <c r="A1934" i="8"/>
  <c r="B1934" i="8"/>
  <c r="C1934" i="8"/>
  <c r="A1935" i="8"/>
  <c r="B1935" i="8"/>
  <c r="C1935" i="8"/>
  <c r="A1936" i="8"/>
  <c r="B1936" i="8"/>
  <c r="C1936" i="8"/>
  <c r="A1937" i="8"/>
  <c r="B1937" i="8"/>
  <c r="C1937" i="8"/>
  <c r="A1938" i="8"/>
  <c r="B1938" i="8"/>
  <c r="C1938" i="8"/>
  <c r="A1939" i="8"/>
  <c r="B1939" i="8"/>
  <c r="C1939" i="8"/>
  <c r="A1940" i="8"/>
  <c r="B1940" i="8"/>
  <c r="C1940" i="8"/>
  <c r="A1941" i="8"/>
  <c r="B1941" i="8"/>
  <c r="C1941" i="8"/>
  <c r="A1942" i="8"/>
  <c r="B1942" i="8"/>
  <c r="C1942" i="8"/>
  <c r="A1943" i="8"/>
  <c r="B1943" i="8"/>
  <c r="C1943" i="8"/>
  <c r="A1944" i="8"/>
  <c r="B1944" i="8"/>
  <c r="C1944" i="8"/>
  <c r="A1945" i="8"/>
  <c r="B1945" i="8"/>
  <c r="C1945" i="8"/>
  <c r="A1946" i="8"/>
  <c r="B1946" i="8"/>
  <c r="C1946" i="8"/>
  <c r="A1947" i="8"/>
  <c r="B1947" i="8"/>
  <c r="C1947" i="8"/>
  <c r="A1948" i="8"/>
  <c r="B1948" i="8"/>
  <c r="C1948" i="8"/>
  <c r="A1949" i="8"/>
  <c r="B1949" i="8"/>
  <c r="C1949" i="8"/>
  <c r="A1950" i="8"/>
  <c r="B1950" i="8"/>
  <c r="C1950" i="8"/>
  <c r="A1951" i="8"/>
  <c r="B1951" i="8"/>
  <c r="C1951" i="8"/>
  <c r="A1952" i="8"/>
  <c r="B1952" i="8"/>
  <c r="C1952" i="8"/>
  <c r="A1953" i="8"/>
  <c r="B1953" i="8"/>
  <c r="C1953" i="8"/>
  <c r="A1954" i="8"/>
  <c r="B1954" i="8"/>
  <c r="C1954" i="8"/>
  <c r="A1955" i="8"/>
  <c r="B1955" i="8"/>
  <c r="C1955" i="8"/>
  <c r="A1956" i="8"/>
  <c r="B1956" i="8"/>
  <c r="C1956" i="8"/>
  <c r="A1957" i="8"/>
  <c r="B1957" i="8"/>
  <c r="C1957" i="8"/>
  <c r="A1958" i="8"/>
  <c r="B1958" i="8"/>
  <c r="C1958" i="8"/>
  <c r="A1959" i="8"/>
  <c r="B1959" i="8"/>
  <c r="C1959" i="8"/>
  <c r="A1960" i="8"/>
  <c r="B1960" i="8"/>
  <c r="C1960" i="8"/>
  <c r="A1961" i="8"/>
  <c r="B1961" i="8"/>
  <c r="C1961" i="8"/>
  <c r="A1962" i="8"/>
  <c r="B1962" i="8"/>
  <c r="C1962" i="8"/>
  <c r="A1963" i="8"/>
  <c r="B1963" i="8"/>
  <c r="C1963" i="8"/>
  <c r="A1964" i="8"/>
  <c r="B1964" i="8"/>
  <c r="C1964" i="8"/>
  <c r="A1965" i="8"/>
  <c r="B1965" i="8"/>
  <c r="C1965" i="8"/>
  <c r="A1966" i="8"/>
  <c r="B1966" i="8"/>
  <c r="C1966" i="8"/>
  <c r="A1967" i="8"/>
  <c r="B1967" i="8"/>
  <c r="C1967" i="8"/>
  <c r="K217" i="20" l="1"/>
  <c r="K216" i="20"/>
  <c r="K219" i="20"/>
  <c r="K221" i="20"/>
  <c r="K214" i="20"/>
  <c r="J226" i="20"/>
  <c r="K223" i="20"/>
  <c r="E226" i="20"/>
  <c r="K213" i="20"/>
  <c r="H226" i="20"/>
  <c r="I226" i="20"/>
  <c r="F226" i="20"/>
  <c r="K218" i="20"/>
  <c r="K225" i="20"/>
  <c r="K215" i="20"/>
  <c r="K220" i="20"/>
  <c r="G226" i="20"/>
  <c r="F210" i="20"/>
  <c r="I207" i="20"/>
  <c r="G205" i="20"/>
  <c r="E203" i="20"/>
  <c r="J200" i="20"/>
  <c r="E210" i="20"/>
  <c r="H207" i="20"/>
  <c r="F205" i="20"/>
  <c r="I200" i="20"/>
  <c r="J209" i="20"/>
  <c r="G207" i="20"/>
  <c r="E205" i="20"/>
  <c r="J202" i="20"/>
  <c r="H200" i="20"/>
  <c r="I209" i="20"/>
  <c r="F207" i="20"/>
  <c r="I202" i="20"/>
  <c r="G200" i="20"/>
  <c r="H209" i="20"/>
  <c r="E207" i="20"/>
  <c r="J204" i="20"/>
  <c r="H202" i="20"/>
  <c r="F200" i="20"/>
  <c r="J211" i="20"/>
  <c r="G209" i="20"/>
  <c r="I204" i="20"/>
  <c r="G202" i="20"/>
  <c r="E200" i="20"/>
  <c r="I211" i="20"/>
  <c r="F209" i="20"/>
  <c r="J206" i="20"/>
  <c r="H204" i="20"/>
  <c r="F202" i="20"/>
  <c r="H211" i="20"/>
  <c r="E209" i="20"/>
  <c r="I206" i="20"/>
  <c r="G204" i="20"/>
  <c r="E202" i="20"/>
  <c r="J199" i="20"/>
  <c r="G211" i="20"/>
  <c r="J208" i="20"/>
  <c r="H206" i="20"/>
  <c r="F204" i="20"/>
  <c r="I199" i="20"/>
  <c r="F211" i="20"/>
  <c r="I208" i="20"/>
  <c r="G206" i="20"/>
  <c r="E204" i="20"/>
  <c r="J201" i="20"/>
  <c r="H199" i="20"/>
  <c r="E211" i="20"/>
  <c r="H208" i="20"/>
  <c r="F206" i="20"/>
  <c r="I201" i="20"/>
  <c r="G199" i="20"/>
  <c r="G210" i="20"/>
  <c r="G208" i="20"/>
  <c r="E206" i="20"/>
  <c r="J203" i="20"/>
  <c r="H201" i="20"/>
  <c r="F199" i="20"/>
  <c r="H205" i="20"/>
  <c r="J210" i="20"/>
  <c r="F208" i="20"/>
  <c r="I203" i="20"/>
  <c r="G201" i="20"/>
  <c r="E199" i="20"/>
  <c r="J207" i="20"/>
  <c r="I210" i="20"/>
  <c r="E208" i="20"/>
  <c r="J205" i="20"/>
  <c r="H203" i="20"/>
  <c r="F201" i="20"/>
  <c r="F203" i="20"/>
  <c r="H210" i="20"/>
  <c r="I205" i="20"/>
  <c r="G203" i="20"/>
  <c r="E201" i="20"/>
  <c r="K224" i="20"/>
  <c r="K222" i="20"/>
  <c r="K157" i="2"/>
  <c r="I158" i="2"/>
  <c r="K147" i="2"/>
  <c r="K149" i="2"/>
  <c r="K146" i="2"/>
  <c r="K154" i="2"/>
  <c r="K150" i="2"/>
  <c r="H158" i="2"/>
  <c r="G158" i="2"/>
  <c r="K152" i="2"/>
  <c r="E158" i="2"/>
  <c r="K155" i="2"/>
  <c r="K153" i="2"/>
  <c r="K151" i="2"/>
  <c r="J158" i="2"/>
  <c r="F158" i="2"/>
  <c r="K156" i="2"/>
  <c r="K145" i="2"/>
  <c r="K148" i="2"/>
  <c r="D144" i="2"/>
  <c r="AR51" i="1"/>
  <c r="AS51" i="1"/>
  <c r="AT51" i="1"/>
  <c r="AT50" i="1"/>
  <c r="AR55" i="1"/>
  <c r="A1598" i="8"/>
  <c r="A1599" i="8"/>
  <c r="A1600" i="8"/>
  <c r="A1601" i="8"/>
  <c r="A1602" i="8"/>
  <c r="A1603" i="8"/>
  <c r="A1604" i="8"/>
  <c r="A1605" i="8"/>
  <c r="A1606" i="8"/>
  <c r="A1607" i="8"/>
  <c r="A1608" i="8"/>
  <c r="A1609" i="8"/>
  <c r="A1610" i="8"/>
  <c r="A1611" i="8"/>
  <c r="A1612" i="8"/>
  <c r="A1613" i="8"/>
  <c r="A1614" i="8"/>
  <c r="A1615" i="8"/>
  <c r="A1616" i="8"/>
  <c r="A1617" i="8"/>
  <c r="A1618" i="8"/>
  <c r="A1619" i="8"/>
  <c r="A1620" i="8"/>
  <c r="A1621" i="8"/>
  <c r="A1622" i="8"/>
  <c r="A1623" i="8"/>
  <c r="A1624" i="8"/>
  <c r="A1625" i="8"/>
  <c r="A1626" i="8"/>
  <c r="A1627" i="8"/>
  <c r="A1628" i="8"/>
  <c r="A1629" i="8"/>
  <c r="A1630" i="8"/>
  <c r="A1631" i="8"/>
  <c r="A1632" i="8"/>
  <c r="A1633" i="8"/>
  <c r="A1634" i="8"/>
  <c r="A1635" i="8"/>
  <c r="A1636" i="8"/>
  <c r="A1637" i="8"/>
  <c r="A1638" i="8"/>
  <c r="A1639" i="8"/>
  <c r="A1640" i="8"/>
  <c r="A1641" i="8"/>
  <c r="A1642" i="8"/>
  <c r="A1643" i="8"/>
  <c r="A1644" i="8"/>
  <c r="A1645" i="8"/>
  <c r="A1646" i="8"/>
  <c r="A1647" i="8"/>
  <c r="A1648" i="8"/>
  <c r="A1649" i="8"/>
  <c r="A1650" i="8"/>
  <c r="A1651" i="8"/>
  <c r="A1652" i="8"/>
  <c r="A1653" i="8"/>
  <c r="A1654" i="8"/>
  <c r="A1655" i="8"/>
  <c r="A1656" i="8"/>
  <c r="A1657" i="8"/>
  <c r="A1658" i="8"/>
  <c r="A1659" i="8"/>
  <c r="A1660" i="8"/>
  <c r="A1661" i="8"/>
  <c r="A1662" i="8"/>
  <c r="A1663" i="8"/>
  <c r="A1664" i="8"/>
  <c r="A1665" i="8"/>
  <c r="A1666" i="8"/>
  <c r="A1667" i="8"/>
  <c r="A1668" i="8"/>
  <c r="A1669" i="8"/>
  <c r="A1670" i="8"/>
  <c r="A1671" i="8"/>
  <c r="A1672" i="8"/>
  <c r="A1673" i="8"/>
  <c r="A1674" i="8"/>
  <c r="A1675" i="8"/>
  <c r="A1676" i="8"/>
  <c r="A1677" i="8"/>
  <c r="A1678" i="8"/>
  <c r="A1679" i="8"/>
  <c r="A1680" i="8"/>
  <c r="A1681" i="8"/>
  <c r="A1682" i="8"/>
  <c r="A1683" i="8"/>
  <c r="A1684" i="8"/>
  <c r="A1685" i="8"/>
  <c r="A1686" i="8"/>
  <c r="A1687" i="8"/>
  <c r="A1688" i="8"/>
  <c r="A1689" i="8"/>
  <c r="A1690" i="8"/>
  <c r="A1691" i="8"/>
  <c r="A1692" i="8"/>
  <c r="A1693" i="8"/>
  <c r="A1694" i="8"/>
  <c r="A1695" i="8"/>
  <c r="A1696" i="8"/>
  <c r="A1697" i="8"/>
  <c r="A1698" i="8"/>
  <c r="A1699" i="8"/>
  <c r="A1700" i="8"/>
  <c r="A1701" i="8"/>
  <c r="A1702" i="8"/>
  <c r="A1703" i="8"/>
  <c r="A1704" i="8"/>
  <c r="A1705" i="8"/>
  <c r="A1706" i="8"/>
  <c r="A1707" i="8"/>
  <c r="A1708" i="8"/>
  <c r="A1709" i="8"/>
  <c r="A1710" i="8"/>
  <c r="A1711" i="8"/>
  <c r="A1712" i="8"/>
  <c r="A1713" i="8"/>
  <c r="A1714" i="8"/>
  <c r="A1715" i="8"/>
  <c r="A1716" i="8"/>
  <c r="A1717" i="8"/>
  <c r="A1718" i="8"/>
  <c r="A1719" i="8"/>
  <c r="A1720" i="8"/>
  <c r="A1721" i="8"/>
  <c r="A1722" i="8"/>
  <c r="A1723" i="8"/>
  <c r="A1724" i="8"/>
  <c r="A1725" i="8"/>
  <c r="A1726" i="8"/>
  <c r="A1727" i="8"/>
  <c r="A1728" i="8"/>
  <c r="A1729" i="8"/>
  <c r="A1730" i="8"/>
  <c r="A1731" i="8"/>
  <c r="A1732" i="8"/>
  <c r="A1733" i="8"/>
  <c r="A1734" i="8"/>
  <c r="A1735" i="8"/>
  <c r="A1736" i="8"/>
  <c r="A1737" i="8"/>
  <c r="A1738" i="8"/>
  <c r="A1739" i="8"/>
  <c r="A1740" i="8"/>
  <c r="A1741" i="8"/>
  <c r="A1742" i="8"/>
  <c r="A1743" i="8"/>
  <c r="A1744" i="8"/>
  <c r="A1745" i="8"/>
  <c r="A1746" i="8"/>
  <c r="A1747" i="8"/>
  <c r="A1748" i="8"/>
  <c r="A1749" i="8"/>
  <c r="A1750" i="8"/>
  <c r="A1751" i="8"/>
  <c r="A1752" i="8"/>
  <c r="A1753" i="8"/>
  <c r="A1754" i="8"/>
  <c r="A1755" i="8"/>
  <c r="A1756" i="8"/>
  <c r="A1757" i="8"/>
  <c r="A1758" i="8"/>
  <c r="A1759" i="8"/>
  <c r="A1760" i="8"/>
  <c r="A1761" i="8"/>
  <c r="A1762" i="8"/>
  <c r="A1763" i="8"/>
  <c r="A1764" i="8"/>
  <c r="A1765" i="8"/>
  <c r="A1766" i="8"/>
  <c r="A1767" i="8"/>
  <c r="A1768" i="8"/>
  <c r="A1769" i="8"/>
  <c r="A1770" i="8"/>
  <c r="A1771" i="8"/>
  <c r="A1772" i="8"/>
  <c r="A1773" i="8"/>
  <c r="A1774" i="8"/>
  <c r="A1775" i="8"/>
  <c r="A1776" i="8"/>
  <c r="A1777" i="8"/>
  <c r="A1778" i="8"/>
  <c r="A1779" i="8"/>
  <c r="A1780" i="8"/>
  <c r="A1781" i="8"/>
  <c r="A1782" i="8"/>
  <c r="A1783" i="8"/>
  <c r="A1784" i="8"/>
  <c r="A1785" i="8"/>
  <c r="A1786" i="8"/>
  <c r="A1787" i="8"/>
  <c r="A1788" i="8"/>
  <c r="A1789" i="8"/>
  <c r="A1790" i="8"/>
  <c r="A1791" i="8"/>
  <c r="B1598" i="8"/>
  <c r="C1598" i="8"/>
  <c r="B1599" i="8"/>
  <c r="C1599" i="8"/>
  <c r="B1600" i="8"/>
  <c r="C1600" i="8"/>
  <c r="B1601" i="8"/>
  <c r="C1601" i="8"/>
  <c r="B1602" i="8"/>
  <c r="C1602" i="8"/>
  <c r="B1603" i="8"/>
  <c r="C1603" i="8"/>
  <c r="B1604" i="8"/>
  <c r="C1604" i="8"/>
  <c r="B1605" i="8"/>
  <c r="C1605" i="8"/>
  <c r="B1606" i="8"/>
  <c r="C1606" i="8"/>
  <c r="B1607" i="8"/>
  <c r="C1607" i="8"/>
  <c r="B1608" i="8"/>
  <c r="C1608" i="8"/>
  <c r="B1609" i="8"/>
  <c r="C1609" i="8"/>
  <c r="B1610" i="8"/>
  <c r="C1610" i="8"/>
  <c r="B1611" i="8"/>
  <c r="C1611" i="8"/>
  <c r="B1612" i="8"/>
  <c r="C1612" i="8"/>
  <c r="B1613" i="8"/>
  <c r="C1613" i="8"/>
  <c r="B1614" i="8"/>
  <c r="C1614" i="8"/>
  <c r="B1615" i="8"/>
  <c r="C1615" i="8"/>
  <c r="B1616" i="8"/>
  <c r="C1616" i="8"/>
  <c r="B1617" i="8"/>
  <c r="C1617" i="8"/>
  <c r="B1618" i="8"/>
  <c r="C1618" i="8"/>
  <c r="B1619" i="8"/>
  <c r="C1619" i="8"/>
  <c r="B1620" i="8"/>
  <c r="C1620" i="8"/>
  <c r="B1621" i="8"/>
  <c r="C1621" i="8"/>
  <c r="B1622" i="8"/>
  <c r="C1622" i="8"/>
  <c r="B1623" i="8"/>
  <c r="C1623" i="8"/>
  <c r="B1624" i="8"/>
  <c r="C1624" i="8"/>
  <c r="B1625" i="8"/>
  <c r="C1625" i="8"/>
  <c r="B1626" i="8"/>
  <c r="C1626" i="8"/>
  <c r="B1627" i="8"/>
  <c r="C1627" i="8"/>
  <c r="B1628" i="8"/>
  <c r="C1628" i="8"/>
  <c r="B1629" i="8"/>
  <c r="C1629" i="8"/>
  <c r="B1630" i="8"/>
  <c r="C1630" i="8"/>
  <c r="B1631" i="8"/>
  <c r="C1631" i="8"/>
  <c r="B1632" i="8"/>
  <c r="C1632" i="8"/>
  <c r="B1633" i="8"/>
  <c r="C1633" i="8"/>
  <c r="B1634" i="8"/>
  <c r="C1634" i="8"/>
  <c r="B1635" i="8"/>
  <c r="C1635" i="8"/>
  <c r="B1636" i="8"/>
  <c r="C1636" i="8"/>
  <c r="B1637" i="8"/>
  <c r="C1637" i="8"/>
  <c r="B1638" i="8"/>
  <c r="C1638" i="8"/>
  <c r="B1639" i="8"/>
  <c r="C1639" i="8"/>
  <c r="B1640" i="8"/>
  <c r="C1640" i="8"/>
  <c r="B1641" i="8"/>
  <c r="C1641" i="8"/>
  <c r="B1642" i="8"/>
  <c r="C1642" i="8"/>
  <c r="B1643" i="8"/>
  <c r="C1643" i="8"/>
  <c r="B1644" i="8"/>
  <c r="C1644" i="8"/>
  <c r="B1645" i="8"/>
  <c r="C1645" i="8"/>
  <c r="B1646" i="8"/>
  <c r="C1646" i="8"/>
  <c r="B1647" i="8"/>
  <c r="C1647" i="8"/>
  <c r="B1648" i="8"/>
  <c r="C1648" i="8"/>
  <c r="B1649" i="8"/>
  <c r="C1649" i="8"/>
  <c r="B1650" i="8"/>
  <c r="C1650" i="8"/>
  <c r="B1651" i="8"/>
  <c r="C1651" i="8"/>
  <c r="B1652" i="8"/>
  <c r="C1652" i="8"/>
  <c r="B1653" i="8"/>
  <c r="C1653" i="8"/>
  <c r="B1654" i="8"/>
  <c r="C1654" i="8"/>
  <c r="B1655" i="8"/>
  <c r="C1655" i="8"/>
  <c r="B1656" i="8"/>
  <c r="C1656" i="8"/>
  <c r="B1657" i="8"/>
  <c r="C1657" i="8"/>
  <c r="B1658" i="8"/>
  <c r="C1658" i="8"/>
  <c r="B1659" i="8"/>
  <c r="C1659" i="8"/>
  <c r="B1660" i="8"/>
  <c r="C1660" i="8"/>
  <c r="B1661" i="8"/>
  <c r="C1661" i="8"/>
  <c r="B1662" i="8"/>
  <c r="C1662" i="8"/>
  <c r="B1663" i="8"/>
  <c r="C1663" i="8"/>
  <c r="B1664" i="8"/>
  <c r="C1664" i="8"/>
  <c r="B1665" i="8"/>
  <c r="C1665" i="8"/>
  <c r="B1666" i="8"/>
  <c r="C1666" i="8"/>
  <c r="B1667" i="8"/>
  <c r="C1667" i="8"/>
  <c r="B1668" i="8"/>
  <c r="C1668" i="8"/>
  <c r="B1669" i="8"/>
  <c r="C1669" i="8"/>
  <c r="B1670" i="8"/>
  <c r="C1670" i="8"/>
  <c r="B1671" i="8"/>
  <c r="C1671" i="8"/>
  <c r="B1672" i="8"/>
  <c r="C1672" i="8"/>
  <c r="B1673" i="8"/>
  <c r="C1673" i="8"/>
  <c r="B1674" i="8"/>
  <c r="C1674" i="8"/>
  <c r="B1675" i="8"/>
  <c r="C1675" i="8"/>
  <c r="B1676" i="8"/>
  <c r="C1676" i="8"/>
  <c r="B1677" i="8"/>
  <c r="C1677" i="8"/>
  <c r="B1678" i="8"/>
  <c r="C1678" i="8"/>
  <c r="B1679" i="8"/>
  <c r="C1679" i="8"/>
  <c r="B1680" i="8"/>
  <c r="C1680" i="8"/>
  <c r="B1681" i="8"/>
  <c r="C1681" i="8"/>
  <c r="B1682" i="8"/>
  <c r="C1682" i="8"/>
  <c r="B1683" i="8"/>
  <c r="C1683" i="8"/>
  <c r="B1684" i="8"/>
  <c r="C1684" i="8"/>
  <c r="B1685" i="8"/>
  <c r="C1685" i="8"/>
  <c r="B1686" i="8"/>
  <c r="C1686" i="8"/>
  <c r="B1687" i="8"/>
  <c r="C1687" i="8"/>
  <c r="B1688" i="8"/>
  <c r="C1688" i="8"/>
  <c r="B1689" i="8"/>
  <c r="C1689" i="8"/>
  <c r="B1690" i="8"/>
  <c r="C1690" i="8"/>
  <c r="B1691" i="8"/>
  <c r="C1691" i="8"/>
  <c r="B1692" i="8"/>
  <c r="C1692" i="8"/>
  <c r="B1693" i="8"/>
  <c r="C1693" i="8"/>
  <c r="B1694" i="8"/>
  <c r="C1694" i="8"/>
  <c r="B1695" i="8"/>
  <c r="C1695" i="8"/>
  <c r="B1696" i="8"/>
  <c r="C1696" i="8"/>
  <c r="B1697" i="8"/>
  <c r="C1697" i="8"/>
  <c r="B1698" i="8"/>
  <c r="C1698" i="8"/>
  <c r="B1699" i="8"/>
  <c r="C1699" i="8"/>
  <c r="B1700" i="8"/>
  <c r="C1700" i="8"/>
  <c r="B1701" i="8"/>
  <c r="C1701" i="8"/>
  <c r="B1702" i="8"/>
  <c r="C1702" i="8"/>
  <c r="B1703" i="8"/>
  <c r="C1703" i="8"/>
  <c r="B1704" i="8"/>
  <c r="C1704" i="8"/>
  <c r="B1705" i="8"/>
  <c r="C1705" i="8"/>
  <c r="B1706" i="8"/>
  <c r="C1706" i="8"/>
  <c r="B1707" i="8"/>
  <c r="C1707" i="8"/>
  <c r="B1708" i="8"/>
  <c r="C1708" i="8"/>
  <c r="B1709" i="8"/>
  <c r="C1709" i="8"/>
  <c r="B1710" i="8"/>
  <c r="C1710" i="8"/>
  <c r="B1711" i="8"/>
  <c r="C1711" i="8"/>
  <c r="B1712" i="8"/>
  <c r="C1712" i="8"/>
  <c r="B1713" i="8"/>
  <c r="C1713" i="8"/>
  <c r="B1714" i="8"/>
  <c r="C1714" i="8"/>
  <c r="B1715" i="8"/>
  <c r="C1715" i="8"/>
  <c r="B1716" i="8"/>
  <c r="C1716" i="8"/>
  <c r="B1717" i="8"/>
  <c r="C1717" i="8"/>
  <c r="B1718" i="8"/>
  <c r="C1718" i="8"/>
  <c r="B1719" i="8"/>
  <c r="C1719" i="8"/>
  <c r="B1720" i="8"/>
  <c r="C1720" i="8"/>
  <c r="B1721" i="8"/>
  <c r="C1721" i="8"/>
  <c r="B1722" i="8"/>
  <c r="C1722" i="8"/>
  <c r="B1723" i="8"/>
  <c r="C1723" i="8"/>
  <c r="B1724" i="8"/>
  <c r="C1724" i="8"/>
  <c r="B1725" i="8"/>
  <c r="C1725" i="8"/>
  <c r="B1726" i="8"/>
  <c r="C1726" i="8"/>
  <c r="B1727" i="8"/>
  <c r="C1727" i="8"/>
  <c r="B1728" i="8"/>
  <c r="C1728" i="8"/>
  <c r="B1729" i="8"/>
  <c r="C1729" i="8"/>
  <c r="B1730" i="8"/>
  <c r="C1730" i="8"/>
  <c r="B1731" i="8"/>
  <c r="C1731" i="8"/>
  <c r="B1732" i="8"/>
  <c r="C1732" i="8"/>
  <c r="B1733" i="8"/>
  <c r="C1733" i="8"/>
  <c r="B1734" i="8"/>
  <c r="C1734" i="8"/>
  <c r="B1735" i="8"/>
  <c r="C1735" i="8"/>
  <c r="B1736" i="8"/>
  <c r="C1736" i="8"/>
  <c r="B1737" i="8"/>
  <c r="C1737" i="8"/>
  <c r="B1738" i="8"/>
  <c r="C1738" i="8"/>
  <c r="B1739" i="8"/>
  <c r="C1739" i="8"/>
  <c r="B1740" i="8"/>
  <c r="C1740" i="8"/>
  <c r="B1741" i="8"/>
  <c r="C1741" i="8"/>
  <c r="B1742" i="8"/>
  <c r="C1742" i="8"/>
  <c r="B1743" i="8"/>
  <c r="C1743" i="8"/>
  <c r="B1744" i="8"/>
  <c r="C1744" i="8"/>
  <c r="B1745" i="8"/>
  <c r="C1745" i="8"/>
  <c r="B1746" i="8"/>
  <c r="C1746" i="8"/>
  <c r="B1747" i="8"/>
  <c r="C1747" i="8"/>
  <c r="B1748" i="8"/>
  <c r="C1748" i="8"/>
  <c r="B1749" i="8"/>
  <c r="C1749" i="8"/>
  <c r="B1750" i="8"/>
  <c r="C1750" i="8"/>
  <c r="B1751" i="8"/>
  <c r="C1751" i="8"/>
  <c r="B1752" i="8"/>
  <c r="C1752" i="8"/>
  <c r="B1753" i="8"/>
  <c r="C1753" i="8"/>
  <c r="B1754" i="8"/>
  <c r="C1754" i="8"/>
  <c r="B1755" i="8"/>
  <c r="C1755" i="8"/>
  <c r="B1756" i="8"/>
  <c r="C1756" i="8"/>
  <c r="B1757" i="8"/>
  <c r="C1757" i="8"/>
  <c r="B1758" i="8"/>
  <c r="C1758" i="8"/>
  <c r="B1759" i="8"/>
  <c r="C1759" i="8"/>
  <c r="B1760" i="8"/>
  <c r="C1760" i="8"/>
  <c r="B1761" i="8"/>
  <c r="C1761" i="8"/>
  <c r="B1762" i="8"/>
  <c r="C1762" i="8"/>
  <c r="B1763" i="8"/>
  <c r="C1763" i="8"/>
  <c r="B1764" i="8"/>
  <c r="C1764" i="8"/>
  <c r="B1765" i="8"/>
  <c r="C1765" i="8"/>
  <c r="B1766" i="8"/>
  <c r="C1766" i="8"/>
  <c r="B1767" i="8"/>
  <c r="C1767" i="8"/>
  <c r="B1768" i="8"/>
  <c r="C1768" i="8"/>
  <c r="B1769" i="8"/>
  <c r="C1769" i="8"/>
  <c r="B1770" i="8"/>
  <c r="C1770" i="8"/>
  <c r="B1771" i="8"/>
  <c r="C1771" i="8"/>
  <c r="B1772" i="8"/>
  <c r="C1772" i="8"/>
  <c r="B1773" i="8"/>
  <c r="C1773" i="8"/>
  <c r="B1774" i="8"/>
  <c r="C1774" i="8"/>
  <c r="B1775" i="8"/>
  <c r="C1775" i="8"/>
  <c r="B1776" i="8"/>
  <c r="C1776" i="8"/>
  <c r="B1777" i="8"/>
  <c r="C1777" i="8"/>
  <c r="B1778" i="8"/>
  <c r="C1778" i="8"/>
  <c r="B1779" i="8"/>
  <c r="C1779" i="8"/>
  <c r="B1780" i="8"/>
  <c r="C1780" i="8"/>
  <c r="B1781" i="8"/>
  <c r="C1781" i="8"/>
  <c r="B1782" i="8"/>
  <c r="C1782" i="8"/>
  <c r="B1783" i="8"/>
  <c r="C1783" i="8"/>
  <c r="B1784" i="8"/>
  <c r="C1784" i="8"/>
  <c r="B1785" i="8"/>
  <c r="C1785" i="8"/>
  <c r="B1786" i="8"/>
  <c r="C1786" i="8"/>
  <c r="B1787" i="8"/>
  <c r="C1787" i="8"/>
  <c r="B1788" i="8"/>
  <c r="C1788" i="8"/>
  <c r="B1789" i="8"/>
  <c r="C1789" i="8"/>
  <c r="B1790" i="8"/>
  <c r="C1790" i="8"/>
  <c r="B1791" i="8"/>
  <c r="C1791" i="8"/>
  <c r="I14" i="6"/>
  <c r="K200" i="20" l="1"/>
  <c r="K206" i="20"/>
  <c r="K208" i="20"/>
  <c r="K204" i="20"/>
  <c r="K202" i="20"/>
  <c r="K207" i="20"/>
  <c r="K203" i="20"/>
  <c r="E212" i="20"/>
  <c r="K199" i="20"/>
  <c r="H212" i="20"/>
  <c r="K201" i="20"/>
  <c r="K209" i="20"/>
  <c r="F212" i="20"/>
  <c r="I197" i="20"/>
  <c r="F195" i="20"/>
  <c r="J192" i="20"/>
  <c r="H190" i="20"/>
  <c r="F188" i="20"/>
  <c r="H197" i="20"/>
  <c r="E195" i="20"/>
  <c r="I192" i="20"/>
  <c r="G190" i="20"/>
  <c r="E188" i="20"/>
  <c r="J185" i="20"/>
  <c r="G188" i="20"/>
  <c r="G197" i="20"/>
  <c r="J194" i="20"/>
  <c r="H192" i="20"/>
  <c r="F190" i="20"/>
  <c r="I185" i="20"/>
  <c r="F197" i="20"/>
  <c r="I194" i="20"/>
  <c r="G192" i="20"/>
  <c r="E190" i="20"/>
  <c r="J187" i="20"/>
  <c r="H185" i="20"/>
  <c r="E197" i="20"/>
  <c r="H194" i="20"/>
  <c r="F192" i="20"/>
  <c r="I187" i="20"/>
  <c r="G185" i="20"/>
  <c r="G194" i="20"/>
  <c r="E192" i="20"/>
  <c r="J189" i="20"/>
  <c r="H187" i="20"/>
  <c r="F185" i="20"/>
  <c r="J196" i="20"/>
  <c r="F194" i="20"/>
  <c r="I189" i="20"/>
  <c r="G187" i="20"/>
  <c r="E185" i="20"/>
  <c r="I196" i="20"/>
  <c r="E194" i="20"/>
  <c r="J191" i="20"/>
  <c r="H189" i="20"/>
  <c r="F187" i="20"/>
  <c r="H196" i="20"/>
  <c r="I191" i="20"/>
  <c r="G189" i="20"/>
  <c r="E187" i="20"/>
  <c r="E186" i="20"/>
  <c r="G196" i="20"/>
  <c r="J193" i="20"/>
  <c r="H191" i="20"/>
  <c r="F189" i="20"/>
  <c r="G195" i="20"/>
  <c r="F196" i="20"/>
  <c r="I193" i="20"/>
  <c r="G191" i="20"/>
  <c r="E189" i="20"/>
  <c r="J186" i="20"/>
  <c r="E196" i="20"/>
  <c r="H193" i="20"/>
  <c r="F191" i="20"/>
  <c r="I186" i="20"/>
  <c r="I190" i="20"/>
  <c r="J195" i="20"/>
  <c r="G193" i="20"/>
  <c r="E191" i="20"/>
  <c r="J188" i="20"/>
  <c r="H186" i="20"/>
  <c r="I195" i="20"/>
  <c r="F193" i="20"/>
  <c r="I188" i="20"/>
  <c r="G186" i="20"/>
  <c r="H195" i="20"/>
  <c r="E193" i="20"/>
  <c r="J190" i="20"/>
  <c r="H188" i="20"/>
  <c r="F186" i="20"/>
  <c r="J197" i="20"/>
  <c r="I212" i="20"/>
  <c r="K205" i="20"/>
  <c r="K210" i="20"/>
  <c r="K211" i="20"/>
  <c r="K226" i="20"/>
  <c r="G212" i="20"/>
  <c r="J212" i="20"/>
  <c r="AR57" i="1"/>
  <c r="K158" i="2"/>
  <c r="K131" i="2"/>
  <c r="K135" i="2"/>
  <c r="K140" i="2"/>
  <c r="K134" i="2"/>
  <c r="K132" i="2"/>
  <c r="K139" i="2"/>
  <c r="I144" i="2"/>
  <c r="J144" i="2"/>
  <c r="K138" i="2"/>
  <c r="K137" i="2"/>
  <c r="K142" i="2"/>
  <c r="K143" i="2"/>
  <c r="K141" i="2"/>
  <c r="F144" i="2"/>
  <c r="E144" i="2"/>
  <c r="G144" i="2"/>
  <c r="K133" i="2"/>
  <c r="K136" i="2"/>
  <c r="H144" i="2"/>
  <c r="D130" i="2"/>
  <c r="L240" i="20" l="1"/>
  <c r="K194" i="20"/>
  <c r="K189" i="20"/>
  <c r="K193" i="20"/>
  <c r="H198" i="20"/>
  <c r="E198" i="20"/>
  <c r="K185" i="20"/>
  <c r="K190" i="20"/>
  <c r="K195" i="20"/>
  <c r="K191" i="20"/>
  <c r="K196" i="20"/>
  <c r="F198" i="20"/>
  <c r="I198" i="20"/>
  <c r="O226" i="20"/>
  <c r="K186" i="20"/>
  <c r="K187" i="20"/>
  <c r="K192" i="20"/>
  <c r="K197" i="20"/>
  <c r="G198" i="20"/>
  <c r="K212" i="20"/>
  <c r="J198" i="20"/>
  <c r="K188" i="20"/>
  <c r="O158" i="2"/>
  <c r="L172" i="2"/>
  <c r="K123" i="2"/>
  <c r="K128" i="2"/>
  <c r="K125" i="2"/>
  <c r="H130" i="2"/>
  <c r="K122" i="2"/>
  <c r="K129" i="2"/>
  <c r="K127" i="2"/>
  <c r="K119" i="2"/>
  <c r="K126" i="2"/>
  <c r="F130" i="2"/>
  <c r="K121" i="2"/>
  <c r="K124" i="2"/>
  <c r="K118" i="2"/>
  <c r="J130" i="2"/>
  <c r="G130" i="2"/>
  <c r="K120" i="2"/>
  <c r="I130" i="2"/>
  <c r="E130" i="2"/>
  <c r="K117" i="2"/>
  <c r="K144" i="2"/>
  <c r="AS11" i="5"/>
  <c r="AS12" i="5" s="1"/>
  <c r="AR11" i="5"/>
  <c r="AR13" i="5" s="1"/>
  <c r="E7" i="5"/>
  <c r="I13" i="6"/>
  <c r="AU56" i="1"/>
  <c r="L226" i="20" l="1"/>
  <c r="H7" i="5"/>
  <c r="E9" i="5" a="1"/>
  <c r="E9" i="5" s="1"/>
  <c r="F10" i="5" a="1"/>
  <c r="F10" i="5" s="1"/>
  <c r="F9" i="5" a="1"/>
  <c r="F9" i="5" s="1"/>
  <c r="E10" i="5" a="1"/>
  <c r="E10" i="5" s="1"/>
  <c r="O212" i="20"/>
  <c r="K198" i="20"/>
  <c r="O144" i="2"/>
  <c r="L158" i="2"/>
  <c r="K130" i="2"/>
  <c r="L144" i="2" s="1"/>
  <c r="AR12" i="5"/>
  <c r="AS13" i="5"/>
  <c r="D88" i="2"/>
  <c r="D116" i="2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449" i="8"/>
  <c r="A1450" i="8"/>
  <c r="A1451" i="8"/>
  <c r="A1452" i="8"/>
  <c r="A1453" i="8"/>
  <c r="A1454" i="8"/>
  <c r="A1455" i="8"/>
  <c r="A1456" i="8"/>
  <c r="A1457" i="8"/>
  <c r="A1458" i="8"/>
  <c r="A1459" i="8"/>
  <c r="A1460" i="8"/>
  <c r="A1461" i="8"/>
  <c r="A1462" i="8"/>
  <c r="A1463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1482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09" i="8"/>
  <c r="A1510" i="8"/>
  <c r="A1511" i="8"/>
  <c r="A1512" i="8"/>
  <c r="A1513" i="8"/>
  <c r="A1514" i="8"/>
  <c r="A1515" i="8"/>
  <c r="A1516" i="8"/>
  <c r="A1517" i="8"/>
  <c r="A1518" i="8"/>
  <c r="A1519" i="8"/>
  <c r="A1520" i="8"/>
  <c r="A1521" i="8"/>
  <c r="A1522" i="8"/>
  <c r="A1523" i="8"/>
  <c r="A1524" i="8"/>
  <c r="A1525" i="8"/>
  <c r="A1526" i="8"/>
  <c r="A1527" i="8"/>
  <c r="A1528" i="8"/>
  <c r="A1529" i="8"/>
  <c r="A1530" i="8"/>
  <c r="A1531" i="8"/>
  <c r="A1532" i="8"/>
  <c r="A1533" i="8"/>
  <c r="A1534" i="8"/>
  <c r="A1535" i="8"/>
  <c r="A1536" i="8"/>
  <c r="A1537" i="8"/>
  <c r="A1538" i="8"/>
  <c r="A1539" i="8"/>
  <c r="A1540" i="8"/>
  <c r="A1541" i="8"/>
  <c r="A1542" i="8"/>
  <c r="A1543" i="8"/>
  <c r="A1544" i="8"/>
  <c r="A1545" i="8"/>
  <c r="A1546" i="8"/>
  <c r="A1547" i="8"/>
  <c r="A1548" i="8"/>
  <c r="A1549" i="8"/>
  <c r="A1550" i="8"/>
  <c r="A1551" i="8"/>
  <c r="A1552" i="8"/>
  <c r="A1553" i="8"/>
  <c r="A1554" i="8"/>
  <c r="A1555" i="8"/>
  <c r="A1556" i="8"/>
  <c r="A1557" i="8"/>
  <c r="A1558" i="8"/>
  <c r="A1559" i="8"/>
  <c r="A1560" i="8"/>
  <c r="A1561" i="8"/>
  <c r="A1562" i="8"/>
  <c r="A1563" i="8"/>
  <c r="A1564" i="8"/>
  <c r="A1565" i="8"/>
  <c r="A1566" i="8"/>
  <c r="A1567" i="8"/>
  <c r="A1568" i="8"/>
  <c r="A1569" i="8"/>
  <c r="A1570" i="8"/>
  <c r="A1571" i="8"/>
  <c r="A1572" i="8"/>
  <c r="A1573" i="8"/>
  <c r="A1574" i="8"/>
  <c r="A1575" i="8"/>
  <c r="A1576" i="8"/>
  <c r="A1577" i="8"/>
  <c r="A1578" i="8"/>
  <c r="A1579" i="8"/>
  <c r="A1580" i="8"/>
  <c r="A1581" i="8"/>
  <c r="A1582" i="8"/>
  <c r="A1583" i="8"/>
  <c r="A1584" i="8"/>
  <c r="A1585" i="8"/>
  <c r="A1586" i="8"/>
  <c r="A1587" i="8"/>
  <c r="A1588" i="8"/>
  <c r="A1589" i="8"/>
  <c r="A1590" i="8"/>
  <c r="A1591" i="8"/>
  <c r="A1592" i="8"/>
  <c r="A1593" i="8"/>
  <c r="A1594" i="8"/>
  <c r="A1595" i="8"/>
  <c r="A1596" i="8"/>
  <c r="A1597" i="8"/>
  <c r="A1385" i="8"/>
  <c r="C1597" i="8"/>
  <c r="B1597" i="8"/>
  <c r="C1596" i="8"/>
  <c r="B1596" i="8"/>
  <c r="C1595" i="8"/>
  <c r="B1595" i="8"/>
  <c r="C1594" i="8"/>
  <c r="B1594" i="8"/>
  <c r="C1593" i="8"/>
  <c r="B1593" i="8"/>
  <c r="C1592" i="8"/>
  <c r="B1592" i="8"/>
  <c r="C1591" i="8"/>
  <c r="B1591" i="8"/>
  <c r="C1590" i="8"/>
  <c r="B1590" i="8"/>
  <c r="C1589" i="8"/>
  <c r="B1589" i="8"/>
  <c r="C1588" i="8"/>
  <c r="B1588" i="8"/>
  <c r="C1587" i="8"/>
  <c r="B1587" i="8"/>
  <c r="C1586" i="8"/>
  <c r="B1586" i="8"/>
  <c r="C1585" i="8"/>
  <c r="B1585" i="8"/>
  <c r="C1584" i="8"/>
  <c r="B1584" i="8"/>
  <c r="C1583" i="8"/>
  <c r="B1583" i="8"/>
  <c r="C1582" i="8"/>
  <c r="B1582" i="8"/>
  <c r="C1581" i="8"/>
  <c r="B1581" i="8"/>
  <c r="C1580" i="8"/>
  <c r="B1580" i="8"/>
  <c r="C1579" i="8"/>
  <c r="B1579" i="8"/>
  <c r="C1578" i="8"/>
  <c r="B1578" i="8"/>
  <c r="C1577" i="8"/>
  <c r="B1577" i="8"/>
  <c r="C1576" i="8"/>
  <c r="B1576" i="8"/>
  <c r="C1575" i="8"/>
  <c r="B1575" i="8"/>
  <c r="C1574" i="8"/>
  <c r="B1574" i="8"/>
  <c r="C1573" i="8"/>
  <c r="B1573" i="8"/>
  <c r="C1572" i="8"/>
  <c r="B1572" i="8"/>
  <c r="C1571" i="8"/>
  <c r="B1571" i="8"/>
  <c r="C1570" i="8"/>
  <c r="B1570" i="8"/>
  <c r="C1569" i="8"/>
  <c r="B1569" i="8"/>
  <c r="C1568" i="8"/>
  <c r="B1568" i="8"/>
  <c r="C1567" i="8"/>
  <c r="B1567" i="8"/>
  <c r="C1566" i="8"/>
  <c r="B1566" i="8"/>
  <c r="C1565" i="8"/>
  <c r="B1565" i="8"/>
  <c r="C1564" i="8"/>
  <c r="B1564" i="8"/>
  <c r="C1563" i="8"/>
  <c r="B1563" i="8"/>
  <c r="C1562" i="8"/>
  <c r="B1562" i="8"/>
  <c r="C1561" i="8"/>
  <c r="B1561" i="8"/>
  <c r="C1560" i="8"/>
  <c r="B1560" i="8"/>
  <c r="C1559" i="8"/>
  <c r="B1559" i="8"/>
  <c r="C1558" i="8"/>
  <c r="B1558" i="8"/>
  <c r="C1557" i="8"/>
  <c r="B1557" i="8"/>
  <c r="C1556" i="8"/>
  <c r="B1556" i="8"/>
  <c r="C1555" i="8"/>
  <c r="B1555" i="8"/>
  <c r="C1554" i="8"/>
  <c r="B1554" i="8"/>
  <c r="C1553" i="8"/>
  <c r="B1553" i="8"/>
  <c r="C1552" i="8"/>
  <c r="B1552" i="8"/>
  <c r="C1551" i="8"/>
  <c r="B1551" i="8"/>
  <c r="C1550" i="8"/>
  <c r="B1550" i="8"/>
  <c r="C1549" i="8"/>
  <c r="B1549" i="8"/>
  <c r="C1548" i="8"/>
  <c r="B1548" i="8"/>
  <c r="C1547" i="8"/>
  <c r="B1547" i="8"/>
  <c r="C1546" i="8"/>
  <c r="B1546" i="8"/>
  <c r="C1545" i="8"/>
  <c r="B1545" i="8"/>
  <c r="C1544" i="8"/>
  <c r="B1544" i="8"/>
  <c r="C1543" i="8"/>
  <c r="B1543" i="8"/>
  <c r="C1542" i="8"/>
  <c r="B1542" i="8"/>
  <c r="C1541" i="8"/>
  <c r="B1541" i="8"/>
  <c r="C1540" i="8"/>
  <c r="B1540" i="8"/>
  <c r="C1539" i="8"/>
  <c r="B1539" i="8"/>
  <c r="C1538" i="8"/>
  <c r="B1538" i="8"/>
  <c r="C1537" i="8"/>
  <c r="B1537" i="8"/>
  <c r="C1536" i="8"/>
  <c r="B1536" i="8"/>
  <c r="C1535" i="8"/>
  <c r="B1535" i="8"/>
  <c r="C1534" i="8"/>
  <c r="B1534" i="8"/>
  <c r="C1533" i="8"/>
  <c r="B1533" i="8"/>
  <c r="C1532" i="8"/>
  <c r="B1532" i="8"/>
  <c r="C1531" i="8"/>
  <c r="B1531" i="8"/>
  <c r="C1530" i="8"/>
  <c r="B1530" i="8"/>
  <c r="C1529" i="8"/>
  <c r="B1529" i="8"/>
  <c r="C1528" i="8"/>
  <c r="B1528" i="8"/>
  <c r="C1527" i="8"/>
  <c r="B1527" i="8"/>
  <c r="C1526" i="8"/>
  <c r="B1526" i="8"/>
  <c r="C1525" i="8"/>
  <c r="B1525" i="8"/>
  <c r="C1524" i="8"/>
  <c r="B1524" i="8"/>
  <c r="C1523" i="8"/>
  <c r="B1523" i="8"/>
  <c r="C1522" i="8"/>
  <c r="B1522" i="8"/>
  <c r="C1521" i="8"/>
  <c r="B1521" i="8"/>
  <c r="C1520" i="8"/>
  <c r="B1520" i="8"/>
  <c r="C1519" i="8"/>
  <c r="B1519" i="8"/>
  <c r="C1518" i="8"/>
  <c r="B1518" i="8"/>
  <c r="C1517" i="8"/>
  <c r="B1517" i="8"/>
  <c r="C1516" i="8"/>
  <c r="B1516" i="8"/>
  <c r="C1515" i="8"/>
  <c r="B1515" i="8"/>
  <c r="C1514" i="8"/>
  <c r="B1514" i="8"/>
  <c r="C1513" i="8"/>
  <c r="B1513" i="8"/>
  <c r="C1512" i="8"/>
  <c r="B1512" i="8"/>
  <c r="C1511" i="8"/>
  <c r="B1511" i="8"/>
  <c r="C1510" i="8"/>
  <c r="B1510" i="8"/>
  <c r="C1509" i="8"/>
  <c r="B1509" i="8"/>
  <c r="C1508" i="8"/>
  <c r="B1508" i="8"/>
  <c r="C1507" i="8"/>
  <c r="B1507" i="8"/>
  <c r="C1506" i="8"/>
  <c r="B1506" i="8"/>
  <c r="C1505" i="8"/>
  <c r="B1505" i="8"/>
  <c r="C1504" i="8"/>
  <c r="B1504" i="8"/>
  <c r="C1503" i="8"/>
  <c r="B1503" i="8"/>
  <c r="C1502" i="8"/>
  <c r="B1502" i="8"/>
  <c r="C1501" i="8"/>
  <c r="B1501" i="8"/>
  <c r="C1500" i="8"/>
  <c r="B1500" i="8"/>
  <c r="C1499" i="8"/>
  <c r="B1499" i="8"/>
  <c r="C1498" i="8"/>
  <c r="B1498" i="8"/>
  <c r="C1497" i="8"/>
  <c r="B1497" i="8"/>
  <c r="C1496" i="8"/>
  <c r="B1496" i="8"/>
  <c r="C1495" i="8"/>
  <c r="B1495" i="8"/>
  <c r="C1494" i="8"/>
  <c r="B1494" i="8"/>
  <c r="C1493" i="8"/>
  <c r="B1493" i="8"/>
  <c r="C1492" i="8"/>
  <c r="B1492" i="8"/>
  <c r="C1491" i="8"/>
  <c r="B1491" i="8"/>
  <c r="C1490" i="8"/>
  <c r="B1490" i="8"/>
  <c r="C1489" i="8"/>
  <c r="B1489" i="8"/>
  <c r="C1488" i="8"/>
  <c r="B1488" i="8"/>
  <c r="C1487" i="8"/>
  <c r="B1487" i="8"/>
  <c r="C1486" i="8"/>
  <c r="B1486" i="8"/>
  <c r="C1485" i="8"/>
  <c r="B1485" i="8"/>
  <c r="C1484" i="8"/>
  <c r="B1484" i="8"/>
  <c r="C1483" i="8"/>
  <c r="B1483" i="8"/>
  <c r="C1482" i="8"/>
  <c r="B1482" i="8"/>
  <c r="C1481" i="8"/>
  <c r="B1481" i="8"/>
  <c r="C1480" i="8"/>
  <c r="B1480" i="8"/>
  <c r="C1479" i="8"/>
  <c r="B1479" i="8"/>
  <c r="C1478" i="8"/>
  <c r="B1478" i="8"/>
  <c r="C1477" i="8"/>
  <c r="B1477" i="8"/>
  <c r="C1476" i="8"/>
  <c r="B1476" i="8"/>
  <c r="C1475" i="8"/>
  <c r="B1475" i="8"/>
  <c r="C1474" i="8"/>
  <c r="B1474" i="8"/>
  <c r="C1473" i="8"/>
  <c r="B1473" i="8"/>
  <c r="C1472" i="8"/>
  <c r="B1472" i="8"/>
  <c r="C1471" i="8"/>
  <c r="B1471" i="8"/>
  <c r="C1470" i="8"/>
  <c r="B1470" i="8"/>
  <c r="C1469" i="8"/>
  <c r="B1469" i="8"/>
  <c r="C1468" i="8"/>
  <c r="B1468" i="8"/>
  <c r="C1467" i="8"/>
  <c r="B1467" i="8"/>
  <c r="C1466" i="8"/>
  <c r="B1466" i="8"/>
  <c r="C1465" i="8"/>
  <c r="B1465" i="8"/>
  <c r="C1464" i="8"/>
  <c r="B1464" i="8"/>
  <c r="C1463" i="8"/>
  <c r="B1463" i="8"/>
  <c r="C1462" i="8"/>
  <c r="B1462" i="8"/>
  <c r="C1461" i="8"/>
  <c r="B1461" i="8"/>
  <c r="C1460" i="8"/>
  <c r="B1460" i="8"/>
  <c r="C1459" i="8"/>
  <c r="B1459" i="8"/>
  <c r="C1458" i="8"/>
  <c r="B1458" i="8"/>
  <c r="C1457" i="8"/>
  <c r="B1457" i="8"/>
  <c r="C1456" i="8"/>
  <c r="B1456" i="8"/>
  <c r="C1455" i="8"/>
  <c r="B1455" i="8"/>
  <c r="C1454" i="8"/>
  <c r="B1454" i="8"/>
  <c r="C1453" i="8"/>
  <c r="B1453" i="8"/>
  <c r="C1452" i="8"/>
  <c r="B1452" i="8"/>
  <c r="C1451" i="8"/>
  <c r="B1451" i="8"/>
  <c r="C1450" i="8"/>
  <c r="B1450" i="8"/>
  <c r="C1449" i="8"/>
  <c r="B1449" i="8"/>
  <c r="C1448" i="8"/>
  <c r="B1448" i="8"/>
  <c r="C1447" i="8"/>
  <c r="B1447" i="8"/>
  <c r="C1446" i="8"/>
  <c r="B1446" i="8"/>
  <c r="C1445" i="8"/>
  <c r="B1445" i="8"/>
  <c r="C1444" i="8"/>
  <c r="B1444" i="8"/>
  <c r="C1443" i="8"/>
  <c r="B1443" i="8"/>
  <c r="C1442" i="8"/>
  <c r="B1442" i="8"/>
  <c r="C1441" i="8"/>
  <c r="B1441" i="8"/>
  <c r="C1440" i="8"/>
  <c r="B1440" i="8"/>
  <c r="C1439" i="8"/>
  <c r="B1439" i="8"/>
  <c r="C1438" i="8"/>
  <c r="B1438" i="8"/>
  <c r="C1437" i="8"/>
  <c r="B1437" i="8"/>
  <c r="C1436" i="8"/>
  <c r="B1436" i="8"/>
  <c r="C1435" i="8"/>
  <c r="B1435" i="8"/>
  <c r="C1434" i="8"/>
  <c r="B1434" i="8"/>
  <c r="C1433" i="8"/>
  <c r="B1433" i="8"/>
  <c r="C1432" i="8"/>
  <c r="B1432" i="8"/>
  <c r="C1431" i="8"/>
  <c r="B1431" i="8"/>
  <c r="C1430" i="8"/>
  <c r="B1430" i="8"/>
  <c r="C1429" i="8"/>
  <c r="B1429" i="8"/>
  <c r="C1428" i="8"/>
  <c r="B1428" i="8"/>
  <c r="C1427" i="8"/>
  <c r="B1427" i="8"/>
  <c r="C1426" i="8"/>
  <c r="B1426" i="8"/>
  <c r="C1425" i="8"/>
  <c r="B1425" i="8"/>
  <c r="C1424" i="8"/>
  <c r="B1424" i="8"/>
  <c r="C1423" i="8"/>
  <c r="B1423" i="8"/>
  <c r="C1422" i="8"/>
  <c r="B1422" i="8"/>
  <c r="C1421" i="8"/>
  <c r="B1421" i="8"/>
  <c r="C1420" i="8"/>
  <c r="B1420" i="8"/>
  <c r="C1419" i="8"/>
  <c r="B1419" i="8"/>
  <c r="C1418" i="8"/>
  <c r="B1418" i="8"/>
  <c r="C1417" i="8"/>
  <c r="B1417" i="8"/>
  <c r="C1416" i="8"/>
  <c r="B1416" i="8"/>
  <c r="C1415" i="8"/>
  <c r="B1415" i="8"/>
  <c r="C1414" i="8"/>
  <c r="B1414" i="8"/>
  <c r="C1413" i="8"/>
  <c r="B1413" i="8"/>
  <c r="C1412" i="8"/>
  <c r="B1412" i="8"/>
  <c r="C1411" i="8"/>
  <c r="B1411" i="8"/>
  <c r="C1410" i="8"/>
  <c r="B1410" i="8"/>
  <c r="C1409" i="8"/>
  <c r="B1409" i="8"/>
  <c r="C1408" i="8"/>
  <c r="B1408" i="8"/>
  <c r="C1407" i="8"/>
  <c r="B1407" i="8"/>
  <c r="C1406" i="8"/>
  <c r="B1406" i="8"/>
  <c r="C1405" i="8"/>
  <c r="B1405" i="8"/>
  <c r="C1404" i="8"/>
  <c r="B1404" i="8"/>
  <c r="C1403" i="8"/>
  <c r="B1403" i="8"/>
  <c r="C1402" i="8"/>
  <c r="B1402" i="8"/>
  <c r="C1401" i="8"/>
  <c r="B1401" i="8"/>
  <c r="C1400" i="8"/>
  <c r="B1400" i="8"/>
  <c r="C1399" i="8"/>
  <c r="B1399" i="8"/>
  <c r="C1398" i="8"/>
  <c r="B1398" i="8"/>
  <c r="C1397" i="8"/>
  <c r="B1397" i="8"/>
  <c r="C1396" i="8"/>
  <c r="B1396" i="8"/>
  <c r="C1395" i="8"/>
  <c r="B1395" i="8"/>
  <c r="C1394" i="8"/>
  <c r="B1394" i="8"/>
  <c r="C1393" i="8"/>
  <c r="B1393" i="8"/>
  <c r="C1392" i="8"/>
  <c r="B1392" i="8"/>
  <c r="C1391" i="8"/>
  <c r="B1391" i="8"/>
  <c r="C1390" i="8"/>
  <c r="B1390" i="8"/>
  <c r="C1389" i="8"/>
  <c r="B1389" i="8"/>
  <c r="C1388" i="8"/>
  <c r="B1388" i="8"/>
  <c r="C1387" i="8"/>
  <c r="B1387" i="8"/>
  <c r="C1386" i="8"/>
  <c r="B1386" i="8"/>
  <c r="C1385" i="8"/>
  <c r="B1385" i="8"/>
  <c r="L212" i="20" l="1"/>
  <c r="K7" i="5"/>
  <c r="H10" i="5" a="1"/>
  <c r="H10" i="5" s="1"/>
  <c r="I9" i="5" a="1"/>
  <c r="I9" i="5" s="1"/>
  <c r="I10" i="5" a="1"/>
  <c r="I10" i="5" s="1"/>
  <c r="H9" i="5" a="1"/>
  <c r="H9" i="5" s="1"/>
  <c r="J182" i="20"/>
  <c r="G180" i="20"/>
  <c r="E178" i="20"/>
  <c r="J175" i="20"/>
  <c r="H173" i="20"/>
  <c r="F171" i="20"/>
  <c r="I182" i="20"/>
  <c r="F180" i="20"/>
  <c r="I175" i="20"/>
  <c r="G173" i="20"/>
  <c r="E171" i="20"/>
  <c r="H182" i="20"/>
  <c r="E180" i="20"/>
  <c r="J177" i="20"/>
  <c r="H175" i="20"/>
  <c r="F173" i="20"/>
  <c r="G182" i="20"/>
  <c r="I177" i="20"/>
  <c r="G175" i="20"/>
  <c r="E173" i="20"/>
  <c r="F182" i="20"/>
  <c r="J179" i="20"/>
  <c r="H177" i="20"/>
  <c r="F175" i="20"/>
  <c r="H180" i="20"/>
  <c r="E182" i="20"/>
  <c r="I179" i="20"/>
  <c r="G177" i="20"/>
  <c r="E175" i="20"/>
  <c r="J172" i="20"/>
  <c r="I173" i="20"/>
  <c r="J181" i="20"/>
  <c r="H179" i="20"/>
  <c r="F177" i="20"/>
  <c r="I172" i="20"/>
  <c r="I181" i="20"/>
  <c r="G179" i="20"/>
  <c r="E177" i="20"/>
  <c r="J174" i="20"/>
  <c r="H172" i="20"/>
  <c r="H181" i="20"/>
  <c r="F179" i="20"/>
  <c r="I174" i="20"/>
  <c r="G172" i="20"/>
  <c r="J183" i="20"/>
  <c r="G181" i="20"/>
  <c r="E179" i="20"/>
  <c r="J176" i="20"/>
  <c r="H174" i="20"/>
  <c r="F172" i="20"/>
  <c r="I183" i="20"/>
  <c r="F181" i="20"/>
  <c r="I176" i="20"/>
  <c r="G174" i="20"/>
  <c r="E172" i="20"/>
  <c r="G171" i="20"/>
  <c r="H183" i="20"/>
  <c r="E181" i="20"/>
  <c r="J178" i="20"/>
  <c r="H176" i="20"/>
  <c r="F174" i="20"/>
  <c r="G183" i="20"/>
  <c r="I178" i="20"/>
  <c r="G176" i="20"/>
  <c r="E174" i="20"/>
  <c r="J171" i="20"/>
  <c r="F178" i="20"/>
  <c r="F183" i="20"/>
  <c r="J180" i="20"/>
  <c r="H178" i="20"/>
  <c r="F176" i="20"/>
  <c r="I171" i="20"/>
  <c r="E183" i="20"/>
  <c r="I180" i="20"/>
  <c r="G178" i="20"/>
  <c r="E176" i="20"/>
  <c r="J173" i="20"/>
  <c r="H171" i="20"/>
  <c r="O198" i="20"/>
  <c r="O130" i="2"/>
  <c r="AW6" i="1"/>
  <c r="T6" i="1" s="1"/>
  <c r="AV6" i="1"/>
  <c r="AU6" i="1"/>
  <c r="S6" i="1" s="1"/>
  <c r="D12" i="6"/>
  <c r="D8" i="6"/>
  <c r="K173" i="20" l="1"/>
  <c r="N7" i="5"/>
  <c r="L10" i="5" a="1"/>
  <c r="L10" i="5" s="1"/>
  <c r="K10" i="5" a="1"/>
  <c r="K10" i="5" s="1"/>
  <c r="L9" i="5" a="1"/>
  <c r="L9" i="5" s="1"/>
  <c r="K9" i="5" a="1"/>
  <c r="K9" i="5" s="1"/>
  <c r="K183" i="20"/>
  <c r="K174" i="20"/>
  <c r="E184" i="20"/>
  <c r="K171" i="20"/>
  <c r="K179" i="20"/>
  <c r="I184" i="20"/>
  <c r="G184" i="20"/>
  <c r="K175" i="20"/>
  <c r="K180" i="20"/>
  <c r="K176" i="20"/>
  <c r="F184" i="20"/>
  <c r="K182" i="20"/>
  <c r="K181" i="20"/>
  <c r="H184" i="20"/>
  <c r="K178" i="20"/>
  <c r="J184" i="20"/>
  <c r="K172" i="20"/>
  <c r="K177" i="20"/>
  <c r="K115" i="2"/>
  <c r="K104" i="2"/>
  <c r="K106" i="2"/>
  <c r="K110" i="2"/>
  <c r="K107" i="2"/>
  <c r="K114" i="2"/>
  <c r="K112" i="2"/>
  <c r="K113" i="2"/>
  <c r="I116" i="2"/>
  <c r="K111" i="2"/>
  <c r="K109" i="2"/>
  <c r="F116" i="2"/>
  <c r="K103" i="2"/>
  <c r="K108" i="2"/>
  <c r="J116" i="2"/>
  <c r="H116" i="2"/>
  <c r="G116" i="2"/>
  <c r="E116" i="2"/>
  <c r="K105" i="2"/>
  <c r="B1203" i="8"/>
  <c r="C1203" i="8"/>
  <c r="B1204" i="8"/>
  <c r="C1204" i="8"/>
  <c r="B1205" i="8"/>
  <c r="C1205" i="8"/>
  <c r="B1206" i="8"/>
  <c r="C1206" i="8"/>
  <c r="B1207" i="8"/>
  <c r="C1207" i="8"/>
  <c r="B1208" i="8"/>
  <c r="C1208" i="8"/>
  <c r="B1209" i="8"/>
  <c r="C1209" i="8"/>
  <c r="B1210" i="8"/>
  <c r="C1210" i="8"/>
  <c r="B1211" i="8"/>
  <c r="C1211" i="8"/>
  <c r="B1212" i="8"/>
  <c r="C1212" i="8"/>
  <c r="B1213" i="8"/>
  <c r="C1213" i="8"/>
  <c r="B1214" i="8"/>
  <c r="C1214" i="8"/>
  <c r="B1215" i="8"/>
  <c r="C1215" i="8"/>
  <c r="B1216" i="8"/>
  <c r="C1216" i="8"/>
  <c r="B1217" i="8"/>
  <c r="C1217" i="8"/>
  <c r="B1218" i="8"/>
  <c r="C1218" i="8"/>
  <c r="B1219" i="8"/>
  <c r="C1219" i="8"/>
  <c r="B1220" i="8"/>
  <c r="C1220" i="8"/>
  <c r="B1221" i="8"/>
  <c r="C1221" i="8"/>
  <c r="B1222" i="8"/>
  <c r="C1222" i="8"/>
  <c r="B1223" i="8"/>
  <c r="C1223" i="8"/>
  <c r="B1224" i="8"/>
  <c r="C1224" i="8"/>
  <c r="B1225" i="8"/>
  <c r="C1225" i="8"/>
  <c r="B1226" i="8"/>
  <c r="C1226" i="8"/>
  <c r="B1227" i="8"/>
  <c r="C1227" i="8"/>
  <c r="B1228" i="8"/>
  <c r="C1228" i="8"/>
  <c r="B1229" i="8"/>
  <c r="C1229" i="8"/>
  <c r="B1230" i="8"/>
  <c r="C1230" i="8"/>
  <c r="B1231" i="8"/>
  <c r="C1231" i="8"/>
  <c r="B1232" i="8"/>
  <c r="C1232" i="8"/>
  <c r="B1233" i="8"/>
  <c r="C1233" i="8"/>
  <c r="B1234" i="8"/>
  <c r="C1234" i="8"/>
  <c r="B1235" i="8"/>
  <c r="C1235" i="8"/>
  <c r="B1236" i="8"/>
  <c r="C1236" i="8"/>
  <c r="B1237" i="8"/>
  <c r="C1237" i="8"/>
  <c r="B1238" i="8"/>
  <c r="C1238" i="8"/>
  <c r="B1239" i="8"/>
  <c r="C1239" i="8"/>
  <c r="B1240" i="8"/>
  <c r="C1240" i="8"/>
  <c r="B1241" i="8"/>
  <c r="C1241" i="8"/>
  <c r="B1242" i="8"/>
  <c r="C1242" i="8"/>
  <c r="B1243" i="8"/>
  <c r="C1243" i="8"/>
  <c r="B1244" i="8"/>
  <c r="C1244" i="8"/>
  <c r="B1245" i="8"/>
  <c r="C1245" i="8"/>
  <c r="B1246" i="8"/>
  <c r="C1246" i="8"/>
  <c r="B1247" i="8"/>
  <c r="C1247" i="8"/>
  <c r="B1248" i="8"/>
  <c r="C1248" i="8"/>
  <c r="B1249" i="8"/>
  <c r="C1249" i="8"/>
  <c r="B1250" i="8"/>
  <c r="C1250" i="8"/>
  <c r="B1251" i="8"/>
  <c r="C1251" i="8"/>
  <c r="B1252" i="8"/>
  <c r="C1252" i="8"/>
  <c r="B1253" i="8"/>
  <c r="C1253" i="8"/>
  <c r="B1254" i="8"/>
  <c r="C1254" i="8"/>
  <c r="B1255" i="8"/>
  <c r="C1255" i="8"/>
  <c r="B1256" i="8"/>
  <c r="C1256" i="8"/>
  <c r="B1257" i="8"/>
  <c r="C1257" i="8"/>
  <c r="B1258" i="8"/>
  <c r="C1258" i="8"/>
  <c r="B1259" i="8"/>
  <c r="C1259" i="8"/>
  <c r="B1260" i="8"/>
  <c r="C1260" i="8"/>
  <c r="B1261" i="8"/>
  <c r="C1261" i="8"/>
  <c r="B1262" i="8"/>
  <c r="C1262" i="8"/>
  <c r="B1263" i="8"/>
  <c r="C1263" i="8"/>
  <c r="B1264" i="8"/>
  <c r="C1264" i="8"/>
  <c r="B1265" i="8"/>
  <c r="C1265" i="8"/>
  <c r="B1266" i="8"/>
  <c r="C1266" i="8"/>
  <c r="B1267" i="8"/>
  <c r="C1267" i="8"/>
  <c r="B1268" i="8"/>
  <c r="C1268" i="8"/>
  <c r="B1269" i="8"/>
  <c r="C1269" i="8"/>
  <c r="B1270" i="8"/>
  <c r="C1270" i="8"/>
  <c r="B1271" i="8"/>
  <c r="C1271" i="8"/>
  <c r="B1272" i="8"/>
  <c r="C1272" i="8"/>
  <c r="B1273" i="8"/>
  <c r="C1273" i="8"/>
  <c r="B1274" i="8"/>
  <c r="C1274" i="8"/>
  <c r="B1275" i="8"/>
  <c r="C1275" i="8"/>
  <c r="B1276" i="8"/>
  <c r="C1276" i="8"/>
  <c r="B1277" i="8"/>
  <c r="C1277" i="8"/>
  <c r="B1278" i="8"/>
  <c r="C1278" i="8"/>
  <c r="B1279" i="8"/>
  <c r="C1279" i="8"/>
  <c r="B1280" i="8"/>
  <c r="C1280" i="8"/>
  <c r="B1281" i="8"/>
  <c r="C1281" i="8"/>
  <c r="B1282" i="8"/>
  <c r="C1282" i="8"/>
  <c r="B1283" i="8"/>
  <c r="C1283" i="8"/>
  <c r="B1284" i="8"/>
  <c r="C1284" i="8"/>
  <c r="B1285" i="8"/>
  <c r="C1285" i="8"/>
  <c r="B1286" i="8"/>
  <c r="C1286" i="8"/>
  <c r="B1287" i="8"/>
  <c r="C1287" i="8"/>
  <c r="B1288" i="8"/>
  <c r="C1288" i="8"/>
  <c r="B1289" i="8"/>
  <c r="C1289" i="8"/>
  <c r="B1290" i="8"/>
  <c r="C1290" i="8"/>
  <c r="B1291" i="8"/>
  <c r="C1291" i="8"/>
  <c r="B1292" i="8"/>
  <c r="C1292" i="8"/>
  <c r="B1293" i="8"/>
  <c r="C1293" i="8"/>
  <c r="B1294" i="8"/>
  <c r="C1294" i="8"/>
  <c r="B1295" i="8"/>
  <c r="C1295" i="8"/>
  <c r="B1296" i="8"/>
  <c r="C1296" i="8"/>
  <c r="B1297" i="8"/>
  <c r="C1297" i="8"/>
  <c r="B1298" i="8"/>
  <c r="C1298" i="8"/>
  <c r="B1299" i="8"/>
  <c r="C1299" i="8"/>
  <c r="B1300" i="8"/>
  <c r="C1300" i="8"/>
  <c r="B1301" i="8"/>
  <c r="C1301" i="8"/>
  <c r="B1302" i="8"/>
  <c r="C1302" i="8"/>
  <c r="B1303" i="8"/>
  <c r="C1303" i="8"/>
  <c r="B1304" i="8"/>
  <c r="C1304" i="8"/>
  <c r="B1305" i="8"/>
  <c r="C1305" i="8"/>
  <c r="B1306" i="8"/>
  <c r="C1306" i="8"/>
  <c r="B1307" i="8"/>
  <c r="C1307" i="8"/>
  <c r="B1308" i="8"/>
  <c r="C1308" i="8"/>
  <c r="B1309" i="8"/>
  <c r="C1309" i="8"/>
  <c r="B1310" i="8"/>
  <c r="C1310" i="8"/>
  <c r="B1311" i="8"/>
  <c r="C1311" i="8"/>
  <c r="B1312" i="8"/>
  <c r="C1312" i="8"/>
  <c r="B1313" i="8"/>
  <c r="C1313" i="8"/>
  <c r="B1314" i="8"/>
  <c r="C1314" i="8"/>
  <c r="B1315" i="8"/>
  <c r="C1315" i="8"/>
  <c r="B1316" i="8"/>
  <c r="C1316" i="8"/>
  <c r="B1317" i="8"/>
  <c r="C1317" i="8"/>
  <c r="B1318" i="8"/>
  <c r="C1318" i="8"/>
  <c r="B1319" i="8"/>
  <c r="C1319" i="8"/>
  <c r="B1320" i="8"/>
  <c r="C1320" i="8"/>
  <c r="B1321" i="8"/>
  <c r="C1321" i="8"/>
  <c r="B1322" i="8"/>
  <c r="C1322" i="8"/>
  <c r="B1323" i="8"/>
  <c r="C1323" i="8"/>
  <c r="B1324" i="8"/>
  <c r="C1324" i="8"/>
  <c r="B1325" i="8"/>
  <c r="C1325" i="8"/>
  <c r="B1326" i="8"/>
  <c r="C1326" i="8"/>
  <c r="B1327" i="8"/>
  <c r="C1327" i="8"/>
  <c r="B1328" i="8"/>
  <c r="C1328" i="8"/>
  <c r="B1329" i="8"/>
  <c r="C1329" i="8"/>
  <c r="B1330" i="8"/>
  <c r="C1330" i="8"/>
  <c r="B1331" i="8"/>
  <c r="C1331" i="8"/>
  <c r="B1332" i="8"/>
  <c r="C1332" i="8"/>
  <c r="B1333" i="8"/>
  <c r="C1333" i="8"/>
  <c r="B1334" i="8"/>
  <c r="C1334" i="8"/>
  <c r="B1335" i="8"/>
  <c r="C1335" i="8"/>
  <c r="B1336" i="8"/>
  <c r="C1336" i="8"/>
  <c r="B1337" i="8"/>
  <c r="C1337" i="8"/>
  <c r="B1338" i="8"/>
  <c r="C1338" i="8"/>
  <c r="B1339" i="8"/>
  <c r="C1339" i="8"/>
  <c r="B1340" i="8"/>
  <c r="C1340" i="8"/>
  <c r="B1341" i="8"/>
  <c r="C1341" i="8"/>
  <c r="B1342" i="8"/>
  <c r="C1342" i="8"/>
  <c r="B1343" i="8"/>
  <c r="C1343" i="8"/>
  <c r="B1344" i="8"/>
  <c r="C1344" i="8"/>
  <c r="B1345" i="8"/>
  <c r="C1345" i="8"/>
  <c r="B1346" i="8"/>
  <c r="C1346" i="8"/>
  <c r="B1347" i="8"/>
  <c r="C1347" i="8"/>
  <c r="B1348" i="8"/>
  <c r="C1348" i="8"/>
  <c r="B1349" i="8"/>
  <c r="C1349" i="8"/>
  <c r="B1350" i="8"/>
  <c r="C1350" i="8"/>
  <c r="B1351" i="8"/>
  <c r="C1351" i="8"/>
  <c r="B1352" i="8"/>
  <c r="C1352" i="8"/>
  <c r="B1353" i="8"/>
  <c r="C1353" i="8"/>
  <c r="B1354" i="8"/>
  <c r="C1354" i="8"/>
  <c r="B1355" i="8"/>
  <c r="C1355" i="8"/>
  <c r="B1356" i="8"/>
  <c r="C1356" i="8"/>
  <c r="B1357" i="8"/>
  <c r="C1357" i="8"/>
  <c r="B1358" i="8"/>
  <c r="C1358" i="8"/>
  <c r="B1359" i="8"/>
  <c r="C1359" i="8"/>
  <c r="B1360" i="8"/>
  <c r="C1360" i="8"/>
  <c r="B1361" i="8"/>
  <c r="C1361" i="8"/>
  <c r="B1362" i="8"/>
  <c r="C1362" i="8"/>
  <c r="B1363" i="8"/>
  <c r="C1363" i="8"/>
  <c r="B1364" i="8"/>
  <c r="C1364" i="8"/>
  <c r="B1365" i="8"/>
  <c r="C1365" i="8"/>
  <c r="B1366" i="8"/>
  <c r="C1366" i="8"/>
  <c r="B1367" i="8"/>
  <c r="C1367" i="8"/>
  <c r="B1368" i="8"/>
  <c r="C1368" i="8"/>
  <c r="B1369" i="8"/>
  <c r="C1369" i="8"/>
  <c r="B1370" i="8"/>
  <c r="C1370" i="8"/>
  <c r="B1371" i="8"/>
  <c r="C1371" i="8"/>
  <c r="B1372" i="8"/>
  <c r="C1372" i="8"/>
  <c r="B1373" i="8"/>
  <c r="C1373" i="8"/>
  <c r="B1374" i="8"/>
  <c r="C1374" i="8"/>
  <c r="B1375" i="8"/>
  <c r="C1375" i="8"/>
  <c r="B1376" i="8"/>
  <c r="C1376" i="8"/>
  <c r="B1377" i="8"/>
  <c r="C1377" i="8"/>
  <c r="B1378" i="8"/>
  <c r="C1378" i="8"/>
  <c r="B1379" i="8"/>
  <c r="C1379" i="8"/>
  <c r="B1380" i="8"/>
  <c r="C1380" i="8"/>
  <c r="B1381" i="8"/>
  <c r="C1381" i="8"/>
  <c r="B1382" i="8"/>
  <c r="C1382" i="8"/>
  <c r="B1383" i="8"/>
  <c r="C1383" i="8"/>
  <c r="B1384" i="8"/>
  <c r="C1384" i="8"/>
  <c r="Q7" i="5" l="1"/>
  <c r="N10" i="5" a="1"/>
  <c r="N10" i="5" s="1"/>
  <c r="O9" i="5" a="1"/>
  <c r="O9" i="5" s="1"/>
  <c r="N9" i="5" a="1"/>
  <c r="N9" i="5" s="1"/>
  <c r="O10" i="5" a="1"/>
  <c r="O10" i="5" s="1"/>
  <c r="J167" i="20"/>
  <c r="H165" i="20"/>
  <c r="F163" i="20"/>
  <c r="E161" i="20"/>
  <c r="E168" i="20"/>
  <c r="I167" i="20"/>
  <c r="G165" i="20"/>
  <c r="E163" i="20"/>
  <c r="J158" i="20"/>
  <c r="H167" i="20"/>
  <c r="F165" i="20"/>
  <c r="J160" i="20"/>
  <c r="I158" i="20"/>
  <c r="I165" i="20"/>
  <c r="J169" i="20"/>
  <c r="G167" i="20"/>
  <c r="E165" i="20"/>
  <c r="J162" i="20"/>
  <c r="I160" i="20"/>
  <c r="H158" i="20"/>
  <c r="I169" i="20"/>
  <c r="F167" i="20"/>
  <c r="I162" i="20"/>
  <c r="H160" i="20"/>
  <c r="G158" i="20"/>
  <c r="H169" i="20"/>
  <c r="E167" i="20"/>
  <c r="J164" i="20"/>
  <c r="H162" i="20"/>
  <c r="G160" i="20"/>
  <c r="F158" i="20"/>
  <c r="G169" i="20"/>
  <c r="I164" i="20"/>
  <c r="G162" i="20"/>
  <c r="F160" i="20"/>
  <c r="E158" i="20"/>
  <c r="F169" i="20"/>
  <c r="J166" i="20"/>
  <c r="H164" i="20"/>
  <c r="F162" i="20"/>
  <c r="E160" i="20"/>
  <c r="G163" i="20"/>
  <c r="E169" i="20"/>
  <c r="I166" i="20"/>
  <c r="G164" i="20"/>
  <c r="E162" i="20"/>
  <c r="J157" i="20"/>
  <c r="H166" i="20"/>
  <c r="F164" i="20"/>
  <c r="J159" i="20"/>
  <c r="I157" i="20"/>
  <c r="J168" i="20"/>
  <c r="G166" i="20"/>
  <c r="E164" i="20"/>
  <c r="I159" i="20"/>
  <c r="H157" i="20"/>
  <c r="I168" i="20"/>
  <c r="F166" i="20"/>
  <c r="J161" i="20"/>
  <c r="H159" i="20"/>
  <c r="G157" i="20"/>
  <c r="H168" i="20"/>
  <c r="E166" i="20"/>
  <c r="J163" i="20"/>
  <c r="I161" i="20"/>
  <c r="G159" i="20"/>
  <c r="F157" i="20"/>
  <c r="G168" i="20"/>
  <c r="I163" i="20"/>
  <c r="H161" i="20"/>
  <c r="F159" i="20"/>
  <c r="E157" i="20"/>
  <c r="F168" i="20"/>
  <c r="J165" i="20"/>
  <c r="H163" i="20"/>
  <c r="G161" i="20"/>
  <c r="E159" i="20"/>
  <c r="F161" i="20"/>
  <c r="K184" i="20"/>
  <c r="K116" i="2"/>
  <c r="D102" i="2"/>
  <c r="L198" i="20" l="1"/>
  <c r="K159" i="20"/>
  <c r="O159" i="20" s="1"/>
  <c r="T7" i="5"/>
  <c r="Q9" i="5" a="1"/>
  <c r="Q9" i="5" s="1"/>
  <c r="Q10" i="5" a="1"/>
  <c r="Q10" i="5" s="1"/>
  <c r="R10" i="5" a="1"/>
  <c r="R10" i="5" s="1"/>
  <c r="R9" i="5" a="1"/>
  <c r="R9" i="5" s="1"/>
  <c r="H170" i="20"/>
  <c r="O184" i="20"/>
  <c r="K166" i="20"/>
  <c r="O166" i="20" s="1"/>
  <c r="G170" i="20"/>
  <c r="K164" i="20"/>
  <c r="O164" i="20" s="1"/>
  <c r="K169" i="20"/>
  <c r="O169" i="20" s="1"/>
  <c r="K168" i="20"/>
  <c r="O168" i="20" s="1"/>
  <c r="K158" i="20"/>
  <c r="O158" i="20" s="1"/>
  <c r="K161" i="20"/>
  <c r="O161" i="20" s="1"/>
  <c r="K157" i="20"/>
  <c r="E170" i="20"/>
  <c r="I170" i="20"/>
  <c r="K160" i="20"/>
  <c r="O160" i="20" s="1"/>
  <c r="K163" i="20"/>
  <c r="O163" i="20" s="1"/>
  <c r="F170" i="20"/>
  <c r="J170" i="20"/>
  <c r="K162" i="20"/>
  <c r="O162" i="20" s="1"/>
  <c r="K165" i="20"/>
  <c r="O165" i="20" s="1"/>
  <c r="K167" i="20"/>
  <c r="O167" i="20" s="1"/>
  <c r="O116" i="2"/>
  <c r="L130" i="2"/>
  <c r="K90" i="2"/>
  <c r="K99" i="2"/>
  <c r="K101" i="2"/>
  <c r="K100" i="2"/>
  <c r="O100" i="2" s="1"/>
  <c r="K95" i="2"/>
  <c r="K97" i="2"/>
  <c r="J102" i="2"/>
  <c r="K92" i="2"/>
  <c r="K93" i="2"/>
  <c r="K96" i="2"/>
  <c r="I102" i="2"/>
  <c r="F102" i="2"/>
  <c r="K94" i="2"/>
  <c r="G102" i="2"/>
  <c r="H102" i="2"/>
  <c r="E102" i="2"/>
  <c r="K89" i="2"/>
  <c r="K91" i="2"/>
  <c r="K98" i="2"/>
  <c r="I12" i="6"/>
  <c r="W7" i="5" l="1"/>
  <c r="T10" i="5" a="1"/>
  <c r="T10" i="5" s="1"/>
  <c r="U9" i="5" a="1"/>
  <c r="U9" i="5" s="1"/>
  <c r="T9" i="5" a="1"/>
  <c r="T9" i="5" s="1"/>
  <c r="U10" i="5" a="1"/>
  <c r="U10" i="5" s="1"/>
  <c r="K170" i="20"/>
  <c r="O157" i="20"/>
  <c r="O94" i="2"/>
  <c r="O96" i="2"/>
  <c r="O93" i="2"/>
  <c r="O92" i="2"/>
  <c r="O97" i="2"/>
  <c r="O95" i="2"/>
  <c r="O98" i="2"/>
  <c r="O101" i="2"/>
  <c r="O91" i="2"/>
  <c r="O99" i="2"/>
  <c r="O89" i="2"/>
  <c r="O90" i="2"/>
  <c r="K102" i="2"/>
  <c r="AV54" i="1"/>
  <c r="AU47" i="1"/>
  <c r="S47" i="1" s="1"/>
  <c r="L184" i="20" l="1"/>
  <c r="Z7" i="5"/>
  <c r="X9" i="5" a="1"/>
  <c r="X9" i="5" s="1"/>
  <c r="X10" i="5" a="1"/>
  <c r="X10" i="5" s="1"/>
  <c r="W9" i="5" a="1"/>
  <c r="W9" i="5" s="1"/>
  <c r="W10" i="5" a="1"/>
  <c r="W10" i="5" s="1"/>
  <c r="O170" i="20"/>
  <c r="L116" i="2"/>
  <c r="O102" i="2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AC7" i="5" l="1"/>
  <c r="AA9" i="5" a="1"/>
  <c r="AA9" i="5" s="1"/>
  <c r="Z9" i="5" a="1"/>
  <c r="Z9" i="5" s="1"/>
  <c r="AA10" i="5" a="1"/>
  <c r="AA10" i="5" s="1"/>
  <c r="Z10" i="5" a="1"/>
  <c r="Z10" i="5" s="1"/>
  <c r="I155" i="20"/>
  <c r="G153" i="20"/>
  <c r="E151" i="20"/>
  <c r="J148" i="20"/>
  <c r="H146" i="20"/>
  <c r="G144" i="20"/>
  <c r="H155" i="20"/>
  <c r="F153" i="20"/>
  <c r="I148" i="20"/>
  <c r="G146" i="20"/>
  <c r="F144" i="20"/>
  <c r="G155" i="20"/>
  <c r="E153" i="20"/>
  <c r="J150" i="20"/>
  <c r="H148" i="20"/>
  <c r="F146" i="20"/>
  <c r="E144" i="20"/>
  <c r="F155" i="20"/>
  <c r="I150" i="20"/>
  <c r="G148" i="20"/>
  <c r="E146" i="20"/>
  <c r="E155" i="20"/>
  <c r="J152" i="20"/>
  <c r="H150" i="20"/>
  <c r="F148" i="20"/>
  <c r="J143" i="20"/>
  <c r="I152" i="20"/>
  <c r="G150" i="20"/>
  <c r="E148" i="20"/>
  <c r="I143" i="20"/>
  <c r="H152" i="20"/>
  <c r="F150" i="20"/>
  <c r="J145" i="20"/>
  <c r="H143" i="20"/>
  <c r="H144" i="20"/>
  <c r="J154" i="20"/>
  <c r="G152" i="20"/>
  <c r="E150" i="20"/>
  <c r="J147" i="20"/>
  <c r="I145" i="20"/>
  <c r="G143" i="20"/>
  <c r="I154" i="20"/>
  <c r="F152" i="20"/>
  <c r="I147" i="20"/>
  <c r="H145" i="20"/>
  <c r="F143" i="20"/>
  <c r="H154" i="20"/>
  <c r="E152" i="20"/>
  <c r="J149" i="20"/>
  <c r="H147" i="20"/>
  <c r="G145" i="20"/>
  <c r="E143" i="20"/>
  <c r="G154" i="20"/>
  <c r="I149" i="20"/>
  <c r="G147" i="20"/>
  <c r="F145" i="20"/>
  <c r="I146" i="20"/>
  <c r="F154" i="20"/>
  <c r="J151" i="20"/>
  <c r="H149" i="20"/>
  <c r="F147" i="20"/>
  <c r="E145" i="20"/>
  <c r="H153" i="20"/>
  <c r="E154" i="20"/>
  <c r="I151" i="20"/>
  <c r="G149" i="20"/>
  <c r="E147" i="20"/>
  <c r="F151" i="20"/>
  <c r="J153" i="20"/>
  <c r="H151" i="20"/>
  <c r="F149" i="20"/>
  <c r="J144" i="20"/>
  <c r="J155" i="20"/>
  <c r="I153" i="20"/>
  <c r="G151" i="20"/>
  <c r="E149" i="20"/>
  <c r="J146" i="20"/>
  <c r="I144" i="20"/>
  <c r="J18" i="6"/>
  <c r="I18" i="6"/>
  <c r="AW40" i="1"/>
  <c r="B817" i="8"/>
  <c r="C817" i="8"/>
  <c r="B818" i="8"/>
  <c r="C818" i="8"/>
  <c r="B819" i="8"/>
  <c r="C819" i="8"/>
  <c r="B820" i="8"/>
  <c r="C820" i="8"/>
  <c r="B821" i="8"/>
  <c r="C821" i="8"/>
  <c r="B822" i="8"/>
  <c r="C822" i="8"/>
  <c r="B823" i="8"/>
  <c r="C823" i="8"/>
  <c r="B824" i="8"/>
  <c r="C824" i="8"/>
  <c r="B825" i="8"/>
  <c r="C825" i="8"/>
  <c r="B826" i="8"/>
  <c r="C826" i="8"/>
  <c r="B827" i="8"/>
  <c r="C827" i="8"/>
  <c r="B828" i="8"/>
  <c r="C828" i="8"/>
  <c r="B829" i="8"/>
  <c r="C829" i="8"/>
  <c r="B830" i="8"/>
  <c r="C830" i="8"/>
  <c r="B831" i="8"/>
  <c r="C831" i="8"/>
  <c r="B832" i="8"/>
  <c r="C832" i="8"/>
  <c r="B833" i="8"/>
  <c r="C833" i="8"/>
  <c r="B834" i="8"/>
  <c r="C834" i="8"/>
  <c r="B835" i="8"/>
  <c r="C835" i="8"/>
  <c r="B836" i="8"/>
  <c r="C836" i="8"/>
  <c r="B837" i="8"/>
  <c r="C837" i="8"/>
  <c r="B838" i="8"/>
  <c r="C838" i="8"/>
  <c r="B839" i="8"/>
  <c r="C839" i="8"/>
  <c r="B840" i="8"/>
  <c r="C840" i="8"/>
  <c r="B841" i="8"/>
  <c r="C841" i="8"/>
  <c r="B842" i="8"/>
  <c r="C842" i="8"/>
  <c r="B843" i="8"/>
  <c r="C843" i="8"/>
  <c r="B844" i="8"/>
  <c r="C844" i="8"/>
  <c r="B845" i="8"/>
  <c r="C845" i="8"/>
  <c r="B846" i="8"/>
  <c r="C846" i="8"/>
  <c r="B847" i="8"/>
  <c r="C847" i="8"/>
  <c r="B848" i="8"/>
  <c r="C848" i="8"/>
  <c r="B849" i="8"/>
  <c r="C849" i="8"/>
  <c r="B850" i="8"/>
  <c r="C850" i="8"/>
  <c r="B851" i="8"/>
  <c r="C851" i="8"/>
  <c r="B852" i="8"/>
  <c r="C852" i="8"/>
  <c r="B853" i="8"/>
  <c r="C853" i="8"/>
  <c r="B854" i="8"/>
  <c r="C854" i="8"/>
  <c r="B855" i="8"/>
  <c r="C855" i="8"/>
  <c r="B856" i="8"/>
  <c r="C856" i="8"/>
  <c r="B857" i="8"/>
  <c r="C857" i="8"/>
  <c r="B858" i="8"/>
  <c r="C858" i="8"/>
  <c r="B859" i="8"/>
  <c r="C859" i="8"/>
  <c r="B860" i="8"/>
  <c r="C860" i="8"/>
  <c r="B861" i="8"/>
  <c r="C861" i="8"/>
  <c r="B862" i="8"/>
  <c r="C862" i="8"/>
  <c r="B863" i="8"/>
  <c r="C863" i="8"/>
  <c r="B864" i="8"/>
  <c r="C864" i="8"/>
  <c r="B865" i="8"/>
  <c r="C865" i="8"/>
  <c r="B866" i="8"/>
  <c r="C866" i="8"/>
  <c r="B867" i="8"/>
  <c r="C867" i="8"/>
  <c r="B868" i="8"/>
  <c r="C868" i="8"/>
  <c r="B869" i="8"/>
  <c r="C869" i="8"/>
  <c r="B870" i="8"/>
  <c r="C870" i="8"/>
  <c r="B871" i="8"/>
  <c r="C871" i="8"/>
  <c r="B872" i="8"/>
  <c r="C872" i="8"/>
  <c r="B873" i="8"/>
  <c r="C873" i="8"/>
  <c r="B874" i="8"/>
  <c r="C874" i="8"/>
  <c r="B875" i="8"/>
  <c r="C875" i="8"/>
  <c r="B876" i="8"/>
  <c r="C876" i="8"/>
  <c r="B877" i="8"/>
  <c r="C877" i="8"/>
  <c r="B878" i="8"/>
  <c r="C878" i="8"/>
  <c r="B879" i="8"/>
  <c r="C879" i="8"/>
  <c r="B880" i="8"/>
  <c r="C880" i="8"/>
  <c r="B881" i="8"/>
  <c r="C881" i="8"/>
  <c r="B882" i="8"/>
  <c r="C882" i="8"/>
  <c r="B883" i="8"/>
  <c r="C883" i="8"/>
  <c r="B884" i="8"/>
  <c r="C884" i="8"/>
  <c r="B885" i="8"/>
  <c r="C885" i="8"/>
  <c r="B886" i="8"/>
  <c r="C886" i="8"/>
  <c r="B887" i="8"/>
  <c r="C887" i="8"/>
  <c r="B888" i="8"/>
  <c r="C888" i="8"/>
  <c r="B889" i="8"/>
  <c r="C889" i="8"/>
  <c r="B890" i="8"/>
  <c r="C890" i="8"/>
  <c r="B891" i="8"/>
  <c r="C891" i="8"/>
  <c r="B892" i="8"/>
  <c r="C892" i="8"/>
  <c r="B893" i="8"/>
  <c r="C893" i="8"/>
  <c r="B894" i="8"/>
  <c r="C894" i="8"/>
  <c r="B895" i="8"/>
  <c r="C895" i="8"/>
  <c r="B896" i="8"/>
  <c r="C896" i="8"/>
  <c r="B897" i="8"/>
  <c r="C897" i="8"/>
  <c r="B898" i="8"/>
  <c r="C898" i="8"/>
  <c r="B899" i="8"/>
  <c r="C899" i="8"/>
  <c r="B900" i="8"/>
  <c r="C900" i="8"/>
  <c r="B901" i="8"/>
  <c r="C901" i="8"/>
  <c r="B902" i="8"/>
  <c r="C902" i="8"/>
  <c r="B903" i="8"/>
  <c r="C903" i="8"/>
  <c r="B904" i="8"/>
  <c r="C904" i="8"/>
  <c r="B905" i="8"/>
  <c r="C905" i="8"/>
  <c r="B906" i="8"/>
  <c r="C906" i="8"/>
  <c r="B907" i="8"/>
  <c r="C907" i="8"/>
  <c r="B908" i="8"/>
  <c r="C908" i="8"/>
  <c r="B909" i="8"/>
  <c r="C909" i="8"/>
  <c r="B910" i="8"/>
  <c r="C910" i="8"/>
  <c r="B911" i="8"/>
  <c r="C911" i="8"/>
  <c r="B912" i="8"/>
  <c r="C912" i="8"/>
  <c r="B913" i="8"/>
  <c r="C913" i="8"/>
  <c r="B914" i="8"/>
  <c r="C914" i="8"/>
  <c r="B915" i="8"/>
  <c r="C915" i="8"/>
  <c r="B916" i="8"/>
  <c r="C916" i="8"/>
  <c r="B917" i="8"/>
  <c r="C917" i="8"/>
  <c r="B918" i="8"/>
  <c r="C918" i="8"/>
  <c r="B919" i="8"/>
  <c r="C919" i="8"/>
  <c r="B920" i="8"/>
  <c r="C920" i="8"/>
  <c r="B921" i="8"/>
  <c r="C921" i="8"/>
  <c r="B922" i="8"/>
  <c r="C922" i="8"/>
  <c r="B923" i="8"/>
  <c r="C923" i="8"/>
  <c r="B924" i="8"/>
  <c r="C924" i="8"/>
  <c r="B925" i="8"/>
  <c r="C925" i="8"/>
  <c r="B926" i="8"/>
  <c r="C926" i="8"/>
  <c r="B927" i="8"/>
  <c r="C927" i="8"/>
  <c r="B928" i="8"/>
  <c r="C928" i="8"/>
  <c r="B929" i="8"/>
  <c r="C929" i="8"/>
  <c r="B930" i="8"/>
  <c r="C930" i="8"/>
  <c r="B931" i="8"/>
  <c r="C931" i="8"/>
  <c r="B932" i="8"/>
  <c r="C932" i="8"/>
  <c r="B933" i="8"/>
  <c r="C933" i="8"/>
  <c r="B934" i="8"/>
  <c r="C934" i="8"/>
  <c r="B935" i="8"/>
  <c r="C935" i="8"/>
  <c r="B936" i="8"/>
  <c r="C936" i="8"/>
  <c r="B937" i="8"/>
  <c r="C937" i="8"/>
  <c r="B938" i="8"/>
  <c r="C938" i="8"/>
  <c r="B939" i="8"/>
  <c r="C939" i="8"/>
  <c r="B940" i="8"/>
  <c r="C940" i="8"/>
  <c r="B941" i="8"/>
  <c r="C941" i="8"/>
  <c r="B942" i="8"/>
  <c r="C942" i="8"/>
  <c r="B943" i="8"/>
  <c r="C943" i="8"/>
  <c r="B944" i="8"/>
  <c r="C944" i="8"/>
  <c r="B945" i="8"/>
  <c r="C945" i="8"/>
  <c r="B946" i="8"/>
  <c r="C946" i="8"/>
  <c r="B947" i="8"/>
  <c r="C947" i="8"/>
  <c r="B948" i="8"/>
  <c r="C948" i="8"/>
  <c r="B949" i="8"/>
  <c r="C949" i="8"/>
  <c r="B950" i="8"/>
  <c r="C950" i="8"/>
  <c r="B951" i="8"/>
  <c r="C951" i="8"/>
  <c r="B952" i="8"/>
  <c r="C952" i="8"/>
  <c r="B953" i="8"/>
  <c r="C953" i="8"/>
  <c r="B954" i="8"/>
  <c r="C954" i="8"/>
  <c r="B955" i="8"/>
  <c r="C955" i="8"/>
  <c r="B956" i="8"/>
  <c r="C956" i="8"/>
  <c r="B957" i="8"/>
  <c r="C957" i="8"/>
  <c r="B958" i="8"/>
  <c r="C958" i="8"/>
  <c r="B959" i="8"/>
  <c r="C959" i="8"/>
  <c r="B960" i="8"/>
  <c r="C960" i="8"/>
  <c r="B961" i="8"/>
  <c r="C961" i="8"/>
  <c r="B962" i="8"/>
  <c r="C962" i="8"/>
  <c r="B963" i="8"/>
  <c r="C963" i="8"/>
  <c r="B964" i="8"/>
  <c r="C964" i="8"/>
  <c r="B965" i="8"/>
  <c r="C965" i="8"/>
  <c r="B966" i="8"/>
  <c r="C966" i="8"/>
  <c r="B967" i="8"/>
  <c r="C967" i="8"/>
  <c r="B968" i="8"/>
  <c r="C968" i="8"/>
  <c r="B969" i="8"/>
  <c r="C969" i="8"/>
  <c r="B970" i="8"/>
  <c r="C970" i="8"/>
  <c r="B971" i="8"/>
  <c r="C971" i="8"/>
  <c r="B972" i="8"/>
  <c r="C972" i="8"/>
  <c r="B973" i="8"/>
  <c r="C973" i="8"/>
  <c r="B974" i="8"/>
  <c r="C974" i="8"/>
  <c r="B975" i="8"/>
  <c r="C975" i="8"/>
  <c r="B976" i="8"/>
  <c r="C976" i="8"/>
  <c r="B977" i="8"/>
  <c r="C977" i="8"/>
  <c r="B978" i="8"/>
  <c r="C978" i="8"/>
  <c r="B979" i="8"/>
  <c r="C979" i="8"/>
  <c r="B980" i="8"/>
  <c r="C980" i="8"/>
  <c r="B981" i="8"/>
  <c r="C981" i="8"/>
  <c r="B982" i="8"/>
  <c r="C982" i="8"/>
  <c r="B983" i="8"/>
  <c r="C983" i="8"/>
  <c r="B984" i="8"/>
  <c r="C984" i="8"/>
  <c r="B985" i="8"/>
  <c r="C985" i="8"/>
  <c r="B986" i="8"/>
  <c r="C986" i="8"/>
  <c r="B987" i="8"/>
  <c r="C987" i="8"/>
  <c r="B988" i="8"/>
  <c r="C988" i="8"/>
  <c r="B989" i="8"/>
  <c r="C989" i="8"/>
  <c r="B990" i="8"/>
  <c r="C990" i="8"/>
  <c r="B991" i="8"/>
  <c r="C991" i="8"/>
  <c r="B992" i="8"/>
  <c r="C992" i="8"/>
  <c r="B993" i="8"/>
  <c r="C993" i="8"/>
  <c r="B994" i="8"/>
  <c r="C994" i="8"/>
  <c r="B995" i="8"/>
  <c r="C995" i="8"/>
  <c r="B996" i="8"/>
  <c r="C996" i="8"/>
  <c r="B997" i="8"/>
  <c r="C997" i="8"/>
  <c r="B998" i="8"/>
  <c r="C998" i="8"/>
  <c r="B999" i="8"/>
  <c r="C999" i="8"/>
  <c r="B1000" i="8"/>
  <c r="C1000" i="8"/>
  <c r="B1001" i="8"/>
  <c r="C1001" i="8"/>
  <c r="B1002" i="8"/>
  <c r="C1002" i="8"/>
  <c r="B1003" i="8"/>
  <c r="C1003" i="8"/>
  <c r="B1004" i="8"/>
  <c r="C1004" i="8"/>
  <c r="B1005" i="8"/>
  <c r="C1005" i="8"/>
  <c r="B1006" i="8"/>
  <c r="C1006" i="8"/>
  <c r="B1007" i="8"/>
  <c r="C1007" i="8"/>
  <c r="B1008" i="8"/>
  <c r="C1008" i="8"/>
  <c r="B1009" i="8"/>
  <c r="C1009" i="8"/>
  <c r="B1010" i="8"/>
  <c r="C1010" i="8"/>
  <c r="B1011" i="8"/>
  <c r="C1011" i="8"/>
  <c r="B1012" i="8"/>
  <c r="C1012" i="8"/>
  <c r="B1013" i="8"/>
  <c r="C1013" i="8"/>
  <c r="B1014" i="8"/>
  <c r="C1014" i="8"/>
  <c r="B1015" i="8"/>
  <c r="C1015" i="8"/>
  <c r="B1016" i="8"/>
  <c r="C1016" i="8"/>
  <c r="B1017" i="8"/>
  <c r="C1017" i="8"/>
  <c r="B1018" i="8"/>
  <c r="C1018" i="8"/>
  <c r="B1019" i="8"/>
  <c r="C1019" i="8"/>
  <c r="B1020" i="8"/>
  <c r="C1020" i="8"/>
  <c r="B1021" i="8"/>
  <c r="C1021" i="8"/>
  <c r="B1022" i="8"/>
  <c r="C1022" i="8"/>
  <c r="B1023" i="8"/>
  <c r="C1023" i="8"/>
  <c r="B1024" i="8"/>
  <c r="C1024" i="8"/>
  <c r="B1025" i="8"/>
  <c r="C1025" i="8"/>
  <c r="B1026" i="8"/>
  <c r="C1026" i="8"/>
  <c r="B1027" i="8"/>
  <c r="C1027" i="8"/>
  <c r="AU17" i="1"/>
  <c r="S17" i="1" s="1"/>
  <c r="E62" i="14"/>
  <c r="F62" i="14"/>
  <c r="G62" i="14"/>
  <c r="H62" i="14"/>
  <c r="I62" i="14"/>
  <c r="J62" i="14"/>
  <c r="K62" i="14"/>
  <c r="L62" i="14"/>
  <c r="M62" i="14"/>
  <c r="N62" i="14"/>
  <c r="C29" i="14"/>
  <c r="C30" i="14"/>
  <c r="B29" i="14"/>
  <c r="B30" i="14"/>
  <c r="F9" i="14"/>
  <c r="F11" i="14"/>
  <c r="BX75" i="1"/>
  <c r="BX74" i="1"/>
  <c r="BX78" i="1" s="1"/>
  <c r="BX73" i="1"/>
  <c r="BX72" i="1"/>
  <c r="BX71" i="1"/>
  <c r="BX70" i="1"/>
  <c r="BX69" i="1"/>
  <c r="BX68" i="1"/>
  <c r="BX67" i="1"/>
  <c r="BX66" i="1"/>
  <c r="BX65" i="1"/>
  <c r="BX64" i="1"/>
  <c r="BX63" i="1"/>
  <c r="E9" i="14"/>
  <c r="E11" i="14"/>
  <c r="BL76" i="1"/>
  <c r="BM77" i="1"/>
  <c r="BN77" i="1"/>
  <c r="BO77" i="1"/>
  <c r="BP77" i="1"/>
  <c r="BQ77" i="1"/>
  <c r="BR77" i="1"/>
  <c r="BS77" i="1"/>
  <c r="BT77" i="1"/>
  <c r="BU77" i="1"/>
  <c r="BV77" i="1"/>
  <c r="BW77" i="1"/>
  <c r="BM78" i="1"/>
  <c r="BN78" i="1"/>
  <c r="BO78" i="1"/>
  <c r="BP78" i="1"/>
  <c r="BQ78" i="1"/>
  <c r="BR78" i="1"/>
  <c r="BS78" i="1"/>
  <c r="BT78" i="1"/>
  <c r="BU78" i="1"/>
  <c r="BV78" i="1"/>
  <c r="BW78" i="1"/>
  <c r="BL78" i="1"/>
  <c r="BL77" i="1"/>
  <c r="BW76" i="1"/>
  <c r="BV76" i="1"/>
  <c r="BU76" i="1"/>
  <c r="BT76" i="1"/>
  <c r="BS76" i="1"/>
  <c r="BR76" i="1"/>
  <c r="BQ76" i="1"/>
  <c r="BP76" i="1"/>
  <c r="BO76" i="1"/>
  <c r="BN76" i="1"/>
  <c r="BM76" i="1"/>
  <c r="AU78" i="1"/>
  <c r="AV75" i="1"/>
  <c r="AV74" i="1"/>
  <c r="S74" i="1" s="1"/>
  <c r="S78" i="1" s="1"/>
  <c r="AV73" i="1"/>
  <c r="S73" i="1" s="1"/>
  <c r="AV72" i="1"/>
  <c r="AV71" i="1"/>
  <c r="AV70" i="1"/>
  <c r="AV69" i="1"/>
  <c r="S69" i="1" s="1"/>
  <c r="AV68" i="1"/>
  <c r="AV67" i="1"/>
  <c r="S67" i="1" s="1"/>
  <c r="AV66" i="1"/>
  <c r="AV65" i="1"/>
  <c r="AV64" i="1"/>
  <c r="AV63" i="1"/>
  <c r="E5" i="14" s="1"/>
  <c r="AJ77" i="1"/>
  <c r="AK77" i="1"/>
  <c r="AL77" i="1"/>
  <c r="AM77" i="1"/>
  <c r="AN77" i="1"/>
  <c r="AO77" i="1"/>
  <c r="AP77" i="1"/>
  <c r="AQ77" i="1"/>
  <c r="AR77" i="1"/>
  <c r="AS77" i="1"/>
  <c r="AT77" i="1"/>
  <c r="AJ78" i="1"/>
  <c r="AK78" i="1"/>
  <c r="AL78" i="1"/>
  <c r="AM78" i="1"/>
  <c r="AN78" i="1"/>
  <c r="AO78" i="1"/>
  <c r="AP78" i="1"/>
  <c r="AQ78" i="1"/>
  <c r="AR78" i="1"/>
  <c r="AS78" i="1"/>
  <c r="AT78" i="1"/>
  <c r="AI78" i="1"/>
  <c r="AI77" i="1"/>
  <c r="AJ76" i="1"/>
  <c r="D60" i="14" s="1"/>
  <c r="AT76" i="1"/>
  <c r="N60" i="14" s="1"/>
  <c r="AS76" i="1"/>
  <c r="M60" i="14" s="1"/>
  <c r="AR76" i="1"/>
  <c r="L60" i="14" s="1"/>
  <c r="AQ76" i="1"/>
  <c r="K60" i="14" s="1"/>
  <c r="AP76" i="1"/>
  <c r="J60" i="14" s="1"/>
  <c r="AO76" i="1"/>
  <c r="AN76" i="1"/>
  <c r="H60" i="14" s="1"/>
  <c r="AW76" i="1"/>
  <c r="AK76" i="1"/>
  <c r="E60" i="14" s="1"/>
  <c r="AL76" i="1"/>
  <c r="F60" i="14" s="1"/>
  <c r="AM76" i="1"/>
  <c r="G60" i="14" s="1"/>
  <c r="AI76" i="1"/>
  <c r="K27" i="2"/>
  <c r="K33" i="2"/>
  <c r="K34" i="2"/>
  <c r="K35" i="2"/>
  <c r="K36" i="2"/>
  <c r="K37" i="2"/>
  <c r="K38" i="2"/>
  <c r="K39" i="2"/>
  <c r="K40" i="2"/>
  <c r="K41" i="2"/>
  <c r="K42" i="2"/>
  <c r="K43" i="2"/>
  <c r="K44" i="2"/>
  <c r="O44" i="2" s="1"/>
  <c r="K45" i="2"/>
  <c r="K19" i="2"/>
  <c r="K20" i="2"/>
  <c r="K21" i="2"/>
  <c r="K22" i="2"/>
  <c r="K23" i="2"/>
  <c r="K24" i="2"/>
  <c r="K25" i="2"/>
  <c r="K26" i="2"/>
  <c r="K28" i="2"/>
  <c r="K29" i="2"/>
  <c r="K30" i="2"/>
  <c r="O30" i="2" s="1"/>
  <c r="K31" i="2"/>
  <c r="K5" i="2"/>
  <c r="K6" i="2"/>
  <c r="K7" i="2"/>
  <c r="K8" i="2"/>
  <c r="K9" i="2"/>
  <c r="K10" i="2"/>
  <c r="K11" i="2"/>
  <c r="K12" i="2"/>
  <c r="K13" i="2"/>
  <c r="K14" i="2"/>
  <c r="K15" i="2"/>
  <c r="K16" i="2"/>
  <c r="O16" i="2" s="1"/>
  <c r="K17" i="2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633" i="8"/>
  <c r="J46" i="2"/>
  <c r="I46" i="2"/>
  <c r="H46" i="2"/>
  <c r="G46" i="2"/>
  <c r="F46" i="2"/>
  <c r="E46" i="2"/>
  <c r="D84" i="5"/>
  <c r="E84" i="5"/>
  <c r="F84" i="5"/>
  <c r="G84" i="5"/>
  <c r="H84" i="5"/>
  <c r="I84" i="5"/>
  <c r="J84" i="5"/>
  <c r="K84" i="5"/>
  <c r="L84" i="5"/>
  <c r="M84" i="5"/>
  <c r="N84" i="5"/>
  <c r="C84" i="5"/>
  <c r="AW56" i="1"/>
  <c r="T56" i="1" s="1"/>
  <c r="D6" i="6"/>
  <c r="B18" i="6"/>
  <c r="C18" i="6"/>
  <c r="E18" i="6"/>
  <c r="D46" i="5"/>
  <c r="E46" i="5"/>
  <c r="F46" i="5"/>
  <c r="G46" i="5"/>
  <c r="H46" i="5"/>
  <c r="I46" i="5"/>
  <c r="J46" i="5"/>
  <c r="K46" i="5"/>
  <c r="L46" i="5"/>
  <c r="M46" i="5"/>
  <c r="N46" i="5"/>
  <c r="C46" i="5"/>
  <c r="AJ51" i="1"/>
  <c r="AK51" i="1"/>
  <c r="AL51" i="1"/>
  <c r="AM51" i="1"/>
  <c r="AN51" i="1"/>
  <c r="AO51" i="1"/>
  <c r="AP51" i="1"/>
  <c r="AQ51" i="1"/>
  <c r="AI51" i="1"/>
  <c r="AW54" i="1"/>
  <c r="T54" i="1" s="1"/>
  <c r="AJ57" i="1"/>
  <c r="AK55" i="1"/>
  <c r="H38" i="5"/>
  <c r="I38" i="5"/>
  <c r="J38" i="5"/>
  <c r="K38" i="5"/>
  <c r="L38" i="5"/>
  <c r="M38" i="5"/>
  <c r="N38" i="5"/>
  <c r="AW35" i="1"/>
  <c r="T35" i="1" s="1"/>
  <c r="AW32" i="1"/>
  <c r="T32" i="1" s="1"/>
  <c r="AW25" i="1"/>
  <c r="T25" i="1" s="1"/>
  <c r="AW18" i="1"/>
  <c r="T18" i="1" s="1"/>
  <c r="AW17" i="1"/>
  <c r="T17" i="1" s="1"/>
  <c r="AW14" i="1"/>
  <c r="T14" i="1" s="1"/>
  <c r="AW13" i="1"/>
  <c r="T13" i="1" s="1"/>
  <c r="AW9" i="1"/>
  <c r="T9" i="1" s="1"/>
  <c r="AW8" i="1"/>
  <c r="T8" i="1" s="1"/>
  <c r="AW7" i="1"/>
  <c r="T7" i="1" s="1"/>
  <c r="AV40" i="1"/>
  <c r="AV51" i="1" s="1"/>
  <c r="AV35" i="1"/>
  <c r="AV32" i="1"/>
  <c r="AV25" i="1"/>
  <c r="AV18" i="1"/>
  <c r="AV17" i="1"/>
  <c r="AV14" i="1"/>
  <c r="AV13" i="1"/>
  <c r="AV9" i="1"/>
  <c r="AV8" i="1"/>
  <c r="AV7" i="1"/>
  <c r="AU51" i="1"/>
  <c r="AU35" i="1"/>
  <c r="S35" i="1" s="1"/>
  <c r="AU32" i="1"/>
  <c r="S32" i="1" s="1"/>
  <c r="AU25" i="1"/>
  <c r="S25" i="1" s="1"/>
  <c r="AU18" i="1"/>
  <c r="S18" i="1" s="1"/>
  <c r="AU14" i="1"/>
  <c r="S14" i="1" s="1"/>
  <c r="AU13" i="1"/>
  <c r="S13" i="1" s="1"/>
  <c r="AU9" i="1"/>
  <c r="S9" i="1" s="1"/>
  <c r="AU8" i="1"/>
  <c r="S8" i="1" s="1"/>
  <c r="AU7" i="1"/>
  <c r="S7" i="1" s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AZ50" i="1"/>
  <c r="BA50" i="1"/>
  <c r="BB50" i="1"/>
  <c r="BC50" i="1"/>
  <c r="BD50" i="1"/>
  <c r="BE50" i="1"/>
  <c r="BF50" i="1"/>
  <c r="BG50" i="1"/>
  <c r="BH50" i="1"/>
  <c r="BI50" i="1"/>
  <c r="BJ50" i="1"/>
  <c r="AZ51" i="1"/>
  <c r="BA51" i="1"/>
  <c r="BB51" i="1"/>
  <c r="BC51" i="1"/>
  <c r="BD51" i="1"/>
  <c r="BE51" i="1"/>
  <c r="BF51" i="1"/>
  <c r="BG51" i="1"/>
  <c r="BH51" i="1"/>
  <c r="BI51" i="1"/>
  <c r="BJ51" i="1"/>
  <c r="AY51" i="1"/>
  <c r="AY50" i="1"/>
  <c r="J32" i="2"/>
  <c r="I32" i="2"/>
  <c r="H32" i="2"/>
  <c r="G32" i="2"/>
  <c r="F32" i="2"/>
  <c r="AV56" i="1"/>
  <c r="AU54" i="1"/>
  <c r="BW49" i="1"/>
  <c r="N45" i="5" s="1"/>
  <c r="BV49" i="1"/>
  <c r="BV57" i="1" s="1"/>
  <c r="BU49" i="1"/>
  <c r="BU57" i="1" s="1"/>
  <c r="BT49" i="1"/>
  <c r="K45" i="5" s="1"/>
  <c r="BS49" i="1"/>
  <c r="BS55" i="1" s="1"/>
  <c r="BR49" i="1"/>
  <c r="BR57" i="1" s="1"/>
  <c r="BQ49" i="1"/>
  <c r="H45" i="5" s="1"/>
  <c r="BP49" i="1"/>
  <c r="G83" i="5" s="1"/>
  <c r="BO49" i="1"/>
  <c r="F45" i="5" s="1"/>
  <c r="BN49" i="1"/>
  <c r="E83" i="5" s="1"/>
  <c r="BM49" i="1"/>
  <c r="D45" i="5" s="1"/>
  <c r="BL49" i="1"/>
  <c r="BL57" i="1" s="1"/>
  <c r="BJ57" i="1"/>
  <c r="BG57" i="1"/>
  <c r="BE55" i="1"/>
  <c r="BC55" i="1"/>
  <c r="BB55" i="1"/>
  <c r="BA57" i="1"/>
  <c r="E32" i="2"/>
  <c r="S49" i="1" l="1"/>
  <c r="C60" i="14"/>
  <c r="H63" i="14" s="1"/>
  <c r="BY61" i="1"/>
  <c r="K154" i="20"/>
  <c r="O154" i="20" s="1"/>
  <c r="K152" i="20"/>
  <c r="O152" i="20" s="1"/>
  <c r="K148" i="20"/>
  <c r="O148" i="20" s="1"/>
  <c r="E30" i="14"/>
  <c r="S63" i="1"/>
  <c r="E6" i="14"/>
  <c r="E29" i="14" s="1"/>
  <c r="S64" i="1"/>
  <c r="E7" i="14"/>
  <c r="S65" i="1"/>
  <c r="E8" i="14"/>
  <c r="S66" i="1"/>
  <c r="T50" i="1"/>
  <c r="E10" i="14"/>
  <c r="S68" i="1"/>
  <c r="E12" i="14"/>
  <c r="S70" i="1"/>
  <c r="E13" i="14"/>
  <c r="S71" i="1"/>
  <c r="E14" i="14"/>
  <c r="S72" i="1"/>
  <c r="AW78" i="1"/>
  <c r="T40" i="1"/>
  <c r="E16" i="14"/>
  <c r="S75" i="1"/>
  <c r="S50" i="1"/>
  <c r="AC9" i="5" a="1"/>
  <c r="AC9" i="5" s="1"/>
  <c r="AD10" i="5" a="1"/>
  <c r="AD10" i="5" s="1"/>
  <c r="AC10" i="5" a="1"/>
  <c r="AC10" i="5" s="1"/>
  <c r="AD9" i="5" a="1"/>
  <c r="AD9" i="5" s="1"/>
  <c r="AF7" i="5"/>
  <c r="K153" i="20"/>
  <c r="O153" i="20" s="1"/>
  <c r="I156" i="20"/>
  <c r="K145" i="20"/>
  <c r="O145" i="20" s="1"/>
  <c r="F156" i="20"/>
  <c r="K147" i="20"/>
  <c r="O147" i="20" s="1"/>
  <c r="H156" i="20"/>
  <c r="K149" i="20"/>
  <c r="O149" i="20" s="1"/>
  <c r="K155" i="20"/>
  <c r="O155" i="20" s="1"/>
  <c r="K151" i="20"/>
  <c r="O151" i="20" s="1"/>
  <c r="J156" i="20"/>
  <c r="K146" i="20"/>
  <c r="O146" i="20" s="1"/>
  <c r="G156" i="20"/>
  <c r="K150" i="20"/>
  <c r="O150" i="20" s="1"/>
  <c r="K143" i="20"/>
  <c r="E156" i="20"/>
  <c r="E141" i="20"/>
  <c r="I138" i="20"/>
  <c r="G136" i="20"/>
  <c r="E134" i="20"/>
  <c r="J131" i="20"/>
  <c r="H129" i="20"/>
  <c r="H138" i="20"/>
  <c r="F136" i="20"/>
  <c r="I131" i="20"/>
  <c r="G129" i="20"/>
  <c r="F141" i="20"/>
  <c r="J140" i="20"/>
  <c r="G138" i="20"/>
  <c r="E136" i="20"/>
  <c r="J133" i="20"/>
  <c r="H131" i="20"/>
  <c r="F129" i="20"/>
  <c r="I129" i="20"/>
  <c r="I140" i="20"/>
  <c r="F138" i="20"/>
  <c r="I133" i="20"/>
  <c r="G131" i="20"/>
  <c r="E129" i="20"/>
  <c r="H140" i="20"/>
  <c r="E138" i="20"/>
  <c r="J135" i="20"/>
  <c r="H133" i="20"/>
  <c r="F131" i="20"/>
  <c r="H136" i="20"/>
  <c r="G140" i="20"/>
  <c r="I135" i="20"/>
  <c r="G133" i="20"/>
  <c r="E131" i="20"/>
  <c r="F134" i="20"/>
  <c r="F140" i="20"/>
  <c r="J137" i="20"/>
  <c r="H135" i="20"/>
  <c r="F133" i="20"/>
  <c r="E140" i="20"/>
  <c r="I137" i="20"/>
  <c r="G135" i="20"/>
  <c r="E133" i="20"/>
  <c r="J130" i="20"/>
  <c r="J139" i="20"/>
  <c r="H137" i="20"/>
  <c r="F135" i="20"/>
  <c r="I130" i="20"/>
  <c r="I139" i="20"/>
  <c r="G137" i="20"/>
  <c r="E135" i="20"/>
  <c r="J132" i="20"/>
  <c r="H130" i="20"/>
  <c r="J138" i="20"/>
  <c r="H139" i="20"/>
  <c r="F137" i="20"/>
  <c r="I132" i="20"/>
  <c r="G130" i="20"/>
  <c r="J141" i="20"/>
  <c r="G139" i="20"/>
  <c r="E137" i="20"/>
  <c r="J134" i="20"/>
  <c r="H132" i="20"/>
  <c r="F130" i="20"/>
  <c r="F139" i="20"/>
  <c r="I134" i="20"/>
  <c r="E130" i="20"/>
  <c r="I141" i="20"/>
  <c r="G132" i="20"/>
  <c r="H141" i="20"/>
  <c r="E139" i="20"/>
  <c r="J136" i="20"/>
  <c r="H134" i="20"/>
  <c r="F132" i="20"/>
  <c r="G141" i="20"/>
  <c r="I136" i="20"/>
  <c r="G134" i="20"/>
  <c r="E132" i="20"/>
  <c r="J129" i="20"/>
  <c r="F126" i="20"/>
  <c r="J123" i="20"/>
  <c r="H121" i="20"/>
  <c r="F119" i="20"/>
  <c r="E126" i="20"/>
  <c r="I123" i="20"/>
  <c r="G121" i="20"/>
  <c r="E119" i="20"/>
  <c r="J116" i="20"/>
  <c r="J125" i="20"/>
  <c r="H123" i="20"/>
  <c r="F121" i="20"/>
  <c r="I116" i="20"/>
  <c r="I125" i="20"/>
  <c r="G123" i="20"/>
  <c r="E121" i="20"/>
  <c r="J118" i="20"/>
  <c r="H116" i="20"/>
  <c r="H125" i="20"/>
  <c r="F123" i="20"/>
  <c r="I118" i="20"/>
  <c r="G116" i="20"/>
  <c r="J127" i="20"/>
  <c r="G125" i="20"/>
  <c r="E123" i="20"/>
  <c r="J120" i="20"/>
  <c r="H118" i="20"/>
  <c r="F116" i="20"/>
  <c r="I127" i="20"/>
  <c r="F125" i="20"/>
  <c r="I120" i="20"/>
  <c r="G118" i="20"/>
  <c r="E116" i="20"/>
  <c r="H120" i="20"/>
  <c r="H127" i="20"/>
  <c r="E125" i="20"/>
  <c r="J122" i="20"/>
  <c r="F118" i="20"/>
  <c r="G127" i="20"/>
  <c r="I122" i="20"/>
  <c r="G120" i="20"/>
  <c r="E118" i="20"/>
  <c r="J115" i="20"/>
  <c r="G126" i="20"/>
  <c r="F127" i="20"/>
  <c r="J124" i="20"/>
  <c r="H122" i="20"/>
  <c r="F120" i="20"/>
  <c r="I115" i="20"/>
  <c r="E127" i="20"/>
  <c r="I124" i="20"/>
  <c r="G122" i="20"/>
  <c r="E120" i="20"/>
  <c r="J117" i="20"/>
  <c r="H115" i="20"/>
  <c r="H124" i="20"/>
  <c r="F122" i="20"/>
  <c r="I117" i="20"/>
  <c r="G115" i="20"/>
  <c r="G124" i="20"/>
  <c r="E122" i="20"/>
  <c r="H117" i="20"/>
  <c r="F115" i="20"/>
  <c r="J126" i="20"/>
  <c r="J119" i="20"/>
  <c r="E117" i="20"/>
  <c r="I126" i="20"/>
  <c r="F124" i="20"/>
  <c r="I119" i="20"/>
  <c r="G117" i="20"/>
  <c r="E115" i="20"/>
  <c r="I121" i="20"/>
  <c r="H126" i="20"/>
  <c r="E124" i="20"/>
  <c r="J121" i="20"/>
  <c r="H119" i="20"/>
  <c r="F117" i="20"/>
  <c r="G119" i="20"/>
  <c r="K144" i="20"/>
  <c r="O144" i="20" s="1"/>
  <c r="AW49" i="1"/>
  <c r="AW57" i="1" s="1"/>
  <c r="AV49" i="1"/>
  <c r="AV55" i="1" s="1"/>
  <c r="AU49" i="1"/>
  <c r="AU57" i="1" s="1"/>
  <c r="H83" i="5"/>
  <c r="H85" i="5" s="1"/>
  <c r="I41" i="5"/>
  <c r="J41" i="5"/>
  <c r="L83" i="5"/>
  <c r="L85" i="5" s="1"/>
  <c r="BN57" i="1"/>
  <c r="BU55" i="1"/>
  <c r="AW51" i="1"/>
  <c r="M41" i="5"/>
  <c r="O12" i="2"/>
  <c r="O36" i="2"/>
  <c r="O22" i="2"/>
  <c r="O11" i="2"/>
  <c r="O21" i="2"/>
  <c r="O10" i="2"/>
  <c r="O20" i="2"/>
  <c r="O15" i="2"/>
  <c r="O25" i="2"/>
  <c r="O9" i="2"/>
  <c r="O19" i="2"/>
  <c r="O7" i="2"/>
  <c r="O14" i="2"/>
  <c r="O24" i="2"/>
  <c r="O35" i="2"/>
  <c r="O8" i="2"/>
  <c r="O45" i="2"/>
  <c r="O6" i="2"/>
  <c r="O43" i="2"/>
  <c r="O42" i="2"/>
  <c r="O34" i="2"/>
  <c r="O5" i="2"/>
  <c r="O41" i="2"/>
  <c r="O13" i="2"/>
  <c r="O23" i="2"/>
  <c r="O27" i="2"/>
  <c r="O31" i="2"/>
  <c r="O40" i="2"/>
  <c r="O33" i="2"/>
  <c r="O29" i="2"/>
  <c r="O39" i="2"/>
  <c r="O17" i="2"/>
  <c r="O28" i="2"/>
  <c r="O38" i="2"/>
  <c r="O26" i="2"/>
  <c r="O37" i="2"/>
  <c r="AL55" i="1"/>
  <c r="AL57" i="1"/>
  <c r="E15" i="14"/>
  <c r="E21" i="14" s="1"/>
  <c r="D47" i="5"/>
  <c r="K41" i="5"/>
  <c r="BX77" i="1"/>
  <c r="C79" i="5"/>
  <c r="N47" i="5"/>
  <c r="J79" i="5"/>
  <c r="G85" i="5"/>
  <c r="L79" i="5"/>
  <c r="F76" i="5"/>
  <c r="M76" i="5"/>
  <c r="I83" i="5"/>
  <c r="I85" i="5" s="1"/>
  <c r="H76" i="5"/>
  <c r="BJ55" i="1"/>
  <c r="BA55" i="1"/>
  <c r="K79" i="5"/>
  <c r="BD57" i="1"/>
  <c r="F38" i="5"/>
  <c r="F83" i="5"/>
  <c r="F85" i="5" s="1"/>
  <c r="BQ57" i="1"/>
  <c r="G76" i="5"/>
  <c r="C41" i="5"/>
  <c r="BQ55" i="1"/>
  <c r="BO57" i="1"/>
  <c r="BD55" i="1"/>
  <c r="D79" i="5"/>
  <c r="E76" i="5"/>
  <c r="E38" i="5"/>
  <c r="L41" i="5"/>
  <c r="AM57" i="1"/>
  <c r="E79" i="5"/>
  <c r="AV78" i="1"/>
  <c r="BP55" i="1"/>
  <c r="BR55" i="1"/>
  <c r="F79" i="5"/>
  <c r="C45" i="5"/>
  <c r="C47" i="5" s="1"/>
  <c r="K83" i="5"/>
  <c r="K85" i="5" s="1"/>
  <c r="BX50" i="1"/>
  <c r="L76" i="5"/>
  <c r="G45" i="5"/>
  <c r="G47" i="5" s="1"/>
  <c r="I45" i="5"/>
  <c r="I47" i="5" s="1"/>
  <c r="H47" i="5"/>
  <c r="D41" i="5"/>
  <c r="AN55" i="1"/>
  <c r="E41" i="5"/>
  <c r="BP57" i="1"/>
  <c r="G38" i="5"/>
  <c r="AI57" i="1"/>
  <c r="BI55" i="1"/>
  <c r="AI55" i="1"/>
  <c r="BH57" i="1"/>
  <c r="BT57" i="1"/>
  <c r="H41" i="5"/>
  <c r="D83" i="5"/>
  <c r="D85" i="5" s="1"/>
  <c r="M45" i="5"/>
  <c r="M47" i="5" s="1"/>
  <c r="BV55" i="1"/>
  <c r="J76" i="5"/>
  <c r="H79" i="5"/>
  <c r="AT55" i="1"/>
  <c r="AW50" i="1"/>
  <c r="AT57" i="1"/>
  <c r="AV50" i="1"/>
  <c r="F41" i="5"/>
  <c r="BB57" i="1"/>
  <c r="AW77" i="1"/>
  <c r="M83" i="5"/>
  <c r="M85" i="5" s="1"/>
  <c r="AV77" i="1"/>
  <c r="E85" i="5"/>
  <c r="AK57" i="1"/>
  <c r="AP57" i="1"/>
  <c r="BW57" i="1"/>
  <c r="AP55" i="1"/>
  <c r="AS57" i="1"/>
  <c r="BX51" i="1"/>
  <c r="BO55" i="1"/>
  <c r="L45" i="5"/>
  <c r="L47" i="5" s="1"/>
  <c r="AS55" i="1"/>
  <c r="J83" i="5"/>
  <c r="J85" i="5" s="1"/>
  <c r="N76" i="5"/>
  <c r="F47" i="5"/>
  <c r="K47" i="5"/>
  <c r="I79" i="5"/>
  <c r="BM55" i="1"/>
  <c r="BW55" i="1"/>
  <c r="BS57" i="1"/>
  <c r="AJ55" i="1"/>
  <c r="E45" i="5"/>
  <c r="E47" i="5" s="1"/>
  <c r="BI57" i="1"/>
  <c r="BE57" i="1"/>
  <c r="AY57" i="1"/>
  <c r="AN57" i="1"/>
  <c r="AZ57" i="1"/>
  <c r="G41" i="5"/>
  <c r="M79" i="5"/>
  <c r="N83" i="5"/>
  <c r="N85" i="5" s="1"/>
  <c r="N41" i="5"/>
  <c r="BH55" i="1"/>
  <c r="BG55" i="1"/>
  <c r="N79" i="5"/>
  <c r="AY55" i="1"/>
  <c r="AZ55" i="1"/>
  <c r="BM57" i="1"/>
  <c r="BN55" i="1"/>
  <c r="AM55" i="1"/>
  <c r="BT55" i="1"/>
  <c r="K76" i="5"/>
  <c r="BX76" i="1"/>
  <c r="BY63" i="1"/>
  <c r="F5" i="14" s="1"/>
  <c r="F30" i="14" s="1"/>
  <c r="AQ57" i="1"/>
  <c r="J45" i="5"/>
  <c r="J47" i="5" s="1"/>
  <c r="D76" i="5"/>
  <c r="C83" i="5"/>
  <c r="C85" i="5" s="1"/>
  <c r="G79" i="5"/>
  <c r="BF55" i="1"/>
  <c r="BF57" i="1"/>
  <c r="BL55" i="1"/>
  <c r="BC57" i="1"/>
  <c r="AQ55" i="1"/>
  <c r="I60" i="14"/>
  <c r="AO55" i="1"/>
  <c r="AO57" i="1"/>
  <c r="I76" i="5"/>
  <c r="K18" i="2"/>
  <c r="O18" i="2" s="1"/>
  <c r="L15" i="2"/>
  <c r="K46" i="2"/>
  <c r="O46" i="2" s="1"/>
  <c r="K32" i="2"/>
  <c r="O32" i="2" s="1"/>
  <c r="D60" i="2"/>
  <c r="D74" i="2"/>
  <c r="D32" i="2"/>
  <c r="D46" i="2"/>
  <c r="K78" i="2"/>
  <c r="O75" i="5"/>
  <c r="K84" i="2"/>
  <c r="K86" i="2"/>
  <c r="O86" i="2" s="1"/>
  <c r="K85" i="2"/>
  <c r="J88" i="2"/>
  <c r="F88" i="2"/>
  <c r="K87" i="2"/>
  <c r="G88" i="2"/>
  <c r="K76" i="2"/>
  <c r="K79" i="2"/>
  <c r="K80" i="2"/>
  <c r="H88" i="2"/>
  <c r="K82" i="2"/>
  <c r="I88" i="2"/>
  <c r="K75" i="2"/>
  <c r="K81" i="2"/>
  <c r="K77" i="2"/>
  <c r="E88" i="2"/>
  <c r="K83" i="2"/>
  <c r="AV76" i="1"/>
  <c r="AU50" i="1"/>
  <c r="AU77" i="1"/>
  <c r="AU76" i="1"/>
  <c r="D63" i="14" l="1"/>
  <c r="E63" i="14"/>
  <c r="F63" i="14"/>
  <c r="G63" i="14"/>
  <c r="I63" i="14"/>
  <c r="J63" i="14"/>
  <c r="K63" i="14"/>
  <c r="L63" i="14"/>
  <c r="M63" i="14"/>
  <c r="N63" i="14"/>
  <c r="K118" i="20"/>
  <c r="O118" i="20" s="1"/>
  <c r="T51" i="1"/>
  <c r="T49" i="1"/>
  <c r="T57" i="1" s="1"/>
  <c r="G128" i="20"/>
  <c r="F142" i="20"/>
  <c r="K141" i="20"/>
  <c r="O141" i="20" s="1"/>
  <c r="K124" i="20"/>
  <c r="O124" i="20" s="1"/>
  <c r="E17" i="14"/>
  <c r="H13" i="14" s="1"/>
  <c r="S55" i="1"/>
  <c r="S57" i="1"/>
  <c r="AV57" i="1"/>
  <c r="S77" i="1"/>
  <c r="S76" i="1"/>
  <c r="AI7" i="5"/>
  <c r="AF10" i="5" a="1"/>
  <c r="AF10" i="5" s="1"/>
  <c r="AF9" i="5" a="1"/>
  <c r="AF9" i="5" s="1"/>
  <c r="AG9" i="5" a="1"/>
  <c r="AG9" i="5" s="1"/>
  <c r="AG10" i="5" a="1"/>
  <c r="AG10" i="5" s="1"/>
  <c r="K117" i="20"/>
  <c r="O117" i="20" s="1"/>
  <c r="K127" i="20"/>
  <c r="O127" i="20" s="1"/>
  <c r="K139" i="20"/>
  <c r="O139" i="20" s="1"/>
  <c r="J128" i="20"/>
  <c r="I128" i="20"/>
  <c r="E128" i="20"/>
  <c r="K116" i="20"/>
  <c r="O116" i="20" s="1"/>
  <c r="O143" i="20"/>
  <c r="K156" i="20"/>
  <c r="J142" i="20"/>
  <c r="K136" i="20"/>
  <c r="O136" i="20" s="1"/>
  <c r="K121" i="20"/>
  <c r="O121" i="20" s="1"/>
  <c r="F128" i="20"/>
  <c r="K120" i="20"/>
  <c r="O120" i="20" s="1"/>
  <c r="E142" i="20"/>
  <c r="K132" i="20"/>
  <c r="O132" i="20" s="1"/>
  <c r="K137" i="20"/>
  <c r="O137" i="20" s="1"/>
  <c r="K138" i="20"/>
  <c r="O138" i="20" s="1"/>
  <c r="K131" i="20"/>
  <c r="O131" i="20" s="1"/>
  <c r="K133" i="20"/>
  <c r="O133" i="20" s="1"/>
  <c r="K135" i="20"/>
  <c r="O135" i="20" s="1"/>
  <c r="G142" i="20"/>
  <c r="K123" i="20"/>
  <c r="O123" i="20" s="1"/>
  <c r="K119" i="20"/>
  <c r="K129" i="20"/>
  <c r="H142" i="20"/>
  <c r="H128" i="20"/>
  <c r="K134" i="20"/>
  <c r="O134" i="20" s="1"/>
  <c r="K115" i="20"/>
  <c r="K126" i="20"/>
  <c r="O126" i="20" s="1"/>
  <c r="K140" i="20"/>
  <c r="O140" i="20" s="1"/>
  <c r="K122" i="20"/>
  <c r="O122" i="20" s="1"/>
  <c r="K125" i="20"/>
  <c r="O125" i="20" s="1"/>
  <c r="K130" i="20"/>
  <c r="O130" i="20" s="1"/>
  <c r="I142" i="20"/>
  <c r="B11" i="5"/>
  <c r="B12" i="5" s="1"/>
  <c r="AC11" i="5"/>
  <c r="AC12" i="5" s="1"/>
  <c r="H11" i="5"/>
  <c r="H12" i="5" s="1"/>
  <c r="Q11" i="5"/>
  <c r="Q12" i="5" s="1"/>
  <c r="Z11" i="5"/>
  <c r="Z12" i="5" s="1"/>
  <c r="T11" i="5"/>
  <c r="T12" i="5" s="1"/>
  <c r="K11" i="5"/>
  <c r="K12" i="5" s="1"/>
  <c r="N11" i="5"/>
  <c r="N13" i="5" s="1"/>
  <c r="W11" i="5"/>
  <c r="W13" i="5" s="1"/>
  <c r="E11" i="5"/>
  <c r="E13" i="5" s="1"/>
  <c r="X11" i="5"/>
  <c r="X12" i="5" s="1"/>
  <c r="U11" i="5"/>
  <c r="U12" i="5" s="1"/>
  <c r="F11" i="5"/>
  <c r="F12" i="5" s="1"/>
  <c r="AA11" i="5"/>
  <c r="AA12" i="5" s="1"/>
  <c r="L11" i="5"/>
  <c r="L13" i="5" s="1"/>
  <c r="R11" i="5"/>
  <c r="R12" i="5" s="1"/>
  <c r="I11" i="5"/>
  <c r="I13" i="5" s="1"/>
  <c r="O11" i="5"/>
  <c r="O12" i="5" s="1"/>
  <c r="C11" i="5"/>
  <c r="C12" i="5" s="1"/>
  <c r="AD11" i="5"/>
  <c r="AD13" i="5" s="1"/>
  <c r="O82" i="2"/>
  <c r="O76" i="2"/>
  <c r="O85" i="2"/>
  <c r="O77" i="2"/>
  <c r="O87" i="2"/>
  <c r="O81" i="2"/>
  <c r="O75" i="2"/>
  <c r="O84" i="2"/>
  <c r="O83" i="2"/>
  <c r="O78" i="2"/>
  <c r="O80" i="2"/>
  <c r="O79" i="2"/>
  <c r="BY71" i="1"/>
  <c r="F13" i="14" s="1"/>
  <c r="BY70" i="1"/>
  <c r="F12" i="14" s="1"/>
  <c r="BY74" i="1"/>
  <c r="BY78" i="1" s="1"/>
  <c r="BY69" i="1"/>
  <c r="BY65" i="1"/>
  <c r="F7" i="14" s="1"/>
  <c r="BY68" i="1"/>
  <c r="F10" i="14" s="1"/>
  <c r="BY75" i="1"/>
  <c r="F16" i="14" s="1"/>
  <c r="BY64" i="1"/>
  <c r="F6" i="14" s="1"/>
  <c r="BY73" i="1"/>
  <c r="BY66" i="1"/>
  <c r="F8" i="14" s="1"/>
  <c r="BY72" i="1"/>
  <c r="F14" i="14" s="1"/>
  <c r="BY67" i="1"/>
  <c r="AW55" i="1"/>
  <c r="O38" i="5"/>
  <c r="AU55" i="1"/>
  <c r="O41" i="5"/>
  <c r="O79" i="5"/>
  <c r="O47" i="5"/>
  <c r="O74" i="5"/>
  <c r="L32" i="2"/>
  <c r="O85" i="5"/>
  <c r="O76" i="5"/>
  <c r="K88" i="2"/>
  <c r="K61" i="2"/>
  <c r="K64" i="2"/>
  <c r="K48" i="2"/>
  <c r="L46" i="2"/>
  <c r="K70" i="2"/>
  <c r="K47" i="2"/>
  <c r="K49" i="2"/>
  <c r="K59" i="2"/>
  <c r="K68" i="2"/>
  <c r="K65" i="2"/>
  <c r="K62" i="2"/>
  <c r="K51" i="2"/>
  <c r="K55" i="2"/>
  <c r="E74" i="2"/>
  <c r="K57" i="2"/>
  <c r="K58" i="2"/>
  <c r="O58" i="2" s="1"/>
  <c r="K52" i="2"/>
  <c r="K63" i="2"/>
  <c r="J60" i="2"/>
  <c r="G60" i="2"/>
  <c r="K54" i="2"/>
  <c r="J74" i="2"/>
  <c r="K56" i="2"/>
  <c r="E60" i="2"/>
  <c r="I74" i="2"/>
  <c r="K71" i="2"/>
  <c r="K73" i="2"/>
  <c r="I60" i="2"/>
  <c r="F74" i="2"/>
  <c r="K53" i="2"/>
  <c r="K72" i="2"/>
  <c r="O72" i="2" s="1"/>
  <c r="F60" i="2"/>
  <c r="H60" i="2"/>
  <c r="K69" i="2"/>
  <c r="K67" i="2"/>
  <c r="G74" i="2"/>
  <c r="K66" i="2"/>
  <c r="H74" i="2"/>
  <c r="K50" i="2"/>
  <c r="T55" i="1" l="1"/>
  <c r="L170" i="20"/>
  <c r="H9" i="14"/>
  <c r="H6" i="14"/>
  <c r="H5" i="14"/>
  <c r="F29" i="14"/>
  <c r="O119" i="20"/>
  <c r="O3" i="20"/>
  <c r="H8" i="14"/>
  <c r="H11" i="14"/>
  <c r="H12" i="14"/>
  <c r="H14" i="14"/>
  <c r="H15" i="14"/>
  <c r="H10" i="14"/>
  <c r="H16" i="14"/>
  <c r="H7" i="14"/>
  <c r="AG11" i="5"/>
  <c r="AG12" i="5" s="1"/>
  <c r="AF11" i="5"/>
  <c r="AF12" i="5" s="1"/>
  <c r="AI9" i="5" a="1"/>
  <c r="AI9" i="5" s="1"/>
  <c r="AI10" i="5" a="1"/>
  <c r="AI10" i="5" s="1"/>
  <c r="AJ9" i="5" a="1"/>
  <c r="AJ9" i="5" s="1"/>
  <c r="AJ10" i="5" a="1"/>
  <c r="AJ10" i="5" s="1"/>
  <c r="AC13" i="5"/>
  <c r="O129" i="20"/>
  <c r="K142" i="20"/>
  <c r="O156" i="20"/>
  <c r="O115" i="20"/>
  <c r="K128" i="20"/>
  <c r="B13" i="5"/>
  <c r="H13" i="5"/>
  <c r="Z13" i="5"/>
  <c r="U13" i="5"/>
  <c r="E12" i="5"/>
  <c r="Q13" i="5"/>
  <c r="N12" i="5"/>
  <c r="T13" i="5"/>
  <c r="F26" i="14"/>
  <c r="K13" i="5"/>
  <c r="X13" i="5"/>
  <c r="W12" i="5"/>
  <c r="F13" i="5"/>
  <c r="F25" i="14"/>
  <c r="C32" i="14"/>
  <c r="F27" i="14"/>
  <c r="F23" i="14"/>
  <c r="C22" i="14"/>
  <c r="E32" i="14"/>
  <c r="B27" i="14"/>
  <c r="B26" i="14"/>
  <c r="E22" i="14"/>
  <c r="B23" i="14"/>
  <c r="E27" i="14"/>
  <c r="F28" i="14"/>
  <c r="F22" i="14"/>
  <c r="C28" i="14"/>
  <c r="C26" i="14"/>
  <c r="E31" i="14"/>
  <c r="B21" i="14"/>
  <c r="C27" i="14"/>
  <c r="C25" i="14"/>
  <c r="C31" i="14"/>
  <c r="B28" i="14"/>
  <c r="B22" i="14"/>
  <c r="E28" i="14"/>
  <c r="E24" i="14"/>
  <c r="B24" i="14"/>
  <c r="E25" i="14"/>
  <c r="E26" i="14"/>
  <c r="B31" i="14"/>
  <c r="F32" i="14"/>
  <c r="C21" i="14"/>
  <c r="E23" i="14"/>
  <c r="C23" i="14"/>
  <c r="AA13" i="5"/>
  <c r="AP11" i="5"/>
  <c r="AP12" i="5" s="1"/>
  <c r="O13" i="5"/>
  <c r="C13" i="5"/>
  <c r="AD12" i="5"/>
  <c r="L12" i="5"/>
  <c r="R13" i="5"/>
  <c r="I12" i="5"/>
  <c r="O66" i="2"/>
  <c r="O54" i="2"/>
  <c r="O70" i="2"/>
  <c r="O65" i="2"/>
  <c r="O47" i="2"/>
  <c r="O69" i="2"/>
  <c r="O63" i="2"/>
  <c r="O64" i="2"/>
  <c r="O59" i="2"/>
  <c r="O50" i="2"/>
  <c r="O56" i="2"/>
  <c r="O49" i="2"/>
  <c r="O67" i="2"/>
  <c r="O48" i="2"/>
  <c r="O52" i="2"/>
  <c r="O61" i="2"/>
  <c r="O73" i="2"/>
  <c r="O71" i="2"/>
  <c r="O68" i="2"/>
  <c r="O57" i="2"/>
  <c r="O53" i="2"/>
  <c r="O62" i="2"/>
  <c r="O55" i="2"/>
  <c r="O51" i="2"/>
  <c r="F31" i="14"/>
  <c r="B25" i="14"/>
  <c r="B32" i="14"/>
  <c r="F24" i="14"/>
  <c r="C24" i="14"/>
  <c r="L102" i="2"/>
  <c r="O88" i="2"/>
  <c r="F15" i="14"/>
  <c r="F21" i="14" s="1"/>
  <c r="BY76" i="1"/>
  <c r="BY77" i="1"/>
  <c r="K60" i="2"/>
  <c r="K74" i="2"/>
  <c r="L128" i="20" l="1"/>
  <c r="K71" i="20"/>
  <c r="O71" i="20" s="1"/>
  <c r="L142" i="20"/>
  <c r="L156" i="20"/>
  <c r="AF13" i="5"/>
  <c r="H17" i="14"/>
  <c r="AG13" i="5"/>
  <c r="AI11" i="5"/>
  <c r="AL10" i="5"/>
  <c r="AM10" i="5"/>
  <c r="AL9" i="5"/>
  <c r="AM9" i="5"/>
  <c r="AJ11" i="5"/>
  <c r="O128" i="20"/>
  <c r="O142" i="20"/>
  <c r="K3" i="2"/>
  <c r="O3" i="2" s="1"/>
  <c r="AP13" i="5"/>
  <c r="E33" i="14"/>
  <c r="F33" i="14"/>
  <c r="I23" i="14" s="1"/>
  <c r="F17" i="14"/>
  <c r="I7" i="14" s="1"/>
  <c r="L88" i="2"/>
  <c r="O74" i="2"/>
  <c r="L60" i="2"/>
  <c r="O60" i="2"/>
  <c r="L74" i="2"/>
  <c r="H22" i="14" l="1"/>
  <c r="H21" i="14"/>
  <c r="AI12" i="5"/>
  <c r="AI13" i="5"/>
  <c r="AJ13" i="5"/>
  <c r="AJ12" i="5"/>
  <c r="AM11" i="5"/>
  <c r="AM13" i="5" s="1"/>
  <c r="AL11" i="5"/>
  <c r="AL13" i="5" s="1"/>
  <c r="H25" i="14"/>
  <c r="H23" i="14"/>
  <c r="H29" i="14"/>
  <c r="H30" i="14"/>
  <c r="H31" i="14"/>
  <c r="H27" i="14"/>
  <c r="H26" i="14"/>
  <c r="E34" i="14"/>
  <c r="H28" i="14"/>
  <c r="H24" i="14"/>
  <c r="H32" i="14"/>
  <c r="I30" i="14"/>
  <c r="I27" i="14"/>
  <c r="I31" i="14"/>
  <c r="I32" i="14"/>
  <c r="I25" i="14"/>
  <c r="I26" i="14"/>
  <c r="I28" i="14"/>
  <c r="I24" i="14"/>
  <c r="I21" i="14"/>
  <c r="I29" i="14"/>
  <c r="I22" i="14"/>
  <c r="I6" i="14"/>
  <c r="I5" i="14"/>
  <c r="I14" i="14"/>
  <c r="I12" i="14"/>
  <c r="I11" i="14"/>
  <c r="I15" i="14"/>
  <c r="I16" i="14"/>
  <c r="I13" i="14"/>
  <c r="I8" i="14"/>
  <c r="I10" i="14"/>
  <c r="I9" i="14"/>
  <c r="F34" i="14"/>
  <c r="AM12" i="5" l="1"/>
  <c r="AL12" i="5"/>
  <c r="H33" i="14"/>
  <c r="I33" i="14"/>
  <c r="I17" i="14"/>
  <c r="D18" i="6"/>
  <c r="AO11" i="5" l="1"/>
  <c r="AO12" i="5" s="1"/>
  <c r="AO13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Tâm, Lưu Thị Minh</author>
  </authors>
  <commentList>
    <comment ref="G4" authorId="0" shapeId="0" xr:uid="{5638E663-F96C-4196-ADF6-EC1E2349DD9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Thưởng + thưởng danh hiệu</t>
        </r>
      </text>
    </comment>
    <comment ref="H4" authorId="0" shapeId="0" xr:uid="{CE0EF328-4FC5-434F-A0B6-10C9BB2544C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Tiền ăn giữa ca + phụ cấp ca đêm</t>
        </r>
      </text>
    </comment>
    <comment ref="K4" authorId="1" shapeId="0" xr:uid="{ADBE317D-E039-4C6C-A9A4-72436EC61AB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Bằng tổng CP nhân sự tháng</t>
        </r>
      </text>
    </comment>
    <comment ref="C41" authorId="0" shapeId="0" xr:uid="{557BCAC6-F099-4EAB-A744-46124175E97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55" authorId="0" shapeId="0" xr:uid="{C588F665-176B-4D68-A38F-8FD3ADA4E95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69" authorId="0" shapeId="0" xr:uid="{A8B4B9BD-1590-44E6-9CCA-A7C4415A13C8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83" authorId="0" shapeId="0" xr:uid="{BE99C397-1C86-4785-90E8-F40ACA892D5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97" authorId="0" shapeId="0" xr:uid="{83F21A32-463E-4E66-BAF7-896EB76AB00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111" authorId="0" shapeId="0" xr:uid="{FC00B542-04A2-4A87-9892-2A108A3AD9F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125" authorId="0" shapeId="0" xr:uid="{41E63E0E-4D08-4155-A3EB-442B00C33F6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139" authorId="0" shapeId="0" xr:uid="{765C986C-E94E-44CE-A616-A2AE92E0FB8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153" authorId="0" shapeId="0" xr:uid="{E9A8C5AC-E6EC-4889-98BE-153F23CCC61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167" authorId="0" shapeId="0" xr:uid="{FD62852A-4A20-4659-9F25-9A474C1DDF5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Tâm, Lưu Thị Minh</author>
  </authors>
  <commentList>
    <comment ref="G4" authorId="0" shapeId="0" xr:uid="{55C1F4C6-0FDB-4858-848A-40F4B68AC12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Thưởng + thưởng danh hiệu</t>
        </r>
      </text>
    </comment>
    <comment ref="H4" authorId="0" shapeId="0" xr:uid="{A9DD9587-FF31-4AEC-B03C-9C117A471FD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Tiền ăn giữa ca + phụ cấp ca đêm</t>
        </r>
      </text>
    </comment>
    <comment ref="K4" authorId="1" shapeId="0" xr:uid="{3380C715-E757-4D06-BC50-72B2F8FD9D0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Bằng tổng CP nhân sự tháng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Tâm, Lưu Thị Minh</author>
  </authors>
  <commentList>
    <comment ref="G4" authorId="0" shapeId="0" xr:uid="{BD62120A-C53A-4CAE-AC12-E2C15219E19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Thưởng + thưởng danh hiệu</t>
        </r>
      </text>
    </comment>
    <comment ref="H4" authorId="0" shapeId="0" xr:uid="{FB87A8FE-9E8B-44AF-B52A-75537709DA6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Tiền ăn giữa ca + phụ cấp ca đêm</t>
        </r>
      </text>
    </comment>
    <comment ref="K4" authorId="1" shapeId="0" xr:uid="{7F55B50E-93BB-43EC-A60D-3FE44D786D2B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Bằng tổng CP nhân sự tháng</t>
        </r>
      </text>
    </comment>
    <comment ref="G72" authorId="0" shapeId="0" xr:uid="{ECC7AA9C-BC16-4C95-8BDE-A04B89194A3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Thưởng + thưởng danh hiệu</t>
        </r>
      </text>
    </comment>
    <comment ref="H72" authorId="0" shapeId="0" xr:uid="{DA11F4E8-C447-45FB-BF34-BBFC63AC81B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Tiền ăn giữa ca + phụ cấp ca đêm</t>
        </r>
      </text>
    </comment>
    <comment ref="K72" authorId="1" shapeId="0" xr:uid="{A6204FE4-82B1-40D9-8288-C755F7D6287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Bằng tổng CP nhân sự tháng</t>
        </r>
      </text>
    </comment>
    <comment ref="C109" authorId="0" shapeId="0" xr:uid="{BD1A041B-1ECB-4DAD-87BB-30A8E213953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123" authorId="0" shapeId="0" xr:uid="{116BE76E-F1C9-4129-827A-FC74A7EF851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137" authorId="0" shapeId="0" xr:uid="{049A5BAB-4F5C-4DFF-BF16-E9FF30CBDCF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151" authorId="0" shapeId="0" xr:uid="{925DAC84-69D6-46DE-9200-1F6FFB97DAF8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165" authorId="0" shapeId="0" xr:uid="{71F0BF4D-4A41-471E-B6BC-A6398633C64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179" authorId="0" shapeId="0" xr:uid="{63F6B9C4-975E-47C5-94E5-725DB9AE8B58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193" authorId="0" shapeId="0" xr:uid="{235FD23B-8028-4D62-8C46-87338E205B1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207" authorId="0" shapeId="0" xr:uid="{332C3975-D688-41DD-BE1E-08C0B8EF96B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221" authorId="0" shapeId="0" xr:uid="{A23A7285-82FB-4017-86BE-A374308249C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  <comment ref="C235" authorId="0" shapeId="0" xr:uid="{897AC3EF-17FE-4E7F-B8B3-D5E7FE5AAD8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HCNS + 5S + An toàn+ QTHT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  <author>Diễm, Nguyễn Thị Thanh</author>
  </authors>
  <commentList>
    <comment ref="D35" authorId="0" shapeId="0" xr:uid="{DA744580-6621-4590-88E1-90D9F0FF249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Hành Chánh Xưởng
Kho
Tổ Lái Xe Nâng</t>
        </r>
      </text>
    </comment>
    <comment ref="D40" authorId="0" shapeId="0" xr:uid="{3E29B53B-F71C-4802-86D3-CB41690311CE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Vận Hành Máy</t>
        </r>
      </text>
    </comment>
    <comment ref="C54" authorId="0" shapeId="0" xr:uid="{37640CF9-257C-4B23-80F6-3384B22EFC6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Thành phẩm</t>
        </r>
      </text>
    </comment>
    <comment ref="C56" authorId="1" shapeId="0" xr:uid="{1B4823AA-0D74-440C-B12A-E75DC1F778F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DT trừ cước </t>
        </r>
      </text>
    </comment>
    <comment ref="D73" authorId="0" shapeId="0" xr:uid="{74329580-DBDC-4CB1-B875-45EF301E7D86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Hành Chánh Xưởng
Kho
Tổ Lái Xe Nâng</t>
        </r>
      </text>
    </comment>
    <comment ref="D74" authorId="0" shapeId="0" xr:uid="{70B67309-C544-4A81-9BA4-118B29D2F826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Vận Hành Máy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B17" authorId="0" shapeId="0" xr:uid="{14A1FF20-F400-40F6-86DE-1309AB0663E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thêm 1.793.750 hạch toán 2025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<sst xmlns="http://schemas.openxmlformats.org/spreadsheetml/2006/main" count="82745" uniqueCount="2370">
  <si>
    <t>Ban Giám Đốc</t>
  </si>
  <si>
    <t>Kinh doanh</t>
  </si>
  <si>
    <t>Mua Hàng &amp; XNK</t>
  </si>
  <si>
    <t>Kế Toán</t>
  </si>
  <si>
    <t>Nghiên Cứu &amp; Phát Triển</t>
  </si>
  <si>
    <t>Văn Phòng Giám Đốc</t>
  </si>
  <si>
    <t>Kiểm Soát Chất Lượng</t>
  </si>
  <si>
    <t>Kỹ Thuật</t>
  </si>
  <si>
    <t>Xưởng Sản Xuất</t>
  </si>
  <si>
    <t>Hành Chánh Nhân Sự</t>
  </si>
  <si>
    <t>Cung Ứng</t>
  </si>
  <si>
    <t>Bộ phận</t>
  </si>
  <si>
    <t>Gián tiếp</t>
  </si>
  <si>
    <t>Trực tiếp</t>
  </si>
  <si>
    <t>STT</t>
  </si>
  <si>
    <t>Gián tiếp/ trực tiếp</t>
  </si>
  <si>
    <t>ĐỊNH BIÊN TT 2025</t>
  </si>
  <si>
    <t>CỘNG</t>
  </si>
  <si>
    <t>ĐỊNH BIÊN KH 2025</t>
  </si>
  <si>
    <t>ĐỊNH BIÊN TT 2024</t>
  </si>
  <si>
    <t>ĐỊNH BIÊN</t>
  </si>
  <si>
    <t xml:space="preserve">1. </t>
  </si>
  <si>
    <t>Lương Chính +T13</t>
  </si>
  <si>
    <t>Lương Ngoài giờ</t>
  </si>
  <si>
    <t>Thưởng</t>
  </si>
  <si>
    <t>Phụ Cấp</t>
  </si>
  <si>
    <t>Tiền PC chức vụ</t>
  </si>
  <si>
    <t>Tiền PC trách nhiệm</t>
  </si>
  <si>
    <t>Tiền Phụ cấp công việc</t>
  </si>
  <si>
    <t>Tiền phụ cấp thu hút</t>
  </si>
  <si>
    <t>Lương chức vụ</t>
  </si>
  <si>
    <t>Lương trách nhiệm</t>
  </si>
  <si>
    <t>Hiệu quả công việc</t>
  </si>
  <si>
    <t>Lương KPI</t>
  </si>
  <si>
    <t>Tổng Mức Lương</t>
  </si>
  <si>
    <t>Đạt chuyên cần (Đạt: 1, Không đạt: 0)</t>
  </si>
  <si>
    <t>Loại</t>
  </si>
  <si>
    <t>Chế độ</t>
  </si>
  <si>
    <t>Ngày công</t>
  </si>
  <si>
    <t>Công chủ nhật</t>
  </si>
  <si>
    <t>Công Lễ</t>
  </si>
  <si>
    <t>Số ngày nghỉ không lương</t>
  </si>
  <si>
    <t>Lương tháng</t>
  </si>
  <si>
    <t>Số ngày nghỉ lễ</t>
  </si>
  <si>
    <t>Lương Lễ</t>
  </si>
  <si>
    <t>Phép năm</t>
  </si>
  <si>
    <t>Lương phép</t>
  </si>
  <si>
    <t>Phép năm còn lại</t>
  </si>
  <si>
    <t>Tiền phép năm còn lại</t>
  </si>
  <si>
    <t>Số công bù</t>
  </si>
  <si>
    <t>Số tiền bù công</t>
  </si>
  <si>
    <t>Số giờ làm thêm ngày thường</t>
  </si>
  <si>
    <t>Tiền thêm giờ ngày thường</t>
  </si>
  <si>
    <t>Số giờ làm thêm đêm thường</t>
  </si>
  <si>
    <t>Tiền thêm giờ đêm thường</t>
  </si>
  <si>
    <t>Số giờ làm thêm ngày nghỉ</t>
  </si>
  <si>
    <t>Tiền thêm giờ ngày nghỉ</t>
  </si>
  <si>
    <t>Số giờ làm thêm đêm nghỉ</t>
  </si>
  <si>
    <t>Tiền thêm giờ đêm nghỉ</t>
  </si>
  <si>
    <t>Số giờ làm thêm ngày lễ</t>
  </si>
  <si>
    <t>Tiền làm thêm ngày lễ</t>
  </si>
  <si>
    <t>Khoán trực theo tháng</t>
  </si>
  <si>
    <t>Tổng tiền thêm giờ</t>
  </si>
  <si>
    <t>Ca đêm ngày thường</t>
  </si>
  <si>
    <t>Ca đêm ngày nghỉ + lễ</t>
  </si>
  <si>
    <t>Tiền ca đêm</t>
  </si>
  <si>
    <t>Thưởng năng suất</t>
  </si>
  <si>
    <t>Thưởng chuyên cần</t>
  </si>
  <si>
    <t>Phụ cấp đội xe</t>
  </si>
  <si>
    <t>Thưởng năng suất + Chuyên cần</t>
  </si>
  <si>
    <t>Phụ cấp khác</t>
  </si>
  <si>
    <t>Hoàn thuế</t>
  </si>
  <si>
    <t>Ngày phép còn lại</t>
  </si>
  <si>
    <t>Lương phép (thực trả)-khi nghĩ việc</t>
  </si>
  <si>
    <t>Trợ Cấp Nghỉ Việc</t>
  </si>
  <si>
    <t>Tiền truy lĩnh</t>
  </si>
  <si>
    <t>Thưởng tháng lương 13</t>
  </si>
  <si>
    <t>Thưởng danh hiệu</t>
  </si>
  <si>
    <t>Tổng lương</t>
  </si>
  <si>
    <t>Tạm ứng Lương</t>
  </si>
  <si>
    <t>Tổng trừ</t>
  </si>
  <si>
    <t>Đoàn phí công đoàn</t>
  </si>
  <si>
    <t>BHXH BHYT BHTN</t>
  </si>
  <si>
    <t>Thuế thu nhập</t>
  </si>
  <si>
    <t>Còn lãnh</t>
  </si>
  <si>
    <t>Bồi dưỡng ngoài giờ miễn thuế</t>
  </si>
  <si>
    <t>Giảm trừ phụ thuộc gia cảnh</t>
  </si>
  <si>
    <t>Thu nhập để tính thuế</t>
  </si>
  <si>
    <t>Thu nhập chịu thuế</t>
  </si>
  <si>
    <t>Mức lương đóng bảo hiểm</t>
  </si>
  <si>
    <t>Lương ngày thường</t>
  </si>
  <si>
    <t>Lương ngày nghỉ 100%</t>
  </si>
  <si>
    <t>Lương ngày nghỉ không tính thuế</t>
  </si>
  <si>
    <t>lương ngày lễ 100%</t>
  </si>
  <si>
    <t>Lương ngày lễ không tính thuế</t>
  </si>
  <si>
    <t>Ngoài giờ ngày thường 100%</t>
  </si>
  <si>
    <t>Ngoài giờ ngày thường không tính thuế</t>
  </si>
  <si>
    <t>Ngoài giờ ngày nghỉ 100%</t>
  </si>
  <si>
    <t>Ngoài giờ ngày nghỉ không tính thuế</t>
  </si>
  <si>
    <t>Ngoài giờ ngày lễ 100%</t>
  </si>
  <si>
    <t>Ngoài giờ ngày lễ không tính thuế</t>
  </si>
  <si>
    <t>Kiểm xuất hàng</t>
  </si>
  <si>
    <t>PC cố định</t>
  </si>
  <si>
    <t>Hội đồng thành viên</t>
  </si>
  <si>
    <t>Kiêm nhiệm</t>
  </si>
  <si>
    <t>Chống ngập</t>
  </si>
  <si>
    <t>PCCC</t>
  </si>
  <si>
    <t>Điện thoại</t>
  </si>
  <si>
    <t>PC tình nguyện di chuyển</t>
  </si>
  <si>
    <t>Khoán đặc thù</t>
  </si>
  <si>
    <t>Máy hàn</t>
  </si>
  <si>
    <t>Nhà trọ</t>
  </si>
  <si>
    <t>Bồi dưỡng xe nâng</t>
  </si>
  <si>
    <t>Phụ cấp thu hút khu vực</t>
  </si>
  <si>
    <t>Phụ cấp đi lại theo công</t>
  </si>
  <si>
    <t>Suất ăn theo công</t>
  </si>
  <si>
    <t>Gởi xe theo công</t>
  </si>
  <si>
    <t>Giao tế theo công</t>
  </si>
  <si>
    <t>Công tác phí theo công</t>
  </si>
  <si>
    <t>Phụ cấp môi trường</t>
  </si>
  <si>
    <t>Phụ cấp ngoại ngữ</t>
  </si>
  <si>
    <t>Phụ cấp trách nhiệm xe</t>
  </si>
  <si>
    <t>Phụ cấp chất lượng</t>
  </si>
  <si>
    <t>Phụ Cấp Vị Trí</t>
  </si>
  <si>
    <t>Phụ cấp tiềm năng</t>
  </si>
  <si>
    <t>Phụ cấp xe</t>
  </si>
  <si>
    <t>Hỗ trợ gửi trẻ, mẫu giáo</t>
  </si>
  <si>
    <t>Hành kinh</t>
  </si>
  <si>
    <t>Tay nghề</t>
  </si>
  <si>
    <t>Khoán trực theo ngày</t>
  </si>
  <si>
    <t>Thưởng chuyến</t>
  </si>
  <si>
    <t>Bù lương</t>
  </si>
  <si>
    <t>Đóng container</t>
  </si>
  <si>
    <t>Kiểm kê</t>
  </si>
  <si>
    <t>Đào tạo nội bộ</t>
  </si>
  <si>
    <t>Kiểm tra an toàn</t>
  </si>
  <si>
    <t>Tiền ăn</t>
  </si>
  <si>
    <t>Phụ cấp đi lại</t>
  </si>
  <si>
    <t>Lương khác</t>
  </si>
  <si>
    <t>Phụ cấp nội trú</t>
  </si>
  <si>
    <t>Trợ cấp nhà trọ nội trú</t>
  </si>
  <si>
    <t>Phụ cấp tính LVTN</t>
  </si>
  <si>
    <t>Thưởng giới thiệu</t>
  </si>
  <si>
    <t>Thưởng hội chợ</t>
  </si>
  <si>
    <t>Thưởng 5S</t>
  </si>
  <si>
    <t>Thưởng định mức</t>
  </si>
  <si>
    <t>Thưởng kinh doanh</t>
  </si>
  <si>
    <t>Thưởng lễ</t>
  </si>
  <si>
    <t>Thưởng khác</t>
  </si>
  <si>
    <t>Thưởng dự án</t>
  </si>
  <si>
    <t>Thưởng kỷ niệm chương</t>
  </si>
  <si>
    <t>Hoàn thưởng tháng 13</t>
  </si>
  <si>
    <t>Hoàn thưởng danh hiệu</t>
  </si>
  <si>
    <t>Hoàn trả</t>
  </si>
  <si>
    <t>Bồi thường vật chất</t>
  </si>
  <si>
    <t>Truy thu thuế TNCN</t>
  </si>
  <si>
    <t>Trừ khác</t>
  </si>
  <si>
    <t>Hoàn tiền đồng phục</t>
  </si>
  <si>
    <t>Trừ vượt định mức xăng dầu</t>
  </si>
  <si>
    <t>Trừ vượt định mức điện thoại</t>
  </si>
  <si>
    <t>Hoàn thưởng tiền mặt</t>
  </si>
  <si>
    <t>Trừ thưởng Bán Hàng đã chi</t>
  </si>
  <si>
    <t>Truy đóng BHXH</t>
  </si>
  <si>
    <t>Công ngày nghỉ quy đổi từ ngài giờ</t>
  </si>
  <si>
    <t>Công ngày lễ quy đổi từ ngài giờ</t>
  </si>
  <si>
    <t>Bảo hiểm công ty chịu</t>
  </si>
  <si>
    <t>Trích tháng 13</t>
  </si>
  <si>
    <t>Trích thưởng danh hiệu</t>
  </si>
  <si>
    <t>Trich phép năm còn lại</t>
  </si>
  <si>
    <t>hvt</t>
  </si>
  <si>
    <t>BHXH, BHYT, KPCĐ</t>
  </si>
  <si>
    <t>Cộng</t>
  </si>
  <si>
    <t>THÁNG</t>
  </si>
  <si>
    <t>CHI PHÍ NHÂN SỰ 2025</t>
  </si>
  <si>
    <t>Sản lượng sản xuất (tấn)</t>
  </si>
  <si>
    <t>Năng suất : Tấn/Người/tháng</t>
  </si>
  <si>
    <t>Công ty Cổ phần Nhựa Tái Chế Duy Tân</t>
  </si>
  <si>
    <t>TKKT</t>
  </si>
  <si>
    <t>Đơn vị</t>
  </si>
  <si>
    <t>Tổ Cung ứng</t>
  </si>
  <si>
    <t>Oanh - Hoàng</t>
  </si>
  <si>
    <t>Tổ Thị trường</t>
  </si>
  <si>
    <t>Tân</t>
  </si>
  <si>
    <t>Bảo vệ</t>
  </si>
  <si>
    <t>Hành chính</t>
  </si>
  <si>
    <t>Nhân sự</t>
  </si>
  <si>
    <t>Tổ Tạp Vụ</t>
  </si>
  <si>
    <t>Kế Toán Kho</t>
  </si>
  <si>
    <t>Tổ Kế Toán Quản Trị</t>
  </si>
  <si>
    <t>Tổ Kế Toán Tài Chính</t>
  </si>
  <si>
    <t>Tổ chất lượng HDPE</t>
  </si>
  <si>
    <t>Tổ chất lượng PET</t>
  </si>
  <si>
    <t>Tổ Chất Lượng PP</t>
  </si>
  <si>
    <t>Bảo trì</t>
  </si>
  <si>
    <t>Tổ Điện</t>
  </si>
  <si>
    <t>Tổ Nước</t>
  </si>
  <si>
    <t>Tổ Tự Động Hóa</t>
  </si>
  <si>
    <t>Tổ Vận Hành</t>
  </si>
  <si>
    <t>Tổ Văn Phòng Kỹ Thuật</t>
  </si>
  <si>
    <t>Tổ 5S và An toàn</t>
  </si>
  <si>
    <t>Tổ Quản Trị Hệ Thống</t>
  </si>
  <si>
    <t>Tổ Trợ Lý</t>
  </si>
  <si>
    <t>Hành Chánh Xưởng HDPE</t>
  </si>
  <si>
    <t>Hành Chánh Xưởng PET</t>
  </si>
  <si>
    <t>Lái Xe Nâng HDPE</t>
  </si>
  <si>
    <t>Lái Xe Nâng PET</t>
  </si>
  <si>
    <t>Tổ Kế Hoạch</t>
  </si>
  <si>
    <t>Tổ Kho</t>
  </si>
  <si>
    <t>Vận Hành Máy HDPE</t>
  </si>
  <si>
    <t>Vận Hành Máy PET</t>
  </si>
  <si>
    <t>Vận Hành Máy PP</t>
  </si>
  <si>
    <t>Doanh thu (SP chính) (Tr.đ)</t>
  </si>
  <si>
    <t>Doanh thu/Người</t>
  </si>
  <si>
    <t>TT 2025</t>
  </si>
  <si>
    <t>Chỉ tiêu</t>
  </si>
  <si>
    <t>KH2025</t>
  </si>
  <si>
    <t>TT2024</t>
  </si>
  <si>
    <t>BQ 2025</t>
  </si>
  <si>
    <t>BQ KH 2025</t>
  </si>
  <si>
    <t>BQ 2024</t>
  </si>
  <si>
    <t>Định biên</t>
  </si>
  <si>
    <t>Tư vấn dịch vụ</t>
  </si>
  <si>
    <t>Khen thưởng BD khác</t>
  </si>
  <si>
    <t>Tổng</t>
  </si>
  <si>
    <t>KH</t>
  </si>
  <si>
    <t>TT</t>
  </si>
  <si>
    <t xml:space="preserve"> </t>
  </si>
  <si>
    <t>ĐỊNH BIÊN NHÂN SỰ</t>
  </si>
  <si>
    <t>NĂNG SUẤT</t>
  </si>
  <si>
    <t>ĐVT: tấn/người/tháng</t>
  </si>
  <si>
    <t>BQ năm</t>
  </si>
  <si>
    <t>Định biên TT 2025</t>
  </si>
  <si>
    <t>SL TP sản xuất TT 2025</t>
  </si>
  <si>
    <t>Định biên TT 2024</t>
  </si>
  <si>
    <t>SL TP sản xuất TT 2024</t>
  </si>
  <si>
    <t>Tháng</t>
  </si>
  <si>
    <t>Công nhân</t>
  </si>
  <si>
    <t>CHI PHÍ NHÂN SỰ THUÊ NGOÀI</t>
  </si>
  <si>
    <t>Doanh thu TT 2025</t>
  </si>
  <si>
    <t>Doanh thu TT 2024</t>
  </si>
  <si>
    <t>DOANH THU / NGƯỜI (Dthu sản phẩm chính)</t>
  </si>
  <si>
    <t>TT 2024</t>
  </si>
  <si>
    <t>DANH MỤC</t>
  </si>
  <si>
    <t>Tên sheet</t>
  </si>
  <si>
    <t>Cập nhật</t>
  </si>
  <si>
    <t>Ghi chú</t>
  </si>
  <si>
    <t>Data&gt;&gt;</t>
  </si>
  <si>
    <t>Báo cáo &gt;&gt;</t>
  </si>
  <si>
    <t>01. CP Nhân sự</t>
  </si>
  <si>
    <t>02. ĐỊNH BIÊN</t>
  </si>
  <si>
    <t>Diễm</t>
  </si>
  <si>
    <t>03. Chart</t>
  </si>
  <si>
    <t>04. CP nhân sự thuê ngoài</t>
  </si>
  <si>
    <t>Tự động cập nhật</t>
  </si>
  <si>
    <t>00. DM</t>
  </si>
  <si>
    <t>BÁO CÁO NHÂN SỰ</t>
  </si>
  <si>
    <t>Posting Date</t>
  </si>
  <si>
    <t>Document Number</t>
  </si>
  <si>
    <t>Cost Element</t>
  </si>
  <si>
    <t>Cost element name</t>
  </si>
  <si>
    <t>Cost Center</t>
  </si>
  <si>
    <t>CO object name</t>
  </si>
  <si>
    <t>Name</t>
  </si>
  <si>
    <t>Document Header Text</t>
  </si>
  <si>
    <t>Period</t>
  </si>
  <si>
    <t>Fiscal Year</t>
  </si>
  <si>
    <t>Val/COArea Crcy</t>
  </si>
  <si>
    <t>Ref Document Number</t>
  </si>
  <si>
    <t>Reversal document</t>
  </si>
  <si>
    <t>User Name</t>
  </si>
  <si>
    <t>Material</t>
  </si>
  <si>
    <t>Material Description</t>
  </si>
  <si>
    <t>Total quantity</t>
  </si>
  <si>
    <t>1013535130</t>
  </si>
  <si>
    <t>6421002604</t>
  </si>
  <si>
    <t>CP lương chính-Gián</t>
  </si>
  <si>
    <t>1001101000</t>
  </si>
  <si>
    <t>Ban giám đốc</t>
  </si>
  <si>
    <t>CHI PHÍ LƯƠNG THÁNG 02.2025</t>
  </si>
  <si>
    <t>CP LƯƠNG T2.2025</t>
  </si>
  <si>
    <t>2</t>
  </si>
  <si>
    <t>2025</t>
  </si>
  <si>
    <t>5100001271</t>
  </si>
  <si>
    <t/>
  </si>
  <si>
    <t>CUC.NT</t>
  </si>
  <si>
    <t>6421002605</t>
  </si>
  <si>
    <t>CP Lương tháng 13, P</t>
  </si>
  <si>
    <t>1013535132</t>
  </si>
  <si>
    <t>TRÍCH LƯƠNG T13, PHÉP NĂM T02.2025</t>
  </si>
  <si>
    <t>5100001273</t>
  </si>
  <si>
    <t>6421002802</t>
  </si>
  <si>
    <t>Chi phí Khen thưởng</t>
  </si>
  <si>
    <t>6421002806</t>
  </si>
  <si>
    <t>TRÍCH DANH HIỆU T02.2025</t>
  </si>
  <si>
    <t>1013535131</t>
  </si>
  <si>
    <t>6421003401</t>
  </si>
  <si>
    <t>BHXH, BHYT, KPCĐ, BH</t>
  </si>
  <si>
    <t>BHXH,BHYT,KPCĐ,BHTN T2.25</t>
  </si>
  <si>
    <t>5100001272</t>
  </si>
  <si>
    <t>1013521257</t>
  </si>
  <si>
    <t>6421007202</t>
  </si>
  <si>
    <t>1001202000</t>
  </si>
  <si>
    <t>Hành chánh nhân sự</t>
  </si>
  <si>
    <t>Khen thưởng ý tưởng cải tiến T9+10.2024 - H.T.Nhâm</t>
  </si>
  <si>
    <t>CP khen thưởng ý tưởng</t>
  </si>
  <si>
    <t>5100000759</t>
  </si>
  <si>
    <t>NHI.NHN</t>
  </si>
  <si>
    <t>Khen thưởng ý tưởng cải tiến T9+10.2024 - M.H.Nhân</t>
  </si>
  <si>
    <t>Khen thưởng ý tưởng cải tiến T9+10.2024- L.M.Thanh</t>
  </si>
  <si>
    <t>Khen thưởng ý tưởng cải tiến T9+10.2024 - N.V.Tú</t>
  </si>
  <si>
    <t>Khen thưởng ý tưởng cải tiến T9+10.2024 - T.V.Hiền</t>
  </si>
  <si>
    <t>Khen thưởng ý tưởng cải tiến T9+10.2024-N.T.P.Hằng</t>
  </si>
  <si>
    <t>Khen thưởng ý tưởng cải tiến T9+10.2024-Ph.Phương</t>
  </si>
  <si>
    <t>Khen thưởng ý tưởng cải tiến T9+10.2024- N.Tấn Đạt</t>
  </si>
  <si>
    <t>Khen thưởng ý tưởng cải tiến T9+10.2024 - V.H.Nam</t>
  </si>
  <si>
    <t>Khen thưởng ý tưởng cải tiến T9+10.2024 - Mỹ Hồng</t>
  </si>
  <si>
    <t>Khen thưởng ý tưởng cải tiến T9+10.2024 - Đoan</t>
  </si>
  <si>
    <t>Khen thưởng ý tưởng cải tiến T9+10.2024- T.M.Hoàng</t>
  </si>
  <si>
    <t>Khen thưởng ý tưởng cải tiến T9+10.2024- Quỳnh Anh</t>
  </si>
  <si>
    <t>1013527538</t>
  </si>
  <si>
    <t>1001201000</t>
  </si>
  <si>
    <t>Văn phòng giám đốc</t>
  </si>
  <si>
    <t>TT Bồi dưỡng ATVSV T1/25-Lê Viết Thiện</t>
  </si>
  <si>
    <t>TT BD ATVSV T1/25</t>
  </si>
  <si>
    <t>5100000790</t>
  </si>
  <si>
    <t>ANH.NTK</t>
  </si>
  <si>
    <t>1013532606</t>
  </si>
  <si>
    <t>Phí dịch vụ bảo vệ tháng 02/2025</t>
  </si>
  <si>
    <t>Phí dịch vụ bảo vệ tháng</t>
  </si>
  <si>
    <t>3500000729</t>
  </si>
  <si>
    <t>1013532700</t>
  </si>
  <si>
    <t>Trích trước lương IT T02.2025 - Phạm Đình Lợi</t>
  </si>
  <si>
    <t>Trích trước lương IT T02</t>
  </si>
  <si>
    <t>5100000868</t>
  </si>
  <si>
    <t>1013532775</t>
  </si>
  <si>
    <t>6421003202</t>
  </si>
  <si>
    <t>Tiền ăn giữa ca-Gián</t>
  </si>
  <si>
    <t>chi phí suất ăn - Đắc Bảo An tháng 02/2025</t>
  </si>
  <si>
    <t>chi phí suất ăn - Đắc Bảo</t>
  </si>
  <si>
    <t>3500000749</t>
  </si>
  <si>
    <t>6421002603</t>
  </si>
  <si>
    <t>Phụ cấp ca đêm</t>
  </si>
  <si>
    <t>6421002703</t>
  </si>
  <si>
    <t>CP lương ngoài giờ-G</t>
  </si>
  <si>
    <t>1013536240</t>
  </si>
  <si>
    <t>Khen thưởng ý tưởng cải tiến T9+10.2024</t>
  </si>
  <si>
    <t>Khen thưởng ý tưởng</t>
  </si>
  <si>
    <t>5100001291</t>
  </si>
  <si>
    <t>DIEM.NTT</t>
  </si>
  <si>
    <t>1013536241</t>
  </si>
  <si>
    <t>Bồi dưỡng ATVSV T1/25</t>
  </si>
  <si>
    <t>5100001292</t>
  </si>
  <si>
    <t>1013547135</t>
  </si>
  <si>
    <t>CP cơm trưa hậu cần mua đồ, chuẩn bị tiệc tân niên</t>
  </si>
  <si>
    <t>CP tân niên + trang trí t</t>
  </si>
  <si>
    <t>3500001080</t>
  </si>
  <si>
    <t>1001203000</t>
  </si>
  <si>
    <t>Kế toán</t>
  </si>
  <si>
    <t>1001204000</t>
  </si>
  <si>
    <t>Tổ 5S &amp; an toàn</t>
  </si>
  <si>
    <t>1013535855</t>
  </si>
  <si>
    <t>Trích BD 5S T2.25-Lê Viết Thiện</t>
  </si>
  <si>
    <t>TRÍCH BD 5S T2</t>
  </si>
  <si>
    <t>5100001282</t>
  </si>
  <si>
    <t>1013517358</t>
  </si>
  <si>
    <t>6411002802</t>
  </si>
  <si>
    <t>1001400000</t>
  </si>
  <si>
    <t>Hoàn trích thưởng kinh doanh T12.24</t>
  </si>
  <si>
    <t>TRÍCH TRƯỚC THƯỞNG KD</t>
  </si>
  <si>
    <t>5100000173</t>
  </si>
  <si>
    <t>MY.DTT</t>
  </si>
  <si>
    <t>1013531159</t>
  </si>
  <si>
    <t>TRÍCH TRƯỚC THƯỞNG KINH DOANH T2.25</t>
  </si>
  <si>
    <t>TRÍCH THƯỞNG KD T2.25</t>
  </si>
  <si>
    <t>5100000819</t>
  </si>
  <si>
    <t>6271003202</t>
  </si>
  <si>
    <t>1001601300</t>
  </si>
  <si>
    <t>Kỹ thuật</t>
  </si>
  <si>
    <t>1001405000</t>
  </si>
  <si>
    <t>Phòng mua XNK</t>
  </si>
  <si>
    <t>1001404000</t>
  </si>
  <si>
    <t>Cung ứng</t>
  </si>
  <si>
    <t>1001205000</t>
  </si>
  <si>
    <t>6411002604</t>
  </si>
  <si>
    <t>6411002605</t>
  </si>
  <si>
    <t>6411003202</t>
  </si>
  <si>
    <t>6271002603</t>
  </si>
  <si>
    <t>6271002604</t>
  </si>
  <si>
    <t>6271002605</t>
  </si>
  <si>
    <t>6271002703</t>
  </si>
  <si>
    <t>CP lương ngoài giờ -</t>
  </si>
  <si>
    <t>6271002802</t>
  </si>
  <si>
    <t>6411003401</t>
  </si>
  <si>
    <t>6271003401</t>
  </si>
  <si>
    <t>6411002806</t>
  </si>
  <si>
    <t>6271002806</t>
  </si>
  <si>
    <t>1013535133</t>
  </si>
  <si>
    <t>Trừ vượt ĐM  dầu T2.25</t>
  </si>
  <si>
    <t>5100001274</t>
  </si>
  <si>
    <t>1013531766</t>
  </si>
  <si>
    <t>6220002601</t>
  </si>
  <si>
    <t>CP lương chính-Trực</t>
  </si>
  <si>
    <t>1001602000</t>
  </si>
  <si>
    <t>Xưởng sản xuất PET</t>
  </si>
  <si>
    <t>CP công nhân thuê ngoài T01.2025 (14 PET)</t>
  </si>
  <si>
    <t>CP công nhân thuê ngoài T</t>
  </si>
  <si>
    <t>3500000700</t>
  </si>
  <si>
    <t>CP công nhân thuê ngoài T01.2025 (9 PET)</t>
  </si>
  <si>
    <t>1013532601</t>
  </si>
  <si>
    <t>CP công nhân thuê ngoài T01.2025 (2 PET)</t>
  </si>
  <si>
    <t>3500000726</t>
  </si>
  <si>
    <t>1001601400</t>
  </si>
  <si>
    <t>Kiểm soát chất lượng</t>
  </si>
  <si>
    <t>1013533313</t>
  </si>
  <si>
    <t>6220003201</t>
  </si>
  <si>
    <t>Tiền ăn giữa ca-Trực</t>
  </si>
  <si>
    <t>CHUYỂN GL TIỀN CƠM</t>
  </si>
  <si>
    <t>5100000871</t>
  </si>
  <si>
    <t>1001601500</t>
  </si>
  <si>
    <t>Nghiên Cứu &amp; PT</t>
  </si>
  <si>
    <t>6220002602</t>
  </si>
  <si>
    <t>6220002603</t>
  </si>
  <si>
    <t>6220002701</t>
  </si>
  <si>
    <t>CP lương ngoài giờ</t>
  </si>
  <si>
    <t>6220002802</t>
  </si>
  <si>
    <t>6220003401</t>
  </si>
  <si>
    <t>6220002806</t>
  </si>
  <si>
    <t>1013535134</t>
  </si>
  <si>
    <t>Điều chỉnh tăng BHYT T2.2025</t>
  </si>
  <si>
    <t>5100001277</t>
  </si>
  <si>
    <t>1001606000</t>
  </si>
  <si>
    <t>Xưởng sản xuất HDPE</t>
  </si>
  <si>
    <t>CP công nhân thuê ngoài T01.2025 (12 HDPE)</t>
  </si>
  <si>
    <t>CP công nhân thuê ngoài T01.2025 (1 HDPE)</t>
  </si>
  <si>
    <t>1013522739</t>
  </si>
  <si>
    <t>6271007202</t>
  </si>
  <si>
    <t>1001607000</t>
  </si>
  <si>
    <t>Kho</t>
  </si>
  <si>
    <t>TT BD lên xuống Cont T12/24-Huy Vũ</t>
  </si>
  <si>
    <t>TT BD lên xuống Cont T12</t>
  </si>
  <si>
    <t>5100000769</t>
  </si>
  <si>
    <t>1001608000</t>
  </si>
  <si>
    <t>Xưởng sản xuất PP</t>
  </si>
  <si>
    <t>1001609000</t>
  </si>
  <si>
    <t>Tư Vấn Dịch Vụ</t>
  </si>
  <si>
    <t>1013546450</t>
  </si>
  <si>
    <t>8500000254</t>
  </si>
  <si>
    <t>X</t>
  </si>
  <si>
    <t>1013546454</t>
  </si>
  <si>
    <t>BD lên xuống Cont T12/24</t>
  </si>
  <si>
    <t>5100001729</t>
  </si>
  <si>
    <t>1013546458</t>
  </si>
  <si>
    <t>8500000255</t>
  </si>
  <si>
    <t>1013546460</t>
  </si>
  <si>
    <t>5100001731</t>
  </si>
  <si>
    <t>1013519176</t>
  </si>
  <si>
    <t>CHI PHÍ LƯƠNG T01.2025</t>
  </si>
  <si>
    <t>CP LƯƠNG T1.2025</t>
  </si>
  <si>
    <t>1</t>
  </si>
  <si>
    <t>5100000503</t>
  </si>
  <si>
    <t>1013519177</t>
  </si>
  <si>
    <t>TRÍCH LƯƠNG T13, PHÉP NĂM T1.2025</t>
  </si>
  <si>
    <t>5100000504</t>
  </si>
  <si>
    <t>TRÍCH DANH HIỆU T1.2025</t>
  </si>
  <si>
    <t>1013519180</t>
  </si>
  <si>
    <t>BHXH,BHYT,KPCĐ,BHTN T1.25</t>
  </si>
  <si>
    <t>5100000505</t>
  </si>
  <si>
    <t>1013519189</t>
  </si>
  <si>
    <t>5100000511</t>
  </si>
  <si>
    <t>1013519191</t>
  </si>
  <si>
    <t>8500000106</t>
  </si>
  <si>
    <t>1013515475</t>
  </si>
  <si>
    <t>TT CP BD Khen thưởng ATVSV T12/24-Lê Viết Thiện</t>
  </si>
  <si>
    <t>TT CP BD Khen thưởng ATVS</t>
  </si>
  <si>
    <t>5100000087</t>
  </si>
  <si>
    <t>1013516854</t>
  </si>
  <si>
    <t>CP khen thưởng cải tiến tiết kiệm 2024</t>
  </si>
  <si>
    <t>CP khen thưởng cải tiến</t>
  </si>
  <si>
    <t>5100000139</t>
  </si>
  <si>
    <t>1013516955</t>
  </si>
  <si>
    <t>Trích BD 5S T1.25</t>
  </si>
  <si>
    <t>Trích BD 5S T01.25</t>
  </si>
  <si>
    <t>5100000156</t>
  </si>
  <si>
    <t>1013517302</t>
  </si>
  <si>
    <t>Phí dịch vụ bảo vệ tháng 01/2025</t>
  </si>
  <si>
    <t>3500000364</t>
  </si>
  <si>
    <t>1013517303</t>
  </si>
  <si>
    <t>Trích trước lương IT T01.2025 - Phạm Đình Lợi</t>
  </si>
  <si>
    <t>Trích trước lương IT T01</t>
  </si>
  <si>
    <t>5100000159</t>
  </si>
  <si>
    <t>1013517351</t>
  </si>
  <si>
    <t>chi phí suất ăn - Đắc Bảo An tháng 01/2025</t>
  </si>
  <si>
    <t>3500000374</t>
  </si>
  <si>
    <t>1013517476</t>
  </si>
  <si>
    <t>8500000089</t>
  </si>
  <si>
    <t>HI PHÍ LƯƠNG T01.2025</t>
  </si>
  <si>
    <t>1013506611</t>
  </si>
  <si>
    <t>TT LƯƠNG CTV T12+13.2024 - TRẦN THANH HỒNG</t>
  </si>
  <si>
    <t>TT LƯƠNG CTV T12+13.24</t>
  </si>
  <si>
    <t>5100000008</t>
  </si>
  <si>
    <t>1013516054</t>
  </si>
  <si>
    <t>TRÍCH TRƯỚC THƯỞNG KINH DOANH T1.25</t>
  </si>
  <si>
    <t>5100000107</t>
  </si>
  <si>
    <t>1013516072</t>
  </si>
  <si>
    <t>6271002801</t>
  </si>
  <si>
    <t>Chi phí bồi dưỡng</t>
  </si>
  <si>
    <t>CP tham dự khóa đào tạo PCCC</t>
  </si>
  <si>
    <t>CP tham dự đào tạo PCCC</t>
  </si>
  <si>
    <t>3500000265</t>
  </si>
  <si>
    <t>HANG.NTP</t>
  </si>
  <si>
    <t>1013519183</t>
  </si>
  <si>
    <t>Trừ vượt ĐM  dầu T1.25</t>
  </si>
  <si>
    <t>5100000506</t>
  </si>
  <si>
    <t>1013519186</t>
  </si>
  <si>
    <t>Điều chỉnh tăng BHYT T1.2025</t>
  </si>
  <si>
    <t>5100000509</t>
  </si>
  <si>
    <t>1013513789</t>
  </si>
  <si>
    <t>CP công nhân thuê ngoài T12.2024 (28 PET)</t>
  </si>
  <si>
    <t>Trích bsung CP thuê ngoài</t>
  </si>
  <si>
    <t>5100000074</t>
  </si>
  <si>
    <t>1013518336</t>
  </si>
  <si>
    <t>5100000473</t>
  </si>
  <si>
    <t>1013519187</t>
  </si>
  <si>
    <t>5100000510</t>
  </si>
  <si>
    <t>1013519192</t>
  </si>
  <si>
    <t>5100000512</t>
  </si>
  <si>
    <t>CP công nhân thuê ngoài T12.2024 (12 HDPE)</t>
  </si>
  <si>
    <t>1013508214</t>
  </si>
  <si>
    <t>TT BD lên xuống container T11/24- Lê Xuân Huy Vũ</t>
  </si>
  <si>
    <t>TT BD Container T11/24</t>
  </si>
  <si>
    <t>5100000016</t>
  </si>
  <si>
    <t>1013557239</t>
  </si>
  <si>
    <t>CHI PHÍ LƯƠNG THÁNG 03.2025</t>
  </si>
  <si>
    <t>CP LƯƠNG T3.2025</t>
  </si>
  <si>
    <t>3</t>
  </si>
  <si>
    <t>5100001876</t>
  </si>
  <si>
    <t>1013557284</t>
  </si>
  <si>
    <t>TRÍCH LƯƠNG T13, PHÉP NĂM T03.2025</t>
  </si>
  <si>
    <t>5100001896</t>
  </si>
  <si>
    <t>TRÍCH DANH HIỆU T03.2025</t>
  </si>
  <si>
    <t>1013557439</t>
  </si>
  <si>
    <t>BHXH,BHYT,KPCĐ,BHTN T3.25</t>
  </si>
  <si>
    <t>5100001899</t>
  </si>
  <si>
    <t>1013557026</t>
  </si>
  <si>
    <t>Phí dịch vụ bảo vệ tháng 03/2025</t>
  </si>
  <si>
    <t>3500001543</t>
  </si>
  <si>
    <t>1013557631</t>
  </si>
  <si>
    <t>chi phí suất ăn - Đắc Bảo An tháng 03/2025</t>
  </si>
  <si>
    <t>3500001607</t>
  </si>
  <si>
    <t>1013557655</t>
  </si>
  <si>
    <t>Trích trước lương IT T03.2025 - Phạm Đình Lợi</t>
  </si>
  <si>
    <t>Trích trước lương IT T03</t>
  </si>
  <si>
    <t>5100001909</t>
  </si>
  <si>
    <t>1013538040</t>
  </si>
  <si>
    <t>Thưởng ý tưởng cải tiến T11+12.2024 - L.N.Mỹ Huyền</t>
  </si>
  <si>
    <t>5100001696</t>
  </si>
  <si>
    <t>Thưởng ý tưởng cải tiến T11+12.2024 - Ng.Diệu Hiền</t>
  </si>
  <si>
    <t>Thưởng ý tưởng cải tiến T11+12.2024 - C.Thùy Linh</t>
  </si>
  <si>
    <t>Thưởng ý tưởng cải tiến T11+12.2024 - N.Ngọc Sơn</t>
  </si>
  <si>
    <t>Thưởng ý tưởng cải tiến T11+12.2024 - T.Minh Hoàng</t>
  </si>
  <si>
    <t>Thưởng ý tưởng cải tiến T11+12.2024 - Đ.Vũ Bình</t>
  </si>
  <si>
    <t>Thưởng ý tưởng cải tiến T11+12.2024 - Huỳnh Tỷ Phú</t>
  </si>
  <si>
    <t>Thưởng ý tưởng cải tiến T11+12.2024 - Ng.Minh Tâm</t>
  </si>
  <si>
    <t>Thưởng ý tưởng cải tiến T11+12.2024 - Lê Ngọc Trúc</t>
  </si>
  <si>
    <t>Thưởng ý tưởng cải tiến T11+12.2024 - P.Thanh Thái</t>
  </si>
  <si>
    <t>Thưởng ý tưởng cải tiến T11+12.2024 - L.Minh Thanh</t>
  </si>
  <si>
    <t>Thưởng ý tưởng cải tiến T11+12.2024 - T.Văn Hiền</t>
  </si>
  <si>
    <t>1013538926</t>
  </si>
  <si>
    <t>Chi tiền thưởng kinh doanh T1.25</t>
  </si>
  <si>
    <t>THƯỞNG KD T1.25</t>
  </si>
  <si>
    <t>5100001699</t>
  </si>
  <si>
    <t>1013549258</t>
  </si>
  <si>
    <t>CP Bồi dưỡng ANVSV T2/25-Lê Viết Thiện</t>
  </si>
  <si>
    <t>BD ATVSV T2/25</t>
  </si>
  <si>
    <t>5100001780</t>
  </si>
  <si>
    <t>1013549274</t>
  </si>
  <si>
    <t>Trích trước 5S-T3/25</t>
  </si>
  <si>
    <t>Trích 5S T3/25</t>
  </si>
  <si>
    <t>5100001782</t>
  </si>
  <si>
    <t>1013551286</t>
  </si>
  <si>
    <t>CP suất ăn P.Kinh Doanh dùng cơm tại VVK T2.2025</t>
  </si>
  <si>
    <t>CP suất ăn P.Kinh Doanh d</t>
  </si>
  <si>
    <t>3500001243</t>
  </si>
  <si>
    <t>1013551288</t>
  </si>
  <si>
    <t>CP suất ăn P.Kinh Doanh dùng cơm tại VVK T1.2025</t>
  </si>
  <si>
    <t>3500001244</t>
  </si>
  <si>
    <t>1013554755</t>
  </si>
  <si>
    <t>TRÍCH TRƯỚC THƯỞNG KINH DOANH T3.25</t>
  </si>
  <si>
    <t>TRÍCH THƯỞNG KD T3/25</t>
  </si>
  <si>
    <t>5100001834</t>
  </si>
  <si>
    <t>1013556778</t>
  </si>
  <si>
    <t>8500000330</t>
  </si>
  <si>
    <t>1013556783</t>
  </si>
  <si>
    <t>CP Bồi dưỡng ANVSV T2/25-</t>
  </si>
  <si>
    <t>5100001861</t>
  </si>
  <si>
    <t>1013557442</t>
  </si>
  <si>
    <t>Trừ vượt ĐM  dầu T3.25</t>
  </si>
  <si>
    <t>5100001900</t>
  </si>
  <si>
    <t>1013549250</t>
  </si>
  <si>
    <t>CP công nhân thuê ngoài T02.2025 (11 PET)</t>
  </si>
  <si>
    <t>3500001176</t>
  </si>
  <si>
    <t>1013557023</t>
  </si>
  <si>
    <t>CP công nhân thuê ngoài T03.2025 (4 PET)</t>
  </si>
  <si>
    <t>3500001540</t>
  </si>
  <si>
    <t>1013557466</t>
  </si>
  <si>
    <t>5100001902</t>
  </si>
  <si>
    <t>1013558545</t>
  </si>
  <si>
    <t>5100002254</t>
  </si>
  <si>
    <t>1013558554</t>
  </si>
  <si>
    <t>8500000345</t>
  </si>
  <si>
    <t>1013558704</t>
  </si>
  <si>
    <t>5100002261</t>
  </si>
  <si>
    <t>CP công nhân thuê ngoài T02.2025 (10 HDPE)</t>
  </si>
  <si>
    <t>1013549324</t>
  </si>
  <si>
    <t>CP công nhân thuê ngoài T02.2025 (1 HDPE)</t>
  </si>
  <si>
    <t>3500001180</t>
  </si>
  <si>
    <t>CP công nhân thuê ngoài T03.2025 (14 HDPE)</t>
  </si>
  <si>
    <t>CP chuyển đổi chính thức công nhân T03.2025 (3 HD)</t>
  </si>
  <si>
    <t>1013538083</t>
  </si>
  <si>
    <t>TT BD lên xuống Cont T1/25-Huy Vũ</t>
  </si>
  <si>
    <t>TT BD lên xuống ContT1/25</t>
  </si>
  <si>
    <t>5100001697</t>
  </si>
  <si>
    <t>1013546459</t>
  </si>
  <si>
    <t>8500000256</t>
  </si>
  <si>
    <t>1013546461</t>
  </si>
  <si>
    <t>TT BD lên xuống Cont T1/25 Huy Vũ</t>
  </si>
  <si>
    <t>BD lên xuống Cont T1/25</t>
  </si>
  <si>
    <t>5100001732</t>
  </si>
  <si>
    <t>KM</t>
  </si>
  <si>
    <t>1013578280</t>
  </si>
  <si>
    <t>CHI PHÍ LƯƠNG THÁNG 04.25</t>
  </si>
  <si>
    <t>4</t>
  </si>
  <si>
    <t>5100002959</t>
  </si>
  <si>
    <t>HIEN.VT</t>
  </si>
  <si>
    <t>1013578292</t>
  </si>
  <si>
    <t>TRÍCH LƯƠNG T13, PHÉP NĂM T04.2025</t>
  </si>
  <si>
    <t>TRÍCH LƯƠNG T13, PHÉP NĂM</t>
  </si>
  <si>
    <t>5100002960</t>
  </si>
  <si>
    <t>TRÍCH DANH HIỆU T04.2025</t>
  </si>
  <si>
    <t>1013578234</t>
  </si>
  <si>
    <t>BHXH,BHYT,KPCĐ,BHTN T4.25</t>
  </si>
  <si>
    <t>5100002955</t>
  </si>
  <si>
    <t>1013577956</t>
  </si>
  <si>
    <t>chi phí suất ăn - Đắc Bảo An tháng 04/2025</t>
  </si>
  <si>
    <t>3500002260</t>
  </si>
  <si>
    <t>1013577963</t>
  </si>
  <si>
    <t>Trích trước lương IT T04.2025 - Phạm Đình Lợi</t>
  </si>
  <si>
    <t>Trích trước lương IT T04</t>
  </si>
  <si>
    <t>5100002940</t>
  </si>
  <si>
    <t>1013579856</t>
  </si>
  <si>
    <t>Phí dịch vụ bảo vệ tháng 04/2025</t>
  </si>
  <si>
    <t>3500002316</t>
  </si>
  <si>
    <t>1013557650</t>
  </si>
  <si>
    <t>Chi tiền thưởng kinh doanh T2.25</t>
  </si>
  <si>
    <t>THƯỞNG KD T2.25</t>
  </si>
  <si>
    <t>5100001906</t>
  </si>
  <si>
    <t>1013557654</t>
  </si>
  <si>
    <t>1001300000</t>
  </si>
  <si>
    <t>Marketing</t>
  </si>
  <si>
    <t>CHI TIỀN THƯỞNG NGÂN SÁCH "DỰ ÁN THAY LOGO MỚI"</t>
  </si>
  <si>
    <t>CP THƯỞNG NGÂN SÁCH TK</t>
  </si>
  <si>
    <t>5100001908</t>
  </si>
  <si>
    <t>1013565473</t>
  </si>
  <si>
    <t>CP suất ăn P.Kinh Doanh dùng cơm tại VVK T3.2025</t>
  </si>
  <si>
    <t>3500001779</t>
  </si>
  <si>
    <t>1013570547</t>
  </si>
  <si>
    <t>Trích trước 5S-T4/25</t>
  </si>
  <si>
    <t>5100002853</t>
  </si>
  <si>
    <t>1013577236</t>
  </si>
  <si>
    <t>TRÍCH THƯỞNG PHÒNG KINH DOANH T4/25</t>
  </si>
  <si>
    <t>TRÍCH TRƯỚC THƯỞNG PKD</t>
  </si>
  <si>
    <t>5100002932</t>
  </si>
  <si>
    <t>1013577237</t>
  </si>
  <si>
    <t>TRÍCH THƯỞNG NHÂN VIÊN KINH DOANH T4/25</t>
  </si>
  <si>
    <t>5100002933</t>
  </si>
  <si>
    <t>1013577053</t>
  </si>
  <si>
    <t>3500002219</t>
  </si>
  <si>
    <t>1013577077</t>
  </si>
  <si>
    <t>8300000047</t>
  </si>
  <si>
    <t>1013578498</t>
  </si>
  <si>
    <t>5100002965</t>
  </si>
  <si>
    <t>1013579838</t>
  </si>
  <si>
    <t>5100003300</t>
  </si>
  <si>
    <t>CP chuyển đổi chính thức công nhân T03.2025 (1 HD)</t>
  </si>
  <si>
    <t>1013560914</t>
  </si>
  <si>
    <t>TT CP Bồi dưỡng Cont T2/25-Lê Xuân Huy Vũ</t>
  </si>
  <si>
    <t>BD Cont T2/25</t>
  </si>
  <si>
    <t>5100002806</t>
  </si>
  <si>
    <t>Tỷ lệ tăng</t>
  </si>
  <si>
    <t xml:space="preserve">2. </t>
  </si>
  <si>
    <t>NGHỈ VIỆC</t>
  </si>
  <si>
    <t>CỘNG 2025</t>
  </si>
  <si>
    <t>NGHỈ VIỆC TT 2024</t>
  </si>
  <si>
    <t>GT + TT</t>
  </si>
  <si>
    <t>LK 2024</t>
  </si>
  <si>
    <t>BÁO CÁO NGHỈ VIỆC THÁNG</t>
  </si>
  <si>
    <t>Tỷ trọng LK 2025
(người)</t>
  </si>
  <si>
    <t>Tỷ trọng LK 2024
(người)</t>
  </si>
  <si>
    <t>Rank</t>
  </si>
  <si>
    <t>Test:</t>
  </si>
  <si>
    <t>ĐVT: người</t>
  </si>
  <si>
    <t>Lũy kế 2025</t>
  </si>
  <si>
    <t>Lũy kế 2024</t>
  </si>
  <si>
    <t>Nội dung</t>
  </si>
  <si>
    <t>LK 2025</t>
  </si>
  <si>
    <t>QC</t>
  </si>
  <si>
    <t>R&amp;D</t>
  </si>
  <si>
    <t>Chart nghỉ việc</t>
  </si>
  <si>
    <t>BQ 25</t>
  </si>
  <si>
    <t>BQ 24</t>
  </si>
  <si>
    <t>1013603711</t>
  </si>
  <si>
    <t>CHI PHÍ LƯƠNG THÁNG 05.2025</t>
  </si>
  <si>
    <t>CP LƯƠNG T5.2025</t>
  </si>
  <si>
    <t>5</t>
  </si>
  <si>
    <t>5100003921</t>
  </si>
  <si>
    <t>1013603723</t>
  </si>
  <si>
    <t>TRÍCH LƯƠNG T13, PHÉP NĂM T05.2025</t>
  </si>
  <si>
    <t>5100003922</t>
  </si>
  <si>
    <t>TRÍCH DANH HIỆU T05.2025</t>
  </si>
  <si>
    <t>1013603734</t>
  </si>
  <si>
    <t>BHXH,BHYT,KPCĐ,BHTN T5.2025</t>
  </si>
  <si>
    <t>5100003926</t>
  </si>
  <si>
    <t>1013590202</t>
  </si>
  <si>
    <t>Trích thuế TNCN bổ sung lương IT T10-13/2024</t>
  </si>
  <si>
    <t>Trích thuế TNCN Lương IT</t>
  </si>
  <si>
    <t>5100003810</t>
  </si>
  <si>
    <t>1013590203</t>
  </si>
  <si>
    <t>Trích thuế TNCN bổ sung lương IT T01-04/2025</t>
  </si>
  <si>
    <t>5100003811</t>
  </si>
  <si>
    <t>1013594142</t>
  </si>
  <si>
    <t>Điều chỉnh thuế TNCN năm 2023</t>
  </si>
  <si>
    <t>THUẾ TNCN 2023</t>
  </si>
  <si>
    <t>5100003836</t>
  </si>
  <si>
    <t>1013603774</t>
  </si>
  <si>
    <t>Phí dịch vụ bảo vệ tháng 05/2025</t>
  </si>
  <si>
    <t>3500002797</t>
  </si>
  <si>
    <t>1013603775</t>
  </si>
  <si>
    <t>chi phí suất ăn - Đắc Bảo An tháng 05/2025</t>
  </si>
  <si>
    <t>3500002798</t>
  </si>
  <si>
    <t>1013603778</t>
  </si>
  <si>
    <t>chi phí suất ăn - Nguyên Khang tháng 05/2025</t>
  </si>
  <si>
    <t>chi phí suất ăn - Nguyên</t>
  </si>
  <si>
    <t>3500002800</t>
  </si>
  <si>
    <t>1013604105</t>
  </si>
  <si>
    <t>Trích trước lương IT T05.2025 - Phạm Đình Lợi</t>
  </si>
  <si>
    <t>Trích trước lương IT T05</t>
  </si>
  <si>
    <t>5100003930</t>
  </si>
  <si>
    <t>1013604467</t>
  </si>
  <si>
    <t>Trích thuế TNCN lương IT T05/2025</t>
  </si>
  <si>
    <t>5100003958</t>
  </si>
  <si>
    <t>1013582668</t>
  </si>
  <si>
    <t>CP THƯỞNG KINH DOANH T3.2025</t>
  </si>
  <si>
    <t>THƯỞNG KD T3.25</t>
  </si>
  <si>
    <t>5100003762</t>
  </si>
  <si>
    <t>1013594134</t>
  </si>
  <si>
    <t>Trích thuế TNCN TTS năm 2024</t>
  </si>
  <si>
    <t>LUONG TTS 2024</t>
  </si>
  <si>
    <t>5100003835</t>
  </si>
  <si>
    <t>1013594665</t>
  </si>
  <si>
    <t>CP suất ăn P.Kinh Doanh dùng cơm tại VVK T4.2025</t>
  </si>
  <si>
    <t>3500002608</t>
  </si>
  <si>
    <t>1013599400</t>
  </si>
  <si>
    <t>Trích trước 5S-T5/25</t>
  </si>
  <si>
    <t>5100003886</t>
  </si>
  <si>
    <t>VY.VTH</t>
  </si>
  <si>
    <t>1013599486</t>
  </si>
  <si>
    <t>Chi tiền thưởng team kinh doanh T4/25</t>
  </si>
  <si>
    <t>THƯỞNG KD T4.25</t>
  </si>
  <si>
    <t>5100003889</t>
  </si>
  <si>
    <t>1013599805</t>
  </si>
  <si>
    <t>8500000519</t>
  </si>
  <si>
    <t>1013599821</t>
  </si>
  <si>
    <t>5100003892</t>
  </si>
  <si>
    <t>1013604611</t>
  </si>
  <si>
    <t>TRÍCH THƯỞNG PHÒNG KINH DOANH T5/25</t>
  </si>
  <si>
    <t>5100003959</t>
  </si>
  <si>
    <t>1013605246</t>
  </si>
  <si>
    <t>TRÍCH THƯỞNG NHÂN VIÊN KINH DOANH T5/25</t>
  </si>
  <si>
    <t>5100004290</t>
  </si>
  <si>
    <t>1013605276</t>
  </si>
  <si>
    <t>8500000560</t>
  </si>
  <si>
    <t>1013603724</t>
  </si>
  <si>
    <t>Trừ vượt ĐM  dầu T4.2025</t>
  </si>
  <si>
    <t>5100003923</t>
  </si>
  <si>
    <t>1013595021</t>
  </si>
  <si>
    <t>CP công nhân thuê ngoài T04.2025 (3 PET)</t>
  </si>
  <si>
    <t>3500002609</t>
  </si>
  <si>
    <t>1013603735</t>
  </si>
  <si>
    <t>5100003928</t>
  </si>
  <si>
    <t>1013604606</t>
  </si>
  <si>
    <t>CP công nhân thuê ngoài T05.2025 (6 PET)</t>
  </si>
  <si>
    <t>3500002834</t>
  </si>
  <si>
    <t>1013604609</t>
  </si>
  <si>
    <t>CP công nhân thuê ngoài T05.2025 (2 PET)</t>
  </si>
  <si>
    <t>3500002836</t>
  </si>
  <si>
    <t>1013606428</t>
  </si>
  <si>
    <t>5100004306</t>
  </si>
  <si>
    <t>CP công nhân thuê ngoài T04.2025 (9 HDPE)</t>
  </si>
  <si>
    <t>CP công nhân thuê ngoài T05.2025 (4 HDPE)</t>
  </si>
  <si>
    <t>1013586024</t>
  </si>
  <si>
    <t>TT CP Bồi dưỡng cont T3/25-Lê Xuân Huy Vũ</t>
  </si>
  <si>
    <t>BD Lên xuống cont T3.25</t>
  </si>
  <si>
    <t>5100003782</t>
  </si>
  <si>
    <t>Quản Lý Chất Lượng</t>
  </si>
  <si>
    <t>Tổ Chất lượng HDPE, PP</t>
  </si>
  <si>
    <t>Tổ Chất lượng Nguyên vật liệu</t>
  </si>
  <si>
    <t>Tổ Chất lượng PET</t>
  </si>
  <si>
    <t>Tổ Văn phòng chung</t>
  </si>
  <si>
    <t>Hành Chánh Xưởng</t>
  </si>
  <si>
    <t>Bộ phận 1</t>
  </si>
  <si>
    <t>Bộ phận 2</t>
  </si>
  <si>
    <t>SỐ NHÂN SỰ THEO BỘ PHẬN</t>
  </si>
  <si>
    <t>Số người 2025</t>
  </si>
  <si>
    <t>1013628992</t>
  </si>
  <si>
    <t>CHI PHÍ LƯƠNG THÁNG 06.2025</t>
  </si>
  <si>
    <t>CP LƯƠNG T6.2025</t>
  </si>
  <si>
    <t>6</t>
  </si>
  <si>
    <t>5100004838</t>
  </si>
  <si>
    <t>1013629004</t>
  </si>
  <si>
    <t>TRÍCH LƯƠNG T13, PHÉP NĂM T06.2025</t>
  </si>
  <si>
    <t>5100004839</t>
  </si>
  <si>
    <t>TRÍCH DANH HIỆU T06.2025</t>
  </si>
  <si>
    <t>1013629013</t>
  </si>
  <si>
    <t>Điều chỉnh BHXH tháng 5.2025</t>
  </si>
  <si>
    <t>5100004846</t>
  </si>
  <si>
    <t>1013629007</t>
  </si>
  <si>
    <t>BHXH,BHYT,KPCĐ,BHTN T6.2025</t>
  </si>
  <si>
    <t>5100004841</t>
  </si>
  <si>
    <t>1013629014</t>
  </si>
  <si>
    <t>8500000655</t>
  </si>
  <si>
    <t>1013629015</t>
  </si>
  <si>
    <t>5100004847</t>
  </si>
  <si>
    <t>1013629009</t>
  </si>
  <si>
    <t>5100004842</t>
  </si>
  <si>
    <t>1013630361</t>
  </si>
  <si>
    <t>Phí dịch vụ bảo vệ tháng 06/2025</t>
  </si>
  <si>
    <t>3500003266</t>
  </si>
  <si>
    <t>1013630363</t>
  </si>
  <si>
    <t>chi phí suất ăn - Nguyên Khang tháng 06/2025</t>
  </si>
  <si>
    <t>3500003268</t>
  </si>
  <si>
    <t>1013630754</t>
  </si>
  <si>
    <t>CP công nhân thuê ngoài T06.2025 - Đại Đồng Tiến</t>
  </si>
  <si>
    <t>3500003291</t>
  </si>
  <si>
    <t>1013630759</t>
  </si>
  <si>
    <t>Trích trước lương IT T06.2025 - Phạm Đình Lợi</t>
  </si>
  <si>
    <t>TRÍCH TRƯỚC CP T06.2025</t>
  </si>
  <si>
    <t>5100004892</t>
  </si>
  <si>
    <t>1013631624</t>
  </si>
  <si>
    <t>CP thuê công nhân SX T06.2025 - Đại Đồng Tiến</t>
  </si>
  <si>
    <t>CP thuê công nhân T6.2025</t>
  </si>
  <si>
    <t>5100005215</t>
  </si>
  <si>
    <t>1013622244</t>
  </si>
  <si>
    <t>Trích trước 5S-T6/25</t>
  </si>
  <si>
    <t>5100004785</t>
  </si>
  <si>
    <t>1013629010</t>
  </si>
  <si>
    <t>5100004843</t>
  </si>
  <si>
    <t>1013623256</t>
  </si>
  <si>
    <t>HÒAN TRÍCH THƯỞNG PHÒNG KINH DOANH T5/25</t>
  </si>
  <si>
    <t>THƯỞNG KD T5.25</t>
  </si>
  <si>
    <t>5100004790</t>
  </si>
  <si>
    <t>1013630216</t>
  </si>
  <si>
    <t>TRÍCH THƯỞNG PHÒNG KINH DOANH T6/25</t>
  </si>
  <si>
    <t>5100004864</t>
  </si>
  <si>
    <t>1013630224</t>
  </si>
  <si>
    <t>TRÍCH THƯỞNG NHÂN VIÊN KINH DOANH T6/25</t>
  </si>
  <si>
    <t>5100004865</t>
  </si>
  <si>
    <t>1013630231</t>
  </si>
  <si>
    <t>8500000665</t>
  </si>
  <si>
    <t>1013630362</t>
  </si>
  <si>
    <t>CP suất ăn P.Kinh Doanh dùng cơm tại VVK T5.2025</t>
  </si>
  <si>
    <t>3500003267</t>
  </si>
  <si>
    <t>1013630760</t>
  </si>
  <si>
    <t>5100004893</t>
  </si>
  <si>
    <t>1013607866</t>
  </si>
  <si>
    <t>TT TIEN BOI DUONG LEN/XUONG CONT T4/2025</t>
  </si>
  <si>
    <t>BỒI DƯỠNG LÊN XUỐNG CONT</t>
  </si>
  <si>
    <t>5100004712</t>
  </si>
  <si>
    <t>1013631861</t>
  </si>
  <si>
    <t>5100005218</t>
  </si>
  <si>
    <t>1013654299</t>
  </si>
  <si>
    <t>CHI PHÍ LƯƠNG THÁNG 07.2025</t>
  </si>
  <si>
    <t>CP LƯƠNG T7.2025</t>
  </si>
  <si>
    <t>7</t>
  </si>
  <si>
    <t>5100005874</t>
  </si>
  <si>
    <t>1013654312</t>
  </si>
  <si>
    <t>TRÍCH LƯƠNG T13, PHÉP NĂM T07.2025</t>
  </si>
  <si>
    <t>5100005878</t>
  </si>
  <si>
    <t>TRÍCH DANH HIỆU T07.2025</t>
  </si>
  <si>
    <t>1013654318</t>
  </si>
  <si>
    <t>BHXH,BHYT,KPCĐ,BHTN T7.2025</t>
  </si>
  <si>
    <t>5100005879</t>
  </si>
  <si>
    <t>1013654364</t>
  </si>
  <si>
    <t>Điều chỉnh BHXH tháng 7.2025</t>
  </si>
  <si>
    <t>5100005881</t>
  </si>
  <si>
    <t>1013654310</t>
  </si>
  <si>
    <t>chi phí suất ăn - Nguyên Khang tháng 07/2025</t>
  </si>
  <si>
    <t>3500003694</t>
  </si>
  <si>
    <t>1013655693</t>
  </si>
  <si>
    <t>Phí dịch vụ bảo vệ tháng 07/2025</t>
  </si>
  <si>
    <t>3500003741</t>
  </si>
  <si>
    <t>1013656202</t>
  </si>
  <si>
    <t>CP công nhân thuê ngoài T07.2025 - Đại Đồng Tiến</t>
  </si>
  <si>
    <t>3500003758</t>
  </si>
  <si>
    <t>1013655811</t>
  </si>
  <si>
    <t>Trích trước lương IT T07.2025 - Phạm Đình Lợi</t>
  </si>
  <si>
    <t>TRÍCH TRƯỚC CP T07.2025</t>
  </si>
  <si>
    <t>5100006248</t>
  </si>
  <si>
    <t>1013632575</t>
  </si>
  <si>
    <t>TT phụ cấp TC T6 cho 6TC các phòng ban</t>
  </si>
  <si>
    <t>TT phụ cấp TC T6 cho 6TC</t>
  </si>
  <si>
    <t>5100005696</t>
  </si>
  <si>
    <t>NHI.PHY</t>
  </si>
  <si>
    <t>1013648442</t>
  </si>
  <si>
    <t>HÒAN TRÍCH THƯỞNG PHÒNG KINH DOANH T6/25</t>
  </si>
  <si>
    <t>THƯỞNG KD T6.25</t>
  </si>
  <si>
    <t>5100005786</t>
  </si>
  <si>
    <t>1013651248</t>
  </si>
  <si>
    <t>Trích trước 5S-T7/25</t>
  </si>
  <si>
    <t>5100005818</t>
  </si>
  <si>
    <t>1013654368</t>
  </si>
  <si>
    <t>5100005883</t>
  </si>
  <si>
    <t>1013655808</t>
  </si>
  <si>
    <t>TRÍCH THƯỞNG PHÒNG KINH DOANH T7/25</t>
  </si>
  <si>
    <t>5100006246</t>
  </si>
  <si>
    <t>1013655809</t>
  </si>
  <si>
    <t>TRÍCH THƯỞNG NHÂN VIÊN KINH DOANH T7/25</t>
  </si>
  <si>
    <t>5100006247</t>
  </si>
  <si>
    <t>1013655810</t>
  </si>
  <si>
    <t>8500000811</t>
  </si>
  <si>
    <t>1013655972</t>
  </si>
  <si>
    <t>CP suất ăn P.Kinh Doanh dùng cơm tại VVK T7.2025</t>
  </si>
  <si>
    <t>3500003754</t>
  </si>
  <si>
    <t>1013630757</t>
  </si>
  <si>
    <t>CP công nhân thuê ngoài T06.2025 - VIN HR</t>
  </si>
  <si>
    <t>3500003292</t>
  </si>
  <si>
    <t>1013642488</t>
  </si>
  <si>
    <t>CHI LƯƠNG TTS T06.2025</t>
  </si>
  <si>
    <t>5100005751</t>
  </si>
  <si>
    <t>1013654365</t>
  </si>
  <si>
    <t>5100005882</t>
  </si>
  <si>
    <t>1013656140</t>
  </si>
  <si>
    <t>CP công nhân thuê ngoài T07.2025 - VIN HR</t>
  </si>
  <si>
    <t>3500003756</t>
  </si>
  <si>
    <t>1013656543</t>
  </si>
  <si>
    <t>5100006259</t>
  </si>
  <si>
    <t>1013652609</t>
  </si>
  <si>
    <t>Bồi dưỡng lên xuống cont T5/25</t>
  </si>
  <si>
    <t>BOI DUONG LEN XUONG CONT</t>
  </si>
  <si>
    <t>5100005823</t>
  </si>
  <si>
    <t>1013656246</t>
  </si>
  <si>
    <t>Điều chỉnh giảm lương 13 t1-6.2025 (tư vấn DV)</t>
  </si>
  <si>
    <t>ĐCTHƯỞNG 2025</t>
  </si>
  <si>
    <t>5100006258</t>
  </si>
  <si>
    <t>Điều chỉnh giảm thưởng DH tháng 1-6.25(TVDV)</t>
  </si>
  <si>
    <t>1013657273</t>
  </si>
  <si>
    <t>TT phụ cấp TC T7 cho 5TC</t>
  </si>
  <si>
    <t>8</t>
  </si>
  <si>
    <t>5100006759</t>
  </si>
  <si>
    <t>1013660541</t>
  </si>
  <si>
    <t>CP công nhân thuê ngoài T05.2025 - AGARI</t>
  </si>
  <si>
    <t>3500003813</t>
  </si>
  <si>
    <t>1013674075</t>
  </si>
  <si>
    <t>Trích trước 5S-T8/25</t>
  </si>
  <si>
    <t>5100006854</t>
  </si>
  <si>
    <t>BINH.DV</t>
  </si>
  <si>
    <t>1013674455</t>
  </si>
  <si>
    <t>TTCP BOI DUONG LEN XUONG CONT THANG 06-2025</t>
  </si>
  <si>
    <t>TT CPQL Bằng tiền</t>
  </si>
  <si>
    <t>5100006855</t>
  </si>
  <si>
    <t>1013675711</t>
  </si>
  <si>
    <t>CP Lương Anh Phương đại diện BH tại Mỹ T06.2025</t>
  </si>
  <si>
    <t>Chi phí dịch vụ Anh Phươn</t>
  </si>
  <si>
    <t>3500004080</t>
  </si>
  <si>
    <t>NHU.LTH</t>
  </si>
  <si>
    <t>1013675712</t>
  </si>
  <si>
    <t>CP Lương Anh Phương đại diện BH tại Mỹ T07.2025</t>
  </si>
  <si>
    <t>3500004082</t>
  </si>
  <si>
    <t>1013675713</t>
  </si>
  <si>
    <t>CHI LƯƠNG TTS T08.2025</t>
  </si>
  <si>
    <t>5100006886</t>
  </si>
  <si>
    <t>1013675714</t>
  </si>
  <si>
    <t>CHI LƯƠNG TTS T07.2025</t>
  </si>
  <si>
    <t>5100006889</t>
  </si>
  <si>
    <t>1013676059</t>
  </si>
  <si>
    <t>Chi thưởng PKD tháng 7.2025</t>
  </si>
  <si>
    <t>CHI THƯỞNG KD T7.25</t>
  </si>
  <si>
    <t>5100006895</t>
  </si>
  <si>
    <t>1013680166</t>
  </si>
  <si>
    <t>chi phí suất ăn - Nguyên Khang tháng 08/2025</t>
  </si>
  <si>
    <t>3500004157</t>
  </si>
  <si>
    <t>1013680172</t>
  </si>
  <si>
    <t>chi phí suất ăn - Ba Anh Em tháng 08/2025</t>
  </si>
  <si>
    <t>chi phí suất ăn - Ba Anh</t>
  </si>
  <si>
    <t>3500004158</t>
  </si>
  <si>
    <t>1013680445</t>
  </si>
  <si>
    <t>CHI PHÍ LƯƠNG THÁNG 08.2025</t>
  </si>
  <si>
    <t>CP LƯƠNG T8.2025</t>
  </si>
  <si>
    <t>5100006965</t>
  </si>
  <si>
    <t>1013680492</t>
  </si>
  <si>
    <t>TRÍCH LƯƠNG T13, PHÉP NĂM T08.2025</t>
  </si>
  <si>
    <t>5100006966</t>
  </si>
  <si>
    <t>TRÍCH DANH HIỆU T08.2025</t>
  </si>
  <si>
    <t>1013680497</t>
  </si>
  <si>
    <t>BHXH,BHYT,KPCĐ,BHTN T8.2025</t>
  </si>
  <si>
    <t>5100006970</t>
  </si>
  <si>
    <t>1013680507</t>
  </si>
  <si>
    <t>Phí dịch vụ bảo vệ tháng 08/2025</t>
  </si>
  <si>
    <t>3500004177</t>
  </si>
  <si>
    <t>1013680515</t>
  </si>
  <si>
    <t>Trích trước lương IT T08.2025 - Phạm Đình Lợi</t>
  </si>
  <si>
    <t>TRÍCH TRƯỚC CP T08.2025</t>
  </si>
  <si>
    <t>5100006964</t>
  </si>
  <si>
    <t>1013680718</t>
  </si>
  <si>
    <t>5100006971</t>
  </si>
  <si>
    <t>1013680721</t>
  </si>
  <si>
    <t>CHI PHÍ LƯƠNG T08.2025</t>
  </si>
  <si>
    <t>5100006972</t>
  </si>
  <si>
    <t>1013680768</t>
  </si>
  <si>
    <t>5100006974</t>
  </si>
  <si>
    <t>1013680777</t>
  </si>
  <si>
    <t>8500000942</t>
  </si>
  <si>
    <t>1013680791</t>
  </si>
  <si>
    <t>CP công nhân thuê ngoài T08.2025 - Đại Đồng Tiến</t>
  </si>
  <si>
    <t>3500004210</t>
  </si>
  <si>
    <t>1013680793</t>
  </si>
  <si>
    <t>CP công nhân thuê ngoài T08.2025 - Vin HR</t>
  </si>
  <si>
    <t>3500004211</t>
  </si>
  <si>
    <t>1013681034</t>
  </si>
  <si>
    <t>5100006978</t>
  </si>
  <si>
    <t>1013681829</t>
  </si>
  <si>
    <t>TRÍCH THƯỞNG PHÒNG KINH DOANH T8/25</t>
  </si>
  <si>
    <t>5100007355</t>
  </si>
  <si>
    <t>1013681830</t>
  </si>
  <si>
    <t>TRÍCH THƯỞNG NHÂN VIÊN KINH DOANH T8/25</t>
  </si>
  <si>
    <t>5100007356</t>
  </si>
  <si>
    <t>1013682141</t>
  </si>
  <si>
    <t>8500000947</t>
  </si>
  <si>
    <t>1013682836</t>
  </si>
  <si>
    <t>5100007401</t>
  </si>
  <si>
    <t>Doanh thu</t>
  </si>
  <si>
    <t>% lương / doanh thu</t>
  </si>
  <si>
    <t>Định biên gián tiếp</t>
  </si>
  <si>
    <t>Định biên trực tiếp</t>
  </si>
  <si>
    <t>Tổng cộng</t>
  </si>
  <si>
    <t>% Định biên gián tiếp</t>
  </si>
  <si>
    <t>% Định biên trực tiếp</t>
  </si>
  <si>
    <t>1013687676</t>
  </si>
  <si>
    <t>CP suất ăn P.Kinh Doanh dùng cơm tại VVK T8.2025</t>
  </si>
  <si>
    <t>9</t>
  </si>
  <si>
    <t>3500004294</t>
  </si>
  <si>
    <t>1013690703</t>
  </si>
  <si>
    <t>Bồi dưỡng lên xuống cont T7/25</t>
  </si>
  <si>
    <t>Bồi dưỡng lên xuống cont</t>
  </si>
  <si>
    <t>5100007868</t>
  </si>
  <si>
    <t>1013698160</t>
  </si>
  <si>
    <t>CHI LƯƠNG TTS T08.2025 - TRẦN ĐẶNG HOÀI ÂN</t>
  </si>
  <si>
    <t>5100007909</t>
  </si>
  <si>
    <t>CHI LƯƠNG TTS T08.2025 - THÁI BỘI NGHI</t>
  </si>
  <si>
    <t>1013698164</t>
  </si>
  <si>
    <t>CHI LƯƠNG TTS T08.2025 - ĐINH QUANG TRUNG</t>
  </si>
  <si>
    <t>5100007910</t>
  </si>
  <si>
    <t>1013700676</t>
  </si>
  <si>
    <t>Bồi dưỡng lên xuống cont T8/25</t>
  </si>
  <si>
    <t>5100007952</t>
  </si>
  <si>
    <t>1013704148</t>
  </si>
  <si>
    <t>Hoàn trích thưởng PKD tháng 8.2025</t>
  </si>
  <si>
    <t>HOÀN TRÍCH THƯỞNG KD T8</t>
  </si>
  <si>
    <t>5100007963</t>
  </si>
  <si>
    <t>1013704860</t>
  </si>
  <si>
    <t>CP Lương Anh Phương đại diện BH tại Mỹ T08.2025</t>
  </si>
  <si>
    <t>CP Lương Anh Phương đại d</t>
  </si>
  <si>
    <t>3500004555</t>
  </si>
  <si>
    <t>1013705229</t>
  </si>
  <si>
    <t>TRÍCH TRƯỚC 5S T9.25</t>
  </si>
  <si>
    <t>5100007996</t>
  </si>
  <si>
    <t>1013705926</t>
  </si>
  <si>
    <t>chi phí suất ăn - Ba Anh Em tháng 09/2025</t>
  </si>
  <si>
    <t>3500004615</t>
  </si>
  <si>
    <t>1013705955</t>
  </si>
  <si>
    <t>Phí dịch vụ bảo vệ tháng 09/2025</t>
  </si>
  <si>
    <t>3500004627</t>
  </si>
  <si>
    <t>1013705962</t>
  </si>
  <si>
    <t>Trích trước lương IT T09.2025 - Phạm Đình Lợi</t>
  </si>
  <si>
    <t>TRÍCH TRƯỚC CP T09.2025</t>
  </si>
  <si>
    <t>5100008005</t>
  </si>
  <si>
    <t>1013706157</t>
  </si>
  <si>
    <t>CP công nhân thuê ngoài T09.2025 - Đại Đồng Tiến</t>
  </si>
  <si>
    <t>3500004639</t>
  </si>
  <si>
    <t>1013706158</t>
  </si>
  <si>
    <t>CP công nhân thuê ngoài T09.2025 - Vin HR</t>
  </si>
  <si>
    <t>3500004640</t>
  </si>
  <si>
    <t>1013706630</t>
  </si>
  <si>
    <t>CHI PHÍ LƯƠNG THÁNG 09.2025</t>
  </si>
  <si>
    <t>CP LƯƠNG T9.2025</t>
  </si>
  <si>
    <t>5100008010</t>
  </si>
  <si>
    <t>1013707234</t>
  </si>
  <si>
    <t>8500001056</t>
  </si>
  <si>
    <t>1013707235</t>
  </si>
  <si>
    <t>TRÍCH THƯỞNG PHÒNG KINH DOANH T9/25</t>
  </si>
  <si>
    <t>5100008409</t>
  </si>
  <si>
    <t>1013707236</t>
  </si>
  <si>
    <t>TRÍCH THƯỞNG NHÂN VIÊN KINH DOANH T9/25</t>
  </si>
  <si>
    <t>5100008410</t>
  </si>
  <si>
    <t>1013707263</t>
  </si>
  <si>
    <t>TRÍCH LƯƠNG T13, PHÉP NĂM T09.2025</t>
  </si>
  <si>
    <t>5100008414</t>
  </si>
  <si>
    <t>TRÍCH DANH HIỆU T09.2025</t>
  </si>
  <si>
    <t>1013707268</t>
  </si>
  <si>
    <t>BHXH,BHYT,KPCĐ,BHTN T9.2025</t>
  </si>
  <si>
    <t>5100008416</t>
  </si>
  <si>
    <t>1013707269</t>
  </si>
  <si>
    <t>Trừ vượt ĐM  dầu T9.2025</t>
  </si>
  <si>
    <t>5100008418</t>
  </si>
  <si>
    <t>1013707402</t>
  </si>
  <si>
    <t>5100008420</t>
  </si>
  <si>
    <t>1013707403</t>
  </si>
  <si>
    <t>5100008421</t>
  </si>
  <si>
    <t>1013707404</t>
  </si>
  <si>
    <t>Điều chỉnh BHXH tháng 8.2025</t>
  </si>
  <si>
    <t>5100008422</t>
  </si>
  <si>
    <t>1013707700</t>
  </si>
  <si>
    <t>5100008433</t>
  </si>
  <si>
    <t>1013707820</t>
  </si>
  <si>
    <t>Trích trước tạm ứng lương KPI T9.25 team thị trờng</t>
  </si>
  <si>
    <t>Trích tạm ứng cung ứng</t>
  </si>
  <si>
    <t>5100008439</t>
  </si>
  <si>
    <t>1013707821</t>
  </si>
  <si>
    <t>8500001077</t>
  </si>
  <si>
    <t>1013707822</t>
  </si>
  <si>
    <t>5100008440</t>
  </si>
  <si>
    <t>1013731719</t>
  </si>
  <si>
    <t>CHI PHÍ LƯƠNG THÁNG 10.2025</t>
  </si>
  <si>
    <t>CP LƯƠNGT10.2025</t>
  </si>
  <si>
    <t>10</t>
  </si>
  <si>
    <t>5100009101</t>
  </si>
  <si>
    <t>1013731727</t>
  </si>
  <si>
    <t>TRÍCH LƯƠNG T13, PHÉP NĂM T10.2025</t>
  </si>
  <si>
    <t>5100009104</t>
  </si>
  <si>
    <t>TRÍCH DANH HIỆU T10.2025</t>
  </si>
  <si>
    <t>1013731731</t>
  </si>
  <si>
    <t>BHXH,BHYT,KPCĐ,BHTN T10.2025</t>
  </si>
  <si>
    <t>5100009105</t>
  </si>
  <si>
    <t>1013733138</t>
  </si>
  <si>
    <t>chi phí suất ăn - Ba Anh Em tháng 10/2025</t>
  </si>
  <si>
    <t>3500005125</t>
  </si>
  <si>
    <t>1013733117</t>
  </si>
  <si>
    <t>CP công nhân thuê ngoài T10.2025 - Đại Đồng Tiến</t>
  </si>
  <si>
    <t>3500005116</t>
  </si>
  <si>
    <t>1013733153</t>
  </si>
  <si>
    <t>Phí dịch vụ bảo vệ tháng 10/2025</t>
  </si>
  <si>
    <t>3500005139</t>
  </si>
  <si>
    <t>1013733754</t>
  </si>
  <si>
    <t>Trích CP suất ăn phụ T10.2025 (Tạp vụ)</t>
  </si>
  <si>
    <t>TRÍCH CHI PHÍ T10.2025</t>
  </si>
  <si>
    <t>5100009541</t>
  </si>
  <si>
    <t>1013733143</t>
  </si>
  <si>
    <t>Trích trước lương IT T10.2025 - Phạm Đình Lợi</t>
  </si>
  <si>
    <t>Trích trước CP T10.2025</t>
  </si>
  <si>
    <t>5100009512</t>
  </si>
  <si>
    <t>1013722226</t>
  </si>
  <si>
    <t>CP suất ăn P.Kinh Doanh dùng cơm tại VVK T9.2025</t>
  </si>
  <si>
    <t>3500004838</t>
  </si>
  <si>
    <t>1013729937</t>
  </si>
  <si>
    <t>Chi thưởng phòng kinh doanh tháng 9.2025</t>
  </si>
  <si>
    <t>Chi tiền hoa hồng T9.25</t>
  </si>
  <si>
    <t>5100009038</t>
  </si>
  <si>
    <t>1013730195</t>
  </si>
  <si>
    <t>TT phụ cấp TC T8+9.2025 cho 4 TC</t>
  </si>
  <si>
    <t>TT phụ cấp TC T8+9.2025</t>
  </si>
  <si>
    <t>5100009044</t>
  </si>
  <si>
    <t>1013730716</t>
  </si>
  <si>
    <t>TRÍCH TRƯỚC 5S T10.25</t>
  </si>
  <si>
    <t>TRÍCH TRƯỚC 5S</t>
  </si>
  <si>
    <t>5100009072</t>
  </si>
  <si>
    <t>1013731735</t>
  </si>
  <si>
    <t>Trừ vượt ĐM  dầu T10.2025</t>
  </si>
  <si>
    <t>5100009107</t>
  </si>
  <si>
    <t>1013731851</t>
  </si>
  <si>
    <t>8500001171</t>
  </si>
  <si>
    <t>1013731852</t>
  </si>
  <si>
    <t>TRÍCH THƯỞNG PHÒNG KINH DOANH T10/25</t>
  </si>
  <si>
    <t>5100009116</t>
  </si>
  <si>
    <t>1013731853</t>
  </si>
  <si>
    <t>TRÍCH THƯỞNG NHÂN VIÊN KINH DOANH T10/25</t>
  </si>
  <si>
    <t>5100009117</t>
  </si>
  <si>
    <t>Trích CP suất ăn phụ T10.2025 (Kỹ thuật)</t>
  </si>
  <si>
    <t>1013734173</t>
  </si>
  <si>
    <t>8500001193</t>
  </si>
  <si>
    <t>1013723795</t>
  </si>
  <si>
    <t>CHI LƯƠNG TTS T09.2025 - TRẦN ĐẶNG HOÀI ÂN</t>
  </si>
  <si>
    <t>CHI LƯƠNG TTS T09.2025</t>
  </si>
  <si>
    <t>5100008963</t>
  </si>
  <si>
    <t>CHI LƯƠNG TTS T09.2025 - THÁI BỘI NGHI</t>
  </si>
  <si>
    <t>CHI LƯƠNG TTS T09.2025 - ĐINH QUANG TRUNG</t>
  </si>
  <si>
    <t>1013731744</t>
  </si>
  <si>
    <t>5100009112</t>
  </si>
  <si>
    <t>1013731746</t>
  </si>
  <si>
    <t>Điều chỉnh BHXH tháng 9.2025</t>
  </si>
  <si>
    <t>5100009113</t>
  </si>
  <si>
    <t>1013733118</t>
  </si>
  <si>
    <t>CP công nhân thuê ngoài T10.2025 - Vin HR</t>
  </si>
  <si>
    <t>3500005117</t>
  </si>
  <si>
    <t>Trích CP suất ăn phụ T10.2025 (PET)</t>
  </si>
  <si>
    <t>Trích CP suất ăn phụ T10.2025 (QLCL)</t>
  </si>
  <si>
    <t>1013733831</t>
  </si>
  <si>
    <t>5100009547</t>
  </si>
  <si>
    <t>Trích CP suất ăn phụ T10.2025 (HD+PP)</t>
  </si>
  <si>
    <t>1013727615</t>
  </si>
  <si>
    <t>Bồi dưỡng lên xuống cont T9/25</t>
  </si>
  <si>
    <t>5100009009</t>
  </si>
  <si>
    <t>Trích CP suất ăn phụ T10.2025 (Kho)</t>
  </si>
  <si>
    <t>1013744462</t>
  </si>
  <si>
    <t>CP Lương Anh Phương đại diện BH tại Mỹ T09.2025</t>
  </si>
  <si>
    <t>11</t>
  </si>
  <si>
    <t>3500005298</t>
  </si>
  <si>
    <t>1013748051</t>
  </si>
  <si>
    <t>CP suất ăn P.Kinh Doanh dùng cơm tại VVK T10.2025</t>
  </si>
  <si>
    <t>3500005376</t>
  </si>
  <si>
    <t>1013750121</t>
  </si>
  <si>
    <t>Bồi dưỡng lên xuống cont T10/25</t>
  </si>
  <si>
    <t>5100010239</t>
  </si>
  <si>
    <t>1013751193</t>
  </si>
  <si>
    <t>HÒAN TRÍCH THƯỞNG PHÒNG KINH DOANH T10/25</t>
  </si>
  <si>
    <t>THƯỞNG KD T10.25</t>
  </si>
  <si>
    <t>5100010271</t>
  </si>
  <si>
    <t>1013752760</t>
  </si>
  <si>
    <t>Ngân hàng đã hoàn tiền ngày 27/11/2025</t>
  </si>
  <si>
    <t>8500001307</t>
  </si>
  <si>
    <t>1013752903</t>
  </si>
  <si>
    <t>Trích trước bồi dưỡng lên xuống cont tháng 10</t>
  </si>
  <si>
    <t>Trích trước bồi dưỡng</t>
  </si>
  <si>
    <t>5100010304</t>
  </si>
  <si>
    <t>1013752908</t>
  </si>
  <si>
    <t>TRÍCH TRƯỚC 5S T11.25</t>
  </si>
  <si>
    <t>5100010305</t>
  </si>
  <si>
    <t>1013752966</t>
  </si>
  <si>
    <t>chi phí suất ăn - Ba Anh Em tháng 11/2025</t>
  </si>
  <si>
    <t>3500005508</t>
  </si>
  <si>
    <t>1013752967</t>
  </si>
  <si>
    <t>CHI PHÍ LƯƠNG THÁNG 11.2025</t>
  </si>
  <si>
    <t>CP LƯƠNGT11.2025</t>
  </si>
  <si>
    <t>5100010309</t>
  </si>
  <si>
    <t>1013753211</t>
  </si>
  <si>
    <t>TRÍCH LƯƠNG T13, PHÉP NĂM T11.2025</t>
  </si>
  <si>
    <t>5100010310</t>
  </si>
  <si>
    <t>TRÍCH DANH HIỆU T11.2025</t>
  </si>
  <si>
    <t>1013753247</t>
  </si>
  <si>
    <t>BHXH,BHYT,KPCĐ,BHTN T11.2025</t>
  </si>
  <si>
    <t>5100010311</t>
  </si>
  <si>
    <t>1013753278</t>
  </si>
  <si>
    <t>5100010314</t>
  </si>
  <si>
    <t>1013753287</t>
  </si>
  <si>
    <t>Phí dịch vụ bảo vệ tháng 11/2025</t>
  </si>
  <si>
    <t>3500005519</t>
  </si>
  <si>
    <t>1013753290</t>
  </si>
  <si>
    <t>CHI PHÍ LƯƠNG T11.2025</t>
  </si>
  <si>
    <t>5100010315</t>
  </si>
  <si>
    <t>1013753406</t>
  </si>
  <si>
    <t>Trích trước lương IT T11.2025 - Phạm Đình Lợi</t>
  </si>
  <si>
    <t>Trích trước CP T11.2025</t>
  </si>
  <si>
    <t>5100010316</t>
  </si>
  <si>
    <t>1013753696</t>
  </si>
  <si>
    <t>8500001312</t>
  </si>
  <si>
    <t>1013753692</t>
  </si>
  <si>
    <t>TRÍCH THƯỞNG NHÂN VIÊN KINH DOANH T11/25</t>
  </si>
  <si>
    <t>5100010339</t>
  </si>
  <si>
    <t>1013753691</t>
  </si>
  <si>
    <t>TRÍCH THƯỞNG PHÒNG KINH DOANH T11/25</t>
  </si>
  <si>
    <t>5100010338</t>
  </si>
  <si>
    <t>1013754204</t>
  </si>
  <si>
    <t>CP công nhân thuê ngoài T11.2025 - Đại Đồng Tiến</t>
  </si>
  <si>
    <t>3500005572</t>
  </si>
  <si>
    <t>1013754465</t>
  </si>
  <si>
    <t>5100010729</t>
  </si>
  <si>
    <t>1013754533</t>
  </si>
  <si>
    <t>Trích CP suất ăn phụ T11.2025 (PET)</t>
  </si>
  <si>
    <t>TRÍCH CHI PHÍ T11.2025</t>
  </si>
  <si>
    <t>5100010735</t>
  </si>
  <si>
    <t>Trích CP suất ăn phụ T11.2025 (HD+PP)</t>
  </si>
  <si>
    <t>Trích CP suất ăn phụ T11.2025 (Kỹ thuật)</t>
  </si>
  <si>
    <t>Trích CP suất ăn phụ T11.2025 (Kho)</t>
  </si>
  <si>
    <t>Trích CP suất ăn phụ T11.2025 (QLCL)</t>
  </si>
  <si>
    <t>Trích CP suất ăn phụ T11.2025 (Tạp vụ)</t>
  </si>
  <si>
    <t>1013754539</t>
  </si>
  <si>
    <t>8500001333</t>
  </si>
  <si>
    <t>1013754543</t>
  </si>
  <si>
    <t>5100010736</t>
  </si>
  <si>
    <t>1013754812</t>
  </si>
  <si>
    <t>8500001336</t>
  </si>
  <si>
    <t>1013754813</t>
  </si>
  <si>
    <t>TRÍCH TRƯỚC</t>
  </si>
  <si>
    <t>5100010751</t>
  </si>
  <si>
    <t>Số giờ 2025</t>
  </si>
  <si>
    <t>Tổ Kiểm soát Nội bộ</t>
  </si>
  <si>
    <t>KT kho</t>
  </si>
  <si>
    <t>KTQT</t>
  </si>
  <si>
    <t>KTTC</t>
  </si>
  <si>
    <t>Lái Xe Nâng PP</t>
  </si>
  <si>
    <t>TỔNG HỢP GIỜ CÔNG BỘ PHẬN SẢN XUẤT</t>
  </si>
  <si>
    <t>Phòng ban</t>
  </si>
  <si>
    <t>Tổ nhóm</t>
  </si>
  <si>
    <t>Giờ công thường</t>
  </si>
  <si>
    <t>OT thường</t>
  </si>
  <si>
    <t>OT CN</t>
  </si>
  <si>
    <t>OT Lễ</t>
  </si>
  <si>
    <t>Tổng giờ công</t>
  </si>
  <si>
    <t>PET</t>
  </si>
  <si>
    <t>HD-PP</t>
  </si>
  <si>
    <t>Số giờ công</t>
  </si>
  <si>
    <t>TP PET</t>
  </si>
  <si>
    <t>TP HD</t>
  </si>
  <si>
    <t>TP PP</t>
  </si>
  <si>
    <t>TP xơ sợi</t>
  </si>
  <si>
    <t>TP LDPE</t>
  </si>
  <si>
    <t>BTP HD</t>
  </si>
  <si>
    <t>BTP PET băm</t>
  </si>
  <si>
    <t>BTP PET rửa</t>
  </si>
  <si>
    <t>BTP PP</t>
  </si>
  <si>
    <t>Thành phẩm</t>
  </si>
  <si>
    <t>Bán thành phẩm</t>
  </si>
  <si>
    <t>Sản lượng sản xuất:</t>
  </si>
  <si>
    <t>A</t>
  </si>
  <si>
    <t>B</t>
  </si>
  <si>
    <t>C</t>
  </si>
  <si>
    <t>D</t>
  </si>
  <si>
    <t>SL sản xuất / giờ công trực tiếp</t>
  </si>
  <si>
    <t xml:space="preserve"> (kg/giờ công)</t>
  </si>
  <si>
    <t>TP</t>
  </si>
  <si>
    <t>BTP</t>
  </si>
  <si>
    <t>SL sản xuất / giờ công (gián tiếp + trực tiếp))</t>
  </si>
  <si>
    <t>SL SẢN XUẤT / GIỜ CÔNG TRỰC TIẾP</t>
  </si>
  <si>
    <t xml:space="preserve">SL SẢN XUẤT / GIỜ CÔNG (GIÁN TIẾP + TRỰC TIẾP) </t>
  </si>
  <si>
    <t>(Thành phẩm + bán thành phẩm)</t>
  </si>
  <si>
    <t>CHART SẢN LƯỢNG SẢN XUẤT / GIỜ CÔNG</t>
  </si>
  <si>
    <t>05. Giờ công</t>
  </si>
  <si>
    <t>06. Chart giờ công</t>
  </si>
  <si>
    <t>1013761976</t>
  </si>
  <si>
    <t>CP suất ăn P.Kinh Doanh dùng cơm tại VVK T11.2025</t>
  </si>
  <si>
    <t>12</t>
  </si>
  <si>
    <t>3500005708</t>
  </si>
  <si>
    <t>1013767405</t>
  </si>
  <si>
    <t>tt phụ cấp CT tháng 11 cho team khai TC</t>
  </si>
  <si>
    <t>phụ cấp ct T11</t>
  </si>
  <si>
    <t>5100011241</t>
  </si>
  <si>
    <t>OANH.THT</t>
  </si>
  <si>
    <t>1013775635</t>
  </si>
  <si>
    <t>CP Lương Anh Phương đại diện BH tại Mỹ T10.2025</t>
  </si>
  <si>
    <t>CP Lương Anh Phương</t>
  </si>
  <si>
    <t>3500006045</t>
  </si>
  <si>
    <t>1013775636</t>
  </si>
  <si>
    <t>CP Lương Anh Phương đại diện BH tại Mỹ T11.2025</t>
  </si>
  <si>
    <t>3500006046</t>
  </si>
  <si>
    <t>1013775642</t>
  </si>
  <si>
    <t>HÒAN TRÍCH THƯỞNG PHÒNG KINH DOANH T11/25</t>
  </si>
  <si>
    <t>THƯỞNG KD T11.25</t>
  </si>
  <si>
    <t>5100011353</t>
  </si>
  <si>
    <t>1013775689</t>
  </si>
  <si>
    <t>CHI PHÍ LƯƠNG THÁNG 12.2025</t>
  </si>
  <si>
    <t>CP LƯƠNGT12.2025</t>
  </si>
  <si>
    <t>5100011362</t>
  </si>
  <si>
    <t>1013775690</t>
  </si>
  <si>
    <t>TRÍCH LƯƠNG T13, PHÉP NĂM T12.2025</t>
  </si>
  <si>
    <t>5100011363</t>
  </si>
  <si>
    <t>TRÍCH DANH HIỆU T12.2025</t>
  </si>
  <si>
    <t>1013775691</t>
  </si>
  <si>
    <t>BHXH,BHYT,KPCĐ,BHTN T12.2025</t>
  </si>
  <si>
    <t>5100011364</t>
  </si>
  <si>
    <t>1013775692</t>
  </si>
  <si>
    <t>Trừ vượt ĐM  dầu T12.2025</t>
  </si>
  <si>
    <t>5100011366</t>
  </si>
  <si>
    <t>1013775693</t>
  </si>
  <si>
    <t>5100011368</t>
  </si>
  <si>
    <t>1013775694</t>
  </si>
  <si>
    <t>CHI PHÍ LƯƠNG T12.2025</t>
  </si>
  <si>
    <t>5100011369</t>
  </si>
  <si>
    <t>1013775695</t>
  </si>
  <si>
    <t>5100011370</t>
  </si>
  <si>
    <t>1013775696</t>
  </si>
  <si>
    <t>HOÀN TRÍCH LƯƠNG T13, PHÉP NĂM T12.2025</t>
  </si>
  <si>
    <t>5100011371</t>
  </si>
  <si>
    <t>HOÀN TRÍCH DANH HIỆU T12.2025</t>
  </si>
  <si>
    <t>1013775697</t>
  </si>
  <si>
    <t>Điều chỉnh lương T13.2025</t>
  </si>
  <si>
    <t>Đ/C LƯƠNG T13.25</t>
  </si>
  <si>
    <t>5100011373</t>
  </si>
  <si>
    <t>1013776009</t>
  </si>
  <si>
    <t>chi phí suất ăn - Ba Anh Em tháng 12/2025</t>
  </si>
  <si>
    <t>3500006071</t>
  </si>
  <si>
    <t>1013776035</t>
  </si>
  <si>
    <t>Phí dịch vụ bảo vệ tháng 12/2025</t>
  </si>
  <si>
    <t>3500006085</t>
  </si>
  <si>
    <t>1013776047</t>
  </si>
  <si>
    <t>Trích trước lương IT T12.2025 - Phạm Đình Lợi</t>
  </si>
  <si>
    <t>Trích trước CP T12.2025</t>
  </si>
  <si>
    <t>5100011381</t>
  </si>
  <si>
    <t>Trích trước lương IT T13.2025 - Phạm Đình Lợi</t>
  </si>
  <si>
    <t>1013776069</t>
  </si>
  <si>
    <t>TRÍCH THƯỞNG PHÒNG KINH DOANH T12/25</t>
  </si>
  <si>
    <t>5100011382</t>
  </si>
  <si>
    <t>1013776070</t>
  </si>
  <si>
    <t>5100011383</t>
  </si>
  <si>
    <t>1013776101</t>
  </si>
  <si>
    <t>8500001515</t>
  </si>
  <si>
    <t>1013776278</t>
  </si>
  <si>
    <t>Bồi dưỡng lên xuống cont T11/25</t>
  </si>
  <si>
    <t>5100011408</t>
  </si>
  <si>
    <t>1013776529</t>
  </si>
  <si>
    <t>CP công nhân thuê ngoài T12.2025 - Đại Đồng Tiến</t>
  </si>
  <si>
    <t>3500006160</t>
  </si>
  <si>
    <t>1013776979</t>
  </si>
  <si>
    <t>TT phụ cấp TC T10.2025</t>
  </si>
  <si>
    <t>5100011825</t>
  </si>
  <si>
    <t>1013777169</t>
  </si>
  <si>
    <t>Trích CP khen thưởng cải tiến năm 2025</t>
  </si>
  <si>
    <t>Trích CP khen thưởng</t>
  </si>
  <si>
    <t>5100011839</t>
  </si>
  <si>
    <t>1013777234</t>
  </si>
  <si>
    <t>Điều chỉnh BHXH tháng 11.2025</t>
  </si>
  <si>
    <t>5100011848</t>
  </si>
  <si>
    <t>1013777244</t>
  </si>
  <si>
    <t>Trích CP suất ăn phụ T12.2025 (PET)</t>
  </si>
  <si>
    <t>TRÍCH CHI PHÍ T12.2025</t>
  </si>
  <si>
    <t>5100011852</t>
  </si>
  <si>
    <t>Trích CP suất ăn phụ T12.2025 (HD+PP)</t>
  </si>
  <si>
    <t>Trích CP suất ăn phụ T12.2025 (Kỹ thuật)</t>
  </si>
  <si>
    <t>Trích CP suất ăn phụ T12.2025 (Kho)</t>
  </si>
  <si>
    <t>Trích CP suất ăn phụ T12.2025 (QLCL)</t>
  </si>
  <si>
    <t>Trích CP suất ăn phụ T12.2025 (Tạp vụ)</t>
  </si>
  <si>
    <t>1013777443</t>
  </si>
  <si>
    <t>5100011872</t>
  </si>
  <si>
    <t>ĐỊNH BIÊN KH 2026</t>
  </si>
  <si>
    <t>ĐỊNH BIÊN TT 2026</t>
  </si>
  <si>
    <t>BQ 2026</t>
  </si>
  <si>
    <t>BQ KH 2026</t>
  </si>
  <si>
    <t>CỘNG 2026</t>
  </si>
  <si>
    <t>CỘNG 2024</t>
  </si>
  <si>
    <t>TT 2026</t>
  </si>
  <si>
    <t>KH2026</t>
  </si>
  <si>
    <t>BQ 26</t>
  </si>
  <si>
    <t>Định biên TT 2026</t>
  </si>
  <si>
    <t>SL TP sản xuất TT 2026</t>
  </si>
  <si>
    <t>Định biên KH 2026</t>
  </si>
  <si>
    <t>SL TP sản xuất KH 2026</t>
  </si>
  <si>
    <t>KH 2026</t>
  </si>
  <si>
    <t>Doanh thu TT 2026</t>
  </si>
  <si>
    <t>Doanh thu KH 2026</t>
  </si>
  <si>
    <t>Số giờ 2026</t>
  </si>
  <si>
    <t>Lũy kế 2026</t>
  </si>
  <si>
    <t>Tỷ trọng LK 2026
(người)</t>
  </si>
  <si>
    <t>LAO ĐỘNG NGHỈ VIỆC 2026</t>
  </si>
  <si>
    <t>1013795681</t>
  </si>
  <si>
    <t>CHI PHÍ LƯƠNG THÁNG 01.2026</t>
  </si>
  <si>
    <t>CP LƯƠNGT01.2026</t>
  </si>
  <si>
    <t>2026</t>
  </si>
  <si>
    <t>5100000220</t>
  </si>
  <si>
    <t>1013795738</t>
  </si>
  <si>
    <t>TRÍCH LƯƠNG T13, PHÉP NĂM T01.2026</t>
  </si>
  <si>
    <t>5100000242</t>
  </si>
  <si>
    <t>TRÍCH DANH HIỆU T01.2026</t>
  </si>
  <si>
    <t>1013795740</t>
  </si>
  <si>
    <t>BHXH,BHYT,KPCĐ,BHTN T01.2026</t>
  </si>
  <si>
    <t>5100000245</t>
  </si>
  <si>
    <t>1013785076</t>
  </si>
  <si>
    <t>TT LƯƠNG 12/2025 CHO TRAN TRUNG HIEU</t>
  </si>
  <si>
    <t>TT LƯƠNG TV ĐỢT 1</t>
  </si>
  <si>
    <t>5100000060</t>
  </si>
  <si>
    <t>1013785082</t>
  </si>
  <si>
    <t>TT LƯƠNG T13/2025 CHO TRẦN TRUNG HIẾU</t>
  </si>
  <si>
    <t>TT LƯƠNG T13/2025</t>
  </si>
  <si>
    <t>5100000061</t>
  </si>
  <si>
    <t>1013785090</t>
  </si>
  <si>
    <t>TT LƯƠNG TV ĐỢT 1 CHO MAI TRỌNG NGHĨA</t>
  </si>
  <si>
    <t>5100000062</t>
  </si>
  <si>
    <t>1013786462</t>
  </si>
  <si>
    <t>8500000058</t>
  </si>
  <si>
    <t>1013786463</t>
  </si>
  <si>
    <t>8500000059</t>
  </si>
  <si>
    <t>1013786464</t>
  </si>
  <si>
    <t>8500000060</t>
  </si>
  <si>
    <t>1013795743</t>
  </si>
  <si>
    <t>5100000250</t>
  </si>
  <si>
    <t>1013795754</t>
  </si>
  <si>
    <t>Điều chỉnh BHXH tháng 12.2025</t>
  </si>
  <si>
    <t>5100000252</t>
  </si>
  <si>
    <t>1013797037</t>
  </si>
  <si>
    <t>3500000621</t>
  </si>
  <si>
    <t>1013797378</t>
  </si>
  <si>
    <t>Phí dịch vụ bảo vệ tháng 01/2026</t>
  </si>
  <si>
    <t>3500000636</t>
  </si>
  <si>
    <t>1013797383</t>
  </si>
  <si>
    <t>Trích trước lương IT T01.2026 - Phạm Đình Lợi</t>
  </si>
  <si>
    <t>Trích trước CP T01.2026</t>
  </si>
  <si>
    <t>5100000608</t>
  </si>
  <si>
    <t>1013797384</t>
  </si>
  <si>
    <t>Trích CP suất ăn phụ T01.2026 (Tạp vụ)</t>
  </si>
  <si>
    <t>Trích CP suất ăn phụ T01</t>
  </si>
  <si>
    <t>5100000609</t>
  </si>
  <si>
    <t>1013797795</t>
  </si>
  <si>
    <t>tt lắp các thiết bị để đáp ứng</t>
  </si>
  <si>
    <t>Clear voucher giảm giá</t>
  </si>
  <si>
    <t>5100000621</t>
  </si>
  <si>
    <t>1013786190</t>
  </si>
  <si>
    <t>BOI DUONG KIEM KE KHO TP T12-2025, T01-2026</t>
  </si>
  <si>
    <t>Bồi dưỡng kiểm kê kho</t>
  </si>
  <si>
    <t>5100000065</t>
  </si>
  <si>
    <t>1013786194</t>
  </si>
  <si>
    <t>5100000066</t>
  </si>
  <si>
    <t>1013786196</t>
  </si>
  <si>
    <t>5100000067</t>
  </si>
  <si>
    <t>1013786198</t>
  </si>
  <si>
    <t>5100000068</t>
  </si>
  <si>
    <t>1013782114</t>
  </si>
  <si>
    <t>Khen thưởng 5S T12/2025</t>
  </si>
  <si>
    <t>5100000044</t>
  </si>
  <si>
    <t>1013787651</t>
  </si>
  <si>
    <t>TT CP SẤT ĂN TỪ 1-31/12/25</t>
  </si>
  <si>
    <t>TT CP SẤT ĂN TỪ 1-31/12/2</t>
  </si>
  <si>
    <t>3500000244</t>
  </si>
  <si>
    <t>1013789770</t>
  </si>
  <si>
    <t>TT PHỤ CẤP THÁNG 12/2025 CHO TEAM KHAI TC</t>
  </si>
  <si>
    <t>TT PHỤ CẤP TC T12.25</t>
  </si>
  <si>
    <t>5100000120</t>
  </si>
  <si>
    <t>1013794768</t>
  </si>
  <si>
    <t>HÒAN TRÍCH THƯỞNG PHÒNG KINH DOANH T12/25</t>
  </si>
  <si>
    <t>THƯỞNG KD T12.25</t>
  </si>
  <si>
    <t>5100000208</t>
  </si>
  <si>
    <t>1013795742</t>
  </si>
  <si>
    <t>CHI PHÍ LƯƠNG T01.2026</t>
  </si>
  <si>
    <t>5100000249</t>
  </si>
  <si>
    <t>1013795915</t>
  </si>
  <si>
    <t>TRÍCH THƯỞNG PHÒNG KINH DOANH T01/26</t>
  </si>
  <si>
    <t>5100000258</t>
  </si>
  <si>
    <t>1013795917</t>
  </si>
  <si>
    <t>TRÍCH THƯỞNG NVKD T01/26</t>
  </si>
  <si>
    <t>5100000259</t>
  </si>
  <si>
    <t>1013795926</t>
  </si>
  <si>
    <t>8500000117</t>
  </si>
  <si>
    <t>1013795978</t>
  </si>
  <si>
    <t>1001206000</t>
  </si>
  <si>
    <t>Chiến Lược CCU</t>
  </si>
  <si>
    <t>Chuyển cost T01.26 bp cung ứng sang CLCU</t>
  </si>
  <si>
    <t>Chuyển cost T01.26</t>
  </si>
  <si>
    <t>5100000265</t>
  </si>
  <si>
    <t>1013797405</t>
  </si>
  <si>
    <t>TRÍCH TRƯỚC 5S T01/2026</t>
  </si>
  <si>
    <t>TRÍCH TRƯỚC 5S T01.26</t>
  </si>
  <si>
    <t>5100000615</t>
  </si>
  <si>
    <t>1013795741</t>
  </si>
  <si>
    <t>Trừ vượt ĐM  dầu T01.2026</t>
  </si>
  <si>
    <t>5100000247</t>
  </si>
  <si>
    <t>1013795968</t>
  </si>
  <si>
    <t>5100000262</t>
  </si>
  <si>
    <t>Trích CP suất ăn phụ T01.2026 (Kỹ thuật)</t>
  </si>
  <si>
    <t>Trích CP suất ăn phụ T01.2026 (QLCL)</t>
  </si>
  <si>
    <t>1013797392</t>
  </si>
  <si>
    <t>CP công nhân thuê ngoài T01.2026</t>
  </si>
  <si>
    <t>3500000641</t>
  </si>
  <si>
    <t>Trích CP suất ăn phụ T01.2026 (PET)</t>
  </si>
  <si>
    <t>1013799526</t>
  </si>
  <si>
    <t>5100000642</t>
  </si>
  <si>
    <t>Trích CP suất ăn phụ T01.2026 (HD+PP)</t>
  </si>
  <si>
    <t>1013786202</t>
  </si>
  <si>
    <t>5100000069</t>
  </si>
  <si>
    <t>1013786203</t>
  </si>
  <si>
    <t>5100000070</t>
  </si>
  <si>
    <t>1013786206</t>
  </si>
  <si>
    <t>5100000071</t>
  </si>
  <si>
    <t>1013786209</t>
  </si>
  <si>
    <t>5100000072</t>
  </si>
  <si>
    <t>1013786213</t>
  </si>
  <si>
    <t>5100000073</t>
  </si>
  <si>
    <t>1013786221</t>
  </si>
  <si>
    <t>1013795967</t>
  </si>
  <si>
    <t>Tt BD lên xuống cont t12</t>
  </si>
  <si>
    <t>5100000261</t>
  </si>
  <si>
    <t>Trích CP suất ăn phụ T01.2026 (Kho)</t>
  </si>
  <si>
    <t>Chiến lược CCU</t>
  </si>
  <si>
    <t>LK 2026</t>
  </si>
  <si>
    <t>1013810599</t>
  </si>
  <si>
    <t>CHI PHÍ LƯƠNG THÁNG 02.2026</t>
  </si>
  <si>
    <t>CP LƯƠNGT02.2026</t>
  </si>
  <si>
    <t>5100001224</t>
  </si>
  <si>
    <t>1013810607</t>
  </si>
  <si>
    <t>TRÍCH LƯƠNG T13, PHÉP NĂM T02.2026</t>
  </si>
  <si>
    <t>5100001225</t>
  </si>
  <si>
    <t>TRÍCH DANH HIỆU T02.2026</t>
  </si>
  <si>
    <t>1013810608</t>
  </si>
  <si>
    <t>BHXH,BHYT,KPCĐ,BHTN T02.2026</t>
  </si>
  <si>
    <t>5100001228</t>
  </si>
  <si>
    <t>1013809762</t>
  </si>
  <si>
    <t>chi phí suất ăn - Ba Anh Em tháng 02/2026</t>
  </si>
  <si>
    <t>3500000917</t>
  </si>
  <si>
    <t>1013809772</t>
  </si>
  <si>
    <t>Phí dịch vụ bảo vệ tháng 02/2026</t>
  </si>
  <si>
    <t>3500000927</t>
  </si>
  <si>
    <t>1013811840</t>
  </si>
  <si>
    <t>5100001559</t>
  </si>
  <si>
    <t>1013811732</t>
  </si>
  <si>
    <t>Trích CP suất ăn phụ T02.2026 (Tạp vụ)</t>
  </si>
  <si>
    <t>Trích CP suất ăn phụ T02</t>
  </si>
  <si>
    <t>5100001555</t>
  </si>
  <si>
    <t>1013810631</t>
  </si>
  <si>
    <t>5100001230</t>
  </si>
  <si>
    <t>1013809876</t>
  </si>
  <si>
    <t>Trích trước lương IT T02.2026 - Phạm Đình Lợi</t>
  </si>
  <si>
    <t>Trích trước CP T02.2026</t>
  </si>
  <si>
    <t>5100001208</t>
  </si>
  <si>
    <t>1013808839</t>
  </si>
  <si>
    <t>Hoàn trích CP khen thưởng cải tiến năm 2025</t>
  </si>
  <si>
    <t>Hoàn CP cải tiến 2025</t>
  </si>
  <si>
    <t>5100001146</t>
  </si>
  <si>
    <t>1013801919</t>
  </si>
  <si>
    <t>8500000164</t>
  </si>
  <si>
    <t>1013808922</t>
  </si>
  <si>
    <t>Khen thưởng 5S tháng 01/2026</t>
  </si>
  <si>
    <t>Khen thưởng 5s</t>
  </si>
  <si>
    <t>5100001153</t>
  </si>
  <si>
    <t>1013809233</t>
  </si>
  <si>
    <t>Tt cp khen thưởng 5S</t>
  </si>
  <si>
    <t>TT cp khen thưởng</t>
  </si>
  <si>
    <t>5100001165</t>
  </si>
  <si>
    <t>1013810578</t>
  </si>
  <si>
    <t>8500000250</t>
  </si>
  <si>
    <t>1013810420</t>
  </si>
  <si>
    <t>8500000239</t>
  </si>
  <si>
    <t>1013810412</t>
  </si>
  <si>
    <t>TRÍCH THƯỞNG PHÒNG KINH DOANH T02/26</t>
  </si>
  <si>
    <t>5100001219</t>
  </si>
  <si>
    <t>1013810413</t>
  </si>
  <si>
    <t>TRÍCH THƯỞNG NVKD T02/26</t>
  </si>
  <si>
    <t>TRÍCH TRƯỚC THƯỞNG NVKD</t>
  </si>
  <si>
    <t>5100001220</t>
  </si>
  <si>
    <t>1013802945</t>
  </si>
  <si>
    <t>CP suất ăn P.Kinh Doanh dùng cơm tại VVK T01.2026</t>
  </si>
  <si>
    <t>3500000694</t>
  </si>
  <si>
    <t>Trích CP suất ăn phụ T02.2026 (Kỹ thuật)</t>
  </si>
  <si>
    <t>Trích CP suất ăn phụ T02.2026 (QLCL)</t>
  </si>
  <si>
    <t>1013810673</t>
  </si>
  <si>
    <t>5100001232</t>
  </si>
  <si>
    <t>1013809774</t>
  </si>
  <si>
    <t>CP công nhân thuê ngoài T02.2026</t>
  </si>
  <si>
    <t>3500000929</t>
  </si>
  <si>
    <t>1013809878</t>
  </si>
  <si>
    <t>CP công nhân thuê ngoài T02.2026 (VIN HR)</t>
  </si>
  <si>
    <t>5100001209</t>
  </si>
  <si>
    <t>1013809415</t>
  </si>
  <si>
    <t>CP Xăng dầu T02/2026- Xe nâng (300L)</t>
  </si>
  <si>
    <t>xăng dầu T02/2026</t>
  </si>
  <si>
    <t>3500000840</t>
  </si>
  <si>
    <t>1013809723</t>
  </si>
  <si>
    <t>Giảm giá CP bánh sữa cho NLĐ T01.2026</t>
  </si>
  <si>
    <t>CP trợ cấp bánh và sữa ch</t>
  </si>
  <si>
    <t>4100000863</t>
  </si>
  <si>
    <t>Trích CP suất ăn phụ T02.2026 (PET)</t>
  </si>
  <si>
    <t>1013811811</t>
  </si>
  <si>
    <t>5100001556</t>
  </si>
  <si>
    <t>1013812103</t>
  </si>
  <si>
    <t>Chuyển GL</t>
  </si>
  <si>
    <t>5100001570</t>
  </si>
  <si>
    <t>Trích CP suất ăn phụ T02.2026 (HD+PP)</t>
  </si>
  <si>
    <t>Trích CP suất ăn phụ T02.2026 (Kho)</t>
  </si>
  <si>
    <t>Số người 2026</t>
  </si>
  <si>
    <t>1013836363</t>
  </si>
  <si>
    <t>CHI PHÍ LƯƠNG THÁNG 03.2026</t>
  </si>
  <si>
    <t>CP LƯƠNGT03.2026</t>
  </si>
  <si>
    <t>5100002028</t>
  </si>
  <si>
    <t>1013836364</t>
  </si>
  <si>
    <t>5100002029</t>
  </si>
  <si>
    <t>1013836499</t>
  </si>
  <si>
    <t>TRÍCH LƯƠNG T13, PHÉP NĂM T03.2026</t>
  </si>
  <si>
    <t>5100002133</t>
  </si>
  <si>
    <t>1013836500</t>
  </si>
  <si>
    <t>TRÍCH DANH HIỆU T03.2026</t>
  </si>
  <si>
    <t>5100002134</t>
  </si>
  <si>
    <t>1013836365</t>
  </si>
  <si>
    <t>5100002030</t>
  </si>
  <si>
    <t>1013836562</t>
  </si>
  <si>
    <t>BHXH,BHYT,KPCĐ,BHTN T03.2026</t>
  </si>
  <si>
    <t>5100002171</t>
  </si>
  <si>
    <t>1013835781</t>
  </si>
  <si>
    <t>chi phí suất ăn - Ba Anh Em tháng 03/2026</t>
  </si>
  <si>
    <t>3500001986</t>
  </si>
  <si>
    <t>1013835798</t>
  </si>
  <si>
    <t>chi phí suất ăn - Nguyên Khang tháng 03/2026</t>
  </si>
  <si>
    <t>3500001987</t>
  </si>
  <si>
    <t>1013836098</t>
  </si>
  <si>
    <t>Phí dịch vụ bảo vệ tháng 03/2026</t>
  </si>
  <si>
    <t>3500002002</t>
  </si>
  <si>
    <t>1013836112</t>
  </si>
  <si>
    <t>Trích trước lương IT T03.2026 - Phạm Đình Lợi</t>
  </si>
  <si>
    <t>Trích trước CP T03.2026</t>
  </si>
  <si>
    <t>5100002023</t>
  </si>
  <si>
    <t>1013836367</t>
  </si>
  <si>
    <t>5100002032</t>
  </si>
  <si>
    <t>1013836368</t>
  </si>
  <si>
    <t>5100002033</t>
  </si>
  <si>
    <t>1013836370</t>
  </si>
  <si>
    <t>5100002035</t>
  </si>
  <si>
    <t>1013836371</t>
  </si>
  <si>
    <t>5100002036</t>
  </si>
  <si>
    <t>1013836372</t>
  </si>
  <si>
    <t>5100002037</t>
  </si>
  <si>
    <t>1013836373</t>
  </si>
  <si>
    <t>5100002038</t>
  </si>
  <si>
    <t>1013836374</t>
  </si>
  <si>
    <t>5100002039</t>
  </si>
  <si>
    <t>1013836463</t>
  </si>
  <si>
    <t>CP công nhân thuê ngoài T03.2026 - Đại Đồng Tiến</t>
  </si>
  <si>
    <t>3500002021</t>
  </si>
  <si>
    <t>1013836501</t>
  </si>
  <si>
    <t>5100002135</t>
  </si>
  <si>
    <t>1013836502</t>
  </si>
  <si>
    <t>5100002136</t>
  </si>
  <si>
    <t>1013836503</t>
  </si>
  <si>
    <t>5100002137</t>
  </si>
  <si>
    <t>1013836504</t>
  </si>
  <si>
    <t>5100002138</t>
  </si>
  <si>
    <t>1013836737</t>
  </si>
  <si>
    <t>1001103000</t>
  </si>
  <si>
    <t>Ban tổng giám đốc</t>
  </si>
  <si>
    <t>Trích thưởng HH EPR 2024-2025</t>
  </si>
  <si>
    <t>TRÍCH THƯỞNG</t>
  </si>
  <si>
    <t>5100002174</t>
  </si>
  <si>
    <t>1013837036</t>
  </si>
  <si>
    <t>5100002177</t>
  </si>
  <si>
    <t>1013837926</t>
  </si>
  <si>
    <t>Trích CP suất ăn phụ T03.2026 (Tạp vụ)</t>
  </si>
  <si>
    <t>Trích CP suất ăn phụ T03</t>
  </si>
  <si>
    <t>5100002506</t>
  </si>
  <si>
    <t>1013819929</t>
  </si>
  <si>
    <t>CHI LƯƠNG TTS T02.2026 - NGUYỄN HỒNG DUNG</t>
  </si>
  <si>
    <t>LƯƠNG TTS T2+LƯƠNG TV T1</t>
  </si>
  <si>
    <t>5100001823</t>
  </si>
  <si>
    <t>CHI LƯƠNG TTS T02.2026 - HO THI XUAN HOA</t>
  </si>
  <si>
    <t>1013836376</t>
  </si>
  <si>
    <t>5100002041</t>
  </si>
  <si>
    <t>1013836377</t>
  </si>
  <si>
    <t>5100002042</t>
  </si>
  <si>
    <t>1013836378</t>
  </si>
  <si>
    <t>5100002043</t>
  </si>
  <si>
    <t>1013836379</t>
  </si>
  <si>
    <t>5100002044</t>
  </si>
  <si>
    <t>1013836505</t>
  </si>
  <si>
    <t>5100002139</t>
  </si>
  <si>
    <t>1013836506</t>
  </si>
  <si>
    <t>5100002140</t>
  </si>
  <si>
    <t>1013816817</t>
  </si>
  <si>
    <t>Hoàn trích thưởng PKD T1.26</t>
  </si>
  <si>
    <t>TT thưởng PKD T1.2026</t>
  </si>
  <si>
    <t>5100001793</t>
  </si>
  <si>
    <t>1013819945</t>
  </si>
  <si>
    <t>TT phụ cấp TC T01+02.2026</t>
  </si>
  <si>
    <t>TT phụ cấp TC T01+02.26</t>
  </si>
  <si>
    <t>5100001832</t>
  </si>
  <si>
    <t>1013824017</t>
  </si>
  <si>
    <t>CP suất ăn P.Kinh Doanh dùng cơm tại VVK T02.2026</t>
  </si>
  <si>
    <t>3500001436</t>
  </si>
  <si>
    <t>1013831560</t>
  </si>
  <si>
    <t>5100001941</t>
  </si>
  <si>
    <t>1013836381</t>
  </si>
  <si>
    <t>5100002046</t>
  </si>
  <si>
    <t>1013836382</t>
  </si>
  <si>
    <t>5100002047</t>
  </si>
  <si>
    <t>1013836383</t>
  </si>
  <si>
    <t>5100002048</t>
  </si>
  <si>
    <t>1013836385</t>
  </si>
  <si>
    <t>5100002050</t>
  </si>
  <si>
    <t>1013836386</t>
  </si>
  <si>
    <t>5100002051</t>
  </si>
  <si>
    <t>1013836387</t>
  </si>
  <si>
    <t>5100002052</t>
  </si>
  <si>
    <t>1013836388</t>
  </si>
  <si>
    <t>5100002053</t>
  </si>
  <si>
    <t>1013836390</t>
  </si>
  <si>
    <t>5100002056</t>
  </si>
  <si>
    <t>1013836391</t>
  </si>
  <si>
    <t>5100002057</t>
  </si>
  <si>
    <t>1013836392</t>
  </si>
  <si>
    <t>5100002058</t>
  </si>
  <si>
    <t>1013836394</t>
  </si>
  <si>
    <t>5100002060</t>
  </si>
  <si>
    <t>1013836395</t>
  </si>
  <si>
    <t>5100002061</t>
  </si>
  <si>
    <t>1013836437</t>
  </si>
  <si>
    <t>5100002103</t>
  </si>
  <si>
    <t>1013836438</t>
  </si>
  <si>
    <t>5100002104</t>
  </si>
  <si>
    <t>1013836439</t>
  </si>
  <si>
    <t>5100002105</t>
  </si>
  <si>
    <t>1013836441</t>
  </si>
  <si>
    <t>5100002107</t>
  </si>
  <si>
    <t>1013836442</t>
  </si>
  <si>
    <t>5100002108</t>
  </si>
  <si>
    <t>1013836443</t>
  </si>
  <si>
    <t>5100002109</t>
  </si>
  <si>
    <t>1013836445</t>
  </si>
  <si>
    <t>5100002111</t>
  </si>
  <si>
    <t>1013836483</t>
  </si>
  <si>
    <t>TRÍCH THƯỞNG PHÒNG KINH DOANH T03/26</t>
  </si>
  <si>
    <t>5100002131</t>
  </si>
  <si>
    <t>1013836485</t>
  </si>
  <si>
    <t>TRÍCH THƯỞNG NVKD T03/26</t>
  </si>
  <si>
    <t>5100002132</t>
  </si>
  <si>
    <t>1013836507</t>
  </si>
  <si>
    <t>5100002141</t>
  </si>
  <si>
    <t>1013836508</t>
  </si>
  <si>
    <t>5100002142</t>
  </si>
  <si>
    <t>1013836509</t>
  </si>
  <si>
    <t>5100002143</t>
  </si>
  <si>
    <t>1013836510</t>
  </si>
  <si>
    <t>5100002144</t>
  </si>
  <si>
    <t>1013836511</t>
  </si>
  <si>
    <t>5100002145</t>
  </si>
  <si>
    <t>1013836512</t>
  </si>
  <si>
    <t>5100002146</t>
  </si>
  <si>
    <t>1013836529</t>
  </si>
  <si>
    <t>5100002163</t>
  </si>
  <si>
    <t>1013836530</t>
  </si>
  <si>
    <t>5100002164</t>
  </si>
  <si>
    <t>1013836531</t>
  </si>
  <si>
    <t>5100002165</t>
  </si>
  <si>
    <t>1013836532</t>
  </si>
  <si>
    <t>5100002166</t>
  </si>
  <si>
    <t>1013836533</t>
  </si>
  <si>
    <t>5100002167</t>
  </si>
  <si>
    <t>1013836534</t>
  </si>
  <si>
    <t>5100002168</t>
  </si>
  <si>
    <t>1013836556</t>
  </si>
  <si>
    <t>8500000455</t>
  </si>
  <si>
    <t>1013836563</t>
  </si>
  <si>
    <t>CHI PHÍ LƯƠNG T03.2026</t>
  </si>
  <si>
    <t>5100002173</t>
  </si>
  <si>
    <t>1013837037</t>
  </si>
  <si>
    <t>Điều chỉnh BHXH tháng 2.2026</t>
  </si>
  <si>
    <t>5100002178</t>
  </si>
  <si>
    <t>1013837038</t>
  </si>
  <si>
    <t>Trừ vượt ĐM  dầu T03.2026</t>
  </si>
  <si>
    <t>5100002179</t>
  </si>
  <si>
    <t>1013836396</t>
  </si>
  <si>
    <t>5100002062</t>
  </si>
  <si>
    <t>1013836397</t>
  </si>
  <si>
    <t>5100002063</t>
  </si>
  <si>
    <t>1013836398</t>
  </si>
  <si>
    <t>5100002064</t>
  </si>
  <si>
    <t>1013836400</t>
  </si>
  <si>
    <t>5100002066</t>
  </si>
  <si>
    <t>1013836401</t>
  </si>
  <si>
    <t>5100002067</t>
  </si>
  <si>
    <t>1013836402</t>
  </si>
  <si>
    <t>5100002068</t>
  </si>
  <si>
    <t>1013836403</t>
  </si>
  <si>
    <t>5100002069</t>
  </si>
  <si>
    <t>1013836404</t>
  </si>
  <si>
    <t>5100002070</t>
  </si>
  <si>
    <t>1013836406</t>
  </si>
  <si>
    <t>5100002072</t>
  </si>
  <si>
    <t>1013836407</t>
  </si>
  <si>
    <t>5100002073</t>
  </si>
  <si>
    <t>1013836408</t>
  </si>
  <si>
    <t>5100002074</t>
  </si>
  <si>
    <t>1013836410</t>
  </si>
  <si>
    <t>5100002076</t>
  </si>
  <si>
    <t>1013836411</t>
  </si>
  <si>
    <t>5100002077</t>
  </si>
  <si>
    <t>1013836412</t>
  </si>
  <si>
    <t>5100002078</t>
  </si>
  <si>
    <t>1013836413</t>
  </si>
  <si>
    <t>5100002079</t>
  </si>
  <si>
    <t>1013836414</t>
  </si>
  <si>
    <t>5100002080</t>
  </si>
  <si>
    <t>1013836415</t>
  </si>
  <si>
    <t>5100002081</t>
  </si>
  <si>
    <t>1013836416</t>
  </si>
  <si>
    <t>5100002082</t>
  </si>
  <si>
    <t>1013836417</t>
  </si>
  <si>
    <t>5100002083</t>
  </si>
  <si>
    <t>1013836418</t>
  </si>
  <si>
    <t>5100002084</t>
  </si>
  <si>
    <t>1013836419</t>
  </si>
  <si>
    <t>5100002085</t>
  </si>
  <si>
    <t>1013836470</t>
  </si>
  <si>
    <t>CP công nhân thuê ngoài T03.2026 - Vin HR</t>
  </si>
  <si>
    <t>3500002022</t>
  </si>
  <si>
    <t>1013836473</t>
  </si>
  <si>
    <t>CP công nhân thuê ngoài T03.2026 - VŨ VÂN ANH</t>
  </si>
  <si>
    <t>3500002023</t>
  </si>
  <si>
    <t>1013836513</t>
  </si>
  <si>
    <t>5100002147</t>
  </si>
  <si>
    <t>1013836514</t>
  </si>
  <si>
    <t>5100002148</t>
  </si>
  <si>
    <t>1013836515</t>
  </si>
  <si>
    <t>5100002149</t>
  </si>
  <si>
    <t>1013836516</t>
  </si>
  <si>
    <t>5100002150</t>
  </si>
  <si>
    <t>1013836517</t>
  </si>
  <si>
    <t>5100002151</t>
  </si>
  <si>
    <t>1013836518</t>
  </si>
  <si>
    <t>5100002152</t>
  </si>
  <si>
    <t>1013836519</t>
  </si>
  <si>
    <t>5100002153</t>
  </si>
  <si>
    <t>1013836520</t>
  </si>
  <si>
    <t>5100002154</t>
  </si>
  <si>
    <t>1013836521</t>
  </si>
  <si>
    <t>5100002155</t>
  </si>
  <si>
    <t>1013836522</t>
  </si>
  <si>
    <t>5100002156</t>
  </si>
  <si>
    <t>1013838481</t>
  </si>
  <si>
    <t>CP Lương Anh Phương đại diện BH tại Mỹ T12.2025</t>
  </si>
  <si>
    <t>3500002050</t>
  </si>
  <si>
    <t>1013838485</t>
  </si>
  <si>
    <t>CP Lương Anh Phương đại diện BH tại Mỹ T01.2026</t>
  </si>
  <si>
    <t>3500002051</t>
  </si>
  <si>
    <t>1013838487</t>
  </si>
  <si>
    <t>CP Lương Anh Phương đại diện BH tại Mỹ T02.2026</t>
  </si>
  <si>
    <t>3500002052</t>
  </si>
  <si>
    <t>1013838496</t>
  </si>
  <si>
    <t>CP Lương Anh Phương đại diện BH tại Mỹ T03.2026</t>
  </si>
  <si>
    <t>3500002053</t>
  </si>
  <si>
    <t>1013839609</t>
  </si>
  <si>
    <t>8300000154</t>
  </si>
  <si>
    <t>1013839610</t>
  </si>
  <si>
    <t>8300000155</t>
  </si>
  <si>
    <t>1013839611</t>
  </si>
  <si>
    <t>8300000156</t>
  </si>
  <si>
    <t>1013839612</t>
  </si>
  <si>
    <t>8300000157</t>
  </si>
  <si>
    <t>1013839615</t>
  </si>
  <si>
    <t>3500002060</t>
  </si>
  <si>
    <t>1013839616</t>
  </si>
  <si>
    <t>3500002061</t>
  </si>
  <si>
    <t>1013839618</t>
  </si>
  <si>
    <t>3500002062</t>
  </si>
  <si>
    <t>1013839619</t>
  </si>
  <si>
    <t>3500002063</t>
  </si>
  <si>
    <t>Trích CP suất ăn phụ T03.2026 (PET)</t>
  </si>
  <si>
    <t>Trích CP suất ăn phụ T03.2026 (Kỹ thuật)</t>
  </si>
  <si>
    <t>Trích CP suất ăn phụ T03.2026 (QLCL)</t>
  </si>
  <si>
    <t>1013838011</t>
  </si>
  <si>
    <t>5100002509</t>
  </si>
  <si>
    <t>1013836421</t>
  </si>
  <si>
    <t>5100002087</t>
  </si>
  <si>
    <t>1013836422</t>
  </si>
  <si>
    <t>5100002088</t>
  </si>
  <si>
    <t>1013836423</t>
  </si>
  <si>
    <t>5100002089</t>
  </si>
  <si>
    <t>1013836424</t>
  </si>
  <si>
    <t>5100002090</t>
  </si>
  <si>
    <t>1013836425</t>
  </si>
  <si>
    <t>5100002091</t>
  </si>
  <si>
    <t>1013836426</t>
  </si>
  <si>
    <t>5100002092</t>
  </si>
  <si>
    <t>1013836427</t>
  </si>
  <si>
    <t>5100002093</t>
  </si>
  <si>
    <t>1013836428</t>
  </si>
  <si>
    <t>5100002094</t>
  </si>
  <si>
    <t>1013836429</t>
  </si>
  <si>
    <t>5100002095</t>
  </si>
  <si>
    <t>1013836523</t>
  </si>
  <si>
    <t>5100002157</t>
  </si>
  <si>
    <t>1013836524</t>
  </si>
  <si>
    <t>5100002158</t>
  </si>
  <si>
    <t>1013836525</t>
  </si>
  <si>
    <t>5100002159</t>
  </si>
  <si>
    <t>1013836526</t>
  </si>
  <si>
    <t>5100002160</t>
  </si>
  <si>
    <t>Trích CP suất ăn phụ T03.2026 (HD+PP)</t>
  </si>
  <si>
    <t>1013819470</t>
  </si>
  <si>
    <t>TT bồi dưỡng lên/xuống container tháng 2/2026</t>
  </si>
  <si>
    <t>Tt BD lên xuống cont T01</t>
  </si>
  <si>
    <t>5100001798</t>
  </si>
  <si>
    <t>1013821434</t>
  </si>
  <si>
    <t>Hoàn trích lương tháng 13.2026 tổ tư vấn T2.2026</t>
  </si>
  <si>
    <t>5100001874</t>
  </si>
  <si>
    <t>Hoàn trích thưởng danh hiệu tổ tư vấn T2.2026</t>
  </si>
  <si>
    <t>1013833680</t>
  </si>
  <si>
    <t>BD lên xuốngcont T2.26</t>
  </si>
  <si>
    <t>5100001962</t>
  </si>
  <si>
    <t>1013836431</t>
  </si>
  <si>
    <t>5100002097</t>
  </si>
  <si>
    <t>1013836432</t>
  </si>
  <si>
    <t>5100002098</t>
  </si>
  <si>
    <t>1013836433</t>
  </si>
  <si>
    <t>5100002099</t>
  </si>
  <si>
    <t>1013836434</t>
  </si>
  <si>
    <t>5100002100</t>
  </si>
  <si>
    <t>1013836435</t>
  </si>
  <si>
    <t>5100002101</t>
  </si>
  <si>
    <t>1013836447</t>
  </si>
  <si>
    <t>5100002113</t>
  </si>
  <si>
    <t>1013836448</t>
  </si>
  <si>
    <t>5100002114</t>
  </si>
  <si>
    <t>1013836449</t>
  </si>
  <si>
    <t>5100002115</t>
  </si>
  <si>
    <t>1013836450</t>
  </si>
  <si>
    <t>5100002116</t>
  </si>
  <si>
    <t>1013836527</t>
  </si>
  <si>
    <t>5100002161</t>
  </si>
  <si>
    <t>1013836528</t>
  </si>
  <si>
    <t>5100002162</t>
  </si>
  <si>
    <t>1013836535</t>
  </si>
  <si>
    <t>5100002169</t>
  </si>
  <si>
    <t>1013836536</t>
  </si>
  <si>
    <t>5100002170</t>
  </si>
  <si>
    <t>Trích CP suất ăn phụ T03.2026 (Kho)</t>
  </si>
  <si>
    <t>Trích thưởng HH EPR 2024</t>
  </si>
  <si>
    <t>TRÍCH THƯỞNG EPR</t>
  </si>
  <si>
    <t>5100012343</t>
  </si>
  <si>
    <t>Trích thưởng HH EPR 2025</t>
  </si>
  <si>
    <t>Trích thưởng danh hiệu 2025</t>
  </si>
  <si>
    <t>TRÍCH THƯỞNG DH2025</t>
  </si>
  <si>
    <t>5100012350</t>
  </si>
  <si>
    <t>Khen thưởng kỷ niệm chương năm 2025</t>
  </si>
  <si>
    <t>Khen thưởng kỷ niệm chươn</t>
  </si>
  <si>
    <t>5100012352</t>
  </si>
  <si>
    <t>Trích bổ sung phép năm 2025</t>
  </si>
  <si>
    <t>Phép năm 2025</t>
  </si>
  <si>
    <t>5100012354</t>
  </si>
  <si>
    <t>1013787781</t>
  </si>
  <si>
    <t>1013796123</t>
  </si>
  <si>
    <t>1013796602</t>
  </si>
  <si>
    <t>1013799030</t>
  </si>
  <si>
    <t>MKT</t>
  </si>
  <si>
    <t>1013811860</t>
  </si>
  <si>
    <t>5100012373</t>
  </si>
  <si>
    <t>1013864057</t>
  </si>
  <si>
    <t>CHI PHÍ LƯƠNG THÁNG 04.2026</t>
  </si>
  <si>
    <t>CP LƯƠNGT04.2026</t>
  </si>
  <si>
    <t>5100003172</t>
  </si>
  <si>
    <t>1013864058</t>
  </si>
  <si>
    <t>5100003173</t>
  </si>
  <si>
    <t>1013864675</t>
  </si>
  <si>
    <t>TRÍCH LƯƠNG T13, PHÉP NĂM T04.2026</t>
  </si>
  <si>
    <t>5100003575</t>
  </si>
  <si>
    <t>1013864676</t>
  </si>
  <si>
    <t>TRÍCH DANH HIỆU T04.2026</t>
  </si>
  <si>
    <t>5100003576</t>
  </si>
  <si>
    <t>1013864674</t>
  </si>
  <si>
    <t>BHXH,BHYT,KPCĐ,BHTN T04.2026</t>
  </si>
  <si>
    <t>5100003574</t>
  </si>
  <si>
    <t>1013865996</t>
  </si>
  <si>
    <t>Điều chỉnh BHXH tháng 4.2026</t>
  </si>
  <si>
    <t>5100003631</t>
  </si>
  <si>
    <t>1013848933</t>
  </si>
  <si>
    <t>Trích thưởng EPR</t>
  </si>
  <si>
    <t>5100002958</t>
  </si>
  <si>
    <t>1013862264</t>
  </si>
  <si>
    <t>Trích thưởng EPR-Coca</t>
  </si>
  <si>
    <t>5100003092</t>
  </si>
  <si>
    <t>1013864060</t>
  </si>
  <si>
    <t>5100003175</t>
  </si>
  <si>
    <t>1013864061</t>
  </si>
  <si>
    <t>5100003176</t>
  </si>
  <si>
    <t>1013864063</t>
  </si>
  <si>
    <t>5100003178</t>
  </si>
  <si>
    <t>1013864064</t>
  </si>
  <si>
    <t>5100003179</t>
  </si>
  <si>
    <t>1013864065</t>
  </si>
  <si>
    <t>5100003180</t>
  </si>
  <si>
    <t>1013864066</t>
  </si>
  <si>
    <t>5100003181</t>
  </si>
  <si>
    <t>1013864067</t>
  </si>
  <si>
    <t>5100003182</t>
  </si>
  <si>
    <t>1013864677</t>
  </si>
  <si>
    <t>5100003577</t>
  </si>
  <si>
    <t>1013864678</t>
  </si>
  <si>
    <t>5100003578</t>
  </si>
  <si>
    <t>1013864679</t>
  </si>
  <si>
    <t>5100003579</t>
  </si>
  <si>
    <t>1013864680</t>
  </si>
  <si>
    <t>5100003580</t>
  </si>
  <si>
    <t>1013865629</t>
  </si>
  <si>
    <t>5100003627</t>
  </si>
  <si>
    <t>1013865651</t>
  </si>
  <si>
    <t>chi phí suất ăn - Nguyên Khang tháng 04/2026</t>
  </si>
  <si>
    <t>3500002493</t>
  </si>
  <si>
    <t>1013865667</t>
  </si>
  <si>
    <t>Trích trước lương IT T04.2026 - Phạm Đình Lợi</t>
  </si>
  <si>
    <t>Trích trước CP T04.2026</t>
  </si>
  <si>
    <t>5100003628</t>
  </si>
  <si>
    <t>1013865684</t>
  </si>
  <si>
    <t>Phí dịch vụ bảo vệ tháng 04/2026</t>
  </si>
  <si>
    <t>3500002506</t>
  </si>
  <si>
    <t>1013866260</t>
  </si>
  <si>
    <t>Trích CP suất ăn phụ T04.2026 (Tạp vụ)</t>
  </si>
  <si>
    <t>Trích CP suất ăn phụ T04</t>
  </si>
  <si>
    <t>5100003636</t>
  </si>
  <si>
    <t>1013866270</t>
  </si>
  <si>
    <t>CP công nhân thuê ngoài T04.2026 - Đại Đồng Tiến</t>
  </si>
  <si>
    <t>3500002525</t>
  </si>
  <si>
    <t>1013852498</t>
  </si>
  <si>
    <t>CHI LƯƠNG TTS T01.2026 - NGUYỄN HỒNG DUNG</t>
  </si>
  <si>
    <t>CHI LƯƠNG T8/25+T1/26</t>
  </si>
  <si>
    <t>5100002999</t>
  </si>
  <si>
    <t>CHI LƯƠNG TTS T01.2026 - HO THI XUAN HOA</t>
  </si>
  <si>
    <t>1013857235</t>
  </si>
  <si>
    <t>CHI LƯƠNG TTS T03.2026 - NGUYỄN HỒNG DUNG</t>
  </si>
  <si>
    <t>CHI LƯƠNG TTS T03.2026</t>
  </si>
  <si>
    <t>5100003037</t>
  </si>
  <si>
    <t>CHI LƯƠNG TTS T03.2026 - HO THI XUAN HOA</t>
  </si>
  <si>
    <t>1013864069</t>
  </si>
  <si>
    <t>5100003184</t>
  </si>
  <si>
    <t>1013864070</t>
  </si>
  <si>
    <t>5100003185</t>
  </si>
  <si>
    <t>1013864071</t>
  </si>
  <si>
    <t>5100003186</t>
  </si>
  <si>
    <t>1013864072</t>
  </si>
  <si>
    <t>6421002801</t>
  </si>
  <si>
    <t>5100003187</t>
  </si>
  <si>
    <t>1013864073</t>
  </si>
  <si>
    <t>5100003188</t>
  </si>
  <si>
    <t>1013864681</t>
  </si>
  <si>
    <t>5100003581</t>
  </si>
  <si>
    <t>1013864682</t>
  </si>
  <si>
    <t>5100003582</t>
  </si>
  <si>
    <t>1013865619</t>
  </si>
  <si>
    <t>CHI PHÍ LƯƠNG T04.2026</t>
  </si>
  <si>
    <t>5100003626</t>
  </si>
  <si>
    <t>1013843184</t>
  </si>
  <si>
    <t>Hoàn trích thưởng PKD T2.26</t>
  </si>
  <si>
    <t>TT thưởng PKD T2.2026</t>
  </si>
  <si>
    <t>1013846796</t>
  </si>
  <si>
    <t>CP suất ăn P.Kinh Doanh dùng cơm tại VVK T03.2026</t>
  </si>
  <si>
    <t>3500002177</t>
  </si>
  <si>
    <t>1013858261</t>
  </si>
  <si>
    <t>TRÍCH TRƯỚC CPDV thị trường Mỹ - Andy Trương T4/26</t>
  </si>
  <si>
    <t>TRÍCH TRƯỚC CP DV ANDY</t>
  </si>
  <si>
    <t>5100003075</t>
  </si>
  <si>
    <t>1013863474</t>
  </si>
  <si>
    <t>Trích TRƯỚC CP KHEN THƯỞNG 5S</t>
  </si>
  <si>
    <t>TRÍCH TRƯỚC K.THƯỞNG 5S</t>
  </si>
  <si>
    <t>5100003126</t>
  </si>
  <si>
    <t>1013864075</t>
  </si>
  <si>
    <t>5100003190</t>
  </si>
  <si>
    <t>1013864076</t>
  </si>
  <si>
    <t>5100003191</t>
  </si>
  <si>
    <t>1013864077</t>
  </si>
  <si>
    <t>5100003192</t>
  </si>
  <si>
    <t>1013864079</t>
  </si>
  <si>
    <t>5100003194</t>
  </si>
  <si>
    <t>1013864080</t>
  </si>
  <si>
    <t>5100003195</t>
  </si>
  <si>
    <t>1013864081</t>
  </si>
  <si>
    <t>5100003196</t>
  </si>
  <si>
    <t>1013864082</t>
  </si>
  <si>
    <t>5100003197</t>
  </si>
  <si>
    <t>1013864232</t>
  </si>
  <si>
    <t>5100003247</t>
  </si>
  <si>
    <t>1013864233</t>
  </si>
  <si>
    <t>5100003248</t>
  </si>
  <si>
    <t>1013864234</t>
  </si>
  <si>
    <t>5100003249</t>
  </si>
  <si>
    <t>1013864236</t>
  </si>
  <si>
    <t>5100003251</t>
  </si>
  <si>
    <t>1013864237</t>
  </si>
  <si>
    <t>5100003252</t>
  </si>
  <si>
    <t>1013864238</t>
  </si>
  <si>
    <t>5100003253</t>
  </si>
  <si>
    <t>1013864240</t>
  </si>
  <si>
    <t>5100003255</t>
  </si>
  <si>
    <t>1013864241</t>
  </si>
  <si>
    <t>5100003256</t>
  </si>
  <si>
    <t>1013864242</t>
  </si>
  <si>
    <t>5100003257</t>
  </si>
  <si>
    <t>1013864683</t>
  </si>
  <si>
    <t>5100003583</t>
  </si>
  <si>
    <t>1013864684</t>
  </si>
  <si>
    <t>5100003584</t>
  </si>
  <si>
    <t>1013864685</t>
  </si>
  <si>
    <t>5100003585</t>
  </si>
  <si>
    <t>1013864686</t>
  </si>
  <si>
    <t>5100003586</t>
  </si>
  <si>
    <t>1013864701</t>
  </si>
  <si>
    <t>5100003601</t>
  </si>
  <si>
    <t>1013864702</t>
  </si>
  <si>
    <t>5100003602</t>
  </si>
  <si>
    <t>1013864703</t>
  </si>
  <si>
    <t>5100003603</t>
  </si>
  <si>
    <t>1013864704</t>
  </si>
  <si>
    <t>5100003604</t>
  </si>
  <si>
    <t>1013864705</t>
  </si>
  <si>
    <t>5100003605</t>
  </si>
  <si>
    <t>1013864706</t>
  </si>
  <si>
    <t>5100003606</t>
  </si>
  <si>
    <t>1013864713</t>
  </si>
  <si>
    <t>5100003613</t>
  </si>
  <si>
    <t>1013864715</t>
  </si>
  <si>
    <t>Trừ vượt ĐM  dầu T04.2026</t>
  </si>
  <si>
    <t>5100003616</t>
  </si>
  <si>
    <t>1013866084</t>
  </si>
  <si>
    <t>TRÍCH THƯỞNG PHÒNG KINH DOANH T04/26</t>
  </si>
  <si>
    <t>5100003634</t>
  </si>
  <si>
    <t>1013866085</t>
  </si>
  <si>
    <t>TRÍCH THƯỞNG NVKD T04/26</t>
  </si>
  <si>
    <t>5100003635</t>
  </si>
  <si>
    <t>1013866257</t>
  </si>
  <si>
    <t>8500000687</t>
  </si>
  <si>
    <t>1013866718</t>
  </si>
  <si>
    <t>Trích CP khen thưởng cải tiến năm 2026</t>
  </si>
  <si>
    <t>5100003638</t>
  </si>
  <si>
    <t>1013842391</t>
  </si>
  <si>
    <t>Hoàn trích CP suất ăn phụ T10.2025 (PET)</t>
  </si>
  <si>
    <t>Hoàn trích CP suất ăn phụ</t>
  </si>
  <si>
    <t>5100002928</t>
  </si>
  <si>
    <t>1013842409</t>
  </si>
  <si>
    <t>Trích b.sung CP suất ăn phụ T12.2025 (PET)</t>
  </si>
  <si>
    <t>Trích bs CP suất ăn phụ</t>
  </si>
  <si>
    <t>5100002929</t>
  </si>
  <si>
    <t>1013842443</t>
  </si>
  <si>
    <t>Hoàn trích CP suất ăn phụ T01.2026 (PET)</t>
  </si>
  <si>
    <t>5100002930</t>
  </si>
  <si>
    <t>1013844727</t>
  </si>
  <si>
    <t>clear voucher giảm giá bánh sữa T11.25</t>
  </si>
  <si>
    <t>clear voucher giảm gía</t>
  </si>
  <si>
    <t>5100002936</t>
  </si>
  <si>
    <t>1013864084</t>
  </si>
  <si>
    <t>5100003199</t>
  </si>
  <si>
    <t>1013864085</t>
  </si>
  <si>
    <t>5100003200</t>
  </si>
  <si>
    <t>1013864086</t>
  </si>
  <si>
    <t>5100003201</t>
  </si>
  <si>
    <t>1013864088</t>
  </si>
  <si>
    <t>5100003203</t>
  </si>
  <si>
    <t>1013864089</t>
  </si>
  <si>
    <t>5100003204</t>
  </si>
  <si>
    <t>1013864090</t>
  </si>
  <si>
    <t>5100003205</t>
  </si>
  <si>
    <t>1013864091</t>
  </si>
  <si>
    <t>5100003206</t>
  </si>
  <si>
    <t>1013864092</t>
  </si>
  <si>
    <t>5100003207</t>
  </si>
  <si>
    <t>1013864094</t>
  </si>
  <si>
    <t>5100003209</t>
  </si>
  <si>
    <t>1013864095</t>
  </si>
  <si>
    <t>5100003210</t>
  </si>
  <si>
    <t>1013864096</t>
  </si>
  <si>
    <t>5100003211</t>
  </si>
  <si>
    <t>1013864097</t>
  </si>
  <si>
    <t>5100003212</t>
  </si>
  <si>
    <t>1013864098</t>
  </si>
  <si>
    <t>5100003213</t>
  </si>
  <si>
    <t>1013864100</t>
  </si>
  <si>
    <t>5100003215</t>
  </si>
  <si>
    <t>1013864201</t>
  </si>
  <si>
    <t>5100003216</t>
  </si>
  <si>
    <t>1013864202</t>
  </si>
  <si>
    <t>5100003217</t>
  </si>
  <si>
    <t>1013864204</t>
  </si>
  <si>
    <t>5100003219</t>
  </si>
  <si>
    <t>1013864205</t>
  </si>
  <si>
    <t>5100003220</t>
  </si>
  <si>
    <t>1013864206</t>
  </si>
  <si>
    <t>5100003221</t>
  </si>
  <si>
    <t>1013864207</t>
  </si>
  <si>
    <t>5100003222</t>
  </si>
  <si>
    <t>1013864208</t>
  </si>
  <si>
    <t>5100003223</t>
  </si>
  <si>
    <t>1013864209</t>
  </si>
  <si>
    <t>5100003224</t>
  </si>
  <si>
    <t>1013864210</t>
  </si>
  <si>
    <t>5100003225</t>
  </si>
  <si>
    <t>1013864211</t>
  </si>
  <si>
    <t>5100003226</t>
  </si>
  <si>
    <t>1013864212</t>
  </si>
  <si>
    <t>5100003227</t>
  </si>
  <si>
    <t>1013864213</t>
  </si>
  <si>
    <t>5100003228</t>
  </si>
  <si>
    <t>1013864687</t>
  </si>
  <si>
    <t>5100003587</t>
  </si>
  <si>
    <t>1013864688</t>
  </si>
  <si>
    <t>5100003588</t>
  </si>
  <si>
    <t>1013864689</t>
  </si>
  <si>
    <t>5100003589</t>
  </si>
  <si>
    <t>1013864690</t>
  </si>
  <si>
    <t>5100003590</t>
  </si>
  <si>
    <t>1013864691</t>
  </si>
  <si>
    <t>5100003591</t>
  </si>
  <si>
    <t>1013864692</t>
  </si>
  <si>
    <t>5100003592</t>
  </si>
  <si>
    <t>1013864693</t>
  </si>
  <si>
    <t>5100003593</t>
  </si>
  <si>
    <t>1013864694</t>
  </si>
  <si>
    <t>5100003594</t>
  </si>
  <si>
    <t>1013864695</t>
  </si>
  <si>
    <t>5100003595</t>
  </si>
  <si>
    <t>1013864696</t>
  </si>
  <si>
    <t>5100003596</t>
  </si>
  <si>
    <t>1013864709</t>
  </si>
  <si>
    <t>5100003609</t>
  </si>
  <si>
    <t>1013864710</t>
  </si>
  <si>
    <t>5100003610</t>
  </si>
  <si>
    <t>Trích CP suất ăn phụ T04.2026 (PET)</t>
  </si>
  <si>
    <t>Trích CP suất ăn phụ T04.2026 (Kỹ thuật)</t>
  </si>
  <si>
    <t>Trích CP suất ăn phụ T04.2026 (QLCL)</t>
  </si>
  <si>
    <t>1013866266</t>
  </si>
  <si>
    <t>CP công nhân thuê ngoài T04.2026 - VŨ VÂN ANH</t>
  </si>
  <si>
    <t>3500002524</t>
  </si>
  <si>
    <t>1013866272</t>
  </si>
  <si>
    <t>CP công nhân thuê ngoài T04.2026 - Vin HR</t>
  </si>
  <si>
    <t>3500002526</t>
  </si>
  <si>
    <t>1013866274</t>
  </si>
  <si>
    <t>CP công nhân thuê ngoài T04.2026 - Đông Hưng</t>
  </si>
  <si>
    <t>3500002527</t>
  </si>
  <si>
    <t>1013866275</t>
  </si>
  <si>
    <t>CP công nhân thuê ngoài T04.2026 - FCE</t>
  </si>
  <si>
    <t>3500002528</t>
  </si>
  <si>
    <t>1013867291</t>
  </si>
  <si>
    <t>5100003646</t>
  </si>
  <si>
    <t>1013864215</t>
  </si>
  <si>
    <t>5100003230</t>
  </si>
  <si>
    <t>1013864216</t>
  </si>
  <si>
    <t>5100003231</t>
  </si>
  <si>
    <t>1013864217</t>
  </si>
  <si>
    <t>5100003232</t>
  </si>
  <si>
    <t>1013864218</t>
  </si>
  <si>
    <t>5100003233</t>
  </si>
  <si>
    <t>1013864219</t>
  </si>
  <si>
    <t>5100003234</t>
  </si>
  <si>
    <t>1013864220</t>
  </si>
  <si>
    <t>5100003235</t>
  </si>
  <si>
    <t>1013864221</t>
  </si>
  <si>
    <t>5100003236</t>
  </si>
  <si>
    <t>1013864222</t>
  </si>
  <si>
    <t>5100003237</t>
  </si>
  <si>
    <t>1013864223</t>
  </si>
  <si>
    <t>5100003238</t>
  </si>
  <si>
    <t>1013864697</t>
  </si>
  <si>
    <t>5100003597</t>
  </si>
  <si>
    <t>1013864698</t>
  </si>
  <si>
    <t>5100003598</t>
  </si>
  <si>
    <t>1013864711</t>
  </si>
  <si>
    <t>5100003611</t>
  </si>
  <si>
    <t>1013864712</t>
  </si>
  <si>
    <t>5100003612</t>
  </si>
  <si>
    <t>Trích CP suất ăn phụ T04.2026 (HD+PP)</t>
  </si>
  <si>
    <t>1013860327</t>
  </si>
  <si>
    <t>TIỀN BỒI DƯỠNG LÊN XUỐNG CONT T03.26</t>
  </si>
  <si>
    <t>BD lên xuốngcont t03.26</t>
  </si>
  <si>
    <t>5100003087</t>
  </si>
  <si>
    <t>1013864225</t>
  </si>
  <si>
    <t>5100003240</t>
  </si>
  <si>
    <t>1013864226</t>
  </si>
  <si>
    <t>5100003241</t>
  </si>
  <si>
    <t>1013864227</t>
  </si>
  <si>
    <t>5100003242</t>
  </si>
  <si>
    <t>1013864228</t>
  </si>
  <si>
    <t>5100003243</t>
  </si>
  <si>
    <t>1013864229</t>
  </si>
  <si>
    <t>5100003244</t>
  </si>
  <si>
    <t>1013864230</t>
  </si>
  <si>
    <t>5100003245</t>
  </si>
  <si>
    <t>1013864244</t>
  </si>
  <si>
    <t>5100003259</t>
  </si>
  <si>
    <t>1013864245</t>
  </si>
  <si>
    <t>5100003260</t>
  </si>
  <si>
    <t>1013864246</t>
  </si>
  <si>
    <t>5100003261</t>
  </si>
  <si>
    <t>1013864247</t>
  </si>
  <si>
    <t>5100003262</t>
  </si>
  <si>
    <t>1013864699</t>
  </si>
  <si>
    <t>5100003599</t>
  </si>
  <si>
    <t>1013864700</t>
  </si>
  <si>
    <t>5100003600</t>
  </si>
  <si>
    <t>1013864707</t>
  </si>
  <si>
    <t>5100003607</t>
  </si>
  <si>
    <t>1013864708</t>
  </si>
  <si>
    <t>5100003608</t>
  </si>
  <si>
    <t>Trích CP suất ăn phụ T04.2026 (Kho)</t>
  </si>
  <si>
    <t>KC GL 6421002801-&gt; 6421007202</t>
  </si>
  <si>
    <t>KC GL 6421002801</t>
  </si>
  <si>
    <t>BQ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</si>
</sst>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0.0"/>
    <numFmt numFmtId="168" formatCode="_(* #,##0.0_);_(* \(#,##0.0\);_(* &quot;-&quot;??_);_(@_)"/>
    <numFmt numFmtId="169" formatCode="0.000"/>
    <numFmt numFmtId="170" formatCode="0.0%"/>
    <numFmt numFmtId="171" formatCode="mm/yyyy"/>
    <numFmt numFmtId="172" formatCode="[$-1010000]d/m/yy;@"/>
    <numFmt numFmtId="173" formatCode="_(* #,##0.00000_);_(* \(#,##0.00000\);_(* &quot;-&quot;_);_(@_)"/>
    <numFmt numFmtId="174" formatCode="_-* #,##0.0_-;\-* #,##0.0_-;_-* &quot;-&quot;_-;_-@_-"/>
    <numFmt numFmtId="175" formatCode="_-* #,##0.000_-;\-* #,##0.000_-;_-* &quot;-&quot;_-;_-@_-"/>
    <numFmt numFmtId="176" formatCode="_(* #,##0.0_);_(* \(#,##0.0\);_(* &quot;-&quot;_);_(@_)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0"/>
      <color rgb="FF0033CC"/>
      <name val="Times New Roman"/>
      <family val="1"/>
    </font>
    <font>
      <b/>
      <sz val="11"/>
      <color rgb="FF0033CC"/>
      <name val="Calibri"/>
      <family val="2"/>
      <scheme val="minor"/>
    </font>
    <font>
      <b/>
      <sz val="16"/>
      <color rgb="FF0033CC"/>
      <name val="Calibri"/>
      <family val="2"/>
      <scheme val="minor"/>
    </font>
    <font>
      <b/>
      <sz val="8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3399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rgb="FF0033CC"/>
      <name val="Times New Roman"/>
      <family val="1"/>
    </font>
    <font>
      <b/>
      <sz val="11"/>
      <color theme="0"/>
      <name val="Times New Roman"/>
      <family val="1"/>
    </font>
    <font>
      <sz val="11"/>
      <name val="Times New Roman"/>
      <family val="1"/>
    </font>
    <font>
      <b/>
      <sz val="11"/>
      <color rgb="FF0033CC"/>
      <name val="Times New Roman"/>
      <family val="1"/>
    </font>
    <font>
      <b/>
      <sz val="16"/>
      <color theme="5" tint="-0.249977111117893"/>
      <name val="Times New Roman"/>
      <family val="1"/>
    </font>
    <font>
      <b/>
      <sz val="16"/>
      <color rgb="FF00B050"/>
      <name val="Times New Roman"/>
      <family val="1"/>
    </font>
    <font>
      <b/>
      <sz val="12"/>
      <color rgb="FF0000FF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33CC"/>
      <name val="Arial"/>
      <family val="2"/>
    </font>
    <font>
      <sz val="10"/>
      <name val="Arial"/>
      <family val="2"/>
    </font>
    <font>
      <b/>
      <sz val="10"/>
      <color rgb="FF00B050"/>
      <name val="Arial"/>
      <family val="2"/>
    </font>
    <font>
      <b/>
      <sz val="10"/>
      <color theme="5" tint="-0.249977111117893"/>
      <name val="Arial"/>
      <family val="2"/>
    </font>
    <font>
      <b/>
      <sz val="10"/>
      <color rgb="FF0033CC"/>
      <name val="Arial"/>
      <family val="2"/>
    </font>
    <font>
      <b/>
      <sz val="10"/>
      <color rgb="FFFFC000"/>
      <name val="Arial"/>
      <family val="2"/>
    </font>
    <font>
      <sz val="11"/>
      <color theme="0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u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33CC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FF33CC"/>
      <name val="Calibri"/>
      <family val="2"/>
      <scheme val="minor"/>
    </font>
    <font>
      <b/>
      <sz val="16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CC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0000FF"/>
      <name val="Times New Roman"/>
      <family val="1"/>
    </font>
    <font>
      <b/>
      <sz val="12"/>
      <color rgb="FFFF0000"/>
      <name val="Times New Roman"/>
      <family val="1"/>
    </font>
    <font>
      <i/>
      <u/>
      <sz val="11"/>
      <color theme="5" tint="-0.249977111117893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66FF"/>
      <name val="Calibri"/>
      <family val="2"/>
      <scheme val="minor"/>
    </font>
    <font>
      <sz val="11"/>
      <color rgb="FF0000FF"/>
      <name val="Times New Roman"/>
      <family val="1"/>
    </font>
    <font>
      <i/>
      <sz val="11"/>
      <color theme="5" tint="-0.249977111117893"/>
      <name val="Times New Roman"/>
      <family val="1"/>
    </font>
    <font>
      <b/>
      <i/>
      <sz val="11"/>
      <color theme="5" tint="-0.249977111117893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4"/>
      <color rgb="FF0000FF"/>
      <name val="Times New Roman"/>
      <family val="1"/>
    </font>
    <font>
      <sz val="14"/>
      <color rgb="FF0000FF"/>
      <name val="Times New Roman"/>
      <family val="1"/>
    </font>
    <font>
      <sz val="10"/>
      <name val="Arial"/>
      <family val="2"/>
    </font>
    <font>
      <b/>
      <sz val="9"/>
      <color theme="0"/>
      <name val="Times New Roman"/>
      <family val="1"/>
    </font>
    <font>
      <sz val="10"/>
      <color indexed="8"/>
      <name val="Arial"/>
      <family val="2"/>
    </font>
    <font>
      <b/>
      <sz val="10"/>
      <color rgb="FF0000FF"/>
      <name val="Times New Roman"/>
      <family val="1"/>
    </font>
    <font>
      <b/>
      <sz val="11"/>
      <color rgb="FFFF0000"/>
      <name val="Times New Roman"/>
      <family val="1"/>
    </font>
    <font>
      <b/>
      <sz val="10"/>
      <color theme="5" tint="-0.249977111117893"/>
      <name val="Times New Roman"/>
      <family val="1"/>
    </font>
    <font>
      <b/>
      <sz val="10"/>
      <color rgb="FF00B050"/>
      <name val="Times New Roman"/>
      <family val="1"/>
    </font>
    <font>
      <b/>
      <sz val="10"/>
      <color rgb="FF00B0F0"/>
      <name val="Times New Roman"/>
      <family val="1"/>
    </font>
    <font>
      <b/>
      <sz val="16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rgb="FFFF0000"/>
      </right>
      <top/>
      <bottom style="hair">
        <color indexed="64"/>
      </bottom>
      <diagonal/>
    </border>
    <border>
      <left style="thin">
        <color indexed="64"/>
      </left>
      <right style="medium">
        <color rgb="FFFF0000"/>
      </right>
      <top style="hair">
        <color indexed="64"/>
      </top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/>
    <xf numFmtId="165" fontId="1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7" fillId="0" borderId="0"/>
    <xf numFmtId="164" fontId="57" fillId="0" borderId="0" applyFont="0" applyFill="0" applyBorder="0" applyAlignment="0" applyProtection="0"/>
    <xf numFmtId="0" fontId="60" fillId="0" borderId="0"/>
    <xf numFmtId="0" fontId="62" fillId="0" borderId="0"/>
  </cellStyleXfs>
  <cellXfs count="46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4" fillId="0" borderId="3" xfId="0" applyFont="1" applyBorder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horizontal="left"/>
    </xf>
    <xf numFmtId="166" fontId="8" fillId="6" borderId="1" xfId="0" applyNumberFormat="1" applyFont="1" applyFill="1" applyBorder="1" applyAlignment="1">
      <alignment horizontal="left" vertical="center" wrapText="1"/>
    </xf>
    <xf numFmtId="166" fontId="8" fillId="7" borderId="1" xfId="0" applyNumberFormat="1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6" fillId="8" borderId="1" xfId="0" applyFont="1" applyFill="1" applyBorder="1"/>
    <xf numFmtId="0" fontId="5" fillId="8" borderId="1" xfId="0" applyFont="1" applyFill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 applyAlignment="1">
      <alignment horizontal="right"/>
    </xf>
    <xf numFmtId="0" fontId="13" fillId="0" borderId="0" xfId="0" applyFont="1"/>
    <xf numFmtId="0" fontId="14" fillId="5" borderId="6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/>
    <xf numFmtId="0" fontId="12" fillId="0" borderId="2" xfId="0" applyFont="1" applyBorder="1"/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/>
    <xf numFmtId="0" fontId="12" fillId="0" borderId="3" xfId="0" applyFont="1" applyBorder="1"/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/>
    <xf numFmtId="0" fontId="12" fillId="0" borderId="4" xfId="0" applyFont="1" applyBorder="1"/>
    <xf numFmtId="0" fontId="16" fillId="4" borderId="1" xfId="0" applyFont="1" applyFill="1" applyBorder="1"/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/>
    <xf numFmtId="0" fontId="14" fillId="9" borderId="6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left" vertical="center" wrapText="1"/>
    </xf>
    <xf numFmtId="0" fontId="12" fillId="10" borderId="8" xfId="0" applyFont="1" applyFill="1" applyBorder="1"/>
    <xf numFmtId="0" fontId="15" fillId="10" borderId="9" xfId="0" applyFont="1" applyFill="1" applyBorder="1" applyAlignment="1">
      <alignment horizontal="left" vertical="center" wrapText="1"/>
    </xf>
    <xf numFmtId="3" fontId="19" fillId="0" borderId="0" xfId="0" applyNumberFormat="1" applyFont="1"/>
    <xf numFmtId="0" fontId="20" fillId="0" borderId="0" xfId="0" applyFont="1"/>
    <xf numFmtId="166" fontId="21" fillId="11" borderId="2" xfId="0" applyNumberFormat="1" applyFont="1" applyFill="1" applyBorder="1" applyAlignment="1">
      <alignment horizontal="center" vertical="center" wrapText="1"/>
    </xf>
    <xf numFmtId="166" fontId="22" fillId="0" borderId="3" xfId="0" applyNumberFormat="1" applyFont="1" applyBorder="1"/>
    <xf numFmtId="3" fontId="23" fillId="12" borderId="3" xfId="0" applyNumberFormat="1" applyFont="1" applyFill="1" applyBorder="1"/>
    <xf numFmtId="3" fontId="23" fillId="13" borderId="3" xfId="0" applyNumberFormat="1" applyFont="1" applyFill="1" applyBorder="1"/>
    <xf numFmtId="166" fontId="22" fillId="0" borderId="4" xfId="0" applyNumberFormat="1" applyFont="1" applyBorder="1"/>
    <xf numFmtId="3" fontId="23" fillId="13" borderId="4" xfId="0" applyNumberFormat="1" applyFont="1" applyFill="1" applyBorder="1"/>
    <xf numFmtId="166" fontId="24" fillId="0" borderId="3" xfId="0" applyNumberFormat="1" applyFont="1" applyBorder="1"/>
    <xf numFmtId="166" fontId="25" fillId="0" borderId="3" xfId="0" applyNumberFormat="1" applyFont="1" applyBorder="1"/>
    <xf numFmtId="166" fontId="26" fillId="0" borderId="3" xfId="0" applyNumberFormat="1" applyFont="1" applyBorder="1"/>
    <xf numFmtId="166" fontId="27" fillId="0" borderId="3" xfId="0" applyNumberFormat="1" applyFont="1" applyBorder="1"/>
    <xf numFmtId="0" fontId="15" fillId="2" borderId="7" xfId="0" applyFont="1" applyFill="1" applyBorder="1" applyAlignment="1">
      <alignment horizontal="left" vertical="center" wrapText="1"/>
    </xf>
    <xf numFmtId="0" fontId="12" fillId="2" borderId="8" xfId="0" applyFont="1" applyFill="1" applyBorder="1"/>
    <xf numFmtId="0" fontId="15" fillId="2" borderId="9" xfId="0" applyFont="1" applyFill="1" applyBorder="1" applyAlignment="1">
      <alignment horizontal="left" vertical="center" wrapText="1"/>
    </xf>
    <xf numFmtId="0" fontId="12" fillId="2" borderId="10" xfId="0" applyFont="1" applyFill="1" applyBorder="1"/>
    <xf numFmtId="166" fontId="12" fillId="2" borderId="4" xfId="1" applyNumberFormat="1" applyFont="1" applyFill="1" applyBorder="1"/>
    <xf numFmtId="166" fontId="16" fillId="2" borderId="4" xfId="1" applyNumberFormat="1" applyFont="1" applyFill="1" applyBorder="1"/>
    <xf numFmtId="0" fontId="29" fillId="0" borderId="0" xfId="0" applyFont="1"/>
    <xf numFmtId="1" fontId="16" fillId="4" borderId="1" xfId="0" applyNumberFormat="1" applyFont="1" applyFill="1" applyBorder="1"/>
    <xf numFmtId="166" fontId="12" fillId="10" borderId="2" xfId="1" applyNumberFormat="1" applyFont="1" applyFill="1" applyBorder="1"/>
    <xf numFmtId="166" fontId="12" fillId="2" borderId="2" xfId="1" applyNumberFormat="1" applyFont="1" applyFill="1" applyBorder="1"/>
    <xf numFmtId="1" fontId="29" fillId="0" borderId="0" xfId="0" applyNumberFormat="1" applyFont="1"/>
    <xf numFmtId="166" fontId="16" fillId="10" borderId="2" xfId="1" applyNumberFormat="1" applyFont="1" applyFill="1" applyBorder="1"/>
    <xf numFmtId="0" fontId="11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166" fontId="0" fillId="0" borderId="2" xfId="1" applyNumberFormat="1" applyFont="1" applyBorder="1"/>
    <xf numFmtId="166" fontId="0" fillId="0" borderId="3" xfId="1" applyNumberFormat="1" applyFont="1" applyBorder="1"/>
    <xf numFmtId="166" fontId="0" fillId="0" borderId="11" xfId="1" applyNumberFormat="1" applyFont="1" applyBorder="1"/>
    <xf numFmtId="166" fontId="6" fillId="8" borderId="1" xfId="1" applyNumberFormat="1" applyFont="1" applyFill="1" applyBorder="1"/>
    <xf numFmtId="166" fontId="6" fillId="0" borderId="3" xfId="1" applyNumberFormat="1" applyFont="1" applyBorder="1"/>
    <xf numFmtId="1" fontId="0" fillId="0" borderId="0" xfId="0" applyNumberFormat="1"/>
    <xf numFmtId="0" fontId="30" fillId="0" borderId="0" xfId="0" applyFont="1"/>
    <xf numFmtId="166" fontId="16" fillId="2" borderId="2" xfId="1" applyNumberFormat="1" applyFont="1" applyFill="1" applyBorder="1"/>
    <xf numFmtId="0" fontId="32" fillId="0" borderId="0" xfId="0" applyFont="1"/>
    <xf numFmtId="0" fontId="31" fillId="0" borderId="0" xfId="0" applyFont="1"/>
    <xf numFmtId="0" fontId="33" fillId="0" borderId="0" xfId="0" applyFont="1"/>
    <xf numFmtId="0" fontId="2" fillId="3" borderId="1" xfId="0" applyFont="1" applyFill="1" applyBorder="1" applyAlignment="1">
      <alignment horizontal="center" vertical="center"/>
    </xf>
    <xf numFmtId="166" fontId="29" fillId="0" borderId="0" xfId="1" applyNumberFormat="1" applyFont="1"/>
    <xf numFmtId="166" fontId="12" fillId="0" borderId="3" xfId="1" applyNumberFormat="1" applyFont="1" applyBorder="1"/>
    <xf numFmtId="0" fontId="35" fillId="0" borderId="0" xfId="0" applyFont="1"/>
    <xf numFmtId="0" fontId="2" fillId="3" borderId="13" xfId="0" applyFont="1" applyFill="1" applyBorder="1" applyAlignment="1">
      <alignment horizontal="center" vertical="center"/>
    </xf>
    <xf numFmtId="0" fontId="34" fillId="3" borderId="12" xfId="0" applyFont="1" applyFill="1" applyBorder="1" applyAlignment="1">
      <alignment horizontal="center" vertical="center"/>
    </xf>
    <xf numFmtId="0" fontId="34" fillId="3" borderId="13" xfId="0" applyFont="1" applyFill="1" applyBorder="1" applyAlignment="1">
      <alignment horizontal="center" vertical="center"/>
    </xf>
    <xf numFmtId="166" fontId="0" fillId="2" borderId="2" xfId="1" applyNumberFormat="1" applyFont="1" applyFill="1" applyBorder="1"/>
    <xf numFmtId="166" fontId="0" fillId="2" borderId="3" xfId="1" applyNumberFormat="1" applyFont="1" applyFill="1" applyBorder="1"/>
    <xf numFmtId="0" fontId="37" fillId="8" borderId="3" xfId="0" applyFont="1" applyFill="1" applyBorder="1"/>
    <xf numFmtId="166" fontId="3" fillId="8" borderId="3" xfId="1" applyNumberFormat="1" applyFont="1" applyFill="1" applyBorder="1"/>
    <xf numFmtId="0" fontId="6" fillId="8" borderId="4" xfId="0" applyFont="1" applyFill="1" applyBorder="1"/>
    <xf numFmtId="0" fontId="0" fillId="7" borderId="3" xfId="0" applyFill="1" applyBorder="1"/>
    <xf numFmtId="166" fontId="0" fillId="7" borderId="3" xfId="1" applyNumberFormat="1" applyFont="1" applyFill="1" applyBorder="1"/>
    <xf numFmtId="0" fontId="40" fillId="0" borderId="0" xfId="0" applyFont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0" fillId="2" borderId="3" xfId="0" applyFill="1" applyBorder="1"/>
    <xf numFmtId="0" fontId="0" fillId="2" borderId="3" xfId="0" applyFill="1" applyBorder="1" applyAlignment="1">
      <alignment horizontal="right"/>
    </xf>
    <xf numFmtId="0" fontId="0" fillId="8" borderId="3" xfId="0" applyFill="1" applyBorder="1"/>
    <xf numFmtId="0" fontId="0" fillId="8" borderId="3" xfId="0" applyFill="1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4" xfId="0" applyFill="1" applyBorder="1"/>
    <xf numFmtId="0" fontId="0" fillId="2" borderId="4" xfId="0" applyFill="1" applyBorder="1"/>
    <xf numFmtId="0" fontId="0" fillId="8" borderId="2" xfId="0" applyFill="1" applyBorder="1"/>
    <xf numFmtId="0" fontId="0" fillId="8" borderId="2" xfId="0" applyFill="1" applyBorder="1" applyAlignment="1">
      <alignment horizontal="right"/>
    </xf>
    <xf numFmtId="0" fontId="3" fillId="8" borderId="2" xfId="0" applyFont="1" applyFill="1" applyBorder="1"/>
    <xf numFmtId="0" fontId="37" fillId="8" borderId="2" xfId="0" applyFont="1" applyFill="1" applyBorder="1"/>
    <xf numFmtId="0" fontId="0" fillId="8" borderId="4" xfId="0" applyFill="1" applyBorder="1"/>
    <xf numFmtId="0" fontId="39" fillId="8" borderId="4" xfId="0" applyFont="1" applyFill="1" applyBorder="1"/>
    <xf numFmtId="0" fontId="0" fillId="7" borderId="2" xfId="0" applyFill="1" applyBorder="1"/>
    <xf numFmtId="0" fontId="0" fillId="7" borderId="2" xfId="0" applyFill="1" applyBorder="1" applyAlignment="1">
      <alignment horizontal="right"/>
    </xf>
    <xf numFmtId="0" fontId="37" fillId="2" borderId="4" xfId="0" applyFont="1" applyFill="1" applyBorder="1" applyAlignment="1">
      <alignment horizontal="right"/>
    </xf>
    <xf numFmtId="0" fontId="39" fillId="8" borderId="4" xfId="0" applyFont="1" applyFill="1" applyBorder="1" applyAlignment="1">
      <alignment horizontal="right"/>
    </xf>
    <xf numFmtId="0" fontId="38" fillId="7" borderId="4" xfId="0" applyFont="1" applyFill="1" applyBorder="1" applyAlignment="1">
      <alignment horizontal="right"/>
    </xf>
    <xf numFmtId="167" fontId="38" fillId="7" borderId="4" xfId="0" applyNumberFormat="1" applyFont="1" applyFill="1" applyBorder="1"/>
    <xf numFmtId="167" fontId="37" fillId="2" borderId="4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9" fillId="14" borderId="1" xfId="0" applyFont="1" applyFill="1" applyBorder="1"/>
    <xf numFmtId="0" fontId="41" fillId="0" borderId="0" xfId="0" applyFont="1"/>
    <xf numFmtId="166" fontId="0" fillId="0" borderId="4" xfId="1" applyNumberFormat="1" applyFont="1" applyBorder="1"/>
    <xf numFmtId="166" fontId="39" fillId="14" borderId="1" xfId="1" applyNumberFormat="1" applyFont="1" applyFill="1" applyBorder="1"/>
    <xf numFmtId="0" fontId="2" fillId="3" borderId="6" xfId="0" applyFont="1" applyFill="1" applyBorder="1" applyAlignment="1">
      <alignment horizontal="center"/>
    </xf>
    <xf numFmtId="166" fontId="6" fillId="0" borderId="3" xfId="1" applyNumberFormat="1" applyFont="1" applyFill="1" applyBorder="1"/>
    <xf numFmtId="166" fontId="0" fillId="0" borderId="0" xfId="0" applyNumberFormat="1"/>
    <xf numFmtId="0" fontId="2" fillId="9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166" fontId="30" fillId="0" borderId="0" xfId="0" applyNumberFormat="1" applyFont="1"/>
    <xf numFmtId="1" fontId="37" fillId="2" borderId="4" xfId="0" applyNumberFormat="1" applyFont="1" applyFill="1" applyBorder="1"/>
    <xf numFmtId="166" fontId="30" fillId="2" borderId="2" xfId="1" applyNumberFormat="1" applyFont="1" applyFill="1" applyBorder="1"/>
    <xf numFmtId="166" fontId="30" fillId="2" borderId="3" xfId="1" applyNumberFormat="1" applyFont="1" applyFill="1" applyBorder="1"/>
    <xf numFmtId="0" fontId="30" fillId="7" borderId="2" xfId="0" applyFont="1" applyFill="1" applyBorder="1"/>
    <xf numFmtId="0" fontId="30" fillId="7" borderId="3" xfId="0" applyFont="1" applyFill="1" applyBorder="1"/>
    <xf numFmtId="1" fontId="6" fillId="8" borderId="4" xfId="0" applyNumberFormat="1" applyFont="1" applyFill="1" applyBorder="1"/>
    <xf numFmtId="1" fontId="38" fillId="7" borderId="4" xfId="0" applyNumberFormat="1" applyFont="1" applyFill="1" applyBorder="1"/>
    <xf numFmtId="1" fontId="39" fillId="8" borderId="4" xfId="0" applyNumberFormat="1" applyFont="1" applyFill="1" applyBorder="1"/>
    <xf numFmtId="0" fontId="2" fillId="15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2" fillId="0" borderId="2" xfId="4" applyBorder="1"/>
    <xf numFmtId="0" fontId="43" fillId="0" borderId="2" xfId="0" applyFont="1" applyBorder="1"/>
    <xf numFmtId="0" fontId="36" fillId="0" borderId="2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42" fillId="0" borderId="3" xfId="4" applyBorder="1"/>
    <xf numFmtId="0" fontId="43" fillId="0" borderId="3" xfId="0" applyFont="1" applyBorder="1"/>
    <xf numFmtId="0" fontId="4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4" fillId="16" borderId="6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/>
    </xf>
    <xf numFmtId="0" fontId="14" fillId="16" borderId="5" xfId="0" applyFont="1" applyFill="1" applyBorder="1" applyAlignment="1">
      <alignment horizontal="center" vertical="center"/>
    </xf>
    <xf numFmtId="0" fontId="14" fillId="16" borderId="5" xfId="0" applyFont="1" applyFill="1" applyBorder="1" applyAlignment="1">
      <alignment horizontal="center" vertical="center" wrapText="1"/>
    </xf>
    <xf numFmtId="0" fontId="28" fillId="16" borderId="0" xfId="0" applyFont="1" applyFill="1" applyAlignment="1">
      <alignment horizontal="center"/>
    </xf>
    <xf numFmtId="0" fontId="42" fillId="17" borderId="0" xfId="4" applyFill="1"/>
    <xf numFmtId="0" fontId="39" fillId="0" borderId="0" xfId="0" applyFont="1"/>
    <xf numFmtId="0" fontId="45" fillId="14" borderId="0" xfId="0" applyFont="1" applyFill="1"/>
    <xf numFmtId="0" fontId="45" fillId="14" borderId="0" xfId="0" applyFont="1" applyFill="1" applyAlignment="1">
      <alignment vertical="top"/>
    </xf>
    <xf numFmtId="0" fontId="45" fillId="0" borderId="0" xfId="0" applyFont="1"/>
    <xf numFmtId="166" fontId="46" fillId="19" borderId="0" xfId="1" applyNumberFormat="1" applyFont="1" applyFill="1"/>
    <xf numFmtId="0" fontId="45" fillId="18" borderId="1" xfId="0" applyFont="1" applyFill="1" applyBorder="1" applyAlignment="1">
      <alignment vertical="top"/>
    </xf>
    <xf numFmtId="0" fontId="45" fillId="18" borderId="1" xfId="0" applyFont="1" applyFill="1" applyBorder="1" applyAlignment="1">
      <alignment vertical="top" wrapText="1"/>
    </xf>
    <xf numFmtId="14" fontId="45" fillId="0" borderId="0" xfId="0" applyNumberFormat="1" applyFont="1" applyAlignment="1">
      <alignment horizontal="right" vertical="top"/>
    </xf>
    <xf numFmtId="0" fontId="45" fillId="0" borderId="0" xfId="0" applyFont="1" applyAlignment="1">
      <alignment vertical="top"/>
    </xf>
    <xf numFmtId="169" fontId="45" fillId="0" borderId="0" xfId="0" applyNumberFormat="1" applyFont="1" applyAlignment="1">
      <alignment horizontal="right" vertical="top"/>
    </xf>
    <xf numFmtId="166" fontId="45" fillId="18" borderId="1" xfId="1" applyNumberFormat="1" applyFont="1" applyFill="1" applyBorder="1" applyAlignment="1">
      <alignment vertical="top"/>
    </xf>
    <xf numFmtId="166" fontId="45" fillId="0" borderId="0" xfId="1" applyNumberFormat="1" applyFont="1" applyAlignment="1">
      <alignment horizontal="right" vertical="top"/>
    </xf>
    <xf numFmtId="166" fontId="45" fillId="0" borderId="0" xfId="1" applyNumberFormat="1" applyFont="1"/>
    <xf numFmtId="0" fontId="0" fillId="19" borderId="0" xfId="0" applyFill="1"/>
    <xf numFmtId="166" fontId="0" fillId="19" borderId="0" xfId="0" applyNumberFormat="1" applyFill="1"/>
    <xf numFmtId="170" fontId="6" fillId="19" borderId="5" xfId="3" applyNumberFormat="1" applyFont="1" applyFill="1" applyBorder="1"/>
    <xf numFmtId="170" fontId="0" fillId="19" borderId="0" xfId="3" applyNumberFormat="1" applyFont="1" applyFill="1"/>
    <xf numFmtId="170" fontId="6" fillId="19" borderId="5" xfId="3" quotePrefix="1" applyNumberFormat="1" applyFont="1" applyFill="1" applyBorder="1"/>
    <xf numFmtId="0" fontId="30" fillId="19" borderId="0" xfId="0" applyFont="1" applyFill="1" applyAlignment="1">
      <alignment horizontal="center" vertical="top" wrapText="1"/>
    </xf>
    <xf numFmtId="166" fontId="15" fillId="0" borderId="2" xfId="0" applyNumberFormat="1" applyFont="1" applyBorder="1"/>
    <xf numFmtId="166" fontId="12" fillId="0" borderId="2" xfId="0" applyNumberFormat="1" applyFont="1" applyBorder="1"/>
    <xf numFmtId="166" fontId="15" fillId="0" borderId="3" xfId="0" applyNumberFormat="1" applyFont="1" applyBorder="1"/>
    <xf numFmtId="166" fontId="12" fillId="0" borderId="3" xfId="0" applyNumberFormat="1" applyFont="1" applyBorder="1"/>
    <xf numFmtId="166" fontId="15" fillId="0" borderId="4" xfId="0" applyNumberFormat="1" applyFont="1" applyBorder="1"/>
    <xf numFmtId="166" fontId="12" fillId="0" borderId="4" xfId="0" applyNumberFormat="1" applyFont="1" applyBorder="1"/>
    <xf numFmtId="166" fontId="47" fillId="19" borderId="3" xfId="0" applyNumberFormat="1" applyFont="1" applyFill="1" applyBorder="1"/>
    <xf numFmtId="0" fontId="48" fillId="0" borderId="2" xfId="0" applyFont="1" applyBorder="1"/>
    <xf numFmtId="1" fontId="48" fillId="0" borderId="2" xfId="0" applyNumberFormat="1" applyFont="1" applyBorder="1"/>
    <xf numFmtId="1" fontId="48" fillId="0" borderId="3" xfId="0" applyNumberFormat="1" applyFont="1" applyBorder="1"/>
    <xf numFmtId="1" fontId="48" fillId="0" borderId="4" xfId="0" applyNumberFormat="1" applyFont="1" applyBorder="1"/>
    <xf numFmtId="168" fontId="12" fillId="0" borderId="2" xfId="1" applyNumberFormat="1" applyFont="1" applyBorder="1"/>
    <xf numFmtId="0" fontId="49" fillId="0" borderId="0" xfId="0" applyFont="1"/>
    <xf numFmtId="0" fontId="48" fillId="0" borderId="3" xfId="0" applyFont="1" applyBorder="1"/>
    <xf numFmtId="0" fontId="37" fillId="0" borderId="0" xfId="0" applyFont="1"/>
    <xf numFmtId="0" fontId="41" fillId="0" borderId="0" xfId="0" applyFont="1" applyAlignment="1">
      <alignment horizontal="right"/>
    </xf>
    <xf numFmtId="0" fontId="41" fillId="0" borderId="0" xfId="0" applyFont="1" applyAlignment="1">
      <alignment horizontal="left"/>
    </xf>
    <xf numFmtId="9" fontId="0" fillId="0" borderId="8" xfId="3" applyFont="1" applyBorder="1"/>
    <xf numFmtId="9" fontId="16" fillId="4" borderId="1" xfId="3" applyFont="1" applyFill="1" applyBorder="1"/>
    <xf numFmtId="9" fontId="0" fillId="0" borderId="16" xfId="3" applyFont="1" applyBorder="1"/>
    <xf numFmtId="9" fontId="0" fillId="0" borderId="10" xfId="3" applyFont="1" applyBorder="1"/>
    <xf numFmtId="9" fontId="0" fillId="0" borderId="2" xfId="3" applyFont="1" applyBorder="1"/>
    <xf numFmtId="9" fontId="0" fillId="0" borderId="3" xfId="3" applyFont="1" applyBorder="1"/>
    <xf numFmtId="9" fontId="0" fillId="0" borderId="4" xfId="3" applyFont="1" applyBorder="1"/>
    <xf numFmtId="0" fontId="40" fillId="0" borderId="0" xfId="0" applyFont="1" applyAlignment="1">
      <alignment horizontal="center"/>
    </xf>
    <xf numFmtId="0" fontId="40" fillId="19" borderId="0" xfId="0" applyFont="1" applyFill="1" applyAlignment="1">
      <alignment horizontal="center"/>
    </xf>
    <xf numFmtId="0" fontId="14" fillId="16" borderId="1" xfId="0" applyFont="1" applyFill="1" applyBorder="1" applyAlignment="1">
      <alignment horizontal="center" vertical="center" wrapText="1"/>
    </xf>
    <xf numFmtId="0" fontId="40" fillId="0" borderId="2" xfId="0" applyFont="1" applyBorder="1" applyAlignment="1">
      <alignment horizontal="center"/>
    </xf>
    <xf numFmtId="0" fontId="0" fillId="0" borderId="2" xfId="0" applyBorder="1"/>
    <xf numFmtId="0" fontId="40" fillId="0" borderId="3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166" fontId="0" fillId="0" borderId="14" xfId="0" applyNumberFormat="1" applyBorder="1"/>
    <xf numFmtId="166" fontId="0" fillId="0" borderId="8" xfId="0" applyNumberFormat="1" applyBorder="1"/>
    <xf numFmtId="166" fontId="0" fillId="0" borderId="15" xfId="0" applyNumberFormat="1" applyBorder="1"/>
    <xf numFmtId="166" fontId="0" fillId="0" borderId="16" xfId="0" applyNumberFormat="1" applyBorder="1"/>
    <xf numFmtId="166" fontId="0" fillId="0" borderId="17" xfId="0" applyNumberFormat="1" applyBorder="1"/>
    <xf numFmtId="166" fontId="0" fillId="0" borderId="10" xfId="0" applyNumberFormat="1" applyBorder="1"/>
    <xf numFmtId="0" fontId="40" fillId="2" borderId="0" xfId="0" applyFont="1" applyFill="1" applyAlignment="1">
      <alignment horizontal="right"/>
    </xf>
    <xf numFmtId="0" fontId="40" fillId="2" borderId="5" xfId="0" applyFont="1" applyFill="1" applyBorder="1"/>
    <xf numFmtId="0" fontId="50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 readingOrder="1"/>
    </xf>
    <xf numFmtId="0" fontId="33" fillId="0" borderId="0" xfId="0" applyFont="1" applyAlignment="1">
      <alignment horizontal="left" vertical="center" readingOrder="1"/>
    </xf>
    <xf numFmtId="0" fontId="14" fillId="16" borderId="1" xfId="0" applyFont="1" applyFill="1" applyBorder="1" applyAlignment="1">
      <alignment horizontal="center" vertical="center"/>
    </xf>
    <xf numFmtId="1" fontId="0" fillId="0" borderId="4" xfId="0" applyNumberFormat="1" applyBorder="1"/>
    <xf numFmtId="0" fontId="2" fillId="20" borderId="1" xfId="0" applyFont="1" applyFill="1" applyBorder="1" applyAlignment="1">
      <alignment horizontal="center"/>
    </xf>
    <xf numFmtId="0" fontId="48" fillId="0" borderId="0" xfId="0" applyFont="1"/>
    <xf numFmtId="0" fontId="51" fillId="21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48" fillId="23" borderId="2" xfId="0" applyFont="1" applyFill="1" applyBorder="1" applyAlignment="1">
      <alignment horizontal="center" vertical="center" wrapText="1"/>
    </xf>
    <xf numFmtId="0" fontId="48" fillId="7" borderId="2" xfId="0" applyFont="1" applyFill="1" applyBorder="1"/>
    <xf numFmtId="0" fontId="52" fillId="0" borderId="2" xfId="0" applyFont="1" applyBorder="1"/>
    <xf numFmtId="0" fontId="48" fillId="7" borderId="2" xfId="0" applyFont="1" applyFill="1" applyBorder="1" applyAlignment="1">
      <alignment horizontal="right"/>
    </xf>
    <xf numFmtId="0" fontId="52" fillId="0" borderId="0" xfId="0" applyFont="1"/>
    <xf numFmtId="0" fontId="47" fillId="22" borderId="3" xfId="0" applyFont="1" applyFill="1" applyBorder="1"/>
    <xf numFmtId="0" fontId="47" fillId="21" borderId="3" xfId="0" applyFont="1" applyFill="1" applyBorder="1"/>
    <xf numFmtId="0" fontId="47" fillId="21" borderId="4" xfId="0" applyFont="1" applyFill="1" applyBorder="1"/>
    <xf numFmtId="1" fontId="12" fillId="0" borderId="0" xfId="0" applyNumberFormat="1" applyFont="1"/>
    <xf numFmtId="9" fontId="12" fillId="0" borderId="0" xfId="3" applyFont="1"/>
    <xf numFmtId="166" fontId="53" fillId="14" borderId="3" xfId="0" applyNumberFormat="1" applyFont="1" applyFill="1" applyBorder="1" applyAlignment="1">
      <alignment horizontal="center"/>
    </xf>
    <xf numFmtId="166" fontId="53" fillId="14" borderId="3" xfId="0" applyNumberFormat="1" applyFont="1" applyFill="1" applyBorder="1"/>
    <xf numFmtId="166" fontId="12" fillId="0" borderId="0" xfId="0" applyNumberFormat="1" applyFont="1"/>
    <xf numFmtId="41" fontId="12" fillId="0" borderId="0" xfId="12" applyFont="1"/>
    <xf numFmtId="0" fontId="2" fillId="9" borderId="6" xfId="0" applyFont="1" applyFill="1" applyBorder="1" applyAlignment="1">
      <alignment horizontal="center" vertical="top" wrapText="1"/>
    </xf>
    <xf numFmtId="170" fontId="0" fillId="0" borderId="0" xfId="3" applyNumberFormat="1" applyFont="1"/>
    <xf numFmtId="170" fontId="6" fillId="8" borderId="1" xfId="3" applyNumberFormat="1" applyFont="1" applyFill="1" applyBorder="1"/>
    <xf numFmtId="170" fontId="0" fillId="0" borderId="0" xfId="3" applyNumberFormat="1" applyFont="1" applyFill="1" applyBorder="1"/>
    <xf numFmtId="0" fontId="2" fillId="20" borderId="6" xfId="0" applyFont="1" applyFill="1" applyBorder="1" applyAlignment="1">
      <alignment horizontal="center"/>
    </xf>
    <xf numFmtId="166" fontId="48" fillId="0" borderId="3" xfId="0" applyNumberFormat="1" applyFont="1" applyBorder="1"/>
    <xf numFmtId="9" fontId="0" fillId="0" borderId="3" xfId="3" applyFont="1" applyFill="1" applyBorder="1"/>
    <xf numFmtId="9" fontId="0" fillId="0" borderId="4" xfId="3" applyFont="1" applyFill="1" applyBorder="1"/>
    <xf numFmtId="0" fontId="0" fillId="0" borderId="8" xfId="0" applyBorder="1"/>
    <xf numFmtId="0" fontId="0" fillId="0" borderId="16" xfId="0" applyBorder="1"/>
    <xf numFmtId="166" fontId="48" fillId="0" borderId="16" xfId="0" applyNumberFormat="1" applyFont="1" applyBorder="1"/>
    <xf numFmtId="9" fontId="0" fillId="0" borderId="16" xfId="3" applyFont="1" applyFill="1" applyBorder="1"/>
    <xf numFmtId="9" fontId="0" fillId="0" borderId="10" xfId="3" applyFont="1" applyFill="1" applyBorder="1"/>
    <xf numFmtId="0" fontId="2" fillId="20" borderId="13" xfId="0" applyFont="1" applyFill="1" applyBorder="1" applyAlignment="1">
      <alignment horizontal="center"/>
    </xf>
    <xf numFmtId="0" fontId="2" fillId="20" borderId="19" xfId="0" applyFont="1" applyFill="1" applyBorder="1" applyAlignment="1">
      <alignment horizontal="center"/>
    </xf>
    <xf numFmtId="0" fontId="0" fillId="0" borderId="6" xfId="0" applyBorder="1"/>
    <xf numFmtId="0" fontId="0" fillId="0" borderId="11" xfId="0" applyBorder="1"/>
    <xf numFmtId="0" fontId="30" fillId="2" borderId="20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left"/>
    </xf>
    <xf numFmtId="0" fontId="30" fillId="2" borderId="4" xfId="0" applyFont="1" applyFill="1" applyBorder="1" applyAlignment="1">
      <alignment horizontal="left"/>
    </xf>
    <xf numFmtId="166" fontId="1" fillId="0" borderId="2" xfId="1" applyNumberFormat="1" applyFont="1" applyBorder="1"/>
    <xf numFmtId="166" fontId="1" fillId="0" borderId="2" xfId="1" applyNumberFormat="1" applyFont="1" applyFill="1" applyBorder="1"/>
    <xf numFmtId="166" fontId="1" fillId="0" borderId="3" xfId="1" applyNumberFormat="1" applyFont="1" applyFill="1" applyBorder="1"/>
    <xf numFmtId="166" fontId="39" fillId="0" borderId="3" xfId="0" applyNumberFormat="1" applyFont="1" applyBorder="1"/>
    <xf numFmtId="9" fontId="1" fillId="0" borderId="3" xfId="3" applyFont="1" applyFill="1" applyBorder="1"/>
    <xf numFmtId="9" fontId="1" fillId="0" borderId="4" xfId="3" applyFont="1" applyFill="1" applyBorder="1"/>
    <xf numFmtId="0" fontId="12" fillId="0" borderId="0" xfId="0" applyFont="1" applyAlignment="1">
      <alignment vertical="center"/>
    </xf>
    <xf numFmtId="0" fontId="12" fillId="10" borderId="10" xfId="0" applyFont="1" applyFill="1" applyBorder="1" applyAlignment="1">
      <alignment vertical="center"/>
    </xf>
    <xf numFmtId="168" fontId="12" fillId="10" borderId="4" xfId="1" applyNumberFormat="1" applyFont="1" applyFill="1" applyBorder="1" applyAlignment="1">
      <alignment vertical="center"/>
    </xf>
    <xf numFmtId="168" fontId="16" fillId="10" borderId="4" xfId="1" applyNumberFormat="1" applyFont="1" applyFill="1" applyBorder="1" applyAlignment="1">
      <alignment vertical="center"/>
    </xf>
    <xf numFmtId="168" fontId="12" fillId="0" borderId="0" xfId="0" applyNumberFormat="1" applyFont="1" applyAlignment="1">
      <alignment vertical="center"/>
    </xf>
    <xf numFmtId="0" fontId="14" fillId="5" borderId="5" xfId="0" applyFont="1" applyFill="1" applyBorder="1" applyAlignment="1">
      <alignment horizontal="center" vertical="center" wrapText="1"/>
    </xf>
    <xf numFmtId="166" fontId="0" fillId="19" borderId="3" xfId="1" applyNumberFormat="1" applyFont="1" applyFill="1" applyBorder="1"/>
    <xf numFmtId="166" fontId="33" fillId="0" borderId="0" xfId="0" applyNumberFormat="1" applyFont="1"/>
    <xf numFmtId="170" fontId="33" fillId="0" borderId="0" xfId="3" applyNumberFormat="1" applyFont="1"/>
    <xf numFmtId="166" fontId="0" fillId="0" borderId="3" xfId="1" applyNumberFormat="1" applyFont="1" applyFill="1" applyBorder="1"/>
    <xf numFmtId="0" fontId="54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left" vertical="center" wrapText="1"/>
    </xf>
    <xf numFmtId="0" fontId="55" fillId="0" borderId="3" xfId="0" applyFont="1" applyBorder="1" applyAlignment="1">
      <alignment horizontal="center" vertical="center"/>
    </xf>
    <xf numFmtId="0" fontId="55" fillId="0" borderId="3" xfId="0" applyFont="1" applyBorder="1"/>
    <xf numFmtId="166" fontId="55" fillId="0" borderId="3" xfId="1" applyNumberFormat="1" applyFont="1" applyBorder="1"/>
    <xf numFmtId="0" fontId="48" fillId="0" borderId="2" xfId="0" applyFont="1" applyBorder="1" applyAlignment="1">
      <alignment horizontal="center" vertical="center"/>
    </xf>
    <xf numFmtId="0" fontId="48" fillId="0" borderId="2" xfId="0" applyFont="1" applyBorder="1" applyAlignment="1">
      <alignment horizontal="left" vertical="center" wrapText="1"/>
    </xf>
    <xf numFmtId="166" fontId="48" fillId="0" borderId="2" xfId="1" applyNumberFormat="1" applyFont="1" applyBorder="1"/>
    <xf numFmtId="0" fontId="48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left" vertical="center" wrapText="1"/>
    </xf>
    <xf numFmtId="166" fontId="48" fillId="0" borderId="3" xfId="1" applyNumberFormat="1" applyFont="1" applyBorder="1"/>
    <xf numFmtId="0" fontId="48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horizontal="left" vertical="center" wrapText="1"/>
    </xf>
    <xf numFmtId="0" fontId="48" fillId="0" borderId="4" xfId="0" applyFont="1" applyBorder="1"/>
    <xf numFmtId="41" fontId="16" fillId="4" borderId="1" xfId="12" applyFont="1" applyFill="1" applyBorder="1"/>
    <xf numFmtId="0" fontId="55" fillId="0" borderId="3" xfId="0" applyFont="1" applyBorder="1" applyAlignment="1">
      <alignment horizontal="right" vertical="center" wrapText="1"/>
    </xf>
    <xf numFmtId="41" fontId="56" fillId="0" borderId="3" xfId="12" applyFont="1" applyBorder="1"/>
    <xf numFmtId="1" fontId="56" fillId="0" borderId="3" xfId="0" applyNumberFormat="1" applyFont="1" applyBorder="1"/>
    <xf numFmtId="0" fontId="58" fillId="0" borderId="0" xfId="13" applyFont="1"/>
    <xf numFmtId="0" fontId="59" fillId="0" borderId="0" xfId="13" applyFont="1"/>
    <xf numFmtId="164" fontId="59" fillId="0" borderId="0" xfId="14" applyFont="1"/>
    <xf numFmtId="0" fontId="12" fillId="0" borderId="0" xfId="13" applyFont="1"/>
    <xf numFmtId="164" fontId="12" fillId="0" borderId="0" xfId="14" applyFont="1"/>
    <xf numFmtId="0" fontId="14" fillId="24" borderId="2" xfId="13" applyFont="1" applyFill="1" applyBorder="1" applyAlignment="1">
      <alignment horizontal="center"/>
    </xf>
    <xf numFmtId="164" fontId="14" fillId="24" borderId="2" xfId="14" quotePrefix="1" applyFont="1" applyFill="1" applyBorder="1" applyAlignment="1">
      <alignment horizontal="center"/>
    </xf>
    <xf numFmtId="0" fontId="52" fillId="0" borderId="0" xfId="13" applyFont="1" applyAlignment="1">
      <alignment horizontal="center"/>
    </xf>
    <xf numFmtId="171" fontId="61" fillId="24" borderId="3" xfId="15" applyNumberFormat="1" applyFont="1" applyFill="1" applyBorder="1" applyAlignment="1">
      <alignment horizontal="center" vertical="center" wrapText="1"/>
    </xf>
    <xf numFmtId="164" fontId="61" fillId="24" borderId="3" xfId="14" applyFont="1" applyFill="1" applyBorder="1" applyAlignment="1">
      <alignment horizontal="center" vertical="center" wrapText="1"/>
    </xf>
    <xf numFmtId="172" fontId="61" fillId="24" borderId="3" xfId="15" applyNumberFormat="1" applyFont="1" applyFill="1" applyBorder="1" applyAlignment="1">
      <alignment horizontal="center" vertical="center" wrapText="1"/>
    </xf>
    <xf numFmtId="164" fontId="12" fillId="0" borderId="3" xfId="14" applyFont="1" applyBorder="1"/>
    <xf numFmtId="164" fontId="12" fillId="0" borderId="0" xfId="13" applyNumberFormat="1" applyFont="1"/>
    <xf numFmtId="164" fontId="12" fillId="0" borderId="4" xfId="14" applyFont="1" applyBorder="1"/>
    <xf numFmtId="0" fontId="52" fillId="0" borderId="0" xfId="13" applyFont="1"/>
    <xf numFmtId="0" fontId="52" fillId="25" borderId="0" xfId="13" applyFont="1" applyFill="1"/>
    <xf numFmtId="0" fontId="63" fillId="0" borderId="3" xfId="16" applyFont="1" applyBorder="1" applyAlignment="1">
      <alignment horizontal="left" vertical="center" wrapText="1"/>
    </xf>
    <xf numFmtId="0" fontId="63" fillId="0" borderId="4" xfId="16" applyFont="1" applyBorder="1" applyAlignment="1">
      <alignment horizontal="left" vertical="center" wrapText="1"/>
    </xf>
    <xf numFmtId="164" fontId="14" fillId="24" borderId="7" xfId="14" quotePrefix="1" applyFont="1" applyFill="1" applyBorder="1" applyAlignment="1">
      <alignment horizontal="center"/>
    </xf>
    <xf numFmtId="164" fontId="61" fillId="24" borderId="18" xfId="14" applyFont="1" applyFill="1" applyBorder="1" applyAlignment="1">
      <alignment horizontal="center" vertical="center" wrapText="1"/>
    </xf>
    <xf numFmtId="164" fontId="12" fillId="0" borderId="18" xfId="14" applyFont="1" applyBorder="1"/>
    <xf numFmtId="0" fontId="14" fillId="24" borderId="8" xfId="13" applyFont="1" applyFill="1" applyBorder="1" applyAlignment="1">
      <alignment horizontal="center"/>
    </xf>
    <xf numFmtId="164" fontId="61" fillId="24" borderId="16" xfId="14" applyFont="1" applyFill="1" applyBorder="1" applyAlignment="1">
      <alignment horizontal="center" vertical="center" wrapText="1"/>
    </xf>
    <xf numFmtId="164" fontId="12" fillId="0" borderId="16" xfId="14" applyFont="1" applyBorder="1"/>
    <xf numFmtId="164" fontId="12" fillId="0" borderId="10" xfId="14" applyFont="1" applyBorder="1"/>
    <xf numFmtId="164" fontId="12" fillId="0" borderId="9" xfId="14" applyFont="1" applyBorder="1"/>
    <xf numFmtId="164" fontId="14" fillId="24" borderId="21" xfId="14" quotePrefix="1" applyFont="1" applyFill="1" applyBorder="1" applyAlignment="1">
      <alignment horizontal="center"/>
    </xf>
    <xf numFmtId="164" fontId="61" fillId="24" borderId="22" xfId="14" applyFont="1" applyFill="1" applyBorder="1" applyAlignment="1">
      <alignment horizontal="center" vertical="center" wrapText="1"/>
    </xf>
    <xf numFmtId="164" fontId="48" fillId="0" borderId="23" xfId="14" applyFont="1" applyBorder="1"/>
    <xf numFmtId="164" fontId="48" fillId="0" borderId="22" xfId="14" applyFont="1" applyBorder="1"/>
    <xf numFmtId="164" fontId="48" fillId="0" borderId="24" xfId="14" applyFont="1" applyBorder="1"/>
    <xf numFmtId="164" fontId="48" fillId="0" borderId="25" xfId="14" applyFont="1" applyBorder="1"/>
    <xf numFmtId="164" fontId="14" fillId="24" borderId="21" xfId="14" applyFont="1" applyFill="1" applyBorder="1" applyAlignment="1">
      <alignment horizontal="center"/>
    </xf>
    <xf numFmtId="164" fontId="48" fillId="0" borderId="26" xfId="14" applyFont="1" applyBorder="1"/>
    <xf numFmtId="0" fontId="63" fillId="0" borderId="3" xfId="16" applyFont="1" applyBorder="1" applyAlignment="1">
      <alignment horizontal="center" vertical="center" wrapText="1"/>
    </xf>
    <xf numFmtId="41" fontId="12" fillId="0" borderId="0" xfId="0" applyNumberFormat="1" applyFont="1"/>
    <xf numFmtId="173" fontId="12" fillId="0" borderId="0" xfId="0" applyNumberFormat="1" applyFont="1"/>
    <xf numFmtId="41" fontId="52" fillId="19" borderId="0" xfId="12" applyFont="1" applyFill="1"/>
    <xf numFmtId="174" fontId="12" fillId="0" borderId="0" xfId="14" applyNumberFormat="1" applyFont="1"/>
    <xf numFmtId="175" fontId="12" fillId="0" borderId="0" xfId="14" applyNumberFormat="1" applyFont="1"/>
    <xf numFmtId="0" fontId="64" fillId="0" borderId="0" xfId="13" applyFont="1" applyAlignment="1">
      <alignment horizontal="right"/>
    </xf>
    <xf numFmtId="0" fontId="64" fillId="0" borderId="0" xfId="13" applyFont="1"/>
    <xf numFmtId="164" fontId="52" fillId="0" borderId="0" xfId="14" applyFont="1"/>
    <xf numFmtId="41" fontId="52" fillId="0" borderId="0" xfId="12" applyFont="1"/>
    <xf numFmtId="0" fontId="55" fillId="0" borderId="0" xfId="13" applyFont="1" applyAlignment="1">
      <alignment horizontal="left" indent="1"/>
    </xf>
    <xf numFmtId="164" fontId="55" fillId="0" borderId="0" xfId="14" applyFont="1"/>
    <xf numFmtId="41" fontId="55" fillId="0" borderId="0" xfId="12" applyFont="1"/>
    <xf numFmtId="0" fontId="55" fillId="0" borderId="0" xfId="13" applyFont="1"/>
    <xf numFmtId="0" fontId="52" fillId="25" borderId="0" xfId="13" applyFont="1" applyFill="1" applyAlignment="1">
      <alignment vertical="center"/>
    </xf>
    <xf numFmtId="164" fontId="52" fillId="25" borderId="0" xfId="14" applyFont="1" applyFill="1" applyAlignment="1">
      <alignment vertical="center"/>
    </xf>
    <xf numFmtId="164" fontId="48" fillId="25" borderId="27" xfId="14" applyFont="1" applyFill="1" applyBorder="1" applyAlignment="1">
      <alignment vertical="center"/>
    </xf>
    <xf numFmtId="164" fontId="52" fillId="25" borderId="28" xfId="14" applyFont="1" applyFill="1" applyBorder="1" applyAlignment="1">
      <alignment vertical="center"/>
    </xf>
    <xf numFmtId="171" fontId="61" fillId="24" borderId="20" xfId="15" applyNumberFormat="1" applyFont="1" applyFill="1" applyBorder="1" applyAlignment="1">
      <alignment horizontal="center" vertical="center" wrapText="1"/>
    </xf>
    <xf numFmtId="0" fontId="65" fillId="0" borderId="0" xfId="16" applyFont="1" applyAlignment="1">
      <alignment horizontal="left" vertical="center" wrapText="1" indent="1"/>
    </xf>
    <xf numFmtId="0" fontId="66" fillId="0" borderId="0" xfId="16" applyFont="1" applyAlignment="1">
      <alignment horizontal="left" vertical="center" wrapText="1" indent="1"/>
    </xf>
    <xf numFmtId="0" fontId="65" fillId="0" borderId="3" xfId="16" applyFont="1" applyBorder="1" applyAlignment="1">
      <alignment horizontal="center" vertical="center" wrapText="1"/>
    </xf>
    <xf numFmtId="0" fontId="67" fillId="0" borderId="3" xfId="16" applyFont="1" applyBorder="1" applyAlignment="1">
      <alignment horizontal="center" vertical="center" wrapText="1"/>
    </xf>
    <xf numFmtId="0" fontId="66" fillId="0" borderId="3" xfId="16" applyFont="1" applyBorder="1" applyAlignment="1">
      <alignment horizontal="center" vertical="center" wrapText="1"/>
    </xf>
    <xf numFmtId="164" fontId="14" fillId="19" borderId="21" xfId="14" applyFont="1" applyFill="1" applyBorder="1" applyAlignment="1">
      <alignment horizontal="center"/>
    </xf>
    <xf numFmtId="0" fontId="64" fillId="7" borderId="0" xfId="13" applyFont="1" applyFill="1" applyAlignment="1">
      <alignment horizontal="right"/>
    </xf>
    <xf numFmtId="0" fontId="64" fillId="7" borderId="0" xfId="13" applyFont="1" applyFill="1"/>
    <xf numFmtId="0" fontId="48" fillId="7" borderId="0" xfId="13" applyFont="1" applyFill="1"/>
    <xf numFmtId="164" fontId="48" fillId="7" borderId="0" xfId="14" applyFont="1" applyFill="1"/>
    <xf numFmtId="175" fontId="48" fillId="7" borderId="0" xfId="14" applyNumberFormat="1" applyFont="1" applyFill="1"/>
    <xf numFmtId="174" fontId="48" fillId="7" borderId="0" xfId="14" applyNumberFormat="1" applyFont="1" applyFill="1"/>
    <xf numFmtId="0" fontId="2" fillId="15" borderId="0" xfId="0" applyFont="1" applyFill="1" applyAlignment="1">
      <alignment horizontal="center"/>
    </xf>
    <xf numFmtId="0" fontId="28" fillId="15" borderId="0" xfId="0" applyFont="1" applyFill="1"/>
    <xf numFmtId="0" fontId="14" fillId="15" borderId="0" xfId="0" applyFont="1" applyFill="1" applyAlignment="1">
      <alignment horizontal="center"/>
    </xf>
    <xf numFmtId="16" fontId="14" fillId="15" borderId="0" xfId="0" applyNumberFormat="1" applyFont="1" applyFill="1" applyAlignment="1">
      <alignment horizontal="center"/>
    </xf>
    <xf numFmtId="164" fontId="14" fillId="15" borderId="0" xfId="14" applyFont="1" applyFill="1"/>
    <xf numFmtId="0" fontId="14" fillId="15" borderId="0" xfId="13" applyFont="1" applyFill="1"/>
    <xf numFmtId="0" fontId="12" fillId="0" borderId="0" xfId="13" applyFont="1" applyAlignment="1">
      <alignment horizontal="center" vertical="center"/>
    </xf>
    <xf numFmtId="166" fontId="47" fillId="0" borderId="3" xfId="0" applyNumberFormat="1" applyFont="1" applyBorder="1"/>
    <xf numFmtId="166" fontId="45" fillId="0" borderId="0" xfId="0" applyNumberFormat="1" applyFont="1"/>
    <xf numFmtId="0" fontId="14" fillId="0" borderId="6" xfId="0" applyFont="1" applyBorder="1" applyAlignment="1">
      <alignment horizontal="center" vertical="center" wrapText="1"/>
    </xf>
    <xf numFmtId="0" fontId="16" fillId="0" borderId="1" xfId="0" applyFont="1" applyBorder="1"/>
    <xf numFmtId="0" fontId="28" fillId="0" borderId="0" xfId="0" applyFont="1" applyAlignment="1">
      <alignment horizontal="center"/>
    </xf>
    <xf numFmtId="0" fontId="12" fillId="0" borderId="8" xfId="0" applyFont="1" applyBorder="1"/>
    <xf numFmtId="0" fontId="12" fillId="0" borderId="10" xfId="0" applyFont="1" applyBorder="1" applyAlignment="1">
      <alignment vertical="center"/>
    </xf>
    <xf numFmtId="0" fontId="12" fillId="0" borderId="10" xfId="0" applyFont="1" applyBorder="1"/>
    <xf numFmtId="41" fontId="48" fillId="0" borderId="3" xfId="12" applyFont="1" applyBorder="1" applyAlignment="1">
      <alignment horizontal="center" vertical="center"/>
    </xf>
    <xf numFmtId="41" fontId="55" fillId="0" borderId="3" xfId="12" applyFont="1" applyBorder="1" applyAlignment="1">
      <alignment horizontal="center" vertical="center"/>
    </xf>
    <xf numFmtId="41" fontId="48" fillId="0" borderId="4" xfId="12" applyFont="1" applyBorder="1" applyAlignment="1">
      <alignment horizontal="center" vertical="center"/>
    </xf>
    <xf numFmtId="41" fontId="48" fillId="0" borderId="2" xfId="12" applyFont="1" applyBorder="1" applyAlignment="1">
      <alignment horizontal="center" vertical="center"/>
    </xf>
    <xf numFmtId="41" fontId="29" fillId="0" borderId="0" xfId="12" applyFont="1"/>
    <xf numFmtId="0" fontId="14" fillId="0" borderId="29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12" xfId="0" applyFont="1" applyBorder="1"/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4" fillId="16" borderId="19" xfId="0" applyFont="1" applyFill="1" applyBorder="1" applyAlignment="1">
      <alignment horizontal="center" vertical="center"/>
    </xf>
    <xf numFmtId="166" fontId="15" fillId="0" borderId="8" xfId="0" applyNumberFormat="1" applyFont="1" applyBorder="1"/>
    <xf numFmtId="166" fontId="15" fillId="0" borderId="16" xfId="0" applyNumberFormat="1" applyFont="1" applyBorder="1"/>
    <xf numFmtId="166" fontId="15" fillId="0" borderId="10" xfId="0" applyNumberFormat="1" applyFont="1" applyBorder="1"/>
    <xf numFmtId="1" fontId="16" fillId="4" borderId="13" xfId="0" applyNumberFormat="1" applyFont="1" applyFill="1" applyBorder="1"/>
    <xf numFmtId="0" fontId="14" fillId="0" borderId="30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16" fillId="0" borderId="30" xfId="0" applyFont="1" applyBorder="1"/>
    <xf numFmtId="166" fontId="15" fillId="0" borderId="2" xfId="0" applyNumberFormat="1" applyFont="1" applyBorder="1" applyAlignment="1">
      <alignment horizontal="center" vertical="center"/>
    </xf>
    <xf numFmtId="41" fontId="12" fillId="10" borderId="8" xfId="12" applyFont="1" applyFill="1" applyBorder="1"/>
    <xf numFmtId="41" fontId="12" fillId="2" borderId="8" xfId="12" applyFont="1" applyFill="1" applyBorder="1"/>
    <xf numFmtId="41" fontId="12" fillId="2" borderId="10" xfId="12" applyFont="1" applyFill="1" applyBorder="1"/>
    <xf numFmtId="166" fontId="12" fillId="10" borderId="8" xfId="0" applyNumberFormat="1" applyFont="1" applyFill="1" applyBorder="1"/>
    <xf numFmtId="176" fontId="12" fillId="10" borderId="10" xfId="12" applyNumberFormat="1" applyFont="1" applyFill="1" applyBorder="1" applyAlignment="1">
      <alignment vertical="center"/>
    </xf>
    <xf numFmtId="166" fontId="12" fillId="2" borderId="8" xfId="0" applyNumberFormat="1" applyFont="1" applyFill="1" applyBorder="1"/>
    <xf numFmtId="167" fontId="12" fillId="10" borderId="10" xfId="0" applyNumberFormat="1" applyFont="1" applyFill="1" applyBorder="1" applyAlignment="1">
      <alignment vertical="center"/>
    </xf>
    <xf numFmtId="41" fontId="0" fillId="0" borderId="8" xfId="12" applyFont="1" applyBorder="1"/>
    <xf numFmtId="41" fontId="0" fillId="0" borderId="3" xfId="12" applyFont="1" applyBorder="1"/>
    <xf numFmtId="0" fontId="0" fillId="14" borderId="2" xfId="0" applyFill="1" applyBorder="1"/>
    <xf numFmtId="0" fontId="0" fillId="14" borderId="2" xfId="0" applyFill="1" applyBorder="1" applyAlignment="1">
      <alignment horizontal="right"/>
    </xf>
    <xf numFmtId="0" fontId="0" fillId="14" borderId="3" xfId="0" applyFill="1" applyBorder="1"/>
    <xf numFmtId="0" fontId="0" fillId="14" borderId="3" xfId="0" applyFill="1" applyBorder="1" applyAlignment="1">
      <alignment horizontal="right"/>
    </xf>
    <xf numFmtId="166" fontId="0" fillId="14" borderId="3" xfId="1" applyNumberFormat="1" applyFont="1" applyFill="1" applyBorder="1"/>
    <xf numFmtId="0" fontId="0" fillId="14" borderId="4" xfId="0" applyFill="1" applyBorder="1"/>
    <xf numFmtId="0" fontId="38" fillId="14" borderId="4" xfId="0" applyFont="1" applyFill="1" applyBorder="1" applyAlignment="1">
      <alignment horizontal="right"/>
    </xf>
    <xf numFmtId="167" fontId="38" fillId="14" borderId="4" xfId="0" applyNumberFormat="1" applyFont="1" applyFill="1" applyBorder="1"/>
    <xf numFmtId="167" fontId="37" fillId="14" borderId="4" xfId="0" applyNumberFormat="1" applyFont="1" applyFill="1" applyBorder="1"/>
    <xf numFmtId="0" fontId="30" fillId="14" borderId="2" xfId="0" applyFont="1" applyFill="1" applyBorder="1"/>
    <xf numFmtId="0" fontId="30" fillId="14" borderId="3" xfId="0" applyFont="1" applyFill="1" applyBorder="1"/>
    <xf numFmtId="1" fontId="38" fillId="14" borderId="4" xfId="0" applyNumberFormat="1" applyFont="1" applyFill="1" applyBorder="1"/>
    <xf numFmtId="0" fontId="2" fillId="26" borderId="6" xfId="0" applyFont="1" applyFill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40" fillId="2" borderId="0" xfId="0" applyFont="1" applyFill="1"/>
    <xf numFmtId="0" fontId="14" fillId="27" borderId="5" xfId="0" applyFont="1" applyFill="1" applyBorder="1" applyAlignment="1">
      <alignment horizontal="center" vertical="center" wrapText="1"/>
    </xf>
    <xf numFmtId="0" fontId="14" fillId="28" borderId="5" xfId="0" applyFont="1" applyFill="1" applyBorder="1" applyAlignment="1">
      <alignment horizontal="center" vertical="center" wrapText="1"/>
    </xf>
    <xf numFmtId="166" fontId="12" fillId="2" borderId="8" xfId="1" applyNumberFormat="1" applyFont="1" applyFill="1" applyBorder="1"/>
    <xf numFmtId="166" fontId="12" fillId="2" borderId="10" xfId="1" applyNumberFormat="1" applyFont="1" applyFill="1" applyBorder="1"/>
    <xf numFmtId="0" fontId="68" fillId="0" borderId="0" xfId="0" applyFont="1" applyAlignment="1">
      <alignment horizontal="left"/>
    </xf>
    <xf numFmtId="0" fontId="2" fillId="15" borderId="6" xfId="0" applyFont="1" applyFill="1" applyBorder="1" applyAlignment="1">
      <alignment horizontal="center" vertical="top" wrapText="1"/>
    </xf>
    <xf numFmtId="41" fontId="48" fillId="0" borderId="3" xfId="12" applyFont="1" applyBorder="1" applyAlignment="1">
      <alignment horizontal="right" vertical="center"/>
    </xf>
    <xf numFmtId="41" fontId="55" fillId="0" borderId="3" xfId="12" applyFont="1" applyBorder="1" applyAlignment="1">
      <alignment horizontal="right" vertical="center"/>
    </xf>
    <xf numFmtId="166" fontId="12" fillId="0" borderId="0" xfId="1" applyNumberFormat="1" applyFont="1"/>
    <xf numFmtId="170" fontId="31" fillId="19" borderId="5" xfId="3" applyNumberFormat="1" applyFont="1" applyFill="1" applyBorder="1"/>
    <xf numFmtId="0" fontId="45" fillId="19" borderId="0" xfId="0" applyFont="1" applyFill="1"/>
    <xf numFmtId="41" fontId="14" fillId="16" borderId="5" xfId="12" applyFont="1" applyFill="1" applyBorder="1" applyAlignment="1">
      <alignment horizontal="center" vertical="center" wrapText="1"/>
    </xf>
    <xf numFmtId="41" fontId="48" fillId="0" borderId="2" xfId="12" applyFont="1" applyBorder="1" applyAlignment="1">
      <alignment horizontal="right" vertical="center"/>
    </xf>
    <xf numFmtId="41" fontId="48" fillId="0" borderId="4" xfId="12" applyFont="1" applyBorder="1" applyAlignment="1">
      <alignment horizontal="right" vertical="center"/>
    </xf>
    <xf numFmtId="41" fontId="14" fillId="16" borderId="5" xfId="12" applyFont="1" applyFill="1" applyBorder="1" applyAlignment="1">
      <alignment horizontal="center" vertical="center"/>
    </xf>
    <xf numFmtId="41" fontId="12" fillId="10" borderId="10" xfId="12" applyFont="1" applyFill="1" applyBorder="1" applyAlignment="1">
      <alignment vertical="center"/>
    </xf>
    <xf numFmtId="41" fontId="15" fillId="0" borderId="2" xfId="12" applyFont="1" applyBorder="1" applyAlignment="1">
      <alignment horizontal="center" vertical="center"/>
    </xf>
    <xf numFmtId="41" fontId="15" fillId="0" borderId="3" xfId="12" applyFont="1" applyBorder="1" applyAlignment="1">
      <alignment horizontal="center" vertical="center"/>
    </xf>
    <xf numFmtId="41" fontId="15" fillId="0" borderId="4" xfId="12" applyFont="1" applyBorder="1" applyAlignment="1">
      <alignment horizontal="center" vertical="center"/>
    </xf>
    <xf numFmtId="41" fontId="16" fillId="4" borderId="13" xfId="12" applyFont="1" applyFill="1" applyBorder="1"/>
    <xf numFmtId="176" fontId="55" fillId="0" borderId="3" xfId="12" applyNumberFormat="1" applyFont="1" applyBorder="1" applyAlignment="1">
      <alignment horizontal="center" vertical="center"/>
    </xf>
    <xf numFmtId="176" fontId="48" fillId="0" borderId="2" xfId="12" applyNumberFormat="1" applyFont="1" applyBorder="1" applyAlignment="1">
      <alignment horizontal="center" vertical="center"/>
    </xf>
    <xf numFmtId="176" fontId="48" fillId="0" borderId="3" xfId="12" applyNumberFormat="1" applyFont="1" applyBorder="1" applyAlignment="1">
      <alignment horizontal="center" vertical="center"/>
    </xf>
    <xf numFmtId="176" fontId="48" fillId="0" borderId="4" xfId="12" applyNumberFormat="1" applyFont="1" applyBorder="1" applyAlignment="1">
      <alignment horizontal="center" vertical="center"/>
    </xf>
    <xf numFmtId="41" fontId="0" fillId="0" borderId="2" xfId="12" applyFont="1" applyBorder="1" applyAlignment="1">
      <alignment horizontal="right"/>
    </xf>
    <xf numFmtId="0" fontId="2" fillId="26" borderId="12" xfId="0" applyFont="1" applyFill="1" applyBorder="1" applyAlignment="1">
      <alignment horizontal="center"/>
    </xf>
    <xf numFmtId="0" fontId="2" fillId="26" borderId="13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0" fillId="7" borderId="1" xfId="0" applyFont="1" applyFill="1" applyBorder="1"/>
    <xf numFmtId="166" fontId="30" fillId="7" borderId="1" xfId="0" applyNumberFormat="1" applyFont="1" applyFill="1" applyBorder="1"/>
  </cellXfs>
  <cellStyles count="17">
    <cellStyle name="Comma" xfId="1" builtinId="3"/>
    <cellStyle name="Comma [0]" xfId="12" builtinId="6"/>
    <cellStyle name="Comma [0] 2" xfId="14" xr:uid="{55CDE141-D9BD-42D3-A646-8BA2AFC1DD4B}"/>
    <cellStyle name="Comma 2" xfId="6" xr:uid="{97BBD167-2B85-4BF0-B927-5978990ECD16}"/>
    <cellStyle name="Comma 2 2" xfId="7" xr:uid="{A08E6DDA-E228-4F17-A90B-22EE504453D3}"/>
    <cellStyle name="Comma 3" xfId="5" xr:uid="{3D9D70B2-6AE3-4189-80C7-C3C5E01A5DC6}"/>
    <cellStyle name="Comma 5" xfId="9" xr:uid="{BAFF9E7F-EF72-4B9F-BEF2-DC41EF2412FE}"/>
    <cellStyle name="Hyperlink" xfId="4" builtinId="8"/>
    <cellStyle name="Normal" xfId="0" builtinId="0"/>
    <cellStyle name="Normal 11" xfId="15" xr:uid="{451AD79E-7867-41EB-AEA8-4772395D3054}"/>
    <cellStyle name="Normal 2" xfId="8" xr:uid="{C562C953-5754-4C85-B961-8AA34E911D81}"/>
    <cellStyle name="Normal 2 2 5 2 7" xfId="2" xr:uid="{E75E933A-0C7A-45B5-92E7-91D1C21EB3AC}"/>
    <cellStyle name="Normal 3" xfId="10" xr:uid="{3D9628D7-078D-48BF-BBF6-F3DFE0FB0332}"/>
    <cellStyle name="Normal 4" xfId="13" xr:uid="{6AA52223-EB30-476E-9832-11E54F7467AA}"/>
    <cellStyle name="Normal_HongTrang042005" xfId="16" xr:uid="{0B2EEB3C-BF76-4E33-9FCB-4747A659D5DF}"/>
    <cellStyle name="Percent" xfId="3" builtinId="5"/>
    <cellStyle name="Percent 2" xfId="11" xr:uid="{A126F429-87A5-41B4-A769-2B09090B482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33CC"/>
      <color rgb="FFE7A219"/>
      <color rgb="FFD0A630"/>
      <color rgb="FF0066FF"/>
      <color rgb="FF0033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rgbClr val="00B050"/>
                </a:solidFill>
              </a:rPr>
              <a:t>BĐ </a:t>
            </a:r>
            <a:r>
              <a:rPr lang="en-US" b="1">
                <a:solidFill>
                  <a:srgbClr val="00B050"/>
                </a:solidFill>
              </a:rPr>
              <a:t>DOANH THU / NGƯỜI (Sản</a:t>
            </a:r>
            <a:r>
              <a:rPr lang="en-US" b="1" baseline="0">
                <a:solidFill>
                  <a:srgbClr val="00B050"/>
                </a:solidFill>
              </a:rPr>
              <a:t> phẩm chính)</a:t>
            </a:r>
            <a:endParaRPr lang="vi-VN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39769111167934923"/>
          <c:y val="2.777765716719132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2942576771248984E-2"/>
          <c:y val="0.16708333333333336"/>
          <c:w val="0.97857422618423728"/>
          <c:h val="0.70019021217257704"/>
        </c:manualLayout>
      </c:layout>
      <c:barChart>
        <c:barDir val="col"/>
        <c:grouping val="clustered"/>
        <c:varyColors val="0"/>
        <c:ser>
          <c:idx val="3"/>
          <c:order val="1"/>
          <c:tx>
            <c:strRef>
              <c:f>'03. Chart'!$B$82</c:f>
              <c:strCache>
                <c:ptCount val="1"/>
                <c:pt idx="0">
                  <c:v>TT 2025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BQ năm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Chart'!$C$82:$O$82</c15:sqref>
                  </c15:fullRef>
                </c:ext>
              </c:extLst>
              <c:f>('03. Chart'!$C$82:$F$82,'03. Chart'!$O$82)</c:f>
              <c:numCache>
                <c:formatCode>0</c:formatCode>
                <c:ptCount val="5"/>
                <c:pt idx="0">
                  <c:v>190.2</c:v>
                </c:pt>
                <c:pt idx="1">
                  <c:v>298.8</c:v>
                </c:pt>
                <c:pt idx="2">
                  <c:v>237.1</c:v>
                </c:pt>
                <c:pt idx="3">
                  <c:v>195.9</c:v>
                </c:pt>
                <c:pt idx="4">
                  <c:v>194.3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1-4490-8968-78F42660E6B4}"/>
            </c:ext>
          </c:extLst>
        </c:ser>
        <c:ser>
          <c:idx val="2"/>
          <c:order val="2"/>
          <c:tx>
            <c:strRef>
              <c:f>'03. Chart'!$B$79</c:f>
              <c:strCache>
                <c:ptCount val="1"/>
                <c:pt idx="0">
                  <c:v>KH 2026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773268435410454E-3"/>
                  <c:y val="-1.21036543187103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39B-434A-BB8D-22E42975506C}"/>
                </c:ext>
              </c:extLst>
            </c:dLbl>
            <c:dLbl>
              <c:idx val="1"/>
              <c:layout>
                <c:manualLayout>
                  <c:x val="4.548853027037985E-3"/>
                  <c:y val="4.24163169579617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39B-434A-BB8D-22E42975506C}"/>
                </c:ext>
              </c:extLst>
            </c:dLbl>
            <c:dLbl>
              <c:idx val="2"/>
              <c:layout>
                <c:manualLayout>
                  <c:x val="4.004790191564590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34-480E-B85A-17198DABA1B5}"/>
                </c:ext>
              </c:extLst>
            </c:dLbl>
            <c:dLbl>
              <c:idx val="3"/>
              <c:layout>
                <c:manualLayout>
                  <c:x val="5.339720255419421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00-41CF-AE59-84AEFD7D93B6}"/>
                </c:ext>
              </c:extLst>
            </c:dLbl>
            <c:dLbl>
              <c:idx val="4"/>
              <c:layout>
                <c:manualLayout>
                  <c:x val="1.6989533643118847E-3"/>
                  <c:y val="8.483563096500491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39B-434A-BB8D-22E429755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'03. Chart'!$C$73:$O$73</c15:sqref>
                  </c15:fullRef>
                </c:ext>
              </c:extLst>
              <c:f>('03. Chart'!$C$73:$F$73,'03. Chart'!$O$73)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năm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Chart'!$C$79:$O$79</c15:sqref>
                  </c15:fullRef>
                </c:ext>
              </c:extLst>
              <c:f>('03. Chart'!$C$79:$F$79,'03. Chart'!$O$79)</c:f>
              <c:numCache>
                <c:formatCode>0</c:formatCode>
                <c:ptCount val="5"/>
                <c:pt idx="0">
                  <c:v>192.4</c:v>
                </c:pt>
                <c:pt idx="1">
                  <c:v>192.9</c:v>
                </c:pt>
                <c:pt idx="2">
                  <c:v>210.2</c:v>
                </c:pt>
                <c:pt idx="3">
                  <c:v>195.1</c:v>
                </c:pt>
                <c:pt idx="4">
                  <c:v>201.3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39B-434A-BB8D-22E42975506C}"/>
            </c:ext>
          </c:extLst>
        </c:ser>
        <c:ser>
          <c:idx val="1"/>
          <c:order val="3"/>
          <c:tx>
            <c:strRef>
              <c:f>'03. Chart'!$B$76</c:f>
              <c:strCache>
                <c:ptCount val="1"/>
                <c:pt idx="0">
                  <c:v>TT 2026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-1.4930944382231081E-3"/>
                  <c:y val="-5.09013785790032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39B-434A-BB8D-22E429755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'03. Chart'!$C$73:$O$73</c15:sqref>
                  </c15:fullRef>
                </c:ext>
              </c:extLst>
              <c:f>('03. Chart'!$C$73:$F$73,'03. Chart'!$O$73)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năm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Chart'!$C$76:$O$76</c15:sqref>
                  </c15:fullRef>
                </c:ext>
              </c:extLst>
              <c:f>('03. Chart'!$C$76:$F$76,'03. Chart'!$O$76)</c:f>
              <c:numCache>
                <c:formatCode>0</c:formatCode>
                <c:ptCount val="5"/>
                <c:pt idx="0">
                  <c:v>196.1</c:v>
                </c:pt>
                <c:pt idx="1">
                  <c:v>160.30000000000001</c:v>
                </c:pt>
                <c:pt idx="2">
                  <c:v>276.8</c:v>
                </c:pt>
                <c:pt idx="3">
                  <c:v>261.7</c:v>
                </c:pt>
                <c:pt idx="4">
                  <c:v>223.7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39B-434A-BB8D-22E4297550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21120672"/>
        <c:axId val="321121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'03. Chart'!$B$85</c15:sqref>
                        </c15:formulaRef>
                      </c:ext>
                    </c:extLst>
                    <c:strCache>
                      <c:ptCount val="1"/>
                      <c:pt idx="0">
                        <c:v>TT 2024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0"/>
                    <c:layout>
                      <c:manualLayout>
                        <c:x val="-4.148347556501928E-3"/>
                        <c:y val="-2.7076338475319944E-4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5-B39B-434A-BB8D-22E42975506C}"/>
                      </c:ext>
                    </c:extLst>
                  </c:dLbl>
                  <c:dLbl>
                    <c:idx val="1"/>
                    <c:layout>
                      <c:manualLayout>
                        <c:x val="-1.6181851848586252E-3"/>
                        <c:y val="1.6967126193001062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6-B39B-434A-BB8D-22E42975506C}"/>
                      </c:ext>
                    </c:extLst>
                  </c:dLbl>
                  <c:dLbl>
                    <c:idx val="4"/>
                    <c:layout>
                      <c:manualLayout>
                        <c:x val="-3.5672024759504143E-3"/>
                        <c:y val="1.3888995582869214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7-B39B-434A-BB8D-22E42975506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'03. Chart'!$C$73:$O$73</c15:sqref>
                        </c15:fullRef>
                        <c15:formulaRef>
                          <c15:sqref>('03. Chart'!$C$73:$F$73,'03. Chart'!$O$73)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BQ năm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'03. Chart'!$C$85:$O$85</c15:sqref>
                        </c15:fullRef>
                        <c15:formulaRef>
                          <c15:sqref>('03. Chart'!$C$85:$F$85,'03. Chart'!$O$85)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149.5</c:v>
                      </c:pt>
                      <c:pt idx="1">
                        <c:v>150.19999999999999</c:v>
                      </c:pt>
                      <c:pt idx="2">
                        <c:v>191.7</c:v>
                      </c:pt>
                      <c:pt idx="3">
                        <c:v>194.1</c:v>
                      </c:pt>
                      <c:pt idx="4">
                        <c:v>172.2</c:v>
                      </c:pt>
                    </c:numCache>
                  </c:numRef>
                </c:val>
                <c:extLst>
                  <c:ext uri="{02D57815-91ED-43cb-92C2-25804820EDAC}">
                    <c15:categoryFilterExceptions>
                      <c15:categoryFilterException>
                        <c15:sqref>'03. Chart'!$N$85</c15:sqref>
                        <c15:dLbl>
                          <c:idx val="3"/>
                          <c:layout>
                            <c:manualLayout>
                              <c:x val="-7.4530350225744798E-3"/>
                              <c:y val="-7.6693446654464618E-17"/>
                            </c:manualLayout>
                          </c:layout>
                          <c:dLblPos val="outEnd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0-3AA9-484B-ADF4-979C254C56ED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18-B39B-434A-BB8D-22E42975506C}"/>
                  </c:ext>
                </c:extLst>
              </c15:ser>
            </c15:filteredBarSeries>
          </c:ext>
        </c:extLst>
      </c:barChart>
      <c:catAx>
        <c:axId val="32112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121152"/>
        <c:crosses val="autoZero"/>
        <c:auto val="1"/>
        <c:lblAlgn val="ctr"/>
        <c:lblOffset val="100"/>
        <c:noMultiLvlLbl val="0"/>
      </c:catAx>
      <c:valAx>
        <c:axId val="32112115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120672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ĐỊNH BIÊN NHÂN SỰ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'03. Chart'!$A$9</c:f>
              <c:strCache>
                <c:ptCount val="1"/>
                <c:pt idx="0">
                  <c:v>Định biên gián tiếp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1DF-4FE9-BD52-1232704C03F3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1C2-41F1-8086-5CFAC30ADD9D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DF3-4A90-B0C9-CA5721BD4AC4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1281-4F33-BFFC-E9251DBBB78A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1DF-4FE9-BD52-1232704C03F3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1DF-4FE9-BD52-1232704C03F3}"/>
              </c:ext>
            </c:extLst>
          </c:dPt>
          <c:dPt>
            <c:idx val="1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9BF-4404-A480-A8AFDAD8F962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CBBB426-EDB1-4567-A491-0FEA0617F86A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12D2C428-71BC-4520-AE06-E03AF3D13A63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1DF-4FE9-BD52-1232704C03F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AF8374E-5CBA-436E-B93B-8BB40155371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B6407BD-8180-4FFB-BBB3-72509B6F8CA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1DF-4FE9-BD52-1232704C03F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1DF-4FE9-BD52-1232704C03F3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7CF0D9F-D1C1-41FB-ADD4-E057BCA374B7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56FC36C9-34F0-4A5E-9715-752F86760B06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1C2-41F1-8086-5CFAC30ADD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A6E1958-F3F5-4742-A3CD-F50CB6A729D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95FB4F3-A1B8-44F8-BAF6-AE194B6535EC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91C2-41F1-8086-5CFAC30ADD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91C2-41F1-8086-5CFAC30ADD9D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702EBE6-B644-48AF-A3E5-B14ABF2330BD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45F62BC2-3975-4018-89ED-D86BB1549757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DDF3-4A90-B0C9-CA5721BD4AC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C5D5182-7F7A-46F6-BBF4-6FD3077A0A1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00A7FA7-F313-48C5-9495-CE4D65F4043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DDF3-4A90-B0C9-CA5721BD4AC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DF3-4A90-B0C9-CA5721BD4AC4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F4A9539-C67F-42FF-92F9-F1AA0B5665C5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207FBE1A-7C79-4CF0-9A5D-37A32EDB54AD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1281-4F33-BFFC-E9251DBBB78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902C7FB-26B2-4033-A207-E503A7DCF98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DAE77A9-CEA7-4E08-9168-49703C54471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1281-4F33-BFFC-E9251DBBB78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281-4F33-BFFC-E9251DBBB78A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0A3C14C-1597-49A1-BD71-634237202F2E}" type="CELLRANGE">
                      <a:rPr lang="en-US"/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F971BFC0-872F-42C4-B56C-DEC3D0F58216}" type="VALUE">
                      <a:rPr lang="en-US" baseline="0"/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71DF-4FE9-BD52-1232704C03F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4D4DAA4-2C6A-48E1-9F6E-ABA2E46D121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8B572F06-11CB-431F-BC17-7843DC4EC00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1DF-4FE9-BD52-1232704C03F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71DF-4FE9-BD52-1232704C03F3}"/>
                </c:ext>
              </c:extLst>
            </c:dLbl>
            <c:dLbl>
              <c:idx val="1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88395C6-B94B-4217-B2C5-5328D7AEA568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315477A2-2FFB-456B-B719-577C940EBB86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71DF-4FE9-BD52-1232704C03F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FFADF30-7D45-4090-97CC-4873C9E0DCC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CDCC637-DD19-463B-B62D-23B43608854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1DF-4FE9-BD52-1232704C03F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767C-4675-9C82-1B6B9BC9A742}"/>
                </c:ext>
              </c:extLst>
            </c:dLbl>
            <c:dLbl>
              <c:idx val="1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9FEC2D3-518E-45D5-8914-52894EA37052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D20A2B66-EF14-4CD0-B857-21A7CDC4DF53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89BF-4404-A480-A8AFDAD8F96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FC9D99F-8E2F-4129-9FD2-5BC7C92C1715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E2470E7-87AC-47A0-BFD7-F4061AFA2DB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89BF-4404-A480-A8AFDAD8F9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'03. Chart'!$B$7:$AS$8</c15:sqref>
                  </c15:fullRef>
                </c:ext>
              </c:extLst>
              <c:f>'03. Chart'!$B$7:$AS$8</c:f>
              <c:multiLvlStrCache>
                <c:ptCount val="20"/>
                <c:lvl>
                  <c:pt idx="0">
                    <c:v>KH</c:v>
                  </c:pt>
                  <c:pt idx="1">
                    <c:v>TT</c:v>
                  </c:pt>
                  <c:pt idx="3">
                    <c:v>KH</c:v>
                  </c:pt>
                  <c:pt idx="4">
                    <c:v>TT</c:v>
                  </c:pt>
                  <c:pt idx="6">
                    <c:v>KH</c:v>
                  </c:pt>
                  <c:pt idx="7">
                    <c:v>TT</c:v>
                  </c:pt>
                  <c:pt idx="9">
                    <c:v>KH</c:v>
                  </c:pt>
                  <c:pt idx="10">
                    <c:v>TT</c:v>
                  </c:pt>
                  <c:pt idx="12">
                    <c:v>KH</c:v>
                  </c:pt>
                  <c:pt idx="13">
                    <c:v>TT</c:v>
                  </c:pt>
                  <c:pt idx="15">
                    <c:v>KH</c:v>
                  </c:pt>
                  <c:pt idx="16">
                    <c:v>TT</c:v>
                  </c:pt>
                  <c:pt idx="18">
                    <c:v>KH</c:v>
                  </c:pt>
                  <c:pt idx="19">
                    <c:v>TT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  <c:pt idx="9">
                    <c:v>4</c:v>
                  </c:pt>
                  <c:pt idx="12">
                    <c:v>BQ 26</c:v>
                  </c:pt>
                  <c:pt idx="15">
                    <c:v>BQ 25</c:v>
                  </c:pt>
                  <c:pt idx="18">
                    <c:v>BQ 24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Chart'!$B$9:$AS$9</c15:sqref>
                  </c15:fullRef>
                </c:ext>
              </c:extLst>
              <c:f>('03. Chart'!$B$9:$M$9,'03. Chart'!$AL$9:$AS$9)</c:f>
              <c:numCache>
                <c:formatCode>General</c:formatCode>
                <c:ptCount val="20"/>
                <c:pt idx="0">
                  <c:v>391</c:v>
                </c:pt>
                <c:pt idx="1">
                  <c:v>375</c:v>
                </c:pt>
                <c:pt idx="3">
                  <c:v>391</c:v>
                </c:pt>
                <c:pt idx="4">
                  <c:v>363</c:v>
                </c:pt>
                <c:pt idx="6">
                  <c:v>399</c:v>
                </c:pt>
                <c:pt idx="7">
                  <c:v>360</c:v>
                </c:pt>
                <c:pt idx="9">
                  <c:v>400</c:v>
                </c:pt>
                <c:pt idx="10">
                  <c:v>363</c:v>
                </c:pt>
                <c:pt idx="12" formatCode="_(* #,##0_);_(* \(#,##0\);_(* &quot;-&quot;_);_(@_)">
                  <c:v>405.08333333333331</c:v>
                </c:pt>
                <c:pt idx="13" formatCode="_(* #,##0_);_(* \(#,##0\);_(* &quot;-&quot;_);_(@_)">
                  <c:v>365.25</c:v>
                </c:pt>
                <c:pt idx="15" formatCode="_(* #,##0_);_(* \(#,##0\);_(* &quot;-&quot;??_);_(@_)">
                  <c:v>399.16666666666669</c:v>
                </c:pt>
                <c:pt idx="16" formatCode="_(* #,##0_);_(* \(#,##0\);_(* &quot;-&quot;??_);_(@_)">
                  <c:v>370.08333333333331</c:v>
                </c:pt>
                <c:pt idx="18" formatCode="_(* #,##0_);_(* \(#,##0\);_(* &quot;-&quot;??_);_(@_)">
                  <c:v>321.83333333333337</c:v>
                </c:pt>
                <c:pt idx="19" formatCode="_(* #,##0_);_(* \(#,##0\);_(* &quot;-&quot;??_);_(@_)">
                  <c:v>304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'03. Chart'!$B$12:$AS$12</c15:f>
                <c15:dlblRangeCache>
                  <c:ptCount val="44"/>
                  <c:pt idx="0">
                    <c:v>59%</c:v>
                  </c:pt>
                  <c:pt idx="1">
                    <c:v>61%</c:v>
                  </c:pt>
                  <c:pt idx="3">
                    <c:v>60%</c:v>
                  </c:pt>
                  <c:pt idx="4">
                    <c:v>63%</c:v>
                  </c:pt>
                  <c:pt idx="6">
                    <c:v>61%</c:v>
                  </c:pt>
                  <c:pt idx="7">
                    <c:v>62%</c:v>
                  </c:pt>
                  <c:pt idx="9">
                    <c:v>60%</c:v>
                  </c:pt>
                  <c:pt idx="10">
                    <c:v>64%</c:v>
                  </c:pt>
                  <c:pt idx="12">
                    <c:v>61%</c:v>
                  </c:pt>
                  <c:pt idx="13">
                    <c:v>0%</c:v>
                  </c:pt>
                  <c:pt idx="15">
                    <c:v>61%</c:v>
                  </c:pt>
                  <c:pt idx="16">
                    <c:v>0%</c:v>
                  </c:pt>
                  <c:pt idx="18">
                    <c:v>61%</c:v>
                  </c:pt>
                  <c:pt idx="19">
                    <c:v>0%</c:v>
                  </c:pt>
                  <c:pt idx="21">
                    <c:v>61%</c:v>
                  </c:pt>
                  <c:pt idx="22">
                    <c:v>0%</c:v>
                  </c:pt>
                  <c:pt idx="24">
                    <c:v>61%</c:v>
                  </c:pt>
                  <c:pt idx="25">
                    <c:v>0%</c:v>
                  </c:pt>
                  <c:pt idx="27">
                    <c:v>61%</c:v>
                  </c:pt>
                  <c:pt idx="28">
                    <c:v>0%</c:v>
                  </c:pt>
                  <c:pt idx="30">
                    <c:v>61%</c:v>
                  </c:pt>
                  <c:pt idx="31">
                    <c:v>0%</c:v>
                  </c:pt>
                  <c:pt idx="33">
                    <c:v>61%</c:v>
                  </c:pt>
                  <c:pt idx="34">
                    <c:v>0%</c:v>
                  </c:pt>
                  <c:pt idx="36">
                    <c:v>61%</c:v>
                  </c:pt>
                  <c:pt idx="37">
                    <c:v>62%</c:v>
                  </c:pt>
                  <c:pt idx="39">
                    <c:v>61%</c:v>
                  </c:pt>
                  <c:pt idx="40">
                    <c:v>59%</c:v>
                  </c:pt>
                  <c:pt idx="42">
                    <c:v>59%</c:v>
                  </c:pt>
                  <c:pt idx="43">
                    <c:v>60%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'03. Chart'!$N$9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5507190E-6ED7-4E33-998E-374664FA7C59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8B52D43A-5F55-410A-BC3A-6AB4B397C018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C-B7AE-4292-8200-A297E3DF5517}"/>
                      </c:ext>
                    </c:extLst>
                  </c15:dLbl>
                </c15:categoryFilterException>
                <c15:categoryFilterException>
                  <c15:sqref>'03. Chart'!$O$9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89692C0E-3E60-4E40-ADB8-434965D50CD9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0A099D60-5244-4810-B67A-4C5C8F630F4F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B7AE-4292-8200-A297E3DF5517}"/>
                      </c:ext>
                    </c:extLst>
                  </c15:dLbl>
                </c15:categoryFilterException>
                <c15:categoryFilterException>
                  <c15:sqref>'03. Chart'!$Q$9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4A6B9D60-DD9E-4320-93C9-4B4419019272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79670BCB-5635-4A32-9FB6-876865A7DD21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B7AE-4292-8200-A297E3DF5517}"/>
                      </c:ext>
                    </c:extLst>
                  </c15:dLbl>
                </c15:categoryFilterException>
                <c15:categoryFilterException>
                  <c15:sqref>'03. Chart'!$R$9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53627547-A5BA-4198-B332-683A998CC938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F7A2B2AF-9852-4769-AA2F-AE085148B643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1-B7AE-4292-8200-A297E3DF5517}"/>
                      </c:ext>
                    </c:extLst>
                  </c15:dLbl>
                </c15:categoryFilterException>
                <c15:categoryFilterException>
                  <c15:sqref>'03. Chart'!$T$9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2686D60D-FD21-40A5-8B04-35E13E40B0E3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0B886170-512F-469F-9280-F8A255F51517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2-B7AE-4292-8200-A297E3DF5517}"/>
                      </c:ext>
                    </c:extLst>
                  </c15:dLbl>
                </c15:categoryFilterException>
                <c15:categoryFilterException>
                  <c15:sqref>'03. Chart'!$U$9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6968C76C-B617-4034-930A-4D9D1C28E43C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140CEB62-9498-49E5-AC3A-9F70D3E53FB8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4-B7AE-4292-8200-A297E3DF5517}"/>
                      </c:ext>
                    </c:extLst>
                  </c15:dLbl>
                </c15:categoryFilterException>
                <c15:categoryFilterException>
                  <c15:sqref>'03. Chart'!$W$9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01820C32-C43F-4768-B9D8-4B979769E24F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039616DF-2042-49F6-8DA9-570B61680083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5-B7AE-4292-8200-A297E3DF5517}"/>
                      </c:ext>
                    </c:extLst>
                  </c15:dLbl>
                </c15:categoryFilterException>
                <c15:categoryFilterException>
                  <c15:sqref>'03. Chart'!$X$9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36C9536B-14BB-4FA2-9C58-843974BA5CAA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C3E3659B-6864-4678-8706-38768089B30E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7-B7AE-4292-8200-A297E3DF5517}"/>
                      </c:ext>
                    </c:extLst>
                  </c15:dLbl>
                </c15:categoryFilterException>
                <c15:categoryFilterException>
                  <c15:sqref>'03. Chart'!$Z$9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ysClr val="windowText" lastClr="00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8-B7AE-4292-8200-A297E3DF5517}"/>
                      </c:ext>
                    </c:extLst>
                  </c15:dLbl>
                </c15:categoryFilterException>
                <c15:categoryFilterException>
                  <c15:sqref>'03. Chart'!$AA$9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'03. Chart'!$AD$9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'03. Chart'!$AG$9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'03. Chart'!$AJ$9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71DF-4FE9-BD52-1232704C03F3}"/>
            </c:ext>
          </c:extLst>
        </c:ser>
        <c:ser>
          <c:idx val="1"/>
          <c:order val="1"/>
          <c:tx>
            <c:strRef>
              <c:f>'03. Chart'!$A$10</c:f>
              <c:strCache>
                <c:ptCount val="1"/>
                <c:pt idx="0">
                  <c:v>Định biên trực tiếp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DF-4FE9-BD52-1232704C03F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91C2-41F1-8086-5CFAC30ADD9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DDF3-4A90-B0C9-CA5721BD4A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1281-4F33-BFFC-E9251DBBB78A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1DF-4FE9-BD52-1232704C03F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1DF-4FE9-BD52-1232704C03F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89BF-4404-A480-A8AFDAD8F962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24C5E2-CA54-4D3A-AA6D-3817DF8241FC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07663B97-23F4-46E1-8D1E-941D46A7C19D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1DF-4FE9-BD52-1232704C03F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A4347D-DC6B-481A-8DAC-0616D195EA5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1DC1C90-C2EB-4C40-BE88-40D50633FC3C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1DF-4FE9-BD52-1232704C03F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71DF-4FE9-BD52-1232704C03F3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C5ABF53-F8A0-4E93-8EAC-0189327975DC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F18F7077-0293-4ABD-9558-0264477075A6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91C2-41F1-8086-5CFAC30ADD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524639-8949-46E9-AA48-C8791D4F093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A78B8E4-9A76-452C-9445-444EE17F2BE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91C2-41F1-8086-5CFAC30ADD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91C2-41F1-8086-5CFAC30ADD9D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D841BD8-46D4-4365-B9B7-89686D37D522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AE7735EB-7651-4B55-829E-58D70C43906C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DDF3-4A90-B0C9-CA5721BD4AC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86EF939-8049-429F-8D38-97AEF1BC716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8255D81-385F-4002-BFE0-AC8A34B8FCAB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DDF3-4A90-B0C9-CA5721BD4AC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DDF3-4A90-B0C9-CA5721BD4AC4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C857E0B-C0DC-4A7C-BFA7-4A74782B04EB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F5A7DA12-6C50-4DE9-8089-41D7889CBC11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1281-4F33-BFFC-E9251DBBB78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694EC46-1EE5-4143-B4EE-835986DEB9E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C34CEC8-AB00-4815-9BD8-76695F4BD63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1281-4F33-BFFC-E9251DBBB78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1281-4F33-BFFC-E9251DBBB78A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3219F9A-5D9F-4CAA-963A-4F563E0D6018}" type="CELLRANGE">
                      <a:rPr lang="en-US"/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828CF0CA-1725-469B-AAED-80C09EAFDC85}" type="VALUE">
                      <a:rPr lang="en-US" baseline="0"/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71DF-4FE9-BD52-1232704C03F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82A14F3-82DA-4FD4-A59F-D61DD4B5201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CEA502E9-B280-4284-B7DE-88585FCF800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1DF-4FE9-BD52-1232704C03F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71DF-4FE9-BD52-1232704C03F3}"/>
                </c:ext>
              </c:extLst>
            </c:dLbl>
            <c:dLbl>
              <c:idx val="1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E8736D3-9719-48CC-ADAA-24958DE8556C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64B20FB3-C263-4761-93D3-E6F01FE5801A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71DF-4FE9-BD52-1232704C03F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BD1A30F-3785-458F-AE98-2FEE4274C8A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52EB491-4B45-4A33-9504-ACB85D2F127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71DF-4FE9-BD52-1232704C03F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767C-4675-9C82-1B6B9BC9A742}"/>
                </c:ext>
              </c:extLst>
            </c:dLbl>
            <c:dLbl>
              <c:idx val="1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5B17C8C-5D1C-46C3-8F2B-00320DFE441F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4CBEC80A-D97D-4394-8A33-A1862DBDCC0C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89BF-4404-A480-A8AFDAD8F96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8233DCA-BFBC-4002-B9C9-0CD01B00510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C5D8A0F-71CE-4BF0-B6FB-8818DBE2DE9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89BF-4404-A480-A8AFDAD8F9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'03. Chart'!$B$7:$AS$8</c15:sqref>
                  </c15:fullRef>
                </c:ext>
              </c:extLst>
              <c:f>'03. Chart'!$B$7:$AS$8</c:f>
              <c:multiLvlStrCache>
                <c:ptCount val="20"/>
                <c:lvl>
                  <c:pt idx="0">
                    <c:v>KH</c:v>
                  </c:pt>
                  <c:pt idx="1">
                    <c:v>TT</c:v>
                  </c:pt>
                  <c:pt idx="3">
                    <c:v>KH</c:v>
                  </c:pt>
                  <c:pt idx="4">
                    <c:v>TT</c:v>
                  </c:pt>
                  <c:pt idx="6">
                    <c:v>KH</c:v>
                  </c:pt>
                  <c:pt idx="7">
                    <c:v>TT</c:v>
                  </c:pt>
                  <c:pt idx="9">
                    <c:v>KH</c:v>
                  </c:pt>
                  <c:pt idx="10">
                    <c:v>TT</c:v>
                  </c:pt>
                  <c:pt idx="12">
                    <c:v>KH</c:v>
                  </c:pt>
                  <c:pt idx="13">
                    <c:v>TT</c:v>
                  </c:pt>
                  <c:pt idx="15">
                    <c:v>KH</c:v>
                  </c:pt>
                  <c:pt idx="16">
                    <c:v>TT</c:v>
                  </c:pt>
                  <c:pt idx="18">
                    <c:v>KH</c:v>
                  </c:pt>
                  <c:pt idx="19">
                    <c:v>TT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  <c:pt idx="9">
                    <c:v>4</c:v>
                  </c:pt>
                  <c:pt idx="12">
                    <c:v>BQ 26</c:v>
                  </c:pt>
                  <c:pt idx="15">
                    <c:v>BQ 25</c:v>
                  </c:pt>
                  <c:pt idx="18">
                    <c:v>BQ 24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Chart'!$B$10:$AS$10</c15:sqref>
                  </c15:fullRef>
                </c:ext>
              </c:extLst>
              <c:f>('03. Chart'!$B$10:$M$10,'03. Chart'!$AL$10:$AS$10)</c:f>
              <c:numCache>
                <c:formatCode>General</c:formatCode>
                <c:ptCount val="20"/>
                <c:pt idx="0">
                  <c:v>270</c:v>
                </c:pt>
                <c:pt idx="1">
                  <c:v>236</c:v>
                </c:pt>
                <c:pt idx="3">
                  <c:v>259</c:v>
                </c:pt>
                <c:pt idx="4">
                  <c:v>212</c:v>
                </c:pt>
                <c:pt idx="6">
                  <c:v>260</c:v>
                </c:pt>
                <c:pt idx="7">
                  <c:v>222</c:v>
                </c:pt>
                <c:pt idx="9">
                  <c:v>264</c:v>
                </c:pt>
                <c:pt idx="10">
                  <c:v>208</c:v>
                </c:pt>
                <c:pt idx="12" formatCode="_(* #,##0_);_(* \(#,##0\);_(* &quot;-&quot;_);_(@_)">
                  <c:v>263.75</c:v>
                </c:pt>
                <c:pt idx="13" formatCode="_(* #,##0_);_(* \(#,##0\);_(* &quot;-&quot;_);_(@_)">
                  <c:v>219.5</c:v>
                </c:pt>
                <c:pt idx="15" formatCode="_(* #,##0_);_(* \(#,##0\);_(* &quot;-&quot;??_);_(@_)">
                  <c:v>257.75</c:v>
                </c:pt>
                <c:pt idx="16" formatCode="_(* #,##0_);_(* \(#,##0\);_(* &quot;-&quot;??_);_(@_)">
                  <c:v>256</c:v>
                </c:pt>
                <c:pt idx="18" formatCode="_(* #,##0_);_(* \(#,##0\);_(* &quot;-&quot;??_);_(@_)">
                  <c:v>223.75</c:v>
                </c:pt>
                <c:pt idx="19" formatCode="_(* #,##0_);_(* \(#,##0\);_(* &quot;-&quot;??_);_(@_)">
                  <c:v>206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'03. Chart'!$B$13:$AS$13</c15:f>
                <c15:dlblRangeCache>
                  <c:ptCount val="44"/>
                  <c:pt idx="0">
                    <c:v>41%</c:v>
                  </c:pt>
                  <c:pt idx="1">
                    <c:v>39%</c:v>
                  </c:pt>
                  <c:pt idx="3">
                    <c:v>40%</c:v>
                  </c:pt>
                  <c:pt idx="4">
                    <c:v>37%</c:v>
                  </c:pt>
                  <c:pt idx="6">
                    <c:v>39%</c:v>
                  </c:pt>
                  <c:pt idx="7">
                    <c:v>38%</c:v>
                  </c:pt>
                  <c:pt idx="9">
                    <c:v>40%</c:v>
                  </c:pt>
                  <c:pt idx="10">
                    <c:v>36%</c:v>
                  </c:pt>
                  <c:pt idx="12">
                    <c:v>39%</c:v>
                  </c:pt>
                  <c:pt idx="13">
                    <c:v>0%</c:v>
                  </c:pt>
                  <c:pt idx="15">
                    <c:v>39%</c:v>
                  </c:pt>
                  <c:pt idx="16">
                    <c:v>0%</c:v>
                  </c:pt>
                  <c:pt idx="18">
                    <c:v>39%</c:v>
                  </c:pt>
                  <c:pt idx="19">
                    <c:v>0%</c:v>
                  </c:pt>
                  <c:pt idx="21">
                    <c:v>39%</c:v>
                  </c:pt>
                  <c:pt idx="22">
                    <c:v>0%</c:v>
                  </c:pt>
                  <c:pt idx="24">
                    <c:v>39%</c:v>
                  </c:pt>
                  <c:pt idx="25">
                    <c:v>0%</c:v>
                  </c:pt>
                  <c:pt idx="27">
                    <c:v>39%</c:v>
                  </c:pt>
                  <c:pt idx="28">
                    <c:v>0%</c:v>
                  </c:pt>
                  <c:pt idx="30">
                    <c:v>39%</c:v>
                  </c:pt>
                  <c:pt idx="31">
                    <c:v>0%</c:v>
                  </c:pt>
                  <c:pt idx="33">
                    <c:v>39%</c:v>
                  </c:pt>
                  <c:pt idx="34">
                    <c:v>0%</c:v>
                  </c:pt>
                  <c:pt idx="36">
                    <c:v>39%</c:v>
                  </c:pt>
                  <c:pt idx="37">
                    <c:v>38%</c:v>
                  </c:pt>
                  <c:pt idx="39">
                    <c:v>39%</c:v>
                  </c:pt>
                  <c:pt idx="40">
                    <c:v>41%</c:v>
                  </c:pt>
                  <c:pt idx="42">
                    <c:v>41%</c:v>
                  </c:pt>
                  <c:pt idx="43">
                    <c:v>40%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'03. Chart'!$N$10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73271B15-9340-42AA-A01F-EE2C8A629421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6CEBECFB-252D-4511-8300-C277603CF9DA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1-B7AE-4292-8200-A297E3DF5517}"/>
                      </c:ext>
                    </c:extLst>
                  </c15:dLbl>
                </c15:categoryFilterException>
                <c15:categoryFilterException>
                  <c15:sqref>'03. Chart'!$O$10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19E30E9A-BCE6-4475-9C22-01E4F10DFE68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C2954F47-E70E-46F4-BADD-CFFACC3C507B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3-B7AE-4292-8200-A297E3DF5517}"/>
                      </c:ext>
                    </c:extLst>
                  </c15:dLbl>
                </c15:categoryFilterException>
                <c15:categoryFilterException>
                  <c15:sqref>'03. Chart'!$Q$10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7E866278-8F31-4524-8B6D-BC095570E71E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C97C0591-8486-454A-AE6D-98F5E6F3C9AB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4-B7AE-4292-8200-A297E3DF5517}"/>
                      </c:ext>
                    </c:extLst>
                  </c15:dLbl>
                </c15:categoryFilterException>
                <c15:categoryFilterException>
                  <c15:sqref>'03. Chart'!$R$10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3EF12E6B-E9A9-40C0-AB40-ABB32BDFAEDD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5B324949-9782-4888-95AE-C03D2BF591B4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6-B7AE-4292-8200-A297E3DF5517}"/>
                      </c:ext>
                    </c:extLst>
                  </c15:dLbl>
                </c15:categoryFilterException>
                <c15:categoryFilterException>
                  <c15:sqref>'03. Chart'!$T$10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03E363DE-8C40-42AA-92EE-7D8E6035A5AB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3BFE47E8-D2D5-4082-9CDC-FD862D8782E8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7-B7AE-4292-8200-A297E3DF5517}"/>
                      </c:ext>
                    </c:extLst>
                  </c15:dLbl>
                </c15:categoryFilterException>
                <c15:categoryFilterException>
                  <c15:sqref>'03. Chart'!$U$10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3544EA23-0A0B-40E1-922D-EA94B705BA8A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4F1E555B-8AFB-45CD-838E-E09A722B059D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9-B7AE-4292-8200-A297E3DF5517}"/>
                      </c:ext>
                    </c:extLst>
                  </c15:dLbl>
                </c15:categoryFilterException>
                <c15:categoryFilterException>
                  <c15:sqref>'03. Chart'!$W$10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9ED5B10E-EF79-41EE-BB43-3FBC136CE47D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653B84B3-DB25-4693-ADE1-F70151FE3C31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A-B7AE-4292-8200-A297E3DF5517}"/>
                      </c:ext>
                    </c:extLst>
                  </c15:dLbl>
                </c15:categoryFilterException>
                <c15:categoryFilterException>
                  <c15:sqref>'03. Chart'!$X$10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54CDEC81-E0A7-4DE0-AA6E-455925195EE1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755B2176-7CE8-4143-B4B1-A23F8DA87F0C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C-B7AE-4292-8200-A297E3DF5517}"/>
                      </c:ext>
                    </c:extLst>
                  </c15:dLbl>
                </c15:categoryFilterException>
                <c15:categoryFilterException>
                  <c15:sqref>'03. Chart'!$Z$10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ysClr val="windowText" lastClr="00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D-B7AE-4292-8200-A297E3DF5517}"/>
                      </c:ext>
                    </c:extLst>
                  </c15:dLbl>
                </c15:categoryFilterException>
                <c15:categoryFilterException>
                  <c15:sqref>'03. Chart'!$AA$10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'03. Chart'!$AD$10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'03. Chart'!$AG$10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'03. Chart'!$AJ$10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71DF-4FE9-BD52-1232704C0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75961007"/>
        <c:axId val="575961967"/>
      </c:barChart>
      <c:lineChart>
        <c:grouping val="standard"/>
        <c:varyColors val="0"/>
        <c:ser>
          <c:idx val="2"/>
          <c:order val="2"/>
          <c:tx>
            <c:strRef>
              <c:f>'03. Chart'!$A$11</c:f>
              <c:strCache>
                <c:ptCount val="1"/>
                <c:pt idx="0">
                  <c:v>Tổng cộng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3-71DF-4FE9-BD52-1232704C03F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9-71DF-4FE9-BD52-1232704C03F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4C-91C2-41F1-8086-5CFAC30ADD9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4D-91C2-41F1-8086-5CFAC30ADD9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4A-DDF3-4A90-B0C9-CA5721BD4AC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4B-DDF3-4A90-B0C9-CA5721BD4AC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48-1281-4F33-BFFC-E9251DBBB78A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49-1281-4F33-BFFC-E9251DBBB78A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78-8C15-4932-8416-330190282490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C-71DF-4FE9-BD52-1232704C03F3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2-71DF-4FE9-BD52-1232704C03F3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A-89BF-4404-A480-A8AFDAD8F962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B-89BF-4404-A480-A8AFDAD8F9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'03. Chart'!$B$7:$AS$8</c15:sqref>
                  </c15:fullRef>
                </c:ext>
              </c:extLst>
              <c:f>'03. Chart'!$B$7:$AS$8</c:f>
              <c:multiLvlStrCache>
                <c:ptCount val="20"/>
                <c:lvl>
                  <c:pt idx="0">
                    <c:v>KH</c:v>
                  </c:pt>
                  <c:pt idx="1">
                    <c:v>TT</c:v>
                  </c:pt>
                  <c:pt idx="3">
                    <c:v>KH</c:v>
                  </c:pt>
                  <c:pt idx="4">
                    <c:v>TT</c:v>
                  </c:pt>
                  <c:pt idx="6">
                    <c:v>KH</c:v>
                  </c:pt>
                  <c:pt idx="7">
                    <c:v>TT</c:v>
                  </c:pt>
                  <c:pt idx="9">
                    <c:v>KH</c:v>
                  </c:pt>
                  <c:pt idx="10">
                    <c:v>TT</c:v>
                  </c:pt>
                  <c:pt idx="12">
                    <c:v>KH</c:v>
                  </c:pt>
                  <c:pt idx="13">
                    <c:v>TT</c:v>
                  </c:pt>
                  <c:pt idx="15">
                    <c:v>KH</c:v>
                  </c:pt>
                  <c:pt idx="16">
                    <c:v>TT</c:v>
                  </c:pt>
                  <c:pt idx="18">
                    <c:v>KH</c:v>
                  </c:pt>
                  <c:pt idx="19">
                    <c:v>TT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  <c:pt idx="9">
                    <c:v>4</c:v>
                  </c:pt>
                  <c:pt idx="12">
                    <c:v>BQ 26</c:v>
                  </c:pt>
                  <c:pt idx="15">
                    <c:v>BQ 25</c:v>
                  </c:pt>
                  <c:pt idx="18">
                    <c:v>BQ 24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Chart'!$B$11:$AS$11</c15:sqref>
                  </c15:fullRef>
                </c:ext>
              </c:extLst>
              <c:f>('03. Chart'!$B$11:$M$11,'03. Chart'!$AL$11:$AS$11)</c:f>
              <c:numCache>
                <c:formatCode>_(* #,##0_);_(* \(#,##0\);_(* "-"??_);_(@_)</c:formatCode>
                <c:ptCount val="20"/>
                <c:pt idx="0">
                  <c:v>661</c:v>
                </c:pt>
                <c:pt idx="1">
                  <c:v>611</c:v>
                </c:pt>
                <c:pt idx="3">
                  <c:v>650</c:v>
                </c:pt>
                <c:pt idx="4">
                  <c:v>575</c:v>
                </c:pt>
                <c:pt idx="6">
                  <c:v>659</c:v>
                </c:pt>
                <c:pt idx="7">
                  <c:v>582</c:v>
                </c:pt>
                <c:pt idx="9">
                  <c:v>664</c:v>
                </c:pt>
                <c:pt idx="10">
                  <c:v>571</c:v>
                </c:pt>
                <c:pt idx="12">
                  <c:v>668.83333333333326</c:v>
                </c:pt>
                <c:pt idx="13">
                  <c:v>584.75</c:v>
                </c:pt>
                <c:pt idx="15">
                  <c:v>656.91666666666674</c:v>
                </c:pt>
                <c:pt idx="16">
                  <c:v>626.08333333333326</c:v>
                </c:pt>
                <c:pt idx="18">
                  <c:v>545.58333333333337</c:v>
                </c:pt>
                <c:pt idx="19">
                  <c:v>510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'03. Chart'!$N$11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6-B7AE-4292-8200-A297E3DF5517}"/>
                      </c:ext>
                    </c:extLst>
                  </c15:dLbl>
                </c15:categoryFilterException>
                <c15:categoryFilterException>
                  <c15:sqref>'03. Chart'!$O$11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7-B7AE-4292-8200-A297E3DF5517}"/>
                      </c:ext>
                    </c:extLst>
                  </c15:dLbl>
                </c15:categoryFilterException>
                <c15:categoryFilterException>
                  <c15:sqref>'03. Chart'!$Q$11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8-B7AE-4292-8200-A297E3DF5517}"/>
                      </c:ext>
                    </c:extLst>
                  </c15:dLbl>
                </c15:categoryFilterException>
                <c15:categoryFilterException>
                  <c15:sqref>'03. Chart'!$R$11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9-B7AE-4292-8200-A297E3DF5517}"/>
                      </c:ext>
                    </c:extLst>
                  </c15:dLbl>
                </c15:categoryFilterException>
                <c15:categoryFilterException>
                  <c15:sqref>'03. Chart'!$T$11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A-B7AE-4292-8200-A297E3DF5517}"/>
                      </c:ext>
                    </c:extLst>
                  </c15:dLbl>
                </c15:categoryFilterException>
                <c15:categoryFilterException>
                  <c15:sqref>'03. Chart'!$U$11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B-B7AE-4292-8200-A297E3DF5517}"/>
                      </c:ext>
                    </c:extLst>
                  </c15:dLbl>
                </c15:categoryFilterException>
                <c15:categoryFilterException>
                  <c15:sqref>'03. Chart'!$W$11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C-B7AE-4292-8200-A297E3DF5517}"/>
                      </c:ext>
                    </c:extLst>
                  </c15:dLbl>
                </c15:categoryFilterException>
                <c15:categoryFilterException>
                  <c15:sqref>'03. Chart'!$X$11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D-B7AE-4292-8200-A297E3DF5517}"/>
                      </c:ext>
                    </c:extLst>
                  </c15:dLbl>
                </c15:categoryFilterException>
                <c15:categoryFilterException>
                  <c15:sqref>'03. Chart'!$Z$11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E-B7AE-4292-8200-A297E3DF5517}"/>
                      </c:ext>
                    </c:extLst>
                  </c15:dLbl>
                </c15:categoryFilterException>
                <c15:categoryFilterException>
                  <c15:sqref>'03. Chart'!$AA$11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F-B7AE-4292-8200-A297E3DF5517}"/>
                      </c:ext>
                    </c:extLst>
                  </c15:dLbl>
                </c15:categoryFilterException>
                <c15:categoryFilterException>
                  <c15:sqref>'03. Chart'!$AC$11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50-B7AE-4292-8200-A297E3DF5517}"/>
                      </c:ext>
                    </c:extLst>
                  </c15:dLbl>
                </c15:categoryFilterException>
                <c15:categoryFilterException>
                  <c15:sqref>'03. Chart'!$AD$11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51-B7AE-4292-8200-A297E3DF5517}"/>
                      </c:ext>
                    </c:extLst>
                  </c15:dLbl>
                </c15:categoryFilterException>
                <c15:categoryFilterException>
                  <c15:sqref>'03. Chart'!$AF$11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52-B7AE-4292-8200-A297E3DF5517}"/>
                      </c:ext>
                    </c:extLst>
                  </c15:dLbl>
                </c15:categoryFilterException>
                <c15:categoryFilterException>
                  <c15:sqref>'03. Chart'!$AG$11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53-B7AE-4292-8200-A297E3DF551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71DF-4FE9-BD52-1232704C0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961007"/>
        <c:axId val="575961967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986927"/>
        <c:axId val="575969647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'03. Chart'!$A$12</c15:sqref>
                        </c15:formulaRef>
                      </c:ext>
                    </c:extLst>
                    <c:strCache>
                      <c:ptCount val="1"/>
                      <c:pt idx="0">
                        <c:v>% Định biên gián tiếp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ullRef>
                          <c15:sqref>'03. Chart'!$B$7:$AS$8</c15:sqref>
                        </c15:fullRef>
                        <c15:formulaRef>
                          <c15:sqref>'03. Chart'!$B$7:$AS$8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KH</c:v>
                        </c:pt>
                        <c:pt idx="1">
                          <c:v>TT</c:v>
                        </c:pt>
                        <c:pt idx="3">
                          <c:v>KH</c:v>
                        </c:pt>
                        <c:pt idx="4">
                          <c:v>TT</c:v>
                        </c:pt>
                        <c:pt idx="6">
                          <c:v>KH</c:v>
                        </c:pt>
                        <c:pt idx="7">
                          <c:v>TT</c:v>
                        </c:pt>
                        <c:pt idx="9">
                          <c:v>KH</c:v>
                        </c:pt>
                        <c:pt idx="10">
                          <c:v>TT</c:v>
                        </c:pt>
                        <c:pt idx="12">
                          <c:v>KH</c:v>
                        </c:pt>
                        <c:pt idx="13">
                          <c:v>TT</c:v>
                        </c:pt>
                        <c:pt idx="15">
                          <c:v>KH</c:v>
                        </c:pt>
                        <c:pt idx="16">
                          <c:v>TT</c:v>
                        </c:pt>
                        <c:pt idx="18">
                          <c:v>KH</c:v>
                        </c:pt>
                        <c:pt idx="19">
                          <c:v>TT</c:v>
                        </c:pt>
                      </c:lvl>
                      <c:lvl>
                        <c:pt idx="0">
                          <c:v>1</c:v>
                        </c:pt>
                        <c:pt idx="3">
                          <c:v>2</c:v>
                        </c:pt>
                        <c:pt idx="6">
                          <c:v>3</c:v>
                        </c:pt>
                        <c:pt idx="9">
                          <c:v>4</c:v>
                        </c:pt>
                        <c:pt idx="12">
                          <c:v>BQ 26</c:v>
                        </c:pt>
                        <c:pt idx="15">
                          <c:v>BQ 25</c:v>
                        </c:pt>
                        <c:pt idx="18">
                          <c:v>BQ 24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'03. Chart'!$B$12:$AS$12</c15:sqref>
                        </c15:fullRef>
                        <c15:formulaRef>
                          <c15:sqref>('03. Chart'!$B$12:$M$12,'03. Chart'!$AL$12:$AS$12)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0">
                        <c:v>0.59152798789712557</c:v>
                      </c:pt>
                      <c:pt idx="1">
                        <c:v>0.61374795417348604</c:v>
                      </c:pt>
                      <c:pt idx="3">
                        <c:v>0.60153846153846158</c:v>
                      </c:pt>
                      <c:pt idx="4">
                        <c:v>0.63130434782608691</c:v>
                      </c:pt>
                      <c:pt idx="6">
                        <c:v>0.6054628224582701</c:v>
                      </c:pt>
                      <c:pt idx="7">
                        <c:v>0.61855670103092786</c:v>
                      </c:pt>
                      <c:pt idx="9">
                        <c:v>0.60240963855421692</c:v>
                      </c:pt>
                      <c:pt idx="10">
                        <c:v>0.63572679509632224</c:v>
                      </c:pt>
                      <c:pt idx="12">
                        <c:v>0.60565661599800646</c:v>
                      </c:pt>
                      <c:pt idx="13">
                        <c:v>0.62462590850790933</c:v>
                      </c:pt>
                      <c:pt idx="15">
                        <c:v>0.60763668654065706</c:v>
                      </c:pt>
                      <c:pt idx="16">
                        <c:v>0.59110874484227338</c:v>
                      </c:pt>
                      <c:pt idx="18">
                        <c:v>0.58988849854895375</c:v>
                      </c:pt>
                      <c:pt idx="19">
                        <c:v>0.59607843137254901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1DF-4FE9-BD52-1232704C03F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'03. Chart'!$A$13</c15:sqref>
                        </c15:formulaRef>
                      </c:ext>
                    </c:extLst>
                    <c:strCache>
                      <c:ptCount val="1"/>
                      <c:pt idx="0">
                        <c:v>% Định biên trực tiếp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'03. Chart'!$B$7:$AS$8</c15:sqref>
                        </c15:fullRef>
                        <c15:formulaRef>
                          <c15:sqref>'03. Chart'!$B$7:$AS$8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KH</c:v>
                        </c:pt>
                        <c:pt idx="1">
                          <c:v>TT</c:v>
                        </c:pt>
                        <c:pt idx="3">
                          <c:v>KH</c:v>
                        </c:pt>
                        <c:pt idx="4">
                          <c:v>TT</c:v>
                        </c:pt>
                        <c:pt idx="6">
                          <c:v>KH</c:v>
                        </c:pt>
                        <c:pt idx="7">
                          <c:v>TT</c:v>
                        </c:pt>
                        <c:pt idx="9">
                          <c:v>KH</c:v>
                        </c:pt>
                        <c:pt idx="10">
                          <c:v>TT</c:v>
                        </c:pt>
                        <c:pt idx="12">
                          <c:v>KH</c:v>
                        </c:pt>
                        <c:pt idx="13">
                          <c:v>TT</c:v>
                        </c:pt>
                        <c:pt idx="15">
                          <c:v>KH</c:v>
                        </c:pt>
                        <c:pt idx="16">
                          <c:v>TT</c:v>
                        </c:pt>
                        <c:pt idx="18">
                          <c:v>KH</c:v>
                        </c:pt>
                        <c:pt idx="19">
                          <c:v>TT</c:v>
                        </c:pt>
                      </c:lvl>
                      <c:lvl>
                        <c:pt idx="0">
                          <c:v>1</c:v>
                        </c:pt>
                        <c:pt idx="3">
                          <c:v>2</c:v>
                        </c:pt>
                        <c:pt idx="6">
                          <c:v>3</c:v>
                        </c:pt>
                        <c:pt idx="9">
                          <c:v>4</c:v>
                        </c:pt>
                        <c:pt idx="12">
                          <c:v>BQ 26</c:v>
                        </c:pt>
                        <c:pt idx="15">
                          <c:v>BQ 25</c:v>
                        </c:pt>
                        <c:pt idx="18">
                          <c:v>BQ 24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'03. Chart'!$B$13:$AS$13</c15:sqref>
                        </c15:fullRef>
                        <c15:formulaRef>
                          <c15:sqref>('03. Chart'!$B$13:$M$13,'03. Chart'!$AL$13:$AS$13)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0">
                        <c:v>0.40847201210287443</c:v>
                      </c:pt>
                      <c:pt idx="1">
                        <c:v>0.3862520458265139</c:v>
                      </c:pt>
                      <c:pt idx="3">
                        <c:v>0.39846153846153848</c:v>
                      </c:pt>
                      <c:pt idx="4">
                        <c:v>0.36869565217391304</c:v>
                      </c:pt>
                      <c:pt idx="6">
                        <c:v>0.3945371775417299</c:v>
                      </c:pt>
                      <c:pt idx="7">
                        <c:v>0.38144329896907214</c:v>
                      </c:pt>
                      <c:pt idx="9">
                        <c:v>0.39759036144578314</c:v>
                      </c:pt>
                      <c:pt idx="10">
                        <c:v>0.36427320490367776</c:v>
                      </c:pt>
                      <c:pt idx="12">
                        <c:v>0.39434338400199359</c:v>
                      </c:pt>
                      <c:pt idx="13">
                        <c:v>0.37537409149209061</c:v>
                      </c:pt>
                      <c:pt idx="15">
                        <c:v>0.39236331345934283</c:v>
                      </c:pt>
                      <c:pt idx="16">
                        <c:v>0.40889125515772667</c:v>
                      </c:pt>
                      <c:pt idx="18">
                        <c:v>0.41011150145104625</c:v>
                      </c:pt>
                      <c:pt idx="19">
                        <c:v>0.40392156862745099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1DF-4FE9-BD52-1232704C03F3}"/>
                  </c:ext>
                </c:extLst>
              </c15:ser>
            </c15:filteredLineSeries>
          </c:ext>
        </c:extLst>
      </c:lineChart>
      <c:catAx>
        <c:axId val="57596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61967"/>
        <c:crosses val="autoZero"/>
        <c:auto val="1"/>
        <c:lblAlgn val="ctr"/>
        <c:lblOffset val="100"/>
        <c:noMultiLvlLbl val="0"/>
      </c:catAx>
      <c:valAx>
        <c:axId val="57596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61007"/>
        <c:crosses val="autoZero"/>
        <c:crossBetween val="between"/>
      </c:valAx>
      <c:valAx>
        <c:axId val="575969647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86927"/>
        <c:crosses val="max"/>
        <c:crossBetween val="between"/>
      </c:valAx>
      <c:catAx>
        <c:axId val="575986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9696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B050"/>
                </a:solidFill>
              </a:rPr>
              <a:t>BĐ</a:t>
            </a:r>
            <a:r>
              <a:rPr lang="en-US" sz="1600" b="1" baseline="0">
                <a:solidFill>
                  <a:srgbClr val="00B050"/>
                </a:solidFill>
              </a:rPr>
              <a:t> </a:t>
            </a:r>
            <a:r>
              <a:rPr lang="en-US" sz="1600" b="1">
                <a:solidFill>
                  <a:srgbClr val="00B050"/>
                </a:solidFill>
              </a:rPr>
              <a:t>NĂNG</a:t>
            </a:r>
            <a:r>
              <a:rPr lang="en-US" sz="1600" b="1" baseline="0">
                <a:solidFill>
                  <a:srgbClr val="00B050"/>
                </a:solidFill>
              </a:rPr>
              <a:t> SUẤT _ </a:t>
            </a:r>
            <a:r>
              <a:rPr lang="en-US" sz="1600" b="1">
                <a:solidFill>
                  <a:srgbClr val="00B050"/>
                </a:solidFill>
              </a:rPr>
              <a:t>SẢN</a:t>
            </a:r>
            <a:r>
              <a:rPr lang="en-US" sz="1600" b="1" baseline="0">
                <a:solidFill>
                  <a:srgbClr val="00B050"/>
                </a:solidFill>
              </a:rPr>
              <a:t> LƯỢNG SẢN XUẤT/NGƯỜI/THÁNG</a:t>
            </a:r>
            <a:endParaRPr lang="en-US" sz="16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14930447300562882"/>
          <c:y val="2.1063358463832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997252858592775E-2"/>
          <c:y val="0.11253043521575559"/>
          <c:w val="0.94876207115534272"/>
          <c:h val="0.7375955284289043"/>
        </c:manualLayout>
      </c:layout>
      <c:barChart>
        <c:barDir val="col"/>
        <c:grouping val="clustered"/>
        <c:varyColors val="0"/>
        <c:ser>
          <c:idx val="3"/>
          <c:order val="1"/>
          <c:tx>
            <c:strRef>
              <c:f>'03. Chart'!$B$44</c:f>
              <c:strCache>
                <c:ptCount val="1"/>
                <c:pt idx="0">
                  <c:v>TT 2025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BQ năm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Chart'!$C$44:$O$44</c15:sqref>
                  </c15:fullRef>
                </c:ext>
              </c:extLst>
              <c:f>('03. Chart'!$C$44:$F$44,'03. Chart'!$O$44)</c:f>
              <c:numCache>
                <c:formatCode>0.0</c:formatCode>
                <c:ptCount val="5"/>
                <c:pt idx="0">
                  <c:v>3.2</c:v>
                </c:pt>
                <c:pt idx="1">
                  <c:v>5.0999999999999996</c:v>
                </c:pt>
                <c:pt idx="2">
                  <c:v>8</c:v>
                </c:pt>
                <c:pt idx="3">
                  <c:v>6.7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54-4AE7-A2A1-B5CDABF5681F}"/>
            </c:ext>
          </c:extLst>
        </c:ser>
        <c:ser>
          <c:idx val="2"/>
          <c:order val="2"/>
          <c:tx>
            <c:strRef>
              <c:f>'03. Chart'!$B$41</c:f>
              <c:strCache>
                <c:ptCount val="1"/>
                <c:pt idx="0">
                  <c:v>KH 2026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4024065842410608E-3"/>
                  <c:y val="4.62976429836748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941-4FD0-B36D-65AC50C3FBB6}"/>
                </c:ext>
              </c:extLst>
            </c:dLbl>
            <c:dLbl>
              <c:idx val="4"/>
              <c:layout>
                <c:manualLayout>
                  <c:x val="2.0019156330806469E-3"/>
                  <c:y val="-3.73154830166071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41-4FD0-B36D-65AC50C3FB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'03. Chart'!$C$35:$O$35</c15:sqref>
                  </c15:fullRef>
                </c:ext>
              </c:extLst>
              <c:f>('03. Chart'!$C$35:$F$35,'03. Chart'!$O$35)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năm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Chart'!$C$41:$O$41</c15:sqref>
                  </c15:fullRef>
                </c:ext>
              </c:extLst>
              <c:f>('03. Chart'!$C$41:$F$41,'03. Chart'!$O$41)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6.3</c:v>
                </c:pt>
                <c:pt idx="3">
                  <c:v>6.3</c:v>
                </c:pt>
                <c:pt idx="4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41-4FD0-B36D-65AC50C3FBB6}"/>
            </c:ext>
          </c:extLst>
        </c:ser>
        <c:ser>
          <c:idx val="0"/>
          <c:order val="3"/>
          <c:tx>
            <c:strRef>
              <c:f>'03. Chart'!$B$38</c:f>
              <c:strCache>
                <c:ptCount val="1"/>
                <c:pt idx="0">
                  <c:v>TT 2026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7.7964296956184653E-3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41-4FD0-B36D-65AC50C3FBB6}"/>
                </c:ext>
              </c:extLst>
            </c:dLbl>
            <c:dLbl>
              <c:idx val="1"/>
              <c:layout>
                <c:manualLayout>
                  <c:x val="5.847322271713862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941-4FD0-B36D-65AC50C3FBB6}"/>
                </c:ext>
              </c:extLst>
            </c:dLbl>
            <c:dLbl>
              <c:idx val="4"/>
              <c:layout>
                <c:manualLayout>
                  <c:x val="3.8982148478092418E-3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941-4FD0-B36D-65AC50C3FB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'03. Chart'!$C$35:$O$35</c15:sqref>
                  </c15:fullRef>
                </c:ext>
              </c:extLst>
              <c:f>('03. Chart'!$C$35:$F$35,'03. Chart'!$O$35)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năm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Chart'!$C$38:$O$38</c15:sqref>
                  </c15:fullRef>
                </c:ext>
              </c:extLst>
              <c:f>('03. Chart'!$C$38:$F$38,'03. Chart'!$O$38)</c:f>
              <c:numCache>
                <c:formatCode>0.0</c:formatCode>
                <c:ptCount val="5"/>
                <c:pt idx="0">
                  <c:v>4.7</c:v>
                </c:pt>
                <c:pt idx="1">
                  <c:v>3.1</c:v>
                </c:pt>
                <c:pt idx="2">
                  <c:v>7.4</c:v>
                </c:pt>
                <c:pt idx="3">
                  <c:v>7.7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1-4FD0-B36D-65AC50C3FB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21120672"/>
        <c:axId val="321121152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'03. Chart'!$B$47</c15:sqref>
                        </c15:formulaRef>
                      </c:ext>
                    </c:extLst>
                    <c:strCache>
                      <c:ptCount val="1"/>
                      <c:pt idx="0">
                        <c:v>TT 2024</c:v>
                      </c:pt>
                    </c:strCache>
                  </c:strRef>
                </c:tx>
                <c:spPr>
                  <a:solidFill>
                    <a:schemeClr val="bg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bg1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0-FCF2-4E11-9A00-93C5ADB35B4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'03. Chart'!$C$35:$O$35</c15:sqref>
                        </c15:fullRef>
                        <c15:formulaRef>
                          <c15:sqref>('03. Chart'!$C$35:$F$35,'03. Chart'!$O$35)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BQ năm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'03. Chart'!$C$47:$O$47</c15:sqref>
                        </c15:fullRef>
                        <c15:formulaRef>
                          <c15:sqref>('03. Chart'!$C$47:$F$47,'03. Chart'!$O$47)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11</c:v>
                      </c:pt>
                      <c:pt idx="1">
                        <c:v>7</c:v>
                      </c:pt>
                      <c:pt idx="2">
                        <c:v>10.6</c:v>
                      </c:pt>
                      <c:pt idx="3">
                        <c:v>9.4</c:v>
                      </c:pt>
                      <c:pt idx="4">
                        <c:v>7.3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941-4FD0-B36D-65AC50C3FBB6}"/>
                  </c:ext>
                </c:extLst>
              </c15:ser>
            </c15:filteredBarSeries>
          </c:ext>
        </c:extLst>
      </c:barChart>
      <c:catAx>
        <c:axId val="32112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121152"/>
        <c:crosses val="autoZero"/>
        <c:auto val="1"/>
        <c:lblAlgn val="ctr"/>
        <c:lblOffset val="100"/>
        <c:noMultiLvlLbl val="0"/>
      </c:catAx>
      <c:valAx>
        <c:axId val="32112115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12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bg1"/>
                </a:solidFill>
              </a:rPr>
              <a:t>ĐỊNH BIÊN NHÂN SỰ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'03. Chart'!$A$9</c:f>
              <c:strCache>
                <c:ptCount val="1"/>
                <c:pt idx="0">
                  <c:v>Định biên gián tiếp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64-40AD-93A7-A8590E5B37BA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64-40AD-93A7-A8590E5B37BA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64-40AD-93A7-A8590E5B37BA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64-40AD-93A7-A8590E5B37BA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C64-40AD-93A7-A8590E5B37BA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C64-40AD-93A7-A8590E5B37BA}"/>
              </c:ext>
            </c:extLst>
          </c:dPt>
          <c:dPt>
            <c:idx val="1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C64-40AD-93A7-A8590E5B37BA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CBBB426-EDB1-4567-A491-0FEA0617F86A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12D2C428-71BC-4520-AE06-E03AF3D13A63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C64-40AD-93A7-A8590E5B37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AF8374E-5CBA-436E-B93B-8BB40155371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B6407BD-8180-4FFB-BBB3-72509B6F8CA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C64-40AD-93A7-A8590E5B37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C64-40AD-93A7-A8590E5B37B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7CF0D9F-D1C1-41FB-ADD4-E057BCA374B7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56FC36C9-34F0-4A5E-9715-752F86760B06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C64-40AD-93A7-A8590E5B37B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A6E1958-F3F5-4742-A3CD-F50CB6A729D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95FB4F3-A1B8-44F8-BAF6-AE194B6535EC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C64-40AD-93A7-A8590E5B37B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C64-40AD-93A7-A8590E5B37BA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702EBE6-B644-48AF-A3E5-B14ABF2330BD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45F62BC2-3975-4018-89ED-D86BB1549757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9C64-40AD-93A7-A8590E5B37B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C5D5182-7F7A-46F6-BBF4-6FD3077A0A1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00A7FA7-F313-48C5-9495-CE4D65F4043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C64-40AD-93A7-A8590E5B37B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C64-40AD-93A7-A8590E5B37BA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F4A9539-C67F-42FF-92F9-F1AA0B5665C5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207FBE1A-7C79-4CF0-9A5D-37A32EDB54AD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9C64-40AD-93A7-A8590E5B37B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902C7FB-26B2-4033-A207-E503A7DCF98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DAE77A9-CEA7-4E08-9168-49703C54471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C64-40AD-93A7-A8590E5B37B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C64-40AD-93A7-A8590E5B37BA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FBBD3C8-4EDB-4C95-8CDD-6CCBB72A0974}" type="CELLRANGE">
                      <a:rPr lang="en-US"/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011ACE01-84FD-4D67-9D50-6524B76985D0}" type="VALUE">
                      <a:rPr lang="en-US" baseline="0"/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C64-40AD-93A7-A8590E5B37B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489AA26-D5F3-4136-843F-0D1EE104EBE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41948781-69ED-417F-9DF6-348D62EB74D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C64-40AD-93A7-A8590E5B37B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C64-40AD-93A7-A8590E5B37BA}"/>
                </c:ext>
              </c:extLst>
            </c:dLbl>
            <c:dLbl>
              <c:idx val="1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88395C6-B94B-4217-B2C5-5328D7AEA568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315477A2-2FFB-456B-B719-577C940EBB86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9C64-40AD-93A7-A8590E5B37B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FFADF30-7D45-4090-97CC-4873C9E0DCC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CDCC637-DD19-463B-B62D-23B43608854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C64-40AD-93A7-A8590E5B37B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C64-40AD-93A7-A8590E5B37BA}"/>
                </c:ext>
              </c:extLst>
            </c:dLbl>
            <c:dLbl>
              <c:idx val="1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9FEC2D3-518E-45D5-8914-52894EA37052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D20A2B66-EF14-4CD0-B857-21A7CDC4DF53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9C64-40AD-93A7-A8590E5B37B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FC9D99F-8E2F-4129-9FD2-5BC7C92C1715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E2470E7-87AC-47A0-BFD7-F4061AFA2DB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C64-40AD-93A7-A8590E5B37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'03. Chart'!$B$7:$AS$8</c15:sqref>
                  </c15:fullRef>
                </c:ext>
              </c:extLst>
              <c:f>'03. Chart'!$B$7:$AS$8</c:f>
              <c:multiLvlStrCache>
                <c:ptCount val="20"/>
                <c:lvl>
                  <c:pt idx="0">
                    <c:v>KH</c:v>
                  </c:pt>
                  <c:pt idx="1">
                    <c:v>TT</c:v>
                  </c:pt>
                  <c:pt idx="3">
                    <c:v>KH</c:v>
                  </c:pt>
                  <c:pt idx="4">
                    <c:v>TT</c:v>
                  </c:pt>
                  <c:pt idx="6">
                    <c:v>KH</c:v>
                  </c:pt>
                  <c:pt idx="7">
                    <c:v>TT</c:v>
                  </c:pt>
                  <c:pt idx="9">
                    <c:v>KH</c:v>
                  </c:pt>
                  <c:pt idx="10">
                    <c:v>TT</c:v>
                  </c:pt>
                  <c:pt idx="12">
                    <c:v>KH</c:v>
                  </c:pt>
                  <c:pt idx="13">
                    <c:v>TT</c:v>
                  </c:pt>
                  <c:pt idx="15">
                    <c:v>KH</c:v>
                  </c:pt>
                  <c:pt idx="16">
                    <c:v>TT</c:v>
                  </c:pt>
                  <c:pt idx="18">
                    <c:v>KH</c:v>
                  </c:pt>
                  <c:pt idx="19">
                    <c:v>TT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  <c:pt idx="9">
                    <c:v>4</c:v>
                  </c:pt>
                  <c:pt idx="12">
                    <c:v>BQ 26</c:v>
                  </c:pt>
                  <c:pt idx="15">
                    <c:v>BQ 25</c:v>
                  </c:pt>
                  <c:pt idx="18">
                    <c:v>BQ 24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Chart'!$B$9:$AS$9</c15:sqref>
                  </c15:fullRef>
                </c:ext>
              </c:extLst>
              <c:f>('03. Chart'!$B$9:$M$9,'03. Chart'!$AL$9:$AS$9)</c:f>
              <c:numCache>
                <c:formatCode>General</c:formatCode>
                <c:ptCount val="20"/>
                <c:pt idx="0">
                  <c:v>391</c:v>
                </c:pt>
                <c:pt idx="1">
                  <c:v>375</c:v>
                </c:pt>
                <c:pt idx="3">
                  <c:v>391</c:v>
                </c:pt>
                <c:pt idx="4">
                  <c:v>363</c:v>
                </c:pt>
                <c:pt idx="6">
                  <c:v>399</c:v>
                </c:pt>
                <c:pt idx="7">
                  <c:v>360</c:v>
                </c:pt>
                <c:pt idx="9">
                  <c:v>400</c:v>
                </c:pt>
                <c:pt idx="10">
                  <c:v>363</c:v>
                </c:pt>
                <c:pt idx="12" formatCode="_(* #,##0_);_(* \(#,##0\);_(* &quot;-&quot;_);_(@_)">
                  <c:v>405.08333333333331</c:v>
                </c:pt>
                <c:pt idx="13" formatCode="_(* #,##0_);_(* \(#,##0\);_(* &quot;-&quot;_);_(@_)">
                  <c:v>365.25</c:v>
                </c:pt>
                <c:pt idx="15" formatCode="_(* #,##0_);_(* \(#,##0\);_(* &quot;-&quot;??_);_(@_)">
                  <c:v>399.16666666666669</c:v>
                </c:pt>
                <c:pt idx="16" formatCode="_(* #,##0_);_(* \(#,##0\);_(* &quot;-&quot;??_);_(@_)">
                  <c:v>370.08333333333331</c:v>
                </c:pt>
                <c:pt idx="18" formatCode="_(* #,##0_);_(* \(#,##0\);_(* &quot;-&quot;??_);_(@_)">
                  <c:v>321.83333333333337</c:v>
                </c:pt>
                <c:pt idx="19" formatCode="_(* #,##0_);_(* \(#,##0\);_(* &quot;-&quot;??_);_(@_)">
                  <c:v>304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'03. Chart'!$B$12:$AS$12</c15:f>
                <c15:dlblRangeCache>
                  <c:ptCount val="44"/>
                  <c:pt idx="0">
                    <c:v>59%</c:v>
                  </c:pt>
                  <c:pt idx="1">
                    <c:v>61%</c:v>
                  </c:pt>
                  <c:pt idx="3">
                    <c:v>60%</c:v>
                  </c:pt>
                  <c:pt idx="4">
                    <c:v>63%</c:v>
                  </c:pt>
                  <c:pt idx="6">
                    <c:v>61%</c:v>
                  </c:pt>
                  <c:pt idx="7">
                    <c:v>62%</c:v>
                  </c:pt>
                  <c:pt idx="9">
                    <c:v>60%</c:v>
                  </c:pt>
                  <c:pt idx="10">
                    <c:v>64%</c:v>
                  </c:pt>
                  <c:pt idx="12">
                    <c:v>61%</c:v>
                  </c:pt>
                  <c:pt idx="13">
                    <c:v>0%</c:v>
                  </c:pt>
                  <c:pt idx="15">
                    <c:v>61%</c:v>
                  </c:pt>
                  <c:pt idx="16">
                    <c:v>0%</c:v>
                  </c:pt>
                  <c:pt idx="18">
                    <c:v>61%</c:v>
                  </c:pt>
                  <c:pt idx="19">
                    <c:v>0%</c:v>
                  </c:pt>
                  <c:pt idx="21">
                    <c:v>61%</c:v>
                  </c:pt>
                  <c:pt idx="22">
                    <c:v>0%</c:v>
                  </c:pt>
                  <c:pt idx="24">
                    <c:v>61%</c:v>
                  </c:pt>
                  <c:pt idx="25">
                    <c:v>0%</c:v>
                  </c:pt>
                  <c:pt idx="27">
                    <c:v>61%</c:v>
                  </c:pt>
                  <c:pt idx="28">
                    <c:v>0%</c:v>
                  </c:pt>
                  <c:pt idx="30">
                    <c:v>61%</c:v>
                  </c:pt>
                  <c:pt idx="31">
                    <c:v>0%</c:v>
                  </c:pt>
                  <c:pt idx="33">
                    <c:v>61%</c:v>
                  </c:pt>
                  <c:pt idx="34">
                    <c:v>0%</c:v>
                  </c:pt>
                  <c:pt idx="36">
                    <c:v>61%</c:v>
                  </c:pt>
                  <c:pt idx="37">
                    <c:v>62%</c:v>
                  </c:pt>
                  <c:pt idx="39">
                    <c:v>61%</c:v>
                  </c:pt>
                  <c:pt idx="40">
                    <c:v>59%</c:v>
                  </c:pt>
                  <c:pt idx="42">
                    <c:v>59%</c:v>
                  </c:pt>
                  <c:pt idx="43">
                    <c:v>60%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'03. Chart'!$N$9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5507190E-6ED7-4E33-998E-374664FA7C59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8B52D43A-5F55-410A-BC3A-6AB4B397C018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C-56FE-4BCE-AE14-9CCF42269902}"/>
                      </c:ext>
                    </c:extLst>
                  </c15:dLbl>
                </c15:categoryFilterException>
                <c15:categoryFilterException>
                  <c15:sqref>'03. Chart'!$O$9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89692C0E-3E60-4E40-ADB8-434965D50CD9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0A099D60-5244-4810-B67A-4C5C8F630F4F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56FE-4BCE-AE14-9CCF42269902}"/>
                      </c:ext>
                    </c:extLst>
                  </c15:dLbl>
                </c15:categoryFilterException>
                <c15:categoryFilterException>
                  <c15:sqref>'03. Chart'!$Q$9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4A6B9D60-DD9E-4320-93C9-4B4419019272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79670BCB-5635-4A32-9FB6-876865A7DD21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56FE-4BCE-AE14-9CCF42269902}"/>
                      </c:ext>
                    </c:extLst>
                  </c15:dLbl>
                </c15:categoryFilterException>
                <c15:categoryFilterException>
                  <c15:sqref>'03. Chart'!$R$9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53627547-A5BA-4198-B332-683A998CC938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F7A2B2AF-9852-4769-AA2F-AE085148B643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1-56FE-4BCE-AE14-9CCF42269902}"/>
                      </c:ext>
                    </c:extLst>
                  </c15:dLbl>
                </c15:categoryFilterException>
                <c15:categoryFilterException>
                  <c15:sqref>'03. Chart'!$T$9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2686D60D-FD21-40A5-8B04-35E13E40B0E3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0B886170-512F-469F-9280-F8A255F51517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2-56FE-4BCE-AE14-9CCF42269902}"/>
                      </c:ext>
                    </c:extLst>
                  </c15:dLbl>
                </c15:categoryFilterException>
                <c15:categoryFilterException>
                  <c15:sqref>'03. Chart'!$U$9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6968C76C-B617-4034-930A-4D9D1C28E43C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140CEB62-9498-49E5-AC3A-9F70D3E53FB8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4-56FE-4BCE-AE14-9CCF42269902}"/>
                      </c:ext>
                    </c:extLst>
                  </c15:dLbl>
                </c15:categoryFilterException>
                <c15:categoryFilterException>
                  <c15:sqref>'03. Chart'!$W$9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01820C32-C43F-4768-B9D8-4B979769E24F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039616DF-2042-49F6-8DA9-570B61680083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5-56FE-4BCE-AE14-9CCF42269902}"/>
                      </c:ext>
                    </c:extLst>
                  </c15:dLbl>
                </c15:categoryFilterException>
                <c15:categoryFilterException>
                  <c15:sqref>'03. Chart'!$X$9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36C9536B-14BB-4FA2-9C58-843974BA5CAA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C3E3659B-6864-4678-8706-38768089B30E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7-56FE-4BCE-AE14-9CCF42269902}"/>
                      </c:ext>
                    </c:extLst>
                  </c15:dLbl>
                </c15:categoryFilterException>
                <c15:categoryFilterException>
                  <c15:sqref>'03. Chart'!$Z$9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ysClr val="windowText" lastClr="00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8-56FE-4BCE-AE14-9CCF42269902}"/>
                      </c:ext>
                    </c:extLst>
                  </c15:dLbl>
                </c15:categoryFilterException>
                <c15:categoryFilterException>
                  <c15:sqref>'03. Chart'!$AA$9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'03. Chart'!$AD$9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'03. Chart'!$AG$9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'03. Chart'!$AJ$9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B-9C64-40AD-93A7-A8590E5B37BA}"/>
            </c:ext>
          </c:extLst>
        </c:ser>
        <c:ser>
          <c:idx val="1"/>
          <c:order val="1"/>
          <c:tx>
            <c:strRef>
              <c:f>'03. Chart'!$A$10</c:f>
              <c:strCache>
                <c:ptCount val="1"/>
                <c:pt idx="0">
                  <c:v>Định biên trực tiếp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9C64-40AD-93A7-A8590E5B37B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C64-40AD-93A7-A8590E5B37B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9C64-40AD-93A7-A8590E5B37B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9C64-40AD-93A7-A8590E5B37BA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9C64-40AD-93A7-A8590E5B37B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9C64-40AD-93A7-A8590E5B37BA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9C64-40AD-93A7-A8590E5B37BA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24C5E2-CA54-4D3A-AA6D-3817DF8241FC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07663B97-23F4-46E1-8D1E-941D46A7C19D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9C64-40AD-93A7-A8590E5B37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A4347D-DC6B-481A-8DAC-0616D195EA5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1DC1C90-C2EB-4C40-BE88-40D50633FC3C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9C64-40AD-93A7-A8590E5B37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C64-40AD-93A7-A8590E5B37B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C5ABF53-F8A0-4E93-8EAC-0189327975DC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F18F7077-0293-4ABD-9558-0264477075A6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9C64-40AD-93A7-A8590E5B37B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524639-8949-46E9-AA48-C8791D4F093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A78B8E4-9A76-452C-9445-444EE17F2BE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9C64-40AD-93A7-A8590E5B37B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C64-40AD-93A7-A8590E5B37BA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D841BD8-46D4-4365-B9B7-89686D37D522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AE7735EB-7651-4B55-829E-58D70C43906C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9C64-40AD-93A7-A8590E5B37B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86EF939-8049-429F-8D38-97AEF1BC716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8255D81-385F-4002-BFE0-AC8A34B8FCAB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9C64-40AD-93A7-A8590E5B37B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C64-40AD-93A7-A8590E5B37BA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C857E0B-C0DC-4A7C-BFA7-4A74782B04EB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F5A7DA12-6C50-4DE9-8089-41D7889CBC11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9C64-40AD-93A7-A8590E5B37B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694EC46-1EE5-4143-B4EE-835986DEB9E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C34CEC8-AB00-4815-9BD8-76695F4BD63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9C64-40AD-93A7-A8590E5B37B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C64-40AD-93A7-A8590E5B37BA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7C4E74D-9547-4901-80B6-57216F7DDEEE}" type="CELLRANGE">
                      <a:rPr lang="en-US"/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59B0EFED-165A-4C53-9679-B93372B644AE}" type="VALUE">
                      <a:rPr lang="en-US" baseline="0"/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C64-40AD-93A7-A8590E5B37B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54D5F10-B534-477B-BE67-4AF03508C90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90167932-79C4-4B01-B192-2581CA34CDA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C64-40AD-93A7-A8590E5B37B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C64-40AD-93A7-A8590E5B37BA}"/>
                </c:ext>
              </c:extLst>
            </c:dLbl>
            <c:dLbl>
              <c:idx val="1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E8736D3-9719-48CC-ADAA-24958DE8556C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64B20FB3-C263-4761-93D3-E6F01FE5801A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9C64-40AD-93A7-A8590E5B37B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BD1A30F-3785-458F-AE98-2FEE4274C8A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52EB491-4B45-4A33-9504-ACB85D2F127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9C64-40AD-93A7-A8590E5B37B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C64-40AD-93A7-A8590E5B37BA}"/>
                </c:ext>
              </c:extLst>
            </c:dLbl>
            <c:dLbl>
              <c:idx val="1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5B17C8C-5D1C-46C3-8F2B-00320DFE441F}" type="CELLRANG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b="1">
                        <a:solidFill>
                          <a:schemeClr val="tx1"/>
                        </a:solidFill>
                      </a:defRPr>
                    </a:pPr>
                    <a:fld id="{4CBEC80A-D97D-4394-8A33-A1862DBDCC0C}" type="VALUE">
                      <a:rPr 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9C64-40AD-93A7-A8590E5B37B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8233DCA-BFBC-4002-B9C9-0CD01B00510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C5D8A0F-71CE-4BF0-B6FB-8818DBE2DE9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9C64-40AD-93A7-A8590E5B37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'03. Chart'!$B$7:$AS$8</c15:sqref>
                  </c15:fullRef>
                </c:ext>
              </c:extLst>
              <c:f>'03. Chart'!$B$7:$AS$8</c:f>
              <c:multiLvlStrCache>
                <c:ptCount val="20"/>
                <c:lvl>
                  <c:pt idx="0">
                    <c:v>KH</c:v>
                  </c:pt>
                  <c:pt idx="1">
                    <c:v>TT</c:v>
                  </c:pt>
                  <c:pt idx="3">
                    <c:v>KH</c:v>
                  </c:pt>
                  <c:pt idx="4">
                    <c:v>TT</c:v>
                  </c:pt>
                  <c:pt idx="6">
                    <c:v>KH</c:v>
                  </c:pt>
                  <c:pt idx="7">
                    <c:v>TT</c:v>
                  </c:pt>
                  <c:pt idx="9">
                    <c:v>KH</c:v>
                  </c:pt>
                  <c:pt idx="10">
                    <c:v>TT</c:v>
                  </c:pt>
                  <c:pt idx="12">
                    <c:v>KH</c:v>
                  </c:pt>
                  <c:pt idx="13">
                    <c:v>TT</c:v>
                  </c:pt>
                  <c:pt idx="15">
                    <c:v>KH</c:v>
                  </c:pt>
                  <c:pt idx="16">
                    <c:v>TT</c:v>
                  </c:pt>
                  <c:pt idx="18">
                    <c:v>KH</c:v>
                  </c:pt>
                  <c:pt idx="19">
                    <c:v>TT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  <c:pt idx="9">
                    <c:v>4</c:v>
                  </c:pt>
                  <c:pt idx="12">
                    <c:v>BQ 26</c:v>
                  </c:pt>
                  <c:pt idx="15">
                    <c:v>BQ 25</c:v>
                  </c:pt>
                  <c:pt idx="18">
                    <c:v>BQ 24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Chart'!$B$10:$AS$10</c15:sqref>
                  </c15:fullRef>
                </c:ext>
              </c:extLst>
              <c:f>('03. Chart'!$B$10:$M$10,'03. Chart'!$AL$10:$AS$10)</c:f>
              <c:numCache>
                <c:formatCode>General</c:formatCode>
                <c:ptCount val="20"/>
                <c:pt idx="0">
                  <c:v>270</c:v>
                </c:pt>
                <c:pt idx="1">
                  <c:v>236</c:v>
                </c:pt>
                <c:pt idx="3">
                  <c:v>259</c:v>
                </c:pt>
                <c:pt idx="4">
                  <c:v>212</c:v>
                </c:pt>
                <c:pt idx="6">
                  <c:v>260</c:v>
                </c:pt>
                <c:pt idx="7">
                  <c:v>222</c:v>
                </c:pt>
                <c:pt idx="9">
                  <c:v>264</c:v>
                </c:pt>
                <c:pt idx="10">
                  <c:v>208</c:v>
                </c:pt>
                <c:pt idx="12" formatCode="_(* #,##0_);_(* \(#,##0\);_(* &quot;-&quot;_);_(@_)">
                  <c:v>263.75</c:v>
                </c:pt>
                <c:pt idx="13" formatCode="_(* #,##0_);_(* \(#,##0\);_(* &quot;-&quot;_);_(@_)">
                  <c:v>219.5</c:v>
                </c:pt>
                <c:pt idx="15" formatCode="_(* #,##0_);_(* \(#,##0\);_(* &quot;-&quot;??_);_(@_)">
                  <c:v>257.75</c:v>
                </c:pt>
                <c:pt idx="16" formatCode="_(* #,##0_);_(* \(#,##0\);_(* &quot;-&quot;??_);_(@_)">
                  <c:v>256</c:v>
                </c:pt>
                <c:pt idx="18" formatCode="_(* #,##0_);_(* \(#,##0\);_(* &quot;-&quot;??_);_(@_)">
                  <c:v>223.75</c:v>
                </c:pt>
                <c:pt idx="19" formatCode="_(* #,##0_);_(* \(#,##0\);_(* &quot;-&quot;??_);_(@_)">
                  <c:v>206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'03. Chart'!$B$13:$AS$13</c15:f>
                <c15:dlblRangeCache>
                  <c:ptCount val="44"/>
                  <c:pt idx="0">
                    <c:v>41%</c:v>
                  </c:pt>
                  <c:pt idx="1">
                    <c:v>39%</c:v>
                  </c:pt>
                  <c:pt idx="3">
                    <c:v>40%</c:v>
                  </c:pt>
                  <c:pt idx="4">
                    <c:v>37%</c:v>
                  </c:pt>
                  <c:pt idx="6">
                    <c:v>39%</c:v>
                  </c:pt>
                  <c:pt idx="7">
                    <c:v>38%</c:v>
                  </c:pt>
                  <c:pt idx="9">
                    <c:v>40%</c:v>
                  </c:pt>
                  <c:pt idx="10">
                    <c:v>36%</c:v>
                  </c:pt>
                  <c:pt idx="12">
                    <c:v>39%</c:v>
                  </c:pt>
                  <c:pt idx="13">
                    <c:v>0%</c:v>
                  </c:pt>
                  <c:pt idx="15">
                    <c:v>39%</c:v>
                  </c:pt>
                  <c:pt idx="16">
                    <c:v>0%</c:v>
                  </c:pt>
                  <c:pt idx="18">
                    <c:v>39%</c:v>
                  </c:pt>
                  <c:pt idx="19">
                    <c:v>0%</c:v>
                  </c:pt>
                  <c:pt idx="21">
                    <c:v>39%</c:v>
                  </c:pt>
                  <c:pt idx="22">
                    <c:v>0%</c:v>
                  </c:pt>
                  <c:pt idx="24">
                    <c:v>39%</c:v>
                  </c:pt>
                  <c:pt idx="25">
                    <c:v>0%</c:v>
                  </c:pt>
                  <c:pt idx="27">
                    <c:v>39%</c:v>
                  </c:pt>
                  <c:pt idx="28">
                    <c:v>0%</c:v>
                  </c:pt>
                  <c:pt idx="30">
                    <c:v>39%</c:v>
                  </c:pt>
                  <c:pt idx="31">
                    <c:v>0%</c:v>
                  </c:pt>
                  <c:pt idx="33">
                    <c:v>39%</c:v>
                  </c:pt>
                  <c:pt idx="34">
                    <c:v>0%</c:v>
                  </c:pt>
                  <c:pt idx="36">
                    <c:v>39%</c:v>
                  </c:pt>
                  <c:pt idx="37">
                    <c:v>38%</c:v>
                  </c:pt>
                  <c:pt idx="39">
                    <c:v>39%</c:v>
                  </c:pt>
                  <c:pt idx="40">
                    <c:v>41%</c:v>
                  </c:pt>
                  <c:pt idx="42">
                    <c:v>41%</c:v>
                  </c:pt>
                  <c:pt idx="43">
                    <c:v>40%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'03. Chart'!$N$10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73271B15-9340-42AA-A01F-EE2C8A629421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6CEBECFB-252D-4511-8300-C277603CF9DA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1-56FE-4BCE-AE14-9CCF42269902}"/>
                      </c:ext>
                    </c:extLst>
                  </c15:dLbl>
                </c15:categoryFilterException>
                <c15:categoryFilterException>
                  <c15:sqref>'03. Chart'!$O$10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19E30E9A-BCE6-4475-9C22-01E4F10DFE68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C2954F47-E70E-46F4-BADD-CFFACC3C507B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3-56FE-4BCE-AE14-9CCF42269902}"/>
                      </c:ext>
                    </c:extLst>
                  </c15:dLbl>
                </c15:categoryFilterException>
                <c15:categoryFilterException>
                  <c15:sqref>'03. Chart'!$Q$10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7E866278-8F31-4524-8B6D-BC095570E71E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C97C0591-8486-454A-AE6D-98F5E6F3C9AB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4-56FE-4BCE-AE14-9CCF42269902}"/>
                      </c:ext>
                    </c:extLst>
                  </c15:dLbl>
                </c15:categoryFilterException>
                <c15:categoryFilterException>
                  <c15:sqref>'03. Chart'!$R$10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3EF12E6B-E9A9-40C0-AB40-ABB32BDFAEDD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5B324949-9782-4888-95AE-C03D2BF591B4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6-56FE-4BCE-AE14-9CCF42269902}"/>
                      </c:ext>
                    </c:extLst>
                  </c15:dLbl>
                </c15:categoryFilterException>
                <c15:categoryFilterException>
                  <c15:sqref>'03. Chart'!$T$10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03E363DE-8C40-42AA-92EE-7D8E6035A5AB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3BFE47E8-D2D5-4082-9CDC-FD862D8782E8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7-56FE-4BCE-AE14-9CCF42269902}"/>
                      </c:ext>
                    </c:extLst>
                  </c15:dLbl>
                </c15:categoryFilterException>
                <c15:categoryFilterException>
                  <c15:sqref>'03. Chart'!$U$10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3544EA23-0A0B-40E1-922D-EA94B705BA8A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4F1E555B-8AFB-45CD-838E-E09A722B059D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9-56FE-4BCE-AE14-9CCF42269902}"/>
                      </c:ext>
                    </c:extLst>
                  </c15:dLbl>
                </c15:categoryFilterException>
                <c15:categoryFilterException>
                  <c15:sqref>'03. Chart'!$W$10</c15:sqref>
                  <c15:dLbl>
                    <c:idx val="11"/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9ED5B10E-EF79-41EE-BB43-3FBC136CE47D}" type="CELLRANG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[CELLRANGE]</a:t>
                          </a:fld>
                          <a:endParaRPr lang="en-US" baseline="0"/>
                        </a:p>
                        <a:p>
                          <a:pPr>
                            <a:defRPr b="1">
                              <a:solidFill>
                                <a:schemeClr val="tx1"/>
                              </a:solidFill>
                            </a:defRPr>
                          </a:pPr>
                          <a:fld id="{653B84B3-DB25-4693-ADE1-F70151FE3C31}" type="VALUE">
                            <a:rPr lang="en-US"/>
                            <a:pPr>
                              <a:defRPr b="1">
                                <a:solidFill>
                                  <a:schemeClr val="tx1"/>
                                </a:solidFill>
                              </a:defRPr>
                            </a:pPr>
                            <a:t>[VALUE]</a:t>
                          </a:fld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A-56FE-4BCE-AE14-9CCF42269902}"/>
                      </c:ext>
                    </c:extLst>
                  </c15:dLbl>
                </c15:categoryFilterException>
                <c15:categoryFilterException>
                  <c15:sqref>'03. Chart'!$X$10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1"/>
                    <c:tx>
                      <c:rich>
                        <a:bodyPr/>
                        <a:lstStyle/>
                        <a:p>
                          <a:fld id="{54CDEC81-E0A7-4DE0-AA6E-455925195EE1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755B2176-7CE8-4143-B4B1-A23F8DA87F0C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C-56FE-4BCE-AE14-9CCF42269902}"/>
                      </c:ext>
                    </c:extLst>
                  </c15:dLbl>
                </c15:categoryFilterException>
                <c15:categoryFilterException>
                  <c15:sqref>'03. Chart'!$Z$10</c15:sqref>
                  <c15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ysClr val="windowText" lastClr="00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D-56FE-4BCE-AE14-9CCF42269902}"/>
                      </c:ext>
                    </c:extLst>
                  </c15:dLbl>
                </c15:categoryFilterException>
                <c15:categoryFilterException>
                  <c15:sqref>'03. Chart'!$AA$10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'03. Chart'!$AD$10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'03. Chart'!$AG$10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'03. Chart'!$AJ$10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7-9C64-40AD-93A7-A8590E5B3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75961007"/>
        <c:axId val="575961967"/>
      </c:barChart>
      <c:lineChart>
        <c:grouping val="standard"/>
        <c:varyColors val="0"/>
        <c:ser>
          <c:idx val="2"/>
          <c:order val="2"/>
          <c:tx>
            <c:strRef>
              <c:f>'03. Chart'!$A$11</c:f>
              <c:strCache>
                <c:ptCount val="1"/>
                <c:pt idx="0">
                  <c:v>Tổng cộng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8-9C64-40AD-93A7-A8590E5B37BA}"/>
                </c:ext>
              </c:extLst>
            </c:dLbl>
            <c:dLbl>
              <c:idx val="1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9-9C64-40AD-93A7-A8590E5B37BA}"/>
                </c:ext>
              </c:extLst>
            </c:dLbl>
            <c:dLbl>
              <c:idx val="3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A-9C64-40AD-93A7-A8590E5B37BA}"/>
                </c:ext>
              </c:extLst>
            </c:dLbl>
            <c:dLbl>
              <c:idx val="4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B-9C64-40AD-93A7-A8590E5B37BA}"/>
                </c:ext>
              </c:extLst>
            </c:dLbl>
            <c:dLbl>
              <c:idx val="6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C-9C64-40AD-93A7-A8590E5B37BA}"/>
                </c:ext>
              </c:extLst>
            </c:dLbl>
            <c:dLbl>
              <c:idx val="7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D-9C64-40AD-93A7-A8590E5B37BA}"/>
                </c:ext>
              </c:extLst>
            </c:dLbl>
            <c:dLbl>
              <c:idx val="9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E-9C64-40AD-93A7-A8590E5B37BA}"/>
                </c:ext>
              </c:extLst>
            </c:dLbl>
            <c:dLbl>
              <c:idx val="1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F-9C64-40AD-93A7-A8590E5B37BA}"/>
                </c:ext>
              </c:extLst>
            </c:dLbl>
            <c:dLbl>
              <c:idx val="13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0-9C64-40AD-93A7-A8590E5B37BA}"/>
                </c:ext>
              </c:extLst>
            </c:dLbl>
            <c:dLbl>
              <c:idx val="15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1-9C64-40AD-93A7-A8590E5B37BA}"/>
                </c:ext>
              </c:extLst>
            </c:dLbl>
            <c:dLbl>
              <c:idx val="16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2-9C64-40AD-93A7-A8590E5B37BA}"/>
                </c:ext>
              </c:extLst>
            </c:dLbl>
            <c:dLbl>
              <c:idx val="18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3-9C64-40AD-93A7-A8590E5B37BA}"/>
                </c:ext>
              </c:extLst>
            </c:dLbl>
            <c:dLbl>
              <c:idx val="19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4-9C64-40AD-93A7-A8590E5B37BA}"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'03. Chart'!$B$7:$AS$8</c15:sqref>
                  </c15:fullRef>
                </c:ext>
              </c:extLst>
              <c:f>'03. Chart'!$B$7:$AS$8</c:f>
              <c:multiLvlStrCache>
                <c:ptCount val="20"/>
                <c:lvl>
                  <c:pt idx="0">
                    <c:v>KH</c:v>
                  </c:pt>
                  <c:pt idx="1">
                    <c:v>TT</c:v>
                  </c:pt>
                  <c:pt idx="3">
                    <c:v>KH</c:v>
                  </c:pt>
                  <c:pt idx="4">
                    <c:v>TT</c:v>
                  </c:pt>
                  <c:pt idx="6">
                    <c:v>KH</c:v>
                  </c:pt>
                  <c:pt idx="7">
                    <c:v>TT</c:v>
                  </c:pt>
                  <c:pt idx="9">
                    <c:v>KH</c:v>
                  </c:pt>
                  <c:pt idx="10">
                    <c:v>TT</c:v>
                  </c:pt>
                  <c:pt idx="12">
                    <c:v>KH</c:v>
                  </c:pt>
                  <c:pt idx="13">
                    <c:v>TT</c:v>
                  </c:pt>
                  <c:pt idx="15">
                    <c:v>KH</c:v>
                  </c:pt>
                  <c:pt idx="16">
                    <c:v>TT</c:v>
                  </c:pt>
                  <c:pt idx="18">
                    <c:v>KH</c:v>
                  </c:pt>
                  <c:pt idx="19">
                    <c:v>TT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  <c:pt idx="9">
                    <c:v>4</c:v>
                  </c:pt>
                  <c:pt idx="12">
                    <c:v>BQ 26</c:v>
                  </c:pt>
                  <c:pt idx="15">
                    <c:v>BQ 25</c:v>
                  </c:pt>
                  <c:pt idx="18">
                    <c:v>BQ 24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Chart'!$B$11:$AS$11</c15:sqref>
                  </c15:fullRef>
                </c:ext>
              </c:extLst>
              <c:f>('03. Chart'!$B$11:$M$11,'03. Chart'!$AL$11:$AS$11)</c:f>
              <c:numCache>
                <c:formatCode>_(* #,##0_);_(* \(#,##0\);_(* "-"??_);_(@_)</c:formatCode>
                <c:ptCount val="20"/>
                <c:pt idx="0">
                  <c:v>661</c:v>
                </c:pt>
                <c:pt idx="1">
                  <c:v>611</c:v>
                </c:pt>
                <c:pt idx="3">
                  <c:v>650</c:v>
                </c:pt>
                <c:pt idx="4">
                  <c:v>575</c:v>
                </c:pt>
                <c:pt idx="6">
                  <c:v>659</c:v>
                </c:pt>
                <c:pt idx="7">
                  <c:v>582</c:v>
                </c:pt>
                <c:pt idx="9">
                  <c:v>664</c:v>
                </c:pt>
                <c:pt idx="10">
                  <c:v>571</c:v>
                </c:pt>
                <c:pt idx="12">
                  <c:v>668.83333333333326</c:v>
                </c:pt>
                <c:pt idx="13">
                  <c:v>584.75</c:v>
                </c:pt>
                <c:pt idx="15">
                  <c:v>656.91666666666674</c:v>
                </c:pt>
                <c:pt idx="16">
                  <c:v>626.08333333333326</c:v>
                </c:pt>
                <c:pt idx="18">
                  <c:v>545.58333333333337</c:v>
                </c:pt>
                <c:pt idx="19">
                  <c:v>510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'03. Chart'!$N$11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6-56FE-4BCE-AE14-9CCF42269902}"/>
                      </c:ext>
                    </c:extLst>
                  </c15:dLbl>
                </c15:categoryFilterException>
                <c15:categoryFilterException>
                  <c15:sqref>'03. Chart'!$O$11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7-56FE-4BCE-AE14-9CCF42269902}"/>
                      </c:ext>
                    </c:extLst>
                  </c15:dLbl>
                </c15:categoryFilterException>
                <c15:categoryFilterException>
                  <c15:sqref>'03. Chart'!$Q$11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8-56FE-4BCE-AE14-9CCF42269902}"/>
                      </c:ext>
                    </c:extLst>
                  </c15:dLbl>
                </c15:categoryFilterException>
                <c15:categoryFilterException>
                  <c15:sqref>'03. Chart'!$R$11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9-56FE-4BCE-AE14-9CCF42269902}"/>
                      </c:ext>
                    </c:extLst>
                  </c15:dLbl>
                </c15:categoryFilterException>
                <c15:categoryFilterException>
                  <c15:sqref>'03. Chart'!$T$11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A-56FE-4BCE-AE14-9CCF42269902}"/>
                      </c:ext>
                    </c:extLst>
                  </c15:dLbl>
                </c15:categoryFilterException>
                <c15:categoryFilterException>
                  <c15:sqref>'03. Chart'!$U$11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B-56FE-4BCE-AE14-9CCF42269902}"/>
                      </c:ext>
                    </c:extLst>
                  </c15:dLbl>
                </c15:categoryFilterException>
                <c15:categoryFilterException>
                  <c15:sqref>'03. Chart'!$W$11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C-56FE-4BCE-AE14-9CCF42269902}"/>
                      </c:ext>
                    </c:extLst>
                  </c15:dLbl>
                </c15:categoryFilterException>
                <c15:categoryFilterException>
                  <c15:sqref>'03. Chart'!$X$11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D-56FE-4BCE-AE14-9CCF42269902}"/>
                      </c:ext>
                    </c:extLst>
                  </c15:dLbl>
                </c15:categoryFilterException>
                <c15:categoryFilterException>
                  <c15:sqref>'03. Chart'!$Z$11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E-56FE-4BCE-AE14-9CCF42269902}"/>
                      </c:ext>
                    </c:extLst>
                  </c15:dLbl>
                </c15:categoryFilterException>
                <c15:categoryFilterException>
                  <c15:sqref>'03. Chart'!$AA$11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F-56FE-4BCE-AE14-9CCF42269902}"/>
                      </c:ext>
                    </c:extLst>
                  </c15:dLbl>
                </c15:categoryFilterException>
                <c15:categoryFilterException>
                  <c15:sqref>'03. Chart'!$AC$11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50-56FE-4BCE-AE14-9CCF42269902}"/>
                      </c:ext>
                    </c:extLst>
                  </c15:dLbl>
                </c15:categoryFilterException>
                <c15:categoryFilterException>
                  <c15:sqref>'03. Chart'!$AD$11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51-56FE-4BCE-AE14-9CCF42269902}"/>
                      </c:ext>
                    </c:extLst>
                  </c15:dLbl>
                </c15:categoryFilterException>
                <c15:categoryFilterException>
                  <c15:sqref>'03. Chart'!$AF$11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52-56FE-4BCE-AE14-9CCF42269902}"/>
                      </c:ext>
                    </c:extLst>
                  </c15:dLbl>
                </c15:categoryFilterException>
                <c15:categoryFilterException>
                  <c15:sqref>'03. Chart'!$AG$11</c15:sqref>
                  <c15:dLbl>
                    <c:idx val="11"/>
                    <c:spPr>
                      <a:solidFill>
                        <a:schemeClr val="bg2"/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00FF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53-56FE-4BCE-AE14-9CCF4226990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5-9C64-40AD-93A7-A8590E5B3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961007"/>
        <c:axId val="575961967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986927"/>
        <c:axId val="575969647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'03. Chart'!$A$12</c15:sqref>
                        </c15:formulaRef>
                      </c:ext>
                    </c:extLst>
                    <c:strCache>
                      <c:ptCount val="1"/>
                      <c:pt idx="0">
                        <c:v>% Định biên gián tiếp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ullRef>
                          <c15:sqref>'03. Chart'!$B$7:$AS$8</c15:sqref>
                        </c15:fullRef>
                        <c15:formulaRef>
                          <c15:sqref>'03. Chart'!$B$7:$AS$8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KH</c:v>
                        </c:pt>
                        <c:pt idx="1">
                          <c:v>TT</c:v>
                        </c:pt>
                        <c:pt idx="3">
                          <c:v>KH</c:v>
                        </c:pt>
                        <c:pt idx="4">
                          <c:v>TT</c:v>
                        </c:pt>
                        <c:pt idx="6">
                          <c:v>KH</c:v>
                        </c:pt>
                        <c:pt idx="7">
                          <c:v>TT</c:v>
                        </c:pt>
                        <c:pt idx="9">
                          <c:v>KH</c:v>
                        </c:pt>
                        <c:pt idx="10">
                          <c:v>TT</c:v>
                        </c:pt>
                        <c:pt idx="12">
                          <c:v>KH</c:v>
                        </c:pt>
                        <c:pt idx="13">
                          <c:v>TT</c:v>
                        </c:pt>
                        <c:pt idx="15">
                          <c:v>KH</c:v>
                        </c:pt>
                        <c:pt idx="16">
                          <c:v>TT</c:v>
                        </c:pt>
                        <c:pt idx="18">
                          <c:v>KH</c:v>
                        </c:pt>
                        <c:pt idx="19">
                          <c:v>TT</c:v>
                        </c:pt>
                      </c:lvl>
                      <c:lvl>
                        <c:pt idx="0">
                          <c:v>1</c:v>
                        </c:pt>
                        <c:pt idx="3">
                          <c:v>2</c:v>
                        </c:pt>
                        <c:pt idx="6">
                          <c:v>3</c:v>
                        </c:pt>
                        <c:pt idx="9">
                          <c:v>4</c:v>
                        </c:pt>
                        <c:pt idx="12">
                          <c:v>BQ 26</c:v>
                        </c:pt>
                        <c:pt idx="15">
                          <c:v>BQ 25</c:v>
                        </c:pt>
                        <c:pt idx="18">
                          <c:v>BQ 24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'03. Chart'!$B$12:$AS$12</c15:sqref>
                        </c15:fullRef>
                        <c15:formulaRef>
                          <c15:sqref>('03. Chart'!$B$12:$M$12,'03. Chart'!$AL$12:$AS$12)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0">
                        <c:v>0.59152798789712557</c:v>
                      </c:pt>
                      <c:pt idx="1">
                        <c:v>0.61374795417348604</c:v>
                      </c:pt>
                      <c:pt idx="3">
                        <c:v>0.60153846153846158</c:v>
                      </c:pt>
                      <c:pt idx="4">
                        <c:v>0.63130434782608691</c:v>
                      </c:pt>
                      <c:pt idx="6">
                        <c:v>0.6054628224582701</c:v>
                      </c:pt>
                      <c:pt idx="7">
                        <c:v>0.61855670103092786</c:v>
                      </c:pt>
                      <c:pt idx="9">
                        <c:v>0.60240963855421692</c:v>
                      </c:pt>
                      <c:pt idx="10">
                        <c:v>0.63572679509632224</c:v>
                      </c:pt>
                      <c:pt idx="12">
                        <c:v>0.60565661599800646</c:v>
                      </c:pt>
                      <c:pt idx="13">
                        <c:v>0.62462590850790933</c:v>
                      </c:pt>
                      <c:pt idx="15">
                        <c:v>0.60763668654065706</c:v>
                      </c:pt>
                      <c:pt idx="16">
                        <c:v>0.59110874484227338</c:v>
                      </c:pt>
                      <c:pt idx="18">
                        <c:v>0.58988849854895375</c:v>
                      </c:pt>
                      <c:pt idx="19">
                        <c:v>0.59607843137254901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46-9C64-40AD-93A7-A8590E5B37B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'03. Chart'!$A$13</c15:sqref>
                        </c15:formulaRef>
                      </c:ext>
                    </c:extLst>
                    <c:strCache>
                      <c:ptCount val="1"/>
                      <c:pt idx="0">
                        <c:v>% Định biên trực tiếp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'03. Chart'!$B$7:$AS$8</c15:sqref>
                        </c15:fullRef>
                        <c15:formulaRef>
                          <c15:sqref>'03. Chart'!$B$7:$AS$8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KH</c:v>
                        </c:pt>
                        <c:pt idx="1">
                          <c:v>TT</c:v>
                        </c:pt>
                        <c:pt idx="3">
                          <c:v>KH</c:v>
                        </c:pt>
                        <c:pt idx="4">
                          <c:v>TT</c:v>
                        </c:pt>
                        <c:pt idx="6">
                          <c:v>KH</c:v>
                        </c:pt>
                        <c:pt idx="7">
                          <c:v>TT</c:v>
                        </c:pt>
                        <c:pt idx="9">
                          <c:v>KH</c:v>
                        </c:pt>
                        <c:pt idx="10">
                          <c:v>TT</c:v>
                        </c:pt>
                        <c:pt idx="12">
                          <c:v>KH</c:v>
                        </c:pt>
                        <c:pt idx="13">
                          <c:v>TT</c:v>
                        </c:pt>
                        <c:pt idx="15">
                          <c:v>KH</c:v>
                        </c:pt>
                        <c:pt idx="16">
                          <c:v>TT</c:v>
                        </c:pt>
                        <c:pt idx="18">
                          <c:v>KH</c:v>
                        </c:pt>
                        <c:pt idx="19">
                          <c:v>TT</c:v>
                        </c:pt>
                      </c:lvl>
                      <c:lvl>
                        <c:pt idx="0">
                          <c:v>1</c:v>
                        </c:pt>
                        <c:pt idx="3">
                          <c:v>2</c:v>
                        </c:pt>
                        <c:pt idx="6">
                          <c:v>3</c:v>
                        </c:pt>
                        <c:pt idx="9">
                          <c:v>4</c:v>
                        </c:pt>
                        <c:pt idx="12">
                          <c:v>BQ 26</c:v>
                        </c:pt>
                        <c:pt idx="15">
                          <c:v>BQ 25</c:v>
                        </c:pt>
                        <c:pt idx="18">
                          <c:v>BQ 24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'03. Chart'!$B$13:$AS$13</c15:sqref>
                        </c15:fullRef>
                        <c15:formulaRef>
                          <c15:sqref>('03. Chart'!$B$13:$M$13,'03. Chart'!$AL$13:$AS$13)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0">
                        <c:v>0.40847201210287443</c:v>
                      </c:pt>
                      <c:pt idx="1">
                        <c:v>0.3862520458265139</c:v>
                      </c:pt>
                      <c:pt idx="3">
                        <c:v>0.39846153846153848</c:v>
                      </c:pt>
                      <c:pt idx="4">
                        <c:v>0.36869565217391304</c:v>
                      </c:pt>
                      <c:pt idx="6">
                        <c:v>0.3945371775417299</c:v>
                      </c:pt>
                      <c:pt idx="7">
                        <c:v>0.38144329896907214</c:v>
                      </c:pt>
                      <c:pt idx="9">
                        <c:v>0.39759036144578314</c:v>
                      </c:pt>
                      <c:pt idx="10">
                        <c:v>0.36427320490367776</c:v>
                      </c:pt>
                      <c:pt idx="12">
                        <c:v>0.39434338400199359</c:v>
                      </c:pt>
                      <c:pt idx="13">
                        <c:v>0.37537409149209061</c:v>
                      </c:pt>
                      <c:pt idx="15">
                        <c:v>0.39236331345934283</c:v>
                      </c:pt>
                      <c:pt idx="16">
                        <c:v>0.40889125515772667</c:v>
                      </c:pt>
                      <c:pt idx="18">
                        <c:v>0.41011150145104625</c:v>
                      </c:pt>
                      <c:pt idx="19">
                        <c:v>0.40392156862745099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7-9C64-40AD-93A7-A8590E5B37BA}"/>
                  </c:ext>
                </c:extLst>
              </c15:ser>
            </c15:filteredLineSeries>
          </c:ext>
        </c:extLst>
      </c:lineChart>
      <c:catAx>
        <c:axId val="57596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61967"/>
        <c:crosses val="autoZero"/>
        <c:auto val="1"/>
        <c:lblAlgn val="ctr"/>
        <c:lblOffset val="100"/>
        <c:noMultiLvlLbl val="0"/>
      </c:catAx>
      <c:valAx>
        <c:axId val="57596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61007"/>
        <c:crosses val="autoZero"/>
        <c:crossBetween val="between"/>
      </c:valAx>
      <c:valAx>
        <c:axId val="575969647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86927"/>
        <c:crosses val="max"/>
        <c:crossBetween val="between"/>
      </c:valAx>
      <c:catAx>
        <c:axId val="575986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9696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2D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50000"/>
      </a:schemeClr>
    </a:solidFill>
    <a:ln w="19050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BĐ</a:t>
            </a:r>
            <a:r>
              <a:rPr lang="en-US" sz="1600" b="1" baseline="0">
                <a:solidFill>
                  <a:schemeClr val="bg1"/>
                </a:solidFill>
              </a:rPr>
              <a:t> </a:t>
            </a:r>
            <a:r>
              <a:rPr lang="en-US" sz="1600" b="1">
                <a:solidFill>
                  <a:schemeClr val="bg1"/>
                </a:solidFill>
              </a:rPr>
              <a:t>NĂNG</a:t>
            </a:r>
            <a:r>
              <a:rPr lang="en-US" sz="1600" b="1" baseline="0">
                <a:solidFill>
                  <a:schemeClr val="bg1"/>
                </a:solidFill>
              </a:rPr>
              <a:t> SUẤT _ </a:t>
            </a:r>
            <a:r>
              <a:rPr lang="en-US" sz="1600" b="1">
                <a:solidFill>
                  <a:schemeClr val="bg1"/>
                </a:solidFill>
              </a:rPr>
              <a:t>SẢN</a:t>
            </a:r>
            <a:r>
              <a:rPr lang="en-US" sz="1600" b="1" baseline="0">
                <a:solidFill>
                  <a:schemeClr val="bg1"/>
                </a:solidFill>
              </a:rPr>
              <a:t> LƯỢNG SẢN XUẤT/NGƯỜI/THÁNG</a:t>
            </a:r>
            <a:endParaRPr lang="en-US" sz="16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4930447300562882"/>
          <c:y val="2.1063358463832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997252858592775E-2"/>
          <c:y val="0.11253043521575559"/>
          <c:w val="0.94876207115534272"/>
          <c:h val="0.7375955284289043"/>
        </c:manualLayout>
      </c:layout>
      <c:barChart>
        <c:barDir val="col"/>
        <c:grouping val="clustered"/>
        <c:varyColors val="0"/>
        <c:ser>
          <c:idx val="3"/>
          <c:order val="1"/>
          <c:tx>
            <c:strRef>
              <c:f>'03. Chart'!$B$44</c:f>
              <c:strCache>
                <c:ptCount val="1"/>
                <c:pt idx="0">
                  <c:v>TT 2025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BQ năm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Chart'!$C$44:$O$44</c15:sqref>
                  </c15:fullRef>
                </c:ext>
              </c:extLst>
              <c:f>('03. Chart'!$C$44:$F$44,'03. Chart'!$O$44)</c:f>
              <c:numCache>
                <c:formatCode>0.0</c:formatCode>
                <c:ptCount val="5"/>
                <c:pt idx="0">
                  <c:v>3.2</c:v>
                </c:pt>
                <c:pt idx="1">
                  <c:v>5.0999999999999996</c:v>
                </c:pt>
                <c:pt idx="2">
                  <c:v>8</c:v>
                </c:pt>
                <c:pt idx="3">
                  <c:v>6.7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8-4341-BB12-54BFC7934168}"/>
            </c:ext>
          </c:extLst>
        </c:ser>
        <c:ser>
          <c:idx val="2"/>
          <c:order val="2"/>
          <c:tx>
            <c:strRef>
              <c:f>'03. Chart'!$B$41</c:f>
              <c:strCache>
                <c:ptCount val="1"/>
                <c:pt idx="0">
                  <c:v>KH 2026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4024065842410608E-3"/>
                  <c:y val="4.62976429836748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B8-4341-BB12-54BFC7934168}"/>
                </c:ext>
              </c:extLst>
            </c:dLbl>
            <c:dLbl>
              <c:idx val="4"/>
              <c:layout>
                <c:manualLayout>
                  <c:x val="2.0019156330806469E-3"/>
                  <c:y val="-3.73154830166071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B8-4341-BB12-54BFC79341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'03. Chart'!$C$35:$O$35</c15:sqref>
                  </c15:fullRef>
                </c:ext>
              </c:extLst>
              <c:f>('03. Chart'!$C$35:$F$35,'03. Chart'!$O$35)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năm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Chart'!$C$41:$O$41</c15:sqref>
                  </c15:fullRef>
                </c:ext>
              </c:extLst>
              <c:f>('03. Chart'!$C$41:$F$41,'03. Chart'!$O$41)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6.3</c:v>
                </c:pt>
                <c:pt idx="3">
                  <c:v>6.3</c:v>
                </c:pt>
                <c:pt idx="4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B8-4341-BB12-54BFC7934168}"/>
            </c:ext>
          </c:extLst>
        </c:ser>
        <c:ser>
          <c:idx val="0"/>
          <c:order val="3"/>
          <c:tx>
            <c:strRef>
              <c:f>'03. Chart'!$B$38</c:f>
              <c:strCache>
                <c:ptCount val="1"/>
                <c:pt idx="0">
                  <c:v>TT 2026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1817752751874106E-3"/>
                  <c:y val="-9.7652177039513901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B8-4341-BB12-54BFC7934168}"/>
                </c:ext>
              </c:extLst>
            </c:dLbl>
            <c:dLbl>
              <c:idx val="1"/>
              <c:layout>
                <c:manualLayout>
                  <c:x val="5.847322271713862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B8-4341-BB12-54BFC7934168}"/>
                </c:ext>
              </c:extLst>
            </c:dLbl>
            <c:dLbl>
              <c:idx val="4"/>
              <c:layout>
                <c:manualLayout>
                  <c:x val="3.8982148478092418E-3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B8-4341-BB12-54BFC7934168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'03. Chart'!$C$35:$O$35</c15:sqref>
                  </c15:fullRef>
                </c:ext>
              </c:extLst>
              <c:f>('03. Chart'!$C$35:$F$35,'03. Chart'!$O$35)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năm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'03. Chart'!$C$38:$O$38</c15:sqref>
                  </c15:fullRef>
                </c:ext>
              </c:extLst>
              <c:f>('03. Chart'!$C$38:$F$38,'03. Chart'!$O$38)</c:f>
              <c:numCache>
                <c:formatCode>0.0</c:formatCode>
                <c:ptCount val="5"/>
                <c:pt idx="0">
                  <c:v>4.7</c:v>
                </c:pt>
                <c:pt idx="1">
                  <c:v>3.1</c:v>
                </c:pt>
                <c:pt idx="2">
                  <c:v>7.4</c:v>
                </c:pt>
                <c:pt idx="3">
                  <c:v>7.7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B8-4341-BB12-54BFC79341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21120672"/>
        <c:axId val="321121152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'03. Chart'!$B$47</c15:sqref>
                        </c15:formulaRef>
                      </c:ext>
                    </c:extLst>
                    <c:strCache>
                      <c:ptCount val="1"/>
                      <c:pt idx="0">
                        <c:v>TT 2024</c:v>
                      </c:pt>
                    </c:strCache>
                  </c:strRef>
                </c:tx>
                <c:spPr>
                  <a:solidFill>
                    <a:schemeClr val="bg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bg1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64B8-4341-BB12-54BFC7934168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'03. Chart'!$C$35:$O$35</c15:sqref>
                        </c15:fullRef>
                        <c15:formulaRef>
                          <c15:sqref>('03. Chart'!$C$35:$F$35,'03. Chart'!$O$35)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BQ năm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'03. Chart'!$C$47:$O$47</c15:sqref>
                        </c15:fullRef>
                        <c15:formulaRef>
                          <c15:sqref>('03. Chart'!$C$47:$F$47,'03. Chart'!$O$47)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11</c:v>
                      </c:pt>
                      <c:pt idx="1">
                        <c:v>7</c:v>
                      </c:pt>
                      <c:pt idx="2">
                        <c:v>10.6</c:v>
                      </c:pt>
                      <c:pt idx="3">
                        <c:v>9.4</c:v>
                      </c:pt>
                      <c:pt idx="4">
                        <c:v>7.3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64B8-4341-BB12-54BFC7934168}"/>
                  </c:ext>
                </c:extLst>
              </c15:ser>
            </c15:filteredBarSeries>
          </c:ext>
        </c:extLst>
      </c:barChart>
      <c:catAx>
        <c:axId val="32112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121152"/>
        <c:crosses val="autoZero"/>
        <c:auto val="1"/>
        <c:lblAlgn val="ctr"/>
        <c:lblOffset val="100"/>
        <c:noMultiLvlLbl val="0"/>
      </c:catAx>
      <c:valAx>
        <c:axId val="32112115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120672"/>
        <c:crosses val="autoZero"/>
        <c:crossBetween val="between"/>
      </c:valAx>
      <c:spPr>
        <a:solidFill>
          <a:schemeClr val="accent1">
            <a:lumMod val="50000"/>
          </a:schemeClr>
        </a:solidFill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50000"/>
      </a:schemeClr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'06. Chart giờ công'!$B$5</c:f>
          <c:strCache>
            <c:ptCount val="1"/>
            <c:pt idx="0">
              <c:v>SL SẢN XUẤT / GIỜ CÔNG (GIÁN TIẾP + TRỰC TIẾP) </c:v>
            </c:pt>
          </c:strCache>
        </c:strRef>
      </c:tx>
      <c:layout>
        <c:manualLayout>
          <c:xMode val="edge"/>
          <c:yMode val="edge"/>
          <c:x val="0.1643890314161688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'06. Chart giờ công'!$B$9</c:f>
              <c:strCache>
                <c:ptCount val="1"/>
                <c:pt idx="0">
                  <c:v>PET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D2-4D50-8A3E-89F5B061BA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'06. Chart giờ công'!$C$8:$O$8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BQ 25</c:v>
                </c:pt>
              </c:strCache>
            </c:strRef>
          </c:cat>
          <c:val>
            <c:numRef>
              <c:f>'06. Chart giờ công'!$C$9:$O$9</c:f>
              <c:numCache>
                <c:formatCode>General</c:formatCode>
                <c:ptCount val="13"/>
                <c:pt idx="0">
                  <c:v>97</c:v>
                </c:pt>
                <c:pt idx="1">
                  <c:v>167</c:v>
                </c:pt>
                <c:pt idx="2">
                  <c:v>198</c:v>
                </c:pt>
                <c:pt idx="3">
                  <c:v>166</c:v>
                </c:pt>
                <c:pt idx="4">
                  <c:v>193</c:v>
                </c:pt>
                <c:pt idx="5">
                  <c:v>158</c:v>
                </c:pt>
                <c:pt idx="6">
                  <c:v>177</c:v>
                </c:pt>
                <c:pt idx="7">
                  <c:v>178</c:v>
                </c:pt>
                <c:pt idx="8">
                  <c:v>156</c:v>
                </c:pt>
                <c:pt idx="9">
                  <c:v>149</c:v>
                </c:pt>
                <c:pt idx="10">
                  <c:v>127</c:v>
                </c:pt>
                <c:pt idx="12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2-4D50-8A3E-89F5B061BA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328809920"/>
        <c:axId val="328808000"/>
      </c:barChart>
      <c:catAx>
        <c:axId val="32880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08000"/>
        <c:crosses val="autoZero"/>
        <c:auto val="1"/>
        <c:lblAlgn val="ctr"/>
        <c:lblOffset val="100"/>
        <c:noMultiLvlLbl val="0"/>
      </c:catAx>
      <c:valAx>
        <c:axId val="32880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0992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'06. Chart giờ công'!$B$5</c:f>
          <c:strCache>
            <c:ptCount val="1"/>
            <c:pt idx="0">
              <c:v>SL SẢN XUẤT / GIỜ CÔNG (GIÁN TIẾP + TRỰC TIẾP) </c:v>
            </c:pt>
          </c:strCache>
        </c:strRef>
      </c:tx>
      <c:layout>
        <c:manualLayout>
          <c:xMode val="edge"/>
          <c:yMode val="edge"/>
          <c:x val="0.16827693372945904"/>
          <c:y val="2.7777878550521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780274841915867E-2"/>
          <c:y val="0.17210471204188485"/>
          <c:w val="0.94643945031616827"/>
          <c:h val="0.74748369542812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'06. Chart giờ công'!$B$10</c:f>
              <c:strCache>
                <c:ptCount val="1"/>
                <c:pt idx="0">
                  <c:v>HD-PP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BC-4590-A106-6FD54D26D0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'06. Chart giờ công'!$C$8:$O$8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BQ 25</c:v>
                </c:pt>
              </c:strCache>
            </c:strRef>
          </c:cat>
          <c:val>
            <c:numRef>
              <c:f>'06. Chart giờ công'!$C$10:$O$10</c:f>
              <c:numCache>
                <c:formatCode>General</c:formatCode>
                <c:ptCount val="13"/>
                <c:pt idx="0">
                  <c:v>66</c:v>
                </c:pt>
                <c:pt idx="1">
                  <c:v>108</c:v>
                </c:pt>
                <c:pt idx="2">
                  <c:v>103</c:v>
                </c:pt>
                <c:pt idx="3">
                  <c:v>86</c:v>
                </c:pt>
                <c:pt idx="4">
                  <c:v>74</c:v>
                </c:pt>
                <c:pt idx="5">
                  <c:v>63</c:v>
                </c:pt>
                <c:pt idx="6">
                  <c:v>44</c:v>
                </c:pt>
                <c:pt idx="7">
                  <c:v>77</c:v>
                </c:pt>
                <c:pt idx="8">
                  <c:v>58</c:v>
                </c:pt>
                <c:pt idx="9">
                  <c:v>79</c:v>
                </c:pt>
                <c:pt idx="10">
                  <c:v>64</c:v>
                </c:pt>
                <c:pt idx="1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BC-4590-A106-6FD54D26D0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328809920"/>
        <c:axId val="328808000"/>
      </c:barChart>
      <c:catAx>
        <c:axId val="32880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08000"/>
        <c:crosses val="autoZero"/>
        <c:auto val="1"/>
        <c:lblAlgn val="ctr"/>
        <c:lblOffset val="100"/>
        <c:noMultiLvlLbl val="0"/>
      </c:catAx>
      <c:valAx>
        <c:axId val="32880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0992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'06. Chart giờ công'!$B$13</c:f>
          <c:strCache>
            <c:ptCount val="1"/>
            <c:pt idx="0">
              <c:v>SL SẢN XUẤT / GIỜ CÔNG TRỰC TIẾP</c:v>
            </c:pt>
          </c:strCache>
        </c:strRef>
      </c:tx>
      <c:layout>
        <c:manualLayout>
          <c:xMode val="edge"/>
          <c:yMode val="edge"/>
          <c:x val="0.2388391045028001"/>
          <c:y val="3.2407363221011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816694867456288E-2"/>
          <c:y val="0.21167479674796752"/>
          <c:w val="0.9503666102650874"/>
          <c:h val="0.71288368222264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'06. Chart giờ công'!$B$16</c:f>
              <c:strCache>
                <c:ptCount val="1"/>
                <c:pt idx="0">
                  <c:v>PET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D5-4228-A967-8944C19115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'06. Chart giờ công'!$C$15:$O$15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BQ 25</c:v>
                </c:pt>
              </c:strCache>
            </c:strRef>
          </c:cat>
          <c:val>
            <c:numRef>
              <c:f>'06. Chart giờ công'!$C$16:$O$16</c:f>
              <c:numCache>
                <c:formatCode>General</c:formatCode>
                <c:ptCount val="13"/>
                <c:pt idx="0">
                  <c:v>112</c:v>
                </c:pt>
                <c:pt idx="1">
                  <c:v>189</c:v>
                </c:pt>
                <c:pt idx="2">
                  <c:v>227</c:v>
                </c:pt>
                <c:pt idx="3">
                  <c:v>190</c:v>
                </c:pt>
                <c:pt idx="4">
                  <c:v>220</c:v>
                </c:pt>
                <c:pt idx="5">
                  <c:v>179</c:v>
                </c:pt>
                <c:pt idx="6">
                  <c:v>202</c:v>
                </c:pt>
                <c:pt idx="7">
                  <c:v>201</c:v>
                </c:pt>
                <c:pt idx="8">
                  <c:v>174</c:v>
                </c:pt>
                <c:pt idx="9">
                  <c:v>165</c:v>
                </c:pt>
                <c:pt idx="10">
                  <c:v>142</c:v>
                </c:pt>
                <c:pt idx="12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D5-4228-A967-8944C19115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328809920"/>
        <c:axId val="328808000"/>
      </c:barChart>
      <c:catAx>
        <c:axId val="32880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08000"/>
        <c:crosses val="autoZero"/>
        <c:auto val="1"/>
        <c:lblAlgn val="ctr"/>
        <c:lblOffset val="100"/>
        <c:noMultiLvlLbl val="0"/>
      </c:catAx>
      <c:valAx>
        <c:axId val="32880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0992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'06. Chart giờ công'!$B$5</c:f>
          <c:strCache>
            <c:ptCount val="1"/>
            <c:pt idx="0">
              <c:v>SL SẢN XUẤT / GIỜ CÔNG (GIÁN TIẾP + TRỰC TIẾP) </c:v>
            </c:pt>
          </c:strCache>
        </c:strRef>
      </c:tx>
      <c:layout>
        <c:manualLayout>
          <c:xMode val="edge"/>
          <c:yMode val="edge"/>
          <c:x val="0.16827693372945904"/>
          <c:y val="2.7777878550521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780274841915867E-2"/>
          <c:y val="0.17210471204188485"/>
          <c:w val="0.94643945031616827"/>
          <c:h val="0.74748369542812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'06. Chart giờ công'!$B$17</c:f>
              <c:strCache>
                <c:ptCount val="1"/>
                <c:pt idx="0">
                  <c:v>HD-PP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C1-46DD-8185-38AB8CDE60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'06. Chart giờ công'!$C$15:$O$15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BQ 25</c:v>
                </c:pt>
              </c:strCache>
            </c:strRef>
          </c:cat>
          <c:val>
            <c:numRef>
              <c:f>'06. Chart giờ công'!$C$17:$O$17</c:f>
              <c:numCache>
                <c:formatCode>General</c:formatCode>
                <c:ptCount val="13"/>
                <c:pt idx="0">
                  <c:v>89</c:v>
                </c:pt>
                <c:pt idx="1">
                  <c:v>144</c:v>
                </c:pt>
                <c:pt idx="2">
                  <c:v>141</c:v>
                </c:pt>
                <c:pt idx="3">
                  <c:v>117</c:v>
                </c:pt>
                <c:pt idx="4">
                  <c:v>96</c:v>
                </c:pt>
                <c:pt idx="5">
                  <c:v>78</c:v>
                </c:pt>
                <c:pt idx="6">
                  <c:v>57</c:v>
                </c:pt>
                <c:pt idx="7">
                  <c:v>97</c:v>
                </c:pt>
                <c:pt idx="8">
                  <c:v>73</c:v>
                </c:pt>
                <c:pt idx="9">
                  <c:v>100</c:v>
                </c:pt>
                <c:pt idx="10">
                  <c:v>83</c:v>
                </c:pt>
                <c:pt idx="1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C1-46DD-8185-38AB8CDE60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328809920"/>
        <c:axId val="328808000"/>
      </c:barChart>
      <c:catAx>
        <c:axId val="32880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08000"/>
        <c:crosses val="autoZero"/>
        <c:auto val="1"/>
        <c:lblAlgn val="ctr"/>
        <c:lblOffset val="100"/>
        <c:noMultiLvlLbl val="0"/>
      </c:catAx>
      <c:valAx>
        <c:axId val="32880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0992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'07. Chart nghỉ việc'!$B$37</c:f>
          <c:strCache>
            <c:ptCount val="1"/>
            <c:pt idx="0">
              <c:v>LAO ĐỘNG NGHỈ VIỆC THEO BỘ PHẬN LŨY KẾ T4.2026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071110391558932E-2"/>
          <c:y val="0.22196550473921375"/>
          <c:w val="0.94185777921688218"/>
          <c:h val="0.4938473322409563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'07. Chart nghỉ việc'!$F$20</c:f>
              <c:strCache>
                <c:ptCount val="1"/>
                <c:pt idx="0">
                  <c:v>Lũy kế 2024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217880204204739E-2"/>
                  <c:y val="1.5363756595754426E-2"/>
                </c:manualLayout>
              </c:layout>
              <c:tx>
                <c:rich>
                  <a:bodyPr/>
                  <a:lstStyle/>
                  <a:p>
                    <a:fld id="{CC5F7705-7972-40C4-B8CC-174EB214FD8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4C57AC0-EEA6-4A2E-8FD3-9F9D0CA429E7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F206-4413-A5B5-005EDC6069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2FF1E09-2528-4782-928E-F05315F9A68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99825AF-0367-4F7C-9C5C-C875B886E8F9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F206-4413-A5B5-005EDC6069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DCCEF02-0736-4D84-8101-4A23A25FCCC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8040D59-1FC7-4A5A-A1F0-2384A7B0AA7D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F206-4413-A5B5-005EDC6069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D9755A9-4B0F-4739-AAC4-CE71D0794A8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FE0149E-1B9E-45CA-B16A-1A4A04B1D2B9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966-4396-A1F8-DC590C44F1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E99EB4-BE56-496E-8B96-612B9D736F4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8559F67-B973-4CEF-8326-13776CA9CCC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F206-4413-A5B5-005EDC6069C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AA51445-9929-45C5-BB4B-5BD11A3234F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A622F26-C2E0-4DCA-B971-F7C699E2374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F206-4413-A5B5-005EDC6069C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FA39781-0A90-48F0-865B-7F984E0A6FD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883E407-5014-49DA-A110-E4E3818EE71C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966-4396-A1F8-DC590C44F1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067885F-2971-49D0-97E9-34C28012416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1806E6D-F77D-4138-B178-5ADF22B8D8B0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F206-4413-A5B5-005EDC6069C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141AB9A-AC4F-4A93-A77B-6A9EDEF6801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6FE9BC04-32F8-4D6C-9F29-BEC9A206AAFB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F206-4413-A5B5-005EDC6069C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D1345FF-C16F-41B9-9855-69103623F82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286D3CC-2569-4117-9972-8F4BEFEE03CD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F206-4413-A5B5-005EDC6069C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527F07C-B6F8-431B-97CD-6620C52CD28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58D60EEF-64CE-4FA4-923B-AEA3970C84B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966-4396-A1F8-DC590C44F11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7960B83-7585-40B4-81D2-DAED4486986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0BF4694D-DE20-4040-98ED-083D14A2785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966-4396-A1F8-DC590C44F11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17B3CFE-45B5-4BF7-9A8D-005C047037A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966-4396-A1F8-DC590C44F1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'07. Chart nghỉ việc'!$B$21:$B$33</c:f>
              <c:strCache>
                <c:ptCount val="13"/>
                <c:pt idx="0">
                  <c:v>Xưởng Sản Xuất</c:v>
                </c:pt>
                <c:pt idx="1">
                  <c:v>Kỹ Thuật</c:v>
                </c:pt>
                <c:pt idx="2">
                  <c:v>0</c:v>
                </c:pt>
                <c:pt idx="3">
                  <c:v>Hành Chánh Nhân Sự</c:v>
                </c:pt>
                <c:pt idx="4">
                  <c:v>Văn Phòng Giám Đốc</c:v>
                </c:pt>
                <c:pt idx="5">
                  <c:v>Ban Giám Đốc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CỘNG</c:v>
                </c:pt>
              </c:strCache>
            </c:strRef>
          </c:cat>
          <c:val>
            <c:numRef>
              <c:f>'07. Chart nghỉ việc'!$F$21:$F$33</c:f>
              <c:numCache>
                <c:formatCode>General</c:formatCode>
                <c:ptCount val="13"/>
                <c:pt idx="0">
                  <c:v>264</c:v>
                </c:pt>
                <c:pt idx="1">
                  <c:v>18</c:v>
                </c:pt>
                <c:pt idx="2">
                  <c:v>0</c:v>
                </c:pt>
                <c:pt idx="3">
                  <c:v>11</c:v>
                </c:pt>
                <c:pt idx="4">
                  <c:v>1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'07. Chart nghỉ việc'!$I$21:$I$32</c15:f>
                <c15:dlblRangeCache>
                  <c:ptCount val="12"/>
                  <c:pt idx="0">
                    <c:v>88%</c:v>
                  </c:pt>
                  <c:pt idx="1">
                    <c:v>6%</c:v>
                  </c:pt>
                  <c:pt idx="2">
                    <c:v>0%</c:v>
                  </c:pt>
                  <c:pt idx="3">
                    <c:v>4%</c:v>
                  </c:pt>
                  <c:pt idx="4">
                    <c:v>0%</c:v>
                  </c:pt>
                  <c:pt idx="5">
                    <c:v>2%</c:v>
                  </c:pt>
                  <c:pt idx="6">
                    <c:v>0%</c:v>
                  </c:pt>
                  <c:pt idx="7">
                    <c:v>0%</c:v>
                  </c:pt>
                  <c:pt idx="8">
                    <c:v>0%</c:v>
                  </c:pt>
                  <c:pt idx="9">
                    <c:v>0%</c:v>
                  </c:pt>
                  <c:pt idx="10">
                    <c:v>0%</c:v>
                  </c:pt>
                  <c:pt idx="11">
                    <c:v>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F206-4413-A5B5-005EDC6069C4}"/>
            </c:ext>
          </c:extLst>
        </c:ser>
        <c:ser>
          <c:idx val="1"/>
          <c:order val="2"/>
          <c:tx>
            <c:strRef>
              <c:f>'07. Chart nghỉ việc'!$E$20</c:f>
              <c:strCache>
                <c:ptCount val="1"/>
                <c:pt idx="0">
                  <c:v>Lũy kế 2025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2.6521053783792155E-2"/>
                </c:manualLayout>
              </c:layout>
              <c:tx>
                <c:rich>
                  <a:bodyPr/>
                  <a:lstStyle/>
                  <a:p>
                    <a:fld id="{E8C1AE66-775F-4F26-8C7A-CC6F8AD8E86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6AF3DA01-AF04-4627-A597-5DE3B96A08BB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206-4413-A5B5-005EDC6069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F3EC22F-23C5-452B-B5D2-3BF21F293A25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DE50EAD-E515-431C-A15A-A349BEDB9A8B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206-4413-A5B5-005EDC6069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1AFE37A-7928-489F-BE60-CAD2B5B8EFC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186CBF3-0E82-4313-821F-1B05EC38723D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206-4413-A5B5-005EDC6069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853B43D-F7AC-4105-A905-086DA2E017F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33751C2-B182-457C-B892-0C287B7F2190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966-4396-A1F8-DC590C44F1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EFA1D0C-4078-463A-9344-580DC0F5C7B5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8F528E4-F9E3-475E-A8E0-A1DA8F627927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206-4413-A5B5-005EDC6069C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AD96C29-0C79-4D27-B90F-D2EE6519FBF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8B8599C-C212-423E-99CC-8B8C9A697022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206-4413-A5B5-005EDC6069C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A3D33B5-397F-4A85-B830-FE2A0519E13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2F9355B-3885-4633-ABED-7DFA8DC3C77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966-4396-A1F8-DC590C44F1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AA6FFDA-D227-4A11-8B64-A01E9557947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E137615-8EFB-48C3-A144-7335960E0FD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206-4413-A5B5-005EDC6069C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CE4CCCC-0776-48B1-860B-E89EDC45DB6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46CBD2F-A2F9-4DFA-8986-AEAC2DAEEA9F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206-4413-A5B5-005EDC6069C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A7CEBDE-8AD6-47CE-8621-7E3C38024B9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7F01A24-7F1E-4FB6-8FA4-A69EFA1B8B1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206-4413-A5B5-005EDC6069C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4C07965-4301-4A8B-8736-A452DB28752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0CD363E3-E49B-433B-BC9A-460ECA9F96C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966-4396-A1F8-DC590C44F11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55DA648-CD82-4982-8E3C-902781B0CD4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88D857DD-6C67-48F8-8DB5-4DDF8F4DBCD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966-4396-A1F8-DC590C44F11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FEF6030-8960-47B6-A3B3-A2D6761FE3B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966-4396-A1F8-DC590C44F1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'07. Chart nghỉ việc'!$B$21:$B$33</c:f>
              <c:strCache>
                <c:ptCount val="13"/>
                <c:pt idx="0">
                  <c:v>Xưởng Sản Xuất</c:v>
                </c:pt>
                <c:pt idx="1">
                  <c:v>Kỹ Thuật</c:v>
                </c:pt>
                <c:pt idx="2">
                  <c:v>0</c:v>
                </c:pt>
                <c:pt idx="3">
                  <c:v>Hành Chánh Nhân Sự</c:v>
                </c:pt>
                <c:pt idx="4">
                  <c:v>Văn Phòng Giám Đốc</c:v>
                </c:pt>
                <c:pt idx="5">
                  <c:v>Ban Giám Đốc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CỘNG</c:v>
                </c:pt>
              </c:strCache>
            </c:strRef>
          </c:cat>
          <c:val>
            <c:numRef>
              <c:f>'07. Chart nghỉ việc'!$E$21:$E$33</c:f>
              <c:numCache>
                <c:formatCode>General</c:formatCode>
                <c:ptCount val="13"/>
                <c:pt idx="0">
                  <c:v>334</c:v>
                </c:pt>
                <c:pt idx="1">
                  <c:v>8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'07. Chart nghỉ việc'!$H$21:$H$32</c15:f>
                <c15:dlblRangeCache>
                  <c:ptCount val="12"/>
                  <c:pt idx="0">
                    <c:v>94%</c:v>
                  </c:pt>
                  <c:pt idx="1">
                    <c:v>2%</c:v>
                  </c:pt>
                  <c:pt idx="2">
                    <c:v>0%</c:v>
                  </c:pt>
                  <c:pt idx="3">
                    <c:v>3%</c:v>
                  </c:pt>
                  <c:pt idx="4">
                    <c:v>0%</c:v>
                  </c:pt>
                  <c:pt idx="5">
                    <c:v>1%</c:v>
                  </c:pt>
                  <c:pt idx="6">
                    <c:v>0%</c:v>
                  </c:pt>
                  <c:pt idx="7">
                    <c:v>0%</c:v>
                  </c:pt>
                  <c:pt idx="8">
                    <c:v>0%</c:v>
                  </c:pt>
                  <c:pt idx="9">
                    <c:v>0%</c:v>
                  </c:pt>
                  <c:pt idx="10">
                    <c:v>0%</c:v>
                  </c:pt>
                  <c:pt idx="11">
                    <c:v>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206-4413-A5B5-005EDC6069C4}"/>
            </c:ext>
          </c:extLst>
        </c:ser>
        <c:ser>
          <c:idx val="3"/>
          <c:order val="3"/>
          <c:tx>
            <c:strRef>
              <c:f>'07. Chart nghỉ việc'!$D$20</c:f>
              <c:strCache>
                <c:ptCount val="1"/>
                <c:pt idx="0">
                  <c:v>Lũy kế 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'07. Chart nghỉ việc'!$D$21:$D$33</c:f>
              <c:numCache>
                <c:formatCode>General</c:formatCode>
                <c:ptCount val="13"/>
                <c:pt idx="0">
                  <c:v>161</c:v>
                </c:pt>
                <c:pt idx="1">
                  <c:v>8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66-4396-A1F8-DC590C44F1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015003680"/>
        <c:axId val="20150104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'07. Chart nghỉ việc'!$C$20</c15:sqref>
                        </c15:formulaRef>
                      </c:ext>
                    </c:extLst>
                    <c:strCache>
                      <c:ptCount val="1"/>
                      <c:pt idx="0">
                        <c:v>Gián tiếp/ trực tiếp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'07. Chart nghỉ việc'!$B$21:$B$33</c15:sqref>
                        </c15:formulaRef>
                      </c:ext>
                    </c:extLst>
                    <c:strCache>
                      <c:ptCount val="13"/>
                      <c:pt idx="0">
                        <c:v>Xưởng Sản Xuất</c:v>
                      </c:pt>
                      <c:pt idx="1">
                        <c:v>Kỹ Thuật</c:v>
                      </c:pt>
                      <c:pt idx="2">
                        <c:v>0</c:v>
                      </c:pt>
                      <c:pt idx="3">
                        <c:v>Hành Chánh Nhân Sự</c:v>
                      </c:pt>
                      <c:pt idx="4">
                        <c:v>Văn Phòng Giám Đốc</c:v>
                      </c:pt>
                      <c:pt idx="5">
                        <c:v>Ban Giám Đốc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CỘNG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'07. Chart nghỉ việc'!$C$21:$C$33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206-4413-A5B5-005EDC6069C4}"/>
                  </c:ext>
                </c:extLst>
              </c15:ser>
            </c15:filteredBarSeries>
          </c:ext>
        </c:extLst>
      </c:barChart>
      <c:catAx>
        <c:axId val="201500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Aparajita" panose="020B0502040204020203" pitchFamily="18" charset="0"/>
              </a:defRPr>
            </a:pPr>
            <a:endParaRPr lang="en-US"/>
          </a:p>
        </c:txPr>
        <c:crossAx val="2015010400"/>
        <c:crosses val="autoZero"/>
        <c:auto val="1"/>
        <c:lblAlgn val="ctr"/>
        <c:lblOffset val="100"/>
        <c:noMultiLvlLbl val="0"/>
      </c:catAx>
      <c:valAx>
        <c:axId val="201501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00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499264686004279"/>
          <c:y val="0.89225646942475689"/>
          <c:w val="0.32127296507213715"/>
          <c:h val="8.3116570841291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00FF"/>
                </a:solidFill>
              </a:rPr>
              <a:t>LAO ĐỘNG NGHỈ VIỆC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'07. Chart nghỉ việc'!$B$59</c:f>
              <c:strCache>
                <c:ptCount val="1"/>
                <c:pt idx="0">
                  <c:v> 2.024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'07. Chart nghỉ việc'!$C$59:$N$59</c:f>
              <c:numCache>
                <c:formatCode>General</c:formatCode>
                <c:ptCount val="12"/>
                <c:pt idx="0">
                  <c:v>10</c:v>
                </c:pt>
                <c:pt idx="1">
                  <c:v>33</c:v>
                </c:pt>
                <c:pt idx="2">
                  <c:v>28</c:v>
                </c:pt>
                <c:pt idx="3">
                  <c:v>49</c:v>
                </c:pt>
                <c:pt idx="4">
                  <c:v>35</c:v>
                </c:pt>
                <c:pt idx="5">
                  <c:v>47</c:v>
                </c:pt>
                <c:pt idx="6">
                  <c:v>26</c:v>
                </c:pt>
                <c:pt idx="7">
                  <c:v>21</c:v>
                </c:pt>
                <c:pt idx="8">
                  <c:v>22</c:v>
                </c:pt>
                <c:pt idx="9">
                  <c:v>25</c:v>
                </c:pt>
                <c:pt idx="10">
                  <c:v>22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89-48B0-B18B-C7C40E44BEAC}"/>
            </c:ext>
          </c:extLst>
        </c:ser>
        <c:ser>
          <c:idx val="2"/>
          <c:order val="1"/>
          <c:tx>
            <c:strRef>
              <c:f>'07. Chart nghỉ việc'!$B$60</c:f>
              <c:strCache>
                <c:ptCount val="1"/>
                <c:pt idx="0">
                  <c:v> 2.025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'07. Chart nghỉ việc'!$C$60:$N$60</c:f>
              <c:numCache>
                <c:formatCode>_(* #,##0_);_(* \(#,##0\);_(* "-"??_);_(@_)</c:formatCode>
                <c:ptCount val="12"/>
                <c:pt idx="0">
                  <c:v>20</c:v>
                </c:pt>
                <c:pt idx="1">
                  <c:v>35</c:v>
                </c:pt>
                <c:pt idx="2">
                  <c:v>35</c:v>
                </c:pt>
                <c:pt idx="3">
                  <c:v>41</c:v>
                </c:pt>
                <c:pt idx="4">
                  <c:v>46</c:v>
                </c:pt>
                <c:pt idx="5">
                  <c:v>42</c:v>
                </c:pt>
                <c:pt idx="6">
                  <c:v>36</c:v>
                </c:pt>
                <c:pt idx="7">
                  <c:v>36</c:v>
                </c:pt>
                <c:pt idx="8">
                  <c:v>33</c:v>
                </c:pt>
                <c:pt idx="9">
                  <c:v>38</c:v>
                </c:pt>
                <c:pt idx="10">
                  <c:v>16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89-48B0-B18B-C7C40E44BEAC}"/>
            </c:ext>
          </c:extLst>
        </c:ser>
        <c:ser>
          <c:idx val="0"/>
          <c:order val="2"/>
          <c:tx>
            <c:strRef>
              <c:f>'07. Chart nghỉ việc'!$B$61</c:f>
              <c:strCache>
                <c:ptCount val="1"/>
                <c:pt idx="0">
                  <c:v> 2.026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'07. Chart nghỉ việc'!$C$61:$N$61</c:f>
              <c:numCache>
                <c:formatCode>_(* #,##0_);_(* \(#,##0\);_(* "-"??_);_(@_)</c:formatCode>
                <c:ptCount val="12"/>
                <c:pt idx="0">
                  <c:v>36</c:v>
                </c:pt>
                <c:pt idx="1">
                  <c:v>38</c:v>
                </c:pt>
                <c:pt idx="2">
                  <c:v>66</c:v>
                </c:pt>
                <c:pt idx="3">
                  <c:v>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A-40C8-8874-4C7CF4A2E2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08423936"/>
        <c:axId val="1108422496"/>
      </c:barChart>
      <c:catAx>
        <c:axId val="1108423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422496"/>
        <c:crosses val="autoZero"/>
        <c:auto val="1"/>
        <c:lblAlgn val="ctr"/>
        <c:lblOffset val="100"/>
        <c:noMultiLvlLbl val="0"/>
      </c:catAx>
      <c:valAx>
        <c:axId val="1108422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42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00FF"/>
                </a:solidFill>
              </a:rPr>
              <a:t>LŨY</a:t>
            </a:r>
            <a:r>
              <a:rPr lang="en-US" b="1" baseline="0">
                <a:solidFill>
                  <a:srgbClr val="0000FF"/>
                </a:solidFill>
              </a:rPr>
              <a:t> KẾ </a:t>
            </a:r>
            <a:r>
              <a:rPr lang="en-US" b="1">
                <a:solidFill>
                  <a:srgbClr val="0000FF"/>
                </a:solidFill>
              </a:rPr>
              <a:t>LAO ĐỘNG NGHỈ VIỆC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'07. Chart nghỉ việc'!$B$64</c:f>
              <c:strCache>
                <c:ptCount val="1"/>
                <c:pt idx="0">
                  <c:v>LK 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'07. Chart nghỉ việc'!$C$64:$N$64</c:f>
              <c:numCache>
                <c:formatCode>0</c:formatCode>
                <c:ptCount val="12"/>
                <c:pt idx="0">
                  <c:v>36</c:v>
                </c:pt>
                <c:pt idx="1">
                  <c:v>74</c:v>
                </c:pt>
                <c:pt idx="2">
                  <c:v>140</c:v>
                </c:pt>
                <c:pt idx="3">
                  <c:v>197</c:v>
                </c:pt>
                <c:pt idx="4">
                  <c:v>197</c:v>
                </c:pt>
                <c:pt idx="5">
                  <c:v>197</c:v>
                </c:pt>
                <c:pt idx="6">
                  <c:v>197</c:v>
                </c:pt>
                <c:pt idx="7">
                  <c:v>197</c:v>
                </c:pt>
                <c:pt idx="8">
                  <c:v>197</c:v>
                </c:pt>
                <c:pt idx="9">
                  <c:v>197</c:v>
                </c:pt>
                <c:pt idx="10">
                  <c:v>197</c:v>
                </c:pt>
                <c:pt idx="1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51-456E-96B4-F64F4367A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08423936"/>
        <c:axId val="1108422496"/>
      </c:barChart>
      <c:lineChart>
        <c:grouping val="stacked"/>
        <c:varyColors val="0"/>
        <c:ser>
          <c:idx val="1"/>
          <c:order val="0"/>
          <c:tx>
            <c:strRef>
              <c:f>'07. Chart nghỉ việc'!$B$62</c:f>
              <c:strCache>
                <c:ptCount val="1"/>
                <c:pt idx="0">
                  <c:v>LK 2024</c:v>
                </c:pt>
              </c:strCache>
            </c:strRef>
          </c:tx>
          <c:spPr>
            <a:ln w="95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108714351882483E-2"/>
                  <c:y val="-8.328620524644364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51-456E-96B4-F64F4367A06A}"/>
                </c:ext>
              </c:extLst>
            </c:dLbl>
            <c:dLbl>
              <c:idx val="1"/>
              <c:layout>
                <c:manualLayout>
                  <c:x val="-4.7260504201680688E-2"/>
                  <c:y val="4.13951363814329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0D-4695-B18B-265135E72D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'07. Chart nghỉ việc'!$C$62:$N$62</c:f>
              <c:numCache>
                <c:formatCode>General</c:formatCode>
                <c:ptCount val="12"/>
                <c:pt idx="0">
                  <c:v>10</c:v>
                </c:pt>
                <c:pt idx="1">
                  <c:v>43</c:v>
                </c:pt>
                <c:pt idx="2">
                  <c:v>71</c:v>
                </c:pt>
                <c:pt idx="3">
                  <c:v>120</c:v>
                </c:pt>
                <c:pt idx="4">
                  <c:v>155</c:v>
                </c:pt>
                <c:pt idx="5">
                  <c:v>202</c:v>
                </c:pt>
                <c:pt idx="6">
                  <c:v>228</c:v>
                </c:pt>
                <c:pt idx="7">
                  <c:v>249</c:v>
                </c:pt>
                <c:pt idx="8">
                  <c:v>271</c:v>
                </c:pt>
                <c:pt idx="9">
                  <c:v>296</c:v>
                </c:pt>
                <c:pt idx="10">
                  <c:v>318</c:v>
                </c:pt>
                <c:pt idx="11">
                  <c:v>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1-456E-96B4-F64F4367A06A}"/>
            </c:ext>
          </c:extLst>
        </c:ser>
        <c:ser>
          <c:idx val="0"/>
          <c:order val="2"/>
          <c:tx>
            <c:strRef>
              <c:f>'07. Chart nghỉ việc'!$B$63</c:f>
              <c:strCache>
                <c:ptCount val="1"/>
                <c:pt idx="0">
                  <c:v>LK 2025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'07. Chart nghỉ việc'!$C$63:$N$63</c:f>
              <c:numCache>
                <c:formatCode>0</c:formatCode>
                <c:ptCount val="12"/>
                <c:pt idx="0">
                  <c:v>10</c:v>
                </c:pt>
                <c:pt idx="1">
                  <c:v>98</c:v>
                </c:pt>
                <c:pt idx="2">
                  <c:v>161</c:v>
                </c:pt>
                <c:pt idx="3">
                  <c:v>251</c:v>
                </c:pt>
                <c:pt idx="4">
                  <c:v>332</c:v>
                </c:pt>
                <c:pt idx="5">
                  <c:v>421</c:v>
                </c:pt>
                <c:pt idx="6">
                  <c:v>483</c:v>
                </c:pt>
                <c:pt idx="7">
                  <c:v>540</c:v>
                </c:pt>
                <c:pt idx="8">
                  <c:v>595</c:v>
                </c:pt>
                <c:pt idx="9">
                  <c:v>658</c:v>
                </c:pt>
                <c:pt idx="10">
                  <c:v>696</c:v>
                </c:pt>
                <c:pt idx="11">
                  <c:v>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2-44CF-9A1F-C38306BC57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08423936"/>
        <c:axId val="1108422496"/>
      </c:lineChart>
      <c:catAx>
        <c:axId val="1108423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422496"/>
        <c:crosses val="autoZero"/>
        <c:auto val="1"/>
        <c:lblAlgn val="ctr"/>
        <c:lblOffset val="100"/>
        <c:noMultiLvlLbl val="0"/>
      </c:catAx>
      <c:valAx>
        <c:axId val="110842249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42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260350</xdr:colOff>
      <xdr:row>85</xdr:row>
      <xdr:rowOff>162111</xdr:rowOff>
    </xdr:from>
    <xdr:to>
      <xdr:col>13</xdr:col>
      <xdr:colOff>346075</xdr:colOff>
      <xdr:row>102</xdr:row>
      <xdr:rowOff>22971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1479B310-9648-42F2-96A4-1A50A3485CE2}"/>
            </a:ext>
          </a:extLst>
        </xdr:cNvPr>
        <xdr:cNvGrpSpPr/>
      </xdr:nvGrpSpPr>
      <xdr:grpSpPr>
        <a:xfrm>
          <a:off x="260350" y="16573686"/>
          <a:ext cx="9124950" cy="3099360"/>
          <a:chOff x="307975" y="8270875"/>
          <a:chExt cx="8385175" cy="2743200"/>
        </a:xfrm>
      </xdr:grpSpPr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22BA5D70-74C8-4C03-0311-279F5CB57963}"/>
              </a:ext>
            </a:extLst>
          </xdr:cNvPr>
          <xdr:cNvGraphicFramePr/>
        </xdr:nvGraphicFramePr>
        <xdr:xfrm>
          <a:off x="307975" y="8270875"/>
          <a:ext cx="838517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0DAA8EA-F259-F8F9-63D9-812F788E44F4}"/>
              </a:ext>
            </a:extLst>
          </xdr:cNvPr>
          <xdr:cNvSpPr txBox="1"/>
        </xdr:nvSpPr>
        <xdr:spPr>
          <a:xfrm>
            <a:off x="7007072" y="8343489"/>
            <a:ext cx="1661632" cy="22643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50" i="1">
                <a:solidFill>
                  <a:schemeClr val="accent2">
                    <a:lumMod val="75000"/>
                  </a:schemeClr>
                </a:solidFill>
              </a:rPr>
              <a:t>ĐVT:</a:t>
            </a:r>
            <a:r>
              <a:rPr lang="en-US" sz="1050" i="1" baseline="0">
                <a:solidFill>
                  <a:schemeClr val="accent2">
                    <a:lumMod val="75000"/>
                  </a:schemeClr>
                </a:solidFill>
              </a:rPr>
              <a:t> Triệu</a:t>
            </a:r>
            <a:r>
              <a:rPr lang="en-US" sz="1050" i="1">
                <a:solidFill>
                  <a:schemeClr val="accent2">
                    <a:lumMod val="75000"/>
                  </a:schemeClr>
                </a:solidFill>
              </a:rPr>
              <a:t>/người/tháng</a:t>
            </a:r>
          </a:p>
        </xdr:txBody>
      </xdr:sp>
    </xdr:grpSp>
    <xdr:clientData/>
  </xdr:twoCellAnchor>
  <xdr:twoCellAnchor>
    <xdr:from>
      <xdr:col>6</xdr:col>
      <xdr:colOff>257380</xdr:colOff>
      <xdr:row>16</xdr:row>
      <xdr:rowOff>41148</xdr:rowOff>
    </xdr:from>
    <xdr:to>
      <xdr:col>6</xdr:col>
      <xdr:colOff>257380</xdr:colOff>
      <xdr:row>28</xdr:row>
      <xdr:rowOff>2722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159B4F9-2060-97BD-6ACB-7A92163F0E6B}"/>
            </a:ext>
          </a:extLst>
        </xdr:cNvPr>
        <xdr:cNvCxnSpPr/>
      </xdr:nvCxnSpPr>
      <xdr:spPr>
        <a:xfrm>
          <a:off x="4829380" y="3022473"/>
          <a:ext cx="0" cy="2247574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123824</xdr:colOff>
      <xdr:row>13</xdr:row>
      <xdr:rowOff>112062</xdr:rowOff>
    </xdr:from>
    <xdr:to>
      <xdr:col>10</xdr:col>
      <xdr:colOff>228600</xdr:colOff>
      <xdr:row>31</xdr:row>
      <xdr:rowOff>64062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C39C01-63DE-51BF-1EB5-02A812B1A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104775</xdr:colOff>
      <xdr:row>16</xdr:row>
      <xdr:rowOff>19050</xdr:rowOff>
    </xdr:from>
    <xdr:to>
      <xdr:col>6</xdr:col>
      <xdr:colOff>257175</xdr:colOff>
      <xdr:row>29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8DFDB86-27BF-88B3-4A7B-4C22358A587A}"/>
            </a:ext>
          </a:extLst>
        </xdr:cNvPr>
        <xdr:cNvSpPr/>
      </xdr:nvSpPr>
      <xdr:spPr>
        <a:xfrm>
          <a:off x="4038600" y="3000375"/>
          <a:ext cx="790575" cy="2590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462056</xdr:colOff>
      <xdr:row>50</xdr:row>
      <xdr:rowOff>80995</xdr:rowOff>
    </xdr:from>
    <xdr:to>
      <xdr:col>9</xdr:col>
      <xdr:colOff>542925</xdr:colOff>
      <xdr:row>68</xdr:row>
      <xdr:rowOff>184149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6384EC41-42FA-42DD-A567-602F41F7FA95}"/>
            </a:ext>
          </a:extLst>
        </xdr:cNvPr>
        <xdr:cNvGrpSpPr/>
      </xdr:nvGrpSpPr>
      <xdr:grpSpPr>
        <a:xfrm>
          <a:off x="462056" y="9682195"/>
          <a:ext cx="6567394" cy="3532154"/>
          <a:chOff x="462056" y="9682195"/>
          <a:chExt cx="6567394" cy="3532154"/>
        </a:xfrm>
      </xdr:grpSpPr>
      <xdr:grpSp>
        <xdr:nvGrpSpPr>
          <xdr:cNvPr id="9" name="Group 5">
            <a:extLst>
              <a:ext uri="{FF2B5EF4-FFF2-40B4-BE49-F238E27FC236}">
                <a16:creationId xmlns:a16="http://schemas.microsoft.com/office/drawing/2014/main" id="{D91B5DB7-BA6D-5161-A5D9-01C00509B4D0}"/>
              </a:ext>
            </a:extLst>
          </xdr:cNvPr>
          <xdr:cNvGrpSpPr/>
        </xdr:nvGrpSpPr>
        <xdr:grpSpPr>
          <a:xfrm>
            <a:off x="462056" y="9682195"/>
            <a:ext cx="6567394" cy="3532154"/>
            <a:chOff x="307975" y="8270875"/>
            <a:chExt cx="8510403" cy="2626543"/>
          </a:xfrm>
        </xdr:grpSpPr>
        <xdr:graphicFrame macro="">
          <xdr:nvGraphicFramePr>
            <xdr:cNvPr id="10" name="Chart 1">
              <a:extLst>
                <a:ext uri="{FF2B5EF4-FFF2-40B4-BE49-F238E27FC236}">
                  <a16:creationId xmlns:a16="http://schemas.microsoft.com/office/drawing/2014/main" id="{0CAE1E9A-5E4F-8798-6261-0D093F87550E}"/>
                </a:ext>
              </a:extLst>
            </xdr:cNvPr>
            <xdr:cNvGraphicFramePr/>
          </xdr:nvGraphicFramePr>
          <xdr:xfrm>
            <a:off x="307975" y="8270875"/>
            <a:ext cx="8510403" cy="262654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11" name="TextBox 2">
              <a:extLst>
                <a:ext uri="{FF2B5EF4-FFF2-40B4-BE49-F238E27FC236}">
                  <a16:creationId xmlns:a16="http://schemas.microsoft.com/office/drawing/2014/main" id="{458C685B-2F47-C47F-E45F-845A45C63A05}"/>
                </a:ext>
              </a:extLst>
            </xdr:cNvPr>
            <xdr:cNvSpPr txBox="1"/>
          </xdr:nvSpPr>
          <xdr:spPr>
            <a:xfrm>
              <a:off x="352569" y="8519539"/>
              <a:ext cx="1816835" cy="19399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0" i="1">
                  <a:solidFill>
                    <a:schemeClr val="accent2">
                      <a:lumMod val="75000"/>
                    </a:schemeClr>
                  </a:solidFill>
                </a:rPr>
                <a:t>ĐVT:</a:t>
              </a:r>
              <a:r>
                <a:rPr lang="en-US" sz="1000" b="0" i="1" baseline="0">
                  <a:solidFill>
                    <a:schemeClr val="accent2">
                      <a:lumMod val="75000"/>
                    </a:schemeClr>
                  </a:solidFill>
                </a:rPr>
                <a:t> </a:t>
              </a:r>
              <a:r>
                <a:rPr lang="en-US" sz="1000" b="0" i="1">
                  <a:solidFill>
                    <a:schemeClr val="accent2">
                      <a:lumMod val="75000"/>
                    </a:schemeClr>
                  </a:solidFill>
                </a:rPr>
                <a:t>Tấn/người/tháng</a:t>
              </a:r>
            </a:p>
          </xdr:txBody>
        </xdr:sp>
      </xdr:grp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FF1E787D-C4CB-4713-A0EF-0594782BF188}"/>
              </a:ext>
            </a:extLst>
          </xdr:cNvPr>
          <xdr:cNvSpPr/>
        </xdr:nvSpPr>
        <xdr:spPr>
          <a:xfrm>
            <a:off x="4410075" y="10086974"/>
            <a:ext cx="1200150" cy="28289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635000</xdr:colOff>
      <xdr:row>13</xdr:row>
      <xdr:rowOff>177800</xdr:rowOff>
    </xdr:from>
    <xdr:to>
      <xdr:col>20</xdr:col>
      <xdr:colOff>549276</xdr:colOff>
      <xdr:row>31</xdr:row>
      <xdr:rowOff>136150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C5BC1EA-029A-BADC-7322-0294E23F5AF8}"/>
            </a:ext>
          </a:extLst>
        </xdr:cNvPr>
        <xdr:cNvGrpSpPr/>
      </xdr:nvGrpSpPr>
      <xdr:grpSpPr>
        <a:xfrm>
          <a:off x="7759700" y="2587625"/>
          <a:ext cx="5867401" cy="3387350"/>
          <a:chOff x="7991475" y="2438400"/>
          <a:chExt cx="6134101" cy="3209550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1FEF545F-7A34-44E8-971E-E0CEA873899A}"/>
              </a:ext>
            </a:extLst>
          </xdr:cNvPr>
          <xdr:cNvGraphicFramePr>
            <a:graphicFrameLocks/>
          </xdr:cNvGraphicFramePr>
        </xdr:nvGraphicFramePr>
        <xdr:xfrm>
          <a:off x="7991475" y="2438400"/>
          <a:ext cx="6134101" cy="3209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8F100364-4360-40B5-A1E2-37AAB8885FA9}"/>
              </a:ext>
            </a:extLst>
          </xdr:cNvPr>
          <xdr:cNvSpPr/>
        </xdr:nvSpPr>
        <xdr:spPr>
          <a:xfrm>
            <a:off x="10629900" y="2867025"/>
            <a:ext cx="815975" cy="2466975"/>
          </a:xfrm>
          <a:prstGeom prst="rect">
            <a:avLst/>
          </a:prstGeom>
          <a:noFill/>
          <a:ln w="12700">
            <a:solidFill>
              <a:srgbClr val="92D050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114300</xdr:colOff>
      <xdr:row>49</xdr:row>
      <xdr:rowOff>9525</xdr:rowOff>
    </xdr:from>
    <xdr:to>
      <xdr:col>21</xdr:col>
      <xdr:colOff>180975</xdr:colOff>
      <xdr:row>70</xdr:row>
      <xdr:rowOff>19050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A2C0D8F6-1A53-4C63-A753-7E23FEB8C42E}"/>
            </a:ext>
          </a:extLst>
        </xdr:cNvPr>
        <xdr:cNvGrpSpPr/>
      </xdr:nvGrpSpPr>
      <xdr:grpSpPr>
        <a:xfrm>
          <a:off x="7239000" y="9420225"/>
          <a:ext cx="6657975" cy="4010025"/>
          <a:chOff x="462056" y="9682195"/>
          <a:chExt cx="6567394" cy="3532154"/>
        </a:xfrm>
      </xdr:grpSpPr>
      <xdr:grpSp>
        <xdr:nvGrpSpPr>
          <xdr:cNvPr id="16" name="Group 5">
            <a:extLst>
              <a:ext uri="{FF2B5EF4-FFF2-40B4-BE49-F238E27FC236}">
                <a16:creationId xmlns:a16="http://schemas.microsoft.com/office/drawing/2014/main" id="{B3AA0973-49BA-100C-200B-E33CB52B78A9}"/>
              </a:ext>
            </a:extLst>
          </xdr:cNvPr>
          <xdr:cNvGrpSpPr/>
        </xdr:nvGrpSpPr>
        <xdr:grpSpPr>
          <a:xfrm>
            <a:off x="462056" y="9682195"/>
            <a:ext cx="6567394" cy="3532154"/>
            <a:chOff x="307975" y="8270875"/>
            <a:chExt cx="8510403" cy="2626543"/>
          </a:xfrm>
        </xdr:grpSpPr>
        <xdr:graphicFrame macro="">
          <xdr:nvGraphicFramePr>
            <xdr:cNvPr id="19" name="Chart 1">
              <a:extLst>
                <a:ext uri="{FF2B5EF4-FFF2-40B4-BE49-F238E27FC236}">
                  <a16:creationId xmlns:a16="http://schemas.microsoft.com/office/drawing/2014/main" id="{F97AE7FE-D111-622F-0279-B8C20E94A66A}"/>
                </a:ext>
              </a:extLst>
            </xdr:cNvPr>
            <xdr:cNvGraphicFramePr/>
          </xdr:nvGraphicFramePr>
          <xdr:xfrm>
            <a:off x="307975" y="8270875"/>
            <a:ext cx="8510403" cy="262654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sp macro="" textlink="">
          <xdr:nvSpPr>
            <xdr:cNvPr id="20" name="TextBox 2">
              <a:extLst>
                <a:ext uri="{FF2B5EF4-FFF2-40B4-BE49-F238E27FC236}">
                  <a16:creationId xmlns:a16="http://schemas.microsoft.com/office/drawing/2014/main" id="{F194EC7F-056E-7889-5B7D-B2E209167F4B}"/>
                </a:ext>
              </a:extLst>
            </xdr:cNvPr>
            <xdr:cNvSpPr txBox="1"/>
          </xdr:nvSpPr>
          <xdr:spPr>
            <a:xfrm>
              <a:off x="707584" y="8735419"/>
              <a:ext cx="1816835" cy="193993"/>
            </a:xfrm>
            <a:prstGeom prst="rect">
              <a:avLst/>
            </a:prstGeom>
            <a:solidFill>
              <a:schemeClr val="accent1">
                <a:lumMod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0" i="1">
                  <a:solidFill>
                    <a:schemeClr val="bg1"/>
                  </a:solidFill>
                </a:rPr>
                <a:t>ĐVT:</a:t>
              </a:r>
              <a:r>
                <a:rPr lang="en-US" sz="1000" b="0" i="1" baseline="0">
                  <a:solidFill>
                    <a:schemeClr val="bg1"/>
                  </a:solidFill>
                </a:rPr>
                <a:t> </a:t>
              </a:r>
              <a:r>
                <a:rPr lang="en-US" sz="1000" b="0" i="1">
                  <a:solidFill>
                    <a:schemeClr val="bg1"/>
                  </a:solidFill>
                </a:rPr>
                <a:t>Tấn/người/tháng</a:t>
              </a:r>
            </a:p>
          </xdr:txBody>
        </xdr:sp>
      </xdr:grp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98C0C5F9-78F1-4DB0-2BE7-2DA18B5D185B}"/>
              </a:ext>
            </a:extLst>
          </xdr:cNvPr>
          <xdr:cNvSpPr/>
        </xdr:nvSpPr>
        <xdr:spPr>
          <a:xfrm>
            <a:off x="4410075" y="10086974"/>
            <a:ext cx="1200150" cy="2828925"/>
          </a:xfrm>
          <a:prstGeom prst="rect">
            <a:avLst/>
          </a:prstGeom>
          <a:noFill/>
          <a:ln w="22225">
            <a:solidFill>
              <a:srgbClr val="92D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0.79962</cdr:x>
      <cdr:y>0.05202</cdr:y>
    </cdr:from>
    <cdr:to>
      <cdr:x>0.96967</cdr:x>
      <cdr:y>0.13295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1FFEAF3-7D55-4718-08D5-0F1990A095F0}"/>
            </a:ext>
          </a:extLst>
        </cdr:cNvPr>
        <cdr:cNvSpPr txBox="1"/>
      </cdr:nvSpPr>
      <cdr:spPr>
        <a:xfrm xmlns:a="http://schemas.openxmlformats.org/drawingml/2006/main">
          <a:off x="4076572" y="166961"/>
          <a:ext cx="866904" cy="2597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00" i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000" i="1" u="sng" kern="1200" baseline="0">
              <a:solidFill>
                <a:schemeClr val="accent2">
                  <a:lumMod val="75000"/>
                </a:schemeClr>
              </a:solidFill>
            </a:rPr>
            <a:t> N</a:t>
          </a:r>
          <a:r>
            <a:rPr lang="en-US" sz="1000" i="1" u="sng" kern="1200">
              <a:solidFill>
                <a:schemeClr val="accent2">
                  <a:lumMod val="75000"/>
                </a:schemeClr>
              </a:solidFill>
            </a:rPr>
            <a:t>gười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0.79962</cdr:x>
      <cdr:y>0.05202</cdr:y>
    </cdr:from>
    <cdr:to>
      <cdr:x>0.96967</cdr:x>
      <cdr:y>0.13295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1FFEAF3-7D55-4718-08D5-0F1990A095F0}"/>
            </a:ext>
          </a:extLst>
        </cdr:cNvPr>
        <cdr:cNvSpPr txBox="1"/>
      </cdr:nvSpPr>
      <cdr:spPr>
        <a:xfrm xmlns:a="http://schemas.openxmlformats.org/drawingml/2006/main">
          <a:off x="4076572" y="166961"/>
          <a:ext cx="866904" cy="2597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00" i="1" u="sng" kern="1200">
              <a:solidFill>
                <a:schemeClr val="bg1"/>
              </a:solidFill>
            </a:rPr>
            <a:t>Đvt:</a:t>
          </a:r>
          <a:r>
            <a:rPr lang="en-US" sz="1000" i="1" u="sng" kern="1200" baseline="0">
              <a:solidFill>
                <a:schemeClr val="bg1"/>
              </a:solidFill>
            </a:rPr>
            <a:t> N</a:t>
          </a:r>
          <a:r>
            <a:rPr lang="en-US" sz="1000" i="1" u="sng" kern="1200">
              <a:solidFill>
                <a:schemeClr val="bg1"/>
              </a:solidFill>
            </a:rPr>
            <a:t>gười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18</xdr:row>
      <xdr:rowOff>160210</xdr:rowOff>
    </xdr:from>
    <xdr:to>
      <xdr:col>9</xdr:col>
      <xdr:colOff>127000</xdr:colOff>
      <xdr:row>35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F571EC8-9A0D-554E-6C70-3A146D37B7F4}"/>
            </a:ext>
          </a:extLst>
        </xdr:cNvPr>
        <xdr:cNvGrpSpPr/>
      </xdr:nvGrpSpPr>
      <xdr:grpSpPr>
        <a:xfrm>
          <a:off x="374650" y="807910"/>
          <a:ext cx="5619750" cy="3078290"/>
          <a:chOff x="374650" y="3624262"/>
          <a:chExt cx="5629275" cy="3043238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282747C7-8A8A-8FC7-F3B6-D27751115E70}"/>
              </a:ext>
            </a:extLst>
          </xdr:cNvPr>
          <xdr:cNvGraphicFramePr/>
        </xdr:nvGraphicFramePr>
        <xdr:xfrm>
          <a:off x="374650" y="3624262"/>
          <a:ext cx="5629275" cy="30432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E6893478-3FA4-018A-4E76-65E4C02EC153}"/>
              </a:ext>
            </a:extLst>
          </xdr:cNvPr>
          <xdr:cNvSpPr txBox="1"/>
        </xdr:nvSpPr>
        <xdr:spPr>
          <a:xfrm>
            <a:off x="5000625" y="4092575"/>
            <a:ext cx="866775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000" b="1">
                <a:solidFill>
                  <a:schemeClr val="accent2">
                    <a:lumMod val="75000"/>
                  </a:schemeClr>
                </a:solidFill>
              </a:rPr>
              <a:t>ĐVT:</a:t>
            </a:r>
            <a:r>
              <a:rPr lang="en-US" sz="1000" b="1" baseline="0">
                <a:solidFill>
                  <a:schemeClr val="accent2">
                    <a:lumMod val="75000"/>
                  </a:schemeClr>
                </a:solidFill>
              </a:rPr>
              <a:t> kg/giờ</a:t>
            </a:r>
            <a:endParaRPr lang="en-US" sz="1000" b="1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13590C8D-F2F3-394D-2013-8C140191EF10}"/>
              </a:ext>
            </a:extLst>
          </xdr:cNvPr>
          <xdr:cNvSpPr txBox="1"/>
        </xdr:nvSpPr>
        <xdr:spPr>
          <a:xfrm>
            <a:off x="2882902" y="3914775"/>
            <a:ext cx="590549" cy="2857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solidFill>
                  <a:srgbClr val="FF0000"/>
                </a:solidFill>
              </a:rPr>
              <a:t>PET</a:t>
            </a:r>
            <a:endParaRPr 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9</xdr:col>
      <xdr:colOff>260349</xdr:colOff>
      <xdr:row>18</xdr:row>
      <xdr:rowOff>152400</xdr:rowOff>
    </xdr:from>
    <xdr:to>
      <xdr:col>17</xdr:col>
      <xdr:colOff>476250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0B443E-F04D-4930-8A5B-C5F7F56BA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361950</xdr:colOff>
      <xdr:row>35</xdr:row>
      <xdr:rowOff>95250</xdr:rowOff>
    </xdr:from>
    <xdr:to>
      <xdr:col>9</xdr:col>
      <xdr:colOff>114300</xdr:colOff>
      <xdr:row>50</xdr:row>
      <xdr:rowOff>66675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9488F22B-F8E7-4883-B2B2-98A25BCCF583}"/>
            </a:ext>
          </a:extLst>
        </xdr:cNvPr>
        <xdr:cNvGrpSpPr/>
      </xdr:nvGrpSpPr>
      <xdr:grpSpPr>
        <a:xfrm>
          <a:off x="361950" y="3981450"/>
          <a:ext cx="5619750" cy="2828925"/>
          <a:chOff x="374650" y="3624262"/>
          <a:chExt cx="5629275" cy="3043238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CC35A5B0-7002-AFD3-31AB-30A0B88D641E}"/>
              </a:ext>
            </a:extLst>
          </xdr:cNvPr>
          <xdr:cNvGraphicFramePr/>
        </xdr:nvGraphicFramePr>
        <xdr:xfrm>
          <a:off x="374650" y="3624262"/>
          <a:ext cx="5629275" cy="30432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3F11978B-8359-4CD8-F757-5D728D032EAE}"/>
              </a:ext>
            </a:extLst>
          </xdr:cNvPr>
          <xdr:cNvSpPr txBox="1"/>
        </xdr:nvSpPr>
        <xdr:spPr>
          <a:xfrm>
            <a:off x="5038725" y="3884744"/>
            <a:ext cx="866775" cy="17744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000" b="1">
                <a:solidFill>
                  <a:schemeClr val="accent2">
                    <a:lumMod val="75000"/>
                  </a:schemeClr>
                </a:solidFill>
              </a:rPr>
              <a:t>ĐVT:</a:t>
            </a:r>
            <a:r>
              <a:rPr lang="en-US" sz="1000" b="1" baseline="0">
                <a:solidFill>
                  <a:schemeClr val="accent2">
                    <a:lumMod val="75000"/>
                  </a:schemeClr>
                </a:solidFill>
              </a:rPr>
              <a:t> kg/giờ</a:t>
            </a:r>
            <a:endParaRPr lang="en-US" sz="1000" b="1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ACE0A2C-DE3D-297B-312A-03F76966C237}"/>
              </a:ext>
            </a:extLst>
          </xdr:cNvPr>
          <xdr:cNvSpPr txBox="1"/>
        </xdr:nvSpPr>
        <xdr:spPr>
          <a:xfrm>
            <a:off x="2759077" y="4047980"/>
            <a:ext cx="590549" cy="15483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solidFill>
                  <a:srgbClr val="FF0000"/>
                </a:solidFill>
              </a:rPr>
              <a:t>PET</a:t>
            </a:r>
            <a:endParaRPr 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9</xdr:col>
      <xdr:colOff>257175</xdr:colOff>
      <xdr:row>35</xdr:row>
      <xdr:rowOff>104775</xdr:rowOff>
    </xdr:from>
    <xdr:to>
      <xdr:col>17</xdr:col>
      <xdr:colOff>473076</xdr:colOff>
      <xdr:row>50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E77C172-5CF8-41A6-ABF3-FE0900FCE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0.46622</cdr:x>
      <cdr:y>0.10052</cdr:y>
    </cdr:from>
    <cdr:to>
      <cdr:x>0.69568</cdr:x>
      <cdr:y>0.19476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13590C8D-F2F3-394D-2013-8C140191EF10}"/>
            </a:ext>
          </a:extLst>
        </cdr:cNvPr>
        <cdr:cNvSpPr txBox="1"/>
      </cdr:nvSpPr>
      <cdr:spPr>
        <a:xfrm xmlns:a="http://schemas.openxmlformats.org/drawingml/2006/main">
          <a:off x="2432050" y="304800"/>
          <a:ext cx="1196976" cy="2857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rgbClr val="FF0000"/>
              </a:solidFill>
            </a:rPr>
            <a:t>HDPE - PP</a:t>
          </a:r>
        </a:p>
      </cdr:txBody>
    </cdr:sp>
  </cdr:relSizeAnchor>
  <cdr:relSizeAnchor xmlns:cdr="http://schemas.openxmlformats.org/drawingml/2006/chartDrawing">
    <cdr:from>
      <cdr:x>0.81193</cdr:x>
      <cdr:y>0.1623</cdr:y>
    </cdr:from>
    <cdr:to>
      <cdr:x>0.97626</cdr:x>
      <cdr:y>0.24293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6893478-3FA4-018A-4E76-65E4C02EC153}"/>
            </a:ext>
          </a:extLst>
        </cdr:cNvPr>
        <cdr:cNvSpPr txBox="1"/>
      </cdr:nvSpPr>
      <cdr:spPr>
        <a:xfrm xmlns:a="http://schemas.openxmlformats.org/drawingml/2006/main">
          <a:off x="4235450" y="492125"/>
          <a:ext cx="857249" cy="24447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1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000" b="1" baseline="0">
              <a:solidFill>
                <a:schemeClr val="accent2">
                  <a:lumMod val="75000"/>
                </a:schemeClr>
              </a:solidFill>
            </a:rPr>
            <a:t> kg/giờ</a:t>
          </a:r>
          <a:endParaRPr lang="en-US" sz="1000" b="1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0.46622</cdr:x>
      <cdr:y>0.10052</cdr:y>
    </cdr:from>
    <cdr:to>
      <cdr:x>0.69568</cdr:x>
      <cdr:y>0.19476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13590C8D-F2F3-394D-2013-8C140191EF10}"/>
            </a:ext>
          </a:extLst>
        </cdr:cNvPr>
        <cdr:cNvSpPr txBox="1"/>
      </cdr:nvSpPr>
      <cdr:spPr>
        <a:xfrm xmlns:a="http://schemas.openxmlformats.org/drawingml/2006/main">
          <a:off x="2432050" y="304800"/>
          <a:ext cx="1196976" cy="2857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rgbClr val="FF0000"/>
              </a:solidFill>
            </a:rPr>
            <a:t>HDPE - PP</a:t>
          </a:r>
        </a:p>
      </cdr:txBody>
    </cdr:sp>
  </cdr:relSizeAnchor>
  <cdr:relSizeAnchor xmlns:cdr="http://schemas.openxmlformats.org/drawingml/2006/chartDrawing">
    <cdr:from>
      <cdr:x>0.81193</cdr:x>
      <cdr:y>0.1623</cdr:y>
    </cdr:from>
    <cdr:to>
      <cdr:x>0.97626</cdr:x>
      <cdr:y>0.24293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6893478-3FA4-018A-4E76-65E4C02EC153}"/>
            </a:ext>
          </a:extLst>
        </cdr:cNvPr>
        <cdr:cNvSpPr txBox="1"/>
      </cdr:nvSpPr>
      <cdr:spPr>
        <a:xfrm xmlns:a="http://schemas.openxmlformats.org/drawingml/2006/main">
          <a:off x="4235450" y="492125"/>
          <a:ext cx="857249" cy="24447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1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000" b="1" baseline="0">
              <a:solidFill>
                <a:schemeClr val="accent2">
                  <a:lumMod val="75000"/>
                </a:schemeClr>
              </a:solidFill>
            </a:rPr>
            <a:t> kg/giờ</a:t>
          </a:r>
          <a:endParaRPr lang="en-US" sz="1000" b="1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376143</xdr:colOff>
      <xdr:row>37</xdr:row>
      <xdr:rowOff>107575</xdr:rowOff>
    </xdr:from>
    <xdr:to>
      <xdr:col>12</xdr:col>
      <xdr:colOff>158750</xdr:colOff>
      <xdr:row>51</xdr:row>
      <xdr:rowOff>107950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39625B9E-A66C-3751-C0F7-6BAAEE6EB0EB}"/>
            </a:ext>
          </a:extLst>
        </xdr:cNvPr>
        <xdr:cNvGrpSpPr/>
      </xdr:nvGrpSpPr>
      <xdr:grpSpPr>
        <a:xfrm>
          <a:off x="376143" y="8727700"/>
          <a:ext cx="7307357" cy="2667375"/>
          <a:chOff x="376143" y="7778375"/>
          <a:chExt cx="4805458" cy="2833969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D5C9EF9-4FE2-1B1C-71BB-BB0664326260}"/>
              </a:ext>
            </a:extLst>
          </xdr:cNvPr>
          <xdr:cNvGraphicFramePr/>
        </xdr:nvGraphicFramePr>
        <xdr:xfrm>
          <a:off x="376143" y="7778375"/>
          <a:ext cx="4805458" cy="283396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B923C1E9-6876-4B50-B8BA-C8E079D94C98}"/>
              </a:ext>
            </a:extLst>
          </xdr:cNvPr>
          <xdr:cNvSpPr txBox="1"/>
        </xdr:nvSpPr>
        <xdr:spPr>
          <a:xfrm>
            <a:off x="4263092" y="8303960"/>
            <a:ext cx="835958" cy="226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50" i="1">
                <a:solidFill>
                  <a:schemeClr val="accent2">
                    <a:lumMod val="75000"/>
                  </a:schemeClr>
                </a:solidFill>
              </a:rPr>
              <a:t>ĐVT:</a:t>
            </a:r>
            <a:r>
              <a:rPr lang="en-US" sz="1050" i="1" baseline="0">
                <a:solidFill>
                  <a:schemeClr val="accent2">
                    <a:lumMod val="75000"/>
                  </a:schemeClr>
                </a:solidFill>
              </a:rPr>
              <a:t> người</a:t>
            </a:r>
            <a:endParaRPr lang="en-US" sz="1050" i="1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215900</xdr:colOff>
      <xdr:row>65</xdr:row>
      <xdr:rowOff>50800</xdr:rowOff>
    </xdr:from>
    <xdr:to>
      <xdr:col>9</xdr:col>
      <xdr:colOff>292100</xdr:colOff>
      <xdr:row>77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79081B-3038-3CE4-34AA-A171DEF4A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406400</xdr:colOff>
      <xdr:row>65</xdr:row>
      <xdr:rowOff>44450</xdr:rowOff>
    </xdr:from>
    <xdr:to>
      <xdr:col>16</xdr:col>
      <xdr:colOff>82550</xdr:colOff>
      <xdr:row>77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8814E31-D4DB-4833-B16F-D9E2CDCD1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0.78611</cdr:x>
      <cdr:y>0.07639</cdr:y>
    </cdr:from>
    <cdr:to>
      <cdr:x>0.96895</cdr:x>
      <cdr:y>0.1589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B923C1E9-6876-4B50-B8BA-C8E079D94C98}"/>
            </a:ext>
          </a:extLst>
        </cdr:cNvPr>
        <cdr:cNvSpPr txBox="1"/>
      </cdr:nvSpPr>
      <cdr:spPr>
        <a:xfrm xmlns:a="http://schemas.openxmlformats.org/drawingml/2006/main">
          <a:off x="3594100" y="209550"/>
          <a:ext cx="835958" cy="22635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50" i="1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050" i="1" baseline="0">
              <a:solidFill>
                <a:schemeClr val="accent2">
                  <a:lumMod val="75000"/>
                </a:schemeClr>
              </a:solidFill>
            </a:rPr>
            <a:t> người</a:t>
          </a:r>
          <a:endParaRPr lang="en-US" sz="1050" i="1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0.03529</cdr:x>
      <cdr:y>0.16478</cdr:y>
    </cdr:from>
    <cdr:to>
      <cdr:x>0.25546</cdr:x>
      <cdr:y>0.24585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B923C1E9-6876-4B50-B8BA-C8E079D94C98}"/>
            </a:ext>
          </a:extLst>
        </cdr:cNvPr>
        <cdr:cNvSpPr txBox="1"/>
      </cdr:nvSpPr>
      <cdr:spPr>
        <a:xfrm xmlns:a="http://schemas.openxmlformats.org/drawingml/2006/main">
          <a:off x="133352" y="378790"/>
          <a:ext cx="831858" cy="18635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i="1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000" i="1" baseline="0">
              <a:solidFill>
                <a:schemeClr val="accent2">
                  <a:lumMod val="75000"/>
                </a:schemeClr>
              </a:solidFill>
            </a:rPr>
            <a:t> người</a:t>
          </a:r>
          <a:endParaRPr lang="en-US" sz="1000" i="1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C3FA-3033-4D48-A4A5-D6E27E00D243}">
  <sheetPr>
    <tabColor rgb="FFFFFF00"/>
  </sheetPr>
  <dimension ref="A1:E12"/>
  <sheetViews>
    <sheetView workbookViewId="0">
      <pane ySplit="3" topLeftCell="A4" activePane="bottomLeft" state="frozen"/>
      <selection activeCell="C10" sqref="C10"/>
      <selection pane="bottomLeft" activeCell="F23" sqref="F23"/>
    </sheetView>
  </sheetViews>
  <sheetFormatPr defaultRowHeight="15" x14ac:dyDescent="0.25"/>
  <cols>
    <col min="1" max="1" width="6.28515625" customWidth="1"/>
    <col min="2" max="2" width="9.7109375" style="9" customWidth="1"/>
    <col min="3" max="3" width="29.28515625" customWidth="1"/>
    <col min="4" max="4" width="19.5703125" customWidth="1"/>
    <col min="5" max="5" width="48" customWidth="1"/>
  </cols>
  <sheetData>
    <row r="1" spans="1:5" ht="21" x14ac:dyDescent="0.35">
      <c r="C1" s="124" t="s">
        <v>242</v>
      </c>
    </row>
    <row r="3" spans="1:5" x14ac:dyDescent="0.25">
      <c r="A3" s="146" t="s">
        <v>14</v>
      </c>
      <c r="B3" s="147"/>
      <c r="C3" s="146" t="s">
        <v>243</v>
      </c>
      <c r="D3" s="146" t="s">
        <v>244</v>
      </c>
      <c r="E3" s="146" t="s">
        <v>245</v>
      </c>
    </row>
    <row r="4" spans="1:5" x14ac:dyDescent="0.25">
      <c r="A4" s="148">
        <v>1</v>
      </c>
      <c r="B4" s="149" t="s">
        <v>246</v>
      </c>
      <c r="C4" s="150" t="s">
        <v>248</v>
      </c>
      <c r="D4" s="151" t="s">
        <v>250</v>
      </c>
      <c r="E4" s="152"/>
    </row>
    <row r="5" spans="1:5" x14ac:dyDescent="0.25">
      <c r="A5" s="153">
        <v>2</v>
      </c>
      <c r="B5" s="154"/>
      <c r="C5" s="155" t="s">
        <v>249</v>
      </c>
      <c r="D5" s="156" t="s">
        <v>250</v>
      </c>
      <c r="E5" s="5"/>
    </row>
    <row r="6" spans="1:5" x14ac:dyDescent="0.25">
      <c r="A6" s="153">
        <v>3</v>
      </c>
      <c r="B6" s="154"/>
      <c r="C6" s="155"/>
      <c r="D6" s="156"/>
      <c r="E6" s="5"/>
    </row>
    <row r="7" spans="1:5" x14ac:dyDescent="0.25">
      <c r="A7" s="153">
        <v>4</v>
      </c>
      <c r="B7" s="154" t="s">
        <v>247</v>
      </c>
      <c r="C7" s="155" t="s">
        <v>251</v>
      </c>
      <c r="D7" s="5" t="s">
        <v>253</v>
      </c>
      <c r="E7" s="5"/>
    </row>
    <row r="8" spans="1:5" x14ac:dyDescent="0.25">
      <c r="A8" s="153">
        <v>5</v>
      </c>
      <c r="B8" s="157"/>
      <c r="C8" s="155" t="s">
        <v>252</v>
      </c>
      <c r="D8" s="156" t="s">
        <v>250</v>
      </c>
      <c r="E8" s="5"/>
    </row>
    <row r="9" spans="1:5" x14ac:dyDescent="0.25">
      <c r="A9" s="153">
        <v>6</v>
      </c>
      <c r="B9" s="154"/>
      <c r="C9" s="155" t="s">
        <v>1334</v>
      </c>
      <c r="D9" s="156" t="s">
        <v>250</v>
      </c>
      <c r="E9" s="5"/>
    </row>
    <row r="10" spans="1:5" x14ac:dyDescent="0.25">
      <c r="A10" s="153">
        <v>7</v>
      </c>
      <c r="B10" s="154"/>
      <c r="C10" s="155" t="s">
        <v>1335</v>
      </c>
      <c r="D10" s="5" t="s">
        <v>253</v>
      </c>
      <c r="E10" s="5"/>
    </row>
    <row r="11" spans="1:5" x14ac:dyDescent="0.25">
      <c r="A11" s="153"/>
      <c r="B11" s="154"/>
      <c r="C11" s="155" t="s">
        <v>707</v>
      </c>
      <c r="D11" s="5" t="s">
        <v>253</v>
      </c>
      <c r="E11" s="5"/>
    </row>
    <row r="12" spans="1:5" x14ac:dyDescent="0.25">
      <c r="A12" s="158"/>
      <c r="B12" s="159"/>
      <c r="C12" s="6"/>
      <c r="D12" s="6"/>
      <c r="E12" s="6"/>
    </row>
  </sheetData>
  <autoFilter ref="A3:E12" xr:uid="{FE5C0EC3-84AA-41DA-8372-AF1874783E14}"/>
  <hyperlinks>
    <hyperlink ref="C4" location="'01. CP Nhân sự'!A1" display="01. CP Nhân sự" xr:uid="{FCED3D95-388D-4B29-B781-90C60D6AEF05}"/>
    <hyperlink ref="C5" location="'02. ĐỊNH BIÊN'!A1" display="02. ĐỊNH BIÊN" xr:uid="{9A046E48-5573-42AA-8FD7-9870DE35AD87}"/>
    <hyperlink ref="C7" location="'03. Chart'!A1" display="03. Chart" xr:uid="{8E4C34C8-B7A3-4FF8-A102-72387274BAA0}"/>
    <hyperlink ref="C8" location="'04. CP nhân sự thuê ngoài'!A1" display="04. CP nhân sự thuê ngoài" xr:uid="{F41BDB5E-F535-4FF9-98FB-C99607977304}"/>
    <hyperlink ref="C11" location="'Chart nghỉ việc'!A1" display="Chart nghỉ việc" xr:uid="{8DCE4E57-95D2-477A-B9A3-9A7840432042}"/>
    <hyperlink ref="C9" location="'05. Giờ công'!A1" display="05. Giờ công" xr:uid="{8223E60E-A5E7-4867-89CC-4FC853F6A3A2}"/>
    <hyperlink ref="C10" location="'06. Chart giờ công'!A1" display="06. Chart giờ công" xr:uid="{B41C5D30-E05E-4695-BA81-96A6CC1B9F11}"/>
  </hyperlink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56F1-EBF0-45F7-8115-ADCAF8E1B5AE}">
  <dimension ref="A1:T2396"/>
  <sheetViews>
    <sheetView workbookViewId="0">
      <pane xSplit="9" ySplit="2" topLeftCell="K2382" activePane="bottomRight" state="frozen"/>
      <selection pane="topRight" activeCell="H1" sqref="H1"/>
      <selection pane="bottomLeft" activeCell="A2" sqref="A2"/>
      <selection pane="bottomRight" activeCell="F2398" sqref="F2398"/>
    </sheetView>
  </sheetViews>
  <sheetFormatPr defaultColWidth="8.7109375" defaultRowHeight="12.75" x14ac:dyDescent="0.2"/>
  <cols>
    <col min="1" max="1" width="4.42578125" style="169" customWidth="1"/>
    <col min="2" max="2" width="19" style="167" customWidth="1"/>
    <col min="3" max="3" width="17.42578125" style="167" bestFit="1" customWidth="1"/>
    <col min="4" max="4" width="11.28515625" style="169" bestFit="1" customWidth="1"/>
    <col min="5" max="5" width="11.7109375" style="169" customWidth="1"/>
    <col min="6" max="6" width="11.7109375" style="169" bestFit="1" customWidth="1"/>
    <col min="7" max="7" width="19.42578125" style="169" bestFit="1" customWidth="1"/>
    <col min="8" max="8" width="10.7109375" style="169" hidden="1" customWidth="1"/>
    <col min="9" max="9" width="19.28515625" style="169" bestFit="1" customWidth="1"/>
    <col min="10" max="10" width="35" style="169" customWidth="1"/>
    <col min="11" max="11" width="23.42578125" style="169" customWidth="1"/>
    <col min="12" max="12" width="5.7109375" style="169" customWidth="1"/>
    <col min="13" max="13" width="6.42578125" style="169" customWidth="1"/>
    <col min="14" max="14" width="15.28515625" style="178" customWidth="1"/>
    <col min="15" max="15" width="13.28515625" style="169" customWidth="1"/>
    <col min="16" max="16" width="5.28515625" style="169" customWidth="1"/>
    <col min="17" max="17" width="9.42578125" style="169" customWidth="1"/>
    <col min="18" max="16384" width="8.7109375" style="169"/>
  </cols>
  <sheetData>
    <row r="1" spans="2:20" x14ac:dyDescent="0.2">
      <c r="I1" s="375"/>
      <c r="K1" s="375"/>
      <c r="N1" s="170">
        <f>SUBTOTAL(9,N3:N9980)</f>
        <v>173250515310</v>
      </c>
    </row>
    <row r="2" spans="2:20" ht="23.65" customHeight="1" x14ac:dyDescent="0.2">
      <c r="B2" s="168" t="s">
        <v>11</v>
      </c>
      <c r="C2" s="168" t="s">
        <v>628</v>
      </c>
      <c r="D2" s="171" t="s">
        <v>256</v>
      </c>
      <c r="E2" s="171" t="s">
        <v>257</v>
      </c>
      <c r="F2" s="171" t="s">
        <v>258</v>
      </c>
      <c r="G2" s="171" t="s">
        <v>259</v>
      </c>
      <c r="H2" s="171" t="s">
        <v>260</v>
      </c>
      <c r="I2" s="171" t="s">
        <v>261</v>
      </c>
      <c r="J2" s="171" t="s">
        <v>262</v>
      </c>
      <c r="K2" s="171" t="s">
        <v>263</v>
      </c>
      <c r="L2" s="171" t="s">
        <v>264</v>
      </c>
      <c r="M2" s="171" t="s">
        <v>265</v>
      </c>
      <c r="N2" s="176" t="s">
        <v>266</v>
      </c>
      <c r="O2" s="171" t="s">
        <v>267</v>
      </c>
      <c r="P2" s="172" t="s">
        <v>268</v>
      </c>
      <c r="Q2" s="171" t="s">
        <v>269</v>
      </c>
      <c r="R2" s="171" t="s">
        <v>270</v>
      </c>
      <c r="S2" s="171" t="s">
        <v>271</v>
      </c>
      <c r="T2" s="171" t="s">
        <v>272</v>
      </c>
    </row>
    <row r="3" spans="2:20" x14ac:dyDescent="0.2">
      <c r="B3" s="168" t="s">
        <v>0</v>
      </c>
      <c r="C3" s="168" t="s">
        <v>22</v>
      </c>
      <c r="D3" s="173">
        <v>45716</v>
      </c>
      <c r="E3" s="174" t="s">
        <v>273</v>
      </c>
      <c r="F3" s="174" t="s">
        <v>274</v>
      </c>
      <c r="G3" s="174" t="s">
        <v>275</v>
      </c>
      <c r="H3" s="174" t="s">
        <v>276</v>
      </c>
      <c r="I3" s="174" t="s">
        <v>277</v>
      </c>
      <c r="J3" s="174" t="s">
        <v>278</v>
      </c>
      <c r="K3" s="174" t="s">
        <v>279</v>
      </c>
      <c r="L3" s="174" t="s">
        <v>280</v>
      </c>
      <c r="M3" s="174" t="s">
        <v>281</v>
      </c>
      <c r="N3" s="177">
        <v>1178412592</v>
      </c>
      <c r="O3" s="174" t="s">
        <v>282</v>
      </c>
      <c r="P3" s="174" t="s">
        <v>283</v>
      </c>
      <c r="Q3" s="174" t="s">
        <v>284</v>
      </c>
      <c r="R3" s="174" t="s">
        <v>283</v>
      </c>
      <c r="S3" s="174" t="s">
        <v>283</v>
      </c>
      <c r="T3" s="175">
        <v>0</v>
      </c>
    </row>
    <row r="4" spans="2:20" x14ac:dyDescent="0.2">
      <c r="B4" s="168" t="s">
        <v>0</v>
      </c>
      <c r="C4" s="168" t="s">
        <v>22</v>
      </c>
      <c r="D4" s="173">
        <v>45716</v>
      </c>
      <c r="E4" s="174" t="s">
        <v>273</v>
      </c>
      <c r="F4" s="174" t="s">
        <v>285</v>
      </c>
      <c r="G4" s="174" t="s">
        <v>286</v>
      </c>
      <c r="H4" s="174" t="s">
        <v>276</v>
      </c>
      <c r="I4" s="174" t="s">
        <v>277</v>
      </c>
      <c r="J4" s="174" t="s">
        <v>278</v>
      </c>
      <c r="K4" s="174" t="s">
        <v>279</v>
      </c>
      <c r="L4" s="174" t="s">
        <v>280</v>
      </c>
      <c r="M4" s="174" t="s">
        <v>281</v>
      </c>
      <c r="N4" s="177">
        <v>10777046</v>
      </c>
      <c r="O4" s="174" t="s">
        <v>282</v>
      </c>
      <c r="P4" s="174" t="s">
        <v>283</v>
      </c>
      <c r="Q4" s="174" t="s">
        <v>284</v>
      </c>
      <c r="R4" s="174" t="s">
        <v>283</v>
      </c>
      <c r="S4" s="174" t="s">
        <v>283</v>
      </c>
      <c r="T4" s="175">
        <v>0</v>
      </c>
    </row>
    <row r="5" spans="2:20" x14ac:dyDescent="0.2">
      <c r="B5" s="168" t="s">
        <v>0</v>
      </c>
      <c r="C5" s="168" t="s">
        <v>22</v>
      </c>
      <c r="D5" s="173">
        <v>45716</v>
      </c>
      <c r="E5" s="174" t="s">
        <v>287</v>
      </c>
      <c r="F5" s="174" t="s">
        <v>285</v>
      </c>
      <c r="G5" s="174" t="s">
        <v>286</v>
      </c>
      <c r="H5" s="174" t="s">
        <v>276</v>
      </c>
      <c r="I5" s="174" t="s">
        <v>277</v>
      </c>
      <c r="J5" s="174" t="s">
        <v>288</v>
      </c>
      <c r="K5" s="174" t="s">
        <v>279</v>
      </c>
      <c r="L5" s="174" t="s">
        <v>280</v>
      </c>
      <c r="M5" s="174" t="s">
        <v>281</v>
      </c>
      <c r="N5" s="177">
        <v>93775083</v>
      </c>
      <c r="O5" s="174" t="s">
        <v>289</v>
      </c>
      <c r="P5" s="174" t="s">
        <v>283</v>
      </c>
      <c r="Q5" s="174" t="s">
        <v>284</v>
      </c>
      <c r="R5" s="174" t="s">
        <v>283</v>
      </c>
      <c r="S5" s="174" t="s">
        <v>283</v>
      </c>
      <c r="T5" s="175">
        <v>0</v>
      </c>
    </row>
    <row r="6" spans="2:20" x14ac:dyDescent="0.2">
      <c r="B6" s="168" t="s">
        <v>0</v>
      </c>
      <c r="C6" s="168" t="s">
        <v>24</v>
      </c>
      <c r="D6" s="173">
        <v>45716</v>
      </c>
      <c r="E6" s="174" t="s">
        <v>273</v>
      </c>
      <c r="F6" s="174" t="s">
        <v>290</v>
      </c>
      <c r="G6" s="174" t="s">
        <v>291</v>
      </c>
      <c r="H6" s="174" t="s">
        <v>276</v>
      </c>
      <c r="I6" s="174" t="s">
        <v>277</v>
      </c>
      <c r="J6" s="174" t="s">
        <v>278</v>
      </c>
      <c r="K6" s="174" t="s">
        <v>279</v>
      </c>
      <c r="L6" s="174" t="s">
        <v>280</v>
      </c>
      <c r="M6" s="174" t="s">
        <v>281</v>
      </c>
      <c r="N6" s="177">
        <v>9720000</v>
      </c>
      <c r="O6" s="174" t="s">
        <v>282</v>
      </c>
      <c r="P6" s="174" t="s">
        <v>283</v>
      </c>
      <c r="Q6" s="174" t="s">
        <v>284</v>
      </c>
      <c r="R6" s="174" t="s">
        <v>283</v>
      </c>
      <c r="S6" s="174" t="s">
        <v>283</v>
      </c>
      <c r="T6" s="175">
        <v>0</v>
      </c>
    </row>
    <row r="7" spans="2:20" x14ac:dyDescent="0.2">
      <c r="B7" s="168" t="s">
        <v>0</v>
      </c>
      <c r="C7" s="168" t="s">
        <v>24</v>
      </c>
      <c r="D7" s="173">
        <v>45716</v>
      </c>
      <c r="E7" s="174" t="s">
        <v>287</v>
      </c>
      <c r="F7" s="174" t="s">
        <v>292</v>
      </c>
      <c r="G7" s="174" t="s">
        <v>77</v>
      </c>
      <c r="H7" s="174" t="s">
        <v>276</v>
      </c>
      <c r="I7" s="174" t="s">
        <v>277</v>
      </c>
      <c r="J7" s="174" t="s">
        <v>293</v>
      </c>
      <c r="K7" s="174" t="s">
        <v>279</v>
      </c>
      <c r="L7" s="174" t="s">
        <v>280</v>
      </c>
      <c r="M7" s="174" t="s">
        <v>281</v>
      </c>
      <c r="N7" s="177">
        <v>86272326</v>
      </c>
      <c r="O7" s="174" t="s">
        <v>289</v>
      </c>
      <c r="P7" s="174" t="s">
        <v>283</v>
      </c>
      <c r="Q7" s="174" t="s">
        <v>284</v>
      </c>
      <c r="R7" s="174" t="s">
        <v>283</v>
      </c>
      <c r="S7" s="174" t="s">
        <v>283</v>
      </c>
      <c r="T7" s="175">
        <v>0</v>
      </c>
    </row>
    <row r="8" spans="2:20" x14ac:dyDescent="0.2">
      <c r="B8" s="168" t="s">
        <v>0</v>
      </c>
      <c r="C8" s="168" t="s">
        <v>170</v>
      </c>
      <c r="D8" s="173">
        <v>45716</v>
      </c>
      <c r="E8" s="174" t="s">
        <v>294</v>
      </c>
      <c r="F8" s="174" t="s">
        <v>295</v>
      </c>
      <c r="G8" s="174" t="s">
        <v>296</v>
      </c>
      <c r="H8" s="174" t="s">
        <v>276</v>
      </c>
      <c r="I8" s="174" t="s">
        <v>277</v>
      </c>
      <c r="J8" s="174" t="s">
        <v>297</v>
      </c>
      <c r="K8" s="174" t="s">
        <v>279</v>
      </c>
      <c r="L8" s="174" t="s">
        <v>280</v>
      </c>
      <c r="M8" s="174" t="s">
        <v>281</v>
      </c>
      <c r="N8" s="177">
        <v>112158010</v>
      </c>
      <c r="O8" s="174" t="s">
        <v>298</v>
      </c>
      <c r="P8" s="174" t="s">
        <v>283</v>
      </c>
      <c r="Q8" s="174" t="s">
        <v>284</v>
      </c>
      <c r="R8" s="174" t="s">
        <v>283</v>
      </c>
      <c r="S8" s="174" t="s">
        <v>283</v>
      </c>
      <c r="T8" s="175">
        <v>0</v>
      </c>
    </row>
    <row r="9" spans="2:20" x14ac:dyDescent="0.2">
      <c r="B9" s="168" t="s">
        <v>9</v>
      </c>
      <c r="C9" s="168" t="s">
        <v>222</v>
      </c>
      <c r="D9" s="173">
        <v>45694</v>
      </c>
      <c r="E9" s="174" t="s">
        <v>299</v>
      </c>
      <c r="F9" s="174" t="s">
        <v>300</v>
      </c>
      <c r="G9" s="174" t="s">
        <v>222</v>
      </c>
      <c r="H9" s="174" t="s">
        <v>301</v>
      </c>
      <c r="I9" s="174" t="s">
        <v>302</v>
      </c>
      <c r="J9" s="174" t="s">
        <v>303</v>
      </c>
      <c r="K9" s="174" t="s">
        <v>304</v>
      </c>
      <c r="L9" s="174" t="s">
        <v>280</v>
      </c>
      <c r="M9" s="174" t="s">
        <v>281</v>
      </c>
      <c r="N9" s="177">
        <v>400000</v>
      </c>
      <c r="O9" s="174" t="s">
        <v>305</v>
      </c>
      <c r="P9" s="174" t="s">
        <v>283</v>
      </c>
      <c r="Q9" s="174" t="s">
        <v>306</v>
      </c>
      <c r="R9" s="174" t="s">
        <v>283</v>
      </c>
      <c r="S9" s="174" t="s">
        <v>283</v>
      </c>
      <c r="T9" s="175">
        <v>0</v>
      </c>
    </row>
    <row r="10" spans="2:20" x14ac:dyDescent="0.2">
      <c r="B10" s="168" t="s">
        <v>9</v>
      </c>
      <c r="C10" s="168" t="s">
        <v>222</v>
      </c>
      <c r="D10" s="173">
        <v>45694</v>
      </c>
      <c r="E10" s="174" t="s">
        <v>299</v>
      </c>
      <c r="F10" s="174" t="s">
        <v>300</v>
      </c>
      <c r="G10" s="174" t="s">
        <v>222</v>
      </c>
      <c r="H10" s="174" t="s">
        <v>301</v>
      </c>
      <c r="I10" s="174" t="s">
        <v>302</v>
      </c>
      <c r="J10" s="174" t="s">
        <v>307</v>
      </c>
      <c r="K10" s="174" t="s">
        <v>304</v>
      </c>
      <c r="L10" s="174" t="s">
        <v>280</v>
      </c>
      <c r="M10" s="174" t="s">
        <v>281</v>
      </c>
      <c r="N10" s="177">
        <v>200000</v>
      </c>
      <c r="O10" s="174" t="s">
        <v>305</v>
      </c>
      <c r="P10" s="174" t="s">
        <v>283</v>
      </c>
      <c r="Q10" s="174" t="s">
        <v>306</v>
      </c>
      <c r="R10" s="174" t="s">
        <v>283</v>
      </c>
      <c r="S10" s="174" t="s">
        <v>283</v>
      </c>
      <c r="T10" s="175">
        <v>0</v>
      </c>
    </row>
    <row r="11" spans="2:20" x14ac:dyDescent="0.2">
      <c r="B11" s="168" t="s">
        <v>9</v>
      </c>
      <c r="C11" s="168" t="s">
        <v>222</v>
      </c>
      <c r="D11" s="173">
        <v>45694</v>
      </c>
      <c r="E11" s="174" t="s">
        <v>299</v>
      </c>
      <c r="F11" s="174" t="s">
        <v>300</v>
      </c>
      <c r="G11" s="174" t="s">
        <v>222</v>
      </c>
      <c r="H11" s="174" t="s">
        <v>301</v>
      </c>
      <c r="I11" s="174" t="s">
        <v>302</v>
      </c>
      <c r="J11" s="174" t="s">
        <v>308</v>
      </c>
      <c r="K11" s="174" t="s">
        <v>304</v>
      </c>
      <c r="L11" s="174" t="s">
        <v>280</v>
      </c>
      <c r="M11" s="174" t="s">
        <v>281</v>
      </c>
      <c r="N11" s="177">
        <v>200000</v>
      </c>
      <c r="O11" s="174" t="s">
        <v>305</v>
      </c>
      <c r="P11" s="174" t="s">
        <v>283</v>
      </c>
      <c r="Q11" s="174" t="s">
        <v>306</v>
      </c>
      <c r="R11" s="174" t="s">
        <v>283</v>
      </c>
      <c r="S11" s="174" t="s">
        <v>283</v>
      </c>
      <c r="T11" s="175">
        <v>0</v>
      </c>
    </row>
    <row r="12" spans="2:20" x14ac:dyDescent="0.2">
      <c r="B12" s="168" t="s">
        <v>9</v>
      </c>
      <c r="C12" s="168" t="s">
        <v>222</v>
      </c>
      <c r="D12" s="173">
        <v>45694</v>
      </c>
      <c r="E12" s="174" t="s">
        <v>299</v>
      </c>
      <c r="F12" s="174" t="s">
        <v>300</v>
      </c>
      <c r="G12" s="174" t="s">
        <v>222</v>
      </c>
      <c r="H12" s="174" t="s">
        <v>301</v>
      </c>
      <c r="I12" s="174" t="s">
        <v>302</v>
      </c>
      <c r="J12" s="174" t="s">
        <v>309</v>
      </c>
      <c r="K12" s="174" t="s">
        <v>304</v>
      </c>
      <c r="L12" s="174" t="s">
        <v>280</v>
      </c>
      <c r="M12" s="174" t="s">
        <v>281</v>
      </c>
      <c r="N12" s="177">
        <v>200000</v>
      </c>
      <c r="O12" s="174" t="s">
        <v>305</v>
      </c>
      <c r="P12" s="174" t="s">
        <v>283</v>
      </c>
      <c r="Q12" s="174" t="s">
        <v>306</v>
      </c>
      <c r="R12" s="174" t="s">
        <v>283</v>
      </c>
      <c r="S12" s="174" t="s">
        <v>283</v>
      </c>
      <c r="T12" s="175">
        <v>0</v>
      </c>
    </row>
    <row r="13" spans="2:20" x14ac:dyDescent="0.2">
      <c r="B13" s="168" t="s">
        <v>9</v>
      </c>
      <c r="C13" s="168" t="s">
        <v>222</v>
      </c>
      <c r="D13" s="173">
        <v>45694</v>
      </c>
      <c r="E13" s="174" t="s">
        <v>299</v>
      </c>
      <c r="F13" s="174" t="s">
        <v>300</v>
      </c>
      <c r="G13" s="174" t="s">
        <v>222</v>
      </c>
      <c r="H13" s="174" t="s">
        <v>301</v>
      </c>
      <c r="I13" s="174" t="s">
        <v>302</v>
      </c>
      <c r="J13" s="174" t="s">
        <v>310</v>
      </c>
      <c r="K13" s="174" t="s">
        <v>304</v>
      </c>
      <c r="L13" s="174" t="s">
        <v>280</v>
      </c>
      <c r="M13" s="174" t="s">
        <v>281</v>
      </c>
      <c r="N13" s="177">
        <v>1400000</v>
      </c>
      <c r="O13" s="174" t="s">
        <v>305</v>
      </c>
      <c r="P13" s="174" t="s">
        <v>283</v>
      </c>
      <c r="Q13" s="174" t="s">
        <v>306</v>
      </c>
      <c r="R13" s="174" t="s">
        <v>283</v>
      </c>
      <c r="S13" s="174" t="s">
        <v>283</v>
      </c>
      <c r="T13" s="175">
        <v>0</v>
      </c>
    </row>
    <row r="14" spans="2:20" x14ac:dyDescent="0.2">
      <c r="B14" s="168" t="s">
        <v>9</v>
      </c>
      <c r="C14" s="168" t="s">
        <v>222</v>
      </c>
      <c r="D14" s="173">
        <v>45694</v>
      </c>
      <c r="E14" s="174" t="s">
        <v>299</v>
      </c>
      <c r="F14" s="174" t="s">
        <v>300</v>
      </c>
      <c r="G14" s="174" t="s">
        <v>222</v>
      </c>
      <c r="H14" s="174" t="s">
        <v>301</v>
      </c>
      <c r="I14" s="174" t="s">
        <v>302</v>
      </c>
      <c r="J14" s="174" t="s">
        <v>311</v>
      </c>
      <c r="K14" s="174" t="s">
        <v>304</v>
      </c>
      <c r="L14" s="174" t="s">
        <v>280</v>
      </c>
      <c r="M14" s="174" t="s">
        <v>281</v>
      </c>
      <c r="N14" s="177">
        <v>200000</v>
      </c>
      <c r="O14" s="174" t="s">
        <v>305</v>
      </c>
      <c r="P14" s="174" t="s">
        <v>283</v>
      </c>
      <c r="Q14" s="174" t="s">
        <v>306</v>
      </c>
      <c r="R14" s="174" t="s">
        <v>283</v>
      </c>
      <c r="S14" s="174" t="s">
        <v>283</v>
      </c>
      <c r="T14" s="175">
        <v>0</v>
      </c>
    </row>
    <row r="15" spans="2:20" x14ac:dyDescent="0.2">
      <c r="B15" s="168" t="s">
        <v>9</v>
      </c>
      <c r="C15" s="168" t="s">
        <v>222</v>
      </c>
      <c r="D15" s="173">
        <v>45694</v>
      </c>
      <c r="E15" s="174" t="s">
        <v>299</v>
      </c>
      <c r="F15" s="174" t="s">
        <v>300</v>
      </c>
      <c r="G15" s="174" t="s">
        <v>222</v>
      </c>
      <c r="H15" s="174" t="s">
        <v>301</v>
      </c>
      <c r="I15" s="174" t="s">
        <v>302</v>
      </c>
      <c r="J15" s="174" t="s">
        <v>312</v>
      </c>
      <c r="K15" s="174" t="s">
        <v>304</v>
      </c>
      <c r="L15" s="174" t="s">
        <v>280</v>
      </c>
      <c r="M15" s="174" t="s">
        <v>281</v>
      </c>
      <c r="N15" s="177">
        <v>200000</v>
      </c>
      <c r="O15" s="174" t="s">
        <v>305</v>
      </c>
      <c r="P15" s="174" t="s">
        <v>283</v>
      </c>
      <c r="Q15" s="174" t="s">
        <v>306</v>
      </c>
      <c r="R15" s="174" t="s">
        <v>283</v>
      </c>
      <c r="S15" s="174" t="s">
        <v>283</v>
      </c>
      <c r="T15" s="175">
        <v>0</v>
      </c>
    </row>
    <row r="16" spans="2:20" x14ac:dyDescent="0.2">
      <c r="B16" s="168" t="s">
        <v>9</v>
      </c>
      <c r="C16" s="168" t="s">
        <v>222</v>
      </c>
      <c r="D16" s="173">
        <v>45694</v>
      </c>
      <c r="E16" s="174" t="s">
        <v>299</v>
      </c>
      <c r="F16" s="174" t="s">
        <v>300</v>
      </c>
      <c r="G16" s="174" t="s">
        <v>222</v>
      </c>
      <c r="H16" s="174" t="s">
        <v>301</v>
      </c>
      <c r="I16" s="174" t="s">
        <v>302</v>
      </c>
      <c r="J16" s="174" t="s">
        <v>313</v>
      </c>
      <c r="K16" s="174" t="s">
        <v>304</v>
      </c>
      <c r="L16" s="174" t="s">
        <v>280</v>
      </c>
      <c r="M16" s="174" t="s">
        <v>281</v>
      </c>
      <c r="N16" s="177">
        <v>200000</v>
      </c>
      <c r="O16" s="174" t="s">
        <v>305</v>
      </c>
      <c r="P16" s="174" t="s">
        <v>283</v>
      </c>
      <c r="Q16" s="174" t="s">
        <v>306</v>
      </c>
      <c r="R16" s="174" t="s">
        <v>283</v>
      </c>
      <c r="S16" s="174" t="s">
        <v>283</v>
      </c>
      <c r="T16" s="175">
        <v>0</v>
      </c>
    </row>
    <row r="17" spans="2:20" x14ac:dyDescent="0.2">
      <c r="B17" s="168" t="s">
        <v>9</v>
      </c>
      <c r="C17" s="168" t="s">
        <v>222</v>
      </c>
      <c r="D17" s="173">
        <v>45694</v>
      </c>
      <c r="E17" s="174" t="s">
        <v>299</v>
      </c>
      <c r="F17" s="174" t="s">
        <v>300</v>
      </c>
      <c r="G17" s="174" t="s">
        <v>222</v>
      </c>
      <c r="H17" s="174" t="s">
        <v>301</v>
      </c>
      <c r="I17" s="174" t="s">
        <v>302</v>
      </c>
      <c r="J17" s="174" t="s">
        <v>314</v>
      </c>
      <c r="K17" s="174" t="s">
        <v>304</v>
      </c>
      <c r="L17" s="174" t="s">
        <v>280</v>
      </c>
      <c r="M17" s="174" t="s">
        <v>281</v>
      </c>
      <c r="N17" s="177">
        <v>200000</v>
      </c>
      <c r="O17" s="174" t="s">
        <v>305</v>
      </c>
      <c r="P17" s="174" t="s">
        <v>283</v>
      </c>
      <c r="Q17" s="174" t="s">
        <v>306</v>
      </c>
      <c r="R17" s="174" t="s">
        <v>283</v>
      </c>
      <c r="S17" s="174" t="s">
        <v>283</v>
      </c>
      <c r="T17" s="175">
        <v>0</v>
      </c>
    </row>
    <row r="18" spans="2:20" x14ac:dyDescent="0.2">
      <c r="B18" s="168" t="s">
        <v>9</v>
      </c>
      <c r="C18" s="168" t="s">
        <v>222</v>
      </c>
      <c r="D18" s="173">
        <v>45694</v>
      </c>
      <c r="E18" s="174" t="s">
        <v>299</v>
      </c>
      <c r="F18" s="174" t="s">
        <v>300</v>
      </c>
      <c r="G18" s="174" t="s">
        <v>222</v>
      </c>
      <c r="H18" s="174" t="s">
        <v>301</v>
      </c>
      <c r="I18" s="174" t="s">
        <v>302</v>
      </c>
      <c r="J18" s="174" t="s">
        <v>315</v>
      </c>
      <c r="K18" s="174" t="s">
        <v>304</v>
      </c>
      <c r="L18" s="174" t="s">
        <v>280</v>
      </c>
      <c r="M18" s="174" t="s">
        <v>281</v>
      </c>
      <c r="N18" s="177">
        <v>200000</v>
      </c>
      <c r="O18" s="174" t="s">
        <v>305</v>
      </c>
      <c r="P18" s="174" t="s">
        <v>283</v>
      </c>
      <c r="Q18" s="174" t="s">
        <v>306</v>
      </c>
      <c r="R18" s="174" t="s">
        <v>283</v>
      </c>
      <c r="S18" s="174" t="s">
        <v>283</v>
      </c>
      <c r="T18" s="175">
        <v>0</v>
      </c>
    </row>
    <row r="19" spans="2:20" x14ac:dyDescent="0.2">
      <c r="B19" s="168" t="s">
        <v>9</v>
      </c>
      <c r="C19" s="168" t="s">
        <v>222</v>
      </c>
      <c r="D19" s="173">
        <v>45694</v>
      </c>
      <c r="E19" s="174" t="s">
        <v>299</v>
      </c>
      <c r="F19" s="174" t="s">
        <v>300</v>
      </c>
      <c r="G19" s="174" t="s">
        <v>222</v>
      </c>
      <c r="H19" s="174" t="s">
        <v>301</v>
      </c>
      <c r="I19" s="174" t="s">
        <v>302</v>
      </c>
      <c r="J19" s="174" t="s">
        <v>316</v>
      </c>
      <c r="K19" s="174" t="s">
        <v>304</v>
      </c>
      <c r="L19" s="174" t="s">
        <v>280</v>
      </c>
      <c r="M19" s="174" t="s">
        <v>281</v>
      </c>
      <c r="N19" s="177">
        <v>200000</v>
      </c>
      <c r="O19" s="174" t="s">
        <v>305</v>
      </c>
      <c r="P19" s="174" t="s">
        <v>283</v>
      </c>
      <c r="Q19" s="174" t="s">
        <v>306</v>
      </c>
      <c r="R19" s="174" t="s">
        <v>283</v>
      </c>
      <c r="S19" s="174" t="s">
        <v>283</v>
      </c>
      <c r="T19" s="175">
        <v>0</v>
      </c>
    </row>
    <row r="20" spans="2:20" x14ac:dyDescent="0.2">
      <c r="B20" s="168" t="s">
        <v>9</v>
      </c>
      <c r="C20" s="168" t="s">
        <v>222</v>
      </c>
      <c r="D20" s="173">
        <v>45694</v>
      </c>
      <c r="E20" s="174" t="s">
        <v>299</v>
      </c>
      <c r="F20" s="174" t="s">
        <v>300</v>
      </c>
      <c r="G20" s="174" t="s">
        <v>222</v>
      </c>
      <c r="H20" s="174" t="s">
        <v>301</v>
      </c>
      <c r="I20" s="174" t="s">
        <v>302</v>
      </c>
      <c r="J20" s="174" t="s">
        <v>317</v>
      </c>
      <c r="K20" s="174" t="s">
        <v>304</v>
      </c>
      <c r="L20" s="174" t="s">
        <v>280</v>
      </c>
      <c r="M20" s="174" t="s">
        <v>281</v>
      </c>
      <c r="N20" s="177">
        <v>200000</v>
      </c>
      <c r="O20" s="174" t="s">
        <v>305</v>
      </c>
      <c r="P20" s="174" t="s">
        <v>283</v>
      </c>
      <c r="Q20" s="174" t="s">
        <v>306</v>
      </c>
      <c r="R20" s="174" t="s">
        <v>283</v>
      </c>
      <c r="S20" s="174" t="s">
        <v>283</v>
      </c>
      <c r="T20" s="175">
        <v>0</v>
      </c>
    </row>
    <row r="21" spans="2:20" x14ac:dyDescent="0.2">
      <c r="B21" s="168" t="s">
        <v>9</v>
      </c>
      <c r="C21" s="168" t="s">
        <v>222</v>
      </c>
      <c r="D21" s="173">
        <v>45694</v>
      </c>
      <c r="E21" s="174" t="s">
        <v>299</v>
      </c>
      <c r="F21" s="174" t="s">
        <v>300</v>
      </c>
      <c r="G21" s="174" t="s">
        <v>222</v>
      </c>
      <c r="H21" s="174" t="s">
        <v>301</v>
      </c>
      <c r="I21" s="174" t="s">
        <v>302</v>
      </c>
      <c r="J21" s="174" t="s">
        <v>318</v>
      </c>
      <c r="K21" s="174" t="s">
        <v>304</v>
      </c>
      <c r="L21" s="174" t="s">
        <v>280</v>
      </c>
      <c r="M21" s="174" t="s">
        <v>281</v>
      </c>
      <c r="N21" s="177">
        <v>200000</v>
      </c>
      <c r="O21" s="174" t="s">
        <v>305</v>
      </c>
      <c r="P21" s="174" t="s">
        <v>283</v>
      </c>
      <c r="Q21" s="174" t="s">
        <v>306</v>
      </c>
      <c r="R21" s="174" t="s">
        <v>283</v>
      </c>
      <c r="S21" s="174" t="s">
        <v>283</v>
      </c>
      <c r="T21" s="175">
        <v>0</v>
      </c>
    </row>
    <row r="22" spans="2:20" x14ac:dyDescent="0.2">
      <c r="B22" s="168" t="s">
        <v>5</v>
      </c>
      <c r="C22" s="168" t="s">
        <v>222</v>
      </c>
      <c r="D22" s="173">
        <v>45707</v>
      </c>
      <c r="E22" s="174" t="s">
        <v>319</v>
      </c>
      <c r="F22" s="174" t="s">
        <v>300</v>
      </c>
      <c r="G22" s="174" t="s">
        <v>222</v>
      </c>
      <c r="H22" s="174" t="s">
        <v>320</v>
      </c>
      <c r="I22" s="174" t="s">
        <v>321</v>
      </c>
      <c r="J22" s="174" t="s">
        <v>322</v>
      </c>
      <c r="K22" s="174" t="s">
        <v>323</v>
      </c>
      <c r="L22" s="174" t="s">
        <v>280</v>
      </c>
      <c r="M22" s="174" t="s">
        <v>281</v>
      </c>
      <c r="N22" s="177">
        <v>2981191</v>
      </c>
      <c r="O22" s="174" t="s">
        <v>324</v>
      </c>
      <c r="P22" s="174" t="s">
        <v>283</v>
      </c>
      <c r="Q22" s="174" t="s">
        <v>325</v>
      </c>
      <c r="R22" s="174" t="s">
        <v>283</v>
      </c>
      <c r="S22" s="174" t="s">
        <v>283</v>
      </c>
      <c r="T22" s="175">
        <v>0</v>
      </c>
    </row>
    <row r="23" spans="2:20" x14ac:dyDescent="0.2">
      <c r="B23" s="168" t="s">
        <v>9</v>
      </c>
      <c r="C23" s="168" t="s">
        <v>22</v>
      </c>
      <c r="D23" s="173">
        <v>45715</v>
      </c>
      <c r="E23" s="174" t="s">
        <v>326</v>
      </c>
      <c r="F23" s="174" t="s">
        <v>274</v>
      </c>
      <c r="G23" s="174" t="s">
        <v>275</v>
      </c>
      <c r="H23" s="174" t="s">
        <v>301</v>
      </c>
      <c r="I23" s="174" t="s">
        <v>302</v>
      </c>
      <c r="J23" s="174" t="s">
        <v>327</v>
      </c>
      <c r="K23" s="174" t="s">
        <v>328</v>
      </c>
      <c r="L23" s="174" t="s">
        <v>280</v>
      </c>
      <c r="M23" s="174" t="s">
        <v>281</v>
      </c>
      <c r="N23" s="177">
        <v>75016430</v>
      </c>
      <c r="O23" s="174" t="s">
        <v>329</v>
      </c>
      <c r="P23" s="174" t="s">
        <v>283</v>
      </c>
      <c r="Q23" s="174" t="s">
        <v>306</v>
      </c>
      <c r="R23" s="174" t="s">
        <v>283</v>
      </c>
      <c r="S23" s="174" t="s">
        <v>283</v>
      </c>
      <c r="T23" s="175">
        <v>0</v>
      </c>
    </row>
    <row r="24" spans="2:20" x14ac:dyDescent="0.2">
      <c r="B24" s="168" t="s">
        <v>9</v>
      </c>
      <c r="C24" s="168" t="s">
        <v>222</v>
      </c>
      <c r="D24" s="173">
        <v>45715</v>
      </c>
      <c r="E24" s="174" t="s">
        <v>330</v>
      </c>
      <c r="F24" s="174" t="s">
        <v>300</v>
      </c>
      <c r="G24" s="174" t="s">
        <v>222</v>
      </c>
      <c r="H24" s="174" t="s">
        <v>301</v>
      </c>
      <c r="I24" s="174" t="s">
        <v>302</v>
      </c>
      <c r="J24" s="174" t="s">
        <v>331</v>
      </c>
      <c r="K24" s="174" t="s">
        <v>332</v>
      </c>
      <c r="L24" s="174" t="s">
        <v>280</v>
      </c>
      <c r="M24" s="174" t="s">
        <v>281</v>
      </c>
      <c r="N24" s="177">
        <v>5400000</v>
      </c>
      <c r="O24" s="174" t="s">
        <v>333</v>
      </c>
      <c r="P24" s="174" t="s">
        <v>283</v>
      </c>
      <c r="Q24" s="174" t="s">
        <v>306</v>
      </c>
      <c r="R24" s="174" t="s">
        <v>283</v>
      </c>
      <c r="S24" s="174" t="s">
        <v>283</v>
      </c>
      <c r="T24" s="175">
        <v>0</v>
      </c>
    </row>
    <row r="25" spans="2:20" x14ac:dyDescent="0.2">
      <c r="B25" s="168" t="s">
        <v>9</v>
      </c>
      <c r="C25" s="168" t="s">
        <v>25</v>
      </c>
      <c r="D25" s="173">
        <v>45715</v>
      </c>
      <c r="E25" s="174" t="s">
        <v>334</v>
      </c>
      <c r="F25" s="174" t="s">
        <v>335</v>
      </c>
      <c r="G25" s="174" t="s">
        <v>336</v>
      </c>
      <c r="H25" s="174" t="s">
        <v>301</v>
      </c>
      <c r="I25" s="174" t="s">
        <v>302</v>
      </c>
      <c r="J25" s="174" t="s">
        <v>337</v>
      </c>
      <c r="K25" s="174" t="s">
        <v>338</v>
      </c>
      <c r="L25" s="174" t="s">
        <v>280</v>
      </c>
      <c r="M25" s="174" t="s">
        <v>281</v>
      </c>
      <c r="N25" s="177">
        <v>24000000</v>
      </c>
      <c r="O25" s="174" t="s">
        <v>339</v>
      </c>
      <c r="P25" s="174" t="s">
        <v>283</v>
      </c>
      <c r="Q25" s="174" t="s">
        <v>306</v>
      </c>
      <c r="R25" s="174" t="s">
        <v>283</v>
      </c>
      <c r="S25" s="174" t="s">
        <v>283</v>
      </c>
      <c r="T25" s="175">
        <v>0</v>
      </c>
    </row>
    <row r="26" spans="2:20" x14ac:dyDescent="0.2">
      <c r="B26" s="168" t="s">
        <v>5</v>
      </c>
      <c r="C26" s="168" t="s">
        <v>25</v>
      </c>
      <c r="D26" s="173">
        <v>45715</v>
      </c>
      <c r="E26" s="174" t="s">
        <v>334</v>
      </c>
      <c r="F26" s="174" t="s">
        <v>335</v>
      </c>
      <c r="G26" s="174" t="s">
        <v>336</v>
      </c>
      <c r="H26" s="174" t="s">
        <v>320</v>
      </c>
      <c r="I26" s="174" t="s">
        <v>321</v>
      </c>
      <c r="J26" s="174" t="s">
        <v>337</v>
      </c>
      <c r="K26" s="174" t="s">
        <v>338</v>
      </c>
      <c r="L26" s="174" t="s">
        <v>280</v>
      </c>
      <c r="M26" s="174" t="s">
        <v>281</v>
      </c>
      <c r="N26" s="177">
        <v>2300000</v>
      </c>
      <c r="O26" s="174" t="s">
        <v>339</v>
      </c>
      <c r="P26" s="174" t="s">
        <v>283</v>
      </c>
      <c r="Q26" s="174" t="s">
        <v>306</v>
      </c>
      <c r="R26" s="174" t="s">
        <v>283</v>
      </c>
      <c r="S26" s="174" t="s">
        <v>283</v>
      </c>
      <c r="T26" s="175">
        <v>0</v>
      </c>
    </row>
    <row r="27" spans="2:20" x14ac:dyDescent="0.2">
      <c r="B27" s="168" t="s">
        <v>5</v>
      </c>
      <c r="C27" s="168" t="s">
        <v>22</v>
      </c>
      <c r="D27" s="173">
        <v>45716</v>
      </c>
      <c r="E27" s="174" t="s">
        <v>273</v>
      </c>
      <c r="F27" s="174" t="s">
        <v>274</v>
      </c>
      <c r="G27" s="174" t="s">
        <v>275</v>
      </c>
      <c r="H27" s="174" t="s">
        <v>320</v>
      </c>
      <c r="I27" s="174" t="s">
        <v>321</v>
      </c>
      <c r="J27" s="174" t="s">
        <v>278</v>
      </c>
      <c r="K27" s="174" t="s">
        <v>279</v>
      </c>
      <c r="L27" s="174" t="s">
        <v>280</v>
      </c>
      <c r="M27" s="174" t="s">
        <v>281</v>
      </c>
      <c r="N27" s="177">
        <v>78382572</v>
      </c>
      <c r="O27" s="174" t="s">
        <v>282</v>
      </c>
      <c r="P27" s="174" t="s">
        <v>283</v>
      </c>
      <c r="Q27" s="174" t="s">
        <v>284</v>
      </c>
      <c r="R27" s="174" t="s">
        <v>283</v>
      </c>
      <c r="S27" s="174" t="s">
        <v>283</v>
      </c>
      <c r="T27" s="175">
        <v>0</v>
      </c>
    </row>
    <row r="28" spans="2:20" x14ac:dyDescent="0.2">
      <c r="B28" s="168" t="s">
        <v>5</v>
      </c>
      <c r="C28" s="168" t="s">
        <v>22</v>
      </c>
      <c r="D28" s="173">
        <v>45716</v>
      </c>
      <c r="E28" s="174" t="s">
        <v>273</v>
      </c>
      <c r="F28" s="174" t="s">
        <v>285</v>
      </c>
      <c r="G28" s="174" t="s">
        <v>286</v>
      </c>
      <c r="H28" s="174" t="s">
        <v>320</v>
      </c>
      <c r="I28" s="174" t="s">
        <v>321</v>
      </c>
      <c r="J28" s="174" t="s">
        <v>278</v>
      </c>
      <c r="K28" s="174" t="s">
        <v>279</v>
      </c>
      <c r="L28" s="174" t="s">
        <v>280</v>
      </c>
      <c r="M28" s="174" t="s">
        <v>281</v>
      </c>
      <c r="N28" s="177">
        <v>2021153</v>
      </c>
      <c r="O28" s="174" t="s">
        <v>282</v>
      </c>
      <c r="P28" s="174" t="s">
        <v>283</v>
      </c>
      <c r="Q28" s="174" t="s">
        <v>284</v>
      </c>
      <c r="R28" s="174" t="s">
        <v>283</v>
      </c>
      <c r="S28" s="174" t="s">
        <v>283</v>
      </c>
      <c r="T28" s="175">
        <v>0</v>
      </c>
    </row>
    <row r="29" spans="2:20" x14ac:dyDescent="0.2">
      <c r="B29" s="168" t="s">
        <v>5</v>
      </c>
      <c r="C29" s="168" t="s">
        <v>24</v>
      </c>
      <c r="D29" s="173">
        <v>45716</v>
      </c>
      <c r="E29" s="174" t="s">
        <v>273</v>
      </c>
      <c r="F29" s="174" t="s">
        <v>290</v>
      </c>
      <c r="G29" s="174" t="s">
        <v>291</v>
      </c>
      <c r="H29" s="174" t="s">
        <v>320</v>
      </c>
      <c r="I29" s="174" t="s">
        <v>321</v>
      </c>
      <c r="J29" s="174" t="s">
        <v>278</v>
      </c>
      <c r="K29" s="174" t="s">
        <v>279</v>
      </c>
      <c r="L29" s="174" t="s">
        <v>280</v>
      </c>
      <c r="M29" s="174" t="s">
        <v>281</v>
      </c>
      <c r="N29" s="177">
        <v>1500000</v>
      </c>
      <c r="O29" s="174" t="s">
        <v>282</v>
      </c>
      <c r="P29" s="174" t="s">
        <v>283</v>
      </c>
      <c r="Q29" s="174" t="s">
        <v>284</v>
      </c>
      <c r="R29" s="174" t="s">
        <v>283</v>
      </c>
      <c r="S29" s="174" t="s">
        <v>283</v>
      </c>
      <c r="T29" s="175">
        <v>0</v>
      </c>
    </row>
    <row r="30" spans="2:20" x14ac:dyDescent="0.2">
      <c r="B30" s="168" t="s">
        <v>5</v>
      </c>
      <c r="C30" s="168" t="s">
        <v>25</v>
      </c>
      <c r="D30" s="173">
        <v>45716</v>
      </c>
      <c r="E30" s="174" t="s">
        <v>273</v>
      </c>
      <c r="F30" s="174" t="s">
        <v>335</v>
      </c>
      <c r="G30" s="174" t="s">
        <v>336</v>
      </c>
      <c r="H30" s="174" t="s">
        <v>320</v>
      </c>
      <c r="I30" s="174" t="s">
        <v>321</v>
      </c>
      <c r="J30" s="174" t="s">
        <v>278</v>
      </c>
      <c r="K30" s="174" t="s">
        <v>279</v>
      </c>
      <c r="L30" s="174" t="s">
        <v>280</v>
      </c>
      <c r="M30" s="174" t="s">
        <v>281</v>
      </c>
      <c r="N30" s="177">
        <v>100000</v>
      </c>
      <c r="O30" s="174" t="s">
        <v>282</v>
      </c>
      <c r="P30" s="174" t="s">
        <v>283</v>
      </c>
      <c r="Q30" s="174" t="s">
        <v>284</v>
      </c>
      <c r="R30" s="174" t="s">
        <v>283</v>
      </c>
      <c r="S30" s="174" t="s">
        <v>283</v>
      </c>
      <c r="T30" s="175">
        <v>0</v>
      </c>
    </row>
    <row r="31" spans="2:20" x14ac:dyDescent="0.2">
      <c r="B31" s="168" t="s">
        <v>9</v>
      </c>
      <c r="C31" s="168" t="s">
        <v>25</v>
      </c>
      <c r="D31" s="173">
        <v>45716</v>
      </c>
      <c r="E31" s="174" t="s">
        <v>273</v>
      </c>
      <c r="F31" s="174" t="s">
        <v>340</v>
      </c>
      <c r="G31" s="174" t="s">
        <v>341</v>
      </c>
      <c r="H31" s="174" t="s">
        <v>301</v>
      </c>
      <c r="I31" s="174" t="s">
        <v>302</v>
      </c>
      <c r="J31" s="174" t="s">
        <v>278</v>
      </c>
      <c r="K31" s="174" t="s">
        <v>279</v>
      </c>
      <c r="L31" s="174" t="s">
        <v>280</v>
      </c>
      <c r="M31" s="174" t="s">
        <v>281</v>
      </c>
      <c r="N31" s="177">
        <v>10003980</v>
      </c>
      <c r="O31" s="174" t="s">
        <v>282</v>
      </c>
      <c r="P31" s="174" t="s">
        <v>283</v>
      </c>
      <c r="Q31" s="174" t="s">
        <v>284</v>
      </c>
      <c r="R31" s="174" t="s">
        <v>283</v>
      </c>
      <c r="S31" s="174" t="s">
        <v>283</v>
      </c>
      <c r="T31" s="175">
        <v>0</v>
      </c>
    </row>
    <row r="32" spans="2:20" x14ac:dyDescent="0.2">
      <c r="B32" s="168" t="s">
        <v>9</v>
      </c>
      <c r="C32" s="168" t="s">
        <v>22</v>
      </c>
      <c r="D32" s="173">
        <v>45716</v>
      </c>
      <c r="E32" s="174" t="s">
        <v>273</v>
      </c>
      <c r="F32" s="174" t="s">
        <v>274</v>
      </c>
      <c r="G32" s="174" t="s">
        <v>275</v>
      </c>
      <c r="H32" s="174" t="s">
        <v>301</v>
      </c>
      <c r="I32" s="174" t="s">
        <v>302</v>
      </c>
      <c r="J32" s="174" t="s">
        <v>278</v>
      </c>
      <c r="K32" s="174" t="s">
        <v>279</v>
      </c>
      <c r="L32" s="174" t="s">
        <v>280</v>
      </c>
      <c r="M32" s="174" t="s">
        <v>281</v>
      </c>
      <c r="N32" s="177">
        <v>398584555</v>
      </c>
      <c r="O32" s="174" t="s">
        <v>282</v>
      </c>
      <c r="P32" s="174" t="s">
        <v>283</v>
      </c>
      <c r="Q32" s="174" t="s">
        <v>284</v>
      </c>
      <c r="R32" s="174" t="s">
        <v>283</v>
      </c>
      <c r="S32" s="174" t="s">
        <v>283</v>
      </c>
      <c r="T32" s="175">
        <v>0</v>
      </c>
    </row>
    <row r="33" spans="2:20" x14ac:dyDescent="0.2">
      <c r="B33" s="168" t="s">
        <v>9</v>
      </c>
      <c r="C33" s="168" t="s">
        <v>22</v>
      </c>
      <c r="D33" s="173">
        <v>45716</v>
      </c>
      <c r="E33" s="174" t="s">
        <v>273</v>
      </c>
      <c r="F33" s="174" t="s">
        <v>285</v>
      </c>
      <c r="G33" s="174" t="s">
        <v>286</v>
      </c>
      <c r="H33" s="174" t="s">
        <v>301</v>
      </c>
      <c r="I33" s="174" t="s">
        <v>302</v>
      </c>
      <c r="J33" s="174" t="s">
        <v>278</v>
      </c>
      <c r="K33" s="174" t="s">
        <v>279</v>
      </c>
      <c r="L33" s="174" t="s">
        <v>280</v>
      </c>
      <c r="M33" s="174" t="s">
        <v>281</v>
      </c>
      <c r="N33" s="177">
        <v>13708326</v>
      </c>
      <c r="O33" s="174" t="s">
        <v>282</v>
      </c>
      <c r="P33" s="174" t="s">
        <v>283</v>
      </c>
      <c r="Q33" s="174" t="s">
        <v>284</v>
      </c>
      <c r="R33" s="174" t="s">
        <v>283</v>
      </c>
      <c r="S33" s="174" t="s">
        <v>283</v>
      </c>
      <c r="T33" s="175">
        <v>0</v>
      </c>
    </row>
    <row r="34" spans="2:20" x14ac:dyDescent="0.2">
      <c r="B34" s="168" t="s">
        <v>9</v>
      </c>
      <c r="C34" s="168" t="s">
        <v>23</v>
      </c>
      <c r="D34" s="173">
        <v>45716</v>
      </c>
      <c r="E34" s="174" t="s">
        <v>273</v>
      </c>
      <c r="F34" s="174" t="s">
        <v>342</v>
      </c>
      <c r="G34" s="174" t="s">
        <v>343</v>
      </c>
      <c r="H34" s="174" t="s">
        <v>301</v>
      </c>
      <c r="I34" s="174" t="s">
        <v>302</v>
      </c>
      <c r="J34" s="174" t="s">
        <v>278</v>
      </c>
      <c r="K34" s="174" t="s">
        <v>279</v>
      </c>
      <c r="L34" s="174" t="s">
        <v>280</v>
      </c>
      <c r="M34" s="174" t="s">
        <v>281</v>
      </c>
      <c r="N34" s="177">
        <v>141925157</v>
      </c>
      <c r="O34" s="174" t="s">
        <v>282</v>
      </c>
      <c r="P34" s="174" t="s">
        <v>283</v>
      </c>
      <c r="Q34" s="174" t="s">
        <v>284</v>
      </c>
      <c r="R34" s="174" t="s">
        <v>283</v>
      </c>
      <c r="S34" s="174" t="s">
        <v>283</v>
      </c>
      <c r="T34" s="175">
        <v>0</v>
      </c>
    </row>
    <row r="35" spans="2:20" x14ac:dyDescent="0.2">
      <c r="B35" s="168" t="s">
        <v>9</v>
      </c>
      <c r="C35" s="168" t="s">
        <v>24</v>
      </c>
      <c r="D35" s="173">
        <v>45716</v>
      </c>
      <c r="E35" s="174" t="s">
        <v>273</v>
      </c>
      <c r="F35" s="174" t="s">
        <v>290</v>
      </c>
      <c r="G35" s="174" t="s">
        <v>291</v>
      </c>
      <c r="H35" s="174" t="s">
        <v>301</v>
      </c>
      <c r="I35" s="174" t="s">
        <v>302</v>
      </c>
      <c r="J35" s="174" t="s">
        <v>278</v>
      </c>
      <c r="K35" s="174" t="s">
        <v>279</v>
      </c>
      <c r="L35" s="174" t="s">
        <v>280</v>
      </c>
      <c r="M35" s="174" t="s">
        <v>281</v>
      </c>
      <c r="N35" s="177">
        <v>17000000</v>
      </c>
      <c r="O35" s="174" t="s">
        <v>282</v>
      </c>
      <c r="P35" s="174" t="s">
        <v>283</v>
      </c>
      <c r="Q35" s="174" t="s">
        <v>284</v>
      </c>
      <c r="R35" s="174" t="s">
        <v>283</v>
      </c>
      <c r="S35" s="174" t="s">
        <v>283</v>
      </c>
      <c r="T35" s="175">
        <v>0</v>
      </c>
    </row>
    <row r="36" spans="2:20" x14ac:dyDescent="0.2">
      <c r="B36" s="168" t="s">
        <v>9</v>
      </c>
      <c r="C36" s="168" t="s">
        <v>25</v>
      </c>
      <c r="D36" s="173">
        <v>45716</v>
      </c>
      <c r="E36" s="174" t="s">
        <v>273</v>
      </c>
      <c r="F36" s="174" t="s">
        <v>335</v>
      </c>
      <c r="G36" s="174" t="s">
        <v>336</v>
      </c>
      <c r="H36" s="174" t="s">
        <v>301</v>
      </c>
      <c r="I36" s="174" t="s">
        <v>302</v>
      </c>
      <c r="J36" s="174" t="s">
        <v>278</v>
      </c>
      <c r="K36" s="174" t="s">
        <v>279</v>
      </c>
      <c r="L36" s="174" t="s">
        <v>280</v>
      </c>
      <c r="M36" s="174" t="s">
        <v>281</v>
      </c>
      <c r="N36" s="177">
        <v>8310000</v>
      </c>
      <c r="O36" s="174" t="s">
        <v>282</v>
      </c>
      <c r="P36" s="174" t="s">
        <v>283</v>
      </c>
      <c r="Q36" s="174" t="s">
        <v>284</v>
      </c>
      <c r="R36" s="174" t="s">
        <v>283</v>
      </c>
      <c r="S36" s="174" t="s">
        <v>283</v>
      </c>
      <c r="T36" s="175">
        <v>0</v>
      </c>
    </row>
    <row r="37" spans="2:20" x14ac:dyDescent="0.2">
      <c r="B37" s="168" t="s">
        <v>5</v>
      </c>
      <c r="C37" s="168" t="s">
        <v>170</v>
      </c>
      <c r="D37" s="173">
        <v>45716</v>
      </c>
      <c r="E37" s="174" t="s">
        <v>294</v>
      </c>
      <c r="F37" s="174" t="s">
        <v>295</v>
      </c>
      <c r="G37" s="174" t="s">
        <v>296</v>
      </c>
      <c r="H37" s="174" t="s">
        <v>320</v>
      </c>
      <c r="I37" s="174" t="s">
        <v>321</v>
      </c>
      <c r="J37" s="174" t="s">
        <v>297</v>
      </c>
      <c r="K37" s="174" t="s">
        <v>279</v>
      </c>
      <c r="L37" s="174" t="s">
        <v>280</v>
      </c>
      <c r="M37" s="174" t="s">
        <v>281</v>
      </c>
      <c r="N37" s="177">
        <v>20503750</v>
      </c>
      <c r="O37" s="174" t="s">
        <v>298</v>
      </c>
      <c r="P37" s="174" t="s">
        <v>283</v>
      </c>
      <c r="Q37" s="174" t="s">
        <v>284</v>
      </c>
      <c r="R37" s="174" t="s">
        <v>283</v>
      </c>
      <c r="S37" s="174" t="s">
        <v>283</v>
      </c>
      <c r="T37" s="175">
        <v>0</v>
      </c>
    </row>
    <row r="38" spans="2:20" x14ac:dyDescent="0.2">
      <c r="B38" s="168" t="s">
        <v>9</v>
      </c>
      <c r="C38" s="168" t="s">
        <v>170</v>
      </c>
      <c r="D38" s="173">
        <v>45716</v>
      </c>
      <c r="E38" s="174" t="s">
        <v>294</v>
      </c>
      <c r="F38" s="174" t="s">
        <v>295</v>
      </c>
      <c r="G38" s="174" t="s">
        <v>296</v>
      </c>
      <c r="H38" s="174" t="s">
        <v>301</v>
      </c>
      <c r="I38" s="174" t="s">
        <v>302</v>
      </c>
      <c r="J38" s="174" t="s">
        <v>297</v>
      </c>
      <c r="K38" s="174" t="s">
        <v>279</v>
      </c>
      <c r="L38" s="174" t="s">
        <v>280</v>
      </c>
      <c r="M38" s="174" t="s">
        <v>281</v>
      </c>
      <c r="N38" s="177">
        <v>98111460</v>
      </c>
      <c r="O38" s="174" t="s">
        <v>298</v>
      </c>
      <c r="P38" s="174" t="s">
        <v>283</v>
      </c>
      <c r="Q38" s="174" t="s">
        <v>284</v>
      </c>
      <c r="R38" s="174" t="s">
        <v>283</v>
      </c>
      <c r="S38" s="174" t="s">
        <v>283</v>
      </c>
      <c r="T38" s="175">
        <v>0</v>
      </c>
    </row>
    <row r="39" spans="2:20" x14ac:dyDescent="0.2">
      <c r="B39" s="168" t="s">
        <v>5</v>
      </c>
      <c r="C39" s="168" t="s">
        <v>22</v>
      </c>
      <c r="D39" s="173">
        <v>45716</v>
      </c>
      <c r="E39" s="174" t="s">
        <v>287</v>
      </c>
      <c r="F39" s="174" t="s">
        <v>285</v>
      </c>
      <c r="G39" s="174" t="s">
        <v>286</v>
      </c>
      <c r="H39" s="174" t="s">
        <v>320</v>
      </c>
      <c r="I39" s="174" t="s">
        <v>321</v>
      </c>
      <c r="J39" s="174" t="s">
        <v>288</v>
      </c>
      <c r="K39" s="174" t="s">
        <v>279</v>
      </c>
      <c r="L39" s="174" t="s">
        <v>280</v>
      </c>
      <c r="M39" s="174" t="s">
        <v>281</v>
      </c>
      <c r="N39" s="177">
        <v>7270833</v>
      </c>
      <c r="O39" s="174" t="s">
        <v>289</v>
      </c>
      <c r="P39" s="174" t="s">
        <v>283</v>
      </c>
      <c r="Q39" s="174" t="s">
        <v>284</v>
      </c>
      <c r="R39" s="174" t="s">
        <v>283</v>
      </c>
      <c r="S39" s="174" t="s">
        <v>283</v>
      </c>
      <c r="T39" s="175">
        <v>0</v>
      </c>
    </row>
    <row r="40" spans="2:20" x14ac:dyDescent="0.2">
      <c r="B40" s="168" t="s">
        <v>5</v>
      </c>
      <c r="C40" s="168" t="s">
        <v>24</v>
      </c>
      <c r="D40" s="173">
        <v>45716</v>
      </c>
      <c r="E40" s="174" t="s">
        <v>287</v>
      </c>
      <c r="F40" s="174" t="s">
        <v>292</v>
      </c>
      <c r="G40" s="174" t="s">
        <v>77</v>
      </c>
      <c r="H40" s="174" t="s">
        <v>320</v>
      </c>
      <c r="I40" s="174" t="s">
        <v>321</v>
      </c>
      <c r="J40" s="174" t="s">
        <v>293</v>
      </c>
      <c r="K40" s="174" t="s">
        <v>279</v>
      </c>
      <c r="L40" s="174" t="s">
        <v>280</v>
      </c>
      <c r="M40" s="174" t="s">
        <v>281</v>
      </c>
      <c r="N40" s="177">
        <v>6689109</v>
      </c>
      <c r="O40" s="174" t="s">
        <v>289</v>
      </c>
      <c r="P40" s="174" t="s">
        <v>283</v>
      </c>
      <c r="Q40" s="174" t="s">
        <v>284</v>
      </c>
      <c r="R40" s="174" t="s">
        <v>283</v>
      </c>
      <c r="S40" s="174" t="s">
        <v>283</v>
      </c>
      <c r="T40" s="175">
        <v>0</v>
      </c>
    </row>
    <row r="41" spans="2:20" x14ac:dyDescent="0.2">
      <c r="B41" s="168" t="s">
        <v>9</v>
      </c>
      <c r="C41" s="168" t="s">
        <v>22</v>
      </c>
      <c r="D41" s="173">
        <v>45716</v>
      </c>
      <c r="E41" s="174" t="s">
        <v>287</v>
      </c>
      <c r="F41" s="174" t="s">
        <v>285</v>
      </c>
      <c r="G41" s="174" t="s">
        <v>286</v>
      </c>
      <c r="H41" s="174" t="s">
        <v>301</v>
      </c>
      <c r="I41" s="174" t="s">
        <v>302</v>
      </c>
      <c r="J41" s="174" t="s">
        <v>288</v>
      </c>
      <c r="K41" s="174" t="s">
        <v>279</v>
      </c>
      <c r="L41" s="174" t="s">
        <v>280</v>
      </c>
      <c r="M41" s="174" t="s">
        <v>281</v>
      </c>
      <c r="N41" s="177">
        <v>37748605</v>
      </c>
      <c r="O41" s="174" t="s">
        <v>289</v>
      </c>
      <c r="P41" s="174" t="s">
        <v>283</v>
      </c>
      <c r="Q41" s="174" t="s">
        <v>284</v>
      </c>
      <c r="R41" s="174" t="s">
        <v>283</v>
      </c>
      <c r="S41" s="174" t="s">
        <v>283</v>
      </c>
      <c r="T41" s="175">
        <v>0</v>
      </c>
    </row>
    <row r="42" spans="2:20" x14ac:dyDescent="0.2">
      <c r="B42" s="168" t="s">
        <v>9</v>
      </c>
      <c r="C42" s="168" t="s">
        <v>24</v>
      </c>
      <c r="D42" s="173">
        <v>45716</v>
      </c>
      <c r="E42" s="174" t="s">
        <v>287</v>
      </c>
      <c r="F42" s="174" t="s">
        <v>292</v>
      </c>
      <c r="G42" s="174" t="s">
        <v>77</v>
      </c>
      <c r="H42" s="174" t="s">
        <v>301</v>
      </c>
      <c r="I42" s="174" t="s">
        <v>302</v>
      </c>
      <c r="J42" s="174" t="s">
        <v>293</v>
      </c>
      <c r="K42" s="174" t="s">
        <v>279</v>
      </c>
      <c r="L42" s="174" t="s">
        <v>280</v>
      </c>
      <c r="M42" s="174" t="s">
        <v>281</v>
      </c>
      <c r="N42" s="177">
        <v>29025176</v>
      </c>
      <c r="O42" s="174" t="s">
        <v>289</v>
      </c>
      <c r="P42" s="174" t="s">
        <v>283</v>
      </c>
      <c r="Q42" s="174" t="s">
        <v>284</v>
      </c>
      <c r="R42" s="174" t="s">
        <v>283</v>
      </c>
      <c r="S42" s="174" t="s">
        <v>283</v>
      </c>
      <c r="T42" s="175">
        <v>0</v>
      </c>
    </row>
    <row r="43" spans="2:20" x14ac:dyDescent="0.2">
      <c r="B43" s="168" t="s">
        <v>9</v>
      </c>
      <c r="C43" s="168" t="s">
        <v>222</v>
      </c>
      <c r="D43" s="173">
        <v>45716</v>
      </c>
      <c r="E43" s="174" t="s">
        <v>344</v>
      </c>
      <c r="F43" s="174" t="s">
        <v>300</v>
      </c>
      <c r="G43" s="174" t="s">
        <v>222</v>
      </c>
      <c r="H43" s="174" t="s">
        <v>301</v>
      </c>
      <c r="I43" s="174" t="s">
        <v>302</v>
      </c>
      <c r="J43" s="174" t="s">
        <v>345</v>
      </c>
      <c r="K43" s="174" t="s">
        <v>346</v>
      </c>
      <c r="L43" s="174" t="s">
        <v>280</v>
      </c>
      <c r="M43" s="174" t="s">
        <v>281</v>
      </c>
      <c r="N43" s="177">
        <v>-4000000</v>
      </c>
      <c r="O43" s="174" t="s">
        <v>347</v>
      </c>
      <c r="P43" s="174" t="s">
        <v>283</v>
      </c>
      <c r="Q43" s="174" t="s">
        <v>348</v>
      </c>
      <c r="R43" s="174" t="s">
        <v>283</v>
      </c>
      <c r="S43" s="174" t="s">
        <v>283</v>
      </c>
      <c r="T43" s="175">
        <v>0</v>
      </c>
    </row>
    <row r="44" spans="2:20" x14ac:dyDescent="0.2">
      <c r="B44" s="168" t="s">
        <v>5</v>
      </c>
      <c r="C44" s="168" t="s">
        <v>222</v>
      </c>
      <c r="D44" s="173">
        <v>45716</v>
      </c>
      <c r="E44" s="174" t="s">
        <v>349</v>
      </c>
      <c r="F44" s="174" t="s">
        <v>300</v>
      </c>
      <c r="G44" s="174" t="s">
        <v>222</v>
      </c>
      <c r="H44" s="174" t="s">
        <v>320</v>
      </c>
      <c r="I44" s="174" t="s">
        <v>321</v>
      </c>
      <c r="J44" s="174" t="s">
        <v>350</v>
      </c>
      <c r="K44" s="174" t="s">
        <v>350</v>
      </c>
      <c r="L44" s="174" t="s">
        <v>280</v>
      </c>
      <c r="M44" s="174" t="s">
        <v>281</v>
      </c>
      <c r="N44" s="177">
        <v>-2981191</v>
      </c>
      <c r="O44" s="174" t="s">
        <v>351</v>
      </c>
      <c r="P44" s="174" t="s">
        <v>283</v>
      </c>
      <c r="Q44" s="174" t="s">
        <v>348</v>
      </c>
      <c r="R44" s="174" t="s">
        <v>283</v>
      </c>
      <c r="S44" s="174" t="s">
        <v>283</v>
      </c>
      <c r="T44" s="175">
        <v>0</v>
      </c>
    </row>
    <row r="45" spans="2:20" x14ac:dyDescent="0.2">
      <c r="B45" s="168" t="s">
        <v>9</v>
      </c>
      <c r="C45" s="168" t="s">
        <v>25</v>
      </c>
      <c r="D45" s="173">
        <v>45698</v>
      </c>
      <c r="E45" s="174" t="s">
        <v>352</v>
      </c>
      <c r="F45" s="174" t="s">
        <v>335</v>
      </c>
      <c r="G45" s="174" t="s">
        <v>336</v>
      </c>
      <c r="H45" s="174" t="s">
        <v>301</v>
      </c>
      <c r="I45" s="174" t="s">
        <v>302</v>
      </c>
      <c r="J45" s="174" t="s">
        <v>353</v>
      </c>
      <c r="K45" s="174" t="s">
        <v>354</v>
      </c>
      <c r="L45" s="174" t="s">
        <v>280</v>
      </c>
      <c r="M45" s="174" t="s">
        <v>281</v>
      </c>
      <c r="N45" s="177">
        <v>960000</v>
      </c>
      <c r="O45" s="174" t="s">
        <v>355</v>
      </c>
      <c r="P45" s="174" t="s">
        <v>283</v>
      </c>
      <c r="Q45" s="174" t="s">
        <v>306</v>
      </c>
      <c r="R45" s="174" t="s">
        <v>283</v>
      </c>
      <c r="S45" s="174" t="s">
        <v>283</v>
      </c>
      <c r="T45" s="175">
        <v>0</v>
      </c>
    </row>
    <row r="46" spans="2:20" x14ac:dyDescent="0.2">
      <c r="B46" s="168" t="s">
        <v>3</v>
      </c>
      <c r="C46" s="168" t="s">
        <v>25</v>
      </c>
      <c r="D46" s="173">
        <v>45715</v>
      </c>
      <c r="E46" s="174" t="s">
        <v>334</v>
      </c>
      <c r="F46" s="174" t="s">
        <v>335</v>
      </c>
      <c r="G46" s="174" t="s">
        <v>336</v>
      </c>
      <c r="H46" s="174" t="s">
        <v>356</v>
      </c>
      <c r="I46" s="174" t="s">
        <v>357</v>
      </c>
      <c r="J46" s="174" t="s">
        <v>337</v>
      </c>
      <c r="K46" s="174" t="s">
        <v>338</v>
      </c>
      <c r="L46" s="174" t="s">
        <v>280</v>
      </c>
      <c r="M46" s="174" t="s">
        <v>281</v>
      </c>
      <c r="N46" s="177">
        <v>11025000</v>
      </c>
      <c r="O46" s="174" t="s">
        <v>339</v>
      </c>
      <c r="P46" s="174" t="s">
        <v>283</v>
      </c>
      <c r="Q46" s="174" t="s">
        <v>306</v>
      </c>
      <c r="R46" s="174" t="s">
        <v>283</v>
      </c>
      <c r="S46" s="174" t="s">
        <v>283</v>
      </c>
      <c r="T46" s="175">
        <v>0</v>
      </c>
    </row>
    <row r="47" spans="2:20" x14ac:dyDescent="0.2">
      <c r="B47" s="168" t="s">
        <v>9</v>
      </c>
      <c r="C47" s="168" t="s">
        <v>25</v>
      </c>
      <c r="D47" s="173">
        <v>45715</v>
      </c>
      <c r="E47" s="174" t="s">
        <v>334</v>
      </c>
      <c r="F47" s="174" t="s">
        <v>335</v>
      </c>
      <c r="G47" s="174" t="s">
        <v>336</v>
      </c>
      <c r="H47" s="174" t="s">
        <v>358</v>
      </c>
      <c r="I47" s="174" t="s">
        <v>359</v>
      </c>
      <c r="J47" s="174" t="s">
        <v>337</v>
      </c>
      <c r="K47" s="174" t="s">
        <v>338</v>
      </c>
      <c r="L47" s="174" t="s">
        <v>280</v>
      </c>
      <c r="M47" s="174" t="s">
        <v>281</v>
      </c>
      <c r="N47" s="177">
        <v>1850000</v>
      </c>
      <c r="O47" s="174" t="s">
        <v>339</v>
      </c>
      <c r="P47" s="174" t="s">
        <v>283</v>
      </c>
      <c r="Q47" s="174" t="s">
        <v>306</v>
      </c>
      <c r="R47" s="174" t="s">
        <v>283</v>
      </c>
      <c r="S47" s="174" t="s">
        <v>283</v>
      </c>
      <c r="T47" s="175">
        <v>0</v>
      </c>
    </row>
    <row r="48" spans="2:20" x14ac:dyDescent="0.2">
      <c r="B48" s="168" t="s">
        <v>3</v>
      </c>
      <c r="C48" s="168" t="s">
        <v>22</v>
      </c>
      <c r="D48" s="173">
        <v>45716</v>
      </c>
      <c r="E48" s="174" t="s">
        <v>273</v>
      </c>
      <c r="F48" s="174" t="s">
        <v>274</v>
      </c>
      <c r="G48" s="174" t="s">
        <v>275</v>
      </c>
      <c r="H48" s="174" t="s">
        <v>356</v>
      </c>
      <c r="I48" s="174" t="s">
        <v>357</v>
      </c>
      <c r="J48" s="174" t="s">
        <v>278</v>
      </c>
      <c r="K48" s="174" t="s">
        <v>279</v>
      </c>
      <c r="L48" s="174" t="s">
        <v>280</v>
      </c>
      <c r="M48" s="174" t="s">
        <v>281</v>
      </c>
      <c r="N48" s="177">
        <v>393630939</v>
      </c>
      <c r="O48" s="174" t="s">
        <v>282</v>
      </c>
      <c r="P48" s="174" t="s">
        <v>283</v>
      </c>
      <c r="Q48" s="174" t="s">
        <v>284</v>
      </c>
      <c r="R48" s="174" t="s">
        <v>283</v>
      </c>
      <c r="S48" s="174" t="s">
        <v>283</v>
      </c>
      <c r="T48" s="175">
        <v>0</v>
      </c>
    </row>
    <row r="49" spans="2:20" x14ac:dyDescent="0.2">
      <c r="B49" s="168" t="s">
        <v>3</v>
      </c>
      <c r="C49" s="168" t="s">
        <v>22</v>
      </c>
      <c r="D49" s="173">
        <v>45716</v>
      </c>
      <c r="E49" s="174" t="s">
        <v>273</v>
      </c>
      <c r="F49" s="174" t="s">
        <v>285</v>
      </c>
      <c r="G49" s="174" t="s">
        <v>286</v>
      </c>
      <c r="H49" s="174" t="s">
        <v>356</v>
      </c>
      <c r="I49" s="174" t="s">
        <v>357</v>
      </c>
      <c r="J49" s="174" t="s">
        <v>278</v>
      </c>
      <c r="K49" s="174" t="s">
        <v>279</v>
      </c>
      <c r="L49" s="174" t="s">
        <v>280</v>
      </c>
      <c r="M49" s="174" t="s">
        <v>281</v>
      </c>
      <c r="N49" s="177">
        <v>21532769</v>
      </c>
      <c r="O49" s="174" t="s">
        <v>282</v>
      </c>
      <c r="P49" s="174" t="s">
        <v>283</v>
      </c>
      <c r="Q49" s="174" t="s">
        <v>284</v>
      </c>
      <c r="R49" s="174" t="s">
        <v>283</v>
      </c>
      <c r="S49" s="174" t="s">
        <v>283</v>
      </c>
      <c r="T49" s="175">
        <v>0</v>
      </c>
    </row>
    <row r="50" spans="2:20" x14ac:dyDescent="0.2">
      <c r="B50" s="168" t="s">
        <v>3</v>
      </c>
      <c r="C50" s="168" t="s">
        <v>23</v>
      </c>
      <c r="D50" s="173">
        <v>45716</v>
      </c>
      <c r="E50" s="174" t="s">
        <v>273</v>
      </c>
      <c r="F50" s="174" t="s">
        <v>342</v>
      </c>
      <c r="G50" s="174" t="s">
        <v>343</v>
      </c>
      <c r="H50" s="174" t="s">
        <v>356</v>
      </c>
      <c r="I50" s="174" t="s">
        <v>357</v>
      </c>
      <c r="J50" s="174" t="s">
        <v>278</v>
      </c>
      <c r="K50" s="174" t="s">
        <v>279</v>
      </c>
      <c r="L50" s="174" t="s">
        <v>280</v>
      </c>
      <c r="M50" s="174" t="s">
        <v>281</v>
      </c>
      <c r="N50" s="177">
        <v>36055040</v>
      </c>
      <c r="O50" s="174" t="s">
        <v>282</v>
      </c>
      <c r="P50" s="174" t="s">
        <v>283</v>
      </c>
      <c r="Q50" s="174" t="s">
        <v>284</v>
      </c>
      <c r="R50" s="174" t="s">
        <v>283</v>
      </c>
      <c r="S50" s="174" t="s">
        <v>283</v>
      </c>
      <c r="T50" s="175">
        <v>0</v>
      </c>
    </row>
    <row r="51" spans="2:20" x14ac:dyDescent="0.2">
      <c r="B51" s="168" t="s">
        <v>3</v>
      </c>
      <c r="C51" s="168" t="s">
        <v>24</v>
      </c>
      <c r="D51" s="173">
        <v>45716</v>
      </c>
      <c r="E51" s="174" t="s">
        <v>273</v>
      </c>
      <c r="F51" s="174" t="s">
        <v>290</v>
      </c>
      <c r="G51" s="174" t="s">
        <v>291</v>
      </c>
      <c r="H51" s="174" t="s">
        <v>356</v>
      </c>
      <c r="I51" s="174" t="s">
        <v>357</v>
      </c>
      <c r="J51" s="174" t="s">
        <v>278</v>
      </c>
      <c r="K51" s="174" t="s">
        <v>279</v>
      </c>
      <c r="L51" s="174" t="s">
        <v>280</v>
      </c>
      <c r="M51" s="174" t="s">
        <v>281</v>
      </c>
      <c r="N51" s="177">
        <v>11500000</v>
      </c>
      <c r="O51" s="174" t="s">
        <v>282</v>
      </c>
      <c r="P51" s="174" t="s">
        <v>283</v>
      </c>
      <c r="Q51" s="174" t="s">
        <v>284</v>
      </c>
      <c r="R51" s="174" t="s">
        <v>283</v>
      </c>
      <c r="S51" s="174" t="s">
        <v>283</v>
      </c>
      <c r="T51" s="175">
        <v>0</v>
      </c>
    </row>
    <row r="52" spans="2:20" x14ac:dyDescent="0.2">
      <c r="B52" s="168" t="s">
        <v>3</v>
      </c>
      <c r="C52" s="168" t="s">
        <v>25</v>
      </c>
      <c r="D52" s="173">
        <v>45716</v>
      </c>
      <c r="E52" s="174" t="s">
        <v>273</v>
      </c>
      <c r="F52" s="174" t="s">
        <v>335</v>
      </c>
      <c r="G52" s="174" t="s">
        <v>336</v>
      </c>
      <c r="H52" s="174" t="s">
        <v>356</v>
      </c>
      <c r="I52" s="174" t="s">
        <v>357</v>
      </c>
      <c r="J52" s="174" t="s">
        <v>278</v>
      </c>
      <c r="K52" s="174" t="s">
        <v>279</v>
      </c>
      <c r="L52" s="174" t="s">
        <v>280</v>
      </c>
      <c r="M52" s="174" t="s">
        <v>281</v>
      </c>
      <c r="N52" s="177">
        <v>1795000</v>
      </c>
      <c r="O52" s="174" t="s">
        <v>282</v>
      </c>
      <c r="P52" s="174" t="s">
        <v>283</v>
      </c>
      <c r="Q52" s="174" t="s">
        <v>284</v>
      </c>
      <c r="R52" s="174" t="s">
        <v>283</v>
      </c>
      <c r="S52" s="174" t="s">
        <v>283</v>
      </c>
      <c r="T52" s="175">
        <v>0</v>
      </c>
    </row>
    <row r="53" spans="2:20" x14ac:dyDescent="0.2">
      <c r="B53" s="168" t="s">
        <v>9</v>
      </c>
      <c r="C53" s="168" t="s">
        <v>22</v>
      </c>
      <c r="D53" s="173">
        <v>45716</v>
      </c>
      <c r="E53" s="174" t="s">
        <v>273</v>
      </c>
      <c r="F53" s="174" t="s">
        <v>274</v>
      </c>
      <c r="G53" s="174" t="s">
        <v>275</v>
      </c>
      <c r="H53" s="174" t="s">
        <v>358</v>
      </c>
      <c r="I53" s="174" t="s">
        <v>359</v>
      </c>
      <c r="J53" s="174" t="s">
        <v>278</v>
      </c>
      <c r="K53" s="174" t="s">
        <v>279</v>
      </c>
      <c r="L53" s="174" t="s">
        <v>280</v>
      </c>
      <c r="M53" s="174" t="s">
        <v>281</v>
      </c>
      <c r="N53" s="177">
        <v>85539076</v>
      </c>
      <c r="O53" s="174" t="s">
        <v>282</v>
      </c>
      <c r="P53" s="174" t="s">
        <v>283</v>
      </c>
      <c r="Q53" s="174" t="s">
        <v>284</v>
      </c>
      <c r="R53" s="174" t="s">
        <v>283</v>
      </c>
      <c r="S53" s="174" t="s">
        <v>283</v>
      </c>
      <c r="T53" s="175">
        <v>0</v>
      </c>
    </row>
    <row r="54" spans="2:20" x14ac:dyDescent="0.2">
      <c r="B54" s="168" t="s">
        <v>9</v>
      </c>
      <c r="C54" s="168" t="s">
        <v>22</v>
      </c>
      <c r="D54" s="173">
        <v>45716</v>
      </c>
      <c r="E54" s="174" t="s">
        <v>273</v>
      </c>
      <c r="F54" s="174" t="s">
        <v>285</v>
      </c>
      <c r="G54" s="174" t="s">
        <v>286</v>
      </c>
      <c r="H54" s="174" t="s">
        <v>358</v>
      </c>
      <c r="I54" s="174" t="s">
        <v>359</v>
      </c>
      <c r="J54" s="174" t="s">
        <v>278</v>
      </c>
      <c r="K54" s="174" t="s">
        <v>279</v>
      </c>
      <c r="L54" s="174" t="s">
        <v>280</v>
      </c>
      <c r="M54" s="174" t="s">
        <v>281</v>
      </c>
      <c r="N54" s="177">
        <v>5044384</v>
      </c>
      <c r="O54" s="174" t="s">
        <v>282</v>
      </c>
      <c r="P54" s="174" t="s">
        <v>283</v>
      </c>
      <c r="Q54" s="174" t="s">
        <v>284</v>
      </c>
      <c r="R54" s="174" t="s">
        <v>283</v>
      </c>
      <c r="S54" s="174" t="s">
        <v>283</v>
      </c>
      <c r="T54" s="175">
        <v>0</v>
      </c>
    </row>
    <row r="55" spans="2:20" x14ac:dyDescent="0.2">
      <c r="B55" s="168" t="s">
        <v>9</v>
      </c>
      <c r="C55" s="168" t="s">
        <v>24</v>
      </c>
      <c r="D55" s="173">
        <v>45716</v>
      </c>
      <c r="E55" s="174" t="s">
        <v>273</v>
      </c>
      <c r="F55" s="174" t="s">
        <v>290</v>
      </c>
      <c r="G55" s="174" t="s">
        <v>291</v>
      </c>
      <c r="H55" s="174" t="s">
        <v>358</v>
      </c>
      <c r="I55" s="174" t="s">
        <v>359</v>
      </c>
      <c r="J55" s="174" t="s">
        <v>278</v>
      </c>
      <c r="K55" s="174" t="s">
        <v>279</v>
      </c>
      <c r="L55" s="174" t="s">
        <v>280</v>
      </c>
      <c r="M55" s="174" t="s">
        <v>281</v>
      </c>
      <c r="N55" s="177">
        <v>2000000</v>
      </c>
      <c r="O55" s="174" t="s">
        <v>282</v>
      </c>
      <c r="P55" s="174" t="s">
        <v>283</v>
      </c>
      <c r="Q55" s="174" t="s">
        <v>284</v>
      </c>
      <c r="R55" s="174" t="s">
        <v>283</v>
      </c>
      <c r="S55" s="174" t="s">
        <v>283</v>
      </c>
      <c r="T55" s="175">
        <v>0</v>
      </c>
    </row>
    <row r="56" spans="2:20" x14ac:dyDescent="0.2">
      <c r="B56" s="168" t="s">
        <v>9</v>
      </c>
      <c r="C56" s="168" t="s">
        <v>25</v>
      </c>
      <c r="D56" s="173">
        <v>45716</v>
      </c>
      <c r="E56" s="174" t="s">
        <v>273</v>
      </c>
      <c r="F56" s="174" t="s">
        <v>335</v>
      </c>
      <c r="G56" s="174" t="s">
        <v>336</v>
      </c>
      <c r="H56" s="174" t="s">
        <v>358</v>
      </c>
      <c r="I56" s="174" t="s">
        <v>359</v>
      </c>
      <c r="J56" s="174" t="s">
        <v>278</v>
      </c>
      <c r="K56" s="174" t="s">
        <v>279</v>
      </c>
      <c r="L56" s="174" t="s">
        <v>280</v>
      </c>
      <c r="M56" s="174" t="s">
        <v>281</v>
      </c>
      <c r="N56" s="177">
        <v>25000</v>
      </c>
      <c r="O56" s="174" t="s">
        <v>282</v>
      </c>
      <c r="P56" s="174" t="s">
        <v>283</v>
      </c>
      <c r="Q56" s="174" t="s">
        <v>284</v>
      </c>
      <c r="R56" s="174" t="s">
        <v>283</v>
      </c>
      <c r="S56" s="174" t="s">
        <v>283</v>
      </c>
      <c r="T56" s="175">
        <v>0</v>
      </c>
    </row>
    <row r="57" spans="2:20" x14ac:dyDescent="0.2">
      <c r="B57" s="168" t="s">
        <v>3</v>
      </c>
      <c r="C57" s="168" t="s">
        <v>170</v>
      </c>
      <c r="D57" s="173">
        <v>45716</v>
      </c>
      <c r="E57" s="174" t="s">
        <v>294</v>
      </c>
      <c r="F57" s="174" t="s">
        <v>295</v>
      </c>
      <c r="G57" s="174" t="s">
        <v>296</v>
      </c>
      <c r="H57" s="174" t="s">
        <v>356</v>
      </c>
      <c r="I57" s="174" t="s">
        <v>357</v>
      </c>
      <c r="J57" s="174" t="s">
        <v>297</v>
      </c>
      <c r="K57" s="174" t="s">
        <v>279</v>
      </c>
      <c r="L57" s="174" t="s">
        <v>280</v>
      </c>
      <c r="M57" s="174" t="s">
        <v>281</v>
      </c>
      <c r="N57" s="177">
        <v>87773695</v>
      </c>
      <c r="O57" s="174" t="s">
        <v>298</v>
      </c>
      <c r="P57" s="174" t="s">
        <v>283</v>
      </c>
      <c r="Q57" s="174" t="s">
        <v>284</v>
      </c>
      <c r="R57" s="174" t="s">
        <v>283</v>
      </c>
      <c r="S57" s="174" t="s">
        <v>283</v>
      </c>
      <c r="T57" s="175">
        <v>0</v>
      </c>
    </row>
    <row r="58" spans="2:20" x14ac:dyDescent="0.2">
      <c r="B58" s="168" t="s">
        <v>9</v>
      </c>
      <c r="C58" s="168" t="s">
        <v>170</v>
      </c>
      <c r="D58" s="173">
        <v>45716</v>
      </c>
      <c r="E58" s="174" t="s">
        <v>294</v>
      </c>
      <c r="F58" s="174" t="s">
        <v>295</v>
      </c>
      <c r="G58" s="174" t="s">
        <v>296</v>
      </c>
      <c r="H58" s="174" t="s">
        <v>358</v>
      </c>
      <c r="I58" s="174" t="s">
        <v>359</v>
      </c>
      <c r="J58" s="174" t="s">
        <v>297</v>
      </c>
      <c r="K58" s="174" t="s">
        <v>279</v>
      </c>
      <c r="L58" s="174" t="s">
        <v>280</v>
      </c>
      <c r="M58" s="174" t="s">
        <v>281</v>
      </c>
      <c r="N58" s="177">
        <v>21177730</v>
      </c>
      <c r="O58" s="174" t="s">
        <v>298</v>
      </c>
      <c r="P58" s="174" t="s">
        <v>283</v>
      </c>
      <c r="Q58" s="174" t="s">
        <v>284</v>
      </c>
      <c r="R58" s="174" t="s">
        <v>283</v>
      </c>
      <c r="S58" s="174" t="s">
        <v>283</v>
      </c>
      <c r="T58" s="175">
        <v>0</v>
      </c>
    </row>
    <row r="59" spans="2:20" x14ac:dyDescent="0.2">
      <c r="B59" s="168" t="s">
        <v>3</v>
      </c>
      <c r="C59" s="168" t="s">
        <v>22</v>
      </c>
      <c r="D59" s="173">
        <v>45716</v>
      </c>
      <c r="E59" s="174" t="s">
        <v>287</v>
      </c>
      <c r="F59" s="174" t="s">
        <v>285</v>
      </c>
      <c r="G59" s="174" t="s">
        <v>286</v>
      </c>
      <c r="H59" s="174" t="s">
        <v>356</v>
      </c>
      <c r="I59" s="174" t="s">
        <v>357</v>
      </c>
      <c r="J59" s="174" t="s">
        <v>288</v>
      </c>
      <c r="K59" s="174" t="s">
        <v>279</v>
      </c>
      <c r="L59" s="174" t="s">
        <v>280</v>
      </c>
      <c r="M59" s="174" t="s">
        <v>281</v>
      </c>
      <c r="N59" s="177">
        <v>34501763</v>
      </c>
      <c r="O59" s="174" t="s">
        <v>289</v>
      </c>
      <c r="P59" s="174" t="s">
        <v>283</v>
      </c>
      <c r="Q59" s="174" t="s">
        <v>284</v>
      </c>
      <c r="R59" s="174" t="s">
        <v>283</v>
      </c>
      <c r="S59" s="174" t="s">
        <v>283</v>
      </c>
      <c r="T59" s="175">
        <v>0</v>
      </c>
    </row>
    <row r="60" spans="2:20" x14ac:dyDescent="0.2">
      <c r="B60" s="168" t="s">
        <v>3</v>
      </c>
      <c r="C60" s="168" t="s">
        <v>24</v>
      </c>
      <c r="D60" s="173">
        <v>45716</v>
      </c>
      <c r="E60" s="174" t="s">
        <v>287</v>
      </c>
      <c r="F60" s="174" t="s">
        <v>292</v>
      </c>
      <c r="G60" s="174" t="s">
        <v>77</v>
      </c>
      <c r="H60" s="174" t="s">
        <v>356</v>
      </c>
      <c r="I60" s="174" t="s">
        <v>357</v>
      </c>
      <c r="J60" s="174" t="s">
        <v>293</v>
      </c>
      <c r="K60" s="174" t="s">
        <v>279</v>
      </c>
      <c r="L60" s="174" t="s">
        <v>280</v>
      </c>
      <c r="M60" s="174" t="s">
        <v>281</v>
      </c>
      <c r="N60" s="177">
        <v>31144566</v>
      </c>
      <c r="O60" s="174" t="s">
        <v>289</v>
      </c>
      <c r="P60" s="174" t="s">
        <v>283</v>
      </c>
      <c r="Q60" s="174" t="s">
        <v>284</v>
      </c>
      <c r="R60" s="174" t="s">
        <v>283</v>
      </c>
      <c r="S60" s="174" t="s">
        <v>283</v>
      </c>
      <c r="T60" s="175">
        <v>0</v>
      </c>
    </row>
    <row r="61" spans="2:20" x14ac:dyDescent="0.2">
      <c r="B61" s="168" t="s">
        <v>9</v>
      </c>
      <c r="C61" s="168" t="s">
        <v>22</v>
      </c>
      <c r="D61" s="173">
        <v>45716</v>
      </c>
      <c r="E61" s="174" t="s">
        <v>287</v>
      </c>
      <c r="F61" s="174" t="s">
        <v>285</v>
      </c>
      <c r="G61" s="174" t="s">
        <v>286</v>
      </c>
      <c r="H61" s="174" t="s">
        <v>358</v>
      </c>
      <c r="I61" s="174" t="s">
        <v>359</v>
      </c>
      <c r="J61" s="174" t="s">
        <v>288</v>
      </c>
      <c r="K61" s="174" t="s">
        <v>279</v>
      </c>
      <c r="L61" s="174" t="s">
        <v>280</v>
      </c>
      <c r="M61" s="174" t="s">
        <v>281</v>
      </c>
      <c r="N61" s="177">
        <v>7509833</v>
      </c>
      <c r="O61" s="174" t="s">
        <v>289</v>
      </c>
      <c r="P61" s="174" t="s">
        <v>283</v>
      </c>
      <c r="Q61" s="174" t="s">
        <v>284</v>
      </c>
      <c r="R61" s="174" t="s">
        <v>283</v>
      </c>
      <c r="S61" s="174" t="s">
        <v>283</v>
      </c>
      <c r="T61" s="175">
        <v>0</v>
      </c>
    </row>
    <row r="62" spans="2:20" x14ac:dyDescent="0.2">
      <c r="B62" s="168" t="s">
        <v>9</v>
      </c>
      <c r="C62" s="168" t="s">
        <v>24</v>
      </c>
      <c r="D62" s="173">
        <v>45716</v>
      </c>
      <c r="E62" s="174" t="s">
        <v>287</v>
      </c>
      <c r="F62" s="174" t="s">
        <v>292</v>
      </c>
      <c r="G62" s="174" t="s">
        <v>77</v>
      </c>
      <c r="H62" s="174" t="s">
        <v>358</v>
      </c>
      <c r="I62" s="174" t="s">
        <v>359</v>
      </c>
      <c r="J62" s="174" t="s">
        <v>293</v>
      </c>
      <c r="K62" s="174" t="s">
        <v>279</v>
      </c>
      <c r="L62" s="174" t="s">
        <v>280</v>
      </c>
      <c r="M62" s="174" t="s">
        <v>281</v>
      </c>
      <c r="N62" s="177">
        <v>6908987</v>
      </c>
      <c r="O62" s="174" t="s">
        <v>289</v>
      </c>
      <c r="P62" s="174" t="s">
        <v>283</v>
      </c>
      <c r="Q62" s="174" t="s">
        <v>284</v>
      </c>
      <c r="R62" s="174" t="s">
        <v>283</v>
      </c>
      <c r="S62" s="174" t="s">
        <v>283</v>
      </c>
      <c r="T62" s="175">
        <v>0</v>
      </c>
    </row>
    <row r="63" spans="2:20" x14ac:dyDescent="0.2">
      <c r="B63" s="168" t="s">
        <v>9</v>
      </c>
      <c r="C63" s="168" t="s">
        <v>222</v>
      </c>
      <c r="D63" s="173">
        <v>45716</v>
      </c>
      <c r="E63" s="174" t="s">
        <v>360</v>
      </c>
      <c r="F63" s="174" t="s">
        <v>300</v>
      </c>
      <c r="G63" s="174" t="s">
        <v>222</v>
      </c>
      <c r="H63" s="174" t="s">
        <v>358</v>
      </c>
      <c r="I63" s="174" t="s">
        <v>359</v>
      </c>
      <c r="J63" s="174" t="s">
        <v>361</v>
      </c>
      <c r="K63" s="174" t="s">
        <v>362</v>
      </c>
      <c r="L63" s="174" t="s">
        <v>280</v>
      </c>
      <c r="M63" s="174" t="s">
        <v>281</v>
      </c>
      <c r="N63" s="177">
        <v>1500000</v>
      </c>
      <c r="O63" s="174" t="s">
        <v>363</v>
      </c>
      <c r="P63" s="174" t="s">
        <v>283</v>
      </c>
      <c r="Q63" s="174" t="s">
        <v>325</v>
      </c>
      <c r="R63" s="174" t="s">
        <v>283</v>
      </c>
      <c r="S63" s="174" t="s">
        <v>283</v>
      </c>
      <c r="T63" s="175">
        <v>0</v>
      </c>
    </row>
    <row r="64" spans="2:20" x14ac:dyDescent="0.2">
      <c r="B64" s="168" t="s">
        <v>1</v>
      </c>
      <c r="C64" s="168" t="s">
        <v>24</v>
      </c>
      <c r="D64" s="173">
        <v>45692</v>
      </c>
      <c r="E64" s="174" t="s">
        <v>364</v>
      </c>
      <c r="F64" s="174" t="s">
        <v>365</v>
      </c>
      <c r="G64" s="174" t="s">
        <v>291</v>
      </c>
      <c r="H64" s="174" t="s">
        <v>366</v>
      </c>
      <c r="I64" s="174" t="s">
        <v>1</v>
      </c>
      <c r="J64" s="174" t="s">
        <v>367</v>
      </c>
      <c r="K64" s="174" t="s">
        <v>368</v>
      </c>
      <c r="L64" s="174" t="s">
        <v>280</v>
      </c>
      <c r="M64" s="174" t="s">
        <v>281</v>
      </c>
      <c r="N64" s="177">
        <v>-2426510</v>
      </c>
      <c r="O64" s="174" t="s">
        <v>369</v>
      </c>
      <c r="P64" s="174" t="s">
        <v>283</v>
      </c>
      <c r="Q64" s="174" t="s">
        <v>370</v>
      </c>
      <c r="R64" s="174" t="s">
        <v>283</v>
      </c>
      <c r="S64" s="174" t="s">
        <v>283</v>
      </c>
      <c r="T64" s="175">
        <v>0</v>
      </c>
    </row>
    <row r="65" spans="2:20" x14ac:dyDescent="0.2">
      <c r="B65" s="168" t="s">
        <v>1</v>
      </c>
      <c r="C65" s="168" t="s">
        <v>24</v>
      </c>
      <c r="D65" s="173">
        <v>45713</v>
      </c>
      <c r="E65" s="174" t="s">
        <v>371</v>
      </c>
      <c r="F65" s="174" t="s">
        <v>365</v>
      </c>
      <c r="G65" s="174" t="s">
        <v>291</v>
      </c>
      <c r="H65" s="174" t="s">
        <v>366</v>
      </c>
      <c r="I65" s="174" t="s">
        <v>1</v>
      </c>
      <c r="J65" s="174" t="s">
        <v>372</v>
      </c>
      <c r="K65" s="174" t="s">
        <v>373</v>
      </c>
      <c r="L65" s="174" t="s">
        <v>280</v>
      </c>
      <c r="M65" s="174" t="s">
        <v>281</v>
      </c>
      <c r="N65" s="177">
        <v>30000000</v>
      </c>
      <c r="O65" s="174" t="s">
        <v>374</v>
      </c>
      <c r="P65" s="174" t="s">
        <v>283</v>
      </c>
      <c r="Q65" s="174" t="s">
        <v>370</v>
      </c>
      <c r="R65" s="174" t="s">
        <v>283</v>
      </c>
      <c r="S65" s="174" t="s">
        <v>283</v>
      </c>
      <c r="T65" s="175">
        <v>0</v>
      </c>
    </row>
    <row r="66" spans="2:20" x14ac:dyDescent="0.2">
      <c r="B66" s="168" t="s">
        <v>7</v>
      </c>
      <c r="C66" s="168" t="s">
        <v>25</v>
      </c>
      <c r="D66" s="173">
        <v>45715</v>
      </c>
      <c r="E66" s="174" t="s">
        <v>334</v>
      </c>
      <c r="F66" s="174" t="s">
        <v>375</v>
      </c>
      <c r="G66" s="174" t="s">
        <v>336</v>
      </c>
      <c r="H66" s="174" t="s">
        <v>376</v>
      </c>
      <c r="I66" s="174" t="s">
        <v>377</v>
      </c>
      <c r="J66" s="174" t="s">
        <v>337</v>
      </c>
      <c r="K66" s="174" t="s">
        <v>338</v>
      </c>
      <c r="L66" s="174" t="s">
        <v>280</v>
      </c>
      <c r="M66" s="174" t="s">
        <v>281</v>
      </c>
      <c r="N66" s="177">
        <v>33575000</v>
      </c>
      <c r="O66" s="174" t="s">
        <v>339</v>
      </c>
      <c r="P66" s="174" t="s">
        <v>283</v>
      </c>
      <c r="Q66" s="174" t="s">
        <v>306</v>
      </c>
      <c r="R66" s="174" t="s">
        <v>283</v>
      </c>
      <c r="S66" s="174" t="s">
        <v>283</v>
      </c>
      <c r="T66" s="175">
        <v>0</v>
      </c>
    </row>
    <row r="67" spans="2:20" x14ac:dyDescent="0.2">
      <c r="B67" s="168" t="s">
        <v>2</v>
      </c>
      <c r="C67" s="168" t="s">
        <v>25</v>
      </c>
      <c r="D67" s="173">
        <v>45715</v>
      </c>
      <c r="E67" s="174" t="s">
        <v>334</v>
      </c>
      <c r="F67" s="174" t="s">
        <v>335</v>
      </c>
      <c r="G67" s="174" t="s">
        <v>336</v>
      </c>
      <c r="H67" s="174" t="s">
        <v>378</v>
      </c>
      <c r="I67" s="174" t="s">
        <v>379</v>
      </c>
      <c r="J67" s="174" t="s">
        <v>337</v>
      </c>
      <c r="K67" s="174" t="s">
        <v>338</v>
      </c>
      <c r="L67" s="174" t="s">
        <v>280</v>
      </c>
      <c r="M67" s="174" t="s">
        <v>281</v>
      </c>
      <c r="N67" s="177">
        <v>2900000</v>
      </c>
      <c r="O67" s="174" t="s">
        <v>339</v>
      </c>
      <c r="P67" s="174" t="s">
        <v>283</v>
      </c>
      <c r="Q67" s="174" t="s">
        <v>306</v>
      </c>
      <c r="R67" s="174" t="s">
        <v>283</v>
      </c>
      <c r="S67" s="174" t="s">
        <v>283</v>
      </c>
      <c r="T67" s="175">
        <v>0</v>
      </c>
    </row>
    <row r="68" spans="2:20" x14ac:dyDescent="0.2">
      <c r="B68" s="168" t="s">
        <v>10</v>
      </c>
      <c r="C68" s="168" t="s">
        <v>25</v>
      </c>
      <c r="D68" s="173">
        <v>45715</v>
      </c>
      <c r="E68" s="174" t="s">
        <v>334</v>
      </c>
      <c r="F68" s="174" t="s">
        <v>335</v>
      </c>
      <c r="G68" s="174" t="s">
        <v>336</v>
      </c>
      <c r="H68" s="174" t="s">
        <v>380</v>
      </c>
      <c r="I68" s="174" t="s">
        <v>381</v>
      </c>
      <c r="J68" s="174" t="s">
        <v>337</v>
      </c>
      <c r="K68" s="174" t="s">
        <v>338</v>
      </c>
      <c r="L68" s="174" t="s">
        <v>280</v>
      </c>
      <c r="M68" s="174" t="s">
        <v>281</v>
      </c>
      <c r="N68" s="177">
        <v>3850000</v>
      </c>
      <c r="O68" s="174" t="s">
        <v>339</v>
      </c>
      <c r="P68" s="174" t="s">
        <v>283</v>
      </c>
      <c r="Q68" s="174" t="s">
        <v>306</v>
      </c>
      <c r="R68" s="174" t="s">
        <v>283</v>
      </c>
      <c r="S68" s="174" t="s">
        <v>283</v>
      </c>
      <c r="T68" s="175">
        <v>0</v>
      </c>
    </row>
    <row r="69" spans="2:20" x14ac:dyDescent="0.2">
      <c r="B69" s="168" t="s">
        <v>9</v>
      </c>
      <c r="C69" s="168" t="s">
        <v>25</v>
      </c>
      <c r="D69" s="173">
        <v>45715</v>
      </c>
      <c r="E69" s="174" t="s">
        <v>334</v>
      </c>
      <c r="F69" s="174" t="s">
        <v>335</v>
      </c>
      <c r="G69" s="174" t="s">
        <v>336</v>
      </c>
      <c r="H69" s="174" t="s">
        <v>382</v>
      </c>
      <c r="I69" s="174" t="s">
        <v>200</v>
      </c>
      <c r="J69" s="174" t="s">
        <v>337</v>
      </c>
      <c r="K69" s="174" t="s">
        <v>338</v>
      </c>
      <c r="L69" s="174" t="s">
        <v>280</v>
      </c>
      <c r="M69" s="174" t="s">
        <v>281</v>
      </c>
      <c r="N69" s="177">
        <v>1350000</v>
      </c>
      <c r="O69" s="174" t="s">
        <v>339</v>
      </c>
      <c r="P69" s="174" t="s">
        <v>283</v>
      </c>
      <c r="Q69" s="174" t="s">
        <v>306</v>
      </c>
      <c r="R69" s="174" t="s">
        <v>283</v>
      </c>
      <c r="S69" s="174" t="s">
        <v>283</v>
      </c>
      <c r="T69" s="175">
        <v>0</v>
      </c>
    </row>
    <row r="70" spans="2:20" x14ac:dyDescent="0.2">
      <c r="B70" s="168" t="s">
        <v>1</v>
      </c>
      <c r="C70" s="168" t="s">
        <v>22</v>
      </c>
      <c r="D70" s="173">
        <v>45716</v>
      </c>
      <c r="E70" s="174" t="s">
        <v>273</v>
      </c>
      <c r="F70" s="174" t="s">
        <v>383</v>
      </c>
      <c r="G70" s="174" t="s">
        <v>275</v>
      </c>
      <c r="H70" s="174" t="s">
        <v>366</v>
      </c>
      <c r="I70" s="174" t="s">
        <v>1</v>
      </c>
      <c r="J70" s="174" t="s">
        <v>278</v>
      </c>
      <c r="K70" s="174" t="s">
        <v>279</v>
      </c>
      <c r="L70" s="174" t="s">
        <v>280</v>
      </c>
      <c r="M70" s="174" t="s">
        <v>281</v>
      </c>
      <c r="N70" s="177">
        <v>229320216</v>
      </c>
      <c r="O70" s="174" t="s">
        <v>282</v>
      </c>
      <c r="P70" s="174" t="s">
        <v>283</v>
      </c>
      <c r="Q70" s="174" t="s">
        <v>284</v>
      </c>
      <c r="R70" s="174" t="s">
        <v>283</v>
      </c>
      <c r="S70" s="174" t="s">
        <v>283</v>
      </c>
      <c r="T70" s="175">
        <v>0</v>
      </c>
    </row>
    <row r="71" spans="2:20" x14ac:dyDescent="0.2">
      <c r="B71" s="168" t="s">
        <v>1</v>
      </c>
      <c r="C71" s="168" t="s">
        <v>22</v>
      </c>
      <c r="D71" s="173">
        <v>45716</v>
      </c>
      <c r="E71" s="174" t="s">
        <v>273</v>
      </c>
      <c r="F71" s="174" t="s">
        <v>384</v>
      </c>
      <c r="G71" s="174" t="s">
        <v>286</v>
      </c>
      <c r="H71" s="174" t="s">
        <v>366</v>
      </c>
      <c r="I71" s="174" t="s">
        <v>1</v>
      </c>
      <c r="J71" s="174" t="s">
        <v>278</v>
      </c>
      <c r="K71" s="174" t="s">
        <v>279</v>
      </c>
      <c r="L71" s="174" t="s">
        <v>280</v>
      </c>
      <c r="M71" s="174" t="s">
        <v>281</v>
      </c>
      <c r="N71" s="177">
        <v>2898077</v>
      </c>
      <c r="O71" s="174" t="s">
        <v>282</v>
      </c>
      <c r="P71" s="174" t="s">
        <v>283</v>
      </c>
      <c r="Q71" s="174" t="s">
        <v>284</v>
      </c>
      <c r="R71" s="174" t="s">
        <v>283</v>
      </c>
      <c r="S71" s="174" t="s">
        <v>283</v>
      </c>
      <c r="T71" s="175">
        <v>0</v>
      </c>
    </row>
    <row r="72" spans="2:20" x14ac:dyDescent="0.2">
      <c r="B72" s="168" t="s">
        <v>1</v>
      </c>
      <c r="C72" s="168" t="s">
        <v>24</v>
      </c>
      <c r="D72" s="173">
        <v>45716</v>
      </c>
      <c r="E72" s="174" t="s">
        <v>273</v>
      </c>
      <c r="F72" s="174" t="s">
        <v>365</v>
      </c>
      <c r="G72" s="174" t="s">
        <v>291</v>
      </c>
      <c r="H72" s="174" t="s">
        <v>366</v>
      </c>
      <c r="I72" s="174" t="s">
        <v>1</v>
      </c>
      <c r="J72" s="174" t="s">
        <v>278</v>
      </c>
      <c r="K72" s="174" t="s">
        <v>279</v>
      </c>
      <c r="L72" s="174" t="s">
        <v>280</v>
      </c>
      <c r="M72" s="174" t="s">
        <v>281</v>
      </c>
      <c r="N72" s="177">
        <v>8220000</v>
      </c>
      <c r="O72" s="174" t="s">
        <v>282</v>
      </c>
      <c r="P72" s="174" t="s">
        <v>283</v>
      </c>
      <c r="Q72" s="174" t="s">
        <v>284</v>
      </c>
      <c r="R72" s="174" t="s">
        <v>283</v>
      </c>
      <c r="S72" s="174" t="s">
        <v>283</v>
      </c>
      <c r="T72" s="175">
        <v>0</v>
      </c>
    </row>
    <row r="73" spans="2:20" x14ac:dyDescent="0.2">
      <c r="B73" s="168" t="s">
        <v>1</v>
      </c>
      <c r="C73" s="168" t="s">
        <v>25</v>
      </c>
      <c r="D73" s="173">
        <v>45716</v>
      </c>
      <c r="E73" s="174" t="s">
        <v>273</v>
      </c>
      <c r="F73" s="174" t="s">
        <v>385</v>
      </c>
      <c r="G73" s="174" t="s">
        <v>336</v>
      </c>
      <c r="H73" s="174" t="s">
        <v>366</v>
      </c>
      <c r="I73" s="174" t="s">
        <v>1</v>
      </c>
      <c r="J73" s="174" t="s">
        <v>278</v>
      </c>
      <c r="K73" s="174" t="s">
        <v>279</v>
      </c>
      <c r="L73" s="174" t="s">
        <v>280</v>
      </c>
      <c r="M73" s="174" t="s">
        <v>281</v>
      </c>
      <c r="N73" s="177">
        <v>50000</v>
      </c>
      <c r="O73" s="174" t="s">
        <v>282</v>
      </c>
      <c r="P73" s="174" t="s">
        <v>283</v>
      </c>
      <c r="Q73" s="174" t="s">
        <v>284</v>
      </c>
      <c r="R73" s="174" t="s">
        <v>283</v>
      </c>
      <c r="S73" s="174" t="s">
        <v>283</v>
      </c>
      <c r="T73" s="175">
        <v>0</v>
      </c>
    </row>
    <row r="74" spans="2:20" x14ac:dyDescent="0.2">
      <c r="B74" s="168" t="s">
        <v>10</v>
      </c>
      <c r="C74" s="168" t="s">
        <v>22</v>
      </c>
      <c r="D74" s="173">
        <v>45716</v>
      </c>
      <c r="E74" s="174" t="s">
        <v>273</v>
      </c>
      <c r="F74" s="174" t="s">
        <v>274</v>
      </c>
      <c r="G74" s="174" t="s">
        <v>275</v>
      </c>
      <c r="H74" s="174" t="s">
        <v>380</v>
      </c>
      <c r="I74" s="174" t="s">
        <v>381</v>
      </c>
      <c r="J74" s="174" t="s">
        <v>278</v>
      </c>
      <c r="K74" s="174" t="s">
        <v>279</v>
      </c>
      <c r="L74" s="174" t="s">
        <v>280</v>
      </c>
      <c r="M74" s="174" t="s">
        <v>281</v>
      </c>
      <c r="N74" s="177">
        <v>468066942</v>
      </c>
      <c r="O74" s="174" t="s">
        <v>282</v>
      </c>
      <c r="P74" s="174" t="s">
        <v>283</v>
      </c>
      <c r="Q74" s="174" t="s">
        <v>284</v>
      </c>
      <c r="R74" s="174" t="s">
        <v>283</v>
      </c>
      <c r="S74" s="174" t="s">
        <v>283</v>
      </c>
      <c r="T74" s="175">
        <v>0</v>
      </c>
    </row>
    <row r="75" spans="2:20" x14ac:dyDescent="0.2">
      <c r="B75" s="168" t="s">
        <v>10</v>
      </c>
      <c r="C75" s="168" t="s">
        <v>22</v>
      </c>
      <c r="D75" s="173">
        <v>45716</v>
      </c>
      <c r="E75" s="174" t="s">
        <v>273</v>
      </c>
      <c r="F75" s="174" t="s">
        <v>285</v>
      </c>
      <c r="G75" s="174" t="s">
        <v>286</v>
      </c>
      <c r="H75" s="174" t="s">
        <v>380</v>
      </c>
      <c r="I75" s="174" t="s">
        <v>381</v>
      </c>
      <c r="J75" s="174" t="s">
        <v>278</v>
      </c>
      <c r="K75" s="174" t="s">
        <v>279</v>
      </c>
      <c r="L75" s="174" t="s">
        <v>280</v>
      </c>
      <c r="M75" s="174" t="s">
        <v>281</v>
      </c>
      <c r="N75" s="177">
        <v>20719309</v>
      </c>
      <c r="O75" s="174" t="s">
        <v>282</v>
      </c>
      <c r="P75" s="174" t="s">
        <v>283</v>
      </c>
      <c r="Q75" s="174" t="s">
        <v>284</v>
      </c>
      <c r="R75" s="174" t="s">
        <v>283</v>
      </c>
      <c r="S75" s="174" t="s">
        <v>283</v>
      </c>
      <c r="T75" s="175">
        <v>0</v>
      </c>
    </row>
    <row r="76" spans="2:20" x14ac:dyDescent="0.2">
      <c r="B76" s="168" t="s">
        <v>10</v>
      </c>
      <c r="C76" s="168" t="s">
        <v>24</v>
      </c>
      <c r="D76" s="173">
        <v>45716</v>
      </c>
      <c r="E76" s="174" t="s">
        <v>273</v>
      </c>
      <c r="F76" s="174" t="s">
        <v>290</v>
      </c>
      <c r="G76" s="174" t="s">
        <v>291</v>
      </c>
      <c r="H76" s="174" t="s">
        <v>380</v>
      </c>
      <c r="I76" s="174" t="s">
        <v>381</v>
      </c>
      <c r="J76" s="174" t="s">
        <v>278</v>
      </c>
      <c r="K76" s="174" t="s">
        <v>279</v>
      </c>
      <c r="L76" s="174" t="s">
        <v>280</v>
      </c>
      <c r="M76" s="174" t="s">
        <v>281</v>
      </c>
      <c r="N76" s="177">
        <v>246254898</v>
      </c>
      <c r="O76" s="174" t="s">
        <v>282</v>
      </c>
      <c r="P76" s="174" t="s">
        <v>283</v>
      </c>
      <c r="Q76" s="174" t="s">
        <v>284</v>
      </c>
      <c r="R76" s="174" t="s">
        <v>283</v>
      </c>
      <c r="S76" s="174" t="s">
        <v>283</v>
      </c>
      <c r="T76" s="175">
        <v>0</v>
      </c>
    </row>
    <row r="77" spans="2:20" x14ac:dyDescent="0.2">
      <c r="B77" s="168" t="s">
        <v>10</v>
      </c>
      <c r="C77" s="168" t="s">
        <v>25</v>
      </c>
      <c r="D77" s="173">
        <v>45716</v>
      </c>
      <c r="E77" s="174" t="s">
        <v>273</v>
      </c>
      <c r="F77" s="174" t="s">
        <v>335</v>
      </c>
      <c r="G77" s="174" t="s">
        <v>336</v>
      </c>
      <c r="H77" s="174" t="s">
        <v>380</v>
      </c>
      <c r="I77" s="174" t="s">
        <v>381</v>
      </c>
      <c r="J77" s="174" t="s">
        <v>278</v>
      </c>
      <c r="K77" s="174" t="s">
        <v>279</v>
      </c>
      <c r="L77" s="174" t="s">
        <v>280</v>
      </c>
      <c r="M77" s="174" t="s">
        <v>281</v>
      </c>
      <c r="N77" s="177">
        <v>7950000</v>
      </c>
      <c r="O77" s="174" t="s">
        <v>282</v>
      </c>
      <c r="P77" s="174" t="s">
        <v>283</v>
      </c>
      <c r="Q77" s="174" t="s">
        <v>284</v>
      </c>
      <c r="R77" s="174" t="s">
        <v>283</v>
      </c>
      <c r="S77" s="174" t="s">
        <v>283</v>
      </c>
      <c r="T77" s="175">
        <v>0</v>
      </c>
    </row>
    <row r="78" spans="2:20" x14ac:dyDescent="0.2">
      <c r="B78" s="168" t="s">
        <v>2</v>
      </c>
      <c r="C78" s="168" t="s">
        <v>22</v>
      </c>
      <c r="D78" s="173">
        <v>45716</v>
      </c>
      <c r="E78" s="174" t="s">
        <v>273</v>
      </c>
      <c r="F78" s="174" t="s">
        <v>274</v>
      </c>
      <c r="G78" s="174" t="s">
        <v>275</v>
      </c>
      <c r="H78" s="174" t="s">
        <v>378</v>
      </c>
      <c r="I78" s="174" t="s">
        <v>379</v>
      </c>
      <c r="J78" s="174" t="s">
        <v>278</v>
      </c>
      <c r="K78" s="174" t="s">
        <v>279</v>
      </c>
      <c r="L78" s="174" t="s">
        <v>280</v>
      </c>
      <c r="M78" s="174" t="s">
        <v>281</v>
      </c>
      <c r="N78" s="177">
        <v>83811899</v>
      </c>
      <c r="O78" s="174" t="s">
        <v>282</v>
      </c>
      <c r="P78" s="174" t="s">
        <v>283</v>
      </c>
      <c r="Q78" s="174" t="s">
        <v>284</v>
      </c>
      <c r="R78" s="174" t="s">
        <v>283</v>
      </c>
      <c r="S78" s="174" t="s">
        <v>283</v>
      </c>
      <c r="T78" s="175">
        <v>0</v>
      </c>
    </row>
    <row r="79" spans="2:20" x14ac:dyDescent="0.2">
      <c r="B79" s="168" t="s">
        <v>2</v>
      </c>
      <c r="C79" s="168" t="s">
        <v>22</v>
      </c>
      <c r="D79" s="173">
        <v>45716</v>
      </c>
      <c r="E79" s="174" t="s">
        <v>273</v>
      </c>
      <c r="F79" s="174" t="s">
        <v>285</v>
      </c>
      <c r="G79" s="174" t="s">
        <v>286</v>
      </c>
      <c r="H79" s="174" t="s">
        <v>378</v>
      </c>
      <c r="I79" s="174" t="s">
        <v>379</v>
      </c>
      <c r="J79" s="174" t="s">
        <v>278</v>
      </c>
      <c r="K79" s="174" t="s">
        <v>279</v>
      </c>
      <c r="L79" s="174" t="s">
        <v>280</v>
      </c>
      <c r="M79" s="174" t="s">
        <v>281</v>
      </c>
      <c r="N79" s="177">
        <v>6492172</v>
      </c>
      <c r="O79" s="174" t="s">
        <v>282</v>
      </c>
      <c r="P79" s="174" t="s">
        <v>283</v>
      </c>
      <c r="Q79" s="174" t="s">
        <v>284</v>
      </c>
      <c r="R79" s="174" t="s">
        <v>283</v>
      </c>
      <c r="S79" s="174" t="s">
        <v>283</v>
      </c>
      <c r="T79" s="175">
        <v>0</v>
      </c>
    </row>
    <row r="80" spans="2:20" x14ac:dyDescent="0.2">
      <c r="B80" s="168" t="s">
        <v>2</v>
      </c>
      <c r="C80" s="168" t="s">
        <v>24</v>
      </c>
      <c r="D80" s="173">
        <v>45716</v>
      </c>
      <c r="E80" s="174" t="s">
        <v>273</v>
      </c>
      <c r="F80" s="174" t="s">
        <v>290</v>
      </c>
      <c r="G80" s="174" t="s">
        <v>291</v>
      </c>
      <c r="H80" s="174" t="s">
        <v>378</v>
      </c>
      <c r="I80" s="174" t="s">
        <v>379</v>
      </c>
      <c r="J80" s="174" t="s">
        <v>278</v>
      </c>
      <c r="K80" s="174" t="s">
        <v>279</v>
      </c>
      <c r="L80" s="174" t="s">
        <v>280</v>
      </c>
      <c r="M80" s="174" t="s">
        <v>281</v>
      </c>
      <c r="N80" s="177">
        <v>1000000</v>
      </c>
      <c r="O80" s="174" t="s">
        <v>282</v>
      </c>
      <c r="P80" s="174" t="s">
        <v>283</v>
      </c>
      <c r="Q80" s="174" t="s">
        <v>284</v>
      </c>
      <c r="R80" s="174" t="s">
        <v>283</v>
      </c>
      <c r="S80" s="174" t="s">
        <v>283</v>
      </c>
      <c r="T80" s="175">
        <v>0</v>
      </c>
    </row>
    <row r="81" spans="2:20" x14ac:dyDescent="0.2">
      <c r="B81" s="168" t="s">
        <v>7</v>
      </c>
      <c r="C81" s="168" t="s">
        <v>25</v>
      </c>
      <c r="D81" s="173">
        <v>45716</v>
      </c>
      <c r="E81" s="174" t="s">
        <v>273</v>
      </c>
      <c r="F81" s="174" t="s">
        <v>386</v>
      </c>
      <c r="G81" s="174" t="s">
        <v>341</v>
      </c>
      <c r="H81" s="174" t="s">
        <v>376</v>
      </c>
      <c r="I81" s="174" t="s">
        <v>377</v>
      </c>
      <c r="J81" s="174" t="s">
        <v>278</v>
      </c>
      <c r="K81" s="174" t="s">
        <v>279</v>
      </c>
      <c r="L81" s="174" t="s">
        <v>280</v>
      </c>
      <c r="M81" s="174" t="s">
        <v>281</v>
      </c>
      <c r="N81" s="177">
        <v>39253756</v>
      </c>
      <c r="O81" s="174" t="s">
        <v>282</v>
      </c>
      <c r="P81" s="174" t="s">
        <v>283</v>
      </c>
      <c r="Q81" s="174" t="s">
        <v>284</v>
      </c>
      <c r="R81" s="174" t="s">
        <v>283</v>
      </c>
      <c r="S81" s="174" t="s">
        <v>283</v>
      </c>
      <c r="T81" s="175">
        <v>0</v>
      </c>
    </row>
    <row r="82" spans="2:20" x14ac:dyDescent="0.2">
      <c r="B82" s="168" t="s">
        <v>7</v>
      </c>
      <c r="C82" s="168" t="s">
        <v>22</v>
      </c>
      <c r="D82" s="173">
        <v>45716</v>
      </c>
      <c r="E82" s="174" t="s">
        <v>273</v>
      </c>
      <c r="F82" s="174" t="s">
        <v>387</v>
      </c>
      <c r="G82" s="174" t="s">
        <v>275</v>
      </c>
      <c r="H82" s="174" t="s">
        <v>376</v>
      </c>
      <c r="I82" s="174" t="s">
        <v>377</v>
      </c>
      <c r="J82" s="174" t="s">
        <v>278</v>
      </c>
      <c r="K82" s="174" t="s">
        <v>279</v>
      </c>
      <c r="L82" s="174" t="s">
        <v>280</v>
      </c>
      <c r="M82" s="174" t="s">
        <v>281</v>
      </c>
      <c r="N82" s="177">
        <v>918837850</v>
      </c>
      <c r="O82" s="174" t="s">
        <v>282</v>
      </c>
      <c r="P82" s="174" t="s">
        <v>283</v>
      </c>
      <c r="Q82" s="174" t="s">
        <v>284</v>
      </c>
      <c r="R82" s="174" t="s">
        <v>283</v>
      </c>
      <c r="S82" s="174" t="s">
        <v>283</v>
      </c>
      <c r="T82" s="175">
        <v>0</v>
      </c>
    </row>
    <row r="83" spans="2:20" x14ac:dyDescent="0.2">
      <c r="B83" s="168" t="s">
        <v>7</v>
      </c>
      <c r="C83" s="168" t="s">
        <v>22</v>
      </c>
      <c r="D83" s="173">
        <v>45716</v>
      </c>
      <c r="E83" s="174" t="s">
        <v>273</v>
      </c>
      <c r="F83" s="174" t="s">
        <v>388</v>
      </c>
      <c r="G83" s="174" t="s">
        <v>286</v>
      </c>
      <c r="H83" s="174" t="s">
        <v>376</v>
      </c>
      <c r="I83" s="174" t="s">
        <v>377</v>
      </c>
      <c r="J83" s="174" t="s">
        <v>278</v>
      </c>
      <c r="K83" s="174" t="s">
        <v>279</v>
      </c>
      <c r="L83" s="174" t="s">
        <v>280</v>
      </c>
      <c r="M83" s="174" t="s">
        <v>281</v>
      </c>
      <c r="N83" s="177">
        <v>35511327</v>
      </c>
      <c r="O83" s="174" t="s">
        <v>282</v>
      </c>
      <c r="P83" s="174" t="s">
        <v>283</v>
      </c>
      <c r="Q83" s="174" t="s">
        <v>284</v>
      </c>
      <c r="R83" s="174" t="s">
        <v>283</v>
      </c>
      <c r="S83" s="174" t="s">
        <v>283</v>
      </c>
      <c r="T83" s="175">
        <v>0</v>
      </c>
    </row>
    <row r="84" spans="2:20" x14ac:dyDescent="0.2">
      <c r="B84" s="168" t="s">
        <v>7</v>
      </c>
      <c r="C84" s="168" t="s">
        <v>23</v>
      </c>
      <c r="D84" s="173">
        <v>45716</v>
      </c>
      <c r="E84" s="174" t="s">
        <v>273</v>
      </c>
      <c r="F84" s="174" t="s">
        <v>389</v>
      </c>
      <c r="G84" s="174" t="s">
        <v>390</v>
      </c>
      <c r="H84" s="174" t="s">
        <v>376</v>
      </c>
      <c r="I84" s="174" t="s">
        <v>377</v>
      </c>
      <c r="J84" s="174" t="s">
        <v>278</v>
      </c>
      <c r="K84" s="174" t="s">
        <v>279</v>
      </c>
      <c r="L84" s="174" t="s">
        <v>280</v>
      </c>
      <c r="M84" s="174" t="s">
        <v>281</v>
      </c>
      <c r="N84" s="177">
        <v>279940724</v>
      </c>
      <c r="O84" s="174" t="s">
        <v>282</v>
      </c>
      <c r="P84" s="174" t="s">
        <v>283</v>
      </c>
      <c r="Q84" s="174" t="s">
        <v>284</v>
      </c>
      <c r="R84" s="174" t="s">
        <v>283</v>
      </c>
      <c r="S84" s="174" t="s">
        <v>283</v>
      </c>
      <c r="T84" s="175">
        <v>0</v>
      </c>
    </row>
    <row r="85" spans="2:20" x14ac:dyDescent="0.2">
      <c r="B85" s="168" t="s">
        <v>7</v>
      </c>
      <c r="C85" s="168" t="s">
        <v>24</v>
      </c>
      <c r="D85" s="173">
        <v>45716</v>
      </c>
      <c r="E85" s="174" t="s">
        <v>273</v>
      </c>
      <c r="F85" s="174" t="s">
        <v>391</v>
      </c>
      <c r="G85" s="174" t="s">
        <v>291</v>
      </c>
      <c r="H85" s="174" t="s">
        <v>376</v>
      </c>
      <c r="I85" s="174" t="s">
        <v>377</v>
      </c>
      <c r="J85" s="174" t="s">
        <v>278</v>
      </c>
      <c r="K85" s="174" t="s">
        <v>279</v>
      </c>
      <c r="L85" s="174" t="s">
        <v>280</v>
      </c>
      <c r="M85" s="174" t="s">
        <v>281</v>
      </c>
      <c r="N85" s="177">
        <v>119900000</v>
      </c>
      <c r="O85" s="174" t="s">
        <v>282</v>
      </c>
      <c r="P85" s="174" t="s">
        <v>283</v>
      </c>
      <c r="Q85" s="174" t="s">
        <v>284</v>
      </c>
      <c r="R85" s="174" t="s">
        <v>283</v>
      </c>
      <c r="S85" s="174" t="s">
        <v>283</v>
      </c>
      <c r="T85" s="175">
        <v>0</v>
      </c>
    </row>
    <row r="86" spans="2:20" x14ac:dyDescent="0.2">
      <c r="B86" s="168" t="s">
        <v>7</v>
      </c>
      <c r="C86" s="168" t="s">
        <v>25</v>
      </c>
      <c r="D86" s="173">
        <v>45716</v>
      </c>
      <c r="E86" s="174" t="s">
        <v>273</v>
      </c>
      <c r="F86" s="174" t="s">
        <v>375</v>
      </c>
      <c r="G86" s="174" t="s">
        <v>336</v>
      </c>
      <c r="H86" s="174" t="s">
        <v>376</v>
      </c>
      <c r="I86" s="174" t="s">
        <v>377</v>
      </c>
      <c r="J86" s="174" t="s">
        <v>278</v>
      </c>
      <c r="K86" s="174" t="s">
        <v>279</v>
      </c>
      <c r="L86" s="174" t="s">
        <v>280</v>
      </c>
      <c r="M86" s="174" t="s">
        <v>281</v>
      </c>
      <c r="N86" s="177">
        <v>9220000</v>
      </c>
      <c r="O86" s="174" t="s">
        <v>282</v>
      </c>
      <c r="P86" s="174" t="s">
        <v>283</v>
      </c>
      <c r="Q86" s="174" t="s">
        <v>284</v>
      </c>
      <c r="R86" s="174" t="s">
        <v>283</v>
      </c>
      <c r="S86" s="174" t="s">
        <v>283</v>
      </c>
      <c r="T86" s="175">
        <v>0</v>
      </c>
    </row>
    <row r="87" spans="2:20" x14ac:dyDescent="0.2">
      <c r="B87" s="168" t="s">
        <v>9</v>
      </c>
      <c r="C87" s="168" t="s">
        <v>22</v>
      </c>
      <c r="D87" s="173">
        <v>45716</v>
      </c>
      <c r="E87" s="174" t="s">
        <v>273</v>
      </c>
      <c r="F87" s="174" t="s">
        <v>274</v>
      </c>
      <c r="G87" s="174" t="s">
        <v>275</v>
      </c>
      <c r="H87" s="174" t="s">
        <v>382</v>
      </c>
      <c r="I87" s="174" t="s">
        <v>200</v>
      </c>
      <c r="J87" s="174" t="s">
        <v>278</v>
      </c>
      <c r="K87" s="174" t="s">
        <v>279</v>
      </c>
      <c r="L87" s="174" t="s">
        <v>280</v>
      </c>
      <c r="M87" s="174" t="s">
        <v>281</v>
      </c>
      <c r="N87" s="177">
        <v>67748120</v>
      </c>
      <c r="O87" s="174" t="s">
        <v>282</v>
      </c>
      <c r="P87" s="174" t="s">
        <v>283</v>
      </c>
      <c r="Q87" s="174" t="s">
        <v>284</v>
      </c>
      <c r="R87" s="174" t="s">
        <v>283</v>
      </c>
      <c r="S87" s="174" t="s">
        <v>283</v>
      </c>
      <c r="T87" s="175">
        <v>0</v>
      </c>
    </row>
    <row r="88" spans="2:20" x14ac:dyDescent="0.2">
      <c r="B88" s="168" t="s">
        <v>9</v>
      </c>
      <c r="C88" s="168" t="s">
        <v>22</v>
      </c>
      <c r="D88" s="173">
        <v>45716</v>
      </c>
      <c r="E88" s="174" t="s">
        <v>273</v>
      </c>
      <c r="F88" s="174" t="s">
        <v>285</v>
      </c>
      <c r="G88" s="174" t="s">
        <v>286</v>
      </c>
      <c r="H88" s="174" t="s">
        <v>382</v>
      </c>
      <c r="I88" s="174" t="s">
        <v>200</v>
      </c>
      <c r="J88" s="174" t="s">
        <v>278</v>
      </c>
      <c r="K88" s="174" t="s">
        <v>279</v>
      </c>
      <c r="L88" s="174" t="s">
        <v>280</v>
      </c>
      <c r="M88" s="174" t="s">
        <v>281</v>
      </c>
      <c r="N88" s="177">
        <v>703192</v>
      </c>
      <c r="O88" s="174" t="s">
        <v>282</v>
      </c>
      <c r="P88" s="174" t="s">
        <v>283</v>
      </c>
      <c r="Q88" s="174" t="s">
        <v>284</v>
      </c>
      <c r="R88" s="174" t="s">
        <v>283</v>
      </c>
      <c r="S88" s="174" t="s">
        <v>283</v>
      </c>
      <c r="T88" s="175">
        <v>0</v>
      </c>
    </row>
    <row r="89" spans="2:20" x14ac:dyDescent="0.2">
      <c r="B89" s="168" t="s">
        <v>9</v>
      </c>
      <c r="C89" s="168" t="s">
        <v>24</v>
      </c>
      <c r="D89" s="173">
        <v>45716</v>
      </c>
      <c r="E89" s="174" t="s">
        <v>273</v>
      </c>
      <c r="F89" s="174" t="s">
        <v>290</v>
      </c>
      <c r="G89" s="174" t="s">
        <v>291</v>
      </c>
      <c r="H89" s="174" t="s">
        <v>382</v>
      </c>
      <c r="I89" s="174" t="s">
        <v>200</v>
      </c>
      <c r="J89" s="174" t="s">
        <v>278</v>
      </c>
      <c r="K89" s="174" t="s">
        <v>279</v>
      </c>
      <c r="L89" s="174" t="s">
        <v>280</v>
      </c>
      <c r="M89" s="174" t="s">
        <v>281</v>
      </c>
      <c r="N89" s="177">
        <v>1500000</v>
      </c>
      <c r="O89" s="174" t="s">
        <v>282</v>
      </c>
      <c r="P89" s="174" t="s">
        <v>283</v>
      </c>
      <c r="Q89" s="174" t="s">
        <v>284</v>
      </c>
      <c r="R89" s="174" t="s">
        <v>283</v>
      </c>
      <c r="S89" s="174" t="s">
        <v>283</v>
      </c>
      <c r="T89" s="175">
        <v>0</v>
      </c>
    </row>
    <row r="90" spans="2:20" x14ac:dyDescent="0.2">
      <c r="B90" s="168" t="s">
        <v>9</v>
      </c>
      <c r="C90" s="168" t="s">
        <v>25</v>
      </c>
      <c r="D90" s="173">
        <v>45716</v>
      </c>
      <c r="E90" s="174" t="s">
        <v>273</v>
      </c>
      <c r="F90" s="174" t="s">
        <v>335</v>
      </c>
      <c r="G90" s="174" t="s">
        <v>336</v>
      </c>
      <c r="H90" s="174" t="s">
        <v>382</v>
      </c>
      <c r="I90" s="174" t="s">
        <v>200</v>
      </c>
      <c r="J90" s="174" t="s">
        <v>278</v>
      </c>
      <c r="K90" s="174" t="s">
        <v>279</v>
      </c>
      <c r="L90" s="174" t="s">
        <v>280</v>
      </c>
      <c r="M90" s="174" t="s">
        <v>281</v>
      </c>
      <c r="N90" s="177">
        <v>75000</v>
      </c>
      <c r="O90" s="174" t="s">
        <v>282</v>
      </c>
      <c r="P90" s="174" t="s">
        <v>283</v>
      </c>
      <c r="Q90" s="174" t="s">
        <v>284</v>
      </c>
      <c r="R90" s="174" t="s">
        <v>283</v>
      </c>
      <c r="S90" s="174" t="s">
        <v>283</v>
      </c>
      <c r="T90" s="175">
        <v>0</v>
      </c>
    </row>
    <row r="91" spans="2:20" x14ac:dyDescent="0.2">
      <c r="B91" s="168" t="s">
        <v>1</v>
      </c>
      <c r="C91" s="168" t="s">
        <v>170</v>
      </c>
      <c r="D91" s="173">
        <v>45716</v>
      </c>
      <c r="E91" s="174" t="s">
        <v>294</v>
      </c>
      <c r="F91" s="174" t="s">
        <v>392</v>
      </c>
      <c r="G91" s="174" t="s">
        <v>296</v>
      </c>
      <c r="H91" s="174" t="s">
        <v>366</v>
      </c>
      <c r="I91" s="174" t="s">
        <v>1</v>
      </c>
      <c r="J91" s="174" t="s">
        <v>297</v>
      </c>
      <c r="K91" s="174" t="s">
        <v>279</v>
      </c>
      <c r="L91" s="174" t="s">
        <v>280</v>
      </c>
      <c r="M91" s="174" t="s">
        <v>281</v>
      </c>
      <c r="N91" s="177">
        <v>57199945</v>
      </c>
      <c r="O91" s="174" t="s">
        <v>298</v>
      </c>
      <c r="P91" s="174" t="s">
        <v>283</v>
      </c>
      <c r="Q91" s="174" t="s">
        <v>284</v>
      </c>
      <c r="R91" s="174" t="s">
        <v>283</v>
      </c>
      <c r="S91" s="174" t="s">
        <v>283</v>
      </c>
      <c r="T91" s="175">
        <v>0</v>
      </c>
    </row>
    <row r="92" spans="2:20" x14ac:dyDescent="0.2">
      <c r="B92" s="168" t="s">
        <v>10</v>
      </c>
      <c r="C92" s="168" t="s">
        <v>170</v>
      </c>
      <c r="D92" s="173">
        <v>45716</v>
      </c>
      <c r="E92" s="174" t="s">
        <v>294</v>
      </c>
      <c r="F92" s="174" t="s">
        <v>295</v>
      </c>
      <c r="G92" s="174" t="s">
        <v>296</v>
      </c>
      <c r="H92" s="174" t="s">
        <v>380</v>
      </c>
      <c r="I92" s="174" t="s">
        <v>381</v>
      </c>
      <c r="J92" s="174" t="s">
        <v>297</v>
      </c>
      <c r="K92" s="174" t="s">
        <v>279</v>
      </c>
      <c r="L92" s="174" t="s">
        <v>280</v>
      </c>
      <c r="M92" s="174" t="s">
        <v>281</v>
      </c>
      <c r="N92" s="177">
        <v>98662635</v>
      </c>
      <c r="O92" s="174" t="s">
        <v>298</v>
      </c>
      <c r="P92" s="174" t="s">
        <v>283</v>
      </c>
      <c r="Q92" s="174" t="s">
        <v>284</v>
      </c>
      <c r="R92" s="174" t="s">
        <v>283</v>
      </c>
      <c r="S92" s="174" t="s">
        <v>283</v>
      </c>
      <c r="T92" s="175">
        <v>0</v>
      </c>
    </row>
    <row r="93" spans="2:20" x14ac:dyDescent="0.2">
      <c r="B93" s="168" t="s">
        <v>2</v>
      </c>
      <c r="C93" s="168" t="s">
        <v>170</v>
      </c>
      <c r="D93" s="173">
        <v>45716</v>
      </c>
      <c r="E93" s="174" t="s">
        <v>294</v>
      </c>
      <c r="F93" s="174" t="s">
        <v>295</v>
      </c>
      <c r="G93" s="174" t="s">
        <v>296</v>
      </c>
      <c r="H93" s="174" t="s">
        <v>378</v>
      </c>
      <c r="I93" s="174" t="s">
        <v>379</v>
      </c>
      <c r="J93" s="174" t="s">
        <v>297</v>
      </c>
      <c r="K93" s="174" t="s">
        <v>279</v>
      </c>
      <c r="L93" s="174" t="s">
        <v>280</v>
      </c>
      <c r="M93" s="174" t="s">
        <v>281</v>
      </c>
      <c r="N93" s="177">
        <v>22638255</v>
      </c>
      <c r="O93" s="174" t="s">
        <v>298</v>
      </c>
      <c r="P93" s="174" t="s">
        <v>283</v>
      </c>
      <c r="Q93" s="174" t="s">
        <v>284</v>
      </c>
      <c r="R93" s="174" t="s">
        <v>283</v>
      </c>
      <c r="S93" s="174" t="s">
        <v>283</v>
      </c>
      <c r="T93" s="175">
        <v>0</v>
      </c>
    </row>
    <row r="94" spans="2:20" x14ac:dyDescent="0.2">
      <c r="B94" s="168" t="s">
        <v>7</v>
      </c>
      <c r="C94" s="168" t="s">
        <v>170</v>
      </c>
      <c r="D94" s="173">
        <v>45716</v>
      </c>
      <c r="E94" s="174" t="s">
        <v>294</v>
      </c>
      <c r="F94" s="174" t="s">
        <v>393</v>
      </c>
      <c r="G94" s="174" t="s">
        <v>296</v>
      </c>
      <c r="H94" s="174" t="s">
        <v>376</v>
      </c>
      <c r="I94" s="174" t="s">
        <v>377</v>
      </c>
      <c r="J94" s="174" t="s">
        <v>297</v>
      </c>
      <c r="K94" s="174" t="s">
        <v>279</v>
      </c>
      <c r="L94" s="174" t="s">
        <v>280</v>
      </c>
      <c r="M94" s="174" t="s">
        <v>281</v>
      </c>
      <c r="N94" s="177">
        <v>213996170</v>
      </c>
      <c r="O94" s="174" t="s">
        <v>298</v>
      </c>
      <c r="P94" s="174" t="s">
        <v>283</v>
      </c>
      <c r="Q94" s="174" t="s">
        <v>284</v>
      </c>
      <c r="R94" s="174" t="s">
        <v>283</v>
      </c>
      <c r="S94" s="174" t="s">
        <v>283</v>
      </c>
      <c r="T94" s="175">
        <v>0</v>
      </c>
    </row>
    <row r="95" spans="2:20" x14ac:dyDescent="0.2">
      <c r="B95" s="168" t="s">
        <v>9</v>
      </c>
      <c r="C95" s="168" t="s">
        <v>170</v>
      </c>
      <c r="D95" s="173">
        <v>45716</v>
      </c>
      <c r="E95" s="174" t="s">
        <v>294</v>
      </c>
      <c r="F95" s="174" t="s">
        <v>295</v>
      </c>
      <c r="G95" s="174" t="s">
        <v>296</v>
      </c>
      <c r="H95" s="174" t="s">
        <v>382</v>
      </c>
      <c r="I95" s="174" t="s">
        <v>200</v>
      </c>
      <c r="J95" s="174" t="s">
        <v>297</v>
      </c>
      <c r="K95" s="174" t="s">
        <v>279</v>
      </c>
      <c r="L95" s="174" t="s">
        <v>280</v>
      </c>
      <c r="M95" s="174" t="s">
        <v>281</v>
      </c>
      <c r="N95" s="177">
        <v>12767785</v>
      </c>
      <c r="O95" s="174" t="s">
        <v>298</v>
      </c>
      <c r="P95" s="174" t="s">
        <v>283</v>
      </c>
      <c r="Q95" s="174" t="s">
        <v>284</v>
      </c>
      <c r="R95" s="174" t="s">
        <v>283</v>
      </c>
      <c r="S95" s="174" t="s">
        <v>283</v>
      </c>
      <c r="T95" s="175">
        <v>0</v>
      </c>
    </row>
    <row r="96" spans="2:20" x14ac:dyDescent="0.2">
      <c r="B96" s="168" t="s">
        <v>7</v>
      </c>
      <c r="C96" s="168" t="s">
        <v>170</v>
      </c>
      <c r="D96" s="173">
        <v>45716</v>
      </c>
      <c r="E96" s="174" t="s">
        <v>294</v>
      </c>
      <c r="F96" s="174" t="s">
        <v>393</v>
      </c>
      <c r="G96" s="174" t="s">
        <v>296</v>
      </c>
      <c r="H96" s="174" t="s">
        <v>376</v>
      </c>
      <c r="I96" s="174" t="s">
        <v>377</v>
      </c>
      <c r="J96" s="174" t="s">
        <v>297</v>
      </c>
      <c r="K96" s="174" t="s">
        <v>279</v>
      </c>
      <c r="L96" s="174" t="s">
        <v>280</v>
      </c>
      <c r="M96" s="174" t="s">
        <v>281</v>
      </c>
      <c r="N96" s="177">
        <v>3153700</v>
      </c>
      <c r="O96" s="174" t="s">
        <v>298</v>
      </c>
      <c r="P96" s="174" t="s">
        <v>283</v>
      </c>
      <c r="Q96" s="174" t="s">
        <v>284</v>
      </c>
      <c r="R96" s="174" t="s">
        <v>283</v>
      </c>
      <c r="S96" s="174" t="s">
        <v>283</v>
      </c>
      <c r="T96" s="175">
        <v>0</v>
      </c>
    </row>
    <row r="97" spans="1:20" x14ac:dyDescent="0.2">
      <c r="B97" s="168" t="s">
        <v>1</v>
      </c>
      <c r="C97" s="168" t="s">
        <v>22</v>
      </c>
      <c r="D97" s="173">
        <v>45716</v>
      </c>
      <c r="E97" s="174" t="s">
        <v>287</v>
      </c>
      <c r="F97" s="174" t="s">
        <v>384</v>
      </c>
      <c r="G97" s="174" t="s">
        <v>286</v>
      </c>
      <c r="H97" s="174" t="s">
        <v>366</v>
      </c>
      <c r="I97" s="174" t="s">
        <v>1</v>
      </c>
      <c r="J97" s="174" t="s">
        <v>288</v>
      </c>
      <c r="K97" s="174" t="s">
        <v>279</v>
      </c>
      <c r="L97" s="174" t="s">
        <v>280</v>
      </c>
      <c r="M97" s="174" t="s">
        <v>281</v>
      </c>
      <c r="N97" s="177">
        <v>24380167</v>
      </c>
      <c r="O97" s="174" t="s">
        <v>289</v>
      </c>
      <c r="P97" s="174" t="s">
        <v>283</v>
      </c>
      <c r="Q97" s="174" t="s">
        <v>284</v>
      </c>
      <c r="R97" s="174" t="s">
        <v>283</v>
      </c>
      <c r="S97" s="174" t="s">
        <v>283</v>
      </c>
      <c r="T97" s="175">
        <v>0</v>
      </c>
    </row>
    <row r="98" spans="1:20" x14ac:dyDescent="0.2">
      <c r="B98" s="168" t="s">
        <v>1</v>
      </c>
      <c r="C98" s="168" t="s">
        <v>24</v>
      </c>
      <c r="D98" s="173">
        <v>45716</v>
      </c>
      <c r="E98" s="174" t="s">
        <v>287</v>
      </c>
      <c r="F98" s="174" t="s">
        <v>394</v>
      </c>
      <c r="G98" s="174" t="s">
        <v>77</v>
      </c>
      <c r="H98" s="174" t="s">
        <v>366</v>
      </c>
      <c r="I98" s="174" t="s">
        <v>1</v>
      </c>
      <c r="J98" s="174" t="s">
        <v>293</v>
      </c>
      <c r="K98" s="174" t="s">
        <v>279</v>
      </c>
      <c r="L98" s="174" t="s">
        <v>280</v>
      </c>
      <c r="M98" s="174" t="s">
        <v>281</v>
      </c>
      <c r="N98" s="177">
        <v>22429558</v>
      </c>
      <c r="O98" s="174" t="s">
        <v>289</v>
      </c>
      <c r="P98" s="174" t="s">
        <v>283</v>
      </c>
      <c r="Q98" s="174" t="s">
        <v>284</v>
      </c>
      <c r="R98" s="174" t="s">
        <v>283</v>
      </c>
      <c r="S98" s="174" t="s">
        <v>283</v>
      </c>
      <c r="T98" s="175">
        <v>0</v>
      </c>
    </row>
    <row r="99" spans="1:20" x14ac:dyDescent="0.2">
      <c r="B99" s="168" t="s">
        <v>10</v>
      </c>
      <c r="C99" s="168" t="s">
        <v>22</v>
      </c>
      <c r="D99" s="173">
        <v>45716</v>
      </c>
      <c r="E99" s="174" t="s">
        <v>287</v>
      </c>
      <c r="F99" s="174" t="s">
        <v>285</v>
      </c>
      <c r="G99" s="174" t="s">
        <v>286</v>
      </c>
      <c r="H99" s="174" t="s">
        <v>380</v>
      </c>
      <c r="I99" s="174" t="s">
        <v>381</v>
      </c>
      <c r="J99" s="174" t="s">
        <v>288</v>
      </c>
      <c r="K99" s="174" t="s">
        <v>279</v>
      </c>
      <c r="L99" s="174" t="s">
        <v>280</v>
      </c>
      <c r="M99" s="174" t="s">
        <v>281</v>
      </c>
      <c r="N99" s="177">
        <v>38964918</v>
      </c>
      <c r="O99" s="174" t="s">
        <v>289</v>
      </c>
      <c r="P99" s="174" t="s">
        <v>283</v>
      </c>
      <c r="Q99" s="174" t="s">
        <v>284</v>
      </c>
      <c r="R99" s="174" t="s">
        <v>283</v>
      </c>
      <c r="S99" s="174" t="s">
        <v>283</v>
      </c>
      <c r="T99" s="175">
        <v>0</v>
      </c>
    </row>
    <row r="100" spans="1:20" x14ac:dyDescent="0.2">
      <c r="B100" s="168" t="s">
        <v>10</v>
      </c>
      <c r="C100" s="168" t="s">
        <v>24</v>
      </c>
      <c r="D100" s="173">
        <v>45716</v>
      </c>
      <c r="E100" s="174" t="s">
        <v>287</v>
      </c>
      <c r="F100" s="174" t="s">
        <v>292</v>
      </c>
      <c r="G100" s="174" t="s">
        <v>77</v>
      </c>
      <c r="H100" s="174" t="s">
        <v>380</v>
      </c>
      <c r="I100" s="174" t="s">
        <v>381</v>
      </c>
      <c r="J100" s="174" t="s">
        <v>293</v>
      </c>
      <c r="K100" s="174" t="s">
        <v>279</v>
      </c>
      <c r="L100" s="174" t="s">
        <v>280</v>
      </c>
      <c r="M100" s="174" t="s">
        <v>281</v>
      </c>
      <c r="N100" s="177">
        <v>33994232</v>
      </c>
      <c r="O100" s="174" t="s">
        <v>289</v>
      </c>
      <c r="P100" s="174" t="s">
        <v>283</v>
      </c>
      <c r="Q100" s="174" t="s">
        <v>284</v>
      </c>
      <c r="R100" s="174" t="s">
        <v>283</v>
      </c>
      <c r="S100" s="174" t="s">
        <v>283</v>
      </c>
      <c r="T100" s="175">
        <v>0</v>
      </c>
    </row>
    <row r="101" spans="1:20" x14ac:dyDescent="0.2">
      <c r="B101" s="168" t="s">
        <v>2</v>
      </c>
      <c r="C101" s="168" t="s">
        <v>22</v>
      </c>
      <c r="D101" s="173">
        <v>45716</v>
      </c>
      <c r="E101" s="174" t="s">
        <v>287</v>
      </c>
      <c r="F101" s="174" t="s">
        <v>285</v>
      </c>
      <c r="G101" s="174" t="s">
        <v>286</v>
      </c>
      <c r="H101" s="174" t="s">
        <v>378</v>
      </c>
      <c r="I101" s="174" t="s">
        <v>379</v>
      </c>
      <c r="J101" s="174" t="s">
        <v>288</v>
      </c>
      <c r="K101" s="174" t="s">
        <v>279</v>
      </c>
      <c r="L101" s="174" t="s">
        <v>280</v>
      </c>
      <c r="M101" s="174" t="s">
        <v>281</v>
      </c>
      <c r="N101" s="177">
        <v>10694417</v>
      </c>
      <c r="O101" s="174" t="s">
        <v>289</v>
      </c>
      <c r="P101" s="174" t="s">
        <v>283</v>
      </c>
      <c r="Q101" s="174" t="s">
        <v>284</v>
      </c>
      <c r="R101" s="174" t="s">
        <v>283</v>
      </c>
      <c r="S101" s="174" t="s">
        <v>283</v>
      </c>
      <c r="T101" s="175">
        <v>0</v>
      </c>
    </row>
    <row r="102" spans="1:20" x14ac:dyDescent="0.2">
      <c r="B102" s="168" t="s">
        <v>2</v>
      </c>
      <c r="C102" s="168" t="s">
        <v>24</v>
      </c>
      <c r="D102" s="173">
        <v>45716</v>
      </c>
      <c r="E102" s="174" t="s">
        <v>287</v>
      </c>
      <c r="F102" s="174" t="s">
        <v>292</v>
      </c>
      <c r="G102" s="174" t="s">
        <v>77</v>
      </c>
      <c r="H102" s="174" t="s">
        <v>378</v>
      </c>
      <c r="I102" s="174" t="s">
        <v>379</v>
      </c>
      <c r="J102" s="174" t="s">
        <v>293</v>
      </c>
      <c r="K102" s="174" t="s">
        <v>279</v>
      </c>
      <c r="L102" s="174" t="s">
        <v>280</v>
      </c>
      <c r="M102" s="174" t="s">
        <v>281</v>
      </c>
      <c r="N102" s="177">
        <v>9838778</v>
      </c>
      <c r="O102" s="174" t="s">
        <v>289</v>
      </c>
      <c r="P102" s="174" t="s">
        <v>283</v>
      </c>
      <c r="Q102" s="174" t="s">
        <v>284</v>
      </c>
      <c r="R102" s="174" t="s">
        <v>283</v>
      </c>
      <c r="S102" s="174" t="s">
        <v>283</v>
      </c>
      <c r="T102" s="175">
        <v>0</v>
      </c>
    </row>
    <row r="103" spans="1:20" x14ac:dyDescent="0.2">
      <c r="B103" s="168" t="s">
        <v>7</v>
      </c>
      <c r="C103" s="168" t="s">
        <v>22</v>
      </c>
      <c r="D103" s="173">
        <v>45716</v>
      </c>
      <c r="E103" s="174" t="s">
        <v>287</v>
      </c>
      <c r="F103" s="174" t="s">
        <v>388</v>
      </c>
      <c r="G103" s="174" t="s">
        <v>286</v>
      </c>
      <c r="H103" s="174" t="s">
        <v>376</v>
      </c>
      <c r="I103" s="174" t="s">
        <v>377</v>
      </c>
      <c r="J103" s="174" t="s">
        <v>288</v>
      </c>
      <c r="K103" s="174" t="s">
        <v>279</v>
      </c>
      <c r="L103" s="174" t="s">
        <v>280</v>
      </c>
      <c r="M103" s="174" t="s">
        <v>281</v>
      </c>
      <c r="N103" s="177">
        <v>75885167</v>
      </c>
      <c r="O103" s="174" t="s">
        <v>289</v>
      </c>
      <c r="P103" s="174" t="s">
        <v>283</v>
      </c>
      <c r="Q103" s="174" t="s">
        <v>284</v>
      </c>
      <c r="R103" s="174" t="s">
        <v>283</v>
      </c>
      <c r="S103" s="174" t="s">
        <v>283</v>
      </c>
      <c r="T103" s="175">
        <v>0</v>
      </c>
    </row>
    <row r="104" spans="1:20" x14ac:dyDescent="0.2">
      <c r="B104" s="168" t="s">
        <v>7</v>
      </c>
      <c r="C104" s="168" t="s">
        <v>24</v>
      </c>
      <c r="D104" s="173">
        <v>45716</v>
      </c>
      <c r="E104" s="174" t="s">
        <v>287</v>
      </c>
      <c r="F104" s="174" t="s">
        <v>395</v>
      </c>
      <c r="G104" s="174" t="s">
        <v>77</v>
      </c>
      <c r="H104" s="174" t="s">
        <v>376</v>
      </c>
      <c r="I104" s="174" t="s">
        <v>377</v>
      </c>
      <c r="J104" s="174" t="s">
        <v>293</v>
      </c>
      <c r="K104" s="174" t="s">
        <v>279</v>
      </c>
      <c r="L104" s="174" t="s">
        <v>280</v>
      </c>
      <c r="M104" s="174" t="s">
        <v>281</v>
      </c>
      <c r="N104" s="177">
        <v>69813746</v>
      </c>
      <c r="O104" s="174" t="s">
        <v>289</v>
      </c>
      <c r="P104" s="174" t="s">
        <v>283</v>
      </c>
      <c r="Q104" s="174" t="s">
        <v>284</v>
      </c>
      <c r="R104" s="174" t="s">
        <v>283</v>
      </c>
      <c r="S104" s="174" t="s">
        <v>283</v>
      </c>
      <c r="T104" s="175">
        <v>0</v>
      </c>
    </row>
    <row r="105" spans="1:20" x14ac:dyDescent="0.2">
      <c r="B105" s="168" t="s">
        <v>9</v>
      </c>
      <c r="C105" s="168" t="s">
        <v>22</v>
      </c>
      <c r="D105" s="173">
        <v>45716</v>
      </c>
      <c r="E105" s="174" t="s">
        <v>287</v>
      </c>
      <c r="F105" s="174" t="s">
        <v>285</v>
      </c>
      <c r="G105" s="174" t="s">
        <v>286</v>
      </c>
      <c r="H105" s="174" t="s">
        <v>382</v>
      </c>
      <c r="I105" s="174" t="s">
        <v>200</v>
      </c>
      <c r="J105" s="174" t="s">
        <v>288</v>
      </c>
      <c r="K105" s="174" t="s">
        <v>279</v>
      </c>
      <c r="L105" s="174" t="s">
        <v>280</v>
      </c>
      <c r="M105" s="174" t="s">
        <v>281</v>
      </c>
      <c r="N105" s="177">
        <v>6194250</v>
      </c>
      <c r="O105" s="174" t="s">
        <v>289</v>
      </c>
      <c r="P105" s="174" t="s">
        <v>283</v>
      </c>
      <c r="Q105" s="174" t="s">
        <v>284</v>
      </c>
      <c r="R105" s="174" t="s">
        <v>283</v>
      </c>
      <c r="S105" s="174" t="s">
        <v>283</v>
      </c>
      <c r="T105" s="175">
        <v>0</v>
      </c>
    </row>
    <row r="106" spans="1:20" x14ac:dyDescent="0.2">
      <c r="B106" s="168" t="s">
        <v>9</v>
      </c>
      <c r="C106" s="168" t="s">
        <v>24</v>
      </c>
      <c r="D106" s="173">
        <v>45716</v>
      </c>
      <c r="E106" s="174" t="s">
        <v>287</v>
      </c>
      <c r="F106" s="174" t="s">
        <v>292</v>
      </c>
      <c r="G106" s="174" t="s">
        <v>77</v>
      </c>
      <c r="H106" s="174" t="s">
        <v>382</v>
      </c>
      <c r="I106" s="174" t="s">
        <v>200</v>
      </c>
      <c r="J106" s="174" t="s">
        <v>293</v>
      </c>
      <c r="K106" s="174" t="s">
        <v>279</v>
      </c>
      <c r="L106" s="174" t="s">
        <v>280</v>
      </c>
      <c r="M106" s="174" t="s">
        <v>281</v>
      </c>
      <c r="N106" s="177">
        <v>5698660</v>
      </c>
      <c r="O106" s="174" t="s">
        <v>289</v>
      </c>
      <c r="P106" s="174" t="s">
        <v>283</v>
      </c>
      <c r="Q106" s="174" t="s">
        <v>284</v>
      </c>
      <c r="R106" s="174" t="s">
        <v>283</v>
      </c>
      <c r="S106" s="174" t="s">
        <v>283</v>
      </c>
      <c r="T106" s="175">
        <v>0</v>
      </c>
    </row>
    <row r="107" spans="1:20" x14ac:dyDescent="0.2">
      <c r="B107" s="168" t="s">
        <v>10</v>
      </c>
      <c r="C107" s="168" t="s">
        <v>22</v>
      </c>
      <c r="D107" s="173">
        <v>45716</v>
      </c>
      <c r="E107" s="174" t="s">
        <v>396</v>
      </c>
      <c r="F107" s="174" t="s">
        <v>274</v>
      </c>
      <c r="G107" s="174" t="s">
        <v>275</v>
      </c>
      <c r="H107" s="174" t="s">
        <v>380</v>
      </c>
      <c r="I107" s="174" t="s">
        <v>381</v>
      </c>
      <c r="J107" s="174" t="s">
        <v>397</v>
      </c>
      <c r="K107" s="174" t="s">
        <v>279</v>
      </c>
      <c r="L107" s="174" t="s">
        <v>280</v>
      </c>
      <c r="M107" s="174" t="s">
        <v>281</v>
      </c>
      <c r="N107" s="177">
        <v>-197464</v>
      </c>
      <c r="O107" s="174" t="s">
        <v>398</v>
      </c>
      <c r="P107" s="174" t="s">
        <v>283</v>
      </c>
      <c r="Q107" s="174" t="s">
        <v>284</v>
      </c>
      <c r="R107" s="174" t="s">
        <v>283</v>
      </c>
      <c r="S107" s="174" t="s">
        <v>283</v>
      </c>
      <c r="T107" s="175">
        <v>0</v>
      </c>
    </row>
    <row r="108" spans="1:20" x14ac:dyDescent="0.2">
      <c r="B108" s="168" t="s">
        <v>9</v>
      </c>
      <c r="C108" s="168" t="s">
        <v>222</v>
      </c>
      <c r="D108" s="173">
        <v>45716</v>
      </c>
      <c r="E108" s="174" t="s">
        <v>344</v>
      </c>
      <c r="F108" s="174" t="s">
        <v>300</v>
      </c>
      <c r="G108" s="174" t="s">
        <v>222</v>
      </c>
      <c r="H108" s="174" t="s">
        <v>358</v>
      </c>
      <c r="I108" s="174" t="s">
        <v>359</v>
      </c>
      <c r="J108" s="174" t="s">
        <v>345</v>
      </c>
      <c r="K108" s="174" t="s">
        <v>346</v>
      </c>
      <c r="L108" s="174" t="s">
        <v>280</v>
      </c>
      <c r="M108" s="174" t="s">
        <v>281</v>
      </c>
      <c r="N108" s="177">
        <v>4000000</v>
      </c>
      <c r="O108" s="174" t="s">
        <v>347</v>
      </c>
      <c r="P108" s="174" t="s">
        <v>283</v>
      </c>
      <c r="Q108" s="174" t="s">
        <v>348</v>
      </c>
      <c r="R108" s="174" t="s">
        <v>283</v>
      </c>
      <c r="S108" s="174" t="s">
        <v>283</v>
      </c>
      <c r="T108" s="175">
        <v>0</v>
      </c>
    </row>
    <row r="109" spans="1:20" x14ac:dyDescent="0.2">
      <c r="B109" s="168" t="s">
        <v>9</v>
      </c>
      <c r="C109" s="168" t="s">
        <v>222</v>
      </c>
      <c r="D109" s="173">
        <v>45716</v>
      </c>
      <c r="E109" s="174" t="s">
        <v>349</v>
      </c>
      <c r="F109" s="174" t="s">
        <v>300</v>
      </c>
      <c r="G109" s="174" t="s">
        <v>222</v>
      </c>
      <c r="H109" s="174" t="s">
        <v>358</v>
      </c>
      <c r="I109" s="174" t="s">
        <v>359</v>
      </c>
      <c r="J109" s="174" t="s">
        <v>350</v>
      </c>
      <c r="K109" s="174" t="s">
        <v>350</v>
      </c>
      <c r="L109" s="174" t="s">
        <v>280</v>
      </c>
      <c r="M109" s="174" t="s">
        <v>281</v>
      </c>
      <c r="N109" s="177">
        <v>2981191</v>
      </c>
      <c r="O109" s="174" t="s">
        <v>351</v>
      </c>
      <c r="P109" s="174" t="s">
        <v>283</v>
      </c>
      <c r="Q109" s="174" t="s">
        <v>348</v>
      </c>
      <c r="R109" s="174" t="s">
        <v>283</v>
      </c>
      <c r="S109" s="174" t="s">
        <v>283</v>
      </c>
      <c r="T109" s="175">
        <v>0</v>
      </c>
    </row>
    <row r="110" spans="1:20" x14ac:dyDescent="0.2">
      <c r="A110" s="169">
        <v>622</v>
      </c>
      <c r="B110" s="168" t="s">
        <v>8</v>
      </c>
      <c r="C110" s="168" t="s">
        <v>22</v>
      </c>
      <c r="D110" s="173">
        <v>45695</v>
      </c>
      <c r="E110" s="174" t="s">
        <v>399</v>
      </c>
      <c r="F110" s="174" t="s">
        <v>400</v>
      </c>
      <c r="G110" s="174" t="s">
        <v>401</v>
      </c>
      <c r="H110" s="174" t="s">
        <v>402</v>
      </c>
      <c r="I110" s="174" t="s">
        <v>403</v>
      </c>
      <c r="J110" s="174" t="s">
        <v>404</v>
      </c>
      <c r="K110" s="174" t="s">
        <v>405</v>
      </c>
      <c r="L110" s="174" t="s">
        <v>280</v>
      </c>
      <c r="M110" s="174" t="s">
        <v>281</v>
      </c>
      <c r="N110" s="177">
        <v>102130449</v>
      </c>
      <c r="O110" s="174" t="s">
        <v>406</v>
      </c>
      <c r="P110" s="174" t="s">
        <v>283</v>
      </c>
      <c r="Q110" s="174" t="s">
        <v>306</v>
      </c>
      <c r="R110" s="174" t="s">
        <v>283</v>
      </c>
      <c r="S110" s="174" t="s">
        <v>283</v>
      </c>
      <c r="T110" s="175">
        <v>0</v>
      </c>
    </row>
    <row r="111" spans="1:20" x14ac:dyDescent="0.2">
      <c r="A111" s="169">
        <v>622</v>
      </c>
      <c r="B111" s="168" t="s">
        <v>8</v>
      </c>
      <c r="C111" s="168" t="s">
        <v>22</v>
      </c>
      <c r="D111" s="173">
        <v>45695</v>
      </c>
      <c r="E111" s="174" t="s">
        <v>399</v>
      </c>
      <c r="F111" s="174" t="s">
        <v>400</v>
      </c>
      <c r="G111" s="174" t="s">
        <v>401</v>
      </c>
      <c r="H111" s="174" t="s">
        <v>402</v>
      </c>
      <c r="I111" s="174" t="s">
        <v>403</v>
      </c>
      <c r="J111" s="174" t="s">
        <v>407</v>
      </c>
      <c r="K111" s="174" t="s">
        <v>405</v>
      </c>
      <c r="L111" s="174" t="s">
        <v>280</v>
      </c>
      <c r="M111" s="174" t="s">
        <v>281</v>
      </c>
      <c r="N111" s="177">
        <v>9000000</v>
      </c>
      <c r="O111" s="174" t="s">
        <v>406</v>
      </c>
      <c r="P111" s="174" t="s">
        <v>283</v>
      </c>
      <c r="Q111" s="174" t="s">
        <v>306</v>
      </c>
      <c r="R111" s="174" t="s">
        <v>283</v>
      </c>
      <c r="S111" s="174" t="s">
        <v>283</v>
      </c>
      <c r="T111" s="175">
        <v>0</v>
      </c>
    </row>
    <row r="112" spans="1:20" x14ac:dyDescent="0.2">
      <c r="A112" s="169">
        <v>622</v>
      </c>
      <c r="B112" s="168" t="s">
        <v>8</v>
      </c>
      <c r="C112" s="168" t="s">
        <v>22</v>
      </c>
      <c r="D112" s="173">
        <v>45696</v>
      </c>
      <c r="E112" s="174" t="s">
        <v>408</v>
      </c>
      <c r="F112" s="174" t="s">
        <v>400</v>
      </c>
      <c r="G112" s="174" t="s">
        <v>401</v>
      </c>
      <c r="H112" s="174" t="s">
        <v>402</v>
      </c>
      <c r="I112" s="174" t="s">
        <v>403</v>
      </c>
      <c r="J112" s="174" t="s">
        <v>409</v>
      </c>
      <c r="K112" s="174" t="s">
        <v>405</v>
      </c>
      <c r="L112" s="174" t="s">
        <v>280</v>
      </c>
      <c r="M112" s="174" t="s">
        <v>281</v>
      </c>
      <c r="N112" s="177">
        <v>8333333</v>
      </c>
      <c r="O112" s="174" t="s">
        <v>410</v>
      </c>
      <c r="P112" s="174" t="s">
        <v>283</v>
      </c>
      <c r="Q112" s="174" t="s">
        <v>306</v>
      </c>
      <c r="R112" s="174" t="s">
        <v>283</v>
      </c>
      <c r="S112" s="174" t="s">
        <v>283</v>
      </c>
      <c r="T112" s="175">
        <v>0</v>
      </c>
    </row>
    <row r="113" spans="1:20" x14ac:dyDescent="0.2">
      <c r="B113" s="168" t="s">
        <v>6</v>
      </c>
      <c r="C113" s="168" t="s">
        <v>25</v>
      </c>
      <c r="D113" s="173">
        <v>45715</v>
      </c>
      <c r="E113" s="174" t="s">
        <v>334</v>
      </c>
      <c r="F113" s="174" t="s">
        <v>375</v>
      </c>
      <c r="G113" s="174" t="s">
        <v>336</v>
      </c>
      <c r="H113" s="174" t="s">
        <v>411</v>
      </c>
      <c r="I113" s="174" t="s">
        <v>412</v>
      </c>
      <c r="J113" s="174" t="s">
        <v>337</v>
      </c>
      <c r="K113" s="174" t="s">
        <v>338</v>
      </c>
      <c r="L113" s="174" t="s">
        <v>280</v>
      </c>
      <c r="M113" s="174" t="s">
        <v>281</v>
      </c>
      <c r="N113" s="177">
        <v>24425000</v>
      </c>
      <c r="O113" s="174" t="s">
        <v>339</v>
      </c>
      <c r="P113" s="174" t="s">
        <v>283</v>
      </c>
      <c r="Q113" s="174" t="s">
        <v>306</v>
      </c>
      <c r="R113" s="174" t="s">
        <v>283</v>
      </c>
      <c r="S113" s="174" t="s">
        <v>283</v>
      </c>
      <c r="T113" s="175">
        <v>0</v>
      </c>
    </row>
    <row r="114" spans="1:20" x14ac:dyDescent="0.2">
      <c r="A114" s="169">
        <v>622</v>
      </c>
      <c r="B114" s="168" t="s">
        <v>8</v>
      </c>
      <c r="C114" s="168" t="s">
        <v>25</v>
      </c>
      <c r="D114" s="173">
        <v>45716</v>
      </c>
      <c r="E114" s="174" t="s">
        <v>413</v>
      </c>
      <c r="F114" s="174" t="s">
        <v>414</v>
      </c>
      <c r="G114" s="174" t="s">
        <v>415</v>
      </c>
      <c r="H114" s="174" t="s">
        <v>402</v>
      </c>
      <c r="I114" s="174" t="s">
        <v>403</v>
      </c>
      <c r="J114" s="174" t="s">
        <v>416</v>
      </c>
      <c r="K114" s="174" t="s">
        <v>416</v>
      </c>
      <c r="L114" s="174" t="s">
        <v>280</v>
      </c>
      <c r="M114" s="174" t="s">
        <v>281</v>
      </c>
      <c r="N114" s="177">
        <v>81650000</v>
      </c>
      <c r="O114" s="174" t="s">
        <v>417</v>
      </c>
      <c r="P114" s="174" t="s">
        <v>283</v>
      </c>
      <c r="Q114" s="174" t="s">
        <v>348</v>
      </c>
      <c r="R114" s="174" t="s">
        <v>283</v>
      </c>
      <c r="S114" s="174" t="s">
        <v>283</v>
      </c>
      <c r="T114" s="175">
        <v>0</v>
      </c>
    </row>
    <row r="115" spans="1:20" x14ac:dyDescent="0.2">
      <c r="B115" s="168" t="s">
        <v>6</v>
      </c>
      <c r="C115" s="168" t="s">
        <v>25</v>
      </c>
      <c r="D115" s="173">
        <v>45716</v>
      </c>
      <c r="E115" s="174" t="s">
        <v>273</v>
      </c>
      <c r="F115" s="174" t="s">
        <v>386</v>
      </c>
      <c r="G115" s="174" t="s">
        <v>341</v>
      </c>
      <c r="H115" s="174" t="s">
        <v>411</v>
      </c>
      <c r="I115" s="174" t="s">
        <v>412</v>
      </c>
      <c r="J115" s="174" t="s">
        <v>278</v>
      </c>
      <c r="K115" s="174" t="s">
        <v>279</v>
      </c>
      <c r="L115" s="174" t="s">
        <v>280</v>
      </c>
      <c r="M115" s="174" t="s">
        <v>281</v>
      </c>
      <c r="N115" s="177">
        <v>19448803</v>
      </c>
      <c r="O115" s="174" t="s">
        <v>282</v>
      </c>
      <c r="P115" s="174" t="s">
        <v>283</v>
      </c>
      <c r="Q115" s="174" t="s">
        <v>284</v>
      </c>
      <c r="R115" s="174" t="s">
        <v>283</v>
      </c>
      <c r="S115" s="174" t="s">
        <v>283</v>
      </c>
      <c r="T115" s="175">
        <v>0</v>
      </c>
    </row>
    <row r="116" spans="1:20" x14ac:dyDescent="0.2">
      <c r="B116" s="168" t="s">
        <v>6</v>
      </c>
      <c r="C116" s="168" t="s">
        <v>22</v>
      </c>
      <c r="D116" s="173">
        <v>45716</v>
      </c>
      <c r="E116" s="174" t="s">
        <v>273</v>
      </c>
      <c r="F116" s="174" t="s">
        <v>387</v>
      </c>
      <c r="G116" s="174" t="s">
        <v>275</v>
      </c>
      <c r="H116" s="174" t="s">
        <v>411</v>
      </c>
      <c r="I116" s="174" t="s">
        <v>412</v>
      </c>
      <c r="J116" s="174" t="s">
        <v>278</v>
      </c>
      <c r="K116" s="174" t="s">
        <v>279</v>
      </c>
      <c r="L116" s="174" t="s">
        <v>280</v>
      </c>
      <c r="M116" s="174" t="s">
        <v>281</v>
      </c>
      <c r="N116" s="177">
        <v>450069010</v>
      </c>
      <c r="O116" s="174" t="s">
        <v>282</v>
      </c>
      <c r="P116" s="174" t="s">
        <v>283</v>
      </c>
      <c r="Q116" s="174" t="s">
        <v>284</v>
      </c>
      <c r="R116" s="174" t="s">
        <v>283</v>
      </c>
      <c r="S116" s="174" t="s">
        <v>283</v>
      </c>
      <c r="T116" s="175">
        <v>0</v>
      </c>
    </row>
    <row r="117" spans="1:20" x14ac:dyDescent="0.2">
      <c r="B117" s="168" t="s">
        <v>6</v>
      </c>
      <c r="C117" s="168" t="s">
        <v>22</v>
      </c>
      <c r="D117" s="173">
        <v>45716</v>
      </c>
      <c r="E117" s="174" t="s">
        <v>273</v>
      </c>
      <c r="F117" s="174" t="s">
        <v>388</v>
      </c>
      <c r="G117" s="174" t="s">
        <v>286</v>
      </c>
      <c r="H117" s="174" t="s">
        <v>411</v>
      </c>
      <c r="I117" s="174" t="s">
        <v>412</v>
      </c>
      <c r="J117" s="174" t="s">
        <v>278</v>
      </c>
      <c r="K117" s="174" t="s">
        <v>279</v>
      </c>
      <c r="L117" s="174" t="s">
        <v>280</v>
      </c>
      <c r="M117" s="174" t="s">
        <v>281</v>
      </c>
      <c r="N117" s="177">
        <v>26400136</v>
      </c>
      <c r="O117" s="174" t="s">
        <v>282</v>
      </c>
      <c r="P117" s="174" t="s">
        <v>283</v>
      </c>
      <c r="Q117" s="174" t="s">
        <v>284</v>
      </c>
      <c r="R117" s="174" t="s">
        <v>283</v>
      </c>
      <c r="S117" s="174" t="s">
        <v>283</v>
      </c>
      <c r="T117" s="175">
        <v>0</v>
      </c>
    </row>
    <row r="118" spans="1:20" x14ac:dyDescent="0.2">
      <c r="B118" s="168" t="s">
        <v>6</v>
      </c>
      <c r="C118" s="168" t="s">
        <v>23</v>
      </c>
      <c r="D118" s="173">
        <v>45716</v>
      </c>
      <c r="E118" s="174" t="s">
        <v>273</v>
      </c>
      <c r="F118" s="174" t="s">
        <v>389</v>
      </c>
      <c r="G118" s="174" t="s">
        <v>390</v>
      </c>
      <c r="H118" s="174" t="s">
        <v>411</v>
      </c>
      <c r="I118" s="174" t="s">
        <v>412</v>
      </c>
      <c r="J118" s="174" t="s">
        <v>278</v>
      </c>
      <c r="K118" s="174" t="s">
        <v>279</v>
      </c>
      <c r="L118" s="174" t="s">
        <v>280</v>
      </c>
      <c r="M118" s="174" t="s">
        <v>281</v>
      </c>
      <c r="N118" s="177">
        <v>134337444</v>
      </c>
      <c r="O118" s="174" t="s">
        <v>282</v>
      </c>
      <c r="P118" s="174" t="s">
        <v>283</v>
      </c>
      <c r="Q118" s="174" t="s">
        <v>284</v>
      </c>
      <c r="R118" s="174" t="s">
        <v>283</v>
      </c>
      <c r="S118" s="174" t="s">
        <v>283</v>
      </c>
      <c r="T118" s="175">
        <v>0</v>
      </c>
    </row>
    <row r="119" spans="1:20" x14ac:dyDescent="0.2">
      <c r="B119" s="168" t="s">
        <v>6</v>
      </c>
      <c r="C119" s="168" t="s">
        <v>24</v>
      </c>
      <c r="D119" s="173">
        <v>45716</v>
      </c>
      <c r="E119" s="174" t="s">
        <v>273</v>
      </c>
      <c r="F119" s="174" t="s">
        <v>391</v>
      </c>
      <c r="G119" s="174" t="s">
        <v>291</v>
      </c>
      <c r="H119" s="174" t="s">
        <v>411</v>
      </c>
      <c r="I119" s="174" t="s">
        <v>412</v>
      </c>
      <c r="J119" s="174" t="s">
        <v>278</v>
      </c>
      <c r="K119" s="174" t="s">
        <v>279</v>
      </c>
      <c r="L119" s="174" t="s">
        <v>280</v>
      </c>
      <c r="M119" s="174" t="s">
        <v>281</v>
      </c>
      <c r="N119" s="177">
        <v>31440000</v>
      </c>
      <c r="O119" s="174" t="s">
        <v>282</v>
      </c>
      <c r="P119" s="174" t="s">
        <v>283</v>
      </c>
      <c r="Q119" s="174" t="s">
        <v>284</v>
      </c>
      <c r="R119" s="174" t="s">
        <v>283</v>
      </c>
      <c r="S119" s="174" t="s">
        <v>283</v>
      </c>
      <c r="T119" s="175">
        <v>0</v>
      </c>
    </row>
    <row r="120" spans="1:20" x14ac:dyDescent="0.2">
      <c r="B120" s="168" t="s">
        <v>6</v>
      </c>
      <c r="C120" s="168" t="s">
        <v>25</v>
      </c>
      <c r="D120" s="173">
        <v>45716</v>
      </c>
      <c r="E120" s="174" t="s">
        <v>273</v>
      </c>
      <c r="F120" s="174" t="s">
        <v>375</v>
      </c>
      <c r="G120" s="174" t="s">
        <v>336</v>
      </c>
      <c r="H120" s="174" t="s">
        <v>411</v>
      </c>
      <c r="I120" s="174" t="s">
        <v>412</v>
      </c>
      <c r="J120" s="174" t="s">
        <v>278</v>
      </c>
      <c r="K120" s="174" t="s">
        <v>279</v>
      </c>
      <c r="L120" s="174" t="s">
        <v>280</v>
      </c>
      <c r="M120" s="174" t="s">
        <v>281</v>
      </c>
      <c r="N120" s="177">
        <v>6400000</v>
      </c>
      <c r="O120" s="174" t="s">
        <v>282</v>
      </c>
      <c r="P120" s="174" t="s">
        <v>283</v>
      </c>
      <c r="Q120" s="174" t="s">
        <v>284</v>
      </c>
      <c r="R120" s="174" t="s">
        <v>283</v>
      </c>
      <c r="S120" s="174" t="s">
        <v>283</v>
      </c>
      <c r="T120" s="175">
        <v>0</v>
      </c>
    </row>
    <row r="121" spans="1:20" x14ac:dyDescent="0.2">
      <c r="B121" s="168" t="s">
        <v>4</v>
      </c>
      <c r="C121" s="168" t="s">
        <v>22</v>
      </c>
      <c r="D121" s="173">
        <v>45716</v>
      </c>
      <c r="E121" s="174" t="s">
        <v>273</v>
      </c>
      <c r="F121" s="174" t="s">
        <v>387</v>
      </c>
      <c r="G121" s="174" t="s">
        <v>275</v>
      </c>
      <c r="H121" s="174" t="s">
        <v>418</v>
      </c>
      <c r="I121" s="174" t="s">
        <v>419</v>
      </c>
      <c r="J121" s="174" t="s">
        <v>278</v>
      </c>
      <c r="K121" s="174" t="s">
        <v>279</v>
      </c>
      <c r="L121" s="174" t="s">
        <v>280</v>
      </c>
      <c r="M121" s="174" t="s">
        <v>281</v>
      </c>
      <c r="N121" s="177">
        <v>139172326</v>
      </c>
      <c r="O121" s="174" t="s">
        <v>282</v>
      </c>
      <c r="P121" s="174" t="s">
        <v>283</v>
      </c>
      <c r="Q121" s="174" t="s">
        <v>284</v>
      </c>
      <c r="R121" s="174" t="s">
        <v>283</v>
      </c>
      <c r="S121" s="174" t="s">
        <v>283</v>
      </c>
      <c r="T121" s="175">
        <v>0</v>
      </c>
    </row>
    <row r="122" spans="1:20" x14ac:dyDescent="0.2">
      <c r="B122" s="168" t="s">
        <v>4</v>
      </c>
      <c r="C122" s="168" t="s">
        <v>22</v>
      </c>
      <c r="D122" s="173">
        <v>45716</v>
      </c>
      <c r="E122" s="174" t="s">
        <v>273</v>
      </c>
      <c r="F122" s="174" t="s">
        <v>388</v>
      </c>
      <c r="G122" s="174" t="s">
        <v>286</v>
      </c>
      <c r="H122" s="174" t="s">
        <v>418</v>
      </c>
      <c r="I122" s="174" t="s">
        <v>419</v>
      </c>
      <c r="J122" s="174" t="s">
        <v>278</v>
      </c>
      <c r="K122" s="174" t="s">
        <v>279</v>
      </c>
      <c r="L122" s="174" t="s">
        <v>280</v>
      </c>
      <c r="M122" s="174" t="s">
        <v>281</v>
      </c>
      <c r="N122" s="177">
        <v>4664808</v>
      </c>
      <c r="O122" s="174" t="s">
        <v>282</v>
      </c>
      <c r="P122" s="174" t="s">
        <v>283</v>
      </c>
      <c r="Q122" s="174" t="s">
        <v>284</v>
      </c>
      <c r="R122" s="174" t="s">
        <v>283</v>
      </c>
      <c r="S122" s="174" t="s">
        <v>283</v>
      </c>
      <c r="T122" s="175">
        <v>0</v>
      </c>
    </row>
    <row r="123" spans="1:20" x14ac:dyDescent="0.2">
      <c r="B123" s="168" t="s">
        <v>4</v>
      </c>
      <c r="C123" s="168" t="s">
        <v>24</v>
      </c>
      <c r="D123" s="173">
        <v>45716</v>
      </c>
      <c r="E123" s="174" t="s">
        <v>273</v>
      </c>
      <c r="F123" s="174" t="s">
        <v>391</v>
      </c>
      <c r="G123" s="174" t="s">
        <v>291</v>
      </c>
      <c r="H123" s="174" t="s">
        <v>418</v>
      </c>
      <c r="I123" s="174" t="s">
        <v>419</v>
      </c>
      <c r="J123" s="174" t="s">
        <v>278</v>
      </c>
      <c r="K123" s="174" t="s">
        <v>279</v>
      </c>
      <c r="L123" s="174" t="s">
        <v>280</v>
      </c>
      <c r="M123" s="174" t="s">
        <v>281</v>
      </c>
      <c r="N123" s="177">
        <v>3000000</v>
      </c>
      <c r="O123" s="174" t="s">
        <v>282</v>
      </c>
      <c r="P123" s="174" t="s">
        <v>283</v>
      </c>
      <c r="Q123" s="174" t="s">
        <v>284</v>
      </c>
      <c r="R123" s="174" t="s">
        <v>283</v>
      </c>
      <c r="S123" s="174" t="s">
        <v>283</v>
      </c>
      <c r="T123" s="175">
        <v>0</v>
      </c>
    </row>
    <row r="124" spans="1:20" x14ac:dyDescent="0.2">
      <c r="A124" s="169">
        <v>622</v>
      </c>
      <c r="B124" s="168" t="s">
        <v>8</v>
      </c>
      <c r="C124" s="168" t="s">
        <v>22</v>
      </c>
      <c r="D124" s="173">
        <v>45716</v>
      </c>
      <c r="E124" s="174" t="s">
        <v>273</v>
      </c>
      <c r="F124" s="174" t="s">
        <v>400</v>
      </c>
      <c r="G124" s="174" t="s">
        <v>401</v>
      </c>
      <c r="H124" s="174" t="s">
        <v>402</v>
      </c>
      <c r="I124" s="174" t="s">
        <v>403</v>
      </c>
      <c r="J124" s="174" t="s">
        <v>278</v>
      </c>
      <c r="K124" s="174" t="s">
        <v>279</v>
      </c>
      <c r="L124" s="174" t="s">
        <v>280</v>
      </c>
      <c r="M124" s="174" t="s">
        <v>281</v>
      </c>
      <c r="N124" s="177">
        <v>1400002480</v>
      </c>
      <c r="O124" s="174" t="s">
        <v>282</v>
      </c>
      <c r="P124" s="174" t="s">
        <v>283</v>
      </c>
      <c r="Q124" s="174" t="s">
        <v>284</v>
      </c>
      <c r="R124" s="174" t="s">
        <v>283</v>
      </c>
      <c r="S124" s="174" t="s">
        <v>283</v>
      </c>
      <c r="T124" s="175">
        <v>0</v>
      </c>
    </row>
    <row r="125" spans="1:20" x14ac:dyDescent="0.2">
      <c r="A125" s="169">
        <v>622</v>
      </c>
      <c r="B125" s="168" t="s">
        <v>8</v>
      </c>
      <c r="C125" s="168" t="s">
        <v>22</v>
      </c>
      <c r="D125" s="173">
        <v>45716</v>
      </c>
      <c r="E125" s="174" t="s">
        <v>273</v>
      </c>
      <c r="F125" s="174" t="s">
        <v>420</v>
      </c>
      <c r="G125" s="174" t="s">
        <v>286</v>
      </c>
      <c r="H125" s="174" t="s">
        <v>402</v>
      </c>
      <c r="I125" s="174" t="s">
        <v>403</v>
      </c>
      <c r="J125" s="174" t="s">
        <v>278</v>
      </c>
      <c r="K125" s="174" t="s">
        <v>279</v>
      </c>
      <c r="L125" s="174" t="s">
        <v>280</v>
      </c>
      <c r="M125" s="174" t="s">
        <v>281</v>
      </c>
      <c r="N125" s="177">
        <v>33470186</v>
      </c>
      <c r="O125" s="174" t="s">
        <v>282</v>
      </c>
      <c r="P125" s="174" t="s">
        <v>283</v>
      </c>
      <c r="Q125" s="174" t="s">
        <v>284</v>
      </c>
      <c r="R125" s="174" t="s">
        <v>283</v>
      </c>
      <c r="S125" s="174" t="s">
        <v>283</v>
      </c>
      <c r="T125" s="175">
        <v>0</v>
      </c>
    </row>
    <row r="126" spans="1:20" x14ac:dyDescent="0.2">
      <c r="A126" s="169">
        <v>622</v>
      </c>
      <c r="B126" s="168" t="s">
        <v>8</v>
      </c>
      <c r="C126" s="168" t="s">
        <v>25</v>
      </c>
      <c r="D126" s="173">
        <v>45716</v>
      </c>
      <c r="E126" s="174" t="s">
        <v>273</v>
      </c>
      <c r="F126" s="174" t="s">
        <v>421</v>
      </c>
      <c r="G126" s="174" t="s">
        <v>341</v>
      </c>
      <c r="H126" s="174" t="s">
        <v>402</v>
      </c>
      <c r="I126" s="174" t="s">
        <v>403</v>
      </c>
      <c r="J126" s="174" t="s">
        <v>278</v>
      </c>
      <c r="K126" s="174" t="s">
        <v>279</v>
      </c>
      <c r="L126" s="174" t="s">
        <v>280</v>
      </c>
      <c r="M126" s="174" t="s">
        <v>281</v>
      </c>
      <c r="N126" s="177">
        <v>92249649</v>
      </c>
      <c r="O126" s="174" t="s">
        <v>282</v>
      </c>
      <c r="P126" s="174" t="s">
        <v>283</v>
      </c>
      <c r="Q126" s="174" t="s">
        <v>284</v>
      </c>
      <c r="R126" s="174" t="s">
        <v>283</v>
      </c>
      <c r="S126" s="174" t="s">
        <v>283</v>
      </c>
      <c r="T126" s="175">
        <v>0</v>
      </c>
    </row>
    <row r="127" spans="1:20" x14ac:dyDescent="0.2">
      <c r="A127" s="169">
        <v>622</v>
      </c>
      <c r="B127" s="168" t="s">
        <v>8</v>
      </c>
      <c r="C127" s="168" t="s">
        <v>23</v>
      </c>
      <c r="D127" s="173">
        <v>45716</v>
      </c>
      <c r="E127" s="174" t="s">
        <v>273</v>
      </c>
      <c r="F127" s="174" t="s">
        <v>422</v>
      </c>
      <c r="G127" s="174" t="s">
        <v>423</v>
      </c>
      <c r="H127" s="174" t="s">
        <v>402</v>
      </c>
      <c r="I127" s="174" t="s">
        <v>403</v>
      </c>
      <c r="J127" s="174" t="s">
        <v>278</v>
      </c>
      <c r="K127" s="174" t="s">
        <v>279</v>
      </c>
      <c r="L127" s="174" t="s">
        <v>280</v>
      </c>
      <c r="M127" s="174" t="s">
        <v>281</v>
      </c>
      <c r="N127" s="177">
        <v>259898689</v>
      </c>
      <c r="O127" s="174" t="s">
        <v>282</v>
      </c>
      <c r="P127" s="174" t="s">
        <v>283</v>
      </c>
      <c r="Q127" s="174" t="s">
        <v>284</v>
      </c>
      <c r="R127" s="174" t="s">
        <v>283</v>
      </c>
      <c r="S127" s="174" t="s">
        <v>283</v>
      </c>
      <c r="T127" s="175">
        <v>0</v>
      </c>
    </row>
    <row r="128" spans="1:20" x14ac:dyDescent="0.2">
      <c r="A128" s="169">
        <v>622</v>
      </c>
      <c r="B128" s="168" t="s">
        <v>8</v>
      </c>
      <c r="C128" s="168" t="s">
        <v>24</v>
      </c>
      <c r="D128" s="173">
        <v>45716</v>
      </c>
      <c r="E128" s="174" t="s">
        <v>273</v>
      </c>
      <c r="F128" s="174" t="s">
        <v>424</v>
      </c>
      <c r="G128" s="174" t="s">
        <v>291</v>
      </c>
      <c r="H128" s="174" t="s">
        <v>402</v>
      </c>
      <c r="I128" s="174" t="s">
        <v>403</v>
      </c>
      <c r="J128" s="174" t="s">
        <v>278</v>
      </c>
      <c r="K128" s="174" t="s">
        <v>279</v>
      </c>
      <c r="L128" s="174" t="s">
        <v>280</v>
      </c>
      <c r="M128" s="174" t="s">
        <v>281</v>
      </c>
      <c r="N128" s="177">
        <v>84500000</v>
      </c>
      <c r="O128" s="174" t="s">
        <v>282</v>
      </c>
      <c r="P128" s="174" t="s">
        <v>283</v>
      </c>
      <c r="Q128" s="174" t="s">
        <v>284</v>
      </c>
      <c r="R128" s="174" t="s">
        <v>283</v>
      </c>
      <c r="S128" s="174" t="s">
        <v>283</v>
      </c>
      <c r="T128" s="175">
        <v>0</v>
      </c>
    </row>
    <row r="129" spans="1:20" x14ac:dyDescent="0.2">
      <c r="A129" s="169">
        <v>622</v>
      </c>
      <c r="B129" s="168" t="s">
        <v>8</v>
      </c>
      <c r="C129" s="168" t="s">
        <v>25</v>
      </c>
      <c r="D129" s="173">
        <v>45716</v>
      </c>
      <c r="E129" s="174" t="s">
        <v>273</v>
      </c>
      <c r="F129" s="174" t="s">
        <v>414</v>
      </c>
      <c r="G129" s="174" t="s">
        <v>415</v>
      </c>
      <c r="H129" s="174" t="s">
        <v>402</v>
      </c>
      <c r="I129" s="174" t="s">
        <v>403</v>
      </c>
      <c r="J129" s="174" t="s">
        <v>278</v>
      </c>
      <c r="K129" s="174" t="s">
        <v>279</v>
      </c>
      <c r="L129" s="174" t="s">
        <v>280</v>
      </c>
      <c r="M129" s="174" t="s">
        <v>281</v>
      </c>
      <c r="N129" s="177">
        <v>27890000</v>
      </c>
      <c r="O129" s="174" t="s">
        <v>282</v>
      </c>
      <c r="P129" s="174" t="s">
        <v>283</v>
      </c>
      <c r="Q129" s="174" t="s">
        <v>284</v>
      </c>
      <c r="R129" s="174" t="s">
        <v>283</v>
      </c>
      <c r="S129" s="174" t="s">
        <v>283</v>
      </c>
      <c r="T129" s="175">
        <v>0</v>
      </c>
    </row>
    <row r="130" spans="1:20" x14ac:dyDescent="0.2">
      <c r="A130" s="169">
        <v>627</v>
      </c>
      <c r="B130" s="168" t="s">
        <v>8</v>
      </c>
      <c r="C130" s="168" t="s">
        <v>25</v>
      </c>
      <c r="D130" s="173">
        <v>45716</v>
      </c>
      <c r="E130" s="174" t="s">
        <v>273</v>
      </c>
      <c r="F130" s="174" t="s">
        <v>386</v>
      </c>
      <c r="G130" s="174" t="s">
        <v>341</v>
      </c>
      <c r="H130" s="174" t="s">
        <v>402</v>
      </c>
      <c r="I130" s="174" t="s">
        <v>403</v>
      </c>
      <c r="J130" s="174" t="s">
        <v>278</v>
      </c>
      <c r="K130" s="174" t="s">
        <v>279</v>
      </c>
      <c r="L130" s="174" t="s">
        <v>280</v>
      </c>
      <c r="M130" s="174" t="s">
        <v>281</v>
      </c>
      <c r="N130" s="177">
        <v>11105572</v>
      </c>
      <c r="O130" s="174" t="s">
        <v>282</v>
      </c>
      <c r="P130" s="174" t="s">
        <v>283</v>
      </c>
      <c r="Q130" s="174" t="s">
        <v>284</v>
      </c>
      <c r="R130" s="174" t="s">
        <v>283</v>
      </c>
      <c r="S130" s="174" t="s">
        <v>283</v>
      </c>
      <c r="T130" s="175">
        <v>0</v>
      </c>
    </row>
    <row r="131" spans="1:20" x14ac:dyDescent="0.2">
      <c r="A131" s="169">
        <v>627</v>
      </c>
      <c r="B131" s="168" t="s">
        <v>8</v>
      </c>
      <c r="C131" s="168" t="s">
        <v>22</v>
      </c>
      <c r="D131" s="173">
        <v>45716</v>
      </c>
      <c r="E131" s="174" t="s">
        <v>273</v>
      </c>
      <c r="F131" s="174" t="s">
        <v>387</v>
      </c>
      <c r="G131" s="174" t="s">
        <v>275</v>
      </c>
      <c r="H131" s="174" t="s">
        <v>402</v>
      </c>
      <c r="I131" s="174" t="s">
        <v>403</v>
      </c>
      <c r="J131" s="174" t="s">
        <v>278</v>
      </c>
      <c r="K131" s="174" t="s">
        <v>279</v>
      </c>
      <c r="L131" s="174" t="s">
        <v>280</v>
      </c>
      <c r="M131" s="174" t="s">
        <v>281</v>
      </c>
      <c r="N131" s="177">
        <v>411544399</v>
      </c>
      <c r="O131" s="174" t="s">
        <v>282</v>
      </c>
      <c r="P131" s="174" t="s">
        <v>283</v>
      </c>
      <c r="Q131" s="174" t="s">
        <v>284</v>
      </c>
      <c r="R131" s="174" t="s">
        <v>283</v>
      </c>
      <c r="S131" s="174" t="s">
        <v>283</v>
      </c>
      <c r="T131" s="175">
        <v>0</v>
      </c>
    </row>
    <row r="132" spans="1:20" x14ac:dyDescent="0.2">
      <c r="A132" s="169">
        <v>627</v>
      </c>
      <c r="B132" s="168" t="s">
        <v>8</v>
      </c>
      <c r="C132" s="168" t="s">
        <v>22</v>
      </c>
      <c r="D132" s="173">
        <v>45716</v>
      </c>
      <c r="E132" s="174" t="s">
        <v>273</v>
      </c>
      <c r="F132" s="174" t="s">
        <v>388</v>
      </c>
      <c r="G132" s="174" t="s">
        <v>286</v>
      </c>
      <c r="H132" s="174" t="s">
        <v>402</v>
      </c>
      <c r="I132" s="174" t="s">
        <v>403</v>
      </c>
      <c r="J132" s="174" t="s">
        <v>278</v>
      </c>
      <c r="K132" s="174" t="s">
        <v>279</v>
      </c>
      <c r="L132" s="174" t="s">
        <v>280</v>
      </c>
      <c r="M132" s="174" t="s">
        <v>281</v>
      </c>
      <c r="N132" s="177">
        <v>17666383</v>
      </c>
      <c r="O132" s="174" t="s">
        <v>282</v>
      </c>
      <c r="P132" s="174" t="s">
        <v>283</v>
      </c>
      <c r="Q132" s="174" t="s">
        <v>284</v>
      </c>
      <c r="R132" s="174" t="s">
        <v>283</v>
      </c>
      <c r="S132" s="174" t="s">
        <v>283</v>
      </c>
      <c r="T132" s="175">
        <v>0</v>
      </c>
    </row>
    <row r="133" spans="1:20" x14ac:dyDescent="0.2">
      <c r="A133" s="169">
        <v>627</v>
      </c>
      <c r="B133" s="168" t="s">
        <v>8</v>
      </c>
      <c r="C133" s="168" t="s">
        <v>23</v>
      </c>
      <c r="D133" s="173">
        <v>45716</v>
      </c>
      <c r="E133" s="174" t="s">
        <v>273</v>
      </c>
      <c r="F133" s="174" t="s">
        <v>389</v>
      </c>
      <c r="G133" s="174" t="s">
        <v>390</v>
      </c>
      <c r="H133" s="174" t="s">
        <v>402</v>
      </c>
      <c r="I133" s="174" t="s">
        <v>403</v>
      </c>
      <c r="J133" s="174" t="s">
        <v>278</v>
      </c>
      <c r="K133" s="174" t="s">
        <v>279</v>
      </c>
      <c r="L133" s="174" t="s">
        <v>280</v>
      </c>
      <c r="M133" s="174" t="s">
        <v>281</v>
      </c>
      <c r="N133" s="177">
        <v>35669591</v>
      </c>
      <c r="O133" s="174" t="s">
        <v>282</v>
      </c>
      <c r="P133" s="174" t="s">
        <v>283</v>
      </c>
      <c r="Q133" s="174" t="s">
        <v>284</v>
      </c>
      <c r="R133" s="174" t="s">
        <v>283</v>
      </c>
      <c r="S133" s="174" t="s">
        <v>283</v>
      </c>
      <c r="T133" s="175">
        <v>0</v>
      </c>
    </row>
    <row r="134" spans="1:20" x14ac:dyDescent="0.2">
      <c r="A134" s="169">
        <v>627</v>
      </c>
      <c r="B134" s="168" t="s">
        <v>8</v>
      </c>
      <c r="C134" s="168" t="s">
        <v>24</v>
      </c>
      <c r="D134" s="173">
        <v>45716</v>
      </c>
      <c r="E134" s="174" t="s">
        <v>273</v>
      </c>
      <c r="F134" s="174" t="s">
        <v>391</v>
      </c>
      <c r="G134" s="174" t="s">
        <v>291</v>
      </c>
      <c r="H134" s="174" t="s">
        <v>402</v>
      </c>
      <c r="I134" s="174" t="s">
        <v>403</v>
      </c>
      <c r="J134" s="174" t="s">
        <v>278</v>
      </c>
      <c r="K134" s="174" t="s">
        <v>279</v>
      </c>
      <c r="L134" s="174" t="s">
        <v>280</v>
      </c>
      <c r="M134" s="174" t="s">
        <v>281</v>
      </c>
      <c r="N134" s="177">
        <v>15500000</v>
      </c>
      <c r="O134" s="174" t="s">
        <v>282</v>
      </c>
      <c r="P134" s="174" t="s">
        <v>283</v>
      </c>
      <c r="Q134" s="174" t="s">
        <v>284</v>
      </c>
      <c r="R134" s="174" t="s">
        <v>283</v>
      </c>
      <c r="S134" s="174" t="s">
        <v>283</v>
      </c>
      <c r="T134" s="175">
        <v>0</v>
      </c>
    </row>
    <row r="135" spans="1:20" x14ac:dyDescent="0.2">
      <c r="B135" s="168" t="s">
        <v>6</v>
      </c>
      <c r="C135" s="168" t="s">
        <v>170</v>
      </c>
      <c r="D135" s="173">
        <v>45716</v>
      </c>
      <c r="E135" s="174" t="s">
        <v>294</v>
      </c>
      <c r="F135" s="174" t="s">
        <v>393</v>
      </c>
      <c r="G135" s="174" t="s">
        <v>296</v>
      </c>
      <c r="H135" s="174" t="s">
        <v>411</v>
      </c>
      <c r="I135" s="174" t="s">
        <v>412</v>
      </c>
      <c r="J135" s="174" t="s">
        <v>297</v>
      </c>
      <c r="K135" s="174" t="s">
        <v>279</v>
      </c>
      <c r="L135" s="174" t="s">
        <v>280</v>
      </c>
      <c r="M135" s="174" t="s">
        <v>281</v>
      </c>
      <c r="N135" s="177">
        <v>104949590</v>
      </c>
      <c r="O135" s="174" t="s">
        <v>298</v>
      </c>
      <c r="P135" s="174" t="s">
        <v>283</v>
      </c>
      <c r="Q135" s="174" t="s">
        <v>284</v>
      </c>
      <c r="R135" s="174" t="s">
        <v>283</v>
      </c>
      <c r="S135" s="174" t="s">
        <v>283</v>
      </c>
      <c r="T135" s="175">
        <v>0</v>
      </c>
    </row>
    <row r="136" spans="1:20" x14ac:dyDescent="0.2">
      <c r="B136" s="168" t="s">
        <v>4</v>
      </c>
      <c r="C136" s="168" t="s">
        <v>170</v>
      </c>
      <c r="D136" s="173">
        <v>45716</v>
      </c>
      <c r="E136" s="174" t="s">
        <v>294</v>
      </c>
      <c r="F136" s="174" t="s">
        <v>393</v>
      </c>
      <c r="G136" s="174" t="s">
        <v>296</v>
      </c>
      <c r="H136" s="174" t="s">
        <v>418</v>
      </c>
      <c r="I136" s="174" t="s">
        <v>419</v>
      </c>
      <c r="J136" s="174" t="s">
        <v>297</v>
      </c>
      <c r="K136" s="174" t="s">
        <v>279</v>
      </c>
      <c r="L136" s="174" t="s">
        <v>280</v>
      </c>
      <c r="M136" s="174" t="s">
        <v>281</v>
      </c>
      <c r="N136" s="177">
        <v>35154315</v>
      </c>
      <c r="O136" s="174" t="s">
        <v>298</v>
      </c>
      <c r="P136" s="174" t="s">
        <v>283</v>
      </c>
      <c r="Q136" s="174" t="s">
        <v>284</v>
      </c>
      <c r="R136" s="174" t="s">
        <v>283</v>
      </c>
      <c r="S136" s="174" t="s">
        <v>283</v>
      </c>
      <c r="T136" s="175">
        <v>0</v>
      </c>
    </row>
    <row r="137" spans="1:20" x14ac:dyDescent="0.2">
      <c r="A137" s="169">
        <v>622</v>
      </c>
      <c r="B137" s="168" t="s">
        <v>8</v>
      </c>
      <c r="C137" s="168" t="s">
        <v>170</v>
      </c>
      <c r="D137" s="173">
        <v>45716</v>
      </c>
      <c r="E137" s="174" t="s">
        <v>294</v>
      </c>
      <c r="F137" s="174" t="s">
        <v>425</v>
      </c>
      <c r="G137" s="174" t="s">
        <v>296</v>
      </c>
      <c r="H137" s="174" t="s">
        <v>402</v>
      </c>
      <c r="I137" s="174" t="s">
        <v>403</v>
      </c>
      <c r="J137" s="174" t="s">
        <v>297</v>
      </c>
      <c r="K137" s="174" t="s">
        <v>279</v>
      </c>
      <c r="L137" s="174" t="s">
        <v>280</v>
      </c>
      <c r="M137" s="174" t="s">
        <v>281</v>
      </c>
      <c r="N137" s="177">
        <v>237611785</v>
      </c>
      <c r="O137" s="174" t="s">
        <v>298</v>
      </c>
      <c r="P137" s="174" t="s">
        <v>283</v>
      </c>
      <c r="Q137" s="174" t="s">
        <v>284</v>
      </c>
      <c r="R137" s="174" t="s">
        <v>283</v>
      </c>
      <c r="S137" s="174" t="s">
        <v>283</v>
      </c>
      <c r="T137" s="175">
        <v>0</v>
      </c>
    </row>
    <row r="138" spans="1:20" x14ac:dyDescent="0.2">
      <c r="B138" s="168" t="s">
        <v>6</v>
      </c>
      <c r="C138" s="168" t="s">
        <v>170</v>
      </c>
      <c r="D138" s="173">
        <v>45716</v>
      </c>
      <c r="E138" s="174" t="s">
        <v>294</v>
      </c>
      <c r="F138" s="174" t="s">
        <v>393</v>
      </c>
      <c r="G138" s="174" t="s">
        <v>296</v>
      </c>
      <c r="H138" s="174" t="s">
        <v>411</v>
      </c>
      <c r="I138" s="174" t="s">
        <v>412</v>
      </c>
      <c r="J138" s="174" t="s">
        <v>297</v>
      </c>
      <c r="K138" s="174" t="s">
        <v>279</v>
      </c>
      <c r="L138" s="174" t="s">
        <v>280</v>
      </c>
      <c r="M138" s="174" t="s">
        <v>281</v>
      </c>
      <c r="N138" s="177">
        <v>1694350</v>
      </c>
      <c r="O138" s="174" t="s">
        <v>298</v>
      </c>
      <c r="P138" s="174" t="s">
        <v>283</v>
      </c>
      <c r="Q138" s="174" t="s">
        <v>284</v>
      </c>
      <c r="R138" s="174" t="s">
        <v>283</v>
      </c>
      <c r="S138" s="174" t="s">
        <v>283</v>
      </c>
      <c r="T138" s="175">
        <v>0</v>
      </c>
    </row>
    <row r="139" spans="1:20" x14ac:dyDescent="0.2">
      <c r="A139" s="169">
        <v>622</v>
      </c>
      <c r="B139" s="168" t="s">
        <v>8</v>
      </c>
      <c r="C139" s="168" t="s">
        <v>170</v>
      </c>
      <c r="D139" s="173">
        <v>45716</v>
      </c>
      <c r="E139" s="174" t="s">
        <v>294</v>
      </c>
      <c r="F139" s="174" t="s">
        <v>425</v>
      </c>
      <c r="G139" s="174" t="s">
        <v>296</v>
      </c>
      <c r="H139" s="174" t="s">
        <v>402</v>
      </c>
      <c r="I139" s="174" t="s">
        <v>403</v>
      </c>
      <c r="J139" s="174" t="s">
        <v>297</v>
      </c>
      <c r="K139" s="174" t="s">
        <v>279</v>
      </c>
      <c r="L139" s="174" t="s">
        <v>280</v>
      </c>
      <c r="M139" s="174" t="s">
        <v>281</v>
      </c>
      <c r="N139" s="177">
        <v>2573250</v>
      </c>
      <c r="O139" s="174" t="s">
        <v>298</v>
      </c>
      <c r="P139" s="174" t="s">
        <v>283</v>
      </c>
      <c r="Q139" s="174" t="s">
        <v>284</v>
      </c>
      <c r="R139" s="174" t="s">
        <v>283</v>
      </c>
      <c r="S139" s="174" t="s">
        <v>283</v>
      </c>
      <c r="T139" s="175">
        <v>0</v>
      </c>
    </row>
    <row r="140" spans="1:20" x14ac:dyDescent="0.2">
      <c r="B140" s="168" t="s">
        <v>6</v>
      </c>
      <c r="C140" s="168" t="s">
        <v>22</v>
      </c>
      <c r="D140" s="173">
        <v>45716</v>
      </c>
      <c r="E140" s="174" t="s">
        <v>287</v>
      </c>
      <c r="F140" s="174" t="s">
        <v>388</v>
      </c>
      <c r="G140" s="174" t="s">
        <v>286</v>
      </c>
      <c r="H140" s="174" t="s">
        <v>411</v>
      </c>
      <c r="I140" s="174" t="s">
        <v>412</v>
      </c>
      <c r="J140" s="174" t="s">
        <v>288</v>
      </c>
      <c r="K140" s="174" t="s">
        <v>279</v>
      </c>
      <c r="L140" s="174" t="s">
        <v>280</v>
      </c>
      <c r="M140" s="174" t="s">
        <v>281</v>
      </c>
      <c r="N140" s="177">
        <v>37799500</v>
      </c>
      <c r="O140" s="174" t="s">
        <v>289</v>
      </c>
      <c r="P140" s="174" t="s">
        <v>283</v>
      </c>
      <c r="Q140" s="174" t="s">
        <v>284</v>
      </c>
      <c r="R140" s="174" t="s">
        <v>283</v>
      </c>
      <c r="S140" s="174" t="s">
        <v>283</v>
      </c>
      <c r="T140" s="175">
        <v>0</v>
      </c>
    </row>
    <row r="141" spans="1:20" x14ac:dyDescent="0.2">
      <c r="B141" s="168" t="s">
        <v>4</v>
      </c>
      <c r="C141" s="168" t="s">
        <v>22</v>
      </c>
      <c r="D141" s="173">
        <v>45716</v>
      </c>
      <c r="E141" s="174" t="s">
        <v>287</v>
      </c>
      <c r="F141" s="174" t="s">
        <v>388</v>
      </c>
      <c r="G141" s="174" t="s">
        <v>286</v>
      </c>
      <c r="H141" s="174" t="s">
        <v>418</v>
      </c>
      <c r="I141" s="174" t="s">
        <v>419</v>
      </c>
      <c r="J141" s="174" t="s">
        <v>288</v>
      </c>
      <c r="K141" s="174" t="s">
        <v>279</v>
      </c>
      <c r="L141" s="174" t="s">
        <v>280</v>
      </c>
      <c r="M141" s="174" t="s">
        <v>281</v>
      </c>
      <c r="N141" s="177">
        <v>12960750</v>
      </c>
      <c r="O141" s="174" t="s">
        <v>289</v>
      </c>
      <c r="P141" s="174" t="s">
        <v>283</v>
      </c>
      <c r="Q141" s="174" t="s">
        <v>284</v>
      </c>
      <c r="R141" s="174" t="s">
        <v>283</v>
      </c>
      <c r="S141" s="174" t="s">
        <v>283</v>
      </c>
      <c r="T141" s="175">
        <v>0</v>
      </c>
    </row>
    <row r="142" spans="1:20" x14ac:dyDescent="0.2">
      <c r="B142" s="168" t="s">
        <v>6</v>
      </c>
      <c r="C142" s="168" t="s">
        <v>24</v>
      </c>
      <c r="D142" s="173">
        <v>45716</v>
      </c>
      <c r="E142" s="174" t="s">
        <v>287</v>
      </c>
      <c r="F142" s="174" t="s">
        <v>395</v>
      </c>
      <c r="G142" s="174" t="s">
        <v>77</v>
      </c>
      <c r="H142" s="174" t="s">
        <v>411</v>
      </c>
      <c r="I142" s="174" t="s">
        <v>412</v>
      </c>
      <c r="J142" s="174" t="s">
        <v>293</v>
      </c>
      <c r="K142" s="174" t="s">
        <v>279</v>
      </c>
      <c r="L142" s="174" t="s">
        <v>280</v>
      </c>
      <c r="M142" s="174" t="s">
        <v>281</v>
      </c>
      <c r="N142" s="177">
        <v>34775238</v>
      </c>
      <c r="O142" s="174" t="s">
        <v>289</v>
      </c>
      <c r="P142" s="174" t="s">
        <v>283</v>
      </c>
      <c r="Q142" s="174" t="s">
        <v>284</v>
      </c>
      <c r="R142" s="174" t="s">
        <v>283</v>
      </c>
      <c r="S142" s="174" t="s">
        <v>283</v>
      </c>
      <c r="T142" s="175">
        <v>0</v>
      </c>
    </row>
    <row r="143" spans="1:20" x14ac:dyDescent="0.2">
      <c r="B143" s="168" t="s">
        <v>4</v>
      </c>
      <c r="C143" s="168" t="s">
        <v>24</v>
      </c>
      <c r="D143" s="173">
        <v>45716</v>
      </c>
      <c r="E143" s="174" t="s">
        <v>287</v>
      </c>
      <c r="F143" s="174" t="s">
        <v>395</v>
      </c>
      <c r="G143" s="174" t="s">
        <v>77</v>
      </c>
      <c r="H143" s="174" t="s">
        <v>418</v>
      </c>
      <c r="I143" s="174" t="s">
        <v>419</v>
      </c>
      <c r="J143" s="174" t="s">
        <v>293</v>
      </c>
      <c r="K143" s="174" t="s">
        <v>279</v>
      </c>
      <c r="L143" s="174" t="s">
        <v>280</v>
      </c>
      <c r="M143" s="174" t="s">
        <v>281</v>
      </c>
      <c r="N143" s="177">
        <v>11923786</v>
      </c>
      <c r="O143" s="174" t="s">
        <v>289</v>
      </c>
      <c r="P143" s="174" t="s">
        <v>283</v>
      </c>
      <c r="Q143" s="174" t="s">
        <v>284</v>
      </c>
      <c r="R143" s="174" t="s">
        <v>283</v>
      </c>
      <c r="S143" s="174" t="s">
        <v>283</v>
      </c>
      <c r="T143" s="175">
        <v>0</v>
      </c>
    </row>
    <row r="144" spans="1:20" x14ac:dyDescent="0.2">
      <c r="A144" s="169">
        <v>627</v>
      </c>
      <c r="B144" s="168" t="s">
        <v>8</v>
      </c>
      <c r="C144" s="168" t="s">
        <v>22</v>
      </c>
      <c r="D144" s="173">
        <v>45716</v>
      </c>
      <c r="E144" s="174" t="s">
        <v>287</v>
      </c>
      <c r="F144" s="174" t="s">
        <v>388</v>
      </c>
      <c r="G144" s="174" t="s">
        <v>286</v>
      </c>
      <c r="H144" s="174" t="s">
        <v>402</v>
      </c>
      <c r="I144" s="174" t="s">
        <v>403</v>
      </c>
      <c r="J144" s="174" t="s">
        <v>288</v>
      </c>
      <c r="K144" s="174" t="s">
        <v>279</v>
      </c>
      <c r="L144" s="174" t="s">
        <v>280</v>
      </c>
      <c r="M144" s="174" t="s">
        <v>281</v>
      </c>
      <c r="N144" s="177">
        <v>32593741</v>
      </c>
      <c r="O144" s="174" t="s">
        <v>289</v>
      </c>
      <c r="P144" s="174" t="s">
        <v>283</v>
      </c>
      <c r="Q144" s="174" t="s">
        <v>284</v>
      </c>
      <c r="R144" s="174" t="s">
        <v>283</v>
      </c>
      <c r="S144" s="174" t="s">
        <v>283</v>
      </c>
      <c r="T144" s="175">
        <v>0</v>
      </c>
    </row>
    <row r="145" spans="1:20" x14ac:dyDescent="0.2">
      <c r="A145" s="169">
        <v>622</v>
      </c>
      <c r="B145" s="168" t="s">
        <v>8</v>
      </c>
      <c r="C145" s="168" t="s">
        <v>22</v>
      </c>
      <c r="D145" s="173">
        <v>45716</v>
      </c>
      <c r="E145" s="174" t="s">
        <v>287</v>
      </c>
      <c r="F145" s="174" t="s">
        <v>420</v>
      </c>
      <c r="G145" s="174" t="s">
        <v>286</v>
      </c>
      <c r="H145" s="174" t="s">
        <v>402</v>
      </c>
      <c r="I145" s="174" t="s">
        <v>403</v>
      </c>
      <c r="J145" s="174" t="s">
        <v>288</v>
      </c>
      <c r="K145" s="174" t="s">
        <v>279</v>
      </c>
      <c r="L145" s="174" t="s">
        <v>280</v>
      </c>
      <c r="M145" s="174" t="s">
        <v>281</v>
      </c>
      <c r="N145" s="177">
        <v>98346036</v>
      </c>
      <c r="O145" s="174" t="s">
        <v>289</v>
      </c>
      <c r="P145" s="174" t="s">
        <v>283</v>
      </c>
      <c r="Q145" s="174" t="s">
        <v>284</v>
      </c>
      <c r="R145" s="174" t="s">
        <v>283</v>
      </c>
      <c r="S145" s="174" t="s">
        <v>283</v>
      </c>
      <c r="T145" s="175">
        <v>0</v>
      </c>
    </row>
    <row r="146" spans="1:20" x14ac:dyDescent="0.2">
      <c r="A146" s="169">
        <v>622</v>
      </c>
      <c r="B146" s="168" t="s">
        <v>8</v>
      </c>
      <c r="C146" s="168" t="s">
        <v>24</v>
      </c>
      <c r="D146" s="173">
        <v>45716</v>
      </c>
      <c r="E146" s="174" t="s">
        <v>287</v>
      </c>
      <c r="F146" s="174" t="s">
        <v>426</v>
      </c>
      <c r="G146" s="174" t="s">
        <v>77</v>
      </c>
      <c r="H146" s="174" t="s">
        <v>402</v>
      </c>
      <c r="I146" s="174" t="s">
        <v>403</v>
      </c>
      <c r="J146" s="174" t="s">
        <v>293</v>
      </c>
      <c r="K146" s="174" t="s">
        <v>279</v>
      </c>
      <c r="L146" s="174" t="s">
        <v>280</v>
      </c>
      <c r="M146" s="174" t="s">
        <v>281</v>
      </c>
      <c r="N146" s="177">
        <v>24234748</v>
      </c>
      <c r="O146" s="174" t="s">
        <v>289</v>
      </c>
      <c r="P146" s="174" t="s">
        <v>283</v>
      </c>
      <c r="Q146" s="174" t="s">
        <v>284</v>
      </c>
      <c r="R146" s="174" t="s">
        <v>283</v>
      </c>
      <c r="S146" s="174" t="s">
        <v>283</v>
      </c>
      <c r="T146" s="175">
        <v>0</v>
      </c>
    </row>
    <row r="147" spans="1:20" x14ac:dyDescent="0.2">
      <c r="A147" s="169">
        <v>627</v>
      </c>
      <c r="B147" s="168" t="s">
        <v>8</v>
      </c>
      <c r="C147" s="168" t="s">
        <v>25</v>
      </c>
      <c r="D147" s="173">
        <v>45715</v>
      </c>
      <c r="E147" s="174" t="s">
        <v>334</v>
      </c>
      <c r="F147" s="174" t="s">
        <v>375</v>
      </c>
      <c r="G147" s="174" t="s">
        <v>336</v>
      </c>
      <c r="H147" s="174" t="s">
        <v>402</v>
      </c>
      <c r="I147" s="174" t="s">
        <v>403</v>
      </c>
      <c r="J147" s="174" t="s">
        <v>337</v>
      </c>
      <c r="K147" s="174" t="s">
        <v>338</v>
      </c>
      <c r="L147" s="174" t="s">
        <v>280</v>
      </c>
      <c r="M147" s="174" t="s">
        <v>281</v>
      </c>
      <c r="N147" s="177">
        <v>89075000</v>
      </c>
      <c r="O147" s="174" t="s">
        <v>339</v>
      </c>
      <c r="P147" s="174" t="s">
        <v>283</v>
      </c>
      <c r="Q147" s="174" t="s">
        <v>306</v>
      </c>
      <c r="R147" s="174" t="s">
        <v>283</v>
      </c>
      <c r="S147" s="174" t="s">
        <v>283</v>
      </c>
      <c r="T147" s="175">
        <v>0</v>
      </c>
    </row>
    <row r="148" spans="1:20" x14ac:dyDescent="0.2">
      <c r="A148" s="169">
        <v>627</v>
      </c>
      <c r="B148" s="168" t="s">
        <v>8</v>
      </c>
      <c r="C148" s="168" t="s">
        <v>25</v>
      </c>
      <c r="D148" s="173">
        <v>45716</v>
      </c>
      <c r="E148" s="174" t="s">
        <v>413</v>
      </c>
      <c r="F148" s="174" t="s">
        <v>375</v>
      </c>
      <c r="G148" s="174" t="s">
        <v>336</v>
      </c>
      <c r="H148" s="174" t="s">
        <v>402</v>
      </c>
      <c r="I148" s="174" t="s">
        <v>403</v>
      </c>
      <c r="J148" s="174" t="s">
        <v>416</v>
      </c>
      <c r="K148" s="174" t="s">
        <v>416</v>
      </c>
      <c r="L148" s="174" t="s">
        <v>280</v>
      </c>
      <c r="M148" s="174" t="s">
        <v>281</v>
      </c>
      <c r="N148" s="177">
        <v>-81650000</v>
      </c>
      <c r="O148" s="174" t="s">
        <v>417</v>
      </c>
      <c r="P148" s="174" t="s">
        <v>283</v>
      </c>
      <c r="Q148" s="174" t="s">
        <v>348</v>
      </c>
      <c r="R148" s="174" t="s">
        <v>283</v>
      </c>
      <c r="S148" s="174" t="s">
        <v>283</v>
      </c>
      <c r="T148" s="175">
        <v>0</v>
      </c>
    </row>
    <row r="149" spans="1:20" x14ac:dyDescent="0.2">
      <c r="A149" s="169">
        <v>627</v>
      </c>
      <c r="B149" s="168" t="s">
        <v>8</v>
      </c>
      <c r="C149" s="168" t="s">
        <v>25</v>
      </c>
      <c r="D149" s="173">
        <v>45716</v>
      </c>
      <c r="E149" s="174" t="s">
        <v>273</v>
      </c>
      <c r="F149" s="174" t="s">
        <v>375</v>
      </c>
      <c r="G149" s="174" t="s">
        <v>336</v>
      </c>
      <c r="H149" s="174" t="s">
        <v>402</v>
      </c>
      <c r="I149" s="174" t="s">
        <v>403</v>
      </c>
      <c r="J149" s="174" t="s">
        <v>278</v>
      </c>
      <c r="K149" s="174" t="s">
        <v>279</v>
      </c>
      <c r="L149" s="174" t="s">
        <v>280</v>
      </c>
      <c r="M149" s="174" t="s">
        <v>281</v>
      </c>
      <c r="N149" s="177">
        <v>2690000</v>
      </c>
      <c r="O149" s="174" t="s">
        <v>282</v>
      </c>
      <c r="P149" s="174" t="s">
        <v>283</v>
      </c>
      <c r="Q149" s="174" t="s">
        <v>284</v>
      </c>
      <c r="R149" s="174" t="s">
        <v>283</v>
      </c>
      <c r="S149" s="174" t="s">
        <v>283</v>
      </c>
      <c r="T149" s="175">
        <v>0</v>
      </c>
    </row>
    <row r="150" spans="1:20" x14ac:dyDescent="0.2">
      <c r="A150" s="169">
        <v>627</v>
      </c>
      <c r="B150" s="168" t="s">
        <v>8</v>
      </c>
      <c r="C150" s="168" t="s">
        <v>170</v>
      </c>
      <c r="D150" s="173">
        <v>45716</v>
      </c>
      <c r="E150" s="174" t="s">
        <v>294</v>
      </c>
      <c r="F150" s="174" t="s">
        <v>393</v>
      </c>
      <c r="G150" s="174" t="s">
        <v>296</v>
      </c>
      <c r="H150" s="174" t="s">
        <v>402</v>
      </c>
      <c r="I150" s="174" t="s">
        <v>403</v>
      </c>
      <c r="J150" s="174" t="s">
        <v>297</v>
      </c>
      <c r="K150" s="174" t="s">
        <v>279</v>
      </c>
      <c r="L150" s="174" t="s">
        <v>280</v>
      </c>
      <c r="M150" s="174" t="s">
        <v>281</v>
      </c>
      <c r="N150" s="177">
        <v>79799555</v>
      </c>
      <c r="O150" s="174" t="s">
        <v>298</v>
      </c>
      <c r="P150" s="174" t="s">
        <v>283</v>
      </c>
      <c r="Q150" s="174" t="s">
        <v>284</v>
      </c>
      <c r="R150" s="174" t="s">
        <v>283</v>
      </c>
      <c r="S150" s="174" t="s">
        <v>283</v>
      </c>
      <c r="T150" s="175">
        <v>0</v>
      </c>
    </row>
    <row r="151" spans="1:20" x14ac:dyDescent="0.2">
      <c r="A151" s="169">
        <v>627</v>
      </c>
      <c r="B151" s="168" t="s">
        <v>8</v>
      </c>
      <c r="C151" s="168" t="s">
        <v>170</v>
      </c>
      <c r="D151" s="173">
        <v>45716</v>
      </c>
      <c r="E151" s="174" t="s">
        <v>294</v>
      </c>
      <c r="F151" s="174" t="s">
        <v>393</v>
      </c>
      <c r="G151" s="174" t="s">
        <v>296</v>
      </c>
      <c r="H151" s="174" t="s">
        <v>402</v>
      </c>
      <c r="I151" s="174" t="s">
        <v>403</v>
      </c>
      <c r="J151" s="174" t="s">
        <v>297</v>
      </c>
      <c r="K151" s="174" t="s">
        <v>279</v>
      </c>
      <c r="L151" s="174" t="s">
        <v>280</v>
      </c>
      <c r="M151" s="174" t="s">
        <v>281</v>
      </c>
      <c r="N151" s="177">
        <v>1452300</v>
      </c>
      <c r="O151" s="174" t="s">
        <v>298</v>
      </c>
      <c r="P151" s="174" t="s">
        <v>283</v>
      </c>
      <c r="Q151" s="174" t="s">
        <v>284</v>
      </c>
      <c r="R151" s="174" t="s">
        <v>283</v>
      </c>
      <c r="S151" s="174" t="s">
        <v>283</v>
      </c>
      <c r="T151" s="175">
        <v>0</v>
      </c>
    </row>
    <row r="152" spans="1:20" x14ac:dyDescent="0.2">
      <c r="A152" s="169">
        <v>627</v>
      </c>
      <c r="B152" s="168" t="s">
        <v>8</v>
      </c>
      <c r="C152" s="168" t="s">
        <v>24</v>
      </c>
      <c r="D152" s="173">
        <v>45716</v>
      </c>
      <c r="E152" s="174" t="s">
        <v>287</v>
      </c>
      <c r="F152" s="174" t="s">
        <v>395</v>
      </c>
      <c r="G152" s="174" t="s">
        <v>77</v>
      </c>
      <c r="H152" s="174" t="s">
        <v>402</v>
      </c>
      <c r="I152" s="174" t="s">
        <v>403</v>
      </c>
      <c r="J152" s="174" t="s">
        <v>293</v>
      </c>
      <c r="K152" s="174" t="s">
        <v>279</v>
      </c>
      <c r="L152" s="174" t="s">
        <v>280</v>
      </c>
      <c r="M152" s="174" t="s">
        <v>281</v>
      </c>
      <c r="N152" s="177">
        <v>29362158</v>
      </c>
      <c r="O152" s="174" t="s">
        <v>289</v>
      </c>
      <c r="P152" s="174" t="s">
        <v>283</v>
      </c>
      <c r="Q152" s="174" t="s">
        <v>284</v>
      </c>
      <c r="R152" s="174" t="s">
        <v>283</v>
      </c>
      <c r="S152" s="174" t="s">
        <v>283</v>
      </c>
      <c r="T152" s="175">
        <v>0</v>
      </c>
    </row>
    <row r="153" spans="1:20" x14ac:dyDescent="0.2">
      <c r="A153" s="169">
        <v>627</v>
      </c>
      <c r="B153" s="168" t="s">
        <v>8</v>
      </c>
      <c r="C153" s="168" t="s">
        <v>170</v>
      </c>
      <c r="D153" s="173">
        <v>45716</v>
      </c>
      <c r="E153" s="174" t="s">
        <v>427</v>
      </c>
      <c r="F153" s="174" t="s">
        <v>393</v>
      </c>
      <c r="G153" s="174" t="s">
        <v>296</v>
      </c>
      <c r="H153" s="174" t="s">
        <v>402</v>
      </c>
      <c r="I153" s="174" t="s">
        <v>403</v>
      </c>
      <c r="J153" s="174" t="s">
        <v>428</v>
      </c>
      <c r="K153" s="174" t="s">
        <v>279</v>
      </c>
      <c r="L153" s="174" t="s">
        <v>280</v>
      </c>
      <c r="M153" s="174" t="s">
        <v>281</v>
      </c>
      <c r="N153" s="177">
        <v>4088520</v>
      </c>
      <c r="O153" s="174" t="s">
        <v>429</v>
      </c>
      <c r="P153" s="174" t="s">
        <v>283</v>
      </c>
      <c r="Q153" s="174" t="s">
        <v>284</v>
      </c>
      <c r="R153" s="174" t="s">
        <v>283</v>
      </c>
      <c r="S153" s="174" t="s">
        <v>283</v>
      </c>
      <c r="T153" s="175">
        <v>0</v>
      </c>
    </row>
    <row r="154" spans="1:20" x14ac:dyDescent="0.2">
      <c r="A154" s="169">
        <v>622</v>
      </c>
      <c r="B154" s="168" t="s">
        <v>8</v>
      </c>
      <c r="C154" s="168" t="s">
        <v>22</v>
      </c>
      <c r="D154" s="173">
        <v>45695</v>
      </c>
      <c r="E154" s="174" t="s">
        <v>399</v>
      </c>
      <c r="F154" s="174" t="s">
        <v>400</v>
      </c>
      <c r="G154" s="174" t="s">
        <v>401</v>
      </c>
      <c r="H154" s="174" t="s">
        <v>430</v>
      </c>
      <c r="I154" s="174" t="s">
        <v>431</v>
      </c>
      <c r="J154" s="174" t="s">
        <v>432</v>
      </c>
      <c r="K154" s="174" t="s">
        <v>405</v>
      </c>
      <c r="L154" s="174" t="s">
        <v>280</v>
      </c>
      <c r="M154" s="174" t="s">
        <v>281</v>
      </c>
      <c r="N154" s="177">
        <v>87540384</v>
      </c>
      <c r="O154" s="174" t="s">
        <v>406</v>
      </c>
      <c r="P154" s="174" t="s">
        <v>283</v>
      </c>
      <c r="Q154" s="174" t="s">
        <v>306</v>
      </c>
      <c r="R154" s="174" t="s">
        <v>283</v>
      </c>
      <c r="S154" s="174" t="s">
        <v>283</v>
      </c>
      <c r="T154" s="175">
        <v>0</v>
      </c>
    </row>
    <row r="155" spans="1:20" x14ac:dyDescent="0.2">
      <c r="A155" s="169">
        <v>622</v>
      </c>
      <c r="B155" s="168" t="s">
        <v>8</v>
      </c>
      <c r="C155" s="168" t="s">
        <v>22</v>
      </c>
      <c r="D155" s="173">
        <v>45696</v>
      </c>
      <c r="E155" s="174" t="s">
        <v>408</v>
      </c>
      <c r="F155" s="174" t="s">
        <v>400</v>
      </c>
      <c r="G155" s="174" t="s">
        <v>401</v>
      </c>
      <c r="H155" s="174" t="s">
        <v>430</v>
      </c>
      <c r="I155" s="174" t="s">
        <v>431</v>
      </c>
      <c r="J155" s="174" t="s">
        <v>433</v>
      </c>
      <c r="K155" s="174" t="s">
        <v>405</v>
      </c>
      <c r="L155" s="174" t="s">
        <v>280</v>
      </c>
      <c r="M155" s="174" t="s">
        <v>281</v>
      </c>
      <c r="N155" s="177">
        <v>4166667</v>
      </c>
      <c r="O155" s="174" t="s">
        <v>410</v>
      </c>
      <c r="P155" s="174" t="s">
        <v>283</v>
      </c>
      <c r="Q155" s="174" t="s">
        <v>306</v>
      </c>
      <c r="R155" s="174" t="s">
        <v>283</v>
      </c>
      <c r="S155" s="174" t="s">
        <v>283</v>
      </c>
      <c r="T155" s="175">
        <v>0</v>
      </c>
    </row>
    <row r="156" spans="1:20" x14ac:dyDescent="0.2">
      <c r="A156" s="169">
        <v>622</v>
      </c>
      <c r="B156" s="168" t="s">
        <v>8</v>
      </c>
      <c r="C156" s="168" t="s">
        <v>25</v>
      </c>
      <c r="D156" s="173">
        <v>45716</v>
      </c>
      <c r="E156" s="174" t="s">
        <v>413</v>
      </c>
      <c r="F156" s="174" t="s">
        <v>414</v>
      </c>
      <c r="G156" s="174" t="s">
        <v>415</v>
      </c>
      <c r="H156" s="174" t="s">
        <v>430</v>
      </c>
      <c r="I156" s="174" t="s">
        <v>431</v>
      </c>
      <c r="J156" s="174" t="s">
        <v>416</v>
      </c>
      <c r="K156" s="174" t="s">
        <v>416</v>
      </c>
      <c r="L156" s="174" t="s">
        <v>280</v>
      </c>
      <c r="M156" s="174" t="s">
        <v>281</v>
      </c>
      <c r="N156" s="177">
        <v>17200000</v>
      </c>
      <c r="O156" s="174" t="s">
        <v>417</v>
      </c>
      <c r="P156" s="174" t="s">
        <v>283</v>
      </c>
      <c r="Q156" s="174" t="s">
        <v>348</v>
      </c>
      <c r="R156" s="174" t="s">
        <v>283</v>
      </c>
      <c r="S156" s="174" t="s">
        <v>283</v>
      </c>
      <c r="T156" s="175">
        <v>0</v>
      </c>
    </row>
    <row r="157" spans="1:20" x14ac:dyDescent="0.2">
      <c r="A157" s="169">
        <v>622</v>
      </c>
      <c r="B157" s="168" t="s">
        <v>8</v>
      </c>
      <c r="C157" s="168" t="s">
        <v>22</v>
      </c>
      <c r="D157" s="173">
        <v>45716</v>
      </c>
      <c r="E157" s="174" t="s">
        <v>273</v>
      </c>
      <c r="F157" s="174" t="s">
        <v>400</v>
      </c>
      <c r="G157" s="174" t="s">
        <v>401</v>
      </c>
      <c r="H157" s="174" t="s">
        <v>430</v>
      </c>
      <c r="I157" s="174" t="s">
        <v>431</v>
      </c>
      <c r="J157" s="174" t="s">
        <v>278</v>
      </c>
      <c r="K157" s="174" t="s">
        <v>279</v>
      </c>
      <c r="L157" s="174" t="s">
        <v>280</v>
      </c>
      <c r="M157" s="174" t="s">
        <v>281</v>
      </c>
      <c r="N157" s="177">
        <v>221302998</v>
      </c>
      <c r="O157" s="174" t="s">
        <v>282</v>
      </c>
      <c r="P157" s="174" t="s">
        <v>283</v>
      </c>
      <c r="Q157" s="174" t="s">
        <v>284</v>
      </c>
      <c r="R157" s="174" t="s">
        <v>283</v>
      </c>
      <c r="S157" s="174" t="s">
        <v>283</v>
      </c>
      <c r="T157" s="175">
        <v>0</v>
      </c>
    </row>
    <row r="158" spans="1:20" x14ac:dyDescent="0.2">
      <c r="A158" s="169">
        <v>622</v>
      </c>
      <c r="B158" s="168" t="s">
        <v>8</v>
      </c>
      <c r="C158" s="168" t="s">
        <v>22</v>
      </c>
      <c r="D158" s="173">
        <v>45716</v>
      </c>
      <c r="E158" s="174" t="s">
        <v>273</v>
      </c>
      <c r="F158" s="174" t="s">
        <v>420</v>
      </c>
      <c r="G158" s="174" t="s">
        <v>286</v>
      </c>
      <c r="H158" s="174" t="s">
        <v>430</v>
      </c>
      <c r="I158" s="174" t="s">
        <v>431</v>
      </c>
      <c r="J158" s="174" t="s">
        <v>278</v>
      </c>
      <c r="K158" s="174" t="s">
        <v>279</v>
      </c>
      <c r="L158" s="174" t="s">
        <v>280</v>
      </c>
      <c r="M158" s="174" t="s">
        <v>281</v>
      </c>
      <c r="N158" s="177">
        <v>5783695</v>
      </c>
      <c r="O158" s="174" t="s">
        <v>282</v>
      </c>
      <c r="P158" s="174" t="s">
        <v>283</v>
      </c>
      <c r="Q158" s="174" t="s">
        <v>284</v>
      </c>
      <c r="R158" s="174" t="s">
        <v>283</v>
      </c>
      <c r="S158" s="174" t="s">
        <v>283</v>
      </c>
      <c r="T158" s="175">
        <v>0</v>
      </c>
    </row>
    <row r="159" spans="1:20" x14ac:dyDescent="0.2">
      <c r="A159" s="169">
        <v>622</v>
      </c>
      <c r="B159" s="168" t="s">
        <v>8</v>
      </c>
      <c r="C159" s="168" t="s">
        <v>25</v>
      </c>
      <c r="D159" s="173">
        <v>45716</v>
      </c>
      <c r="E159" s="174" t="s">
        <v>273</v>
      </c>
      <c r="F159" s="174" t="s">
        <v>421</v>
      </c>
      <c r="G159" s="174" t="s">
        <v>341</v>
      </c>
      <c r="H159" s="174" t="s">
        <v>430</v>
      </c>
      <c r="I159" s="174" t="s">
        <v>431</v>
      </c>
      <c r="J159" s="174" t="s">
        <v>278</v>
      </c>
      <c r="K159" s="174" t="s">
        <v>279</v>
      </c>
      <c r="L159" s="174" t="s">
        <v>280</v>
      </c>
      <c r="M159" s="174" t="s">
        <v>281</v>
      </c>
      <c r="N159" s="177">
        <v>14889916</v>
      </c>
      <c r="O159" s="174" t="s">
        <v>282</v>
      </c>
      <c r="P159" s="174" t="s">
        <v>283</v>
      </c>
      <c r="Q159" s="174" t="s">
        <v>284</v>
      </c>
      <c r="R159" s="174" t="s">
        <v>283</v>
      </c>
      <c r="S159" s="174" t="s">
        <v>283</v>
      </c>
      <c r="T159" s="175">
        <v>0</v>
      </c>
    </row>
    <row r="160" spans="1:20" x14ac:dyDescent="0.2">
      <c r="A160" s="169">
        <v>622</v>
      </c>
      <c r="B160" s="168" t="s">
        <v>8</v>
      </c>
      <c r="C160" s="168" t="s">
        <v>23</v>
      </c>
      <c r="D160" s="173">
        <v>45716</v>
      </c>
      <c r="E160" s="174" t="s">
        <v>273</v>
      </c>
      <c r="F160" s="174" t="s">
        <v>422</v>
      </c>
      <c r="G160" s="174" t="s">
        <v>423</v>
      </c>
      <c r="H160" s="174" t="s">
        <v>430</v>
      </c>
      <c r="I160" s="174" t="s">
        <v>431</v>
      </c>
      <c r="J160" s="174" t="s">
        <v>278</v>
      </c>
      <c r="K160" s="174" t="s">
        <v>279</v>
      </c>
      <c r="L160" s="174" t="s">
        <v>280</v>
      </c>
      <c r="M160" s="174" t="s">
        <v>281</v>
      </c>
      <c r="N160" s="177">
        <v>38508816</v>
      </c>
      <c r="O160" s="174" t="s">
        <v>282</v>
      </c>
      <c r="P160" s="174" t="s">
        <v>283</v>
      </c>
      <c r="Q160" s="174" t="s">
        <v>284</v>
      </c>
      <c r="R160" s="174" t="s">
        <v>283</v>
      </c>
      <c r="S160" s="174" t="s">
        <v>283</v>
      </c>
      <c r="T160" s="175">
        <v>0</v>
      </c>
    </row>
    <row r="161" spans="1:20" x14ac:dyDescent="0.2">
      <c r="A161" s="169">
        <v>622</v>
      </c>
      <c r="B161" s="168" t="s">
        <v>8</v>
      </c>
      <c r="C161" s="168" t="s">
        <v>24</v>
      </c>
      <c r="D161" s="173">
        <v>45716</v>
      </c>
      <c r="E161" s="174" t="s">
        <v>273</v>
      </c>
      <c r="F161" s="174" t="s">
        <v>424</v>
      </c>
      <c r="G161" s="174" t="s">
        <v>291</v>
      </c>
      <c r="H161" s="174" t="s">
        <v>430</v>
      </c>
      <c r="I161" s="174" t="s">
        <v>431</v>
      </c>
      <c r="J161" s="174" t="s">
        <v>278</v>
      </c>
      <c r="K161" s="174" t="s">
        <v>279</v>
      </c>
      <c r="L161" s="174" t="s">
        <v>280</v>
      </c>
      <c r="M161" s="174" t="s">
        <v>281</v>
      </c>
      <c r="N161" s="177">
        <v>14500000</v>
      </c>
      <c r="O161" s="174" t="s">
        <v>282</v>
      </c>
      <c r="P161" s="174" t="s">
        <v>283</v>
      </c>
      <c r="Q161" s="174" t="s">
        <v>284</v>
      </c>
      <c r="R161" s="174" t="s">
        <v>283</v>
      </c>
      <c r="S161" s="174" t="s">
        <v>283</v>
      </c>
      <c r="T161" s="175">
        <v>0</v>
      </c>
    </row>
    <row r="162" spans="1:20" x14ac:dyDescent="0.2">
      <c r="A162" s="169">
        <v>622</v>
      </c>
      <c r="B162" s="168" t="s">
        <v>8</v>
      </c>
      <c r="C162" s="168" t="s">
        <v>25</v>
      </c>
      <c r="D162" s="173">
        <v>45716</v>
      </c>
      <c r="E162" s="174" t="s">
        <v>273</v>
      </c>
      <c r="F162" s="174" t="s">
        <v>414</v>
      </c>
      <c r="G162" s="174" t="s">
        <v>415</v>
      </c>
      <c r="H162" s="174" t="s">
        <v>430</v>
      </c>
      <c r="I162" s="174" t="s">
        <v>431</v>
      </c>
      <c r="J162" s="174" t="s">
        <v>278</v>
      </c>
      <c r="K162" s="174" t="s">
        <v>279</v>
      </c>
      <c r="L162" s="174" t="s">
        <v>280</v>
      </c>
      <c r="M162" s="174" t="s">
        <v>281</v>
      </c>
      <c r="N162" s="177">
        <v>4200000</v>
      </c>
      <c r="O162" s="174" t="s">
        <v>282</v>
      </c>
      <c r="P162" s="174" t="s">
        <v>283</v>
      </c>
      <c r="Q162" s="174" t="s">
        <v>284</v>
      </c>
      <c r="R162" s="174" t="s">
        <v>283</v>
      </c>
      <c r="S162" s="174" t="s">
        <v>283</v>
      </c>
      <c r="T162" s="175">
        <v>0</v>
      </c>
    </row>
    <row r="163" spans="1:20" x14ac:dyDescent="0.2">
      <c r="A163" s="169">
        <v>622</v>
      </c>
      <c r="B163" s="168" t="s">
        <v>8</v>
      </c>
      <c r="C163" s="168" t="s">
        <v>170</v>
      </c>
      <c r="D163" s="173">
        <v>45716</v>
      </c>
      <c r="E163" s="174" t="s">
        <v>294</v>
      </c>
      <c r="F163" s="174" t="s">
        <v>425</v>
      </c>
      <c r="G163" s="174" t="s">
        <v>296</v>
      </c>
      <c r="H163" s="174" t="s">
        <v>430</v>
      </c>
      <c r="I163" s="174" t="s">
        <v>431</v>
      </c>
      <c r="J163" s="174" t="s">
        <v>297</v>
      </c>
      <c r="K163" s="174" t="s">
        <v>279</v>
      </c>
      <c r="L163" s="174" t="s">
        <v>280</v>
      </c>
      <c r="M163" s="174" t="s">
        <v>281</v>
      </c>
      <c r="N163" s="177">
        <v>36155465</v>
      </c>
      <c r="O163" s="174" t="s">
        <v>298</v>
      </c>
      <c r="P163" s="174" t="s">
        <v>283</v>
      </c>
      <c r="Q163" s="174" t="s">
        <v>284</v>
      </c>
      <c r="R163" s="174" t="s">
        <v>283</v>
      </c>
      <c r="S163" s="174" t="s">
        <v>283</v>
      </c>
      <c r="T163" s="175">
        <v>0</v>
      </c>
    </row>
    <row r="164" spans="1:20" x14ac:dyDescent="0.2">
      <c r="A164" s="169">
        <v>622</v>
      </c>
      <c r="B164" s="168" t="s">
        <v>8</v>
      </c>
      <c r="C164" s="168" t="s">
        <v>170</v>
      </c>
      <c r="D164" s="173">
        <v>45716</v>
      </c>
      <c r="E164" s="174" t="s">
        <v>294</v>
      </c>
      <c r="F164" s="174" t="s">
        <v>425</v>
      </c>
      <c r="G164" s="174" t="s">
        <v>296</v>
      </c>
      <c r="H164" s="174" t="s">
        <v>430</v>
      </c>
      <c r="I164" s="174" t="s">
        <v>431</v>
      </c>
      <c r="J164" s="174" t="s">
        <v>297</v>
      </c>
      <c r="K164" s="174" t="s">
        <v>279</v>
      </c>
      <c r="L164" s="174" t="s">
        <v>280</v>
      </c>
      <c r="M164" s="174" t="s">
        <v>281</v>
      </c>
      <c r="N164" s="177">
        <v>3833555</v>
      </c>
      <c r="O164" s="174" t="s">
        <v>298</v>
      </c>
      <c r="P164" s="174" t="s">
        <v>283</v>
      </c>
      <c r="Q164" s="174" t="s">
        <v>284</v>
      </c>
      <c r="R164" s="174" t="s">
        <v>283</v>
      </c>
      <c r="S164" s="174" t="s">
        <v>283</v>
      </c>
      <c r="T164" s="175">
        <v>0</v>
      </c>
    </row>
    <row r="165" spans="1:20" x14ac:dyDescent="0.2">
      <c r="A165" s="169">
        <v>622</v>
      </c>
      <c r="B165" s="168" t="s">
        <v>8</v>
      </c>
      <c r="C165" s="168" t="s">
        <v>22</v>
      </c>
      <c r="D165" s="173">
        <v>45716</v>
      </c>
      <c r="E165" s="174" t="s">
        <v>287</v>
      </c>
      <c r="F165" s="174" t="s">
        <v>420</v>
      </c>
      <c r="G165" s="174" t="s">
        <v>286</v>
      </c>
      <c r="H165" s="174" t="s">
        <v>430</v>
      </c>
      <c r="I165" s="174" t="s">
        <v>431</v>
      </c>
      <c r="J165" s="174" t="s">
        <v>288</v>
      </c>
      <c r="K165" s="174" t="s">
        <v>279</v>
      </c>
      <c r="L165" s="174" t="s">
        <v>280</v>
      </c>
      <c r="M165" s="174" t="s">
        <v>281</v>
      </c>
      <c r="N165" s="177">
        <v>15346360</v>
      </c>
      <c r="O165" s="174" t="s">
        <v>289</v>
      </c>
      <c r="P165" s="174" t="s">
        <v>283</v>
      </c>
      <c r="Q165" s="174" t="s">
        <v>284</v>
      </c>
      <c r="R165" s="174" t="s">
        <v>283</v>
      </c>
      <c r="S165" s="174" t="s">
        <v>283</v>
      </c>
      <c r="T165" s="175">
        <v>0</v>
      </c>
    </row>
    <row r="166" spans="1:20" x14ac:dyDescent="0.2">
      <c r="A166" s="169">
        <v>622</v>
      </c>
      <c r="B166" s="168" t="s">
        <v>8</v>
      </c>
      <c r="C166" s="168" t="s">
        <v>24</v>
      </c>
      <c r="D166" s="173">
        <v>45716</v>
      </c>
      <c r="E166" s="174" t="s">
        <v>287</v>
      </c>
      <c r="F166" s="174" t="s">
        <v>426</v>
      </c>
      <c r="G166" s="174" t="s">
        <v>77</v>
      </c>
      <c r="H166" s="174" t="s">
        <v>430</v>
      </c>
      <c r="I166" s="174" t="s">
        <v>431</v>
      </c>
      <c r="J166" s="174" t="s">
        <v>293</v>
      </c>
      <c r="K166" s="174" t="s">
        <v>279</v>
      </c>
      <c r="L166" s="174" t="s">
        <v>280</v>
      </c>
      <c r="M166" s="174" t="s">
        <v>281</v>
      </c>
      <c r="N166" s="177">
        <v>4210018</v>
      </c>
      <c r="O166" s="174" t="s">
        <v>289</v>
      </c>
      <c r="P166" s="174" t="s">
        <v>283</v>
      </c>
      <c r="Q166" s="174" t="s">
        <v>284</v>
      </c>
      <c r="R166" s="174" t="s">
        <v>283</v>
      </c>
      <c r="S166" s="174" t="s">
        <v>283</v>
      </c>
      <c r="T166" s="175">
        <v>0</v>
      </c>
    </row>
    <row r="167" spans="1:20" x14ac:dyDescent="0.2">
      <c r="A167" s="169">
        <v>627</v>
      </c>
      <c r="B167" s="168" t="s">
        <v>8</v>
      </c>
      <c r="C167" s="168" t="s">
        <v>25</v>
      </c>
      <c r="D167" s="173">
        <v>45715</v>
      </c>
      <c r="E167" s="174" t="s">
        <v>334</v>
      </c>
      <c r="F167" s="174" t="s">
        <v>375</v>
      </c>
      <c r="G167" s="174" t="s">
        <v>336</v>
      </c>
      <c r="H167" s="174" t="s">
        <v>430</v>
      </c>
      <c r="I167" s="174" t="s">
        <v>431</v>
      </c>
      <c r="J167" s="174" t="s">
        <v>337</v>
      </c>
      <c r="K167" s="174" t="s">
        <v>338</v>
      </c>
      <c r="L167" s="174" t="s">
        <v>280</v>
      </c>
      <c r="M167" s="174" t="s">
        <v>281</v>
      </c>
      <c r="N167" s="177">
        <v>20525000</v>
      </c>
      <c r="O167" s="174" t="s">
        <v>339</v>
      </c>
      <c r="P167" s="174" t="s">
        <v>283</v>
      </c>
      <c r="Q167" s="174" t="s">
        <v>306</v>
      </c>
      <c r="R167" s="174" t="s">
        <v>283</v>
      </c>
      <c r="S167" s="174" t="s">
        <v>283</v>
      </c>
      <c r="T167" s="175">
        <v>0</v>
      </c>
    </row>
    <row r="168" spans="1:20" x14ac:dyDescent="0.2">
      <c r="A168" s="169">
        <v>627</v>
      </c>
      <c r="B168" s="168" t="s">
        <v>8</v>
      </c>
      <c r="C168" s="168" t="s">
        <v>25</v>
      </c>
      <c r="D168" s="173">
        <v>45716</v>
      </c>
      <c r="E168" s="174" t="s">
        <v>413</v>
      </c>
      <c r="F168" s="174" t="s">
        <v>375</v>
      </c>
      <c r="G168" s="174" t="s">
        <v>336</v>
      </c>
      <c r="H168" s="174" t="s">
        <v>430</v>
      </c>
      <c r="I168" s="174" t="s">
        <v>431</v>
      </c>
      <c r="J168" s="174" t="s">
        <v>416</v>
      </c>
      <c r="K168" s="174" t="s">
        <v>416</v>
      </c>
      <c r="L168" s="174" t="s">
        <v>280</v>
      </c>
      <c r="M168" s="174" t="s">
        <v>281</v>
      </c>
      <c r="N168" s="177">
        <v>-17200000</v>
      </c>
      <c r="O168" s="174" t="s">
        <v>417</v>
      </c>
      <c r="P168" s="174" t="s">
        <v>283</v>
      </c>
      <c r="Q168" s="174" t="s">
        <v>348</v>
      </c>
      <c r="R168" s="174" t="s">
        <v>283</v>
      </c>
      <c r="S168" s="174" t="s">
        <v>283</v>
      </c>
      <c r="T168" s="175">
        <v>0</v>
      </c>
    </row>
    <row r="169" spans="1:20" x14ac:dyDescent="0.2">
      <c r="A169" s="169">
        <v>627</v>
      </c>
      <c r="B169" s="168" t="s">
        <v>8</v>
      </c>
      <c r="C169" s="168" t="s">
        <v>25</v>
      </c>
      <c r="D169" s="173">
        <v>45716</v>
      </c>
      <c r="E169" s="174" t="s">
        <v>413</v>
      </c>
      <c r="F169" s="174" t="s">
        <v>375</v>
      </c>
      <c r="G169" s="174" t="s">
        <v>336</v>
      </c>
      <c r="H169" s="174" t="s">
        <v>430</v>
      </c>
      <c r="I169" s="174" t="s">
        <v>431</v>
      </c>
      <c r="J169" s="174" t="s">
        <v>416</v>
      </c>
      <c r="K169" s="174" t="s">
        <v>416</v>
      </c>
      <c r="L169" s="174" t="s">
        <v>280</v>
      </c>
      <c r="M169" s="174" t="s">
        <v>281</v>
      </c>
      <c r="N169" s="177">
        <v>-775000</v>
      </c>
      <c r="O169" s="174" t="s">
        <v>417</v>
      </c>
      <c r="P169" s="174" t="s">
        <v>283</v>
      </c>
      <c r="Q169" s="174" t="s">
        <v>348</v>
      </c>
      <c r="R169" s="174" t="s">
        <v>283</v>
      </c>
      <c r="S169" s="174" t="s">
        <v>283</v>
      </c>
      <c r="T169" s="175">
        <v>0</v>
      </c>
    </row>
    <row r="170" spans="1:20" x14ac:dyDescent="0.2">
      <c r="A170" s="169">
        <v>627</v>
      </c>
      <c r="B170" s="168" t="s">
        <v>8</v>
      </c>
      <c r="C170" s="168" t="s">
        <v>25</v>
      </c>
      <c r="D170" s="173">
        <v>45716</v>
      </c>
      <c r="E170" s="174" t="s">
        <v>273</v>
      </c>
      <c r="F170" s="174" t="s">
        <v>386</v>
      </c>
      <c r="G170" s="174" t="s">
        <v>341</v>
      </c>
      <c r="H170" s="174" t="s">
        <v>430</v>
      </c>
      <c r="I170" s="174" t="s">
        <v>431</v>
      </c>
      <c r="J170" s="174" t="s">
        <v>278</v>
      </c>
      <c r="K170" s="174" t="s">
        <v>279</v>
      </c>
      <c r="L170" s="174" t="s">
        <v>280</v>
      </c>
      <c r="M170" s="174" t="s">
        <v>281</v>
      </c>
      <c r="N170" s="177">
        <v>6737047</v>
      </c>
      <c r="O170" s="174" t="s">
        <v>282</v>
      </c>
      <c r="P170" s="174" t="s">
        <v>283</v>
      </c>
      <c r="Q170" s="174" t="s">
        <v>284</v>
      </c>
      <c r="R170" s="174" t="s">
        <v>283</v>
      </c>
      <c r="S170" s="174" t="s">
        <v>283</v>
      </c>
      <c r="T170" s="175">
        <v>0</v>
      </c>
    </row>
    <row r="171" spans="1:20" x14ac:dyDescent="0.2">
      <c r="A171" s="169">
        <v>627</v>
      </c>
      <c r="B171" s="168" t="s">
        <v>8</v>
      </c>
      <c r="C171" s="168" t="s">
        <v>22</v>
      </c>
      <c r="D171" s="173">
        <v>45716</v>
      </c>
      <c r="E171" s="174" t="s">
        <v>273</v>
      </c>
      <c r="F171" s="174" t="s">
        <v>387</v>
      </c>
      <c r="G171" s="174" t="s">
        <v>275</v>
      </c>
      <c r="H171" s="174" t="s">
        <v>430</v>
      </c>
      <c r="I171" s="174" t="s">
        <v>431</v>
      </c>
      <c r="J171" s="174" t="s">
        <v>278</v>
      </c>
      <c r="K171" s="174" t="s">
        <v>279</v>
      </c>
      <c r="L171" s="174" t="s">
        <v>280</v>
      </c>
      <c r="M171" s="174" t="s">
        <v>281</v>
      </c>
      <c r="N171" s="177">
        <v>157079953</v>
      </c>
      <c r="O171" s="174" t="s">
        <v>282</v>
      </c>
      <c r="P171" s="174" t="s">
        <v>283</v>
      </c>
      <c r="Q171" s="174" t="s">
        <v>284</v>
      </c>
      <c r="R171" s="174" t="s">
        <v>283</v>
      </c>
      <c r="S171" s="174" t="s">
        <v>283</v>
      </c>
      <c r="T171" s="175">
        <v>0</v>
      </c>
    </row>
    <row r="172" spans="1:20" x14ac:dyDescent="0.2">
      <c r="A172" s="169">
        <v>627</v>
      </c>
      <c r="B172" s="168" t="s">
        <v>8</v>
      </c>
      <c r="C172" s="168" t="s">
        <v>22</v>
      </c>
      <c r="D172" s="173">
        <v>45716</v>
      </c>
      <c r="E172" s="174" t="s">
        <v>273</v>
      </c>
      <c r="F172" s="174" t="s">
        <v>388</v>
      </c>
      <c r="G172" s="174" t="s">
        <v>286</v>
      </c>
      <c r="H172" s="174" t="s">
        <v>430</v>
      </c>
      <c r="I172" s="174" t="s">
        <v>431</v>
      </c>
      <c r="J172" s="174" t="s">
        <v>278</v>
      </c>
      <c r="K172" s="174" t="s">
        <v>279</v>
      </c>
      <c r="L172" s="174" t="s">
        <v>280</v>
      </c>
      <c r="M172" s="174" t="s">
        <v>281</v>
      </c>
      <c r="N172" s="177">
        <v>6945847</v>
      </c>
      <c r="O172" s="174" t="s">
        <v>282</v>
      </c>
      <c r="P172" s="174" t="s">
        <v>283</v>
      </c>
      <c r="Q172" s="174" t="s">
        <v>284</v>
      </c>
      <c r="R172" s="174" t="s">
        <v>283</v>
      </c>
      <c r="S172" s="174" t="s">
        <v>283</v>
      </c>
      <c r="T172" s="175">
        <v>0</v>
      </c>
    </row>
    <row r="173" spans="1:20" x14ac:dyDescent="0.2">
      <c r="A173" s="169">
        <v>627</v>
      </c>
      <c r="B173" s="168" t="s">
        <v>8</v>
      </c>
      <c r="C173" s="168" t="s">
        <v>23</v>
      </c>
      <c r="D173" s="173">
        <v>45716</v>
      </c>
      <c r="E173" s="174" t="s">
        <v>273</v>
      </c>
      <c r="F173" s="174" t="s">
        <v>389</v>
      </c>
      <c r="G173" s="174" t="s">
        <v>390</v>
      </c>
      <c r="H173" s="174" t="s">
        <v>430</v>
      </c>
      <c r="I173" s="174" t="s">
        <v>431</v>
      </c>
      <c r="J173" s="174" t="s">
        <v>278</v>
      </c>
      <c r="K173" s="174" t="s">
        <v>279</v>
      </c>
      <c r="L173" s="174" t="s">
        <v>280</v>
      </c>
      <c r="M173" s="174" t="s">
        <v>281</v>
      </c>
      <c r="N173" s="177">
        <v>16647943</v>
      </c>
      <c r="O173" s="174" t="s">
        <v>282</v>
      </c>
      <c r="P173" s="174" t="s">
        <v>283</v>
      </c>
      <c r="Q173" s="174" t="s">
        <v>284</v>
      </c>
      <c r="R173" s="174" t="s">
        <v>283</v>
      </c>
      <c r="S173" s="174" t="s">
        <v>283</v>
      </c>
      <c r="T173" s="175">
        <v>0</v>
      </c>
    </row>
    <row r="174" spans="1:20" x14ac:dyDescent="0.2">
      <c r="A174" s="169">
        <v>627</v>
      </c>
      <c r="B174" s="168" t="s">
        <v>8</v>
      </c>
      <c r="C174" s="168" t="s">
        <v>24</v>
      </c>
      <c r="D174" s="173">
        <v>45716</v>
      </c>
      <c r="E174" s="174" t="s">
        <v>273</v>
      </c>
      <c r="F174" s="174" t="s">
        <v>391</v>
      </c>
      <c r="G174" s="174" t="s">
        <v>291</v>
      </c>
      <c r="H174" s="174" t="s">
        <v>430</v>
      </c>
      <c r="I174" s="174" t="s">
        <v>431</v>
      </c>
      <c r="J174" s="174" t="s">
        <v>278</v>
      </c>
      <c r="K174" s="174" t="s">
        <v>279</v>
      </c>
      <c r="L174" s="174" t="s">
        <v>280</v>
      </c>
      <c r="M174" s="174" t="s">
        <v>281</v>
      </c>
      <c r="N174" s="177">
        <v>5500000</v>
      </c>
      <c r="O174" s="174" t="s">
        <v>282</v>
      </c>
      <c r="P174" s="174" t="s">
        <v>283</v>
      </c>
      <c r="Q174" s="174" t="s">
        <v>284</v>
      </c>
      <c r="R174" s="174" t="s">
        <v>283</v>
      </c>
      <c r="S174" s="174" t="s">
        <v>283</v>
      </c>
      <c r="T174" s="175">
        <v>0</v>
      </c>
    </row>
    <row r="175" spans="1:20" x14ac:dyDescent="0.2">
      <c r="A175" s="169">
        <v>627</v>
      </c>
      <c r="B175" s="168" t="s">
        <v>8</v>
      </c>
      <c r="C175" s="168" t="s">
        <v>25</v>
      </c>
      <c r="D175" s="173">
        <v>45716</v>
      </c>
      <c r="E175" s="174" t="s">
        <v>273</v>
      </c>
      <c r="F175" s="174" t="s">
        <v>375</v>
      </c>
      <c r="G175" s="174" t="s">
        <v>336</v>
      </c>
      <c r="H175" s="174" t="s">
        <v>430</v>
      </c>
      <c r="I175" s="174" t="s">
        <v>431</v>
      </c>
      <c r="J175" s="174" t="s">
        <v>278</v>
      </c>
      <c r="K175" s="174" t="s">
        <v>279</v>
      </c>
      <c r="L175" s="174" t="s">
        <v>280</v>
      </c>
      <c r="M175" s="174" t="s">
        <v>281</v>
      </c>
      <c r="N175" s="177">
        <v>1190000</v>
      </c>
      <c r="O175" s="174" t="s">
        <v>282</v>
      </c>
      <c r="P175" s="174" t="s">
        <v>283</v>
      </c>
      <c r="Q175" s="174" t="s">
        <v>284</v>
      </c>
      <c r="R175" s="174" t="s">
        <v>283</v>
      </c>
      <c r="S175" s="174" t="s">
        <v>283</v>
      </c>
      <c r="T175" s="175">
        <v>0</v>
      </c>
    </row>
    <row r="176" spans="1:20" x14ac:dyDescent="0.2">
      <c r="A176" s="169">
        <v>627</v>
      </c>
      <c r="B176" s="168" t="s">
        <v>8</v>
      </c>
      <c r="C176" s="168" t="s">
        <v>170</v>
      </c>
      <c r="D176" s="173">
        <v>45716</v>
      </c>
      <c r="E176" s="174" t="s">
        <v>294</v>
      </c>
      <c r="F176" s="174" t="s">
        <v>393</v>
      </c>
      <c r="G176" s="174" t="s">
        <v>296</v>
      </c>
      <c r="H176" s="174" t="s">
        <v>430</v>
      </c>
      <c r="I176" s="174" t="s">
        <v>431</v>
      </c>
      <c r="J176" s="174" t="s">
        <v>297</v>
      </c>
      <c r="K176" s="174" t="s">
        <v>279</v>
      </c>
      <c r="L176" s="174" t="s">
        <v>280</v>
      </c>
      <c r="M176" s="174" t="s">
        <v>281</v>
      </c>
      <c r="N176" s="177">
        <v>29859235</v>
      </c>
      <c r="O176" s="174" t="s">
        <v>298</v>
      </c>
      <c r="P176" s="174" t="s">
        <v>283</v>
      </c>
      <c r="Q176" s="174" t="s">
        <v>284</v>
      </c>
      <c r="R176" s="174" t="s">
        <v>283</v>
      </c>
      <c r="S176" s="174" t="s">
        <v>283</v>
      </c>
      <c r="T176" s="175">
        <v>0</v>
      </c>
    </row>
    <row r="177" spans="1:20" x14ac:dyDescent="0.2">
      <c r="A177" s="169">
        <v>627</v>
      </c>
      <c r="B177" s="168" t="s">
        <v>8</v>
      </c>
      <c r="C177" s="168" t="s">
        <v>22</v>
      </c>
      <c r="D177" s="173">
        <v>45716</v>
      </c>
      <c r="E177" s="174" t="s">
        <v>287</v>
      </c>
      <c r="F177" s="174" t="s">
        <v>388</v>
      </c>
      <c r="G177" s="174" t="s">
        <v>286</v>
      </c>
      <c r="H177" s="174" t="s">
        <v>430</v>
      </c>
      <c r="I177" s="174" t="s">
        <v>431</v>
      </c>
      <c r="J177" s="174" t="s">
        <v>288</v>
      </c>
      <c r="K177" s="174" t="s">
        <v>279</v>
      </c>
      <c r="L177" s="174" t="s">
        <v>280</v>
      </c>
      <c r="M177" s="174" t="s">
        <v>281</v>
      </c>
      <c r="N177" s="177">
        <v>12794512</v>
      </c>
      <c r="O177" s="174" t="s">
        <v>289</v>
      </c>
      <c r="P177" s="174" t="s">
        <v>283</v>
      </c>
      <c r="Q177" s="174" t="s">
        <v>284</v>
      </c>
      <c r="R177" s="174" t="s">
        <v>283</v>
      </c>
      <c r="S177" s="174" t="s">
        <v>283</v>
      </c>
      <c r="T177" s="175">
        <v>0</v>
      </c>
    </row>
    <row r="178" spans="1:20" x14ac:dyDescent="0.2">
      <c r="A178" s="169">
        <v>627</v>
      </c>
      <c r="B178" s="168" t="s">
        <v>8</v>
      </c>
      <c r="C178" s="168" t="s">
        <v>24</v>
      </c>
      <c r="D178" s="173">
        <v>45716</v>
      </c>
      <c r="E178" s="174" t="s">
        <v>287</v>
      </c>
      <c r="F178" s="174" t="s">
        <v>395</v>
      </c>
      <c r="G178" s="174" t="s">
        <v>77</v>
      </c>
      <c r="H178" s="174" t="s">
        <v>430</v>
      </c>
      <c r="I178" s="174" t="s">
        <v>431</v>
      </c>
      <c r="J178" s="174" t="s">
        <v>293</v>
      </c>
      <c r="K178" s="174" t="s">
        <v>279</v>
      </c>
      <c r="L178" s="174" t="s">
        <v>280</v>
      </c>
      <c r="M178" s="174" t="s">
        <v>281</v>
      </c>
      <c r="N178" s="177">
        <v>11397628</v>
      </c>
      <c r="O178" s="174" t="s">
        <v>289</v>
      </c>
      <c r="P178" s="174" t="s">
        <v>283</v>
      </c>
      <c r="Q178" s="174" t="s">
        <v>284</v>
      </c>
      <c r="R178" s="174" t="s">
        <v>283</v>
      </c>
      <c r="S178" s="174" t="s">
        <v>283</v>
      </c>
      <c r="T178" s="175">
        <v>0</v>
      </c>
    </row>
    <row r="179" spans="1:20" x14ac:dyDescent="0.2">
      <c r="A179" s="169">
        <v>627</v>
      </c>
      <c r="B179" s="168" t="s">
        <v>8</v>
      </c>
      <c r="C179" s="168" t="s">
        <v>222</v>
      </c>
      <c r="D179" s="173">
        <v>45698</v>
      </c>
      <c r="E179" s="174" t="s">
        <v>434</v>
      </c>
      <c r="F179" s="174" t="s">
        <v>435</v>
      </c>
      <c r="G179" s="174" t="s">
        <v>222</v>
      </c>
      <c r="H179" s="174" t="s">
        <v>436</v>
      </c>
      <c r="I179" s="174" t="s">
        <v>437</v>
      </c>
      <c r="J179" s="174" t="s">
        <v>438</v>
      </c>
      <c r="K179" s="174" t="s">
        <v>439</v>
      </c>
      <c r="L179" s="174" t="s">
        <v>280</v>
      </c>
      <c r="M179" s="174" t="s">
        <v>281</v>
      </c>
      <c r="N179" s="177">
        <v>7500000</v>
      </c>
      <c r="O179" s="174" t="s">
        <v>440</v>
      </c>
      <c r="P179" s="174" t="s">
        <v>283</v>
      </c>
      <c r="Q179" s="174" t="s">
        <v>325</v>
      </c>
      <c r="R179" s="174" t="s">
        <v>283</v>
      </c>
      <c r="S179" s="174" t="s">
        <v>283</v>
      </c>
      <c r="T179" s="175">
        <v>0</v>
      </c>
    </row>
    <row r="180" spans="1:20" x14ac:dyDescent="0.2">
      <c r="A180" s="169">
        <v>627</v>
      </c>
      <c r="B180" s="168" t="s">
        <v>8</v>
      </c>
      <c r="C180" s="168" t="s">
        <v>25</v>
      </c>
      <c r="D180" s="173">
        <v>45715</v>
      </c>
      <c r="E180" s="174" t="s">
        <v>334</v>
      </c>
      <c r="F180" s="174" t="s">
        <v>375</v>
      </c>
      <c r="G180" s="174" t="s">
        <v>336</v>
      </c>
      <c r="H180" s="174" t="s">
        <v>441</v>
      </c>
      <c r="I180" s="174" t="s">
        <v>442</v>
      </c>
      <c r="J180" s="174" t="s">
        <v>337</v>
      </c>
      <c r="K180" s="174" t="s">
        <v>338</v>
      </c>
      <c r="L180" s="174" t="s">
        <v>280</v>
      </c>
      <c r="M180" s="174" t="s">
        <v>281</v>
      </c>
      <c r="N180" s="177">
        <v>525000</v>
      </c>
      <c r="O180" s="174" t="s">
        <v>339</v>
      </c>
      <c r="P180" s="174" t="s">
        <v>283</v>
      </c>
      <c r="Q180" s="174" t="s">
        <v>306</v>
      </c>
      <c r="R180" s="174" t="s">
        <v>283</v>
      </c>
      <c r="S180" s="174" t="s">
        <v>283</v>
      </c>
      <c r="T180" s="175">
        <v>0</v>
      </c>
    </row>
    <row r="181" spans="1:20" x14ac:dyDescent="0.2">
      <c r="A181" s="169">
        <v>627</v>
      </c>
      <c r="B181" s="168" t="s">
        <v>8</v>
      </c>
      <c r="C181" s="168" t="s">
        <v>25</v>
      </c>
      <c r="D181" s="173">
        <v>45715</v>
      </c>
      <c r="E181" s="174" t="s">
        <v>334</v>
      </c>
      <c r="F181" s="174" t="s">
        <v>375</v>
      </c>
      <c r="G181" s="174" t="s">
        <v>336</v>
      </c>
      <c r="H181" s="174" t="s">
        <v>436</v>
      </c>
      <c r="I181" s="174" t="s">
        <v>437</v>
      </c>
      <c r="J181" s="174" t="s">
        <v>337</v>
      </c>
      <c r="K181" s="174" t="s">
        <v>338</v>
      </c>
      <c r="L181" s="174" t="s">
        <v>280</v>
      </c>
      <c r="M181" s="174" t="s">
        <v>281</v>
      </c>
      <c r="N181" s="177">
        <v>24600000</v>
      </c>
      <c r="O181" s="174" t="s">
        <v>339</v>
      </c>
      <c r="P181" s="174" t="s">
        <v>283</v>
      </c>
      <c r="Q181" s="174" t="s">
        <v>306</v>
      </c>
      <c r="R181" s="174" t="s">
        <v>283</v>
      </c>
      <c r="S181" s="174" t="s">
        <v>283</v>
      </c>
      <c r="T181" s="175">
        <v>0</v>
      </c>
    </row>
    <row r="182" spans="1:20" x14ac:dyDescent="0.2">
      <c r="A182" s="169">
        <v>622</v>
      </c>
      <c r="B182" s="168" t="s">
        <v>8</v>
      </c>
      <c r="C182" s="168" t="s">
        <v>25</v>
      </c>
      <c r="D182" s="173">
        <v>45716</v>
      </c>
      <c r="E182" s="174" t="s">
        <v>413</v>
      </c>
      <c r="F182" s="174" t="s">
        <v>414</v>
      </c>
      <c r="G182" s="174" t="s">
        <v>415</v>
      </c>
      <c r="H182" s="174" t="s">
        <v>441</v>
      </c>
      <c r="I182" s="174" t="s">
        <v>442</v>
      </c>
      <c r="J182" s="174" t="s">
        <v>416</v>
      </c>
      <c r="K182" s="174" t="s">
        <v>416</v>
      </c>
      <c r="L182" s="174" t="s">
        <v>280</v>
      </c>
      <c r="M182" s="174" t="s">
        <v>281</v>
      </c>
      <c r="N182" s="177">
        <v>525000</v>
      </c>
      <c r="O182" s="174" t="s">
        <v>417</v>
      </c>
      <c r="P182" s="174" t="s">
        <v>283</v>
      </c>
      <c r="Q182" s="174" t="s">
        <v>348</v>
      </c>
      <c r="R182" s="174" t="s">
        <v>283</v>
      </c>
      <c r="S182" s="174" t="s">
        <v>283</v>
      </c>
      <c r="T182" s="175">
        <v>0</v>
      </c>
    </row>
    <row r="183" spans="1:20" x14ac:dyDescent="0.2">
      <c r="A183" s="169">
        <v>627</v>
      </c>
      <c r="B183" s="168" t="s">
        <v>8</v>
      </c>
      <c r="C183" s="168" t="s">
        <v>25</v>
      </c>
      <c r="D183" s="173">
        <v>45716</v>
      </c>
      <c r="E183" s="174" t="s">
        <v>413</v>
      </c>
      <c r="F183" s="174" t="s">
        <v>375</v>
      </c>
      <c r="G183" s="174" t="s">
        <v>336</v>
      </c>
      <c r="H183" s="174" t="s">
        <v>441</v>
      </c>
      <c r="I183" s="174" t="s">
        <v>442</v>
      </c>
      <c r="J183" s="174" t="s">
        <v>416</v>
      </c>
      <c r="K183" s="174" t="s">
        <v>416</v>
      </c>
      <c r="L183" s="174" t="s">
        <v>280</v>
      </c>
      <c r="M183" s="174" t="s">
        <v>281</v>
      </c>
      <c r="N183" s="177">
        <v>-525000</v>
      </c>
      <c r="O183" s="174" t="s">
        <v>417</v>
      </c>
      <c r="P183" s="174" t="s">
        <v>283</v>
      </c>
      <c r="Q183" s="174" t="s">
        <v>348</v>
      </c>
      <c r="R183" s="174" t="s">
        <v>283</v>
      </c>
      <c r="S183" s="174" t="s">
        <v>283</v>
      </c>
      <c r="T183" s="175">
        <v>0</v>
      </c>
    </row>
    <row r="184" spans="1:20" x14ac:dyDescent="0.2">
      <c r="A184" s="169">
        <v>622</v>
      </c>
      <c r="B184" s="168" t="s">
        <v>8</v>
      </c>
      <c r="C184" s="168" t="s">
        <v>25</v>
      </c>
      <c r="D184" s="173">
        <v>45716</v>
      </c>
      <c r="E184" s="174" t="s">
        <v>413</v>
      </c>
      <c r="F184" s="174" t="s">
        <v>414</v>
      </c>
      <c r="G184" s="174" t="s">
        <v>415</v>
      </c>
      <c r="H184" s="174" t="s">
        <v>441</v>
      </c>
      <c r="I184" s="174" t="s">
        <v>442</v>
      </c>
      <c r="J184" s="174" t="s">
        <v>416</v>
      </c>
      <c r="K184" s="174" t="s">
        <v>416</v>
      </c>
      <c r="L184" s="174" t="s">
        <v>280</v>
      </c>
      <c r="M184" s="174" t="s">
        <v>281</v>
      </c>
      <c r="N184" s="177">
        <v>775000</v>
      </c>
      <c r="O184" s="174" t="s">
        <v>417</v>
      </c>
      <c r="P184" s="174" t="s">
        <v>283</v>
      </c>
      <c r="Q184" s="174" t="s">
        <v>348</v>
      </c>
      <c r="R184" s="174" t="s">
        <v>283</v>
      </c>
      <c r="S184" s="174" t="s">
        <v>283</v>
      </c>
      <c r="T184" s="175">
        <v>0</v>
      </c>
    </row>
    <row r="185" spans="1:20" x14ac:dyDescent="0.2">
      <c r="A185" s="169">
        <v>627</v>
      </c>
      <c r="B185" s="168" t="s">
        <v>8</v>
      </c>
      <c r="C185" s="168" t="s">
        <v>25</v>
      </c>
      <c r="D185" s="173">
        <v>45716</v>
      </c>
      <c r="E185" s="174" t="s">
        <v>273</v>
      </c>
      <c r="F185" s="174" t="s">
        <v>386</v>
      </c>
      <c r="G185" s="174" t="s">
        <v>341</v>
      </c>
      <c r="H185" s="174" t="s">
        <v>436</v>
      </c>
      <c r="I185" s="174" t="s">
        <v>437</v>
      </c>
      <c r="J185" s="174" t="s">
        <v>278</v>
      </c>
      <c r="K185" s="174" t="s">
        <v>279</v>
      </c>
      <c r="L185" s="174" t="s">
        <v>280</v>
      </c>
      <c r="M185" s="174" t="s">
        <v>281</v>
      </c>
      <c r="N185" s="177">
        <v>10251833</v>
      </c>
      <c r="O185" s="174" t="s">
        <v>282</v>
      </c>
      <c r="P185" s="174" t="s">
        <v>283</v>
      </c>
      <c r="Q185" s="174" t="s">
        <v>284</v>
      </c>
      <c r="R185" s="174" t="s">
        <v>283</v>
      </c>
      <c r="S185" s="174" t="s">
        <v>283</v>
      </c>
      <c r="T185" s="175">
        <v>0</v>
      </c>
    </row>
    <row r="186" spans="1:20" x14ac:dyDescent="0.2">
      <c r="A186" s="169">
        <v>627</v>
      </c>
      <c r="B186" s="168" t="s">
        <v>8</v>
      </c>
      <c r="C186" s="168" t="s">
        <v>22</v>
      </c>
      <c r="D186" s="173">
        <v>45716</v>
      </c>
      <c r="E186" s="174" t="s">
        <v>273</v>
      </c>
      <c r="F186" s="174" t="s">
        <v>387</v>
      </c>
      <c r="G186" s="174" t="s">
        <v>275</v>
      </c>
      <c r="H186" s="174" t="s">
        <v>436</v>
      </c>
      <c r="I186" s="174" t="s">
        <v>437</v>
      </c>
      <c r="J186" s="174" t="s">
        <v>278</v>
      </c>
      <c r="K186" s="174" t="s">
        <v>279</v>
      </c>
      <c r="L186" s="174" t="s">
        <v>280</v>
      </c>
      <c r="M186" s="174" t="s">
        <v>281</v>
      </c>
      <c r="N186" s="177">
        <v>418231042</v>
      </c>
      <c r="O186" s="174" t="s">
        <v>282</v>
      </c>
      <c r="P186" s="174" t="s">
        <v>283</v>
      </c>
      <c r="Q186" s="174" t="s">
        <v>284</v>
      </c>
      <c r="R186" s="174" t="s">
        <v>283</v>
      </c>
      <c r="S186" s="174" t="s">
        <v>283</v>
      </c>
      <c r="T186" s="175">
        <v>0</v>
      </c>
    </row>
    <row r="187" spans="1:20" x14ac:dyDescent="0.2">
      <c r="A187" s="169">
        <v>627</v>
      </c>
      <c r="B187" s="168" t="s">
        <v>8</v>
      </c>
      <c r="C187" s="168" t="s">
        <v>22</v>
      </c>
      <c r="D187" s="173">
        <v>45716</v>
      </c>
      <c r="E187" s="174" t="s">
        <v>273</v>
      </c>
      <c r="F187" s="174" t="s">
        <v>388</v>
      </c>
      <c r="G187" s="174" t="s">
        <v>286</v>
      </c>
      <c r="H187" s="174" t="s">
        <v>436</v>
      </c>
      <c r="I187" s="174" t="s">
        <v>437</v>
      </c>
      <c r="J187" s="174" t="s">
        <v>278</v>
      </c>
      <c r="K187" s="174" t="s">
        <v>279</v>
      </c>
      <c r="L187" s="174" t="s">
        <v>280</v>
      </c>
      <c r="M187" s="174" t="s">
        <v>281</v>
      </c>
      <c r="N187" s="177">
        <v>8595847</v>
      </c>
      <c r="O187" s="174" t="s">
        <v>282</v>
      </c>
      <c r="P187" s="174" t="s">
        <v>283</v>
      </c>
      <c r="Q187" s="174" t="s">
        <v>284</v>
      </c>
      <c r="R187" s="174" t="s">
        <v>283</v>
      </c>
      <c r="S187" s="174" t="s">
        <v>283</v>
      </c>
      <c r="T187" s="175">
        <v>0</v>
      </c>
    </row>
    <row r="188" spans="1:20" x14ac:dyDescent="0.2">
      <c r="A188" s="169">
        <v>627</v>
      </c>
      <c r="B188" s="168" t="s">
        <v>8</v>
      </c>
      <c r="C188" s="168" t="s">
        <v>23</v>
      </c>
      <c r="D188" s="173">
        <v>45716</v>
      </c>
      <c r="E188" s="174" t="s">
        <v>273</v>
      </c>
      <c r="F188" s="174" t="s">
        <v>389</v>
      </c>
      <c r="G188" s="174" t="s">
        <v>390</v>
      </c>
      <c r="H188" s="174" t="s">
        <v>436</v>
      </c>
      <c r="I188" s="174" t="s">
        <v>437</v>
      </c>
      <c r="J188" s="174" t="s">
        <v>278</v>
      </c>
      <c r="K188" s="174" t="s">
        <v>279</v>
      </c>
      <c r="L188" s="174" t="s">
        <v>280</v>
      </c>
      <c r="M188" s="174" t="s">
        <v>281</v>
      </c>
      <c r="N188" s="177">
        <v>66323920</v>
      </c>
      <c r="O188" s="174" t="s">
        <v>282</v>
      </c>
      <c r="P188" s="174" t="s">
        <v>283</v>
      </c>
      <c r="Q188" s="174" t="s">
        <v>284</v>
      </c>
      <c r="R188" s="174" t="s">
        <v>283</v>
      </c>
      <c r="S188" s="174" t="s">
        <v>283</v>
      </c>
      <c r="T188" s="175">
        <v>0</v>
      </c>
    </row>
    <row r="189" spans="1:20" x14ac:dyDescent="0.2">
      <c r="A189" s="169">
        <v>627</v>
      </c>
      <c r="B189" s="168" t="s">
        <v>8</v>
      </c>
      <c r="C189" s="168" t="s">
        <v>24</v>
      </c>
      <c r="D189" s="173">
        <v>45716</v>
      </c>
      <c r="E189" s="174" t="s">
        <v>273</v>
      </c>
      <c r="F189" s="174" t="s">
        <v>391</v>
      </c>
      <c r="G189" s="174" t="s">
        <v>291</v>
      </c>
      <c r="H189" s="174" t="s">
        <v>436</v>
      </c>
      <c r="I189" s="174" t="s">
        <v>437</v>
      </c>
      <c r="J189" s="174" t="s">
        <v>278</v>
      </c>
      <c r="K189" s="174" t="s">
        <v>279</v>
      </c>
      <c r="L189" s="174" t="s">
        <v>280</v>
      </c>
      <c r="M189" s="174" t="s">
        <v>281</v>
      </c>
      <c r="N189" s="177">
        <v>22000000</v>
      </c>
      <c r="O189" s="174" t="s">
        <v>282</v>
      </c>
      <c r="P189" s="174" t="s">
        <v>283</v>
      </c>
      <c r="Q189" s="174" t="s">
        <v>284</v>
      </c>
      <c r="R189" s="174" t="s">
        <v>283</v>
      </c>
      <c r="S189" s="174" t="s">
        <v>283</v>
      </c>
      <c r="T189" s="175">
        <v>0</v>
      </c>
    </row>
    <row r="190" spans="1:20" x14ac:dyDescent="0.2">
      <c r="A190" s="169">
        <v>627</v>
      </c>
      <c r="B190" s="168" t="s">
        <v>8</v>
      </c>
      <c r="C190" s="168" t="s">
        <v>25</v>
      </c>
      <c r="D190" s="173">
        <v>45716</v>
      </c>
      <c r="E190" s="174" t="s">
        <v>273</v>
      </c>
      <c r="F190" s="174" t="s">
        <v>375</v>
      </c>
      <c r="G190" s="174" t="s">
        <v>336</v>
      </c>
      <c r="H190" s="174" t="s">
        <v>436</v>
      </c>
      <c r="I190" s="174" t="s">
        <v>437</v>
      </c>
      <c r="J190" s="174" t="s">
        <v>278</v>
      </c>
      <c r="K190" s="174" t="s">
        <v>279</v>
      </c>
      <c r="L190" s="174" t="s">
        <v>280</v>
      </c>
      <c r="M190" s="174" t="s">
        <v>281</v>
      </c>
      <c r="N190" s="177">
        <v>7820000</v>
      </c>
      <c r="O190" s="174" t="s">
        <v>282</v>
      </c>
      <c r="P190" s="174" t="s">
        <v>283</v>
      </c>
      <c r="Q190" s="174" t="s">
        <v>284</v>
      </c>
      <c r="R190" s="174" t="s">
        <v>283</v>
      </c>
      <c r="S190" s="174" t="s">
        <v>283</v>
      </c>
      <c r="T190" s="175">
        <v>0</v>
      </c>
    </row>
    <row r="191" spans="1:20" x14ac:dyDescent="0.2">
      <c r="B191" s="168" t="s">
        <v>221</v>
      </c>
      <c r="C191" s="168" t="s">
        <v>22</v>
      </c>
      <c r="D191" s="173">
        <v>45716</v>
      </c>
      <c r="E191" s="174" t="s">
        <v>273</v>
      </c>
      <c r="F191" s="174" t="s">
        <v>274</v>
      </c>
      <c r="G191" s="174" t="s">
        <v>275</v>
      </c>
      <c r="H191" s="174" t="s">
        <v>443</v>
      </c>
      <c r="I191" s="174" t="s">
        <v>444</v>
      </c>
      <c r="J191" s="174" t="s">
        <v>278</v>
      </c>
      <c r="K191" s="174" t="s">
        <v>279</v>
      </c>
      <c r="L191" s="174" t="s">
        <v>280</v>
      </c>
      <c r="M191" s="174" t="s">
        <v>281</v>
      </c>
      <c r="N191" s="177">
        <v>225000000</v>
      </c>
      <c r="O191" s="174" t="s">
        <v>282</v>
      </c>
      <c r="P191" s="174" t="s">
        <v>283</v>
      </c>
      <c r="Q191" s="174" t="s">
        <v>284</v>
      </c>
      <c r="R191" s="174" t="s">
        <v>283</v>
      </c>
      <c r="S191" s="174" t="s">
        <v>283</v>
      </c>
      <c r="T191" s="175">
        <v>0</v>
      </c>
    </row>
    <row r="192" spans="1:20" x14ac:dyDescent="0.2">
      <c r="A192" s="169">
        <v>622</v>
      </c>
      <c r="B192" s="168" t="s">
        <v>8</v>
      </c>
      <c r="C192" s="168" t="s">
        <v>22</v>
      </c>
      <c r="D192" s="173">
        <v>45716</v>
      </c>
      <c r="E192" s="174" t="s">
        <v>273</v>
      </c>
      <c r="F192" s="174" t="s">
        <v>400</v>
      </c>
      <c r="G192" s="174" t="s">
        <v>401</v>
      </c>
      <c r="H192" s="174" t="s">
        <v>441</v>
      </c>
      <c r="I192" s="174" t="s">
        <v>442</v>
      </c>
      <c r="J192" s="174" t="s">
        <v>278</v>
      </c>
      <c r="K192" s="174" t="s">
        <v>279</v>
      </c>
      <c r="L192" s="174" t="s">
        <v>280</v>
      </c>
      <c r="M192" s="174" t="s">
        <v>281</v>
      </c>
      <c r="N192" s="177">
        <v>15768731</v>
      </c>
      <c r="O192" s="174" t="s">
        <v>282</v>
      </c>
      <c r="P192" s="174" t="s">
        <v>283</v>
      </c>
      <c r="Q192" s="174" t="s">
        <v>284</v>
      </c>
      <c r="R192" s="174" t="s">
        <v>283</v>
      </c>
      <c r="S192" s="174" t="s">
        <v>283</v>
      </c>
      <c r="T192" s="175">
        <v>0</v>
      </c>
    </row>
    <row r="193" spans="1:20" x14ac:dyDescent="0.2">
      <c r="A193" s="169">
        <v>622</v>
      </c>
      <c r="B193" s="168" t="s">
        <v>8</v>
      </c>
      <c r="C193" s="168" t="s">
        <v>22</v>
      </c>
      <c r="D193" s="173">
        <v>45716</v>
      </c>
      <c r="E193" s="174" t="s">
        <v>273</v>
      </c>
      <c r="F193" s="174" t="s">
        <v>420</v>
      </c>
      <c r="G193" s="174" t="s">
        <v>286</v>
      </c>
      <c r="H193" s="174" t="s">
        <v>441</v>
      </c>
      <c r="I193" s="174" t="s">
        <v>442</v>
      </c>
      <c r="J193" s="174" t="s">
        <v>278</v>
      </c>
      <c r="K193" s="174" t="s">
        <v>279</v>
      </c>
      <c r="L193" s="174" t="s">
        <v>280</v>
      </c>
      <c r="M193" s="174" t="s">
        <v>281</v>
      </c>
      <c r="N193" s="177">
        <v>214154</v>
      </c>
      <c r="O193" s="174" t="s">
        <v>282</v>
      </c>
      <c r="P193" s="174" t="s">
        <v>283</v>
      </c>
      <c r="Q193" s="174" t="s">
        <v>284</v>
      </c>
      <c r="R193" s="174" t="s">
        <v>283</v>
      </c>
      <c r="S193" s="174" t="s">
        <v>283</v>
      </c>
      <c r="T193" s="175">
        <v>0</v>
      </c>
    </row>
    <row r="194" spans="1:20" x14ac:dyDescent="0.2">
      <c r="A194" s="169">
        <v>622</v>
      </c>
      <c r="B194" s="168" t="s">
        <v>8</v>
      </c>
      <c r="C194" s="168" t="s">
        <v>25</v>
      </c>
      <c r="D194" s="173">
        <v>45716</v>
      </c>
      <c r="E194" s="174" t="s">
        <v>273</v>
      </c>
      <c r="F194" s="174" t="s">
        <v>421</v>
      </c>
      <c r="G194" s="174" t="s">
        <v>341</v>
      </c>
      <c r="H194" s="174" t="s">
        <v>441</v>
      </c>
      <c r="I194" s="174" t="s">
        <v>442</v>
      </c>
      <c r="J194" s="174" t="s">
        <v>278</v>
      </c>
      <c r="K194" s="174" t="s">
        <v>279</v>
      </c>
      <c r="L194" s="174" t="s">
        <v>280</v>
      </c>
      <c r="M194" s="174" t="s">
        <v>281</v>
      </c>
      <c r="N194" s="177">
        <v>1247100</v>
      </c>
      <c r="O194" s="174" t="s">
        <v>282</v>
      </c>
      <c r="P194" s="174" t="s">
        <v>283</v>
      </c>
      <c r="Q194" s="174" t="s">
        <v>284</v>
      </c>
      <c r="R194" s="174" t="s">
        <v>283</v>
      </c>
      <c r="S194" s="174" t="s">
        <v>283</v>
      </c>
      <c r="T194" s="175">
        <v>0</v>
      </c>
    </row>
    <row r="195" spans="1:20" x14ac:dyDescent="0.2">
      <c r="A195" s="169">
        <v>622</v>
      </c>
      <c r="B195" s="168" t="s">
        <v>8</v>
      </c>
      <c r="C195" s="168" t="s">
        <v>23</v>
      </c>
      <c r="D195" s="173">
        <v>45716</v>
      </c>
      <c r="E195" s="174" t="s">
        <v>273</v>
      </c>
      <c r="F195" s="174" t="s">
        <v>422</v>
      </c>
      <c r="G195" s="174" t="s">
        <v>423</v>
      </c>
      <c r="H195" s="174" t="s">
        <v>441</v>
      </c>
      <c r="I195" s="174" t="s">
        <v>442</v>
      </c>
      <c r="J195" s="174" t="s">
        <v>278</v>
      </c>
      <c r="K195" s="174" t="s">
        <v>279</v>
      </c>
      <c r="L195" s="174" t="s">
        <v>280</v>
      </c>
      <c r="M195" s="174" t="s">
        <v>281</v>
      </c>
      <c r="N195" s="177">
        <v>2988232</v>
      </c>
      <c r="O195" s="174" t="s">
        <v>282</v>
      </c>
      <c r="P195" s="174" t="s">
        <v>283</v>
      </c>
      <c r="Q195" s="174" t="s">
        <v>284</v>
      </c>
      <c r="R195" s="174" t="s">
        <v>283</v>
      </c>
      <c r="S195" s="174" t="s">
        <v>283</v>
      </c>
      <c r="T195" s="175">
        <v>0</v>
      </c>
    </row>
    <row r="196" spans="1:20" x14ac:dyDescent="0.2">
      <c r="A196" s="169">
        <v>622</v>
      </c>
      <c r="B196" s="168" t="s">
        <v>8</v>
      </c>
      <c r="C196" s="168" t="s">
        <v>24</v>
      </c>
      <c r="D196" s="173">
        <v>45716</v>
      </c>
      <c r="E196" s="174" t="s">
        <v>273</v>
      </c>
      <c r="F196" s="174" t="s">
        <v>424</v>
      </c>
      <c r="G196" s="174" t="s">
        <v>291</v>
      </c>
      <c r="H196" s="174" t="s">
        <v>441</v>
      </c>
      <c r="I196" s="174" t="s">
        <v>442</v>
      </c>
      <c r="J196" s="174" t="s">
        <v>278</v>
      </c>
      <c r="K196" s="174" t="s">
        <v>279</v>
      </c>
      <c r="L196" s="174" t="s">
        <v>280</v>
      </c>
      <c r="M196" s="174" t="s">
        <v>281</v>
      </c>
      <c r="N196" s="177">
        <v>1000000</v>
      </c>
      <c r="O196" s="174" t="s">
        <v>282</v>
      </c>
      <c r="P196" s="174" t="s">
        <v>283</v>
      </c>
      <c r="Q196" s="174" t="s">
        <v>284</v>
      </c>
      <c r="R196" s="174" t="s">
        <v>283</v>
      </c>
      <c r="S196" s="174" t="s">
        <v>283</v>
      </c>
      <c r="T196" s="175">
        <v>0</v>
      </c>
    </row>
    <row r="197" spans="1:20" x14ac:dyDescent="0.2">
      <c r="A197" s="169">
        <v>622</v>
      </c>
      <c r="B197" s="168" t="s">
        <v>8</v>
      </c>
      <c r="C197" s="168" t="s">
        <v>25</v>
      </c>
      <c r="D197" s="173">
        <v>45716</v>
      </c>
      <c r="E197" s="174" t="s">
        <v>273</v>
      </c>
      <c r="F197" s="174" t="s">
        <v>414</v>
      </c>
      <c r="G197" s="174" t="s">
        <v>415</v>
      </c>
      <c r="H197" s="174" t="s">
        <v>441</v>
      </c>
      <c r="I197" s="174" t="s">
        <v>442</v>
      </c>
      <c r="J197" s="174" t="s">
        <v>278</v>
      </c>
      <c r="K197" s="174" t="s">
        <v>279</v>
      </c>
      <c r="L197" s="174" t="s">
        <v>280</v>
      </c>
      <c r="M197" s="174" t="s">
        <v>281</v>
      </c>
      <c r="N197" s="177">
        <v>310000</v>
      </c>
      <c r="O197" s="174" t="s">
        <v>282</v>
      </c>
      <c r="P197" s="174" t="s">
        <v>283</v>
      </c>
      <c r="Q197" s="174" t="s">
        <v>284</v>
      </c>
      <c r="R197" s="174" t="s">
        <v>283</v>
      </c>
      <c r="S197" s="174" t="s">
        <v>283</v>
      </c>
      <c r="T197" s="175">
        <v>0</v>
      </c>
    </row>
    <row r="198" spans="1:20" x14ac:dyDescent="0.2">
      <c r="A198" s="169">
        <v>627</v>
      </c>
      <c r="B198" s="168" t="s">
        <v>8</v>
      </c>
      <c r="C198" s="168" t="s">
        <v>170</v>
      </c>
      <c r="D198" s="173">
        <v>45716</v>
      </c>
      <c r="E198" s="174" t="s">
        <v>294</v>
      </c>
      <c r="F198" s="174" t="s">
        <v>393</v>
      </c>
      <c r="G198" s="174" t="s">
        <v>296</v>
      </c>
      <c r="H198" s="174" t="s">
        <v>436</v>
      </c>
      <c r="I198" s="174" t="s">
        <v>437</v>
      </c>
      <c r="J198" s="174" t="s">
        <v>297</v>
      </c>
      <c r="K198" s="174" t="s">
        <v>279</v>
      </c>
      <c r="L198" s="174" t="s">
        <v>280</v>
      </c>
      <c r="M198" s="174" t="s">
        <v>281</v>
      </c>
      <c r="N198" s="177">
        <v>64832035</v>
      </c>
      <c r="O198" s="174" t="s">
        <v>298</v>
      </c>
      <c r="P198" s="174" t="s">
        <v>283</v>
      </c>
      <c r="Q198" s="174" t="s">
        <v>284</v>
      </c>
      <c r="R198" s="174" t="s">
        <v>283</v>
      </c>
      <c r="S198" s="174" t="s">
        <v>283</v>
      </c>
      <c r="T198" s="175">
        <v>0</v>
      </c>
    </row>
    <row r="199" spans="1:20" x14ac:dyDescent="0.2">
      <c r="A199" s="169">
        <v>622</v>
      </c>
      <c r="B199" s="168" t="s">
        <v>8</v>
      </c>
      <c r="C199" s="168" t="s">
        <v>170</v>
      </c>
      <c r="D199" s="173">
        <v>45716</v>
      </c>
      <c r="E199" s="174" t="s">
        <v>294</v>
      </c>
      <c r="F199" s="174" t="s">
        <v>425</v>
      </c>
      <c r="G199" s="174" t="s">
        <v>296</v>
      </c>
      <c r="H199" s="174" t="s">
        <v>441</v>
      </c>
      <c r="I199" s="174" t="s">
        <v>442</v>
      </c>
      <c r="J199" s="174" t="s">
        <v>297</v>
      </c>
      <c r="K199" s="174" t="s">
        <v>279</v>
      </c>
      <c r="L199" s="174" t="s">
        <v>280</v>
      </c>
      <c r="M199" s="174" t="s">
        <v>281</v>
      </c>
      <c r="N199" s="177">
        <v>2604740</v>
      </c>
      <c r="O199" s="174" t="s">
        <v>298</v>
      </c>
      <c r="P199" s="174" t="s">
        <v>283</v>
      </c>
      <c r="Q199" s="174" t="s">
        <v>284</v>
      </c>
      <c r="R199" s="174" t="s">
        <v>283</v>
      </c>
      <c r="S199" s="174" t="s">
        <v>283</v>
      </c>
      <c r="T199" s="175">
        <v>0</v>
      </c>
    </row>
    <row r="200" spans="1:20" x14ac:dyDescent="0.2">
      <c r="A200" s="169">
        <v>627</v>
      </c>
      <c r="B200" s="168" t="s">
        <v>8</v>
      </c>
      <c r="C200" s="168" t="s">
        <v>170</v>
      </c>
      <c r="D200" s="173">
        <v>45716</v>
      </c>
      <c r="E200" s="174" t="s">
        <v>294</v>
      </c>
      <c r="F200" s="174" t="s">
        <v>393</v>
      </c>
      <c r="G200" s="174" t="s">
        <v>296</v>
      </c>
      <c r="H200" s="174" t="s">
        <v>436</v>
      </c>
      <c r="I200" s="174" t="s">
        <v>437</v>
      </c>
      <c r="J200" s="174" t="s">
        <v>297</v>
      </c>
      <c r="K200" s="174" t="s">
        <v>279</v>
      </c>
      <c r="L200" s="174" t="s">
        <v>280</v>
      </c>
      <c r="M200" s="174" t="s">
        <v>281</v>
      </c>
      <c r="N200" s="177">
        <v>4000170</v>
      </c>
      <c r="O200" s="174" t="s">
        <v>298</v>
      </c>
      <c r="P200" s="174" t="s">
        <v>283</v>
      </c>
      <c r="Q200" s="174" t="s">
        <v>284</v>
      </c>
      <c r="R200" s="174" t="s">
        <v>283</v>
      </c>
      <c r="S200" s="174" t="s">
        <v>283</v>
      </c>
      <c r="T200" s="175">
        <v>0</v>
      </c>
    </row>
    <row r="201" spans="1:20" x14ac:dyDescent="0.2">
      <c r="A201" s="169">
        <v>627</v>
      </c>
      <c r="B201" s="168" t="s">
        <v>8</v>
      </c>
      <c r="C201" s="168" t="s">
        <v>22</v>
      </c>
      <c r="D201" s="173">
        <v>45716</v>
      </c>
      <c r="E201" s="174" t="s">
        <v>287</v>
      </c>
      <c r="F201" s="174" t="s">
        <v>388</v>
      </c>
      <c r="G201" s="174" t="s">
        <v>286</v>
      </c>
      <c r="H201" s="174" t="s">
        <v>436</v>
      </c>
      <c r="I201" s="174" t="s">
        <v>437</v>
      </c>
      <c r="J201" s="174" t="s">
        <v>288</v>
      </c>
      <c r="K201" s="174" t="s">
        <v>279</v>
      </c>
      <c r="L201" s="174" t="s">
        <v>280</v>
      </c>
      <c r="M201" s="174" t="s">
        <v>281</v>
      </c>
      <c r="N201" s="177">
        <v>31649112</v>
      </c>
      <c r="O201" s="174" t="s">
        <v>289</v>
      </c>
      <c r="P201" s="174" t="s">
        <v>283</v>
      </c>
      <c r="Q201" s="174" t="s">
        <v>284</v>
      </c>
      <c r="R201" s="174" t="s">
        <v>283</v>
      </c>
      <c r="S201" s="174" t="s">
        <v>283</v>
      </c>
      <c r="T201" s="175">
        <v>0</v>
      </c>
    </row>
    <row r="202" spans="1:20" x14ac:dyDescent="0.2">
      <c r="A202" s="169">
        <v>627</v>
      </c>
      <c r="B202" s="168" t="s">
        <v>8</v>
      </c>
      <c r="C202" s="168" t="s">
        <v>24</v>
      </c>
      <c r="D202" s="173">
        <v>45716</v>
      </c>
      <c r="E202" s="174" t="s">
        <v>287</v>
      </c>
      <c r="F202" s="174" t="s">
        <v>395</v>
      </c>
      <c r="G202" s="174" t="s">
        <v>77</v>
      </c>
      <c r="H202" s="174" t="s">
        <v>436</v>
      </c>
      <c r="I202" s="174" t="s">
        <v>437</v>
      </c>
      <c r="J202" s="174" t="s">
        <v>293</v>
      </c>
      <c r="K202" s="174" t="s">
        <v>279</v>
      </c>
      <c r="L202" s="174" t="s">
        <v>280</v>
      </c>
      <c r="M202" s="174" t="s">
        <v>281</v>
      </c>
      <c r="N202" s="177">
        <v>18942115</v>
      </c>
      <c r="O202" s="174" t="s">
        <v>289</v>
      </c>
      <c r="P202" s="174" t="s">
        <v>283</v>
      </c>
      <c r="Q202" s="174" t="s">
        <v>284</v>
      </c>
      <c r="R202" s="174" t="s">
        <v>283</v>
      </c>
      <c r="S202" s="174" t="s">
        <v>283</v>
      </c>
      <c r="T202" s="175">
        <v>0</v>
      </c>
    </row>
    <row r="203" spans="1:20" x14ac:dyDescent="0.2">
      <c r="B203" s="168" t="s">
        <v>221</v>
      </c>
      <c r="C203" s="168" t="s">
        <v>22</v>
      </c>
      <c r="D203" s="173">
        <v>45716</v>
      </c>
      <c r="E203" s="174" t="s">
        <v>287</v>
      </c>
      <c r="F203" s="174" t="s">
        <v>285</v>
      </c>
      <c r="G203" s="174" t="s">
        <v>286</v>
      </c>
      <c r="H203" s="174" t="s">
        <v>443</v>
      </c>
      <c r="I203" s="174" t="s">
        <v>444</v>
      </c>
      <c r="J203" s="174" t="s">
        <v>288</v>
      </c>
      <c r="K203" s="174" t="s">
        <v>279</v>
      </c>
      <c r="L203" s="174" t="s">
        <v>280</v>
      </c>
      <c r="M203" s="174" t="s">
        <v>281</v>
      </c>
      <c r="N203" s="177">
        <v>18750000</v>
      </c>
      <c r="O203" s="174" t="s">
        <v>289</v>
      </c>
      <c r="P203" s="174" t="s">
        <v>283</v>
      </c>
      <c r="Q203" s="174" t="s">
        <v>284</v>
      </c>
      <c r="R203" s="174" t="s">
        <v>283</v>
      </c>
      <c r="S203" s="174" t="s">
        <v>283</v>
      </c>
      <c r="T203" s="175">
        <v>0</v>
      </c>
    </row>
    <row r="204" spans="1:20" x14ac:dyDescent="0.2">
      <c r="B204" s="168" t="s">
        <v>221</v>
      </c>
      <c r="C204" s="168" t="s">
        <v>24</v>
      </c>
      <c r="D204" s="173">
        <v>45716</v>
      </c>
      <c r="E204" s="174" t="s">
        <v>287</v>
      </c>
      <c r="F204" s="174" t="s">
        <v>292</v>
      </c>
      <c r="G204" s="174" t="s">
        <v>77</v>
      </c>
      <c r="H204" s="174" t="s">
        <v>443</v>
      </c>
      <c r="I204" s="174" t="s">
        <v>444</v>
      </c>
      <c r="J204" s="174" t="s">
        <v>293</v>
      </c>
      <c r="K204" s="174" t="s">
        <v>279</v>
      </c>
      <c r="L204" s="174" t="s">
        <v>280</v>
      </c>
      <c r="M204" s="174" t="s">
        <v>281</v>
      </c>
      <c r="N204" s="177">
        <v>17249850</v>
      </c>
      <c r="O204" s="174" t="s">
        <v>289</v>
      </c>
      <c r="P204" s="174" t="s">
        <v>283</v>
      </c>
      <c r="Q204" s="174" t="s">
        <v>284</v>
      </c>
      <c r="R204" s="174" t="s">
        <v>283</v>
      </c>
      <c r="S204" s="174" t="s">
        <v>283</v>
      </c>
      <c r="T204" s="175">
        <v>0</v>
      </c>
    </row>
    <row r="205" spans="1:20" x14ac:dyDescent="0.2">
      <c r="A205" s="169">
        <v>622</v>
      </c>
      <c r="B205" s="168" t="s">
        <v>8</v>
      </c>
      <c r="C205" s="168" t="s">
        <v>22</v>
      </c>
      <c r="D205" s="173">
        <v>45716</v>
      </c>
      <c r="E205" s="174" t="s">
        <v>287</v>
      </c>
      <c r="F205" s="174" t="s">
        <v>420</v>
      </c>
      <c r="G205" s="174" t="s">
        <v>286</v>
      </c>
      <c r="H205" s="174" t="s">
        <v>441</v>
      </c>
      <c r="I205" s="174" t="s">
        <v>442</v>
      </c>
      <c r="J205" s="174" t="s">
        <v>288</v>
      </c>
      <c r="K205" s="174" t="s">
        <v>279</v>
      </c>
      <c r="L205" s="174" t="s">
        <v>280</v>
      </c>
      <c r="M205" s="174" t="s">
        <v>281</v>
      </c>
      <c r="N205" s="177">
        <v>1176360</v>
      </c>
      <c r="O205" s="174" t="s">
        <v>289</v>
      </c>
      <c r="P205" s="174" t="s">
        <v>283</v>
      </c>
      <c r="Q205" s="174" t="s">
        <v>284</v>
      </c>
      <c r="R205" s="174" t="s">
        <v>283</v>
      </c>
      <c r="S205" s="174" t="s">
        <v>283</v>
      </c>
      <c r="T205" s="175">
        <v>0</v>
      </c>
    </row>
    <row r="206" spans="1:20" x14ac:dyDescent="0.2">
      <c r="A206" s="169">
        <v>622</v>
      </c>
      <c r="B206" s="168" t="s">
        <v>8</v>
      </c>
      <c r="C206" s="168" t="s">
        <v>24</v>
      </c>
      <c r="D206" s="173">
        <v>45716</v>
      </c>
      <c r="E206" s="174" t="s">
        <v>287</v>
      </c>
      <c r="F206" s="174" t="s">
        <v>426</v>
      </c>
      <c r="G206" s="174" t="s">
        <v>77</v>
      </c>
      <c r="H206" s="174" t="s">
        <v>441</v>
      </c>
      <c r="I206" s="174" t="s">
        <v>442</v>
      </c>
      <c r="J206" s="174" t="s">
        <v>293</v>
      </c>
      <c r="K206" s="174" t="s">
        <v>279</v>
      </c>
      <c r="L206" s="174" t="s">
        <v>280</v>
      </c>
      <c r="M206" s="174" t="s">
        <v>281</v>
      </c>
      <c r="N206" s="177">
        <v>157016</v>
      </c>
      <c r="O206" s="174" t="s">
        <v>289</v>
      </c>
      <c r="P206" s="174" t="s">
        <v>283</v>
      </c>
      <c r="Q206" s="174" t="s">
        <v>284</v>
      </c>
      <c r="R206" s="174" t="s">
        <v>283</v>
      </c>
      <c r="S206" s="174" t="s">
        <v>283</v>
      </c>
      <c r="T206" s="175">
        <v>0</v>
      </c>
    </row>
    <row r="207" spans="1:20" x14ac:dyDescent="0.2">
      <c r="A207" s="169">
        <v>627</v>
      </c>
      <c r="B207" s="168" t="s">
        <v>8</v>
      </c>
      <c r="C207" s="168" t="s">
        <v>222</v>
      </c>
      <c r="D207" s="173">
        <v>45698</v>
      </c>
      <c r="E207" s="174" t="s">
        <v>445</v>
      </c>
      <c r="F207" s="174" t="s">
        <v>435</v>
      </c>
      <c r="G207" s="174" t="s">
        <v>222</v>
      </c>
      <c r="H207" s="174" t="s">
        <v>436</v>
      </c>
      <c r="I207" s="174" t="s">
        <v>437</v>
      </c>
      <c r="J207" s="174" t="s">
        <v>438</v>
      </c>
      <c r="K207" s="174" t="s">
        <v>439</v>
      </c>
      <c r="L207" s="174" t="s">
        <v>280</v>
      </c>
      <c r="M207" s="174" t="s">
        <v>281</v>
      </c>
      <c r="N207" s="177">
        <v>-7500000</v>
      </c>
      <c r="O207" s="174" t="s">
        <v>446</v>
      </c>
      <c r="P207" s="174" t="s">
        <v>447</v>
      </c>
      <c r="Q207" s="174" t="s">
        <v>284</v>
      </c>
      <c r="R207" s="174" t="s">
        <v>283</v>
      </c>
      <c r="S207" s="174" t="s">
        <v>283</v>
      </c>
      <c r="T207" s="175">
        <v>0</v>
      </c>
    </row>
    <row r="208" spans="1:20" x14ac:dyDescent="0.2">
      <c r="A208" s="169">
        <v>627</v>
      </c>
      <c r="B208" s="168" t="s">
        <v>8</v>
      </c>
      <c r="C208" s="168" t="s">
        <v>222</v>
      </c>
      <c r="D208" s="173">
        <v>45698</v>
      </c>
      <c r="E208" s="174" t="s">
        <v>448</v>
      </c>
      <c r="F208" s="174" t="s">
        <v>435</v>
      </c>
      <c r="G208" s="174" t="s">
        <v>222</v>
      </c>
      <c r="H208" s="174" t="s">
        <v>436</v>
      </c>
      <c r="I208" s="174" t="s">
        <v>437</v>
      </c>
      <c r="J208" s="174" t="s">
        <v>438</v>
      </c>
      <c r="K208" s="174" t="s">
        <v>449</v>
      </c>
      <c r="L208" s="174" t="s">
        <v>280</v>
      </c>
      <c r="M208" s="174" t="s">
        <v>281</v>
      </c>
      <c r="N208" s="177">
        <v>7500000</v>
      </c>
      <c r="O208" s="174" t="s">
        <v>450</v>
      </c>
      <c r="P208" s="174" t="s">
        <v>283</v>
      </c>
      <c r="Q208" s="174" t="s">
        <v>325</v>
      </c>
      <c r="R208" s="174" t="s">
        <v>283</v>
      </c>
      <c r="S208" s="174" t="s">
        <v>283</v>
      </c>
      <c r="T208" s="175">
        <v>0</v>
      </c>
    </row>
    <row r="209" spans="1:20" x14ac:dyDescent="0.2">
      <c r="A209" s="169">
        <v>627</v>
      </c>
      <c r="B209" s="168" t="s">
        <v>8</v>
      </c>
      <c r="C209" s="168" t="s">
        <v>222</v>
      </c>
      <c r="D209" s="173">
        <v>45698</v>
      </c>
      <c r="E209" s="174" t="s">
        <v>451</v>
      </c>
      <c r="F209" s="174" t="s">
        <v>435</v>
      </c>
      <c r="G209" s="174" t="s">
        <v>222</v>
      </c>
      <c r="H209" s="174" t="s">
        <v>436</v>
      </c>
      <c r="I209" s="174" t="s">
        <v>437</v>
      </c>
      <c r="J209" s="174" t="s">
        <v>438</v>
      </c>
      <c r="K209" s="174" t="s">
        <v>449</v>
      </c>
      <c r="L209" s="174" t="s">
        <v>280</v>
      </c>
      <c r="M209" s="174" t="s">
        <v>281</v>
      </c>
      <c r="N209" s="177">
        <v>-7500000</v>
      </c>
      <c r="O209" s="174" t="s">
        <v>452</v>
      </c>
      <c r="P209" s="174" t="s">
        <v>447</v>
      </c>
      <c r="Q209" s="174" t="s">
        <v>284</v>
      </c>
      <c r="R209" s="174" t="s">
        <v>283</v>
      </c>
      <c r="S209" s="174" t="s">
        <v>283</v>
      </c>
      <c r="T209" s="175">
        <v>0</v>
      </c>
    </row>
    <row r="210" spans="1:20" x14ac:dyDescent="0.2">
      <c r="A210" s="169">
        <v>627</v>
      </c>
      <c r="B210" s="168" t="s">
        <v>8</v>
      </c>
      <c r="C210" s="168" t="s">
        <v>222</v>
      </c>
      <c r="D210" s="173">
        <v>45698</v>
      </c>
      <c r="E210" s="174" t="s">
        <v>453</v>
      </c>
      <c r="F210" s="174" t="s">
        <v>435</v>
      </c>
      <c r="G210" s="174" t="s">
        <v>222</v>
      </c>
      <c r="H210" s="174" t="s">
        <v>436</v>
      </c>
      <c r="I210" s="174" t="s">
        <v>437</v>
      </c>
      <c r="J210" s="174" t="s">
        <v>438</v>
      </c>
      <c r="K210" s="174" t="s">
        <v>449</v>
      </c>
      <c r="L210" s="174" t="s">
        <v>280</v>
      </c>
      <c r="M210" s="174" t="s">
        <v>281</v>
      </c>
      <c r="N210" s="177">
        <v>7500000</v>
      </c>
      <c r="O210" s="174" t="s">
        <v>454</v>
      </c>
      <c r="P210" s="174" t="s">
        <v>283</v>
      </c>
      <c r="Q210" s="174" t="s">
        <v>325</v>
      </c>
      <c r="R210" s="174" t="s">
        <v>283</v>
      </c>
      <c r="S210" s="174" t="s">
        <v>283</v>
      </c>
      <c r="T210" s="175">
        <v>0</v>
      </c>
    </row>
    <row r="211" spans="1:20" x14ac:dyDescent="0.2">
      <c r="B211" s="168" t="s">
        <v>0</v>
      </c>
      <c r="C211" s="168" t="s">
        <v>22</v>
      </c>
      <c r="D211" s="173">
        <v>45688</v>
      </c>
      <c r="E211" s="174" t="s">
        <v>455</v>
      </c>
      <c r="F211" s="174" t="s">
        <v>274</v>
      </c>
      <c r="G211" s="174" t="s">
        <v>275</v>
      </c>
      <c r="H211" s="174" t="s">
        <v>276</v>
      </c>
      <c r="I211" s="174" t="s">
        <v>277</v>
      </c>
      <c r="J211" s="174" t="s">
        <v>456</v>
      </c>
      <c r="K211" s="174" t="s">
        <v>457</v>
      </c>
      <c r="L211" s="174" t="s">
        <v>458</v>
      </c>
      <c r="M211" s="174" t="s">
        <v>281</v>
      </c>
      <c r="N211" s="177">
        <v>1133420318</v>
      </c>
      <c r="O211" s="174" t="s">
        <v>459</v>
      </c>
      <c r="P211" s="174" t="s">
        <v>283</v>
      </c>
      <c r="Q211" s="174" t="s">
        <v>284</v>
      </c>
      <c r="R211" s="174" t="s">
        <v>283</v>
      </c>
      <c r="S211" s="174" t="s">
        <v>283</v>
      </c>
      <c r="T211" s="175">
        <v>0</v>
      </c>
    </row>
    <row r="212" spans="1:20" x14ac:dyDescent="0.2">
      <c r="B212" s="168" t="s">
        <v>0</v>
      </c>
      <c r="C212" s="168" t="s">
        <v>22</v>
      </c>
      <c r="D212" s="173">
        <v>45688</v>
      </c>
      <c r="E212" s="174" t="s">
        <v>455</v>
      </c>
      <c r="F212" s="174" t="s">
        <v>285</v>
      </c>
      <c r="G212" s="174" t="s">
        <v>286</v>
      </c>
      <c r="H212" s="174" t="s">
        <v>276</v>
      </c>
      <c r="I212" s="174" t="s">
        <v>277</v>
      </c>
      <c r="J212" s="174" t="s">
        <v>456</v>
      </c>
      <c r="K212" s="174" t="s">
        <v>457</v>
      </c>
      <c r="L212" s="174" t="s">
        <v>458</v>
      </c>
      <c r="M212" s="174" t="s">
        <v>281</v>
      </c>
      <c r="N212" s="177">
        <v>37445455</v>
      </c>
      <c r="O212" s="174" t="s">
        <v>459</v>
      </c>
      <c r="P212" s="174" t="s">
        <v>283</v>
      </c>
      <c r="Q212" s="174" t="s">
        <v>284</v>
      </c>
      <c r="R212" s="174" t="s">
        <v>283</v>
      </c>
      <c r="S212" s="174" t="s">
        <v>283</v>
      </c>
      <c r="T212" s="175">
        <v>0</v>
      </c>
    </row>
    <row r="213" spans="1:20" x14ac:dyDescent="0.2">
      <c r="B213" s="168" t="s">
        <v>0</v>
      </c>
      <c r="C213" s="168" t="s">
        <v>22</v>
      </c>
      <c r="D213" s="173">
        <v>45688</v>
      </c>
      <c r="E213" s="174" t="s">
        <v>460</v>
      </c>
      <c r="F213" s="174" t="s">
        <v>285</v>
      </c>
      <c r="G213" s="174" t="s">
        <v>286</v>
      </c>
      <c r="H213" s="174" t="s">
        <v>276</v>
      </c>
      <c r="I213" s="174" t="s">
        <v>277</v>
      </c>
      <c r="J213" s="174" t="s">
        <v>461</v>
      </c>
      <c r="K213" s="174" t="s">
        <v>457</v>
      </c>
      <c r="L213" s="174" t="s">
        <v>458</v>
      </c>
      <c r="M213" s="174" t="s">
        <v>281</v>
      </c>
      <c r="N213" s="177">
        <v>93275083</v>
      </c>
      <c r="O213" s="174" t="s">
        <v>462</v>
      </c>
      <c r="P213" s="174" t="s">
        <v>283</v>
      </c>
      <c r="Q213" s="174" t="s">
        <v>284</v>
      </c>
      <c r="R213" s="174" t="s">
        <v>283</v>
      </c>
      <c r="S213" s="174" t="s">
        <v>283</v>
      </c>
      <c r="T213" s="175">
        <v>0</v>
      </c>
    </row>
    <row r="214" spans="1:20" x14ac:dyDescent="0.2">
      <c r="B214" s="168" t="s">
        <v>0</v>
      </c>
      <c r="C214" s="168" t="s">
        <v>24</v>
      </c>
      <c r="D214" s="173">
        <v>45688</v>
      </c>
      <c r="E214" s="174" t="s">
        <v>455</v>
      </c>
      <c r="F214" s="174" t="s">
        <v>290</v>
      </c>
      <c r="G214" s="174" t="s">
        <v>291</v>
      </c>
      <c r="H214" s="174" t="s">
        <v>276</v>
      </c>
      <c r="I214" s="174" t="s">
        <v>277</v>
      </c>
      <c r="J214" s="174" t="s">
        <v>456</v>
      </c>
      <c r="K214" s="174" t="s">
        <v>457</v>
      </c>
      <c r="L214" s="174" t="s">
        <v>458</v>
      </c>
      <c r="M214" s="174" t="s">
        <v>281</v>
      </c>
      <c r="N214" s="177">
        <v>2000000</v>
      </c>
      <c r="O214" s="174" t="s">
        <v>459</v>
      </c>
      <c r="P214" s="174" t="s">
        <v>283</v>
      </c>
      <c r="Q214" s="174" t="s">
        <v>284</v>
      </c>
      <c r="R214" s="174" t="s">
        <v>283</v>
      </c>
      <c r="S214" s="174" t="s">
        <v>283</v>
      </c>
      <c r="T214" s="175">
        <v>0</v>
      </c>
    </row>
    <row r="215" spans="1:20" x14ac:dyDescent="0.2">
      <c r="B215" s="168" t="s">
        <v>0</v>
      </c>
      <c r="C215" s="168" t="s">
        <v>24</v>
      </c>
      <c r="D215" s="173">
        <v>45688</v>
      </c>
      <c r="E215" s="174" t="s">
        <v>460</v>
      </c>
      <c r="F215" s="174" t="s">
        <v>292</v>
      </c>
      <c r="G215" s="174" t="s">
        <v>77</v>
      </c>
      <c r="H215" s="174" t="s">
        <v>276</v>
      </c>
      <c r="I215" s="174" t="s">
        <v>277</v>
      </c>
      <c r="J215" s="174" t="s">
        <v>463</v>
      </c>
      <c r="K215" s="174" t="s">
        <v>457</v>
      </c>
      <c r="L215" s="174" t="s">
        <v>458</v>
      </c>
      <c r="M215" s="174" t="s">
        <v>281</v>
      </c>
      <c r="N215" s="177">
        <v>85812330</v>
      </c>
      <c r="O215" s="174" t="s">
        <v>462</v>
      </c>
      <c r="P215" s="174" t="s">
        <v>283</v>
      </c>
      <c r="Q215" s="174" t="s">
        <v>284</v>
      </c>
      <c r="R215" s="174" t="s">
        <v>283</v>
      </c>
      <c r="S215" s="174" t="s">
        <v>283</v>
      </c>
      <c r="T215" s="175">
        <v>0</v>
      </c>
    </row>
    <row r="216" spans="1:20" x14ac:dyDescent="0.2">
      <c r="B216" s="168" t="s">
        <v>0</v>
      </c>
      <c r="C216" s="168" t="s">
        <v>170</v>
      </c>
      <c r="D216" s="173">
        <v>45688</v>
      </c>
      <c r="E216" s="174" t="s">
        <v>464</v>
      </c>
      <c r="F216" s="174" t="s">
        <v>295</v>
      </c>
      <c r="G216" s="174" t="s">
        <v>296</v>
      </c>
      <c r="H216" s="174" t="s">
        <v>276</v>
      </c>
      <c r="I216" s="174" t="s">
        <v>277</v>
      </c>
      <c r="J216" s="174" t="s">
        <v>465</v>
      </c>
      <c r="K216" s="174" t="s">
        <v>457</v>
      </c>
      <c r="L216" s="174" t="s">
        <v>458</v>
      </c>
      <c r="M216" s="174" t="s">
        <v>281</v>
      </c>
      <c r="N216" s="177">
        <v>101568010</v>
      </c>
      <c r="O216" s="174" t="s">
        <v>466</v>
      </c>
      <c r="P216" s="174" t="s">
        <v>283</v>
      </c>
      <c r="Q216" s="174" t="s">
        <v>284</v>
      </c>
      <c r="R216" s="174" t="s">
        <v>283</v>
      </c>
      <c r="S216" s="174" t="s">
        <v>283</v>
      </c>
      <c r="T216" s="175">
        <v>0</v>
      </c>
    </row>
    <row r="217" spans="1:20" x14ac:dyDescent="0.2">
      <c r="B217" s="168" t="s">
        <v>0</v>
      </c>
      <c r="C217" s="168" t="s">
        <v>170</v>
      </c>
      <c r="D217" s="173">
        <v>45688</v>
      </c>
      <c r="E217" s="174" t="s">
        <v>467</v>
      </c>
      <c r="F217" s="174" t="s">
        <v>295</v>
      </c>
      <c r="G217" s="174" t="s">
        <v>296</v>
      </c>
      <c r="H217" s="174" t="s">
        <v>276</v>
      </c>
      <c r="I217" s="174" t="s">
        <v>277</v>
      </c>
      <c r="J217" s="174" t="s">
        <v>465</v>
      </c>
      <c r="K217" s="174" t="s">
        <v>457</v>
      </c>
      <c r="L217" s="174" t="s">
        <v>458</v>
      </c>
      <c r="M217" s="174" t="s">
        <v>281</v>
      </c>
      <c r="N217" s="177">
        <v>101568010</v>
      </c>
      <c r="O217" s="174" t="s">
        <v>468</v>
      </c>
      <c r="P217" s="174" t="s">
        <v>283</v>
      </c>
      <c r="Q217" s="174" t="s">
        <v>284</v>
      </c>
      <c r="R217" s="174" t="s">
        <v>283</v>
      </c>
      <c r="S217" s="174" t="s">
        <v>283</v>
      </c>
      <c r="T217" s="175">
        <v>0</v>
      </c>
    </row>
    <row r="218" spans="1:20" x14ac:dyDescent="0.2">
      <c r="B218" s="168" t="s">
        <v>0</v>
      </c>
      <c r="C218" s="168" t="s">
        <v>170</v>
      </c>
      <c r="D218" s="173">
        <v>45688</v>
      </c>
      <c r="E218" s="174" t="s">
        <v>469</v>
      </c>
      <c r="F218" s="174" t="s">
        <v>295</v>
      </c>
      <c r="G218" s="174" t="s">
        <v>296</v>
      </c>
      <c r="H218" s="174" t="s">
        <v>276</v>
      </c>
      <c r="I218" s="174" t="s">
        <v>277</v>
      </c>
      <c r="J218" s="174" t="s">
        <v>465</v>
      </c>
      <c r="K218" s="174" t="s">
        <v>457</v>
      </c>
      <c r="L218" s="174" t="s">
        <v>458</v>
      </c>
      <c r="M218" s="174" t="s">
        <v>281</v>
      </c>
      <c r="N218" s="177">
        <v>-101568010</v>
      </c>
      <c r="O218" s="174" t="s">
        <v>470</v>
      </c>
      <c r="P218" s="174" t="s">
        <v>447</v>
      </c>
      <c r="Q218" s="174" t="s">
        <v>284</v>
      </c>
      <c r="R218" s="174" t="s">
        <v>283</v>
      </c>
      <c r="S218" s="174" t="s">
        <v>283</v>
      </c>
      <c r="T218" s="175">
        <v>0</v>
      </c>
    </row>
    <row r="219" spans="1:20" x14ac:dyDescent="0.2">
      <c r="B219" s="168" t="s">
        <v>5</v>
      </c>
      <c r="C219" s="168" t="s">
        <v>222</v>
      </c>
      <c r="D219" s="173">
        <v>45678</v>
      </c>
      <c r="E219" s="174" t="s">
        <v>471</v>
      </c>
      <c r="F219" s="174" t="s">
        <v>300</v>
      </c>
      <c r="G219" s="174" t="s">
        <v>222</v>
      </c>
      <c r="H219" s="174" t="s">
        <v>320</v>
      </c>
      <c r="I219" s="174" t="s">
        <v>321</v>
      </c>
      <c r="J219" s="174" t="s">
        <v>472</v>
      </c>
      <c r="K219" s="174" t="s">
        <v>473</v>
      </c>
      <c r="L219" s="174" t="s">
        <v>458</v>
      </c>
      <c r="M219" s="174" t="s">
        <v>281</v>
      </c>
      <c r="N219" s="177">
        <v>3292753</v>
      </c>
      <c r="O219" s="174" t="s">
        <v>474</v>
      </c>
      <c r="P219" s="174" t="s">
        <v>283</v>
      </c>
      <c r="Q219" s="174" t="s">
        <v>325</v>
      </c>
      <c r="R219" s="174" t="s">
        <v>283</v>
      </c>
      <c r="S219" s="174" t="s">
        <v>283</v>
      </c>
      <c r="T219" s="175">
        <v>0</v>
      </c>
    </row>
    <row r="220" spans="1:20" x14ac:dyDescent="0.2">
      <c r="B220" s="168" t="s">
        <v>5</v>
      </c>
      <c r="C220" s="168" t="s">
        <v>222</v>
      </c>
      <c r="D220" s="173">
        <v>45680</v>
      </c>
      <c r="E220" s="174" t="s">
        <v>475</v>
      </c>
      <c r="F220" s="174" t="s">
        <v>300</v>
      </c>
      <c r="G220" s="174" t="s">
        <v>222</v>
      </c>
      <c r="H220" s="174" t="s">
        <v>320</v>
      </c>
      <c r="I220" s="174" t="s">
        <v>321</v>
      </c>
      <c r="J220" s="174" t="s">
        <v>476</v>
      </c>
      <c r="K220" s="174" t="s">
        <v>477</v>
      </c>
      <c r="L220" s="174" t="s">
        <v>458</v>
      </c>
      <c r="M220" s="174" t="s">
        <v>281</v>
      </c>
      <c r="N220" s="177">
        <v>545636253</v>
      </c>
      <c r="O220" s="174" t="s">
        <v>478</v>
      </c>
      <c r="P220" s="174" t="s">
        <v>283</v>
      </c>
      <c r="Q220" s="174" t="s">
        <v>306</v>
      </c>
      <c r="R220" s="174" t="s">
        <v>283</v>
      </c>
      <c r="S220" s="174" t="s">
        <v>283</v>
      </c>
      <c r="T220" s="175">
        <v>0</v>
      </c>
    </row>
    <row r="221" spans="1:20" x14ac:dyDescent="0.2">
      <c r="B221" s="168" t="s">
        <v>5</v>
      </c>
      <c r="C221" s="168" t="s">
        <v>222</v>
      </c>
      <c r="D221" s="173">
        <v>45688</v>
      </c>
      <c r="E221" s="174" t="s">
        <v>479</v>
      </c>
      <c r="F221" s="174" t="s">
        <v>300</v>
      </c>
      <c r="G221" s="174" t="s">
        <v>222</v>
      </c>
      <c r="H221" s="174" t="s">
        <v>320</v>
      </c>
      <c r="I221" s="174" t="s">
        <v>321</v>
      </c>
      <c r="J221" s="174" t="s">
        <v>480</v>
      </c>
      <c r="K221" s="174" t="s">
        <v>481</v>
      </c>
      <c r="L221" s="174" t="s">
        <v>458</v>
      </c>
      <c r="M221" s="174" t="s">
        <v>281</v>
      </c>
      <c r="N221" s="177">
        <v>1500000</v>
      </c>
      <c r="O221" s="174" t="s">
        <v>482</v>
      </c>
      <c r="P221" s="174" t="s">
        <v>283</v>
      </c>
      <c r="Q221" s="174" t="s">
        <v>325</v>
      </c>
      <c r="R221" s="174" t="s">
        <v>283</v>
      </c>
      <c r="S221" s="174" t="s">
        <v>283</v>
      </c>
      <c r="T221" s="175">
        <v>0</v>
      </c>
    </row>
    <row r="222" spans="1:20" x14ac:dyDescent="0.2">
      <c r="B222" s="168" t="s">
        <v>9</v>
      </c>
      <c r="C222" s="168" t="s">
        <v>22</v>
      </c>
      <c r="D222" s="173">
        <v>45688</v>
      </c>
      <c r="E222" s="174" t="s">
        <v>483</v>
      </c>
      <c r="F222" s="174" t="s">
        <v>274</v>
      </c>
      <c r="G222" s="174" t="s">
        <v>275</v>
      </c>
      <c r="H222" s="174" t="s">
        <v>301</v>
      </c>
      <c r="I222" s="174" t="s">
        <v>302</v>
      </c>
      <c r="J222" s="174" t="s">
        <v>484</v>
      </c>
      <c r="K222" s="174" t="s">
        <v>328</v>
      </c>
      <c r="L222" s="174" t="s">
        <v>458</v>
      </c>
      <c r="M222" s="174" t="s">
        <v>281</v>
      </c>
      <c r="N222" s="177">
        <v>83314193</v>
      </c>
      <c r="O222" s="174" t="s">
        <v>485</v>
      </c>
      <c r="P222" s="174" t="s">
        <v>283</v>
      </c>
      <c r="Q222" s="174" t="s">
        <v>306</v>
      </c>
      <c r="R222" s="174" t="s">
        <v>283</v>
      </c>
      <c r="S222" s="174" t="s">
        <v>283</v>
      </c>
      <c r="T222" s="175">
        <v>0</v>
      </c>
    </row>
    <row r="223" spans="1:20" x14ac:dyDescent="0.2">
      <c r="B223" s="168" t="s">
        <v>9</v>
      </c>
      <c r="C223" s="168" t="s">
        <v>222</v>
      </c>
      <c r="D223" s="173">
        <v>45688</v>
      </c>
      <c r="E223" s="174" t="s">
        <v>486</v>
      </c>
      <c r="F223" s="174" t="s">
        <v>300</v>
      </c>
      <c r="G223" s="174" t="s">
        <v>222</v>
      </c>
      <c r="H223" s="174" t="s">
        <v>301</v>
      </c>
      <c r="I223" s="174" t="s">
        <v>302</v>
      </c>
      <c r="J223" s="174" t="s">
        <v>487</v>
      </c>
      <c r="K223" s="174" t="s">
        <v>488</v>
      </c>
      <c r="L223" s="174" t="s">
        <v>458</v>
      </c>
      <c r="M223" s="174" t="s">
        <v>281</v>
      </c>
      <c r="N223" s="177">
        <v>5400000</v>
      </c>
      <c r="O223" s="174" t="s">
        <v>489</v>
      </c>
      <c r="P223" s="174" t="s">
        <v>283</v>
      </c>
      <c r="Q223" s="174" t="s">
        <v>306</v>
      </c>
      <c r="R223" s="174" t="s">
        <v>283</v>
      </c>
      <c r="S223" s="174" t="s">
        <v>283</v>
      </c>
      <c r="T223" s="175">
        <v>0</v>
      </c>
    </row>
    <row r="224" spans="1:20" x14ac:dyDescent="0.2">
      <c r="B224" s="168" t="s">
        <v>9</v>
      </c>
      <c r="C224" s="168" t="s">
        <v>25</v>
      </c>
      <c r="D224" s="173">
        <v>45682</v>
      </c>
      <c r="E224" s="174" t="s">
        <v>490</v>
      </c>
      <c r="F224" s="174" t="s">
        <v>335</v>
      </c>
      <c r="G224" s="174" t="s">
        <v>336</v>
      </c>
      <c r="H224" s="174" t="s">
        <v>301</v>
      </c>
      <c r="I224" s="174" t="s">
        <v>302</v>
      </c>
      <c r="J224" s="174" t="s">
        <v>491</v>
      </c>
      <c r="K224" s="174" t="s">
        <v>338</v>
      </c>
      <c r="L224" s="174" t="s">
        <v>458</v>
      </c>
      <c r="M224" s="174" t="s">
        <v>281</v>
      </c>
      <c r="N224" s="177">
        <v>29450000</v>
      </c>
      <c r="O224" s="174" t="s">
        <v>492</v>
      </c>
      <c r="P224" s="174" t="s">
        <v>283</v>
      </c>
      <c r="Q224" s="174" t="s">
        <v>306</v>
      </c>
      <c r="R224" s="174" t="s">
        <v>283</v>
      </c>
      <c r="S224" s="174" t="s">
        <v>283</v>
      </c>
      <c r="T224" s="175">
        <v>0</v>
      </c>
    </row>
    <row r="225" spans="2:20" x14ac:dyDescent="0.2">
      <c r="B225" s="168" t="s">
        <v>5</v>
      </c>
      <c r="C225" s="168" t="s">
        <v>25</v>
      </c>
      <c r="D225" s="173">
        <v>45682</v>
      </c>
      <c r="E225" s="174" t="s">
        <v>490</v>
      </c>
      <c r="F225" s="174" t="s">
        <v>335</v>
      </c>
      <c r="G225" s="174" t="s">
        <v>336</v>
      </c>
      <c r="H225" s="174" t="s">
        <v>320</v>
      </c>
      <c r="I225" s="174" t="s">
        <v>321</v>
      </c>
      <c r="J225" s="174" t="s">
        <v>491</v>
      </c>
      <c r="K225" s="174" t="s">
        <v>338</v>
      </c>
      <c r="L225" s="174" t="s">
        <v>458</v>
      </c>
      <c r="M225" s="174" t="s">
        <v>281</v>
      </c>
      <c r="N225" s="177">
        <v>5375000</v>
      </c>
      <c r="O225" s="174" t="s">
        <v>492</v>
      </c>
      <c r="P225" s="174" t="s">
        <v>283</v>
      </c>
      <c r="Q225" s="174" t="s">
        <v>306</v>
      </c>
      <c r="R225" s="174" t="s">
        <v>283</v>
      </c>
      <c r="S225" s="174" t="s">
        <v>283</v>
      </c>
      <c r="T225" s="175">
        <v>0</v>
      </c>
    </row>
    <row r="226" spans="2:20" x14ac:dyDescent="0.2">
      <c r="B226" s="168" t="s">
        <v>5</v>
      </c>
      <c r="C226" s="168" t="s">
        <v>222</v>
      </c>
      <c r="D226" s="173">
        <v>45680</v>
      </c>
      <c r="E226" s="174" t="s">
        <v>493</v>
      </c>
      <c r="F226" s="174" t="s">
        <v>300</v>
      </c>
      <c r="G226" s="174" t="s">
        <v>222</v>
      </c>
      <c r="H226" s="174" t="s">
        <v>320</v>
      </c>
      <c r="I226" s="174" t="s">
        <v>321</v>
      </c>
      <c r="J226" s="174" t="s">
        <v>476</v>
      </c>
      <c r="K226" s="174" t="s">
        <v>477</v>
      </c>
      <c r="L226" s="174" t="s">
        <v>458</v>
      </c>
      <c r="M226" s="174" t="s">
        <v>281</v>
      </c>
      <c r="N226" s="177">
        <v>-545636253</v>
      </c>
      <c r="O226" s="174" t="s">
        <v>494</v>
      </c>
      <c r="P226" s="174" t="s">
        <v>447</v>
      </c>
      <c r="Q226" s="174" t="s">
        <v>284</v>
      </c>
      <c r="R226" s="174" t="s">
        <v>283</v>
      </c>
      <c r="S226" s="174" t="s">
        <v>283</v>
      </c>
      <c r="T226" s="175">
        <v>0</v>
      </c>
    </row>
    <row r="227" spans="2:20" x14ac:dyDescent="0.2">
      <c r="B227" s="168" t="s">
        <v>5</v>
      </c>
      <c r="C227" s="168" t="s">
        <v>22</v>
      </c>
      <c r="D227" s="173">
        <v>45688</v>
      </c>
      <c r="E227" s="174" t="s">
        <v>455</v>
      </c>
      <c r="F227" s="174" t="s">
        <v>274</v>
      </c>
      <c r="G227" s="174" t="s">
        <v>275</v>
      </c>
      <c r="H227" s="174" t="s">
        <v>320</v>
      </c>
      <c r="I227" s="174" t="s">
        <v>321</v>
      </c>
      <c r="J227" s="174" t="s">
        <v>456</v>
      </c>
      <c r="K227" s="174" t="s">
        <v>457</v>
      </c>
      <c r="L227" s="174" t="s">
        <v>458</v>
      </c>
      <c r="M227" s="174" t="s">
        <v>281</v>
      </c>
      <c r="N227" s="177">
        <v>85653727</v>
      </c>
      <c r="O227" s="174" t="s">
        <v>459</v>
      </c>
      <c r="P227" s="174" t="s">
        <v>283</v>
      </c>
      <c r="Q227" s="174" t="s">
        <v>284</v>
      </c>
      <c r="R227" s="174" t="s">
        <v>283</v>
      </c>
      <c r="S227" s="174" t="s">
        <v>283</v>
      </c>
      <c r="T227" s="175">
        <v>0</v>
      </c>
    </row>
    <row r="228" spans="2:20" x14ac:dyDescent="0.2">
      <c r="B228" s="168" t="s">
        <v>5</v>
      </c>
      <c r="C228" s="168" t="s">
        <v>22</v>
      </c>
      <c r="D228" s="173">
        <v>45688</v>
      </c>
      <c r="E228" s="174" t="s">
        <v>455</v>
      </c>
      <c r="F228" s="174" t="s">
        <v>285</v>
      </c>
      <c r="G228" s="174" t="s">
        <v>286</v>
      </c>
      <c r="H228" s="174" t="s">
        <v>320</v>
      </c>
      <c r="I228" s="174" t="s">
        <v>321</v>
      </c>
      <c r="J228" s="174" t="s">
        <v>456</v>
      </c>
      <c r="K228" s="174" t="s">
        <v>457</v>
      </c>
      <c r="L228" s="174" t="s">
        <v>458</v>
      </c>
      <c r="M228" s="174" t="s">
        <v>281</v>
      </c>
      <c r="N228" s="177">
        <v>4863461</v>
      </c>
      <c r="O228" s="174" t="s">
        <v>459</v>
      </c>
      <c r="P228" s="174" t="s">
        <v>283</v>
      </c>
      <c r="Q228" s="174" t="s">
        <v>284</v>
      </c>
      <c r="R228" s="174" t="s">
        <v>283</v>
      </c>
      <c r="S228" s="174" t="s">
        <v>283</v>
      </c>
      <c r="T228" s="175">
        <v>0</v>
      </c>
    </row>
    <row r="229" spans="2:20" x14ac:dyDescent="0.2">
      <c r="B229" s="168" t="s">
        <v>5</v>
      </c>
      <c r="C229" s="168" t="s">
        <v>24</v>
      </c>
      <c r="D229" s="173">
        <v>45688</v>
      </c>
      <c r="E229" s="174" t="s">
        <v>455</v>
      </c>
      <c r="F229" s="174" t="s">
        <v>290</v>
      </c>
      <c r="G229" s="174" t="s">
        <v>291</v>
      </c>
      <c r="H229" s="174" t="s">
        <v>320</v>
      </c>
      <c r="I229" s="174" t="s">
        <v>321</v>
      </c>
      <c r="J229" s="174" t="s">
        <v>456</v>
      </c>
      <c r="K229" s="174" t="s">
        <v>457</v>
      </c>
      <c r="L229" s="174" t="s">
        <v>458</v>
      </c>
      <c r="M229" s="174" t="s">
        <v>281</v>
      </c>
      <c r="N229" s="177">
        <v>800000</v>
      </c>
      <c r="O229" s="174" t="s">
        <v>459</v>
      </c>
      <c r="P229" s="174" t="s">
        <v>283</v>
      </c>
      <c r="Q229" s="174" t="s">
        <v>284</v>
      </c>
      <c r="R229" s="174" t="s">
        <v>283</v>
      </c>
      <c r="S229" s="174" t="s">
        <v>283</v>
      </c>
      <c r="T229" s="175">
        <v>0</v>
      </c>
    </row>
    <row r="230" spans="2:20" x14ac:dyDescent="0.2">
      <c r="B230" s="168" t="s">
        <v>5</v>
      </c>
      <c r="C230" s="168" t="s">
        <v>25</v>
      </c>
      <c r="D230" s="173">
        <v>45688</v>
      </c>
      <c r="E230" s="174" t="s">
        <v>455</v>
      </c>
      <c r="F230" s="174" t="s">
        <v>335</v>
      </c>
      <c r="G230" s="174" t="s">
        <v>336</v>
      </c>
      <c r="H230" s="174" t="s">
        <v>320</v>
      </c>
      <c r="I230" s="174" t="s">
        <v>321</v>
      </c>
      <c r="J230" s="174" t="s">
        <v>456</v>
      </c>
      <c r="K230" s="174" t="s">
        <v>457</v>
      </c>
      <c r="L230" s="174" t="s">
        <v>458</v>
      </c>
      <c r="M230" s="174" t="s">
        <v>281</v>
      </c>
      <c r="N230" s="177">
        <v>175000</v>
      </c>
      <c r="O230" s="174" t="s">
        <v>459</v>
      </c>
      <c r="P230" s="174" t="s">
        <v>283</v>
      </c>
      <c r="Q230" s="174" t="s">
        <v>284</v>
      </c>
      <c r="R230" s="174" t="s">
        <v>283</v>
      </c>
      <c r="S230" s="174" t="s">
        <v>283</v>
      </c>
      <c r="T230" s="175">
        <v>0</v>
      </c>
    </row>
    <row r="231" spans="2:20" x14ac:dyDescent="0.2">
      <c r="B231" s="168" t="s">
        <v>9</v>
      </c>
      <c r="C231" s="168" t="s">
        <v>25</v>
      </c>
      <c r="D231" s="173">
        <v>45688</v>
      </c>
      <c r="E231" s="174" t="s">
        <v>455</v>
      </c>
      <c r="F231" s="174" t="s">
        <v>340</v>
      </c>
      <c r="G231" s="174" t="s">
        <v>341</v>
      </c>
      <c r="H231" s="174" t="s">
        <v>301</v>
      </c>
      <c r="I231" s="174" t="s">
        <v>302</v>
      </c>
      <c r="J231" s="174" t="s">
        <v>495</v>
      </c>
      <c r="K231" s="174" t="s">
        <v>457</v>
      </c>
      <c r="L231" s="174" t="s">
        <v>458</v>
      </c>
      <c r="M231" s="174" t="s">
        <v>281</v>
      </c>
      <c r="N231" s="177">
        <v>8512681</v>
      </c>
      <c r="O231" s="174" t="s">
        <v>459</v>
      </c>
      <c r="P231" s="174" t="s">
        <v>283</v>
      </c>
      <c r="Q231" s="174" t="s">
        <v>284</v>
      </c>
      <c r="R231" s="174" t="s">
        <v>283</v>
      </c>
      <c r="S231" s="174" t="s">
        <v>283</v>
      </c>
      <c r="T231" s="175">
        <v>0</v>
      </c>
    </row>
    <row r="232" spans="2:20" x14ac:dyDescent="0.2">
      <c r="B232" s="168" t="s">
        <v>9</v>
      </c>
      <c r="C232" s="168" t="s">
        <v>22</v>
      </c>
      <c r="D232" s="173">
        <v>45688</v>
      </c>
      <c r="E232" s="174" t="s">
        <v>455</v>
      </c>
      <c r="F232" s="174" t="s">
        <v>274</v>
      </c>
      <c r="G232" s="174" t="s">
        <v>275</v>
      </c>
      <c r="H232" s="174" t="s">
        <v>301</v>
      </c>
      <c r="I232" s="174" t="s">
        <v>302</v>
      </c>
      <c r="J232" s="174" t="s">
        <v>495</v>
      </c>
      <c r="K232" s="174" t="s">
        <v>457</v>
      </c>
      <c r="L232" s="174" t="s">
        <v>458</v>
      </c>
      <c r="M232" s="174" t="s">
        <v>281</v>
      </c>
      <c r="N232" s="177">
        <v>543879618</v>
      </c>
      <c r="O232" s="174" t="s">
        <v>459</v>
      </c>
      <c r="P232" s="174" t="s">
        <v>283</v>
      </c>
      <c r="Q232" s="174" t="s">
        <v>284</v>
      </c>
      <c r="R232" s="174" t="s">
        <v>283</v>
      </c>
      <c r="S232" s="174" t="s">
        <v>283</v>
      </c>
      <c r="T232" s="175">
        <v>0</v>
      </c>
    </row>
    <row r="233" spans="2:20" x14ac:dyDescent="0.2">
      <c r="B233" s="168" t="s">
        <v>9</v>
      </c>
      <c r="C233" s="168" t="s">
        <v>22</v>
      </c>
      <c r="D233" s="173">
        <v>45688</v>
      </c>
      <c r="E233" s="174" t="s">
        <v>455</v>
      </c>
      <c r="F233" s="174" t="s">
        <v>285</v>
      </c>
      <c r="G233" s="174" t="s">
        <v>286</v>
      </c>
      <c r="H233" s="174" t="s">
        <v>301</v>
      </c>
      <c r="I233" s="174" t="s">
        <v>302</v>
      </c>
      <c r="J233" s="174" t="s">
        <v>495</v>
      </c>
      <c r="K233" s="174" t="s">
        <v>457</v>
      </c>
      <c r="L233" s="174" t="s">
        <v>458</v>
      </c>
      <c r="M233" s="174" t="s">
        <v>281</v>
      </c>
      <c r="N233" s="177">
        <v>49833288</v>
      </c>
      <c r="O233" s="174" t="s">
        <v>459</v>
      </c>
      <c r="P233" s="174" t="s">
        <v>283</v>
      </c>
      <c r="Q233" s="174" t="s">
        <v>284</v>
      </c>
      <c r="R233" s="174" t="s">
        <v>283</v>
      </c>
      <c r="S233" s="174" t="s">
        <v>283</v>
      </c>
      <c r="T233" s="175">
        <v>0</v>
      </c>
    </row>
    <row r="234" spans="2:20" x14ac:dyDescent="0.2">
      <c r="B234" s="168" t="s">
        <v>9</v>
      </c>
      <c r="C234" s="168" t="s">
        <v>23</v>
      </c>
      <c r="D234" s="173">
        <v>45688</v>
      </c>
      <c r="E234" s="174" t="s">
        <v>455</v>
      </c>
      <c r="F234" s="174" t="s">
        <v>342</v>
      </c>
      <c r="G234" s="174" t="s">
        <v>343</v>
      </c>
      <c r="H234" s="174" t="s">
        <v>301</v>
      </c>
      <c r="I234" s="174" t="s">
        <v>302</v>
      </c>
      <c r="J234" s="174" t="s">
        <v>456</v>
      </c>
      <c r="K234" s="174" t="s">
        <v>457</v>
      </c>
      <c r="L234" s="174" t="s">
        <v>458</v>
      </c>
      <c r="M234" s="174" t="s">
        <v>281</v>
      </c>
      <c r="N234" s="177">
        <v>100517421</v>
      </c>
      <c r="O234" s="174" t="s">
        <v>459</v>
      </c>
      <c r="P234" s="174" t="s">
        <v>283</v>
      </c>
      <c r="Q234" s="174" t="s">
        <v>284</v>
      </c>
      <c r="R234" s="174" t="s">
        <v>283</v>
      </c>
      <c r="S234" s="174" t="s">
        <v>283</v>
      </c>
      <c r="T234" s="175">
        <v>0</v>
      </c>
    </row>
    <row r="235" spans="2:20" x14ac:dyDescent="0.2">
      <c r="B235" s="168" t="s">
        <v>9</v>
      </c>
      <c r="C235" s="168" t="s">
        <v>24</v>
      </c>
      <c r="D235" s="173">
        <v>45688</v>
      </c>
      <c r="E235" s="174" t="s">
        <v>455</v>
      </c>
      <c r="F235" s="174" t="s">
        <v>290</v>
      </c>
      <c r="G235" s="174" t="s">
        <v>291</v>
      </c>
      <c r="H235" s="174" t="s">
        <v>301</v>
      </c>
      <c r="I235" s="174" t="s">
        <v>302</v>
      </c>
      <c r="J235" s="174" t="s">
        <v>456</v>
      </c>
      <c r="K235" s="174" t="s">
        <v>457</v>
      </c>
      <c r="L235" s="174" t="s">
        <v>458</v>
      </c>
      <c r="M235" s="174" t="s">
        <v>281</v>
      </c>
      <c r="N235" s="177">
        <v>14400000</v>
      </c>
      <c r="O235" s="174" t="s">
        <v>459</v>
      </c>
      <c r="P235" s="174" t="s">
        <v>283</v>
      </c>
      <c r="Q235" s="174" t="s">
        <v>284</v>
      </c>
      <c r="R235" s="174" t="s">
        <v>283</v>
      </c>
      <c r="S235" s="174" t="s">
        <v>283</v>
      </c>
      <c r="T235" s="175">
        <v>0</v>
      </c>
    </row>
    <row r="236" spans="2:20" x14ac:dyDescent="0.2">
      <c r="B236" s="168" t="s">
        <v>9</v>
      </c>
      <c r="C236" s="168" t="s">
        <v>25</v>
      </c>
      <c r="D236" s="173">
        <v>45688</v>
      </c>
      <c r="E236" s="174" t="s">
        <v>455</v>
      </c>
      <c r="F236" s="174" t="s">
        <v>335</v>
      </c>
      <c r="G236" s="174" t="s">
        <v>336</v>
      </c>
      <c r="H236" s="174" t="s">
        <v>301</v>
      </c>
      <c r="I236" s="174" t="s">
        <v>302</v>
      </c>
      <c r="J236" s="174" t="s">
        <v>456</v>
      </c>
      <c r="K236" s="174" t="s">
        <v>457</v>
      </c>
      <c r="L236" s="174" t="s">
        <v>458</v>
      </c>
      <c r="M236" s="174" t="s">
        <v>281</v>
      </c>
      <c r="N236" s="177">
        <v>6505000</v>
      </c>
      <c r="O236" s="174" t="s">
        <v>459</v>
      </c>
      <c r="P236" s="174" t="s">
        <v>283</v>
      </c>
      <c r="Q236" s="174" t="s">
        <v>284</v>
      </c>
      <c r="R236" s="174" t="s">
        <v>283</v>
      </c>
      <c r="S236" s="174" t="s">
        <v>283</v>
      </c>
      <c r="T236" s="175">
        <v>0</v>
      </c>
    </row>
    <row r="237" spans="2:20" x14ac:dyDescent="0.2">
      <c r="B237" s="168" t="s">
        <v>5</v>
      </c>
      <c r="C237" s="168" t="s">
        <v>22</v>
      </c>
      <c r="D237" s="173">
        <v>45688</v>
      </c>
      <c r="E237" s="174" t="s">
        <v>460</v>
      </c>
      <c r="F237" s="174" t="s">
        <v>285</v>
      </c>
      <c r="G237" s="174" t="s">
        <v>286</v>
      </c>
      <c r="H237" s="174" t="s">
        <v>320</v>
      </c>
      <c r="I237" s="174" t="s">
        <v>321</v>
      </c>
      <c r="J237" s="174" t="s">
        <v>461</v>
      </c>
      <c r="K237" s="174" t="s">
        <v>457</v>
      </c>
      <c r="L237" s="174" t="s">
        <v>458</v>
      </c>
      <c r="M237" s="174" t="s">
        <v>281</v>
      </c>
      <c r="N237" s="177">
        <v>8737500</v>
      </c>
      <c r="O237" s="174" t="s">
        <v>462</v>
      </c>
      <c r="P237" s="174" t="s">
        <v>283</v>
      </c>
      <c r="Q237" s="174" t="s">
        <v>284</v>
      </c>
      <c r="R237" s="174" t="s">
        <v>283</v>
      </c>
      <c r="S237" s="174" t="s">
        <v>283</v>
      </c>
      <c r="T237" s="175">
        <v>0</v>
      </c>
    </row>
    <row r="238" spans="2:20" x14ac:dyDescent="0.2">
      <c r="B238" s="168" t="s">
        <v>5</v>
      </c>
      <c r="C238" s="168" t="s">
        <v>24</v>
      </c>
      <c r="D238" s="173">
        <v>45688</v>
      </c>
      <c r="E238" s="174" t="s">
        <v>460</v>
      </c>
      <c r="F238" s="174" t="s">
        <v>292</v>
      </c>
      <c r="G238" s="174" t="s">
        <v>77</v>
      </c>
      <c r="H238" s="174" t="s">
        <v>320</v>
      </c>
      <c r="I238" s="174" t="s">
        <v>321</v>
      </c>
      <c r="J238" s="174" t="s">
        <v>463</v>
      </c>
      <c r="K238" s="174" t="s">
        <v>457</v>
      </c>
      <c r="L238" s="174" t="s">
        <v>458</v>
      </c>
      <c r="M238" s="174" t="s">
        <v>281</v>
      </c>
      <c r="N238" s="177">
        <v>8038430</v>
      </c>
      <c r="O238" s="174" t="s">
        <v>462</v>
      </c>
      <c r="P238" s="174" t="s">
        <v>283</v>
      </c>
      <c r="Q238" s="174" t="s">
        <v>284</v>
      </c>
      <c r="R238" s="174" t="s">
        <v>283</v>
      </c>
      <c r="S238" s="174" t="s">
        <v>283</v>
      </c>
      <c r="T238" s="175">
        <v>0</v>
      </c>
    </row>
    <row r="239" spans="2:20" x14ac:dyDescent="0.2">
      <c r="B239" s="168" t="s">
        <v>9</v>
      </c>
      <c r="C239" s="168" t="s">
        <v>22</v>
      </c>
      <c r="D239" s="173">
        <v>45688</v>
      </c>
      <c r="E239" s="174" t="s">
        <v>460</v>
      </c>
      <c r="F239" s="174" t="s">
        <v>285</v>
      </c>
      <c r="G239" s="174" t="s">
        <v>286</v>
      </c>
      <c r="H239" s="174" t="s">
        <v>301</v>
      </c>
      <c r="I239" s="174" t="s">
        <v>302</v>
      </c>
      <c r="J239" s="174" t="s">
        <v>461</v>
      </c>
      <c r="K239" s="174" t="s">
        <v>457</v>
      </c>
      <c r="L239" s="174" t="s">
        <v>458</v>
      </c>
      <c r="M239" s="174" t="s">
        <v>281</v>
      </c>
      <c r="N239" s="177">
        <v>50229772</v>
      </c>
      <c r="O239" s="174" t="s">
        <v>462</v>
      </c>
      <c r="P239" s="174" t="s">
        <v>283</v>
      </c>
      <c r="Q239" s="174" t="s">
        <v>284</v>
      </c>
      <c r="R239" s="174" t="s">
        <v>283</v>
      </c>
      <c r="S239" s="174" t="s">
        <v>283</v>
      </c>
      <c r="T239" s="175">
        <v>0</v>
      </c>
    </row>
    <row r="240" spans="2:20" x14ac:dyDescent="0.2">
      <c r="B240" s="168" t="s">
        <v>9</v>
      </c>
      <c r="C240" s="168" t="s">
        <v>24</v>
      </c>
      <c r="D240" s="173">
        <v>45688</v>
      </c>
      <c r="E240" s="174" t="s">
        <v>460</v>
      </c>
      <c r="F240" s="174" t="s">
        <v>292</v>
      </c>
      <c r="G240" s="174" t="s">
        <v>77</v>
      </c>
      <c r="H240" s="174" t="s">
        <v>301</v>
      </c>
      <c r="I240" s="174" t="s">
        <v>302</v>
      </c>
      <c r="J240" s="174" t="s">
        <v>463</v>
      </c>
      <c r="K240" s="174" t="s">
        <v>457</v>
      </c>
      <c r="L240" s="174" t="s">
        <v>458</v>
      </c>
      <c r="M240" s="174" t="s">
        <v>281</v>
      </c>
      <c r="N240" s="177">
        <v>40507749</v>
      </c>
      <c r="O240" s="174" t="s">
        <v>462</v>
      </c>
      <c r="P240" s="174" t="s">
        <v>283</v>
      </c>
      <c r="Q240" s="174" t="s">
        <v>284</v>
      </c>
      <c r="R240" s="174" t="s">
        <v>283</v>
      </c>
      <c r="S240" s="174" t="s">
        <v>283</v>
      </c>
      <c r="T240" s="175">
        <v>0</v>
      </c>
    </row>
    <row r="241" spans="2:20" x14ac:dyDescent="0.2">
      <c r="B241" s="168" t="s">
        <v>5</v>
      </c>
      <c r="C241" s="168" t="s">
        <v>170</v>
      </c>
      <c r="D241" s="173">
        <v>45688</v>
      </c>
      <c r="E241" s="174" t="s">
        <v>464</v>
      </c>
      <c r="F241" s="174" t="s">
        <v>295</v>
      </c>
      <c r="G241" s="174" t="s">
        <v>296</v>
      </c>
      <c r="H241" s="174" t="s">
        <v>320</v>
      </c>
      <c r="I241" s="174" t="s">
        <v>321</v>
      </c>
      <c r="J241" s="174" t="s">
        <v>465</v>
      </c>
      <c r="K241" s="174" t="s">
        <v>457</v>
      </c>
      <c r="L241" s="174" t="s">
        <v>458</v>
      </c>
      <c r="M241" s="174" t="s">
        <v>281</v>
      </c>
      <c r="N241" s="177">
        <v>30888225</v>
      </c>
      <c r="O241" s="174" t="s">
        <v>466</v>
      </c>
      <c r="P241" s="174" t="s">
        <v>283</v>
      </c>
      <c r="Q241" s="174" t="s">
        <v>284</v>
      </c>
      <c r="R241" s="174" t="s">
        <v>283</v>
      </c>
      <c r="S241" s="174" t="s">
        <v>283</v>
      </c>
      <c r="T241" s="175">
        <v>0</v>
      </c>
    </row>
    <row r="242" spans="2:20" x14ac:dyDescent="0.2">
      <c r="B242" s="168" t="s">
        <v>9</v>
      </c>
      <c r="C242" s="168" t="s">
        <v>170</v>
      </c>
      <c r="D242" s="173">
        <v>45688</v>
      </c>
      <c r="E242" s="174" t="s">
        <v>464</v>
      </c>
      <c r="F242" s="174" t="s">
        <v>295</v>
      </c>
      <c r="G242" s="174" t="s">
        <v>296</v>
      </c>
      <c r="H242" s="174" t="s">
        <v>301</v>
      </c>
      <c r="I242" s="174" t="s">
        <v>302</v>
      </c>
      <c r="J242" s="174" t="s">
        <v>465</v>
      </c>
      <c r="K242" s="174" t="s">
        <v>457</v>
      </c>
      <c r="L242" s="174" t="s">
        <v>458</v>
      </c>
      <c r="M242" s="174" t="s">
        <v>281</v>
      </c>
      <c r="N242" s="177">
        <v>103648325</v>
      </c>
      <c r="O242" s="174" t="s">
        <v>466</v>
      </c>
      <c r="P242" s="174" t="s">
        <v>283</v>
      </c>
      <c r="Q242" s="174" t="s">
        <v>284</v>
      </c>
      <c r="R242" s="174" t="s">
        <v>283</v>
      </c>
      <c r="S242" s="174" t="s">
        <v>283</v>
      </c>
      <c r="T242" s="175">
        <v>0</v>
      </c>
    </row>
    <row r="243" spans="2:20" x14ac:dyDescent="0.2">
      <c r="B243" s="168" t="s">
        <v>5</v>
      </c>
      <c r="C243" s="168" t="s">
        <v>170</v>
      </c>
      <c r="D243" s="173">
        <v>45688</v>
      </c>
      <c r="E243" s="174" t="s">
        <v>467</v>
      </c>
      <c r="F243" s="174" t="s">
        <v>295</v>
      </c>
      <c r="G243" s="174" t="s">
        <v>296</v>
      </c>
      <c r="H243" s="174" t="s">
        <v>320</v>
      </c>
      <c r="I243" s="174" t="s">
        <v>321</v>
      </c>
      <c r="J243" s="174" t="s">
        <v>465</v>
      </c>
      <c r="K243" s="174" t="s">
        <v>457</v>
      </c>
      <c r="L243" s="174" t="s">
        <v>458</v>
      </c>
      <c r="M243" s="174" t="s">
        <v>281</v>
      </c>
      <c r="N243" s="177">
        <v>30888225</v>
      </c>
      <c r="O243" s="174" t="s">
        <v>468</v>
      </c>
      <c r="P243" s="174" t="s">
        <v>283</v>
      </c>
      <c r="Q243" s="174" t="s">
        <v>284</v>
      </c>
      <c r="R243" s="174" t="s">
        <v>283</v>
      </c>
      <c r="S243" s="174" t="s">
        <v>283</v>
      </c>
      <c r="T243" s="175">
        <v>0</v>
      </c>
    </row>
    <row r="244" spans="2:20" x14ac:dyDescent="0.2">
      <c r="B244" s="168" t="s">
        <v>9</v>
      </c>
      <c r="C244" s="168" t="s">
        <v>170</v>
      </c>
      <c r="D244" s="173">
        <v>45688</v>
      </c>
      <c r="E244" s="174" t="s">
        <v>467</v>
      </c>
      <c r="F244" s="174" t="s">
        <v>295</v>
      </c>
      <c r="G244" s="174" t="s">
        <v>296</v>
      </c>
      <c r="H244" s="174" t="s">
        <v>301</v>
      </c>
      <c r="I244" s="174" t="s">
        <v>302</v>
      </c>
      <c r="J244" s="174" t="s">
        <v>465</v>
      </c>
      <c r="K244" s="174" t="s">
        <v>457</v>
      </c>
      <c r="L244" s="174" t="s">
        <v>458</v>
      </c>
      <c r="M244" s="174" t="s">
        <v>281</v>
      </c>
      <c r="N244" s="177">
        <v>103648325</v>
      </c>
      <c r="O244" s="174" t="s">
        <v>468</v>
      </c>
      <c r="P244" s="174" t="s">
        <v>283</v>
      </c>
      <c r="Q244" s="174" t="s">
        <v>284</v>
      </c>
      <c r="R244" s="174" t="s">
        <v>283</v>
      </c>
      <c r="S244" s="174" t="s">
        <v>283</v>
      </c>
      <c r="T244" s="175">
        <v>0</v>
      </c>
    </row>
    <row r="245" spans="2:20" x14ac:dyDescent="0.2">
      <c r="B245" s="168" t="s">
        <v>5</v>
      </c>
      <c r="C245" s="168" t="s">
        <v>170</v>
      </c>
      <c r="D245" s="173">
        <v>45688</v>
      </c>
      <c r="E245" s="174" t="s">
        <v>469</v>
      </c>
      <c r="F245" s="174" t="s">
        <v>295</v>
      </c>
      <c r="G245" s="174" t="s">
        <v>296</v>
      </c>
      <c r="H245" s="174" t="s">
        <v>320</v>
      </c>
      <c r="I245" s="174" t="s">
        <v>321</v>
      </c>
      <c r="J245" s="174" t="s">
        <v>465</v>
      </c>
      <c r="K245" s="174" t="s">
        <v>457</v>
      </c>
      <c r="L245" s="174" t="s">
        <v>458</v>
      </c>
      <c r="M245" s="174" t="s">
        <v>281</v>
      </c>
      <c r="N245" s="177">
        <v>-30888225</v>
      </c>
      <c r="O245" s="174" t="s">
        <v>470</v>
      </c>
      <c r="P245" s="174" t="s">
        <v>447</v>
      </c>
      <c r="Q245" s="174" t="s">
        <v>284</v>
      </c>
      <c r="R245" s="174" t="s">
        <v>283</v>
      </c>
      <c r="S245" s="174" t="s">
        <v>283</v>
      </c>
      <c r="T245" s="175">
        <v>0</v>
      </c>
    </row>
    <row r="246" spans="2:20" x14ac:dyDescent="0.2">
      <c r="B246" s="168" t="s">
        <v>9</v>
      </c>
      <c r="C246" s="168" t="s">
        <v>170</v>
      </c>
      <c r="D246" s="173">
        <v>45688</v>
      </c>
      <c r="E246" s="174" t="s">
        <v>469</v>
      </c>
      <c r="F246" s="174" t="s">
        <v>295</v>
      </c>
      <c r="G246" s="174" t="s">
        <v>296</v>
      </c>
      <c r="H246" s="174" t="s">
        <v>301</v>
      </c>
      <c r="I246" s="174" t="s">
        <v>302</v>
      </c>
      <c r="J246" s="174" t="s">
        <v>465</v>
      </c>
      <c r="K246" s="174" t="s">
        <v>457</v>
      </c>
      <c r="L246" s="174" t="s">
        <v>458</v>
      </c>
      <c r="M246" s="174" t="s">
        <v>281</v>
      </c>
      <c r="N246" s="177">
        <v>-103648325</v>
      </c>
      <c r="O246" s="174" t="s">
        <v>470</v>
      </c>
      <c r="P246" s="174" t="s">
        <v>447</v>
      </c>
      <c r="Q246" s="174" t="s">
        <v>284</v>
      </c>
      <c r="R246" s="174" t="s">
        <v>283</v>
      </c>
      <c r="S246" s="174" t="s">
        <v>283</v>
      </c>
      <c r="T246" s="175">
        <v>0</v>
      </c>
    </row>
    <row r="247" spans="2:20" x14ac:dyDescent="0.2">
      <c r="B247" s="168" t="s">
        <v>3</v>
      </c>
      <c r="C247" s="168" t="s">
        <v>25</v>
      </c>
      <c r="D247" s="173">
        <v>45682</v>
      </c>
      <c r="E247" s="174" t="s">
        <v>490</v>
      </c>
      <c r="F247" s="174" t="s">
        <v>335</v>
      </c>
      <c r="G247" s="174" t="s">
        <v>336</v>
      </c>
      <c r="H247" s="174" t="s">
        <v>356</v>
      </c>
      <c r="I247" s="174" t="s">
        <v>357</v>
      </c>
      <c r="J247" s="174" t="s">
        <v>491</v>
      </c>
      <c r="K247" s="174" t="s">
        <v>338</v>
      </c>
      <c r="L247" s="174" t="s">
        <v>458</v>
      </c>
      <c r="M247" s="174" t="s">
        <v>281</v>
      </c>
      <c r="N247" s="177">
        <v>14000000</v>
      </c>
      <c r="O247" s="174" t="s">
        <v>492</v>
      </c>
      <c r="P247" s="174" t="s">
        <v>283</v>
      </c>
      <c r="Q247" s="174" t="s">
        <v>306</v>
      </c>
      <c r="R247" s="174" t="s">
        <v>283</v>
      </c>
      <c r="S247" s="174" t="s">
        <v>283</v>
      </c>
      <c r="T247" s="175">
        <v>0</v>
      </c>
    </row>
    <row r="248" spans="2:20" x14ac:dyDescent="0.2">
      <c r="B248" s="168" t="s">
        <v>3</v>
      </c>
      <c r="C248" s="168" t="s">
        <v>25</v>
      </c>
      <c r="D248" s="173">
        <v>45688</v>
      </c>
      <c r="E248" s="174" t="s">
        <v>455</v>
      </c>
      <c r="F248" s="174" t="s">
        <v>340</v>
      </c>
      <c r="G248" s="174" t="s">
        <v>341</v>
      </c>
      <c r="H248" s="174" t="s">
        <v>356</v>
      </c>
      <c r="I248" s="174" t="s">
        <v>357</v>
      </c>
      <c r="J248" s="174" t="s">
        <v>456</v>
      </c>
      <c r="K248" s="174" t="s">
        <v>457</v>
      </c>
      <c r="L248" s="174" t="s">
        <v>458</v>
      </c>
      <c r="M248" s="174" t="s">
        <v>281</v>
      </c>
      <c r="N248" s="177">
        <v>415385</v>
      </c>
      <c r="O248" s="174" t="s">
        <v>459</v>
      </c>
      <c r="P248" s="174" t="s">
        <v>283</v>
      </c>
      <c r="Q248" s="174" t="s">
        <v>284</v>
      </c>
      <c r="R248" s="174" t="s">
        <v>283</v>
      </c>
      <c r="S248" s="174" t="s">
        <v>283</v>
      </c>
      <c r="T248" s="175">
        <v>0</v>
      </c>
    </row>
    <row r="249" spans="2:20" x14ac:dyDescent="0.2">
      <c r="B249" s="168" t="s">
        <v>3</v>
      </c>
      <c r="C249" s="168" t="s">
        <v>22</v>
      </c>
      <c r="D249" s="173">
        <v>45688</v>
      </c>
      <c r="E249" s="174" t="s">
        <v>455</v>
      </c>
      <c r="F249" s="174" t="s">
        <v>274</v>
      </c>
      <c r="G249" s="174" t="s">
        <v>275</v>
      </c>
      <c r="H249" s="174" t="s">
        <v>356</v>
      </c>
      <c r="I249" s="174" t="s">
        <v>357</v>
      </c>
      <c r="J249" s="174" t="s">
        <v>456</v>
      </c>
      <c r="K249" s="174" t="s">
        <v>457</v>
      </c>
      <c r="L249" s="174" t="s">
        <v>458</v>
      </c>
      <c r="M249" s="174" t="s">
        <v>281</v>
      </c>
      <c r="N249" s="177">
        <v>405114551</v>
      </c>
      <c r="O249" s="174" t="s">
        <v>459</v>
      </c>
      <c r="P249" s="174" t="s">
        <v>283</v>
      </c>
      <c r="Q249" s="174" t="s">
        <v>284</v>
      </c>
      <c r="R249" s="174" t="s">
        <v>283</v>
      </c>
      <c r="S249" s="174" t="s">
        <v>283</v>
      </c>
      <c r="T249" s="175">
        <v>0</v>
      </c>
    </row>
    <row r="250" spans="2:20" x14ac:dyDescent="0.2">
      <c r="B250" s="168" t="s">
        <v>3</v>
      </c>
      <c r="C250" s="168" t="s">
        <v>22</v>
      </c>
      <c r="D250" s="173">
        <v>45688</v>
      </c>
      <c r="E250" s="174" t="s">
        <v>455</v>
      </c>
      <c r="F250" s="174" t="s">
        <v>285</v>
      </c>
      <c r="G250" s="174" t="s">
        <v>286</v>
      </c>
      <c r="H250" s="174" t="s">
        <v>356</v>
      </c>
      <c r="I250" s="174" t="s">
        <v>357</v>
      </c>
      <c r="J250" s="174" t="s">
        <v>456</v>
      </c>
      <c r="K250" s="174" t="s">
        <v>457</v>
      </c>
      <c r="L250" s="174" t="s">
        <v>458</v>
      </c>
      <c r="M250" s="174" t="s">
        <v>281</v>
      </c>
      <c r="N250" s="177">
        <v>31571083</v>
      </c>
      <c r="O250" s="174" t="s">
        <v>459</v>
      </c>
      <c r="P250" s="174" t="s">
        <v>283</v>
      </c>
      <c r="Q250" s="174" t="s">
        <v>284</v>
      </c>
      <c r="R250" s="174" t="s">
        <v>283</v>
      </c>
      <c r="S250" s="174" t="s">
        <v>283</v>
      </c>
      <c r="T250" s="175">
        <v>0</v>
      </c>
    </row>
    <row r="251" spans="2:20" x14ac:dyDescent="0.2">
      <c r="B251" s="168" t="s">
        <v>3</v>
      </c>
      <c r="C251" s="168" t="s">
        <v>23</v>
      </c>
      <c r="D251" s="173">
        <v>45688</v>
      </c>
      <c r="E251" s="174" t="s">
        <v>455</v>
      </c>
      <c r="F251" s="174" t="s">
        <v>342</v>
      </c>
      <c r="G251" s="174" t="s">
        <v>343</v>
      </c>
      <c r="H251" s="174" t="s">
        <v>356</v>
      </c>
      <c r="I251" s="174" t="s">
        <v>357</v>
      </c>
      <c r="J251" s="174" t="s">
        <v>456</v>
      </c>
      <c r="K251" s="174" t="s">
        <v>457</v>
      </c>
      <c r="L251" s="174" t="s">
        <v>458</v>
      </c>
      <c r="M251" s="174" t="s">
        <v>281</v>
      </c>
      <c r="N251" s="177">
        <v>46152955</v>
      </c>
      <c r="O251" s="174" t="s">
        <v>459</v>
      </c>
      <c r="P251" s="174" t="s">
        <v>283</v>
      </c>
      <c r="Q251" s="174" t="s">
        <v>284</v>
      </c>
      <c r="R251" s="174" t="s">
        <v>283</v>
      </c>
      <c r="S251" s="174" t="s">
        <v>283</v>
      </c>
      <c r="T251" s="175">
        <v>0</v>
      </c>
    </row>
    <row r="252" spans="2:20" x14ac:dyDescent="0.2">
      <c r="B252" s="168" t="s">
        <v>3</v>
      </c>
      <c r="C252" s="168" t="s">
        <v>24</v>
      </c>
      <c r="D252" s="173">
        <v>45688</v>
      </c>
      <c r="E252" s="174" t="s">
        <v>455</v>
      </c>
      <c r="F252" s="174" t="s">
        <v>290</v>
      </c>
      <c r="G252" s="174" t="s">
        <v>291</v>
      </c>
      <c r="H252" s="174" t="s">
        <v>356</v>
      </c>
      <c r="I252" s="174" t="s">
        <v>357</v>
      </c>
      <c r="J252" s="174" t="s">
        <v>456</v>
      </c>
      <c r="K252" s="174" t="s">
        <v>457</v>
      </c>
      <c r="L252" s="174" t="s">
        <v>458</v>
      </c>
      <c r="M252" s="174" t="s">
        <v>281</v>
      </c>
      <c r="N252" s="177">
        <v>4600000</v>
      </c>
      <c r="O252" s="174" t="s">
        <v>459</v>
      </c>
      <c r="P252" s="174" t="s">
        <v>283</v>
      </c>
      <c r="Q252" s="174" t="s">
        <v>284</v>
      </c>
      <c r="R252" s="174" t="s">
        <v>283</v>
      </c>
      <c r="S252" s="174" t="s">
        <v>283</v>
      </c>
      <c r="T252" s="175">
        <v>0</v>
      </c>
    </row>
    <row r="253" spans="2:20" x14ac:dyDescent="0.2">
      <c r="B253" s="168" t="s">
        <v>3</v>
      </c>
      <c r="C253" s="168" t="s">
        <v>25</v>
      </c>
      <c r="D253" s="173">
        <v>45688</v>
      </c>
      <c r="E253" s="174" t="s">
        <v>455</v>
      </c>
      <c r="F253" s="174" t="s">
        <v>335</v>
      </c>
      <c r="G253" s="174" t="s">
        <v>336</v>
      </c>
      <c r="H253" s="174" t="s">
        <v>356</v>
      </c>
      <c r="I253" s="174" t="s">
        <v>357</v>
      </c>
      <c r="J253" s="174" t="s">
        <v>456</v>
      </c>
      <c r="K253" s="174" t="s">
        <v>457</v>
      </c>
      <c r="L253" s="174" t="s">
        <v>458</v>
      </c>
      <c r="M253" s="174" t="s">
        <v>281</v>
      </c>
      <c r="N253" s="177">
        <v>1960000</v>
      </c>
      <c r="O253" s="174" t="s">
        <v>459</v>
      </c>
      <c r="P253" s="174" t="s">
        <v>283</v>
      </c>
      <c r="Q253" s="174" t="s">
        <v>284</v>
      </c>
      <c r="R253" s="174" t="s">
        <v>283</v>
      </c>
      <c r="S253" s="174" t="s">
        <v>283</v>
      </c>
      <c r="T253" s="175">
        <v>0</v>
      </c>
    </row>
    <row r="254" spans="2:20" x14ac:dyDescent="0.2">
      <c r="B254" s="168" t="s">
        <v>3</v>
      </c>
      <c r="C254" s="168" t="s">
        <v>22</v>
      </c>
      <c r="D254" s="173">
        <v>45688</v>
      </c>
      <c r="E254" s="174" t="s">
        <v>460</v>
      </c>
      <c r="F254" s="174" t="s">
        <v>285</v>
      </c>
      <c r="G254" s="174" t="s">
        <v>286</v>
      </c>
      <c r="H254" s="174" t="s">
        <v>356</v>
      </c>
      <c r="I254" s="174" t="s">
        <v>357</v>
      </c>
      <c r="J254" s="174" t="s">
        <v>461</v>
      </c>
      <c r="K254" s="174" t="s">
        <v>457</v>
      </c>
      <c r="L254" s="174" t="s">
        <v>458</v>
      </c>
      <c r="M254" s="174" t="s">
        <v>281</v>
      </c>
      <c r="N254" s="177">
        <v>37189763</v>
      </c>
      <c r="O254" s="174" t="s">
        <v>462</v>
      </c>
      <c r="P254" s="174" t="s">
        <v>283</v>
      </c>
      <c r="Q254" s="174" t="s">
        <v>284</v>
      </c>
      <c r="R254" s="174" t="s">
        <v>283</v>
      </c>
      <c r="S254" s="174" t="s">
        <v>283</v>
      </c>
      <c r="T254" s="175">
        <v>0</v>
      </c>
    </row>
    <row r="255" spans="2:20" x14ac:dyDescent="0.2">
      <c r="B255" s="168" t="s">
        <v>3</v>
      </c>
      <c r="C255" s="168" t="s">
        <v>24</v>
      </c>
      <c r="D255" s="173">
        <v>45688</v>
      </c>
      <c r="E255" s="174" t="s">
        <v>460</v>
      </c>
      <c r="F255" s="174" t="s">
        <v>292</v>
      </c>
      <c r="G255" s="174" t="s">
        <v>77</v>
      </c>
      <c r="H255" s="174" t="s">
        <v>356</v>
      </c>
      <c r="I255" s="174" t="s">
        <v>357</v>
      </c>
      <c r="J255" s="174" t="s">
        <v>463</v>
      </c>
      <c r="K255" s="174" t="s">
        <v>457</v>
      </c>
      <c r="L255" s="174" t="s">
        <v>458</v>
      </c>
      <c r="M255" s="174" t="s">
        <v>281</v>
      </c>
      <c r="N255" s="177">
        <v>33617504</v>
      </c>
      <c r="O255" s="174" t="s">
        <v>462</v>
      </c>
      <c r="P255" s="174" t="s">
        <v>283</v>
      </c>
      <c r="Q255" s="174" t="s">
        <v>284</v>
      </c>
      <c r="R255" s="174" t="s">
        <v>283</v>
      </c>
      <c r="S255" s="174" t="s">
        <v>283</v>
      </c>
      <c r="T255" s="175">
        <v>0</v>
      </c>
    </row>
    <row r="256" spans="2:20" x14ac:dyDescent="0.2">
      <c r="B256" s="168" t="s">
        <v>3</v>
      </c>
      <c r="C256" s="168" t="s">
        <v>170</v>
      </c>
      <c r="D256" s="173">
        <v>45688</v>
      </c>
      <c r="E256" s="174" t="s">
        <v>464</v>
      </c>
      <c r="F256" s="174" t="s">
        <v>295</v>
      </c>
      <c r="G256" s="174" t="s">
        <v>296</v>
      </c>
      <c r="H256" s="174" t="s">
        <v>356</v>
      </c>
      <c r="I256" s="174" t="s">
        <v>357</v>
      </c>
      <c r="J256" s="174" t="s">
        <v>465</v>
      </c>
      <c r="K256" s="174" t="s">
        <v>457</v>
      </c>
      <c r="L256" s="174" t="s">
        <v>458</v>
      </c>
      <c r="M256" s="174" t="s">
        <v>281</v>
      </c>
      <c r="N256" s="177">
        <v>86246195</v>
      </c>
      <c r="O256" s="174" t="s">
        <v>466</v>
      </c>
      <c r="P256" s="174" t="s">
        <v>283</v>
      </c>
      <c r="Q256" s="174" t="s">
        <v>284</v>
      </c>
      <c r="R256" s="174" t="s">
        <v>283</v>
      </c>
      <c r="S256" s="174" t="s">
        <v>283</v>
      </c>
      <c r="T256" s="175">
        <v>0</v>
      </c>
    </row>
    <row r="257" spans="2:20" x14ac:dyDescent="0.2">
      <c r="B257" s="168" t="s">
        <v>3</v>
      </c>
      <c r="C257" s="168" t="s">
        <v>170</v>
      </c>
      <c r="D257" s="173">
        <v>45688</v>
      </c>
      <c r="E257" s="174" t="s">
        <v>467</v>
      </c>
      <c r="F257" s="174" t="s">
        <v>295</v>
      </c>
      <c r="G257" s="174" t="s">
        <v>296</v>
      </c>
      <c r="H257" s="174" t="s">
        <v>356</v>
      </c>
      <c r="I257" s="174" t="s">
        <v>357</v>
      </c>
      <c r="J257" s="174" t="s">
        <v>465</v>
      </c>
      <c r="K257" s="174" t="s">
        <v>457</v>
      </c>
      <c r="L257" s="174" t="s">
        <v>458</v>
      </c>
      <c r="M257" s="174" t="s">
        <v>281</v>
      </c>
      <c r="N257" s="177">
        <v>86246195</v>
      </c>
      <c r="O257" s="174" t="s">
        <v>468</v>
      </c>
      <c r="P257" s="174" t="s">
        <v>283</v>
      </c>
      <c r="Q257" s="174" t="s">
        <v>284</v>
      </c>
      <c r="R257" s="174" t="s">
        <v>283</v>
      </c>
      <c r="S257" s="174" t="s">
        <v>283</v>
      </c>
      <c r="T257" s="175">
        <v>0</v>
      </c>
    </row>
    <row r="258" spans="2:20" x14ac:dyDescent="0.2">
      <c r="B258" s="168" t="s">
        <v>3</v>
      </c>
      <c r="C258" s="168" t="s">
        <v>170</v>
      </c>
      <c r="D258" s="173">
        <v>45688</v>
      </c>
      <c r="E258" s="174" t="s">
        <v>469</v>
      </c>
      <c r="F258" s="174" t="s">
        <v>295</v>
      </c>
      <c r="G258" s="174" t="s">
        <v>296</v>
      </c>
      <c r="H258" s="174" t="s">
        <v>356</v>
      </c>
      <c r="I258" s="174" t="s">
        <v>357</v>
      </c>
      <c r="J258" s="174" t="s">
        <v>465</v>
      </c>
      <c r="K258" s="174" t="s">
        <v>457</v>
      </c>
      <c r="L258" s="174" t="s">
        <v>458</v>
      </c>
      <c r="M258" s="174" t="s">
        <v>281</v>
      </c>
      <c r="N258" s="177">
        <v>-86246195</v>
      </c>
      <c r="O258" s="174" t="s">
        <v>470</v>
      </c>
      <c r="P258" s="174" t="s">
        <v>447</v>
      </c>
      <c r="Q258" s="174" t="s">
        <v>284</v>
      </c>
      <c r="R258" s="174" t="s">
        <v>283</v>
      </c>
      <c r="S258" s="174" t="s">
        <v>283</v>
      </c>
      <c r="T258" s="175">
        <v>0</v>
      </c>
    </row>
    <row r="259" spans="2:20" x14ac:dyDescent="0.2">
      <c r="B259" s="168" t="s">
        <v>2</v>
      </c>
      <c r="C259" s="168" t="s">
        <v>22</v>
      </c>
      <c r="D259" s="173">
        <v>45660</v>
      </c>
      <c r="E259" s="174" t="s">
        <v>496</v>
      </c>
      <c r="F259" s="174" t="s">
        <v>274</v>
      </c>
      <c r="G259" s="174" t="s">
        <v>275</v>
      </c>
      <c r="H259" s="174" t="s">
        <v>378</v>
      </c>
      <c r="I259" s="174" t="s">
        <v>379</v>
      </c>
      <c r="J259" s="174" t="s">
        <v>497</v>
      </c>
      <c r="K259" s="174" t="s">
        <v>498</v>
      </c>
      <c r="L259" s="174" t="s">
        <v>458</v>
      </c>
      <c r="M259" s="174" t="s">
        <v>281</v>
      </c>
      <c r="N259" s="177">
        <v>70000000</v>
      </c>
      <c r="O259" s="174" t="s">
        <v>499</v>
      </c>
      <c r="P259" s="174" t="s">
        <v>283</v>
      </c>
      <c r="Q259" s="174" t="s">
        <v>306</v>
      </c>
      <c r="R259" s="174" t="s">
        <v>283</v>
      </c>
      <c r="S259" s="174" t="s">
        <v>283</v>
      </c>
      <c r="T259" s="175">
        <v>0</v>
      </c>
    </row>
    <row r="260" spans="2:20" x14ac:dyDescent="0.2">
      <c r="B260" s="168" t="s">
        <v>1</v>
      </c>
      <c r="C260" s="168" t="s">
        <v>24</v>
      </c>
      <c r="D260" s="173">
        <v>45680</v>
      </c>
      <c r="E260" s="174" t="s">
        <v>500</v>
      </c>
      <c r="F260" s="174" t="s">
        <v>365</v>
      </c>
      <c r="G260" s="174" t="s">
        <v>291</v>
      </c>
      <c r="H260" s="174" t="s">
        <v>366</v>
      </c>
      <c r="I260" s="174" t="s">
        <v>1</v>
      </c>
      <c r="J260" s="174" t="s">
        <v>501</v>
      </c>
      <c r="K260" s="174" t="s">
        <v>368</v>
      </c>
      <c r="L260" s="174" t="s">
        <v>458</v>
      </c>
      <c r="M260" s="174" t="s">
        <v>281</v>
      </c>
      <c r="N260" s="177">
        <v>10000000</v>
      </c>
      <c r="O260" s="174" t="s">
        <v>502</v>
      </c>
      <c r="P260" s="174" t="s">
        <v>283</v>
      </c>
      <c r="Q260" s="174" t="s">
        <v>370</v>
      </c>
      <c r="R260" s="174" t="s">
        <v>283</v>
      </c>
      <c r="S260" s="174" t="s">
        <v>283</v>
      </c>
      <c r="T260" s="175">
        <v>0</v>
      </c>
    </row>
    <row r="261" spans="2:20" x14ac:dyDescent="0.2">
      <c r="B261" s="168" t="s">
        <v>7</v>
      </c>
      <c r="C261" s="168" t="s">
        <v>222</v>
      </c>
      <c r="D261" s="173">
        <v>45680</v>
      </c>
      <c r="E261" s="174" t="s">
        <v>503</v>
      </c>
      <c r="F261" s="174" t="s">
        <v>504</v>
      </c>
      <c r="G261" s="174" t="s">
        <v>505</v>
      </c>
      <c r="H261" s="174" t="s">
        <v>376</v>
      </c>
      <c r="I261" s="174" t="s">
        <v>377</v>
      </c>
      <c r="J261" s="174" t="s">
        <v>506</v>
      </c>
      <c r="K261" s="174" t="s">
        <v>507</v>
      </c>
      <c r="L261" s="174" t="s">
        <v>458</v>
      </c>
      <c r="M261" s="174" t="s">
        <v>281</v>
      </c>
      <c r="N261" s="177">
        <v>4500000</v>
      </c>
      <c r="O261" s="174" t="s">
        <v>508</v>
      </c>
      <c r="P261" s="174" t="s">
        <v>283</v>
      </c>
      <c r="Q261" s="174" t="s">
        <v>509</v>
      </c>
      <c r="R261" s="174" t="s">
        <v>283</v>
      </c>
      <c r="S261" s="174" t="s">
        <v>283</v>
      </c>
      <c r="T261" s="175">
        <v>0</v>
      </c>
    </row>
    <row r="262" spans="2:20" x14ac:dyDescent="0.2">
      <c r="B262" s="168" t="s">
        <v>7</v>
      </c>
      <c r="C262" s="168" t="s">
        <v>25</v>
      </c>
      <c r="D262" s="173">
        <v>45682</v>
      </c>
      <c r="E262" s="174" t="s">
        <v>490</v>
      </c>
      <c r="F262" s="174" t="s">
        <v>375</v>
      </c>
      <c r="G262" s="174" t="s">
        <v>336</v>
      </c>
      <c r="H262" s="174" t="s">
        <v>376</v>
      </c>
      <c r="I262" s="174" t="s">
        <v>377</v>
      </c>
      <c r="J262" s="174" t="s">
        <v>491</v>
      </c>
      <c r="K262" s="174" t="s">
        <v>338</v>
      </c>
      <c r="L262" s="174" t="s">
        <v>458</v>
      </c>
      <c r="M262" s="174" t="s">
        <v>281</v>
      </c>
      <c r="N262" s="177">
        <v>41650000</v>
      </c>
      <c r="O262" s="174" t="s">
        <v>492</v>
      </c>
      <c r="P262" s="174" t="s">
        <v>283</v>
      </c>
      <c r="Q262" s="174" t="s">
        <v>306</v>
      </c>
      <c r="R262" s="174" t="s">
        <v>283</v>
      </c>
      <c r="S262" s="174" t="s">
        <v>283</v>
      </c>
      <c r="T262" s="175">
        <v>0</v>
      </c>
    </row>
    <row r="263" spans="2:20" x14ac:dyDescent="0.2">
      <c r="B263" s="168" t="s">
        <v>2</v>
      </c>
      <c r="C263" s="168" t="s">
        <v>25</v>
      </c>
      <c r="D263" s="173">
        <v>45682</v>
      </c>
      <c r="E263" s="174" t="s">
        <v>490</v>
      </c>
      <c r="F263" s="174" t="s">
        <v>335</v>
      </c>
      <c r="G263" s="174" t="s">
        <v>336</v>
      </c>
      <c r="H263" s="174" t="s">
        <v>378</v>
      </c>
      <c r="I263" s="174" t="s">
        <v>379</v>
      </c>
      <c r="J263" s="174" t="s">
        <v>491</v>
      </c>
      <c r="K263" s="174" t="s">
        <v>338</v>
      </c>
      <c r="L263" s="174" t="s">
        <v>458</v>
      </c>
      <c r="M263" s="174" t="s">
        <v>281</v>
      </c>
      <c r="N263" s="177">
        <v>3750000</v>
      </c>
      <c r="O263" s="174" t="s">
        <v>492</v>
      </c>
      <c r="P263" s="174" t="s">
        <v>283</v>
      </c>
      <c r="Q263" s="174" t="s">
        <v>306</v>
      </c>
      <c r="R263" s="174" t="s">
        <v>283</v>
      </c>
      <c r="S263" s="174" t="s">
        <v>283</v>
      </c>
      <c r="T263" s="175">
        <v>0</v>
      </c>
    </row>
    <row r="264" spans="2:20" x14ac:dyDescent="0.2">
      <c r="B264" s="168" t="s">
        <v>10</v>
      </c>
      <c r="C264" s="168" t="s">
        <v>25</v>
      </c>
      <c r="D264" s="173">
        <v>45682</v>
      </c>
      <c r="E264" s="174" t="s">
        <v>490</v>
      </c>
      <c r="F264" s="174" t="s">
        <v>335</v>
      </c>
      <c r="G264" s="174" t="s">
        <v>336</v>
      </c>
      <c r="H264" s="174" t="s">
        <v>380</v>
      </c>
      <c r="I264" s="174" t="s">
        <v>381</v>
      </c>
      <c r="J264" s="174" t="s">
        <v>491</v>
      </c>
      <c r="K264" s="174" t="s">
        <v>338</v>
      </c>
      <c r="L264" s="174" t="s">
        <v>458</v>
      </c>
      <c r="M264" s="174" t="s">
        <v>281</v>
      </c>
      <c r="N264" s="177">
        <v>5125000</v>
      </c>
      <c r="O264" s="174" t="s">
        <v>492</v>
      </c>
      <c r="P264" s="174" t="s">
        <v>283</v>
      </c>
      <c r="Q264" s="174" t="s">
        <v>306</v>
      </c>
      <c r="R264" s="174" t="s">
        <v>283</v>
      </c>
      <c r="S264" s="174" t="s">
        <v>283</v>
      </c>
      <c r="T264" s="175">
        <v>0</v>
      </c>
    </row>
    <row r="265" spans="2:20" x14ac:dyDescent="0.2">
      <c r="B265" s="168" t="s">
        <v>1</v>
      </c>
      <c r="C265" s="168" t="s">
        <v>22</v>
      </c>
      <c r="D265" s="173">
        <v>45688</v>
      </c>
      <c r="E265" s="174" t="s">
        <v>455</v>
      </c>
      <c r="F265" s="174" t="s">
        <v>383</v>
      </c>
      <c r="G265" s="174" t="s">
        <v>275</v>
      </c>
      <c r="H265" s="174" t="s">
        <v>366</v>
      </c>
      <c r="I265" s="174" t="s">
        <v>1</v>
      </c>
      <c r="J265" s="174" t="s">
        <v>456</v>
      </c>
      <c r="K265" s="174" t="s">
        <v>457</v>
      </c>
      <c r="L265" s="174" t="s">
        <v>458</v>
      </c>
      <c r="M265" s="174" t="s">
        <v>281</v>
      </c>
      <c r="N265" s="177">
        <v>225301946</v>
      </c>
      <c r="O265" s="174" t="s">
        <v>459</v>
      </c>
      <c r="P265" s="174" t="s">
        <v>283</v>
      </c>
      <c r="Q265" s="174" t="s">
        <v>284</v>
      </c>
      <c r="R265" s="174" t="s">
        <v>283</v>
      </c>
      <c r="S265" s="174" t="s">
        <v>283</v>
      </c>
      <c r="T265" s="175">
        <v>0</v>
      </c>
    </row>
    <row r="266" spans="2:20" x14ac:dyDescent="0.2">
      <c r="B266" s="168" t="s">
        <v>1</v>
      </c>
      <c r="C266" s="168" t="s">
        <v>22</v>
      </c>
      <c r="D266" s="173">
        <v>45688</v>
      </c>
      <c r="E266" s="174" t="s">
        <v>455</v>
      </c>
      <c r="F266" s="174" t="s">
        <v>384</v>
      </c>
      <c r="G266" s="174" t="s">
        <v>286</v>
      </c>
      <c r="H266" s="174" t="s">
        <v>366</v>
      </c>
      <c r="I266" s="174" t="s">
        <v>1</v>
      </c>
      <c r="J266" s="174" t="s">
        <v>456</v>
      </c>
      <c r="K266" s="174" t="s">
        <v>457</v>
      </c>
      <c r="L266" s="174" t="s">
        <v>458</v>
      </c>
      <c r="M266" s="174" t="s">
        <v>281</v>
      </c>
      <c r="N266" s="177">
        <v>16683846</v>
      </c>
      <c r="O266" s="174" t="s">
        <v>459</v>
      </c>
      <c r="P266" s="174" t="s">
        <v>283</v>
      </c>
      <c r="Q266" s="174" t="s">
        <v>284</v>
      </c>
      <c r="R266" s="174" t="s">
        <v>283</v>
      </c>
      <c r="S266" s="174" t="s">
        <v>283</v>
      </c>
      <c r="T266" s="175">
        <v>0</v>
      </c>
    </row>
    <row r="267" spans="2:20" x14ac:dyDescent="0.2">
      <c r="B267" s="168" t="s">
        <v>1</v>
      </c>
      <c r="C267" s="168" t="s">
        <v>24</v>
      </c>
      <c r="D267" s="173">
        <v>45688</v>
      </c>
      <c r="E267" s="174" t="s">
        <v>455</v>
      </c>
      <c r="F267" s="174" t="s">
        <v>365</v>
      </c>
      <c r="G267" s="174" t="s">
        <v>291</v>
      </c>
      <c r="H267" s="174" t="s">
        <v>366</v>
      </c>
      <c r="I267" s="174" t="s">
        <v>1</v>
      </c>
      <c r="J267" s="174" t="s">
        <v>456</v>
      </c>
      <c r="K267" s="174" t="s">
        <v>457</v>
      </c>
      <c r="L267" s="174" t="s">
        <v>458</v>
      </c>
      <c r="M267" s="174" t="s">
        <v>281</v>
      </c>
      <c r="N267" s="177">
        <v>33785949</v>
      </c>
      <c r="O267" s="174" t="s">
        <v>459</v>
      </c>
      <c r="P267" s="174" t="s">
        <v>283</v>
      </c>
      <c r="Q267" s="174" t="s">
        <v>284</v>
      </c>
      <c r="R267" s="174" t="s">
        <v>283</v>
      </c>
      <c r="S267" s="174" t="s">
        <v>283</v>
      </c>
      <c r="T267" s="175">
        <v>0</v>
      </c>
    </row>
    <row r="268" spans="2:20" x14ac:dyDescent="0.2">
      <c r="B268" s="168" t="s">
        <v>10</v>
      </c>
      <c r="C268" s="168" t="s">
        <v>22</v>
      </c>
      <c r="D268" s="173">
        <v>45688</v>
      </c>
      <c r="E268" s="174" t="s">
        <v>455</v>
      </c>
      <c r="F268" s="174" t="s">
        <v>274</v>
      </c>
      <c r="G268" s="174" t="s">
        <v>275</v>
      </c>
      <c r="H268" s="174" t="s">
        <v>380</v>
      </c>
      <c r="I268" s="174" t="s">
        <v>381</v>
      </c>
      <c r="J268" s="174" t="s">
        <v>456</v>
      </c>
      <c r="K268" s="174" t="s">
        <v>457</v>
      </c>
      <c r="L268" s="174" t="s">
        <v>458</v>
      </c>
      <c r="M268" s="174" t="s">
        <v>281</v>
      </c>
      <c r="N268" s="177">
        <v>474164065</v>
      </c>
      <c r="O268" s="174" t="s">
        <v>459</v>
      </c>
      <c r="P268" s="174" t="s">
        <v>283</v>
      </c>
      <c r="Q268" s="174" t="s">
        <v>284</v>
      </c>
      <c r="R268" s="174" t="s">
        <v>283</v>
      </c>
      <c r="S268" s="174" t="s">
        <v>283</v>
      </c>
      <c r="T268" s="175">
        <v>0</v>
      </c>
    </row>
    <row r="269" spans="2:20" x14ac:dyDescent="0.2">
      <c r="B269" s="168" t="s">
        <v>10</v>
      </c>
      <c r="C269" s="168" t="s">
        <v>22</v>
      </c>
      <c r="D269" s="173">
        <v>45688</v>
      </c>
      <c r="E269" s="174" t="s">
        <v>455</v>
      </c>
      <c r="F269" s="174" t="s">
        <v>285</v>
      </c>
      <c r="G269" s="174" t="s">
        <v>286</v>
      </c>
      <c r="H269" s="174" t="s">
        <v>380</v>
      </c>
      <c r="I269" s="174" t="s">
        <v>381</v>
      </c>
      <c r="J269" s="174" t="s">
        <v>456</v>
      </c>
      <c r="K269" s="174" t="s">
        <v>457</v>
      </c>
      <c r="L269" s="174" t="s">
        <v>458</v>
      </c>
      <c r="M269" s="174" t="s">
        <v>281</v>
      </c>
      <c r="N269" s="177">
        <v>31871387</v>
      </c>
      <c r="O269" s="174" t="s">
        <v>459</v>
      </c>
      <c r="P269" s="174" t="s">
        <v>283</v>
      </c>
      <c r="Q269" s="174" t="s">
        <v>284</v>
      </c>
      <c r="R269" s="174" t="s">
        <v>283</v>
      </c>
      <c r="S269" s="174" t="s">
        <v>283</v>
      </c>
      <c r="T269" s="175">
        <v>0</v>
      </c>
    </row>
    <row r="270" spans="2:20" x14ac:dyDescent="0.2">
      <c r="B270" s="168" t="s">
        <v>10</v>
      </c>
      <c r="C270" s="168" t="s">
        <v>24</v>
      </c>
      <c r="D270" s="173">
        <v>45688</v>
      </c>
      <c r="E270" s="174" t="s">
        <v>455</v>
      </c>
      <c r="F270" s="174" t="s">
        <v>290</v>
      </c>
      <c r="G270" s="174" t="s">
        <v>291</v>
      </c>
      <c r="H270" s="174" t="s">
        <v>380</v>
      </c>
      <c r="I270" s="174" t="s">
        <v>381</v>
      </c>
      <c r="J270" s="174" t="s">
        <v>456</v>
      </c>
      <c r="K270" s="174" t="s">
        <v>457</v>
      </c>
      <c r="L270" s="174" t="s">
        <v>458</v>
      </c>
      <c r="M270" s="174" t="s">
        <v>281</v>
      </c>
      <c r="N270" s="177">
        <v>165688371</v>
      </c>
      <c r="O270" s="174" t="s">
        <v>459</v>
      </c>
      <c r="P270" s="174" t="s">
        <v>283</v>
      </c>
      <c r="Q270" s="174" t="s">
        <v>284</v>
      </c>
      <c r="R270" s="174" t="s">
        <v>283</v>
      </c>
      <c r="S270" s="174" t="s">
        <v>283</v>
      </c>
      <c r="T270" s="175">
        <v>0</v>
      </c>
    </row>
    <row r="271" spans="2:20" x14ac:dyDescent="0.2">
      <c r="B271" s="168" t="s">
        <v>10</v>
      </c>
      <c r="C271" s="168" t="s">
        <v>25</v>
      </c>
      <c r="D271" s="173">
        <v>45688</v>
      </c>
      <c r="E271" s="174" t="s">
        <v>455</v>
      </c>
      <c r="F271" s="174" t="s">
        <v>335</v>
      </c>
      <c r="G271" s="174" t="s">
        <v>336</v>
      </c>
      <c r="H271" s="174" t="s">
        <v>380</v>
      </c>
      <c r="I271" s="174" t="s">
        <v>381</v>
      </c>
      <c r="J271" s="174" t="s">
        <v>456</v>
      </c>
      <c r="K271" s="174" t="s">
        <v>457</v>
      </c>
      <c r="L271" s="174" t="s">
        <v>458</v>
      </c>
      <c r="M271" s="174" t="s">
        <v>281</v>
      </c>
      <c r="N271" s="177">
        <v>8845000</v>
      </c>
      <c r="O271" s="174" t="s">
        <v>459</v>
      </c>
      <c r="P271" s="174" t="s">
        <v>283</v>
      </c>
      <c r="Q271" s="174" t="s">
        <v>284</v>
      </c>
      <c r="R271" s="174" t="s">
        <v>283</v>
      </c>
      <c r="S271" s="174" t="s">
        <v>283</v>
      </c>
      <c r="T271" s="175">
        <v>0</v>
      </c>
    </row>
    <row r="272" spans="2:20" x14ac:dyDescent="0.2">
      <c r="B272" s="168" t="s">
        <v>2</v>
      </c>
      <c r="C272" s="168" t="s">
        <v>22</v>
      </c>
      <c r="D272" s="173">
        <v>45688</v>
      </c>
      <c r="E272" s="174" t="s">
        <v>455</v>
      </c>
      <c r="F272" s="174" t="s">
        <v>274</v>
      </c>
      <c r="G272" s="174" t="s">
        <v>275</v>
      </c>
      <c r="H272" s="174" t="s">
        <v>378</v>
      </c>
      <c r="I272" s="174" t="s">
        <v>379</v>
      </c>
      <c r="J272" s="174" t="s">
        <v>456</v>
      </c>
      <c r="K272" s="174" t="s">
        <v>457</v>
      </c>
      <c r="L272" s="174" t="s">
        <v>458</v>
      </c>
      <c r="M272" s="174" t="s">
        <v>281</v>
      </c>
      <c r="N272" s="177">
        <v>83593427</v>
      </c>
      <c r="O272" s="174" t="s">
        <v>459</v>
      </c>
      <c r="P272" s="174" t="s">
        <v>283</v>
      </c>
      <c r="Q272" s="174" t="s">
        <v>284</v>
      </c>
      <c r="R272" s="174" t="s">
        <v>283</v>
      </c>
      <c r="S272" s="174" t="s">
        <v>283</v>
      </c>
      <c r="T272" s="175">
        <v>0</v>
      </c>
    </row>
    <row r="273" spans="2:20" x14ac:dyDescent="0.2">
      <c r="B273" s="168" t="s">
        <v>2</v>
      </c>
      <c r="C273" s="168" t="s">
        <v>22</v>
      </c>
      <c r="D273" s="173">
        <v>45688</v>
      </c>
      <c r="E273" s="174" t="s">
        <v>455</v>
      </c>
      <c r="F273" s="174" t="s">
        <v>285</v>
      </c>
      <c r="G273" s="174" t="s">
        <v>286</v>
      </c>
      <c r="H273" s="174" t="s">
        <v>378</v>
      </c>
      <c r="I273" s="174" t="s">
        <v>379</v>
      </c>
      <c r="J273" s="174" t="s">
        <v>456</v>
      </c>
      <c r="K273" s="174" t="s">
        <v>457</v>
      </c>
      <c r="L273" s="174" t="s">
        <v>458</v>
      </c>
      <c r="M273" s="174" t="s">
        <v>281</v>
      </c>
      <c r="N273" s="177">
        <v>2898827</v>
      </c>
      <c r="O273" s="174" t="s">
        <v>459</v>
      </c>
      <c r="P273" s="174" t="s">
        <v>283</v>
      </c>
      <c r="Q273" s="174" t="s">
        <v>284</v>
      </c>
      <c r="R273" s="174" t="s">
        <v>283</v>
      </c>
      <c r="S273" s="174" t="s">
        <v>283</v>
      </c>
      <c r="T273" s="175">
        <v>0</v>
      </c>
    </row>
    <row r="274" spans="2:20" x14ac:dyDescent="0.2">
      <c r="B274" s="168" t="s">
        <v>2</v>
      </c>
      <c r="C274" s="168" t="s">
        <v>24</v>
      </c>
      <c r="D274" s="173">
        <v>45688</v>
      </c>
      <c r="E274" s="174" t="s">
        <v>455</v>
      </c>
      <c r="F274" s="174" t="s">
        <v>290</v>
      </c>
      <c r="G274" s="174" t="s">
        <v>291</v>
      </c>
      <c r="H274" s="174" t="s">
        <v>378</v>
      </c>
      <c r="I274" s="174" t="s">
        <v>379</v>
      </c>
      <c r="J274" s="174" t="s">
        <v>456</v>
      </c>
      <c r="K274" s="174" t="s">
        <v>457</v>
      </c>
      <c r="L274" s="174" t="s">
        <v>458</v>
      </c>
      <c r="M274" s="174" t="s">
        <v>281</v>
      </c>
      <c r="N274" s="177">
        <v>1200000</v>
      </c>
      <c r="O274" s="174" t="s">
        <v>459</v>
      </c>
      <c r="P274" s="174" t="s">
        <v>283</v>
      </c>
      <c r="Q274" s="174" t="s">
        <v>284</v>
      </c>
      <c r="R274" s="174" t="s">
        <v>283</v>
      </c>
      <c r="S274" s="174" t="s">
        <v>283</v>
      </c>
      <c r="T274" s="175">
        <v>0</v>
      </c>
    </row>
    <row r="275" spans="2:20" x14ac:dyDescent="0.2">
      <c r="B275" s="168" t="s">
        <v>2</v>
      </c>
      <c r="C275" s="168" t="s">
        <v>25</v>
      </c>
      <c r="D275" s="173">
        <v>45688</v>
      </c>
      <c r="E275" s="174" t="s">
        <v>455</v>
      </c>
      <c r="F275" s="174" t="s">
        <v>335</v>
      </c>
      <c r="G275" s="174" t="s">
        <v>336</v>
      </c>
      <c r="H275" s="174" t="s">
        <v>378</v>
      </c>
      <c r="I275" s="174" t="s">
        <v>379</v>
      </c>
      <c r="J275" s="174" t="s">
        <v>456</v>
      </c>
      <c r="K275" s="174" t="s">
        <v>457</v>
      </c>
      <c r="L275" s="174" t="s">
        <v>458</v>
      </c>
      <c r="M275" s="174" t="s">
        <v>281</v>
      </c>
      <c r="N275" s="177">
        <v>100000</v>
      </c>
      <c r="O275" s="174" t="s">
        <v>459</v>
      </c>
      <c r="P275" s="174" t="s">
        <v>283</v>
      </c>
      <c r="Q275" s="174" t="s">
        <v>284</v>
      </c>
      <c r="R275" s="174" t="s">
        <v>283</v>
      </c>
      <c r="S275" s="174" t="s">
        <v>283</v>
      </c>
      <c r="T275" s="175">
        <v>0</v>
      </c>
    </row>
    <row r="276" spans="2:20" x14ac:dyDescent="0.2">
      <c r="B276" s="168" t="s">
        <v>7</v>
      </c>
      <c r="C276" s="168" t="s">
        <v>25</v>
      </c>
      <c r="D276" s="173">
        <v>45688</v>
      </c>
      <c r="E276" s="174" t="s">
        <v>455</v>
      </c>
      <c r="F276" s="174" t="s">
        <v>386</v>
      </c>
      <c r="G276" s="174" t="s">
        <v>341</v>
      </c>
      <c r="H276" s="174" t="s">
        <v>376</v>
      </c>
      <c r="I276" s="174" t="s">
        <v>377</v>
      </c>
      <c r="J276" s="174" t="s">
        <v>456</v>
      </c>
      <c r="K276" s="174" t="s">
        <v>457</v>
      </c>
      <c r="L276" s="174" t="s">
        <v>458</v>
      </c>
      <c r="M276" s="174" t="s">
        <v>281</v>
      </c>
      <c r="N276" s="177">
        <v>41660134</v>
      </c>
      <c r="O276" s="174" t="s">
        <v>459</v>
      </c>
      <c r="P276" s="174" t="s">
        <v>283</v>
      </c>
      <c r="Q276" s="174" t="s">
        <v>284</v>
      </c>
      <c r="R276" s="174" t="s">
        <v>283</v>
      </c>
      <c r="S276" s="174" t="s">
        <v>283</v>
      </c>
      <c r="T276" s="175">
        <v>0</v>
      </c>
    </row>
    <row r="277" spans="2:20" x14ac:dyDescent="0.2">
      <c r="B277" s="168" t="s">
        <v>7</v>
      </c>
      <c r="C277" s="168" t="s">
        <v>22</v>
      </c>
      <c r="D277" s="173">
        <v>45688</v>
      </c>
      <c r="E277" s="174" t="s">
        <v>455</v>
      </c>
      <c r="F277" s="174" t="s">
        <v>387</v>
      </c>
      <c r="G277" s="174" t="s">
        <v>275</v>
      </c>
      <c r="H277" s="174" t="s">
        <v>376</v>
      </c>
      <c r="I277" s="174" t="s">
        <v>377</v>
      </c>
      <c r="J277" s="174" t="s">
        <v>456</v>
      </c>
      <c r="K277" s="174" t="s">
        <v>457</v>
      </c>
      <c r="L277" s="174" t="s">
        <v>458</v>
      </c>
      <c r="M277" s="174" t="s">
        <v>281</v>
      </c>
      <c r="N277" s="177">
        <v>962669955</v>
      </c>
      <c r="O277" s="174" t="s">
        <v>459</v>
      </c>
      <c r="P277" s="174" t="s">
        <v>283</v>
      </c>
      <c r="Q277" s="174" t="s">
        <v>284</v>
      </c>
      <c r="R277" s="174" t="s">
        <v>283</v>
      </c>
      <c r="S277" s="174" t="s">
        <v>283</v>
      </c>
      <c r="T277" s="175">
        <v>0</v>
      </c>
    </row>
    <row r="278" spans="2:20" x14ac:dyDescent="0.2">
      <c r="B278" s="168" t="s">
        <v>7</v>
      </c>
      <c r="C278" s="168" t="s">
        <v>22</v>
      </c>
      <c r="D278" s="173">
        <v>45688</v>
      </c>
      <c r="E278" s="174" t="s">
        <v>455</v>
      </c>
      <c r="F278" s="174" t="s">
        <v>388</v>
      </c>
      <c r="G278" s="174" t="s">
        <v>286</v>
      </c>
      <c r="H278" s="174" t="s">
        <v>376</v>
      </c>
      <c r="I278" s="174" t="s">
        <v>377</v>
      </c>
      <c r="J278" s="174" t="s">
        <v>456</v>
      </c>
      <c r="K278" s="174" t="s">
        <v>457</v>
      </c>
      <c r="L278" s="174" t="s">
        <v>458</v>
      </c>
      <c r="M278" s="174" t="s">
        <v>281</v>
      </c>
      <c r="N278" s="177">
        <v>71194446</v>
      </c>
      <c r="O278" s="174" t="s">
        <v>459</v>
      </c>
      <c r="P278" s="174" t="s">
        <v>283</v>
      </c>
      <c r="Q278" s="174" t="s">
        <v>284</v>
      </c>
      <c r="R278" s="174" t="s">
        <v>283</v>
      </c>
      <c r="S278" s="174" t="s">
        <v>283</v>
      </c>
      <c r="T278" s="175">
        <v>0</v>
      </c>
    </row>
    <row r="279" spans="2:20" x14ac:dyDescent="0.2">
      <c r="B279" s="168" t="s">
        <v>7</v>
      </c>
      <c r="C279" s="168" t="s">
        <v>23</v>
      </c>
      <c r="D279" s="173">
        <v>45688</v>
      </c>
      <c r="E279" s="174" t="s">
        <v>455</v>
      </c>
      <c r="F279" s="174" t="s">
        <v>389</v>
      </c>
      <c r="G279" s="174" t="s">
        <v>390</v>
      </c>
      <c r="H279" s="174" t="s">
        <v>376</v>
      </c>
      <c r="I279" s="174" t="s">
        <v>377</v>
      </c>
      <c r="J279" s="174" t="s">
        <v>456</v>
      </c>
      <c r="K279" s="174" t="s">
        <v>457</v>
      </c>
      <c r="L279" s="174" t="s">
        <v>458</v>
      </c>
      <c r="M279" s="174" t="s">
        <v>281</v>
      </c>
      <c r="N279" s="177">
        <v>275691629</v>
      </c>
      <c r="O279" s="174" t="s">
        <v>459</v>
      </c>
      <c r="P279" s="174" t="s">
        <v>283</v>
      </c>
      <c r="Q279" s="174" t="s">
        <v>284</v>
      </c>
      <c r="R279" s="174" t="s">
        <v>283</v>
      </c>
      <c r="S279" s="174" t="s">
        <v>283</v>
      </c>
      <c r="T279" s="175">
        <v>0</v>
      </c>
    </row>
    <row r="280" spans="2:20" x14ac:dyDescent="0.2">
      <c r="B280" s="168" t="s">
        <v>7</v>
      </c>
      <c r="C280" s="168" t="s">
        <v>24</v>
      </c>
      <c r="D280" s="173">
        <v>45688</v>
      </c>
      <c r="E280" s="174" t="s">
        <v>455</v>
      </c>
      <c r="F280" s="174" t="s">
        <v>391</v>
      </c>
      <c r="G280" s="174" t="s">
        <v>291</v>
      </c>
      <c r="H280" s="174" t="s">
        <v>376</v>
      </c>
      <c r="I280" s="174" t="s">
        <v>377</v>
      </c>
      <c r="J280" s="174" t="s">
        <v>456</v>
      </c>
      <c r="K280" s="174" t="s">
        <v>457</v>
      </c>
      <c r="L280" s="174" t="s">
        <v>458</v>
      </c>
      <c r="M280" s="174" t="s">
        <v>281</v>
      </c>
      <c r="N280" s="177">
        <v>29100000</v>
      </c>
      <c r="O280" s="174" t="s">
        <v>459</v>
      </c>
      <c r="P280" s="174" t="s">
        <v>283</v>
      </c>
      <c r="Q280" s="174" t="s">
        <v>284</v>
      </c>
      <c r="R280" s="174" t="s">
        <v>283</v>
      </c>
      <c r="S280" s="174" t="s">
        <v>283</v>
      </c>
      <c r="T280" s="175">
        <v>0</v>
      </c>
    </row>
    <row r="281" spans="2:20" x14ac:dyDescent="0.2">
      <c r="B281" s="168" t="s">
        <v>7</v>
      </c>
      <c r="C281" s="168" t="s">
        <v>25</v>
      </c>
      <c r="D281" s="173">
        <v>45688</v>
      </c>
      <c r="E281" s="174" t="s">
        <v>455</v>
      </c>
      <c r="F281" s="174" t="s">
        <v>375</v>
      </c>
      <c r="G281" s="174" t="s">
        <v>336</v>
      </c>
      <c r="H281" s="174" t="s">
        <v>376</v>
      </c>
      <c r="I281" s="174" t="s">
        <v>377</v>
      </c>
      <c r="J281" s="174" t="s">
        <v>456</v>
      </c>
      <c r="K281" s="174" t="s">
        <v>457</v>
      </c>
      <c r="L281" s="174" t="s">
        <v>458</v>
      </c>
      <c r="M281" s="174" t="s">
        <v>281</v>
      </c>
      <c r="N281" s="177">
        <v>10310000</v>
      </c>
      <c r="O281" s="174" t="s">
        <v>459</v>
      </c>
      <c r="P281" s="174" t="s">
        <v>283</v>
      </c>
      <c r="Q281" s="174" t="s">
        <v>284</v>
      </c>
      <c r="R281" s="174" t="s">
        <v>283</v>
      </c>
      <c r="S281" s="174" t="s">
        <v>283</v>
      </c>
      <c r="T281" s="175">
        <v>0</v>
      </c>
    </row>
    <row r="282" spans="2:20" x14ac:dyDescent="0.2">
      <c r="B282" s="168" t="s">
        <v>1</v>
      </c>
      <c r="C282" s="168" t="s">
        <v>22</v>
      </c>
      <c r="D282" s="173">
        <v>45688</v>
      </c>
      <c r="E282" s="174" t="s">
        <v>460</v>
      </c>
      <c r="F282" s="174" t="s">
        <v>384</v>
      </c>
      <c r="G282" s="174" t="s">
        <v>286</v>
      </c>
      <c r="H282" s="174" t="s">
        <v>366</v>
      </c>
      <c r="I282" s="174" t="s">
        <v>1</v>
      </c>
      <c r="J282" s="174" t="s">
        <v>461</v>
      </c>
      <c r="K282" s="174" t="s">
        <v>457</v>
      </c>
      <c r="L282" s="174" t="s">
        <v>458</v>
      </c>
      <c r="M282" s="174" t="s">
        <v>281</v>
      </c>
      <c r="N282" s="177">
        <v>24380167</v>
      </c>
      <c r="O282" s="174" t="s">
        <v>462</v>
      </c>
      <c r="P282" s="174" t="s">
        <v>283</v>
      </c>
      <c r="Q282" s="174" t="s">
        <v>284</v>
      </c>
      <c r="R282" s="174" t="s">
        <v>283</v>
      </c>
      <c r="S282" s="174" t="s">
        <v>283</v>
      </c>
      <c r="T282" s="175">
        <v>0</v>
      </c>
    </row>
    <row r="283" spans="2:20" x14ac:dyDescent="0.2">
      <c r="B283" s="168" t="s">
        <v>1</v>
      </c>
      <c r="C283" s="168" t="s">
        <v>24</v>
      </c>
      <c r="D283" s="173">
        <v>45688</v>
      </c>
      <c r="E283" s="174" t="s">
        <v>460</v>
      </c>
      <c r="F283" s="174" t="s">
        <v>394</v>
      </c>
      <c r="G283" s="174" t="s">
        <v>77</v>
      </c>
      <c r="H283" s="174" t="s">
        <v>366</v>
      </c>
      <c r="I283" s="174" t="s">
        <v>1</v>
      </c>
      <c r="J283" s="174" t="s">
        <v>463</v>
      </c>
      <c r="K283" s="174" t="s">
        <v>457</v>
      </c>
      <c r="L283" s="174" t="s">
        <v>458</v>
      </c>
      <c r="M283" s="174" t="s">
        <v>281</v>
      </c>
      <c r="N283" s="177">
        <v>22429558</v>
      </c>
      <c r="O283" s="174" t="s">
        <v>462</v>
      </c>
      <c r="P283" s="174" t="s">
        <v>283</v>
      </c>
      <c r="Q283" s="174" t="s">
        <v>284</v>
      </c>
      <c r="R283" s="174" t="s">
        <v>283</v>
      </c>
      <c r="S283" s="174" t="s">
        <v>283</v>
      </c>
      <c r="T283" s="175">
        <v>0</v>
      </c>
    </row>
    <row r="284" spans="2:20" x14ac:dyDescent="0.2">
      <c r="B284" s="168" t="s">
        <v>10</v>
      </c>
      <c r="C284" s="168" t="s">
        <v>22</v>
      </c>
      <c r="D284" s="173">
        <v>45688</v>
      </c>
      <c r="E284" s="174" t="s">
        <v>460</v>
      </c>
      <c r="F284" s="174" t="s">
        <v>285</v>
      </c>
      <c r="G284" s="174" t="s">
        <v>286</v>
      </c>
      <c r="H284" s="174" t="s">
        <v>380</v>
      </c>
      <c r="I284" s="174" t="s">
        <v>381</v>
      </c>
      <c r="J284" s="174" t="s">
        <v>461</v>
      </c>
      <c r="K284" s="174" t="s">
        <v>457</v>
      </c>
      <c r="L284" s="174" t="s">
        <v>458</v>
      </c>
      <c r="M284" s="174" t="s">
        <v>281</v>
      </c>
      <c r="N284" s="177">
        <v>38089918</v>
      </c>
      <c r="O284" s="174" t="s">
        <v>462</v>
      </c>
      <c r="P284" s="174" t="s">
        <v>283</v>
      </c>
      <c r="Q284" s="174" t="s">
        <v>284</v>
      </c>
      <c r="R284" s="174" t="s">
        <v>283</v>
      </c>
      <c r="S284" s="174" t="s">
        <v>283</v>
      </c>
      <c r="T284" s="175">
        <v>0</v>
      </c>
    </row>
    <row r="285" spans="2:20" x14ac:dyDescent="0.2">
      <c r="B285" s="168" t="s">
        <v>10</v>
      </c>
      <c r="C285" s="168" t="s">
        <v>24</v>
      </c>
      <c r="D285" s="173">
        <v>45688</v>
      </c>
      <c r="E285" s="174" t="s">
        <v>460</v>
      </c>
      <c r="F285" s="174" t="s">
        <v>292</v>
      </c>
      <c r="G285" s="174" t="s">
        <v>77</v>
      </c>
      <c r="H285" s="174" t="s">
        <v>380</v>
      </c>
      <c r="I285" s="174" t="s">
        <v>381</v>
      </c>
      <c r="J285" s="174" t="s">
        <v>463</v>
      </c>
      <c r="K285" s="174" t="s">
        <v>457</v>
      </c>
      <c r="L285" s="174" t="s">
        <v>458</v>
      </c>
      <c r="M285" s="174" t="s">
        <v>281</v>
      </c>
      <c r="N285" s="177">
        <v>33189239</v>
      </c>
      <c r="O285" s="174" t="s">
        <v>462</v>
      </c>
      <c r="P285" s="174" t="s">
        <v>283</v>
      </c>
      <c r="Q285" s="174" t="s">
        <v>284</v>
      </c>
      <c r="R285" s="174" t="s">
        <v>283</v>
      </c>
      <c r="S285" s="174" t="s">
        <v>283</v>
      </c>
      <c r="T285" s="175">
        <v>0</v>
      </c>
    </row>
    <row r="286" spans="2:20" x14ac:dyDescent="0.2">
      <c r="B286" s="168" t="s">
        <v>2</v>
      </c>
      <c r="C286" s="168" t="s">
        <v>22</v>
      </c>
      <c r="D286" s="173">
        <v>45688</v>
      </c>
      <c r="E286" s="174" t="s">
        <v>460</v>
      </c>
      <c r="F286" s="174" t="s">
        <v>285</v>
      </c>
      <c r="G286" s="174" t="s">
        <v>286</v>
      </c>
      <c r="H286" s="174" t="s">
        <v>378</v>
      </c>
      <c r="I286" s="174" t="s">
        <v>379</v>
      </c>
      <c r="J286" s="174" t="s">
        <v>461</v>
      </c>
      <c r="K286" s="174" t="s">
        <v>457</v>
      </c>
      <c r="L286" s="174" t="s">
        <v>458</v>
      </c>
      <c r="M286" s="174" t="s">
        <v>281</v>
      </c>
      <c r="N286" s="177">
        <v>7902750</v>
      </c>
      <c r="O286" s="174" t="s">
        <v>462</v>
      </c>
      <c r="P286" s="174" t="s">
        <v>283</v>
      </c>
      <c r="Q286" s="174" t="s">
        <v>284</v>
      </c>
      <c r="R286" s="174" t="s">
        <v>283</v>
      </c>
      <c r="S286" s="174" t="s">
        <v>283</v>
      </c>
      <c r="T286" s="175">
        <v>0</v>
      </c>
    </row>
    <row r="287" spans="2:20" x14ac:dyDescent="0.2">
      <c r="B287" s="168" t="s">
        <v>2</v>
      </c>
      <c r="C287" s="168" t="s">
        <v>24</v>
      </c>
      <c r="D287" s="173">
        <v>45688</v>
      </c>
      <c r="E287" s="174" t="s">
        <v>460</v>
      </c>
      <c r="F287" s="174" t="s">
        <v>292</v>
      </c>
      <c r="G287" s="174" t="s">
        <v>77</v>
      </c>
      <c r="H287" s="174" t="s">
        <v>378</v>
      </c>
      <c r="I287" s="174" t="s">
        <v>379</v>
      </c>
      <c r="J287" s="174" t="s">
        <v>463</v>
      </c>
      <c r="K287" s="174" t="s">
        <v>457</v>
      </c>
      <c r="L287" s="174" t="s">
        <v>458</v>
      </c>
      <c r="M287" s="174" t="s">
        <v>281</v>
      </c>
      <c r="N287" s="177">
        <v>7270467</v>
      </c>
      <c r="O287" s="174" t="s">
        <v>462</v>
      </c>
      <c r="P287" s="174" t="s">
        <v>283</v>
      </c>
      <c r="Q287" s="174" t="s">
        <v>284</v>
      </c>
      <c r="R287" s="174" t="s">
        <v>283</v>
      </c>
      <c r="S287" s="174" t="s">
        <v>283</v>
      </c>
      <c r="T287" s="175">
        <v>0</v>
      </c>
    </row>
    <row r="288" spans="2:20" x14ac:dyDescent="0.2">
      <c r="B288" s="168" t="s">
        <v>7</v>
      </c>
      <c r="C288" s="168" t="s">
        <v>22</v>
      </c>
      <c r="D288" s="173">
        <v>45688</v>
      </c>
      <c r="E288" s="174" t="s">
        <v>460</v>
      </c>
      <c r="F288" s="174" t="s">
        <v>388</v>
      </c>
      <c r="G288" s="174" t="s">
        <v>286</v>
      </c>
      <c r="H288" s="174" t="s">
        <v>376</v>
      </c>
      <c r="I288" s="174" t="s">
        <v>377</v>
      </c>
      <c r="J288" s="174" t="s">
        <v>461</v>
      </c>
      <c r="K288" s="174" t="s">
        <v>457</v>
      </c>
      <c r="L288" s="174" t="s">
        <v>458</v>
      </c>
      <c r="M288" s="174" t="s">
        <v>281</v>
      </c>
      <c r="N288" s="177">
        <v>77003500</v>
      </c>
      <c r="O288" s="174" t="s">
        <v>462</v>
      </c>
      <c r="P288" s="174" t="s">
        <v>283</v>
      </c>
      <c r="Q288" s="174" t="s">
        <v>284</v>
      </c>
      <c r="R288" s="174" t="s">
        <v>283</v>
      </c>
      <c r="S288" s="174" t="s">
        <v>283</v>
      </c>
      <c r="T288" s="175">
        <v>0</v>
      </c>
    </row>
    <row r="289" spans="1:20" x14ac:dyDescent="0.2">
      <c r="B289" s="168" t="s">
        <v>7</v>
      </c>
      <c r="C289" s="168" t="s">
        <v>24</v>
      </c>
      <c r="D289" s="173">
        <v>45688</v>
      </c>
      <c r="E289" s="174" t="s">
        <v>460</v>
      </c>
      <c r="F289" s="174" t="s">
        <v>395</v>
      </c>
      <c r="G289" s="174" t="s">
        <v>77</v>
      </c>
      <c r="H289" s="174" t="s">
        <v>376</v>
      </c>
      <c r="I289" s="174" t="s">
        <v>377</v>
      </c>
      <c r="J289" s="174" t="s">
        <v>463</v>
      </c>
      <c r="K289" s="174" t="s">
        <v>457</v>
      </c>
      <c r="L289" s="174" t="s">
        <v>458</v>
      </c>
      <c r="M289" s="174" t="s">
        <v>281</v>
      </c>
      <c r="N289" s="177">
        <v>70842604</v>
      </c>
      <c r="O289" s="174" t="s">
        <v>462</v>
      </c>
      <c r="P289" s="174" t="s">
        <v>283</v>
      </c>
      <c r="Q289" s="174" t="s">
        <v>284</v>
      </c>
      <c r="R289" s="174" t="s">
        <v>283</v>
      </c>
      <c r="S289" s="174" t="s">
        <v>283</v>
      </c>
      <c r="T289" s="175">
        <v>0</v>
      </c>
    </row>
    <row r="290" spans="1:20" x14ac:dyDescent="0.2">
      <c r="B290" s="168" t="s">
        <v>1</v>
      </c>
      <c r="C290" s="168" t="s">
        <v>170</v>
      </c>
      <c r="D290" s="173">
        <v>45688</v>
      </c>
      <c r="E290" s="174" t="s">
        <v>464</v>
      </c>
      <c r="F290" s="174" t="s">
        <v>392</v>
      </c>
      <c r="G290" s="174" t="s">
        <v>296</v>
      </c>
      <c r="H290" s="174" t="s">
        <v>366</v>
      </c>
      <c r="I290" s="174" t="s">
        <v>1</v>
      </c>
      <c r="J290" s="174" t="s">
        <v>465</v>
      </c>
      <c r="K290" s="174" t="s">
        <v>457</v>
      </c>
      <c r="L290" s="174" t="s">
        <v>458</v>
      </c>
      <c r="M290" s="174" t="s">
        <v>281</v>
      </c>
      <c r="N290" s="177">
        <v>51324945</v>
      </c>
      <c r="O290" s="174" t="s">
        <v>466</v>
      </c>
      <c r="P290" s="174" t="s">
        <v>283</v>
      </c>
      <c r="Q290" s="174" t="s">
        <v>284</v>
      </c>
      <c r="R290" s="174" t="s">
        <v>283</v>
      </c>
      <c r="S290" s="174" t="s">
        <v>283</v>
      </c>
      <c r="T290" s="175">
        <v>0</v>
      </c>
    </row>
    <row r="291" spans="1:20" x14ac:dyDescent="0.2">
      <c r="B291" s="168" t="s">
        <v>10</v>
      </c>
      <c r="C291" s="168" t="s">
        <v>170</v>
      </c>
      <c r="D291" s="173">
        <v>45688</v>
      </c>
      <c r="E291" s="174" t="s">
        <v>464</v>
      </c>
      <c r="F291" s="174" t="s">
        <v>295</v>
      </c>
      <c r="G291" s="174" t="s">
        <v>296</v>
      </c>
      <c r="H291" s="174" t="s">
        <v>380</v>
      </c>
      <c r="I291" s="174" t="s">
        <v>381</v>
      </c>
      <c r="J291" s="174" t="s">
        <v>465</v>
      </c>
      <c r="K291" s="174" t="s">
        <v>457</v>
      </c>
      <c r="L291" s="174" t="s">
        <v>458</v>
      </c>
      <c r="M291" s="174" t="s">
        <v>281</v>
      </c>
      <c r="N291" s="177">
        <v>98662635</v>
      </c>
      <c r="O291" s="174" t="s">
        <v>466</v>
      </c>
      <c r="P291" s="174" t="s">
        <v>283</v>
      </c>
      <c r="Q291" s="174" t="s">
        <v>284</v>
      </c>
      <c r="R291" s="174" t="s">
        <v>283</v>
      </c>
      <c r="S291" s="174" t="s">
        <v>283</v>
      </c>
      <c r="T291" s="175">
        <v>0</v>
      </c>
    </row>
    <row r="292" spans="1:20" x14ac:dyDescent="0.2">
      <c r="B292" s="168" t="s">
        <v>2</v>
      </c>
      <c r="C292" s="168" t="s">
        <v>170</v>
      </c>
      <c r="D292" s="173">
        <v>45688</v>
      </c>
      <c r="E292" s="174" t="s">
        <v>464</v>
      </c>
      <c r="F292" s="174" t="s">
        <v>295</v>
      </c>
      <c r="G292" s="174" t="s">
        <v>296</v>
      </c>
      <c r="H292" s="174" t="s">
        <v>378</v>
      </c>
      <c r="I292" s="174" t="s">
        <v>379</v>
      </c>
      <c r="J292" s="174" t="s">
        <v>465</v>
      </c>
      <c r="K292" s="174" t="s">
        <v>457</v>
      </c>
      <c r="L292" s="174" t="s">
        <v>458</v>
      </c>
      <c r="M292" s="174" t="s">
        <v>281</v>
      </c>
      <c r="N292" s="177">
        <v>16645755</v>
      </c>
      <c r="O292" s="174" t="s">
        <v>466</v>
      </c>
      <c r="P292" s="174" t="s">
        <v>283</v>
      </c>
      <c r="Q292" s="174" t="s">
        <v>284</v>
      </c>
      <c r="R292" s="174" t="s">
        <v>283</v>
      </c>
      <c r="S292" s="174" t="s">
        <v>283</v>
      </c>
      <c r="T292" s="175">
        <v>0</v>
      </c>
    </row>
    <row r="293" spans="1:20" x14ac:dyDescent="0.2">
      <c r="B293" s="168" t="s">
        <v>7</v>
      </c>
      <c r="C293" s="168" t="s">
        <v>170</v>
      </c>
      <c r="D293" s="173">
        <v>45688</v>
      </c>
      <c r="E293" s="174" t="s">
        <v>464</v>
      </c>
      <c r="F293" s="174" t="s">
        <v>393</v>
      </c>
      <c r="G293" s="174" t="s">
        <v>296</v>
      </c>
      <c r="H293" s="174" t="s">
        <v>376</v>
      </c>
      <c r="I293" s="174" t="s">
        <v>377</v>
      </c>
      <c r="J293" s="174" t="s">
        <v>465</v>
      </c>
      <c r="K293" s="174" t="s">
        <v>457</v>
      </c>
      <c r="L293" s="174" t="s">
        <v>458</v>
      </c>
      <c r="M293" s="174" t="s">
        <v>281</v>
      </c>
      <c r="N293" s="177">
        <v>224807370</v>
      </c>
      <c r="O293" s="174" t="s">
        <v>466</v>
      </c>
      <c r="P293" s="174" t="s">
        <v>283</v>
      </c>
      <c r="Q293" s="174" t="s">
        <v>284</v>
      </c>
      <c r="R293" s="174" t="s">
        <v>283</v>
      </c>
      <c r="S293" s="174" t="s">
        <v>283</v>
      </c>
      <c r="T293" s="175">
        <v>0</v>
      </c>
    </row>
    <row r="294" spans="1:20" x14ac:dyDescent="0.2">
      <c r="B294" s="168" t="s">
        <v>10</v>
      </c>
      <c r="C294" s="168" t="s">
        <v>22</v>
      </c>
      <c r="D294" s="173">
        <v>45688</v>
      </c>
      <c r="E294" s="174" t="s">
        <v>510</v>
      </c>
      <c r="F294" s="174" t="s">
        <v>274</v>
      </c>
      <c r="G294" s="174" t="s">
        <v>275</v>
      </c>
      <c r="H294" s="174" t="s">
        <v>380</v>
      </c>
      <c r="I294" s="174" t="s">
        <v>381</v>
      </c>
      <c r="J294" s="174" t="s">
        <v>511</v>
      </c>
      <c r="K294" s="174" t="s">
        <v>457</v>
      </c>
      <c r="L294" s="174" t="s">
        <v>458</v>
      </c>
      <c r="M294" s="174" t="s">
        <v>281</v>
      </c>
      <c r="N294" s="177">
        <v>-348151</v>
      </c>
      <c r="O294" s="174" t="s">
        <v>512</v>
      </c>
      <c r="P294" s="174" t="s">
        <v>283</v>
      </c>
      <c r="Q294" s="174" t="s">
        <v>284</v>
      </c>
      <c r="R294" s="174" t="s">
        <v>283</v>
      </c>
      <c r="S294" s="174" t="s">
        <v>283</v>
      </c>
      <c r="T294" s="175">
        <v>0</v>
      </c>
    </row>
    <row r="295" spans="1:20" x14ac:dyDescent="0.2">
      <c r="B295" s="168" t="s">
        <v>7</v>
      </c>
      <c r="C295" s="168" t="s">
        <v>170</v>
      </c>
      <c r="D295" s="173">
        <v>45688</v>
      </c>
      <c r="E295" s="174" t="s">
        <v>513</v>
      </c>
      <c r="F295" s="174" t="s">
        <v>393</v>
      </c>
      <c r="G295" s="174" t="s">
        <v>296</v>
      </c>
      <c r="H295" s="174" t="s">
        <v>376</v>
      </c>
      <c r="I295" s="174" t="s">
        <v>377</v>
      </c>
      <c r="J295" s="174" t="s">
        <v>514</v>
      </c>
      <c r="K295" s="174" t="s">
        <v>457</v>
      </c>
      <c r="L295" s="174" t="s">
        <v>458</v>
      </c>
      <c r="M295" s="174" t="s">
        <v>281</v>
      </c>
      <c r="N295" s="177">
        <v>4160000</v>
      </c>
      <c r="O295" s="174" t="s">
        <v>515</v>
      </c>
      <c r="P295" s="174" t="s">
        <v>283</v>
      </c>
      <c r="Q295" s="174" t="s">
        <v>284</v>
      </c>
      <c r="R295" s="174" t="s">
        <v>283</v>
      </c>
      <c r="S295" s="174" t="s">
        <v>283</v>
      </c>
      <c r="T295" s="175">
        <v>0</v>
      </c>
    </row>
    <row r="296" spans="1:20" x14ac:dyDescent="0.2">
      <c r="B296" s="168" t="s">
        <v>1</v>
      </c>
      <c r="C296" s="168" t="s">
        <v>170</v>
      </c>
      <c r="D296" s="173">
        <v>45688</v>
      </c>
      <c r="E296" s="174" t="s">
        <v>467</v>
      </c>
      <c r="F296" s="174" t="s">
        <v>392</v>
      </c>
      <c r="G296" s="174" t="s">
        <v>296</v>
      </c>
      <c r="H296" s="174" t="s">
        <v>366</v>
      </c>
      <c r="I296" s="174" t="s">
        <v>1</v>
      </c>
      <c r="J296" s="174" t="s">
        <v>465</v>
      </c>
      <c r="K296" s="174" t="s">
        <v>457</v>
      </c>
      <c r="L296" s="174" t="s">
        <v>458</v>
      </c>
      <c r="M296" s="174" t="s">
        <v>281</v>
      </c>
      <c r="N296" s="177">
        <v>51324945</v>
      </c>
      <c r="O296" s="174" t="s">
        <v>468</v>
      </c>
      <c r="P296" s="174" t="s">
        <v>283</v>
      </c>
      <c r="Q296" s="174" t="s">
        <v>284</v>
      </c>
      <c r="R296" s="174" t="s">
        <v>283</v>
      </c>
      <c r="S296" s="174" t="s">
        <v>283</v>
      </c>
      <c r="T296" s="175">
        <v>0</v>
      </c>
    </row>
    <row r="297" spans="1:20" x14ac:dyDescent="0.2">
      <c r="B297" s="168" t="s">
        <v>10</v>
      </c>
      <c r="C297" s="168" t="s">
        <v>170</v>
      </c>
      <c r="D297" s="173">
        <v>45688</v>
      </c>
      <c r="E297" s="174" t="s">
        <v>467</v>
      </c>
      <c r="F297" s="174" t="s">
        <v>295</v>
      </c>
      <c r="G297" s="174" t="s">
        <v>296</v>
      </c>
      <c r="H297" s="174" t="s">
        <v>380</v>
      </c>
      <c r="I297" s="174" t="s">
        <v>381</v>
      </c>
      <c r="J297" s="174" t="s">
        <v>465</v>
      </c>
      <c r="K297" s="174" t="s">
        <v>457</v>
      </c>
      <c r="L297" s="174" t="s">
        <v>458</v>
      </c>
      <c r="M297" s="174" t="s">
        <v>281</v>
      </c>
      <c r="N297" s="177">
        <v>98662635</v>
      </c>
      <c r="O297" s="174" t="s">
        <v>468</v>
      </c>
      <c r="P297" s="174" t="s">
        <v>283</v>
      </c>
      <c r="Q297" s="174" t="s">
        <v>284</v>
      </c>
      <c r="R297" s="174" t="s">
        <v>283</v>
      </c>
      <c r="S297" s="174" t="s">
        <v>283</v>
      </c>
      <c r="T297" s="175">
        <v>0</v>
      </c>
    </row>
    <row r="298" spans="1:20" x14ac:dyDescent="0.2">
      <c r="B298" s="168" t="s">
        <v>2</v>
      </c>
      <c r="C298" s="168" t="s">
        <v>170</v>
      </c>
      <c r="D298" s="173">
        <v>45688</v>
      </c>
      <c r="E298" s="174" t="s">
        <v>467</v>
      </c>
      <c r="F298" s="174" t="s">
        <v>295</v>
      </c>
      <c r="G298" s="174" t="s">
        <v>296</v>
      </c>
      <c r="H298" s="174" t="s">
        <v>378</v>
      </c>
      <c r="I298" s="174" t="s">
        <v>379</v>
      </c>
      <c r="J298" s="174" t="s">
        <v>465</v>
      </c>
      <c r="K298" s="174" t="s">
        <v>457</v>
      </c>
      <c r="L298" s="174" t="s">
        <v>458</v>
      </c>
      <c r="M298" s="174" t="s">
        <v>281</v>
      </c>
      <c r="N298" s="177">
        <v>16645755</v>
      </c>
      <c r="O298" s="174" t="s">
        <v>468</v>
      </c>
      <c r="P298" s="174" t="s">
        <v>283</v>
      </c>
      <c r="Q298" s="174" t="s">
        <v>284</v>
      </c>
      <c r="R298" s="174" t="s">
        <v>283</v>
      </c>
      <c r="S298" s="174" t="s">
        <v>283</v>
      </c>
      <c r="T298" s="175">
        <v>0</v>
      </c>
    </row>
    <row r="299" spans="1:20" x14ac:dyDescent="0.2">
      <c r="B299" s="168" t="s">
        <v>7</v>
      </c>
      <c r="C299" s="168" t="s">
        <v>170</v>
      </c>
      <c r="D299" s="173">
        <v>45688</v>
      </c>
      <c r="E299" s="174" t="s">
        <v>467</v>
      </c>
      <c r="F299" s="174" t="s">
        <v>393</v>
      </c>
      <c r="G299" s="174" t="s">
        <v>296</v>
      </c>
      <c r="H299" s="174" t="s">
        <v>376</v>
      </c>
      <c r="I299" s="174" t="s">
        <v>377</v>
      </c>
      <c r="J299" s="174" t="s">
        <v>465</v>
      </c>
      <c r="K299" s="174" t="s">
        <v>457</v>
      </c>
      <c r="L299" s="174" t="s">
        <v>458</v>
      </c>
      <c r="M299" s="174" t="s">
        <v>281</v>
      </c>
      <c r="N299" s="177">
        <v>224807370</v>
      </c>
      <c r="O299" s="174" t="s">
        <v>468</v>
      </c>
      <c r="P299" s="174" t="s">
        <v>283</v>
      </c>
      <c r="Q299" s="174" t="s">
        <v>284</v>
      </c>
      <c r="R299" s="174" t="s">
        <v>283</v>
      </c>
      <c r="S299" s="174" t="s">
        <v>283</v>
      </c>
      <c r="T299" s="175">
        <v>0</v>
      </c>
    </row>
    <row r="300" spans="1:20" x14ac:dyDescent="0.2">
      <c r="B300" s="168" t="s">
        <v>1</v>
      </c>
      <c r="C300" s="168" t="s">
        <v>170</v>
      </c>
      <c r="D300" s="173">
        <v>45688</v>
      </c>
      <c r="E300" s="174" t="s">
        <v>469</v>
      </c>
      <c r="F300" s="174" t="s">
        <v>392</v>
      </c>
      <c r="G300" s="174" t="s">
        <v>296</v>
      </c>
      <c r="H300" s="174" t="s">
        <v>366</v>
      </c>
      <c r="I300" s="174" t="s">
        <v>1</v>
      </c>
      <c r="J300" s="174" t="s">
        <v>465</v>
      </c>
      <c r="K300" s="174" t="s">
        <v>457</v>
      </c>
      <c r="L300" s="174" t="s">
        <v>458</v>
      </c>
      <c r="M300" s="174" t="s">
        <v>281</v>
      </c>
      <c r="N300" s="177">
        <v>-51324945</v>
      </c>
      <c r="O300" s="174" t="s">
        <v>470</v>
      </c>
      <c r="P300" s="174" t="s">
        <v>447</v>
      </c>
      <c r="Q300" s="174" t="s">
        <v>284</v>
      </c>
      <c r="R300" s="174" t="s">
        <v>283</v>
      </c>
      <c r="S300" s="174" t="s">
        <v>283</v>
      </c>
      <c r="T300" s="175">
        <v>0</v>
      </c>
    </row>
    <row r="301" spans="1:20" x14ac:dyDescent="0.2">
      <c r="B301" s="168" t="s">
        <v>10</v>
      </c>
      <c r="C301" s="168" t="s">
        <v>170</v>
      </c>
      <c r="D301" s="173">
        <v>45688</v>
      </c>
      <c r="E301" s="174" t="s">
        <v>469</v>
      </c>
      <c r="F301" s="174" t="s">
        <v>295</v>
      </c>
      <c r="G301" s="174" t="s">
        <v>296</v>
      </c>
      <c r="H301" s="174" t="s">
        <v>380</v>
      </c>
      <c r="I301" s="174" t="s">
        <v>381</v>
      </c>
      <c r="J301" s="174" t="s">
        <v>465</v>
      </c>
      <c r="K301" s="174" t="s">
        <v>457</v>
      </c>
      <c r="L301" s="174" t="s">
        <v>458</v>
      </c>
      <c r="M301" s="174" t="s">
        <v>281</v>
      </c>
      <c r="N301" s="177">
        <v>-98662635</v>
      </c>
      <c r="O301" s="174" t="s">
        <v>470</v>
      </c>
      <c r="P301" s="174" t="s">
        <v>447</v>
      </c>
      <c r="Q301" s="174" t="s">
        <v>284</v>
      </c>
      <c r="R301" s="174" t="s">
        <v>283</v>
      </c>
      <c r="S301" s="174" t="s">
        <v>283</v>
      </c>
      <c r="T301" s="175">
        <v>0</v>
      </c>
    </row>
    <row r="302" spans="1:20" x14ac:dyDescent="0.2">
      <c r="B302" s="168" t="s">
        <v>2</v>
      </c>
      <c r="C302" s="168" t="s">
        <v>170</v>
      </c>
      <c r="D302" s="173">
        <v>45688</v>
      </c>
      <c r="E302" s="174" t="s">
        <v>469</v>
      </c>
      <c r="F302" s="174" t="s">
        <v>295</v>
      </c>
      <c r="G302" s="174" t="s">
        <v>296</v>
      </c>
      <c r="H302" s="174" t="s">
        <v>378</v>
      </c>
      <c r="I302" s="174" t="s">
        <v>379</v>
      </c>
      <c r="J302" s="174" t="s">
        <v>465</v>
      </c>
      <c r="K302" s="174" t="s">
        <v>457</v>
      </c>
      <c r="L302" s="174" t="s">
        <v>458</v>
      </c>
      <c r="M302" s="174" t="s">
        <v>281</v>
      </c>
      <c r="N302" s="177">
        <v>-16645755</v>
      </c>
      <c r="O302" s="174" t="s">
        <v>470</v>
      </c>
      <c r="P302" s="174" t="s">
        <v>447</v>
      </c>
      <c r="Q302" s="174" t="s">
        <v>284</v>
      </c>
      <c r="R302" s="174" t="s">
        <v>283</v>
      </c>
      <c r="S302" s="174" t="s">
        <v>283</v>
      </c>
      <c r="T302" s="175">
        <v>0</v>
      </c>
    </row>
    <row r="303" spans="1:20" x14ac:dyDescent="0.2">
      <c r="B303" s="168" t="s">
        <v>7</v>
      </c>
      <c r="C303" s="168" t="s">
        <v>170</v>
      </c>
      <c r="D303" s="173">
        <v>45688</v>
      </c>
      <c r="E303" s="174" t="s">
        <v>469</v>
      </c>
      <c r="F303" s="174" t="s">
        <v>393</v>
      </c>
      <c r="G303" s="174" t="s">
        <v>296</v>
      </c>
      <c r="H303" s="174" t="s">
        <v>376</v>
      </c>
      <c r="I303" s="174" t="s">
        <v>377</v>
      </c>
      <c r="J303" s="174" t="s">
        <v>465</v>
      </c>
      <c r="K303" s="174" t="s">
        <v>457</v>
      </c>
      <c r="L303" s="174" t="s">
        <v>458</v>
      </c>
      <c r="M303" s="174" t="s">
        <v>281</v>
      </c>
      <c r="N303" s="177">
        <v>-224807370</v>
      </c>
      <c r="O303" s="174" t="s">
        <v>470</v>
      </c>
      <c r="P303" s="174" t="s">
        <v>447</v>
      </c>
      <c r="Q303" s="174" t="s">
        <v>284</v>
      </c>
      <c r="R303" s="174" t="s">
        <v>283</v>
      </c>
      <c r="S303" s="174" t="s">
        <v>283</v>
      </c>
      <c r="T303" s="175">
        <v>0</v>
      </c>
    </row>
    <row r="304" spans="1:20" x14ac:dyDescent="0.2">
      <c r="A304" s="169">
        <v>622</v>
      </c>
      <c r="B304" s="168" t="s">
        <v>8</v>
      </c>
      <c r="C304" s="168" t="s">
        <v>22</v>
      </c>
      <c r="D304" s="173">
        <v>45663</v>
      </c>
      <c r="E304" s="174" t="s">
        <v>516</v>
      </c>
      <c r="F304" s="174" t="s">
        <v>400</v>
      </c>
      <c r="G304" s="174" t="s">
        <v>401</v>
      </c>
      <c r="H304" s="174" t="s">
        <v>402</v>
      </c>
      <c r="I304" s="174" t="s">
        <v>403</v>
      </c>
      <c r="J304" s="174" t="s">
        <v>517</v>
      </c>
      <c r="K304" s="174" t="s">
        <v>518</v>
      </c>
      <c r="L304" s="174" t="s">
        <v>458</v>
      </c>
      <c r="M304" s="174" t="s">
        <v>281</v>
      </c>
      <c r="N304" s="177">
        <v>1793750</v>
      </c>
      <c r="O304" s="174" t="s">
        <v>519</v>
      </c>
      <c r="P304" s="174" t="s">
        <v>283</v>
      </c>
      <c r="Q304" s="174" t="s">
        <v>306</v>
      </c>
      <c r="R304" s="174" t="s">
        <v>283</v>
      </c>
      <c r="S304" s="174" t="s">
        <v>283</v>
      </c>
      <c r="T304" s="175">
        <v>0</v>
      </c>
    </row>
    <row r="305" spans="1:20" x14ac:dyDescent="0.2">
      <c r="B305" s="168" t="s">
        <v>6</v>
      </c>
      <c r="C305" s="168" t="s">
        <v>25</v>
      </c>
      <c r="D305" s="173">
        <v>45682</v>
      </c>
      <c r="E305" s="174" t="s">
        <v>490</v>
      </c>
      <c r="F305" s="174" t="s">
        <v>375</v>
      </c>
      <c r="G305" s="174" t="s">
        <v>336</v>
      </c>
      <c r="H305" s="174" t="s">
        <v>411</v>
      </c>
      <c r="I305" s="174" t="s">
        <v>412</v>
      </c>
      <c r="J305" s="174" t="s">
        <v>491</v>
      </c>
      <c r="K305" s="174" t="s">
        <v>338</v>
      </c>
      <c r="L305" s="174" t="s">
        <v>458</v>
      </c>
      <c r="M305" s="174" t="s">
        <v>281</v>
      </c>
      <c r="N305" s="177">
        <v>29275000</v>
      </c>
      <c r="O305" s="174" t="s">
        <v>492</v>
      </c>
      <c r="P305" s="174" t="s">
        <v>283</v>
      </c>
      <c r="Q305" s="174" t="s">
        <v>306</v>
      </c>
      <c r="R305" s="174" t="s">
        <v>283</v>
      </c>
      <c r="S305" s="174" t="s">
        <v>283</v>
      </c>
      <c r="T305" s="175">
        <v>0</v>
      </c>
    </row>
    <row r="306" spans="1:20" x14ac:dyDescent="0.2">
      <c r="A306" s="169">
        <v>622</v>
      </c>
      <c r="B306" s="168" t="s">
        <v>8</v>
      </c>
      <c r="C306" s="168" t="s">
        <v>25</v>
      </c>
      <c r="D306" s="173">
        <v>45688</v>
      </c>
      <c r="E306" s="174" t="s">
        <v>520</v>
      </c>
      <c r="F306" s="174" t="s">
        <v>414</v>
      </c>
      <c r="G306" s="174" t="s">
        <v>415</v>
      </c>
      <c r="H306" s="174" t="s">
        <v>402</v>
      </c>
      <c r="I306" s="174" t="s">
        <v>403</v>
      </c>
      <c r="J306" s="174" t="s">
        <v>416</v>
      </c>
      <c r="K306" s="174" t="s">
        <v>416</v>
      </c>
      <c r="L306" s="174" t="s">
        <v>458</v>
      </c>
      <c r="M306" s="174" t="s">
        <v>281</v>
      </c>
      <c r="N306" s="177">
        <v>81800000</v>
      </c>
      <c r="O306" s="174" t="s">
        <v>521</v>
      </c>
      <c r="P306" s="174" t="s">
        <v>283</v>
      </c>
      <c r="Q306" s="174" t="s">
        <v>348</v>
      </c>
      <c r="R306" s="174" t="s">
        <v>283</v>
      </c>
      <c r="S306" s="174" t="s">
        <v>283</v>
      </c>
      <c r="T306" s="175">
        <v>0</v>
      </c>
    </row>
    <row r="307" spans="1:20" x14ac:dyDescent="0.2">
      <c r="B307" s="168" t="s">
        <v>6</v>
      </c>
      <c r="C307" s="168" t="s">
        <v>25</v>
      </c>
      <c r="D307" s="173">
        <v>45688</v>
      </c>
      <c r="E307" s="174" t="s">
        <v>455</v>
      </c>
      <c r="F307" s="174" t="s">
        <v>386</v>
      </c>
      <c r="G307" s="174" t="s">
        <v>341</v>
      </c>
      <c r="H307" s="174" t="s">
        <v>411</v>
      </c>
      <c r="I307" s="174" t="s">
        <v>412</v>
      </c>
      <c r="J307" s="174" t="s">
        <v>456</v>
      </c>
      <c r="K307" s="174" t="s">
        <v>457</v>
      </c>
      <c r="L307" s="174" t="s">
        <v>458</v>
      </c>
      <c r="M307" s="174" t="s">
        <v>281</v>
      </c>
      <c r="N307" s="177">
        <v>22777328</v>
      </c>
      <c r="O307" s="174" t="s">
        <v>459</v>
      </c>
      <c r="P307" s="174" t="s">
        <v>283</v>
      </c>
      <c r="Q307" s="174" t="s">
        <v>284</v>
      </c>
      <c r="R307" s="174" t="s">
        <v>283</v>
      </c>
      <c r="S307" s="174" t="s">
        <v>283</v>
      </c>
      <c r="T307" s="175">
        <v>0</v>
      </c>
    </row>
    <row r="308" spans="1:20" x14ac:dyDescent="0.2">
      <c r="B308" s="168" t="s">
        <v>6</v>
      </c>
      <c r="C308" s="168" t="s">
        <v>22</v>
      </c>
      <c r="D308" s="173">
        <v>45688</v>
      </c>
      <c r="E308" s="174" t="s">
        <v>455</v>
      </c>
      <c r="F308" s="174" t="s">
        <v>387</v>
      </c>
      <c r="G308" s="174" t="s">
        <v>275</v>
      </c>
      <c r="H308" s="174" t="s">
        <v>411</v>
      </c>
      <c r="I308" s="174" t="s">
        <v>412</v>
      </c>
      <c r="J308" s="174" t="s">
        <v>456</v>
      </c>
      <c r="K308" s="174" t="s">
        <v>457</v>
      </c>
      <c r="L308" s="174" t="s">
        <v>458</v>
      </c>
      <c r="M308" s="174" t="s">
        <v>281</v>
      </c>
      <c r="N308" s="177">
        <v>467842027</v>
      </c>
      <c r="O308" s="174" t="s">
        <v>459</v>
      </c>
      <c r="P308" s="174" t="s">
        <v>283</v>
      </c>
      <c r="Q308" s="174" t="s">
        <v>284</v>
      </c>
      <c r="R308" s="174" t="s">
        <v>283</v>
      </c>
      <c r="S308" s="174" t="s">
        <v>283</v>
      </c>
      <c r="T308" s="175">
        <v>0</v>
      </c>
    </row>
    <row r="309" spans="1:20" x14ac:dyDescent="0.2">
      <c r="B309" s="168" t="s">
        <v>6</v>
      </c>
      <c r="C309" s="168" t="s">
        <v>22</v>
      </c>
      <c r="D309" s="173">
        <v>45688</v>
      </c>
      <c r="E309" s="174" t="s">
        <v>455</v>
      </c>
      <c r="F309" s="174" t="s">
        <v>388</v>
      </c>
      <c r="G309" s="174" t="s">
        <v>286</v>
      </c>
      <c r="H309" s="174" t="s">
        <v>411</v>
      </c>
      <c r="I309" s="174" t="s">
        <v>412</v>
      </c>
      <c r="J309" s="174" t="s">
        <v>456</v>
      </c>
      <c r="K309" s="174" t="s">
        <v>457</v>
      </c>
      <c r="L309" s="174" t="s">
        <v>458</v>
      </c>
      <c r="M309" s="174" t="s">
        <v>281</v>
      </c>
      <c r="N309" s="177">
        <v>27707830</v>
      </c>
      <c r="O309" s="174" t="s">
        <v>459</v>
      </c>
      <c r="P309" s="174" t="s">
        <v>283</v>
      </c>
      <c r="Q309" s="174" t="s">
        <v>284</v>
      </c>
      <c r="R309" s="174" t="s">
        <v>283</v>
      </c>
      <c r="S309" s="174" t="s">
        <v>283</v>
      </c>
      <c r="T309" s="175">
        <v>0</v>
      </c>
    </row>
    <row r="310" spans="1:20" x14ac:dyDescent="0.2">
      <c r="B310" s="168" t="s">
        <v>6</v>
      </c>
      <c r="C310" s="168" t="s">
        <v>23</v>
      </c>
      <c r="D310" s="173">
        <v>45688</v>
      </c>
      <c r="E310" s="174" t="s">
        <v>455</v>
      </c>
      <c r="F310" s="174" t="s">
        <v>389</v>
      </c>
      <c r="G310" s="174" t="s">
        <v>390</v>
      </c>
      <c r="H310" s="174" t="s">
        <v>411</v>
      </c>
      <c r="I310" s="174" t="s">
        <v>412</v>
      </c>
      <c r="J310" s="174" t="s">
        <v>456</v>
      </c>
      <c r="K310" s="174" t="s">
        <v>457</v>
      </c>
      <c r="L310" s="174" t="s">
        <v>458</v>
      </c>
      <c r="M310" s="174" t="s">
        <v>281</v>
      </c>
      <c r="N310" s="177">
        <v>158408018</v>
      </c>
      <c r="O310" s="174" t="s">
        <v>459</v>
      </c>
      <c r="P310" s="174" t="s">
        <v>283</v>
      </c>
      <c r="Q310" s="174" t="s">
        <v>284</v>
      </c>
      <c r="R310" s="174" t="s">
        <v>283</v>
      </c>
      <c r="S310" s="174" t="s">
        <v>283</v>
      </c>
      <c r="T310" s="175">
        <v>0</v>
      </c>
    </row>
    <row r="311" spans="1:20" x14ac:dyDescent="0.2">
      <c r="B311" s="168" t="s">
        <v>6</v>
      </c>
      <c r="C311" s="168" t="s">
        <v>24</v>
      </c>
      <c r="D311" s="173">
        <v>45688</v>
      </c>
      <c r="E311" s="174" t="s">
        <v>455</v>
      </c>
      <c r="F311" s="174" t="s">
        <v>391</v>
      </c>
      <c r="G311" s="174" t="s">
        <v>291</v>
      </c>
      <c r="H311" s="174" t="s">
        <v>411</v>
      </c>
      <c r="I311" s="174" t="s">
        <v>412</v>
      </c>
      <c r="J311" s="174" t="s">
        <v>456</v>
      </c>
      <c r="K311" s="174" t="s">
        <v>457</v>
      </c>
      <c r="L311" s="174" t="s">
        <v>458</v>
      </c>
      <c r="M311" s="174" t="s">
        <v>281</v>
      </c>
      <c r="N311" s="177">
        <v>17500000</v>
      </c>
      <c r="O311" s="174" t="s">
        <v>459</v>
      </c>
      <c r="P311" s="174" t="s">
        <v>283</v>
      </c>
      <c r="Q311" s="174" t="s">
        <v>284</v>
      </c>
      <c r="R311" s="174" t="s">
        <v>283</v>
      </c>
      <c r="S311" s="174" t="s">
        <v>283</v>
      </c>
      <c r="T311" s="175">
        <v>0</v>
      </c>
    </row>
    <row r="312" spans="1:20" x14ac:dyDescent="0.2">
      <c r="B312" s="168" t="s">
        <v>6</v>
      </c>
      <c r="C312" s="168" t="s">
        <v>25</v>
      </c>
      <c r="D312" s="173">
        <v>45688</v>
      </c>
      <c r="E312" s="174" t="s">
        <v>455</v>
      </c>
      <c r="F312" s="174" t="s">
        <v>375</v>
      </c>
      <c r="G312" s="174" t="s">
        <v>336</v>
      </c>
      <c r="H312" s="174" t="s">
        <v>411</v>
      </c>
      <c r="I312" s="174" t="s">
        <v>412</v>
      </c>
      <c r="J312" s="174" t="s">
        <v>456</v>
      </c>
      <c r="K312" s="174" t="s">
        <v>457</v>
      </c>
      <c r="L312" s="174" t="s">
        <v>458</v>
      </c>
      <c r="M312" s="174" t="s">
        <v>281</v>
      </c>
      <c r="N312" s="177">
        <v>7485000</v>
      </c>
      <c r="O312" s="174" t="s">
        <v>459</v>
      </c>
      <c r="P312" s="174" t="s">
        <v>283</v>
      </c>
      <c r="Q312" s="174" t="s">
        <v>284</v>
      </c>
      <c r="R312" s="174" t="s">
        <v>283</v>
      </c>
      <c r="S312" s="174" t="s">
        <v>283</v>
      </c>
      <c r="T312" s="175">
        <v>0</v>
      </c>
    </row>
    <row r="313" spans="1:20" x14ac:dyDescent="0.2">
      <c r="B313" s="168" t="s">
        <v>4</v>
      </c>
      <c r="C313" s="168" t="s">
        <v>22</v>
      </c>
      <c r="D313" s="173">
        <v>45688</v>
      </c>
      <c r="E313" s="174" t="s">
        <v>455</v>
      </c>
      <c r="F313" s="174" t="s">
        <v>387</v>
      </c>
      <c r="G313" s="174" t="s">
        <v>275</v>
      </c>
      <c r="H313" s="174" t="s">
        <v>418</v>
      </c>
      <c r="I313" s="174" t="s">
        <v>419</v>
      </c>
      <c r="J313" s="174" t="s">
        <v>456</v>
      </c>
      <c r="K313" s="174" t="s">
        <v>457</v>
      </c>
      <c r="L313" s="174" t="s">
        <v>458</v>
      </c>
      <c r="M313" s="174" t="s">
        <v>281</v>
      </c>
      <c r="N313" s="177">
        <v>135414904</v>
      </c>
      <c r="O313" s="174" t="s">
        <v>459</v>
      </c>
      <c r="P313" s="174" t="s">
        <v>283</v>
      </c>
      <c r="Q313" s="174" t="s">
        <v>284</v>
      </c>
      <c r="R313" s="174" t="s">
        <v>283</v>
      </c>
      <c r="S313" s="174" t="s">
        <v>283</v>
      </c>
      <c r="T313" s="175">
        <v>0</v>
      </c>
    </row>
    <row r="314" spans="1:20" x14ac:dyDescent="0.2">
      <c r="B314" s="168" t="s">
        <v>4</v>
      </c>
      <c r="C314" s="168" t="s">
        <v>22</v>
      </c>
      <c r="D314" s="173">
        <v>45688</v>
      </c>
      <c r="E314" s="174" t="s">
        <v>455</v>
      </c>
      <c r="F314" s="174" t="s">
        <v>388</v>
      </c>
      <c r="G314" s="174" t="s">
        <v>286</v>
      </c>
      <c r="H314" s="174" t="s">
        <v>418</v>
      </c>
      <c r="I314" s="174" t="s">
        <v>419</v>
      </c>
      <c r="J314" s="174" t="s">
        <v>456</v>
      </c>
      <c r="K314" s="174" t="s">
        <v>457</v>
      </c>
      <c r="L314" s="174" t="s">
        <v>458</v>
      </c>
      <c r="M314" s="174" t="s">
        <v>281</v>
      </c>
      <c r="N314" s="177">
        <v>10415923</v>
      </c>
      <c r="O314" s="174" t="s">
        <v>459</v>
      </c>
      <c r="P314" s="174" t="s">
        <v>283</v>
      </c>
      <c r="Q314" s="174" t="s">
        <v>284</v>
      </c>
      <c r="R314" s="174" t="s">
        <v>283</v>
      </c>
      <c r="S314" s="174" t="s">
        <v>283</v>
      </c>
      <c r="T314" s="175">
        <v>0</v>
      </c>
    </row>
    <row r="315" spans="1:20" x14ac:dyDescent="0.2">
      <c r="B315" s="168" t="s">
        <v>4</v>
      </c>
      <c r="C315" s="168" t="s">
        <v>24</v>
      </c>
      <c r="D315" s="173">
        <v>45688</v>
      </c>
      <c r="E315" s="174" t="s">
        <v>455</v>
      </c>
      <c r="F315" s="174" t="s">
        <v>391</v>
      </c>
      <c r="G315" s="174" t="s">
        <v>291</v>
      </c>
      <c r="H315" s="174" t="s">
        <v>418</v>
      </c>
      <c r="I315" s="174" t="s">
        <v>419</v>
      </c>
      <c r="J315" s="174" t="s">
        <v>456</v>
      </c>
      <c r="K315" s="174" t="s">
        <v>457</v>
      </c>
      <c r="L315" s="174" t="s">
        <v>458</v>
      </c>
      <c r="M315" s="174" t="s">
        <v>281</v>
      </c>
      <c r="N315" s="177">
        <v>1200000</v>
      </c>
      <c r="O315" s="174" t="s">
        <v>459</v>
      </c>
      <c r="P315" s="174" t="s">
        <v>283</v>
      </c>
      <c r="Q315" s="174" t="s">
        <v>284</v>
      </c>
      <c r="R315" s="174" t="s">
        <v>283</v>
      </c>
      <c r="S315" s="174" t="s">
        <v>283</v>
      </c>
      <c r="T315" s="175">
        <v>0</v>
      </c>
    </row>
    <row r="316" spans="1:20" x14ac:dyDescent="0.2">
      <c r="B316" s="168" t="s">
        <v>4</v>
      </c>
      <c r="C316" s="168" t="s">
        <v>25</v>
      </c>
      <c r="D316" s="173">
        <v>45688</v>
      </c>
      <c r="E316" s="174" t="s">
        <v>455</v>
      </c>
      <c r="F316" s="174" t="s">
        <v>375</v>
      </c>
      <c r="G316" s="174" t="s">
        <v>336</v>
      </c>
      <c r="H316" s="174" t="s">
        <v>418</v>
      </c>
      <c r="I316" s="174" t="s">
        <v>419</v>
      </c>
      <c r="J316" s="174" t="s">
        <v>456</v>
      </c>
      <c r="K316" s="174" t="s">
        <v>457</v>
      </c>
      <c r="L316" s="174" t="s">
        <v>458</v>
      </c>
      <c r="M316" s="174" t="s">
        <v>281</v>
      </c>
      <c r="N316" s="177">
        <v>50000</v>
      </c>
      <c r="O316" s="174" t="s">
        <v>459</v>
      </c>
      <c r="P316" s="174" t="s">
        <v>283</v>
      </c>
      <c r="Q316" s="174" t="s">
        <v>284</v>
      </c>
      <c r="R316" s="174" t="s">
        <v>283</v>
      </c>
      <c r="S316" s="174" t="s">
        <v>283</v>
      </c>
      <c r="T316" s="175">
        <v>0</v>
      </c>
    </row>
    <row r="317" spans="1:20" x14ac:dyDescent="0.2">
      <c r="A317" s="169">
        <v>622</v>
      </c>
      <c r="B317" s="168" t="s">
        <v>8</v>
      </c>
      <c r="C317" s="168" t="s">
        <v>22</v>
      </c>
      <c r="D317" s="173">
        <v>45688</v>
      </c>
      <c r="E317" s="174" t="s">
        <v>455</v>
      </c>
      <c r="F317" s="174" t="s">
        <v>400</v>
      </c>
      <c r="G317" s="174" t="s">
        <v>401</v>
      </c>
      <c r="H317" s="174" t="s">
        <v>402</v>
      </c>
      <c r="I317" s="174" t="s">
        <v>403</v>
      </c>
      <c r="J317" s="174" t="s">
        <v>456</v>
      </c>
      <c r="K317" s="174" t="s">
        <v>457</v>
      </c>
      <c r="L317" s="174" t="s">
        <v>458</v>
      </c>
      <c r="M317" s="174" t="s">
        <v>281</v>
      </c>
      <c r="N317" s="177">
        <v>1398935257</v>
      </c>
      <c r="O317" s="174" t="s">
        <v>459</v>
      </c>
      <c r="P317" s="174" t="s">
        <v>283</v>
      </c>
      <c r="Q317" s="174" t="s">
        <v>284</v>
      </c>
      <c r="R317" s="174" t="s">
        <v>283</v>
      </c>
      <c r="S317" s="174" t="s">
        <v>283</v>
      </c>
      <c r="T317" s="175">
        <v>0</v>
      </c>
    </row>
    <row r="318" spans="1:20" x14ac:dyDescent="0.2">
      <c r="A318" s="169">
        <v>622</v>
      </c>
      <c r="B318" s="168" t="s">
        <v>8</v>
      </c>
      <c r="C318" s="168" t="s">
        <v>22</v>
      </c>
      <c r="D318" s="173">
        <v>45688</v>
      </c>
      <c r="E318" s="174" t="s">
        <v>455</v>
      </c>
      <c r="F318" s="174" t="s">
        <v>420</v>
      </c>
      <c r="G318" s="174" t="s">
        <v>286</v>
      </c>
      <c r="H318" s="174" t="s">
        <v>402</v>
      </c>
      <c r="I318" s="174" t="s">
        <v>403</v>
      </c>
      <c r="J318" s="174" t="s">
        <v>456</v>
      </c>
      <c r="K318" s="174" t="s">
        <v>457</v>
      </c>
      <c r="L318" s="174" t="s">
        <v>458</v>
      </c>
      <c r="M318" s="174" t="s">
        <v>281</v>
      </c>
      <c r="N318" s="177">
        <v>136066273</v>
      </c>
      <c r="O318" s="174" t="s">
        <v>459</v>
      </c>
      <c r="P318" s="174" t="s">
        <v>283</v>
      </c>
      <c r="Q318" s="174" t="s">
        <v>284</v>
      </c>
      <c r="R318" s="174" t="s">
        <v>283</v>
      </c>
      <c r="S318" s="174" t="s">
        <v>283</v>
      </c>
      <c r="T318" s="175">
        <v>0</v>
      </c>
    </row>
    <row r="319" spans="1:20" x14ac:dyDescent="0.2">
      <c r="A319" s="169">
        <v>622</v>
      </c>
      <c r="B319" s="168" t="s">
        <v>8</v>
      </c>
      <c r="C319" s="168" t="s">
        <v>25</v>
      </c>
      <c r="D319" s="173">
        <v>45688</v>
      </c>
      <c r="E319" s="174" t="s">
        <v>455</v>
      </c>
      <c r="F319" s="174" t="s">
        <v>421</v>
      </c>
      <c r="G319" s="174" t="s">
        <v>341</v>
      </c>
      <c r="H319" s="174" t="s">
        <v>402</v>
      </c>
      <c r="I319" s="174" t="s">
        <v>403</v>
      </c>
      <c r="J319" s="174" t="s">
        <v>456</v>
      </c>
      <c r="K319" s="174" t="s">
        <v>457</v>
      </c>
      <c r="L319" s="174" t="s">
        <v>458</v>
      </c>
      <c r="M319" s="174" t="s">
        <v>281</v>
      </c>
      <c r="N319" s="177">
        <v>102386013</v>
      </c>
      <c r="O319" s="174" t="s">
        <v>459</v>
      </c>
      <c r="P319" s="174" t="s">
        <v>283</v>
      </c>
      <c r="Q319" s="174" t="s">
        <v>284</v>
      </c>
      <c r="R319" s="174" t="s">
        <v>283</v>
      </c>
      <c r="S319" s="174" t="s">
        <v>283</v>
      </c>
      <c r="T319" s="175">
        <v>0</v>
      </c>
    </row>
    <row r="320" spans="1:20" x14ac:dyDescent="0.2">
      <c r="A320" s="169">
        <v>622</v>
      </c>
      <c r="B320" s="168" t="s">
        <v>8</v>
      </c>
      <c r="C320" s="168" t="s">
        <v>23</v>
      </c>
      <c r="D320" s="173">
        <v>45688</v>
      </c>
      <c r="E320" s="174" t="s">
        <v>455</v>
      </c>
      <c r="F320" s="174" t="s">
        <v>422</v>
      </c>
      <c r="G320" s="174" t="s">
        <v>423</v>
      </c>
      <c r="H320" s="174" t="s">
        <v>402</v>
      </c>
      <c r="I320" s="174" t="s">
        <v>403</v>
      </c>
      <c r="J320" s="174" t="s">
        <v>456</v>
      </c>
      <c r="K320" s="174" t="s">
        <v>457</v>
      </c>
      <c r="L320" s="174" t="s">
        <v>458</v>
      </c>
      <c r="M320" s="174" t="s">
        <v>281</v>
      </c>
      <c r="N320" s="177">
        <v>273597430</v>
      </c>
      <c r="O320" s="174" t="s">
        <v>459</v>
      </c>
      <c r="P320" s="174" t="s">
        <v>283</v>
      </c>
      <c r="Q320" s="174" t="s">
        <v>284</v>
      </c>
      <c r="R320" s="174" t="s">
        <v>283</v>
      </c>
      <c r="S320" s="174" t="s">
        <v>283</v>
      </c>
      <c r="T320" s="175">
        <v>0</v>
      </c>
    </row>
    <row r="321" spans="1:20" x14ac:dyDescent="0.2">
      <c r="A321" s="169">
        <v>622</v>
      </c>
      <c r="B321" s="168" t="s">
        <v>8</v>
      </c>
      <c r="C321" s="168" t="s">
        <v>24</v>
      </c>
      <c r="D321" s="173">
        <v>45688</v>
      </c>
      <c r="E321" s="174" t="s">
        <v>455</v>
      </c>
      <c r="F321" s="174" t="s">
        <v>424</v>
      </c>
      <c r="G321" s="174" t="s">
        <v>291</v>
      </c>
      <c r="H321" s="174" t="s">
        <v>402</v>
      </c>
      <c r="I321" s="174" t="s">
        <v>403</v>
      </c>
      <c r="J321" s="174" t="s">
        <v>456</v>
      </c>
      <c r="K321" s="174" t="s">
        <v>457</v>
      </c>
      <c r="L321" s="174" t="s">
        <v>458</v>
      </c>
      <c r="M321" s="174" t="s">
        <v>281</v>
      </c>
      <c r="N321" s="177">
        <v>86800000</v>
      </c>
      <c r="O321" s="174" t="s">
        <v>459</v>
      </c>
      <c r="P321" s="174" t="s">
        <v>283</v>
      </c>
      <c r="Q321" s="174" t="s">
        <v>284</v>
      </c>
      <c r="R321" s="174" t="s">
        <v>283</v>
      </c>
      <c r="S321" s="174" t="s">
        <v>283</v>
      </c>
      <c r="T321" s="175">
        <v>0</v>
      </c>
    </row>
    <row r="322" spans="1:20" x14ac:dyDescent="0.2">
      <c r="A322" s="169">
        <v>622</v>
      </c>
      <c r="B322" s="168" t="s">
        <v>8</v>
      </c>
      <c r="C322" s="168" t="s">
        <v>25</v>
      </c>
      <c r="D322" s="173">
        <v>45688</v>
      </c>
      <c r="E322" s="174" t="s">
        <v>455</v>
      </c>
      <c r="F322" s="174" t="s">
        <v>414</v>
      </c>
      <c r="G322" s="174" t="s">
        <v>415</v>
      </c>
      <c r="H322" s="174" t="s">
        <v>402</v>
      </c>
      <c r="I322" s="174" t="s">
        <v>403</v>
      </c>
      <c r="J322" s="174" t="s">
        <v>456</v>
      </c>
      <c r="K322" s="174" t="s">
        <v>457</v>
      </c>
      <c r="L322" s="174" t="s">
        <v>458</v>
      </c>
      <c r="M322" s="174" t="s">
        <v>281</v>
      </c>
      <c r="N322" s="177">
        <v>29210000</v>
      </c>
      <c r="O322" s="174" t="s">
        <v>459</v>
      </c>
      <c r="P322" s="174" t="s">
        <v>283</v>
      </c>
      <c r="Q322" s="174" t="s">
        <v>284</v>
      </c>
      <c r="R322" s="174" t="s">
        <v>283</v>
      </c>
      <c r="S322" s="174" t="s">
        <v>283</v>
      </c>
      <c r="T322" s="175">
        <v>0</v>
      </c>
    </row>
    <row r="323" spans="1:20" x14ac:dyDescent="0.2">
      <c r="A323" s="169">
        <v>627</v>
      </c>
      <c r="B323" s="168" t="s">
        <v>8</v>
      </c>
      <c r="C323" s="168" t="s">
        <v>25</v>
      </c>
      <c r="D323" s="173">
        <v>45688</v>
      </c>
      <c r="E323" s="174" t="s">
        <v>455</v>
      </c>
      <c r="F323" s="174" t="s">
        <v>386</v>
      </c>
      <c r="G323" s="174" t="s">
        <v>341</v>
      </c>
      <c r="H323" s="174" t="s">
        <v>402</v>
      </c>
      <c r="I323" s="174" t="s">
        <v>403</v>
      </c>
      <c r="J323" s="174" t="s">
        <v>456</v>
      </c>
      <c r="K323" s="174" t="s">
        <v>457</v>
      </c>
      <c r="L323" s="174" t="s">
        <v>458</v>
      </c>
      <c r="M323" s="174" t="s">
        <v>281</v>
      </c>
      <c r="N323" s="177">
        <v>12272713</v>
      </c>
      <c r="O323" s="174" t="s">
        <v>459</v>
      </c>
      <c r="P323" s="174" t="s">
        <v>283</v>
      </c>
      <c r="Q323" s="174" t="s">
        <v>284</v>
      </c>
      <c r="R323" s="174" t="s">
        <v>283</v>
      </c>
      <c r="S323" s="174" t="s">
        <v>283</v>
      </c>
      <c r="T323" s="175">
        <v>0</v>
      </c>
    </row>
    <row r="324" spans="1:20" x14ac:dyDescent="0.2">
      <c r="A324" s="169">
        <v>627</v>
      </c>
      <c r="B324" s="168" t="s">
        <v>8</v>
      </c>
      <c r="C324" s="168" t="s">
        <v>22</v>
      </c>
      <c r="D324" s="173">
        <v>45688</v>
      </c>
      <c r="E324" s="174" t="s">
        <v>455</v>
      </c>
      <c r="F324" s="174" t="s">
        <v>387</v>
      </c>
      <c r="G324" s="174" t="s">
        <v>275</v>
      </c>
      <c r="H324" s="174" t="s">
        <v>402</v>
      </c>
      <c r="I324" s="174" t="s">
        <v>403</v>
      </c>
      <c r="J324" s="174" t="s">
        <v>456</v>
      </c>
      <c r="K324" s="174" t="s">
        <v>457</v>
      </c>
      <c r="L324" s="174" t="s">
        <v>458</v>
      </c>
      <c r="M324" s="174" t="s">
        <v>281</v>
      </c>
      <c r="N324" s="177">
        <v>418775524</v>
      </c>
      <c r="O324" s="174" t="s">
        <v>459</v>
      </c>
      <c r="P324" s="174" t="s">
        <v>283</v>
      </c>
      <c r="Q324" s="174" t="s">
        <v>284</v>
      </c>
      <c r="R324" s="174" t="s">
        <v>283</v>
      </c>
      <c r="S324" s="174" t="s">
        <v>283</v>
      </c>
      <c r="T324" s="175">
        <v>0</v>
      </c>
    </row>
    <row r="325" spans="1:20" x14ac:dyDescent="0.2">
      <c r="A325" s="169">
        <v>627</v>
      </c>
      <c r="B325" s="168" t="s">
        <v>8</v>
      </c>
      <c r="C325" s="168" t="s">
        <v>22</v>
      </c>
      <c r="D325" s="173">
        <v>45688</v>
      </c>
      <c r="E325" s="174" t="s">
        <v>455</v>
      </c>
      <c r="F325" s="174" t="s">
        <v>388</v>
      </c>
      <c r="G325" s="174" t="s">
        <v>286</v>
      </c>
      <c r="H325" s="174" t="s">
        <v>402</v>
      </c>
      <c r="I325" s="174" t="s">
        <v>403</v>
      </c>
      <c r="J325" s="174" t="s">
        <v>456</v>
      </c>
      <c r="K325" s="174" t="s">
        <v>457</v>
      </c>
      <c r="L325" s="174" t="s">
        <v>458</v>
      </c>
      <c r="M325" s="174" t="s">
        <v>281</v>
      </c>
      <c r="N325" s="177">
        <v>32100346</v>
      </c>
      <c r="O325" s="174" t="s">
        <v>459</v>
      </c>
      <c r="P325" s="174" t="s">
        <v>283</v>
      </c>
      <c r="Q325" s="174" t="s">
        <v>284</v>
      </c>
      <c r="R325" s="174" t="s">
        <v>283</v>
      </c>
      <c r="S325" s="174" t="s">
        <v>283</v>
      </c>
      <c r="T325" s="175">
        <v>0</v>
      </c>
    </row>
    <row r="326" spans="1:20" x14ac:dyDescent="0.2">
      <c r="A326" s="169">
        <v>627</v>
      </c>
      <c r="B326" s="168" t="s">
        <v>8</v>
      </c>
      <c r="C326" s="168" t="s">
        <v>23</v>
      </c>
      <c r="D326" s="173">
        <v>45688</v>
      </c>
      <c r="E326" s="174" t="s">
        <v>455</v>
      </c>
      <c r="F326" s="174" t="s">
        <v>389</v>
      </c>
      <c r="G326" s="174" t="s">
        <v>390</v>
      </c>
      <c r="H326" s="174" t="s">
        <v>402</v>
      </c>
      <c r="I326" s="174" t="s">
        <v>403</v>
      </c>
      <c r="J326" s="174" t="s">
        <v>456</v>
      </c>
      <c r="K326" s="174" t="s">
        <v>457</v>
      </c>
      <c r="L326" s="174" t="s">
        <v>458</v>
      </c>
      <c r="M326" s="174" t="s">
        <v>281</v>
      </c>
      <c r="N326" s="177">
        <v>38375580</v>
      </c>
      <c r="O326" s="174" t="s">
        <v>459</v>
      </c>
      <c r="P326" s="174" t="s">
        <v>283</v>
      </c>
      <c r="Q326" s="174" t="s">
        <v>284</v>
      </c>
      <c r="R326" s="174" t="s">
        <v>283</v>
      </c>
      <c r="S326" s="174" t="s">
        <v>283</v>
      </c>
      <c r="T326" s="175">
        <v>0</v>
      </c>
    </row>
    <row r="327" spans="1:20" x14ac:dyDescent="0.2">
      <c r="A327" s="169">
        <v>627</v>
      </c>
      <c r="B327" s="168" t="s">
        <v>8</v>
      </c>
      <c r="C327" s="168" t="s">
        <v>24</v>
      </c>
      <c r="D327" s="173">
        <v>45688</v>
      </c>
      <c r="E327" s="174" t="s">
        <v>455</v>
      </c>
      <c r="F327" s="174" t="s">
        <v>391</v>
      </c>
      <c r="G327" s="174" t="s">
        <v>291</v>
      </c>
      <c r="H327" s="174" t="s">
        <v>402</v>
      </c>
      <c r="I327" s="174" t="s">
        <v>403</v>
      </c>
      <c r="J327" s="174" t="s">
        <v>456</v>
      </c>
      <c r="K327" s="174" t="s">
        <v>457</v>
      </c>
      <c r="L327" s="174" t="s">
        <v>458</v>
      </c>
      <c r="M327" s="174" t="s">
        <v>281</v>
      </c>
      <c r="N327" s="177">
        <v>8900000</v>
      </c>
      <c r="O327" s="174" t="s">
        <v>459</v>
      </c>
      <c r="P327" s="174" t="s">
        <v>283</v>
      </c>
      <c r="Q327" s="174" t="s">
        <v>284</v>
      </c>
      <c r="R327" s="174" t="s">
        <v>283</v>
      </c>
      <c r="S327" s="174" t="s">
        <v>283</v>
      </c>
      <c r="T327" s="175">
        <v>0</v>
      </c>
    </row>
    <row r="328" spans="1:20" x14ac:dyDescent="0.2">
      <c r="B328" s="168" t="s">
        <v>6</v>
      </c>
      <c r="C328" s="168" t="s">
        <v>22</v>
      </c>
      <c r="D328" s="173">
        <v>45688</v>
      </c>
      <c r="E328" s="174" t="s">
        <v>460</v>
      </c>
      <c r="F328" s="174" t="s">
        <v>388</v>
      </c>
      <c r="G328" s="174" t="s">
        <v>286</v>
      </c>
      <c r="H328" s="174" t="s">
        <v>411</v>
      </c>
      <c r="I328" s="174" t="s">
        <v>412</v>
      </c>
      <c r="J328" s="174" t="s">
        <v>461</v>
      </c>
      <c r="K328" s="174" t="s">
        <v>457</v>
      </c>
      <c r="L328" s="174" t="s">
        <v>458</v>
      </c>
      <c r="M328" s="174" t="s">
        <v>281</v>
      </c>
      <c r="N328" s="177">
        <v>37567000</v>
      </c>
      <c r="O328" s="174" t="s">
        <v>462</v>
      </c>
      <c r="P328" s="174" t="s">
        <v>283</v>
      </c>
      <c r="Q328" s="174" t="s">
        <v>284</v>
      </c>
      <c r="R328" s="174" t="s">
        <v>283</v>
      </c>
      <c r="S328" s="174" t="s">
        <v>283</v>
      </c>
      <c r="T328" s="175">
        <v>0</v>
      </c>
    </row>
    <row r="329" spans="1:20" x14ac:dyDescent="0.2">
      <c r="B329" s="168" t="s">
        <v>6</v>
      </c>
      <c r="C329" s="168" t="s">
        <v>24</v>
      </c>
      <c r="D329" s="173">
        <v>45688</v>
      </c>
      <c r="E329" s="174" t="s">
        <v>460</v>
      </c>
      <c r="F329" s="174" t="s">
        <v>395</v>
      </c>
      <c r="G329" s="174" t="s">
        <v>77</v>
      </c>
      <c r="H329" s="174" t="s">
        <v>411</v>
      </c>
      <c r="I329" s="174" t="s">
        <v>412</v>
      </c>
      <c r="J329" s="174" t="s">
        <v>463</v>
      </c>
      <c r="K329" s="174" t="s">
        <v>457</v>
      </c>
      <c r="L329" s="174" t="s">
        <v>458</v>
      </c>
      <c r="M329" s="174" t="s">
        <v>281</v>
      </c>
      <c r="N329" s="177">
        <v>34561339</v>
      </c>
      <c r="O329" s="174" t="s">
        <v>462</v>
      </c>
      <c r="P329" s="174" t="s">
        <v>283</v>
      </c>
      <c r="Q329" s="174" t="s">
        <v>284</v>
      </c>
      <c r="R329" s="174" t="s">
        <v>283</v>
      </c>
      <c r="S329" s="174" t="s">
        <v>283</v>
      </c>
      <c r="T329" s="175">
        <v>0</v>
      </c>
    </row>
    <row r="330" spans="1:20" x14ac:dyDescent="0.2">
      <c r="B330" s="168" t="s">
        <v>4</v>
      </c>
      <c r="C330" s="168" t="s">
        <v>22</v>
      </c>
      <c r="D330" s="173">
        <v>45688</v>
      </c>
      <c r="E330" s="174" t="s">
        <v>460</v>
      </c>
      <c r="F330" s="174" t="s">
        <v>388</v>
      </c>
      <c r="G330" s="174" t="s">
        <v>286</v>
      </c>
      <c r="H330" s="174" t="s">
        <v>418</v>
      </c>
      <c r="I330" s="174" t="s">
        <v>419</v>
      </c>
      <c r="J330" s="174" t="s">
        <v>461</v>
      </c>
      <c r="K330" s="174" t="s">
        <v>457</v>
      </c>
      <c r="L330" s="174" t="s">
        <v>458</v>
      </c>
      <c r="M330" s="174" t="s">
        <v>281</v>
      </c>
      <c r="N330" s="177">
        <v>12960750</v>
      </c>
      <c r="O330" s="174" t="s">
        <v>462</v>
      </c>
      <c r="P330" s="174" t="s">
        <v>283</v>
      </c>
      <c r="Q330" s="174" t="s">
        <v>284</v>
      </c>
      <c r="R330" s="174" t="s">
        <v>283</v>
      </c>
      <c r="S330" s="174" t="s">
        <v>283</v>
      </c>
      <c r="T330" s="175">
        <v>0</v>
      </c>
    </row>
    <row r="331" spans="1:20" x14ac:dyDescent="0.2">
      <c r="B331" s="168" t="s">
        <v>4</v>
      </c>
      <c r="C331" s="168" t="s">
        <v>24</v>
      </c>
      <c r="D331" s="173">
        <v>45688</v>
      </c>
      <c r="E331" s="174" t="s">
        <v>460</v>
      </c>
      <c r="F331" s="174" t="s">
        <v>395</v>
      </c>
      <c r="G331" s="174" t="s">
        <v>77</v>
      </c>
      <c r="H331" s="174" t="s">
        <v>418</v>
      </c>
      <c r="I331" s="174" t="s">
        <v>419</v>
      </c>
      <c r="J331" s="174" t="s">
        <v>463</v>
      </c>
      <c r="K331" s="174" t="s">
        <v>457</v>
      </c>
      <c r="L331" s="174" t="s">
        <v>458</v>
      </c>
      <c r="M331" s="174" t="s">
        <v>281</v>
      </c>
      <c r="N331" s="177">
        <v>11923786</v>
      </c>
      <c r="O331" s="174" t="s">
        <v>462</v>
      </c>
      <c r="P331" s="174" t="s">
        <v>283</v>
      </c>
      <c r="Q331" s="174" t="s">
        <v>284</v>
      </c>
      <c r="R331" s="174" t="s">
        <v>283</v>
      </c>
      <c r="S331" s="174" t="s">
        <v>283</v>
      </c>
      <c r="T331" s="175">
        <v>0</v>
      </c>
    </row>
    <row r="332" spans="1:20" x14ac:dyDescent="0.2">
      <c r="A332" s="169">
        <v>627</v>
      </c>
      <c r="B332" s="168" t="s">
        <v>8</v>
      </c>
      <c r="C332" s="168" t="s">
        <v>22</v>
      </c>
      <c r="D332" s="173">
        <v>45688</v>
      </c>
      <c r="E332" s="174" t="s">
        <v>460</v>
      </c>
      <c r="F332" s="174" t="s">
        <v>388</v>
      </c>
      <c r="G332" s="174" t="s">
        <v>286</v>
      </c>
      <c r="H332" s="174" t="s">
        <v>402</v>
      </c>
      <c r="I332" s="174" t="s">
        <v>403</v>
      </c>
      <c r="J332" s="174" t="s">
        <v>461</v>
      </c>
      <c r="K332" s="174" t="s">
        <v>457</v>
      </c>
      <c r="L332" s="174" t="s">
        <v>458</v>
      </c>
      <c r="M332" s="174" t="s">
        <v>281</v>
      </c>
      <c r="N332" s="177">
        <v>32842074</v>
      </c>
      <c r="O332" s="174" t="s">
        <v>462</v>
      </c>
      <c r="P332" s="174" t="s">
        <v>283</v>
      </c>
      <c r="Q332" s="174" t="s">
        <v>284</v>
      </c>
      <c r="R332" s="174" t="s">
        <v>283</v>
      </c>
      <c r="S332" s="174" t="s">
        <v>283</v>
      </c>
      <c r="T332" s="175">
        <v>0</v>
      </c>
    </row>
    <row r="333" spans="1:20" x14ac:dyDescent="0.2">
      <c r="A333" s="169">
        <v>622</v>
      </c>
      <c r="B333" s="168" t="s">
        <v>8</v>
      </c>
      <c r="C333" s="168" t="s">
        <v>22</v>
      </c>
      <c r="D333" s="173">
        <v>45688</v>
      </c>
      <c r="E333" s="174" t="s">
        <v>460</v>
      </c>
      <c r="F333" s="174" t="s">
        <v>420</v>
      </c>
      <c r="G333" s="174" t="s">
        <v>286</v>
      </c>
      <c r="H333" s="174" t="s">
        <v>402</v>
      </c>
      <c r="I333" s="174" t="s">
        <v>403</v>
      </c>
      <c r="J333" s="174" t="s">
        <v>461</v>
      </c>
      <c r="K333" s="174" t="s">
        <v>457</v>
      </c>
      <c r="L333" s="174" t="s">
        <v>458</v>
      </c>
      <c r="M333" s="174" t="s">
        <v>281</v>
      </c>
      <c r="N333" s="177">
        <v>91295827</v>
      </c>
      <c r="O333" s="174" t="s">
        <v>462</v>
      </c>
      <c r="P333" s="174" t="s">
        <v>283</v>
      </c>
      <c r="Q333" s="174" t="s">
        <v>284</v>
      </c>
      <c r="R333" s="174" t="s">
        <v>283</v>
      </c>
      <c r="S333" s="174" t="s">
        <v>283</v>
      </c>
      <c r="T333" s="175">
        <v>0</v>
      </c>
    </row>
    <row r="334" spans="1:20" x14ac:dyDescent="0.2">
      <c r="A334" s="169">
        <v>622</v>
      </c>
      <c r="B334" s="168" t="s">
        <v>8</v>
      </c>
      <c r="C334" s="168" t="s">
        <v>24</v>
      </c>
      <c r="D334" s="173">
        <v>45688</v>
      </c>
      <c r="E334" s="174" t="s">
        <v>460</v>
      </c>
      <c r="F334" s="174" t="s">
        <v>426</v>
      </c>
      <c r="G334" s="174" t="s">
        <v>77</v>
      </c>
      <c r="H334" s="174" t="s">
        <v>402</v>
      </c>
      <c r="I334" s="174" t="s">
        <v>403</v>
      </c>
      <c r="J334" s="174" t="s">
        <v>463</v>
      </c>
      <c r="K334" s="174" t="s">
        <v>457</v>
      </c>
      <c r="L334" s="174" t="s">
        <v>458</v>
      </c>
      <c r="M334" s="174" t="s">
        <v>281</v>
      </c>
      <c r="N334" s="177">
        <v>23326475</v>
      </c>
      <c r="O334" s="174" t="s">
        <v>462</v>
      </c>
      <c r="P334" s="174" t="s">
        <v>283</v>
      </c>
      <c r="Q334" s="174" t="s">
        <v>284</v>
      </c>
      <c r="R334" s="174" t="s">
        <v>283</v>
      </c>
      <c r="S334" s="174" t="s">
        <v>283</v>
      </c>
      <c r="T334" s="175">
        <v>0</v>
      </c>
    </row>
    <row r="335" spans="1:20" x14ac:dyDescent="0.2">
      <c r="B335" s="168" t="s">
        <v>6</v>
      </c>
      <c r="C335" s="168" t="s">
        <v>170</v>
      </c>
      <c r="D335" s="173">
        <v>45688</v>
      </c>
      <c r="E335" s="174" t="s">
        <v>464</v>
      </c>
      <c r="F335" s="174" t="s">
        <v>393</v>
      </c>
      <c r="G335" s="174" t="s">
        <v>296</v>
      </c>
      <c r="H335" s="174" t="s">
        <v>411</v>
      </c>
      <c r="I335" s="174" t="s">
        <v>412</v>
      </c>
      <c r="J335" s="174" t="s">
        <v>465</v>
      </c>
      <c r="K335" s="174" t="s">
        <v>457</v>
      </c>
      <c r="L335" s="174" t="s">
        <v>458</v>
      </c>
      <c r="M335" s="174" t="s">
        <v>281</v>
      </c>
      <c r="N335" s="177">
        <v>100298940</v>
      </c>
      <c r="O335" s="174" t="s">
        <v>466</v>
      </c>
      <c r="P335" s="174" t="s">
        <v>283</v>
      </c>
      <c r="Q335" s="174" t="s">
        <v>284</v>
      </c>
      <c r="R335" s="174" t="s">
        <v>283</v>
      </c>
      <c r="S335" s="174" t="s">
        <v>283</v>
      </c>
      <c r="T335" s="175">
        <v>0</v>
      </c>
    </row>
    <row r="336" spans="1:20" x14ac:dyDescent="0.2">
      <c r="B336" s="168" t="s">
        <v>4</v>
      </c>
      <c r="C336" s="168" t="s">
        <v>170</v>
      </c>
      <c r="D336" s="173">
        <v>45688</v>
      </c>
      <c r="E336" s="174" t="s">
        <v>464</v>
      </c>
      <c r="F336" s="174" t="s">
        <v>393</v>
      </c>
      <c r="G336" s="174" t="s">
        <v>296</v>
      </c>
      <c r="H336" s="174" t="s">
        <v>418</v>
      </c>
      <c r="I336" s="174" t="s">
        <v>419</v>
      </c>
      <c r="J336" s="174" t="s">
        <v>465</v>
      </c>
      <c r="K336" s="174" t="s">
        <v>457</v>
      </c>
      <c r="L336" s="174" t="s">
        <v>458</v>
      </c>
      <c r="M336" s="174" t="s">
        <v>281</v>
      </c>
      <c r="N336" s="177">
        <v>35154315</v>
      </c>
      <c r="O336" s="174" t="s">
        <v>466</v>
      </c>
      <c r="P336" s="174" t="s">
        <v>283</v>
      </c>
      <c r="Q336" s="174" t="s">
        <v>284</v>
      </c>
      <c r="R336" s="174" t="s">
        <v>283</v>
      </c>
      <c r="S336" s="174" t="s">
        <v>283</v>
      </c>
      <c r="T336" s="175">
        <v>0</v>
      </c>
    </row>
    <row r="337" spans="1:20" x14ac:dyDescent="0.2">
      <c r="A337" s="169">
        <v>622</v>
      </c>
      <c r="B337" s="168" t="s">
        <v>8</v>
      </c>
      <c r="C337" s="168" t="s">
        <v>170</v>
      </c>
      <c r="D337" s="173">
        <v>45688</v>
      </c>
      <c r="E337" s="174" t="s">
        <v>464</v>
      </c>
      <c r="F337" s="174" t="s">
        <v>425</v>
      </c>
      <c r="G337" s="174" t="s">
        <v>296</v>
      </c>
      <c r="H337" s="174" t="s">
        <v>402</v>
      </c>
      <c r="I337" s="174" t="s">
        <v>403</v>
      </c>
      <c r="J337" s="174" t="s">
        <v>465</v>
      </c>
      <c r="K337" s="174" t="s">
        <v>457</v>
      </c>
      <c r="L337" s="174" t="s">
        <v>458</v>
      </c>
      <c r="M337" s="174" t="s">
        <v>281</v>
      </c>
      <c r="N337" s="177">
        <v>237025160</v>
      </c>
      <c r="O337" s="174" t="s">
        <v>466</v>
      </c>
      <c r="P337" s="174" t="s">
        <v>283</v>
      </c>
      <c r="Q337" s="174" t="s">
        <v>284</v>
      </c>
      <c r="R337" s="174" t="s">
        <v>283</v>
      </c>
      <c r="S337" s="174" t="s">
        <v>283</v>
      </c>
      <c r="T337" s="175">
        <v>0</v>
      </c>
    </row>
    <row r="338" spans="1:20" x14ac:dyDescent="0.2">
      <c r="B338" s="168" t="s">
        <v>6</v>
      </c>
      <c r="C338" s="168" t="s">
        <v>170</v>
      </c>
      <c r="D338" s="173">
        <v>45688</v>
      </c>
      <c r="E338" s="174" t="s">
        <v>522</v>
      </c>
      <c r="F338" s="174" t="s">
        <v>393</v>
      </c>
      <c r="G338" s="174" t="s">
        <v>296</v>
      </c>
      <c r="H338" s="174" t="s">
        <v>411</v>
      </c>
      <c r="I338" s="174" t="s">
        <v>412</v>
      </c>
      <c r="J338" s="174" t="s">
        <v>465</v>
      </c>
      <c r="K338" s="174" t="s">
        <v>457</v>
      </c>
      <c r="L338" s="174" t="s">
        <v>458</v>
      </c>
      <c r="M338" s="174" t="s">
        <v>281</v>
      </c>
      <c r="N338" s="177">
        <v>140120</v>
      </c>
      <c r="O338" s="174" t="s">
        <v>523</v>
      </c>
      <c r="P338" s="174" t="s">
        <v>283</v>
      </c>
      <c r="Q338" s="174" t="s">
        <v>284</v>
      </c>
      <c r="R338" s="174" t="s">
        <v>283</v>
      </c>
      <c r="S338" s="174" t="s">
        <v>283</v>
      </c>
      <c r="T338" s="175">
        <v>0</v>
      </c>
    </row>
    <row r="339" spans="1:20" x14ac:dyDescent="0.2">
      <c r="B339" s="168" t="s">
        <v>6</v>
      </c>
      <c r="C339" s="168" t="s">
        <v>170</v>
      </c>
      <c r="D339" s="173">
        <v>45688</v>
      </c>
      <c r="E339" s="174" t="s">
        <v>522</v>
      </c>
      <c r="F339" s="174" t="s">
        <v>393</v>
      </c>
      <c r="G339" s="174" t="s">
        <v>296</v>
      </c>
      <c r="H339" s="174" t="s">
        <v>411</v>
      </c>
      <c r="I339" s="174" t="s">
        <v>412</v>
      </c>
      <c r="J339" s="174" t="s">
        <v>465</v>
      </c>
      <c r="K339" s="174" t="s">
        <v>457</v>
      </c>
      <c r="L339" s="174" t="s">
        <v>458</v>
      </c>
      <c r="M339" s="174" t="s">
        <v>281</v>
      </c>
      <c r="N339" s="177">
        <v>1226050</v>
      </c>
      <c r="O339" s="174" t="s">
        <v>523</v>
      </c>
      <c r="P339" s="174" t="s">
        <v>283</v>
      </c>
      <c r="Q339" s="174" t="s">
        <v>284</v>
      </c>
      <c r="R339" s="174" t="s">
        <v>283</v>
      </c>
      <c r="S339" s="174" t="s">
        <v>283</v>
      </c>
      <c r="T339" s="175">
        <v>0</v>
      </c>
    </row>
    <row r="340" spans="1:20" x14ac:dyDescent="0.2">
      <c r="B340" s="168" t="s">
        <v>6</v>
      </c>
      <c r="C340" s="168" t="s">
        <v>170</v>
      </c>
      <c r="D340" s="173">
        <v>45688</v>
      </c>
      <c r="E340" s="174" t="s">
        <v>522</v>
      </c>
      <c r="F340" s="174" t="s">
        <v>393</v>
      </c>
      <c r="G340" s="174" t="s">
        <v>296</v>
      </c>
      <c r="H340" s="174" t="s">
        <v>411</v>
      </c>
      <c r="I340" s="174" t="s">
        <v>412</v>
      </c>
      <c r="J340" s="174" t="s">
        <v>465</v>
      </c>
      <c r="K340" s="174" t="s">
        <v>457</v>
      </c>
      <c r="L340" s="174" t="s">
        <v>458</v>
      </c>
      <c r="M340" s="174" t="s">
        <v>281</v>
      </c>
      <c r="N340" s="177">
        <v>210180</v>
      </c>
      <c r="O340" s="174" t="s">
        <v>523</v>
      </c>
      <c r="P340" s="174" t="s">
        <v>283</v>
      </c>
      <c r="Q340" s="174" t="s">
        <v>284</v>
      </c>
      <c r="R340" s="174" t="s">
        <v>283</v>
      </c>
      <c r="S340" s="174" t="s">
        <v>283</v>
      </c>
      <c r="T340" s="175">
        <v>0</v>
      </c>
    </row>
    <row r="341" spans="1:20" x14ac:dyDescent="0.2">
      <c r="B341" s="168" t="s">
        <v>6</v>
      </c>
      <c r="C341" s="168" t="s">
        <v>170</v>
      </c>
      <c r="D341" s="173">
        <v>45688</v>
      </c>
      <c r="E341" s="174" t="s">
        <v>522</v>
      </c>
      <c r="F341" s="174" t="s">
        <v>393</v>
      </c>
      <c r="G341" s="174" t="s">
        <v>296</v>
      </c>
      <c r="H341" s="174" t="s">
        <v>411</v>
      </c>
      <c r="I341" s="174" t="s">
        <v>412</v>
      </c>
      <c r="J341" s="174" t="s">
        <v>465</v>
      </c>
      <c r="K341" s="174" t="s">
        <v>457</v>
      </c>
      <c r="L341" s="174" t="s">
        <v>458</v>
      </c>
      <c r="M341" s="174" t="s">
        <v>281</v>
      </c>
      <c r="N341" s="177">
        <v>70060</v>
      </c>
      <c r="O341" s="174" t="s">
        <v>523</v>
      </c>
      <c r="P341" s="174" t="s">
        <v>283</v>
      </c>
      <c r="Q341" s="174" t="s">
        <v>284</v>
      </c>
      <c r="R341" s="174" t="s">
        <v>283</v>
      </c>
      <c r="S341" s="174" t="s">
        <v>283</v>
      </c>
      <c r="T341" s="175">
        <v>0</v>
      </c>
    </row>
    <row r="342" spans="1:20" x14ac:dyDescent="0.2">
      <c r="A342" s="169">
        <v>622</v>
      </c>
      <c r="B342" s="168" t="s">
        <v>8</v>
      </c>
      <c r="C342" s="168" t="s">
        <v>170</v>
      </c>
      <c r="D342" s="173">
        <v>45688</v>
      </c>
      <c r="E342" s="174" t="s">
        <v>522</v>
      </c>
      <c r="F342" s="174" t="s">
        <v>425</v>
      </c>
      <c r="G342" s="174" t="s">
        <v>296</v>
      </c>
      <c r="H342" s="174" t="s">
        <v>402</v>
      </c>
      <c r="I342" s="174" t="s">
        <v>403</v>
      </c>
      <c r="J342" s="174" t="s">
        <v>465</v>
      </c>
      <c r="K342" s="174" t="s">
        <v>457</v>
      </c>
      <c r="L342" s="174" t="s">
        <v>458</v>
      </c>
      <c r="M342" s="174" t="s">
        <v>281</v>
      </c>
      <c r="N342" s="177">
        <v>204000</v>
      </c>
      <c r="O342" s="174" t="s">
        <v>523</v>
      </c>
      <c r="P342" s="174" t="s">
        <v>283</v>
      </c>
      <c r="Q342" s="174" t="s">
        <v>284</v>
      </c>
      <c r="R342" s="174" t="s">
        <v>283</v>
      </c>
      <c r="S342" s="174" t="s">
        <v>283</v>
      </c>
      <c r="T342" s="175">
        <v>0</v>
      </c>
    </row>
    <row r="343" spans="1:20" x14ac:dyDescent="0.2">
      <c r="A343" s="169">
        <v>622</v>
      </c>
      <c r="B343" s="168" t="s">
        <v>8</v>
      </c>
      <c r="C343" s="168" t="s">
        <v>170</v>
      </c>
      <c r="D343" s="173">
        <v>45688</v>
      </c>
      <c r="E343" s="174" t="s">
        <v>522</v>
      </c>
      <c r="F343" s="174" t="s">
        <v>425</v>
      </c>
      <c r="G343" s="174" t="s">
        <v>296</v>
      </c>
      <c r="H343" s="174" t="s">
        <v>402</v>
      </c>
      <c r="I343" s="174" t="s">
        <v>403</v>
      </c>
      <c r="J343" s="174" t="s">
        <v>465</v>
      </c>
      <c r="K343" s="174" t="s">
        <v>457</v>
      </c>
      <c r="L343" s="174" t="s">
        <v>458</v>
      </c>
      <c r="M343" s="174" t="s">
        <v>281</v>
      </c>
      <c r="N343" s="177">
        <v>1785000</v>
      </c>
      <c r="O343" s="174" t="s">
        <v>523</v>
      </c>
      <c r="P343" s="174" t="s">
        <v>283</v>
      </c>
      <c r="Q343" s="174" t="s">
        <v>284</v>
      </c>
      <c r="R343" s="174" t="s">
        <v>283</v>
      </c>
      <c r="S343" s="174" t="s">
        <v>283</v>
      </c>
      <c r="T343" s="175">
        <v>0</v>
      </c>
    </row>
    <row r="344" spans="1:20" x14ac:dyDescent="0.2">
      <c r="A344" s="169">
        <v>622</v>
      </c>
      <c r="B344" s="168" t="s">
        <v>8</v>
      </c>
      <c r="C344" s="168" t="s">
        <v>170</v>
      </c>
      <c r="D344" s="173">
        <v>45688</v>
      </c>
      <c r="E344" s="174" t="s">
        <v>522</v>
      </c>
      <c r="F344" s="174" t="s">
        <v>425</v>
      </c>
      <c r="G344" s="174" t="s">
        <v>296</v>
      </c>
      <c r="H344" s="174" t="s">
        <v>402</v>
      </c>
      <c r="I344" s="174" t="s">
        <v>403</v>
      </c>
      <c r="J344" s="174" t="s">
        <v>465</v>
      </c>
      <c r="K344" s="174" t="s">
        <v>457</v>
      </c>
      <c r="L344" s="174" t="s">
        <v>458</v>
      </c>
      <c r="M344" s="174" t="s">
        <v>281</v>
      </c>
      <c r="N344" s="177">
        <v>306000</v>
      </c>
      <c r="O344" s="174" t="s">
        <v>523</v>
      </c>
      <c r="P344" s="174" t="s">
        <v>283</v>
      </c>
      <c r="Q344" s="174" t="s">
        <v>284</v>
      </c>
      <c r="R344" s="174" t="s">
        <v>283</v>
      </c>
      <c r="S344" s="174" t="s">
        <v>283</v>
      </c>
      <c r="T344" s="175">
        <v>0</v>
      </c>
    </row>
    <row r="345" spans="1:20" x14ac:dyDescent="0.2">
      <c r="A345" s="169">
        <v>622</v>
      </c>
      <c r="B345" s="168" t="s">
        <v>8</v>
      </c>
      <c r="C345" s="168" t="s">
        <v>170</v>
      </c>
      <c r="D345" s="173">
        <v>45688</v>
      </c>
      <c r="E345" s="174" t="s">
        <v>522</v>
      </c>
      <c r="F345" s="174" t="s">
        <v>425</v>
      </c>
      <c r="G345" s="174" t="s">
        <v>296</v>
      </c>
      <c r="H345" s="174" t="s">
        <v>402</v>
      </c>
      <c r="I345" s="174" t="s">
        <v>403</v>
      </c>
      <c r="J345" s="174" t="s">
        <v>465</v>
      </c>
      <c r="K345" s="174" t="s">
        <v>457</v>
      </c>
      <c r="L345" s="174" t="s">
        <v>458</v>
      </c>
      <c r="M345" s="174" t="s">
        <v>281</v>
      </c>
      <c r="N345" s="177">
        <v>102000</v>
      </c>
      <c r="O345" s="174" t="s">
        <v>523</v>
      </c>
      <c r="P345" s="174" t="s">
        <v>283</v>
      </c>
      <c r="Q345" s="174" t="s">
        <v>284</v>
      </c>
      <c r="R345" s="174" t="s">
        <v>283</v>
      </c>
      <c r="S345" s="174" t="s">
        <v>283</v>
      </c>
      <c r="T345" s="175">
        <v>0</v>
      </c>
    </row>
    <row r="346" spans="1:20" x14ac:dyDescent="0.2">
      <c r="A346" s="169">
        <v>622</v>
      </c>
      <c r="B346" s="168" t="s">
        <v>8</v>
      </c>
      <c r="C346" s="168" t="s">
        <v>170</v>
      </c>
      <c r="D346" s="173">
        <v>45688</v>
      </c>
      <c r="E346" s="174" t="s">
        <v>522</v>
      </c>
      <c r="F346" s="174" t="s">
        <v>425</v>
      </c>
      <c r="G346" s="174" t="s">
        <v>296</v>
      </c>
      <c r="H346" s="174" t="s">
        <v>402</v>
      </c>
      <c r="I346" s="174" t="s">
        <v>403</v>
      </c>
      <c r="J346" s="174" t="s">
        <v>465</v>
      </c>
      <c r="K346" s="174" t="s">
        <v>457</v>
      </c>
      <c r="L346" s="174" t="s">
        <v>458</v>
      </c>
      <c r="M346" s="174" t="s">
        <v>281</v>
      </c>
      <c r="N346" s="177">
        <v>209200</v>
      </c>
      <c r="O346" s="174" t="s">
        <v>523</v>
      </c>
      <c r="P346" s="174" t="s">
        <v>283</v>
      </c>
      <c r="Q346" s="174" t="s">
        <v>284</v>
      </c>
      <c r="R346" s="174" t="s">
        <v>283</v>
      </c>
      <c r="S346" s="174" t="s">
        <v>283</v>
      </c>
      <c r="T346" s="175">
        <v>0</v>
      </c>
    </row>
    <row r="347" spans="1:20" x14ac:dyDescent="0.2">
      <c r="A347" s="169">
        <v>622</v>
      </c>
      <c r="B347" s="168" t="s">
        <v>8</v>
      </c>
      <c r="C347" s="168" t="s">
        <v>170</v>
      </c>
      <c r="D347" s="173">
        <v>45688</v>
      </c>
      <c r="E347" s="174" t="s">
        <v>522</v>
      </c>
      <c r="F347" s="174" t="s">
        <v>425</v>
      </c>
      <c r="G347" s="174" t="s">
        <v>296</v>
      </c>
      <c r="H347" s="174" t="s">
        <v>402</v>
      </c>
      <c r="I347" s="174" t="s">
        <v>403</v>
      </c>
      <c r="J347" s="174" t="s">
        <v>465</v>
      </c>
      <c r="K347" s="174" t="s">
        <v>457</v>
      </c>
      <c r="L347" s="174" t="s">
        <v>458</v>
      </c>
      <c r="M347" s="174" t="s">
        <v>281</v>
      </c>
      <c r="N347" s="177">
        <v>1830500</v>
      </c>
      <c r="O347" s="174" t="s">
        <v>523</v>
      </c>
      <c r="P347" s="174" t="s">
        <v>283</v>
      </c>
      <c r="Q347" s="174" t="s">
        <v>284</v>
      </c>
      <c r="R347" s="174" t="s">
        <v>283</v>
      </c>
      <c r="S347" s="174" t="s">
        <v>283</v>
      </c>
      <c r="T347" s="175">
        <v>0</v>
      </c>
    </row>
    <row r="348" spans="1:20" x14ac:dyDescent="0.2">
      <c r="A348" s="169">
        <v>622</v>
      </c>
      <c r="B348" s="168" t="s">
        <v>8</v>
      </c>
      <c r="C348" s="168" t="s">
        <v>170</v>
      </c>
      <c r="D348" s="173">
        <v>45688</v>
      </c>
      <c r="E348" s="174" t="s">
        <v>522</v>
      </c>
      <c r="F348" s="174" t="s">
        <v>425</v>
      </c>
      <c r="G348" s="174" t="s">
        <v>296</v>
      </c>
      <c r="H348" s="174" t="s">
        <v>402</v>
      </c>
      <c r="I348" s="174" t="s">
        <v>403</v>
      </c>
      <c r="J348" s="174" t="s">
        <v>465</v>
      </c>
      <c r="K348" s="174" t="s">
        <v>457</v>
      </c>
      <c r="L348" s="174" t="s">
        <v>458</v>
      </c>
      <c r="M348" s="174" t="s">
        <v>281</v>
      </c>
      <c r="N348" s="177">
        <v>313800</v>
      </c>
      <c r="O348" s="174" t="s">
        <v>523</v>
      </c>
      <c r="P348" s="174" t="s">
        <v>283</v>
      </c>
      <c r="Q348" s="174" t="s">
        <v>284</v>
      </c>
      <c r="R348" s="174" t="s">
        <v>283</v>
      </c>
      <c r="S348" s="174" t="s">
        <v>283</v>
      </c>
      <c r="T348" s="175">
        <v>0</v>
      </c>
    </row>
    <row r="349" spans="1:20" x14ac:dyDescent="0.2">
      <c r="A349" s="169">
        <v>622</v>
      </c>
      <c r="B349" s="168" t="s">
        <v>8</v>
      </c>
      <c r="C349" s="168" t="s">
        <v>170</v>
      </c>
      <c r="D349" s="173">
        <v>45688</v>
      </c>
      <c r="E349" s="174" t="s">
        <v>522</v>
      </c>
      <c r="F349" s="174" t="s">
        <v>425</v>
      </c>
      <c r="G349" s="174" t="s">
        <v>296</v>
      </c>
      <c r="H349" s="174" t="s">
        <v>402</v>
      </c>
      <c r="I349" s="174" t="s">
        <v>403</v>
      </c>
      <c r="J349" s="174" t="s">
        <v>465</v>
      </c>
      <c r="K349" s="174" t="s">
        <v>457</v>
      </c>
      <c r="L349" s="174" t="s">
        <v>458</v>
      </c>
      <c r="M349" s="174" t="s">
        <v>281</v>
      </c>
      <c r="N349" s="177">
        <v>104600</v>
      </c>
      <c r="O349" s="174" t="s">
        <v>523</v>
      </c>
      <c r="P349" s="174" t="s">
        <v>283</v>
      </c>
      <c r="Q349" s="174" t="s">
        <v>284</v>
      </c>
      <c r="R349" s="174" t="s">
        <v>283</v>
      </c>
      <c r="S349" s="174" t="s">
        <v>283</v>
      </c>
      <c r="T349" s="175">
        <v>0</v>
      </c>
    </row>
    <row r="350" spans="1:20" x14ac:dyDescent="0.2">
      <c r="B350" s="168" t="s">
        <v>6</v>
      </c>
      <c r="C350" s="168" t="s">
        <v>170</v>
      </c>
      <c r="D350" s="173">
        <v>45688</v>
      </c>
      <c r="E350" s="174" t="s">
        <v>467</v>
      </c>
      <c r="F350" s="174" t="s">
        <v>393</v>
      </c>
      <c r="G350" s="174" t="s">
        <v>296</v>
      </c>
      <c r="H350" s="174" t="s">
        <v>411</v>
      </c>
      <c r="I350" s="174" t="s">
        <v>412</v>
      </c>
      <c r="J350" s="174" t="s">
        <v>465</v>
      </c>
      <c r="K350" s="174" t="s">
        <v>457</v>
      </c>
      <c r="L350" s="174" t="s">
        <v>458</v>
      </c>
      <c r="M350" s="174" t="s">
        <v>281</v>
      </c>
      <c r="N350" s="177">
        <v>100298940</v>
      </c>
      <c r="O350" s="174" t="s">
        <v>468</v>
      </c>
      <c r="P350" s="174" t="s">
        <v>283</v>
      </c>
      <c r="Q350" s="174" t="s">
        <v>284</v>
      </c>
      <c r="R350" s="174" t="s">
        <v>283</v>
      </c>
      <c r="S350" s="174" t="s">
        <v>283</v>
      </c>
      <c r="T350" s="175">
        <v>0</v>
      </c>
    </row>
    <row r="351" spans="1:20" x14ac:dyDescent="0.2">
      <c r="B351" s="168" t="s">
        <v>4</v>
      </c>
      <c r="C351" s="168" t="s">
        <v>170</v>
      </c>
      <c r="D351" s="173">
        <v>45688</v>
      </c>
      <c r="E351" s="174" t="s">
        <v>467</v>
      </c>
      <c r="F351" s="174" t="s">
        <v>393</v>
      </c>
      <c r="G351" s="174" t="s">
        <v>296</v>
      </c>
      <c r="H351" s="174" t="s">
        <v>418</v>
      </c>
      <c r="I351" s="174" t="s">
        <v>419</v>
      </c>
      <c r="J351" s="174" t="s">
        <v>465</v>
      </c>
      <c r="K351" s="174" t="s">
        <v>457</v>
      </c>
      <c r="L351" s="174" t="s">
        <v>458</v>
      </c>
      <c r="M351" s="174" t="s">
        <v>281</v>
      </c>
      <c r="N351" s="177">
        <v>35154315</v>
      </c>
      <c r="O351" s="174" t="s">
        <v>468</v>
      </c>
      <c r="P351" s="174" t="s">
        <v>283</v>
      </c>
      <c r="Q351" s="174" t="s">
        <v>284</v>
      </c>
      <c r="R351" s="174" t="s">
        <v>283</v>
      </c>
      <c r="S351" s="174" t="s">
        <v>283</v>
      </c>
      <c r="T351" s="175">
        <v>0</v>
      </c>
    </row>
    <row r="352" spans="1:20" x14ac:dyDescent="0.2">
      <c r="A352" s="169">
        <v>622</v>
      </c>
      <c r="B352" s="168" t="s">
        <v>8</v>
      </c>
      <c r="C352" s="168" t="s">
        <v>170</v>
      </c>
      <c r="D352" s="173">
        <v>45688</v>
      </c>
      <c r="E352" s="174" t="s">
        <v>467</v>
      </c>
      <c r="F352" s="174" t="s">
        <v>425</v>
      </c>
      <c r="G352" s="174" t="s">
        <v>296</v>
      </c>
      <c r="H352" s="174" t="s">
        <v>402</v>
      </c>
      <c r="I352" s="174" t="s">
        <v>403</v>
      </c>
      <c r="J352" s="174" t="s">
        <v>465</v>
      </c>
      <c r="K352" s="174" t="s">
        <v>457</v>
      </c>
      <c r="L352" s="174" t="s">
        <v>458</v>
      </c>
      <c r="M352" s="174" t="s">
        <v>281</v>
      </c>
      <c r="N352" s="177">
        <v>237025160</v>
      </c>
      <c r="O352" s="174" t="s">
        <v>468</v>
      </c>
      <c r="P352" s="174" t="s">
        <v>283</v>
      </c>
      <c r="Q352" s="174" t="s">
        <v>284</v>
      </c>
      <c r="R352" s="174" t="s">
        <v>283</v>
      </c>
      <c r="S352" s="174" t="s">
        <v>283</v>
      </c>
      <c r="T352" s="175">
        <v>0</v>
      </c>
    </row>
    <row r="353" spans="1:20" x14ac:dyDescent="0.2">
      <c r="B353" s="168" t="s">
        <v>6</v>
      </c>
      <c r="C353" s="168" t="s">
        <v>170</v>
      </c>
      <c r="D353" s="173">
        <v>45688</v>
      </c>
      <c r="E353" s="174" t="s">
        <v>469</v>
      </c>
      <c r="F353" s="174" t="s">
        <v>393</v>
      </c>
      <c r="G353" s="174" t="s">
        <v>296</v>
      </c>
      <c r="H353" s="174" t="s">
        <v>411</v>
      </c>
      <c r="I353" s="174" t="s">
        <v>412</v>
      </c>
      <c r="J353" s="174" t="s">
        <v>465</v>
      </c>
      <c r="K353" s="174" t="s">
        <v>457</v>
      </c>
      <c r="L353" s="174" t="s">
        <v>458</v>
      </c>
      <c r="M353" s="174" t="s">
        <v>281</v>
      </c>
      <c r="N353" s="177">
        <v>-100298940</v>
      </c>
      <c r="O353" s="174" t="s">
        <v>470</v>
      </c>
      <c r="P353" s="174" t="s">
        <v>447</v>
      </c>
      <c r="Q353" s="174" t="s">
        <v>284</v>
      </c>
      <c r="R353" s="174" t="s">
        <v>283</v>
      </c>
      <c r="S353" s="174" t="s">
        <v>283</v>
      </c>
      <c r="T353" s="175">
        <v>0</v>
      </c>
    </row>
    <row r="354" spans="1:20" x14ac:dyDescent="0.2">
      <c r="B354" s="168" t="s">
        <v>4</v>
      </c>
      <c r="C354" s="168" t="s">
        <v>170</v>
      </c>
      <c r="D354" s="173">
        <v>45688</v>
      </c>
      <c r="E354" s="174" t="s">
        <v>469</v>
      </c>
      <c r="F354" s="174" t="s">
        <v>393</v>
      </c>
      <c r="G354" s="174" t="s">
        <v>296</v>
      </c>
      <c r="H354" s="174" t="s">
        <v>418</v>
      </c>
      <c r="I354" s="174" t="s">
        <v>419</v>
      </c>
      <c r="J354" s="174" t="s">
        <v>465</v>
      </c>
      <c r="K354" s="174" t="s">
        <v>457</v>
      </c>
      <c r="L354" s="174" t="s">
        <v>458</v>
      </c>
      <c r="M354" s="174" t="s">
        <v>281</v>
      </c>
      <c r="N354" s="177">
        <v>-35154315</v>
      </c>
      <c r="O354" s="174" t="s">
        <v>470</v>
      </c>
      <c r="P354" s="174" t="s">
        <v>447</v>
      </c>
      <c r="Q354" s="174" t="s">
        <v>284</v>
      </c>
      <c r="R354" s="174" t="s">
        <v>283</v>
      </c>
      <c r="S354" s="174" t="s">
        <v>283</v>
      </c>
      <c r="T354" s="175">
        <v>0</v>
      </c>
    </row>
    <row r="355" spans="1:20" x14ac:dyDescent="0.2">
      <c r="A355" s="169">
        <v>622</v>
      </c>
      <c r="B355" s="168" t="s">
        <v>8</v>
      </c>
      <c r="C355" s="168" t="s">
        <v>170</v>
      </c>
      <c r="D355" s="173">
        <v>45688</v>
      </c>
      <c r="E355" s="174" t="s">
        <v>469</v>
      </c>
      <c r="F355" s="174" t="s">
        <v>425</v>
      </c>
      <c r="G355" s="174" t="s">
        <v>296</v>
      </c>
      <c r="H355" s="174" t="s">
        <v>402</v>
      </c>
      <c r="I355" s="174" t="s">
        <v>403</v>
      </c>
      <c r="J355" s="174" t="s">
        <v>465</v>
      </c>
      <c r="K355" s="174" t="s">
        <v>457</v>
      </c>
      <c r="L355" s="174" t="s">
        <v>458</v>
      </c>
      <c r="M355" s="174" t="s">
        <v>281</v>
      </c>
      <c r="N355" s="177">
        <v>-237025160</v>
      </c>
      <c r="O355" s="174" t="s">
        <v>470</v>
      </c>
      <c r="P355" s="174" t="s">
        <v>447</v>
      </c>
      <c r="Q355" s="174" t="s">
        <v>284</v>
      </c>
      <c r="R355" s="174" t="s">
        <v>283</v>
      </c>
      <c r="S355" s="174" t="s">
        <v>283</v>
      </c>
      <c r="T355" s="175">
        <v>0</v>
      </c>
    </row>
    <row r="356" spans="1:20" x14ac:dyDescent="0.2">
      <c r="B356" s="168" t="s">
        <v>6</v>
      </c>
      <c r="C356" s="168" t="s">
        <v>22</v>
      </c>
      <c r="D356" s="173">
        <v>45688</v>
      </c>
      <c r="E356" s="174" t="s">
        <v>524</v>
      </c>
      <c r="F356" s="174" t="s">
        <v>387</v>
      </c>
      <c r="G356" s="174" t="s">
        <v>275</v>
      </c>
      <c r="H356" s="174" t="s">
        <v>411</v>
      </c>
      <c r="I356" s="174" t="s">
        <v>412</v>
      </c>
      <c r="J356" s="174" t="s">
        <v>456</v>
      </c>
      <c r="K356" s="174" t="s">
        <v>457</v>
      </c>
      <c r="L356" s="174" t="s">
        <v>458</v>
      </c>
      <c r="M356" s="174" t="s">
        <v>281</v>
      </c>
      <c r="N356" s="177">
        <v>1652250</v>
      </c>
      <c r="O356" s="174" t="s">
        <v>525</v>
      </c>
      <c r="P356" s="174" t="s">
        <v>283</v>
      </c>
      <c r="Q356" s="174" t="s">
        <v>284</v>
      </c>
      <c r="R356" s="174" t="s">
        <v>283</v>
      </c>
      <c r="S356" s="174" t="s">
        <v>283</v>
      </c>
      <c r="T356" s="175">
        <v>0</v>
      </c>
    </row>
    <row r="357" spans="1:20" x14ac:dyDescent="0.2">
      <c r="A357" s="169">
        <v>627</v>
      </c>
      <c r="B357" s="168" t="s">
        <v>8</v>
      </c>
      <c r="C357" s="168" t="s">
        <v>25</v>
      </c>
      <c r="D357" s="173">
        <v>45682</v>
      </c>
      <c r="E357" s="174" t="s">
        <v>490</v>
      </c>
      <c r="F357" s="174" t="s">
        <v>375</v>
      </c>
      <c r="G357" s="174" t="s">
        <v>336</v>
      </c>
      <c r="H357" s="174" t="s">
        <v>402</v>
      </c>
      <c r="I357" s="174" t="s">
        <v>403</v>
      </c>
      <c r="J357" s="174" t="s">
        <v>491</v>
      </c>
      <c r="K357" s="174" t="s">
        <v>338</v>
      </c>
      <c r="L357" s="174" t="s">
        <v>458</v>
      </c>
      <c r="M357" s="174" t="s">
        <v>281</v>
      </c>
      <c r="N357" s="177">
        <v>109850000</v>
      </c>
      <c r="O357" s="174" t="s">
        <v>492</v>
      </c>
      <c r="P357" s="174" t="s">
        <v>283</v>
      </c>
      <c r="Q357" s="174" t="s">
        <v>306</v>
      </c>
      <c r="R357" s="174" t="s">
        <v>283</v>
      </c>
      <c r="S357" s="174" t="s">
        <v>283</v>
      </c>
      <c r="T357" s="175">
        <v>0</v>
      </c>
    </row>
    <row r="358" spans="1:20" x14ac:dyDescent="0.2">
      <c r="A358" s="169">
        <v>627</v>
      </c>
      <c r="B358" s="168" t="s">
        <v>8</v>
      </c>
      <c r="C358" s="168" t="s">
        <v>25</v>
      </c>
      <c r="D358" s="173">
        <v>45688</v>
      </c>
      <c r="E358" s="174" t="s">
        <v>520</v>
      </c>
      <c r="F358" s="174" t="s">
        <v>375</v>
      </c>
      <c r="G358" s="174" t="s">
        <v>336</v>
      </c>
      <c r="H358" s="174" t="s">
        <v>402</v>
      </c>
      <c r="I358" s="174" t="s">
        <v>403</v>
      </c>
      <c r="J358" s="174" t="s">
        <v>416</v>
      </c>
      <c r="K358" s="174" t="s">
        <v>416</v>
      </c>
      <c r="L358" s="174" t="s">
        <v>458</v>
      </c>
      <c r="M358" s="174" t="s">
        <v>281</v>
      </c>
      <c r="N358" s="177">
        <v>-81800000</v>
      </c>
      <c r="O358" s="174" t="s">
        <v>521</v>
      </c>
      <c r="P358" s="174" t="s">
        <v>283</v>
      </c>
      <c r="Q358" s="174" t="s">
        <v>348</v>
      </c>
      <c r="R358" s="174" t="s">
        <v>283</v>
      </c>
      <c r="S358" s="174" t="s">
        <v>283</v>
      </c>
      <c r="T358" s="175">
        <v>0</v>
      </c>
    </row>
    <row r="359" spans="1:20" x14ac:dyDescent="0.2">
      <c r="A359" s="169">
        <v>627</v>
      </c>
      <c r="B359" s="168" t="s">
        <v>8</v>
      </c>
      <c r="C359" s="168" t="s">
        <v>25</v>
      </c>
      <c r="D359" s="173">
        <v>45688</v>
      </c>
      <c r="E359" s="174" t="s">
        <v>455</v>
      </c>
      <c r="F359" s="174" t="s">
        <v>375</v>
      </c>
      <c r="G359" s="174" t="s">
        <v>336</v>
      </c>
      <c r="H359" s="174" t="s">
        <v>402</v>
      </c>
      <c r="I359" s="174" t="s">
        <v>403</v>
      </c>
      <c r="J359" s="174" t="s">
        <v>456</v>
      </c>
      <c r="K359" s="174" t="s">
        <v>457</v>
      </c>
      <c r="L359" s="174" t="s">
        <v>458</v>
      </c>
      <c r="M359" s="174" t="s">
        <v>281</v>
      </c>
      <c r="N359" s="177">
        <v>2900000</v>
      </c>
      <c r="O359" s="174" t="s">
        <v>459</v>
      </c>
      <c r="P359" s="174" t="s">
        <v>283</v>
      </c>
      <c r="Q359" s="174" t="s">
        <v>284</v>
      </c>
      <c r="R359" s="174" t="s">
        <v>283</v>
      </c>
      <c r="S359" s="174" t="s">
        <v>283</v>
      </c>
      <c r="T359" s="175">
        <v>0</v>
      </c>
    </row>
    <row r="360" spans="1:20" x14ac:dyDescent="0.2">
      <c r="A360" s="169">
        <v>627</v>
      </c>
      <c r="B360" s="168" t="s">
        <v>8</v>
      </c>
      <c r="C360" s="168" t="s">
        <v>24</v>
      </c>
      <c r="D360" s="173">
        <v>45688</v>
      </c>
      <c r="E360" s="174" t="s">
        <v>460</v>
      </c>
      <c r="F360" s="174" t="s">
        <v>395</v>
      </c>
      <c r="G360" s="174" t="s">
        <v>77</v>
      </c>
      <c r="H360" s="174" t="s">
        <v>402</v>
      </c>
      <c r="I360" s="174" t="s">
        <v>403</v>
      </c>
      <c r="J360" s="174" t="s">
        <v>463</v>
      </c>
      <c r="K360" s="174" t="s">
        <v>457</v>
      </c>
      <c r="L360" s="174" t="s">
        <v>458</v>
      </c>
      <c r="M360" s="174" t="s">
        <v>281</v>
      </c>
      <c r="N360" s="177">
        <v>29590623</v>
      </c>
      <c r="O360" s="174" t="s">
        <v>462</v>
      </c>
      <c r="P360" s="174" t="s">
        <v>283</v>
      </c>
      <c r="Q360" s="174" t="s">
        <v>284</v>
      </c>
      <c r="R360" s="174" t="s">
        <v>283</v>
      </c>
      <c r="S360" s="174" t="s">
        <v>283</v>
      </c>
      <c r="T360" s="175">
        <v>0</v>
      </c>
    </row>
    <row r="361" spans="1:20" x14ac:dyDescent="0.2">
      <c r="A361" s="169">
        <v>627</v>
      </c>
      <c r="B361" s="168" t="s">
        <v>8</v>
      </c>
      <c r="C361" s="168" t="s">
        <v>170</v>
      </c>
      <c r="D361" s="173">
        <v>45688</v>
      </c>
      <c r="E361" s="174" t="s">
        <v>464</v>
      </c>
      <c r="F361" s="174" t="s">
        <v>393</v>
      </c>
      <c r="G361" s="174" t="s">
        <v>296</v>
      </c>
      <c r="H361" s="174" t="s">
        <v>402</v>
      </c>
      <c r="I361" s="174" t="s">
        <v>403</v>
      </c>
      <c r="J361" s="174" t="s">
        <v>465</v>
      </c>
      <c r="K361" s="174" t="s">
        <v>457</v>
      </c>
      <c r="L361" s="174" t="s">
        <v>458</v>
      </c>
      <c r="M361" s="174" t="s">
        <v>281</v>
      </c>
      <c r="N361" s="177">
        <v>82367355</v>
      </c>
      <c r="O361" s="174" t="s">
        <v>466</v>
      </c>
      <c r="P361" s="174" t="s">
        <v>283</v>
      </c>
      <c r="Q361" s="174" t="s">
        <v>284</v>
      </c>
      <c r="R361" s="174" t="s">
        <v>283</v>
      </c>
      <c r="S361" s="174" t="s">
        <v>283</v>
      </c>
      <c r="T361" s="175">
        <v>0</v>
      </c>
    </row>
    <row r="362" spans="1:20" x14ac:dyDescent="0.2">
      <c r="A362" s="169">
        <v>627</v>
      </c>
      <c r="B362" s="168" t="s">
        <v>8</v>
      </c>
      <c r="C362" s="168" t="s">
        <v>170</v>
      </c>
      <c r="D362" s="173">
        <v>45688</v>
      </c>
      <c r="E362" s="174" t="s">
        <v>513</v>
      </c>
      <c r="F362" s="174" t="s">
        <v>393</v>
      </c>
      <c r="G362" s="174" t="s">
        <v>296</v>
      </c>
      <c r="H362" s="174" t="s">
        <v>402</v>
      </c>
      <c r="I362" s="174" t="s">
        <v>403</v>
      </c>
      <c r="J362" s="174" t="s">
        <v>514</v>
      </c>
      <c r="K362" s="174" t="s">
        <v>457</v>
      </c>
      <c r="L362" s="174" t="s">
        <v>458</v>
      </c>
      <c r="M362" s="174" t="s">
        <v>281</v>
      </c>
      <c r="N362" s="177">
        <v>254265</v>
      </c>
      <c r="O362" s="174" t="s">
        <v>515</v>
      </c>
      <c r="P362" s="174" t="s">
        <v>283</v>
      </c>
      <c r="Q362" s="174" t="s">
        <v>284</v>
      </c>
      <c r="R362" s="174" t="s">
        <v>283</v>
      </c>
      <c r="S362" s="174" t="s">
        <v>283</v>
      </c>
      <c r="T362" s="175">
        <v>0</v>
      </c>
    </row>
    <row r="363" spans="1:20" x14ac:dyDescent="0.2">
      <c r="A363" s="169">
        <v>627</v>
      </c>
      <c r="B363" s="168" t="s">
        <v>8</v>
      </c>
      <c r="C363" s="168" t="s">
        <v>170</v>
      </c>
      <c r="D363" s="173">
        <v>45688</v>
      </c>
      <c r="E363" s="174" t="s">
        <v>467</v>
      </c>
      <c r="F363" s="174" t="s">
        <v>393</v>
      </c>
      <c r="G363" s="174" t="s">
        <v>296</v>
      </c>
      <c r="H363" s="174" t="s">
        <v>402</v>
      </c>
      <c r="I363" s="174" t="s">
        <v>403</v>
      </c>
      <c r="J363" s="174" t="s">
        <v>465</v>
      </c>
      <c r="K363" s="174" t="s">
        <v>457</v>
      </c>
      <c r="L363" s="174" t="s">
        <v>458</v>
      </c>
      <c r="M363" s="174" t="s">
        <v>281</v>
      </c>
      <c r="N363" s="177">
        <v>82367355</v>
      </c>
      <c r="O363" s="174" t="s">
        <v>468</v>
      </c>
      <c r="P363" s="174" t="s">
        <v>283</v>
      </c>
      <c r="Q363" s="174" t="s">
        <v>284</v>
      </c>
      <c r="R363" s="174" t="s">
        <v>283</v>
      </c>
      <c r="S363" s="174" t="s">
        <v>283</v>
      </c>
      <c r="T363" s="175">
        <v>0</v>
      </c>
    </row>
    <row r="364" spans="1:20" x14ac:dyDescent="0.2">
      <c r="A364" s="169">
        <v>627</v>
      </c>
      <c r="B364" s="168" t="s">
        <v>8</v>
      </c>
      <c r="C364" s="168" t="s">
        <v>170</v>
      </c>
      <c r="D364" s="173">
        <v>45688</v>
      </c>
      <c r="E364" s="174" t="s">
        <v>469</v>
      </c>
      <c r="F364" s="174" t="s">
        <v>393</v>
      </c>
      <c r="G364" s="174" t="s">
        <v>296</v>
      </c>
      <c r="H364" s="174" t="s">
        <v>402</v>
      </c>
      <c r="I364" s="174" t="s">
        <v>403</v>
      </c>
      <c r="J364" s="174" t="s">
        <v>465</v>
      </c>
      <c r="K364" s="174" t="s">
        <v>457</v>
      </c>
      <c r="L364" s="174" t="s">
        <v>458</v>
      </c>
      <c r="M364" s="174" t="s">
        <v>281</v>
      </c>
      <c r="N364" s="177">
        <v>-82367355</v>
      </c>
      <c r="O364" s="174" t="s">
        <v>470</v>
      </c>
      <c r="P364" s="174" t="s">
        <v>447</v>
      </c>
      <c r="Q364" s="174" t="s">
        <v>284</v>
      </c>
      <c r="R364" s="174" t="s">
        <v>283</v>
      </c>
      <c r="S364" s="174" t="s">
        <v>283</v>
      </c>
      <c r="T364" s="175">
        <v>0</v>
      </c>
    </row>
    <row r="365" spans="1:20" x14ac:dyDescent="0.2">
      <c r="A365" s="169">
        <v>622</v>
      </c>
      <c r="B365" s="168" t="s">
        <v>8</v>
      </c>
      <c r="C365" s="168" t="s">
        <v>22</v>
      </c>
      <c r="D365" s="173">
        <v>45663</v>
      </c>
      <c r="E365" s="174" t="s">
        <v>516</v>
      </c>
      <c r="F365" s="174" t="s">
        <v>400</v>
      </c>
      <c r="G365" s="174" t="s">
        <v>401</v>
      </c>
      <c r="H365" s="174" t="s">
        <v>430</v>
      </c>
      <c r="I365" s="174" t="s">
        <v>431</v>
      </c>
      <c r="J365" s="174" t="s">
        <v>526</v>
      </c>
      <c r="K365" s="174" t="s">
        <v>518</v>
      </c>
      <c r="L365" s="174" t="s">
        <v>458</v>
      </c>
      <c r="M365" s="174" t="s">
        <v>281</v>
      </c>
      <c r="N365" s="177">
        <v>768750</v>
      </c>
      <c r="O365" s="174" t="s">
        <v>519</v>
      </c>
      <c r="P365" s="174" t="s">
        <v>283</v>
      </c>
      <c r="Q365" s="174" t="s">
        <v>306</v>
      </c>
      <c r="R365" s="174" t="s">
        <v>283</v>
      </c>
      <c r="S365" s="174" t="s">
        <v>283</v>
      </c>
      <c r="T365" s="175">
        <v>0</v>
      </c>
    </row>
    <row r="366" spans="1:20" x14ac:dyDescent="0.2">
      <c r="A366" s="169">
        <v>622</v>
      </c>
      <c r="B366" s="168" t="s">
        <v>8</v>
      </c>
      <c r="C366" s="168" t="s">
        <v>25</v>
      </c>
      <c r="D366" s="173">
        <v>45688</v>
      </c>
      <c r="E366" s="174" t="s">
        <v>520</v>
      </c>
      <c r="F366" s="174" t="s">
        <v>414</v>
      </c>
      <c r="G366" s="174" t="s">
        <v>415</v>
      </c>
      <c r="H366" s="174" t="s">
        <v>430</v>
      </c>
      <c r="I366" s="174" t="s">
        <v>431</v>
      </c>
      <c r="J366" s="174" t="s">
        <v>416</v>
      </c>
      <c r="K366" s="174" t="s">
        <v>416</v>
      </c>
      <c r="L366" s="174" t="s">
        <v>458</v>
      </c>
      <c r="M366" s="174" t="s">
        <v>281</v>
      </c>
      <c r="N366" s="177">
        <v>16000000</v>
      </c>
      <c r="O366" s="174" t="s">
        <v>521</v>
      </c>
      <c r="P366" s="174" t="s">
        <v>283</v>
      </c>
      <c r="Q366" s="174" t="s">
        <v>348</v>
      </c>
      <c r="R366" s="174" t="s">
        <v>283</v>
      </c>
      <c r="S366" s="174" t="s">
        <v>283</v>
      </c>
      <c r="T366" s="175">
        <v>0</v>
      </c>
    </row>
    <row r="367" spans="1:20" x14ac:dyDescent="0.2">
      <c r="A367" s="169">
        <v>622</v>
      </c>
      <c r="B367" s="168" t="s">
        <v>8</v>
      </c>
      <c r="C367" s="168" t="s">
        <v>22</v>
      </c>
      <c r="D367" s="173">
        <v>45688</v>
      </c>
      <c r="E367" s="174" t="s">
        <v>455</v>
      </c>
      <c r="F367" s="174" t="s">
        <v>400</v>
      </c>
      <c r="G367" s="174" t="s">
        <v>401</v>
      </c>
      <c r="H367" s="174" t="s">
        <v>430</v>
      </c>
      <c r="I367" s="174" t="s">
        <v>431</v>
      </c>
      <c r="J367" s="174" t="s">
        <v>456</v>
      </c>
      <c r="K367" s="174" t="s">
        <v>457</v>
      </c>
      <c r="L367" s="174" t="s">
        <v>458</v>
      </c>
      <c r="M367" s="174" t="s">
        <v>281</v>
      </c>
      <c r="N367" s="177">
        <v>237378299</v>
      </c>
      <c r="O367" s="174" t="s">
        <v>459</v>
      </c>
      <c r="P367" s="174" t="s">
        <v>283</v>
      </c>
      <c r="Q367" s="174" t="s">
        <v>284</v>
      </c>
      <c r="R367" s="174" t="s">
        <v>283</v>
      </c>
      <c r="S367" s="174" t="s">
        <v>283</v>
      </c>
      <c r="T367" s="175">
        <v>0</v>
      </c>
    </row>
    <row r="368" spans="1:20" x14ac:dyDescent="0.2">
      <c r="A368" s="169">
        <v>622</v>
      </c>
      <c r="B368" s="168" t="s">
        <v>8</v>
      </c>
      <c r="C368" s="168" t="s">
        <v>22</v>
      </c>
      <c r="D368" s="173">
        <v>45688</v>
      </c>
      <c r="E368" s="174" t="s">
        <v>455</v>
      </c>
      <c r="F368" s="174" t="s">
        <v>420</v>
      </c>
      <c r="G368" s="174" t="s">
        <v>286</v>
      </c>
      <c r="H368" s="174" t="s">
        <v>430</v>
      </c>
      <c r="I368" s="174" t="s">
        <v>431</v>
      </c>
      <c r="J368" s="174" t="s">
        <v>456</v>
      </c>
      <c r="K368" s="174" t="s">
        <v>457</v>
      </c>
      <c r="L368" s="174" t="s">
        <v>458</v>
      </c>
      <c r="M368" s="174" t="s">
        <v>281</v>
      </c>
      <c r="N368" s="177">
        <v>36666483</v>
      </c>
      <c r="O368" s="174" t="s">
        <v>459</v>
      </c>
      <c r="P368" s="174" t="s">
        <v>283</v>
      </c>
      <c r="Q368" s="174" t="s">
        <v>284</v>
      </c>
      <c r="R368" s="174" t="s">
        <v>283</v>
      </c>
      <c r="S368" s="174" t="s">
        <v>283</v>
      </c>
      <c r="T368" s="175">
        <v>0</v>
      </c>
    </row>
    <row r="369" spans="1:20" x14ac:dyDescent="0.2">
      <c r="A369" s="169">
        <v>622</v>
      </c>
      <c r="B369" s="168" t="s">
        <v>8</v>
      </c>
      <c r="C369" s="168" t="s">
        <v>25</v>
      </c>
      <c r="D369" s="173">
        <v>45688</v>
      </c>
      <c r="E369" s="174" t="s">
        <v>455</v>
      </c>
      <c r="F369" s="174" t="s">
        <v>421</v>
      </c>
      <c r="G369" s="174" t="s">
        <v>341</v>
      </c>
      <c r="H369" s="174" t="s">
        <v>430</v>
      </c>
      <c r="I369" s="174" t="s">
        <v>431</v>
      </c>
      <c r="J369" s="174" t="s">
        <v>456</v>
      </c>
      <c r="K369" s="174" t="s">
        <v>457</v>
      </c>
      <c r="L369" s="174" t="s">
        <v>458</v>
      </c>
      <c r="M369" s="174" t="s">
        <v>281</v>
      </c>
      <c r="N369" s="177">
        <v>20044471</v>
      </c>
      <c r="O369" s="174" t="s">
        <v>459</v>
      </c>
      <c r="P369" s="174" t="s">
        <v>283</v>
      </c>
      <c r="Q369" s="174" t="s">
        <v>284</v>
      </c>
      <c r="R369" s="174" t="s">
        <v>283</v>
      </c>
      <c r="S369" s="174" t="s">
        <v>283</v>
      </c>
      <c r="T369" s="175">
        <v>0</v>
      </c>
    </row>
    <row r="370" spans="1:20" x14ac:dyDescent="0.2">
      <c r="A370" s="169">
        <v>622</v>
      </c>
      <c r="B370" s="168" t="s">
        <v>8</v>
      </c>
      <c r="C370" s="168" t="s">
        <v>23</v>
      </c>
      <c r="D370" s="173">
        <v>45688</v>
      </c>
      <c r="E370" s="174" t="s">
        <v>455</v>
      </c>
      <c r="F370" s="174" t="s">
        <v>422</v>
      </c>
      <c r="G370" s="174" t="s">
        <v>423</v>
      </c>
      <c r="H370" s="174" t="s">
        <v>430</v>
      </c>
      <c r="I370" s="174" t="s">
        <v>431</v>
      </c>
      <c r="J370" s="174" t="s">
        <v>456</v>
      </c>
      <c r="K370" s="174" t="s">
        <v>457</v>
      </c>
      <c r="L370" s="174" t="s">
        <v>458</v>
      </c>
      <c r="M370" s="174" t="s">
        <v>281</v>
      </c>
      <c r="N370" s="177">
        <v>47959271</v>
      </c>
      <c r="O370" s="174" t="s">
        <v>459</v>
      </c>
      <c r="P370" s="174" t="s">
        <v>283</v>
      </c>
      <c r="Q370" s="174" t="s">
        <v>284</v>
      </c>
      <c r="R370" s="174" t="s">
        <v>283</v>
      </c>
      <c r="S370" s="174" t="s">
        <v>283</v>
      </c>
      <c r="T370" s="175">
        <v>0</v>
      </c>
    </row>
    <row r="371" spans="1:20" x14ac:dyDescent="0.2">
      <c r="A371" s="169">
        <v>622</v>
      </c>
      <c r="B371" s="168" t="s">
        <v>8</v>
      </c>
      <c r="C371" s="168" t="s">
        <v>24</v>
      </c>
      <c r="D371" s="173">
        <v>45688</v>
      </c>
      <c r="E371" s="174" t="s">
        <v>455</v>
      </c>
      <c r="F371" s="174" t="s">
        <v>424</v>
      </c>
      <c r="G371" s="174" t="s">
        <v>291</v>
      </c>
      <c r="H371" s="174" t="s">
        <v>430</v>
      </c>
      <c r="I371" s="174" t="s">
        <v>431</v>
      </c>
      <c r="J371" s="174" t="s">
        <v>456</v>
      </c>
      <c r="K371" s="174" t="s">
        <v>457</v>
      </c>
      <c r="L371" s="174" t="s">
        <v>458</v>
      </c>
      <c r="M371" s="174" t="s">
        <v>281</v>
      </c>
      <c r="N371" s="177">
        <v>15500000</v>
      </c>
      <c r="O371" s="174" t="s">
        <v>459</v>
      </c>
      <c r="P371" s="174" t="s">
        <v>283</v>
      </c>
      <c r="Q371" s="174" t="s">
        <v>284</v>
      </c>
      <c r="R371" s="174" t="s">
        <v>283</v>
      </c>
      <c r="S371" s="174" t="s">
        <v>283</v>
      </c>
      <c r="T371" s="175">
        <v>0</v>
      </c>
    </row>
    <row r="372" spans="1:20" x14ac:dyDescent="0.2">
      <c r="A372" s="169">
        <v>622</v>
      </c>
      <c r="B372" s="168" t="s">
        <v>8</v>
      </c>
      <c r="C372" s="168" t="s">
        <v>25</v>
      </c>
      <c r="D372" s="173">
        <v>45688</v>
      </c>
      <c r="E372" s="174" t="s">
        <v>455</v>
      </c>
      <c r="F372" s="174" t="s">
        <v>414</v>
      </c>
      <c r="G372" s="174" t="s">
        <v>415</v>
      </c>
      <c r="H372" s="174" t="s">
        <v>430</v>
      </c>
      <c r="I372" s="174" t="s">
        <v>431</v>
      </c>
      <c r="J372" s="174" t="s">
        <v>456</v>
      </c>
      <c r="K372" s="174" t="s">
        <v>457</v>
      </c>
      <c r="L372" s="174" t="s">
        <v>458</v>
      </c>
      <c r="M372" s="174" t="s">
        <v>281</v>
      </c>
      <c r="N372" s="177">
        <v>5200000</v>
      </c>
      <c r="O372" s="174" t="s">
        <v>459</v>
      </c>
      <c r="P372" s="174" t="s">
        <v>283</v>
      </c>
      <c r="Q372" s="174" t="s">
        <v>284</v>
      </c>
      <c r="R372" s="174" t="s">
        <v>283</v>
      </c>
      <c r="S372" s="174" t="s">
        <v>283</v>
      </c>
      <c r="T372" s="175">
        <v>0</v>
      </c>
    </row>
    <row r="373" spans="1:20" x14ac:dyDescent="0.2">
      <c r="A373" s="169">
        <v>622</v>
      </c>
      <c r="B373" s="168" t="s">
        <v>8</v>
      </c>
      <c r="C373" s="168" t="s">
        <v>22</v>
      </c>
      <c r="D373" s="173">
        <v>45688</v>
      </c>
      <c r="E373" s="174" t="s">
        <v>460</v>
      </c>
      <c r="F373" s="174" t="s">
        <v>420</v>
      </c>
      <c r="G373" s="174" t="s">
        <v>286</v>
      </c>
      <c r="H373" s="174" t="s">
        <v>430</v>
      </c>
      <c r="I373" s="174" t="s">
        <v>431</v>
      </c>
      <c r="J373" s="174" t="s">
        <v>461</v>
      </c>
      <c r="K373" s="174" t="s">
        <v>457</v>
      </c>
      <c r="L373" s="174" t="s">
        <v>458</v>
      </c>
      <c r="M373" s="174" t="s">
        <v>281</v>
      </c>
      <c r="N373" s="177">
        <v>16906724</v>
      </c>
      <c r="O373" s="174" t="s">
        <v>462</v>
      </c>
      <c r="P373" s="174" t="s">
        <v>283</v>
      </c>
      <c r="Q373" s="174" t="s">
        <v>284</v>
      </c>
      <c r="R373" s="174" t="s">
        <v>283</v>
      </c>
      <c r="S373" s="174" t="s">
        <v>283</v>
      </c>
      <c r="T373" s="175">
        <v>0</v>
      </c>
    </row>
    <row r="374" spans="1:20" x14ac:dyDescent="0.2">
      <c r="A374" s="169">
        <v>622</v>
      </c>
      <c r="B374" s="168" t="s">
        <v>8</v>
      </c>
      <c r="C374" s="168" t="s">
        <v>24</v>
      </c>
      <c r="D374" s="173">
        <v>45688</v>
      </c>
      <c r="E374" s="174" t="s">
        <v>460</v>
      </c>
      <c r="F374" s="174" t="s">
        <v>426</v>
      </c>
      <c r="G374" s="174" t="s">
        <v>77</v>
      </c>
      <c r="H374" s="174" t="s">
        <v>430</v>
      </c>
      <c r="I374" s="174" t="s">
        <v>431</v>
      </c>
      <c r="J374" s="174" t="s">
        <v>463</v>
      </c>
      <c r="K374" s="174" t="s">
        <v>457</v>
      </c>
      <c r="L374" s="174" t="s">
        <v>458</v>
      </c>
      <c r="M374" s="174" t="s">
        <v>281</v>
      </c>
      <c r="N374" s="177">
        <v>4374514</v>
      </c>
      <c r="O374" s="174" t="s">
        <v>462</v>
      </c>
      <c r="P374" s="174" t="s">
        <v>283</v>
      </c>
      <c r="Q374" s="174" t="s">
        <v>284</v>
      </c>
      <c r="R374" s="174" t="s">
        <v>283</v>
      </c>
      <c r="S374" s="174" t="s">
        <v>283</v>
      </c>
      <c r="T374" s="175">
        <v>0</v>
      </c>
    </row>
    <row r="375" spans="1:20" x14ac:dyDescent="0.2">
      <c r="A375" s="169">
        <v>622</v>
      </c>
      <c r="B375" s="168" t="s">
        <v>8</v>
      </c>
      <c r="C375" s="168" t="s">
        <v>170</v>
      </c>
      <c r="D375" s="173">
        <v>45688</v>
      </c>
      <c r="E375" s="174" t="s">
        <v>464</v>
      </c>
      <c r="F375" s="174" t="s">
        <v>425</v>
      </c>
      <c r="G375" s="174" t="s">
        <v>296</v>
      </c>
      <c r="H375" s="174" t="s">
        <v>430</v>
      </c>
      <c r="I375" s="174" t="s">
        <v>431</v>
      </c>
      <c r="J375" s="174" t="s">
        <v>465</v>
      </c>
      <c r="K375" s="174" t="s">
        <v>457</v>
      </c>
      <c r="L375" s="174" t="s">
        <v>458</v>
      </c>
      <c r="M375" s="174" t="s">
        <v>281</v>
      </c>
      <c r="N375" s="177">
        <v>44888025</v>
      </c>
      <c r="O375" s="174" t="s">
        <v>466</v>
      </c>
      <c r="P375" s="174" t="s">
        <v>283</v>
      </c>
      <c r="Q375" s="174" t="s">
        <v>284</v>
      </c>
      <c r="R375" s="174" t="s">
        <v>283</v>
      </c>
      <c r="S375" s="174" t="s">
        <v>283</v>
      </c>
      <c r="T375" s="175">
        <v>0</v>
      </c>
    </row>
    <row r="376" spans="1:20" x14ac:dyDescent="0.2">
      <c r="A376" s="169">
        <v>622</v>
      </c>
      <c r="B376" s="168" t="s">
        <v>8</v>
      </c>
      <c r="C376" s="168" t="s">
        <v>170</v>
      </c>
      <c r="D376" s="173">
        <v>45688</v>
      </c>
      <c r="E376" s="174" t="s">
        <v>467</v>
      </c>
      <c r="F376" s="174" t="s">
        <v>425</v>
      </c>
      <c r="G376" s="174" t="s">
        <v>296</v>
      </c>
      <c r="H376" s="174" t="s">
        <v>430</v>
      </c>
      <c r="I376" s="174" t="s">
        <v>431</v>
      </c>
      <c r="J376" s="174" t="s">
        <v>465</v>
      </c>
      <c r="K376" s="174" t="s">
        <v>457</v>
      </c>
      <c r="L376" s="174" t="s">
        <v>458</v>
      </c>
      <c r="M376" s="174" t="s">
        <v>281</v>
      </c>
      <c r="N376" s="177">
        <v>44888025</v>
      </c>
      <c r="O376" s="174" t="s">
        <v>468</v>
      </c>
      <c r="P376" s="174" t="s">
        <v>283</v>
      </c>
      <c r="Q376" s="174" t="s">
        <v>284</v>
      </c>
      <c r="R376" s="174" t="s">
        <v>283</v>
      </c>
      <c r="S376" s="174" t="s">
        <v>283</v>
      </c>
      <c r="T376" s="175">
        <v>0</v>
      </c>
    </row>
    <row r="377" spans="1:20" x14ac:dyDescent="0.2">
      <c r="A377" s="169">
        <v>622</v>
      </c>
      <c r="B377" s="168" t="s">
        <v>8</v>
      </c>
      <c r="C377" s="168" t="s">
        <v>170</v>
      </c>
      <c r="D377" s="173">
        <v>45688</v>
      </c>
      <c r="E377" s="174" t="s">
        <v>469</v>
      </c>
      <c r="F377" s="174" t="s">
        <v>425</v>
      </c>
      <c r="G377" s="174" t="s">
        <v>296</v>
      </c>
      <c r="H377" s="174" t="s">
        <v>430</v>
      </c>
      <c r="I377" s="174" t="s">
        <v>431</v>
      </c>
      <c r="J377" s="174" t="s">
        <v>465</v>
      </c>
      <c r="K377" s="174" t="s">
        <v>457</v>
      </c>
      <c r="L377" s="174" t="s">
        <v>458</v>
      </c>
      <c r="M377" s="174" t="s">
        <v>281</v>
      </c>
      <c r="N377" s="177">
        <v>-44888025</v>
      </c>
      <c r="O377" s="174" t="s">
        <v>470</v>
      </c>
      <c r="P377" s="174" t="s">
        <v>447</v>
      </c>
      <c r="Q377" s="174" t="s">
        <v>284</v>
      </c>
      <c r="R377" s="174" t="s">
        <v>283</v>
      </c>
      <c r="S377" s="174" t="s">
        <v>283</v>
      </c>
      <c r="T377" s="175">
        <v>0</v>
      </c>
    </row>
    <row r="378" spans="1:20" x14ac:dyDescent="0.2">
      <c r="A378" s="169">
        <v>622</v>
      </c>
      <c r="B378" s="168" t="s">
        <v>8</v>
      </c>
      <c r="C378" s="168" t="s">
        <v>22</v>
      </c>
      <c r="D378" s="173">
        <v>45688</v>
      </c>
      <c r="E378" s="174" t="s">
        <v>524</v>
      </c>
      <c r="F378" s="174" t="s">
        <v>400</v>
      </c>
      <c r="G378" s="174" t="s">
        <v>401</v>
      </c>
      <c r="H378" s="174" t="s">
        <v>430</v>
      </c>
      <c r="I378" s="174" t="s">
        <v>431</v>
      </c>
      <c r="J378" s="174" t="s">
        <v>456</v>
      </c>
      <c r="K378" s="174" t="s">
        <v>457</v>
      </c>
      <c r="L378" s="174" t="s">
        <v>458</v>
      </c>
      <c r="M378" s="174" t="s">
        <v>281</v>
      </c>
      <c r="N378" s="177">
        <v>1341750</v>
      </c>
      <c r="O378" s="174" t="s">
        <v>525</v>
      </c>
      <c r="P378" s="174" t="s">
        <v>283</v>
      </c>
      <c r="Q378" s="174" t="s">
        <v>284</v>
      </c>
      <c r="R378" s="174" t="s">
        <v>283</v>
      </c>
      <c r="S378" s="174" t="s">
        <v>283</v>
      </c>
      <c r="T378" s="175">
        <v>0</v>
      </c>
    </row>
    <row r="379" spans="1:20" x14ac:dyDescent="0.2">
      <c r="A379" s="169">
        <v>627</v>
      </c>
      <c r="B379" s="168" t="s">
        <v>8</v>
      </c>
      <c r="C379" s="168" t="s">
        <v>25</v>
      </c>
      <c r="D379" s="173">
        <v>45682</v>
      </c>
      <c r="E379" s="174" t="s">
        <v>490</v>
      </c>
      <c r="F379" s="174" t="s">
        <v>375</v>
      </c>
      <c r="G379" s="174" t="s">
        <v>336</v>
      </c>
      <c r="H379" s="174" t="s">
        <v>430</v>
      </c>
      <c r="I379" s="174" t="s">
        <v>431</v>
      </c>
      <c r="J379" s="174" t="s">
        <v>491</v>
      </c>
      <c r="K379" s="174" t="s">
        <v>338</v>
      </c>
      <c r="L379" s="174" t="s">
        <v>458</v>
      </c>
      <c r="M379" s="174" t="s">
        <v>281</v>
      </c>
      <c r="N379" s="177">
        <v>24125000</v>
      </c>
      <c r="O379" s="174" t="s">
        <v>492</v>
      </c>
      <c r="P379" s="174" t="s">
        <v>283</v>
      </c>
      <c r="Q379" s="174" t="s">
        <v>306</v>
      </c>
      <c r="R379" s="174" t="s">
        <v>283</v>
      </c>
      <c r="S379" s="174" t="s">
        <v>283</v>
      </c>
      <c r="T379" s="175">
        <v>0</v>
      </c>
    </row>
    <row r="380" spans="1:20" x14ac:dyDescent="0.2">
      <c r="A380" s="169">
        <v>627</v>
      </c>
      <c r="B380" s="168" t="s">
        <v>8</v>
      </c>
      <c r="C380" s="168" t="s">
        <v>25</v>
      </c>
      <c r="D380" s="173">
        <v>45688</v>
      </c>
      <c r="E380" s="174" t="s">
        <v>520</v>
      </c>
      <c r="F380" s="174" t="s">
        <v>375</v>
      </c>
      <c r="G380" s="174" t="s">
        <v>336</v>
      </c>
      <c r="H380" s="174" t="s">
        <v>430</v>
      </c>
      <c r="I380" s="174" t="s">
        <v>431</v>
      </c>
      <c r="J380" s="174" t="s">
        <v>416</v>
      </c>
      <c r="K380" s="174" t="s">
        <v>416</v>
      </c>
      <c r="L380" s="174" t="s">
        <v>458</v>
      </c>
      <c r="M380" s="174" t="s">
        <v>281</v>
      </c>
      <c r="N380" s="177">
        <v>-16000000</v>
      </c>
      <c r="O380" s="174" t="s">
        <v>521</v>
      </c>
      <c r="P380" s="174" t="s">
        <v>283</v>
      </c>
      <c r="Q380" s="174" t="s">
        <v>348</v>
      </c>
      <c r="R380" s="174" t="s">
        <v>283</v>
      </c>
      <c r="S380" s="174" t="s">
        <v>283</v>
      </c>
      <c r="T380" s="175">
        <v>0</v>
      </c>
    </row>
    <row r="381" spans="1:20" x14ac:dyDescent="0.2">
      <c r="A381" s="169">
        <v>627</v>
      </c>
      <c r="B381" s="168" t="s">
        <v>8</v>
      </c>
      <c r="C381" s="168" t="s">
        <v>25</v>
      </c>
      <c r="D381" s="173">
        <v>45688</v>
      </c>
      <c r="E381" s="174" t="s">
        <v>520</v>
      </c>
      <c r="F381" s="174" t="s">
        <v>375</v>
      </c>
      <c r="G381" s="174" t="s">
        <v>336</v>
      </c>
      <c r="H381" s="174" t="s">
        <v>430</v>
      </c>
      <c r="I381" s="174" t="s">
        <v>431</v>
      </c>
      <c r="J381" s="174" t="s">
        <v>416</v>
      </c>
      <c r="K381" s="174" t="s">
        <v>416</v>
      </c>
      <c r="L381" s="174" t="s">
        <v>458</v>
      </c>
      <c r="M381" s="174" t="s">
        <v>281</v>
      </c>
      <c r="N381" s="177">
        <v>-425000</v>
      </c>
      <c r="O381" s="174" t="s">
        <v>521</v>
      </c>
      <c r="P381" s="174" t="s">
        <v>283</v>
      </c>
      <c r="Q381" s="174" t="s">
        <v>348</v>
      </c>
      <c r="R381" s="174" t="s">
        <v>283</v>
      </c>
      <c r="S381" s="174" t="s">
        <v>283</v>
      </c>
      <c r="T381" s="175">
        <v>0</v>
      </c>
    </row>
    <row r="382" spans="1:20" x14ac:dyDescent="0.2">
      <c r="A382" s="169">
        <v>627</v>
      </c>
      <c r="B382" s="168" t="s">
        <v>8</v>
      </c>
      <c r="C382" s="168" t="s">
        <v>25</v>
      </c>
      <c r="D382" s="173">
        <v>45688</v>
      </c>
      <c r="E382" s="174" t="s">
        <v>455</v>
      </c>
      <c r="F382" s="174" t="s">
        <v>386</v>
      </c>
      <c r="G382" s="174" t="s">
        <v>341</v>
      </c>
      <c r="H382" s="174" t="s">
        <v>430</v>
      </c>
      <c r="I382" s="174" t="s">
        <v>431</v>
      </c>
      <c r="J382" s="174" t="s">
        <v>456</v>
      </c>
      <c r="K382" s="174" t="s">
        <v>457</v>
      </c>
      <c r="L382" s="174" t="s">
        <v>458</v>
      </c>
      <c r="M382" s="174" t="s">
        <v>281</v>
      </c>
      <c r="N382" s="177">
        <v>8220292</v>
      </c>
      <c r="O382" s="174" t="s">
        <v>459</v>
      </c>
      <c r="P382" s="174" t="s">
        <v>283</v>
      </c>
      <c r="Q382" s="174" t="s">
        <v>284</v>
      </c>
      <c r="R382" s="174" t="s">
        <v>283</v>
      </c>
      <c r="S382" s="174" t="s">
        <v>283</v>
      </c>
      <c r="T382" s="175">
        <v>0</v>
      </c>
    </row>
    <row r="383" spans="1:20" x14ac:dyDescent="0.2">
      <c r="A383" s="169">
        <v>627</v>
      </c>
      <c r="B383" s="168" t="s">
        <v>8</v>
      </c>
      <c r="C383" s="168" t="s">
        <v>22</v>
      </c>
      <c r="D383" s="173">
        <v>45688</v>
      </c>
      <c r="E383" s="174" t="s">
        <v>455</v>
      </c>
      <c r="F383" s="174" t="s">
        <v>387</v>
      </c>
      <c r="G383" s="174" t="s">
        <v>275</v>
      </c>
      <c r="H383" s="174" t="s">
        <v>430</v>
      </c>
      <c r="I383" s="174" t="s">
        <v>431</v>
      </c>
      <c r="J383" s="174" t="s">
        <v>456</v>
      </c>
      <c r="K383" s="174" t="s">
        <v>457</v>
      </c>
      <c r="L383" s="174" t="s">
        <v>458</v>
      </c>
      <c r="M383" s="174" t="s">
        <v>281</v>
      </c>
      <c r="N383" s="177">
        <v>161295097</v>
      </c>
      <c r="O383" s="174" t="s">
        <v>459</v>
      </c>
      <c r="P383" s="174" t="s">
        <v>283</v>
      </c>
      <c r="Q383" s="174" t="s">
        <v>284</v>
      </c>
      <c r="R383" s="174" t="s">
        <v>283</v>
      </c>
      <c r="S383" s="174" t="s">
        <v>283</v>
      </c>
      <c r="T383" s="175">
        <v>0</v>
      </c>
    </row>
    <row r="384" spans="1:20" x14ac:dyDescent="0.2">
      <c r="A384" s="169">
        <v>627</v>
      </c>
      <c r="B384" s="168" t="s">
        <v>8</v>
      </c>
      <c r="C384" s="168" t="s">
        <v>22</v>
      </c>
      <c r="D384" s="173">
        <v>45688</v>
      </c>
      <c r="E384" s="174" t="s">
        <v>455</v>
      </c>
      <c r="F384" s="174" t="s">
        <v>388</v>
      </c>
      <c r="G384" s="174" t="s">
        <v>286</v>
      </c>
      <c r="H384" s="174" t="s">
        <v>430</v>
      </c>
      <c r="I384" s="174" t="s">
        <v>431</v>
      </c>
      <c r="J384" s="174" t="s">
        <v>456</v>
      </c>
      <c r="K384" s="174" t="s">
        <v>457</v>
      </c>
      <c r="L384" s="174" t="s">
        <v>458</v>
      </c>
      <c r="M384" s="174" t="s">
        <v>281</v>
      </c>
      <c r="N384" s="177">
        <v>13740579</v>
      </c>
      <c r="O384" s="174" t="s">
        <v>459</v>
      </c>
      <c r="P384" s="174" t="s">
        <v>283</v>
      </c>
      <c r="Q384" s="174" t="s">
        <v>284</v>
      </c>
      <c r="R384" s="174" t="s">
        <v>283</v>
      </c>
      <c r="S384" s="174" t="s">
        <v>283</v>
      </c>
      <c r="T384" s="175">
        <v>0</v>
      </c>
    </row>
    <row r="385" spans="1:20" x14ac:dyDescent="0.2">
      <c r="A385" s="169">
        <v>627</v>
      </c>
      <c r="B385" s="168" t="s">
        <v>8</v>
      </c>
      <c r="C385" s="168" t="s">
        <v>23</v>
      </c>
      <c r="D385" s="173">
        <v>45688</v>
      </c>
      <c r="E385" s="174" t="s">
        <v>455</v>
      </c>
      <c r="F385" s="174" t="s">
        <v>389</v>
      </c>
      <c r="G385" s="174" t="s">
        <v>390</v>
      </c>
      <c r="H385" s="174" t="s">
        <v>430</v>
      </c>
      <c r="I385" s="174" t="s">
        <v>431</v>
      </c>
      <c r="J385" s="174" t="s">
        <v>456</v>
      </c>
      <c r="K385" s="174" t="s">
        <v>457</v>
      </c>
      <c r="L385" s="174" t="s">
        <v>458</v>
      </c>
      <c r="M385" s="174" t="s">
        <v>281</v>
      </c>
      <c r="N385" s="177">
        <v>20129499</v>
      </c>
      <c r="O385" s="174" t="s">
        <v>459</v>
      </c>
      <c r="P385" s="174" t="s">
        <v>283</v>
      </c>
      <c r="Q385" s="174" t="s">
        <v>284</v>
      </c>
      <c r="R385" s="174" t="s">
        <v>283</v>
      </c>
      <c r="S385" s="174" t="s">
        <v>283</v>
      </c>
      <c r="T385" s="175">
        <v>0</v>
      </c>
    </row>
    <row r="386" spans="1:20" x14ac:dyDescent="0.2">
      <c r="A386" s="169">
        <v>627</v>
      </c>
      <c r="B386" s="168" t="s">
        <v>8</v>
      </c>
      <c r="C386" s="168" t="s">
        <v>24</v>
      </c>
      <c r="D386" s="173">
        <v>45688</v>
      </c>
      <c r="E386" s="174" t="s">
        <v>455</v>
      </c>
      <c r="F386" s="174" t="s">
        <v>391</v>
      </c>
      <c r="G386" s="174" t="s">
        <v>291</v>
      </c>
      <c r="H386" s="174" t="s">
        <v>430</v>
      </c>
      <c r="I386" s="174" t="s">
        <v>431</v>
      </c>
      <c r="J386" s="174" t="s">
        <v>456</v>
      </c>
      <c r="K386" s="174" t="s">
        <v>457</v>
      </c>
      <c r="L386" s="174" t="s">
        <v>458</v>
      </c>
      <c r="M386" s="174" t="s">
        <v>281</v>
      </c>
      <c r="N386" s="177">
        <v>3100000</v>
      </c>
      <c r="O386" s="174" t="s">
        <v>459</v>
      </c>
      <c r="P386" s="174" t="s">
        <v>283</v>
      </c>
      <c r="Q386" s="174" t="s">
        <v>284</v>
      </c>
      <c r="R386" s="174" t="s">
        <v>283</v>
      </c>
      <c r="S386" s="174" t="s">
        <v>283</v>
      </c>
      <c r="T386" s="175">
        <v>0</v>
      </c>
    </row>
    <row r="387" spans="1:20" x14ac:dyDescent="0.2">
      <c r="A387" s="169">
        <v>627</v>
      </c>
      <c r="B387" s="168" t="s">
        <v>8</v>
      </c>
      <c r="C387" s="168" t="s">
        <v>25</v>
      </c>
      <c r="D387" s="173">
        <v>45688</v>
      </c>
      <c r="E387" s="174" t="s">
        <v>455</v>
      </c>
      <c r="F387" s="174" t="s">
        <v>375</v>
      </c>
      <c r="G387" s="174" t="s">
        <v>336</v>
      </c>
      <c r="H387" s="174" t="s">
        <v>430</v>
      </c>
      <c r="I387" s="174" t="s">
        <v>431</v>
      </c>
      <c r="J387" s="174" t="s">
        <v>456</v>
      </c>
      <c r="K387" s="174" t="s">
        <v>457</v>
      </c>
      <c r="L387" s="174" t="s">
        <v>458</v>
      </c>
      <c r="M387" s="174" t="s">
        <v>281</v>
      </c>
      <c r="N387" s="177">
        <v>1450000</v>
      </c>
      <c r="O387" s="174" t="s">
        <v>459</v>
      </c>
      <c r="P387" s="174" t="s">
        <v>283</v>
      </c>
      <c r="Q387" s="174" t="s">
        <v>284</v>
      </c>
      <c r="R387" s="174" t="s">
        <v>283</v>
      </c>
      <c r="S387" s="174" t="s">
        <v>283</v>
      </c>
      <c r="T387" s="175">
        <v>0</v>
      </c>
    </row>
    <row r="388" spans="1:20" x14ac:dyDescent="0.2">
      <c r="A388" s="169">
        <v>627</v>
      </c>
      <c r="B388" s="168" t="s">
        <v>8</v>
      </c>
      <c r="C388" s="168" t="s">
        <v>22</v>
      </c>
      <c r="D388" s="173">
        <v>45688</v>
      </c>
      <c r="E388" s="174" t="s">
        <v>460</v>
      </c>
      <c r="F388" s="174" t="s">
        <v>388</v>
      </c>
      <c r="G388" s="174" t="s">
        <v>286</v>
      </c>
      <c r="H388" s="174" t="s">
        <v>430</v>
      </c>
      <c r="I388" s="174" t="s">
        <v>431</v>
      </c>
      <c r="J388" s="174" t="s">
        <v>461</v>
      </c>
      <c r="K388" s="174" t="s">
        <v>457</v>
      </c>
      <c r="L388" s="174" t="s">
        <v>458</v>
      </c>
      <c r="M388" s="174" t="s">
        <v>281</v>
      </c>
      <c r="N388" s="177">
        <v>12294512</v>
      </c>
      <c r="O388" s="174" t="s">
        <v>462</v>
      </c>
      <c r="P388" s="174" t="s">
        <v>283</v>
      </c>
      <c r="Q388" s="174" t="s">
        <v>284</v>
      </c>
      <c r="R388" s="174" t="s">
        <v>283</v>
      </c>
      <c r="S388" s="174" t="s">
        <v>283</v>
      </c>
      <c r="T388" s="175">
        <v>0</v>
      </c>
    </row>
    <row r="389" spans="1:20" x14ac:dyDescent="0.2">
      <c r="A389" s="169">
        <v>627</v>
      </c>
      <c r="B389" s="168" t="s">
        <v>8</v>
      </c>
      <c r="C389" s="168" t="s">
        <v>24</v>
      </c>
      <c r="D389" s="173">
        <v>45688</v>
      </c>
      <c r="E389" s="174" t="s">
        <v>460</v>
      </c>
      <c r="F389" s="174" t="s">
        <v>395</v>
      </c>
      <c r="G389" s="174" t="s">
        <v>77</v>
      </c>
      <c r="H389" s="174" t="s">
        <v>430</v>
      </c>
      <c r="I389" s="174" t="s">
        <v>431</v>
      </c>
      <c r="J389" s="174" t="s">
        <v>463</v>
      </c>
      <c r="K389" s="174" t="s">
        <v>457</v>
      </c>
      <c r="L389" s="174" t="s">
        <v>458</v>
      </c>
      <c r="M389" s="174" t="s">
        <v>281</v>
      </c>
      <c r="N389" s="177">
        <v>10937632</v>
      </c>
      <c r="O389" s="174" t="s">
        <v>462</v>
      </c>
      <c r="P389" s="174" t="s">
        <v>283</v>
      </c>
      <c r="Q389" s="174" t="s">
        <v>284</v>
      </c>
      <c r="R389" s="174" t="s">
        <v>283</v>
      </c>
      <c r="S389" s="174" t="s">
        <v>283</v>
      </c>
      <c r="T389" s="175">
        <v>0</v>
      </c>
    </row>
    <row r="390" spans="1:20" x14ac:dyDescent="0.2">
      <c r="A390" s="169">
        <v>627</v>
      </c>
      <c r="B390" s="168" t="s">
        <v>8</v>
      </c>
      <c r="C390" s="168" t="s">
        <v>170</v>
      </c>
      <c r="D390" s="173">
        <v>45688</v>
      </c>
      <c r="E390" s="174" t="s">
        <v>464</v>
      </c>
      <c r="F390" s="174" t="s">
        <v>393</v>
      </c>
      <c r="G390" s="174" t="s">
        <v>296</v>
      </c>
      <c r="H390" s="174" t="s">
        <v>430</v>
      </c>
      <c r="I390" s="174" t="s">
        <v>431</v>
      </c>
      <c r="J390" s="174" t="s">
        <v>465</v>
      </c>
      <c r="K390" s="174" t="s">
        <v>457</v>
      </c>
      <c r="L390" s="174" t="s">
        <v>458</v>
      </c>
      <c r="M390" s="174" t="s">
        <v>281</v>
      </c>
      <c r="N390" s="177">
        <v>27564235</v>
      </c>
      <c r="O390" s="174" t="s">
        <v>466</v>
      </c>
      <c r="P390" s="174" t="s">
        <v>283</v>
      </c>
      <c r="Q390" s="174" t="s">
        <v>284</v>
      </c>
      <c r="R390" s="174" t="s">
        <v>283</v>
      </c>
      <c r="S390" s="174" t="s">
        <v>283</v>
      </c>
      <c r="T390" s="175">
        <v>0</v>
      </c>
    </row>
    <row r="391" spans="1:20" x14ac:dyDescent="0.2">
      <c r="A391" s="169">
        <v>627</v>
      </c>
      <c r="B391" s="168" t="s">
        <v>8</v>
      </c>
      <c r="C391" s="168" t="s">
        <v>170</v>
      </c>
      <c r="D391" s="173">
        <v>45688</v>
      </c>
      <c r="E391" s="174" t="s">
        <v>513</v>
      </c>
      <c r="F391" s="174" t="s">
        <v>393</v>
      </c>
      <c r="G391" s="174" t="s">
        <v>296</v>
      </c>
      <c r="H391" s="174" t="s">
        <v>430</v>
      </c>
      <c r="I391" s="174" t="s">
        <v>431</v>
      </c>
      <c r="J391" s="174" t="s">
        <v>514</v>
      </c>
      <c r="K391" s="174" t="s">
        <v>457</v>
      </c>
      <c r="L391" s="174" t="s">
        <v>458</v>
      </c>
      <c r="M391" s="174" t="s">
        <v>281</v>
      </c>
      <c r="N391" s="177">
        <v>241515</v>
      </c>
      <c r="O391" s="174" t="s">
        <v>515</v>
      </c>
      <c r="P391" s="174" t="s">
        <v>283</v>
      </c>
      <c r="Q391" s="174" t="s">
        <v>284</v>
      </c>
      <c r="R391" s="174" t="s">
        <v>283</v>
      </c>
      <c r="S391" s="174" t="s">
        <v>283</v>
      </c>
      <c r="T391" s="175">
        <v>0</v>
      </c>
    </row>
    <row r="392" spans="1:20" x14ac:dyDescent="0.2">
      <c r="A392" s="169">
        <v>627</v>
      </c>
      <c r="B392" s="168" t="s">
        <v>8</v>
      </c>
      <c r="C392" s="168" t="s">
        <v>170</v>
      </c>
      <c r="D392" s="173">
        <v>45688</v>
      </c>
      <c r="E392" s="174" t="s">
        <v>467</v>
      </c>
      <c r="F392" s="174" t="s">
        <v>393</v>
      </c>
      <c r="G392" s="174" t="s">
        <v>296</v>
      </c>
      <c r="H392" s="174" t="s">
        <v>430</v>
      </c>
      <c r="I392" s="174" t="s">
        <v>431</v>
      </c>
      <c r="J392" s="174" t="s">
        <v>465</v>
      </c>
      <c r="K392" s="174" t="s">
        <v>457</v>
      </c>
      <c r="L392" s="174" t="s">
        <v>458</v>
      </c>
      <c r="M392" s="174" t="s">
        <v>281</v>
      </c>
      <c r="N392" s="177">
        <v>27564235</v>
      </c>
      <c r="O392" s="174" t="s">
        <v>468</v>
      </c>
      <c r="P392" s="174" t="s">
        <v>283</v>
      </c>
      <c r="Q392" s="174" t="s">
        <v>284</v>
      </c>
      <c r="R392" s="174" t="s">
        <v>283</v>
      </c>
      <c r="S392" s="174" t="s">
        <v>283</v>
      </c>
      <c r="T392" s="175">
        <v>0</v>
      </c>
    </row>
    <row r="393" spans="1:20" x14ac:dyDescent="0.2">
      <c r="A393" s="169">
        <v>627</v>
      </c>
      <c r="B393" s="168" t="s">
        <v>8</v>
      </c>
      <c r="C393" s="168" t="s">
        <v>170</v>
      </c>
      <c r="D393" s="173">
        <v>45688</v>
      </c>
      <c r="E393" s="174" t="s">
        <v>469</v>
      </c>
      <c r="F393" s="174" t="s">
        <v>393</v>
      </c>
      <c r="G393" s="174" t="s">
        <v>296</v>
      </c>
      <c r="H393" s="174" t="s">
        <v>430</v>
      </c>
      <c r="I393" s="174" t="s">
        <v>431</v>
      </c>
      <c r="J393" s="174" t="s">
        <v>465</v>
      </c>
      <c r="K393" s="174" t="s">
        <v>457</v>
      </c>
      <c r="L393" s="174" t="s">
        <v>458</v>
      </c>
      <c r="M393" s="174" t="s">
        <v>281</v>
      </c>
      <c r="N393" s="177">
        <v>-27564235</v>
      </c>
      <c r="O393" s="174" t="s">
        <v>470</v>
      </c>
      <c r="P393" s="174" t="s">
        <v>447</v>
      </c>
      <c r="Q393" s="174" t="s">
        <v>284</v>
      </c>
      <c r="R393" s="174" t="s">
        <v>283</v>
      </c>
      <c r="S393" s="174" t="s">
        <v>283</v>
      </c>
      <c r="T393" s="175">
        <v>0</v>
      </c>
    </row>
    <row r="394" spans="1:20" x14ac:dyDescent="0.2">
      <c r="A394" s="169">
        <v>627</v>
      </c>
      <c r="B394" s="168" t="s">
        <v>8</v>
      </c>
      <c r="C394" s="168" t="s">
        <v>222</v>
      </c>
      <c r="D394" s="173">
        <v>45663</v>
      </c>
      <c r="E394" s="174" t="s">
        <v>527</v>
      </c>
      <c r="F394" s="174" t="s">
        <v>435</v>
      </c>
      <c r="G394" s="174" t="s">
        <v>222</v>
      </c>
      <c r="H394" s="174" t="s">
        <v>436</v>
      </c>
      <c r="I394" s="174" t="s">
        <v>437</v>
      </c>
      <c r="J394" s="174" t="s">
        <v>528</v>
      </c>
      <c r="K394" s="174" t="s">
        <v>529</v>
      </c>
      <c r="L394" s="174" t="s">
        <v>458</v>
      </c>
      <c r="M394" s="174" t="s">
        <v>281</v>
      </c>
      <c r="N394" s="177">
        <v>5150000</v>
      </c>
      <c r="O394" s="174" t="s">
        <v>530</v>
      </c>
      <c r="P394" s="174" t="s">
        <v>283</v>
      </c>
      <c r="Q394" s="174" t="s">
        <v>325</v>
      </c>
      <c r="R394" s="174" t="s">
        <v>283</v>
      </c>
      <c r="S394" s="174" t="s">
        <v>283</v>
      </c>
      <c r="T394" s="175">
        <v>0</v>
      </c>
    </row>
    <row r="395" spans="1:20" x14ac:dyDescent="0.2">
      <c r="A395" s="169">
        <v>627</v>
      </c>
      <c r="B395" s="168" t="s">
        <v>8</v>
      </c>
      <c r="C395" s="168" t="s">
        <v>25</v>
      </c>
      <c r="D395" s="173">
        <v>45682</v>
      </c>
      <c r="E395" s="174" t="s">
        <v>490</v>
      </c>
      <c r="F395" s="174" t="s">
        <v>375</v>
      </c>
      <c r="G395" s="174" t="s">
        <v>336</v>
      </c>
      <c r="H395" s="174" t="s">
        <v>441</v>
      </c>
      <c r="I395" s="174" t="s">
        <v>442</v>
      </c>
      <c r="J395" s="174" t="s">
        <v>491</v>
      </c>
      <c r="K395" s="174" t="s">
        <v>338</v>
      </c>
      <c r="L395" s="174" t="s">
        <v>458</v>
      </c>
      <c r="M395" s="174" t="s">
        <v>281</v>
      </c>
      <c r="N395" s="177">
        <v>750000</v>
      </c>
      <c r="O395" s="174" t="s">
        <v>492</v>
      </c>
      <c r="P395" s="174" t="s">
        <v>283</v>
      </c>
      <c r="Q395" s="174" t="s">
        <v>306</v>
      </c>
      <c r="R395" s="174" t="s">
        <v>283</v>
      </c>
      <c r="S395" s="174" t="s">
        <v>283</v>
      </c>
      <c r="T395" s="175">
        <v>0</v>
      </c>
    </row>
    <row r="396" spans="1:20" x14ac:dyDescent="0.2">
      <c r="A396" s="169">
        <v>627</v>
      </c>
      <c r="B396" s="168" t="s">
        <v>8</v>
      </c>
      <c r="C396" s="168" t="s">
        <v>25</v>
      </c>
      <c r="D396" s="173">
        <v>45682</v>
      </c>
      <c r="E396" s="174" t="s">
        <v>490</v>
      </c>
      <c r="F396" s="174" t="s">
        <v>375</v>
      </c>
      <c r="G396" s="174" t="s">
        <v>336</v>
      </c>
      <c r="H396" s="174" t="s">
        <v>436</v>
      </c>
      <c r="I396" s="174" t="s">
        <v>437</v>
      </c>
      <c r="J396" s="174" t="s">
        <v>491</v>
      </c>
      <c r="K396" s="174" t="s">
        <v>338</v>
      </c>
      <c r="L396" s="174" t="s">
        <v>458</v>
      </c>
      <c r="M396" s="174" t="s">
        <v>281</v>
      </c>
      <c r="N396" s="177">
        <v>30500000</v>
      </c>
      <c r="O396" s="174" t="s">
        <v>492</v>
      </c>
      <c r="P396" s="174" t="s">
        <v>283</v>
      </c>
      <c r="Q396" s="174" t="s">
        <v>306</v>
      </c>
      <c r="R396" s="174" t="s">
        <v>283</v>
      </c>
      <c r="S396" s="174" t="s">
        <v>283</v>
      </c>
      <c r="T396" s="175">
        <v>0</v>
      </c>
    </row>
    <row r="397" spans="1:20" x14ac:dyDescent="0.2">
      <c r="A397" s="169">
        <v>622</v>
      </c>
      <c r="B397" s="168" t="s">
        <v>8</v>
      </c>
      <c r="C397" s="168" t="s">
        <v>25</v>
      </c>
      <c r="D397" s="173">
        <v>45688</v>
      </c>
      <c r="E397" s="174" t="s">
        <v>520</v>
      </c>
      <c r="F397" s="174" t="s">
        <v>414</v>
      </c>
      <c r="G397" s="174" t="s">
        <v>415</v>
      </c>
      <c r="H397" s="174" t="s">
        <v>441</v>
      </c>
      <c r="I397" s="174" t="s">
        <v>442</v>
      </c>
      <c r="J397" s="174" t="s">
        <v>416</v>
      </c>
      <c r="K397" s="174" t="s">
        <v>416</v>
      </c>
      <c r="L397" s="174" t="s">
        <v>458</v>
      </c>
      <c r="M397" s="174" t="s">
        <v>281</v>
      </c>
      <c r="N397" s="177">
        <v>750000</v>
      </c>
      <c r="O397" s="174" t="s">
        <v>521</v>
      </c>
      <c r="P397" s="174" t="s">
        <v>283</v>
      </c>
      <c r="Q397" s="174" t="s">
        <v>348</v>
      </c>
      <c r="R397" s="174" t="s">
        <v>283</v>
      </c>
      <c r="S397" s="174" t="s">
        <v>283</v>
      </c>
      <c r="T397" s="175">
        <v>0</v>
      </c>
    </row>
    <row r="398" spans="1:20" x14ac:dyDescent="0.2">
      <c r="A398" s="169">
        <v>627</v>
      </c>
      <c r="B398" s="168" t="s">
        <v>8</v>
      </c>
      <c r="C398" s="168" t="s">
        <v>25</v>
      </c>
      <c r="D398" s="173">
        <v>45688</v>
      </c>
      <c r="E398" s="174" t="s">
        <v>520</v>
      </c>
      <c r="F398" s="174" t="s">
        <v>375</v>
      </c>
      <c r="G398" s="174" t="s">
        <v>336</v>
      </c>
      <c r="H398" s="174" t="s">
        <v>441</v>
      </c>
      <c r="I398" s="174" t="s">
        <v>442</v>
      </c>
      <c r="J398" s="174" t="s">
        <v>416</v>
      </c>
      <c r="K398" s="174" t="s">
        <v>416</v>
      </c>
      <c r="L398" s="174" t="s">
        <v>458</v>
      </c>
      <c r="M398" s="174" t="s">
        <v>281</v>
      </c>
      <c r="N398" s="177">
        <v>-750000</v>
      </c>
      <c r="O398" s="174" t="s">
        <v>521</v>
      </c>
      <c r="P398" s="174" t="s">
        <v>283</v>
      </c>
      <c r="Q398" s="174" t="s">
        <v>348</v>
      </c>
      <c r="R398" s="174" t="s">
        <v>283</v>
      </c>
      <c r="S398" s="174" t="s">
        <v>283</v>
      </c>
      <c r="T398" s="175">
        <v>0</v>
      </c>
    </row>
    <row r="399" spans="1:20" x14ac:dyDescent="0.2">
      <c r="A399" s="169">
        <v>622</v>
      </c>
      <c r="B399" s="168" t="s">
        <v>8</v>
      </c>
      <c r="C399" s="168" t="s">
        <v>25</v>
      </c>
      <c r="D399" s="173">
        <v>45688</v>
      </c>
      <c r="E399" s="174" t="s">
        <v>520</v>
      </c>
      <c r="F399" s="174" t="s">
        <v>414</v>
      </c>
      <c r="G399" s="174" t="s">
        <v>415</v>
      </c>
      <c r="H399" s="174" t="s">
        <v>441</v>
      </c>
      <c r="I399" s="174" t="s">
        <v>442</v>
      </c>
      <c r="J399" s="174" t="s">
        <v>416</v>
      </c>
      <c r="K399" s="174" t="s">
        <v>416</v>
      </c>
      <c r="L399" s="174" t="s">
        <v>458</v>
      </c>
      <c r="M399" s="174" t="s">
        <v>281</v>
      </c>
      <c r="N399" s="177">
        <v>425000</v>
      </c>
      <c r="O399" s="174" t="s">
        <v>521</v>
      </c>
      <c r="P399" s="174" t="s">
        <v>283</v>
      </c>
      <c r="Q399" s="174" t="s">
        <v>348</v>
      </c>
      <c r="R399" s="174" t="s">
        <v>283</v>
      </c>
      <c r="S399" s="174" t="s">
        <v>283</v>
      </c>
      <c r="T399" s="175">
        <v>0</v>
      </c>
    </row>
    <row r="400" spans="1:20" x14ac:dyDescent="0.2">
      <c r="A400" s="169">
        <v>627</v>
      </c>
      <c r="B400" s="168" t="s">
        <v>8</v>
      </c>
      <c r="C400" s="168" t="s">
        <v>25</v>
      </c>
      <c r="D400" s="173">
        <v>45688</v>
      </c>
      <c r="E400" s="174" t="s">
        <v>455</v>
      </c>
      <c r="F400" s="174" t="s">
        <v>386</v>
      </c>
      <c r="G400" s="174" t="s">
        <v>341</v>
      </c>
      <c r="H400" s="174" t="s">
        <v>436</v>
      </c>
      <c r="I400" s="174" t="s">
        <v>437</v>
      </c>
      <c r="J400" s="174" t="s">
        <v>456</v>
      </c>
      <c r="K400" s="174" t="s">
        <v>457</v>
      </c>
      <c r="L400" s="174" t="s">
        <v>458</v>
      </c>
      <c r="M400" s="174" t="s">
        <v>281</v>
      </c>
      <c r="N400" s="177">
        <v>9812309</v>
      </c>
      <c r="O400" s="174" t="s">
        <v>459</v>
      </c>
      <c r="P400" s="174" t="s">
        <v>283</v>
      </c>
      <c r="Q400" s="174" t="s">
        <v>284</v>
      </c>
      <c r="R400" s="174" t="s">
        <v>283</v>
      </c>
      <c r="S400" s="174" t="s">
        <v>283</v>
      </c>
      <c r="T400" s="175">
        <v>0</v>
      </c>
    </row>
    <row r="401" spans="1:20" x14ac:dyDescent="0.2">
      <c r="A401" s="169">
        <v>627</v>
      </c>
      <c r="B401" s="168" t="s">
        <v>8</v>
      </c>
      <c r="C401" s="168" t="s">
        <v>22</v>
      </c>
      <c r="D401" s="173">
        <v>45688</v>
      </c>
      <c r="E401" s="174" t="s">
        <v>455</v>
      </c>
      <c r="F401" s="174" t="s">
        <v>387</v>
      </c>
      <c r="G401" s="174" t="s">
        <v>275</v>
      </c>
      <c r="H401" s="174" t="s">
        <v>436</v>
      </c>
      <c r="I401" s="174" t="s">
        <v>437</v>
      </c>
      <c r="J401" s="174" t="s">
        <v>456</v>
      </c>
      <c r="K401" s="174" t="s">
        <v>457</v>
      </c>
      <c r="L401" s="174" t="s">
        <v>458</v>
      </c>
      <c r="M401" s="174" t="s">
        <v>281</v>
      </c>
      <c r="N401" s="177">
        <v>450994892</v>
      </c>
      <c r="O401" s="174" t="s">
        <v>459</v>
      </c>
      <c r="P401" s="174" t="s">
        <v>283</v>
      </c>
      <c r="Q401" s="174" t="s">
        <v>284</v>
      </c>
      <c r="R401" s="174" t="s">
        <v>283</v>
      </c>
      <c r="S401" s="174" t="s">
        <v>283</v>
      </c>
      <c r="T401" s="175">
        <v>0</v>
      </c>
    </row>
    <row r="402" spans="1:20" x14ac:dyDescent="0.2">
      <c r="A402" s="169">
        <v>627</v>
      </c>
      <c r="B402" s="168" t="s">
        <v>8</v>
      </c>
      <c r="C402" s="168" t="s">
        <v>22</v>
      </c>
      <c r="D402" s="173">
        <v>45688</v>
      </c>
      <c r="E402" s="174" t="s">
        <v>455</v>
      </c>
      <c r="F402" s="174" t="s">
        <v>388</v>
      </c>
      <c r="G402" s="174" t="s">
        <v>286</v>
      </c>
      <c r="H402" s="174" t="s">
        <v>436</v>
      </c>
      <c r="I402" s="174" t="s">
        <v>437</v>
      </c>
      <c r="J402" s="174" t="s">
        <v>456</v>
      </c>
      <c r="K402" s="174" t="s">
        <v>457</v>
      </c>
      <c r="L402" s="174" t="s">
        <v>458</v>
      </c>
      <c r="M402" s="174" t="s">
        <v>281</v>
      </c>
      <c r="N402" s="177">
        <v>76337218</v>
      </c>
      <c r="O402" s="174" t="s">
        <v>459</v>
      </c>
      <c r="P402" s="174" t="s">
        <v>283</v>
      </c>
      <c r="Q402" s="174" t="s">
        <v>284</v>
      </c>
      <c r="R402" s="174" t="s">
        <v>283</v>
      </c>
      <c r="S402" s="174" t="s">
        <v>283</v>
      </c>
      <c r="T402" s="175">
        <v>0</v>
      </c>
    </row>
    <row r="403" spans="1:20" x14ac:dyDescent="0.2">
      <c r="A403" s="169">
        <v>627</v>
      </c>
      <c r="B403" s="168" t="s">
        <v>8</v>
      </c>
      <c r="C403" s="168" t="s">
        <v>23</v>
      </c>
      <c r="D403" s="173">
        <v>45688</v>
      </c>
      <c r="E403" s="174" t="s">
        <v>455</v>
      </c>
      <c r="F403" s="174" t="s">
        <v>389</v>
      </c>
      <c r="G403" s="174" t="s">
        <v>390</v>
      </c>
      <c r="H403" s="174" t="s">
        <v>436</v>
      </c>
      <c r="I403" s="174" t="s">
        <v>437</v>
      </c>
      <c r="J403" s="174" t="s">
        <v>456</v>
      </c>
      <c r="K403" s="174" t="s">
        <v>457</v>
      </c>
      <c r="L403" s="174" t="s">
        <v>458</v>
      </c>
      <c r="M403" s="174" t="s">
        <v>281</v>
      </c>
      <c r="N403" s="177">
        <v>62563224</v>
      </c>
      <c r="O403" s="174" t="s">
        <v>459</v>
      </c>
      <c r="P403" s="174" t="s">
        <v>283</v>
      </c>
      <c r="Q403" s="174" t="s">
        <v>284</v>
      </c>
      <c r="R403" s="174" t="s">
        <v>283</v>
      </c>
      <c r="S403" s="174" t="s">
        <v>283</v>
      </c>
      <c r="T403" s="175">
        <v>0</v>
      </c>
    </row>
    <row r="404" spans="1:20" x14ac:dyDescent="0.2">
      <c r="A404" s="169">
        <v>627</v>
      </c>
      <c r="B404" s="168" t="s">
        <v>8</v>
      </c>
      <c r="C404" s="168" t="s">
        <v>24</v>
      </c>
      <c r="D404" s="173">
        <v>45688</v>
      </c>
      <c r="E404" s="174" t="s">
        <v>455</v>
      </c>
      <c r="F404" s="174" t="s">
        <v>391</v>
      </c>
      <c r="G404" s="174" t="s">
        <v>291</v>
      </c>
      <c r="H404" s="174" t="s">
        <v>436</v>
      </c>
      <c r="I404" s="174" t="s">
        <v>437</v>
      </c>
      <c r="J404" s="174" t="s">
        <v>456</v>
      </c>
      <c r="K404" s="174" t="s">
        <v>457</v>
      </c>
      <c r="L404" s="174" t="s">
        <v>458</v>
      </c>
      <c r="M404" s="174" t="s">
        <v>281</v>
      </c>
      <c r="N404" s="177">
        <v>20900000</v>
      </c>
      <c r="O404" s="174" t="s">
        <v>459</v>
      </c>
      <c r="P404" s="174" t="s">
        <v>283</v>
      </c>
      <c r="Q404" s="174" t="s">
        <v>284</v>
      </c>
      <c r="R404" s="174" t="s">
        <v>283</v>
      </c>
      <c r="S404" s="174" t="s">
        <v>283</v>
      </c>
      <c r="T404" s="175">
        <v>0</v>
      </c>
    </row>
    <row r="405" spans="1:20" x14ac:dyDescent="0.2">
      <c r="A405" s="169">
        <v>627</v>
      </c>
      <c r="B405" s="168" t="s">
        <v>8</v>
      </c>
      <c r="C405" s="168" t="s">
        <v>25</v>
      </c>
      <c r="D405" s="173">
        <v>45688</v>
      </c>
      <c r="E405" s="174" t="s">
        <v>455</v>
      </c>
      <c r="F405" s="174" t="s">
        <v>375</v>
      </c>
      <c r="G405" s="174" t="s">
        <v>336</v>
      </c>
      <c r="H405" s="174" t="s">
        <v>436</v>
      </c>
      <c r="I405" s="174" t="s">
        <v>437</v>
      </c>
      <c r="J405" s="174" t="s">
        <v>456</v>
      </c>
      <c r="K405" s="174" t="s">
        <v>457</v>
      </c>
      <c r="L405" s="174" t="s">
        <v>458</v>
      </c>
      <c r="M405" s="174" t="s">
        <v>281</v>
      </c>
      <c r="N405" s="177">
        <v>6335000</v>
      </c>
      <c r="O405" s="174" t="s">
        <v>459</v>
      </c>
      <c r="P405" s="174" t="s">
        <v>283</v>
      </c>
      <c r="Q405" s="174" t="s">
        <v>284</v>
      </c>
      <c r="R405" s="174" t="s">
        <v>283</v>
      </c>
      <c r="S405" s="174" t="s">
        <v>283</v>
      </c>
      <c r="T405" s="175">
        <v>0</v>
      </c>
    </row>
    <row r="406" spans="1:20" x14ac:dyDescent="0.2">
      <c r="B406" s="168" t="s">
        <v>221</v>
      </c>
      <c r="C406" s="168" t="s">
        <v>22</v>
      </c>
      <c r="D406" s="173">
        <v>45688</v>
      </c>
      <c r="E406" s="174" t="s">
        <v>455</v>
      </c>
      <c r="F406" s="174" t="s">
        <v>274</v>
      </c>
      <c r="G406" s="174" t="s">
        <v>275</v>
      </c>
      <c r="H406" s="174" t="s">
        <v>443</v>
      </c>
      <c r="I406" s="174" t="s">
        <v>444</v>
      </c>
      <c r="J406" s="174" t="s">
        <v>456</v>
      </c>
      <c r="K406" s="174" t="s">
        <v>457</v>
      </c>
      <c r="L406" s="174" t="s">
        <v>458</v>
      </c>
      <c r="M406" s="174" t="s">
        <v>281</v>
      </c>
      <c r="N406" s="177">
        <v>105000000</v>
      </c>
      <c r="O406" s="174" t="s">
        <v>459</v>
      </c>
      <c r="P406" s="174" t="s">
        <v>283</v>
      </c>
      <c r="Q406" s="174" t="s">
        <v>284</v>
      </c>
      <c r="R406" s="174" t="s">
        <v>283</v>
      </c>
      <c r="S406" s="174" t="s">
        <v>283</v>
      </c>
      <c r="T406" s="175">
        <v>0</v>
      </c>
    </row>
    <row r="407" spans="1:20" x14ac:dyDescent="0.2">
      <c r="A407" s="169">
        <v>622</v>
      </c>
      <c r="B407" s="168" t="s">
        <v>8</v>
      </c>
      <c r="C407" s="168" t="s">
        <v>22</v>
      </c>
      <c r="D407" s="173">
        <v>45688</v>
      </c>
      <c r="E407" s="174" t="s">
        <v>455</v>
      </c>
      <c r="F407" s="174" t="s">
        <v>400</v>
      </c>
      <c r="G407" s="174" t="s">
        <v>401</v>
      </c>
      <c r="H407" s="174" t="s">
        <v>441</v>
      </c>
      <c r="I407" s="174" t="s">
        <v>442</v>
      </c>
      <c r="J407" s="174" t="s">
        <v>456</v>
      </c>
      <c r="K407" s="174" t="s">
        <v>457</v>
      </c>
      <c r="L407" s="174" t="s">
        <v>458</v>
      </c>
      <c r="M407" s="174" t="s">
        <v>281</v>
      </c>
      <c r="N407" s="177">
        <v>22537033</v>
      </c>
      <c r="O407" s="174" t="s">
        <v>459</v>
      </c>
      <c r="P407" s="174" t="s">
        <v>283</v>
      </c>
      <c r="Q407" s="174" t="s">
        <v>284</v>
      </c>
      <c r="R407" s="174" t="s">
        <v>283</v>
      </c>
      <c r="S407" s="174" t="s">
        <v>283</v>
      </c>
      <c r="T407" s="175">
        <v>0</v>
      </c>
    </row>
    <row r="408" spans="1:20" x14ac:dyDescent="0.2">
      <c r="A408" s="169">
        <v>622</v>
      </c>
      <c r="B408" s="168" t="s">
        <v>8</v>
      </c>
      <c r="C408" s="168" t="s">
        <v>22</v>
      </c>
      <c r="D408" s="173">
        <v>45688</v>
      </c>
      <c r="E408" s="174" t="s">
        <v>455</v>
      </c>
      <c r="F408" s="174" t="s">
        <v>420</v>
      </c>
      <c r="G408" s="174" t="s">
        <v>286</v>
      </c>
      <c r="H408" s="174" t="s">
        <v>441</v>
      </c>
      <c r="I408" s="174" t="s">
        <v>442</v>
      </c>
      <c r="J408" s="174" t="s">
        <v>456</v>
      </c>
      <c r="K408" s="174" t="s">
        <v>457</v>
      </c>
      <c r="L408" s="174" t="s">
        <v>458</v>
      </c>
      <c r="M408" s="174" t="s">
        <v>281</v>
      </c>
      <c r="N408" s="177">
        <v>4906692</v>
      </c>
      <c r="O408" s="174" t="s">
        <v>459</v>
      </c>
      <c r="P408" s="174" t="s">
        <v>283</v>
      </c>
      <c r="Q408" s="174" t="s">
        <v>284</v>
      </c>
      <c r="R408" s="174" t="s">
        <v>283</v>
      </c>
      <c r="S408" s="174" t="s">
        <v>283</v>
      </c>
      <c r="T408" s="175">
        <v>0</v>
      </c>
    </row>
    <row r="409" spans="1:20" x14ac:dyDescent="0.2">
      <c r="A409" s="169">
        <v>622</v>
      </c>
      <c r="B409" s="168" t="s">
        <v>8</v>
      </c>
      <c r="C409" s="168" t="s">
        <v>25</v>
      </c>
      <c r="D409" s="173">
        <v>45688</v>
      </c>
      <c r="E409" s="174" t="s">
        <v>455</v>
      </c>
      <c r="F409" s="174" t="s">
        <v>421</v>
      </c>
      <c r="G409" s="174" t="s">
        <v>341</v>
      </c>
      <c r="H409" s="174" t="s">
        <v>441</v>
      </c>
      <c r="I409" s="174" t="s">
        <v>442</v>
      </c>
      <c r="J409" s="174" t="s">
        <v>456</v>
      </c>
      <c r="K409" s="174" t="s">
        <v>457</v>
      </c>
      <c r="L409" s="174" t="s">
        <v>458</v>
      </c>
      <c r="M409" s="174" t="s">
        <v>281</v>
      </c>
      <c r="N409" s="177">
        <v>2090849</v>
      </c>
      <c r="O409" s="174" t="s">
        <v>459</v>
      </c>
      <c r="P409" s="174" t="s">
        <v>283</v>
      </c>
      <c r="Q409" s="174" t="s">
        <v>284</v>
      </c>
      <c r="R409" s="174" t="s">
        <v>283</v>
      </c>
      <c r="S409" s="174" t="s">
        <v>283</v>
      </c>
      <c r="T409" s="175">
        <v>0</v>
      </c>
    </row>
    <row r="410" spans="1:20" x14ac:dyDescent="0.2">
      <c r="A410" s="169">
        <v>622</v>
      </c>
      <c r="B410" s="168" t="s">
        <v>8</v>
      </c>
      <c r="C410" s="168" t="s">
        <v>23</v>
      </c>
      <c r="D410" s="173">
        <v>45688</v>
      </c>
      <c r="E410" s="174" t="s">
        <v>455</v>
      </c>
      <c r="F410" s="174" t="s">
        <v>422</v>
      </c>
      <c r="G410" s="174" t="s">
        <v>423</v>
      </c>
      <c r="H410" s="174" t="s">
        <v>441</v>
      </c>
      <c r="I410" s="174" t="s">
        <v>442</v>
      </c>
      <c r="J410" s="174" t="s">
        <v>456</v>
      </c>
      <c r="K410" s="174" t="s">
        <v>457</v>
      </c>
      <c r="L410" s="174" t="s">
        <v>458</v>
      </c>
      <c r="M410" s="174" t="s">
        <v>281</v>
      </c>
      <c r="N410" s="177">
        <v>4969258</v>
      </c>
      <c r="O410" s="174" t="s">
        <v>459</v>
      </c>
      <c r="P410" s="174" t="s">
        <v>283</v>
      </c>
      <c r="Q410" s="174" t="s">
        <v>284</v>
      </c>
      <c r="R410" s="174" t="s">
        <v>283</v>
      </c>
      <c r="S410" s="174" t="s">
        <v>283</v>
      </c>
      <c r="T410" s="175">
        <v>0</v>
      </c>
    </row>
    <row r="411" spans="1:20" x14ac:dyDescent="0.2">
      <c r="A411" s="169">
        <v>622</v>
      </c>
      <c r="B411" s="168" t="s">
        <v>8</v>
      </c>
      <c r="C411" s="168" t="s">
        <v>24</v>
      </c>
      <c r="D411" s="173">
        <v>45688</v>
      </c>
      <c r="E411" s="174" t="s">
        <v>455</v>
      </c>
      <c r="F411" s="174" t="s">
        <v>424</v>
      </c>
      <c r="G411" s="174" t="s">
        <v>291</v>
      </c>
      <c r="H411" s="174" t="s">
        <v>441</v>
      </c>
      <c r="I411" s="174" t="s">
        <v>442</v>
      </c>
      <c r="J411" s="174" t="s">
        <v>456</v>
      </c>
      <c r="K411" s="174" t="s">
        <v>457</v>
      </c>
      <c r="L411" s="174" t="s">
        <v>458</v>
      </c>
      <c r="M411" s="174" t="s">
        <v>281</v>
      </c>
      <c r="N411" s="177">
        <v>1500000</v>
      </c>
      <c r="O411" s="174" t="s">
        <v>459</v>
      </c>
      <c r="P411" s="174" t="s">
        <v>283</v>
      </c>
      <c r="Q411" s="174" t="s">
        <v>284</v>
      </c>
      <c r="R411" s="174" t="s">
        <v>283</v>
      </c>
      <c r="S411" s="174" t="s">
        <v>283</v>
      </c>
      <c r="T411" s="175">
        <v>0</v>
      </c>
    </row>
    <row r="412" spans="1:20" x14ac:dyDescent="0.2">
      <c r="A412" s="169">
        <v>622</v>
      </c>
      <c r="B412" s="168" t="s">
        <v>8</v>
      </c>
      <c r="C412" s="168" t="s">
        <v>25</v>
      </c>
      <c r="D412" s="173">
        <v>45688</v>
      </c>
      <c r="E412" s="174" t="s">
        <v>455</v>
      </c>
      <c r="F412" s="174" t="s">
        <v>414</v>
      </c>
      <c r="G412" s="174" t="s">
        <v>415</v>
      </c>
      <c r="H412" s="174" t="s">
        <v>441</v>
      </c>
      <c r="I412" s="174" t="s">
        <v>442</v>
      </c>
      <c r="J412" s="174" t="s">
        <v>456</v>
      </c>
      <c r="K412" s="174" t="s">
        <v>457</v>
      </c>
      <c r="L412" s="174" t="s">
        <v>458</v>
      </c>
      <c r="M412" s="174" t="s">
        <v>281</v>
      </c>
      <c r="N412" s="177">
        <v>500000</v>
      </c>
      <c r="O412" s="174" t="s">
        <v>459</v>
      </c>
      <c r="P412" s="174" t="s">
        <v>283</v>
      </c>
      <c r="Q412" s="174" t="s">
        <v>284</v>
      </c>
      <c r="R412" s="174" t="s">
        <v>283</v>
      </c>
      <c r="S412" s="174" t="s">
        <v>283</v>
      </c>
      <c r="T412" s="175">
        <v>0</v>
      </c>
    </row>
    <row r="413" spans="1:20" x14ac:dyDescent="0.2">
      <c r="A413" s="169">
        <v>627</v>
      </c>
      <c r="B413" s="168" t="s">
        <v>8</v>
      </c>
      <c r="C413" s="168" t="s">
        <v>22</v>
      </c>
      <c r="D413" s="173">
        <v>45688</v>
      </c>
      <c r="E413" s="174" t="s">
        <v>460</v>
      </c>
      <c r="F413" s="174" t="s">
        <v>388</v>
      </c>
      <c r="G413" s="174" t="s">
        <v>286</v>
      </c>
      <c r="H413" s="174" t="s">
        <v>436</v>
      </c>
      <c r="I413" s="174" t="s">
        <v>437</v>
      </c>
      <c r="J413" s="174" t="s">
        <v>461</v>
      </c>
      <c r="K413" s="174" t="s">
        <v>457</v>
      </c>
      <c r="L413" s="174" t="s">
        <v>458</v>
      </c>
      <c r="M413" s="174" t="s">
        <v>281</v>
      </c>
      <c r="N413" s="177">
        <v>32210129</v>
      </c>
      <c r="O413" s="174" t="s">
        <v>462</v>
      </c>
      <c r="P413" s="174" t="s">
        <v>283</v>
      </c>
      <c r="Q413" s="174" t="s">
        <v>284</v>
      </c>
      <c r="R413" s="174" t="s">
        <v>283</v>
      </c>
      <c r="S413" s="174" t="s">
        <v>283</v>
      </c>
      <c r="T413" s="175">
        <v>0</v>
      </c>
    </row>
    <row r="414" spans="1:20" x14ac:dyDescent="0.2">
      <c r="A414" s="169">
        <v>627</v>
      </c>
      <c r="B414" s="168" t="s">
        <v>8</v>
      </c>
      <c r="C414" s="168" t="s">
        <v>24</v>
      </c>
      <c r="D414" s="173">
        <v>45688</v>
      </c>
      <c r="E414" s="174" t="s">
        <v>460</v>
      </c>
      <c r="F414" s="174" t="s">
        <v>395</v>
      </c>
      <c r="G414" s="174" t="s">
        <v>77</v>
      </c>
      <c r="H414" s="174" t="s">
        <v>436</v>
      </c>
      <c r="I414" s="174" t="s">
        <v>437</v>
      </c>
      <c r="J414" s="174" t="s">
        <v>463</v>
      </c>
      <c r="K414" s="174" t="s">
        <v>457</v>
      </c>
      <c r="L414" s="174" t="s">
        <v>458</v>
      </c>
      <c r="M414" s="174" t="s">
        <v>281</v>
      </c>
      <c r="N414" s="177">
        <v>18471041</v>
      </c>
      <c r="O414" s="174" t="s">
        <v>462</v>
      </c>
      <c r="P414" s="174" t="s">
        <v>283</v>
      </c>
      <c r="Q414" s="174" t="s">
        <v>284</v>
      </c>
      <c r="R414" s="174" t="s">
        <v>283</v>
      </c>
      <c r="S414" s="174" t="s">
        <v>283</v>
      </c>
      <c r="T414" s="175">
        <v>0</v>
      </c>
    </row>
    <row r="415" spans="1:20" x14ac:dyDescent="0.2">
      <c r="B415" s="168" t="s">
        <v>221</v>
      </c>
      <c r="C415" s="168" t="s">
        <v>22</v>
      </c>
      <c r="D415" s="173">
        <v>45688</v>
      </c>
      <c r="E415" s="174" t="s">
        <v>460</v>
      </c>
      <c r="F415" s="174" t="s">
        <v>285</v>
      </c>
      <c r="G415" s="174" t="s">
        <v>286</v>
      </c>
      <c r="H415" s="174" t="s">
        <v>443</v>
      </c>
      <c r="I415" s="174" t="s">
        <v>444</v>
      </c>
      <c r="J415" s="174" t="s">
        <v>461</v>
      </c>
      <c r="K415" s="174" t="s">
        <v>457</v>
      </c>
      <c r="L415" s="174" t="s">
        <v>458</v>
      </c>
      <c r="M415" s="174" t="s">
        <v>281</v>
      </c>
      <c r="N415" s="177">
        <v>8750000</v>
      </c>
      <c r="O415" s="174" t="s">
        <v>462</v>
      </c>
      <c r="P415" s="174" t="s">
        <v>283</v>
      </c>
      <c r="Q415" s="174" t="s">
        <v>284</v>
      </c>
      <c r="R415" s="174" t="s">
        <v>283</v>
      </c>
      <c r="S415" s="174" t="s">
        <v>283</v>
      </c>
      <c r="T415" s="175">
        <v>0</v>
      </c>
    </row>
    <row r="416" spans="1:20" x14ac:dyDescent="0.2">
      <c r="B416" s="168" t="s">
        <v>221</v>
      </c>
      <c r="C416" s="168" t="s">
        <v>24</v>
      </c>
      <c r="D416" s="173">
        <v>45688</v>
      </c>
      <c r="E416" s="174" t="s">
        <v>460</v>
      </c>
      <c r="F416" s="174" t="s">
        <v>292</v>
      </c>
      <c r="G416" s="174" t="s">
        <v>77</v>
      </c>
      <c r="H416" s="174" t="s">
        <v>443</v>
      </c>
      <c r="I416" s="174" t="s">
        <v>444</v>
      </c>
      <c r="J416" s="174" t="s">
        <v>463</v>
      </c>
      <c r="K416" s="174" t="s">
        <v>457</v>
      </c>
      <c r="L416" s="174" t="s">
        <v>458</v>
      </c>
      <c r="M416" s="174" t="s">
        <v>281</v>
      </c>
      <c r="N416" s="177">
        <v>8049930</v>
      </c>
      <c r="O416" s="174" t="s">
        <v>462</v>
      </c>
      <c r="P416" s="174" t="s">
        <v>283</v>
      </c>
      <c r="Q416" s="174" t="s">
        <v>284</v>
      </c>
      <c r="R416" s="174" t="s">
        <v>283</v>
      </c>
      <c r="S416" s="174" t="s">
        <v>283</v>
      </c>
      <c r="T416" s="175">
        <v>0</v>
      </c>
    </row>
    <row r="417" spans="1:20" x14ac:dyDescent="0.2">
      <c r="A417" s="169">
        <v>622</v>
      </c>
      <c r="B417" s="168" t="s">
        <v>8</v>
      </c>
      <c r="C417" s="168" t="s">
        <v>22</v>
      </c>
      <c r="D417" s="173">
        <v>45688</v>
      </c>
      <c r="E417" s="174" t="s">
        <v>460</v>
      </c>
      <c r="F417" s="174" t="s">
        <v>420</v>
      </c>
      <c r="G417" s="174" t="s">
        <v>286</v>
      </c>
      <c r="H417" s="174" t="s">
        <v>441</v>
      </c>
      <c r="I417" s="174" t="s">
        <v>442</v>
      </c>
      <c r="J417" s="174" t="s">
        <v>461</v>
      </c>
      <c r="K417" s="174" t="s">
        <v>457</v>
      </c>
      <c r="L417" s="174" t="s">
        <v>458</v>
      </c>
      <c r="M417" s="174" t="s">
        <v>281</v>
      </c>
      <c r="N417" s="177">
        <v>1784963</v>
      </c>
      <c r="O417" s="174" t="s">
        <v>462</v>
      </c>
      <c r="P417" s="174" t="s">
        <v>283</v>
      </c>
      <c r="Q417" s="174" t="s">
        <v>284</v>
      </c>
      <c r="R417" s="174" t="s">
        <v>283</v>
      </c>
      <c r="S417" s="174" t="s">
        <v>283</v>
      </c>
      <c r="T417" s="175">
        <v>0</v>
      </c>
    </row>
    <row r="418" spans="1:20" x14ac:dyDescent="0.2">
      <c r="A418" s="169">
        <v>622</v>
      </c>
      <c r="B418" s="168" t="s">
        <v>8</v>
      </c>
      <c r="C418" s="168" t="s">
        <v>24</v>
      </c>
      <c r="D418" s="173">
        <v>45688</v>
      </c>
      <c r="E418" s="174" t="s">
        <v>460</v>
      </c>
      <c r="F418" s="174" t="s">
        <v>426</v>
      </c>
      <c r="G418" s="174" t="s">
        <v>77</v>
      </c>
      <c r="H418" s="174" t="s">
        <v>441</v>
      </c>
      <c r="I418" s="174" t="s">
        <v>442</v>
      </c>
      <c r="J418" s="174" t="s">
        <v>463</v>
      </c>
      <c r="K418" s="174" t="s">
        <v>457</v>
      </c>
      <c r="L418" s="174" t="s">
        <v>458</v>
      </c>
      <c r="M418" s="174" t="s">
        <v>281</v>
      </c>
      <c r="N418" s="177">
        <v>236997</v>
      </c>
      <c r="O418" s="174" t="s">
        <v>462</v>
      </c>
      <c r="P418" s="174" t="s">
        <v>283</v>
      </c>
      <c r="Q418" s="174" t="s">
        <v>284</v>
      </c>
      <c r="R418" s="174" t="s">
        <v>283</v>
      </c>
      <c r="S418" s="174" t="s">
        <v>283</v>
      </c>
      <c r="T418" s="175">
        <v>0</v>
      </c>
    </row>
    <row r="419" spans="1:20" x14ac:dyDescent="0.2">
      <c r="A419" s="169">
        <v>627</v>
      </c>
      <c r="B419" s="168" t="s">
        <v>8</v>
      </c>
      <c r="C419" s="168" t="s">
        <v>170</v>
      </c>
      <c r="D419" s="173">
        <v>45688</v>
      </c>
      <c r="E419" s="174" t="s">
        <v>464</v>
      </c>
      <c r="F419" s="174" t="s">
        <v>393</v>
      </c>
      <c r="G419" s="174" t="s">
        <v>296</v>
      </c>
      <c r="H419" s="174" t="s">
        <v>436</v>
      </c>
      <c r="I419" s="174" t="s">
        <v>437</v>
      </c>
      <c r="J419" s="174" t="s">
        <v>465</v>
      </c>
      <c r="K419" s="174" t="s">
        <v>457</v>
      </c>
      <c r="L419" s="174" t="s">
        <v>458</v>
      </c>
      <c r="M419" s="174" t="s">
        <v>281</v>
      </c>
      <c r="N419" s="177">
        <v>76039790</v>
      </c>
      <c r="O419" s="174" t="s">
        <v>466</v>
      </c>
      <c r="P419" s="174" t="s">
        <v>283</v>
      </c>
      <c r="Q419" s="174" t="s">
        <v>284</v>
      </c>
      <c r="R419" s="174" t="s">
        <v>283</v>
      </c>
      <c r="S419" s="174" t="s">
        <v>283</v>
      </c>
      <c r="T419" s="175">
        <v>0</v>
      </c>
    </row>
    <row r="420" spans="1:20" x14ac:dyDescent="0.2">
      <c r="A420" s="169">
        <v>622</v>
      </c>
      <c r="B420" s="168" t="s">
        <v>8</v>
      </c>
      <c r="C420" s="168" t="s">
        <v>170</v>
      </c>
      <c r="D420" s="173">
        <v>45688</v>
      </c>
      <c r="E420" s="174" t="s">
        <v>464</v>
      </c>
      <c r="F420" s="174" t="s">
        <v>425</v>
      </c>
      <c r="G420" s="174" t="s">
        <v>296</v>
      </c>
      <c r="H420" s="174" t="s">
        <v>441</v>
      </c>
      <c r="I420" s="174" t="s">
        <v>442</v>
      </c>
      <c r="J420" s="174" t="s">
        <v>465</v>
      </c>
      <c r="K420" s="174" t="s">
        <v>457</v>
      </c>
      <c r="L420" s="174" t="s">
        <v>458</v>
      </c>
      <c r="M420" s="174" t="s">
        <v>281</v>
      </c>
      <c r="N420" s="177">
        <v>3931550</v>
      </c>
      <c r="O420" s="174" t="s">
        <v>466</v>
      </c>
      <c r="P420" s="174" t="s">
        <v>283</v>
      </c>
      <c r="Q420" s="174" t="s">
        <v>284</v>
      </c>
      <c r="R420" s="174" t="s">
        <v>283</v>
      </c>
      <c r="S420" s="174" t="s">
        <v>283</v>
      </c>
      <c r="T420" s="175">
        <v>0</v>
      </c>
    </row>
    <row r="421" spans="1:20" x14ac:dyDescent="0.2">
      <c r="A421" s="169">
        <v>627</v>
      </c>
      <c r="B421" s="168" t="s">
        <v>8</v>
      </c>
      <c r="C421" s="168" t="s">
        <v>170</v>
      </c>
      <c r="D421" s="173">
        <v>45688</v>
      </c>
      <c r="E421" s="174" t="s">
        <v>513</v>
      </c>
      <c r="F421" s="174" t="s">
        <v>393</v>
      </c>
      <c r="G421" s="174" t="s">
        <v>296</v>
      </c>
      <c r="H421" s="174" t="s">
        <v>436</v>
      </c>
      <c r="I421" s="174" t="s">
        <v>437</v>
      </c>
      <c r="J421" s="174" t="s">
        <v>514</v>
      </c>
      <c r="K421" s="174" t="s">
        <v>457</v>
      </c>
      <c r="L421" s="174" t="s">
        <v>458</v>
      </c>
      <c r="M421" s="174" t="s">
        <v>281</v>
      </c>
      <c r="N421" s="177">
        <v>235620</v>
      </c>
      <c r="O421" s="174" t="s">
        <v>515</v>
      </c>
      <c r="P421" s="174" t="s">
        <v>283</v>
      </c>
      <c r="Q421" s="174" t="s">
        <v>284</v>
      </c>
      <c r="R421" s="174" t="s">
        <v>283</v>
      </c>
      <c r="S421" s="174" t="s">
        <v>283</v>
      </c>
      <c r="T421" s="175">
        <v>0</v>
      </c>
    </row>
    <row r="422" spans="1:20" x14ac:dyDescent="0.2">
      <c r="A422" s="169">
        <v>627</v>
      </c>
      <c r="B422" s="168" t="s">
        <v>8</v>
      </c>
      <c r="C422" s="168" t="s">
        <v>170</v>
      </c>
      <c r="D422" s="173">
        <v>45688</v>
      </c>
      <c r="E422" s="174" t="s">
        <v>522</v>
      </c>
      <c r="F422" s="174" t="s">
        <v>393</v>
      </c>
      <c r="G422" s="174" t="s">
        <v>296</v>
      </c>
      <c r="H422" s="174" t="s">
        <v>436</v>
      </c>
      <c r="I422" s="174" t="s">
        <v>437</v>
      </c>
      <c r="J422" s="174" t="s">
        <v>465</v>
      </c>
      <c r="K422" s="174" t="s">
        <v>457</v>
      </c>
      <c r="L422" s="174" t="s">
        <v>458</v>
      </c>
      <c r="M422" s="174" t="s">
        <v>281</v>
      </c>
      <c r="N422" s="177">
        <v>111360</v>
      </c>
      <c r="O422" s="174" t="s">
        <v>523</v>
      </c>
      <c r="P422" s="174" t="s">
        <v>283</v>
      </c>
      <c r="Q422" s="174" t="s">
        <v>284</v>
      </c>
      <c r="R422" s="174" t="s">
        <v>283</v>
      </c>
      <c r="S422" s="174" t="s">
        <v>283</v>
      </c>
      <c r="T422" s="175">
        <v>0</v>
      </c>
    </row>
    <row r="423" spans="1:20" x14ac:dyDescent="0.2">
      <c r="A423" s="169">
        <v>627</v>
      </c>
      <c r="B423" s="168" t="s">
        <v>8</v>
      </c>
      <c r="C423" s="168" t="s">
        <v>170</v>
      </c>
      <c r="D423" s="173">
        <v>45688</v>
      </c>
      <c r="E423" s="174" t="s">
        <v>522</v>
      </c>
      <c r="F423" s="174" t="s">
        <v>393</v>
      </c>
      <c r="G423" s="174" t="s">
        <v>296</v>
      </c>
      <c r="H423" s="174" t="s">
        <v>436</v>
      </c>
      <c r="I423" s="174" t="s">
        <v>437</v>
      </c>
      <c r="J423" s="174" t="s">
        <v>465</v>
      </c>
      <c r="K423" s="174" t="s">
        <v>457</v>
      </c>
      <c r="L423" s="174" t="s">
        <v>458</v>
      </c>
      <c r="M423" s="174" t="s">
        <v>281</v>
      </c>
      <c r="N423" s="177">
        <v>974400</v>
      </c>
      <c r="O423" s="174" t="s">
        <v>523</v>
      </c>
      <c r="P423" s="174" t="s">
        <v>283</v>
      </c>
      <c r="Q423" s="174" t="s">
        <v>284</v>
      </c>
      <c r="R423" s="174" t="s">
        <v>283</v>
      </c>
      <c r="S423" s="174" t="s">
        <v>283</v>
      </c>
      <c r="T423" s="175">
        <v>0</v>
      </c>
    </row>
    <row r="424" spans="1:20" x14ac:dyDescent="0.2">
      <c r="A424" s="169">
        <v>627</v>
      </c>
      <c r="B424" s="168" t="s">
        <v>8</v>
      </c>
      <c r="C424" s="168" t="s">
        <v>170</v>
      </c>
      <c r="D424" s="173">
        <v>45688</v>
      </c>
      <c r="E424" s="174" t="s">
        <v>522</v>
      </c>
      <c r="F424" s="174" t="s">
        <v>393</v>
      </c>
      <c r="G424" s="174" t="s">
        <v>296</v>
      </c>
      <c r="H424" s="174" t="s">
        <v>436</v>
      </c>
      <c r="I424" s="174" t="s">
        <v>437</v>
      </c>
      <c r="J424" s="174" t="s">
        <v>465</v>
      </c>
      <c r="K424" s="174" t="s">
        <v>457</v>
      </c>
      <c r="L424" s="174" t="s">
        <v>458</v>
      </c>
      <c r="M424" s="174" t="s">
        <v>281</v>
      </c>
      <c r="N424" s="177">
        <v>167040</v>
      </c>
      <c r="O424" s="174" t="s">
        <v>523</v>
      </c>
      <c r="P424" s="174" t="s">
        <v>283</v>
      </c>
      <c r="Q424" s="174" t="s">
        <v>284</v>
      </c>
      <c r="R424" s="174" t="s">
        <v>283</v>
      </c>
      <c r="S424" s="174" t="s">
        <v>283</v>
      </c>
      <c r="T424" s="175">
        <v>0</v>
      </c>
    </row>
    <row r="425" spans="1:20" x14ac:dyDescent="0.2">
      <c r="A425" s="169">
        <v>627</v>
      </c>
      <c r="B425" s="168" t="s">
        <v>8</v>
      </c>
      <c r="C425" s="168" t="s">
        <v>170</v>
      </c>
      <c r="D425" s="173">
        <v>45688</v>
      </c>
      <c r="E425" s="174" t="s">
        <v>522</v>
      </c>
      <c r="F425" s="174" t="s">
        <v>393</v>
      </c>
      <c r="G425" s="174" t="s">
        <v>296</v>
      </c>
      <c r="H425" s="174" t="s">
        <v>436</v>
      </c>
      <c r="I425" s="174" t="s">
        <v>437</v>
      </c>
      <c r="J425" s="174" t="s">
        <v>465</v>
      </c>
      <c r="K425" s="174" t="s">
        <v>457</v>
      </c>
      <c r="L425" s="174" t="s">
        <v>458</v>
      </c>
      <c r="M425" s="174" t="s">
        <v>281</v>
      </c>
      <c r="N425" s="177">
        <v>55680</v>
      </c>
      <c r="O425" s="174" t="s">
        <v>523</v>
      </c>
      <c r="P425" s="174" t="s">
        <v>283</v>
      </c>
      <c r="Q425" s="174" t="s">
        <v>284</v>
      </c>
      <c r="R425" s="174" t="s">
        <v>283</v>
      </c>
      <c r="S425" s="174" t="s">
        <v>283</v>
      </c>
      <c r="T425" s="175">
        <v>0</v>
      </c>
    </row>
    <row r="426" spans="1:20" x14ac:dyDescent="0.2">
      <c r="A426" s="169">
        <v>627</v>
      </c>
      <c r="B426" s="168" t="s">
        <v>8</v>
      </c>
      <c r="C426" s="168" t="s">
        <v>170</v>
      </c>
      <c r="D426" s="173">
        <v>45688</v>
      </c>
      <c r="E426" s="174" t="s">
        <v>467</v>
      </c>
      <c r="F426" s="174" t="s">
        <v>393</v>
      </c>
      <c r="G426" s="174" t="s">
        <v>296</v>
      </c>
      <c r="H426" s="174" t="s">
        <v>436</v>
      </c>
      <c r="I426" s="174" t="s">
        <v>437</v>
      </c>
      <c r="J426" s="174" t="s">
        <v>465</v>
      </c>
      <c r="K426" s="174" t="s">
        <v>457</v>
      </c>
      <c r="L426" s="174" t="s">
        <v>458</v>
      </c>
      <c r="M426" s="174" t="s">
        <v>281</v>
      </c>
      <c r="N426" s="177">
        <v>76039790</v>
      </c>
      <c r="O426" s="174" t="s">
        <v>468</v>
      </c>
      <c r="P426" s="174" t="s">
        <v>283</v>
      </c>
      <c r="Q426" s="174" t="s">
        <v>284</v>
      </c>
      <c r="R426" s="174" t="s">
        <v>283</v>
      </c>
      <c r="S426" s="174" t="s">
        <v>283</v>
      </c>
      <c r="T426" s="175">
        <v>0</v>
      </c>
    </row>
    <row r="427" spans="1:20" x14ac:dyDescent="0.2">
      <c r="A427" s="169">
        <v>622</v>
      </c>
      <c r="B427" s="168" t="s">
        <v>8</v>
      </c>
      <c r="C427" s="168" t="s">
        <v>170</v>
      </c>
      <c r="D427" s="173">
        <v>45688</v>
      </c>
      <c r="E427" s="174" t="s">
        <v>467</v>
      </c>
      <c r="F427" s="174" t="s">
        <v>425</v>
      </c>
      <c r="G427" s="174" t="s">
        <v>296</v>
      </c>
      <c r="H427" s="174" t="s">
        <v>441</v>
      </c>
      <c r="I427" s="174" t="s">
        <v>442</v>
      </c>
      <c r="J427" s="174" t="s">
        <v>465</v>
      </c>
      <c r="K427" s="174" t="s">
        <v>457</v>
      </c>
      <c r="L427" s="174" t="s">
        <v>458</v>
      </c>
      <c r="M427" s="174" t="s">
        <v>281</v>
      </c>
      <c r="N427" s="177">
        <v>3931550</v>
      </c>
      <c r="O427" s="174" t="s">
        <v>468</v>
      </c>
      <c r="P427" s="174" t="s">
        <v>283</v>
      </c>
      <c r="Q427" s="174" t="s">
        <v>284</v>
      </c>
      <c r="R427" s="174" t="s">
        <v>283</v>
      </c>
      <c r="S427" s="174" t="s">
        <v>283</v>
      </c>
      <c r="T427" s="175">
        <v>0</v>
      </c>
    </row>
    <row r="428" spans="1:20" x14ac:dyDescent="0.2">
      <c r="A428" s="169">
        <v>627</v>
      </c>
      <c r="B428" s="168" t="s">
        <v>8</v>
      </c>
      <c r="C428" s="168" t="s">
        <v>170</v>
      </c>
      <c r="D428" s="173">
        <v>45688</v>
      </c>
      <c r="E428" s="174" t="s">
        <v>469</v>
      </c>
      <c r="F428" s="174" t="s">
        <v>393</v>
      </c>
      <c r="G428" s="174" t="s">
        <v>296</v>
      </c>
      <c r="H428" s="174" t="s">
        <v>436</v>
      </c>
      <c r="I428" s="174" t="s">
        <v>437</v>
      </c>
      <c r="J428" s="174" t="s">
        <v>465</v>
      </c>
      <c r="K428" s="174" t="s">
        <v>457</v>
      </c>
      <c r="L428" s="174" t="s">
        <v>458</v>
      </c>
      <c r="M428" s="174" t="s">
        <v>281</v>
      </c>
      <c r="N428" s="177">
        <v>-76039790</v>
      </c>
      <c r="O428" s="174" t="s">
        <v>470</v>
      </c>
      <c r="P428" s="174" t="s">
        <v>447</v>
      </c>
      <c r="Q428" s="174" t="s">
        <v>284</v>
      </c>
      <c r="R428" s="174" t="s">
        <v>283</v>
      </c>
      <c r="S428" s="174" t="s">
        <v>283</v>
      </c>
      <c r="T428" s="175">
        <v>0</v>
      </c>
    </row>
    <row r="429" spans="1:20" x14ac:dyDescent="0.2">
      <c r="A429" s="169">
        <v>622</v>
      </c>
      <c r="B429" s="168" t="s">
        <v>8</v>
      </c>
      <c r="C429" s="168" t="s">
        <v>170</v>
      </c>
      <c r="D429" s="173">
        <v>45688</v>
      </c>
      <c r="E429" s="174" t="s">
        <v>469</v>
      </c>
      <c r="F429" s="174" t="s">
        <v>425</v>
      </c>
      <c r="G429" s="174" t="s">
        <v>296</v>
      </c>
      <c r="H429" s="174" t="s">
        <v>441</v>
      </c>
      <c r="I429" s="174" t="s">
        <v>442</v>
      </c>
      <c r="J429" s="174" t="s">
        <v>465</v>
      </c>
      <c r="K429" s="174" t="s">
        <v>457</v>
      </c>
      <c r="L429" s="174" t="s">
        <v>458</v>
      </c>
      <c r="M429" s="174" t="s">
        <v>281</v>
      </c>
      <c r="N429" s="177">
        <v>-3931550</v>
      </c>
      <c r="O429" s="174" t="s">
        <v>470</v>
      </c>
      <c r="P429" s="174" t="s">
        <v>447</v>
      </c>
      <c r="Q429" s="174" t="s">
        <v>284</v>
      </c>
      <c r="R429" s="174" t="s">
        <v>283</v>
      </c>
      <c r="S429" s="174" t="s">
        <v>283</v>
      </c>
      <c r="T429" s="175">
        <v>0</v>
      </c>
    </row>
    <row r="430" spans="1:20" x14ac:dyDescent="0.2">
      <c r="A430" s="169">
        <v>627</v>
      </c>
      <c r="B430" s="168" t="s">
        <v>8</v>
      </c>
      <c r="C430" s="168" t="s">
        <v>22</v>
      </c>
      <c r="D430" s="173">
        <v>45688</v>
      </c>
      <c r="E430" s="174" t="s">
        <v>524</v>
      </c>
      <c r="F430" s="174" t="s">
        <v>387</v>
      </c>
      <c r="G430" s="174" t="s">
        <v>275</v>
      </c>
      <c r="H430" s="174" t="s">
        <v>436</v>
      </c>
      <c r="I430" s="174" t="s">
        <v>437</v>
      </c>
      <c r="J430" s="174" t="s">
        <v>456</v>
      </c>
      <c r="K430" s="174" t="s">
        <v>457</v>
      </c>
      <c r="L430" s="174" t="s">
        <v>458</v>
      </c>
      <c r="M430" s="174" t="s">
        <v>281</v>
      </c>
      <c r="N430" s="177">
        <v>1313250</v>
      </c>
      <c r="O430" s="174" t="s">
        <v>525</v>
      </c>
      <c r="P430" s="174" t="s">
        <v>283</v>
      </c>
      <c r="Q430" s="174" t="s">
        <v>284</v>
      </c>
      <c r="R430" s="174" t="s">
        <v>283</v>
      </c>
      <c r="S430" s="174" t="s">
        <v>283</v>
      </c>
      <c r="T430" s="175">
        <v>0</v>
      </c>
    </row>
    <row r="431" spans="1:20" x14ac:dyDescent="0.2">
      <c r="B431" s="168" t="s">
        <v>0</v>
      </c>
      <c r="C431" s="168" t="s">
        <v>22</v>
      </c>
      <c r="D431" s="173">
        <v>45747</v>
      </c>
      <c r="E431" s="169" t="s">
        <v>531</v>
      </c>
      <c r="F431" s="169" t="s">
        <v>274</v>
      </c>
      <c r="G431" s="169" t="s">
        <v>275</v>
      </c>
      <c r="H431" s="169" t="s">
        <v>276</v>
      </c>
      <c r="I431" s="169" t="s">
        <v>277</v>
      </c>
      <c r="J431" s="169" t="s">
        <v>532</v>
      </c>
      <c r="K431" s="169" t="s">
        <v>533</v>
      </c>
      <c r="L431" s="169" t="s">
        <v>534</v>
      </c>
      <c r="M431" s="169" t="s">
        <v>281</v>
      </c>
      <c r="N431" s="178">
        <v>1116067769</v>
      </c>
      <c r="O431" s="169" t="s">
        <v>535</v>
      </c>
      <c r="P431" s="169" t="s">
        <v>283</v>
      </c>
      <c r="Q431" s="169" t="s">
        <v>284</v>
      </c>
      <c r="R431" s="169" t="s">
        <v>283</v>
      </c>
      <c r="S431" s="169" t="s">
        <v>283</v>
      </c>
      <c r="T431" s="169">
        <v>0</v>
      </c>
    </row>
    <row r="432" spans="1:20" x14ac:dyDescent="0.2">
      <c r="B432" s="168" t="s">
        <v>0</v>
      </c>
      <c r="C432" s="168" t="s">
        <v>22</v>
      </c>
      <c r="D432" s="173">
        <v>45747</v>
      </c>
      <c r="E432" s="169" t="s">
        <v>531</v>
      </c>
      <c r="F432" s="169" t="s">
        <v>285</v>
      </c>
      <c r="G432" s="169" t="s">
        <v>286</v>
      </c>
      <c r="H432" s="169" t="s">
        <v>276</v>
      </c>
      <c r="I432" s="169" t="s">
        <v>277</v>
      </c>
      <c r="J432" s="169" t="s">
        <v>532</v>
      </c>
      <c r="K432" s="169" t="s">
        <v>533</v>
      </c>
      <c r="L432" s="169" t="s">
        <v>534</v>
      </c>
      <c r="M432" s="169" t="s">
        <v>281</v>
      </c>
      <c r="N432" s="178">
        <v>80621867</v>
      </c>
      <c r="O432" s="169" t="s">
        <v>535</v>
      </c>
      <c r="P432" s="169" t="s">
        <v>283</v>
      </c>
      <c r="Q432" s="169" t="s">
        <v>284</v>
      </c>
      <c r="R432" s="169" t="s">
        <v>283</v>
      </c>
      <c r="S432" s="169" t="s">
        <v>283</v>
      </c>
      <c r="T432" s="169">
        <v>0</v>
      </c>
    </row>
    <row r="433" spans="2:20" x14ac:dyDescent="0.2">
      <c r="B433" s="168" t="s">
        <v>0</v>
      </c>
      <c r="C433" s="168" t="s">
        <v>22</v>
      </c>
      <c r="D433" s="173">
        <v>45747</v>
      </c>
      <c r="E433" s="169" t="s">
        <v>536</v>
      </c>
      <c r="F433" s="169" t="s">
        <v>285</v>
      </c>
      <c r="G433" s="169" t="s">
        <v>286</v>
      </c>
      <c r="H433" s="169" t="s">
        <v>276</v>
      </c>
      <c r="I433" s="169" t="s">
        <v>277</v>
      </c>
      <c r="J433" s="169" t="s">
        <v>537</v>
      </c>
      <c r="K433" s="169" t="s">
        <v>533</v>
      </c>
      <c r="L433" s="169" t="s">
        <v>534</v>
      </c>
      <c r="M433" s="169" t="s">
        <v>281</v>
      </c>
      <c r="N433" s="178">
        <v>93775083</v>
      </c>
      <c r="O433" s="169" t="s">
        <v>538</v>
      </c>
      <c r="P433" s="169" t="s">
        <v>283</v>
      </c>
      <c r="Q433" s="169" t="s">
        <v>284</v>
      </c>
      <c r="R433" s="169" t="s">
        <v>283</v>
      </c>
      <c r="S433" s="169" t="s">
        <v>283</v>
      </c>
      <c r="T433" s="169">
        <v>0</v>
      </c>
    </row>
    <row r="434" spans="2:20" x14ac:dyDescent="0.2">
      <c r="B434" s="168" t="s">
        <v>0</v>
      </c>
      <c r="C434" s="168" t="s">
        <v>24</v>
      </c>
      <c r="D434" s="173">
        <v>45747</v>
      </c>
      <c r="E434" s="169" t="s">
        <v>536</v>
      </c>
      <c r="F434" s="169" t="s">
        <v>292</v>
      </c>
      <c r="G434" s="169" t="s">
        <v>77</v>
      </c>
      <c r="H434" s="169" t="s">
        <v>276</v>
      </c>
      <c r="I434" s="169" t="s">
        <v>277</v>
      </c>
      <c r="J434" s="169" t="s">
        <v>539</v>
      </c>
      <c r="K434" s="169" t="s">
        <v>533</v>
      </c>
      <c r="L434" s="169" t="s">
        <v>534</v>
      </c>
      <c r="M434" s="169" t="s">
        <v>281</v>
      </c>
      <c r="N434" s="178">
        <v>86272326</v>
      </c>
      <c r="O434" s="169" t="s">
        <v>538</v>
      </c>
      <c r="P434" s="169" t="s">
        <v>283</v>
      </c>
      <c r="Q434" s="169" t="s">
        <v>284</v>
      </c>
      <c r="R434" s="169" t="s">
        <v>283</v>
      </c>
      <c r="S434" s="169" t="s">
        <v>283</v>
      </c>
      <c r="T434" s="169">
        <v>0</v>
      </c>
    </row>
    <row r="435" spans="2:20" x14ac:dyDescent="0.2">
      <c r="B435" s="168" t="s">
        <v>0</v>
      </c>
      <c r="C435" s="168" t="s">
        <v>170</v>
      </c>
      <c r="D435" s="173">
        <v>45747</v>
      </c>
      <c r="E435" s="169" t="s">
        <v>540</v>
      </c>
      <c r="F435" s="169" t="s">
        <v>295</v>
      </c>
      <c r="G435" s="169" t="s">
        <v>296</v>
      </c>
      <c r="H435" s="169" t="s">
        <v>276</v>
      </c>
      <c r="I435" s="169" t="s">
        <v>277</v>
      </c>
      <c r="J435" s="169" t="s">
        <v>541</v>
      </c>
      <c r="K435" s="169" t="s">
        <v>533</v>
      </c>
      <c r="L435" s="169" t="s">
        <v>534</v>
      </c>
      <c r="M435" s="169" t="s">
        <v>281</v>
      </c>
      <c r="N435" s="178">
        <v>123680010</v>
      </c>
      <c r="O435" s="169" t="s">
        <v>542</v>
      </c>
      <c r="P435" s="169" t="s">
        <v>283</v>
      </c>
      <c r="Q435" s="169" t="s">
        <v>284</v>
      </c>
      <c r="R435" s="169" t="s">
        <v>283</v>
      </c>
      <c r="S435" s="169" t="s">
        <v>283</v>
      </c>
      <c r="T435" s="169">
        <v>0</v>
      </c>
    </row>
    <row r="436" spans="2:20" x14ac:dyDescent="0.2">
      <c r="B436" s="168" t="s">
        <v>9</v>
      </c>
      <c r="C436" s="168" t="s">
        <v>22</v>
      </c>
      <c r="D436" s="173">
        <v>45747</v>
      </c>
      <c r="E436" s="169" t="s">
        <v>543</v>
      </c>
      <c r="F436" s="169" t="s">
        <v>274</v>
      </c>
      <c r="G436" s="169" t="s">
        <v>275</v>
      </c>
      <c r="H436" s="169" t="s">
        <v>301</v>
      </c>
      <c r="I436" s="169" t="s">
        <v>302</v>
      </c>
      <c r="J436" s="169" t="s">
        <v>544</v>
      </c>
      <c r="K436" s="169" t="s">
        <v>328</v>
      </c>
      <c r="L436" s="169" t="s">
        <v>534</v>
      </c>
      <c r="M436" s="169" t="s">
        <v>281</v>
      </c>
      <c r="N436" s="178">
        <v>74000000</v>
      </c>
      <c r="O436" s="169" t="s">
        <v>545</v>
      </c>
      <c r="P436" s="169" t="s">
        <v>283</v>
      </c>
      <c r="Q436" s="169" t="s">
        <v>306</v>
      </c>
      <c r="R436" s="169" t="s">
        <v>283</v>
      </c>
      <c r="S436" s="169" t="s">
        <v>283</v>
      </c>
      <c r="T436" s="169">
        <v>0</v>
      </c>
    </row>
    <row r="437" spans="2:20" x14ac:dyDescent="0.2">
      <c r="B437" s="168" t="s">
        <v>5</v>
      </c>
      <c r="C437" s="168" t="s">
        <v>22</v>
      </c>
      <c r="D437" s="173">
        <v>45747</v>
      </c>
      <c r="E437" s="169" t="s">
        <v>531</v>
      </c>
      <c r="F437" s="169" t="s">
        <v>274</v>
      </c>
      <c r="G437" s="169" t="s">
        <v>275</v>
      </c>
      <c r="H437" s="169" t="s">
        <v>320</v>
      </c>
      <c r="I437" s="169" t="s">
        <v>321</v>
      </c>
      <c r="J437" s="169" t="s">
        <v>532</v>
      </c>
      <c r="K437" s="169" t="s">
        <v>533</v>
      </c>
      <c r="L437" s="169" t="s">
        <v>534</v>
      </c>
      <c r="M437" s="169" t="s">
        <v>281</v>
      </c>
      <c r="N437" s="178">
        <v>73330649</v>
      </c>
      <c r="O437" s="169" t="s">
        <v>535</v>
      </c>
      <c r="P437" s="169" t="s">
        <v>283</v>
      </c>
      <c r="Q437" s="169" t="s">
        <v>284</v>
      </c>
      <c r="R437" s="169" t="s">
        <v>283</v>
      </c>
      <c r="S437" s="169" t="s">
        <v>283</v>
      </c>
      <c r="T437" s="169">
        <v>0</v>
      </c>
    </row>
    <row r="438" spans="2:20" x14ac:dyDescent="0.2">
      <c r="B438" s="168" t="s">
        <v>5</v>
      </c>
      <c r="C438" s="168" t="s">
        <v>22</v>
      </c>
      <c r="D438" s="173">
        <v>45747</v>
      </c>
      <c r="E438" s="169" t="s">
        <v>531</v>
      </c>
      <c r="F438" s="169" t="s">
        <v>285</v>
      </c>
      <c r="G438" s="169" t="s">
        <v>286</v>
      </c>
      <c r="H438" s="169" t="s">
        <v>320</v>
      </c>
      <c r="I438" s="169" t="s">
        <v>321</v>
      </c>
      <c r="J438" s="169" t="s">
        <v>532</v>
      </c>
      <c r="K438" s="169" t="s">
        <v>533</v>
      </c>
      <c r="L438" s="169" t="s">
        <v>534</v>
      </c>
      <c r="M438" s="169" t="s">
        <v>281</v>
      </c>
      <c r="N438" s="178">
        <v>4017307</v>
      </c>
      <c r="O438" s="169" t="s">
        <v>535</v>
      </c>
      <c r="P438" s="169" t="s">
        <v>283</v>
      </c>
      <c r="Q438" s="169" t="s">
        <v>284</v>
      </c>
      <c r="R438" s="169" t="s">
        <v>283</v>
      </c>
      <c r="S438" s="169" t="s">
        <v>283</v>
      </c>
      <c r="T438" s="169">
        <v>0</v>
      </c>
    </row>
    <row r="439" spans="2:20" x14ac:dyDescent="0.2">
      <c r="B439" s="168" t="s">
        <v>5</v>
      </c>
      <c r="C439" s="168" t="s">
        <v>25</v>
      </c>
      <c r="D439" s="173">
        <v>45747</v>
      </c>
      <c r="E439" s="169" t="s">
        <v>531</v>
      </c>
      <c r="F439" s="169" t="s">
        <v>335</v>
      </c>
      <c r="G439" s="169" t="s">
        <v>336</v>
      </c>
      <c r="H439" s="169" t="s">
        <v>320</v>
      </c>
      <c r="I439" s="169" t="s">
        <v>321</v>
      </c>
      <c r="J439" s="169" t="s">
        <v>532</v>
      </c>
      <c r="K439" s="169" t="s">
        <v>533</v>
      </c>
      <c r="L439" s="169" t="s">
        <v>534</v>
      </c>
      <c r="M439" s="169" t="s">
        <v>281</v>
      </c>
      <c r="N439" s="178">
        <v>50000</v>
      </c>
      <c r="O439" s="169" t="s">
        <v>535</v>
      </c>
      <c r="P439" s="169" t="s">
        <v>283</v>
      </c>
      <c r="Q439" s="169" t="s">
        <v>284</v>
      </c>
      <c r="R439" s="169" t="s">
        <v>283</v>
      </c>
      <c r="S439" s="169" t="s">
        <v>283</v>
      </c>
      <c r="T439" s="169">
        <v>0</v>
      </c>
    </row>
    <row r="440" spans="2:20" x14ac:dyDescent="0.2">
      <c r="B440" s="168" t="s">
        <v>9</v>
      </c>
      <c r="C440" s="168" t="s">
        <v>25</v>
      </c>
      <c r="D440" s="173">
        <v>45747</v>
      </c>
      <c r="E440" s="169" t="s">
        <v>531</v>
      </c>
      <c r="F440" s="169" t="s">
        <v>340</v>
      </c>
      <c r="G440" s="169" t="s">
        <v>341</v>
      </c>
      <c r="H440" s="169" t="s">
        <v>301</v>
      </c>
      <c r="I440" s="169" t="s">
        <v>302</v>
      </c>
      <c r="J440" s="169" t="s">
        <v>532</v>
      </c>
      <c r="K440" s="169" t="s">
        <v>533</v>
      </c>
      <c r="L440" s="169" t="s">
        <v>534</v>
      </c>
      <c r="M440" s="169" t="s">
        <v>281</v>
      </c>
      <c r="N440" s="178">
        <v>7843512</v>
      </c>
      <c r="O440" s="169" t="s">
        <v>535</v>
      </c>
      <c r="P440" s="169" t="s">
        <v>283</v>
      </c>
      <c r="Q440" s="169" t="s">
        <v>284</v>
      </c>
      <c r="R440" s="169" t="s">
        <v>283</v>
      </c>
      <c r="S440" s="169" t="s">
        <v>283</v>
      </c>
      <c r="T440" s="169">
        <v>0</v>
      </c>
    </row>
    <row r="441" spans="2:20" x14ac:dyDescent="0.2">
      <c r="B441" s="168" t="s">
        <v>9</v>
      </c>
      <c r="C441" s="168" t="s">
        <v>22</v>
      </c>
      <c r="D441" s="173">
        <v>45747</v>
      </c>
      <c r="E441" s="169" t="s">
        <v>531</v>
      </c>
      <c r="F441" s="169" t="s">
        <v>274</v>
      </c>
      <c r="G441" s="169" t="s">
        <v>275</v>
      </c>
      <c r="H441" s="169" t="s">
        <v>301</v>
      </c>
      <c r="I441" s="169" t="s">
        <v>302</v>
      </c>
      <c r="J441" s="169" t="s">
        <v>532</v>
      </c>
      <c r="K441" s="169" t="s">
        <v>533</v>
      </c>
      <c r="L441" s="169" t="s">
        <v>534</v>
      </c>
      <c r="M441" s="169" t="s">
        <v>281</v>
      </c>
      <c r="N441" s="178">
        <v>415299551</v>
      </c>
      <c r="O441" s="169" t="s">
        <v>535</v>
      </c>
      <c r="P441" s="169" t="s">
        <v>283</v>
      </c>
      <c r="Q441" s="169" t="s">
        <v>284</v>
      </c>
      <c r="R441" s="169" t="s">
        <v>283</v>
      </c>
      <c r="S441" s="169" t="s">
        <v>283</v>
      </c>
      <c r="T441" s="169">
        <v>0</v>
      </c>
    </row>
    <row r="442" spans="2:20" x14ac:dyDescent="0.2">
      <c r="B442" s="168" t="s">
        <v>9</v>
      </c>
      <c r="C442" s="168" t="s">
        <v>22</v>
      </c>
      <c r="D442" s="173">
        <v>45747</v>
      </c>
      <c r="E442" s="169" t="s">
        <v>531</v>
      </c>
      <c r="F442" s="169" t="s">
        <v>285</v>
      </c>
      <c r="G442" s="169" t="s">
        <v>286</v>
      </c>
      <c r="H442" s="169" t="s">
        <v>301</v>
      </c>
      <c r="I442" s="169" t="s">
        <v>302</v>
      </c>
      <c r="J442" s="169" t="s">
        <v>532</v>
      </c>
      <c r="K442" s="169" t="s">
        <v>533</v>
      </c>
      <c r="L442" s="169" t="s">
        <v>534</v>
      </c>
      <c r="M442" s="169" t="s">
        <v>281</v>
      </c>
      <c r="N442" s="178">
        <v>15275175</v>
      </c>
      <c r="O442" s="169" t="s">
        <v>535</v>
      </c>
      <c r="P442" s="169" t="s">
        <v>283</v>
      </c>
      <c r="Q442" s="169" t="s">
        <v>284</v>
      </c>
      <c r="R442" s="169" t="s">
        <v>283</v>
      </c>
      <c r="S442" s="169" t="s">
        <v>283</v>
      </c>
      <c r="T442" s="169">
        <v>0</v>
      </c>
    </row>
    <row r="443" spans="2:20" x14ac:dyDescent="0.2">
      <c r="B443" s="168" t="s">
        <v>9</v>
      </c>
      <c r="C443" s="168" t="s">
        <v>23</v>
      </c>
      <c r="D443" s="173">
        <v>45747</v>
      </c>
      <c r="E443" s="169" t="s">
        <v>531</v>
      </c>
      <c r="F443" s="169" t="s">
        <v>342</v>
      </c>
      <c r="G443" s="169" t="s">
        <v>343</v>
      </c>
      <c r="H443" s="169" t="s">
        <v>301</v>
      </c>
      <c r="I443" s="169" t="s">
        <v>302</v>
      </c>
      <c r="J443" s="169" t="s">
        <v>532</v>
      </c>
      <c r="K443" s="169" t="s">
        <v>533</v>
      </c>
      <c r="L443" s="169" t="s">
        <v>534</v>
      </c>
      <c r="M443" s="169" t="s">
        <v>281</v>
      </c>
      <c r="N443" s="178">
        <v>85045966</v>
      </c>
      <c r="O443" s="169" t="s">
        <v>535</v>
      </c>
      <c r="P443" s="169" t="s">
        <v>283</v>
      </c>
      <c r="Q443" s="169" t="s">
        <v>284</v>
      </c>
      <c r="R443" s="169" t="s">
        <v>283</v>
      </c>
      <c r="S443" s="169" t="s">
        <v>283</v>
      </c>
      <c r="T443" s="169">
        <v>0</v>
      </c>
    </row>
    <row r="444" spans="2:20" x14ac:dyDescent="0.2">
      <c r="B444" s="168" t="s">
        <v>9</v>
      </c>
      <c r="C444" s="168" t="s">
        <v>25</v>
      </c>
      <c r="D444" s="173">
        <v>45747</v>
      </c>
      <c r="E444" s="169" t="s">
        <v>531</v>
      </c>
      <c r="F444" s="169" t="s">
        <v>335</v>
      </c>
      <c r="G444" s="169" t="s">
        <v>336</v>
      </c>
      <c r="H444" s="169" t="s">
        <v>301</v>
      </c>
      <c r="I444" s="169" t="s">
        <v>302</v>
      </c>
      <c r="J444" s="169" t="s">
        <v>532</v>
      </c>
      <c r="K444" s="169" t="s">
        <v>533</v>
      </c>
      <c r="L444" s="169" t="s">
        <v>534</v>
      </c>
      <c r="M444" s="169" t="s">
        <v>281</v>
      </c>
      <c r="N444" s="178">
        <v>5565000</v>
      </c>
      <c r="O444" s="169" t="s">
        <v>535</v>
      </c>
      <c r="P444" s="169" t="s">
        <v>283</v>
      </c>
      <c r="Q444" s="169" t="s">
        <v>284</v>
      </c>
      <c r="R444" s="169" t="s">
        <v>283</v>
      </c>
      <c r="S444" s="169" t="s">
        <v>283</v>
      </c>
      <c r="T444" s="169">
        <v>0</v>
      </c>
    </row>
    <row r="445" spans="2:20" x14ac:dyDescent="0.2">
      <c r="B445" s="168" t="s">
        <v>5</v>
      </c>
      <c r="C445" s="168" t="s">
        <v>22</v>
      </c>
      <c r="D445" s="173">
        <v>45747</v>
      </c>
      <c r="E445" s="169" t="s">
        <v>536</v>
      </c>
      <c r="F445" s="169" t="s">
        <v>285</v>
      </c>
      <c r="G445" s="169" t="s">
        <v>286</v>
      </c>
      <c r="H445" s="169" t="s">
        <v>320</v>
      </c>
      <c r="I445" s="169" t="s">
        <v>321</v>
      </c>
      <c r="J445" s="169" t="s">
        <v>537</v>
      </c>
      <c r="K445" s="169" t="s">
        <v>533</v>
      </c>
      <c r="L445" s="169" t="s">
        <v>534</v>
      </c>
      <c r="M445" s="169" t="s">
        <v>281</v>
      </c>
      <c r="N445" s="178">
        <v>7270833</v>
      </c>
      <c r="O445" s="169" t="s">
        <v>538</v>
      </c>
      <c r="P445" s="169" t="s">
        <v>283</v>
      </c>
      <c r="Q445" s="169" t="s">
        <v>284</v>
      </c>
      <c r="R445" s="169" t="s">
        <v>283</v>
      </c>
      <c r="S445" s="169" t="s">
        <v>283</v>
      </c>
      <c r="T445" s="169">
        <v>0</v>
      </c>
    </row>
    <row r="446" spans="2:20" x14ac:dyDescent="0.2">
      <c r="B446" s="168" t="s">
        <v>5</v>
      </c>
      <c r="C446" s="168" t="s">
        <v>24</v>
      </c>
      <c r="D446" s="173">
        <v>45747</v>
      </c>
      <c r="E446" s="169" t="s">
        <v>536</v>
      </c>
      <c r="F446" s="169" t="s">
        <v>292</v>
      </c>
      <c r="G446" s="169" t="s">
        <v>77</v>
      </c>
      <c r="H446" s="169" t="s">
        <v>320</v>
      </c>
      <c r="I446" s="169" t="s">
        <v>321</v>
      </c>
      <c r="J446" s="169" t="s">
        <v>539</v>
      </c>
      <c r="K446" s="169" t="s">
        <v>533</v>
      </c>
      <c r="L446" s="169" t="s">
        <v>534</v>
      </c>
      <c r="M446" s="169" t="s">
        <v>281</v>
      </c>
      <c r="N446" s="178">
        <v>6689109</v>
      </c>
      <c r="O446" s="169" t="s">
        <v>538</v>
      </c>
      <c r="P446" s="169" t="s">
        <v>283</v>
      </c>
      <c r="Q446" s="169" t="s">
        <v>284</v>
      </c>
      <c r="R446" s="169" t="s">
        <v>283</v>
      </c>
      <c r="S446" s="169" t="s">
        <v>283</v>
      </c>
      <c r="T446" s="169">
        <v>0</v>
      </c>
    </row>
    <row r="447" spans="2:20" x14ac:dyDescent="0.2">
      <c r="B447" s="168" t="s">
        <v>9</v>
      </c>
      <c r="C447" s="168" t="s">
        <v>22</v>
      </c>
      <c r="D447" s="173">
        <v>45747</v>
      </c>
      <c r="E447" s="169" t="s">
        <v>536</v>
      </c>
      <c r="F447" s="169" t="s">
        <v>285</v>
      </c>
      <c r="G447" s="169" t="s">
        <v>286</v>
      </c>
      <c r="H447" s="169" t="s">
        <v>301</v>
      </c>
      <c r="I447" s="169" t="s">
        <v>302</v>
      </c>
      <c r="J447" s="169" t="s">
        <v>537</v>
      </c>
      <c r="K447" s="169" t="s">
        <v>533</v>
      </c>
      <c r="L447" s="169" t="s">
        <v>534</v>
      </c>
      <c r="M447" s="169" t="s">
        <v>281</v>
      </c>
      <c r="N447" s="178">
        <v>39757952</v>
      </c>
      <c r="O447" s="169" t="s">
        <v>538</v>
      </c>
      <c r="P447" s="169" t="s">
        <v>283</v>
      </c>
      <c r="Q447" s="169" t="s">
        <v>284</v>
      </c>
      <c r="R447" s="169" t="s">
        <v>283</v>
      </c>
      <c r="S447" s="169" t="s">
        <v>283</v>
      </c>
      <c r="T447" s="169">
        <v>0</v>
      </c>
    </row>
    <row r="448" spans="2:20" x14ac:dyDescent="0.2">
      <c r="B448" s="168" t="s">
        <v>9</v>
      </c>
      <c r="C448" s="168" t="s">
        <v>24</v>
      </c>
      <c r="D448" s="173">
        <v>45747</v>
      </c>
      <c r="E448" s="169" t="s">
        <v>536</v>
      </c>
      <c r="F448" s="169" t="s">
        <v>292</v>
      </c>
      <c r="G448" s="169" t="s">
        <v>77</v>
      </c>
      <c r="H448" s="169" t="s">
        <v>301</v>
      </c>
      <c r="I448" s="169" t="s">
        <v>302</v>
      </c>
      <c r="J448" s="169" t="s">
        <v>539</v>
      </c>
      <c r="K448" s="169" t="s">
        <v>533</v>
      </c>
      <c r="L448" s="169" t="s">
        <v>534</v>
      </c>
      <c r="M448" s="169" t="s">
        <v>281</v>
      </c>
      <c r="N448" s="178">
        <v>31005583</v>
      </c>
      <c r="O448" s="169" t="s">
        <v>538</v>
      </c>
      <c r="P448" s="169" t="s">
        <v>283</v>
      </c>
      <c r="Q448" s="169" t="s">
        <v>284</v>
      </c>
      <c r="R448" s="169" t="s">
        <v>283</v>
      </c>
      <c r="S448" s="169" t="s">
        <v>283</v>
      </c>
      <c r="T448" s="169">
        <v>0</v>
      </c>
    </row>
    <row r="449" spans="2:20" x14ac:dyDescent="0.2">
      <c r="B449" s="168" t="s">
        <v>5</v>
      </c>
      <c r="C449" s="168" t="s">
        <v>170</v>
      </c>
      <c r="D449" s="173">
        <v>45747</v>
      </c>
      <c r="E449" s="169" t="s">
        <v>540</v>
      </c>
      <c r="F449" s="169" t="s">
        <v>295</v>
      </c>
      <c r="G449" s="169" t="s">
        <v>296</v>
      </c>
      <c r="H449" s="169" t="s">
        <v>320</v>
      </c>
      <c r="I449" s="169" t="s">
        <v>321</v>
      </c>
      <c r="J449" s="169" t="s">
        <v>541</v>
      </c>
      <c r="K449" s="169" t="s">
        <v>533</v>
      </c>
      <c r="L449" s="169" t="s">
        <v>534</v>
      </c>
      <c r="M449" s="169" t="s">
        <v>281</v>
      </c>
      <c r="N449" s="178">
        <v>20503750</v>
      </c>
      <c r="O449" s="169" t="s">
        <v>542</v>
      </c>
      <c r="P449" s="169" t="s">
        <v>283</v>
      </c>
      <c r="Q449" s="169" t="s">
        <v>284</v>
      </c>
      <c r="R449" s="169" t="s">
        <v>283</v>
      </c>
      <c r="S449" s="169" t="s">
        <v>283</v>
      </c>
      <c r="T449" s="169">
        <v>0</v>
      </c>
    </row>
    <row r="450" spans="2:20" x14ac:dyDescent="0.2">
      <c r="B450" s="168" t="s">
        <v>9</v>
      </c>
      <c r="C450" s="168" t="s">
        <v>170</v>
      </c>
      <c r="D450" s="173">
        <v>45747</v>
      </c>
      <c r="E450" s="169" t="s">
        <v>540</v>
      </c>
      <c r="F450" s="169" t="s">
        <v>295</v>
      </c>
      <c r="G450" s="169" t="s">
        <v>296</v>
      </c>
      <c r="H450" s="169" t="s">
        <v>301</v>
      </c>
      <c r="I450" s="169" t="s">
        <v>302</v>
      </c>
      <c r="J450" s="169" t="s">
        <v>541</v>
      </c>
      <c r="K450" s="169" t="s">
        <v>533</v>
      </c>
      <c r="L450" s="169" t="s">
        <v>534</v>
      </c>
      <c r="M450" s="169" t="s">
        <v>281</v>
      </c>
      <c r="N450" s="178">
        <v>99720900</v>
      </c>
      <c r="O450" s="169" t="s">
        <v>542</v>
      </c>
      <c r="P450" s="169" t="s">
        <v>283</v>
      </c>
      <c r="Q450" s="169" t="s">
        <v>284</v>
      </c>
      <c r="R450" s="169" t="s">
        <v>283</v>
      </c>
      <c r="S450" s="169" t="s">
        <v>283</v>
      </c>
      <c r="T450" s="169">
        <v>0</v>
      </c>
    </row>
    <row r="451" spans="2:20" x14ac:dyDescent="0.2">
      <c r="B451" s="168" t="s">
        <v>9</v>
      </c>
      <c r="C451" s="168" t="s">
        <v>170</v>
      </c>
      <c r="D451" s="173">
        <v>45747</v>
      </c>
      <c r="E451" s="169" t="s">
        <v>540</v>
      </c>
      <c r="F451" s="169" t="s">
        <v>295</v>
      </c>
      <c r="G451" s="169" t="s">
        <v>296</v>
      </c>
      <c r="H451" s="169" t="s">
        <v>301</v>
      </c>
      <c r="I451" s="169" t="s">
        <v>302</v>
      </c>
      <c r="J451" s="169" t="s">
        <v>541</v>
      </c>
      <c r="K451" s="169" t="s">
        <v>533</v>
      </c>
      <c r="L451" s="169" t="s">
        <v>534</v>
      </c>
      <c r="M451" s="169" t="s">
        <v>281</v>
      </c>
      <c r="N451" s="178">
        <v>1374750</v>
      </c>
      <c r="O451" s="169" t="s">
        <v>542</v>
      </c>
      <c r="P451" s="169" t="s">
        <v>283</v>
      </c>
      <c r="Q451" s="169" t="s">
        <v>284</v>
      </c>
      <c r="R451" s="169" t="s">
        <v>283</v>
      </c>
      <c r="S451" s="169" t="s">
        <v>283</v>
      </c>
      <c r="T451" s="169">
        <v>0</v>
      </c>
    </row>
    <row r="452" spans="2:20" x14ac:dyDescent="0.2">
      <c r="B452" s="168" t="s">
        <v>9</v>
      </c>
      <c r="C452" s="168" t="s">
        <v>25</v>
      </c>
      <c r="D452" s="173">
        <v>45745</v>
      </c>
      <c r="E452" s="169" t="s">
        <v>546</v>
      </c>
      <c r="F452" s="169" t="s">
        <v>335</v>
      </c>
      <c r="G452" s="169" t="s">
        <v>336</v>
      </c>
      <c r="H452" s="169" t="s">
        <v>301</v>
      </c>
      <c r="I452" s="169" t="s">
        <v>302</v>
      </c>
      <c r="J452" s="169" t="s">
        <v>547</v>
      </c>
      <c r="K452" s="169" t="s">
        <v>338</v>
      </c>
      <c r="L452" s="169" t="s">
        <v>534</v>
      </c>
      <c r="M452" s="169" t="s">
        <v>281</v>
      </c>
      <c r="N452" s="178">
        <v>30725000</v>
      </c>
      <c r="O452" s="169" t="s">
        <v>548</v>
      </c>
      <c r="P452" s="169" t="s">
        <v>283</v>
      </c>
      <c r="Q452" s="169" t="s">
        <v>306</v>
      </c>
      <c r="R452" s="169" t="s">
        <v>283</v>
      </c>
      <c r="S452" s="169" t="s">
        <v>283</v>
      </c>
      <c r="T452" s="169">
        <v>0</v>
      </c>
    </row>
    <row r="453" spans="2:20" x14ac:dyDescent="0.2">
      <c r="B453" s="168" t="s">
        <v>5</v>
      </c>
      <c r="C453" s="168" t="s">
        <v>25</v>
      </c>
      <c r="D453" s="173">
        <v>45745</v>
      </c>
      <c r="E453" s="169" t="s">
        <v>546</v>
      </c>
      <c r="F453" s="169" t="s">
        <v>335</v>
      </c>
      <c r="G453" s="169" t="s">
        <v>336</v>
      </c>
      <c r="H453" s="169" t="s">
        <v>320</v>
      </c>
      <c r="I453" s="169" t="s">
        <v>321</v>
      </c>
      <c r="J453" s="169" t="s">
        <v>547</v>
      </c>
      <c r="K453" s="169" t="s">
        <v>338</v>
      </c>
      <c r="L453" s="169" t="s">
        <v>534</v>
      </c>
      <c r="M453" s="169" t="s">
        <v>281</v>
      </c>
      <c r="N453" s="178">
        <v>1700000</v>
      </c>
      <c r="O453" s="169" t="s">
        <v>548</v>
      </c>
      <c r="P453" s="169" t="s">
        <v>283</v>
      </c>
      <c r="Q453" s="169" t="s">
        <v>306</v>
      </c>
      <c r="R453" s="169" t="s">
        <v>283</v>
      </c>
      <c r="S453" s="169" t="s">
        <v>283</v>
      </c>
      <c r="T453" s="169">
        <v>0</v>
      </c>
    </row>
    <row r="454" spans="2:20" x14ac:dyDescent="0.2">
      <c r="B454" s="168" t="s">
        <v>9</v>
      </c>
      <c r="C454" s="168" t="s">
        <v>222</v>
      </c>
      <c r="D454" s="173">
        <v>45747</v>
      </c>
      <c r="E454" s="169" t="s">
        <v>549</v>
      </c>
      <c r="F454" s="169" t="s">
        <v>300</v>
      </c>
      <c r="G454" s="169" t="s">
        <v>222</v>
      </c>
      <c r="H454" s="169" t="s">
        <v>301</v>
      </c>
      <c r="I454" s="169" t="s">
        <v>302</v>
      </c>
      <c r="J454" s="169" t="s">
        <v>550</v>
      </c>
      <c r="K454" s="169" t="s">
        <v>551</v>
      </c>
      <c r="L454" s="169" t="s">
        <v>534</v>
      </c>
      <c r="M454" s="169" t="s">
        <v>281</v>
      </c>
      <c r="N454" s="178">
        <v>5400000</v>
      </c>
      <c r="O454" s="169" t="s">
        <v>552</v>
      </c>
      <c r="P454" s="169" t="s">
        <v>283</v>
      </c>
      <c r="Q454" s="169" t="s">
        <v>306</v>
      </c>
      <c r="R454" s="169" t="s">
        <v>283</v>
      </c>
      <c r="S454" s="169" t="s">
        <v>283</v>
      </c>
      <c r="T454" s="169">
        <v>0</v>
      </c>
    </row>
    <row r="455" spans="2:20" x14ac:dyDescent="0.2">
      <c r="B455" s="168" t="s">
        <v>3</v>
      </c>
      <c r="C455" s="168" t="s">
        <v>22</v>
      </c>
      <c r="D455" s="173">
        <v>45747</v>
      </c>
      <c r="E455" s="169" t="s">
        <v>531</v>
      </c>
      <c r="F455" s="169" t="s">
        <v>274</v>
      </c>
      <c r="G455" s="169" t="s">
        <v>275</v>
      </c>
      <c r="H455" s="169" t="s">
        <v>356</v>
      </c>
      <c r="I455" s="169" t="s">
        <v>357</v>
      </c>
      <c r="J455" s="169" t="s">
        <v>532</v>
      </c>
      <c r="K455" s="169" t="s">
        <v>533</v>
      </c>
      <c r="L455" s="169" t="s">
        <v>534</v>
      </c>
      <c r="M455" s="169" t="s">
        <v>281</v>
      </c>
      <c r="N455" s="178">
        <v>375203673</v>
      </c>
      <c r="O455" s="169" t="s">
        <v>535</v>
      </c>
      <c r="P455" s="169" t="s">
        <v>283</v>
      </c>
      <c r="Q455" s="169" t="s">
        <v>284</v>
      </c>
      <c r="R455" s="169" t="s">
        <v>283</v>
      </c>
      <c r="S455" s="169" t="s">
        <v>283</v>
      </c>
      <c r="T455" s="169">
        <v>0</v>
      </c>
    </row>
    <row r="456" spans="2:20" x14ac:dyDescent="0.2">
      <c r="B456" s="168" t="s">
        <v>3</v>
      </c>
      <c r="C456" s="168" t="s">
        <v>22</v>
      </c>
      <c r="D456" s="173">
        <v>45747</v>
      </c>
      <c r="E456" s="169" t="s">
        <v>531</v>
      </c>
      <c r="F456" s="169" t="s">
        <v>285</v>
      </c>
      <c r="G456" s="169" t="s">
        <v>286</v>
      </c>
      <c r="H456" s="169" t="s">
        <v>356</v>
      </c>
      <c r="I456" s="169" t="s">
        <v>357</v>
      </c>
      <c r="J456" s="169" t="s">
        <v>532</v>
      </c>
      <c r="K456" s="169" t="s">
        <v>533</v>
      </c>
      <c r="L456" s="169" t="s">
        <v>534</v>
      </c>
      <c r="M456" s="169" t="s">
        <v>281</v>
      </c>
      <c r="N456" s="178">
        <v>11438019</v>
      </c>
      <c r="O456" s="169" t="s">
        <v>535</v>
      </c>
      <c r="P456" s="169" t="s">
        <v>283</v>
      </c>
      <c r="Q456" s="169" t="s">
        <v>284</v>
      </c>
      <c r="R456" s="169" t="s">
        <v>283</v>
      </c>
      <c r="S456" s="169" t="s">
        <v>283</v>
      </c>
      <c r="T456" s="169">
        <v>0</v>
      </c>
    </row>
    <row r="457" spans="2:20" x14ac:dyDescent="0.2">
      <c r="B457" s="168" t="s">
        <v>3</v>
      </c>
      <c r="C457" s="168" t="s">
        <v>23</v>
      </c>
      <c r="D457" s="173">
        <v>45747</v>
      </c>
      <c r="E457" s="169" t="s">
        <v>531</v>
      </c>
      <c r="F457" s="169" t="s">
        <v>342</v>
      </c>
      <c r="G457" s="169" t="s">
        <v>343</v>
      </c>
      <c r="H457" s="169" t="s">
        <v>356</v>
      </c>
      <c r="I457" s="169" t="s">
        <v>357</v>
      </c>
      <c r="J457" s="169" t="s">
        <v>532</v>
      </c>
      <c r="K457" s="169" t="s">
        <v>533</v>
      </c>
      <c r="L457" s="169" t="s">
        <v>534</v>
      </c>
      <c r="M457" s="169" t="s">
        <v>281</v>
      </c>
      <c r="N457" s="178">
        <v>43454986</v>
      </c>
      <c r="O457" s="169" t="s">
        <v>535</v>
      </c>
      <c r="P457" s="169" t="s">
        <v>283</v>
      </c>
      <c r="Q457" s="169" t="s">
        <v>284</v>
      </c>
      <c r="R457" s="169" t="s">
        <v>283</v>
      </c>
      <c r="S457" s="169" t="s">
        <v>283</v>
      </c>
      <c r="T457" s="169">
        <v>0</v>
      </c>
    </row>
    <row r="458" spans="2:20" x14ac:dyDescent="0.2">
      <c r="B458" s="168" t="s">
        <v>3</v>
      </c>
      <c r="C458" s="168" t="s">
        <v>25</v>
      </c>
      <c r="D458" s="173">
        <v>45747</v>
      </c>
      <c r="E458" s="169" t="s">
        <v>531</v>
      </c>
      <c r="F458" s="169" t="s">
        <v>335</v>
      </c>
      <c r="G458" s="169" t="s">
        <v>336</v>
      </c>
      <c r="H458" s="169" t="s">
        <v>356</v>
      </c>
      <c r="I458" s="169" t="s">
        <v>357</v>
      </c>
      <c r="J458" s="169" t="s">
        <v>532</v>
      </c>
      <c r="K458" s="169" t="s">
        <v>533</v>
      </c>
      <c r="L458" s="169" t="s">
        <v>534</v>
      </c>
      <c r="M458" s="169" t="s">
        <v>281</v>
      </c>
      <c r="N458" s="178">
        <v>2430000</v>
      </c>
      <c r="O458" s="169" t="s">
        <v>535</v>
      </c>
      <c r="P458" s="169" t="s">
        <v>283</v>
      </c>
      <c r="Q458" s="169" t="s">
        <v>284</v>
      </c>
      <c r="R458" s="169" t="s">
        <v>283</v>
      </c>
      <c r="S458" s="169" t="s">
        <v>283</v>
      </c>
      <c r="T458" s="169">
        <v>0</v>
      </c>
    </row>
    <row r="459" spans="2:20" x14ac:dyDescent="0.2">
      <c r="B459" s="168" t="s">
        <v>3</v>
      </c>
      <c r="C459" s="168" t="s">
        <v>22</v>
      </c>
      <c r="D459" s="173">
        <v>45747</v>
      </c>
      <c r="E459" s="169" t="s">
        <v>536</v>
      </c>
      <c r="F459" s="169" t="s">
        <v>285</v>
      </c>
      <c r="G459" s="169" t="s">
        <v>286</v>
      </c>
      <c r="H459" s="169" t="s">
        <v>356</v>
      </c>
      <c r="I459" s="169" t="s">
        <v>357</v>
      </c>
      <c r="J459" s="169" t="s">
        <v>537</v>
      </c>
      <c r="K459" s="169" t="s">
        <v>533</v>
      </c>
      <c r="L459" s="169" t="s">
        <v>534</v>
      </c>
      <c r="M459" s="169" t="s">
        <v>281</v>
      </c>
      <c r="N459" s="178">
        <v>34335097</v>
      </c>
      <c r="O459" s="169" t="s">
        <v>538</v>
      </c>
      <c r="P459" s="169" t="s">
        <v>283</v>
      </c>
      <c r="Q459" s="169" t="s">
        <v>284</v>
      </c>
      <c r="R459" s="169" t="s">
        <v>283</v>
      </c>
      <c r="S459" s="169" t="s">
        <v>283</v>
      </c>
      <c r="T459" s="169">
        <v>0</v>
      </c>
    </row>
    <row r="460" spans="2:20" x14ac:dyDescent="0.2">
      <c r="B460" s="168" t="s">
        <v>3</v>
      </c>
      <c r="C460" s="168" t="s">
        <v>24</v>
      </c>
      <c r="D460" s="173">
        <v>45747</v>
      </c>
      <c r="E460" s="169" t="s">
        <v>536</v>
      </c>
      <c r="F460" s="169" t="s">
        <v>292</v>
      </c>
      <c r="G460" s="169" t="s">
        <v>77</v>
      </c>
      <c r="H460" s="169" t="s">
        <v>356</v>
      </c>
      <c r="I460" s="169" t="s">
        <v>357</v>
      </c>
      <c r="J460" s="169" t="s">
        <v>539</v>
      </c>
      <c r="K460" s="169" t="s">
        <v>533</v>
      </c>
      <c r="L460" s="169" t="s">
        <v>534</v>
      </c>
      <c r="M460" s="169" t="s">
        <v>281</v>
      </c>
      <c r="N460" s="178">
        <v>30991234</v>
      </c>
      <c r="O460" s="169" t="s">
        <v>538</v>
      </c>
      <c r="P460" s="169" t="s">
        <v>283</v>
      </c>
      <c r="Q460" s="169" t="s">
        <v>284</v>
      </c>
      <c r="R460" s="169" t="s">
        <v>283</v>
      </c>
      <c r="S460" s="169" t="s">
        <v>283</v>
      </c>
      <c r="T460" s="169">
        <v>0</v>
      </c>
    </row>
    <row r="461" spans="2:20" x14ac:dyDescent="0.2">
      <c r="B461" s="168" t="s">
        <v>3</v>
      </c>
      <c r="C461" s="168" t="s">
        <v>170</v>
      </c>
      <c r="D461" s="173">
        <v>45747</v>
      </c>
      <c r="E461" s="169" t="s">
        <v>540</v>
      </c>
      <c r="F461" s="169" t="s">
        <v>295</v>
      </c>
      <c r="G461" s="169" t="s">
        <v>296</v>
      </c>
      <c r="H461" s="169" t="s">
        <v>356</v>
      </c>
      <c r="I461" s="169" t="s">
        <v>357</v>
      </c>
      <c r="J461" s="169" t="s">
        <v>541</v>
      </c>
      <c r="K461" s="169" t="s">
        <v>533</v>
      </c>
      <c r="L461" s="169" t="s">
        <v>534</v>
      </c>
      <c r="M461" s="169" t="s">
        <v>281</v>
      </c>
      <c r="N461" s="178">
        <v>85188695</v>
      </c>
      <c r="O461" s="169" t="s">
        <v>542</v>
      </c>
      <c r="P461" s="169" t="s">
        <v>283</v>
      </c>
      <c r="Q461" s="169" t="s">
        <v>284</v>
      </c>
      <c r="R461" s="169" t="s">
        <v>283</v>
      </c>
      <c r="S461" s="169" t="s">
        <v>283</v>
      </c>
      <c r="T461" s="169">
        <v>0</v>
      </c>
    </row>
    <row r="462" spans="2:20" x14ac:dyDescent="0.2">
      <c r="B462" s="168" t="s">
        <v>3</v>
      </c>
      <c r="C462" s="168" t="s">
        <v>25</v>
      </c>
      <c r="D462" s="173">
        <v>45745</v>
      </c>
      <c r="E462" s="169" t="s">
        <v>546</v>
      </c>
      <c r="F462" s="169" t="s">
        <v>335</v>
      </c>
      <c r="G462" s="169" t="s">
        <v>336</v>
      </c>
      <c r="H462" s="169" t="s">
        <v>356</v>
      </c>
      <c r="I462" s="169" t="s">
        <v>357</v>
      </c>
      <c r="J462" s="169" t="s">
        <v>547</v>
      </c>
      <c r="K462" s="169" t="s">
        <v>338</v>
      </c>
      <c r="L462" s="169" t="s">
        <v>534</v>
      </c>
      <c r="M462" s="169" t="s">
        <v>281</v>
      </c>
      <c r="N462" s="178">
        <v>11300000</v>
      </c>
      <c r="O462" s="169" t="s">
        <v>548</v>
      </c>
      <c r="P462" s="169" t="s">
        <v>283</v>
      </c>
      <c r="Q462" s="169" t="s">
        <v>306</v>
      </c>
      <c r="R462" s="169" t="s">
        <v>283</v>
      </c>
      <c r="S462" s="169" t="s">
        <v>283</v>
      </c>
      <c r="T462" s="169">
        <v>0</v>
      </c>
    </row>
    <row r="463" spans="2:20" x14ac:dyDescent="0.2">
      <c r="B463" s="168" t="s">
        <v>9</v>
      </c>
      <c r="C463" s="168" t="s">
        <v>222</v>
      </c>
      <c r="D463" s="173">
        <v>45719</v>
      </c>
      <c r="E463" s="169" t="s">
        <v>553</v>
      </c>
      <c r="F463" s="169" t="s">
        <v>300</v>
      </c>
      <c r="G463" s="169" t="s">
        <v>222</v>
      </c>
      <c r="H463" s="169" t="s">
        <v>358</v>
      </c>
      <c r="I463" s="169" t="s">
        <v>359</v>
      </c>
      <c r="J463" s="169" t="s">
        <v>554</v>
      </c>
      <c r="K463" s="169" t="s">
        <v>304</v>
      </c>
      <c r="L463" s="169" t="s">
        <v>534</v>
      </c>
      <c r="M463" s="169" t="s">
        <v>281</v>
      </c>
      <c r="N463" s="178">
        <v>200000</v>
      </c>
      <c r="O463" s="169" t="s">
        <v>555</v>
      </c>
      <c r="P463" s="169" t="s">
        <v>283</v>
      </c>
      <c r="Q463" s="169" t="s">
        <v>306</v>
      </c>
      <c r="R463" s="169" t="s">
        <v>283</v>
      </c>
      <c r="S463" s="169" t="s">
        <v>283</v>
      </c>
      <c r="T463" s="169">
        <v>0</v>
      </c>
    </row>
    <row r="464" spans="2:20" x14ac:dyDescent="0.2">
      <c r="B464" s="168" t="s">
        <v>9</v>
      </c>
      <c r="C464" s="168" t="s">
        <v>222</v>
      </c>
      <c r="D464" s="173">
        <v>45719</v>
      </c>
      <c r="E464" s="169" t="s">
        <v>553</v>
      </c>
      <c r="F464" s="169" t="s">
        <v>300</v>
      </c>
      <c r="G464" s="169" t="s">
        <v>222</v>
      </c>
      <c r="H464" s="169" t="s">
        <v>358</v>
      </c>
      <c r="I464" s="169" t="s">
        <v>359</v>
      </c>
      <c r="J464" s="169" t="s">
        <v>556</v>
      </c>
      <c r="K464" s="169" t="s">
        <v>304</v>
      </c>
      <c r="L464" s="169" t="s">
        <v>534</v>
      </c>
      <c r="M464" s="169" t="s">
        <v>281</v>
      </c>
      <c r="N464" s="178">
        <v>200000</v>
      </c>
      <c r="O464" s="169" t="s">
        <v>555</v>
      </c>
      <c r="P464" s="169" t="s">
        <v>283</v>
      </c>
      <c r="Q464" s="169" t="s">
        <v>306</v>
      </c>
      <c r="R464" s="169" t="s">
        <v>283</v>
      </c>
      <c r="S464" s="169" t="s">
        <v>283</v>
      </c>
      <c r="T464" s="169">
        <v>0</v>
      </c>
    </row>
    <row r="465" spans="2:20" x14ac:dyDescent="0.2">
      <c r="B465" s="168" t="s">
        <v>9</v>
      </c>
      <c r="C465" s="168" t="s">
        <v>222</v>
      </c>
      <c r="D465" s="173">
        <v>45719</v>
      </c>
      <c r="E465" s="169" t="s">
        <v>553</v>
      </c>
      <c r="F465" s="169" t="s">
        <v>300</v>
      </c>
      <c r="G465" s="169" t="s">
        <v>222</v>
      </c>
      <c r="H465" s="169" t="s">
        <v>358</v>
      </c>
      <c r="I465" s="169" t="s">
        <v>359</v>
      </c>
      <c r="J465" s="169" t="s">
        <v>557</v>
      </c>
      <c r="K465" s="169" t="s">
        <v>304</v>
      </c>
      <c r="L465" s="169" t="s">
        <v>534</v>
      </c>
      <c r="M465" s="169" t="s">
        <v>281</v>
      </c>
      <c r="N465" s="178">
        <v>400000</v>
      </c>
      <c r="O465" s="169" t="s">
        <v>555</v>
      </c>
      <c r="P465" s="169" t="s">
        <v>283</v>
      </c>
      <c r="Q465" s="169" t="s">
        <v>306</v>
      </c>
      <c r="R465" s="169" t="s">
        <v>283</v>
      </c>
      <c r="S465" s="169" t="s">
        <v>283</v>
      </c>
      <c r="T465" s="169">
        <v>0</v>
      </c>
    </row>
    <row r="466" spans="2:20" x14ac:dyDescent="0.2">
      <c r="B466" s="168" t="s">
        <v>9</v>
      </c>
      <c r="C466" s="168" t="s">
        <v>222</v>
      </c>
      <c r="D466" s="173">
        <v>45719</v>
      </c>
      <c r="E466" s="169" t="s">
        <v>553</v>
      </c>
      <c r="F466" s="169" t="s">
        <v>300</v>
      </c>
      <c r="G466" s="169" t="s">
        <v>222</v>
      </c>
      <c r="H466" s="169" t="s">
        <v>358</v>
      </c>
      <c r="I466" s="169" t="s">
        <v>359</v>
      </c>
      <c r="J466" s="169" t="s">
        <v>558</v>
      </c>
      <c r="K466" s="169" t="s">
        <v>304</v>
      </c>
      <c r="L466" s="169" t="s">
        <v>534</v>
      </c>
      <c r="M466" s="169" t="s">
        <v>281</v>
      </c>
      <c r="N466" s="178">
        <v>400000</v>
      </c>
      <c r="O466" s="169" t="s">
        <v>555</v>
      </c>
      <c r="P466" s="169" t="s">
        <v>283</v>
      </c>
      <c r="Q466" s="169" t="s">
        <v>306</v>
      </c>
      <c r="R466" s="169" t="s">
        <v>283</v>
      </c>
      <c r="S466" s="169" t="s">
        <v>283</v>
      </c>
      <c r="T466" s="169">
        <v>0</v>
      </c>
    </row>
    <row r="467" spans="2:20" x14ac:dyDescent="0.2">
      <c r="B467" s="168" t="s">
        <v>9</v>
      </c>
      <c r="C467" s="168" t="s">
        <v>222</v>
      </c>
      <c r="D467" s="173">
        <v>45719</v>
      </c>
      <c r="E467" s="169" t="s">
        <v>553</v>
      </c>
      <c r="F467" s="169" t="s">
        <v>300</v>
      </c>
      <c r="G467" s="169" t="s">
        <v>222</v>
      </c>
      <c r="H467" s="169" t="s">
        <v>358</v>
      </c>
      <c r="I467" s="169" t="s">
        <v>359</v>
      </c>
      <c r="J467" s="169" t="s">
        <v>559</v>
      </c>
      <c r="K467" s="169" t="s">
        <v>304</v>
      </c>
      <c r="L467" s="169" t="s">
        <v>534</v>
      </c>
      <c r="M467" s="169" t="s">
        <v>281</v>
      </c>
      <c r="N467" s="178">
        <v>200000</v>
      </c>
      <c r="O467" s="169" t="s">
        <v>555</v>
      </c>
      <c r="P467" s="169" t="s">
        <v>283</v>
      </c>
      <c r="Q467" s="169" t="s">
        <v>306</v>
      </c>
      <c r="R467" s="169" t="s">
        <v>283</v>
      </c>
      <c r="S467" s="169" t="s">
        <v>283</v>
      </c>
      <c r="T467" s="169">
        <v>0</v>
      </c>
    </row>
    <row r="468" spans="2:20" x14ac:dyDescent="0.2">
      <c r="B468" s="168" t="s">
        <v>9</v>
      </c>
      <c r="C468" s="168" t="s">
        <v>222</v>
      </c>
      <c r="D468" s="173">
        <v>45719</v>
      </c>
      <c r="E468" s="169" t="s">
        <v>553</v>
      </c>
      <c r="F468" s="169" t="s">
        <v>300</v>
      </c>
      <c r="G468" s="169" t="s">
        <v>222</v>
      </c>
      <c r="H468" s="169" t="s">
        <v>358</v>
      </c>
      <c r="I468" s="169" t="s">
        <v>359</v>
      </c>
      <c r="J468" s="169" t="s">
        <v>560</v>
      </c>
      <c r="K468" s="169" t="s">
        <v>304</v>
      </c>
      <c r="L468" s="169" t="s">
        <v>534</v>
      </c>
      <c r="M468" s="169" t="s">
        <v>281</v>
      </c>
      <c r="N468" s="178">
        <v>200000</v>
      </c>
      <c r="O468" s="169" t="s">
        <v>555</v>
      </c>
      <c r="P468" s="169" t="s">
        <v>283</v>
      </c>
      <c r="Q468" s="169" t="s">
        <v>306</v>
      </c>
      <c r="R468" s="169" t="s">
        <v>283</v>
      </c>
      <c r="S468" s="169" t="s">
        <v>283</v>
      </c>
      <c r="T468" s="169">
        <v>0</v>
      </c>
    </row>
    <row r="469" spans="2:20" x14ac:dyDescent="0.2">
      <c r="B469" s="168" t="s">
        <v>9</v>
      </c>
      <c r="C469" s="168" t="s">
        <v>222</v>
      </c>
      <c r="D469" s="173">
        <v>45719</v>
      </c>
      <c r="E469" s="169" t="s">
        <v>553</v>
      </c>
      <c r="F469" s="169" t="s">
        <v>300</v>
      </c>
      <c r="G469" s="169" t="s">
        <v>222</v>
      </c>
      <c r="H469" s="169" t="s">
        <v>358</v>
      </c>
      <c r="I469" s="169" t="s">
        <v>359</v>
      </c>
      <c r="J469" s="169" t="s">
        <v>561</v>
      </c>
      <c r="K469" s="169" t="s">
        <v>304</v>
      </c>
      <c r="L469" s="169" t="s">
        <v>534</v>
      </c>
      <c r="M469" s="169" t="s">
        <v>281</v>
      </c>
      <c r="N469" s="178">
        <v>1200000</v>
      </c>
      <c r="O469" s="169" t="s">
        <v>555</v>
      </c>
      <c r="P469" s="169" t="s">
        <v>283</v>
      </c>
      <c r="Q469" s="169" t="s">
        <v>306</v>
      </c>
      <c r="R469" s="169" t="s">
        <v>283</v>
      </c>
      <c r="S469" s="169" t="s">
        <v>283</v>
      </c>
      <c r="T469" s="169">
        <v>0</v>
      </c>
    </row>
    <row r="470" spans="2:20" x14ac:dyDescent="0.2">
      <c r="B470" s="168" t="s">
        <v>9</v>
      </c>
      <c r="C470" s="168" t="s">
        <v>222</v>
      </c>
      <c r="D470" s="173">
        <v>45719</v>
      </c>
      <c r="E470" s="169" t="s">
        <v>553</v>
      </c>
      <c r="F470" s="169" t="s">
        <v>300</v>
      </c>
      <c r="G470" s="169" t="s">
        <v>222</v>
      </c>
      <c r="H470" s="169" t="s">
        <v>358</v>
      </c>
      <c r="I470" s="169" t="s">
        <v>359</v>
      </c>
      <c r="J470" s="169" t="s">
        <v>562</v>
      </c>
      <c r="K470" s="169" t="s">
        <v>304</v>
      </c>
      <c r="L470" s="169" t="s">
        <v>534</v>
      </c>
      <c r="M470" s="169" t="s">
        <v>281</v>
      </c>
      <c r="N470" s="178">
        <v>200000</v>
      </c>
      <c r="O470" s="169" t="s">
        <v>555</v>
      </c>
      <c r="P470" s="169" t="s">
        <v>283</v>
      </c>
      <c r="Q470" s="169" t="s">
        <v>306</v>
      </c>
      <c r="R470" s="169" t="s">
        <v>283</v>
      </c>
      <c r="S470" s="169" t="s">
        <v>283</v>
      </c>
      <c r="T470" s="169">
        <v>0</v>
      </c>
    </row>
    <row r="471" spans="2:20" x14ac:dyDescent="0.2">
      <c r="B471" s="168" t="s">
        <v>9</v>
      </c>
      <c r="C471" s="168" t="s">
        <v>222</v>
      </c>
      <c r="D471" s="173">
        <v>45719</v>
      </c>
      <c r="E471" s="169" t="s">
        <v>553</v>
      </c>
      <c r="F471" s="169" t="s">
        <v>300</v>
      </c>
      <c r="G471" s="169" t="s">
        <v>222</v>
      </c>
      <c r="H471" s="169" t="s">
        <v>358</v>
      </c>
      <c r="I471" s="169" t="s">
        <v>359</v>
      </c>
      <c r="J471" s="169" t="s">
        <v>563</v>
      </c>
      <c r="K471" s="169" t="s">
        <v>304</v>
      </c>
      <c r="L471" s="169" t="s">
        <v>534</v>
      </c>
      <c r="M471" s="169" t="s">
        <v>281</v>
      </c>
      <c r="N471" s="178">
        <v>200000</v>
      </c>
      <c r="O471" s="169" t="s">
        <v>555</v>
      </c>
      <c r="P471" s="169" t="s">
        <v>283</v>
      </c>
      <c r="Q471" s="169" t="s">
        <v>306</v>
      </c>
      <c r="R471" s="169" t="s">
        <v>283</v>
      </c>
      <c r="S471" s="169" t="s">
        <v>283</v>
      </c>
      <c r="T471" s="169">
        <v>0</v>
      </c>
    </row>
    <row r="472" spans="2:20" x14ac:dyDescent="0.2">
      <c r="B472" s="168" t="s">
        <v>9</v>
      </c>
      <c r="C472" s="168" t="s">
        <v>222</v>
      </c>
      <c r="D472" s="173">
        <v>45719</v>
      </c>
      <c r="E472" s="169" t="s">
        <v>553</v>
      </c>
      <c r="F472" s="169" t="s">
        <v>300</v>
      </c>
      <c r="G472" s="169" t="s">
        <v>222</v>
      </c>
      <c r="H472" s="169" t="s">
        <v>358</v>
      </c>
      <c r="I472" s="169" t="s">
        <v>359</v>
      </c>
      <c r="J472" s="169" t="s">
        <v>564</v>
      </c>
      <c r="K472" s="169" t="s">
        <v>304</v>
      </c>
      <c r="L472" s="169" t="s">
        <v>534</v>
      </c>
      <c r="M472" s="169" t="s">
        <v>281</v>
      </c>
      <c r="N472" s="178">
        <v>200000</v>
      </c>
      <c r="O472" s="169" t="s">
        <v>555</v>
      </c>
      <c r="P472" s="169" t="s">
        <v>283</v>
      </c>
      <c r="Q472" s="169" t="s">
        <v>306</v>
      </c>
      <c r="R472" s="169" t="s">
        <v>283</v>
      </c>
      <c r="S472" s="169" t="s">
        <v>283</v>
      </c>
      <c r="T472" s="169">
        <v>0</v>
      </c>
    </row>
    <row r="473" spans="2:20" x14ac:dyDescent="0.2">
      <c r="B473" s="168" t="s">
        <v>9</v>
      </c>
      <c r="C473" s="168" t="s">
        <v>222</v>
      </c>
      <c r="D473" s="173">
        <v>45719</v>
      </c>
      <c r="E473" s="169" t="s">
        <v>553</v>
      </c>
      <c r="F473" s="169" t="s">
        <v>300</v>
      </c>
      <c r="G473" s="169" t="s">
        <v>222</v>
      </c>
      <c r="H473" s="169" t="s">
        <v>358</v>
      </c>
      <c r="I473" s="169" t="s">
        <v>359</v>
      </c>
      <c r="J473" s="169" t="s">
        <v>565</v>
      </c>
      <c r="K473" s="169" t="s">
        <v>304</v>
      </c>
      <c r="L473" s="169" t="s">
        <v>534</v>
      </c>
      <c r="M473" s="169" t="s">
        <v>281</v>
      </c>
      <c r="N473" s="178">
        <v>400000</v>
      </c>
      <c r="O473" s="169" t="s">
        <v>555</v>
      </c>
      <c r="P473" s="169" t="s">
        <v>283</v>
      </c>
      <c r="Q473" s="169" t="s">
        <v>306</v>
      </c>
      <c r="R473" s="169" t="s">
        <v>283</v>
      </c>
      <c r="S473" s="169" t="s">
        <v>283</v>
      </c>
      <c r="T473" s="169">
        <v>0</v>
      </c>
    </row>
    <row r="474" spans="2:20" x14ac:dyDescent="0.2">
      <c r="B474" s="168" t="s">
        <v>9</v>
      </c>
      <c r="C474" s="168" t="s">
        <v>222</v>
      </c>
      <c r="D474" s="173">
        <v>45719</v>
      </c>
      <c r="E474" s="169" t="s">
        <v>553</v>
      </c>
      <c r="F474" s="169" t="s">
        <v>300</v>
      </c>
      <c r="G474" s="169" t="s">
        <v>222</v>
      </c>
      <c r="H474" s="169" t="s">
        <v>358</v>
      </c>
      <c r="I474" s="169" t="s">
        <v>359</v>
      </c>
      <c r="J474" s="169" t="s">
        <v>566</v>
      </c>
      <c r="K474" s="169" t="s">
        <v>304</v>
      </c>
      <c r="L474" s="169" t="s">
        <v>534</v>
      </c>
      <c r="M474" s="169" t="s">
        <v>281</v>
      </c>
      <c r="N474" s="178">
        <v>200000</v>
      </c>
      <c r="O474" s="169" t="s">
        <v>555</v>
      </c>
      <c r="P474" s="169" t="s">
        <v>283</v>
      </c>
      <c r="Q474" s="169" t="s">
        <v>306</v>
      </c>
      <c r="R474" s="169" t="s">
        <v>283</v>
      </c>
      <c r="S474" s="169" t="s">
        <v>283</v>
      </c>
      <c r="T474" s="169">
        <v>0</v>
      </c>
    </row>
    <row r="475" spans="2:20" x14ac:dyDescent="0.2">
      <c r="B475" s="168" t="s">
        <v>1</v>
      </c>
      <c r="C475" s="168" t="s">
        <v>24</v>
      </c>
      <c r="D475" s="173">
        <v>45721</v>
      </c>
      <c r="E475" s="169" t="s">
        <v>567</v>
      </c>
      <c r="F475" s="169" t="s">
        <v>365</v>
      </c>
      <c r="G475" s="169" t="s">
        <v>291</v>
      </c>
      <c r="H475" s="169" t="s">
        <v>366</v>
      </c>
      <c r="I475" s="169" t="s">
        <v>1</v>
      </c>
      <c r="J475" s="169" t="s">
        <v>568</v>
      </c>
      <c r="K475" s="169" t="s">
        <v>569</v>
      </c>
      <c r="L475" s="169" t="s">
        <v>534</v>
      </c>
      <c r="M475" s="169" t="s">
        <v>281</v>
      </c>
      <c r="N475" s="178">
        <v>4269716</v>
      </c>
      <c r="O475" s="169" t="s">
        <v>570</v>
      </c>
      <c r="P475" s="169" t="s">
        <v>283</v>
      </c>
      <c r="Q475" s="169" t="s">
        <v>370</v>
      </c>
      <c r="R475" s="169" t="s">
        <v>283</v>
      </c>
      <c r="S475" s="169" t="s">
        <v>283</v>
      </c>
      <c r="T475" s="169">
        <v>0</v>
      </c>
    </row>
    <row r="476" spans="2:20" x14ac:dyDescent="0.2">
      <c r="B476" s="168" t="s">
        <v>9</v>
      </c>
      <c r="C476" s="168" t="s">
        <v>222</v>
      </c>
      <c r="D476" s="173">
        <v>45737</v>
      </c>
      <c r="E476" s="169" t="s">
        <v>571</v>
      </c>
      <c r="F476" s="169" t="s">
        <v>300</v>
      </c>
      <c r="G476" s="169" t="s">
        <v>222</v>
      </c>
      <c r="H476" s="169" t="s">
        <v>358</v>
      </c>
      <c r="I476" s="169" t="s">
        <v>359</v>
      </c>
      <c r="J476" s="169" t="s">
        <v>572</v>
      </c>
      <c r="K476" s="169" t="s">
        <v>573</v>
      </c>
      <c r="L476" s="169" t="s">
        <v>534</v>
      </c>
      <c r="M476" s="169" t="s">
        <v>281</v>
      </c>
      <c r="N476" s="178">
        <v>3376937</v>
      </c>
      <c r="O476" s="169" t="s">
        <v>574</v>
      </c>
      <c r="P476" s="169" t="s">
        <v>283</v>
      </c>
      <c r="Q476" s="169" t="s">
        <v>325</v>
      </c>
      <c r="R476" s="169" t="s">
        <v>283</v>
      </c>
      <c r="S476" s="169" t="s">
        <v>283</v>
      </c>
      <c r="T476" s="169">
        <v>0</v>
      </c>
    </row>
    <row r="477" spans="2:20" x14ac:dyDescent="0.2">
      <c r="B477" s="168" t="s">
        <v>9</v>
      </c>
      <c r="C477" s="168" t="s">
        <v>222</v>
      </c>
      <c r="D477" s="173">
        <v>45737</v>
      </c>
      <c r="E477" s="169" t="s">
        <v>575</v>
      </c>
      <c r="F477" s="169" t="s">
        <v>300</v>
      </c>
      <c r="G477" s="169" t="s">
        <v>222</v>
      </c>
      <c r="H477" s="169" t="s">
        <v>358</v>
      </c>
      <c r="I477" s="169" t="s">
        <v>359</v>
      </c>
      <c r="J477" s="169" t="s">
        <v>576</v>
      </c>
      <c r="K477" s="169" t="s">
        <v>577</v>
      </c>
      <c r="L477" s="169" t="s">
        <v>534</v>
      </c>
      <c r="M477" s="169" t="s">
        <v>281</v>
      </c>
      <c r="N477" s="178">
        <v>1500000</v>
      </c>
      <c r="O477" s="169" t="s">
        <v>578</v>
      </c>
      <c r="P477" s="169" t="s">
        <v>283</v>
      </c>
      <c r="Q477" s="169" t="s">
        <v>325</v>
      </c>
      <c r="R477" s="169" t="s">
        <v>283</v>
      </c>
      <c r="S477" s="169" t="s">
        <v>283</v>
      </c>
      <c r="T477" s="169">
        <v>0</v>
      </c>
    </row>
    <row r="478" spans="2:20" x14ac:dyDescent="0.2">
      <c r="B478" s="168" t="s">
        <v>1</v>
      </c>
      <c r="C478" s="168" t="s">
        <v>25</v>
      </c>
      <c r="D478" s="173">
        <v>45721</v>
      </c>
      <c r="E478" s="169" t="s">
        <v>579</v>
      </c>
      <c r="F478" s="169" t="s">
        <v>385</v>
      </c>
      <c r="G478" s="169" t="s">
        <v>336</v>
      </c>
      <c r="H478" s="169" t="s">
        <v>366</v>
      </c>
      <c r="I478" s="169" t="s">
        <v>1</v>
      </c>
      <c r="J478" s="169" t="s">
        <v>580</v>
      </c>
      <c r="K478" s="169" t="s">
        <v>581</v>
      </c>
      <c r="L478" s="169" t="s">
        <v>534</v>
      </c>
      <c r="M478" s="169" t="s">
        <v>281</v>
      </c>
      <c r="N478" s="178">
        <v>5348120</v>
      </c>
      <c r="O478" s="169" t="s">
        <v>582</v>
      </c>
      <c r="P478" s="169" t="s">
        <v>283</v>
      </c>
      <c r="Q478" s="169" t="s">
        <v>306</v>
      </c>
      <c r="R478" s="169" t="s">
        <v>283</v>
      </c>
      <c r="S478" s="169" t="s">
        <v>283</v>
      </c>
      <c r="T478" s="169">
        <v>0</v>
      </c>
    </row>
    <row r="479" spans="2:20" x14ac:dyDescent="0.2">
      <c r="B479" s="168" t="s">
        <v>1</v>
      </c>
      <c r="C479" s="168" t="s">
        <v>25</v>
      </c>
      <c r="D479" s="173">
        <v>45717</v>
      </c>
      <c r="E479" s="169" t="s">
        <v>583</v>
      </c>
      <c r="F479" s="169" t="s">
        <v>385</v>
      </c>
      <c r="G479" s="169" t="s">
        <v>336</v>
      </c>
      <c r="H479" s="169" t="s">
        <v>366</v>
      </c>
      <c r="I479" s="169" t="s">
        <v>1</v>
      </c>
      <c r="J479" s="169" t="s">
        <v>584</v>
      </c>
      <c r="K479" s="169" t="s">
        <v>581</v>
      </c>
      <c r="L479" s="169" t="s">
        <v>534</v>
      </c>
      <c r="M479" s="169" t="s">
        <v>281</v>
      </c>
      <c r="N479" s="178">
        <v>4914619</v>
      </c>
      <c r="O479" s="169" t="s">
        <v>585</v>
      </c>
      <c r="P479" s="169" t="s">
        <v>283</v>
      </c>
      <c r="Q479" s="169" t="s">
        <v>306</v>
      </c>
      <c r="R479" s="169" t="s">
        <v>283</v>
      </c>
      <c r="S479" s="169" t="s">
        <v>283</v>
      </c>
      <c r="T479" s="169">
        <v>0</v>
      </c>
    </row>
    <row r="480" spans="2:20" x14ac:dyDescent="0.2">
      <c r="B480" s="168" t="s">
        <v>1</v>
      </c>
      <c r="C480" s="168" t="s">
        <v>24</v>
      </c>
      <c r="D480" s="173">
        <v>45744</v>
      </c>
      <c r="E480" s="169" t="s">
        <v>586</v>
      </c>
      <c r="F480" s="169" t="s">
        <v>365</v>
      </c>
      <c r="G480" s="169" t="s">
        <v>291</v>
      </c>
      <c r="H480" s="169" t="s">
        <v>366</v>
      </c>
      <c r="I480" s="169" t="s">
        <v>1</v>
      </c>
      <c r="J480" s="169" t="s">
        <v>587</v>
      </c>
      <c r="K480" s="169" t="s">
        <v>588</v>
      </c>
      <c r="L480" s="169" t="s">
        <v>534</v>
      </c>
      <c r="M480" s="169" t="s">
        <v>281</v>
      </c>
      <c r="N480" s="178">
        <v>30000000</v>
      </c>
      <c r="O480" s="169" t="s">
        <v>589</v>
      </c>
      <c r="P480" s="169" t="s">
        <v>283</v>
      </c>
      <c r="Q480" s="169" t="s">
        <v>370</v>
      </c>
      <c r="R480" s="169" t="s">
        <v>283</v>
      </c>
      <c r="S480" s="169" t="s">
        <v>283</v>
      </c>
      <c r="T480" s="169">
        <v>0</v>
      </c>
    </row>
    <row r="481" spans="2:20" x14ac:dyDescent="0.2">
      <c r="B481" s="168" t="s">
        <v>9</v>
      </c>
      <c r="C481" s="168" t="s">
        <v>222</v>
      </c>
      <c r="D481" s="173">
        <v>45737</v>
      </c>
      <c r="E481" s="169" t="s">
        <v>590</v>
      </c>
      <c r="F481" s="169" t="s">
        <v>300</v>
      </c>
      <c r="G481" s="169" t="s">
        <v>222</v>
      </c>
      <c r="H481" s="169" t="s">
        <v>358</v>
      </c>
      <c r="I481" s="169" t="s">
        <v>359</v>
      </c>
      <c r="J481" s="169" t="s">
        <v>572</v>
      </c>
      <c r="K481" s="169" t="s">
        <v>573</v>
      </c>
      <c r="L481" s="169" t="s">
        <v>534</v>
      </c>
      <c r="M481" s="169" t="s">
        <v>281</v>
      </c>
      <c r="N481" s="178">
        <v>-3376937</v>
      </c>
      <c r="O481" s="169" t="s">
        <v>591</v>
      </c>
      <c r="P481" s="169" t="s">
        <v>447</v>
      </c>
      <c r="Q481" s="169" t="s">
        <v>284</v>
      </c>
      <c r="R481" s="169" t="s">
        <v>283</v>
      </c>
      <c r="S481" s="169" t="s">
        <v>283</v>
      </c>
      <c r="T481" s="169">
        <v>0</v>
      </c>
    </row>
    <row r="482" spans="2:20" x14ac:dyDescent="0.2">
      <c r="B482" s="168" t="s">
        <v>9</v>
      </c>
      <c r="C482" s="168" t="s">
        <v>222</v>
      </c>
      <c r="D482" s="173">
        <v>45733</v>
      </c>
      <c r="E482" s="169" t="s">
        <v>592</v>
      </c>
      <c r="F482" s="169" t="s">
        <v>300</v>
      </c>
      <c r="G482" s="169" t="s">
        <v>222</v>
      </c>
      <c r="H482" s="169" t="s">
        <v>358</v>
      </c>
      <c r="I482" s="169" t="s">
        <v>359</v>
      </c>
      <c r="J482" s="169" t="s">
        <v>572</v>
      </c>
      <c r="K482" s="169" t="s">
        <v>593</v>
      </c>
      <c r="L482" s="169" t="s">
        <v>534</v>
      </c>
      <c r="M482" s="169" t="s">
        <v>281</v>
      </c>
      <c r="N482" s="178">
        <v>3376937</v>
      </c>
      <c r="O482" s="169" t="s">
        <v>594</v>
      </c>
      <c r="P482" s="169" t="s">
        <v>283</v>
      </c>
      <c r="Q482" s="169" t="s">
        <v>325</v>
      </c>
      <c r="R482" s="169" t="s">
        <v>283</v>
      </c>
      <c r="S482" s="169" t="s">
        <v>283</v>
      </c>
      <c r="T482" s="169">
        <v>0</v>
      </c>
    </row>
    <row r="483" spans="2:20" x14ac:dyDescent="0.2">
      <c r="B483" s="168" t="s">
        <v>1</v>
      </c>
      <c r="C483" s="168" t="s">
        <v>22</v>
      </c>
      <c r="D483" s="173">
        <v>45747</v>
      </c>
      <c r="E483" s="169" t="s">
        <v>531</v>
      </c>
      <c r="F483" s="169" t="s">
        <v>383</v>
      </c>
      <c r="G483" s="169" t="s">
        <v>275</v>
      </c>
      <c r="H483" s="169" t="s">
        <v>366</v>
      </c>
      <c r="I483" s="169" t="s">
        <v>1</v>
      </c>
      <c r="J483" s="169" t="s">
        <v>532</v>
      </c>
      <c r="K483" s="169" t="s">
        <v>533</v>
      </c>
      <c r="L483" s="169" t="s">
        <v>534</v>
      </c>
      <c r="M483" s="169" t="s">
        <v>281</v>
      </c>
      <c r="N483" s="178">
        <v>216697411</v>
      </c>
      <c r="O483" s="169" t="s">
        <v>535</v>
      </c>
      <c r="P483" s="169" t="s">
        <v>283</v>
      </c>
      <c r="Q483" s="169" t="s">
        <v>284</v>
      </c>
      <c r="R483" s="169" t="s">
        <v>283</v>
      </c>
      <c r="S483" s="169" t="s">
        <v>283</v>
      </c>
      <c r="T483" s="169">
        <v>0</v>
      </c>
    </row>
    <row r="484" spans="2:20" x14ac:dyDescent="0.2">
      <c r="B484" s="168" t="s">
        <v>1</v>
      </c>
      <c r="C484" s="168" t="s">
        <v>22</v>
      </c>
      <c r="D484" s="173">
        <v>45747</v>
      </c>
      <c r="E484" s="169" t="s">
        <v>531</v>
      </c>
      <c r="F484" s="169" t="s">
        <v>384</v>
      </c>
      <c r="G484" s="169" t="s">
        <v>286</v>
      </c>
      <c r="H484" s="169" t="s">
        <v>366</v>
      </c>
      <c r="I484" s="169" t="s">
        <v>1</v>
      </c>
      <c r="J484" s="169" t="s">
        <v>532</v>
      </c>
      <c r="K484" s="169" t="s">
        <v>533</v>
      </c>
      <c r="L484" s="169" t="s">
        <v>534</v>
      </c>
      <c r="M484" s="169" t="s">
        <v>281</v>
      </c>
      <c r="N484" s="178">
        <v>6753539</v>
      </c>
      <c r="O484" s="169" t="s">
        <v>535</v>
      </c>
      <c r="P484" s="169" t="s">
        <v>283</v>
      </c>
      <c r="Q484" s="169" t="s">
        <v>284</v>
      </c>
      <c r="R484" s="169" t="s">
        <v>283</v>
      </c>
      <c r="S484" s="169" t="s">
        <v>283</v>
      </c>
      <c r="T484" s="169">
        <v>0</v>
      </c>
    </row>
    <row r="485" spans="2:20" x14ac:dyDescent="0.2">
      <c r="B485" s="168" t="s">
        <v>1</v>
      </c>
      <c r="C485" s="168" t="s">
        <v>24</v>
      </c>
      <c r="D485" s="173">
        <v>45747</v>
      </c>
      <c r="E485" s="169" t="s">
        <v>531</v>
      </c>
      <c r="F485" s="169" t="s">
        <v>365</v>
      </c>
      <c r="G485" s="169" t="s">
        <v>291</v>
      </c>
      <c r="H485" s="169" t="s">
        <v>366</v>
      </c>
      <c r="I485" s="169" t="s">
        <v>1</v>
      </c>
      <c r="J485" s="169" t="s">
        <v>532</v>
      </c>
      <c r="K485" s="169" t="s">
        <v>533</v>
      </c>
      <c r="L485" s="169" t="s">
        <v>534</v>
      </c>
      <c r="M485" s="169" t="s">
        <v>281</v>
      </c>
      <c r="N485" s="178">
        <v>292274200</v>
      </c>
      <c r="O485" s="169" t="s">
        <v>535</v>
      </c>
      <c r="P485" s="169" t="s">
        <v>283</v>
      </c>
      <c r="Q485" s="169" t="s">
        <v>284</v>
      </c>
      <c r="R485" s="169" t="s">
        <v>283</v>
      </c>
      <c r="S485" s="169" t="s">
        <v>283</v>
      </c>
      <c r="T485" s="169">
        <v>0</v>
      </c>
    </row>
    <row r="486" spans="2:20" x14ac:dyDescent="0.2">
      <c r="B486" s="168" t="s">
        <v>10</v>
      </c>
      <c r="C486" s="168" t="s">
        <v>22</v>
      </c>
      <c r="D486" s="173">
        <v>45747</v>
      </c>
      <c r="E486" s="169" t="s">
        <v>531</v>
      </c>
      <c r="F486" s="169" t="s">
        <v>274</v>
      </c>
      <c r="G486" s="169" t="s">
        <v>275</v>
      </c>
      <c r="H486" s="169" t="s">
        <v>380</v>
      </c>
      <c r="I486" s="169" t="s">
        <v>381</v>
      </c>
      <c r="J486" s="169" t="s">
        <v>532</v>
      </c>
      <c r="K486" s="169" t="s">
        <v>533</v>
      </c>
      <c r="L486" s="169" t="s">
        <v>534</v>
      </c>
      <c r="M486" s="169" t="s">
        <v>281</v>
      </c>
      <c r="N486" s="178">
        <v>464348775</v>
      </c>
      <c r="O486" s="169" t="s">
        <v>535</v>
      </c>
      <c r="P486" s="169" t="s">
        <v>283</v>
      </c>
      <c r="Q486" s="169" t="s">
        <v>284</v>
      </c>
      <c r="R486" s="169" t="s">
        <v>283</v>
      </c>
      <c r="S486" s="169" t="s">
        <v>283</v>
      </c>
      <c r="T486" s="169">
        <v>0</v>
      </c>
    </row>
    <row r="487" spans="2:20" x14ac:dyDescent="0.2">
      <c r="B487" s="168" t="s">
        <v>10</v>
      </c>
      <c r="C487" s="168" t="s">
        <v>22</v>
      </c>
      <c r="D487" s="173">
        <v>45747</v>
      </c>
      <c r="E487" s="169" t="s">
        <v>531</v>
      </c>
      <c r="F487" s="169" t="s">
        <v>285</v>
      </c>
      <c r="G487" s="169" t="s">
        <v>286</v>
      </c>
      <c r="H487" s="169" t="s">
        <v>380</v>
      </c>
      <c r="I487" s="169" t="s">
        <v>381</v>
      </c>
      <c r="J487" s="169" t="s">
        <v>532</v>
      </c>
      <c r="K487" s="169" t="s">
        <v>533</v>
      </c>
      <c r="L487" s="169" t="s">
        <v>534</v>
      </c>
      <c r="M487" s="169" t="s">
        <v>281</v>
      </c>
      <c r="N487" s="178">
        <v>8650730</v>
      </c>
      <c r="O487" s="169" t="s">
        <v>535</v>
      </c>
      <c r="P487" s="169" t="s">
        <v>283</v>
      </c>
      <c r="Q487" s="169" t="s">
        <v>284</v>
      </c>
      <c r="R487" s="169" t="s">
        <v>283</v>
      </c>
      <c r="S487" s="169" t="s">
        <v>283</v>
      </c>
      <c r="T487" s="169">
        <v>0</v>
      </c>
    </row>
    <row r="488" spans="2:20" x14ac:dyDescent="0.2">
      <c r="B488" s="168" t="s">
        <v>10</v>
      </c>
      <c r="C488" s="168" t="s">
        <v>24</v>
      </c>
      <c r="D488" s="173">
        <v>45747</v>
      </c>
      <c r="E488" s="169" t="s">
        <v>531</v>
      </c>
      <c r="F488" s="169" t="s">
        <v>290</v>
      </c>
      <c r="G488" s="169" t="s">
        <v>291</v>
      </c>
      <c r="H488" s="169" t="s">
        <v>380</v>
      </c>
      <c r="I488" s="169" t="s">
        <v>381</v>
      </c>
      <c r="J488" s="169" t="s">
        <v>532</v>
      </c>
      <c r="K488" s="169" t="s">
        <v>533</v>
      </c>
      <c r="L488" s="169" t="s">
        <v>534</v>
      </c>
      <c r="M488" s="169" t="s">
        <v>281</v>
      </c>
      <c r="N488" s="178">
        <v>181777297</v>
      </c>
      <c r="O488" s="169" t="s">
        <v>535</v>
      </c>
      <c r="P488" s="169" t="s">
        <v>283</v>
      </c>
      <c r="Q488" s="169" t="s">
        <v>284</v>
      </c>
      <c r="R488" s="169" t="s">
        <v>283</v>
      </c>
      <c r="S488" s="169" t="s">
        <v>283</v>
      </c>
      <c r="T488" s="169">
        <v>0</v>
      </c>
    </row>
    <row r="489" spans="2:20" x14ac:dyDescent="0.2">
      <c r="B489" s="168" t="s">
        <v>10</v>
      </c>
      <c r="C489" s="168" t="s">
        <v>25</v>
      </c>
      <c r="D489" s="173">
        <v>45747</v>
      </c>
      <c r="E489" s="169" t="s">
        <v>531</v>
      </c>
      <c r="F489" s="169" t="s">
        <v>335</v>
      </c>
      <c r="G489" s="169" t="s">
        <v>336</v>
      </c>
      <c r="H489" s="169" t="s">
        <v>380</v>
      </c>
      <c r="I489" s="169" t="s">
        <v>381</v>
      </c>
      <c r="J489" s="169" t="s">
        <v>532</v>
      </c>
      <c r="K489" s="169" t="s">
        <v>533</v>
      </c>
      <c r="L489" s="169" t="s">
        <v>534</v>
      </c>
      <c r="M489" s="169" t="s">
        <v>281</v>
      </c>
      <c r="N489" s="178">
        <v>12340000</v>
      </c>
      <c r="O489" s="169" t="s">
        <v>535</v>
      </c>
      <c r="P489" s="169" t="s">
        <v>283</v>
      </c>
      <c r="Q489" s="169" t="s">
        <v>284</v>
      </c>
      <c r="R489" s="169" t="s">
        <v>283</v>
      </c>
      <c r="S489" s="169" t="s">
        <v>283</v>
      </c>
      <c r="T489" s="169">
        <v>0</v>
      </c>
    </row>
    <row r="490" spans="2:20" x14ac:dyDescent="0.2">
      <c r="B490" s="168" t="s">
        <v>2</v>
      </c>
      <c r="C490" s="168" t="s">
        <v>22</v>
      </c>
      <c r="D490" s="173">
        <v>45747</v>
      </c>
      <c r="E490" s="169" t="s">
        <v>531</v>
      </c>
      <c r="F490" s="169" t="s">
        <v>274</v>
      </c>
      <c r="G490" s="169" t="s">
        <v>275</v>
      </c>
      <c r="H490" s="169" t="s">
        <v>378</v>
      </c>
      <c r="I490" s="169" t="s">
        <v>379</v>
      </c>
      <c r="J490" s="169" t="s">
        <v>532</v>
      </c>
      <c r="K490" s="169" t="s">
        <v>533</v>
      </c>
      <c r="L490" s="169" t="s">
        <v>534</v>
      </c>
      <c r="M490" s="169" t="s">
        <v>281</v>
      </c>
      <c r="N490" s="178">
        <v>101848285</v>
      </c>
      <c r="O490" s="169" t="s">
        <v>535</v>
      </c>
      <c r="P490" s="169" t="s">
        <v>283</v>
      </c>
      <c r="Q490" s="169" t="s">
        <v>284</v>
      </c>
      <c r="R490" s="169" t="s">
        <v>283</v>
      </c>
      <c r="S490" s="169" t="s">
        <v>283</v>
      </c>
      <c r="T490" s="169">
        <v>0</v>
      </c>
    </row>
    <row r="491" spans="2:20" x14ac:dyDescent="0.2">
      <c r="B491" s="168" t="s">
        <v>2</v>
      </c>
      <c r="C491" s="168" t="s">
        <v>22</v>
      </c>
      <c r="D491" s="173">
        <v>45747</v>
      </c>
      <c r="E491" s="169" t="s">
        <v>531</v>
      </c>
      <c r="F491" s="169" t="s">
        <v>285</v>
      </c>
      <c r="G491" s="169" t="s">
        <v>286</v>
      </c>
      <c r="H491" s="169" t="s">
        <v>378</v>
      </c>
      <c r="I491" s="169" t="s">
        <v>379</v>
      </c>
      <c r="J491" s="169" t="s">
        <v>532</v>
      </c>
      <c r="K491" s="169" t="s">
        <v>533</v>
      </c>
      <c r="L491" s="169" t="s">
        <v>534</v>
      </c>
      <c r="M491" s="169" t="s">
        <v>281</v>
      </c>
      <c r="N491" s="178">
        <v>3895211</v>
      </c>
      <c r="O491" s="169" t="s">
        <v>535</v>
      </c>
      <c r="P491" s="169" t="s">
        <v>283</v>
      </c>
      <c r="Q491" s="169" t="s">
        <v>284</v>
      </c>
      <c r="R491" s="169" t="s">
        <v>283</v>
      </c>
      <c r="S491" s="169" t="s">
        <v>283</v>
      </c>
      <c r="T491" s="169">
        <v>0</v>
      </c>
    </row>
    <row r="492" spans="2:20" x14ac:dyDescent="0.2">
      <c r="B492" s="168" t="s">
        <v>2</v>
      </c>
      <c r="C492" s="168" t="s">
        <v>25</v>
      </c>
      <c r="D492" s="173">
        <v>45747</v>
      </c>
      <c r="E492" s="169" t="s">
        <v>531</v>
      </c>
      <c r="F492" s="169" t="s">
        <v>335</v>
      </c>
      <c r="G492" s="169" t="s">
        <v>336</v>
      </c>
      <c r="H492" s="169" t="s">
        <v>378</v>
      </c>
      <c r="I492" s="169" t="s">
        <v>379</v>
      </c>
      <c r="J492" s="169" t="s">
        <v>532</v>
      </c>
      <c r="K492" s="169" t="s">
        <v>533</v>
      </c>
      <c r="L492" s="169" t="s">
        <v>534</v>
      </c>
      <c r="M492" s="169" t="s">
        <v>281</v>
      </c>
      <c r="N492" s="178">
        <v>500000</v>
      </c>
      <c r="O492" s="169" t="s">
        <v>535</v>
      </c>
      <c r="P492" s="169" t="s">
        <v>283</v>
      </c>
      <c r="Q492" s="169" t="s">
        <v>284</v>
      </c>
      <c r="R492" s="169" t="s">
        <v>283</v>
      </c>
      <c r="S492" s="169" t="s">
        <v>283</v>
      </c>
      <c r="T492" s="169">
        <v>0</v>
      </c>
    </row>
    <row r="493" spans="2:20" x14ac:dyDescent="0.2">
      <c r="B493" s="168" t="s">
        <v>7</v>
      </c>
      <c r="C493" s="168" t="s">
        <v>25</v>
      </c>
      <c r="D493" s="173">
        <v>45747</v>
      </c>
      <c r="E493" s="169" t="s">
        <v>531</v>
      </c>
      <c r="F493" s="169" t="s">
        <v>386</v>
      </c>
      <c r="G493" s="169" t="s">
        <v>341</v>
      </c>
      <c r="H493" s="169" t="s">
        <v>376</v>
      </c>
      <c r="I493" s="169" t="s">
        <v>377</v>
      </c>
      <c r="J493" s="169" t="s">
        <v>532</v>
      </c>
      <c r="K493" s="169" t="s">
        <v>533</v>
      </c>
      <c r="L493" s="169" t="s">
        <v>534</v>
      </c>
      <c r="M493" s="169" t="s">
        <v>281</v>
      </c>
      <c r="N493" s="178">
        <v>42826120</v>
      </c>
      <c r="O493" s="169" t="s">
        <v>535</v>
      </c>
      <c r="P493" s="169" t="s">
        <v>283</v>
      </c>
      <c r="Q493" s="169" t="s">
        <v>284</v>
      </c>
      <c r="R493" s="169" t="s">
        <v>283</v>
      </c>
      <c r="S493" s="169" t="s">
        <v>283</v>
      </c>
      <c r="T493" s="169">
        <v>0</v>
      </c>
    </row>
    <row r="494" spans="2:20" x14ac:dyDescent="0.2">
      <c r="B494" s="168" t="s">
        <v>7</v>
      </c>
      <c r="C494" s="168" t="s">
        <v>22</v>
      </c>
      <c r="D494" s="173">
        <v>45747</v>
      </c>
      <c r="E494" s="169" t="s">
        <v>531</v>
      </c>
      <c r="F494" s="169" t="s">
        <v>387</v>
      </c>
      <c r="G494" s="169" t="s">
        <v>275</v>
      </c>
      <c r="H494" s="169" t="s">
        <v>376</v>
      </c>
      <c r="I494" s="169" t="s">
        <v>377</v>
      </c>
      <c r="J494" s="169" t="s">
        <v>532</v>
      </c>
      <c r="K494" s="169" t="s">
        <v>533</v>
      </c>
      <c r="L494" s="169" t="s">
        <v>534</v>
      </c>
      <c r="M494" s="169" t="s">
        <v>281</v>
      </c>
      <c r="N494" s="178">
        <v>876282684</v>
      </c>
      <c r="O494" s="169" t="s">
        <v>535</v>
      </c>
      <c r="P494" s="169" t="s">
        <v>283</v>
      </c>
      <c r="Q494" s="169" t="s">
        <v>284</v>
      </c>
      <c r="R494" s="169" t="s">
        <v>283</v>
      </c>
      <c r="S494" s="169" t="s">
        <v>283</v>
      </c>
      <c r="T494" s="169">
        <v>0</v>
      </c>
    </row>
    <row r="495" spans="2:20" x14ac:dyDescent="0.2">
      <c r="B495" s="168" t="s">
        <v>7</v>
      </c>
      <c r="C495" s="168" t="s">
        <v>22</v>
      </c>
      <c r="D495" s="173">
        <v>45747</v>
      </c>
      <c r="E495" s="169" t="s">
        <v>531</v>
      </c>
      <c r="F495" s="169" t="s">
        <v>388</v>
      </c>
      <c r="G495" s="169" t="s">
        <v>286</v>
      </c>
      <c r="H495" s="169" t="s">
        <v>376</v>
      </c>
      <c r="I495" s="169" t="s">
        <v>377</v>
      </c>
      <c r="J495" s="169" t="s">
        <v>532</v>
      </c>
      <c r="K495" s="169" t="s">
        <v>533</v>
      </c>
      <c r="L495" s="169" t="s">
        <v>534</v>
      </c>
      <c r="M495" s="169" t="s">
        <v>281</v>
      </c>
      <c r="N495" s="178">
        <v>29829500</v>
      </c>
      <c r="O495" s="169" t="s">
        <v>535</v>
      </c>
      <c r="P495" s="169" t="s">
        <v>283</v>
      </c>
      <c r="Q495" s="169" t="s">
        <v>284</v>
      </c>
      <c r="R495" s="169" t="s">
        <v>283</v>
      </c>
      <c r="S495" s="169" t="s">
        <v>283</v>
      </c>
      <c r="T495" s="169">
        <v>0</v>
      </c>
    </row>
    <row r="496" spans="2:20" x14ac:dyDescent="0.2">
      <c r="B496" s="168" t="s">
        <v>7</v>
      </c>
      <c r="C496" s="168" t="s">
        <v>23</v>
      </c>
      <c r="D496" s="173">
        <v>45747</v>
      </c>
      <c r="E496" s="169" t="s">
        <v>531</v>
      </c>
      <c r="F496" s="169" t="s">
        <v>389</v>
      </c>
      <c r="G496" s="169" t="s">
        <v>390</v>
      </c>
      <c r="H496" s="169" t="s">
        <v>376</v>
      </c>
      <c r="I496" s="169" t="s">
        <v>377</v>
      </c>
      <c r="J496" s="169" t="s">
        <v>532</v>
      </c>
      <c r="K496" s="169" t="s">
        <v>533</v>
      </c>
      <c r="L496" s="169" t="s">
        <v>534</v>
      </c>
      <c r="M496" s="169" t="s">
        <v>281</v>
      </c>
      <c r="N496" s="178">
        <v>291038225</v>
      </c>
      <c r="O496" s="169" t="s">
        <v>535</v>
      </c>
      <c r="P496" s="169" t="s">
        <v>283</v>
      </c>
      <c r="Q496" s="169" t="s">
        <v>284</v>
      </c>
      <c r="R496" s="169" t="s">
        <v>283</v>
      </c>
      <c r="S496" s="169" t="s">
        <v>283</v>
      </c>
      <c r="T496" s="169">
        <v>0</v>
      </c>
    </row>
    <row r="497" spans="2:20" x14ac:dyDescent="0.2">
      <c r="B497" s="168" t="s">
        <v>7</v>
      </c>
      <c r="C497" s="168" t="s">
        <v>25</v>
      </c>
      <c r="D497" s="173">
        <v>45747</v>
      </c>
      <c r="E497" s="169" t="s">
        <v>531</v>
      </c>
      <c r="F497" s="169" t="s">
        <v>375</v>
      </c>
      <c r="G497" s="169" t="s">
        <v>336</v>
      </c>
      <c r="H497" s="169" t="s">
        <v>376</v>
      </c>
      <c r="I497" s="169" t="s">
        <v>377</v>
      </c>
      <c r="J497" s="169" t="s">
        <v>532</v>
      </c>
      <c r="K497" s="169" t="s">
        <v>533</v>
      </c>
      <c r="L497" s="169" t="s">
        <v>534</v>
      </c>
      <c r="M497" s="169" t="s">
        <v>281</v>
      </c>
      <c r="N497" s="178">
        <v>9580000</v>
      </c>
      <c r="O497" s="169" t="s">
        <v>535</v>
      </c>
      <c r="P497" s="169" t="s">
        <v>283</v>
      </c>
      <c r="Q497" s="169" t="s">
        <v>284</v>
      </c>
      <c r="R497" s="169" t="s">
        <v>283</v>
      </c>
      <c r="S497" s="169" t="s">
        <v>283</v>
      </c>
      <c r="T497" s="169">
        <v>0</v>
      </c>
    </row>
    <row r="498" spans="2:20" x14ac:dyDescent="0.2">
      <c r="B498" s="168" t="s">
        <v>9</v>
      </c>
      <c r="C498" s="168" t="s">
        <v>22</v>
      </c>
      <c r="D498" s="173">
        <v>45747</v>
      </c>
      <c r="E498" s="169" t="s">
        <v>531</v>
      </c>
      <c r="F498" s="169" t="s">
        <v>274</v>
      </c>
      <c r="G498" s="169" t="s">
        <v>275</v>
      </c>
      <c r="H498" s="169" t="s">
        <v>382</v>
      </c>
      <c r="I498" s="169" t="s">
        <v>200</v>
      </c>
      <c r="J498" s="169" t="s">
        <v>532</v>
      </c>
      <c r="K498" s="169" t="s">
        <v>533</v>
      </c>
      <c r="L498" s="169" t="s">
        <v>534</v>
      </c>
      <c r="M498" s="169" t="s">
        <v>281</v>
      </c>
      <c r="N498" s="178">
        <v>63886716</v>
      </c>
      <c r="O498" s="169" t="s">
        <v>535</v>
      </c>
      <c r="P498" s="169" t="s">
        <v>283</v>
      </c>
      <c r="Q498" s="169" t="s">
        <v>284</v>
      </c>
      <c r="R498" s="169" t="s">
        <v>283</v>
      </c>
      <c r="S498" s="169" t="s">
        <v>283</v>
      </c>
      <c r="T498" s="169">
        <v>0</v>
      </c>
    </row>
    <row r="499" spans="2:20" x14ac:dyDescent="0.2">
      <c r="B499" s="168" t="s">
        <v>9</v>
      </c>
      <c r="C499" s="168" t="s">
        <v>22</v>
      </c>
      <c r="D499" s="173">
        <v>45747</v>
      </c>
      <c r="E499" s="169" t="s">
        <v>531</v>
      </c>
      <c r="F499" s="169" t="s">
        <v>285</v>
      </c>
      <c r="G499" s="169" t="s">
        <v>286</v>
      </c>
      <c r="H499" s="169" t="s">
        <v>382</v>
      </c>
      <c r="I499" s="169" t="s">
        <v>200</v>
      </c>
      <c r="J499" s="169" t="s">
        <v>532</v>
      </c>
      <c r="K499" s="169" t="s">
        <v>533</v>
      </c>
      <c r="L499" s="169" t="s">
        <v>534</v>
      </c>
      <c r="M499" s="169" t="s">
        <v>281</v>
      </c>
      <c r="N499" s="178">
        <v>683269</v>
      </c>
      <c r="O499" s="169" t="s">
        <v>535</v>
      </c>
      <c r="P499" s="169" t="s">
        <v>283</v>
      </c>
      <c r="Q499" s="169" t="s">
        <v>284</v>
      </c>
      <c r="R499" s="169" t="s">
        <v>283</v>
      </c>
      <c r="S499" s="169" t="s">
        <v>283</v>
      </c>
      <c r="T499" s="169">
        <v>0</v>
      </c>
    </row>
    <row r="500" spans="2:20" x14ac:dyDescent="0.2">
      <c r="B500" s="168" t="s">
        <v>9</v>
      </c>
      <c r="C500" s="168" t="s">
        <v>25</v>
      </c>
      <c r="D500" s="173">
        <v>45747</v>
      </c>
      <c r="E500" s="169" t="s">
        <v>531</v>
      </c>
      <c r="F500" s="169" t="s">
        <v>335</v>
      </c>
      <c r="G500" s="169" t="s">
        <v>336</v>
      </c>
      <c r="H500" s="169" t="s">
        <v>382</v>
      </c>
      <c r="I500" s="169" t="s">
        <v>200</v>
      </c>
      <c r="J500" s="169" t="s">
        <v>532</v>
      </c>
      <c r="K500" s="169" t="s">
        <v>533</v>
      </c>
      <c r="L500" s="169" t="s">
        <v>534</v>
      </c>
      <c r="M500" s="169" t="s">
        <v>281</v>
      </c>
      <c r="N500" s="178">
        <v>50000</v>
      </c>
      <c r="O500" s="169" t="s">
        <v>535</v>
      </c>
      <c r="P500" s="169" t="s">
        <v>283</v>
      </c>
      <c r="Q500" s="169" t="s">
        <v>284</v>
      </c>
      <c r="R500" s="169" t="s">
        <v>283</v>
      </c>
      <c r="S500" s="169" t="s">
        <v>283</v>
      </c>
      <c r="T500" s="169">
        <v>0</v>
      </c>
    </row>
    <row r="501" spans="2:20" x14ac:dyDescent="0.2">
      <c r="B501" s="168" t="s">
        <v>9</v>
      </c>
      <c r="C501" s="168" t="s">
        <v>22</v>
      </c>
      <c r="D501" s="173">
        <v>45747</v>
      </c>
      <c r="E501" s="169" t="s">
        <v>531</v>
      </c>
      <c r="F501" s="169" t="s">
        <v>274</v>
      </c>
      <c r="G501" s="169" t="s">
        <v>275</v>
      </c>
      <c r="H501" s="169" t="s">
        <v>358</v>
      </c>
      <c r="I501" s="169" t="s">
        <v>359</v>
      </c>
      <c r="J501" s="169" t="s">
        <v>532</v>
      </c>
      <c r="K501" s="169" t="s">
        <v>533</v>
      </c>
      <c r="L501" s="169" t="s">
        <v>534</v>
      </c>
      <c r="M501" s="169" t="s">
        <v>281</v>
      </c>
      <c r="N501" s="178">
        <v>86531770</v>
      </c>
      <c r="O501" s="169" t="s">
        <v>535</v>
      </c>
      <c r="P501" s="169" t="s">
        <v>283</v>
      </c>
      <c r="Q501" s="169" t="s">
        <v>284</v>
      </c>
      <c r="R501" s="169" t="s">
        <v>283</v>
      </c>
      <c r="S501" s="169" t="s">
        <v>283</v>
      </c>
      <c r="T501" s="169">
        <v>0</v>
      </c>
    </row>
    <row r="502" spans="2:20" x14ac:dyDescent="0.2">
      <c r="B502" s="168" t="s">
        <v>9</v>
      </c>
      <c r="C502" s="168" t="s">
        <v>22</v>
      </c>
      <c r="D502" s="173">
        <v>45747</v>
      </c>
      <c r="E502" s="169" t="s">
        <v>531</v>
      </c>
      <c r="F502" s="169" t="s">
        <v>285</v>
      </c>
      <c r="G502" s="169" t="s">
        <v>286</v>
      </c>
      <c r="H502" s="169" t="s">
        <v>358</v>
      </c>
      <c r="I502" s="169" t="s">
        <v>359</v>
      </c>
      <c r="J502" s="169" t="s">
        <v>532</v>
      </c>
      <c r="K502" s="169" t="s">
        <v>533</v>
      </c>
      <c r="L502" s="169" t="s">
        <v>534</v>
      </c>
      <c r="M502" s="169" t="s">
        <v>281</v>
      </c>
      <c r="N502" s="178">
        <v>6927692</v>
      </c>
      <c r="O502" s="169" t="s">
        <v>535</v>
      </c>
      <c r="P502" s="169" t="s">
        <v>283</v>
      </c>
      <c r="Q502" s="169" t="s">
        <v>284</v>
      </c>
      <c r="R502" s="169" t="s">
        <v>283</v>
      </c>
      <c r="S502" s="169" t="s">
        <v>283</v>
      </c>
      <c r="T502" s="169">
        <v>0</v>
      </c>
    </row>
    <row r="503" spans="2:20" x14ac:dyDescent="0.2">
      <c r="B503" s="168" t="s">
        <v>9</v>
      </c>
      <c r="C503" s="168" t="s">
        <v>25</v>
      </c>
      <c r="D503" s="173">
        <v>45747</v>
      </c>
      <c r="E503" s="169" t="s">
        <v>531</v>
      </c>
      <c r="F503" s="169" t="s">
        <v>335</v>
      </c>
      <c r="G503" s="169" t="s">
        <v>336</v>
      </c>
      <c r="H503" s="169" t="s">
        <v>358</v>
      </c>
      <c r="I503" s="169" t="s">
        <v>359</v>
      </c>
      <c r="J503" s="169" t="s">
        <v>532</v>
      </c>
      <c r="K503" s="169" t="s">
        <v>533</v>
      </c>
      <c r="L503" s="169" t="s">
        <v>534</v>
      </c>
      <c r="M503" s="169" t="s">
        <v>281</v>
      </c>
      <c r="N503" s="178">
        <v>25000</v>
      </c>
      <c r="O503" s="169" t="s">
        <v>535</v>
      </c>
      <c r="P503" s="169" t="s">
        <v>283</v>
      </c>
      <c r="Q503" s="169" t="s">
        <v>284</v>
      </c>
      <c r="R503" s="169" t="s">
        <v>283</v>
      </c>
      <c r="S503" s="169" t="s">
        <v>283</v>
      </c>
      <c r="T503" s="169">
        <v>0</v>
      </c>
    </row>
    <row r="504" spans="2:20" x14ac:dyDescent="0.2">
      <c r="B504" s="168" t="s">
        <v>1</v>
      </c>
      <c r="C504" s="168" t="s">
        <v>22</v>
      </c>
      <c r="D504" s="173">
        <v>45747</v>
      </c>
      <c r="E504" s="169" t="s">
        <v>536</v>
      </c>
      <c r="F504" s="169" t="s">
        <v>384</v>
      </c>
      <c r="G504" s="169" t="s">
        <v>286</v>
      </c>
      <c r="H504" s="169" t="s">
        <v>366</v>
      </c>
      <c r="I504" s="169" t="s">
        <v>1</v>
      </c>
      <c r="J504" s="169" t="s">
        <v>537</v>
      </c>
      <c r="K504" s="169" t="s">
        <v>533</v>
      </c>
      <c r="L504" s="169" t="s">
        <v>534</v>
      </c>
      <c r="M504" s="169" t="s">
        <v>281</v>
      </c>
      <c r="N504" s="178">
        <v>24380167</v>
      </c>
      <c r="O504" s="169" t="s">
        <v>538</v>
      </c>
      <c r="P504" s="169" t="s">
        <v>283</v>
      </c>
      <c r="Q504" s="169" t="s">
        <v>284</v>
      </c>
      <c r="R504" s="169" t="s">
        <v>283</v>
      </c>
      <c r="S504" s="169" t="s">
        <v>283</v>
      </c>
      <c r="T504" s="169">
        <v>0</v>
      </c>
    </row>
    <row r="505" spans="2:20" x14ac:dyDescent="0.2">
      <c r="B505" s="168" t="s">
        <v>1</v>
      </c>
      <c r="C505" s="168" t="s">
        <v>24</v>
      </c>
      <c r="D505" s="173">
        <v>45747</v>
      </c>
      <c r="E505" s="169" t="s">
        <v>536</v>
      </c>
      <c r="F505" s="169" t="s">
        <v>394</v>
      </c>
      <c r="G505" s="169" t="s">
        <v>77</v>
      </c>
      <c r="H505" s="169" t="s">
        <v>366</v>
      </c>
      <c r="I505" s="169" t="s">
        <v>1</v>
      </c>
      <c r="J505" s="169" t="s">
        <v>539</v>
      </c>
      <c r="K505" s="169" t="s">
        <v>533</v>
      </c>
      <c r="L505" s="169" t="s">
        <v>534</v>
      </c>
      <c r="M505" s="169" t="s">
        <v>281</v>
      </c>
      <c r="N505" s="178">
        <v>22429558</v>
      </c>
      <c r="O505" s="169" t="s">
        <v>538</v>
      </c>
      <c r="P505" s="169" t="s">
        <v>283</v>
      </c>
      <c r="Q505" s="169" t="s">
        <v>284</v>
      </c>
      <c r="R505" s="169" t="s">
        <v>283</v>
      </c>
      <c r="S505" s="169" t="s">
        <v>283</v>
      </c>
      <c r="T505" s="169">
        <v>0</v>
      </c>
    </row>
    <row r="506" spans="2:20" x14ac:dyDescent="0.2">
      <c r="B506" s="168" t="s">
        <v>10</v>
      </c>
      <c r="C506" s="168" t="s">
        <v>22</v>
      </c>
      <c r="D506" s="173">
        <v>45747</v>
      </c>
      <c r="E506" s="169" t="s">
        <v>536</v>
      </c>
      <c r="F506" s="169" t="s">
        <v>285</v>
      </c>
      <c r="G506" s="169" t="s">
        <v>286</v>
      </c>
      <c r="H506" s="169" t="s">
        <v>380</v>
      </c>
      <c r="I506" s="169" t="s">
        <v>381</v>
      </c>
      <c r="J506" s="169" t="s">
        <v>537</v>
      </c>
      <c r="K506" s="169" t="s">
        <v>533</v>
      </c>
      <c r="L506" s="169" t="s">
        <v>534</v>
      </c>
      <c r="M506" s="169" t="s">
        <v>281</v>
      </c>
      <c r="N506" s="178">
        <v>37694085</v>
      </c>
      <c r="O506" s="169" t="s">
        <v>538</v>
      </c>
      <c r="P506" s="169" t="s">
        <v>283</v>
      </c>
      <c r="Q506" s="169" t="s">
        <v>284</v>
      </c>
      <c r="R506" s="169" t="s">
        <v>283</v>
      </c>
      <c r="S506" s="169" t="s">
        <v>283</v>
      </c>
      <c r="T506" s="169">
        <v>0</v>
      </c>
    </row>
    <row r="507" spans="2:20" x14ac:dyDescent="0.2">
      <c r="B507" s="168" t="s">
        <v>10</v>
      </c>
      <c r="C507" s="168" t="s">
        <v>24</v>
      </c>
      <c r="D507" s="173">
        <v>45747</v>
      </c>
      <c r="E507" s="169" t="s">
        <v>536</v>
      </c>
      <c r="F507" s="169" t="s">
        <v>292</v>
      </c>
      <c r="G507" s="169" t="s">
        <v>77</v>
      </c>
      <c r="H507" s="169" t="s">
        <v>380</v>
      </c>
      <c r="I507" s="169" t="s">
        <v>381</v>
      </c>
      <c r="J507" s="169" t="s">
        <v>539</v>
      </c>
      <c r="K507" s="169" t="s">
        <v>533</v>
      </c>
      <c r="L507" s="169" t="s">
        <v>534</v>
      </c>
      <c r="M507" s="169" t="s">
        <v>281</v>
      </c>
      <c r="N507" s="178">
        <v>32825075</v>
      </c>
      <c r="O507" s="169" t="s">
        <v>538</v>
      </c>
      <c r="P507" s="169" t="s">
        <v>283</v>
      </c>
      <c r="Q507" s="169" t="s">
        <v>284</v>
      </c>
      <c r="R507" s="169" t="s">
        <v>283</v>
      </c>
      <c r="S507" s="169" t="s">
        <v>283</v>
      </c>
      <c r="T507" s="169">
        <v>0</v>
      </c>
    </row>
    <row r="508" spans="2:20" x14ac:dyDescent="0.2">
      <c r="B508" s="168" t="s">
        <v>2</v>
      </c>
      <c r="C508" s="168" t="s">
        <v>22</v>
      </c>
      <c r="D508" s="173">
        <v>45747</v>
      </c>
      <c r="E508" s="169" t="s">
        <v>536</v>
      </c>
      <c r="F508" s="169" t="s">
        <v>285</v>
      </c>
      <c r="G508" s="169" t="s">
        <v>286</v>
      </c>
      <c r="H508" s="169" t="s">
        <v>378</v>
      </c>
      <c r="I508" s="169" t="s">
        <v>379</v>
      </c>
      <c r="J508" s="169" t="s">
        <v>537</v>
      </c>
      <c r="K508" s="169" t="s">
        <v>533</v>
      </c>
      <c r="L508" s="169" t="s">
        <v>534</v>
      </c>
      <c r="M508" s="169" t="s">
        <v>281</v>
      </c>
      <c r="N508" s="178">
        <v>10694417</v>
      </c>
      <c r="O508" s="169" t="s">
        <v>538</v>
      </c>
      <c r="P508" s="169" t="s">
        <v>283</v>
      </c>
      <c r="Q508" s="169" t="s">
        <v>284</v>
      </c>
      <c r="R508" s="169" t="s">
        <v>283</v>
      </c>
      <c r="S508" s="169" t="s">
        <v>283</v>
      </c>
      <c r="T508" s="169">
        <v>0</v>
      </c>
    </row>
    <row r="509" spans="2:20" x14ac:dyDescent="0.2">
      <c r="B509" s="168" t="s">
        <v>2</v>
      </c>
      <c r="C509" s="168" t="s">
        <v>24</v>
      </c>
      <c r="D509" s="173">
        <v>45747</v>
      </c>
      <c r="E509" s="169" t="s">
        <v>536</v>
      </c>
      <c r="F509" s="169" t="s">
        <v>292</v>
      </c>
      <c r="G509" s="169" t="s">
        <v>77</v>
      </c>
      <c r="H509" s="169" t="s">
        <v>378</v>
      </c>
      <c r="I509" s="169" t="s">
        <v>379</v>
      </c>
      <c r="J509" s="169" t="s">
        <v>539</v>
      </c>
      <c r="K509" s="169" t="s">
        <v>533</v>
      </c>
      <c r="L509" s="169" t="s">
        <v>534</v>
      </c>
      <c r="M509" s="169" t="s">
        <v>281</v>
      </c>
      <c r="N509" s="178">
        <v>9838778</v>
      </c>
      <c r="O509" s="169" t="s">
        <v>538</v>
      </c>
      <c r="P509" s="169" t="s">
        <v>283</v>
      </c>
      <c r="Q509" s="169" t="s">
        <v>284</v>
      </c>
      <c r="R509" s="169" t="s">
        <v>283</v>
      </c>
      <c r="S509" s="169" t="s">
        <v>283</v>
      </c>
      <c r="T509" s="169">
        <v>0</v>
      </c>
    </row>
    <row r="510" spans="2:20" x14ac:dyDescent="0.2">
      <c r="B510" s="168" t="s">
        <v>7</v>
      </c>
      <c r="C510" s="168" t="s">
        <v>22</v>
      </c>
      <c r="D510" s="173">
        <v>45747</v>
      </c>
      <c r="E510" s="169" t="s">
        <v>536</v>
      </c>
      <c r="F510" s="169" t="s">
        <v>388</v>
      </c>
      <c r="G510" s="169" t="s">
        <v>286</v>
      </c>
      <c r="H510" s="169" t="s">
        <v>376</v>
      </c>
      <c r="I510" s="169" t="s">
        <v>377</v>
      </c>
      <c r="J510" s="169" t="s">
        <v>537</v>
      </c>
      <c r="K510" s="169" t="s">
        <v>533</v>
      </c>
      <c r="L510" s="169" t="s">
        <v>534</v>
      </c>
      <c r="M510" s="169" t="s">
        <v>281</v>
      </c>
      <c r="N510" s="178">
        <v>79635167</v>
      </c>
      <c r="O510" s="169" t="s">
        <v>538</v>
      </c>
      <c r="P510" s="169" t="s">
        <v>283</v>
      </c>
      <c r="Q510" s="169" t="s">
        <v>284</v>
      </c>
      <c r="R510" s="169" t="s">
        <v>283</v>
      </c>
      <c r="S510" s="169" t="s">
        <v>283</v>
      </c>
      <c r="T510" s="169">
        <v>0</v>
      </c>
    </row>
    <row r="511" spans="2:20" x14ac:dyDescent="0.2">
      <c r="B511" s="168" t="s">
        <v>7</v>
      </c>
      <c r="C511" s="168" t="s">
        <v>24</v>
      </c>
      <c r="D511" s="173">
        <v>45747</v>
      </c>
      <c r="E511" s="169" t="s">
        <v>536</v>
      </c>
      <c r="F511" s="169" t="s">
        <v>395</v>
      </c>
      <c r="G511" s="169" t="s">
        <v>77</v>
      </c>
      <c r="H511" s="169" t="s">
        <v>376</v>
      </c>
      <c r="I511" s="169" t="s">
        <v>377</v>
      </c>
      <c r="J511" s="169" t="s">
        <v>539</v>
      </c>
      <c r="K511" s="169" t="s">
        <v>533</v>
      </c>
      <c r="L511" s="169" t="s">
        <v>534</v>
      </c>
      <c r="M511" s="169" t="s">
        <v>281</v>
      </c>
      <c r="N511" s="178">
        <v>73263716</v>
      </c>
      <c r="O511" s="169" t="s">
        <v>538</v>
      </c>
      <c r="P511" s="169" t="s">
        <v>283</v>
      </c>
      <c r="Q511" s="169" t="s">
        <v>284</v>
      </c>
      <c r="R511" s="169" t="s">
        <v>283</v>
      </c>
      <c r="S511" s="169" t="s">
        <v>283</v>
      </c>
      <c r="T511" s="169">
        <v>0</v>
      </c>
    </row>
    <row r="512" spans="2:20" x14ac:dyDescent="0.2">
      <c r="B512" s="168" t="s">
        <v>9</v>
      </c>
      <c r="C512" s="168" t="s">
        <v>22</v>
      </c>
      <c r="D512" s="173">
        <v>45747</v>
      </c>
      <c r="E512" s="169" t="s">
        <v>536</v>
      </c>
      <c r="F512" s="169" t="s">
        <v>285</v>
      </c>
      <c r="G512" s="169" t="s">
        <v>286</v>
      </c>
      <c r="H512" s="169" t="s">
        <v>382</v>
      </c>
      <c r="I512" s="169" t="s">
        <v>200</v>
      </c>
      <c r="J512" s="169" t="s">
        <v>537</v>
      </c>
      <c r="K512" s="169" t="s">
        <v>533</v>
      </c>
      <c r="L512" s="169" t="s">
        <v>534</v>
      </c>
      <c r="M512" s="169" t="s">
        <v>281</v>
      </c>
      <c r="N512" s="178">
        <v>6194250</v>
      </c>
      <c r="O512" s="169" t="s">
        <v>538</v>
      </c>
      <c r="P512" s="169" t="s">
        <v>283</v>
      </c>
      <c r="Q512" s="169" t="s">
        <v>284</v>
      </c>
      <c r="R512" s="169" t="s">
        <v>283</v>
      </c>
      <c r="S512" s="169" t="s">
        <v>283</v>
      </c>
      <c r="T512" s="169">
        <v>0</v>
      </c>
    </row>
    <row r="513" spans="1:20" x14ac:dyDescent="0.2">
      <c r="B513" s="168" t="s">
        <v>9</v>
      </c>
      <c r="C513" s="168" t="s">
        <v>24</v>
      </c>
      <c r="D513" s="173">
        <v>45747</v>
      </c>
      <c r="E513" s="169" t="s">
        <v>536</v>
      </c>
      <c r="F513" s="169" t="s">
        <v>292</v>
      </c>
      <c r="G513" s="169" t="s">
        <v>77</v>
      </c>
      <c r="H513" s="169" t="s">
        <v>382</v>
      </c>
      <c r="I513" s="169" t="s">
        <v>200</v>
      </c>
      <c r="J513" s="169" t="s">
        <v>539</v>
      </c>
      <c r="K513" s="169" t="s">
        <v>533</v>
      </c>
      <c r="L513" s="169" t="s">
        <v>534</v>
      </c>
      <c r="M513" s="169" t="s">
        <v>281</v>
      </c>
      <c r="N513" s="178">
        <v>5698660</v>
      </c>
      <c r="O513" s="169" t="s">
        <v>538</v>
      </c>
      <c r="P513" s="169" t="s">
        <v>283</v>
      </c>
      <c r="Q513" s="169" t="s">
        <v>284</v>
      </c>
      <c r="R513" s="169" t="s">
        <v>283</v>
      </c>
      <c r="S513" s="169" t="s">
        <v>283</v>
      </c>
      <c r="T513" s="169">
        <v>0</v>
      </c>
    </row>
    <row r="514" spans="1:20" x14ac:dyDescent="0.2">
      <c r="B514" s="168" t="s">
        <v>9</v>
      </c>
      <c r="C514" s="168" t="s">
        <v>22</v>
      </c>
      <c r="D514" s="173">
        <v>45747</v>
      </c>
      <c r="E514" s="169" t="s">
        <v>536</v>
      </c>
      <c r="F514" s="169" t="s">
        <v>285</v>
      </c>
      <c r="G514" s="169" t="s">
        <v>286</v>
      </c>
      <c r="H514" s="169" t="s">
        <v>358</v>
      </c>
      <c r="I514" s="169" t="s">
        <v>359</v>
      </c>
      <c r="J514" s="169" t="s">
        <v>537</v>
      </c>
      <c r="K514" s="169" t="s">
        <v>533</v>
      </c>
      <c r="L514" s="169" t="s">
        <v>534</v>
      </c>
      <c r="M514" s="169" t="s">
        <v>281</v>
      </c>
      <c r="N514" s="178">
        <v>7509833</v>
      </c>
      <c r="O514" s="169" t="s">
        <v>538</v>
      </c>
      <c r="P514" s="169" t="s">
        <v>283</v>
      </c>
      <c r="Q514" s="169" t="s">
        <v>284</v>
      </c>
      <c r="R514" s="169" t="s">
        <v>283</v>
      </c>
      <c r="S514" s="169" t="s">
        <v>283</v>
      </c>
      <c r="T514" s="169">
        <v>0</v>
      </c>
    </row>
    <row r="515" spans="1:20" x14ac:dyDescent="0.2">
      <c r="B515" s="168" t="s">
        <v>9</v>
      </c>
      <c r="C515" s="168" t="s">
        <v>24</v>
      </c>
      <c r="D515" s="173">
        <v>45747</v>
      </c>
      <c r="E515" s="169" t="s">
        <v>536</v>
      </c>
      <c r="F515" s="169" t="s">
        <v>292</v>
      </c>
      <c r="G515" s="169" t="s">
        <v>77</v>
      </c>
      <c r="H515" s="169" t="s">
        <v>358</v>
      </c>
      <c r="I515" s="169" t="s">
        <v>359</v>
      </c>
      <c r="J515" s="169" t="s">
        <v>539</v>
      </c>
      <c r="K515" s="169" t="s">
        <v>533</v>
      </c>
      <c r="L515" s="169" t="s">
        <v>534</v>
      </c>
      <c r="M515" s="169" t="s">
        <v>281</v>
      </c>
      <c r="N515" s="178">
        <v>6908987</v>
      </c>
      <c r="O515" s="169" t="s">
        <v>538</v>
      </c>
      <c r="P515" s="169" t="s">
        <v>283</v>
      </c>
      <c r="Q515" s="169" t="s">
        <v>284</v>
      </c>
      <c r="R515" s="169" t="s">
        <v>283</v>
      </c>
      <c r="S515" s="169" t="s">
        <v>283</v>
      </c>
      <c r="T515" s="169">
        <v>0</v>
      </c>
    </row>
    <row r="516" spans="1:20" x14ac:dyDescent="0.2">
      <c r="B516" s="168" t="s">
        <v>1</v>
      </c>
      <c r="C516" s="168" t="s">
        <v>170</v>
      </c>
      <c r="D516" s="173">
        <v>45747</v>
      </c>
      <c r="E516" s="169" t="s">
        <v>540</v>
      </c>
      <c r="F516" s="169" t="s">
        <v>392</v>
      </c>
      <c r="G516" s="169" t="s">
        <v>296</v>
      </c>
      <c r="H516" s="169" t="s">
        <v>366</v>
      </c>
      <c r="I516" s="169" t="s">
        <v>1</v>
      </c>
      <c r="J516" s="169" t="s">
        <v>541</v>
      </c>
      <c r="K516" s="169" t="s">
        <v>533</v>
      </c>
      <c r="L516" s="169" t="s">
        <v>534</v>
      </c>
      <c r="M516" s="169" t="s">
        <v>281</v>
      </c>
      <c r="N516" s="178">
        <v>62369945</v>
      </c>
      <c r="O516" s="169" t="s">
        <v>542</v>
      </c>
      <c r="P516" s="169" t="s">
        <v>283</v>
      </c>
      <c r="Q516" s="169" t="s">
        <v>284</v>
      </c>
      <c r="R516" s="169" t="s">
        <v>283</v>
      </c>
      <c r="S516" s="169" t="s">
        <v>283</v>
      </c>
      <c r="T516" s="169">
        <v>0</v>
      </c>
    </row>
    <row r="517" spans="1:20" x14ac:dyDescent="0.2">
      <c r="B517" s="168" t="s">
        <v>10</v>
      </c>
      <c r="C517" s="168" t="s">
        <v>170</v>
      </c>
      <c r="D517" s="173">
        <v>45747</v>
      </c>
      <c r="E517" s="169" t="s">
        <v>540</v>
      </c>
      <c r="F517" s="169" t="s">
        <v>295</v>
      </c>
      <c r="G517" s="169" t="s">
        <v>296</v>
      </c>
      <c r="H517" s="169" t="s">
        <v>380</v>
      </c>
      <c r="I517" s="169" t="s">
        <v>381</v>
      </c>
      <c r="J517" s="169" t="s">
        <v>541</v>
      </c>
      <c r="K517" s="169" t="s">
        <v>533</v>
      </c>
      <c r="L517" s="169" t="s">
        <v>534</v>
      </c>
      <c r="M517" s="169" t="s">
        <v>281</v>
      </c>
      <c r="N517" s="178">
        <v>102246385</v>
      </c>
      <c r="O517" s="169" t="s">
        <v>542</v>
      </c>
      <c r="P517" s="169" t="s">
        <v>283</v>
      </c>
      <c r="Q517" s="169" t="s">
        <v>284</v>
      </c>
      <c r="R517" s="169" t="s">
        <v>283</v>
      </c>
      <c r="S517" s="169" t="s">
        <v>283</v>
      </c>
      <c r="T517" s="169">
        <v>0</v>
      </c>
    </row>
    <row r="518" spans="1:20" x14ac:dyDescent="0.2">
      <c r="B518" s="168" t="s">
        <v>2</v>
      </c>
      <c r="C518" s="168" t="s">
        <v>170</v>
      </c>
      <c r="D518" s="173">
        <v>45747</v>
      </c>
      <c r="E518" s="169" t="s">
        <v>540</v>
      </c>
      <c r="F518" s="169" t="s">
        <v>295</v>
      </c>
      <c r="G518" s="169" t="s">
        <v>296</v>
      </c>
      <c r="H518" s="169" t="s">
        <v>378</v>
      </c>
      <c r="I518" s="169" t="s">
        <v>379</v>
      </c>
      <c r="J518" s="169" t="s">
        <v>541</v>
      </c>
      <c r="K518" s="169" t="s">
        <v>533</v>
      </c>
      <c r="L518" s="169" t="s">
        <v>534</v>
      </c>
      <c r="M518" s="169" t="s">
        <v>281</v>
      </c>
      <c r="N518" s="178">
        <v>22638255</v>
      </c>
      <c r="O518" s="169" t="s">
        <v>542</v>
      </c>
      <c r="P518" s="169" t="s">
        <v>283</v>
      </c>
      <c r="Q518" s="169" t="s">
        <v>284</v>
      </c>
      <c r="R518" s="169" t="s">
        <v>283</v>
      </c>
      <c r="S518" s="169" t="s">
        <v>283</v>
      </c>
      <c r="T518" s="169">
        <v>0</v>
      </c>
    </row>
    <row r="519" spans="1:20" x14ac:dyDescent="0.2">
      <c r="B519" s="168" t="s">
        <v>7</v>
      </c>
      <c r="C519" s="168" t="s">
        <v>170</v>
      </c>
      <c r="D519" s="173">
        <v>45747</v>
      </c>
      <c r="E519" s="169" t="s">
        <v>540</v>
      </c>
      <c r="F519" s="169" t="s">
        <v>393</v>
      </c>
      <c r="G519" s="169" t="s">
        <v>296</v>
      </c>
      <c r="H519" s="169" t="s">
        <v>376</v>
      </c>
      <c r="I519" s="169" t="s">
        <v>377</v>
      </c>
      <c r="J519" s="169" t="s">
        <v>541</v>
      </c>
      <c r="K519" s="169" t="s">
        <v>533</v>
      </c>
      <c r="L519" s="169" t="s">
        <v>534</v>
      </c>
      <c r="M519" s="169" t="s">
        <v>281</v>
      </c>
      <c r="N519" s="178">
        <v>213996170</v>
      </c>
      <c r="O519" s="169" t="s">
        <v>542</v>
      </c>
      <c r="P519" s="169" t="s">
        <v>283</v>
      </c>
      <c r="Q519" s="169" t="s">
        <v>284</v>
      </c>
      <c r="R519" s="169" t="s">
        <v>283</v>
      </c>
      <c r="S519" s="169" t="s">
        <v>283</v>
      </c>
      <c r="T519" s="169">
        <v>0</v>
      </c>
    </row>
    <row r="520" spans="1:20" x14ac:dyDescent="0.2">
      <c r="B520" s="168" t="s">
        <v>9</v>
      </c>
      <c r="C520" s="168" t="s">
        <v>170</v>
      </c>
      <c r="D520" s="173">
        <v>45747</v>
      </c>
      <c r="E520" s="169" t="s">
        <v>540</v>
      </c>
      <c r="F520" s="169" t="s">
        <v>295</v>
      </c>
      <c r="G520" s="169" t="s">
        <v>296</v>
      </c>
      <c r="H520" s="169" t="s">
        <v>382</v>
      </c>
      <c r="I520" s="169" t="s">
        <v>200</v>
      </c>
      <c r="J520" s="169" t="s">
        <v>541</v>
      </c>
      <c r="K520" s="169" t="s">
        <v>533</v>
      </c>
      <c r="L520" s="169" t="s">
        <v>534</v>
      </c>
      <c r="M520" s="169" t="s">
        <v>281</v>
      </c>
      <c r="N520" s="178">
        <v>17467785</v>
      </c>
      <c r="O520" s="169" t="s">
        <v>542</v>
      </c>
      <c r="P520" s="169" t="s">
        <v>283</v>
      </c>
      <c r="Q520" s="169" t="s">
        <v>284</v>
      </c>
      <c r="R520" s="169" t="s">
        <v>283</v>
      </c>
      <c r="S520" s="169" t="s">
        <v>283</v>
      </c>
      <c r="T520" s="169">
        <v>0</v>
      </c>
    </row>
    <row r="521" spans="1:20" x14ac:dyDescent="0.2">
      <c r="B521" s="168" t="s">
        <v>9</v>
      </c>
      <c r="C521" s="168" t="s">
        <v>170</v>
      </c>
      <c r="D521" s="173">
        <v>45747</v>
      </c>
      <c r="E521" s="169" t="s">
        <v>540</v>
      </c>
      <c r="F521" s="169" t="s">
        <v>295</v>
      </c>
      <c r="G521" s="169" t="s">
        <v>296</v>
      </c>
      <c r="H521" s="169" t="s">
        <v>358</v>
      </c>
      <c r="I521" s="169" t="s">
        <v>359</v>
      </c>
      <c r="J521" s="169" t="s">
        <v>541</v>
      </c>
      <c r="K521" s="169" t="s">
        <v>533</v>
      </c>
      <c r="L521" s="169" t="s">
        <v>534</v>
      </c>
      <c r="M521" s="169" t="s">
        <v>281</v>
      </c>
      <c r="N521" s="178">
        <v>21177730</v>
      </c>
      <c r="O521" s="169" t="s">
        <v>542</v>
      </c>
      <c r="P521" s="169" t="s">
        <v>283</v>
      </c>
      <c r="Q521" s="169" t="s">
        <v>284</v>
      </c>
      <c r="R521" s="169" t="s">
        <v>283</v>
      </c>
      <c r="S521" s="169" t="s">
        <v>283</v>
      </c>
      <c r="T521" s="169">
        <v>0</v>
      </c>
    </row>
    <row r="522" spans="1:20" x14ac:dyDescent="0.2">
      <c r="B522" s="168" t="s">
        <v>10</v>
      </c>
      <c r="C522" s="168" t="s">
        <v>22</v>
      </c>
      <c r="D522" s="173">
        <v>45747</v>
      </c>
      <c r="E522" s="169" t="s">
        <v>595</v>
      </c>
      <c r="F522" s="169" t="s">
        <v>274</v>
      </c>
      <c r="G522" s="169" t="s">
        <v>275</v>
      </c>
      <c r="H522" s="169" t="s">
        <v>380</v>
      </c>
      <c r="I522" s="169" t="s">
        <v>381</v>
      </c>
      <c r="J522" s="169" t="s">
        <v>596</v>
      </c>
      <c r="K522" s="169" t="s">
        <v>533</v>
      </c>
      <c r="L522" s="169" t="s">
        <v>534</v>
      </c>
      <c r="M522" s="169" t="s">
        <v>281</v>
      </c>
      <c r="N522" s="178">
        <v>-29587</v>
      </c>
      <c r="O522" s="169" t="s">
        <v>597</v>
      </c>
      <c r="P522" s="169" t="s">
        <v>283</v>
      </c>
      <c r="Q522" s="169" t="s">
        <v>284</v>
      </c>
      <c r="R522" s="169" t="s">
        <v>283</v>
      </c>
      <c r="S522" s="169" t="s">
        <v>283</v>
      </c>
      <c r="T522" s="169">
        <v>0</v>
      </c>
    </row>
    <row r="523" spans="1:20" x14ac:dyDescent="0.2">
      <c r="B523" s="168" t="s">
        <v>7</v>
      </c>
      <c r="C523" s="168" t="s">
        <v>25</v>
      </c>
      <c r="D523" s="173">
        <v>45745</v>
      </c>
      <c r="E523" s="169" t="s">
        <v>546</v>
      </c>
      <c r="F523" s="169" t="s">
        <v>375</v>
      </c>
      <c r="G523" s="169" t="s">
        <v>336</v>
      </c>
      <c r="H523" s="169" t="s">
        <v>376</v>
      </c>
      <c r="I523" s="169" t="s">
        <v>377</v>
      </c>
      <c r="J523" s="169" t="s">
        <v>547</v>
      </c>
      <c r="K523" s="169" t="s">
        <v>338</v>
      </c>
      <c r="L523" s="169" t="s">
        <v>534</v>
      </c>
      <c r="M523" s="169" t="s">
        <v>281</v>
      </c>
      <c r="N523" s="178">
        <v>39775000</v>
      </c>
      <c r="O523" s="169" t="s">
        <v>548</v>
      </c>
      <c r="P523" s="169" t="s">
        <v>283</v>
      </c>
      <c r="Q523" s="169" t="s">
        <v>306</v>
      </c>
      <c r="R523" s="169" t="s">
        <v>283</v>
      </c>
      <c r="S523" s="169" t="s">
        <v>283</v>
      </c>
      <c r="T523" s="169">
        <v>0</v>
      </c>
    </row>
    <row r="524" spans="1:20" x14ac:dyDescent="0.2">
      <c r="B524" s="168" t="s">
        <v>2</v>
      </c>
      <c r="C524" s="168" t="s">
        <v>25</v>
      </c>
      <c r="D524" s="173">
        <v>45745</v>
      </c>
      <c r="E524" s="169" t="s">
        <v>546</v>
      </c>
      <c r="F524" s="169" t="s">
        <v>335</v>
      </c>
      <c r="G524" s="169" t="s">
        <v>336</v>
      </c>
      <c r="H524" s="169" t="s">
        <v>378</v>
      </c>
      <c r="I524" s="169" t="s">
        <v>379</v>
      </c>
      <c r="J524" s="169" t="s">
        <v>547</v>
      </c>
      <c r="K524" s="169" t="s">
        <v>338</v>
      </c>
      <c r="L524" s="169" t="s">
        <v>534</v>
      </c>
      <c r="M524" s="169" t="s">
        <v>281</v>
      </c>
      <c r="N524" s="178">
        <v>4050000</v>
      </c>
      <c r="O524" s="169" t="s">
        <v>548</v>
      </c>
      <c r="P524" s="169" t="s">
        <v>283</v>
      </c>
      <c r="Q524" s="169" t="s">
        <v>306</v>
      </c>
      <c r="R524" s="169" t="s">
        <v>283</v>
      </c>
      <c r="S524" s="169" t="s">
        <v>283</v>
      </c>
      <c r="T524" s="169">
        <v>0</v>
      </c>
    </row>
    <row r="525" spans="1:20" x14ac:dyDescent="0.2">
      <c r="B525" s="168" t="s">
        <v>10</v>
      </c>
      <c r="C525" s="168" t="s">
        <v>25</v>
      </c>
      <c r="D525" s="173">
        <v>45745</v>
      </c>
      <c r="E525" s="169" t="s">
        <v>546</v>
      </c>
      <c r="F525" s="169" t="s">
        <v>335</v>
      </c>
      <c r="G525" s="169" t="s">
        <v>336</v>
      </c>
      <c r="H525" s="169" t="s">
        <v>380</v>
      </c>
      <c r="I525" s="169" t="s">
        <v>381</v>
      </c>
      <c r="J525" s="169" t="s">
        <v>547</v>
      </c>
      <c r="K525" s="169" t="s">
        <v>338</v>
      </c>
      <c r="L525" s="169" t="s">
        <v>534</v>
      </c>
      <c r="M525" s="169" t="s">
        <v>281</v>
      </c>
      <c r="N525" s="178">
        <v>4050000</v>
      </c>
      <c r="O525" s="169" t="s">
        <v>548</v>
      </c>
      <c r="P525" s="169" t="s">
        <v>283</v>
      </c>
      <c r="Q525" s="169" t="s">
        <v>306</v>
      </c>
      <c r="R525" s="169" t="s">
        <v>283</v>
      </c>
      <c r="S525" s="169" t="s">
        <v>283</v>
      </c>
      <c r="T525" s="169">
        <v>0</v>
      </c>
    </row>
    <row r="526" spans="1:20" x14ac:dyDescent="0.2">
      <c r="B526" s="168" t="s">
        <v>9</v>
      </c>
      <c r="C526" s="168" t="s">
        <v>25</v>
      </c>
      <c r="D526" s="173">
        <v>45745</v>
      </c>
      <c r="E526" s="169" t="s">
        <v>546</v>
      </c>
      <c r="F526" s="169" t="s">
        <v>335</v>
      </c>
      <c r="G526" s="169" t="s">
        <v>336</v>
      </c>
      <c r="H526" s="169" t="s">
        <v>382</v>
      </c>
      <c r="I526" s="169" t="s">
        <v>200</v>
      </c>
      <c r="J526" s="169" t="s">
        <v>547</v>
      </c>
      <c r="K526" s="169" t="s">
        <v>338</v>
      </c>
      <c r="L526" s="169" t="s">
        <v>534</v>
      </c>
      <c r="M526" s="169" t="s">
        <v>281</v>
      </c>
      <c r="N526" s="178">
        <v>1675000</v>
      </c>
      <c r="O526" s="169" t="s">
        <v>548</v>
      </c>
      <c r="P526" s="169" t="s">
        <v>283</v>
      </c>
      <c r="Q526" s="169" t="s">
        <v>306</v>
      </c>
      <c r="R526" s="169" t="s">
        <v>283</v>
      </c>
      <c r="S526" s="169" t="s">
        <v>283</v>
      </c>
      <c r="T526" s="169">
        <v>0</v>
      </c>
    </row>
    <row r="527" spans="1:20" x14ac:dyDescent="0.2">
      <c r="B527" s="168" t="s">
        <v>9</v>
      </c>
      <c r="C527" s="168" t="s">
        <v>25</v>
      </c>
      <c r="D527" s="173">
        <v>45745</v>
      </c>
      <c r="E527" s="169" t="s">
        <v>546</v>
      </c>
      <c r="F527" s="169" t="s">
        <v>335</v>
      </c>
      <c r="G527" s="169" t="s">
        <v>336</v>
      </c>
      <c r="H527" s="169" t="s">
        <v>358</v>
      </c>
      <c r="I527" s="169" t="s">
        <v>359</v>
      </c>
      <c r="J527" s="169" t="s">
        <v>547</v>
      </c>
      <c r="K527" s="169" t="s">
        <v>338</v>
      </c>
      <c r="L527" s="169" t="s">
        <v>534</v>
      </c>
      <c r="M527" s="169" t="s">
        <v>281</v>
      </c>
      <c r="N527" s="178">
        <v>2775000</v>
      </c>
      <c r="O527" s="169" t="s">
        <v>548</v>
      </c>
      <c r="P527" s="169" t="s">
        <v>283</v>
      </c>
      <c r="Q527" s="169" t="s">
        <v>306</v>
      </c>
      <c r="R527" s="169" t="s">
        <v>283</v>
      </c>
      <c r="S527" s="169" t="s">
        <v>283</v>
      </c>
      <c r="T527" s="169">
        <v>0</v>
      </c>
    </row>
    <row r="528" spans="1:20" x14ac:dyDescent="0.2">
      <c r="A528" s="169">
        <v>622</v>
      </c>
      <c r="B528" s="168" t="s">
        <v>8</v>
      </c>
      <c r="C528" s="168" t="s">
        <v>22</v>
      </c>
      <c r="D528" s="173">
        <v>45717</v>
      </c>
      <c r="E528" s="169" t="s">
        <v>598</v>
      </c>
      <c r="F528" s="169" t="s">
        <v>400</v>
      </c>
      <c r="G528" s="169" t="s">
        <v>401</v>
      </c>
      <c r="H528" s="169" t="s">
        <v>402</v>
      </c>
      <c r="I528" s="169" t="s">
        <v>403</v>
      </c>
      <c r="J528" s="169" t="s">
        <v>599</v>
      </c>
      <c r="K528" s="169" t="s">
        <v>405</v>
      </c>
      <c r="L528" s="169" t="s">
        <v>534</v>
      </c>
      <c r="M528" s="169" t="s">
        <v>281</v>
      </c>
      <c r="N528" s="178">
        <v>49355952</v>
      </c>
      <c r="O528" s="169" t="s">
        <v>600</v>
      </c>
      <c r="P528" s="169" t="s">
        <v>283</v>
      </c>
      <c r="Q528" s="169" t="s">
        <v>306</v>
      </c>
      <c r="R528" s="169" t="s">
        <v>283</v>
      </c>
      <c r="S528" s="169" t="s">
        <v>283</v>
      </c>
      <c r="T528" s="169">
        <v>0</v>
      </c>
    </row>
    <row r="529" spans="1:20" x14ac:dyDescent="0.2">
      <c r="A529" s="169">
        <v>622</v>
      </c>
      <c r="B529" s="168" t="s">
        <v>8</v>
      </c>
      <c r="C529" s="168" t="s">
        <v>22</v>
      </c>
      <c r="D529" s="173">
        <v>45744</v>
      </c>
      <c r="E529" s="169" t="s">
        <v>601</v>
      </c>
      <c r="F529" s="169" t="s">
        <v>400</v>
      </c>
      <c r="G529" s="169" t="s">
        <v>401</v>
      </c>
      <c r="H529" s="169" t="s">
        <v>402</v>
      </c>
      <c r="I529" s="169" t="s">
        <v>403</v>
      </c>
      <c r="J529" s="169" t="s">
        <v>602</v>
      </c>
      <c r="K529" s="169" t="s">
        <v>405</v>
      </c>
      <c r="L529" s="169" t="s">
        <v>534</v>
      </c>
      <c r="M529" s="169" t="s">
        <v>281</v>
      </c>
      <c r="N529" s="178">
        <v>20840278</v>
      </c>
      <c r="O529" s="169" t="s">
        <v>603</v>
      </c>
      <c r="P529" s="169" t="s">
        <v>283</v>
      </c>
      <c r="Q529" s="169" t="s">
        <v>306</v>
      </c>
      <c r="R529" s="169" t="s">
        <v>283</v>
      </c>
      <c r="S529" s="169" t="s">
        <v>283</v>
      </c>
      <c r="T529" s="169">
        <v>0</v>
      </c>
    </row>
    <row r="530" spans="1:20" x14ac:dyDescent="0.2">
      <c r="B530" s="168" t="s">
        <v>6</v>
      </c>
      <c r="C530" s="168" t="s">
        <v>25</v>
      </c>
      <c r="D530" s="173">
        <v>45747</v>
      </c>
      <c r="E530" s="169" t="s">
        <v>531</v>
      </c>
      <c r="F530" s="169" t="s">
        <v>386</v>
      </c>
      <c r="G530" s="169" t="s">
        <v>341</v>
      </c>
      <c r="H530" s="169" t="s">
        <v>411</v>
      </c>
      <c r="I530" s="169" t="s">
        <v>412</v>
      </c>
      <c r="J530" s="169" t="s">
        <v>532</v>
      </c>
      <c r="K530" s="169" t="s">
        <v>533</v>
      </c>
      <c r="L530" s="169" t="s">
        <v>534</v>
      </c>
      <c r="M530" s="169" t="s">
        <v>281</v>
      </c>
      <c r="N530" s="178">
        <v>25555810</v>
      </c>
      <c r="O530" s="169" t="s">
        <v>535</v>
      </c>
      <c r="P530" s="169" t="s">
        <v>283</v>
      </c>
      <c r="Q530" s="169" t="s">
        <v>284</v>
      </c>
      <c r="R530" s="169" t="s">
        <v>283</v>
      </c>
      <c r="S530" s="169" t="s">
        <v>283</v>
      </c>
      <c r="T530" s="169">
        <v>0</v>
      </c>
    </row>
    <row r="531" spans="1:20" x14ac:dyDescent="0.2">
      <c r="B531" s="168" t="s">
        <v>6</v>
      </c>
      <c r="C531" s="168" t="s">
        <v>22</v>
      </c>
      <c r="D531" s="173">
        <v>45747</v>
      </c>
      <c r="E531" s="169" t="s">
        <v>531</v>
      </c>
      <c r="F531" s="169" t="s">
        <v>387</v>
      </c>
      <c r="G531" s="169" t="s">
        <v>275</v>
      </c>
      <c r="H531" s="169" t="s">
        <v>411</v>
      </c>
      <c r="I531" s="169" t="s">
        <v>412</v>
      </c>
      <c r="J531" s="169" t="s">
        <v>532</v>
      </c>
      <c r="K531" s="169" t="s">
        <v>533</v>
      </c>
      <c r="L531" s="169" t="s">
        <v>534</v>
      </c>
      <c r="M531" s="169" t="s">
        <v>281</v>
      </c>
      <c r="N531" s="178">
        <v>487009396</v>
      </c>
      <c r="O531" s="169" t="s">
        <v>535</v>
      </c>
      <c r="P531" s="169" t="s">
        <v>283</v>
      </c>
      <c r="Q531" s="169" t="s">
        <v>284</v>
      </c>
      <c r="R531" s="169" t="s">
        <v>283</v>
      </c>
      <c r="S531" s="169" t="s">
        <v>283</v>
      </c>
      <c r="T531" s="169">
        <v>0</v>
      </c>
    </row>
    <row r="532" spans="1:20" x14ac:dyDescent="0.2">
      <c r="B532" s="168" t="s">
        <v>6</v>
      </c>
      <c r="C532" s="168" t="s">
        <v>22</v>
      </c>
      <c r="D532" s="173">
        <v>45747</v>
      </c>
      <c r="E532" s="169" t="s">
        <v>531</v>
      </c>
      <c r="F532" s="169" t="s">
        <v>388</v>
      </c>
      <c r="G532" s="169" t="s">
        <v>286</v>
      </c>
      <c r="H532" s="169" t="s">
        <v>411</v>
      </c>
      <c r="I532" s="169" t="s">
        <v>412</v>
      </c>
      <c r="J532" s="169" t="s">
        <v>532</v>
      </c>
      <c r="K532" s="169" t="s">
        <v>533</v>
      </c>
      <c r="L532" s="169" t="s">
        <v>534</v>
      </c>
      <c r="M532" s="169" t="s">
        <v>281</v>
      </c>
      <c r="N532" s="178">
        <v>10037654</v>
      </c>
      <c r="O532" s="169" t="s">
        <v>535</v>
      </c>
      <c r="P532" s="169" t="s">
        <v>283</v>
      </c>
      <c r="Q532" s="169" t="s">
        <v>284</v>
      </c>
      <c r="R532" s="169" t="s">
        <v>283</v>
      </c>
      <c r="S532" s="169" t="s">
        <v>283</v>
      </c>
      <c r="T532" s="169">
        <v>0</v>
      </c>
    </row>
    <row r="533" spans="1:20" x14ac:dyDescent="0.2">
      <c r="B533" s="168" t="s">
        <v>6</v>
      </c>
      <c r="C533" s="168" t="s">
        <v>23</v>
      </c>
      <c r="D533" s="173">
        <v>45747</v>
      </c>
      <c r="E533" s="169" t="s">
        <v>531</v>
      </c>
      <c r="F533" s="169" t="s">
        <v>389</v>
      </c>
      <c r="G533" s="169" t="s">
        <v>390</v>
      </c>
      <c r="H533" s="169" t="s">
        <v>411</v>
      </c>
      <c r="I533" s="169" t="s">
        <v>412</v>
      </c>
      <c r="J533" s="169" t="s">
        <v>532</v>
      </c>
      <c r="K533" s="169" t="s">
        <v>533</v>
      </c>
      <c r="L533" s="169" t="s">
        <v>534</v>
      </c>
      <c r="M533" s="169" t="s">
        <v>281</v>
      </c>
      <c r="N533" s="178">
        <v>176485897</v>
      </c>
      <c r="O533" s="169" t="s">
        <v>535</v>
      </c>
      <c r="P533" s="169" t="s">
        <v>283</v>
      </c>
      <c r="Q533" s="169" t="s">
        <v>284</v>
      </c>
      <c r="R533" s="169" t="s">
        <v>283</v>
      </c>
      <c r="S533" s="169" t="s">
        <v>283</v>
      </c>
      <c r="T533" s="169">
        <v>0</v>
      </c>
    </row>
    <row r="534" spans="1:20" x14ac:dyDescent="0.2">
      <c r="B534" s="168" t="s">
        <v>6</v>
      </c>
      <c r="C534" s="168" t="s">
        <v>25</v>
      </c>
      <c r="D534" s="173">
        <v>45747</v>
      </c>
      <c r="E534" s="169" t="s">
        <v>531</v>
      </c>
      <c r="F534" s="169" t="s">
        <v>375</v>
      </c>
      <c r="G534" s="169" t="s">
        <v>336</v>
      </c>
      <c r="H534" s="169" t="s">
        <v>411</v>
      </c>
      <c r="I534" s="169" t="s">
        <v>412</v>
      </c>
      <c r="J534" s="169" t="s">
        <v>532</v>
      </c>
      <c r="K534" s="169" t="s">
        <v>533</v>
      </c>
      <c r="L534" s="169" t="s">
        <v>534</v>
      </c>
      <c r="M534" s="169" t="s">
        <v>281</v>
      </c>
      <c r="N534" s="178">
        <v>8360000</v>
      </c>
      <c r="O534" s="169" t="s">
        <v>535</v>
      </c>
      <c r="P534" s="169" t="s">
        <v>283</v>
      </c>
      <c r="Q534" s="169" t="s">
        <v>284</v>
      </c>
      <c r="R534" s="169" t="s">
        <v>283</v>
      </c>
      <c r="S534" s="169" t="s">
        <v>283</v>
      </c>
      <c r="T534" s="169">
        <v>0</v>
      </c>
    </row>
    <row r="535" spans="1:20" x14ac:dyDescent="0.2">
      <c r="B535" s="168" t="s">
        <v>4</v>
      </c>
      <c r="C535" s="168" t="s">
        <v>22</v>
      </c>
      <c r="D535" s="173">
        <v>45747</v>
      </c>
      <c r="E535" s="169" t="s">
        <v>531</v>
      </c>
      <c r="F535" s="169" t="s">
        <v>387</v>
      </c>
      <c r="G535" s="169" t="s">
        <v>275</v>
      </c>
      <c r="H535" s="169" t="s">
        <v>418</v>
      </c>
      <c r="I535" s="169" t="s">
        <v>419</v>
      </c>
      <c r="J535" s="169" t="s">
        <v>532</v>
      </c>
      <c r="K535" s="169" t="s">
        <v>533</v>
      </c>
      <c r="L535" s="169" t="s">
        <v>534</v>
      </c>
      <c r="M535" s="169" t="s">
        <v>281</v>
      </c>
      <c r="N535" s="178">
        <v>138573540</v>
      </c>
      <c r="O535" s="169" t="s">
        <v>535</v>
      </c>
      <c r="P535" s="169" t="s">
        <v>283</v>
      </c>
      <c r="Q535" s="169" t="s">
        <v>284</v>
      </c>
      <c r="R535" s="169" t="s">
        <v>283</v>
      </c>
      <c r="S535" s="169" t="s">
        <v>283</v>
      </c>
      <c r="T535" s="169">
        <v>0</v>
      </c>
    </row>
    <row r="536" spans="1:20" x14ac:dyDescent="0.2">
      <c r="B536" s="168" t="s">
        <v>4</v>
      </c>
      <c r="C536" s="168" t="s">
        <v>22</v>
      </c>
      <c r="D536" s="173">
        <v>45747</v>
      </c>
      <c r="E536" s="169" t="s">
        <v>531</v>
      </c>
      <c r="F536" s="169" t="s">
        <v>388</v>
      </c>
      <c r="G536" s="169" t="s">
        <v>286</v>
      </c>
      <c r="H536" s="169" t="s">
        <v>418</v>
      </c>
      <c r="I536" s="169" t="s">
        <v>419</v>
      </c>
      <c r="J536" s="169" t="s">
        <v>532</v>
      </c>
      <c r="K536" s="169" t="s">
        <v>533</v>
      </c>
      <c r="L536" s="169" t="s">
        <v>534</v>
      </c>
      <c r="M536" s="169" t="s">
        <v>281</v>
      </c>
      <c r="N536" s="178">
        <v>9408481</v>
      </c>
      <c r="O536" s="169" t="s">
        <v>535</v>
      </c>
      <c r="P536" s="169" t="s">
        <v>283</v>
      </c>
      <c r="Q536" s="169" t="s">
        <v>284</v>
      </c>
      <c r="R536" s="169" t="s">
        <v>283</v>
      </c>
      <c r="S536" s="169" t="s">
        <v>283</v>
      </c>
      <c r="T536" s="169">
        <v>0</v>
      </c>
    </row>
    <row r="537" spans="1:20" x14ac:dyDescent="0.2">
      <c r="A537" s="169">
        <v>622</v>
      </c>
      <c r="B537" s="168" t="s">
        <v>8</v>
      </c>
      <c r="C537" s="168" t="s">
        <v>22</v>
      </c>
      <c r="D537" s="173">
        <v>45747</v>
      </c>
      <c r="E537" s="169" t="s">
        <v>531</v>
      </c>
      <c r="F537" s="169" t="s">
        <v>400</v>
      </c>
      <c r="G537" s="169" t="s">
        <v>401</v>
      </c>
      <c r="H537" s="169" t="s">
        <v>402</v>
      </c>
      <c r="I537" s="169" t="s">
        <v>403</v>
      </c>
      <c r="J537" s="169" t="s">
        <v>532</v>
      </c>
      <c r="K537" s="169" t="s">
        <v>533</v>
      </c>
      <c r="L537" s="169" t="s">
        <v>534</v>
      </c>
      <c r="M537" s="169" t="s">
        <v>281</v>
      </c>
      <c r="N537" s="178">
        <v>1419783901</v>
      </c>
      <c r="O537" s="169" t="s">
        <v>535</v>
      </c>
      <c r="P537" s="169" t="s">
        <v>283</v>
      </c>
      <c r="Q537" s="169" t="s">
        <v>284</v>
      </c>
      <c r="R537" s="169" t="s">
        <v>283</v>
      </c>
      <c r="S537" s="169" t="s">
        <v>283</v>
      </c>
      <c r="T537" s="169">
        <v>0</v>
      </c>
    </row>
    <row r="538" spans="1:20" x14ac:dyDescent="0.2">
      <c r="A538" s="169">
        <v>622</v>
      </c>
      <c r="B538" s="168" t="s">
        <v>8</v>
      </c>
      <c r="C538" s="168" t="s">
        <v>22</v>
      </c>
      <c r="D538" s="173">
        <v>45747</v>
      </c>
      <c r="E538" s="169" t="s">
        <v>531</v>
      </c>
      <c r="F538" s="169" t="s">
        <v>420</v>
      </c>
      <c r="G538" s="169" t="s">
        <v>286</v>
      </c>
      <c r="H538" s="169" t="s">
        <v>402</v>
      </c>
      <c r="I538" s="169" t="s">
        <v>403</v>
      </c>
      <c r="J538" s="169" t="s">
        <v>532</v>
      </c>
      <c r="K538" s="169" t="s">
        <v>533</v>
      </c>
      <c r="L538" s="169" t="s">
        <v>534</v>
      </c>
      <c r="M538" s="169" t="s">
        <v>281</v>
      </c>
      <c r="N538" s="178">
        <v>18265064</v>
      </c>
      <c r="O538" s="169" t="s">
        <v>535</v>
      </c>
      <c r="P538" s="169" t="s">
        <v>283</v>
      </c>
      <c r="Q538" s="169" t="s">
        <v>284</v>
      </c>
      <c r="R538" s="169" t="s">
        <v>283</v>
      </c>
      <c r="S538" s="169" t="s">
        <v>283</v>
      </c>
      <c r="T538" s="169">
        <v>0</v>
      </c>
    </row>
    <row r="539" spans="1:20" x14ac:dyDescent="0.2">
      <c r="A539" s="169">
        <v>622</v>
      </c>
      <c r="B539" s="168" t="s">
        <v>8</v>
      </c>
      <c r="C539" s="168" t="s">
        <v>25</v>
      </c>
      <c r="D539" s="173">
        <v>45747</v>
      </c>
      <c r="E539" s="169" t="s">
        <v>531</v>
      </c>
      <c r="F539" s="169" t="s">
        <v>421</v>
      </c>
      <c r="G539" s="169" t="s">
        <v>341</v>
      </c>
      <c r="H539" s="169" t="s">
        <v>402</v>
      </c>
      <c r="I539" s="169" t="s">
        <v>403</v>
      </c>
      <c r="J539" s="169" t="s">
        <v>532</v>
      </c>
      <c r="K539" s="169" t="s">
        <v>533</v>
      </c>
      <c r="L539" s="169" t="s">
        <v>534</v>
      </c>
      <c r="M539" s="169" t="s">
        <v>281</v>
      </c>
      <c r="N539" s="178">
        <v>108199771</v>
      </c>
      <c r="O539" s="169" t="s">
        <v>535</v>
      </c>
      <c r="P539" s="169" t="s">
        <v>283</v>
      </c>
      <c r="Q539" s="169" t="s">
        <v>284</v>
      </c>
      <c r="R539" s="169" t="s">
        <v>283</v>
      </c>
      <c r="S539" s="169" t="s">
        <v>283</v>
      </c>
      <c r="T539" s="169">
        <v>0</v>
      </c>
    </row>
    <row r="540" spans="1:20" x14ac:dyDescent="0.2">
      <c r="A540" s="169">
        <v>622</v>
      </c>
      <c r="B540" s="168" t="s">
        <v>8</v>
      </c>
      <c r="C540" s="168" t="s">
        <v>23</v>
      </c>
      <c r="D540" s="173">
        <v>45747</v>
      </c>
      <c r="E540" s="169" t="s">
        <v>531</v>
      </c>
      <c r="F540" s="169" t="s">
        <v>422</v>
      </c>
      <c r="G540" s="169" t="s">
        <v>423</v>
      </c>
      <c r="H540" s="169" t="s">
        <v>402</v>
      </c>
      <c r="I540" s="169" t="s">
        <v>403</v>
      </c>
      <c r="J540" s="169" t="s">
        <v>532</v>
      </c>
      <c r="K540" s="169" t="s">
        <v>533</v>
      </c>
      <c r="L540" s="169" t="s">
        <v>534</v>
      </c>
      <c r="M540" s="169" t="s">
        <v>281</v>
      </c>
      <c r="N540" s="178">
        <v>301744639</v>
      </c>
      <c r="O540" s="169" t="s">
        <v>535</v>
      </c>
      <c r="P540" s="169" t="s">
        <v>283</v>
      </c>
      <c r="Q540" s="169" t="s">
        <v>284</v>
      </c>
      <c r="R540" s="169" t="s">
        <v>283</v>
      </c>
      <c r="S540" s="169" t="s">
        <v>283</v>
      </c>
      <c r="T540" s="169">
        <v>0</v>
      </c>
    </row>
    <row r="541" spans="1:20" x14ac:dyDescent="0.2">
      <c r="A541" s="169">
        <v>622</v>
      </c>
      <c r="B541" s="168" t="s">
        <v>8</v>
      </c>
      <c r="C541" s="168" t="s">
        <v>25</v>
      </c>
      <c r="D541" s="173">
        <v>45747</v>
      </c>
      <c r="E541" s="169" t="s">
        <v>531</v>
      </c>
      <c r="F541" s="169" t="s">
        <v>414</v>
      </c>
      <c r="G541" s="169" t="s">
        <v>415</v>
      </c>
      <c r="H541" s="169" t="s">
        <v>402</v>
      </c>
      <c r="I541" s="169" t="s">
        <v>403</v>
      </c>
      <c r="J541" s="169" t="s">
        <v>532</v>
      </c>
      <c r="K541" s="169" t="s">
        <v>533</v>
      </c>
      <c r="L541" s="169" t="s">
        <v>534</v>
      </c>
      <c r="M541" s="169" t="s">
        <v>281</v>
      </c>
      <c r="N541" s="178">
        <v>32030000</v>
      </c>
      <c r="O541" s="169" t="s">
        <v>535</v>
      </c>
      <c r="P541" s="169" t="s">
        <v>283</v>
      </c>
      <c r="Q541" s="169" t="s">
        <v>284</v>
      </c>
      <c r="R541" s="169" t="s">
        <v>283</v>
      </c>
      <c r="S541" s="169" t="s">
        <v>283</v>
      </c>
      <c r="T541" s="169">
        <v>0</v>
      </c>
    </row>
    <row r="542" spans="1:20" x14ac:dyDescent="0.2">
      <c r="A542" s="169">
        <v>627</v>
      </c>
      <c r="B542" s="168" t="s">
        <v>8</v>
      </c>
      <c r="C542" s="168" t="s">
        <v>25</v>
      </c>
      <c r="D542" s="173">
        <v>45747</v>
      </c>
      <c r="E542" s="169" t="s">
        <v>531</v>
      </c>
      <c r="F542" s="169" t="s">
        <v>386</v>
      </c>
      <c r="G542" s="169" t="s">
        <v>341</v>
      </c>
      <c r="H542" s="169" t="s">
        <v>402</v>
      </c>
      <c r="I542" s="169" t="s">
        <v>403</v>
      </c>
      <c r="J542" s="169" t="s">
        <v>532</v>
      </c>
      <c r="K542" s="169" t="s">
        <v>533</v>
      </c>
      <c r="L542" s="169" t="s">
        <v>534</v>
      </c>
      <c r="M542" s="169" t="s">
        <v>281</v>
      </c>
      <c r="N542" s="178">
        <v>13529937</v>
      </c>
      <c r="O542" s="169" t="s">
        <v>535</v>
      </c>
      <c r="P542" s="169" t="s">
        <v>283</v>
      </c>
      <c r="Q542" s="169" t="s">
        <v>284</v>
      </c>
      <c r="R542" s="169" t="s">
        <v>283</v>
      </c>
      <c r="S542" s="169" t="s">
        <v>283</v>
      </c>
      <c r="T542" s="169">
        <v>0</v>
      </c>
    </row>
    <row r="543" spans="1:20" x14ac:dyDescent="0.2">
      <c r="A543" s="169">
        <v>627</v>
      </c>
      <c r="B543" s="168" t="s">
        <v>8</v>
      </c>
      <c r="C543" s="168" t="s">
        <v>22</v>
      </c>
      <c r="D543" s="173">
        <v>45747</v>
      </c>
      <c r="E543" s="169" t="s">
        <v>531</v>
      </c>
      <c r="F543" s="169" t="s">
        <v>387</v>
      </c>
      <c r="G543" s="169" t="s">
        <v>275</v>
      </c>
      <c r="H543" s="169" t="s">
        <v>402</v>
      </c>
      <c r="I543" s="169" t="s">
        <v>403</v>
      </c>
      <c r="J543" s="169" t="s">
        <v>532</v>
      </c>
      <c r="K543" s="169" t="s">
        <v>533</v>
      </c>
      <c r="L543" s="169" t="s">
        <v>534</v>
      </c>
      <c r="M543" s="169" t="s">
        <v>281</v>
      </c>
      <c r="N543" s="178">
        <v>422830477</v>
      </c>
      <c r="O543" s="169" t="s">
        <v>535</v>
      </c>
      <c r="P543" s="169" t="s">
        <v>283</v>
      </c>
      <c r="Q543" s="169" t="s">
        <v>284</v>
      </c>
      <c r="R543" s="169" t="s">
        <v>283</v>
      </c>
      <c r="S543" s="169" t="s">
        <v>283</v>
      </c>
      <c r="T543" s="169">
        <v>0</v>
      </c>
    </row>
    <row r="544" spans="1:20" x14ac:dyDescent="0.2">
      <c r="A544" s="169">
        <v>627</v>
      </c>
      <c r="B544" s="168" t="s">
        <v>8</v>
      </c>
      <c r="C544" s="168" t="s">
        <v>22</v>
      </c>
      <c r="D544" s="173">
        <v>45747</v>
      </c>
      <c r="E544" s="169" t="s">
        <v>531</v>
      </c>
      <c r="F544" s="169" t="s">
        <v>388</v>
      </c>
      <c r="G544" s="169" t="s">
        <v>286</v>
      </c>
      <c r="H544" s="169" t="s">
        <v>402</v>
      </c>
      <c r="I544" s="169" t="s">
        <v>403</v>
      </c>
      <c r="J544" s="169" t="s">
        <v>532</v>
      </c>
      <c r="K544" s="169" t="s">
        <v>533</v>
      </c>
      <c r="L544" s="169" t="s">
        <v>534</v>
      </c>
      <c r="M544" s="169" t="s">
        <v>281</v>
      </c>
      <c r="N544" s="178">
        <v>10286000</v>
      </c>
      <c r="O544" s="169" t="s">
        <v>535</v>
      </c>
      <c r="P544" s="169" t="s">
        <v>283</v>
      </c>
      <c r="Q544" s="169" t="s">
        <v>284</v>
      </c>
      <c r="R544" s="169" t="s">
        <v>283</v>
      </c>
      <c r="S544" s="169" t="s">
        <v>283</v>
      </c>
      <c r="T544" s="169">
        <v>0</v>
      </c>
    </row>
    <row r="545" spans="1:20" x14ac:dyDescent="0.2">
      <c r="A545" s="169">
        <v>627</v>
      </c>
      <c r="B545" s="168" t="s">
        <v>8</v>
      </c>
      <c r="C545" s="168" t="s">
        <v>23</v>
      </c>
      <c r="D545" s="173">
        <v>45747</v>
      </c>
      <c r="E545" s="169" t="s">
        <v>531</v>
      </c>
      <c r="F545" s="169" t="s">
        <v>389</v>
      </c>
      <c r="G545" s="169" t="s">
        <v>390</v>
      </c>
      <c r="H545" s="169" t="s">
        <v>402</v>
      </c>
      <c r="I545" s="169" t="s">
        <v>403</v>
      </c>
      <c r="J545" s="169" t="s">
        <v>532</v>
      </c>
      <c r="K545" s="169" t="s">
        <v>533</v>
      </c>
      <c r="L545" s="169" t="s">
        <v>534</v>
      </c>
      <c r="M545" s="169" t="s">
        <v>281</v>
      </c>
      <c r="N545" s="178">
        <v>46621243</v>
      </c>
      <c r="O545" s="169" t="s">
        <v>535</v>
      </c>
      <c r="P545" s="169" t="s">
        <v>283</v>
      </c>
      <c r="Q545" s="169" t="s">
        <v>284</v>
      </c>
      <c r="R545" s="169" t="s">
        <v>283</v>
      </c>
      <c r="S545" s="169" t="s">
        <v>283</v>
      </c>
      <c r="T545" s="169">
        <v>0</v>
      </c>
    </row>
    <row r="546" spans="1:20" x14ac:dyDescent="0.2">
      <c r="A546" s="169">
        <v>627</v>
      </c>
      <c r="B546" s="168" t="s">
        <v>8</v>
      </c>
      <c r="C546" s="168" t="s">
        <v>25</v>
      </c>
      <c r="D546" s="173">
        <v>45747</v>
      </c>
      <c r="E546" s="169" t="s">
        <v>531</v>
      </c>
      <c r="F546" s="169" t="s">
        <v>375</v>
      </c>
      <c r="G546" s="169" t="s">
        <v>336</v>
      </c>
      <c r="H546" s="169" t="s">
        <v>402</v>
      </c>
      <c r="I546" s="169" t="s">
        <v>403</v>
      </c>
      <c r="J546" s="169" t="s">
        <v>532</v>
      </c>
      <c r="K546" s="169" t="s">
        <v>533</v>
      </c>
      <c r="L546" s="169" t="s">
        <v>534</v>
      </c>
      <c r="M546" s="169" t="s">
        <v>281</v>
      </c>
      <c r="N546" s="178">
        <v>3570000</v>
      </c>
      <c r="O546" s="169" t="s">
        <v>535</v>
      </c>
      <c r="P546" s="169" t="s">
        <v>283</v>
      </c>
      <c r="Q546" s="169" t="s">
        <v>284</v>
      </c>
      <c r="R546" s="169" t="s">
        <v>283</v>
      </c>
      <c r="S546" s="169" t="s">
        <v>283</v>
      </c>
      <c r="T546" s="169">
        <v>0</v>
      </c>
    </row>
    <row r="547" spans="1:20" x14ac:dyDescent="0.2">
      <c r="B547" s="168" t="s">
        <v>6</v>
      </c>
      <c r="C547" s="168" t="s">
        <v>22</v>
      </c>
      <c r="D547" s="173">
        <v>45747</v>
      </c>
      <c r="E547" s="169" t="s">
        <v>536</v>
      </c>
      <c r="F547" s="169" t="s">
        <v>388</v>
      </c>
      <c r="G547" s="169" t="s">
        <v>286</v>
      </c>
      <c r="H547" s="169" t="s">
        <v>411</v>
      </c>
      <c r="I547" s="169" t="s">
        <v>412</v>
      </c>
      <c r="J547" s="169" t="s">
        <v>537</v>
      </c>
      <c r="K547" s="169" t="s">
        <v>533</v>
      </c>
      <c r="L547" s="169" t="s">
        <v>534</v>
      </c>
      <c r="M547" s="169" t="s">
        <v>281</v>
      </c>
      <c r="N547" s="178">
        <v>41801583</v>
      </c>
      <c r="O547" s="169" t="s">
        <v>538</v>
      </c>
      <c r="P547" s="169" t="s">
        <v>283</v>
      </c>
      <c r="Q547" s="169" t="s">
        <v>284</v>
      </c>
      <c r="R547" s="169" t="s">
        <v>283</v>
      </c>
      <c r="S547" s="169" t="s">
        <v>283</v>
      </c>
      <c r="T547" s="169">
        <v>0</v>
      </c>
    </row>
    <row r="548" spans="1:20" x14ac:dyDescent="0.2">
      <c r="B548" s="168" t="s">
        <v>6</v>
      </c>
      <c r="C548" s="168" t="s">
        <v>24</v>
      </c>
      <c r="D548" s="173">
        <v>45747</v>
      </c>
      <c r="E548" s="169" t="s">
        <v>536</v>
      </c>
      <c r="F548" s="169" t="s">
        <v>395</v>
      </c>
      <c r="G548" s="169" t="s">
        <v>77</v>
      </c>
      <c r="H548" s="169" t="s">
        <v>411</v>
      </c>
      <c r="I548" s="169" t="s">
        <v>412</v>
      </c>
      <c r="J548" s="169" t="s">
        <v>539</v>
      </c>
      <c r="K548" s="169" t="s">
        <v>533</v>
      </c>
      <c r="L548" s="169" t="s">
        <v>534</v>
      </c>
      <c r="M548" s="169" t="s">
        <v>281</v>
      </c>
      <c r="N548" s="178">
        <v>38457122</v>
      </c>
      <c r="O548" s="169" t="s">
        <v>538</v>
      </c>
      <c r="P548" s="169" t="s">
        <v>283</v>
      </c>
      <c r="Q548" s="169" t="s">
        <v>284</v>
      </c>
      <c r="R548" s="169" t="s">
        <v>283</v>
      </c>
      <c r="S548" s="169" t="s">
        <v>283</v>
      </c>
      <c r="T548" s="169">
        <v>0</v>
      </c>
    </row>
    <row r="549" spans="1:20" x14ac:dyDescent="0.2">
      <c r="B549" s="168" t="s">
        <v>4</v>
      </c>
      <c r="C549" s="168" t="s">
        <v>22</v>
      </c>
      <c r="D549" s="173">
        <v>45747</v>
      </c>
      <c r="E549" s="169" t="s">
        <v>536</v>
      </c>
      <c r="F549" s="169" t="s">
        <v>388</v>
      </c>
      <c r="G549" s="169" t="s">
        <v>286</v>
      </c>
      <c r="H549" s="169" t="s">
        <v>418</v>
      </c>
      <c r="I549" s="169" t="s">
        <v>419</v>
      </c>
      <c r="J549" s="169" t="s">
        <v>537</v>
      </c>
      <c r="K549" s="169" t="s">
        <v>533</v>
      </c>
      <c r="L549" s="169" t="s">
        <v>534</v>
      </c>
      <c r="M549" s="169" t="s">
        <v>281</v>
      </c>
      <c r="N549" s="178">
        <v>13919083</v>
      </c>
      <c r="O549" s="169" t="s">
        <v>538</v>
      </c>
      <c r="P549" s="169" t="s">
        <v>283</v>
      </c>
      <c r="Q549" s="169" t="s">
        <v>284</v>
      </c>
      <c r="R549" s="169" t="s">
        <v>283</v>
      </c>
      <c r="S549" s="169" t="s">
        <v>283</v>
      </c>
      <c r="T549" s="169">
        <v>0</v>
      </c>
    </row>
    <row r="550" spans="1:20" x14ac:dyDescent="0.2">
      <c r="B550" s="168" t="s">
        <v>4</v>
      </c>
      <c r="C550" s="168" t="s">
        <v>24</v>
      </c>
      <c r="D550" s="173">
        <v>45747</v>
      </c>
      <c r="E550" s="169" t="s">
        <v>536</v>
      </c>
      <c r="F550" s="169" t="s">
        <v>395</v>
      </c>
      <c r="G550" s="169" t="s">
        <v>77</v>
      </c>
      <c r="H550" s="169" t="s">
        <v>418</v>
      </c>
      <c r="I550" s="169" t="s">
        <v>419</v>
      </c>
      <c r="J550" s="169" t="s">
        <v>539</v>
      </c>
      <c r="K550" s="169" t="s">
        <v>533</v>
      </c>
      <c r="L550" s="169" t="s">
        <v>534</v>
      </c>
      <c r="M550" s="169" t="s">
        <v>281</v>
      </c>
      <c r="N550" s="178">
        <v>12805445</v>
      </c>
      <c r="O550" s="169" t="s">
        <v>538</v>
      </c>
      <c r="P550" s="169" t="s">
        <v>283</v>
      </c>
      <c r="Q550" s="169" t="s">
        <v>284</v>
      </c>
      <c r="R550" s="169" t="s">
        <v>283</v>
      </c>
      <c r="S550" s="169" t="s">
        <v>283</v>
      </c>
      <c r="T550" s="169">
        <v>0</v>
      </c>
    </row>
    <row r="551" spans="1:20" x14ac:dyDescent="0.2">
      <c r="A551" s="169">
        <v>627</v>
      </c>
      <c r="B551" s="168" t="s">
        <v>8</v>
      </c>
      <c r="C551" s="168" t="s">
        <v>22</v>
      </c>
      <c r="D551" s="173">
        <v>45747</v>
      </c>
      <c r="E551" s="169" t="s">
        <v>536</v>
      </c>
      <c r="F551" s="169" t="s">
        <v>388</v>
      </c>
      <c r="G551" s="169" t="s">
        <v>286</v>
      </c>
      <c r="H551" s="169" t="s">
        <v>402</v>
      </c>
      <c r="I551" s="169" t="s">
        <v>403</v>
      </c>
      <c r="J551" s="169" t="s">
        <v>537</v>
      </c>
      <c r="K551" s="169" t="s">
        <v>533</v>
      </c>
      <c r="L551" s="169" t="s">
        <v>534</v>
      </c>
      <c r="M551" s="169" t="s">
        <v>281</v>
      </c>
      <c r="N551" s="178">
        <v>36089228</v>
      </c>
      <c r="O551" s="169" t="s">
        <v>538</v>
      </c>
      <c r="P551" s="169" t="s">
        <v>283</v>
      </c>
      <c r="Q551" s="169" t="s">
        <v>284</v>
      </c>
      <c r="R551" s="169" t="s">
        <v>283</v>
      </c>
      <c r="S551" s="169" t="s">
        <v>283</v>
      </c>
      <c r="T551" s="169">
        <v>0</v>
      </c>
    </row>
    <row r="552" spans="1:20" x14ac:dyDescent="0.2">
      <c r="A552" s="169">
        <v>622</v>
      </c>
      <c r="B552" s="168" t="s">
        <v>8</v>
      </c>
      <c r="C552" s="168" t="s">
        <v>22</v>
      </c>
      <c r="D552" s="173">
        <v>45747</v>
      </c>
      <c r="E552" s="169" t="s">
        <v>536</v>
      </c>
      <c r="F552" s="169" t="s">
        <v>420</v>
      </c>
      <c r="G552" s="169" t="s">
        <v>286</v>
      </c>
      <c r="H552" s="169" t="s">
        <v>402</v>
      </c>
      <c r="I552" s="169" t="s">
        <v>403</v>
      </c>
      <c r="J552" s="169" t="s">
        <v>537</v>
      </c>
      <c r="K552" s="169" t="s">
        <v>533</v>
      </c>
      <c r="L552" s="169" t="s">
        <v>534</v>
      </c>
      <c r="M552" s="169" t="s">
        <v>281</v>
      </c>
      <c r="N552" s="178">
        <v>98243652</v>
      </c>
      <c r="O552" s="169" t="s">
        <v>538</v>
      </c>
      <c r="P552" s="169" t="s">
        <v>283</v>
      </c>
      <c r="Q552" s="169" t="s">
        <v>284</v>
      </c>
      <c r="R552" s="169" t="s">
        <v>283</v>
      </c>
      <c r="S552" s="169" t="s">
        <v>283</v>
      </c>
      <c r="T552" s="169">
        <v>0</v>
      </c>
    </row>
    <row r="553" spans="1:20" x14ac:dyDescent="0.2">
      <c r="A553" s="169">
        <v>627</v>
      </c>
      <c r="B553" s="168" t="s">
        <v>8</v>
      </c>
      <c r="C553" s="168" t="s">
        <v>24</v>
      </c>
      <c r="D553" s="173">
        <v>45747</v>
      </c>
      <c r="E553" s="169" t="s">
        <v>536</v>
      </c>
      <c r="F553" s="169" t="s">
        <v>395</v>
      </c>
      <c r="G553" s="169" t="s">
        <v>77</v>
      </c>
      <c r="H553" s="169" t="s">
        <v>402</v>
      </c>
      <c r="I553" s="169" t="s">
        <v>403</v>
      </c>
      <c r="J553" s="169" t="s">
        <v>539</v>
      </c>
      <c r="K553" s="169" t="s">
        <v>533</v>
      </c>
      <c r="L553" s="169" t="s">
        <v>534</v>
      </c>
      <c r="M553" s="169" t="s">
        <v>281</v>
      </c>
      <c r="N553" s="178">
        <v>32448118</v>
      </c>
      <c r="O553" s="169" t="s">
        <v>538</v>
      </c>
      <c r="P553" s="169" t="s">
        <v>283</v>
      </c>
      <c r="Q553" s="169" t="s">
        <v>284</v>
      </c>
      <c r="R553" s="169" t="s">
        <v>283</v>
      </c>
      <c r="S553" s="169" t="s">
        <v>283</v>
      </c>
      <c r="T553" s="169">
        <v>0</v>
      </c>
    </row>
    <row r="554" spans="1:20" x14ac:dyDescent="0.2">
      <c r="A554" s="169">
        <v>622</v>
      </c>
      <c r="B554" s="168" t="s">
        <v>8</v>
      </c>
      <c r="C554" s="168" t="s">
        <v>24</v>
      </c>
      <c r="D554" s="173">
        <v>45747</v>
      </c>
      <c r="E554" s="169" t="s">
        <v>536</v>
      </c>
      <c r="F554" s="169" t="s">
        <v>426</v>
      </c>
      <c r="G554" s="169" t="s">
        <v>77</v>
      </c>
      <c r="H554" s="169" t="s">
        <v>402</v>
      </c>
      <c r="I554" s="169" t="s">
        <v>403</v>
      </c>
      <c r="J554" s="169" t="s">
        <v>539</v>
      </c>
      <c r="K554" s="169" t="s">
        <v>533</v>
      </c>
      <c r="L554" s="169" t="s">
        <v>534</v>
      </c>
      <c r="M554" s="169" t="s">
        <v>281</v>
      </c>
      <c r="N554" s="178">
        <v>24967083</v>
      </c>
      <c r="O554" s="169" t="s">
        <v>538</v>
      </c>
      <c r="P554" s="169" t="s">
        <v>283</v>
      </c>
      <c r="Q554" s="169" t="s">
        <v>284</v>
      </c>
      <c r="R554" s="169" t="s">
        <v>283</v>
      </c>
      <c r="S554" s="169" t="s">
        <v>283</v>
      </c>
      <c r="T554" s="169">
        <v>0</v>
      </c>
    </row>
    <row r="555" spans="1:20" x14ac:dyDescent="0.2">
      <c r="B555" s="168" t="s">
        <v>6</v>
      </c>
      <c r="C555" s="168" t="s">
        <v>170</v>
      </c>
      <c r="D555" s="173">
        <v>45747</v>
      </c>
      <c r="E555" s="169" t="s">
        <v>540</v>
      </c>
      <c r="F555" s="169" t="s">
        <v>393</v>
      </c>
      <c r="G555" s="169" t="s">
        <v>296</v>
      </c>
      <c r="H555" s="169" t="s">
        <v>411</v>
      </c>
      <c r="I555" s="169" t="s">
        <v>412</v>
      </c>
      <c r="J555" s="169" t="s">
        <v>541</v>
      </c>
      <c r="K555" s="169" t="s">
        <v>533</v>
      </c>
      <c r="L555" s="169" t="s">
        <v>534</v>
      </c>
      <c r="M555" s="169" t="s">
        <v>281</v>
      </c>
      <c r="N555" s="178">
        <v>102605465</v>
      </c>
      <c r="O555" s="169" t="s">
        <v>542</v>
      </c>
      <c r="P555" s="169" t="s">
        <v>283</v>
      </c>
      <c r="Q555" s="169" t="s">
        <v>284</v>
      </c>
      <c r="R555" s="169" t="s">
        <v>283</v>
      </c>
      <c r="S555" s="169" t="s">
        <v>283</v>
      </c>
      <c r="T555" s="169">
        <v>0</v>
      </c>
    </row>
    <row r="556" spans="1:20" x14ac:dyDescent="0.2">
      <c r="B556" s="168" t="s">
        <v>4</v>
      </c>
      <c r="C556" s="168" t="s">
        <v>170</v>
      </c>
      <c r="D556" s="173">
        <v>45747</v>
      </c>
      <c r="E556" s="169" t="s">
        <v>540</v>
      </c>
      <c r="F556" s="169" t="s">
        <v>393</v>
      </c>
      <c r="G556" s="169" t="s">
        <v>296</v>
      </c>
      <c r="H556" s="169" t="s">
        <v>418</v>
      </c>
      <c r="I556" s="169" t="s">
        <v>419</v>
      </c>
      <c r="J556" s="169" t="s">
        <v>541</v>
      </c>
      <c r="K556" s="169" t="s">
        <v>533</v>
      </c>
      <c r="L556" s="169" t="s">
        <v>534</v>
      </c>
      <c r="M556" s="169" t="s">
        <v>281</v>
      </c>
      <c r="N556" s="178">
        <v>35154315</v>
      </c>
      <c r="O556" s="169" t="s">
        <v>542</v>
      </c>
      <c r="P556" s="169" t="s">
        <v>283</v>
      </c>
      <c r="Q556" s="169" t="s">
        <v>284</v>
      </c>
      <c r="R556" s="169" t="s">
        <v>283</v>
      </c>
      <c r="S556" s="169" t="s">
        <v>283</v>
      </c>
      <c r="T556" s="169">
        <v>0</v>
      </c>
    </row>
    <row r="557" spans="1:20" x14ac:dyDescent="0.2">
      <c r="A557" s="169">
        <v>622</v>
      </c>
      <c r="B557" s="168" t="s">
        <v>8</v>
      </c>
      <c r="C557" s="168" t="s">
        <v>170</v>
      </c>
      <c r="D557" s="173">
        <v>45747</v>
      </c>
      <c r="E557" s="169" t="s">
        <v>540</v>
      </c>
      <c r="F557" s="169" t="s">
        <v>425</v>
      </c>
      <c r="G557" s="169" t="s">
        <v>296</v>
      </c>
      <c r="H557" s="169" t="s">
        <v>402</v>
      </c>
      <c r="I557" s="169" t="s">
        <v>403</v>
      </c>
      <c r="J557" s="169" t="s">
        <v>541</v>
      </c>
      <c r="K557" s="169" t="s">
        <v>533</v>
      </c>
      <c r="L557" s="169" t="s">
        <v>534</v>
      </c>
      <c r="M557" s="169" t="s">
        <v>281</v>
      </c>
      <c r="N557" s="178">
        <v>259650390</v>
      </c>
      <c r="O557" s="169" t="s">
        <v>542</v>
      </c>
      <c r="P557" s="169" t="s">
        <v>283</v>
      </c>
      <c r="Q557" s="169" t="s">
        <v>284</v>
      </c>
      <c r="R557" s="169" t="s">
        <v>283</v>
      </c>
      <c r="S557" s="169" t="s">
        <v>283</v>
      </c>
      <c r="T557" s="169">
        <v>0</v>
      </c>
    </row>
    <row r="558" spans="1:20" x14ac:dyDescent="0.2">
      <c r="A558" s="169">
        <v>627</v>
      </c>
      <c r="B558" s="168" t="s">
        <v>8</v>
      </c>
      <c r="C558" s="168" t="s">
        <v>170</v>
      </c>
      <c r="D558" s="173">
        <v>45747</v>
      </c>
      <c r="E558" s="169" t="s">
        <v>540</v>
      </c>
      <c r="F558" s="169" t="s">
        <v>393</v>
      </c>
      <c r="G558" s="169" t="s">
        <v>296</v>
      </c>
      <c r="H558" s="169" t="s">
        <v>402</v>
      </c>
      <c r="I558" s="169" t="s">
        <v>403</v>
      </c>
      <c r="J558" s="169" t="s">
        <v>541</v>
      </c>
      <c r="K558" s="169" t="s">
        <v>533</v>
      </c>
      <c r="L558" s="169" t="s">
        <v>534</v>
      </c>
      <c r="M558" s="169" t="s">
        <v>281</v>
      </c>
      <c r="N558" s="178">
        <v>126377175</v>
      </c>
      <c r="O558" s="169" t="s">
        <v>542</v>
      </c>
      <c r="P558" s="169" t="s">
        <v>283</v>
      </c>
      <c r="Q558" s="169" t="s">
        <v>284</v>
      </c>
      <c r="R558" s="169" t="s">
        <v>283</v>
      </c>
      <c r="S558" s="169" t="s">
        <v>283</v>
      </c>
      <c r="T558" s="169">
        <v>0</v>
      </c>
    </row>
    <row r="559" spans="1:20" x14ac:dyDescent="0.2">
      <c r="B559" s="168" t="s">
        <v>6</v>
      </c>
      <c r="C559" s="168" t="s">
        <v>170</v>
      </c>
      <c r="D559" s="173">
        <v>45747</v>
      </c>
      <c r="E559" s="169" t="s">
        <v>540</v>
      </c>
      <c r="F559" s="169" t="s">
        <v>393</v>
      </c>
      <c r="G559" s="169" t="s">
        <v>296</v>
      </c>
      <c r="H559" s="169" t="s">
        <v>411</v>
      </c>
      <c r="I559" s="169" t="s">
        <v>412</v>
      </c>
      <c r="J559" s="169" t="s">
        <v>541</v>
      </c>
      <c r="K559" s="169" t="s">
        <v>533</v>
      </c>
      <c r="L559" s="169" t="s">
        <v>534</v>
      </c>
      <c r="M559" s="169" t="s">
        <v>281</v>
      </c>
      <c r="N559" s="178">
        <v>2946900</v>
      </c>
      <c r="O559" s="169" t="s">
        <v>542</v>
      </c>
      <c r="P559" s="169" t="s">
        <v>283</v>
      </c>
      <c r="Q559" s="169" t="s">
        <v>284</v>
      </c>
      <c r="R559" s="169" t="s">
        <v>283</v>
      </c>
      <c r="S559" s="169" t="s">
        <v>283</v>
      </c>
      <c r="T559" s="169">
        <v>0</v>
      </c>
    </row>
    <row r="560" spans="1:20" x14ac:dyDescent="0.2">
      <c r="A560" s="169">
        <v>622</v>
      </c>
      <c r="B560" s="168" t="s">
        <v>8</v>
      </c>
      <c r="C560" s="168" t="s">
        <v>170</v>
      </c>
      <c r="D560" s="173">
        <v>45747</v>
      </c>
      <c r="E560" s="169" t="s">
        <v>540</v>
      </c>
      <c r="F560" s="169" t="s">
        <v>425</v>
      </c>
      <c r="G560" s="169" t="s">
        <v>296</v>
      </c>
      <c r="H560" s="169" t="s">
        <v>402</v>
      </c>
      <c r="I560" s="169" t="s">
        <v>403</v>
      </c>
      <c r="J560" s="169" t="s">
        <v>541</v>
      </c>
      <c r="K560" s="169" t="s">
        <v>533</v>
      </c>
      <c r="L560" s="169" t="s">
        <v>534</v>
      </c>
      <c r="M560" s="169" t="s">
        <v>281</v>
      </c>
      <c r="N560" s="178">
        <v>2568080</v>
      </c>
      <c r="O560" s="169" t="s">
        <v>542</v>
      </c>
      <c r="P560" s="169" t="s">
        <v>283</v>
      </c>
      <c r="Q560" s="169" t="s">
        <v>284</v>
      </c>
      <c r="R560" s="169" t="s">
        <v>283</v>
      </c>
      <c r="S560" s="169" t="s">
        <v>283</v>
      </c>
      <c r="T560" s="169">
        <v>0</v>
      </c>
    </row>
    <row r="561" spans="1:20" x14ac:dyDescent="0.2">
      <c r="A561" s="169">
        <v>627</v>
      </c>
      <c r="B561" s="168" t="s">
        <v>8</v>
      </c>
      <c r="C561" s="168" t="s">
        <v>170</v>
      </c>
      <c r="D561" s="173">
        <v>45747</v>
      </c>
      <c r="E561" s="169" t="s">
        <v>604</v>
      </c>
      <c r="F561" s="169" t="s">
        <v>393</v>
      </c>
      <c r="G561" s="169" t="s">
        <v>296</v>
      </c>
      <c r="H561" s="169" t="s">
        <v>402</v>
      </c>
      <c r="I561" s="169" t="s">
        <v>403</v>
      </c>
      <c r="J561" s="169" t="s">
        <v>541</v>
      </c>
      <c r="K561" s="169" t="s">
        <v>533</v>
      </c>
      <c r="L561" s="169" t="s">
        <v>534</v>
      </c>
      <c r="M561" s="169" t="s">
        <v>281</v>
      </c>
      <c r="N561" s="178">
        <v>-1908210</v>
      </c>
      <c r="O561" s="169" t="s">
        <v>605</v>
      </c>
      <c r="P561" s="169" t="s">
        <v>283</v>
      </c>
      <c r="Q561" s="169" t="s">
        <v>284</v>
      </c>
      <c r="R561" s="169" t="s">
        <v>283</v>
      </c>
      <c r="S561" s="169" t="s">
        <v>283</v>
      </c>
      <c r="T561" s="169">
        <v>0</v>
      </c>
    </row>
    <row r="562" spans="1:20" x14ac:dyDescent="0.2">
      <c r="A562" s="169">
        <v>627</v>
      </c>
      <c r="B562" s="168" t="s">
        <v>8</v>
      </c>
      <c r="C562" s="168" t="s">
        <v>25</v>
      </c>
      <c r="D562" s="173">
        <v>45745</v>
      </c>
      <c r="E562" s="169" t="s">
        <v>546</v>
      </c>
      <c r="F562" s="169" t="s">
        <v>375</v>
      </c>
      <c r="G562" s="169" t="s">
        <v>336</v>
      </c>
      <c r="H562" s="169" t="s">
        <v>402</v>
      </c>
      <c r="I562" s="169" t="s">
        <v>403</v>
      </c>
      <c r="J562" s="169" t="s">
        <v>547</v>
      </c>
      <c r="K562" s="169" t="s">
        <v>338</v>
      </c>
      <c r="L562" s="169" t="s">
        <v>534</v>
      </c>
      <c r="M562" s="169" t="s">
        <v>281</v>
      </c>
      <c r="N562" s="178">
        <v>109675000</v>
      </c>
      <c r="O562" s="169" t="s">
        <v>548</v>
      </c>
      <c r="P562" s="169" t="s">
        <v>283</v>
      </c>
      <c r="Q562" s="169" t="s">
        <v>306</v>
      </c>
      <c r="R562" s="169" t="s">
        <v>283</v>
      </c>
      <c r="S562" s="169" t="s">
        <v>283</v>
      </c>
      <c r="T562" s="169">
        <v>0</v>
      </c>
    </row>
    <row r="563" spans="1:20" x14ac:dyDescent="0.2">
      <c r="B563" s="168" t="s">
        <v>6</v>
      </c>
      <c r="C563" s="168" t="s">
        <v>25</v>
      </c>
      <c r="D563" s="173">
        <v>45745</v>
      </c>
      <c r="E563" s="169" t="s">
        <v>546</v>
      </c>
      <c r="F563" s="169" t="s">
        <v>375</v>
      </c>
      <c r="G563" s="169" t="s">
        <v>336</v>
      </c>
      <c r="H563" s="169" t="s">
        <v>411</v>
      </c>
      <c r="I563" s="169" t="s">
        <v>412</v>
      </c>
      <c r="J563" s="169" t="s">
        <v>547</v>
      </c>
      <c r="K563" s="169" t="s">
        <v>338</v>
      </c>
      <c r="L563" s="169" t="s">
        <v>534</v>
      </c>
      <c r="M563" s="169" t="s">
        <v>281</v>
      </c>
      <c r="N563" s="178">
        <v>29775000</v>
      </c>
      <c r="O563" s="169" t="s">
        <v>548</v>
      </c>
      <c r="P563" s="169" t="s">
        <v>283</v>
      </c>
      <c r="Q563" s="169" t="s">
        <v>306</v>
      </c>
      <c r="R563" s="169" t="s">
        <v>283</v>
      </c>
      <c r="S563" s="169" t="s">
        <v>283</v>
      </c>
      <c r="T563" s="169">
        <v>0</v>
      </c>
    </row>
    <row r="564" spans="1:20" x14ac:dyDescent="0.2">
      <c r="A564" s="169">
        <v>622</v>
      </c>
      <c r="B564" s="168" t="s">
        <v>8</v>
      </c>
      <c r="C564" s="168" t="s">
        <v>25</v>
      </c>
      <c r="D564" s="173">
        <v>45747</v>
      </c>
      <c r="E564" s="169" t="s">
        <v>606</v>
      </c>
      <c r="F564" s="169" t="s">
        <v>414</v>
      </c>
      <c r="G564" s="169" t="s">
        <v>415</v>
      </c>
      <c r="H564" s="169" t="s">
        <v>402</v>
      </c>
      <c r="I564" s="169" t="s">
        <v>403</v>
      </c>
      <c r="J564" s="169" t="s">
        <v>416</v>
      </c>
      <c r="K564" s="169" t="s">
        <v>416</v>
      </c>
      <c r="L564" s="169" t="s">
        <v>534</v>
      </c>
      <c r="M564" s="169" t="s">
        <v>281</v>
      </c>
      <c r="N564" s="178">
        <v>88425000</v>
      </c>
      <c r="O564" s="169" t="s">
        <v>607</v>
      </c>
      <c r="P564" s="169" t="s">
        <v>283</v>
      </c>
      <c r="Q564" s="169" t="s">
        <v>348</v>
      </c>
      <c r="R564" s="169" t="s">
        <v>283</v>
      </c>
      <c r="S564" s="169" t="s">
        <v>283</v>
      </c>
      <c r="T564" s="169">
        <v>0</v>
      </c>
    </row>
    <row r="565" spans="1:20" x14ac:dyDescent="0.2">
      <c r="A565" s="169">
        <v>627</v>
      </c>
      <c r="B565" s="168" t="s">
        <v>8</v>
      </c>
      <c r="C565" s="168" t="s">
        <v>25</v>
      </c>
      <c r="D565" s="173">
        <v>45747</v>
      </c>
      <c r="E565" s="169" t="s">
        <v>606</v>
      </c>
      <c r="F565" s="169" t="s">
        <v>375</v>
      </c>
      <c r="G565" s="169" t="s">
        <v>336</v>
      </c>
      <c r="H565" s="169" t="s">
        <v>402</v>
      </c>
      <c r="I565" s="169" t="s">
        <v>403</v>
      </c>
      <c r="J565" s="169" t="s">
        <v>416</v>
      </c>
      <c r="K565" s="169" t="s">
        <v>416</v>
      </c>
      <c r="L565" s="169" t="s">
        <v>534</v>
      </c>
      <c r="M565" s="169" t="s">
        <v>281</v>
      </c>
      <c r="N565" s="178">
        <v>-88425000</v>
      </c>
      <c r="O565" s="169" t="s">
        <v>607</v>
      </c>
      <c r="P565" s="169" t="s">
        <v>283</v>
      </c>
      <c r="Q565" s="169" t="s">
        <v>348</v>
      </c>
      <c r="R565" s="169" t="s">
        <v>283</v>
      </c>
      <c r="S565" s="169" t="s">
        <v>283</v>
      </c>
      <c r="T565" s="169">
        <v>0</v>
      </c>
    </row>
    <row r="566" spans="1:20" x14ac:dyDescent="0.2">
      <c r="A566" s="169">
        <v>622</v>
      </c>
      <c r="B566" s="168" t="s">
        <v>8</v>
      </c>
      <c r="C566" s="168" t="s">
        <v>25</v>
      </c>
      <c r="D566" s="173">
        <v>45747</v>
      </c>
      <c r="E566" s="169" t="s">
        <v>608</v>
      </c>
      <c r="F566" s="169" t="s">
        <v>414</v>
      </c>
      <c r="G566" s="169" t="s">
        <v>415</v>
      </c>
      <c r="H566" s="169" t="s">
        <v>402</v>
      </c>
      <c r="I566" s="169" t="s">
        <v>403</v>
      </c>
      <c r="J566" s="169" t="s">
        <v>416</v>
      </c>
      <c r="K566" s="169" t="s">
        <v>416</v>
      </c>
      <c r="L566" s="169" t="s">
        <v>534</v>
      </c>
      <c r="M566" s="169" t="s">
        <v>281</v>
      </c>
      <c r="N566" s="178">
        <v>-88425000</v>
      </c>
      <c r="O566" s="169" t="s">
        <v>609</v>
      </c>
      <c r="P566" s="169" t="s">
        <v>447</v>
      </c>
      <c r="Q566" s="169" t="s">
        <v>284</v>
      </c>
      <c r="R566" s="169" t="s">
        <v>283</v>
      </c>
      <c r="S566" s="169" t="s">
        <v>283</v>
      </c>
      <c r="T566" s="169">
        <v>0</v>
      </c>
    </row>
    <row r="567" spans="1:20" x14ac:dyDescent="0.2">
      <c r="A567" s="169">
        <v>627</v>
      </c>
      <c r="B567" s="168" t="s">
        <v>8</v>
      </c>
      <c r="C567" s="168" t="s">
        <v>25</v>
      </c>
      <c r="D567" s="173">
        <v>45747</v>
      </c>
      <c r="E567" s="169" t="s">
        <v>608</v>
      </c>
      <c r="F567" s="169" t="s">
        <v>375</v>
      </c>
      <c r="G567" s="169" t="s">
        <v>336</v>
      </c>
      <c r="H567" s="169" t="s">
        <v>402</v>
      </c>
      <c r="I567" s="169" t="s">
        <v>403</v>
      </c>
      <c r="J567" s="169" t="s">
        <v>416</v>
      </c>
      <c r="K567" s="169" t="s">
        <v>416</v>
      </c>
      <c r="L567" s="169" t="s">
        <v>534</v>
      </c>
      <c r="M567" s="169" t="s">
        <v>281</v>
      </c>
      <c r="N567" s="178">
        <v>88425000</v>
      </c>
      <c r="O567" s="169" t="s">
        <v>609</v>
      </c>
      <c r="P567" s="169" t="s">
        <v>447</v>
      </c>
      <c r="Q567" s="169" t="s">
        <v>284</v>
      </c>
      <c r="R567" s="169" t="s">
        <v>283</v>
      </c>
      <c r="S567" s="169" t="s">
        <v>283</v>
      </c>
      <c r="T567" s="169">
        <v>0</v>
      </c>
    </row>
    <row r="568" spans="1:20" x14ac:dyDescent="0.2">
      <c r="A568" s="169">
        <v>622</v>
      </c>
      <c r="B568" s="168" t="s">
        <v>8</v>
      </c>
      <c r="C568" s="168" t="s">
        <v>25</v>
      </c>
      <c r="D568" s="173">
        <v>45747</v>
      </c>
      <c r="E568" s="169" t="s">
        <v>610</v>
      </c>
      <c r="F568" s="169" t="s">
        <v>414</v>
      </c>
      <c r="G568" s="169" t="s">
        <v>415</v>
      </c>
      <c r="H568" s="169" t="s">
        <v>402</v>
      </c>
      <c r="I568" s="169" t="s">
        <v>403</v>
      </c>
      <c r="J568" s="169" t="s">
        <v>416</v>
      </c>
      <c r="K568" s="169" t="s">
        <v>416</v>
      </c>
      <c r="L568" s="169" t="s">
        <v>534</v>
      </c>
      <c r="M568" s="169" t="s">
        <v>281</v>
      </c>
      <c r="N568" s="178">
        <v>88425000</v>
      </c>
      <c r="O568" s="169" t="s">
        <v>611</v>
      </c>
      <c r="P568" s="169" t="s">
        <v>283</v>
      </c>
      <c r="Q568" s="169" t="s">
        <v>348</v>
      </c>
      <c r="R568" s="169" t="s">
        <v>283</v>
      </c>
      <c r="S568" s="169" t="s">
        <v>283</v>
      </c>
      <c r="T568" s="169">
        <v>0</v>
      </c>
    </row>
    <row r="569" spans="1:20" x14ac:dyDescent="0.2">
      <c r="A569" s="169">
        <v>627</v>
      </c>
      <c r="B569" s="168" t="s">
        <v>8</v>
      </c>
      <c r="C569" s="168" t="s">
        <v>25</v>
      </c>
      <c r="D569" s="173">
        <v>45747</v>
      </c>
      <c r="E569" s="169" t="s">
        <v>610</v>
      </c>
      <c r="F569" s="169" t="s">
        <v>375</v>
      </c>
      <c r="G569" s="169" t="s">
        <v>336</v>
      </c>
      <c r="H569" s="169" t="s">
        <v>402</v>
      </c>
      <c r="I569" s="169" t="s">
        <v>403</v>
      </c>
      <c r="J569" s="169" t="s">
        <v>416</v>
      </c>
      <c r="K569" s="169" t="s">
        <v>416</v>
      </c>
      <c r="L569" s="169" t="s">
        <v>534</v>
      </c>
      <c r="M569" s="169" t="s">
        <v>281</v>
      </c>
      <c r="N569" s="178">
        <v>-88425000</v>
      </c>
      <c r="O569" s="169" t="s">
        <v>611</v>
      </c>
      <c r="P569" s="169" t="s">
        <v>283</v>
      </c>
      <c r="Q569" s="169" t="s">
        <v>348</v>
      </c>
      <c r="R569" s="169" t="s">
        <v>283</v>
      </c>
      <c r="S569" s="169" t="s">
        <v>283</v>
      </c>
      <c r="T569" s="169">
        <v>0</v>
      </c>
    </row>
    <row r="570" spans="1:20" x14ac:dyDescent="0.2">
      <c r="A570" s="169">
        <v>622</v>
      </c>
      <c r="B570" s="168" t="s">
        <v>8</v>
      </c>
      <c r="C570" s="168" t="s">
        <v>22</v>
      </c>
      <c r="D570" s="173">
        <v>45717</v>
      </c>
      <c r="E570" s="169" t="s">
        <v>598</v>
      </c>
      <c r="F570" s="169" t="s">
        <v>400</v>
      </c>
      <c r="G570" s="169" t="s">
        <v>401</v>
      </c>
      <c r="H570" s="169" t="s">
        <v>430</v>
      </c>
      <c r="I570" s="169" t="s">
        <v>431</v>
      </c>
      <c r="J570" s="169" t="s">
        <v>612</v>
      </c>
      <c r="K570" s="169" t="s">
        <v>405</v>
      </c>
      <c r="L570" s="169" t="s">
        <v>534</v>
      </c>
      <c r="M570" s="169" t="s">
        <v>281</v>
      </c>
      <c r="N570" s="178">
        <v>44869048</v>
      </c>
      <c r="O570" s="169" t="s">
        <v>600</v>
      </c>
      <c r="P570" s="169" t="s">
        <v>283</v>
      </c>
      <c r="Q570" s="169" t="s">
        <v>306</v>
      </c>
      <c r="R570" s="169" t="s">
        <v>283</v>
      </c>
      <c r="S570" s="169" t="s">
        <v>283</v>
      </c>
      <c r="T570" s="169">
        <v>0</v>
      </c>
    </row>
    <row r="571" spans="1:20" x14ac:dyDescent="0.2">
      <c r="A571" s="169">
        <v>622</v>
      </c>
      <c r="B571" s="168" t="s">
        <v>8</v>
      </c>
      <c r="C571" s="168" t="s">
        <v>22</v>
      </c>
      <c r="D571" s="173">
        <v>45726</v>
      </c>
      <c r="E571" s="169" t="s">
        <v>613</v>
      </c>
      <c r="F571" s="169" t="s">
        <v>400</v>
      </c>
      <c r="G571" s="169" t="s">
        <v>401</v>
      </c>
      <c r="H571" s="169" t="s">
        <v>430</v>
      </c>
      <c r="I571" s="169" t="s">
        <v>431</v>
      </c>
      <c r="J571" s="169" t="s">
        <v>614</v>
      </c>
      <c r="K571" s="169" t="s">
        <v>405</v>
      </c>
      <c r="L571" s="169" t="s">
        <v>534</v>
      </c>
      <c r="M571" s="169" t="s">
        <v>281</v>
      </c>
      <c r="N571" s="178">
        <v>4800000</v>
      </c>
      <c r="O571" s="169" t="s">
        <v>615</v>
      </c>
      <c r="P571" s="169" t="s">
        <v>283</v>
      </c>
      <c r="Q571" s="169" t="s">
        <v>306</v>
      </c>
      <c r="R571" s="169" t="s">
        <v>283</v>
      </c>
      <c r="S571" s="169" t="s">
        <v>283</v>
      </c>
      <c r="T571" s="169">
        <v>0</v>
      </c>
    </row>
    <row r="572" spans="1:20" x14ac:dyDescent="0.2">
      <c r="A572" s="169">
        <v>622</v>
      </c>
      <c r="B572" s="168" t="s">
        <v>8</v>
      </c>
      <c r="C572" s="168" t="s">
        <v>22</v>
      </c>
      <c r="D572" s="173">
        <v>45744</v>
      </c>
      <c r="E572" s="169" t="s">
        <v>601</v>
      </c>
      <c r="F572" s="169" t="s">
        <v>400</v>
      </c>
      <c r="G572" s="169" t="s">
        <v>401</v>
      </c>
      <c r="H572" s="169" t="s">
        <v>430</v>
      </c>
      <c r="I572" s="169" t="s">
        <v>431</v>
      </c>
      <c r="J572" s="169" t="s">
        <v>616</v>
      </c>
      <c r="K572" s="169" t="s">
        <v>405</v>
      </c>
      <c r="L572" s="169" t="s">
        <v>534</v>
      </c>
      <c r="M572" s="169" t="s">
        <v>281</v>
      </c>
      <c r="N572" s="178">
        <v>72940972</v>
      </c>
      <c r="O572" s="169" t="s">
        <v>603</v>
      </c>
      <c r="P572" s="169" t="s">
        <v>283</v>
      </c>
      <c r="Q572" s="169" t="s">
        <v>306</v>
      </c>
      <c r="R572" s="169" t="s">
        <v>283</v>
      </c>
      <c r="S572" s="169" t="s">
        <v>283</v>
      </c>
      <c r="T572" s="169">
        <v>0</v>
      </c>
    </row>
    <row r="573" spans="1:20" x14ac:dyDescent="0.2">
      <c r="A573" s="169">
        <v>622</v>
      </c>
      <c r="B573" s="168" t="s">
        <v>8</v>
      </c>
      <c r="C573" s="168" t="s">
        <v>22</v>
      </c>
      <c r="D573" s="173">
        <v>45744</v>
      </c>
      <c r="E573" s="169" t="s">
        <v>601</v>
      </c>
      <c r="F573" s="169" t="s">
        <v>400</v>
      </c>
      <c r="G573" s="169" t="s">
        <v>401</v>
      </c>
      <c r="H573" s="169" t="s">
        <v>430</v>
      </c>
      <c r="I573" s="169" t="s">
        <v>431</v>
      </c>
      <c r="J573" s="169" t="s">
        <v>617</v>
      </c>
      <c r="K573" s="169" t="s">
        <v>405</v>
      </c>
      <c r="L573" s="169" t="s">
        <v>534</v>
      </c>
      <c r="M573" s="169" t="s">
        <v>281</v>
      </c>
      <c r="N573" s="178">
        <v>3000000</v>
      </c>
      <c r="O573" s="169" t="s">
        <v>603</v>
      </c>
      <c r="P573" s="169" t="s">
        <v>283</v>
      </c>
      <c r="Q573" s="169" t="s">
        <v>306</v>
      </c>
      <c r="R573" s="169" t="s">
        <v>283</v>
      </c>
      <c r="S573" s="169" t="s">
        <v>283</v>
      </c>
      <c r="T573" s="169">
        <v>0</v>
      </c>
    </row>
    <row r="574" spans="1:20" x14ac:dyDescent="0.2">
      <c r="A574" s="169">
        <v>622</v>
      </c>
      <c r="B574" s="168" t="s">
        <v>8</v>
      </c>
      <c r="C574" s="168" t="s">
        <v>22</v>
      </c>
      <c r="D574" s="173">
        <v>45747</v>
      </c>
      <c r="E574" s="169" t="s">
        <v>531</v>
      </c>
      <c r="F574" s="169" t="s">
        <v>400</v>
      </c>
      <c r="G574" s="169" t="s">
        <v>401</v>
      </c>
      <c r="H574" s="169" t="s">
        <v>430</v>
      </c>
      <c r="I574" s="169" t="s">
        <v>431</v>
      </c>
      <c r="J574" s="169" t="s">
        <v>532</v>
      </c>
      <c r="K574" s="169" t="s">
        <v>533</v>
      </c>
      <c r="L574" s="169" t="s">
        <v>534</v>
      </c>
      <c r="M574" s="169" t="s">
        <v>281</v>
      </c>
      <c r="N574" s="178">
        <v>220083491</v>
      </c>
      <c r="O574" s="169" t="s">
        <v>535</v>
      </c>
      <c r="P574" s="169" t="s">
        <v>283</v>
      </c>
      <c r="Q574" s="169" t="s">
        <v>284</v>
      </c>
      <c r="R574" s="169" t="s">
        <v>283</v>
      </c>
      <c r="S574" s="169" t="s">
        <v>283</v>
      </c>
      <c r="T574" s="169">
        <v>0</v>
      </c>
    </row>
    <row r="575" spans="1:20" x14ac:dyDescent="0.2">
      <c r="A575" s="169">
        <v>622</v>
      </c>
      <c r="B575" s="168" t="s">
        <v>8</v>
      </c>
      <c r="C575" s="168" t="s">
        <v>22</v>
      </c>
      <c r="D575" s="173">
        <v>45747</v>
      </c>
      <c r="E575" s="169" t="s">
        <v>531</v>
      </c>
      <c r="F575" s="169" t="s">
        <v>420</v>
      </c>
      <c r="G575" s="169" t="s">
        <v>286</v>
      </c>
      <c r="H575" s="169" t="s">
        <v>430</v>
      </c>
      <c r="I575" s="169" t="s">
        <v>431</v>
      </c>
      <c r="J575" s="169" t="s">
        <v>532</v>
      </c>
      <c r="K575" s="169" t="s">
        <v>533</v>
      </c>
      <c r="L575" s="169" t="s">
        <v>534</v>
      </c>
      <c r="M575" s="169" t="s">
        <v>281</v>
      </c>
      <c r="N575" s="178">
        <v>1143847</v>
      </c>
      <c r="O575" s="169" t="s">
        <v>535</v>
      </c>
      <c r="P575" s="169" t="s">
        <v>283</v>
      </c>
      <c r="Q575" s="169" t="s">
        <v>284</v>
      </c>
      <c r="R575" s="169" t="s">
        <v>283</v>
      </c>
      <c r="S575" s="169" t="s">
        <v>283</v>
      </c>
      <c r="T575" s="169">
        <v>0</v>
      </c>
    </row>
    <row r="576" spans="1:20" x14ac:dyDescent="0.2">
      <c r="A576" s="169">
        <v>622</v>
      </c>
      <c r="B576" s="168" t="s">
        <v>8</v>
      </c>
      <c r="C576" s="168" t="s">
        <v>25</v>
      </c>
      <c r="D576" s="173">
        <v>45747</v>
      </c>
      <c r="E576" s="169" t="s">
        <v>531</v>
      </c>
      <c r="F576" s="169" t="s">
        <v>421</v>
      </c>
      <c r="G576" s="169" t="s">
        <v>341</v>
      </c>
      <c r="H576" s="169" t="s">
        <v>430</v>
      </c>
      <c r="I576" s="169" t="s">
        <v>431</v>
      </c>
      <c r="J576" s="169" t="s">
        <v>532</v>
      </c>
      <c r="K576" s="169" t="s">
        <v>533</v>
      </c>
      <c r="L576" s="169" t="s">
        <v>534</v>
      </c>
      <c r="M576" s="169" t="s">
        <v>281</v>
      </c>
      <c r="N576" s="178">
        <v>18366745</v>
      </c>
      <c r="O576" s="169" t="s">
        <v>535</v>
      </c>
      <c r="P576" s="169" t="s">
        <v>283</v>
      </c>
      <c r="Q576" s="169" t="s">
        <v>284</v>
      </c>
      <c r="R576" s="169" t="s">
        <v>283</v>
      </c>
      <c r="S576" s="169" t="s">
        <v>283</v>
      </c>
      <c r="T576" s="169">
        <v>0</v>
      </c>
    </row>
    <row r="577" spans="1:20" x14ac:dyDescent="0.2">
      <c r="A577" s="169">
        <v>622</v>
      </c>
      <c r="B577" s="168" t="s">
        <v>8</v>
      </c>
      <c r="C577" s="168" t="s">
        <v>23</v>
      </c>
      <c r="D577" s="173">
        <v>45747</v>
      </c>
      <c r="E577" s="169" t="s">
        <v>531</v>
      </c>
      <c r="F577" s="169" t="s">
        <v>422</v>
      </c>
      <c r="G577" s="169" t="s">
        <v>423</v>
      </c>
      <c r="H577" s="169" t="s">
        <v>430</v>
      </c>
      <c r="I577" s="169" t="s">
        <v>431</v>
      </c>
      <c r="J577" s="169" t="s">
        <v>532</v>
      </c>
      <c r="K577" s="169" t="s">
        <v>533</v>
      </c>
      <c r="L577" s="169" t="s">
        <v>534</v>
      </c>
      <c r="M577" s="169" t="s">
        <v>281</v>
      </c>
      <c r="N577" s="178">
        <v>47759954</v>
      </c>
      <c r="O577" s="169" t="s">
        <v>535</v>
      </c>
      <c r="P577" s="169" t="s">
        <v>283</v>
      </c>
      <c r="Q577" s="169" t="s">
        <v>284</v>
      </c>
      <c r="R577" s="169" t="s">
        <v>283</v>
      </c>
      <c r="S577" s="169" t="s">
        <v>283</v>
      </c>
      <c r="T577" s="169">
        <v>0</v>
      </c>
    </row>
    <row r="578" spans="1:20" x14ac:dyDescent="0.2">
      <c r="A578" s="169">
        <v>622</v>
      </c>
      <c r="B578" s="168" t="s">
        <v>8</v>
      </c>
      <c r="C578" s="168" t="s">
        <v>25</v>
      </c>
      <c r="D578" s="173">
        <v>45747</v>
      </c>
      <c r="E578" s="169" t="s">
        <v>531</v>
      </c>
      <c r="F578" s="169" t="s">
        <v>414</v>
      </c>
      <c r="G578" s="169" t="s">
        <v>415</v>
      </c>
      <c r="H578" s="169" t="s">
        <v>430</v>
      </c>
      <c r="I578" s="169" t="s">
        <v>431</v>
      </c>
      <c r="J578" s="169" t="s">
        <v>532</v>
      </c>
      <c r="K578" s="169" t="s">
        <v>533</v>
      </c>
      <c r="L578" s="169" t="s">
        <v>534</v>
      </c>
      <c r="M578" s="169" t="s">
        <v>281</v>
      </c>
      <c r="N578" s="178">
        <v>5140000</v>
      </c>
      <c r="O578" s="169" t="s">
        <v>535</v>
      </c>
      <c r="P578" s="169" t="s">
        <v>283</v>
      </c>
      <c r="Q578" s="169" t="s">
        <v>284</v>
      </c>
      <c r="R578" s="169" t="s">
        <v>283</v>
      </c>
      <c r="S578" s="169" t="s">
        <v>283</v>
      </c>
      <c r="T578" s="169">
        <v>0</v>
      </c>
    </row>
    <row r="579" spans="1:20" x14ac:dyDescent="0.2">
      <c r="A579" s="169">
        <v>627</v>
      </c>
      <c r="B579" s="168" t="s">
        <v>8</v>
      </c>
      <c r="C579" s="168" t="s">
        <v>25</v>
      </c>
      <c r="D579" s="173">
        <v>45747</v>
      </c>
      <c r="E579" s="169" t="s">
        <v>531</v>
      </c>
      <c r="F579" s="169" t="s">
        <v>386</v>
      </c>
      <c r="G579" s="169" t="s">
        <v>341</v>
      </c>
      <c r="H579" s="169" t="s">
        <v>430</v>
      </c>
      <c r="I579" s="169" t="s">
        <v>431</v>
      </c>
      <c r="J579" s="169" t="s">
        <v>532</v>
      </c>
      <c r="K579" s="169" t="s">
        <v>533</v>
      </c>
      <c r="L579" s="169" t="s">
        <v>534</v>
      </c>
      <c r="M579" s="169" t="s">
        <v>281</v>
      </c>
      <c r="N579" s="178">
        <v>8733352</v>
      </c>
      <c r="O579" s="169" t="s">
        <v>535</v>
      </c>
      <c r="P579" s="169" t="s">
        <v>283</v>
      </c>
      <c r="Q579" s="169" t="s">
        <v>284</v>
      </c>
      <c r="R579" s="169" t="s">
        <v>283</v>
      </c>
      <c r="S579" s="169" t="s">
        <v>283</v>
      </c>
      <c r="T579" s="169">
        <v>0</v>
      </c>
    </row>
    <row r="580" spans="1:20" x14ac:dyDescent="0.2">
      <c r="A580" s="169">
        <v>627</v>
      </c>
      <c r="B580" s="168" t="s">
        <v>8</v>
      </c>
      <c r="C580" s="168" t="s">
        <v>22</v>
      </c>
      <c r="D580" s="173">
        <v>45747</v>
      </c>
      <c r="E580" s="169" t="s">
        <v>531</v>
      </c>
      <c r="F580" s="169" t="s">
        <v>387</v>
      </c>
      <c r="G580" s="169" t="s">
        <v>275</v>
      </c>
      <c r="H580" s="169" t="s">
        <v>430</v>
      </c>
      <c r="I580" s="169" t="s">
        <v>431</v>
      </c>
      <c r="J580" s="169" t="s">
        <v>532</v>
      </c>
      <c r="K580" s="169" t="s">
        <v>533</v>
      </c>
      <c r="L580" s="169" t="s">
        <v>534</v>
      </c>
      <c r="M580" s="169" t="s">
        <v>281</v>
      </c>
      <c r="N580" s="178">
        <v>156450015</v>
      </c>
      <c r="O580" s="169" t="s">
        <v>535</v>
      </c>
      <c r="P580" s="169" t="s">
        <v>283</v>
      </c>
      <c r="Q580" s="169" t="s">
        <v>284</v>
      </c>
      <c r="R580" s="169" t="s">
        <v>283</v>
      </c>
      <c r="S580" s="169" t="s">
        <v>283</v>
      </c>
      <c r="T580" s="169">
        <v>0</v>
      </c>
    </row>
    <row r="581" spans="1:20" x14ac:dyDescent="0.2">
      <c r="A581" s="169">
        <v>627</v>
      </c>
      <c r="B581" s="168" t="s">
        <v>8</v>
      </c>
      <c r="C581" s="168" t="s">
        <v>22</v>
      </c>
      <c r="D581" s="173">
        <v>45747</v>
      </c>
      <c r="E581" s="169" t="s">
        <v>531</v>
      </c>
      <c r="F581" s="169" t="s">
        <v>388</v>
      </c>
      <c r="G581" s="169" t="s">
        <v>286</v>
      </c>
      <c r="H581" s="169" t="s">
        <v>430</v>
      </c>
      <c r="I581" s="169" t="s">
        <v>431</v>
      </c>
      <c r="J581" s="169" t="s">
        <v>532</v>
      </c>
      <c r="K581" s="169" t="s">
        <v>533</v>
      </c>
      <c r="L581" s="169" t="s">
        <v>534</v>
      </c>
      <c r="M581" s="169" t="s">
        <v>281</v>
      </c>
      <c r="N581" s="178">
        <v>4384231</v>
      </c>
      <c r="O581" s="169" t="s">
        <v>535</v>
      </c>
      <c r="P581" s="169" t="s">
        <v>283</v>
      </c>
      <c r="Q581" s="169" t="s">
        <v>284</v>
      </c>
      <c r="R581" s="169" t="s">
        <v>283</v>
      </c>
      <c r="S581" s="169" t="s">
        <v>283</v>
      </c>
      <c r="T581" s="169">
        <v>0</v>
      </c>
    </row>
    <row r="582" spans="1:20" x14ac:dyDescent="0.2">
      <c r="A582" s="169">
        <v>622</v>
      </c>
      <c r="B582" s="168" t="s">
        <v>8</v>
      </c>
      <c r="C582" s="168" t="s">
        <v>22</v>
      </c>
      <c r="D582" s="173">
        <v>45747</v>
      </c>
      <c r="E582" s="169" t="s">
        <v>536</v>
      </c>
      <c r="F582" s="169" t="s">
        <v>420</v>
      </c>
      <c r="G582" s="169" t="s">
        <v>286</v>
      </c>
      <c r="H582" s="169" t="s">
        <v>430</v>
      </c>
      <c r="I582" s="169" t="s">
        <v>431</v>
      </c>
      <c r="J582" s="169" t="s">
        <v>537</v>
      </c>
      <c r="K582" s="169" t="s">
        <v>533</v>
      </c>
      <c r="L582" s="169" t="s">
        <v>534</v>
      </c>
      <c r="M582" s="169" t="s">
        <v>281</v>
      </c>
      <c r="N582" s="178">
        <v>16000175</v>
      </c>
      <c r="O582" s="169" t="s">
        <v>538</v>
      </c>
      <c r="P582" s="169" t="s">
        <v>283</v>
      </c>
      <c r="Q582" s="169" t="s">
        <v>284</v>
      </c>
      <c r="R582" s="169" t="s">
        <v>283</v>
      </c>
      <c r="S582" s="169" t="s">
        <v>283</v>
      </c>
      <c r="T582" s="169">
        <v>0</v>
      </c>
    </row>
    <row r="583" spans="1:20" x14ac:dyDescent="0.2">
      <c r="A583" s="169">
        <v>622</v>
      </c>
      <c r="B583" s="168" t="s">
        <v>8</v>
      </c>
      <c r="C583" s="168" t="s">
        <v>24</v>
      </c>
      <c r="D583" s="173">
        <v>45747</v>
      </c>
      <c r="E583" s="169" t="s">
        <v>536</v>
      </c>
      <c r="F583" s="169" t="s">
        <v>426</v>
      </c>
      <c r="G583" s="169" t="s">
        <v>77</v>
      </c>
      <c r="H583" s="169" t="s">
        <v>430</v>
      </c>
      <c r="I583" s="169" t="s">
        <v>431</v>
      </c>
      <c r="J583" s="169" t="s">
        <v>539</v>
      </c>
      <c r="K583" s="169" t="s">
        <v>533</v>
      </c>
      <c r="L583" s="169" t="s">
        <v>534</v>
      </c>
      <c r="M583" s="169" t="s">
        <v>281</v>
      </c>
      <c r="N583" s="178">
        <v>4344326</v>
      </c>
      <c r="O583" s="169" t="s">
        <v>538</v>
      </c>
      <c r="P583" s="169" t="s">
        <v>283</v>
      </c>
      <c r="Q583" s="169" t="s">
        <v>284</v>
      </c>
      <c r="R583" s="169" t="s">
        <v>283</v>
      </c>
      <c r="S583" s="169" t="s">
        <v>283</v>
      </c>
      <c r="T583" s="169">
        <v>0</v>
      </c>
    </row>
    <row r="584" spans="1:20" x14ac:dyDescent="0.2">
      <c r="A584" s="169">
        <v>622</v>
      </c>
      <c r="B584" s="168" t="s">
        <v>8</v>
      </c>
      <c r="C584" s="168" t="s">
        <v>170</v>
      </c>
      <c r="D584" s="173">
        <v>45747</v>
      </c>
      <c r="E584" s="169" t="s">
        <v>540</v>
      </c>
      <c r="F584" s="169" t="s">
        <v>425</v>
      </c>
      <c r="G584" s="169" t="s">
        <v>296</v>
      </c>
      <c r="H584" s="169" t="s">
        <v>430</v>
      </c>
      <c r="I584" s="169" t="s">
        <v>431</v>
      </c>
      <c r="J584" s="169" t="s">
        <v>541</v>
      </c>
      <c r="K584" s="169" t="s">
        <v>533</v>
      </c>
      <c r="L584" s="169" t="s">
        <v>534</v>
      </c>
      <c r="M584" s="169" t="s">
        <v>281</v>
      </c>
      <c r="N584" s="178">
        <v>23022305</v>
      </c>
      <c r="O584" s="169" t="s">
        <v>542</v>
      </c>
      <c r="P584" s="169" t="s">
        <v>283</v>
      </c>
      <c r="Q584" s="169" t="s">
        <v>284</v>
      </c>
      <c r="R584" s="169" t="s">
        <v>283</v>
      </c>
      <c r="S584" s="169" t="s">
        <v>283</v>
      </c>
      <c r="T584" s="169">
        <v>0</v>
      </c>
    </row>
    <row r="585" spans="1:20" x14ac:dyDescent="0.2">
      <c r="A585" s="169">
        <v>622</v>
      </c>
      <c r="B585" s="168" t="s">
        <v>8</v>
      </c>
      <c r="C585" s="168" t="s">
        <v>25</v>
      </c>
      <c r="D585" s="173">
        <v>45747</v>
      </c>
      <c r="E585" s="169" t="s">
        <v>606</v>
      </c>
      <c r="F585" s="169" t="s">
        <v>414</v>
      </c>
      <c r="G585" s="169" t="s">
        <v>415</v>
      </c>
      <c r="H585" s="169" t="s">
        <v>430</v>
      </c>
      <c r="I585" s="169" t="s">
        <v>431</v>
      </c>
      <c r="J585" s="169" t="s">
        <v>416</v>
      </c>
      <c r="K585" s="169" t="s">
        <v>416</v>
      </c>
      <c r="L585" s="169" t="s">
        <v>534</v>
      </c>
      <c r="M585" s="169" t="s">
        <v>281</v>
      </c>
      <c r="N585" s="178">
        <v>17625000</v>
      </c>
      <c r="O585" s="169" t="s">
        <v>607</v>
      </c>
      <c r="P585" s="169" t="s">
        <v>283</v>
      </c>
      <c r="Q585" s="169" t="s">
        <v>348</v>
      </c>
      <c r="R585" s="169" t="s">
        <v>283</v>
      </c>
      <c r="S585" s="169" t="s">
        <v>283</v>
      </c>
      <c r="T585" s="169">
        <v>0</v>
      </c>
    </row>
    <row r="586" spans="1:20" x14ac:dyDescent="0.2">
      <c r="A586" s="169">
        <v>622</v>
      </c>
      <c r="B586" s="168" t="s">
        <v>8</v>
      </c>
      <c r="C586" s="168" t="s">
        <v>25</v>
      </c>
      <c r="D586" s="173">
        <v>45747</v>
      </c>
      <c r="E586" s="169" t="s">
        <v>608</v>
      </c>
      <c r="F586" s="169" t="s">
        <v>414</v>
      </c>
      <c r="G586" s="169" t="s">
        <v>415</v>
      </c>
      <c r="H586" s="169" t="s">
        <v>430</v>
      </c>
      <c r="I586" s="169" t="s">
        <v>431</v>
      </c>
      <c r="J586" s="169" t="s">
        <v>416</v>
      </c>
      <c r="K586" s="169" t="s">
        <v>416</v>
      </c>
      <c r="L586" s="169" t="s">
        <v>534</v>
      </c>
      <c r="M586" s="169" t="s">
        <v>281</v>
      </c>
      <c r="N586" s="178">
        <v>-17625000</v>
      </c>
      <c r="O586" s="169" t="s">
        <v>609</v>
      </c>
      <c r="P586" s="169" t="s">
        <v>447</v>
      </c>
      <c r="Q586" s="169" t="s">
        <v>284</v>
      </c>
      <c r="R586" s="169" t="s">
        <v>283</v>
      </c>
      <c r="S586" s="169" t="s">
        <v>283</v>
      </c>
      <c r="T586" s="169">
        <v>0</v>
      </c>
    </row>
    <row r="587" spans="1:20" x14ac:dyDescent="0.2">
      <c r="A587" s="169">
        <v>622</v>
      </c>
      <c r="B587" s="168" t="s">
        <v>8</v>
      </c>
      <c r="C587" s="168" t="s">
        <v>25</v>
      </c>
      <c r="D587" s="173">
        <v>45747</v>
      </c>
      <c r="E587" s="169" t="s">
        <v>610</v>
      </c>
      <c r="F587" s="169" t="s">
        <v>414</v>
      </c>
      <c r="G587" s="169" t="s">
        <v>415</v>
      </c>
      <c r="H587" s="169" t="s">
        <v>430</v>
      </c>
      <c r="I587" s="169" t="s">
        <v>431</v>
      </c>
      <c r="J587" s="169" t="s">
        <v>416</v>
      </c>
      <c r="K587" s="169" t="s">
        <v>416</v>
      </c>
      <c r="L587" s="169" t="s">
        <v>534</v>
      </c>
      <c r="M587" s="169" t="s">
        <v>281</v>
      </c>
      <c r="N587" s="178">
        <v>17625000</v>
      </c>
      <c r="O587" s="169" t="s">
        <v>611</v>
      </c>
      <c r="P587" s="169" t="s">
        <v>283</v>
      </c>
      <c r="Q587" s="169" t="s">
        <v>348</v>
      </c>
      <c r="R587" s="169" t="s">
        <v>283</v>
      </c>
      <c r="S587" s="169" t="s">
        <v>283</v>
      </c>
      <c r="T587" s="169">
        <v>0</v>
      </c>
    </row>
    <row r="588" spans="1:20" x14ac:dyDescent="0.2">
      <c r="A588" s="169">
        <v>627</v>
      </c>
      <c r="B588" s="168" t="s">
        <v>8</v>
      </c>
      <c r="C588" s="168" t="s">
        <v>222</v>
      </c>
      <c r="D588" s="173">
        <v>45720</v>
      </c>
      <c r="E588" s="169" t="s">
        <v>618</v>
      </c>
      <c r="F588" s="169" t="s">
        <v>435</v>
      </c>
      <c r="G588" s="169" t="s">
        <v>222</v>
      </c>
      <c r="H588" s="169" t="s">
        <v>436</v>
      </c>
      <c r="I588" s="169" t="s">
        <v>437</v>
      </c>
      <c r="J588" s="169" t="s">
        <v>619</v>
      </c>
      <c r="K588" s="169" t="s">
        <v>620</v>
      </c>
      <c r="L588" s="169" t="s">
        <v>534</v>
      </c>
      <c r="M588" s="169" t="s">
        <v>281</v>
      </c>
      <c r="N588" s="178">
        <v>7800000</v>
      </c>
      <c r="O588" s="169" t="s">
        <v>621</v>
      </c>
      <c r="P588" s="169" t="s">
        <v>283</v>
      </c>
      <c r="Q588" s="169" t="s">
        <v>325</v>
      </c>
      <c r="R588" s="169" t="s">
        <v>283</v>
      </c>
      <c r="S588" s="169" t="s">
        <v>283</v>
      </c>
      <c r="T588" s="169">
        <v>0</v>
      </c>
    </row>
    <row r="589" spans="1:20" x14ac:dyDescent="0.2">
      <c r="A589" s="169">
        <v>627</v>
      </c>
      <c r="B589" s="168" t="s">
        <v>8</v>
      </c>
      <c r="C589" s="168" t="s">
        <v>222</v>
      </c>
      <c r="D589" s="173">
        <v>45720</v>
      </c>
      <c r="E589" s="169" t="s">
        <v>622</v>
      </c>
      <c r="F589" s="169" t="s">
        <v>435</v>
      </c>
      <c r="G589" s="169" t="s">
        <v>222</v>
      </c>
      <c r="H589" s="169" t="s">
        <v>436</v>
      </c>
      <c r="I589" s="169" t="s">
        <v>437</v>
      </c>
      <c r="J589" s="169" t="s">
        <v>619</v>
      </c>
      <c r="K589" s="169" t="s">
        <v>620</v>
      </c>
      <c r="L589" s="169" t="s">
        <v>534</v>
      </c>
      <c r="M589" s="169" t="s">
        <v>281</v>
      </c>
      <c r="N589" s="178">
        <v>-7800000</v>
      </c>
      <c r="O589" s="169" t="s">
        <v>623</v>
      </c>
      <c r="P589" s="169" t="s">
        <v>447</v>
      </c>
      <c r="Q589" s="169" t="s">
        <v>284</v>
      </c>
      <c r="R589" s="169" t="s">
        <v>283</v>
      </c>
      <c r="S589" s="169" t="s">
        <v>283</v>
      </c>
      <c r="T589" s="169">
        <v>0</v>
      </c>
    </row>
    <row r="590" spans="1:20" x14ac:dyDescent="0.2">
      <c r="A590" s="169">
        <v>627</v>
      </c>
      <c r="B590" s="168" t="s">
        <v>8</v>
      </c>
      <c r="C590" s="168" t="s">
        <v>222</v>
      </c>
      <c r="D590" s="173">
        <v>45720</v>
      </c>
      <c r="E590" s="169" t="s">
        <v>624</v>
      </c>
      <c r="F590" s="169" t="s">
        <v>435</v>
      </c>
      <c r="G590" s="169" t="s">
        <v>222</v>
      </c>
      <c r="H590" s="169" t="s">
        <v>436</v>
      </c>
      <c r="I590" s="169" t="s">
        <v>437</v>
      </c>
      <c r="J590" s="169" t="s">
        <v>625</v>
      </c>
      <c r="K590" s="169" t="s">
        <v>626</v>
      </c>
      <c r="L590" s="169" t="s">
        <v>534</v>
      </c>
      <c r="M590" s="169" t="s">
        <v>281</v>
      </c>
      <c r="N590" s="178">
        <v>7800000</v>
      </c>
      <c r="O590" s="169" t="s">
        <v>627</v>
      </c>
      <c r="P590" s="169" t="s">
        <v>283</v>
      </c>
      <c r="Q590" s="169" t="s">
        <v>325</v>
      </c>
      <c r="R590" s="169" t="s">
        <v>283</v>
      </c>
      <c r="S590" s="169" t="s">
        <v>283</v>
      </c>
      <c r="T590" s="169">
        <v>0</v>
      </c>
    </row>
    <row r="591" spans="1:20" x14ac:dyDescent="0.2">
      <c r="A591" s="169">
        <v>627</v>
      </c>
      <c r="B591" s="168" t="s">
        <v>8</v>
      </c>
      <c r="C591" s="168" t="s">
        <v>23</v>
      </c>
      <c r="D591" s="173">
        <v>45747</v>
      </c>
      <c r="E591" s="169" t="s">
        <v>531</v>
      </c>
      <c r="F591" s="169" t="s">
        <v>389</v>
      </c>
      <c r="G591" s="169" t="s">
        <v>390</v>
      </c>
      <c r="H591" s="169" t="s">
        <v>430</v>
      </c>
      <c r="I591" s="169" t="s">
        <v>431</v>
      </c>
      <c r="J591" s="169" t="s">
        <v>532</v>
      </c>
      <c r="K591" s="169" t="s">
        <v>533</v>
      </c>
      <c r="L591" s="169" t="s">
        <v>534</v>
      </c>
      <c r="M591" s="169" t="s">
        <v>281</v>
      </c>
      <c r="N591" s="178">
        <v>22591126</v>
      </c>
      <c r="O591" s="169" t="s">
        <v>535</v>
      </c>
      <c r="P591" s="169" t="s">
        <v>283</v>
      </c>
      <c r="Q591" s="169" t="s">
        <v>284</v>
      </c>
      <c r="R591" s="169" t="s">
        <v>283</v>
      </c>
      <c r="S591" s="169" t="s">
        <v>283</v>
      </c>
      <c r="T591" s="169">
        <v>0</v>
      </c>
    </row>
    <row r="592" spans="1:20" x14ac:dyDescent="0.2">
      <c r="A592" s="169">
        <v>627</v>
      </c>
      <c r="B592" s="168" t="s">
        <v>8</v>
      </c>
      <c r="C592" s="168" t="s">
        <v>25</v>
      </c>
      <c r="D592" s="173">
        <v>45747</v>
      </c>
      <c r="E592" s="169" t="s">
        <v>531</v>
      </c>
      <c r="F592" s="169" t="s">
        <v>375</v>
      </c>
      <c r="G592" s="169" t="s">
        <v>336</v>
      </c>
      <c r="H592" s="169" t="s">
        <v>430</v>
      </c>
      <c r="I592" s="169" t="s">
        <v>431</v>
      </c>
      <c r="J592" s="169" t="s">
        <v>532</v>
      </c>
      <c r="K592" s="169" t="s">
        <v>533</v>
      </c>
      <c r="L592" s="169" t="s">
        <v>534</v>
      </c>
      <c r="M592" s="169" t="s">
        <v>281</v>
      </c>
      <c r="N592" s="178">
        <v>1560000</v>
      </c>
      <c r="O592" s="169" t="s">
        <v>535</v>
      </c>
      <c r="P592" s="169" t="s">
        <v>283</v>
      </c>
      <c r="Q592" s="169" t="s">
        <v>284</v>
      </c>
      <c r="R592" s="169" t="s">
        <v>283</v>
      </c>
      <c r="S592" s="169" t="s">
        <v>283</v>
      </c>
      <c r="T592" s="169">
        <v>0</v>
      </c>
    </row>
    <row r="593" spans="1:20" x14ac:dyDescent="0.2">
      <c r="A593" s="169">
        <v>627</v>
      </c>
      <c r="B593" s="168" t="s">
        <v>8</v>
      </c>
      <c r="C593" s="168" t="s">
        <v>25</v>
      </c>
      <c r="D593" s="173">
        <v>45747</v>
      </c>
      <c r="E593" s="169" t="s">
        <v>531</v>
      </c>
      <c r="F593" s="169" t="s">
        <v>386</v>
      </c>
      <c r="G593" s="169" t="s">
        <v>341</v>
      </c>
      <c r="H593" s="169" t="s">
        <v>436</v>
      </c>
      <c r="I593" s="169" t="s">
        <v>437</v>
      </c>
      <c r="J593" s="169" t="s">
        <v>532</v>
      </c>
      <c r="K593" s="169" t="s">
        <v>533</v>
      </c>
      <c r="L593" s="169" t="s">
        <v>534</v>
      </c>
      <c r="M593" s="169" t="s">
        <v>281</v>
      </c>
      <c r="N593" s="178">
        <v>13892794</v>
      </c>
      <c r="O593" s="169" t="s">
        <v>535</v>
      </c>
      <c r="P593" s="169" t="s">
        <v>283</v>
      </c>
      <c r="Q593" s="169" t="s">
        <v>284</v>
      </c>
      <c r="R593" s="169" t="s">
        <v>283</v>
      </c>
      <c r="S593" s="169" t="s">
        <v>283</v>
      </c>
      <c r="T593" s="169">
        <v>0</v>
      </c>
    </row>
    <row r="594" spans="1:20" x14ac:dyDescent="0.2">
      <c r="A594" s="169">
        <v>627</v>
      </c>
      <c r="B594" s="168" t="s">
        <v>8</v>
      </c>
      <c r="C594" s="168" t="s">
        <v>22</v>
      </c>
      <c r="D594" s="173">
        <v>45747</v>
      </c>
      <c r="E594" s="169" t="s">
        <v>531</v>
      </c>
      <c r="F594" s="169" t="s">
        <v>387</v>
      </c>
      <c r="G594" s="169" t="s">
        <v>275</v>
      </c>
      <c r="H594" s="169" t="s">
        <v>436</v>
      </c>
      <c r="I594" s="169" t="s">
        <v>437</v>
      </c>
      <c r="J594" s="169" t="s">
        <v>532</v>
      </c>
      <c r="K594" s="169" t="s">
        <v>533</v>
      </c>
      <c r="L594" s="169" t="s">
        <v>534</v>
      </c>
      <c r="M594" s="169" t="s">
        <v>281</v>
      </c>
      <c r="N594" s="178">
        <v>415377136</v>
      </c>
      <c r="O594" s="169" t="s">
        <v>535</v>
      </c>
      <c r="P594" s="169" t="s">
        <v>283</v>
      </c>
      <c r="Q594" s="169" t="s">
        <v>284</v>
      </c>
      <c r="R594" s="169" t="s">
        <v>283</v>
      </c>
      <c r="S594" s="169" t="s">
        <v>283</v>
      </c>
      <c r="T594" s="169">
        <v>0</v>
      </c>
    </row>
    <row r="595" spans="1:20" x14ac:dyDescent="0.2">
      <c r="A595" s="169">
        <v>627</v>
      </c>
      <c r="B595" s="168" t="s">
        <v>8</v>
      </c>
      <c r="C595" s="168" t="s">
        <v>22</v>
      </c>
      <c r="D595" s="173">
        <v>45747</v>
      </c>
      <c r="E595" s="169" t="s">
        <v>531</v>
      </c>
      <c r="F595" s="169" t="s">
        <v>388</v>
      </c>
      <c r="G595" s="169" t="s">
        <v>286</v>
      </c>
      <c r="H595" s="169" t="s">
        <v>436</v>
      </c>
      <c r="I595" s="169" t="s">
        <v>437</v>
      </c>
      <c r="J595" s="169" t="s">
        <v>532</v>
      </c>
      <c r="K595" s="169" t="s">
        <v>533</v>
      </c>
      <c r="L595" s="169" t="s">
        <v>534</v>
      </c>
      <c r="M595" s="169" t="s">
        <v>281</v>
      </c>
      <c r="N595" s="178">
        <v>7363790</v>
      </c>
      <c r="O595" s="169" t="s">
        <v>535</v>
      </c>
      <c r="P595" s="169" t="s">
        <v>283</v>
      </c>
      <c r="Q595" s="169" t="s">
        <v>284</v>
      </c>
      <c r="R595" s="169" t="s">
        <v>283</v>
      </c>
      <c r="S595" s="169" t="s">
        <v>283</v>
      </c>
      <c r="T595" s="169">
        <v>0</v>
      </c>
    </row>
    <row r="596" spans="1:20" x14ac:dyDescent="0.2">
      <c r="A596" s="169">
        <v>627</v>
      </c>
      <c r="B596" s="168" t="s">
        <v>8</v>
      </c>
      <c r="C596" s="168" t="s">
        <v>23</v>
      </c>
      <c r="D596" s="173">
        <v>45747</v>
      </c>
      <c r="E596" s="169" t="s">
        <v>531</v>
      </c>
      <c r="F596" s="169" t="s">
        <v>389</v>
      </c>
      <c r="G596" s="169" t="s">
        <v>390</v>
      </c>
      <c r="H596" s="169" t="s">
        <v>436</v>
      </c>
      <c r="I596" s="169" t="s">
        <v>437</v>
      </c>
      <c r="J596" s="169" t="s">
        <v>532</v>
      </c>
      <c r="K596" s="169" t="s">
        <v>533</v>
      </c>
      <c r="L596" s="169" t="s">
        <v>534</v>
      </c>
      <c r="M596" s="169" t="s">
        <v>281</v>
      </c>
      <c r="N596" s="178">
        <v>66994872</v>
      </c>
      <c r="O596" s="169" t="s">
        <v>535</v>
      </c>
      <c r="P596" s="169" t="s">
        <v>283</v>
      </c>
      <c r="Q596" s="169" t="s">
        <v>284</v>
      </c>
      <c r="R596" s="169" t="s">
        <v>283</v>
      </c>
      <c r="S596" s="169" t="s">
        <v>283</v>
      </c>
      <c r="T596" s="169">
        <v>0</v>
      </c>
    </row>
    <row r="597" spans="1:20" x14ac:dyDescent="0.2">
      <c r="A597" s="169">
        <v>627</v>
      </c>
      <c r="B597" s="168" t="s">
        <v>8</v>
      </c>
      <c r="C597" s="168" t="s">
        <v>25</v>
      </c>
      <c r="D597" s="173">
        <v>45747</v>
      </c>
      <c r="E597" s="169" t="s">
        <v>531</v>
      </c>
      <c r="F597" s="169" t="s">
        <v>375</v>
      </c>
      <c r="G597" s="169" t="s">
        <v>336</v>
      </c>
      <c r="H597" s="169" t="s">
        <v>436</v>
      </c>
      <c r="I597" s="169" t="s">
        <v>437</v>
      </c>
      <c r="J597" s="169" t="s">
        <v>532</v>
      </c>
      <c r="K597" s="169" t="s">
        <v>533</v>
      </c>
      <c r="L597" s="169" t="s">
        <v>534</v>
      </c>
      <c r="M597" s="169" t="s">
        <v>281</v>
      </c>
      <c r="N597" s="178">
        <v>8275000</v>
      </c>
      <c r="O597" s="169" t="s">
        <v>535</v>
      </c>
      <c r="P597" s="169" t="s">
        <v>283</v>
      </c>
      <c r="Q597" s="169" t="s">
        <v>284</v>
      </c>
      <c r="R597" s="169" t="s">
        <v>283</v>
      </c>
      <c r="S597" s="169" t="s">
        <v>283</v>
      </c>
      <c r="T597" s="169">
        <v>0</v>
      </c>
    </row>
    <row r="598" spans="1:20" x14ac:dyDescent="0.2">
      <c r="B598" s="168" t="s">
        <v>221</v>
      </c>
      <c r="C598" s="168" t="s">
        <v>22</v>
      </c>
      <c r="D598" s="173">
        <v>45747</v>
      </c>
      <c r="E598" s="169" t="s">
        <v>531</v>
      </c>
      <c r="F598" s="169" t="s">
        <v>274</v>
      </c>
      <c r="G598" s="169" t="s">
        <v>275</v>
      </c>
      <c r="H598" s="169" t="s">
        <v>443</v>
      </c>
      <c r="I598" s="169" t="s">
        <v>444</v>
      </c>
      <c r="J598" s="169" t="s">
        <v>532</v>
      </c>
      <c r="K598" s="169" t="s">
        <v>533</v>
      </c>
      <c r="L598" s="169" t="s">
        <v>534</v>
      </c>
      <c r="M598" s="169" t="s">
        <v>281</v>
      </c>
      <c r="N598" s="178">
        <v>225000000</v>
      </c>
      <c r="O598" s="169" t="s">
        <v>535</v>
      </c>
      <c r="P598" s="169" t="s">
        <v>283</v>
      </c>
      <c r="Q598" s="169" t="s">
        <v>284</v>
      </c>
      <c r="R598" s="169" t="s">
        <v>283</v>
      </c>
      <c r="S598" s="169" t="s">
        <v>283</v>
      </c>
      <c r="T598" s="169">
        <v>0</v>
      </c>
    </row>
    <row r="599" spans="1:20" x14ac:dyDescent="0.2">
      <c r="A599" s="169">
        <v>622</v>
      </c>
      <c r="B599" s="168" t="s">
        <v>8</v>
      </c>
      <c r="C599" s="168" t="s">
        <v>22</v>
      </c>
      <c r="D599" s="173">
        <v>45747</v>
      </c>
      <c r="E599" s="169" t="s">
        <v>531</v>
      </c>
      <c r="F599" s="169" t="s">
        <v>400</v>
      </c>
      <c r="G599" s="169" t="s">
        <v>401</v>
      </c>
      <c r="H599" s="169" t="s">
        <v>441</v>
      </c>
      <c r="I599" s="169" t="s">
        <v>442</v>
      </c>
      <c r="J599" s="169" t="s">
        <v>532</v>
      </c>
      <c r="K599" s="169" t="s">
        <v>533</v>
      </c>
      <c r="L599" s="169" t="s">
        <v>534</v>
      </c>
      <c r="M599" s="169" t="s">
        <v>281</v>
      </c>
      <c r="N599" s="178">
        <v>15472088</v>
      </c>
      <c r="O599" s="169" t="s">
        <v>535</v>
      </c>
      <c r="P599" s="169" t="s">
        <v>283</v>
      </c>
      <c r="Q599" s="169" t="s">
        <v>284</v>
      </c>
      <c r="R599" s="169" t="s">
        <v>283</v>
      </c>
      <c r="S599" s="169" t="s">
        <v>283</v>
      </c>
      <c r="T599" s="169">
        <v>0</v>
      </c>
    </row>
    <row r="600" spans="1:20" x14ac:dyDescent="0.2">
      <c r="A600" s="169">
        <v>622</v>
      </c>
      <c r="B600" s="168" t="s">
        <v>8</v>
      </c>
      <c r="C600" s="168" t="s">
        <v>25</v>
      </c>
      <c r="D600" s="173">
        <v>45747</v>
      </c>
      <c r="E600" s="169" t="s">
        <v>531</v>
      </c>
      <c r="F600" s="169" t="s">
        <v>421</v>
      </c>
      <c r="G600" s="169" t="s">
        <v>341</v>
      </c>
      <c r="H600" s="169" t="s">
        <v>441</v>
      </c>
      <c r="I600" s="169" t="s">
        <v>442</v>
      </c>
      <c r="J600" s="169" t="s">
        <v>532</v>
      </c>
      <c r="K600" s="169" t="s">
        <v>533</v>
      </c>
      <c r="L600" s="169" t="s">
        <v>534</v>
      </c>
      <c r="M600" s="169" t="s">
        <v>281</v>
      </c>
      <c r="N600" s="178">
        <v>1327108</v>
      </c>
      <c r="O600" s="169" t="s">
        <v>535</v>
      </c>
      <c r="P600" s="169" t="s">
        <v>283</v>
      </c>
      <c r="Q600" s="169" t="s">
        <v>284</v>
      </c>
      <c r="R600" s="169" t="s">
        <v>283</v>
      </c>
      <c r="S600" s="169" t="s">
        <v>283</v>
      </c>
      <c r="T600" s="169">
        <v>0</v>
      </c>
    </row>
    <row r="601" spans="1:20" x14ac:dyDescent="0.2">
      <c r="A601" s="169">
        <v>622</v>
      </c>
      <c r="B601" s="168" t="s">
        <v>8</v>
      </c>
      <c r="C601" s="168" t="s">
        <v>23</v>
      </c>
      <c r="D601" s="173">
        <v>45747</v>
      </c>
      <c r="E601" s="169" t="s">
        <v>531</v>
      </c>
      <c r="F601" s="169" t="s">
        <v>422</v>
      </c>
      <c r="G601" s="169" t="s">
        <v>423</v>
      </c>
      <c r="H601" s="169" t="s">
        <v>441</v>
      </c>
      <c r="I601" s="169" t="s">
        <v>442</v>
      </c>
      <c r="J601" s="169" t="s">
        <v>532</v>
      </c>
      <c r="K601" s="169" t="s">
        <v>533</v>
      </c>
      <c r="L601" s="169" t="s">
        <v>534</v>
      </c>
      <c r="M601" s="169" t="s">
        <v>281</v>
      </c>
      <c r="N601" s="178">
        <v>3559789</v>
      </c>
      <c r="O601" s="169" t="s">
        <v>535</v>
      </c>
      <c r="P601" s="169" t="s">
        <v>283</v>
      </c>
      <c r="Q601" s="169" t="s">
        <v>284</v>
      </c>
      <c r="R601" s="169" t="s">
        <v>283</v>
      </c>
      <c r="S601" s="169" t="s">
        <v>283</v>
      </c>
      <c r="T601" s="169">
        <v>0</v>
      </c>
    </row>
    <row r="602" spans="1:20" x14ac:dyDescent="0.2">
      <c r="A602" s="169">
        <v>622</v>
      </c>
      <c r="B602" s="168" t="s">
        <v>8</v>
      </c>
      <c r="C602" s="168" t="s">
        <v>25</v>
      </c>
      <c r="D602" s="173">
        <v>45747</v>
      </c>
      <c r="E602" s="169" t="s">
        <v>531</v>
      </c>
      <c r="F602" s="169" t="s">
        <v>414</v>
      </c>
      <c r="G602" s="169" t="s">
        <v>415</v>
      </c>
      <c r="H602" s="169" t="s">
        <v>441</v>
      </c>
      <c r="I602" s="169" t="s">
        <v>442</v>
      </c>
      <c r="J602" s="169" t="s">
        <v>532</v>
      </c>
      <c r="K602" s="169" t="s">
        <v>533</v>
      </c>
      <c r="L602" s="169" t="s">
        <v>534</v>
      </c>
      <c r="M602" s="169" t="s">
        <v>281</v>
      </c>
      <c r="N602" s="178">
        <v>370000</v>
      </c>
      <c r="O602" s="169" t="s">
        <v>535</v>
      </c>
      <c r="P602" s="169" t="s">
        <v>283</v>
      </c>
      <c r="Q602" s="169" t="s">
        <v>284</v>
      </c>
      <c r="R602" s="169" t="s">
        <v>283</v>
      </c>
      <c r="S602" s="169" t="s">
        <v>283</v>
      </c>
      <c r="T602" s="169">
        <v>0</v>
      </c>
    </row>
    <row r="603" spans="1:20" x14ac:dyDescent="0.2">
      <c r="A603" s="169">
        <v>627</v>
      </c>
      <c r="B603" s="168" t="s">
        <v>8</v>
      </c>
      <c r="C603" s="168" t="s">
        <v>22</v>
      </c>
      <c r="D603" s="173">
        <v>45747</v>
      </c>
      <c r="E603" s="169" t="s">
        <v>536</v>
      </c>
      <c r="F603" s="169" t="s">
        <v>388</v>
      </c>
      <c r="G603" s="169" t="s">
        <v>286</v>
      </c>
      <c r="H603" s="169" t="s">
        <v>430</v>
      </c>
      <c r="I603" s="169" t="s">
        <v>431</v>
      </c>
      <c r="J603" s="169" t="s">
        <v>537</v>
      </c>
      <c r="K603" s="169" t="s">
        <v>533</v>
      </c>
      <c r="L603" s="169" t="s">
        <v>534</v>
      </c>
      <c r="M603" s="169" t="s">
        <v>281</v>
      </c>
      <c r="N603" s="178">
        <v>12784897</v>
      </c>
      <c r="O603" s="169" t="s">
        <v>538</v>
      </c>
      <c r="P603" s="169" t="s">
        <v>283</v>
      </c>
      <c r="Q603" s="169" t="s">
        <v>284</v>
      </c>
      <c r="R603" s="169" t="s">
        <v>283</v>
      </c>
      <c r="S603" s="169" t="s">
        <v>283</v>
      </c>
      <c r="T603" s="169">
        <v>0</v>
      </c>
    </row>
    <row r="604" spans="1:20" x14ac:dyDescent="0.2">
      <c r="A604" s="169">
        <v>627</v>
      </c>
      <c r="B604" s="168" t="s">
        <v>8</v>
      </c>
      <c r="C604" s="168" t="s">
        <v>24</v>
      </c>
      <c r="D604" s="173">
        <v>45747</v>
      </c>
      <c r="E604" s="169" t="s">
        <v>536</v>
      </c>
      <c r="F604" s="169" t="s">
        <v>395</v>
      </c>
      <c r="G604" s="169" t="s">
        <v>77</v>
      </c>
      <c r="H604" s="169" t="s">
        <v>430</v>
      </c>
      <c r="I604" s="169" t="s">
        <v>431</v>
      </c>
      <c r="J604" s="169" t="s">
        <v>539</v>
      </c>
      <c r="K604" s="169" t="s">
        <v>533</v>
      </c>
      <c r="L604" s="169" t="s">
        <v>534</v>
      </c>
      <c r="M604" s="169" t="s">
        <v>281</v>
      </c>
      <c r="N604" s="178">
        <v>11397628</v>
      </c>
      <c r="O604" s="169" t="s">
        <v>538</v>
      </c>
      <c r="P604" s="169" t="s">
        <v>283</v>
      </c>
      <c r="Q604" s="169" t="s">
        <v>284</v>
      </c>
      <c r="R604" s="169" t="s">
        <v>283</v>
      </c>
      <c r="S604" s="169" t="s">
        <v>283</v>
      </c>
      <c r="T604" s="169">
        <v>0</v>
      </c>
    </row>
    <row r="605" spans="1:20" x14ac:dyDescent="0.2">
      <c r="A605" s="169">
        <v>627</v>
      </c>
      <c r="B605" s="168" t="s">
        <v>8</v>
      </c>
      <c r="C605" s="168" t="s">
        <v>22</v>
      </c>
      <c r="D605" s="173">
        <v>45747</v>
      </c>
      <c r="E605" s="169" t="s">
        <v>536</v>
      </c>
      <c r="F605" s="169" t="s">
        <v>388</v>
      </c>
      <c r="G605" s="169" t="s">
        <v>286</v>
      </c>
      <c r="H605" s="169" t="s">
        <v>436</v>
      </c>
      <c r="I605" s="169" t="s">
        <v>437</v>
      </c>
      <c r="J605" s="169" t="s">
        <v>537</v>
      </c>
      <c r="K605" s="169" t="s">
        <v>533</v>
      </c>
      <c r="L605" s="169" t="s">
        <v>534</v>
      </c>
      <c r="M605" s="169" t="s">
        <v>281</v>
      </c>
      <c r="N605" s="178">
        <v>30041021</v>
      </c>
      <c r="O605" s="169" t="s">
        <v>538</v>
      </c>
      <c r="P605" s="169" t="s">
        <v>283</v>
      </c>
      <c r="Q605" s="169" t="s">
        <v>284</v>
      </c>
      <c r="R605" s="169" t="s">
        <v>283</v>
      </c>
      <c r="S605" s="169" t="s">
        <v>283</v>
      </c>
      <c r="T605" s="169">
        <v>0</v>
      </c>
    </row>
    <row r="606" spans="1:20" x14ac:dyDescent="0.2">
      <c r="A606" s="169">
        <v>627</v>
      </c>
      <c r="B606" s="168" t="s">
        <v>8</v>
      </c>
      <c r="C606" s="168" t="s">
        <v>24</v>
      </c>
      <c r="D606" s="173">
        <v>45747</v>
      </c>
      <c r="E606" s="169" t="s">
        <v>536</v>
      </c>
      <c r="F606" s="169" t="s">
        <v>395</v>
      </c>
      <c r="G606" s="169" t="s">
        <v>77</v>
      </c>
      <c r="H606" s="169" t="s">
        <v>436</v>
      </c>
      <c r="I606" s="169" t="s">
        <v>437</v>
      </c>
      <c r="J606" s="169" t="s">
        <v>539</v>
      </c>
      <c r="K606" s="169" t="s">
        <v>533</v>
      </c>
      <c r="L606" s="169" t="s">
        <v>534</v>
      </c>
      <c r="M606" s="169" t="s">
        <v>281</v>
      </c>
      <c r="N606" s="178">
        <v>17745410</v>
      </c>
      <c r="O606" s="169" t="s">
        <v>538</v>
      </c>
      <c r="P606" s="169" t="s">
        <v>283</v>
      </c>
      <c r="Q606" s="169" t="s">
        <v>284</v>
      </c>
      <c r="R606" s="169" t="s">
        <v>283</v>
      </c>
      <c r="S606" s="169" t="s">
        <v>283</v>
      </c>
      <c r="T606" s="169">
        <v>0</v>
      </c>
    </row>
    <row r="607" spans="1:20" x14ac:dyDescent="0.2">
      <c r="B607" s="168" t="s">
        <v>221</v>
      </c>
      <c r="C607" s="168" t="s">
        <v>22</v>
      </c>
      <c r="D607" s="173">
        <v>45747</v>
      </c>
      <c r="E607" s="169" t="s">
        <v>536</v>
      </c>
      <c r="F607" s="169" t="s">
        <v>285</v>
      </c>
      <c r="G607" s="169" t="s">
        <v>286</v>
      </c>
      <c r="H607" s="169" t="s">
        <v>443</v>
      </c>
      <c r="I607" s="169" t="s">
        <v>444</v>
      </c>
      <c r="J607" s="169" t="s">
        <v>537</v>
      </c>
      <c r="K607" s="169" t="s">
        <v>533</v>
      </c>
      <c r="L607" s="169" t="s">
        <v>534</v>
      </c>
      <c r="M607" s="169" t="s">
        <v>281</v>
      </c>
      <c r="N607" s="178">
        <v>18750000</v>
      </c>
      <c r="O607" s="169" t="s">
        <v>538</v>
      </c>
      <c r="P607" s="169" t="s">
        <v>283</v>
      </c>
      <c r="Q607" s="169" t="s">
        <v>284</v>
      </c>
      <c r="R607" s="169" t="s">
        <v>283</v>
      </c>
      <c r="S607" s="169" t="s">
        <v>283</v>
      </c>
      <c r="T607" s="169">
        <v>0</v>
      </c>
    </row>
    <row r="608" spans="1:20" x14ac:dyDescent="0.2">
      <c r="B608" s="168" t="s">
        <v>221</v>
      </c>
      <c r="C608" s="168" t="s">
        <v>24</v>
      </c>
      <c r="D608" s="173">
        <v>45747</v>
      </c>
      <c r="E608" s="169" t="s">
        <v>536</v>
      </c>
      <c r="F608" s="169" t="s">
        <v>292</v>
      </c>
      <c r="G608" s="169" t="s">
        <v>77</v>
      </c>
      <c r="H608" s="169" t="s">
        <v>443</v>
      </c>
      <c r="I608" s="169" t="s">
        <v>444</v>
      </c>
      <c r="J608" s="169" t="s">
        <v>539</v>
      </c>
      <c r="K608" s="169" t="s">
        <v>533</v>
      </c>
      <c r="L608" s="169" t="s">
        <v>534</v>
      </c>
      <c r="M608" s="169" t="s">
        <v>281</v>
      </c>
      <c r="N608" s="178">
        <v>17249850</v>
      </c>
      <c r="O608" s="169" t="s">
        <v>538</v>
      </c>
      <c r="P608" s="169" t="s">
        <v>283</v>
      </c>
      <c r="Q608" s="169" t="s">
        <v>284</v>
      </c>
      <c r="R608" s="169" t="s">
        <v>283</v>
      </c>
      <c r="S608" s="169" t="s">
        <v>283</v>
      </c>
      <c r="T608" s="169">
        <v>0</v>
      </c>
    </row>
    <row r="609" spans="1:20" x14ac:dyDescent="0.2">
      <c r="A609" s="169">
        <v>622</v>
      </c>
      <c r="B609" s="168" t="s">
        <v>8</v>
      </c>
      <c r="C609" s="168" t="s">
        <v>22</v>
      </c>
      <c r="D609" s="173">
        <v>45747</v>
      </c>
      <c r="E609" s="169" t="s">
        <v>536</v>
      </c>
      <c r="F609" s="169" t="s">
        <v>420</v>
      </c>
      <c r="G609" s="169" t="s">
        <v>286</v>
      </c>
      <c r="H609" s="169" t="s">
        <v>441</v>
      </c>
      <c r="I609" s="169" t="s">
        <v>442</v>
      </c>
      <c r="J609" s="169" t="s">
        <v>537</v>
      </c>
      <c r="K609" s="169" t="s">
        <v>533</v>
      </c>
      <c r="L609" s="169" t="s">
        <v>534</v>
      </c>
      <c r="M609" s="169" t="s">
        <v>281</v>
      </c>
      <c r="N609" s="178">
        <v>1176360</v>
      </c>
      <c r="O609" s="169" t="s">
        <v>538</v>
      </c>
      <c r="P609" s="169" t="s">
        <v>283</v>
      </c>
      <c r="Q609" s="169" t="s">
        <v>284</v>
      </c>
      <c r="R609" s="169" t="s">
        <v>283</v>
      </c>
      <c r="S609" s="169" t="s">
        <v>283</v>
      </c>
      <c r="T609" s="169">
        <v>0</v>
      </c>
    </row>
    <row r="610" spans="1:20" x14ac:dyDescent="0.2">
      <c r="A610" s="169">
        <v>622</v>
      </c>
      <c r="B610" s="168" t="s">
        <v>8</v>
      </c>
      <c r="C610" s="168" t="s">
        <v>24</v>
      </c>
      <c r="D610" s="173">
        <v>45747</v>
      </c>
      <c r="E610" s="169" t="s">
        <v>536</v>
      </c>
      <c r="F610" s="169" t="s">
        <v>426</v>
      </c>
      <c r="G610" s="169" t="s">
        <v>77</v>
      </c>
      <c r="H610" s="169" t="s">
        <v>441</v>
      </c>
      <c r="I610" s="169" t="s">
        <v>442</v>
      </c>
      <c r="J610" s="169" t="s">
        <v>539</v>
      </c>
      <c r="K610" s="169" t="s">
        <v>533</v>
      </c>
      <c r="L610" s="169" t="s">
        <v>534</v>
      </c>
      <c r="M610" s="169" t="s">
        <v>281</v>
      </c>
      <c r="N610" s="178">
        <v>157016</v>
      </c>
      <c r="O610" s="169" t="s">
        <v>538</v>
      </c>
      <c r="P610" s="169" t="s">
        <v>283</v>
      </c>
      <c r="Q610" s="169" t="s">
        <v>284</v>
      </c>
      <c r="R610" s="169" t="s">
        <v>283</v>
      </c>
      <c r="S610" s="169" t="s">
        <v>283</v>
      </c>
      <c r="T610" s="169">
        <v>0</v>
      </c>
    </row>
    <row r="611" spans="1:20" x14ac:dyDescent="0.2">
      <c r="A611" s="169">
        <v>627</v>
      </c>
      <c r="B611" s="168" t="s">
        <v>8</v>
      </c>
      <c r="C611" s="168" t="s">
        <v>170</v>
      </c>
      <c r="D611" s="173">
        <v>45747</v>
      </c>
      <c r="E611" s="169" t="s">
        <v>540</v>
      </c>
      <c r="F611" s="169" t="s">
        <v>393</v>
      </c>
      <c r="G611" s="169" t="s">
        <v>296</v>
      </c>
      <c r="H611" s="169" t="s">
        <v>430</v>
      </c>
      <c r="I611" s="169" t="s">
        <v>431</v>
      </c>
      <c r="J611" s="169" t="s">
        <v>541</v>
      </c>
      <c r="K611" s="169" t="s">
        <v>533</v>
      </c>
      <c r="L611" s="169" t="s">
        <v>534</v>
      </c>
      <c r="M611" s="169" t="s">
        <v>281</v>
      </c>
      <c r="N611" s="178">
        <v>15627160</v>
      </c>
      <c r="O611" s="169" t="s">
        <v>542</v>
      </c>
      <c r="P611" s="169" t="s">
        <v>283</v>
      </c>
      <c r="Q611" s="169" t="s">
        <v>284</v>
      </c>
      <c r="R611" s="169" t="s">
        <v>283</v>
      </c>
      <c r="S611" s="169" t="s">
        <v>283</v>
      </c>
      <c r="T611" s="169">
        <v>0</v>
      </c>
    </row>
    <row r="612" spans="1:20" x14ac:dyDescent="0.2">
      <c r="A612" s="169">
        <v>627</v>
      </c>
      <c r="B612" s="168" t="s">
        <v>8</v>
      </c>
      <c r="C612" s="168" t="s">
        <v>170</v>
      </c>
      <c r="D612" s="173">
        <v>45747</v>
      </c>
      <c r="E612" s="169" t="s">
        <v>540</v>
      </c>
      <c r="F612" s="169" t="s">
        <v>393</v>
      </c>
      <c r="G612" s="169" t="s">
        <v>296</v>
      </c>
      <c r="H612" s="169" t="s">
        <v>436</v>
      </c>
      <c r="I612" s="169" t="s">
        <v>437</v>
      </c>
      <c r="J612" s="169" t="s">
        <v>541</v>
      </c>
      <c r="K612" s="169" t="s">
        <v>533</v>
      </c>
      <c r="L612" s="169" t="s">
        <v>534</v>
      </c>
      <c r="M612" s="169" t="s">
        <v>281</v>
      </c>
      <c r="N612" s="178">
        <v>21616145</v>
      </c>
      <c r="O612" s="169" t="s">
        <v>542</v>
      </c>
      <c r="P612" s="169" t="s">
        <v>283</v>
      </c>
      <c r="Q612" s="169" t="s">
        <v>284</v>
      </c>
      <c r="R612" s="169" t="s">
        <v>283</v>
      </c>
      <c r="S612" s="169" t="s">
        <v>283</v>
      </c>
      <c r="T612" s="169">
        <v>0</v>
      </c>
    </row>
    <row r="613" spans="1:20" x14ac:dyDescent="0.2">
      <c r="A613" s="169">
        <v>622</v>
      </c>
      <c r="B613" s="168" t="s">
        <v>8</v>
      </c>
      <c r="C613" s="168" t="s">
        <v>170</v>
      </c>
      <c r="D613" s="173">
        <v>45747</v>
      </c>
      <c r="E613" s="169" t="s">
        <v>540</v>
      </c>
      <c r="F613" s="169" t="s">
        <v>425</v>
      </c>
      <c r="G613" s="169" t="s">
        <v>296</v>
      </c>
      <c r="H613" s="169" t="s">
        <v>441</v>
      </c>
      <c r="I613" s="169" t="s">
        <v>442</v>
      </c>
      <c r="J613" s="169" t="s">
        <v>541</v>
      </c>
      <c r="K613" s="169" t="s">
        <v>533</v>
      </c>
      <c r="L613" s="169" t="s">
        <v>534</v>
      </c>
      <c r="M613" s="169" t="s">
        <v>281</v>
      </c>
      <c r="N613" s="178">
        <v>2604740</v>
      </c>
      <c r="O613" s="169" t="s">
        <v>542</v>
      </c>
      <c r="P613" s="169" t="s">
        <v>283</v>
      </c>
      <c r="Q613" s="169" t="s">
        <v>284</v>
      </c>
      <c r="R613" s="169" t="s">
        <v>283</v>
      </c>
      <c r="S613" s="169" t="s">
        <v>283</v>
      </c>
      <c r="T613" s="169">
        <v>0</v>
      </c>
    </row>
    <row r="614" spans="1:20" x14ac:dyDescent="0.2">
      <c r="A614" s="169">
        <v>627</v>
      </c>
      <c r="B614" s="168" t="s">
        <v>8</v>
      </c>
      <c r="C614" s="168" t="s">
        <v>170</v>
      </c>
      <c r="D614" s="173">
        <v>45747</v>
      </c>
      <c r="E614" s="169" t="s">
        <v>540</v>
      </c>
      <c r="F614" s="169" t="s">
        <v>393</v>
      </c>
      <c r="G614" s="169" t="s">
        <v>296</v>
      </c>
      <c r="H614" s="169" t="s">
        <v>436</v>
      </c>
      <c r="I614" s="169" t="s">
        <v>437</v>
      </c>
      <c r="J614" s="169" t="s">
        <v>541</v>
      </c>
      <c r="K614" s="169" t="s">
        <v>533</v>
      </c>
      <c r="L614" s="169" t="s">
        <v>534</v>
      </c>
      <c r="M614" s="169" t="s">
        <v>281</v>
      </c>
      <c r="N614" s="178">
        <v>2473375</v>
      </c>
      <c r="O614" s="169" t="s">
        <v>542</v>
      </c>
      <c r="P614" s="169" t="s">
        <v>283</v>
      </c>
      <c r="Q614" s="169" t="s">
        <v>284</v>
      </c>
      <c r="R614" s="169" t="s">
        <v>283</v>
      </c>
      <c r="S614" s="169" t="s">
        <v>283</v>
      </c>
      <c r="T614" s="169">
        <v>0</v>
      </c>
    </row>
    <row r="615" spans="1:20" x14ac:dyDescent="0.2">
      <c r="A615" s="169">
        <v>627</v>
      </c>
      <c r="B615" s="168" t="s">
        <v>8</v>
      </c>
      <c r="C615" s="168" t="s">
        <v>25</v>
      </c>
      <c r="D615" s="173">
        <v>45745</v>
      </c>
      <c r="E615" s="169" t="s">
        <v>546</v>
      </c>
      <c r="F615" s="169" t="s">
        <v>375</v>
      </c>
      <c r="G615" s="169" t="s">
        <v>336</v>
      </c>
      <c r="H615" s="169" t="s">
        <v>441</v>
      </c>
      <c r="I615" s="169" t="s">
        <v>442</v>
      </c>
      <c r="J615" s="169" t="s">
        <v>547</v>
      </c>
      <c r="K615" s="169" t="s">
        <v>338</v>
      </c>
      <c r="L615" s="169" t="s">
        <v>534</v>
      </c>
      <c r="M615" s="169" t="s">
        <v>281</v>
      </c>
      <c r="N615" s="178">
        <v>475000</v>
      </c>
      <c r="O615" s="169" t="s">
        <v>548</v>
      </c>
      <c r="P615" s="169" t="s">
        <v>283</v>
      </c>
      <c r="Q615" s="169" t="s">
        <v>306</v>
      </c>
      <c r="R615" s="169" t="s">
        <v>283</v>
      </c>
      <c r="S615" s="169" t="s">
        <v>283</v>
      </c>
      <c r="T615" s="169">
        <v>0</v>
      </c>
    </row>
    <row r="616" spans="1:20" x14ac:dyDescent="0.2">
      <c r="A616" s="169">
        <v>627</v>
      </c>
      <c r="B616" s="168" t="s">
        <v>8</v>
      </c>
      <c r="C616" s="168" t="s">
        <v>25</v>
      </c>
      <c r="D616" s="173">
        <v>45745</v>
      </c>
      <c r="E616" s="169" t="s">
        <v>546</v>
      </c>
      <c r="F616" s="169" t="s">
        <v>375</v>
      </c>
      <c r="G616" s="169" t="s">
        <v>336</v>
      </c>
      <c r="H616" s="169" t="s">
        <v>430</v>
      </c>
      <c r="I616" s="169" t="s">
        <v>431</v>
      </c>
      <c r="J616" s="169" t="s">
        <v>547</v>
      </c>
      <c r="K616" s="169" t="s">
        <v>338</v>
      </c>
      <c r="L616" s="169" t="s">
        <v>534</v>
      </c>
      <c r="M616" s="169" t="s">
        <v>281</v>
      </c>
      <c r="N616" s="178">
        <v>23450000</v>
      </c>
      <c r="O616" s="169" t="s">
        <v>548</v>
      </c>
      <c r="P616" s="169" t="s">
        <v>283</v>
      </c>
      <c r="Q616" s="169" t="s">
        <v>306</v>
      </c>
      <c r="R616" s="169" t="s">
        <v>283</v>
      </c>
      <c r="S616" s="169" t="s">
        <v>283</v>
      </c>
      <c r="T616" s="169">
        <v>0</v>
      </c>
    </row>
    <row r="617" spans="1:20" x14ac:dyDescent="0.2">
      <c r="A617" s="169">
        <v>627</v>
      </c>
      <c r="B617" s="168" t="s">
        <v>8</v>
      </c>
      <c r="C617" s="168" t="s">
        <v>25</v>
      </c>
      <c r="D617" s="173">
        <v>45745</v>
      </c>
      <c r="E617" s="169" t="s">
        <v>546</v>
      </c>
      <c r="F617" s="169" t="s">
        <v>375</v>
      </c>
      <c r="G617" s="169" t="s">
        <v>336</v>
      </c>
      <c r="H617" s="169" t="s">
        <v>436</v>
      </c>
      <c r="I617" s="169" t="s">
        <v>437</v>
      </c>
      <c r="J617" s="169" t="s">
        <v>547</v>
      </c>
      <c r="K617" s="169" t="s">
        <v>338</v>
      </c>
      <c r="L617" s="169" t="s">
        <v>534</v>
      </c>
      <c r="M617" s="169" t="s">
        <v>281</v>
      </c>
      <c r="N617" s="178">
        <v>28475000</v>
      </c>
      <c r="O617" s="169" t="s">
        <v>548</v>
      </c>
      <c r="P617" s="169" t="s">
        <v>283</v>
      </c>
      <c r="Q617" s="169" t="s">
        <v>306</v>
      </c>
      <c r="R617" s="169" t="s">
        <v>283</v>
      </c>
      <c r="S617" s="169" t="s">
        <v>283</v>
      </c>
      <c r="T617" s="169">
        <v>0</v>
      </c>
    </row>
    <row r="618" spans="1:20" x14ac:dyDescent="0.2">
      <c r="A618" s="169">
        <v>627</v>
      </c>
      <c r="B618" s="168" t="s">
        <v>8</v>
      </c>
      <c r="C618" s="168" t="s">
        <v>25</v>
      </c>
      <c r="D618" s="173">
        <v>45747</v>
      </c>
      <c r="E618" s="169" t="s">
        <v>606</v>
      </c>
      <c r="F618" s="169" t="s">
        <v>375</v>
      </c>
      <c r="G618" s="169" t="s">
        <v>336</v>
      </c>
      <c r="H618" s="169" t="s">
        <v>430</v>
      </c>
      <c r="I618" s="169" t="s">
        <v>431</v>
      </c>
      <c r="J618" s="169" t="s">
        <v>416</v>
      </c>
      <c r="K618" s="169" t="s">
        <v>416</v>
      </c>
      <c r="L618" s="169" t="s">
        <v>534</v>
      </c>
      <c r="M618" s="169" t="s">
        <v>281</v>
      </c>
      <c r="N618" s="178">
        <v>-17625000</v>
      </c>
      <c r="O618" s="169" t="s">
        <v>607</v>
      </c>
      <c r="P618" s="169" t="s">
        <v>283</v>
      </c>
      <c r="Q618" s="169" t="s">
        <v>348</v>
      </c>
      <c r="R618" s="169" t="s">
        <v>283</v>
      </c>
      <c r="S618" s="169" t="s">
        <v>283</v>
      </c>
      <c r="T618" s="169">
        <v>0</v>
      </c>
    </row>
    <row r="619" spans="1:20" x14ac:dyDescent="0.2">
      <c r="A619" s="169">
        <v>622</v>
      </c>
      <c r="B619" s="168" t="s">
        <v>8</v>
      </c>
      <c r="C619" s="168" t="s">
        <v>25</v>
      </c>
      <c r="D619" s="173">
        <v>45747</v>
      </c>
      <c r="E619" s="169" t="s">
        <v>606</v>
      </c>
      <c r="F619" s="169" t="s">
        <v>414</v>
      </c>
      <c r="G619" s="169" t="s">
        <v>415</v>
      </c>
      <c r="H619" s="169" t="s">
        <v>441</v>
      </c>
      <c r="I619" s="169" t="s">
        <v>442</v>
      </c>
      <c r="J619" s="169" t="s">
        <v>416</v>
      </c>
      <c r="K619" s="169" t="s">
        <v>416</v>
      </c>
      <c r="L619" s="169" t="s">
        <v>534</v>
      </c>
      <c r="M619" s="169" t="s">
        <v>281</v>
      </c>
      <c r="N619" s="178">
        <v>845000</v>
      </c>
      <c r="O619" s="169" t="s">
        <v>607</v>
      </c>
      <c r="P619" s="169" t="s">
        <v>283</v>
      </c>
      <c r="Q619" s="169" t="s">
        <v>348</v>
      </c>
      <c r="R619" s="169" t="s">
        <v>283</v>
      </c>
      <c r="S619" s="169" t="s">
        <v>283</v>
      </c>
      <c r="T619" s="169">
        <v>0</v>
      </c>
    </row>
    <row r="620" spans="1:20" x14ac:dyDescent="0.2">
      <c r="A620" s="169">
        <v>627</v>
      </c>
      <c r="B620" s="168" t="s">
        <v>8</v>
      </c>
      <c r="C620" s="168" t="s">
        <v>25</v>
      </c>
      <c r="D620" s="173">
        <v>45747</v>
      </c>
      <c r="E620" s="169" t="s">
        <v>606</v>
      </c>
      <c r="F620" s="169" t="s">
        <v>375</v>
      </c>
      <c r="G620" s="169" t="s">
        <v>336</v>
      </c>
      <c r="H620" s="169" t="s">
        <v>441</v>
      </c>
      <c r="I620" s="169" t="s">
        <v>442</v>
      </c>
      <c r="J620" s="169" t="s">
        <v>416</v>
      </c>
      <c r="K620" s="169" t="s">
        <v>416</v>
      </c>
      <c r="L620" s="169" t="s">
        <v>534</v>
      </c>
      <c r="M620" s="169" t="s">
        <v>281</v>
      </c>
      <c r="N620" s="178">
        <v>-845000</v>
      </c>
      <c r="O620" s="169" t="s">
        <v>607</v>
      </c>
      <c r="P620" s="169" t="s">
        <v>283</v>
      </c>
      <c r="Q620" s="169" t="s">
        <v>348</v>
      </c>
      <c r="R620" s="169" t="s">
        <v>283</v>
      </c>
      <c r="S620" s="169" t="s">
        <v>283</v>
      </c>
      <c r="T620" s="169">
        <v>0</v>
      </c>
    </row>
    <row r="621" spans="1:20" x14ac:dyDescent="0.2">
      <c r="A621" s="169">
        <v>622</v>
      </c>
      <c r="B621" s="168" t="s">
        <v>8</v>
      </c>
      <c r="C621" s="168" t="s">
        <v>25</v>
      </c>
      <c r="D621" s="173">
        <v>45747</v>
      </c>
      <c r="E621" s="169" t="s">
        <v>606</v>
      </c>
      <c r="F621" s="169" t="s">
        <v>414</v>
      </c>
      <c r="G621" s="169" t="s">
        <v>415</v>
      </c>
      <c r="H621" s="169" t="s">
        <v>441</v>
      </c>
      <c r="I621" s="169" t="s">
        <v>442</v>
      </c>
      <c r="J621" s="169" t="s">
        <v>416</v>
      </c>
      <c r="K621" s="169" t="s">
        <v>416</v>
      </c>
      <c r="L621" s="169" t="s">
        <v>534</v>
      </c>
      <c r="M621" s="169" t="s">
        <v>281</v>
      </c>
      <c r="N621" s="178">
        <v>680000</v>
      </c>
      <c r="O621" s="169" t="s">
        <v>607</v>
      </c>
      <c r="P621" s="169" t="s">
        <v>283</v>
      </c>
      <c r="Q621" s="169" t="s">
        <v>348</v>
      </c>
      <c r="R621" s="169" t="s">
        <v>283</v>
      </c>
      <c r="S621" s="169" t="s">
        <v>283</v>
      </c>
      <c r="T621" s="169">
        <v>0</v>
      </c>
    </row>
    <row r="622" spans="1:20" x14ac:dyDescent="0.2">
      <c r="A622" s="169">
        <v>627</v>
      </c>
      <c r="B622" s="168" t="s">
        <v>8</v>
      </c>
      <c r="C622" s="168" t="s">
        <v>25</v>
      </c>
      <c r="D622" s="173">
        <v>45747</v>
      </c>
      <c r="E622" s="169" t="s">
        <v>606</v>
      </c>
      <c r="F622" s="169" t="s">
        <v>375</v>
      </c>
      <c r="G622" s="169" t="s">
        <v>336</v>
      </c>
      <c r="H622" s="169" t="s">
        <v>430</v>
      </c>
      <c r="I622" s="169" t="s">
        <v>431</v>
      </c>
      <c r="J622" s="169" t="s">
        <v>416</v>
      </c>
      <c r="K622" s="169" t="s">
        <v>416</v>
      </c>
      <c r="L622" s="169" t="s">
        <v>534</v>
      </c>
      <c r="M622" s="169" t="s">
        <v>281</v>
      </c>
      <c r="N622" s="178">
        <v>-680000</v>
      </c>
      <c r="O622" s="169" t="s">
        <v>607</v>
      </c>
      <c r="P622" s="169" t="s">
        <v>283</v>
      </c>
      <c r="Q622" s="169" t="s">
        <v>348</v>
      </c>
      <c r="R622" s="169" t="s">
        <v>283</v>
      </c>
      <c r="S622" s="169" t="s">
        <v>283</v>
      </c>
      <c r="T622" s="169">
        <v>0</v>
      </c>
    </row>
    <row r="623" spans="1:20" x14ac:dyDescent="0.2">
      <c r="A623" s="169">
        <v>627</v>
      </c>
      <c r="B623" s="168" t="s">
        <v>8</v>
      </c>
      <c r="C623" s="168" t="s">
        <v>25</v>
      </c>
      <c r="D623" s="173">
        <v>45747</v>
      </c>
      <c r="E623" s="169" t="s">
        <v>608</v>
      </c>
      <c r="F623" s="169" t="s">
        <v>375</v>
      </c>
      <c r="G623" s="169" t="s">
        <v>336</v>
      </c>
      <c r="H623" s="169" t="s">
        <v>430</v>
      </c>
      <c r="I623" s="169" t="s">
        <v>431</v>
      </c>
      <c r="J623" s="169" t="s">
        <v>416</v>
      </c>
      <c r="K623" s="169" t="s">
        <v>416</v>
      </c>
      <c r="L623" s="169" t="s">
        <v>534</v>
      </c>
      <c r="M623" s="169" t="s">
        <v>281</v>
      </c>
      <c r="N623" s="178">
        <v>17625000</v>
      </c>
      <c r="O623" s="169" t="s">
        <v>609</v>
      </c>
      <c r="P623" s="169" t="s">
        <v>447</v>
      </c>
      <c r="Q623" s="169" t="s">
        <v>284</v>
      </c>
      <c r="R623" s="169" t="s">
        <v>283</v>
      </c>
      <c r="S623" s="169" t="s">
        <v>283</v>
      </c>
      <c r="T623" s="169">
        <v>0</v>
      </c>
    </row>
    <row r="624" spans="1:20" x14ac:dyDescent="0.2">
      <c r="A624" s="169">
        <v>622</v>
      </c>
      <c r="B624" s="168" t="s">
        <v>8</v>
      </c>
      <c r="C624" s="168" t="s">
        <v>25</v>
      </c>
      <c r="D624" s="173">
        <v>45747</v>
      </c>
      <c r="E624" s="169" t="s">
        <v>608</v>
      </c>
      <c r="F624" s="169" t="s">
        <v>414</v>
      </c>
      <c r="G624" s="169" t="s">
        <v>415</v>
      </c>
      <c r="H624" s="169" t="s">
        <v>441</v>
      </c>
      <c r="I624" s="169" t="s">
        <v>442</v>
      </c>
      <c r="J624" s="169" t="s">
        <v>416</v>
      </c>
      <c r="K624" s="169" t="s">
        <v>416</v>
      </c>
      <c r="L624" s="169" t="s">
        <v>534</v>
      </c>
      <c r="M624" s="169" t="s">
        <v>281</v>
      </c>
      <c r="N624" s="178">
        <v>-845000</v>
      </c>
      <c r="O624" s="169" t="s">
        <v>609</v>
      </c>
      <c r="P624" s="169" t="s">
        <v>447</v>
      </c>
      <c r="Q624" s="169" t="s">
        <v>284</v>
      </c>
      <c r="R624" s="169" t="s">
        <v>283</v>
      </c>
      <c r="S624" s="169" t="s">
        <v>283</v>
      </c>
      <c r="T624" s="169">
        <v>0</v>
      </c>
    </row>
    <row r="625" spans="1:20" x14ac:dyDescent="0.2">
      <c r="A625" s="169">
        <v>627</v>
      </c>
      <c r="B625" s="168" t="s">
        <v>8</v>
      </c>
      <c r="C625" s="168" t="s">
        <v>25</v>
      </c>
      <c r="D625" s="173">
        <v>45747</v>
      </c>
      <c r="E625" s="169" t="s">
        <v>608</v>
      </c>
      <c r="F625" s="169" t="s">
        <v>375</v>
      </c>
      <c r="G625" s="169" t="s">
        <v>336</v>
      </c>
      <c r="H625" s="169" t="s">
        <v>441</v>
      </c>
      <c r="I625" s="169" t="s">
        <v>442</v>
      </c>
      <c r="J625" s="169" t="s">
        <v>416</v>
      </c>
      <c r="K625" s="169" t="s">
        <v>416</v>
      </c>
      <c r="L625" s="169" t="s">
        <v>534</v>
      </c>
      <c r="M625" s="169" t="s">
        <v>281</v>
      </c>
      <c r="N625" s="178">
        <v>845000</v>
      </c>
      <c r="O625" s="169" t="s">
        <v>609</v>
      </c>
      <c r="P625" s="169" t="s">
        <v>447</v>
      </c>
      <c r="Q625" s="169" t="s">
        <v>284</v>
      </c>
      <c r="R625" s="169" t="s">
        <v>283</v>
      </c>
      <c r="S625" s="169" t="s">
        <v>283</v>
      </c>
      <c r="T625" s="169">
        <v>0</v>
      </c>
    </row>
    <row r="626" spans="1:20" x14ac:dyDescent="0.2">
      <c r="A626" s="169">
        <v>622</v>
      </c>
      <c r="B626" s="168" t="s">
        <v>8</v>
      </c>
      <c r="C626" s="168" t="s">
        <v>25</v>
      </c>
      <c r="D626" s="173">
        <v>45747</v>
      </c>
      <c r="E626" s="169" t="s">
        <v>608</v>
      </c>
      <c r="F626" s="169" t="s">
        <v>414</v>
      </c>
      <c r="G626" s="169" t="s">
        <v>415</v>
      </c>
      <c r="H626" s="169" t="s">
        <v>441</v>
      </c>
      <c r="I626" s="169" t="s">
        <v>442</v>
      </c>
      <c r="J626" s="169" t="s">
        <v>416</v>
      </c>
      <c r="K626" s="169" t="s">
        <v>416</v>
      </c>
      <c r="L626" s="169" t="s">
        <v>534</v>
      </c>
      <c r="M626" s="169" t="s">
        <v>281</v>
      </c>
      <c r="N626" s="178">
        <v>-680000</v>
      </c>
      <c r="O626" s="169" t="s">
        <v>609</v>
      </c>
      <c r="P626" s="169" t="s">
        <v>447</v>
      </c>
      <c r="Q626" s="169" t="s">
        <v>284</v>
      </c>
      <c r="R626" s="169" t="s">
        <v>283</v>
      </c>
      <c r="S626" s="169" t="s">
        <v>283</v>
      </c>
      <c r="T626" s="169">
        <v>0</v>
      </c>
    </row>
    <row r="627" spans="1:20" x14ac:dyDescent="0.2">
      <c r="A627" s="169">
        <v>627</v>
      </c>
      <c r="B627" s="168" t="s">
        <v>8</v>
      </c>
      <c r="C627" s="168" t="s">
        <v>25</v>
      </c>
      <c r="D627" s="173">
        <v>45747</v>
      </c>
      <c r="E627" s="169" t="s">
        <v>608</v>
      </c>
      <c r="F627" s="169" t="s">
        <v>375</v>
      </c>
      <c r="G627" s="169" t="s">
        <v>336</v>
      </c>
      <c r="H627" s="169" t="s">
        <v>430</v>
      </c>
      <c r="I627" s="169" t="s">
        <v>431</v>
      </c>
      <c r="J627" s="169" t="s">
        <v>416</v>
      </c>
      <c r="K627" s="169" t="s">
        <v>416</v>
      </c>
      <c r="L627" s="169" t="s">
        <v>534</v>
      </c>
      <c r="M627" s="169" t="s">
        <v>281</v>
      </c>
      <c r="N627" s="178">
        <v>680000</v>
      </c>
      <c r="O627" s="169" t="s">
        <v>609</v>
      </c>
      <c r="P627" s="169" t="s">
        <v>447</v>
      </c>
      <c r="Q627" s="169" t="s">
        <v>284</v>
      </c>
      <c r="R627" s="169" t="s">
        <v>283</v>
      </c>
      <c r="S627" s="169" t="s">
        <v>283</v>
      </c>
      <c r="T627" s="169">
        <v>0</v>
      </c>
    </row>
    <row r="628" spans="1:20" x14ac:dyDescent="0.2">
      <c r="A628" s="169">
        <v>627</v>
      </c>
      <c r="B628" s="168" t="s">
        <v>8</v>
      </c>
      <c r="C628" s="168" t="s">
        <v>25</v>
      </c>
      <c r="D628" s="173">
        <v>45747</v>
      </c>
      <c r="E628" s="169" t="s">
        <v>610</v>
      </c>
      <c r="F628" s="169" t="s">
        <v>375</v>
      </c>
      <c r="G628" s="169" t="s">
        <v>336</v>
      </c>
      <c r="H628" s="169" t="s">
        <v>430</v>
      </c>
      <c r="I628" s="169" t="s">
        <v>431</v>
      </c>
      <c r="J628" s="169" t="s">
        <v>416</v>
      </c>
      <c r="K628" s="169" t="s">
        <v>416</v>
      </c>
      <c r="L628" s="169" t="s">
        <v>534</v>
      </c>
      <c r="M628" s="169" t="s">
        <v>281</v>
      </c>
      <c r="N628" s="178">
        <v>-17625000</v>
      </c>
      <c r="O628" s="169" t="s">
        <v>611</v>
      </c>
      <c r="P628" s="169" t="s">
        <v>283</v>
      </c>
      <c r="Q628" s="169" t="s">
        <v>348</v>
      </c>
      <c r="R628" s="169" t="s">
        <v>283</v>
      </c>
      <c r="S628" s="169" t="s">
        <v>283</v>
      </c>
      <c r="T628" s="169">
        <v>0</v>
      </c>
    </row>
    <row r="629" spans="1:20" x14ac:dyDescent="0.2">
      <c r="A629" s="169">
        <v>622</v>
      </c>
      <c r="B629" s="168" t="s">
        <v>8</v>
      </c>
      <c r="C629" s="168" t="s">
        <v>25</v>
      </c>
      <c r="D629" s="173">
        <v>45747</v>
      </c>
      <c r="E629" s="169" t="s">
        <v>610</v>
      </c>
      <c r="F629" s="169" t="s">
        <v>414</v>
      </c>
      <c r="G629" s="169" t="s">
        <v>415</v>
      </c>
      <c r="H629" s="169" t="s">
        <v>441</v>
      </c>
      <c r="I629" s="169" t="s">
        <v>442</v>
      </c>
      <c r="J629" s="169" t="s">
        <v>416</v>
      </c>
      <c r="K629" s="169" t="s">
        <v>416</v>
      </c>
      <c r="L629" s="169" t="s">
        <v>534</v>
      </c>
      <c r="M629" s="169" t="s">
        <v>281</v>
      </c>
      <c r="N629" s="178">
        <v>475000</v>
      </c>
      <c r="O629" s="169" t="s">
        <v>611</v>
      </c>
      <c r="P629" s="169" t="s">
        <v>283</v>
      </c>
      <c r="Q629" s="169" t="s">
        <v>348</v>
      </c>
      <c r="R629" s="169" t="s">
        <v>283</v>
      </c>
      <c r="S629" s="169" t="s">
        <v>283</v>
      </c>
      <c r="T629" s="169">
        <v>0</v>
      </c>
    </row>
    <row r="630" spans="1:20" x14ac:dyDescent="0.2">
      <c r="A630" s="169">
        <v>627</v>
      </c>
      <c r="B630" s="168" t="s">
        <v>8</v>
      </c>
      <c r="C630" s="168" t="s">
        <v>25</v>
      </c>
      <c r="D630" s="173">
        <v>45747</v>
      </c>
      <c r="E630" s="169" t="s">
        <v>610</v>
      </c>
      <c r="F630" s="169" t="s">
        <v>375</v>
      </c>
      <c r="G630" s="169" t="s">
        <v>336</v>
      </c>
      <c r="H630" s="169" t="s">
        <v>441</v>
      </c>
      <c r="I630" s="169" t="s">
        <v>442</v>
      </c>
      <c r="J630" s="169" t="s">
        <v>416</v>
      </c>
      <c r="K630" s="169" t="s">
        <v>416</v>
      </c>
      <c r="L630" s="169" t="s">
        <v>534</v>
      </c>
      <c r="M630" s="169" t="s">
        <v>281</v>
      </c>
      <c r="N630" s="178">
        <v>-475000</v>
      </c>
      <c r="O630" s="169" t="s">
        <v>611</v>
      </c>
      <c r="P630" s="169" t="s">
        <v>283</v>
      </c>
      <c r="Q630" s="169" t="s">
        <v>348</v>
      </c>
      <c r="R630" s="169" t="s">
        <v>283</v>
      </c>
      <c r="S630" s="169" t="s">
        <v>283</v>
      </c>
      <c r="T630" s="169">
        <v>0</v>
      </c>
    </row>
    <row r="631" spans="1:20" x14ac:dyDescent="0.2">
      <c r="A631" s="169">
        <v>622</v>
      </c>
      <c r="B631" s="168" t="s">
        <v>8</v>
      </c>
      <c r="C631" s="168" t="s">
        <v>25</v>
      </c>
      <c r="D631" s="173">
        <v>45747</v>
      </c>
      <c r="E631" s="169" t="s">
        <v>610</v>
      </c>
      <c r="F631" s="169" t="s">
        <v>414</v>
      </c>
      <c r="G631" s="169" t="s">
        <v>415</v>
      </c>
      <c r="H631" s="169" t="s">
        <v>441</v>
      </c>
      <c r="I631" s="169" t="s">
        <v>442</v>
      </c>
      <c r="J631" s="169" t="s">
        <v>416</v>
      </c>
      <c r="K631" s="169" t="s">
        <v>416</v>
      </c>
      <c r="L631" s="169" t="s">
        <v>534</v>
      </c>
      <c r="M631" s="169" t="s">
        <v>281</v>
      </c>
      <c r="N631" s="178">
        <v>1050000</v>
      </c>
      <c r="O631" s="169" t="s">
        <v>611</v>
      </c>
      <c r="P631" s="169" t="s">
        <v>283</v>
      </c>
      <c r="Q631" s="169" t="s">
        <v>348</v>
      </c>
      <c r="R631" s="169" t="s">
        <v>283</v>
      </c>
      <c r="S631" s="169" t="s">
        <v>283</v>
      </c>
      <c r="T631" s="169">
        <v>0</v>
      </c>
    </row>
    <row r="632" spans="1:20" x14ac:dyDescent="0.2">
      <c r="A632" s="169">
        <v>627</v>
      </c>
      <c r="B632" s="168" t="s">
        <v>8</v>
      </c>
      <c r="C632" s="168" t="s">
        <v>25</v>
      </c>
      <c r="D632" s="173">
        <v>45747</v>
      </c>
      <c r="E632" s="169" t="s">
        <v>610</v>
      </c>
      <c r="F632" s="169" t="s">
        <v>375</v>
      </c>
      <c r="G632" s="169" t="s">
        <v>336</v>
      </c>
      <c r="H632" s="169" t="s">
        <v>430</v>
      </c>
      <c r="I632" s="169" t="s">
        <v>431</v>
      </c>
      <c r="J632" s="169" t="s">
        <v>416</v>
      </c>
      <c r="K632" s="169" t="s">
        <v>416</v>
      </c>
      <c r="L632" s="169" t="s">
        <v>534</v>
      </c>
      <c r="M632" s="169" t="s">
        <v>281</v>
      </c>
      <c r="N632" s="178">
        <v>-1050000</v>
      </c>
      <c r="O632" s="169" t="s">
        <v>611</v>
      </c>
      <c r="P632" s="169" t="s">
        <v>283</v>
      </c>
      <c r="Q632" s="169" t="s">
        <v>348</v>
      </c>
      <c r="R632" s="169" t="s">
        <v>283</v>
      </c>
      <c r="S632" s="169" t="s">
        <v>283</v>
      </c>
      <c r="T632" s="169">
        <v>0</v>
      </c>
    </row>
    <row r="633" spans="1:20" x14ac:dyDescent="0.2">
      <c r="B633" s="167" t="str">
        <f>_xlfn.XLOOKUP(I633,Mapping!D:D,Mapping!E:E)</f>
        <v>Ban Giám Đốc</v>
      </c>
      <c r="C633" s="167" t="str">
        <f>_xlfn.XLOOKUP(F633,Mapping!A:A,Mapping!F:F)</f>
        <v>Lương Chính +T13</v>
      </c>
      <c r="D633" s="173">
        <v>45777</v>
      </c>
      <c r="E633" s="169" t="s">
        <v>629</v>
      </c>
      <c r="F633" s="169" t="s">
        <v>274</v>
      </c>
      <c r="G633" s="169" t="s">
        <v>275</v>
      </c>
      <c r="H633" s="169" t="s">
        <v>276</v>
      </c>
      <c r="I633" s="169" t="s">
        <v>277</v>
      </c>
      <c r="J633" s="169" t="s">
        <v>630</v>
      </c>
      <c r="K633" s="169" t="s">
        <v>630</v>
      </c>
      <c r="L633" s="169" t="s">
        <v>631</v>
      </c>
      <c r="M633" s="169" t="s">
        <v>281</v>
      </c>
      <c r="N633" s="178">
        <v>1311408155</v>
      </c>
      <c r="O633" s="169" t="s">
        <v>632</v>
      </c>
      <c r="P633" s="169" t="s">
        <v>283</v>
      </c>
      <c r="Q633" s="169" t="s">
        <v>633</v>
      </c>
      <c r="R633" s="169" t="s">
        <v>283</v>
      </c>
      <c r="S633" s="169" t="s">
        <v>283</v>
      </c>
      <c r="T633" s="169">
        <v>0</v>
      </c>
    </row>
    <row r="634" spans="1:20" x14ac:dyDescent="0.2">
      <c r="B634" s="167" t="str">
        <f>_xlfn.XLOOKUP(I634,Mapping!D:D,Mapping!E:E)</f>
        <v>Ban Giám Đốc</v>
      </c>
      <c r="C634" s="167" t="str">
        <f>_xlfn.XLOOKUP(F634,Mapping!A:A,Mapping!F:F)</f>
        <v>Lương Chính +T13</v>
      </c>
      <c r="D634" s="173">
        <v>45777</v>
      </c>
      <c r="E634" s="169" t="s">
        <v>629</v>
      </c>
      <c r="F634" s="169" t="s">
        <v>285</v>
      </c>
      <c r="G634" s="169" t="s">
        <v>286</v>
      </c>
      <c r="H634" s="169" t="s">
        <v>276</v>
      </c>
      <c r="I634" s="169" t="s">
        <v>277</v>
      </c>
      <c r="J634" s="169" t="s">
        <v>630</v>
      </c>
      <c r="K634" s="169" t="s">
        <v>630</v>
      </c>
      <c r="L634" s="169" t="s">
        <v>631</v>
      </c>
      <c r="M634" s="169" t="s">
        <v>281</v>
      </c>
      <c r="N634" s="178">
        <v>26400363</v>
      </c>
      <c r="O634" s="169" t="s">
        <v>632</v>
      </c>
      <c r="P634" s="169" t="s">
        <v>283</v>
      </c>
      <c r="Q634" s="169" t="s">
        <v>633</v>
      </c>
      <c r="R634" s="169" t="s">
        <v>283</v>
      </c>
      <c r="S634" s="169" t="s">
        <v>283</v>
      </c>
      <c r="T634" s="169">
        <v>0</v>
      </c>
    </row>
    <row r="635" spans="1:20" x14ac:dyDescent="0.2">
      <c r="B635" s="167" t="str">
        <f>_xlfn.XLOOKUP(I635,Mapping!D:D,Mapping!E:E)</f>
        <v>Ban Giám Đốc</v>
      </c>
      <c r="C635" s="167" t="str">
        <f>_xlfn.XLOOKUP(F635,Mapping!A:A,Mapping!F:F)</f>
        <v>Lương Chính +T13</v>
      </c>
      <c r="D635" s="173">
        <v>45777</v>
      </c>
      <c r="E635" s="169" t="s">
        <v>634</v>
      </c>
      <c r="F635" s="169" t="s">
        <v>285</v>
      </c>
      <c r="G635" s="169" t="s">
        <v>286</v>
      </c>
      <c r="H635" s="169" t="s">
        <v>276</v>
      </c>
      <c r="I635" s="169" t="s">
        <v>277</v>
      </c>
      <c r="J635" s="169" t="s">
        <v>635</v>
      </c>
      <c r="K635" s="169" t="s">
        <v>636</v>
      </c>
      <c r="L635" s="169" t="s">
        <v>631</v>
      </c>
      <c r="M635" s="169" t="s">
        <v>281</v>
      </c>
      <c r="N635" s="178">
        <v>104608417</v>
      </c>
      <c r="O635" s="169" t="s">
        <v>637</v>
      </c>
      <c r="P635" s="169" t="s">
        <v>283</v>
      </c>
      <c r="Q635" s="169" t="s">
        <v>633</v>
      </c>
      <c r="R635" s="169" t="s">
        <v>283</v>
      </c>
      <c r="S635" s="169" t="s">
        <v>283</v>
      </c>
      <c r="T635" s="169">
        <v>0</v>
      </c>
    </row>
    <row r="636" spans="1:20" x14ac:dyDescent="0.2">
      <c r="B636" s="167" t="str">
        <f>_xlfn.XLOOKUP(I636,Mapping!D:D,Mapping!E:E)</f>
        <v>Ban Giám Đốc</v>
      </c>
      <c r="C636" s="167" t="str">
        <f>_xlfn.XLOOKUP(F636,Mapping!A:A,Mapping!F:F)</f>
        <v>Thưởng</v>
      </c>
      <c r="D636" s="173">
        <v>45777</v>
      </c>
      <c r="E636" s="169" t="s">
        <v>629</v>
      </c>
      <c r="F636" s="169" t="s">
        <v>290</v>
      </c>
      <c r="G636" s="169" t="s">
        <v>291</v>
      </c>
      <c r="H636" s="169" t="s">
        <v>276</v>
      </c>
      <c r="I636" s="169" t="s">
        <v>277</v>
      </c>
      <c r="J636" s="169" t="s">
        <v>630</v>
      </c>
      <c r="K636" s="169" t="s">
        <v>630</v>
      </c>
      <c r="L636" s="169" t="s">
        <v>631</v>
      </c>
      <c r="M636" s="169" t="s">
        <v>281</v>
      </c>
      <c r="N636" s="178">
        <v>2400000</v>
      </c>
      <c r="O636" s="169" t="s">
        <v>632</v>
      </c>
      <c r="P636" s="169" t="s">
        <v>283</v>
      </c>
      <c r="Q636" s="169" t="s">
        <v>633</v>
      </c>
      <c r="R636" s="169" t="s">
        <v>283</v>
      </c>
      <c r="S636" s="169" t="s">
        <v>283</v>
      </c>
      <c r="T636" s="169">
        <v>0</v>
      </c>
    </row>
    <row r="637" spans="1:20" x14ac:dyDescent="0.2">
      <c r="B637" s="167" t="str">
        <f>_xlfn.XLOOKUP(I637,Mapping!D:D,Mapping!E:E)</f>
        <v>Ban Giám Đốc</v>
      </c>
      <c r="C637" s="167" t="str">
        <f>_xlfn.XLOOKUP(F637,Mapping!A:A,Mapping!F:F)</f>
        <v>Thưởng</v>
      </c>
      <c r="D637" s="173">
        <v>45777</v>
      </c>
      <c r="E637" s="169" t="s">
        <v>634</v>
      </c>
      <c r="F637" s="169" t="s">
        <v>292</v>
      </c>
      <c r="G637" s="169" t="s">
        <v>77</v>
      </c>
      <c r="H637" s="169" t="s">
        <v>276</v>
      </c>
      <c r="I637" s="169" t="s">
        <v>277</v>
      </c>
      <c r="J637" s="169" t="s">
        <v>638</v>
      </c>
      <c r="K637" s="169" t="s">
        <v>636</v>
      </c>
      <c r="L637" s="169" t="s">
        <v>631</v>
      </c>
      <c r="M637" s="169" t="s">
        <v>281</v>
      </c>
      <c r="N637" s="178">
        <v>96238906</v>
      </c>
      <c r="O637" s="169" t="s">
        <v>637</v>
      </c>
      <c r="P637" s="169" t="s">
        <v>283</v>
      </c>
      <c r="Q637" s="169" t="s">
        <v>633</v>
      </c>
      <c r="R637" s="169" t="s">
        <v>283</v>
      </c>
      <c r="S637" s="169" t="s">
        <v>283</v>
      </c>
      <c r="T637" s="169">
        <v>0</v>
      </c>
    </row>
    <row r="638" spans="1:20" x14ac:dyDescent="0.2">
      <c r="B638" s="167" t="str">
        <f>_xlfn.XLOOKUP(I638,Mapping!D:D,Mapping!E:E)</f>
        <v>Ban Giám Đốc</v>
      </c>
      <c r="C638" s="167" t="str">
        <f>_xlfn.XLOOKUP(F638,Mapping!A:A,Mapping!F:F)</f>
        <v>Phụ Cấp</v>
      </c>
      <c r="D638" s="173">
        <v>45777</v>
      </c>
      <c r="E638" s="169" t="s">
        <v>629</v>
      </c>
      <c r="F638" s="169" t="s">
        <v>335</v>
      </c>
      <c r="G638" s="169" t="s">
        <v>336</v>
      </c>
      <c r="H638" s="169" t="s">
        <v>276</v>
      </c>
      <c r="I638" s="169" t="s">
        <v>277</v>
      </c>
      <c r="J638" s="169" t="s">
        <v>630</v>
      </c>
      <c r="K638" s="169" t="s">
        <v>630</v>
      </c>
      <c r="L638" s="169" t="s">
        <v>631</v>
      </c>
      <c r="M638" s="169" t="s">
        <v>281</v>
      </c>
      <c r="N638" s="178">
        <v>375000</v>
      </c>
      <c r="O638" s="169" t="s">
        <v>632</v>
      </c>
      <c r="P638" s="169" t="s">
        <v>283</v>
      </c>
      <c r="Q638" s="169" t="s">
        <v>633</v>
      </c>
      <c r="R638" s="169" t="s">
        <v>283</v>
      </c>
      <c r="S638" s="169" t="s">
        <v>283</v>
      </c>
      <c r="T638" s="169">
        <v>0</v>
      </c>
    </row>
    <row r="639" spans="1:20" x14ac:dyDescent="0.2">
      <c r="B639" s="167" t="str">
        <f>_xlfn.XLOOKUP(I639,Mapping!D:D,Mapping!E:E)</f>
        <v>Ban Giám Đốc</v>
      </c>
      <c r="C639" s="167" t="str">
        <f>_xlfn.XLOOKUP(F639,Mapping!A:A,Mapping!F:F)</f>
        <v>BHXH, BHYT, KPCĐ</v>
      </c>
      <c r="D639" s="173">
        <v>45777</v>
      </c>
      <c r="E639" s="169" t="s">
        <v>639</v>
      </c>
      <c r="F639" s="169" t="s">
        <v>295</v>
      </c>
      <c r="G639" s="169" t="s">
        <v>296</v>
      </c>
      <c r="H639" s="169" t="s">
        <v>276</v>
      </c>
      <c r="I639" s="169" t="s">
        <v>277</v>
      </c>
      <c r="J639" s="169" t="s">
        <v>640</v>
      </c>
      <c r="K639" s="169" t="s">
        <v>640</v>
      </c>
      <c r="L639" s="169" t="s">
        <v>631</v>
      </c>
      <c r="M639" s="169" t="s">
        <v>281</v>
      </c>
      <c r="N639" s="178">
        <v>123680010</v>
      </c>
      <c r="O639" s="169" t="s">
        <v>641</v>
      </c>
      <c r="P639" s="169" t="s">
        <v>283</v>
      </c>
      <c r="Q639" s="169" t="s">
        <v>633</v>
      </c>
      <c r="R639" s="169" t="s">
        <v>283</v>
      </c>
      <c r="S639" s="169" t="s">
        <v>283</v>
      </c>
      <c r="T639" s="169">
        <v>0</v>
      </c>
    </row>
    <row r="640" spans="1:20" x14ac:dyDescent="0.2">
      <c r="B640" s="167" t="str">
        <f>_xlfn.XLOOKUP(I640,Mapping!D:D,Mapping!E:E)</f>
        <v>Hành Chánh Nhân Sự</v>
      </c>
      <c r="C640" s="167" t="str">
        <f>_xlfn.XLOOKUP(F640,Mapping!A:A,Mapping!F:F)</f>
        <v>Phụ Cấp</v>
      </c>
      <c r="D640" s="173">
        <v>45775</v>
      </c>
      <c r="E640" s="169" t="s">
        <v>642</v>
      </c>
      <c r="F640" s="169" t="s">
        <v>335</v>
      </c>
      <c r="G640" s="169" t="s">
        <v>336</v>
      </c>
      <c r="H640" s="169" t="s">
        <v>301</v>
      </c>
      <c r="I640" s="169" t="s">
        <v>302</v>
      </c>
      <c r="J640" s="169" t="s">
        <v>643</v>
      </c>
      <c r="K640" s="169" t="s">
        <v>338</v>
      </c>
      <c r="L640" s="169" t="s">
        <v>631</v>
      </c>
      <c r="M640" s="169" t="s">
        <v>281</v>
      </c>
      <c r="N640" s="178">
        <v>30425000</v>
      </c>
      <c r="O640" s="169" t="s">
        <v>644</v>
      </c>
      <c r="P640" s="169" t="s">
        <v>283</v>
      </c>
      <c r="Q640" s="169" t="s">
        <v>306</v>
      </c>
      <c r="R640" s="169" t="s">
        <v>283</v>
      </c>
      <c r="S640" s="169" t="s">
        <v>283</v>
      </c>
      <c r="T640" s="169">
        <v>0</v>
      </c>
    </row>
    <row r="641" spans="2:20" x14ac:dyDescent="0.2">
      <c r="B641" s="167" t="str">
        <f>_xlfn.XLOOKUP(I641,Mapping!D:D,Mapping!E:E)</f>
        <v>Văn Phòng Giám Đốc</v>
      </c>
      <c r="C641" s="167" t="str">
        <f>_xlfn.XLOOKUP(F641,Mapping!A:A,Mapping!F:F)</f>
        <v>Phụ Cấp</v>
      </c>
      <c r="D641" s="173">
        <v>45775</v>
      </c>
      <c r="E641" s="169" t="s">
        <v>642</v>
      </c>
      <c r="F641" s="169" t="s">
        <v>335</v>
      </c>
      <c r="G641" s="169" t="s">
        <v>336</v>
      </c>
      <c r="H641" s="169" t="s">
        <v>320</v>
      </c>
      <c r="I641" s="169" t="s">
        <v>321</v>
      </c>
      <c r="J641" s="169" t="s">
        <v>643</v>
      </c>
      <c r="K641" s="169" t="s">
        <v>338</v>
      </c>
      <c r="L641" s="169" t="s">
        <v>631</v>
      </c>
      <c r="M641" s="169" t="s">
        <v>281</v>
      </c>
      <c r="N641" s="178">
        <v>1750000</v>
      </c>
      <c r="O641" s="169" t="s">
        <v>644</v>
      </c>
      <c r="P641" s="169" t="s">
        <v>283</v>
      </c>
      <c r="Q641" s="169" t="s">
        <v>306</v>
      </c>
      <c r="R641" s="169" t="s">
        <v>283</v>
      </c>
      <c r="S641" s="169" t="s">
        <v>283</v>
      </c>
      <c r="T641" s="169">
        <v>0</v>
      </c>
    </row>
    <row r="642" spans="2:20" x14ac:dyDescent="0.2">
      <c r="B642" s="167" t="str">
        <f>_xlfn.XLOOKUP(I642,Mapping!D:D,Mapping!E:E)</f>
        <v>Hành Chánh Nhân Sự</v>
      </c>
      <c r="C642" s="167" t="str">
        <f>_xlfn.XLOOKUP(F642,Mapping!A:A,Mapping!F:F)</f>
        <v>Khen thưởng BD khác</v>
      </c>
      <c r="D642" s="173">
        <v>45777</v>
      </c>
      <c r="E642" s="169" t="s">
        <v>645</v>
      </c>
      <c r="F642" s="169" t="s">
        <v>300</v>
      </c>
      <c r="G642" s="169" t="s">
        <v>222</v>
      </c>
      <c r="H642" s="169" t="s">
        <v>301</v>
      </c>
      <c r="I642" s="169" t="s">
        <v>302</v>
      </c>
      <c r="J642" s="169" t="s">
        <v>646</v>
      </c>
      <c r="K642" s="169" t="s">
        <v>647</v>
      </c>
      <c r="L642" s="169" t="s">
        <v>631</v>
      </c>
      <c r="M642" s="169" t="s">
        <v>281</v>
      </c>
      <c r="N642" s="178">
        <v>5400000</v>
      </c>
      <c r="O642" s="169" t="s">
        <v>648</v>
      </c>
      <c r="P642" s="169" t="s">
        <v>283</v>
      </c>
      <c r="Q642" s="169" t="s">
        <v>306</v>
      </c>
      <c r="R642" s="169" t="s">
        <v>283</v>
      </c>
      <c r="S642" s="169" t="s">
        <v>283</v>
      </c>
      <c r="T642" s="169">
        <v>0</v>
      </c>
    </row>
    <row r="643" spans="2:20" x14ac:dyDescent="0.2">
      <c r="B643" s="167" t="str">
        <f>_xlfn.XLOOKUP(I643,Mapping!D:D,Mapping!E:E)</f>
        <v>Văn Phòng Giám Đốc</v>
      </c>
      <c r="C643" s="167" t="str">
        <f>_xlfn.XLOOKUP(F643,Mapping!A:A,Mapping!F:F)</f>
        <v>BHXH, BHYT, KPCĐ</v>
      </c>
      <c r="D643" s="173">
        <v>45777</v>
      </c>
      <c r="E643" s="169" t="s">
        <v>639</v>
      </c>
      <c r="F643" s="169" t="s">
        <v>295</v>
      </c>
      <c r="G643" s="169" t="s">
        <v>296</v>
      </c>
      <c r="H643" s="169" t="s">
        <v>320</v>
      </c>
      <c r="I643" s="169" t="s">
        <v>321</v>
      </c>
      <c r="J643" s="169" t="s">
        <v>640</v>
      </c>
      <c r="K643" s="169" t="s">
        <v>640</v>
      </c>
      <c r="L643" s="169" t="s">
        <v>631</v>
      </c>
      <c r="M643" s="169" t="s">
        <v>281</v>
      </c>
      <c r="N643" s="178">
        <v>20503750</v>
      </c>
      <c r="O643" s="169" t="s">
        <v>641</v>
      </c>
      <c r="P643" s="169" t="s">
        <v>283</v>
      </c>
      <c r="Q643" s="169" t="s">
        <v>633</v>
      </c>
      <c r="R643" s="169" t="s">
        <v>283</v>
      </c>
      <c r="S643" s="169" t="s">
        <v>283</v>
      </c>
      <c r="T643" s="169">
        <v>0</v>
      </c>
    </row>
    <row r="644" spans="2:20" x14ac:dyDescent="0.2">
      <c r="B644" s="167" t="str">
        <f>_xlfn.XLOOKUP(I644,Mapping!D:D,Mapping!E:E)</f>
        <v>Hành Chánh Nhân Sự</v>
      </c>
      <c r="C644" s="167" t="str">
        <f>_xlfn.XLOOKUP(F644,Mapping!A:A,Mapping!F:F)</f>
        <v>BHXH, BHYT, KPCĐ</v>
      </c>
      <c r="D644" s="173">
        <v>45777</v>
      </c>
      <c r="E644" s="169" t="s">
        <v>639</v>
      </c>
      <c r="F644" s="169" t="s">
        <v>295</v>
      </c>
      <c r="G644" s="169" t="s">
        <v>296</v>
      </c>
      <c r="H644" s="169" t="s">
        <v>301</v>
      </c>
      <c r="I644" s="169" t="s">
        <v>302</v>
      </c>
      <c r="J644" s="169" t="s">
        <v>640</v>
      </c>
      <c r="K644" s="169" t="s">
        <v>640</v>
      </c>
      <c r="L644" s="169" t="s">
        <v>631</v>
      </c>
      <c r="M644" s="169" t="s">
        <v>281</v>
      </c>
      <c r="N644" s="178">
        <v>103941800</v>
      </c>
      <c r="O644" s="169" t="s">
        <v>641</v>
      </c>
      <c r="P644" s="169" t="s">
        <v>283</v>
      </c>
      <c r="Q644" s="169" t="s">
        <v>633</v>
      </c>
      <c r="R644" s="169" t="s">
        <v>283</v>
      </c>
      <c r="S644" s="169" t="s">
        <v>283</v>
      </c>
      <c r="T644" s="169">
        <v>0</v>
      </c>
    </row>
    <row r="645" spans="2:20" x14ac:dyDescent="0.2">
      <c r="B645" s="167" t="str">
        <f>_xlfn.XLOOKUP(I645,Mapping!D:D,Mapping!E:E)</f>
        <v>Văn Phòng Giám Đốc</v>
      </c>
      <c r="C645" s="167" t="str">
        <f>_xlfn.XLOOKUP(F645,Mapping!A:A,Mapping!F:F)</f>
        <v>Lương Chính +T13</v>
      </c>
      <c r="D645" s="173">
        <v>45777</v>
      </c>
      <c r="E645" s="169" t="s">
        <v>629</v>
      </c>
      <c r="F645" s="169" t="s">
        <v>274</v>
      </c>
      <c r="G645" s="169" t="s">
        <v>275</v>
      </c>
      <c r="H645" s="169" t="s">
        <v>320</v>
      </c>
      <c r="I645" s="169" t="s">
        <v>321</v>
      </c>
      <c r="J645" s="169" t="s">
        <v>630</v>
      </c>
      <c r="K645" s="169" t="s">
        <v>630</v>
      </c>
      <c r="L645" s="169" t="s">
        <v>631</v>
      </c>
      <c r="M645" s="169" t="s">
        <v>281</v>
      </c>
      <c r="N645" s="178">
        <v>89646034</v>
      </c>
      <c r="O645" s="169" t="s">
        <v>632</v>
      </c>
      <c r="P645" s="169" t="s">
        <v>283</v>
      </c>
      <c r="Q645" s="169" t="s">
        <v>633</v>
      </c>
      <c r="R645" s="169" t="s">
        <v>283</v>
      </c>
      <c r="S645" s="169" t="s">
        <v>283</v>
      </c>
      <c r="T645" s="169">
        <v>0</v>
      </c>
    </row>
    <row r="646" spans="2:20" x14ac:dyDescent="0.2">
      <c r="B646" s="167" t="str">
        <f>_xlfn.XLOOKUP(I646,Mapping!D:D,Mapping!E:E)</f>
        <v>Văn Phòng Giám Đốc</v>
      </c>
      <c r="C646" s="167" t="str">
        <f>_xlfn.XLOOKUP(F646,Mapping!A:A,Mapping!F:F)</f>
        <v>Thưởng</v>
      </c>
      <c r="D646" s="173">
        <v>45777</v>
      </c>
      <c r="E646" s="169" t="s">
        <v>629</v>
      </c>
      <c r="F646" s="169" t="s">
        <v>290</v>
      </c>
      <c r="G646" s="169" t="s">
        <v>291</v>
      </c>
      <c r="H646" s="169" t="s">
        <v>320</v>
      </c>
      <c r="I646" s="169" t="s">
        <v>321</v>
      </c>
      <c r="J646" s="169" t="s">
        <v>630</v>
      </c>
      <c r="K646" s="169" t="s">
        <v>630</v>
      </c>
      <c r="L646" s="169" t="s">
        <v>631</v>
      </c>
      <c r="M646" s="169" t="s">
        <v>281</v>
      </c>
      <c r="N646" s="178">
        <v>1000000</v>
      </c>
      <c r="O646" s="169" t="s">
        <v>632</v>
      </c>
      <c r="P646" s="169" t="s">
        <v>283</v>
      </c>
      <c r="Q646" s="169" t="s">
        <v>633</v>
      </c>
      <c r="R646" s="169" t="s">
        <v>283</v>
      </c>
      <c r="S646" s="169" t="s">
        <v>283</v>
      </c>
      <c r="T646" s="169">
        <v>0</v>
      </c>
    </row>
    <row r="647" spans="2:20" x14ac:dyDescent="0.2">
      <c r="B647" s="167" t="str">
        <f>_xlfn.XLOOKUP(I647,Mapping!D:D,Mapping!E:E)</f>
        <v>Hành Chánh Nhân Sự</v>
      </c>
      <c r="C647" s="167" t="str">
        <f>_xlfn.XLOOKUP(F647,Mapping!A:A,Mapping!F:F)</f>
        <v>Thưởng</v>
      </c>
      <c r="D647" s="173">
        <v>45777</v>
      </c>
      <c r="E647" s="169" t="s">
        <v>629</v>
      </c>
      <c r="F647" s="169" t="s">
        <v>290</v>
      </c>
      <c r="G647" s="169" t="s">
        <v>291</v>
      </c>
      <c r="H647" s="169" t="s">
        <v>301</v>
      </c>
      <c r="I647" s="169" t="s">
        <v>302</v>
      </c>
      <c r="J647" s="169" t="s">
        <v>630</v>
      </c>
      <c r="K647" s="169" t="s">
        <v>630</v>
      </c>
      <c r="L647" s="169" t="s">
        <v>631</v>
      </c>
      <c r="M647" s="169" t="s">
        <v>281</v>
      </c>
      <c r="N647" s="178">
        <v>7400000</v>
      </c>
      <c r="O647" s="169" t="s">
        <v>632</v>
      </c>
      <c r="P647" s="169" t="s">
        <v>283</v>
      </c>
      <c r="Q647" s="169" t="s">
        <v>633</v>
      </c>
      <c r="R647" s="169" t="s">
        <v>283</v>
      </c>
      <c r="S647" s="169" t="s">
        <v>283</v>
      </c>
      <c r="T647" s="169">
        <v>0</v>
      </c>
    </row>
    <row r="648" spans="2:20" x14ac:dyDescent="0.2">
      <c r="B648" s="167" t="str">
        <f>_xlfn.XLOOKUP(I648,Mapping!D:D,Mapping!E:E)</f>
        <v>Hành Chánh Nhân Sự</v>
      </c>
      <c r="C648" s="167" t="str">
        <f>_xlfn.XLOOKUP(F648,Mapping!A:A,Mapping!F:F)</f>
        <v>Phụ Cấp</v>
      </c>
      <c r="D648" s="173">
        <v>45777</v>
      </c>
      <c r="E648" s="169" t="s">
        <v>629</v>
      </c>
      <c r="F648" s="169" t="s">
        <v>335</v>
      </c>
      <c r="G648" s="169" t="s">
        <v>336</v>
      </c>
      <c r="H648" s="169" t="s">
        <v>301</v>
      </c>
      <c r="I648" s="169" t="s">
        <v>302</v>
      </c>
      <c r="J648" s="169" t="s">
        <v>630</v>
      </c>
      <c r="K648" s="169" t="s">
        <v>630</v>
      </c>
      <c r="L648" s="169" t="s">
        <v>631</v>
      </c>
      <c r="M648" s="169" t="s">
        <v>281</v>
      </c>
      <c r="N648" s="178">
        <v>6010000</v>
      </c>
      <c r="O648" s="169" t="s">
        <v>632</v>
      </c>
      <c r="P648" s="169" t="s">
        <v>283</v>
      </c>
      <c r="Q648" s="169" t="s">
        <v>633</v>
      </c>
      <c r="R648" s="169" t="s">
        <v>283</v>
      </c>
      <c r="S648" s="169" t="s">
        <v>283</v>
      </c>
      <c r="T648" s="169">
        <v>0</v>
      </c>
    </row>
    <row r="649" spans="2:20" x14ac:dyDescent="0.2">
      <c r="B649" s="167" t="str">
        <f>_xlfn.XLOOKUP(I649,Mapping!D:D,Mapping!E:E)</f>
        <v>Hành Chánh Nhân Sự</v>
      </c>
      <c r="C649" s="167" t="str">
        <f>_xlfn.XLOOKUP(F649,Mapping!A:A,Mapping!F:F)</f>
        <v>Phụ Cấp</v>
      </c>
      <c r="D649" s="173">
        <v>45777</v>
      </c>
      <c r="E649" s="169" t="s">
        <v>629</v>
      </c>
      <c r="F649" s="169" t="s">
        <v>340</v>
      </c>
      <c r="G649" s="169" t="s">
        <v>341</v>
      </c>
      <c r="H649" s="169" t="s">
        <v>301</v>
      </c>
      <c r="I649" s="169" t="s">
        <v>302</v>
      </c>
      <c r="J649" s="169" t="s">
        <v>630</v>
      </c>
      <c r="K649" s="169" t="s">
        <v>630</v>
      </c>
      <c r="L649" s="169" t="s">
        <v>631</v>
      </c>
      <c r="M649" s="169" t="s">
        <v>281</v>
      </c>
      <c r="N649" s="178">
        <v>8165834</v>
      </c>
      <c r="O649" s="169" t="s">
        <v>632</v>
      </c>
      <c r="P649" s="169" t="s">
        <v>283</v>
      </c>
      <c r="Q649" s="169" t="s">
        <v>633</v>
      </c>
      <c r="R649" s="169" t="s">
        <v>283</v>
      </c>
      <c r="S649" s="169" t="s">
        <v>283</v>
      </c>
      <c r="T649" s="169">
        <v>0</v>
      </c>
    </row>
    <row r="650" spans="2:20" x14ac:dyDescent="0.2">
      <c r="B650" s="167" t="str">
        <f>_xlfn.XLOOKUP(I650,Mapping!D:D,Mapping!E:E)</f>
        <v>Hành Chánh Nhân Sự</v>
      </c>
      <c r="C650" s="167" t="str">
        <f>_xlfn.XLOOKUP(F650,Mapping!A:A,Mapping!F:F)</f>
        <v>Lương Chính +T13</v>
      </c>
      <c r="D650" s="173">
        <v>45777</v>
      </c>
      <c r="E650" s="169" t="s">
        <v>629</v>
      </c>
      <c r="F650" s="169" t="s">
        <v>274</v>
      </c>
      <c r="G650" s="169" t="s">
        <v>275</v>
      </c>
      <c r="H650" s="169" t="s">
        <v>301</v>
      </c>
      <c r="I650" s="169" t="s">
        <v>302</v>
      </c>
      <c r="J650" s="169" t="s">
        <v>630</v>
      </c>
      <c r="K650" s="169" t="s">
        <v>630</v>
      </c>
      <c r="L650" s="169" t="s">
        <v>631</v>
      </c>
      <c r="M650" s="169" t="s">
        <v>281</v>
      </c>
      <c r="N650" s="178">
        <v>475652759</v>
      </c>
      <c r="O650" s="169" t="s">
        <v>632</v>
      </c>
      <c r="P650" s="169" t="s">
        <v>283</v>
      </c>
      <c r="Q650" s="169" t="s">
        <v>633</v>
      </c>
      <c r="R650" s="169" t="s">
        <v>283</v>
      </c>
      <c r="S650" s="169" t="s">
        <v>283</v>
      </c>
      <c r="T650" s="169">
        <v>0</v>
      </c>
    </row>
    <row r="651" spans="2:20" x14ac:dyDescent="0.2">
      <c r="B651" s="167" t="str">
        <f>_xlfn.XLOOKUP(I651,Mapping!D:D,Mapping!E:E)</f>
        <v>Hành Chánh Nhân Sự</v>
      </c>
      <c r="C651" s="167" t="str">
        <f>_xlfn.XLOOKUP(F651,Mapping!A:A,Mapping!F:F)</f>
        <v>Lương Chính +T13</v>
      </c>
      <c r="D651" s="173">
        <v>45777</v>
      </c>
      <c r="E651" s="169" t="s">
        <v>629</v>
      </c>
      <c r="F651" s="169" t="s">
        <v>285</v>
      </c>
      <c r="G651" s="169" t="s">
        <v>286</v>
      </c>
      <c r="H651" s="169" t="s">
        <v>301</v>
      </c>
      <c r="I651" s="169" t="s">
        <v>302</v>
      </c>
      <c r="J651" s="169" t="s">
        <v>630</v>
      </c>
      <c r="K651" s="169" t="s">
        <v>630</v>
      </c>
      <c r="L651" s="169" t="s">
        <v>631</v>
      </c>
      <c r="M651" s="169" t="s">
        <v>281</v>
      </c>
      <c r="N651" s="178">
        <v>15466346</v>
      </c>
      <c r="O651" s="169" t="s">
        <v>632</v>
      </c>
      <c r="P651" s="169" t="s">
        <v>283</v>
      </c>
      <c r="Q651" s="169" t="s">
        <v>633</v>
      </c>
      <c r="R651" s="169" t="s">
        <v>283</v>
      </c>
      <c r="S651" s="169" t="s">
        <v>283</v>
      </c>
      <c r="T651" s="169">
        <v>0</v>
      </c>
    </row>
    <row r="652" spans="2:20" x14ac:dyDescent="0.2">
      <c r="B652" s="167" t="str">
        <f>_xlfn.XLOOKUP(I652,Mapping!D:D,Mapping!E:E)</f>
        <v>Hành Chánh Nhân Sự</v>
      </c>
      <c r="C652" s="167" t="str">
        <f>_xlfn.XLOOKUP(F652,Mapping!A:A,Mapping!F:F)</f>
        <v>Lương Ngoài giờ</v>
      </c>
      <c r="D652" s="173">
        <v>45777</v>
      </c>
      <c r="E652" s="169" t="s">
        <v>629</v>
      </c>
      <c r="F652" s="169" t="s">
        <v>342</v>
      </c>
      <c r="G652" s="169" t="s">
        <v>343</v>
      </c>
      <c r="H652" s="169" t="s">
        <v>301</v>
      </c>
      <c r="I652" s="169" t="s">
        <v>302</v>
      </c>
      <c r="J652" s="169" t="s">
        <v>630</v>
      </c>
      <c r="K652" s="169" t="s">
        <v>630</v>
      </c>
      <c r="L652" s="169" t="s">
        <v>631</v>
      </c>
      <c r="M652" s="169" t="s">
        <v>281</v>
      </c>
      <c r="N652" s="178">
        <v>100572213</v>
      </c>
      <c r="O652" s="169" t="s">
        <v>632</v>
      </c>
      <c r="P652" s="169" t="s">
        <v>283</v>
      </c>
      <c r="Q652" s="169" t="s">
        <v>633</v>
      </c>
      <c r="R652" s="169" t="s">
        <v>283</v>
      </c>
      <c r="S652" s="169" t="s">
        <v>283</v>
      </c>
      <c r="T652" s="169">
        <v>0</v>
      </c>
    </row>
    <row r="653" spans="2:20" x14ac:dyDescent="0.2">
      <c r="B653" s="167" t="str">
        <f>_xlfn.XLOOKUP(I653,Mapping!D:D,Mapping!E:E)</f>
        <v>Văn Phòng Giám Đốc</v>
      </c>
      <c r="C653" s="167" t="str">
        <f>_xlfn.XLOOKUP(F653,Mapping!A:A,Mapping!F:F)</f>
        <v>Lương Chính +T13</v>
      </c>
      <c r="D653" s="173">
        <v>45777</v>
      </c>
      <c r="E653" s="169" t="s">
        <v>634</v>
      </c>
      <c r="F653" s="169" t="s">
        <v>285</v>
      </c>
      <c r="G653" s="169" t="s">
        <v>286</v>
      </c>
      <c r="H653" s="169" t="s">
        <v>320</v>
      </c>
      <c r="I653" s="169" t="s">
        <v>321</v>
      </c>
      <c r="J653" s="169" t="s">
        <v>635</v>
      </c>
      <c r="K653" s="169" t="s">
        <v>636</v>
      </c>
      <c r="L653" s="169" t="s">
        <v>631</v>
      </c>
      <c r="M653" s="169" t="s">
        <v>281</v>
      </c>
      <c r="N653" s="178">
        <v>7270833</v>
      </c>
      <c r="O653" s="169" t="s">
        <v>637</v>
      </c>
      <c r="P653" s="169" t="s">
        <v>283</v>
      </c>
      <c r="Q653" s="169" t="s">
        <v>633</v>
      </c>
      <c r="R653" s="169" t="s">
        <v>283</v>
      </c>
      <c r="S653" s="169" t="s">
        <v>283</v>
      </c>
      <c r="T653" s="169">
        <v>0</v>
      </c>
    </row>
    <row r="654" spans="2:20" x14ac:dyDescent="0.2">
      <c r="B654" s="167" t="str">
        <f>_xlfn.XLOOKUP(I654,Mapping!D:D,Mapping!E:E)</f>
        <v>Hành Chánh Nhân Sự</v>
      </c>
      <c r="C654" s="167" t="str">
        <f>_xlfn.XLOOKUP(F654,Mapping!A:A,Mapping!F:F)</f>
        <v>Lương Chính +T13</v>
      </c>
      <c r="D654" s="173">
        <v>45777</v>
      </c>
      <c r="E654" s="169" t="s">
        <v>634</v>
      </c>
      <c r="F654" s="169" t="s">
        <v>285</v>
      </c>
      <c r="G654" s="169" t="s">
        <v>286</v>
      </c>
      <c r="H654" s="169" t="s">
        <v>301</v>
      </c>
      <c r="I654" s="169" t="s">
        <v>302</v>
      </c>
      <c r="J654" s="169" t="s">
        <v>635</v>
      </c>
      <c r="K654" s="169" t="s">
        <v>636</v>
      </c>
      <c r="L654" s="169" t="s">
        <v>631</v>
      </c>
      <c r="M654" s="169" t="s">
        <v>281</v>
      </c>
      <c r="N654" s="178">
        <v>40832952</v>
      </c>
      <c r="O654" s="169" t="s">
        <v>637</v>
      </c>
      <c r="P654" s="169" t="s">
        <v>283</v>
      </c>
      <c r="Q654" s="169" t="s">
        <v>633</v>
      </c>
      <c r="R654" s="169" t="s">
        <v>283</v>
      </c>
      <c r="S654" s="169" t="s">
        <v>283</v>
      </c>
      <c r="T654" s="169">
        <v>0</v>
      </c>
    </row>
    <row r="655" spans="2:20" x14ac:dyDescent="0.2">
      <c r="B655" s="167" t="str">
        <f>_xlfn.XLOOKUP(I655,Mapping!D:D,Mapping!E:E)</f>
        <v>Văn Phòng Giám Đốc</v>
      </c>
      <c r="C655" s="167" t="str">
        <f>_xlfn.XLOOKUP(F655,Mapping!A:A,Mapping!F:F)</f>
        <v>Thưởng</v>
      </c>
      <c r="D655" s="173">
        <v>45777</v>
      </c>
      <c r="E655" s="169" t="s">
        <v>634</v>
      </c>
      <c r="F655" s="169" t="s">
        <v>292</v>
      </c>
      <c r="G655" s="169" t="s">
        <v>77</v>
      </c>
      <c r="H655" s="169" t="s">
        <v>320</v>
      </c>
      <c r="I655" s="169" t="s">
        <v>321</v>
      </c>
      <c r="J655" s="169" t="s">
        <v>638</v>
      </c>
      <c r="K655" s="169" t="s">
        <v>636</v>
      </c>
      <c r="L655" s="169" t="s">
        <v>631</v>
      </c>
      <c r="M655" s="169" t="s">
        <v>281</v>
      </c>
      <c r="N655" s="178">
        <v>6689109</v>
      </c>
      <c r="O655" s="169" t="s">
        <v>637</v>
      </c>
      <c r="P655" s="169" t="s">
        <v>283</v>
      </c>
      <c r="Q655" s="169" t="s">
        <v>633</v>
      </c>
      <c r="R655" s="169" t="s">
        <v>283</v>
      </c>
      <c r="S655" s="169" t="s">
        <v>283</v>
      </c>
      <c r="T655" s="169">
        <v>0</v>
      </c>
    </row>
    <row r="656" spans="2:20" x14ac:dyDescent="0.2">
      <c r="B656" s="167" t="str">
        <f>_xlfn.XLOOKUP(I656,Mapping!D:D,Mapping!E:E)</f>
        <v>Hành Chánh Nhân Sự</v>
      </c>
      <c r="C656" s="167" t="str">
        <f>_xlfn.XLOOKUP(F656,Mapping!A:A,Mapping!F:F)</f>
        <v>Thưởng</v>
      </c>
      <c r="D656" s="173">
        <v>45777</v>
      </c>
      <c r="E656" s="169" t="s">
        <v>634</v>
      </c>
      <c r="F656" s="169" t="s">
        <v>292</v>
      </c>
      <c r="G656" s="169" t="s">
        <v>77</v>
      </c>
      <c r="H656" s="169" t="s">
        <v>301</v>
      </c>
      <c r="I656" s="169" t="s">
        <v>302</v>
      </c>
      <c r="J656" s="169" t="s">
        <v>638</v>
      </c>
      <c r="K656" s="169" t="s">
        <v>636</v>
      </c>
      <c r="L656" s="169" t="s">
        <v>631</v>
      </c>
      <c r="M656" s="169" t="s">
        <v>281</v>
      </c>
      <c r="N656" s="178">
        <v>32313325</v>
      </c>
      <c r="O656" s="169" t="s">
        <v>637</v>
      </c>
      <c r="P656" s="169" t="s">
        <v>283</v>
      </c>
      <c r="Q656" s="169" t="s">
        <v>633</v>
      </c>
      <c r="R656" s="169" t="s">
        <v>283</v>
      </c>
      <c r="S656" s="169" t="s">
        <v>283</v>
      </c>
      <c r="T656" s="169">
        <v>0</v>
      </c>
    </row>
    <row r="657" spans="2:20" x14ac:dyDescent="0.2">
      <c r="B657" s="167" t="str">
        <f>_xlfn.XLOOKUP(I657,Mapping!D:D,Mapping!E:E)</f>
        <v>Hành Chánh Nhân Sự</v>
      </c>
      <c r="C657" s="167" t="str">
        <f>_xlfn.XLOOKUP(F657,Mapping!A:A,Mapping!F:F)</f>
        <v>Lương Chính +T13</v>
      </c>
      <c r="D657" s="173">
        <v>45777</v>
      </c>
      <c r="E657" s="169" t="s">
        <v>649</v>
      </c>
      <c r="F657" s="169" t="s">
        <v>274</v>
      </c>
      <c r="G657" s="169" t="s">
        <v>275</v>
      </c>
      <c r="H657" s="169" t="s">
        <v>301</v>
      </c>
      <c r="I657" s="169" t="s">
        <v>302</v>
      </c>
      <c r="J657" s="169" t="s">
        <v>650</v>
      </c>
      <c r="K657" s="169" t="s">
        <v>328</v>
      </c>
      <c r="L657" s="169" t="s">
        <v>631</v>
      </c>
      <c r="M657" s="169" t="s">
        <v>281</v>
      </c>
      <c r="N657" s="178">
        <v>86340000</v>
      </c>
      <c r="O657" s="169" t="s">
        <v>651</v>
      </c>
      <c r="P657" s="169" t="s">
        <v>283</v>
      </c>
      <c r="Q657" s="169" t="s">
        <v>306</v>
      </c>
      <c r="R657" s="169" t="s">
        <v>283</v>
      </c>
      <c r="S657" s="169" t="s">
        <v>283</v>
      </c>
      <c r="T657" s="169">
        <v>0</v>
      </c>
    </row>
    <row r="658" spans="2:20" x14ac:dyDescent="0.2">
      <c r="B658" s="167" t="str">
        <f>_xlfn.XLOOKUP(I658,Mapping!D:D,Mapping!E:E)</f>
        <v>Kinh doanh</v>
      </c>
      <c r="C658" s="167" t="str">
        <f>_xlfn.XLOOKUP(F658,Mapping!A:A,Mapping!F:F)</f>
        <v>Thưởng</v>
      </c>
      <c r="D658" s="173">
        <v>45748</v>
      </c>
      <c r="E658" s="169" t="s">
        <v>652</v>
      </c>
      <c r="F658" s="169" t="s">
        <v>365</v>
      </c>
      <c r="G658" s="169" t="s">
        <v>291</v>
      </c>
      <c r="H658" s="169" t="s">
        <v>366</v>
      </c>
      <c r="I658" s="169" t="s">
        <v>1</v>
      </c>
      <c r="J658" s="169" t="s">
        <v>653</v>
      </c>
      <c r="K658" s="169" t="s">
        <v>654</v>
      </c>
      <c r="L658" s="169" t="s">
        <v>631</v>
      </c>
      <c r="M658" s="169" t="s">
        <v>281</v>
      </c>
      <c r="N658" s="178">
        <v>9165135</v>
      </c>
      <c r="O658" s="169" t="s">
        <v>655</v>
      </c>
      <c r="P658" s="169" t="s">
        <v>283</v>
      </c>
      <c r="Q658" s="169" t="s">
        <v>370</v>
      </c>
      <c r="R658" s="169" t="s">
        <v>283</v>
      </c>
      <c r="S658" s="169" t="s">
        <v>283</v>
      </c>
      <c r="T658" s="169">
        <v>0</v>
      </c>
    </row>
    <row r="659" spans="2:20" x14ac:dyDescent="0.2">
      <c r="B659" s="167" t="s">
        <v>2021</v>
      </c>
      <c r="C659" s="167" t="str">
        <f>_xlfn.XLOOKUP(F659,Mapping!A:A,Mapping!F:F)</f>
        <v>Khen thưởng BD khác</v>
      </c>
      <c r="D659" s="173">
        <v>45748</v>
      </c>
      <c r="E659" s="169" t="s">
        <v>656</v>
      </c>
      <c r="F659" s="169" t="s">
        <v>300</v>
      </c>
      <c r="G659" s="169" t="s">
        <v>222</v>
      </c>
      <c r="H659" s="169" t="s">
        <v>657</v>
      </c>
      <c r="I659" s="169" t="s">
        <v>658</v>
      </c>
      <c r="J659" s="169" t="s">
        <v>659</v>
      </c>
      <c r="K659" s="169" t="s">
        <v>660</v>
      </c>
      <c r="L659" s="169" t="s">
        <v>631</v>
      </c>
      <c r="M659" s="169" t="s">
        <v>281</v>
      </c>
      <c r="N659" s="178">
        <v>20000000</v>
      </c>
      <c r="O659" s="169" t="s">
        <v>661</v>
      </c>
      <c r="P659" s="169" t="s">
        <v>283</v>
      </c>
      <c r="Q659" s="169" t="s">
        <v>370</v>
      </c>
      <c r="R659" s="169" t="s">
        <v>283</v>
      </c>
      <c r="S659" s="169" t="s">
        <v>283</v>
      </c>
      <c r="T659" s="169">
        <v>0</v>
      </c>
    </row>
    <row r="660" spans="2:20" x14ac:dyDescent="0.2">
      <c r="B660" s="167" t="str">
        <f>_xlfn.XLOOKUP(I660,Mapping!D:D,Mapping!E:E)</f>
        <v>Kinh doanh</v>
      </c>
      <c r="C660" s="167" t="str">
        <f>_xlfn.XLOOKUP(F660,Mapping!A:A,Mapping!F:F)</f>
        <v>Phụ Cấp</v>
      </c>
      <c r="D660" s="173">
        <v>45755</v>
      </c>
      <c r="E660" s="169" t="s">
        <v>662</v>
      </c>
      <c r="F660" s="169" t="s">
        <v>385</v>
      </c>
      <c r="G660" s="169" t="s">
        <v>336</v>
      </c>
      <c r="H660" s="169" t="s">
        <v>366</v>
      </c>
      <c r="I660" s="169" t="s">
        <v>1</v>
      </c>
      <c r="J660" s="169" t="s">
        <v>663</v>
      </c>
      <c r="K660" s="169" t="s">
        <v>581</v>
      </c>
      <c r="L660" s="169" t="s">
        <v>631</v>
      </c>
      <c r="M660" s="169" t="s">
        <v>281</v>
      </c>
      <c r="N660" s="178">
        <v>5859296</v>
      </c>
      <c r="O660" s="169" t="s">
        <v>664</v>
      </c>
      <c r="P660" s="169" t="s">
        <v>283</v>
      </c>
      <c r="Q660" s="169" t="s">
        <v>306</v>
      </c>
      <c r="R660" s="169" t="s">
        <v>283</v>
      </c>
      <c r="S660" s="169" t="s">
        <v>283</v>
      </c>
      <c r="T660" s="169">
        <v>0</v>
      </c>
    </row>
    <row r="661" spans="2:20" x14ac:dyDescent="0.2">
      <c r="B661" s="167" t="str">
        <f>_xlfn.XLOOKUP(I661,Mapping!D:D,Mapping!E:E)</f>
        <v>Hành Chánh Nhân Sự</v>
      </c>
      <c r="C661" s="167" t="str">
        <f>_xlfn.XLOOKUP(F661,Mapping!A:A,Mapping!F:F)</f>
        <v>Khen thưởng BD khác</v>
      </c>
      <c r="D661" s="173">
        <v>45769</v>
      </c>
      <c r="E661" s="169" t="s">
        <v>665</v>
      </c>
      <c r="F661" s="169" t="s">
        <v>300</v>
      </c>
      <c r="G661" s="169" t="s">
        <v>222</v>
      </c>
      <c r="H661" s="169" t="s">
        <v>358</v>
      </c>
      <c r="I661" s="169" t="s">
        <v>359</v>
      </c>
      <c r="J661" s="169" t="s">
        <v>666</v>
      </c>
      <c r="K661" s="169" t="s">
        <v>666</v>
      </c>
      <c r="L661" s="169" t="s">
        <v>631</v>
      </c>
      <c r="M661" s="169" t="s">
        <v>281</v>
      </c>
      <c r="N661" s="178">
        <v>1500000</v>
      </c>
      <c r="O661" s="169" t="s">
        <v>667</v>
      </c>
      <c r="P661" s="169" t="s">
        <v>283</v>
      </c>
      <c r="Q661" s="169" t="s">
        <v>325</v>
      </c>
      <c r="R661" s="169" t="s">
        <v>283</v>
      </c>
      <c r="S661" s="169" t="s">
        <v>283</v>
      </c>
      <c r="T661" s="169">
        <v>0</v>
      </c>
    </row>
    <row r="662" spans="2:20" x14ac:dyDescent="0.2">
      <c r="B662" s="167" t="str">
        <f>_xlfn.XLOOKUP(I662,Mapping!D:D,Mapping!E:E)</f>
        <v>Kinh doanh</v>
      </c>
      <c r="C662" s="167" t="str">
        <f>_xlfn.XLOOKUP(F662,Mapping!A:A,Mapping!F:F)</f>
        <v>Thưởng</v>
      </c>
      <c r="D662" s="173">
        <v>45777</v>
      </c>
      <c r="E662" s="169" t="s">
        <v>668</v>
      </c>
      <c r="F662" s="169" t="s">
        <v>365</v>
      </c>
      <c r="G662" s="169" t="s">
        <v>291</v>
      </c>
      <c r="H662" s="169" t="s">
        <v>366</v>
      </c>
      <c r="I662" s="169" t="s">
        <v>1</v>
      </c>
      <c r="J662" s="169" t="s">
        <v>669</v>
      </c>
      <c r="K662" s="169" t="s">
        <v>670</v>
      </c>
      <c r="L662" s="169" t="s">
        <v>631</v>
      </c>
      <c r="M662" s="169" t="s">
        <v>281</v>
      </c>
      <c r="N662" s="178">
        <v>23539797</v>
      </c>
      <c r="O662" s="169" t="s">
        <v>671</v>
      </c>
      <c r="P662" s="169" t="s">
        <v>283</v>
      </c>
      <c r="Q662" s="169" t="s">
        <v>370</v>
      </c>
      <c r="R662" s="169" t="s">
        <v>283</v>
      </c>
      <c r="S662" s="169" t="s">
        <v>283</v>
      </c>
      <c r="T662" s="169">
        <v>0</v>
      </c>
    </row>
    <row r="663" spans="2:20" x14ac:dyDescent="0.2">
      <c r="B663" s="167" t="str">
        <f>_xlfn.XLOOKUP(I663,Mapping!D:D,Mapping!E:E)</f>
        <v>Kinh doanh</v>
      </c>
      <c r="C663" s="167" t="str">
        <f>_xlfn.XLOOKUP(F663,Mapping!A:A,Mapping!F:F)</f>
        <v>Thưởng</v>
      </c>
      <c r="D663" s="173">
        <v>45777</v>
      </c>
      <c r="E663" s="169" t="s">
        <v>672</v>
      </c>
      <c r="F663" s="169" t="s">
        <v>365</v>
      </c>
      <c r="G663" s="169" t="s">
        <v>291</v>
      </c>
      <c r="H663" s="169" t="s">
        <v>366</v>
      </c>
      <c r="I663" s="169" t="s">
        <v>1</v>
      </c>
      <c r="J663" s="169" t="s">
        <v>673</v>
      </c>
      <c r="K663" s="169" t="s">
        <v>670</v>
      </c>
      <c r="L663" s="169" t="s">
        <v>631</v>
      </c>
      <c r="M663" s="169" t="s">
        <v>281</v>
      </c>
      <c r="N663" s="178">
        <v>116293966</v>
      </c>
      <c r="O663" s="169" t="s">
        <v>674</v>
      </c>
      <c r="P663" s="169" t="s">
        <v>283</v>
      </c>
      <c r="Q663" s="169" t="s">
        <v>370</v>
      </c>
      <c r="R663" s="169" t="s">
        <v>283</v>
      </c>
      <c r="S663" s="169" t="s">
        <v>283</v>
      </c>
      <c r="T663" s="169">
        <v>0</v>
      </c>
    </row>
    <row r="664" spans="2:20" x14ac:dyDescent="0.2">
      <c r="B664" s="167" t="str">
        <f>_xlfn.XLOOKUP(I664,Mapping!D:D,Mapping!E:E)</f>
        <v>Kế Toán</v>
      </c>
      <c r="C664" s="167" t="str">
        <f>_xlfn.XLOOKUP(F664,Mapping!A:A,Mapping!F:F)</f>
        <v>Phụ Cấp</v>
      </c>
      <c r="D664" s="173">
        <v>45775</v>
      </c>
      <c r="E664" s="169" t="s">
        <v>642</v>
      </c>
      <c r="F664" s="169" t="s">
        <v>335</v>
      </c>
      <c r="G664" s="169" t="s">
        <v>336</v>
      </c>
      <c r="H664" s="169" t="s">
        <v>356</v>
      </c>
      <c r="I664" s="169" t="s">
        <v>357</v>
      </c>
      <c r="J664" s="169" t="s">
        <v>643</v>
      </c>
      <c r="K664" s="169" t="s">
        <v>338</v>
      </c>
      <c r="L664" s="169" t="s">
        <v>631</v>
      </c>
      <c r="M664" s="169" t="s">
        <v>281</v>
      </c>
      <c r="N664" s="178">
        <v>13300000</v>
      </c>
      <c r="O664" s="169" t="s">
        <v>644</v>
      </c>
      <c r="P664" s="169" t="s">
        <v>283</v>
      </c>
      <c r="Q664" s="169" t="s">
        <v>306</v>
      </c>
      <c r="R664" s="169" t="s">
        <v>283</v>
      </c>
      <c r="S664" s="169" t="s">
        <v>283</v>
      </c>
      <c r="T664" s="169">
        <v>0</v>
      </c>
    </row>
    <row r="665" spans="2:20" x14ac:dyDescent="0.2">
      <c r="B665" s="167" t="str">
        <f>_xlfn.XLOOKUP(I665,Mapping!D:D,Mapping!E:E)</f>
        <v>Hành Chánh Nhân Sự</v>
      </c>
      <c r="C665" s="167" t="str">
        <f>_xlfn.XLOOKUP(F665,Mapping!A:A,Mapping!F:F)</f>
        <v>Phụ Cấp</v>
      </c>
      <c r="D665" s="173">
        <v>45775</v>
      </c>
      <c r="E665" s="169" t="s">
        <v>642</v>
      </c>
      <c r="F665" s="169" t="s">
        <v>335</v>
      </c>
      <c r="G665" s="169" t="s">
        <v>336</v>
      </c>
      <c r="H665" s="169" t="s">
        <v>382</v>
      </c>
      <c r="I665" s="169" t="s">
        <v>200</v>
      </c>
      <c r="J665" s="169" t="s">
        <v>643</v>
      </c>
      <c r="K665" s="169" t="s">
        <v>338</v>
      </c>
      <c r="L665" s="169" t="s">
        <v>631</v>
      </c>
      <c r="M665" s="169" t="s">
        <v>281</v>
      </c>
      <c r="N665" s="178">
        <v>1650000</v>
      </c>
      <c r="O665" s="169" t="s">
        <v>644</v>
      </c>
      <c r="P665" s="169" t="s">
        <v>283</v>
      </c>
      <c r="Q665" s="169" t="s">
        <v>306</v>
      </c>
      <c r="R665" s="169" t="s">
        <v>283</v>
      </c>
      <c r="S665" s="169" t="s">
        <v>283</v>
      </c>
      <c r="T665" s="169">
        <v>0</v>
      </c>
    </row>
    <row r="666" spans="2:20" x14ac:dyDescent="0.2">
      <c r="B666" s="167" t="str">
        <f>_xlfn.XLOOKUP(I666,Mapping!D:D,Mapping!E:E)</f>
        <v>Hành Chánh Nhân Sự</v>
      </c>
      <c r="C666" s="167" t="str">
        <f>_xlfn.XLOOKUP(F666,Mapping!A:A,Mapping!F:F)</f>
        <v>Phụ Cấp</v>
      </c>
      <c r="D666" s="173">
        <v>45775</v>
      </c>
      <c r="E666" s="169" t="s">
        <v>642</v>
      </c>
      <c r="F666" s="169" t="s">
        <v>335</v>
      </c>
      <c r="G666" s="169" t="s">
        <v>336</v>
      </c>
      <c r="H666" s="169" t="s">
        <v>358</v>
      </c>
      <c r="I666" s="169" t="s">
        <v>359</v>
      </c>
      <c r="J666" s="169" t="s">
        <v>643</v>
      </c>
      <c r="K666" s="169" t="s">
        <v>338</v>
      </c>
      <c r="L666" s="169" t="s">
        <v>631</v>
      </c>
      <c r="M666" s="169" t="s">
        <v>281</v>
      </c>
      <c r="N666" s="178">
        <v>2725000</v>
      </c>
      <c r="O666" s="169" t="s">
        <v>644</v>
      </c>
      <c r="P666" s="169" t="s">
        <v>283</v>
      </c>
      <c r="Q666" s="169" t="s">
        <v>306</v>
      </c>
      <c r="R666" s="169" t="s">
        <v>283</v>
      </c>
      <c r="S666" s="169" t="s">
        <v>283</v>
      </c>
      <c r="T666" s="169">
        <v>0</v>
      </c>
    </row>
    <row r="667" spans="2:20" x14ac:dyDescent="0.2">
      <c r="B667" s="167" t="str">
        <f>_xlfn.XLOOKUP(I667,Mapping!D:D,Mapping!E:E)</f>
        <v>Kế Toán</v>
      </c>
      <c r="C667" s="167" t="str">
        <f>_xlfn.XLOOKUP(F667,Mapping!A:A,Mapping!F:F)</f>
        <v>BHXH, BHYT, KPCĐ</v>
      </c>
      <c r="D667" s="173">
        <v>45777</v>
      </c>
      <c r="E667" s="169" t="s">
        <v>639</v>
      </c>
      <c r="F667" s="169" t="s">
        <v>295</v>
      </c>
      <c r="G667" s="169" t="s">
        <v>296</v>
      </c>
      <c r="H667" s="169" t="s">
        <v>356</v>
      </c>
      <c r="I667" s="169" t="s">
        <v>357</v>
      </c>
      <c r="J667" s="169" t="s">
        <v>640</v>
      </c>
      <c r="K667" s="169" t="s">
        <v>640</v>
      </c>
      <c r="L667" s="169" t="s">
        <v>631</v>
      </c>
      <c r="M667" s="169" t="s">
        <v>281</v>
      </c>
      <c r="N667" s="178">
        <v>85893695</v>
      </c>
      <c r="O667" s="169" t="s">
        <v>641</v>
      </c>
      <c r="P667" s="169" t="s">
        <v>283</v>
      </c>
      <c r="Q667" s="169" t="s">
        <v>633</v>
      </c>
      <c r="R667" s="169" t="s">
        <v>283</v>
      </c>
      <c r="S667" s="169" t="s">
        <v>283</v>
      </c>
      <c r="T667" s="169">
        <v>0</v>
      </c>
    </row>
    <row r="668" spans="2:20" x14ac:dyDescent="0.2">
      <c r="B668" s="167" t="str">
        <f>_xlfn.XLOOKUP(I668,Mapping!D:D,Mapping!E:E)</f>
        <v>Kinh doanh</v>
      </c>
      <c r="C668" s="167" t="str">
        <f>_xlfn.XLOOKUP(F668,Mapping!A:A,Mapping!F:F)</f>
        <v>BHXH, BHYT, KPCĐ</v>
      </c>
      <c r="D668" s="173">
        <v>45777</v>
      </c>
      <c r="E668" s="169" t="s">
        <v>639</v>
      </c>
      <c r="F668" s="169" t="s">
        <v>392</v>
      </c>
      <c r="G668" s="169" t="s">
        <v>296</v>
      </c>
      <c r="H668" s="169" t="s">
        <v>366</v>
      </c>
      <c r="I668" s="169" t="s">
        <v>1</v>
      </c>
      <c r="J668" s="169" t="s">
        <v>640</v>
      </c>
      <c r="K668" s="169" t="s">
        <v>640</v>
      </c>
      <c r="L668" s="169" t="s">
        <v>631</v>
      </c>
      <c r="M668" s="169" t="s">
        <v>281</v>
      </c>
      <c r="N668" s="178">
        <v>62369945</v>
      </c>
      <c r="O668" s="169" t="s">
        <v>641</v>
      </c>
      <c r="P668" s="169" t="s">
        <v>283</v>
      </c>
      <c r="Q668" s="169" t="s">
        <v>633</v>
      </c>
      <c r="R668" s="169" t="s">
        <v>283</v>
      </c>
      <c r="S668" s="169" t="s">
        <v>283</v>
      </c>
      <c r="T668" s="169">
        <v>0</v>
      </c>
    </row>
    <row r="669" spans="2:20" x14ac:dyDescent="0.2">
      <c r="B669" s="167" t="str">
        <f>_xlfn.XLOOKUP(I669,Mapping!D:D,Mapping!E:E)</f>
        <v>Hành Chánh Nhân Sự</v>
      </c>
      <c r="C669" s="167" t="str">
        <f>_xlfn.XLOOKUP(F669,Mapping!A:A,Mapping!F:F)</f>
        <v>BHXH, BHYT, KPCĐ</v>
      </c>
      <c r="D669" s="173">
        <v>45777</v>
      </c>
      <c r="E669" s="169" t="s">
        <v>639</v>
      </c>
      <c r="F669" s="169" t="s">
        <v>295</v>
      </c>
      <c r="G669" s="169" t="s">
        <v>296</v>
      </c>
      <c r="H669" s="169" t="s">
        <v>382</v>
      </c>
      <c r="I669" s="169" t="s">
        <v>200</v>
      </c>
      <c r="J669" s="169" t="s">
        <v>640</v>
      </c>
      <c r="K669" s="169" t="s">
        <v>640</v>
      </c>
      <c r="L669" s="169" t="s">
        <v>631</v>
      </c>
      <c r="M669" s="169" t="s">
        <v>281</v>
      </c>
      <c r="N669" s="178">
        <v>17467785</v>
      </c>
      <c r="O669" s="169" t="s">
        <v>641</v>
      </c>
      <c r="P669" s="169" t="s">
        <v>283</v>
      </c>
      <c r="Q669" s="169" t="s">
        <v>633</v>
      </c>
      <c r="R669" s="169" t="s">
        <v>283</v>
      </c>
      <c r="S669" s="169" t="s">
        <v>283</v>
      </c>
      <c r="T669" s="169">
        <v>0</v>
      </c>
    </row>
    <row r="670" spans="2:20" x14ac:dyDescent="0.2">
      <c r="B670" s="167" t="str">
        <f>_xlfn.XLOOKUP(I670,Mapping!D:D,Mapping!E:E)</f>
        <v>Hành Chánh Nhân Sự</v>
      </c>
      <c r="C670" s="167" t="str">
        <f>_xlfn.XLOOKUP(F670,Mapping!A:A,Mapping!F:F)</f>
        <v>BHXH, BHYT, KPCĐ</v>
      </c>
      <c r="D670" s="173">
        <v>45777</v>
      </c>
      <c r="E670" s="169" t="s">
        <v>639</v>
      </c>
      <c r="F670" s="169" t="s">
        <v>295</v>
      </c>
      <c r="G670" s="169" t="s">
        <v>296</v>
      </c>
      <c r="H670" s="169" t="s">
        <v>358</v>
      </c>
      <c r="I670" s="169" t="s">
        <v>359</v>
      </c>
      <c r="J670" s="169" t="s">
        <v>640</v>
      </c>
      <c r="K670" s="169" t="s">
        <v>640</v>
      </c>
      <c r="L670" s="169" t="s">
        <v>631</v>
      </c>
      <c r="M670" s="169" t="s">
        <v>281</v>
      </c>
      <c r="N670" s="178">
        <v>21177730</v>
      </c>
      <c r="O670" s="169" t="s">
        <v>641</v>
      </c>
      <c r="P670" s="169" t="s">
        <v>283</v>
      </c>
      <c r="Q670" s="169" t="s">
        <v>633</v>
      </c>
      <c r="R670" s="169" t="s">
        <v>283</v>
      </c>
      <c r="S670" s="169" t="s">
        <v>283</v>
      </c>
      <c r="T670" s="169">
        <v>0</v>
      </c>
    </row>
    <row r="671" spans="2:20" x14ac:dyDescent="0.2">
      <c r="B671" s="167" t="str">
        <f>_xlfn.XLOOKUP(I671,Mapping!D:D,Mapping!E:E)</f>
        <v>Kế Toán</v>
      </c>
      <c r="C671" s="167" t="str">
        <f>_xlfn.XLOOKUP(F671,Mapping!A:A,Mapping!F:F)</f>
        <v>Lương Chính +T13</v>
      </c>
      <c r="D671" s="173">
        <v>45777</v>
      </c>
      <c r="E671" s="169" t="s">
        <v>629</v>
      </c>
      <c r="F671" s="169" t="s">
        <v>274</v>
      </c>
      <c r="G671" s="169" t="s">
        <v>275</v>
      </c>
      <c r="H671" s="169" t="s">
        <v>356</v>
      </c>
      <c r="I671" s="169" t="s">
        <v>357</v>
      </c>
      <c r="J671" s="169" t="s">
        <v>630</v>
      </c>
      <c r="K671" s="169" t="s">
        <v>630</v>
      </c>
      <c r="L671" s="169" t="s">
        <v>631</v>
      </c>
      <c r="M671" s="169" t="s">
        <v>281</v>
      </c>
      <c r="N671" s="178">
        <v>429894344</v>
      </c>
      <c r="O671" s="169" t="s">
        <v>632</v>
      </c>
      <c r="P671" s="169" t="s">
        <v>283</v>
      </c>
      <c r="Q671" s="169" t="s">
        <v>633</v>
      </c>
      <c r="R671" s="169" t="s">
        <v>283</v>
      </c>
      <c r="S671" s="169" t="s">
        <v>283</v>
      </c>
      <c r="T671" s="169">
        <v>0</v>
      </c>
    </row>
    <row r="672" spans="2:20" x14ac:dyDescent="0.2">
      <c r="B672" s="167" t="str">
        <f>_xlfn.XLOOKUP(I672,Mapping!D:D,Mapping!E:E)</f>
        <v>Kế Toán</v>
      </c>
      <c r="C672" s="167" t="str">
        <f>_xlfn.XLOOKUP(F672,Mapping!A:A,Mapping!F:F)</f>
        <v>Lương Chính +T13</v>
      </c>
      <c r="D672" s="173">
        <v>45777</v>
      </c>
      <c r="E672" s="169" t="s">
        <v>629</v>
      </c>
      <c r="F672" s="169" t="s">
        <v>285</v>
      </c>
      <c r="G672" s="169" t="s">
        <v>286</v>
      </c>
      <c r="H672" s="169" t="s">
        <v>356</v>
      </c>
      <c r="I672" s="169" t="s">
        <v>357</v>
      </c>
      <c r="J672" s="169" t="s">
        <v>630</v>
      </c>
      <c r="K672" s="169" t="s">
        <v>630</v>
      </c>
      <c r="L672" s="169" t="s">
        <v>631</v>
      </c>
      <c r="M672" s="169" t="s">
        <v>281</v>
      </c>
      <c r="N672" s="178">
        <v>13384216</v>
      </c>
      <c r="O672" s="169" t="s">
        <v>632</v>
      </c>
      <c r="P672" s="169" t="s">
        <v>283</v>
      </c>
      <c r="Q672" s="169" t="s">
        <v>633</v>
      </c>
      <c r="R672" s="169" t="s">
        <v>283</v>
      </c>
      <c r="S672" s="169" t="s">
        <v>283</v>
      </c>
      <c r="T672" s="169">
        <v>0</v>
      </c>
    </row>
    <row r="673" spans="2:20" x14ac:dyDescent="0.2">
      <c r="B673" s="167" t="str">
        <f>_xlfn.XLOOKUP(I673,Mapping!D:D,Mapping!E:E)</f>
        <v>Kế Toán</v>
      </c>
      <c r="C673" s="167" t="str">
        <f>_xlfn.XLOOKUP(F673,Mapping!A:A,Mapping!F:F)</f>
        <v>Lương Ngoài giờ</v>
      </c>
      <c r="D673" s="173">
        <v>45777</v>
      </c>
      <c r="E673" s="169" t="s">
        <v>629</v>
      </c>
      <c r="F673" s="169" t="s">
        <v>342</v>
      </c>
      <c r="G673" s="169" t="s">
        <v>343</v>
      </c>
      <c r="H673" s="169" t="s">
        <v>356</v>
      </c>
      <c r="I673" s="169" t="s">
        <v>357</v>
      </c>
      <c r="J673" s="169" t="s">
        <v>630</v>
      </c>
      <c r="K673" s="169" t="s">
        <v>630</v>
      </c>
      <c r="L673" s="169" t="s">
        <v>631</v>
      </c>
      <c r="M673" s="169" t="s">
        <v>281</v>
      </c>
      <c r="N673" s="178">
        <v>49665984</v>
      </c>
      <c r="O673" s="169" t="s">
        <v>632</v>
      </c>
      <c r="P673" s="169" t="s">
        <v>283</v>
      </c>
      <c r="Q673" s="169" t="s">
        <v>633</v>
      </c>
      <c r="R673" s="169" t="s">
        <v>283</v>
      </c>
      <c r="S673" s="169" t="s">
        <v>283</v>
      </c>
      <c r="T673" s="169">
        <v>0</v>
      </c>
    </row>
    <row r="674" spans="2:20" x14ac:dyDescent="0.2">
      <c r="B674" s="167" t="str">
        <f>_xlfn.XLOOKUP(I674,Mapping!D:D,Mapping!E:E)</f>
        <v>Kế Toán</v>
      </c>
      <c r="C674" s="167" t="str">
        <f>_xlfn.XLOOKUP(F674,Mapping!A:A,Mapping!F:F)</f>
        <v>Thưởng</v>
      </c>
      <c r="D674" s="173">
        <v>45777</v>
      </c>
      <c r="E674" s="169" t="s">
        <v>629</v>
      </c>
      <c r="F674" s="169" t="s">
        <v>290</v>
      </c>
      <c r="G674" s="169" t="s">
        <v>291</v>
      </c>
      <c r="H674" s="169" t="s">
        <v>356</v>
      </c>
      <c r="I674" s="169" t="s">
        <v>357</v>
      </c>
      <c r="J674" s="169" t="s">
        <v>630</v>
      </c>
      <c r="K674" s="169" t="s">
        <v>630</v>
      </c>
      <c r="L674" s="169" t="s">
        <v>631</v>
      </c>
      <c r="M674" s="169" t="s">
        <v>281</v>
      </c>
      <c r="N674" s="178">
        <v>4800000</v>
      </c>
      <c r="O674" s="169" t="s">
        <v>632</v>
      </c>
      <c r="P674" s="169" t="s">
        <v>283</v>
      </c>
      <c r="Q674" s="169" t="s">
        <v>633</v>
      </c>
      <c r="R674" s="169" t="s">
        <v>283</v>
      </c>
      <c r="S674" s="169" t="s">
        <v>283</v>
      </c>
      <c r="T674" s="169">
        <v>0</v>
      </c>
    </row>
    <row r="675" spans="2:20" x14ac:dyDescent="0.2">
      <c r="B675" s="167" t="str">
        <f>_xlfn.XLOOKUP(I675,Mapping!D:D,Mapping!E:E)</f>
        <v>Kế Toán</v>
      </c>
      <c r="C675" s="167" t="str">
        <f>_xlfn.XLOOKUP(F675,Mapping!A:A,Mapping!F:F)</f>
        <v>Phụ Cấp</v>
      </c>
      <c r="D675" s="173">
        <v>45777</v>
      </c>
      <c r="E675" s="169" t="s">
        <v>629</v>
      </c>
      <c r="F675" s="169" t="s">
        <v>335</v>
      </c>
      <c r="G675" s="169" t="s">
        <v>336</v>
      </c>
      <c r="H675" s="169" t="s">
        <v>356</v>
      </c>
      <c r="I675" s="169" t="s">
        <v>357</v>
      </c>
      <c r="J675" s="169" t="s">
        <v>630</v>
      </c>
      <c r="K675" s="169" t="s">
        <v>630</v>
      </c>
      <c r="L675" s="169" t="s">
        <v>631</v>
      </c>
      <c r="M675" s="169" t="s">
        <v>281</v>
      </c>
      <c r="N675" s="178">
        <v>2545000</v>
      </c>
      <c r="O675" s="169" t="s">
        <v>632</v>
      </c>
      <c r="P675" s="169" t="s">
        <v>283</v>
      </c>
      <c r="Q675" s="169" t="s">
        <v>633</v>
      </c>
      <c r="R675" s="169" t="s">
        <v>283</v>
      </c>
      <c r="S675" s="169" t="s">
        <v>283</v>
      </c>
      <c r="T675" s="169">
        <v>0</v>
      </c>
    </row>
    <row r="676" spans="2:20" x14ac:dyDescent="0.2">
      <c r="B676" s="167" t="str">
        <f>_xlfn.XLOOKUP(I676,Mapping!D:D,Mapping!E:E)</f>
        <v>Kinh doanh</v>
      </c>
      <c r="C676" s="167" t="str">
        <f>_xlfn.XLOOKUP(F676,Mapping!A:A,Mapping!F:F)</f>
        <v>Lương Chính +T13</v>
      </c>
      <c r="D676" s="173">
        <v>45777</v>
      </c>
      <c r="E676" s="169" t="s">
        <v>629</v>
      </c>
      <c r="F676" s="169" t="s">
        <v>383</v>
      </c>
      <c r="G676" s="169" t="s">
        <v>275</v>
      </c>
      <c r="H676" s="169" t="s">
        <v>366</v>
      </c>
      <c r="I676" s="169" t="s">
        <v>1</v>
      </c>
      <c r="J676" s="169" t="s">
        <v>630</v>
      </c>
      <c r="K676" s="169" t="s">
        <v>630</v>
      </c>
      <c r="L676" s="169" t="s">
        <v>631</v>
      </c>
      <c r="M676" s="169" t="s">
        <v>281</v>
      </c>
      <c r="N676" s="178">
        <v>253144064</v>
      </c>
      <c r="O676" s="169" t="s">
        <v>632</v>
      </c>
      <c r="P676" s="169" t="s">
        <v>283</v>
      </c>
      <c r="Q676" s="169" t="s">
        <v>633</v>
      </c>
      <c r="R676" s="169" t="s">
        <v>283</v>
      </c>
      <c r="S676" s="169" t="s">
        <v>283</v>
      </c>
      <c r="T676" s="169">
        <v>0</v>
      </c>
    </row>
    <row r="677" spans="2:20" x14ac:dyDescent="0.2">
      <c r="B677" s="167" t="str">
        <f>_xlfn.XLOOKUP(I677,Mapping!D:D,Mapping!E:E)</f>
        <v>Kinh doanh</v>
      </c>
      <c r="C677" s="167" t="str">
        <f>_xlfn.XLOOKUP(F677,Mapping!A:A,Mapping!F:F)</f>
        <v>Lương Chính +T13</v>
      </c>
      <c r="D677" s="173">
        <v>45777</v>
      </c>
      <c r="E677" s="169" t="s">
        <v>629</v>
      </c>
      <c r="F677" s="169" t="s">
        <v>384</v>
      </c>
      <c r="G677" s="169" t="s">
        <v>286</v>
      </c>
      <c r="H677" s="169" t="s">
        <v>366</v>
      </c>
      <c r="I677" s="169" t="s">
        <v>1</v>
      </c>
      <c r="J677" s="169" t="s">
        <v>630</v>
      </c>
      <c r="K677" s="169" t="s">
        <v>630</v>
      </c>
      <c r="L677" s="169" t="s">
        <v>631</v>
      </c>
      <c r="M677" s="169" t="s">
        <v>281</v>
      </c>
      <c r="N677" s="178">
        <v>9756615</v>
      </c>
      <c r="O677" s="169" t="s">
        <v>632</v>
      </c>
      <c r="P677" s="169" t="s">
        <v>283</v>
      </c>
      <c r="Q677" s="169" t="s">
        <v>633</v>
      </c>
      <c r="R677" s="169" t="s">
        <v>283</v>
      </c>
      <c r="S677" s="169" t="s">
        <v>283</v>
      </c>
      <c r="T677" s="169">
        <v>0</v>
      </c>
    </row>
    <row r="678" spans="2:20" x14ac:dyDescent="0.2">
      <c r="B678" s="167" t="str">
        <f>_xlfn.XLOOKUP(I678,Mapping!D:D,Mapping!E:E)</f>
        <v>Kinh doanh</v>
      </c>
      <c r="C678" s="167" t="str">
        <f>_xlfn.XLOOKUP(F678,Mapping!A:A,Mapping!F:F)</f>
        <v>Thưởng</v>
      </c>
      <c r="D678" s="173">
        <v>45777</v>
      </c>
      <c r="E678" s="169" t="s">
        <v>629</v>
      </c>
      <c r="F678" s="169" t="s">
        <v>365</v>
      </c>
      <c r="G678" s="169" t="s">
        <v>291</v>
      </c>
      <c r="H678" s="169" t="s">
        <v>366</v>
      </c>
      <c r="I678" s="169" t="s">
        <v>1</v>
      </c>
      <c r="J678" s="169" t="s">
        <v>630</v>
      </c>
      <c r="K678" s="169" t="s">
        <v>630</v>
      </c>
      <c r="L678" s="169" t="s">
        <v>631</v>
      </c>
      <c r="M678" s="169" t="s">
        <v>281</v>
      </c>
      <c r="N678" s="178">
        <v>210147578</v>
      </c>
      <c r="O678" s="169" t="s">
        <v>632</v>
      </c>
      <c r="P678" s="169" t="s">
        <v>283</v>
      </c>
      <c r="Q678" s="169" t="s">
        <v>633</v>
      </c>
      <c r="R678" s="169" t="s">
        <v>283</v>
      </c>
      <c r="S678" s="169" t="s">
        <v>283</v>
      </c>
      <c r="T678" s="169">
        <v>0</v>
      </c>
    </row>
    <row r="679" spans="2:20" x14ac:dyDescent="0.2">
      <c r="B679" s="167" t="str">
        <f>_xlfn.XLOOKUP(I679,Mapping!D:D,Mapping!E:E)</f>
        <v>Hành Chánh Nhân Sự</v>
      </c>
      <c r="C679" s="167" t="str">
        <f>_xlfn.XLOOKUP(F679,Mapping!A:A,Mapping!F:F)</f>
        <v>Lương Chính +T13</v>
      </c>
      <c r="D679" s="173">
        <v>45777</v>
      </c>
      <c r="E679" s="169" t="s">
        <v>629</v>
      </c>
      <c r="F679" s="169" t="s">
        <v>274</v>
      </c>
      <c r="G679" s="169" t="s">
        <v>275</v>
      </c>
      <c r="H679" s="169" t="s">
        <v>382</v>
      </c>
      <c r="I679" s="169" t="s">
        <v>200</v>
      </c>
      <c r="J679" s="169" t="s">
        <v>283</v>
      </c>
      <c r="K679" s="169" t="s">
        <v>630</v>
      </c>
      <c r="L679" s="169" t="s">
        <v>631</v>
      </c>
      <c r="M679" s="169" t="s">
        <v>281</v>
      </c>
      <c r="N679" s="178">
        <v>65521331</v>
      </c>
      <c r="O679" s="169" t="s">
        <v>632</v>
      </c>
      <c r="P679" s="169" t="s">
        <v>283</v>
      </c>
      <c r="Q679" s="169" t="s">
        <v>633</v>
      </c>
      <c r="R679" s="169" t="s">
        <v>283</v>
      </c>
      <c r="S679" s="169" t="s">
        <v>283</v>
      </c>
      <c r="T679" s="169">
        <v>0</v>
      </c>
    </row>
    <row r="680" spans="2:20" x14ac:dyDescent="0.2">
      <c r="B680" s="167" t="str">
        <f>_xlfn.XLOOKUP(I680,Mapping!D:D,Mapping!E:E)</f>
        <v>Hành Chánh Nhân Sự</v>
      </c>
      <c r="C680" s="167" t="str">
        <f>_xlfn.XLOOKUP(F680,Mapping!A:A,Mapping!F:F)</f>
        <v>Lương Chính +T13</v>
      </c>
      <c r="D680" s="173">
        <v>45777</v>
      </c>
      <c r="E680" s="169" t="s">
        <v>629</v>
      </c>
      <c r="F680" s="169" t="s">
        <v>285</v>
      </c>
      <c r="G680" s="169" t="s">
        <v>286</v>
      </c>
      <c r="H680" s="169" t="s">
        <v>382</v>
      </c>
      <c r="I680" s="169" t="s">
        <v>200</v>
      </c>
      <c r="J680" s="169" t="s">
        <v>283</v>
      </c>
      <c r="K680" s="169" t="s">
        <v>630</v>
      </c>
      <c r="L680" s="169" t="s">
        <v>631</v>
      </c>
      <c r="M680" s="169" t="s">
        <v>281</v>
      </c>
      <c r="N680" s="178">
        <v>4225424</v>
      </c>
      <c r="O680" s="169" t="s">
        <v>632</v>
      </c>
      <c r="P680" s="169" t="s">
        <v>283</v>
      </c>
      <c r="Q680" s="169" t="s">
        <v>633</v>
      </c>
      <c r="R680" s="169" t="s">
        <v>283</v>
      </c>
      <c r="S680" s="169" t="s">
        <v>283</v>
      </c>
      <c r="T680" s="169">
        <v>0</v>
      </c>
    </row>
    <row r="681" spans="2:20" x14ac:dyDescent="0.2">
      <c r="B681" s="167" t="str">
        <f>_xlfn.XLOOKUP(I681,Mapping!D:D,Mapping!E:E)</f>
        <v>Hành Chánh Nhân Sự</v>
      </c>
      <c r="C681" s="167" t="str">
        <f>_xlfn.XLOOKUP(F681,Mapping!A:A,Mapping!F:F)</f>
        <v>Thưởng</v>
      </c>
      <c r="D681" s="173">
        <v>45777</v>
      </c>
      <c r="E681" s="169" t="s">
        <v>629</v>
      </c>
      <c r="F681" s="169" t="s">
        <v>290</v>
      </c>
      <c r="G681" s="169" t="s">
        <v>291</v>
      </c>
      <c r="H681" s="169" t="s">
        <v>382</v>
      </c>
      <c r="I681" s="169" t="s">
        <v>200</v>
      </c>
      <c r="J681" s="169" t="s">
        <v>283</v>
      </c>
      <c r="K681" s="169" t="s">
        <v>630</v>
      </c>
      <c r="L681" s="169" t="s">
        <v>631</v>
      </c>
      <c r="M681" s="169" t="s">
        <v>281</v>
      </c>
      <c r="N681" s="178">
        <v>800000</v>
      </c>
      <c r="O681" s="169" t="s">
        <v>632</v>
      </c>
      <c r="P681" s="169" t="s">
        <v>283</v>
      </c>
      <c r="Q681" s="169" t="s">
        <v>633</v>
      </c>
      <c r="R681" s="169" t="s">
        <v>283</v>
      </c>
      <c r="S681" s="169" t="s">
        <v>283</v>
      </c>
      <c r="T681" s="169">
        <v>0</v>
      </c>
    </row>
    <row r="682" spans="2:20" x14ac:dyDescent="0.2">
      <c r="B682" s="167" t="str">
        <f>_xlfn.XLOOKUP(I682,Mapping!D:D,Mapping!E:E)</f>
        <v>Hành Chánh Nhân Sự</v>
      </c>
      <c r="C682" s="167" t="str">
        <f>_xlfn.XLOOKUP(F682,Mapping!A:A,Mapping!F:F)</f>
        <v>Phụ Cấp</v>
      </c>
      <c r="D682" s="173">
        <v>45777</v>
      </c>
      <c r="E682" s="169" t="s">
        <v>629</v>
      </c>
      <c r="F682" s="169" t="s">
        <v>335</v>
      </c>
      <c r="G682" s="169" t="s">
        <v>336</v>
      </c>
      <c r="H682" s="169" t="s">
        <v>382</v>
      </c>
      <c r="I682" s="169" t="s">
        <v>200</v>
      </c>
      <c r="J682" s="169" t="s">
        <v>283</v>
      </c>
      <c r="K682" s="169" t="s">
        <v>630</v>
      </c>
      <c r="L682" s="169" t="s">
        <v>631</v>
      </c>
      <c r="M682" s="169" t="s">
        <v>281</v>
      </c>
      <c r="N682" s="178">
        <v>100000</v>
      </c>
      <c r="O682" s="169" t="s">
        <v>632</v>
      </c>
      <c r="P682" s="169" t="s">
        <v>283</v>
      </c>
      <c r="Q682" s="169" t="s">
        <v>633</v>
      </c>
      <c r="R682" s="169" t="s">
        <v>283</v>
      </c>
      <c r="S682" s="169" t="s">
        <v>283</v>
      </c>
      <c r="T682" s="169">
        <v>0</v>
      </c>
    </row>
    <row r="683" spans="2:20" x14ac:dyDescent="0.2">
      <c r="B683" s="167" t="str">
        <f>_xlfn.XLOOKUP(I683,Mapping!D:D,Mapping!E:E)</f>
        <v>Hành Chánh Nhân Sự</v>
      </c>
      <c r="C683" s="167" t="str">
        <f>_xlfn.XLOOKUP(F683,Mapping!A:A,Mapping!F:F)</f>
        <v>Lương Chính +T13</v>
      </c>
      <c r="D683" s="173">
        <v>45777</v>
      </c>
      <c r="E683" s="169" t="s">
        <v>629</v>
      </c>
      <c r="F683" s="169" t="s">
        <v>274</v>
      </c>
      <c r="G683" s="169" t="s">
        <v>275</v>
      </c>
      <c r="H683" s="169" t="s">
        <v>358</v>
      </c>
      <c r="I683" s="169" t="s">
        <v>359</v>
      </c>
      <c r="J683" s="169" t="s">
        <v>283</v>
      </c>
      <c r="K683" s="169" t="s">
        <v>630</v>
      </c>
      <c r="L683" s="169" t="s">
        <v>631</v>
      </c>
      <c r="M683" s="169" t="s">
        <v>281</v>
      </c>
      <c r="N683" s="178">
        <v>96361817</v>
      </c>
      <c r="O683" s="169" t="s">
        <v>632</v>
      </c>
      <c r="P683" s="169" t="s">
        <v>283</v>
      </c>
      <c r="Q683" s="169" t="s">
        <v>633</v>
      </c>
      <c r="R683" s="169" t="s">
        <v>283</v>
      </c>
      <c r="S683" s="169" t="s">
        <v>283</v>
      </c>
      <c r="T683" s="169">
        <v>0</v>
      </c>
    </row>
    <row r="684" spans="2:20" x14ac:dyDescent="0.2">
      <c r="B684" s="167" t="str">
        <f>_xlfn.XLOOKUP(I684,Mapping!D:D,Mapping!E:E)</f>
        <v>Hành Chánh Nhân Sự</v>
      </c>
      <c r="C684" s="167" t="str">
        <f>_xlfn.XLOOKUP(F684,Mapping!A:A,Mapping!F:F)</f>
        <v>Lương Chính +T13</v>
      </c>
      <c r="D684" s="173">
        <v>45777</v>
      </c>
      <c r="E684" s="169" t="s">
        <v>629</v>
      </c>
      <c r="F684" s="169" t="s">
        <v>285</v>
      </c>
      <c r="G684" s="169" t="s">
        <v>286</v>
      </c>
      <c r="H684" s="169" t="s">
        <v>358</v>
      </c>
      <c r="I684" s="169" t="s">
        <v>359</v>
      </c>
      <c r="J684" s="169" t="s">
        <v>283</v>
      </c>
      <c r="K684" s="169" t="s">
        <v>630</v>
      </c>
      <c r="L684" s="169" t="s">
        <v>631</v>
      </c>
      <c r="M684" s="169" t="s">
        <v>281</v>
      </c>
      <c r="N684" s="178">
        <v>2926115</v>
      </c>
      <c r="O684" s="169" t="s">
        <v>632</v>
      </c>
      <c r="P684" s="169" t="s">
        <v>283</v>
      </c>
      <c r="Q684" s="169" t="s">
        <v>633</v>
      </c>
      <c r="R684" s="169" t="s">
        <v>283</v>
      </c>
      <c r="S684" s="169" t="s">
        <v>283</v>
      </c>
      <c r="T684" s="169">
        <v>0</v>
      </c>
    </row>
    <row r="685" spans="2:20" x14ac:dyDescent="0.2">
      <c r="B685" s="167" t="str">
        <f>_xlfn.XLOOKUP(I685,Mapping!D:D,Mapping!E:E)</f>
        <v>Hành Chánh Nhân Sự</v>
      </c>
      <c r="C685" s="167" t="str">
        <f>_xlfn.XLOOKUP(F685,Mapping!A:A,Mapping!F:F)</f>
        <v>Thưởng</v>
      </c>
      <c r="D685" s="173">
        <v>45777</v>
      </c>
      <c r="E685" s="169" t="s">
        <v>629</v>
      </c>
      <c r="F685" s="169" t="s">
        <v>290</v>
      </c>
      <c r="G685" s="169" t="s">
        <v>291</v>
      </c>
      <c r="H685" s="169" t="s">
        <v>358</v>
      </c>
      <c r="I685" s="169" t="s">
        <v>359</v>
      </c>
      <c r="J685" s="169" t="s">
        <v>283</v>
      </c>
      <c r="K685" s="169" t="s">
        <v>630</v>
      </c>
      <c r="L685" s="169" t="s">
        <v>631</v>
      </c>
      <c r="M685" s="169" t="s">
        <v>281</v>
      </c>
      <c r="N685" s="178">
        <v>1000000</v>
      </c>
      <c r="O685" s="169" t="s">
        <v>632</v>
      </c>
      <c r="P685" s="169" t="s">
        <v>283</v>
      </c>
      <c r="Q685" s="169" t="s">
        <v>633</v>
      </c>
      <c r="R685" s="169" t="s">
        <v>283</v>
      </c>
      <c r="S685" s="169" t="s">
        <v>283</v>
      </c>
      <c r="T685" s="169">
        <v>0</v>
      </c>
    </row>
    <row r="686" spans="2:20" x14ac:dyDescent="0.2">
      <c r="B686" s="167" t="str">
        <f>_xlfn.XLOOKUP(I686,Mapping!D:D,Mapping!E:E)</f>
        <v>Hành Chánh Nhân Sự</v>
      </c>
      <c r="C686" s="167" t="str">
        <f>_xlfn.XLOOKUP(F686,Mapping!A:A,Mapping!F:F)</f>
        <v>Phụ Cấp</v>
      </c>
      <c r="D686" s="173">
        <v>45777</v>
      </c>
      <c r="E686" s="169" t="s">
        <v>629</v>
      </c>
      <c r="F686" s="169" t="s">
        <v>335</v>
      </c>
      <c r="G686" s="169" t="s">
        <v>336</v>
      </c>
      <c r="H686" s="169" t="s">
        <v>358</v>
      </c>
      <c r="I686" s="169" t="s">
        <v>359</v>
      </c>
      <c r="J686" s="169" t="s">
        <v>283</v>
      </c>
      <c r="K686" s="169" t="s">
        <v>630</v>
      </c>
      <c r="L686" s="169" t="s">
        <v>631</v>
      </c>
      <c r="M686" s="169" t="s">
        <v>281</v>
      </c>
      <c r="N686" s="178">
        <v>175000</v>
      </c>
      <c r="O686" s="169" t="s">
        <v>632</v>
      </c>
      <c r="P686" s="169" t="s">
        <v>283</v>
      </c>
      <c r="Q686" s="169" t="s">
        <v>633</v>
      </c>
      <c r="R686" s="169" t="s">
        <v>283</v>
      </c>
      <c r="S686" s="169" t="s">
        <v>283</v>
      </c>
      <c r="T686" s="169">
        <v>0</v>
      </c>
    </row>
    <row r="687" spans="2:20" x14ac:dyDescent="0.2">
      <c r="B687" s="167" t="str">
        <f>_xlfn.XLOOKUP(I687,Mapping!D:D,Mapping!E:E)</f>
        <v>Kế Toán</v>
      </c>
      <c r="C687" s="167" t="str">
        <f>_xlfn.XLOOKUP(F687,Mapping!A:A,Mapping!F:F)</f>
        <v>Lương Chính +T13</v>
      </c>
      <c r="D687" s="173">
        <v>45777</v>
      </c>
      <c r="E687" s="169" t="s">
        <v>634</v>
      </c>
      <c r="F687" s="169" t="s">
        <v>285</v>
      </c>
      <c r="G687" s="169" t="s">
        <v>286</v>
      </c>
      <c r="H687" s="169" t="s">
        <v>356</v>
      </c>
      <c r="I687" s="169" t="s">
        <v>357</v>
      </c>
      <c r="J687" s="169" t="s">
        <v>635</v>
      </c>
      <c r="K687" s="169" t="s">
        <v>636</v>
      </c>
      <c r="L687" s="169" t="s">
        <v>631</v>
      </c>
      <c r="M687" s="169" t="s">
        <v>281</v>
      </c>
      <c r="N687" s="178">
        <v>34526763</v>
      </c>
      <c r="O687" s="169" t="s">
        <v>637</v>
      </c>
      <c r="P687" s="169" t="s">
        <v>283</v>
      </c>
      <c r="Q687" s="169" t="s">
        <v>633</v>
      </c>
      <c r="R687" s="169" t="s">
        <v>283</v>
      </c>
      <c r="S687" s="169" t="s">
        <v>283</v>
      </c>
      <c r="T687" s="169">
        <v>0</v>
      </c>
    </row>
    <row r="688" spans="2:20" x14ac:dyDescent="0.2">
      <c r="B688" s="167" t="str">
        <f>_xlfn.XLOOKUP(I688,Mapping!D:D,Mapping!E:E)</f>
        <v>Kinh doanh</v>
      </c>
      <c r="C688" s="167" t="str">
        <f>_xlfn.XLOOKUP(F688,Mapping!A:A,Mapping!F:F)</f>
        <v>Lương Chính +T13</v>
      </c>
      <c r="D688" s="173">
        <v>45777</v>
      </c>
      <c r="E688" s="169" t="s">
        <v>634</v>
      </c>
      <c r="F688" s="169" t="s">
        <v>384</v>
      </c>
      <c r="G688" s="169" t="s">
        <v>286</v>
      </c>
      <c r="H688" s="169" t="s">
        <v>366</v>
      </c>
      <c r="I688" s="169" t="s">
        <v>1</v>
      </c>
      <c r="J688" s="169" t="s">
        <v>635</v>
      </c>
      <c r="K688" s="169" t="s">
        <v>636</v>
      </c>
      <c r="L688" s="169" t="s">
        <v>631</v>
      </c>
      <c r="M688" s="169" t="s">
        <v>281</v>
      </c>
      <c r="N688" s="178">
        <v>24380167</v>
      </c>
      <c r="O688" s="169" t="s">
        <v>637</v>
      </c>
      <c r="P688" s="169" t="s">
        <v>283</v>
      </c>
      <c r="Q688" s="169" t="s">
        <v>633</v>
      </c>
      <c r="R688" s="169" t="s">
        <v>283</v>
      </c>
      <c r="S688" s="169" t="s">
        <v>283</v>
      </c>
      <c r="T688" s="169">
        <v>0</v>
      </c>
    </row>
    <row r="689" spans="2:20" x14ac:dyDescent="0.2">
      <c r="B689" s="167" t="str">
        <f>_xlfn.XLOOKUP(I689,Mapping!D:D,Mapping!E:E)</f>
        <v>Hành Chánh Nhân Sự</v>
      </c>
      <c r="C689" s="167" t="str">
        <f>_xlfn.XLOOKUP(F689,Mapping!A:A,Mapping!F:F)</f>
        <v>Lương Chính +T13</v>
      </c>
      <c r="D689" s="173">
        <v>45777</v>
      </c>
      <c r="E689" s="169" t="s">
        <v>634</v>
      </c>
      <c r="F689" s="169" t="s">
        <v>285</v>
      </c>
      <c r="G689" s="169" t="s">
        <v>286</v>
      </c>
      <c r="H689" s="169" t="s">
        <v>382</v>
      </c>
      <c r="I689" s="169" t="s">
        <v>200</v>
      </c>
      <c r="J689" s="169" t="s">
        <v>635</v>
      </c>
      <c r="K689" s="169" t="s">
        <v>636</v>
      </c>
      <c r="L689" s="169" t="s">
        <v>631</v>
      </c>
      <c r="M689" s="169" t="s">
        <v>281</v>
      </c>
      <c r="N689" s="178">
        <v>6194250</v>
      </c>
      <c r="O689" s="169" t="s">
        <v>637</v>
      </c>
      <c r="P689" s="169" t="s">
        <v>283</v>
      </c>
      <c r="Q689" s="169" t="s">
        <v>633</v>
      </c>
      <c r="R689" s="169" t="s">
        <v>283</v>
      </c>
      <c r="S689" s="169" t="s">
        <v>283</v>
      </c>
      <c r="T689" s="169">
        <v>0</v>
      </c>
    </row>
    <row r="690" spans="2:20" x14ac:dyDescent="0.2">
      <c r="B690" s="167" t="str">
        <f>_xlfn.XLOOKUP(I690,Mapping!D:D,Mapping!E:E)</f>
        <v>Hành Chánh Nhân Sự</v>
      </c>
      <c r="C690" s="167" t="str">
        <f>_xlfn.XLOOKUP(F690,Mapping!A:A,Mapping!F:F)</f>
        <v>Lương Chính +T13</v>
      </c>
      <c r="D690" s="173">
        <v>45777</v>
      </c>
      <c r="E690" s="169" t="s">
        <v>634</v>
      </c>
      <c r="F690" s="169" t="s">
        <v>285</v>
      </c>
      <c r="G690" s="169" t="s">
        <v>286</v>
      </c>
      <c r="H690" s="169" t="s">
        <v>358</v>
      </c>
      <c r="I690" s="169" t="s">
        <v>359</v>
      </c>
      <c r="J690" s="169" t="s">
        <v>635</v>
      </c>
      <c r="K690" s="169" t="s">
        <v>636</v>
      </c>
      <c r="L690" s="169" t="s">
        <v>631</v>
      </c>
      <c r="M690" s="169" t="s">
        <v>281</v>
      </c>
      <c r="N690" s="178">
        <v>8468167</v>
      </c>
      <c r="O690" s="169" t="s">
        <v>637</v>
      </c>
      <c r="P690" s="169" t="s">
        <v>283</v>
      </c>
      <c r="Q690" s="169" t="s">
        <v>633</v>
      </c>
      <c r="R690" s="169" t="s">
        <v>283</v>
      </c>
      <c r="S690" s="169" t="s">
        <v>283</v>
      </c>
      <c r="T690" s="169">
        <v>0</v>
      </c>
    </row>
    <row r="691" spans="2:20" x14ac:dyDescent="0.2">
      <c r="B691" s="167" t="str">
        <f>_xlfn.XLOOKUP(I691,Mapping!D:D,Mapping!E:E)</f>
        <v>Kế Toán</v>
      </c>
      <c r="C691" s="167" t="str">
        <f>_xlfn.XLOOKUP(F691,Mapping!A:A,Mapping!F:F)</f>
        <v>Thưởng</v>
      </c>
      <c r="D691" s="173">
        <v>45777</v>
      </c>
      <c r="E691" s="169" t="s">
        <v>634</v>
      </c>
      <c r="F691" s="169" t="s">
        <v>292</v>
      </c>
      <c r="G691" s="169" t="s">
        <v>77</v>
      </c>
      <c r="H691" s="169" t="s">
        <v>356</v>
      </c>
      <c r="I691" s="169" t="s">
        <v>357</v>
      </c>
      <c r="J691" s="169" t="s">
        <v>638</v>
      </c>
      <c r="K691" s="169" t="s">
        <v>636</v>
      </c>
      <c r="L691" s="169" t="s">
        <v>631</v>
      </c>
      <c r="M691" s="169" t="s">
        <v>281</v>
      </c>
      <c r="N691" s="178">
        <v>31167566</v>
      </c>
      <c r="O691" s="169" t="s">
        <v>637</v>
      </c>
      <c r="P691" s="169" t="s">
        <v>283</v>
      </c>
      <c r="Q691" s="169" t="s">
        <v>633</v>
      </c>
      <c r="R691" s="169" t="s">
        <v>283</v>
      </c>
      <c r="S691" s="169" t="s">
        <v>283</v>
      </c>
      <c r="T691" s="169">
        <v>0</v>
      </c>
    </row>
    <row r="692" spans="2:20" x14ac:dyDescent="0.2">
      <c r="B692" s="167" t="str">
        <f>_xlfn.XLOOKUP(I692,Mapping!D:D,Mapping!E:E)</f>
        <v>Kinh doanh</v>
      </c>
      <c r="C692" s="167" t="str">
        <f>_xlfn.XLOOKUP(F692,Mapping!A:A,Mapping!F:F)</f>
        <v>Thưởng</v>
      </c>
      <c r="D692" s="173">
        <v>45777</v>
      </c>
      <c r="E692" s="169" t="s">
        <v>634</v>
      </c>
      <c r="F692" s="169" t="s">
        <v>394</v>
      </c>
      <c r="G692" s="169" t="s">
        <v>77</v>
      </c>
      <c r="H692" s="169" t="s">
        <v>366</v>
      </c>
      <c r="I692" s="169" t="s">
        <v>1</v>
      </c>
      <c r="J692" s="169" t="s">
        <v>638</v>
      </c>
      <c r="K692" s="169" t="s">
        <v>636</v>
      </c>
      <c r="L692" s="169" t="s">
        <v>631</v>
      </c>
      <c r="M692" s="169" t="s">
        <v>281</v>
      </c>
      <c r="N692" s="178">
        <v>22429558</v>
      </c>
      <c r="O692" s="169" t="s">
        <v>637</v>
      </c>
      <c r="P692" s="169" t="s">
        <v>283</v>
      </c>
      <c r="Q692" s="169" t="s">
        <v>633</v>
      </c>
      <c r="R692" s="169" t="s">
        <v>283</v>
      </c>
      <c r="S692" s="169" t="s">
        <v>283</v>
      </c>
      <c r="T692" s="169">
        <v>0</v>
      </c>
    </row>
    <row r="693" spans="2:20" x14ac:dyDescent="0.2">
      <c r="B693" s="167" t="str">
        <f>_xlfn.XLOOKUP(I693,Mapping!D:D,Mapping!E:E)</f>
        <v>Hành Chánh Nhân Sự</v>
      </c>
      <c r="C693" s="167" t="str">
        <f>_xlfn.XLOOKUP(F693,Mapping!A:A,Mapping!F:F)</f>
        <v>Thưởng</v>
      </c>
      <c r="D693" s="173">
        <v>45777</v>
      </c>
      <c r="E693" s="169" t="s">
        <v>634</v>
      </c>
      <c r="F693" s="169" t="s">
        <v>292</v>
      </c>
      <c r="G693" s="169" t="s">
        <v>77</v>
      </c>
      <c r="H693" s="169" t="s">
        <v>382</v>
      </c>
      <c r="I693" s="169" t="s">
        <v>200</v>
      </c>
      <c r="J693" s="169" t="s">
        <v>638</v>
      </c>
      <c r="K693" s="169" t="s">
        <v>636</v>
      </c>
      <c r="L693" s="169" t="s">
        <v>631</v>
      </c>
      <c r="M693" s="169" t="s">
        <v>281</v>
      </c>
      <c r="N693" s="178">
        <v>5698660</v>
      </c>
      <c r="O693" s="169" t="s">
        <v>637</v>
      </c>
      <c r="P693" s="169" t="s">
        <v>283</v>
      </c>
      <c r="Q693" s="169" t="s">
        <v>633</v>
      </c>
      <c r="R693" s="169" t="s">
        <v>283</v>
      </c>
      <c r="S693" s="169" t="s">
        <v>283</v>
      </c>
      <c r="T693" s="169">
        <v>0</v>
      </c>
    </row>
    <row r="694" spans="2:20" x14ac:dyDescent="0.2">
      <c r="B694" s="167" t="str">
        <f>_xlfn.XLOOKUP(I694,Mapping!D:D,Mapping!E:E)</f>
        <v>Hành Chánh Nhân Sự</v>
      </c>
      <c r="C694" s="167" t="str">
        <f>_xlfn.XLOOKUP(F694,Mapping!A:A,Mapping!F:F)</f>
        <v>Thưởng</v>
      </c>
      <c r="D694" s="173">
        <v>45777</v>
      </c>
      <c r="E694" s="169" t="s">
        <v>634</v>
      </c>
      <c r="F694" s="169" t="s">
        <v>292</v>
      </c>
      <c r="G694" s="169" t="s">
        <v>77</v>
      </c>
      <c r="H694" s="169" t="s">
        <v>358</v>
      </c>
      <c r="I694" s="169" t="s">
        <v>359</v>
      </c>
      <c r="J694" s="169" t="s">
        <v>638</v>
      </c>
      <c r="K694" s="169" t="s">
        <v>636</v>
      </c>
      <c r="L694" s="169" t="s">
        <v>631</v>
      </c>
      <c r="M694" s="169" t="s">
        <v>281</v>
      </c>
      <c r="N694" s="178">
        <v>7790646</v>
      </c>
      <c r="O694" s="169" t="s">
        <v>637</v>
      </c>
      <c r="P694" s="169" t="s">
        <v>283</v>
      </c>
      <c r="Q694" s="169" t="s">
        <v>633</v>
      </c>
      <c r="R694" s="169" t="s">
        <v>283</v>
      </c>
      <c r="S694" s="169" t="s">
        <v>283</v>
      </c>
      <c r="T694" s="169">
        <v>0</v>
      </c>
    </row>
    <row r="695" spans="2:20" x14ac:dyDescent="0.2">
      <c r="B695" s="167" t="str">
        <f>_xlfn.XLOOKUP(I695,Mapping!D:D,Mapping!E:E)</f>
        <v>Kỹ Thuật</v>
      </c>
      <c r="C695" s="167" t="str">
        <f>_xlfn.XLOOKUP(F695,Mapping!A:A,Mapping!F:F)</f>
        <v>Phụ Cấp</v>
      </c>
      <c r="D695" s="173">
        <v>45775</v>
      </c>
      <c r="E695" s="169" t="s">
        <v>642</v>
      </c>
      <c r="F695" s="169" t="s">
        <v>375</v>
      </c>
      <c r="G695" s="169" t="s">
        <v>336</v>
      </c>
      <c r="H695" s="169" t="s">
        <v>376</v>
      </c>
      <c r="I695" s="169" t="s">
        <v>377</v>
      </c>
      <c r="J695" s="169" t="s">
        <v>643</v>
      </c>
      <c r="K695" s="169" t="s">
        <v>338</v>
      </c>
      <c r="L695" s="169" t="s">
        <v>631</v>
      </c>
      <c r="M695" s="169" t="s">
        <v>281</v>
      </c>
      <c r="N695" s="178">
        <v>48175000</v>
      </c>
      <c r="O695" s="169" t="s">
        <v>644</v>
      </c>
      <c r="P695" s="169" t="s">
        <v>283</v>
      </c>
      <c r="Q695" s="169" t="s">
        <v>306</v>
      </c>
      <c r="R695" s="169" t="s">
        <v>283</v>
      </c>
      <c r="S695" s="169" t="s">
        <v>283</v>
      </c>
      <c r="T695" s="169">
        <v>0</v>
      </c>
    </row>
    <row r="696" spans="2:20" x14ac:dyDescent="0.2">
      <c r="B696" s="167" t="str">
        <f>_xlfn.XLOOKUP(I696,Mapping!D:D,Mapping!E:E)</f>
        <v>Kiểm Soát Chất Lượng</v>
      </c>
      <c r="C696" s="167" t="str">
        <f>_xlfn.XLOOKUP(F696,Mapping!A:A,Mapping!F:F)</f>
        <v>Phụ Cấp</v>
      </c>
      <c r="D696" s="173">
        <v>45775</v>
      </c>
      <c r="E696" s="169" t="s">
        <v>642</v>
      </c>
      <c r="F696" s="169" t="s">
        <v>375</v>
      </c>
      <c r="G696" s="169" t="s">
        <v>336</v>
      </c>
      <c r="H696" s="169" t="s">
        <v>411</v>
      </c>
      <c r="I696" s="169" t="s">
        <v>412</v>
      </c>
      <c r="J696" s="169" t="s">
        <v>643</v>
      </c>
      <c r="K696" s="169" t="s">
        <v>338</v>
      </c>
      <c r="L696" s="169" t="s">
        <v>631</v>
      </c>
      <c r="M696" s="169" t="s">
        <v>281</v>
      </c>
      <c r="N696" s="178">
        <v>34475000</v>
      </c>
      <c r="O696" s="169" t="s">
        <v>644</v>
      </c>
      <c r="P696" s="169" t="s">
        <v>283</v>
      </c>
      <c r="Q696" s="169" t="s">
        <v>306</v>
      </c>
      <c r="R696" s="169" t="s">
        <v>283</v>
      </c>
      <c r="S696" s="169" t="s">
        <v>283</v>
      </c>
      <c r="T696" s="169">
        <v>0</v>
      </c>
    </row>
    <row r="697" spans="2:20" x14ac:dyDescent="0.2">
      <c r="B697" s="167" t="str">
        <f>_xlfn.XLOOKUP(I697,Mapping!D:D,Mapping!E:E)</f>
        <v>Mua Hàng &amp; XNK</v>
      </c>
      <c r="C697" s="167" t="str">
        <f>_xlfn.XLOOKUP(F697,Mapping!A:A,Mapping!F:F)</f>
        <v>Phụ Cấp</v>
      </c>
      <c r="D697" s="173">
        <v>45775</v>
      </c>
      <c r="E697" s="169" t="s">
        <v>642</v>
      </c>
      <c r="F697" s="169" t="s">
        <v>335</v>
      </c>
      <c r="G697" s="169" t="s">
        <v>336</v>
      </c>
      <c r="H697" s="169" t="s">
        <v>378</v>
      </c>
      <c r="I697" s="169" t="s">
        <v>379</v>
      </c>
      <c r="J697" s="169" t="s">
        <v>643</v>
      </c>
      <c r="K697" s="169" t="s">
        <v>338</v>
      </c>
      <c r="L697" s="169" t="s">
        <v>631</v>
      </c>
      <c r="M697" s="169" t="s">
        <v>281</v>
      </c>
      <c r="N697" s="178">
        <v>3500000</v>
      </c>
      <c r="O697" s="169" t="s">
        <v>644</v>
      </c>
      <c r="P697" s="169" t="s">
        <v>283</v>
      </c>
      <c r="Q697" s="169" t="s">
        <v>306</v>
      </c>
      <c r="R697" s="169" t="s">
        <v>283</v>
      </c>
      <c r="S697" s="169" t="s">
        <v>283</v>
      </c>
      <c r="T697" s="169">
        <v>0</v>
      </c>
    </row>
    <row r="698" spans="2:20" x14ac:dyDescent="0.2">
      <c r="B698" s="167" t="str">
        <f>_xlfn.XLOOKUP(I698,Mapping!D:D,Mapping!E:E)</f>
        <v>Cung Ứng</v>
      </c>
      <c r="C698" s="167" t="str">
        <f>_xlfn.XLOOKUP(F698,Mapping!A:A,Mapping!F:F)</f>
        <v>Phụ Cấp</v>
      </c>
      <c r="D698" s="173">
        <v>45775</v>
      </c>
      <c r="E698" s="169" t="s">
        <v>642</v>
      </c>
      <c r="F698" s="169" t="s">
        <v>335</v>
      </c>
      <c r="G698" s="169" t="s">
        <v>336</v>
      </c>
      <c r="H698" s="169" t="s">
        <v>380</v>
      </c>
      <c r="I698" s="169" t="s">
        <v>381</v>
      </c>
      <c r="J698" s="169" t="s">
        <v>643</v>
      </c>
      <c r="K698" s="169" t="s">
        <v>338</v>
      </c>
      <c r="L698" s="169" t="s">
        <v>631</v>
      </c>
      <c r="M698" s="169" t="s">
        <v>281</v>
      </c>
      <c r="N698" s="178">
        <v>1800000</v>
      </c>
      <c r="O698" s="169" t="s">
        <v>644</v>
      </c>
      <c r="P698" s="169" t="s">
        <v>283</v>
      </c>
      <c r="Q698" s="169" t="s">
        <v>306</v>
      </c>
      <c r="R698" s="169" t="s">
        <v>283</v>
      </c>
      <c r="S698" s="169" t="s">
        <v>283</v>
      </c>
      <c r="T698" s="169">
        <v>0</v>
      </c>
    </row>
    <row r="699" spans="2:20" x14ac:dyDescent="0.2">
      <c r="B699" s="167" t="str">
        <f>_xlfn.XLOOKUP(I699,Mapping!D:D,Mapping!E:E)</f>
        <v>Cung Ứng</v>
      </c>
      <c r="C699" s="167" t="str">
        <f>_xlfn.XLOOKUP(F699,Mapping!A:A,Mapping!F:F)</f>
        <v>BHXH, BHYT, KPCĐ</v>
      </c>
      <c r="D699" s="173">
        <v>45777</v>
      </c>
      <c r="E699" s="169" t="s">
        <v>639</v>
      </c>
      <c r="F699" s="169" t="s">
        <v>295</v>
      </c>
      <c r="G699" s="169" t="s">
        <v>296</v>
      </c>
      <c r="H699" s="169" t="s">
        <v>380</v>
      </c>
      <c r="I699" s="169" t="s">
        <v>381</v>
      </c>
      <c r="J699" s="169" t="s">
        <v>640</v>
      </c>
      <c r="K699" s="169" t="s">
        <v>640</v>
      </c>
      <c r="L699" s="169" t="s">
        <v>631</v>
      </c>
      <c r="M699" s="169" t="s">
        <v>281</v>
      </c>
      <c r="N699" s="178">
        <v>104831385</v>
      </c>
      <c r="O699" s="169" t="s">
        <v>641</v>
      </c>
      <c r="P699" s="169" t="s">
        <v>283</v>
      </c>
      <c r="Q699" s="169" t="s">
        <v>633</v>
      </c>
      <c r="R699" s="169" t="s">
        <v>283</v>
      </c>
      <c r="S699" s="169" t="s">
        <v>283</v>
      </c>
      <c r="T699" s="169">
        <v>0</v>
      </c>
    </row>
    <row r="700" spans="2:20" x14ac:dyDescent="0.2">
      <c r="B700" s="167" t="str">
        <f>_xlfn.XLOOKUP(I700,Mapping!D:D,Mapping!E:E)</f>
        <v>Mua Hàng &amp; XNK</v>
      </c>
      <c r="C700" s="167" t="str">
        <f>_xlfn.XLOOKUP(F700,Mapping!A:A,Mapping!F:F)</f>
        <v>BHXH, BHYT, KPCĐ</v>
      </c>
      <c r="D700" s="173">
        <v>45777</v>
      </c>
      <c r="E700" s="169" t="s">
        <v>639</v>
      </c>
      <c r="F700" s="169" t="s">
        <v>295</v>
      </c>
      <c r="G700" s="169" t="s">
        <v>296</v>
      </c>
      <c r="H700" s="169" t="s">
        <v>378</v>
      </c>
      <c r="I700" s="169" t="s">
        <v>379</v>
      </c>
      <c r="J700" s="169" t="s">
        <v>640</v>
      </c>
      <c r="K700" s="169" t="s">
        <v>640</v>
      </c>
      <c r="L700" s="169" t="s">
        <v>631</v>
      </c>
      <c r="M700" s="169" t="s">
        <v>281</v>
      </c>
      <c r="N700" s="178">
        <v>19512755</v>
      </c>
      <c r="O700" s="169" t="s">
        <v>641</v>
      </c>
      <c r="P700" s="169" t="s">
        <v>283</v>
      </c>
      <c r="Q700" s="169" t="s">
        <v>633</v>
      </c>
      <c r="R700" s="169" t="s">
        <v>283</v>
      </c>
      <c r="S700" s="169" t="s">
        <v>283</v>
      </c>
      <c r="T700" s="169">
        <v>0</v>
      </c>
    </row>
    <row r="701" spans="2:20" x14ac:dyDescent="0.2">
      <c r="B701" s="167" t="str">
        <f>_xlfn.XLOOKUP(I701,Mapping!D:D,Mapping!E:E)</f>
        <v>Kỹ Thuật</v>
      </c>
      <c r="C701" s="167" t="str">
        <f>_xlfn.XLOOKUP(F701,Mapping!A:A,Mapping!F:F)</f>
        <v>BHXH, BHYT, KPCĐ</v>
      </c>
      <c r="D701" s="173">
        <v>45777</v>
      </c>
      <c r="E701" s="169" t="s">
        <v>639</v>
      </c>
      <c r="F701" s="169" t="s">
        <v>393</v>
      </c>
      <c r="G701" s="169" t="s">
        <v>296</v>
      </c>
      <c r="H701" s="169" t="s">
        <v>376</v>
      </c>
      <c r="I701" s="169" t="s">
        <v>377</v>
      </c>
      <c r="J701" s="169" t="s">
        <v>640</v>
      </c>
      <c r="K701" s="169" t="s">
        <v>640</v>
      </c>
      <c r="L701" s="169" t="s">
        <v>631</v>
      </c>
      <c r="M701" s="169" t="s">
        <v>281</v>
      </c>
      <c r="N701" s="178">
        <v>213996170</v>
      </c>
      <c r="O701" s="169" t="s">
        <v>641</v>
      </c>
      <c r="P701" s="169" t="s">
        <v>283</v>
      </c>
      <c r="Q701" s="169" t="s">
        <v>633</v>
      </c>
      <c r="R701" s="169" t="s">
        <v>283</v>
      </c>
      <c r="S701" s="169" t="s">
        <v>283</v>
      </c>
      <c r="T701" s="169">
        <v>0</v>
      </c>
    </row>
    <row r="702" spans="2:20" x14ac:dyDescent="0.2">
      <c r="B702" s="167" t="str">
        <f>_xlfn.XLOOKUP(I702,Mapping!D:D,Mapping!E:E)</f>
        <v>Kiểm Soát Chất Lượng</v>
      </c>
      <c r="C702" s="167" t="str">
        <f>_xlfn.XLOOKUP(F702,Mapping!A:A,Mapping!F:F)</f>
        <v>BHXH, BHYT, KPCĐ</v>
      </c>
      <c r="D702" s="173">
        <v>45777</v>
      </c>
      <c r="E702" s="169" t="s">
        <v>639</v>
      </c>
      <c r="F702" s="169" t="s">
        <v>393</v>
      </c>
      <c r="G702" s="169" t="s">
        <v>296</v>
      </c>
      <c r="H702" s="169" t="s">
        <v>411</v>
      </c>
      <c r="I702" s="169" t="s">
        <v>412</v>
      </c>
      <c r="J702" s="169" t="s">
        <v>640</v>
      </c>
      <c r="K702" s="169" t="s">
        <v>640</v>
      </c>
      <c r="L702" s="169" t="s">
        <v>631</v>
      </c>
      <c r="M702" s="169" t="s">
        <v>281</v>
      </c>
      <c r="N702" s="178">
        <v>94425115</v>
      </c>
      <c r="O702" s="169" t="s">
        <v>641</v>
      </c>
      <c r="P702" s="169" t="s">
        <v>283</v>
      </c>
      <c r="Q702" s="169" t="s">
        <v>633</v>
      </c>
      <c r="R702" s="169" t="s">
        <v>283</v>
      </c>
      <c r="S702" s="169" t="s">
        <v>283</v>
      </c>
      <c r="T702" s="169">
        <v>0</v>
      </c>
    </row>
    <row r="703" spans="2:20" x14ac:dyDescent="0.2">
      <c r="B703" s="167" t="str">
        <f>_xlfn.XLOOKUP(I703,Mapping!D:D,Mapping!E:E)</f>
        <v>Cung Ứng</v>
      </c>
      <c r="C703" s="167" t="str">
        <f>_xlfn.XLOOKUP(F703,Mapping!A:A,Mapping!F:F)</f>
        <v>Lương Chính +T13</v>
      </c>
      <c r="D703" s="173">
        <v>45777</v>
      </c>
      <c r="E703" s="169" t="s">
        <v>629</v>
      </c>
      <c r="F703" s="169" t="s">
        <v>274</v>
      </c>
      <c r="G703" s="169" t="s">
        <v>275</v>
      </c>
      <c r="H703" s="169" t="s">
        <v>380</v>
      </c>
      <c r="I703" s="169" t="s">
        <v>381</v>
      </c>
      <c r="J703" s="169" t="s">
        <v>630</v>
      </c>
      <c r="K703" s="169" t="s">
        <v>630</v>
      </c>
      <c r="L703" s="169" t="s">
        <v>631</v>
      </c>
      <c r="M703" s="169" t="s">
        <v>281</v>
      </c>
      <c r="N703" s="178">
        <v>527798471</v>
      </c>
      <c r="O703" s="169" t="s">
        <v>632</v>
      </c>
      <c r="P703" s="169" t="s">
        <v>283</v>
      </c>
      <c r="Q703" s="169" t="s">
        <v>633</v>
      </c>
      <c r="R703" s="169" t="s">
        <v>283</v>
      </c>
      <c r="S703" s="169" t="s">
        <v>283</v>
      </c>
      <c r="T703" s="169">
        <v>0</v>
      </c>
    </row>
    <row r="704" spans="2:20" x14ac:dyDescent="0.2">
      <c r="B704" s="167" t="str">
        <f>_xlfn.XLOOKUP(I704,Mapping!D:D,Mapping!E:E)</f>
        <v>Cung Ứng</v>
      </c>
      <c r="C704" s="167" t="str">
        <f>_xlfn.XLOOKUP(F704,Mapping!A:A,Mapping!F:F)</f>
        <v>Lương Chính +T13</v>
      </c>
      <c r="D704" s="173">
        <v>45777</v>
      </c>
      <c r="E704" s="169" t="s">
        <v>629</v>
      </c>
      <c r="F704" s="169" t="s">
        <v>285</v>
      </c>
      <c r="G704" s="169" t="s">
        <v>286</v>
      </c>
      <c r="H704" s="169" t="s">
        <v>380</v>
      </c>
      <c r="I704" s="169" t="s">
        <v>381</v>
      </c>
      <c r="J704" s="169" t="s">
        <v>630</v>
      </c>
      <c r="K704" s="169" t="s">
        <v>630</v>
      </c>
      <c r="L704" s="169" t="s">
        <v>631</v>
      </c>
      <c r="M704" s="169" t="s">
        <v>281</v>
      </c>
      <c r="N704" s="178">
        <v>11383577</v>
      </c>
      <c r="O704" s="169" t="s">
        <v>632</v>
      </c>
      <c r="P704" s="169" t="s">
        <v>283</v>
      </c>
      <c r="Q704" s="169" t="s">
        <v>633</v>
      </c>
      <c r="R704" s="169" t="s">
        <v>283</v>
      </c>
      <c r="S704" s="169" t="s">
        <v>283</v>
      </c>
      <c r="T704" s="169">
        <v>0</v>
      </c>
    </row>
    <row r="705" spans="2:20" x14ac:dyDescent="0.2">
      <c r="B705" s="167" t="str">
        <f>_xlfn.XLOOKUP(I705,Mapping!D:D,Mapping!E:E)</f>
        <v>Cung Ứng</v>
      </c>
      <c r="C705" s="167" t="str">
        <f>_xlfn.XLOOKUP(F705,Mapping!A:A,Mapping!F:F)</f>
        <v>Thưởng</v>
      </c>
      <c r="D705" s="173">
        <v>45777</v>
      </c>
      <c r="E705" s="169" t="s">
        <v>629</v>
      </c>
      <c r="F705" s="169" t="s">
        <v>290</v>
      </c>
      <c r="G705" s="169" t="s">
        <v>291</v>
      </c>
      <c r="H705" s="169" t="s">
        <v>380</v>
      </c>
      <c r="I705" s="169" t="s">
        <v>381</v>
      </c>
      <c r="J705" s="169" t="s">
        <v>630</v>
      </c>
      <c r="K705" s="169" t="s">
        <v>630</v>
      </c>
      <c r="L705" s="169" t="s">
        <v>631</v>
      </c>
      <c r="M705" s="169" t="s">
        <v>281</v>
      </c>
      <c r="N705" s="178">
        <v>259197410</v>
      </c>
      <c r="O705" s="169" t="s">
        <v>632</v>
      </c>
      <c r="P705" s="169" t="s">
        <v>283</v>
      </c>
      <c r="Q705" s="169" t="s">
        <v>633</v>
      </c>
      <c r="R705" s="169" t="s">
        <v>283</v>
      </c>
      <c r="S705" s="169" t="s">
        <v>283</v>
      </c>
      <c r="T705" s="169">
        <v>0</v>
      </c>
    </row>
    <row r="706" spans="2:20" x14ac:dyDescent="0.2">
      <c r="B706" s="167" t="str">
        <f>_xlfn.XLOOKUP(I706,Mapping!D:D,Mapping!E:E)</f>
        <v>Cung Ứng</v>
      </c>
      <c r="C706" s="167" t="str">
        <f>_xlfn.XLOOKUP(F706,Mapping!A:A,Mapping!F:F)</f>
        <v>Phụ Cấp</v>
      </c>
      <c r="D706" s="173">
        <v>45777</v>
      </c>
      <c r="E706" s="169" t="s">
        <v>629</v>
      </c>
      <c r="F706" s="169" t="s">
        <v>335</v>
      </c>
      <c r="G706" s="169" t="s">
        <v>336</v>
      </c>
      <c r="H706" s="169" t="s">
        <v>380</v>
      </c>
      <c r="I706" s="169" t="s">
        <v>381</v>
      </c>
      <c r="J706" s="169" t="s">
        <v>630</v>
      </c>
      <c r="K706" s="169" t="s">
        <v>630</v>
      </c>
      <c r="L706" s="169" t="s">
        <v>631</v>
      </c>
      <c r="M706" s="169" t="s">
        <v>281</v>
      </c>
      <c r="N706" s="178">
        <v>12654444</v>
      </c>
      <c r="O706" s="169" t="s">
        <v>632</v>
      </c>
      <c r="P706" s="169" t="s">
        <v>283</v>
      </c>
      <c r="Q706" s="169" t="s">
        <v>633</v>
      </c>
      <c r="R706" s="169" t="s">
        <v>283</v>
      </c>
      <c r="S706" s="169" t="s">
        <v>283</v>
      </c>
      <c r="T706" s="169">
        <v>0</v>
      </c>
    </row>
    <row r="707" spans="2:20" x14ac:dyDescent="0.2">
      <c r="B707" s="167" t="str">
        <f>_xlfn.XLOOKUP(I707,Mapping!D:D,Mapping!E:E)</f>
        <v>Mua Hàng &amp; XNK</v>
      </c>
      <c r="C707" s="167" t="str">
        <f>_xlfn.XLOOKUP(F707,Mapping!A:A,Mapping!F:F)</f>
        <v>Lương Chính +T13</v>
      </c>
      <c r="D707" s="173">
        <v>45777</v>
      </c>
      <c r="E707" s="169" t="s">
        <v>629</v>
      </c>
      <c r="F707" s="169" t="s">
        <v>274</v>
      </c>
      <c r="G707" s="169" t="s">
        <v>275</v>
      </c>
      <c r="H707" s="169" t="s">
        <v>378</v>
      </c>
      <c r="I707" s="169" t="s">
        <v>379</v>
      </c>
      <c r="J707" s="169" t="s">
        <v>630</v>
      </c>
      <c r="K707" s="169" t="s">
        <v>630</v>
      </c>
      <c r="L707" s="169" t="s">
        <v>631</v>
      </c>
      <c r="M707" s="169" t="s">
        <v>281</v>
      </c>
      <c r="N707" s="178">
        <v>114889679</v>
      </c>
      <c r="O707" s="169" t="s">
        <v>632</v>
      </c>
      <c r="P707" s="169" t="s">
        <v>283</v>
      </c>
      <c r="Q707" s="169" t="s">
        <v>633</v>
      </c>
      <c r="R707" s="169" t="s">
        <v>283</v>
      </c>
      <c r="S707" s="169" t="s">
        <v>283</v>
      </c>
      <c r="T707" s="169">
        <v>0</v>
      </c>
    </row>
    <row r="708" spans="2:20" x14ac:dyDescent="0.2">
      <c r="B708" s="167" t="str">
        <f>_xlfn.XLOOKUP(I708,Mapping!D:D,Mapping!E:E)</f>
        <v>Mua Hàng &amp; XNK</v>
      </c>
      <c r="C708" s="167" t="str">
        <f>_xlfn.XLOOKUP(F708,Mapping!A:A,Mapping!F:F)</f>
        <v>Lương Chính +T13</v>
      </c>
      <c r="D708" s="173">
        <v>45777</v>
      </c>
      <c r="E708" s="169" t="s">
        <v>629</v>
      </c>
      <c r="F708" s="169" t="s">
        <v>285</v>
      </c>
      <c r="G708" s="169" t="s">
        <v>286</v>
      </c>
      <c r="H708" s="169" t="s">
        <v>378</v>
      </c>
      <c r="I708" s="169" t="s">
        <v>379</v>
      </c>
      <c r="J708" s="169" t="s">
        <v>283</v>
      </c>
      <c r="K708" s="169" t="s">
        <v>630</v>
      </c>
      <c r="L708" s="169" t="s">
        <v>631</v>
      </c>
      <c r="M708" s="169" t="s">
        <v>281</v>
      </c>
      <c r="N708" s="178">
        <v>5510115</v>
      </c>
      <c r="O708" s="169" t="s">
        <v>632</v>
      </c>
      <c r="P708" s="169" t="s">
        <v>283</v>
      </c>
      <c r="Q708" s="169" t="s">
        <v>633</v>
      </c>
      <c r="R708" s="169" t="s">
        <v>283</v>
      </c>
      <c r="S708" s="169" t="s">
        <v>283</v>
      </c>
      <c r="T708" s="169">
        <v>0</v>
      </c>
    </row>
    <row r="709" spans="2:20" x14ac:dyDescent="0.2">
      <c r="B709" s="167" t="str">
        <f>_xlfn.XLOOKUP(I709,Mapping!D:D,Mapping!E:E)</f>
        <v>Mua Hàng &amp; XNK</v>
      </c>
      <c r="C709" s="167" t="str">
        <f>_xlfn.XLOOKUP(F709,Mapping!A:A,Mapping!F:F)</f>
        <v>Thưởng</v>
      </c>
      <c r="D709" s="173">
        <v>45777</v>
      </c>
      <c r="E709" s="169" t="s">
        <v>629</v>
      </c>
      <c r="F709" s="169" t="s">
        <v>290</v>
      </c>
      <c r="G709" s="169" t="s">
        <v>291</v>
      </c>
      <c r="H709" s="169" t="s">
        <v>378</v>
      </c>
      <c r="I709" s="169" t="s">
        <v>379</v>
      </c>
      <c r="J709" s="169" t="s">
        <v>283</v>
      </c>
      <c r="K709" s="169" t="s">
        <v>630</v>
      </c>
      <c r="L709" s="169" t="s">
        <v>631</v>
      </c>
      <c r="M709" s="169" t="s">
        <v>281</v>
      </c>
      <c r="N709" s="178">
        <v>1200000</v>
      </c>
      <c r="O709" s="169" t="s">
        <v>632</v>
      </c>
      <c r="P709" s="169" t="s">
        <v>283</v>
      </c>
      <c r="Q709" s="169" t="s">
        <v>633</v>
      </c>
      <c r="R709" s="169" t="s">
        <v>283</v>
      </c>
      <c r="S709" s="169" t="s">
        <v>283</v>
      </c>
      <c r="T709" s="169">
        <v>0</v>
      </c>
    </row>
    <row r="710" spans="2:20" x14ac:dyDescent="0.2">
      <c r="B710" s="167" t="str">
        <f>_xlfn.XLOOKUP(I710,Mapping!D:D,Mapping!E:E)</f>
        <v>Mua Hàng &amp; XNK</v>
      </c>
      <c r="C710" s="167" t="str">
        <f>_xlfn.XLOOKUP(F710,Mapping!A:A,Mapping!F:F)</f>
        <v>Phụ Cấp</v>
      </c>
      <c r="D710" s="173">
        <v>45777</v>
      </c>
      <c r="E710" s="169" t="s">
        <v>629</v>
      </c>
      <c r="F710" s="169" t="s">
        <v>335</v>
      </c>
      <c r="G710" s="169" t="s">
        <v>336</v>
      </c>
      <c r="H710" s="169" t="s">
        <v>378</v>
      </c>
      <c r="I710" s="169" t="s">
        <v>379</v>
      </c>
      <c r="J710" s="169" t="s">
        <v>283</v>
      </c>
      <c r="K710" s="169" t="s">
        <v>630</v>
      </c>
      <c r="L710" s="169" t="s">
        <v>631</v>
      </c>
      <c r="M710" s="169" t="s">
        <v>281</v>
      </c>
      <c r="N710" s="178">
        <v>525000</v>
      </c>
      <c r="O710" s="169" t="s">
        <v>632</v>
      </c>
      <c r="P710" s="169" t="s">
        <v>283</v>
      </c>
      <c r="Q710" s="169" t="s">
        <v>633</v>
      </c>
      <c r="R710" s="169" t="s">
        <v>283</v>
      </c>
      <c r="S710" s="169" t="s">
        <v>283</v>
      </c>
      <c r="T710" s="169">
        <v>0</v>
      </c>
    </row>
    <row r="711" spans="2:20" x14ac:dyDescent="0.2">
      <c r="B711" s="167" t="str">
        <f>_xlfn.XLOOKUP(I711,Mapping!D:D,Mapping!E:E)</f>
        <v>Kỹ Thuật</v>
      </c>
      <c r="C711" s="167" t="str">
        <f>_xlfn.XLOOKUP(F711,Mapping!A:A,Mapping!F:F)</f>
        <v>Phụ Cấp</v>
      </c>
      <c r="D711" s="173">
        <v>45777</v>
      </c>
      <c r="E711" s="169" t="s">
        <v>629</v>
      </c>
      <c r="F711" s="169" t="s">
        <v>386</v>
      </c>
      <c r="G711" s="169" t="s">
        <v>341</v>
      </c>
      <c r="H711" s="169" t="s">
        <v>376</v>
      </c>
      <c r="I711" s="169" t="s">
        <v>377</v>
      </c>
      <c r="J711" s="169" t="s">
        <v>283</v>
      </c>
      <c r="K711" s="169" t="s">
        <v>630</v>
      </c>
      <c r="L711" s="169" t="s">
        <v>631</v>
      </c>
      <c r="M711" s="169" t="s">
        <v>281</v>
      </c>
      <c r="N711" s="178">
        <v>47729352</v>
      </c>
      <c r="O711" s="169" t="s">
        <v>632</v>
      </c>
      <c r="P711" s="169" t="s">
        <v>283</v>
      </c>
      <c r="Q711" s="169" t="s">
        <v>633</v>
      </c>
      <c r="R711" s="169" t="s">
        <v>283</v>
      </c>
      <c r="S711" s="169" t="s">
        <v>283</v>
      </c>
      <c r="T711" s="169">
        <v>0</v>
      </c>
    </row>
    <row r="712" spans="2:20" x14ac:dyDescent="0.2">
      <c r="B712" s="167" t="str">
        <f>_xlfn.XLOOKUP(I712,Mapping!D:D,Mapping!E:E)</f>
        <v>Kỹ Thuật</v>
      </c>
      <c r="C712" s="167" t="str">
        <f>_xlfn.XLOOKUP(F712,Mapping!A:A,Mapping!F:F)</f>
        <v>Lương Chính +T13</v>
      </c>
      <c r="D712" s="173">
        <v>45777</v>
      </c>
      <c r="E712" s="169" t="s">
        <v>629</v>
      </c>
      <c r="F712" s="169" t="s">
        <v>387</v>
      </c>
      <c r="G712" s="169" t="s">
        <v>275</v>
      </c>
      <c r="H712" s="169" t="s">
        <v>376</v>
      </c>
      <c r="I712" s="169" t="s">
        <v>377</v>
      </c>
      <c r="J712" s="169" t="s">
        <v>283</v>
      </c>
      <c r="K712" s="169" t="s">
        <v>630</v>
      </c>
      <c r="L712" s="169" t="s">
        <v>631</v>
      </c>
      <c r="M712" s="169" t="s">
        <v>281</v>
      </c>
      <c r="N712" s="178">
        <v>1092826135</v>
      </c>
      <c r="O712" s="169" t="s">
        <v>632</v>
      </c>
      <c r="P712" s="169" t="s">
        <v>283</v>
      </c>
      <c r="Q712" s="169" t="s">
        <v>633</v>
      </c>
      <c r="R712" s="169" t="s">
        <v>283</v>
      </c>
      <c r="S712" s="169" t="s">
        <v>283</v>
      </c>
      <c r="T712" s="169">
        <v>0</v>
      </c>
    </row>
    <row r="713" spans="2:20" x14ac:dyDescent="0.2">
      <c r="B713" s="167" t="str">
        <f>_xlfn.XLOOKUP(I713,Mapping!D:D,Mapping!E:E)</f>
        <v>Kỹ Thuật</v>
      </c>
      <c r="C713" s="167" t="str">
        <f>_xlfn.XLOOKUP(F713,Mapping!A:A,Mapping!F:F)</f>
        <v>Lương Chính +T13</v>
      </c>
      <c r="D713" s="173">
        <v>45777</v>
      </c>
      <c r="E713" s="169" t="s">
        <v>629</v>
      </c>
      <c r="F713" s="169" t="s">
        <v>388</v>
      </c>
      <c r="G713" s="169" t="s">
        <v>286</v>
      </c>
      <c r="H713" s="169" t="s">
        <v>376</v>
      </c>
      <c r="I713" s="169" t="s">
        <v>377</v>
      </c>
      <c r="J713" s="169" t="s">
        <v>283</v>
      </c>
      <c r="K713" s="169" t="s">
        <v>630</v>
      </c>
      <c r="L713" s="169" t="s">
        <v>631</v>
      </c>
      <c r="M713" s="169" t="s">
        <v>281</v>
      </c>
      <c r="N713" s="178">
        <v>26943001</v>
      </c>
      <c r="O713" s="169" t="s">
        <v>632</v>
      </c>
      <c r="P713" s="169" t="s">
        <v>283</v>
      </c>
      <c r="Q713" s="169" t="s">
        <v>633</v>
      </c>
      <c r="R713" s="169" t="s">
        <v>283</v>
      </c>
      <c r="S713" s="169" t="s">
        <v>283</v>
      </c>
      <c r="T713" s="169">
        <v>0</v>
      </c>
    </row>
    <row r="714" spans="2:20" x14ac:dyDescent="0.2">
      <c r="B714" s="167" t="str">
        <f>_xlfn.XLOOKUP(I714,Mapping!D:D,Mapping!E:E)</f>
        <v>Kỹ Thuật</v>
      </c>
      <c r="C714" s="167" t="str">
        <f>_xlfn.XLOOKUP(F714,Mapping!A:A,Mapping!F:F)</f>
        <v>Lương Ngoài giờ</v>
      </c>
      <c r="D714" s="173">
        <v>45777</v>
      </c>
      <c r="E714" s="169" t="s">
        <v>629</v>
      </c>
      <c r="F714" s="169" t="s">
        <v>389</v>
      </c>
      <c r="G714" s="169" t="s">
        <v>390</v>
      </c>
      <c r="H714" s="169" t="s">
        <v>376</v>
      </c>
      <c r="I714" s="169" t="s">
        <v>377</v>
      </c>
      <c r="J714" s="169" t="s">
        <v>283</v>
      </c>
      <c r="K714" s="169" t="s">
        <v>630</v>
      </c>
      <c r="L714" s="169" t="s">
        <v>631</v>
      </c>
      <c r="M714" s="169" t="s">
        <v>281</v>
      </c>
      <c r="N714" s="178">
        <v>330007588</v>
      </c>
      <c r="O714" s="169" t="s">
        <v>632</v>
      </c>
      <c r="P714" s="169" t="s">
        <v>283</v>
      </c>
      <c r="Q714" s="169" t="s">
        <v>633</v>
      </c>
      <c r="R714" s="169" t="s">
        <v>283</v>
      </c>
      <c r="S714" s="169" t="s">
        <v>283</v>
      </c>
      <c r="T714" s="169">
        <v>0</v>
      </c>
    </row>
    <row r="715" spans="2:20" x14ac:dyDescent="0.2">
      <c r="B715" s="167" t="str">
        <f>_xlfn.XLOOKUP(I715,Mapping!D:D,Mapping!E:E)</f>
        <v>Kỹ Thuật</v>
      </c>
      <c r="C715" s="167" t="str">
        <f>_xlfn.XLOOKUP(F715,Mapping!A:A,Mapping!F:F)</f>
        <v>Thưởng</v>
      </c>
      <c r="D715" s="173">
        <v>45777</v>
      </c>
      <c r="E715" s="169" t="s">
        <v>629</v>
      </c>
      <c r="F715" s="169" t="s">
        <v>391</v>
      </c>
      <c r="G715" s="169" t="s">
        <v>291</v>
      </c>
      <c r="H715" s="169" t="s">
        <v>376</v>
      </c>
      <c r="I715" s="169" t="s">
        <v>377</v>
      </c>
      <c r="J715" s="169" t="s">
        <v>283</v>
      </c>
      <c r="K715" s="169" t="s">
        <v>630</v>
      </c>
      <c r="L715" s="169" t="s">
        <v>631</v>
      </c>
      <c r="M715" s="169" t="s">
        <v>281</v>
      </c>
      <c r="N715" s="178">
        <v>17800000</v>
      </c>
      <c r="O715" s="169" t="s">
        <v>632</v>
      </c>
      <c r="P715" s="169" t="s">
        <v>283</v>
      </c>
      <c r="Q715" s="169" t="s">
        <v>633</v>
      </c>
      <c r="R715" s="169" t="s">
        <v>283</v>
      </c>
      <c r="S715" s="169" t="s">
        <v>283</v>
      </c>
      <c r="T715" s="169">
        <v>0</v>
      </c>
    </row>
    <row r="716" spans="2:20" x14ac:dyDescent="0.2">
      <c r="B716" s="167" t="str">
        <f>_xlfn.XLOOKUP(I716,Mapping!D:D,Mapping!E:E)</f>
        <v>Kỹ Thuật</v>
      </c>
      <c r="C716" s="167" t="str">
        <f>_xlfn.XLOOKUP(F716,Mapping!A:A,Mapping!F:F)</f>
        <v>Phụ Cấp</v>
      </c>
      <c r="D716" s="173">
        <v>45777</v>
      </c>
      <c r="E716" s="169" t="s">
        <v>629</v>
      </c>
      <c r="F716" s="169" t="s">
        <v>375</v>
      </c>
      <c r="G716" s="169" t="s">
        <v>336</v>
      </c>
      <c r="H716" s="169" t="s">
        <v>376</v>
      </c>
      <c r="I716" s="169" t="s">
        <v>377</v>
      </c>
      <c r="J716" s="169" t="s">
        <v>283</v>
      </c>
      <c r="K716" s="169" t="s">
        <v>630</v>
      </c>
      <c r="L716" s="169" t="s">
        <v>631</v>
      </c>
      <c r="M716" s="169" t="s">
        <v>281</v>
      </c>
      <c r="N716" s="178">
        <v>10330000</v>
      </c>
      <c r="O716" s="169" t="s">
        <v>632</v>
      </c>
      <c r="P716" s="169" t="s">
        <v>283</v>
      </c>
      <c r="Q716" s="169" t="s">
        <v>633</v>
      </c>
      <c r="R716" s="169" t="s">
        <v>283</v>
      </c>
      <c r="S716" s="169" t="s">
        <v>283</v>
      </c>
      <c r="T716" s="169">
        <v>0</v>
      </c>
    </row>
    <row r="717" spans="2:20" x14ac:dyDescent="0.2">
      <c r="B717" s="167" t="str">
        <f>_xlfn.XLOOKUP(I717,Mapping!D:D,Mapping!E:E)</f>
        <v>Kiểm Soát Chất Lượng</v>
      </c>
      <c r="C717" s="167" t="str">
        <f>_xlfn.XLOOKUP(F717,Mapping!A:A,Mapping!F:F)</f>
        <v>Phụ Cấp</v>
      </c>
      <c r="D717" s="173">
        <v>45777</v>
      </c>
      <c r="E717" s="169" t="s">
        <v>629</v>
      </c>
      <c r="F717" s="169" t="s">
        <v>386</v>
      </c>
      <c r="G717" s="169" t="s">
        <v>341</v>
      </c>
      <c r="H717" s="169" t="s">
        <v>411</v>
      </c>
      <c r="I717" s="169" t="s">
        <v>412</v>
      </c>
      <c r="J717" s="169" t="s">
        <v>283</v>
      </c>
      <c r="K717" s="169" t="s">
        <v>630</v>
      </c>
      <c r="L717" s="169" t="s">
        <v>631</v>
      </c>
      <c r="M717" s="169" t="s">
        <v>281</v>
      </c>
      <c r="N717" s="178">
        <v>28454180</v>
      </c>
      <c r="O717" s="169" t="s">
        <v>632</v>
      </c>
      <c r="P717" s="169" t="s">
        <v>283</v>
      </c>
      <c r="Q717" s="169" t="s">
        <v>633</v>
      </c>
      <c r="R717" s="169" t="s">
        <v>283</v>
      </c>
      <c r="S717" s="169" t="s">
        <v>283</v>
      </c>
      <c r="T717" s="169">
        <v>0</v>
      </c>
    </row>
    <row r="718" spans="2:20" x14ac:dyDescent="0.2">
      <c r="B718" s="167" t="str">
        <f>_xlfn.XLOOKUP(I718,Mapping!D:D,Mapping!E:E)</f>
        <v>Kiểm Soát Chất Lượng</v>
      </c>
      <c r="C718" s="167" t="str">
        <f>_xlfn.XLOOKUP(F718,Mapping!A:A,Mapping!F:F)</f>
        <v>Lương Chính +T13</v>
      </c>
      <c r="D718" s="173">
        <v>45777</v>
      </c>
      <c r="E718" s="169" t="s">
        <v>629</v>
      </c>
      <c r="F718" s="169" t="s">
        <v>387</v>
      </c>
      <c r="G718" s="169" t="s">
        <v>275</v>
      </c>
      <c r="H718" s="169" t="s">
        <v>411</v>
      </c>
      <c r="I718" s="169" t="s">
        <v>412</v>
      </c>
      <c r="J718" s="169" t="s">
        <v>283</v>
      </c>
      <c r="K718" s="169" t="s">
        <v>630</v>
      </c>
      <c r="L718" s="169" t="s">
        <v>631</v>
      </c>
      <c r="M718" s="169" t="s">
        <v>281</v>
      </c>
      <c r="N718" s="178">
        <v>535750569</v>
      </c>
      <c r="O718" s="169" t="s">
        <v>632</v>
      </c>
      <c r="P718" s="169" t="s">
        <v>283</v>
      </c>
      <c r="Q718" s="169" t="s">
        <v>633</v>
      </c>
      <c r="R718" s="169" t="s">
        <v>283</v>
      </c>
      <c r="S718" s="169" t="s">
        <v>283</v>
      </c>
      <c r="T718" s="169">
        <v>0</v>
      </c>
    </row>
    <row r="719" spans="2:20" x14ac:dyDescent="0.2">
      <c r="B719" s="167" t="str">
        <f>_xlfn.XLOOKUP(I719,Mapping!D:D,Mapping!E:E)</f>
        <v>Kiểm Soát Chất Lượng</v>
      </c>
      <c r="C719" s="167" t="str">
        <f>_xlfn.XLOOKUP(F719,Mapping!A:A,Mapping!F:F)</f>
        <v>Lương Chính +T13</v>
      </c>
      <c r="D719" s="173">
        <v>45777</v>
      </c>
      <c r="E719" s="169" t="s">
        <v>629</v>
      </c>
      <c r="F719" s="169" t="s">
        <v>388</v>
      </c>
      <c r="G719" s="169" t="s">
        <v>286</v>
      </c>
      <c r="H719" s="169" t="s">
        <v>411</v>
      </c>
      <c r="I719" s="169" t="s">
        <v>412</v>
      </c>
      <c r="J719" s="169" t="s">
        <v>283</v>
      </c>
      <c r="K719" s="169" t="s">
        <v>630</v>
      </c>
      <c r="L719" s="169" t="s">
        <v>631</v>
      </c>
      <c r="M719" s="169" t="s">
        <v>281</v>
      </c>
      <c r="N719" s="178">
        <v>15198502</v>
      </c>
      <c r="O719" s="169" t="s">
        <v>632</v>
      </c>
      <c r="P719" s="169" t="s">
        <v>283</v>
      </c>
      <c r="Q719" s="169" t="s">
        <v>633</v>
      </c>
      <c r="R719" s="169" t="s">
        <v>283</v>
      </c>
      <c r="S719" s="169" t="s">
        <v>283</v>
      </c>
      <c r="T719" s="169">
        <v>0</v>
      </c>
    </row>
    <row r="720" spans="2:20" x14ac:dyDescent="0.2">
      <c r="B720" s="167" t="str">
        <f>_xlfn.XLOOKUP(I720,Mapping!D:D,Mapping!E:E)</f>
        <v>Kiểm Soát Chất Lượng</v>
      </c>
      <c r="C720" s="167" t="str">
        <f>_xlfn.XLOOKUP(F720,Mapping!A:A,Mapping!F:F)</f>
        <v>Lương Ngoài giờ</v>
      </c>
      <c r="D720" s="173">
        <v>45777</v>
      </c>
      <c r="E720" s="169" t="s">
        <v>629</v>
      </c>
      <c r="F720" s="169" t="s">
        <v>389</v>
      </c>
      <c r="G720" s="169" t="s">
        <v>390</v>
      </c>
      <c r="H720" s="169" t="s">
        <v>411</v>
      </c>
      <c r="I720" s="169" t="s">
        <v>412</v>
      </c>
      <c r="J720" s="169" t="s">
        <v>283</v>
      </c>
      <c r="K720" s="169" t="s">
        <v>630</v>
      </c>
      <c r="L720" s="169" t="s">
        <v>631</v>
      </c>
      <c r="M720" s="169" t="s">
        <v>281</v>
      </c>
      <c r="N720" s="178">
        <v>193569297</v>
      </c>
      <c r="O720" s="169" t="s">
        <v>632</v>
      </c>
      <c r="P720" s="169" t="s">
        <v>283</v>
      </c>
      <c r="Q720" s="169" t="s">
        <v>633</v>
      </c>
      <c r="R720" s="169" t="s">
        <v>283</v>
      </c>
      <c r="S720" s="169" t="s">
        <v>283</v>
      </c>
      <c r="T720" s="169">
        <v>0</v>
      </c>
    </row>
    <row r="721" spans="1:20" x14ac:dyDescent="0.2">
      <c r="B721" s="167" t="str">
        <f>_xlfn.XLOOKUP(I721,Mapping!D:D,Mapping!E:E)</f>
        <v>Kiểm Soát Chất Lượng</v>
      </c>
      <c r="C721" s="167" t="str">
        <f>_xlfn.XLOOKUP(F721,Mapping!A:A,Mapping!F:F)</f>
        <v>Thưởng</v>
      </c>
      <c r="D721" s="173">
        <v>45777</v>
      </c>
      <c r="E721" s="169" t="s">
        <v>629</v>
      </c>
      <c r="F721" s="169" t="s">
        <v>391</v>
      </c>
      <c r="G721" s="169" t="s">
        <v>291</v>
      </c>
      <c r="H721" s="169" t="s">
        <v>411</v>
      </c>
      <c r="I721" s="169" t="s">
        <v>412</v>
      </c>
      <c r="J721" s="169" t="s">
        <v>283</v>
      </c>
      <c r="K721" s="169" t="s">
        <v>630</v>
      </c>
      <c r="L721" s="169" t="s">
        <v>631</v>
      </c>
      <c r="M721" s="169" t="s">
        <v>281</v>
      </c>
      <c r="N721" s="178">
        <v>11200000</v>
      </c>
      <c r="O721" s="169" t="s">
        <v>632</v>
      </c>
      <c r="P721" s="169" t="s">
        <v>283</v>
      </c>
      <c r="Q721" s="169" t="s">
        <v>633</v>
      </c>
      <c r="R721" s="169" t="s">
        <v>283</v>
      </c>
      <c r="S721" s="169" t="s">
        <v>283</v>
      </c>
      <c r="T721" s="169">
        <v>0</v>
      </c>
    </row>
    <row r="722" spans="1:20" x14ac:dyDescent="0.2">
      <c r="B722" s="167" t="str">
        <f>_xlfn.XLOOKUP(I722,Mapping!D:D,Mapping!E:E)</f>
        <v>Kiểm Soát Chất Lượng</v>
      </c>
      <c r="C722" s="167" t="str">
        <f>_xlfn.XLOOKUP(F722,Mapping!A:A,Mapping!F:F)</f>
        <v>Phụ Cấp</v>
      </c>
      <c r="D722" s="173">
        <v>45777</v>
      </c>
      <c r="E722" s="169" t="s">
        <v>629</v>
      </c>
      <c r="F722" s="169" t="s">
        <v>375</v>
      </c>
      <c r="G722" s="169" t="s">
        <v>336</v>
      </c>
      <c r="H722" s="169" t="s">
        <v>411</v>
      </c>
      <c r="I722" s="169" t="s">
        <v>412</v>
      </c>
      <c r="J722" s="169" t="s">
        <v>283</v>
      </c>
      <c r="K722" s="169" t="s">
        <v>630</v>
      </c>
      <c r="L722" s="169" t="s">
        <v>631</v>
      </c>
      <c r="M722" s="169" t="s">
        <v>281</v>
      </c>
      <c r="N722" s="178">
        <v>9140000</v>
      </c>
      <c r="O722" s="169" t="s">
        <v>632</v>
      </c>
      <c r="P722" s="169" t="s">
        <v>283</v>
      </c>
      <c r="Q722" s="169" t="s">
        <v>633</v>
      </c>
      <c r="R722" s="169" t="s">
        <v>283</v>
      </c>
      <c r="S722" s="169" t="s">
        <v>283</v>
      </c>
      <c r="T722" s="169">
        <v>0</v>
      </c>
    </row>
    <row r="723" spans="1:20" x14ac:dyDescent="0.2">
      <c r="B723" s="167" t="str">
        <f>_xlfn.XLOOKUP(I723,Mapping!D:D,Mapping!E:E)</f>
        <v>Nghiên Cứu &amp; Phát Triển</v>
      </c>
      <c r="C723" s="167" t="str">
        <f>_xlfn.XLOOKUP(F723,Mapping!A:A,Mapping!F:F)</f>
        <v>Lương Chính +T13</v>
      </c>
      <c r="D723" s="173">
        <v>45777</v>
      </c>
      <c r="E723" s="169" t="s">
        <v>629</v>
      </c>
      <c r="F723" s="169" t="s">
        <v>387</v>
      </c>
      <c r="G723" s="169" t="s">
        <v>275</v>
      </c>
      <c r="H723" s="169" t="s">
        <v>418</v>
      </c>
      <c r="I723" s="169" t="s">
        <v>419</v>
      </c>
      <c r="J723" s="169" t="s">
        <v>283</v>
      </c>
      <c r="K723" s="169" t="s">
        <v>630</v>
      </c>
      <c r="L723" s="169" t="s">
        <v>631</v>
      </c>
      <c r="M723" s="169" t="s">
        <v>281</v>
      </c>
      <c r="N723" s="178">
        <v>155224828</v>
      </c>
      <c r="O723" s="169" t="s">
        <v>632</v>
      </c>
      <c r="P723" s="169" t="s">
        <v>283</v>
      </c>
      <c r="Q723" s="169" t="s">
        <v>633</v>
      </c>
      <c r="R723" s="169" t="s">
        <v>283</v>
      </c>
      <c r="S723" s="169" t="s">
        <v>283</v>
      </c>
      <c r="T723" s="169">
        <v>0</v>
      </c>
    </row>
    <row r="724" spans="1:20" x14ac:dyDescent="0.2">
      <c r="B724" s="167" t="str">
        <f>_xlfn.XLOOKUP(I724,Mapping!D:D,Mapping!E:E)</f>
        <v>Cung Ứng</v>
      </c>
      <c r="C724" s="167" t="str">
        <f>_xlfn.XLOOKUP(F724,Mapping!A:A,Mapping!F:F)</f>
        <v>Lương Chính +T13</v>
      </c>
      <c r="D724" s="173">
        <v>45777</v>
      </c>
      <c r="E724" s="169" t="s">
        <v>634</v>
      </c>
      <c r="F724" s="169" t="s">
        <v>285</v>
      </c>
      <c r="G724" s="169" t="s">
        <v>286</v>
      </c>
      <c r="H724" s="169" t="s">
        <v>380</v>
      </c>
      <c r="I724" s="169" t="s">
        <v>381</v>
      </c>
      <c r="J724" s="169" t="s">
        <v>635</v>
      </c>
      <c r="K724" s="169" t="s">
        <v>636</v>
      </c>
      <c r="L724" s="169" t="s">
        <v>631</v>
      </c>
      <c r="M724" s="169" t="s">
        <v>281</v>
      </c>
      <c r="N724" s="178">
        <v>38944085</v>
      </c>
      <c r="O724" s="169" t="s">
        <v>637</v>
      </c>
      <c r="P724" s="169" t="s">
        <v>283</v>
      </c>
      <c r="Q724" s="169" t="s">
        <v>633</v>
      </c>
      <c r="R724" s="169" t="s">
        <v>283</v>
      </c>
      <c r="S724" s="169" t="s">
        <v>283</v>
      </c>
      <c r="T724" s="169">
        <v>0</v>
      </c>
    </row>
    <row r="725" spans="1:20" x14ac:dyDescent="0.2">
      <c r="B725" s="167" t="str">
        <f>_xlfn.XLOOKUP(I725,Mapping!D:D,Mapping!E:E)</f>
        <v>Mua Hàng &amp; XNK</v>
      </c>
      <c r="C725" s="167" t="str">
        <f>_xlfn.XLOOKUP(F725,Mapping!A:A,Mapping!F:F)</f>
        <v>Lương Chính +T13</v>
      </c>
      <c r="D725" s="173">
        <v>45777</v>
      </c>
      <c r="E725" s="169" t="s">
        <v>634</v>
      </c>
      <c r="F725" s="169" t="s">
        <v>285</v>
      </c>
      <c r="G725" s="169" t="s">
        <v>286</v>
      </c>
      <c r="H725" s="169" t="s">
        <v>378</v>
      </c>
      <c r="I725" s="169" t="s">
        <v>379</v>
      </c>
      <c r="J725" s="169" t="s">
        <v>635</v>
      </c>
      <c r="K725" s="169" t="s">
        <v>636</v>
      </c>
      <c r="L725" s="169" t="s">
        <v>631</v>
      </c>
      <c r="M725" s="169" t="s">
        <v>281</v>
      </c>
      <c r="N725" s="178">
        <v>10669417</v>
      </c>
      <c r="O725" s="169" t="s">
        <v>637</v>
      </c>
      <c r="P725" s="169" t="s">
        <v>283</v>
      </c>
      <c r="Q725" s="169" t="s">
        <v>633</v>
      </c>
      <c r="R725" s="169" t="s">
        <v>283</v>
      </c>
      <c r="S725" s="169" t="s">
        <v>283</v>
      </c>
      <c r="T725" s="169">
        <v>0</v>
      </c>
    </row>
    <row r="726" spans="1:20" x14ac:dyDescent="0.2">
      <c r="B726" s="167" t="str">
        <f>_xlfn.XLOOKUP(I726,Mapping!D:D,Mapping!E:E)</f>
        <v>Kỹ Thuật</v>
      </c>
      <c r="C726" s="167" t="str">
        <f>_xlfn.XLOOKUP(F726,Mapping!A:A,Mapping!F:F)</f>
        <v>Lương Chính +T13</v>
      </c>
      <c r="D726" s="173">
        <v>45777</v>
      </c>
      <c r="E726" s="169" t="s">
        <v>634</v>
      </c>
      <c r="F726" s="169" t="s">
        <v>388</v>
      </c>
      <c r="G726" s="169" t="s">
        <v>286</v>
      </c>
      <c r="H726" s="169" t="s">
        <v>376</v>
      </c>
      <c r="I726" s="169" t="s">
        <v>377</v>
      </c>
      <c r="J726" s="169" t="s">
        <v>635</v>
      </c>
      <c r="K726" s="169" t="s">
        <v>636</v>
      </c>
      <c r="L726" s="169" t="s">
        <v>631</v>
      </c>
      <c r="M726" s="169" t="s">
        <v>281</v>
      </c>
      <c r="N726" s="178">
        <v>86260167</v>
      </c>
      <c r="O726" s="169" t="s">
        <v>637</v>
      </c>
      <c r="P726" s="169" t="s">
        <v>283</v>
      </c>
      <c r="Q726" s="169" t="s">
        <v>633</v>
      </c>
      <c r="R726" s="169" t="s">
        <v>283</v>
      </c>
      <c r="S726" s="169" t="s">
        <v>283</v>
      </c>
      <c r="T726" s="169">
        <v>0</v>
      </c>
    </row>
    <row r="727" spans="1:20" x14ac:dyDescent="0.2">
      <c r="B727" s="167" t="str">
        <f>_xlfn.XLOOKUP(I727,Mapping!D:D,Mapping!E:E)</f>
        <v>Kiểm Soát Chất Lượng</v>
      </c>
      <c r="C727" s="167" t="str">
        <f>_xlfn.XLOOKUP(F727,Mapping!A:A,Mapping!F:F)</f>
        <v>Lương Chính +T13</v>
      </c>
      <c r="D727" s="173">
        <v>45777</v>
      </c>
      <c r="E727" s="169" t="s">
        <v>634</v>
      </c>
      <c r="F727" s="169" t="s">
        <v>388</v>
      </c>
      <c r="G727" s="169" t="s">
        <v>286</v>
      </c>
      <c r="H727" s="169" t="s">
        <v>411</v>
      </c>
      <c r="I727" s="169" t="s">
        <v>412</v>
      </c>
      <c r="J727" s="169" t="s">
        <v>635</v>
      </c>
      <c r="K727" s="169" t="s">
        <v>636</v>
      </c>
      <c r="L727" s="169" t="s">
        <v>631</v>
      </c>
      <c r="M727" s="169" t="s">
        <v>281</v>
      </c>
      <c r="N727" s="178">
        <v>39817417</v>
      </c>
      <c r="O727" s="169" t="s">
        <v>637</v>
      </c>
      <c r="P727" s="169" t="s">
        <v>283</v>
      </c>
      <c r="Q727" s="169" t="s">
        <v>633</v>
      </c>
      <c r="R727" s="169" t="s">
        <v>283</v>
      </c>
      <c r="S727" s="169" t="s">
        <v>283</v>
      </c>
      <c r="T727" s="169">
        <v>0</v>
      </c>
    </row>
    <row r="728" spans="1:20" x14ac:dyDescent="0.2">
      <c r="B728" s="167" t="str">
        <f>_xlfn.XLOOKUP(I728,Mapping!D:D,Mapping!E:E)</f>
        <v>Cung Ứng</v>
      </c>
      <c r="C728" s="167" t="str">
        <f>_xlfn.XLOOKUP(F728,Mapping!A:A,Mapping!F:F)</f>
        <v>Thưởng</v>
      </c>
      <c r="D728" s="173">
        <v>45777</v>
      </c>
      <c r="E728" s="169" t="s">
        <v>634</v>
      </c>
      <c r="F728" s="169" t="s">
        <v>292</v>
      </c>
      <c r="G728" s="169" t="s">
        <v>77</v>
      </c>
      <c r="H728" s="169" t="s">
        <v>380</v>
      </c>
      <c r="I728" s="169" t="s">
        <v>381</v>
      </c>
      <c r="J728" s="169" t="s">
        <v>638</v>
      </c>
      <c r="K728" s="169" t="s">
        <v>636</v>
      </c>
      <c r="L728" s="169" t="s">
        <v>631</v>
      </c>
      <c r="M728" s="169" t="s">
        <v>281</v>
      </c>
      <c r="N728" s="178">
        <v>33975065</v>
      </c>
      <c r="O728" s="169" t="s">
        <v>637</v>
      </c>
      <c r="P728" s="169" t="s">
        <v>283</v>
      </c>
      <c r="Q728" s="169" t="s">
        <v>633</v>
      </c>
      <c r="R728" s="169" t="s">
        <v>283</v>
      </c>
      <c r="S728" s="169" t="s">
        <v>283</v>
      </c>
      <c r="T728" s="169">
        <v>0</v>
      </c>
    </row>
    <row r="729" spans="1:20" x14ac:dyDescent="0.2">
      <c r="B729" s="167" t="str">
        <f>_xlfn.XLOOKUP(I729,Mapping!D:D,Mapping!E:E)</f>
        <v>Mua Hàng &amp; XNK</v>
      </c>
      <c r="C729" s="167" t="str">
        <f>_xlfn.XLOOKUP(F729,Mapping!A:A,Mapping!F:F)</f>
        <v>Thưởng</v>
      </c>
      <c r="D729" s="173">
        <v>45777</v>
      </c>
      <c r="E729" s="169" t="s">
        <v>634</v>
      </c>
      <c r="F729" s="169" t="s">
        <v>292</v>
      </c>
      <c r="G729" s="169" t="s">
        <v>77</v>
      </c>
      <c r="H729" s="169" t="s">
        <v>378</v>
      </c>
      <c r="I729" s="169" t="s">
        <v>379</v>
      </c>
      <c r="J729" s="169" t="s">
        <v>638</v>
      </c>
      <c r="K729" s="169" t="s">
        <v>636</v>
      </c>
      <c r="L729" s="169" t="s">
        <v>631</v>
      </c>
      <c r="M729" s="169" t="s">
        <v>281</v>
      </c>
      <c r="N729" s="178">
        <v>9815778</v>
      </c>
      <c r="O729" s="169" t="s">
        <v>637</v>
      </c>
      <c r="P729" s="169" t="s">
        <v>283</v>
      </c>
      <c r="Q729" s="169" t="s">
        <v>633</v>
      </c>
      <c r="R729" s="169" t="s">
        <v>283</v>
      </c>
      <c r="S729" s="169" t="s">
        <v>283</v>
      </c>
      <c r="T729" s="169">
        <v>0</v>
      </c>
    </row>
    <row r="730" spans="1:20" x14ac:dyDescent="0.2">
      <c r="B730" s="167" t="str">
        <f>_xlfn.XLOOKUP(I730,Mapping!D:D,Mapping!E:E)</f>
        <v>Kỹ Thuật</v>
      </c>
      <c r="C730" s="167" t="str">
        <f>_xlfn.XLOOKUP(F730,Mapping!A:A,Mapping!F:F)</f>
        <v>Thưởng</v>
      </c>
      <c r="D730" s="173">
        <v>45777</v>
      </c>
      <c r="E730" s="169" t="s">
        <v>634</v>
      </c>
      <c r="F730" s="169" t="s">
        <v>395</v>
      </c>
      <c r="G730" s="169" t="s">
        <v>77</v>
      </c>
      <c r="H730" s="169" t="s">
        <v>376</v>
      </c>
      <c r="I730" s="169" t="s">
        <v>377</v>
      </c>
      <c r="J730" s="169" t="s">
        <v>638</v>
      </c>
      <c r="K730" s="169" t="s">
        <v>636</v>
      </c>
      <c r="L730" s="169" t="s">
        <v>631</v>
      </c>
      <c r="M730" s="169" t="s">
        <v>281</v>
      </c>
      <c r="N730" s="178">
        <v>79358663</v>
      </c>
      <c r="O730" s="169" t="s">
        <v>637</v>
      </c>
      <c r="P730" s="169" t="s">
        <v>283</v>
      </c>
      <c r="Q730" s="169" t="s">
        <v>633</v>
      </c>
      <c r="R730" s="169" t="s">
        <v>283</v>
      </c>
      <c r="S730" s="169" t="s">
        <v>283</v>
      </c>
      <c r="T730" s="169">
        <v>0</v>
      </c>
    </row>
    <row r="731" spans="1:20" x14ac:dyDescent="0.2">
      <c r="B731" s="167" t="str">
        <f>_xlfn.XLOOKUP(I731,Mapping!D:D,Mapping!E:E)</f>
        <v>Kiểm Soát Chất Lượng</v>
      </c>
      <c r="C731" s="167" t="str">
        <f>_xlfn.XLOOKUP(F731,Mapping!A:A,Mapping!F:F)</f>
        <v>Thưởng</v>
      </c>
      <c r="D731" s="173">
        <v>45777</v>
      </c>
      <c r="E731" s="169" t="s">
        <v>634</v>
      </c>
      <c r="F731" s="169" t="s">
        <v>395</v>
      </c>
      <c r="G731" s="169" t="s">
        <v>77</v>
      </c>
      <c r="H731" s="169" t="s">
        <v>411</v>
      </c>
      <c r="I731" s="169" t="s">
        <v>412</v>
      </c>
      <c r="J731" s="169" t="s">
        <v>638</v>
      </c>
      <c r="K731" s="169" t="s">
        <v>636</v>
      </c>
      <c r="L731" s="169" t="s">
        <v>631</v>
      </c>
      <c r="M731" s="169" t="s">
        <v>281</v>
      </c>
      <c r="N731" s="178">
        <v>36631705</v>
      </c>
      <c r="O731" s="169" t="s">
        <v>637</v>
      </c>
      <c r="P731" s="169" t="s">
        <v>283</v>
      </c>
      <c r="Q731" s="169" t="s">
        <v>633</v>
      </c>
      <c r="R731" s="169" t="s">
        <v>283</v>
      </c>
      <c r="S731" s="169" t="s">
        <v>283</v>
      </c>
      <c r="T731" s="169">
        <v>0</v>
      </c>
    </row>
    <row r="732" spans="1:20" x14ac:dyDescent="0.2">
      <c r="A732" s="169">
        <v>622</v>
      </c>
      <c r="B732" s="167" t="str">
        <f>_xlfn.XLOOKUP(I732,Mapping!D:D,Mapping!E:E)</f>
        <v>Xưởng Sản Xuất</v>
      </c>
      <c r="C732" s="167" t="str">
        <f>_xlfn.XLOOKUP(F732,Mapping!A:A,Mapping!F:F)</f>
        <v>Lương Chính +T13</v>
      </c>
      <c r="D732" s="173">
        <v>45752</v>
      </c>
      <c r="E732" s="169" t="s">
        <v>675</v>
      </c>
      <c r="F732" s="169" t="s">
        <v>400</v>
      </c>
      <c r="G732" s="169" t="s">
        <v>401</v>
      </c>
      <c r="H732" s="169" t="s">
        <v>402</v>
      </c>
      <c r="I732" s="169" t="s">
        <v>403</v>
      </c>
      <c r="J732" s="169" t="s">
        <v>602</v>
      </c>
      <c r="K732" s="169" t="s">
        <v>405</v>
      </c>
      <c r="L732" s="169" t="s">
        <v>631</v>
      </c>
      <c r="M732" s="169" t="s">
        <v>281</v>
      </c>
      <c r="N732" s="178">
        <v>21618056</v>
      </c>
      <c r="O732" s="169" t="s">
        <v>676</v>
      </c>
      <c r="P732" s="169" t="s">
        <v>283</v>
      </c>
      <c r="Q732" s="169" t="s">
        <v>306</v>
      </c>
      <c r="R732" s="169" t="s">
        <v>283</v>
      </c>
      <c r="S732" s="169" t="s">
        <v>283</v>
      </c>
      <c r="T732" s="169">
        <v>0</v>
      </c>
    </row>
    <row r="733" spans="1:20" x14ac:dyDescent="0.2">
      <c r="A733" s="169">
        <v>622</v>
      </c>
      <c r="B733" s="167" t="str">
        <f>_xlfn.XLOOKUP(I733,Mapping!D:D,Mapping!E:E)</f>
        <v>Xưởng Sản Xuất</v>
      </c>
      <c r="C733" s="167" t="str">
        <f>_xlfn.XLOOKUP(F733,Mapping!A:A,Mapping!F:F)</f>
        <v>Lương Chính +T13</v>
      </c>
      <c r="D733" s="173">
        <v>45748</v>
      </c>
      <c r="E733" s="169" t="s">
        <v>677</v>
      </c>
      <c r="F733" s="169" t="s">
        <v>400</v>
      </c>
      <c r="G733" s="169" t="s">
        <v>401</v>
      </c>
      <c r="H733" s="169" t="s">
        <v>402</v>
      </c>
      <c r="I733" s="169" t="s">
        <v>403</v>
      </c>
      <c r="J733" s="169" t="s">
        <v>602</v>
      </c>
      <c r="K733" s="169" t="s">
        <v>405</v>
      </c>
      <c r="L733" s="169" t="s">
        <v>631</v>
      </c>
      <c r="M733" s="169" t="s">
        <v>281</v>
      </c>
      <c r="N733" s="178">
        <v>-20840278</v>
      </c>
      <c r="O733" s="169" t="s">
        <v>678</v>
      </c>
      <c r="P733" s="169" t="s">
        <v>447</v>
      </c>
      <c r="Q733" s="169" t="s">
        <v>633</v>
      </c>
      <c r="R733" s="169" t="s">
        <v>283</v>
      </c>
      <c r="S733" s="169" t="s">
        <v>283</v>
      </c>
      <c r="T733" s="169">
        <v>0</v>
      </c>
    </row>
    <row r="734" spans="1:20" x14ac:dyDescent="0.2">
      <c r="A734" s="169">
        <v>627</v>
      </c>
      <c r="B734" s="167" t="str">
        <f>_xlfn.XLOOKUP(I734,Mapping!D:D,Mapping!E:E)</f>
        <v>Xưởng Sản Xuất</v>
      </c>
      <c r="C734" s="167" t="str">
        <f>_xlfn.XLOOKUP(F734,Mapping!A:A,Mapping!F:F)</f>
        <v>Phụ Cấp</v>
      </c>
      <c r="D734" s="173">
        <v>45775</v>
      </c>
      <c r="E734" s="169" t="s">
        <v>642</v>
      </c>
      <c r="F734" s="169" t="s">
        <v>375</v>
      </c>
      <c r="G734" s="169" t="s">
        <v>336</v>
      </c>
      <c r="H734" s="169" t="s">
        <v>402</v>
      </c>
      <c r="I734" s="169" t="s">
        <v>403</v>
      </c>
      <c r="J734" s="169" t="s">
        <v>643</v>
      </c>
      <c r="K734" s="169" t="s">
        <v>338</v>
      </c>
      <c r="L734" s="169" t="s">
        <v>631</v>
      </c>
      <c r="M734" s="169" t="s">
        <v>281</v>
      </c>
      <c r="N734" s="178">
        <v>122825000</v>
      </c>
      <c r="O734" s="169" t="s">
        <v>644</v>
      </c>
      <c r="P734" s="169" t="s">
        <v>283</v>
      </c>
      <c r="Q734" s="169" t="s">
        <v>306</v>
      </c>
      <c r="R734" s="169" t="s">
        <v>283</v>
      </c>
      <c r="S734" s="169" t="s">
        <v>283</v>
      </c>
      <c r="T734" s="169">
        <v>0</v>
      </c>
    </row>
    <row r="735" spans="1:20" x14ac:dyDescent="0.2">
      <c r="B735" s="167" t="str">
        <f>_xlfn.XLOOKUP(I735,Mapping!D:D,Mapping!E:E)</f>
        <v>Nghiên Cứu &amp; Phát Triển</v>
      </c>
      <c r="C735" s="167" t="str">
        <f>_xlfn.XLOOKUP(F735,Mapping!A:A,Mapping!F:F)</f>
        <v>BHXH, BHYT, KPCĐ</v>
      </c>
      <c r="D735" s="173">
        <v>45777</v>
      </c>
      <c r="E735" s="169" t="s">
        <v>639</v>
      </c>
      <c r="F735" s="169" t="s">
        <v>393</v>
      </c>
      <c r="G735" s="169" t="s">
        <v>296</v>
      </c>
      <c r="H735" s="169" t="s">
        <v>418</v>
      </c>
      <c r="I735" s="169" t="s">
        <v>419</v>
      </c>
      <c r="J735" s="169" t="s">
        <v>640</v>
      </c>
      <c r="K735" s="169" t="s">
        <v>640</v>
      </c>
      <c r="L735" s="169" t="s">
        <v>631</v>
      </c>
      <c r="M735" s="169" t="s">
        <v>281</v>
      </c>
      <c r="N735" s="178">
        <v>35154315</v>
      </c>
      <c r="O735" s="169" t="s">
        <v>641</v>
      </c>
      <c r="P735" s="169" t="s">
        <v>283</v>
      </c>
      <c r="Q735" s="169" t="s">
        <v>633</v>
      </c>
      <c r="R735" s="169" t="s">
        <v>283</v>
      </c>
      <c r="S735" s="169" t="s">
        <v>283</v>
      </c>
      <c r="T735" s="169">
        <v>0</v>
      </c>
    </row>
    <row r="736" spans="1:20" x14ac:dyDescent="0.2">
      <c r="A736" s="169">
        <v>627</v>
      </c>
      <c r="B736" s="167" t="str">
        <f>_xlfn.XLOOKUP(I736,Mapping!D:D,Mapping!E:E)</f>
        <v>Xưởng Sản Xuất</v>
      </c>
      <c r="C736" s="167" t="str">
        <f>_xlfn.XLOOKUP(F736,Mapping!A:A,Mapping!F:F)</f>
        <v>BHXH, BHYT, KPCĐ</v>
      </c>
      <c r="D736" s="173">
        <v>45777</v>
      </c>
      <c r="E736" s="169" t="s">
        <v>639</v>
      </c>
      <c r="F736" s="169" t="s">
        <v>393</v>
      </c>
      <c r="G736" s="169" t="s">
        <v>296</v>
      </c>
      <c r="H736" s="169" t="s">
        <v>402</v>
      </c>
      <c r="I736" s="169" t="s">
        <v>403</v>
      </c>
      <c r="J736" s="169" t="s">
        <v>640</v>
      </c>
      <c r="K736" s="169" t="s">
        <v>640</v>
      </c>
      <c r="L736" s="169" t="s">
        <v>631</v>
      </c>
      <c r="M736" s="169" t="s">
        <v>281</v>
      </c>
      <c r="N736" s="178">
        <v>79294405</v>
      </c>
      <c r="O736" s="169" t="s">
        <v>641</v>
      </c>
      <c r="P736" s="169" t="s">
        <v>283</v>
      </c>
      <c r="Q736" s="169" t="s">
        <v>633</v>
      </c>
      <c r="R736" s="169" t="s">
        <v>283</v>
      </c>
      <c r="S736" s="169" t="s">
        <v>283</v>
      </c>
      <c r="T736" s="169">
        <v>0</v>
      </c>
    </row>
    <row r="737" spans="1:20" x14ac:dyDescent="0.2">
      <c r="A737" s="169">
        <v>622</v>
      </c>
      <c r="B737" s="167" t="str">
        <f>_xlfn.XLOOKUP(I737,Mapping!D:D,Mapping!E:E)</f>
        <v>Xưởng Sản Xuất</v>
      </c>
      <c r="C737" s="167" t="str">
        <f>_xlfn.XLOOKUP(F737,Mapping!A:A,Mapping!F:F)</f>
        <v>BHXH, BHYT, KPCĐ</v>
      </c>
      <c r="D737" s="173">
        <v>45777</v>
      </c>
      <c r="E737" s="169" t="s">
        <v>639</v>
      </c>
      <c r="F737" s="169" t="s">
        <v>425</v>
      </c>
      <c r="G737" s="169" t="s">
        <v>296</v>
      </c>
      <c r="H737" s="169" t="s">
        <v>402</v>
      </c>
      <c r="I737" s="169" t="s">
        <v>403</v>
      </c>
      <c r="J737" s="169" t="s">
        <v>640</v>
      </c>
      <c r="K737" s="169" t="s">
        <v>640</v>
      </c>
      <c r="L737" s="169" t="s">
        <v>631</v>
      </c>
      <c r="M737" s="169" t="s">
        <v>281</v>
      </c>
      <c r="N737" s="178">
        <v>245996825</v>
      </c>
      <c r="O737" s="169" t="s">
        <v>641</v>
      </c>
      <c r="P737" s="169" t="s">
        <v>283</v>
      </c>
      <c r="Q737" s="169" t="s">
        <v>633</v>
      </c>
      <c r="R737" s="169" t="s">
        <v>283</v>
      </c>
      <c r="S737" s="169" t="s">
        <v>283</v>
      </c>
      <c r="T737" s="169">
        <v>0</v>
      </c>
    </row>
    <row r="738" spans="1:20" x14ac:dyDescent="0.2">
      <c r="B738" s="167" t="str">
        <f>_xlfn.XLOOKUP(I738,Mapping!D:D,Mapping!E:E)</f>
        <v>Nghiên Cứu &amp; Phát Triển</v>
      </c>
      <c r="C738" s="167" t="str">
        <f>_xlfn.XLOOKUP(F738,Mapping!A:A,Mapping!F:F)</f>
        <v>Lương Chính +T13</v>
      </c>
      <c r="D738" s="173">
        <v>45777</v>
      </c>
      <c r="E738" s="169" t="s">
        <v>629</v>
      </c>
      <c r="F738" s="169" t="s">
        <v>388</v>
      </c>
      <c r="G738" s="169" t="s">
        <v>286</v>
      </c>
      <c r="H738" s="169" t="s">
        <v>418</v>
      </c>
      <c r="I738" s="169" t="s">
        <v>419</v>
      </c>
      <c r="J738" s="169" t="s">
        <v>283</v>
      </c>
      <c r="K738" s="169" t="s">
        <v>630</v>
      </c>
      <c r="L738" s="169" t="s">
        <v>631</v>
      </c>
      <c r="M738" s="169" t="s">
        <v>281</v>
      </c>
      <c r="N738" s="178">
        <v>9468962</v>
      </c>
      <c r="O738" s="169" t="s">
        <v>632</v>
      </c>
      <c r="P738" s="169" t="s">
        <v>283</v>
      </c>
      <c r="Q738" s="169" t="s">
        <v>633</v>
      </c>
      <c r="R738" s="169" t="s">
        <v>283</v>
      </c>
      <c r="S738" s="169" t="s">
        <v>283</v>
      </c>
      <c r="T738" s="169">
        <v>0</v>
      </c>
    </row>
    <row r="739" spans="1:20" x14ac:dyDescent="0.2">
      <c r="B739" s="167" t="str">
        <f>_xlfn.XLOOKUP(I739,Mapping!D:D,Mapping!E:E)</f>
        <v>Nghiên Cứu &amp; Phát Triển</v>
      </c>
      <c r="C739" s="167" t="str">
        <f>_xlfn.XLOOKUP(F739,Mapping!A:A,Mapping!F:F)</f>
        <v>Thưởng</v>
      </c>
      <c r="D739" s="173">
        <v>45777</v>
      </c>
      <c r="E739" s="169" t="s">
        <v>629</v>
      </c>
      <c r="F739" s="169" t="s">
        <v>391</v>
      </c>
      <c r="G739" s="169" t="s">
        <v>291</v>
      </c>
      <c r="H739" s="169" t="s">
        <v>418</v>
      </c>
      <c r="I739" s="169" t="s">
        <v>419</v>
      </c>
      <c r="J739" s="169" t="s">
        <v>283</v>
      </c>
      <c r="K739" s="169" t="s">
        <v>630</v>
      </c>
      <c r="L739" s="169" t="s">
        <v>631</v>
      </c>
      <c r="M739" s="169" t="s">
        <v>281</v>
      </c>
      <c r="N739" s="178">
        <v>1400000</v>
      </c>
      <c r="O739" s="169" t="s">
        <v>632</v>
      </c>
      <c r="P739" s="169" t="s">
        <v>283</v>
      </c>
      <c r="Q739" s="169" t="s">
        <v>633</v>
      </c>
      <c r="R739" s="169" t="s">
        <v>283</v>
      </c>
      <c r="S739" s="169" t="s">
        <v>283</v>
      </c>
      <c r="T739" s="169">
        <v>0</v>
      </c>
    </row>
    <row r="740" spans="1:20" x14ac:dyDescent="0.2">
      <c r="B740" s="167" t="str">
        <f>_xlfn.XLOOKUP(I740,Mapping!D:D,Mapping!E:E)</f>
        <v>Nghiên Cứu &amp; Phát Triển</v>
      </c>
      <c r="C740" s="167" t="str">
        <f>_xlfn.XLOOKUP(F740,Mapping!A:A,Mapping!F:F)</f>
        <v>Phụ Cấp</v>
      </c>
      <c r="D740" s="173">
        <v>45777</v>
      </c>
      <c r="E740" s="169" t="s">
        <v>629</v>
      </c>
      <c r="F740" s="169" t="s">
        <v>375</v>
      </c>
      <c r="G740" s="169" t="s">
        <v>336</v>
      </c>
      <c r="H740" s="169" t="s">
        <v>418</v>
      </c>
      <c r="I740" s="169" t="s">
        <v>419</v>
      </c>
      <c r="J740" s="169" t="s">
        <v>283</v>
      </c>
      <c r="K740" s="169" t="s">
        <v>630</v>
      </c>
      <c r="L740" s="169" t="s">
        <v>631</v>
      </c>
      <c r="M740" s="169" t="s">
        <v>281</v>
      </c>
      <c r="N740" s="178">
        <v>275000</v>
      </c>
      <c r="O740" s="169" t="s">
        <v>632</v>
      </c>
      <c r="P740" s="169" t="s">
        <v>283</v>
      </c>
      <c r="Q740" s="169" t="s">
        <v>633</v>
      </c>
      <c r="R740" s="169" t="s">
        <v>283</v>
      </c>
      <c r="S740" s="169" t="s">
        <v>283</v>
      </c>
      <c r="T740" s="169">
        <v>0</v>
      </c>
    </row>
    <row r="741" spans="1:20" x14ac:dyDescent="0.2">
      <c r="A741" s="169">
        <v>622</v>
      </c>
      <c r="B741" s="167" t="str">
        <f>_xlfn.XLOOKUP(I741,Mapping!D:D,Mapping!E:E)</f>
        <v>Xưởng Sản Xuất</v>
      </c>
      <c r="C741" s="167" t="str">
        <f>_xlfn.XLOOKUP(F741,Mapping!A:A,Mapping!F:F)</f>
        <v>Lương Chính +T13</v>
      </c>
      <c r="D741" s="173">
        <v>45777</v>
      </c>
      <c r="E741" s="169" t="s">
        <v>629</v>
      </c>
      <c r="F741" s="169" t="s">
        <v>400</v>
      </c>
      <c r="G741" s="169" t="s">
        <v>401</v>
      </c>
      <c r="H741" s="169" t="s">
        <v>402</v>
      </c>
      <c r="I741" s="169" t="s">
        <v>403</v>
      </c>
      <c r="J741" s="169" t="s">
        <v>283</v>
      </c>
      <c r="K741" s="169" t="s">
        <v>630</v>
      </c>
      <c r="L741" s="169" t="s">
        <v>631</v>
      </c>
      <c r="M741" s="169" t="s">
        <v>281</v>
      </c>
      <c r="N741" s="178">
        <v>1618761177</v>
      </c>
      <c r="O741" s="169" t="s">
        <v>632</v>
      </c>
      <c r="P741" s="169" t="s">
        <v>283</v>
      </c>
      <c r="Q741" s="169" t="s">
        <v>633</v>
      </c>
      <c r="R741" s="169" t="s">
        <v>283</v>
      </c>
      <c r="S741" s="169" t="s">
        <v>283</v>
      </c>
      <c r="T741" s="169">
        <v>0</v>
      </c>
    </row>
    <row r="742" spans="1:20" x14ac:dyDescent="0.2">
      <c r="A742" s="169">
        <v>622</v>
      </c>
      <c r="B742" s="167" t="str">
        <f>_xlfn.XLOOKUP(I742,Mapping!D:D,Mapping!E:E)</f>
        <v>Xưởng Sản Xuất</v>
      </c>
      <c r="C742" s="167" t="str">
        <f>_xlfn.XLOOKUP(F742,Mapping!A:A,Mapping!F:F)</f>
        <v>Lương Chính +T13</v>
      </c>
      <c r="D742" s="173">
        <v>45777</v>
      </c>
      <c r="E742" s="169" t="s">
        <v>629</v>
      </c>
      <c r="F742" s="169" t="s">
        <v>420</v>
      </c>
      <c r="G742" s="169" t="s">
        <v>286</v>
      </c>
      <c r="H742" s="169" t="s">
        <v>402</v>
      </c>
      <c r="I742" s="169" t="s">
        <v>403</v>
      </c>
      <c r="J742" s="169" t="s">
        <v>283</v>
      </c>
      <c r="K742" s="169" t="s">
        <v>630</v>
      </c>
      <c r="L742" s="169" t="s">
        <v>631</v>
      </c>
      <c r="M742" s="169" t="s">
        <v>281</v>
      </c>
      <c r="N742" s="178">
        <v>20490627</v>
      </c>
      <c r="O742" s="169" t="s">
        <v>632</v>
      </c>
      <c r="P742" s="169" t="s">
        <v>283</v>
      </c>
      <c r="Q742" s="169" t="s">
        <v>633</v>
      </c>
      <c r="R742" s="169" t="s">
        <v>283</v>
      </c>
      <c r="S742" s="169" t="s">
        <v>283</v>
      </c>
      <c r="T742" s="169">
        <v>0</v>
      </c>
    </row>
    <row r="743" spans="1:20" x14ac:dyDescent="0.2">
      <c r="A743" s="169">
        <v>622</v>
      </c>
      <c r="B743" s="167" t="str">
        <f>_xlfn.XLOOKUP(I743,Mapping!D:D,Mapping!E:E)</f>
        <v>Xưởng Sản Xuất</v>
      </c>
      <c r="C743" s="167" t="str">
        <f>_xlfn.XLOOKUP(F743,Mapping!A:A,Mapping!F:F)</f>
        <v>Phụ Cấp</v>
      </c>
      <c r="D743" s="173">
        <v>45777</v>
      </c>
      <c r="E743" s="169" t="s">
        <v>629</v>
      </c>
      <c r="F743" s="169" t="s">
        <v>421</v>
      </c>
      <c r="G743" s="169" t="s">
        <v>341</v>
      </c>
      <c r="H743" s="169" t="s">
        <v>402</v>
      </c>
      <c r="I743" s="169" t="s">
        <v>403</v>
      </c>
      <c r="J743" s="169" t="s">
        <v>283</v>
      </c>
      <c r="K743" s="169" t="s">
        <v>630</v>
      </c>
      <c r="L743" s="169" t="s">
        <v>631</v>
      </c>
      <c r="M743" s="169" t="s">
        <v>281</v>
      </c>
      <c r="N743" s="178">
        <v>127651234</v>
      </c>
      <c r="O743" s="169" t="s">
        <v>632</v>
      </c>
      <c r="P743" s="169" t="s">
        <v>283</v>
      </c>
      <c r="Q743" s="169" t="s">
        <v>633</v>
      </c>
      <c r="R743" s="169" t="s">
        <v>283</v>
      </c>
      <c r="S743" s="169" t="s">
        <v>283</v>
      </c>
      <c r="T743" s="169">
        <v>0</v>
      </c>
    </row>
    <row r="744" spans="1:20" x14ac:dyDescent="0.2">
      <c r="A744" s="169">
        <v>622</v>
      </c>
      <c r="B744" s="167" t="str">
        <f>_xlfn.XLOOKUP(I744,Mapping!D:D,Mapping!E:E)</f>
        <v>Xưởng Sản Xuất</v>
      </c>
      <c r="C744" s="167" t="str">
        <f>_xlfn.XLOOKUP(F744,Mapping!A:A,Mapping!F:F)</f>
        <v>Lương Ngoài giờ</v>
      </c>
      <c r="D744" s="173">
        <v>45777</v>
      </c>
      <c r="E744" s="169" t="s">
        <v>629</v>
      </c>
      <c r="F744" s="169" t="s">
        <v>422</v>
      </c>
      <c r="G744" s="169" t="s">
        <v>423</v>
      </c>
      <c r="H744" s="169" t="s">
        <v>402</v>
      </c>
      <c r="I744" s="169" t="s">
        <v>403</v>
      </c>
      <c r="J744" s="169" t="s">
        <v>283</v>
      </c>
      <c r="K744" s="169" t="s">
        <v>630</v>
      </c>
      <c r="L744" s="169" t="s">
        <v>631</v>
      </c>
      <c r="M744" s="169" t="s">
        <v>281</v>
      </c>
      <c r="N744" s="178">
        <v>312856165</v>
      </c>
      <c r="O744" s="169" t="s">
        <v>632</v>
      </c>
      <c r="P744" s="169" t="s">
        <v>283</v>
      </c>
      <c r="Q744" s="169" t="s">
        <v>633</v>
      </c>
      <c r="R744" s="169" t="s">
        <v>283</v>
      </c>
      <c r="S744" s="169" t="s">
        <v>283</v>
      </c>
      <c r="T744" s="169">
        <v>0</v>
      </c>
    </row>
    <row r="745" spans="1:20" x14ac:dyDescent="0.2">
      <c r="A745" s="169">
        <v>622</v>
      </c>
      <c r="B745" s="167" t="str">
        <f>_xlfn.XLOOKUP(I745,Mapping!D:D,Mapping!E:E)</f>
        <v>Xưởng Sản Xuất</v>
      </c>
      <c r="C745" s="167" t="str">
        <f>_xlfn.XLOOKUP(F745,Mapping!A:A,Mapping!F:F)</f>
        <v>Thưởng</v>
      </c>
      <c r="D745" s="173">
        <v>45777</v>
      </c>
      <c r="E745" s="169" t="s">
        <v>629</v>
      </c>
      <c r="F745" s="169" t="s">
        <v>424</v>
      </c>
      <c r="G745" s="169" t="s">
        <v>291</v>
      </c>
      <c r="H745" s="169" t="s">
        <v>402</v>
      </c>
      <c r="I745" s="169" t="s">
        <v>403</v>
      </c>
      <c r="J745" s="169" t="s">
        <v>283</v>
      </c>
      <c r="K745" s="169" t="s">
        <v>630</v>
      </c>
      <c r="L745" s="169" t="s">
        <v>631</v>
      </c>
      <c r="M745" s="169" t="s">
        <v>281</v>
      </c>
      <c r="N745" s="178">
        <v>39800000</v>
      </c>
      <c r="O745" s="169" t="s">
        <v>632</v>
      </c>
      <c r="P745" s="169" t="s">
        <v>283</v>
      </c>
      <c r="Q745" s="169" t="s">
        <v>633</v>
      </c>
      <c r="R745" s="169" t="s">
        <v>283</v>
      </c>
      <c r="S745" s="169" t="s">
        <v>283</v>
      </c>
      <c r="T745" s="169">
        <v>0</v>
      </c>
    </row>
    <row r="746" spans="1:20" x14ac:dyDescent="0.2">
      <c r="A746" s="169">
        <v>622</v>
      </c>
      <c r="B746" s="167" t="str">
        <f>_xlfn.XLOOKUP(I746,Mapping!D:D,Mapping!E:E)</f>
        <v>Xưởng Sản Xuất</v>
      </c>
      <c r="C746" s="167" t="str">
        <f>_xlfn.XLOOKUP(F746,Mapping!A:A,Mapping!F:F)</f>
        <v>Phụ Cấp</v>
      </c>
      <c r="D746" s="173">
        <v>45777</v>
      </c>
      <c r="E746" s="169" t="s">
        <v>629</v>
      </c>
      <c r="F746" s="169" t="s">
        <v>414</v>
      </c>
      <c r="G746" s="169" t="s">
        <v>415</v>
      </c>
      <c r="H746" s="169" t="s">
        <v>402</v>
      </c>
      <c r="I746" s="169" t="s">
        <v>403</v>
      </c>
      <c r="J746" s="169" t="s">
        <v>283</v>
      </c>
      <c r="K746" s="169" t="s">
        <v>630</v>
      </c>
      <c r="L746" s="169" t="s">
        <v>631</v>
      </c>
      <c r="M746" s="169" t="s">
        <v>281</v>
      </c>
      <c r="N746" s="178">
        <v>34900000</v>
      </c>
      <c r="O746" s="169" t="s">
        <v>632</v>
      </c>
      <c r="P746" s="169" t="s">
        <v>283</v>
      </c>
      <c r="Q746" s="169" t="s">
        <v>633</v>
      </c>
      <c r="R746" s="169" t="s">
        <v>283</v>
      </c>
      <c r="S746" s="169" t="s">
        <v>283</v>
      </c>
      <c r="T746" s="169">
        <v>0</v>
      </c>
    </row>
    <row r="747" spans="1:20" x14ac:dyDescent="0.2">
      <c r="A747" s="169">
        <v>627</v>
      </c>
      <c r="B747" s="167" t="str">
        <f>_xlfn.XLOOKUP(I747,Mapping!D:D,Mapping!E:E)</f>
        <v>Xưởng Sản Xuất</v>
      </c>
      <c r="C747" s="167" t="str">
        <f>_xlfn.XLOOKUP(F747,Mapping!A:A,Mapping!F:F)</f>
        <v>Phụ Cấp</v>
      </c>
      <c r="D747" s="173">
        <v>45777</v>
      </c>
      <c r="E747" s="169" t="s">
        <v>629</v>
      </c>
      <c r="F747" s="169" t="s">
        <v>386</v>
      </c>
      <c r="G747" s="169" t="s">
        <v>341</v>
      </c>
      <c r="H747" s="169" t="s">
        <v>402</v>
      </c>
      <c r="I747" s="169" t="s">
        <v>403</v>
      </c>
      <c r="J747" s="169" t="s">
        <v>283</v>
      </c>
      <c r="K747" s="169" t="s">
        <v>630</v>
      </c>
      <c r="L747" s="169" t="s">
        <v>631</v>
      </c>
      <c r="M747" s="169" t="s">
        <v>281</v>
      </c>
      <c r="N747" s="178">
        <v>16762551</v>
      </c>
      <c r="O747" s="169" t="s">
        <v>632</v>
      </c>
      <c r="P747" s="169" t="s">
        <v>283</v>
      </c>
      <c r="Q747" s="169" t="s">
        <v>633</v>
      </c>
      <c r="R747" s="169" t="s">
        <v>283</v>
      </c>
      <c r="S747" s="169" t="s">
        <v>283</v>
      </c>
      <c r="T747" s="169">
        <v>0</v>
      </c>
    </row>
    <row r="748" spans="1:20" x14ac:dyDescent="0.2">
      <c r="A748" s="169">
        <v>627</v>
      </c>
      <c r="B748" s="167" t="str">
        <f>_xlfn.XLOOKUP(I748,Mapping!D:D,Mapping!E:E)</f>
        <v>Xưởng Sản Xuất</v>
      </c>
      <c r="C748" s="167" t="str">
        <f>_xlfn.XLOOKUP(F748,Mapping!A:A,Mapping!F:F)</f>
        <v>Lương Chính +T13</v>
      </c>
      <c r="D748" s="173">
        <v>45777</v>
      </c>
      <c r="E748" s="169" t="s">
        <v>629</v>
      </c>
      <c r="F748" s="169" t="s">
        <v>387</v>
      </c>
      <c r="G748" s="169" t="s">
        <v>275</v>
      </c>
      <c r="H748" s="169" t="s">
        <v>402</v>
      </c>
      <c r="I748" s="169" t="s">
        <v>403</v>
      </c>
      <c r="J748" s="169" t="s">
        <v>283</v>
      </c>
      <c r="K748" s="169" t="s">
        <v>630</v>
      </c>
      <c r="L748" s="169" t="s">
        <v>631</v>
      </c>
      <c r="M748" s="169" t="s">
        <v>281</v>
      </c>
      <c r="N748" s="178">
        <v>478869796</v>
      </c>
      <c r="O748" s="169" t="s">
        <v>632</v>
      </c>
      <c r="P748" s="169" t="s">
        <v>283</v>
      </c>
      <c r="Q748" s="169" t="s">
        <v>633</v>
      </c>
      <c r="R748" s="169" t="s">
        <v>283</v>
      </c>
      <c r="S748" s="169" t="s">
        <v>283</v>
      </c>
      <c r="T748" s="169">
        <v>0</v>
      </c>
    </row>
    <row r="749" spans="1:20" x14ac:dyDescent="0.2">
      <c r="A749" s="169">
        <v>627</v>
      </c>
      <c r="B749" s="167" t="str">
        <f>_xlfn.XLOOKUP(I749,Mapping!D:D,Mapping!E:E)</f>
        <v>Xưởng Sản Xuất</v>
      </c>
      <c r="C749" s="167" t="str">
        <f>_xlfn.XLOOKUP(F749,Mapping!A:A,Mapping!F:F)</f>
        <v>Lương Chính +T13</v>
      </c>
      <c r="D749" s="173">
        <v>45777</v>
      </c>
      <c r="E749" s="169" t="s">
        <v>629</v>
      </c>
      <c r="F749" s="169" t="s">
        <v>388</v>
      </c>
      <c r="G749" s="169" t="s">
        <v>286</v>
      </c>
      <c r="H749" s="169" t="s">
        <v>402</v>
      </c>
      <c r="I749" s="169" t="s">
        <v>403</v>
      </c>
      <c r="J749" s="169" t="s">
        <v>283</v>
      </c>
      <c r="K749" s="169" t="s">
        <v>630</v>
      </c>
      <c r="L749" s="169" t="s">
        <v>631</v>
      </c>
      <c r="M749" s="169" t="s">
        <v>281</v>
      </c>
      <c r="N749" s="178">
        <v>6661076</v>
      </c>
      <c r="O749" s="169" t="s">
        <v>632</v>
      </c>
      <c r="P749" s="169" t="s">
        <v>283</v>
      </c>
      <c r="Q749" s="169" t="s">
        <v>633</v>
      </c>
      <c r="R749" s="169" t="s">
        <v>283</v>
      </c>
      <c r="S749" s="169" t="s">
        <v>283</v>
      </c>
      <c r="T749" s="169">
        <v>0</v>
      </c>
    </row>
    <row r="750" spans="1:20" x14ac:dyDescent="0.2">
      <c r="A750" s="169">
        <v>627</v>
      </c>
      <c r="B750" s="167" t="str">
        <f>_xlfn.XLOOKUP(I750,Mapping!D:D,Mapping!E:E)</f>
        <v>Xưởng Sản Xuất</v>
      </c>
      <c r="C750" s="167" t="str">
        <f>_xlfn.XLOOKUP(F750,Mapping!A:A,Mapping!F:F)</f>
        <v>Lương Ngoài giờ</v>
      </c>
      <c r="D750" s="173">
        <v>45777</v>
      </c>
      <c r="E750" s="169" t="s">
        <v>629</v>
      </c>
      <c r="F750" s="169" t="s">
        <v>389</v>
      </c>
      <c r="G750" s="169" t="s">
        <v>390</v>
      </c>
      <c r="H750" s="169" t="s">
        <v>402</v>
      </c>
      <c r="I750" s="169" t="s">
        <v>403</v>
      </c>
      <c r="J750" s="169" t="s">
        <v>283</v>
      </c>
      <c r="K750" s="169" t="s">
        <v>630</v>
      </c>
      <c r="L750" s="169" t="s">
        <v>631</v>
      </c>
      <c r="M750" s="169" t="s">
        <v>281</v>
      </c>
      <c r="N750" s="178">
        <v>53930864</v>
      </c>
      <c r="O750" s="169" t="s">
        <v>632</v>
      </c>
      <c r="P750" s="169" t="s">
        <v>283</v>
      </c>
      <c r="Q750" s="169" t="s">
        <v>633</v>
      </c>
      <c r="R750" s="169" t="s">
        <v>283</v>
      </c>
      <c r="S750" s="169" t="s">
        <v>283</v>
      </c>
      <c r="T750" s="169">
        <v>0</v>
      </c>
    </row>
    <row r="751" spans="1:20" x14ac:dyDescent="0.2">
      <c r="A751" s="169">
        <v>627</v>
      </c>
      <c r="B751" s="167" t="str">
        <f>_xlfn.XLOOKUP(I751,Mapping!D:D,Mapping!E:E)</f>
        <v>Xưởng Sản Xuất</v>
      </c>
      <c r="C751" s="167" t="str">
        <f>_xlfn.XLOOKUP(F751,Mapping!A:A,Mapping!F:F)</f>
        <v>Thưởng</v>
      </c>
      <c r="D751" s="173">
        <v>45777</v>
      </c>
      <c r="E751" s="169" t="s">
        <v>629</v>
      </c>
      <c r="F751" s="169" t="s">
        <v>391</v>
      </c>
      <c r="G751" s="169" t="s">
        <v>291</v>
      </c>
      <c r="H751" s="169" t="s">
        <v>402</v>
      </c>
      <c r="I751" s="169" t="s">
        <v>403</v>
      </c>
      <c r="J751" s="169" t="s">
        <v>283</v>
      </c>
      <c r="K751" s="169" t="s">
        <v>630</v>
      </c>
      <c r="L751" s="169" t="s">
        <v>631</v>
      </c>
      <c r="M751" s="169" t="s">
        <v>281</v>
      </c>
      <c r="N751" s="178">
        <v>7200000</v>
      </c>
      <c r="O751" s="169" t="s">
        <v>632</v>
      </c>
      <c r="P751" s="169" t="s">
        <v>283</v>
      </c>
      <c r="Q751" s="169" t="s">
        <v>633</v>
      </c>
      <c r="R751" s="169" t="s">
        <v>283</v>
      </c>
      <c r="S751" s="169" t="s">
        <v>283</v>
      </c>
      <c r="T751" s="169">
        <v>0</v>
      </c>
    </row>
    <row r="752" spans="1:20" x14ac:dyDescent="0.2">
      <c r="A752" s="169">
        <v>627</v>
      </c>
      <c r="B752" s="167" t="str">
        <f>_xlfn.XLOOKUP(I752,Mapping!D:D,Mapping!E:E)</f>
        <v>Xưởng Sản Xuất</v>
      </c>
      <c r="C752" s="167" t="str">
        <f>_xlfn.XLOOKUP(F752,Mapping!A:A,Mapping!F:F)</f>
        <v>Phụ Cấp</v>
      </c>
      <c r="D752" s="173">
        <v>45777</v>
      </c>
      <c r="E752" s="169" t="s">
        <v>629</v>
      </c>
      <c r="F752" s="169" t="s">
        <v>375</v>
      </c>
      <c r="G752" s="169" t="s">
        <v>336</v>
      </c>
      <c r="H752" s="169" t="s">
        <v>402</v>
      </c>
      <c r="I752" s="169" t="s">
        <v>403</v>
      </c>
      <c r="J752" s="169" t="s">
        <v>283</v>
      </c>
      <c r="K752" s="169" t="s">
        <v>630</v>
      </c>
      <c r="L752" s="169" t="s">
        <v>631</v>
      </c>
      <c r="M752" s="169" t="s">
        <v>281</v>
      </c>
      <c r="N752" s="178">
        <v>3740000</v>
      </c>
      <c r="O752" s="169" t="s">
        <v>632</v>
      </c>
      <c r="P752" s="169" t="s">
        <v>283</v>
      </c>
      <c r="Q752" s="169" t="s">
        <v>633</v>
      </c>
      <c r="R752" s="169" t="s">
        <v>283</v>
      </c>
      <c r="S752" s="169" t="s">
        <v>283</v>
      </c>
      <c r="T752" s="169">
        <v>0</v>
      </c>
    </row>
    <row r="753" spans="1:20" x14ac:dyDescent="0.2">
      <c r="B753" s="167" t="str">
        <f>_xlfn.XLOOKUP(I753,Mapping!D:D,Mapping!E:E)</f>
        <v>Nghiên Cứu &amp; Phát Triển</v>
      </c>
      <c r="C753" s="167" t="str">
        <f>_xlfn.XLOOKUP(F753,Mapping!A:A,Mapping!F:F)</f>
        <v>Lương Chính +T13</v>
      </c>
      <c r="D753" s="173">
        <v>45777</v>
      </c>
      <c r="E753" s="169" t="s">
        <v>634</v>
      </c>
      <c r="F753" s="169" t="s">
        <v>388</v>
      </c>
      <c r="G753" s="169" t="s">
        <v>286</v>
      </c>
      <c r="H753" s="169" t="s">
        <v>418</v>
      </c>
      <c r="I753" s="169" t="s">
        <v>419</v>
      </c>
      <c r="J753" s="169" t="s">
        <v>635</v>
      </c>
      <c r="K753" s="169" t="s">
        <v>636</v>
      </c>
      <c r="L753" s="169" t="s">
        <v>631</v>
      </c>
      <c r="M753" s="169" t="s">
        <v>281</v>
      </c>
      <c r="N753" s="178">
        <v>13919083</v>
      </c>
      <c r="O753" s="169" t="s">
        <v>637</v>
      </c>
      <c r="P753" s="169" t="s">
        <v>283</v>
      </c>
      <c r="Q753" s="169" t="s">
        <v>633</v>
      </c>
      <c r="R753" s="169" t="s">
        <v>283</v>
      </c>
      <c r="S753" s="169" t="s">
        <v>283</v>
      </c>
      <c r="T753" s="169">
        <v>0</v>
      </c>
    </row>
    <row r="754" spans="1:20" x14ac:dyDescent="0.2">
      <c r="A754" s="169">
        <v>627</v>
      </c>
      <c r="B754" s="167" t="str">
        <f>_xlfn.XLOOKUP(I754,Mapping!D:D,Mapping!E:E)</f>
        <v>Xưởng Sản Xuất</v>
      </c>
      <c r="C754" s="167" t="str">
        <f>_xlfn.XLOOKUP(F754,Mapping!A:A,Mapping!F:F)</f>
        <v>Lương Chính +T13</v>
      </c>
      <c r="D754" s="173">
        <v>45777</v>
      </c>
      <c r="E754" s="169" t="s">
        <v>634</v>
      </c>
      <c r="F754" s="169" t="s">
        <v>388</v>
      </c>
      <c r="G754" s="169" t="s">
        <v>286</v>
      </c>
      <c r="H754" s="169" t="s">
        <v>402</v>
      </c>
      <c r="I754" s="169" t="s">
        <v>403</v>
      </c>
      <c r="J754" s="169" t="s">
        <v>635</v>
      </c>
      <c r="K754" s="169" t="s">
        <v>636</v>
      </c>
      <c r="L754" s="169" t="s">
        <v>631</v>
      </c>
      <c r="M754" s="169" t="s">
        <v>281</v>
      </c>
      <c r="N754" s="178">
        <v>34497478</v>
      </c>
      <c r="O754" s="169" t="s">
        <v>637</v>
      </c>
      <c r="P754" s="169" t="s">
        <v>283</v>
      </c>
      <c r="Q754" s="169" t="s">
        <v>633</v>
      </c>
      <c r="R754" s="169" t="s">
        <v>283</v>
      </c>
      <c r="S754" s="169" t="s">
        <v>283</v>
      </c>
      <c r="T754" s="169">
        <v>0</v>
      </c>
    </row>
    <row r="755" spans="1:20" x14ac:dyDescent="0.2">
      <c r="A755" s="169">
        <v>622</v>
      </c>
      <c r="B755" s="167" t="str">
        <f>_xlfn.XLOOKUP(I755,Mapping!D:D,Mapping!E:E)</f>
        <v>Xưởng Sản Xuất</v>
      </c>
      <c r="C755" s="167" t="str">
        <f>_xlfn.XLOOKUP(F755,Mapping!A:A,Mapping!F:F)</f>
        <v>Lương Chính +T13</v>
      </c>
      <c r="D755" s="173">
        <v>45777</v>
      </c>
      <c r="E755" s="169" t="s">
        <v>634</v>
      </c>
      <c r="F755" s="169" t="s">
        <v>420</v>
      </c>
      <c r="G755" s="169" t="s">
        <v>286</v>
      </c>
      <c r="H755" s="169" t="s">
        <v>402</v>
      </c>
      <c r="I755" s="169" t="s">
        <v>403</v>
      </c>
      <c r="J755" s="169" t="s">
        <v>635</v>
      </c>
      <c r="K755" s="169" t="s">
        <v>636</v>
      </c>
      <c r="L755" s="169" t="s">
        <v>631</v>
      </c>
      <c r="M755" s="169" t="s">
        <v>281</v>
      </c>
      <c r="N755" s="178">
        <v>98901124</v>
      </c>
      <c r="O755" s="169" t="s">
        <v>637</v>
      </c>
      <c r="P755" s="169" t="s">
        <v>283</v>
      </c>
      <c r="Q755" s="169" t="s">
        <v>633</v>
      </c>
      <c r="R755" s="169" t="s">
        <v>283</v>
      </c>
      <c r="S755" s="169" t="s">
        <v>283</v>
      </c>
      <c r="T755" s="169">
        <v>0</v>
      </c>
    </row>
    <row r="756" spans="1:20" x14ac:dyDescent="0.2">
      <c r="B756" s="167" t="str">
        <f>_xlfn.XLOOKUP(I756,Mapping!D:D,Mapping!E:E)</f>
        <v>Nghiên Cứu &amp; Phát Triển</v>
      </c>
      <c r="C756" s="167" t="str">
        <f>_xlfn.XLOOKUP(F756,Mapping!A:A,Mapping!F:F)</f>
        <v>Thưởng</v>
      </c>
      <c r="D756" s="173">
        <v>45777</v>
      </c>
      <c r="E756" s="169" t="s">
        <v>634</v>
      </c>
      <c r="F756" s="169" t="s">
        <v>395</v>
      </c>
      <c r="G756" s="169" t="s">
        <v>77</v>
      </c>
      <c r="H756" s="169" t="s">
        <v>418</v>
      </c>
      <c r="I756" s="169" t="s">
        <v>419</v>
      </c>
      <c r="J756" s="169" t="s">
        <v>638</v>
      </c>
      <c r="K756" s="169" t="s">
        <v>636</v>
      </c>
      <c r="L756" s="169" t="s">
        <v>631</v>
      </c>
      <c r="M756" s="169" t="s">
        <v>281</v>
      </c>
      <c r="N756" s="178">
        <v>12805445</v>
      </c>
      <c r="O756" s="169" t="s">
        <v>637</v>
      </c>
      <c r="P756" s="169" t="s">
        <v>283</v>
      </c>
      <c r="Q756" s="169" t="s">
        <v>633</v>
      </c>
      <c r="R756" s="169" t="s">
        <v>283</v>
      </c>
      <c r="S756" s="169" t="s">
        <v>283</v>
      </c>
      <c r="T756" s="169">
        <v>0</v>
      </c>
    </row>
    <row r="757" spans="1:20" x14ac:dyDescent="0.2">
      <c r="A757" s="169">
        <v>627</v>
      </c>
      <c r="B757" s="167" t="str">
        <f>_xlfn.XLOOKUP(I757,Mapping!D:D,Mapping!E:E)</f>
        <v>Xưởng Sản Xuất</v>
      </c>
      <c r="C757" s="167" t="str">
        <f>_xlfn.XLOOKUP(F757,Mapping!A:A,Mapping!F:F)</f>
        <v>Thưởng</v>
      </c>
      <c r="D757" s="173">
        <v>45777</v>
      </c>
      <c r="E757" s="169" t="s">
        <v>634</v>
      </c>
      <c r="F757" s="169" t="s">
        <v>395</v>
      </c>
      <c r="G757" s="169" t="s">
        <v>77</v>
      </c>
      <c r="H757" s="169" t="s">
        <v>402</v>
      </c>
      <c r="I757" s="169" t="s">
        <v>403</v>
      </c>
      <c r="J757" s="169" t="s">
        <v>638</v>
      </c>
      <c r="K757" s="169" t="s">
        <v>636</v>
      </c>
      <c r="L757" s="169" t="s">
        <v>631</v>
      </c>
      <c r="M757" s="169" t="s">
        <v>281</v>
      </c>
      <c r="N757" s="178">
        <v>30983721</v>
      </c>
      <c r="O757" s="169" t="s">
        <v>637</v>
      </c>
      <c r="P757" s="169" t="s">
        <v>283</v>
      </c>
      <c r="Q757" s="169" t="s">
        <v>633</v>
      </c>
      <c r="R757" s="169" t="s">
        <v>283</v>
      </c>
      <c r="S757" s="169" t="s">
        <v>283</v>
      </c>
      <c r="T757" s="169">
        <v>0</v>
      </c>
    </row>
    <row r="758" spans="1:20" x14ac:dyDescent="0.2">
      <c r="A758" s="169">
        <v>622</v>
      </c>
      <c r="B758" s="167" t="str">
        <f>_xlfn.XLOOKUP(I758,Mapping!D:D,Mapping!E:E)</f>
        <v>Xưởng Sản Xuất</v>
      </c>
      <c r="C758" s="167" t="str">
        <f>_xlfn.XLOOKUP(F758,Mapping!A:A,Mapping!F:F)</f>
        <v>Thưởng</v>
      </c>
      <c r="D758" s="173">
        <v>45777</v>
      </c>
      <c r="E758" s="169" t="s">
        <v>634</v>
      </c>
      <c r="F758" s="169" t="s">
        <v>426</v>
      </c>
      <c r="G758" s="169" t="s">
        <v>77</v>
      </c>
      <c r="H758" s="169" t="s">
        <v>402</v>
      </c>
      <c r="I758" s="169" t="s">
        <v>403</v>
      </c>
      <c r="J758" s="169" t="s">
        <v>638</v>
      </c>
      <c r="K758" s="169" t="s">
        <v>636</v>
      </c>
      <c r="L758" s="169" t="s">
        <v>631</v>
      </c>
      <c r="M758" s="169" t="s">
        <v>281</v>
      </c>
      <c r="N758" s="178">
        <v>24777399</v>
      </c>
      <c r="O758" s="169" t="s">
        <v>637</v>
      </c>
      <c r="P758" s="169" t="s">
        <v>283</v>
      </c>
      <c r="Q758" s="169" t="s">
        <v>633</v>
      </c>
      <c r="R758" s="169" t="s">
        <v>283</v>
      </c>
      <c r="S758" s="169" t="s">
        <v>283</v>
      </c>
      <c r="T758" s="169">
        <v>0</v>
      </c>
    </row>
    <row r="759" spans="1:20" x14ac:dyDescent="0.2">
      <c r="A759" s="169">
        <v>622</v>
      </c>
      <c r="B759" s="167" t="str">
        <f>_xlfn.XLOOKUP(I759,Mapping!D:D,Mapping!E:E)</f>
        <v>Xưởng Sản Xuất</v>
      </c>
      <c r="C759" s="167" t="str">
        <f>_xlfn.XLOOKUP(F759,Mapping!A:A,Mapping!F:F)</f>
        <v>BHXH, BHYT, KPCĐ</v>
      </c>
      <c r="D759" s="173">
        <v>45777</v>
      </c>
      <c r="E759" s="169" t="s">
        <v>679</v>
      </c>
      <c r="F759" s="169" t="s">
        <v>425</v>
      </c>
      <c r="G759" s="169" t="s">
        <v>296</v>
      </c>
      <c r="H759" s="169" t="s">
        <v>402</v>
      </c>
      <c r="I759" s="169" t="s">
        <v>403</v>
      </c>
      <c r="J759" s="169" t="s">
        <v>640</v>
      </c>
      <c r="K759" s="169" t="s">
        <v>640</v>
      </c>
      <c r="L759" s="169" t="s">
        <v>631</v>
      </c>
      <c r="M759" s="169" t="s">
        <v>281</v>
      </c>
      <c r="N759" s="178">
        <v>6032025</v>
      </c>
      <c r="O759" s="169" t="s">
        <v>680</v>
      </c>
      <c r="P759" s="169" t="s">
        <v>283</v>
      </c>
      <c r="Q759" s="169" t="s">
        <v>633</v>
      </c>
      <c r="R759" s="169" t="s">
        <v>283</v>
      </c>
      <c r="S759" s="169" t="s">
        <v>283</v>
      </c>
      <c r="T759" s="169">
        <v>0</v>
      </c>
    </row>
    <row r="760" spans="1:20" x14ac:dyDescent="0.2">
      <c r="A760" s="169">
        <v>622</v>
      </c>
      <c r="B760" s="167" t="str">
        <f>_xlfn.XLOOKUP(I760,Mapping!D:D,Mapping!E:E)</f>
        <v>Xưởng Sản Xuất</v>
      </c>
      <c r="C760" s="167" t="str">
        <f>_xlfn.XLOOKUP(F760,Mapping!A:A,Mapping!F:F)</f>
        <v>Phụ Cấp</v>
      </c>
      <c r="D760" s="173">
        <v>45777</v>
      </c>
      <c r="E760" s="169" t="s">
        <v>681</v>
      </c>
      <c r="F760" s="169" t="s">
        <v>414</v>
      </c>
      <c r="G760" s="169" t="s">
        <v>415</v>
      </c>
      <c r="H760" s="169" t="s">
        <v>402</v>
      </c>
      <c r="I760" s="169" t="s">
        <v>403</v>
      </c>
      <c r="J760" s="169" t="s">
        <v>416</v>
      </c>
      <c r="K760" s="169" t="s">
        <v>416</v>
      </c>
      <c r="L760" s="169" t="s">
        <v>631</v>
      </c>
      <c r="M760" s="169" t="s">
        <v>281</v>
      </c>
      <c r="N760" s="178">
        <v>99650000</v>
      </c>
      <c r="O760" s="169" t="s">
        <v>682</v>
      </c>
      <c r="P760" s="169" t="s">
        <v>283</v>
      </c>
      <c r="Q760" s="169" t="s">
        <v>348</v>
      </c>
      <c r="R760" s="169" t="s">
        <v>283</v>
      </c>
      <c r="S760" s="169" t="s">
        <v>283</v>
      </c>
      <c r="T760" s="169">
        <v>0</v>
      </c>
    </row>
    <row r="761" spans="1:20" x14ac:dyDescent="0.2">
      <c r="A761" s="169">
        <v>627</v>
      </c>
      <c r="B761" s="167" t="str">
        <f>_xlfn.XLOOKUP(I761,Mapping!D:D,Mapping!E:E)</f>
        <v>Xưởng Sản Xuất</v>
      </c>
      <c r="C761" s="167" t="str">
        <f>_xlfn.XLOOKUP(F761,Mapping!A:A,Mapping!F:F)</f>
        <v>Phụ Cấp</v>
      </c>
      <c r="D761" s="173">
        <v>45777</v>
      </c>
      <c r="E761" s="169" t="s">
        <v>681</v>
      </c>
      <c r="F761" s="169" t="s">
        <v>375</v>
      </c>
      <c r="G761" s="169" t="s">
        <v>336</v>
      </c>
      <c r="H761" s="169" t="s">
        <v>402</v>
      </c>
      <c r="I761" s="169" t="s">
        <v>403</v>
      </c>
      <c r="J761" s="169" t="s">
        <v>416</v>
      </c>
      <c r="K761" s="169" t="s">
        <v>416</v>
      </c>
      <c r="L761" s="169" t="s">
        <v>631</v>
      </c>
      <c r="M761" s="169" t="s">
        <v>281</v>
      </c>
      <c r="N761" s="178">
        <v>-99650000</v>
      </c>
      <c r="O761" s="169" t="s">
        <v>682</v>
      </c>
      <c r="P761" s="169" t="s">
        <v>283</v>
      </c>
      <c r="Q761" s="169" t="s">
        <v>348</v>
      </c>
      <c r="R761" s="169" t="s">
        <v>283</v>
      </c>
      <c r="S761" s="169" t="s">
        <v>283</v>
      </c>
      <c r="T761" s="169">
        <v>0</v>
      </c>
    </row>
    <row r="762" spans="1:20" x14ac:dyDescent="0.2">
      <c r="A762" s="169">
        <v>622</v>
      </c>
      <c r="B762" s="167" t="str">
        <f>_xlfn.XLOOKUP(I762,Mapping!D:D,Mapping!E:E)</f>
        <v>Xưởng Sản Xuất</v>
      </c>
      <c r="C762" s="167" t="str">
        <f>_xlfn.XLOOKUP(F762,Mapping!A:A,Mapping!F:F)</f>
        <v>Lương Chính +T13</v>
      </c>
      <c r="D762" s="173">
        <v>45752</v>
      </c>
      <c r="E762" s="169" t="s">
        <v>675</v>
      </c>
      <c r="F762" s="169" t="s">
        <v>400</v>
      </c>
      <c r="G762" s="169" t="s">
        <v>401</v>
      </c>
      <c r="H762" s="169" t="s">
        <v>430</v>
      </c>
      <c r="I762" s="169" t="s">
        <v>431</v>
      </c>
      <c r="J762" s="169" t="s">
        <v>616</v>
      </c>
      <c r="K762" s="169" t="s">
        <v>405</v>
      </c>
      <c r="L762" s="169" t="s">
        <v>631</v>
      </c>
      <c r="M762" s="169" t="s">
        <v>281</v>
      </c>
      <c r="N762" s="178">
        <v>75663194</v>
      </c>
      <c r="O762" s="169" t="s">
        <v>676</v>
      </c>
      <c r="P762" s="169" t="s">
        <v>283</v>
      </c>
      <c r="Q762" s="169" t="s">
        <v>306</v>
      </c>
      <c r="R762" s="169" t="s">
        <v>283</v>
      </c>
      <c r="S762" s="169" t="s">
        <v>283</v>
      </c>
      <c r="T762" s="169">
        <v>0</v>
      </c>
    </row>
    <row r="763" spans="1:20" x14ac:dyDescent="0.2">
      <c r="A763" s="169">
        <v>622</v>
      </c>
      <c r="B763" s="167" t="str">
        <f>_xlfn.XLOOKUP(I763,Mapping!D:D,Mapping!E:E)</f>
        <v>Xưởng Sản Xuất</v>
      </c>
      <c r="C763" s="167" t="str">
        <f>_xlfn.XLOOKUP(F763,Mapping!A:A,Mapping!F:F)</f>
        <v>Lương Chính +T13</v>
      </c>
      <c r="D763" s="173">
        <v>45752</v>
      </c>
      <c r="E763" s="169" t="s">
        <v>675</v>
      </c>
      <c r="F763" s="169" t="s">
        <v>400</v>
      </c>
      <c r="G763" s="169" t="s">
        <v>401</v>
      </c>
      <c r="H763" s="169" t="s">
        <v>430</v>
      </c>
      <c r="I763" s="169" t="s">
        <v>431</v>
      </c>
      <c r="J763" s="169" t="s">
        <v>683</v>
      </c>
      <c r="K763" s="169" t="s">
        <v>405</v>
      </c>
      <c r="L763" s="169" t="s">
        <v>631</v>
      </c>
      <c r="M763" s="169" t="s">
        <v>281</v>
      </c>
      <c r="N763" s="178">
        <v>1000000</v>
      </c>
      <c r="O763" s="169" t="s">
        <v>676</v>
      </c>
      <c r="P763" s="169" t="s">
        <v>283</v>
      </c>
      <c r="Q763" s="169" t="s">
        <v>306</v>
      </c>
      <c r="R763" s="169" t="s">
        <v>283</v>
      </c>
      <c r="S763" s="169" t="s">
        <v>283</v>
      </c>
      <c r="T763" s="169">
        <v>0</v>
      </c>
    </row>
    <row r="764" spans="1:20" x14ac:dyDescent="0.2">
      <c r="A764" s="169">
        <v>622</v>
      </c>
      <c r="B764" s="167" t="str">
        <f>_xlfn.XLOOKUP(I764,Mapping!D:D,Mapping!E:E)</f>
        <v>Xưởng Sản Xuất</v>
      </c>
      <c r="C764" s="167" t="str">
        <f>_xlfn.XLOOKUP(F764,Mapping!A:A,Mapping!F:F)</f>
        <v>Lương Chính +T13</v>
      </c>
      <c r="D764" s="173">
        <v>45748</v>
      </c>
      <c r="E764" s="169" t="s">
        <v>677</v>
      </c>
      <c r="F764" s="169" t="s">
        <v>400</v>
      </c>
      <c r="G764" s="169" t="s">
        <v>401</v>
      </c>
      <c r="H764" s="169" t="s">
        <v>430</v>
      </c>
      <c r="I764" s="169" t="s">
        <v>431</v>
      </c>
      <c r="J764" s="169" t="s">
        <v>616</v>
      </c>
      <c r="K764" s="169" t="s">
        <v>405</v>
      </c>
      <c r="L764" s="169" t="s">
        <v>631</v>
      </c>
      <c r="M764" s="169" t="s">
        <v>281</v>
      </c>
      <c r="N764" s="178">
        <v>-72940972</v>
      </c>
      <c r="O764" s="169" t="s">
        <v>678</v>
      </c>
      <c r="P764" s="169" t="s">
        <v>447</v>
      </c>
      <c r="Q764" s="169" t="s">
        <v>633</v>
      </c>
      <c r="R764" s="169" t="s">
        <v>283</v>
      </c>
      <c r="S764" s="169" t="s">
        <v>283</v>
      </c>
      <c r="T764" s="169">
        <v>0</v>
      </c>
    </row>
    <row r="765" spans="1:20" x14ac:dyDescent="0.2">
      <c r="A765" s="169">
        <v>622</v>
      </c>
      <c r="B765" s="167" t="str">
        <f>_xlfn.XLOOKUP(I765,Mapping!D:D,Mapping!E:E)</f>
        <v>Xưởng Sản Xuất</v>
      </c>
      <c r="C765" s="167" t="str">
        <f>_xlfn.XLOOKUP(F765,Mapping!A:A,Mapping!F:F)</f>
        <v>Lương Chính +T13</v>
      </c>
      <c r="D765" s="173">
        <v>45748</v>
      </c>
      <c r="E765" s="169" t="s">
        <v>677</v>
      </c>
      <c r="F765" s="169" t="s">
        <v>400</v>
      </c>
      <c r="G765" s="169" t="s">
        <v>401</v>
      </c>
      <c r="H765" s="169" t="s">
        <v>430</v>
      </c>
      <c r="I765" s="169" t="s">
        <v>431</v>
      </c>
      <c r="J765" s="169" t="s">
        <v>617</v>
      </c>
      <c r="K765" s="169" t="s">
        <v>405</v>
      </c>
      <c r="L765" s="169" t="s">
        <v>631</v>
      </c>
      <c r="M765" s="169" t="s">
        <v>281</v>
      </c>
      <c r="N765" s="178">
        <v>-3000000</v>
      </c>
      <c r="O765" s="169" t="s">
        <v>678</v>
      </c>
      <c r="P765" s="169" t="s">
        <v>447</v>
      </c>
      <c r="Q765" s="169" t="s">
        <v>633</v>
      </c>
      <c r="R765" s="169" t="s">
        <v>283</v>
      </c>
      <c r="S765" s="169" t="s">
        <v>283</v>
      </c>
      <c r="T765" s="169">
        <v>0</v>
      </c>
    </row>
    <row r="766" spans="1:20" x14ac:dyDescent="0.2">
      <c r="A766" s="169">
        <v>627</v>
      </c>
      <c r="B766" s="167" t="str">
        <f>_xlfn.XLOOKUP(I766,Mapping!D:D,Mapping!E:E)</f>
        <v>Xưởng Sản Xuất</v>
      </c>
      <c r="C766" s="167" t="str">
        <f>_xlfn.XLOOKUP(F766,Mapping!A:A,Mapping!F:F)</f>
        <v>Phụ Cấp</v>
      </c>
      <c r="D766" s="173">
        <v>45775</v>
      </c>
      <c r="E766" s="169" t="s">
        <v>642</v>
      </c>
      <c r="F766" s="169" t="s">
        <v>375</v>
      </c>
      <c r="G766" s="169" t="s">
        <v>336</v>
      </c>
      <c r="H766" s="169" t="s">
        <v>430</v>
      </c>
      <c r="I766" s="169" t="s">
        <v>431</v>
      </c>
      <c r="J766" s="169" t="s">
        <v>643</v>
      </c>
      <c r="K766" s="169" t="s">
        <v>338</v>
      </c>
      <c r="L766" s="169" t="s">
        <v>631</v>
      </c>
      <c r="M766" s="169" t="s">
        <v>281</v>
      </c>
      <c r="N766" s="178">
        <v>26150000</v>
      </c>
      <c r="O766" s="169" t="s">
        <v>644</v>
      </c>
      <c r="P766" s="169" t="s">
        <v>283</v>
      </c>
      <c r="Q766" s="169" t="s">
        <v>306</v>
      </c>
      <c r="R766" s="169" t="s">
        <v>283</v>
      </c>
      <c r="S766" s="169" t="s">
        <v>283</v>
      </c>
      <c r="T766" s="169">
        <v>0</v>
      </c>
    </row>
    <row r="767" spans="1:20" x14ac:dyDescent="0.2">
      <c r="A767" s="169">
        <v>627</v>
      </c>
      <c r="B767" s="167" t="str">
        <f>_xlfn.XLOOKUP(I767,Mapping!D:D,Mapping!E:E)</f>
        <v>Xưởng Sản Xuất</v>
      </c>
      <c r="C767" s="167" t="str">
        <f>_xlfn.XLOOKUP(F767,Mapping!A:A,Mapping!F:F)</f>
        <v>BHXH, BHYT, KPCĐ</v>
      </c>
      <c r="D767" s="173">
        <v>45777</v>
      </c>
      <c r="E767" s="169" t="s">
        <v>639</v>
      </c>
      <c r="F767" s="169" t="s">
        <v>393</v>
      </c>
      <c r="G767" s="169" t="s">
        <v>296</v>
      </c>
      <c r="H767" s="169" t="s">
        <v>430</v>
      </c>
      <c r="I767" s="169" t="s">
        <v>431</v>
      </c>
      <c r="J767" s="169" t="s">
        <v>640</v>
      </c>
      <c r="K767" s="169" t="s">
        <v>640</v>
      </c>
      <c r="L767" s="169" t="s">
        <v>631</v>
      </c>
      <c r="M767" s="169" t="s">
        <v>281</v>
      </c>
      <c r="N767" s="178">
        <v>29696245</v>
      </c>
      <c r="O767" s="169" t="s">
        <v>641</v>
      </c>
      <c r="P767" s="169" t="s">
        <v>283</v>
      </c>
      <c r="Q767" s="169" t="s">
        <v>633</v>
      </c>
      <c r="R767" s="169" t="s">
        <v>283</v>
      </c>
      <c r="S767" s="169" t="s">
        <v>283</v>
      </c>
      <c r="T767" s="169">
        <v>0</v>
      </c>
    </row>
    <row r="768" spans="1:20" x14ac:dyDescent="0.2">
      <c r="A768" s="169">
        <v>622</v>
      </c>
      <c r="B768" s="167" t="str">
        <f>_xlfn.XLOOKUP(I768,Mapping!D:D,Mapping!E:E)</f>
        <v>Xưởng Sản Xuất</v>
      </c>
      <c r="C768" s="167" t="str">
        <f>_xlfn.XLOOKUP(F768,Mapping!A:A,Mapping!F:F)</f>
        <v>BHXH, BHYT, KPCĐ</v>
      </c>
      <c r="D768" s="173">
        <v>45777</v>
      </c>
      <c r="E768" s="169" t="s">
        <v>639</v>
      </c>
      <c r="F768" s="169" t="s">
        <v>425</v>
      </c>
      <c r="G768" s="169" t="s">
        <v>296</v>
      </c>
      <c r="H768" s="169" t="s">
        <v>430</v>
      </c>
      <c r="I768" s="169" t="s">
        <v>431</v>
      </c>
      <c r="J768" s="169" t="s">
        <v>640</v>
      </c>
      <c r="K768" s="169" t="s">
        <v>640</v>
      </c>
      <c r="L768" s="169" t="s">
        <v>631</v>
      </c>
      <c r="M768" s="169" t="s">
        <v>281</v>
      </c>
      <c r="N768" s="178">
        <v>38445295</v>
      </c>
      <c r="O768" s="169" t="s">
        <v>641</v>
      </c>
      <c r="P768" s="169" t="s">
        <v>283</v>
      </c>
      <c r="Q768" s="169" t="s">
        <v>633</v>
      </c>
      <c r="R768" s="169" t="s">
        <v>283</v>
      </c>
      <c r="S768" s="169" t="s">
        <v>283</v>
      </c>
      <c r="T768" s="169">
        <v>0</v>
      </c>
    </row>
    <row r="769" spans="1:20" x14ac:dyDescent="0.2">
      <c r="A769" s="169">
        <v>627</v>
      </c>
      <c r="B769" s="167" t="str">
        <f>_xlfn.XLOOKUP(I769,Mapping!D:D,Mapping!E:E)</f>
        <v>Xưởng Sản Xuất</v>
      </c>
      <c r="C769" s="167" t="str">
        <f>_xlfn.XLOOKUP(F769,Mapping!A:A,Mapping!F:F)</f>
        <v>Thưởng</v>
      </c>
      <c r="D769" s="173">
        <v>45777</v>
      </c>
      <c r="E769" s="169" t="s">
        <v>629</v>
      </c>
      <c r="F769" s="169" t="s">
        <v>391</v>
      </c>
      <c r="G769" s="169" t="s">
        <v>291</v>
      </c>
      <c r="H769" s="169" t="s">
        <v>430</v>
      </c>
      <c r="I769" s="169" t="s">
        <v>431</v>
      </c>
      <c r="J769" s="169" t="s">
        <v>283</v>
      </c>
      <c r="K769" s="169" t="s">
        <v>630</v>
      </c>
      <c r="L769" s="169" t="s">
        <v>631</v>
      </c>
      <c r="M769" s="169" t="s">
        <v>281</v>
      </c>
      <c r="N769" s="178">
        <v>2800000</v>
      </c>
      <c r="O769" s="169" t="s">
        <v>632</v>
      </c>
      <c r="P769" s="169" t="s">
        <v>283</v>
      </c>
      <c r="Q769" s="169" t="s">
        <v>633</v>
      </c>
      <c r="R769" s="169" t="s">
        <v>283</v>
      </c>
      <c r="S769" s="169" t="s">
        <v>283</v>
      </c>
      <c r="T769" s="169">
        <v>0</v>
      </c>
    </row>
    <row r="770" spans="1:20" x14ac:dyDescent="0.2">
      <c r="A770" s="169">
        <v>627</v>
      </c>
      <c r="B770" s="167" t="str">
        <f>_xlfn.XLOOKUP(I770,Mapping!D:D,Mapping!E:E)</f>
        <v>Xưởng Sản Xuất</v>
      </c>
      <c r="C770" s="167" t="str">
        <f>_xlfn.XLOOKUP(F770,Mapping!A:A,Mapping!F:F)</f>
        <v>Phụ Cấp</v>
      </c>
      <c r="D770" s="173">
        <v>45777</v>
      </c>
      <c r="E770" s="169" t="s">
        <v>629</v>
      </c>
      <c r="F770" s="169" t="s">
        <v>375</v>
      </c>
      <c r="G770" s="169" t="s">
        <v>336</v>
      </c>
      <c r="H770" s="169" t="s">
        <v>430</v>
      </c>
      <c r="I770" s="169" t="s">
        <v>431</v>
      </c>
      <c r="J770" s="169" t="s">
        <v>283</v>
      </c>
      <c r="K770" s="169" t="s">
        <v>630</v>
      </c>
      <c r="L770" s="169" t="s">
        <v>631</v>
      </c>
      <c r="M770" s="169" t="s">
        <v>281</v>
      </c>
      <c r="N770" s="178">
        <v>1870000</v>
      </c>
      <c r="O770" s="169" t="s">
        <v>632</v>
      </c>
      <c r="P770" s="169" t="s">
        <v>283</v>
      </c>
      <c r="Q770" s="169" t="s">
        <v>633</v>
      </c>
      <c r="R770" s="169" t="s">
        <v>283</v>
      </c>
      <c r="S770" s="169" t="s">
        <v>283</v>
      </c>
      <c r="T770" s="169">
        <v>0</v>
      </c>
    </row>
    <row r="771" spans="1:20" x14ac:dyDescent="0.2">
      <c r="A771" s="169">
        <v>622</v>
      </c>
      <c r="B771" s="167" t="str">
        <f>_xlfn.XLOOKUP(I771,Mapping!D:D,Mapping!E:E)</f>
        <v>Xưởng Sản Xuất</v>
      </c>
      <c r="C771" s="167" t="str">
        <f>_xlfn.XLOOKUP(F771,Mapping!A:A,Mapping!F:F)</f>
        <v>Lương Chính +T13</v>
      </c>
      <c r="D771" s="173">
        <v>45777</v>
      </c>
      <c r="E771" s="169" t="s">
        <v>629</v>
      </c>
      <c r="F771" s="169" t="s">
        <v>400</v>
      </c>
      <c r="G771" s="169" t="s">
        <v>401</v>
      </c>
      <c r="H771" s="169" t="s">
        <v>430</v>
      </c>
      <c r="I771" s="169" t="s">
        <v>431</v>
      </c>
      <c r="J771" s="169" t="s">
        <v>283</v>
      </c>
      <c r="K771" s="169" t="s">
        <v>630</v>
      </c>
      <c r="L771" s="169" t="s">
        <v>631</v>
      </c>
      <c r="M771" s="169" t="s">
        <v>281</v>
      </c>
      <c r="N771" s="178">
        <v>252144897</v>
      </c>
      <c r="O771" s="169" t="s">
        <v>632</v>
      </c>
      <c r="P771" s="169" t="s">
        <v>283</v>
      </c>
      <c r="Q771" s="169" t="s">
        <v>633</v>
      </c>
      <c r="R771" s="169" t="s">
        <v>283</v>
      </c>
      <c r="S771" s="169" t="s">
        <v>283</v>
      </c>
      <c r="T771" s="169">
        <v>0</v>
      </c>
    </row>
    <row r="772" spans="1:20" x14ac:dyDescent="0.2">
      <c r="A772" s="169">
        <v>622</v>
      </c>
      <c r="B772" s="167" t="str">
        <f>_xlfn.XLOOKUP(I772,Mapping!D:D,Mapping!E:E)</f>
        <v>Xưởng Sản Xuất</v>
      </c>
      <c r="C772" s="167" t="str">
        <f>_xlfn.XLOOKUP(F772,Mapping!A:A,Mapping!F:F)</f>
        <v>Lương Chính +T13</v>
      </c>
      <c r="D772" s="173">
        <v>45777</v>
      </c>
      <c r="E772" s="169" t="s">
        <v>629</v>
      </c>
      <c r="F772" s="169" t="s">
        <v>420</v>
      </c>
      <c r="G772" s="169" t="s">
        <v>286</v>
      </c>
      <c r="H772" s="169" t="s">
        <v>430</v>
      </c>
      <c r="I772" s="169" t="s">
        <v>431</v>
      </c>
      <c r="J772" s="169" t="s">
        <v>283</v>
      </c>
      <c r="K772" s="169" t="s">
        <v>630</v>
      </c>
      <c r="L772" s="169" t="s">
        <v>631</v>
      </c>
      <c r="M772" s="169" t="s">
        <v>281</v>
      </c>
      <c r="N772" s="178">
        <v>2649809</v>
      </c>
      <c r="O772" s="169" t="s">
        <v>632</v>
      </c>
      <c r="P772" s="169" t="s">
        <v>283</v>
      </c>
      <c r="Q772" s="169" t="s">
        <v>633</v>
      </c>
      <c r="R772" s="169" t="s">
        <v>283</v>
      </c>
      <c r="S772" s="169" t="s">
        <v>283</v>
      </c>
      <c r="T772" s="169">
        <v>0</v>
      </c>
    </row>
    <row r="773" spans="1:20" x14ac:dyDescent="0.2">
      <c r="A773" s="169">
        <v>622</v>
      </c>
      <c r="B773" s="167" t="str">
        <f>_xlfn.XLOOKUP(I773,Mapping!D:D,Mapping!E:E)</f>
        <v>Xưởng Sản Xuất</v>
      </c>
      <c r="C773" s="167" t="str">
        <f>_xlfn.XLOOKUP(F773,Mapping!A:A,Mapping!F:F)</f>
        <v>Phụ Cấp</v>
      </c>
      <c r="D773" s="173">
        <v>45777</v>
      </c>
      <c r="E773" s="169" t="s">
        <v>629</v>
      </c>
      <c r="F773" s="169" t="s">
        <v>421</v>
      </c>
      <c r="G773" s="169" t="s">
        <v>341</v>
      </c>
      <c r="H773" s="169" t="s">
        <v>430</v>
      </c>
      <c r="I773" s="169" t="s">
        <v>431</v>
      </c>
      <c r="J773" s="169" t="s">
        <v>283</v>
      </c>
      <c r="K773" s="169" t="s">
        <v>630</v>
      </c>
      <c r="L773" s="169" t="s">
        <v>631</v>
      </c>
      <c r="M773" s="169" t="s">
        <v>281</v>
      </c>
      <c r="N773" s="178">
        <v>21945668</v>
      </c>
      <c r="O773" s="169" t="s">
        <v>632</v>
      </c>
      <c r="P773" s="169" t="s">
        <v>283</v>
      </c>
      <c r="Q773" s="169" t="s">
        <v>633</v>
      </c>
      <c r="R773" s="169" t="s">
        <v>283</v>
      </c>
      <c r="S773" s="169" t="s">
        <v>283</v>
      </c>
      <c r="T773" s="169">
        <v>0</v>
      </c>
    </row>
    <row r="774" spans="1:20" x14ac:dyDescent="0.2">
      <c r="A774" s="169">
        <v>622</v>
      </c>
      <c r="B774" s="167" t="str">
        <f>_xlfn.XLOOKUP(I774,Mapping!D:D,Mapping!E:E)</f>
        <v>Xưởng Sản Xuất</v>
      </c>
      <c r="C774" s="167" t="str">
        <f>_xlfn.XLOOKUP(F774,Mapping!A:A,Mapping!F:F)</f>
        <v>Lương Ngoài giờ</v>
      </c>
      <c r="D774" s="173">
        <v>45777</v>
      </c>
      <c r="E774" s="169" t="s">
        <v>629</v>
      </c>
      <c r="F774" s="169" t="s">
        <v>422</v>
      </c>
      <c r="G774" s="169" t="s">
        <v>423</v>
      </c>
      <c r="H774" s="169" t="s">
        <v>430</v>
      </c>
      <c r="I774" s="169" t="s">
        <v>431</v>
      </c>
      <c r="J774" s="169" t="s">
        <v>283</v>
      </c>
      <c r="K774" s="169" t="s">
        <v>630</v>
      </c>
      <c r="L774" s="169" t="s">
        <v>631</v>
      </c>
      <c r="M774" s="169" t="s">
        <v>281</v>
      </c>
      <c r="N774" s="178">
        <v>51514767</v>
      </c>
      <c r="O774" s="169" t="s">
        <v>632</v>
      </c>
      <c r="P774" s="169" t="s">
        <v>283</v>
      </c>
      <c r="Q774" s="169" t="s">
        <v>633</v>
      </c>
      <c r="R774" s="169" t="s">
        <v>283</v>
      </c>
      <c r="S774" s="169" t="s">
        <v>283</v>
      </c>
      <c r="T774" s="169">
        <v>0</v>
      </c>
    </row>
    <row r="775" spans="1:20" x14ac:dyDescent="0.2">
      <c r="A775" s="169">
        <v>622</v>
      </c>
      <c r="B775" s="167" t="str">
        <f>_xlfn.XLOOKUP(I775,Mapping!D:D,Mapping!E:E)</f>
        <v>Xưởng Sản Xuất</v>
      </c>
      <c r="C775" s="167" t="str">
        <f>_xlfn.XLOOKUP(F775,Mapping!A:A,Mapping!F:F)</f>
        <v>Thưởng</v>
      </c>
      <c r="D775" s="173">
        <v>45777</v>
      </c>
      <c r="E775" s="169" t="s">
        <v>629</v>
      </c>
      <c r="F775" s="169" t="s">
        <v>424</v>
      </c>
      <c r="G775" s="169" t="s">
        <v>291</v>
      </c>
      <c r="H775" s="169" t="s">
        <v>430</v>
      </c>
      <c r="I775" s="169" t="s">
        <v>431</v>
      </c>
      <c r="J775" s="169" t="s">
        <v>283</v>
      </c>
      <c r="K775" s="169" t="s">
        <v>630</v>
      </c>
      <c r="L775" s="169" t="s">
        <v>631</v>
      </c>
      <c r="M775" s="169" t="s">
        <v>281</v>
      </c>
      <c r="N775" s="178">
        <v>6200000</v>
      </c>
      <c r="O775" s="169" t="s">
        <v>632</v>
      </c>
      <c r="P775" s="169" t="s">
        <v>283</v>
      </c>
      <c r="Q775" s="169" t="s">
        <v>633</v>
      </c>
      <c r="R775" s="169" t="s">
        <v>283</v>
      </c>
      <c r="S775" s="169" t="s">
        <v>283</v>
      </c>
      <c r="T775" s="169">
        <v>0</v>
      </c>
    </row>
    <row r="776" spans="1:20" x14ac:dyDescent="0.2">
      <c r="A776" s="169">
        <v>622</v>
      </c>
      <c r="B776" s="167" t="str">
        <f>_xlfn.XLOOKUP(I776,Mapping!D:D,Mapping!E:E)</f>
        <v>Xưởng Sản Xuất</v>
      </c>
      <c r="C776" s="167" t="str">
        <f>_xlfn.XLOOKUP(F776,Mapping!A:A,Mapping!F:F)</f>
        <v>Phụ Cấp</v>
      </c>
      <c r="D776" s="173">
        <v>45777</v>
      </c>
      <c r="E776" s="169" t="s">
        <v>629</v>
      </c>
      <c r="F776" s="169" t="s">
        <v>414</v>
      </c>
      <c r="G776" s="169" t="s">
        <v>415</v>
      </c>
      <c r="H776" s="169" t="s">
        <v>430</v>
      </c>
      <c r="I776" s="169" t="s">
        <v>431</v>
      </c>
      <c r="J776" s="169" t="s">
        <v>283</v>
      </c>
      <c r="K776" s="169" t="s">
        <v>630</v>
      </c>
      <c r="L776" s="169" t="s">
        <v>631</v>
      </c>
      <c r="M776" s="169" t="s">
        <v>281</v>
      </c>
      <c r="N776" s="178">
        <v>5780000</v>
      </c>
      <c r="O776" s="169" t="s">
        <v>632</v>
      </c>
      <c r="P776" s="169" t="s">
        <v>283</v>
      </c>
      <c r="Q776" s="169" t="s">
        <v>633</v>
      </c>
      <c r="R776" s="169" t="s">
        <v>283</v>
      </c>
      <c r="S776" s="169" t="s">
        <v>283</v>
      </c>
      <c r="T776" s="169">
        <v>0</v>
      </c>
    </row>
    <row r="777" spans="1:20" x14ac:dyDescent="0.2">
      <c r="A777" s="169">
        <v>627</v>
      </c>
      <c r="B777" s="167" t="str">
        <f>_xlfn.XLOOKUP(I777,Mapping!D:D,Mapping!E:E)</f>
        <v>Xưởng Sản Xuất</v>
      </c>
      <c r="C777" s="167" t="str">
        <f>_xlfn.XLOOKUP(F777,Mapping!A:A,Mapping!F:F)</f>
        <v>Phụ Cấp</v>
      </c>
      <c r="D777" s="173">
        <v>45777</v>
      </c>
      <c r="E777" s="169" t="s">
        <v>629</v>
      </c>
      <c r="F777" s="169" t="s">
        <v>386</v>
      </c>
      <c r="G777" s="169" t="s">
        <v>341</v>
      </c>
      <c r="H777" s="169" t="s">
        <v>430</v>
      </c>
      <c r="I777" s="169" t="s">
        <v>431</v>
      </c>
      <c r="J777" s="169" t="s">
        <v>283</v>
      </c>
      <c r="K777" s="169" t="s">
        <v>630</v>
      </c>
      <c r="L777" s="169" t="s">
        <v>631</v>
      </c>
      <c r="M777" s="169" t="s">
        <v>281</v>
      </c>
      <c r="N777" s="178">
        <v>10531460</v>
      </c>
      <c r="O777" s="169" t="s">
        <v>632</v>
      </c>
      <c r="P777" s="169" t="s">
        <v>283</v>
      </c>
      <c r="Q777" s="169" t="s">
        <v>633</v>
      </c>
      <c r="R777" s="169" t="s">
        <v>283</v>
      </c>
      <c r="S777" s="169" t="s">
        <v>283</v>
      </c>
      <c r="T777" s="169">
        <v>0</v>
      </c>
    </row>
    <row r="778" spans="1:20" x14ac:dyDescent="0.2">
      <c r="A778" s="169">
        <v>627</v>
      </c>
      <c r="B778" s="167" t="str">
        <f>_xlfn.XLOOKUP(I778,Mapping!D:D,Mapping!E:E)</f>
        <v>Xưởng Sản Xuất</v>
      </c>
      <c r="C778" s="167" t="str">
        <f>_xlfn.XLOOKUP(F778,Mapping!A:A,Mapping!F:F)</f>
        <v>Lương Chính +T13</v>
      </c>
      <c r="D778" s="173">
        <v>45777</v>
      </c>
      <c r="E778" s="169" t="s">
        <v>629</v>
      </c>
      <c r="F778" s="169" t="s">
        <v>387</v>
      </c>
      <c r="G778" s="169" t="s">
        <v>275</v>
      </c>
      <c r="H778" s="169" t="s">
        <v>430</v>
      </c>
      <c r="I778" s="169" t="s">
        <v>431</v>
      </c>
      <c r="J778" s="169" t="s">
        <v>283</v>
      </c>
      <c r="K778" s="169" t="s">
        <v>630</v>
      </c>
      <c r="L778" s="169" t="s">
        <v>631</v>
      </c>
      <c r="M778" s="169" t="s">
        <v>281</v>
      </c>
      <c r="N778" s="178">
        <v>180121046</v>
      </c>
      <c r="O778" s="169" t="s">
        <v>632</v>
      </c>
      <c r="P778" s="169" t="s">
        <v>283</v>
      </c>
      <c r="Q778" s="169" t="s">
        <v>633</v>
      </c>
      <c r="R778" s="169" t="s">
        <v>283</v>
      </c>
      <c r="S778" s="169" t="s">
        <v>283</v>
      </c>
      <c r="T778" s="169">
        <v>0</v>
      </c>
    </row>
    <row r="779" spans="1:20" x14ac:dyDescent="0.2">
      <c r="A779" s="169">
        <v>627</v>
      </c>
      <c r="B779" s="167" t="str">
        <f>_xlfn.XLOOKUP(I779,Mapping!D:D,Mapping!E:E)</f>
        <v>Xưởng Sản Xuất</v>
      </c>
      <c r="C779" s="167" t="str">
        <f>_xlfn.XLOOKUP(F779,Mapping!A:A,Mapping!F:F)</f>
        <v>Lương Chính +T13</v>
      </c>
      <c r="D779" s="173">
        <v>45777</v>
      </c>
      <c r="E779" s="169" t="s">
        <v>629</v>
      </c>
      <c r="F779" s="169" t="s">
        <v>388</v>
      </c>
      <c r="G779" s="169" t="s">
        <v>286</v>
      </c>
      <c r="H779" s="169" t="s">
        <v>430</v>
      </c>
      <c r="I779" s="169" t="s">
        <v>431</v>
      </c>
      <c r="J779" s="169" t="s">
        <v>283</v>
      </c>
      <c r="K779" s="169" t="s">
        <v>630</v>
      </c>
      <c r="L779" s="169" t="s">
        <v>631</v>
      </c>
      <c r="M779" s="169" t="s">
        <v>281</v>
      </c>
      <c r="N779" s="178">
        <v>4321693</v>
      </c>
      <c r="O779" s="169" t="s">
        <v>632</v>
      </c>
      <c r="P779" s="169" t="s">
        <v>283</v>
      </c>
      <c r="Q779" s="169" t="s">
        <v>633</v>
      </c>
      <c r="R779" s="169" t="s">
        <v>283</v>
      </c>
      <c r="S779" s="169" t="s">
        <v>283</v>
      </c>
      <c r="T779" s="169">
        <v>0</v>
      </c>
    </row>
    <row r="780" spans="1:20" x14ac:dyDescent="0.2">
      <c r="A780" s="169">
        <v>627</v>
      </c>
      <c r="B780" s="167" t="str">
        <f>_xlfn.XLOOKUP(I780,Mapping!D:D,Mapping!E:E)</f>
        <v>Xưởng Sản Xuất</v>
      </c>
      <c r="C780" s="167" t="str">
        <f>_xlfn.XLOOKUP(F780,Mapping!A:A,Mapping!F:F)</f>
        <v>Lương Ngoài giờ</v>
      </c>
      <c r="D780" s="173">
        <v>45777</v>
      </c>
      <c r="E780" s="169" t="s">
        <v>629</v>
      </c>
      <c r="F780" s="169" t="s">
        <v>389</v>
      </c>
      <c r="G780" s="169" t="s">
        <v>390</v>
      </c>
      <c r="H780" s="169" t="s">
        <v>430</v>
      </c>
      <c r="I780" s="169" t="s">
        <v>431</v>
      </c>
      <c r="J780" s="169" t="s">
        <v>283</v>
      </c>
      <c r="K780" s="169" t="s">
        <v>630</v>
      </c>
      <c r="L780" s="169" t="s">
        <v>631</v>
      </c>
      <c r="M780" s="169" t="s">
        <v>281</v>
      </c>
      <c r="N780" s="178">
        <v>23604421</v>
      </c>
      <c r="O780" s="169" t="s">
        <v>632</v>
      </c>
      <c r="P780" s="169" t="s">
        <v>283</v>
      </c>
      <c r="Q780" s="169" t="s">
        <v>633</v>
      </c>
      <c r="R780" s="169" t="s">
        <v>283</v>
      </c>
      <c r="S780" s="169" t="s">
        <v>283</v>
      </c>
      <c r="T780" s="169">
        <v>0</v>
      </c>
    </row>
    <row r="781" spans="1:20" x14ac:dyDescent="0.2">
      <c r="A781" s="169">
        <v>627</v>
      </c>
      <c r="B781" s="167" t="str">
        <f>_xlfn.XLOOKUP(I781,Mapping!D:D,Mapping!E:E)</f>
        <v>Xưởng Sản Xuất</v>
      </c>
      <c r="C781" s="167" t="str">
        <f>_xlfn.XLOOKUP(F781,Mapping!A:A,Mapping!F:F)</f>
        <v>Lương Chính +T13</v>
      </c>
      <c r="D781" s="173">
        <v>45777</v>
      </c>
      <c r="E781" s="169" t="s">
        <v>634</v>
      </c>
      <c r="F781" s="169" t="s">
        <v>388</v>
      </c>
      <c r="G781" s="169" t="s">
        <v>286</v>
      </c>
      <c r="H781" s="169" t="s">
        <v>430</v>
      </c>
      <c r="I781" s="169" t="s">
        <v>431</v>
      </c>
      <c r="J781" s="169" t="s">
        <v>635</v>
      </c>
      <c r="K781" s="169" t="s">
        <v>636</v>
      </c>
      <c r="L781" s="169" t="s">
        <v>631</v>
      </c>
      <c r="M781" s="169" t="s">
        <v>281</v>
      </c>
      <c r="N781" s="178">
        <v>13365447</v>
      </c>
      <c r="O781" s="169" t="s">
        <v>637</v>
      </c>
      <c r="P781" s="169" t="s">
        <v>283</v>
      </c>
      <c r="Q781" s="169" t="s">
        <v>633</v>
      </c>
      <c r="R781" s="169" t="s">
        <v>283</v>
      </c>
      <c r="S781" s="169" t="s">
        <v>283</v>
      </c>
      <c r="T781" s="169">
        <v>0</v>
      </c>
    </row>
    <row r="782" spans="1:20" x14ac:dyDescent="0.2">
      <c r="A782" s="169">
        <v>622</v>
      </c>
      <c r="B782" s="167" t="str">
        <f>_xlfn.XLOOKUP(I782,Mapping!D:D,Mapping!E:E)</f>
        <v>Xưởng Sản Xuất</v>
      </c>
      <c r="C782" s="167" t="str">
        <f>_xlfn.XLOOKUP(F782,Mapping!A:A,Mapping!F:F)</f>
        <v>Lương Chính +T13</v>
      </c>
      <c r="D782" s="173">
        <v>45777</v>
      </c>
      <c r="E782" s="169" t="s">
        <v>634</v>
      </c>
      <c r="F782" s="169" t="s">
        <v>420</v>
      </c>
      <c r="G782" s="169" t="s">
        <v>286</v>
      </c>
      <c r="H782" s="169" t="s">
        <v>430</v>
      </c>
      <c r="I782" s="169" t="s">
        <v>431</v>
      </c>
      <c r="J782" s="169" t="s">
        <v>635</v>
      </c>
      <c r="K782" s="169" t="s">
        <v>636</v>
      </c>
      <c r="L782" s="169" t="s">
        <v>631</v>
      </c>
      <c r="M782" s="169" t="s">
        <v>281</v>
      </c>
      <c r="N782" s="178">
        <v>17842925</v>
      </c>
      <c r="O782" s="169" t="s">
        <v>637</v>
      </c>
      <c r="P782" s="169" t="s">
        <v>283</v>
      </c>
      <c r="Q782" s="169" t="s">
        <v>633</v>
      </c>
      <c r="R782" s="169" t="s">
        <v>283</v>
      </c>
      <c r="S782" s="169" t="s">
        <v>283</v>
      </c>
      <c r="T782" s="169">
        <v>0</v>
      </c>
    </row>
    <row r="783" spans="1:20" x14ac:dyDescent="0.2">
      <c r="A783" s="169">
        <v>627</v>
      </c>
      <c r="B783" s="167" t="str">
        <f>_xlfn.XLOOKUP(I783,Mapping!D:D,Mapping!E:E)</f>
        <v>Xưởng Sản Xuất</v>
      </c>
      <c r="C783" s="167" t="str">
        <f>_xlfn.XLOOKUP(F783,Mapping!A:A,Mapping!F:F)</f>
        <v>Thưởng</v>
      </c>
      <c r="D783" s="173">
        <v>45777</v>
      </c>
      <c r="E783" s="169" t="s">
        <v>634</v>
      </c>
      <c r="F783" s="169" t="s">
        <v>395</v>
      </c>
      <c r="G783" s="169" t="s">
        <v>77</v>
      </c>
      <c r="H783" s="169" t="s">
        <v>430</v>
      </c>
      <c r="I783" s="169" t="s">
        <v>431</v>
      </c>
      <c r="J783" s="169" t="s">
        <v>638</v>
      </c>
      <c r="K783" s="169" t="s">
        <v>636</v>
      </c>
      <c r="L783" s="169" t="s">
        <v>631</v>
      </c>
      <c r="M783" s="169" t="s">
        <v>281</v>
      </c>
      <c r="N783" s="178">
        <v>11868817</v>
      </c>
      <c r="O783" s="169" t="s">
        <v>637</v>
      </c>
      <c r="P783" s="169" t="s">
        <v>283</v>
      </c>
      <c r="Q783" s="169" t="s">
        <v>633</v>
      </c>
      <c r="R783" s="169" t="s">
        <v>283</v>
      </c>
      <c r="S783" s="169" t="s">
        <v>283</v>
      </c>
      <c r="T783" s="169">
        <v>0</v>
      </c>
    </row>
    <row r="784" spans="1:20" x14ac:dyDescent="0.2">
      <c r="A784" s="169">
        <v>622</v>
      </c>
      <c r="B784" s="167" t="str">
        <f>_xlfn.XLOOKUP(I784,Mapping!D:D,Mapping!E:E)</f>
        <v>Xưởng Sản Xuất</v>
      </c>
      <c r="C784" s="167" t="str">
        <f>_xlfn.XLOOKUP(F784,Mapping!A:A,Mapping!F:F)</f>
        <v>Thưởng</v>
      </c>
      <c r="D784" s="173">
        <v>45777</v>
      </c>
      <c r="E784" s="169" t="s">
        <v>634</v>
      </c>
      <c r="F784" s="169" t="s">
        <v>426</v>
      </c>
      <c r="G784" s="169" t="s">
        <v>77</v>
      </c>
      <c r="H784" s="169" t="s">
        <v>430</v>
      </c>
      <c r="I784" s="169" t="s">
        <v>431</v>
      </c>
      <c r="J784" s="169" t="s">
        <v>638</v>
      </c>
      <c r="K784" s="169" t="s">
        <v>636</v>
      </c>
      <c r="L784" s="169" t="s">
        <v>631</v>
      </c>
      <c r="M784" s="169" t="s">
        <v>281</v>
      </c>
      <c r="N784" s="178">
        <v>4997025</v>
      </c>
      <c r="O784" s="169" t="s">
        <v>637</v>
      </c>
      <c r="P784" s="169" t="s">
        <v>283</v>
      </c>
      <c r="Q784" s="169" t="s">
        <v>633</v>
      </c>
      <c r="R784" s="169" t="s">
        <v>283</v>
      </c>
      <c r="S784" s="169" t="s">
        <v>283</v>
      </c>
      <c r="T784" s="169">
        <v>0</v>
      </c>
    </row>
    <row r="785" spans="1:20" x14ac:dyDescent="0.2">
      <c r="A785" s="169">
        <v>622</v>
      </c>
      <c r="B785" s="167" t="str">
        <f>_xlfn.XLOOKUP(I785,Mapping!D:D,Mapping!E:E)</f>
        <v>Xưởng Sản Xuất</v>
      </c>
      <c r="C785" s="167" t="str">
        <f>_xlfn.XLOOKUP(F785,Mapping!A:A,Mapping!F:F)</f>
        <v>BHXH, BHYT, KPCĐ</v>
      </c>
      <c r="D785" s="173">
        <v>45777</v>
      </c>
      <c r="E785" s="169" t="s">
        <v>679</v>
      </c>
      <c r="F785" s="169" t="s">
        <v>425</v>
      </c>
      <c r="G785" s="169" t="s">
        <v>296</v>
      </c>
      <c r="H785" s="169" t="s">
        <v>430</v>
      </c>
      <c r="I785" s="169" t="s">
        <v>431</v>
      </c>
      <c r="J785" s="169" t="s">
        <v>640</v>
      </c>
      <c r="K785" s="169" t="s">
        <v>640</v>
      </c>
      <c r="L785" s="169" t="s">
        <v>631</v>
      </c>
      <c r="M785" s="169" t="s">
        <v>281</v>
      </c>
      <c r="N785" s="178">
        <v>1809608</v>
      </c>
      <c r="O785" s="169" t="s">
        <v>680</v>
      </c>
      <c r="P785" s="169" t="s">
        <v>283</v>
      </c>
      <c r="Q785" s="169" t="s">
        <v>633</v>
      </c>
      <c r="R785" s="169" t="s">
        <v>283</v>
      </c>
      <c r="S785" s="169" t="s">
        <v>283</v>
      </c>
      <c r="T785" s="169">
        <v>0</v>
      </c>
    </row>
    <row r="786" spans="1:20" x14ac:dyDescent="0.2">
      <c r="A786" s="169">
        <v>622</v>
      </c>
      <c r="B786" s="167" t="str">
        <f>_xlfn.XLOOKUP(I786,Mapping!D:D,Mapping!E:E)</f>
        <v>Xưởng Sản Xuất</v>
      </c>
      <c r="C786" s="167" t="str">
        <f>_xlfn.XLOOKUP(F786,Mapping!A:A,Mapping!F:F)</f>
        <v>Phụ Cấp</v>
      </c>
      <c r="D786" s="173">
        <v>45777</v>
      </c>
      <c r="E786" s="169" t="s">
        <v>681</v>
      </c>
      <c r="F786" s="169" t="s">
        <v>414</v>
      </c>
      <c r="G786" s="169" t="s">
        <v>415</v>
      </c>
      <c r="H786" s="169" t="s">
        <v>430</v>
      </c>
      <c r="I786" s="169" t="s">
        <v>431</v>
      </c>
      <c r="J786" s="169" t="s">
        <v>416</v>
      </c>
      <c r="K786" s="169" t="s">
        <v>416</v>
      </c>
      <c r="L786" s="169" t="s">
        <v>631</v>
      </c>
      <c r="M786" s="169" t="s">
        <v>281</v>
      </c>
      <c r="N786" s="178">
        <v>19300000</v>
      </c>
      <c r="O786" s="169" t="s">
        <v>682</v>
      </c>
      <c r="P786" s="169" t="s">
        <v>283</v>
      </c>
      <c r="Q786" s="169" t="s">
        <v>348</v>
      </c>
      <c r="R786" s="169" t="s">
        <v>283</v>
      </c>
      <c r="S786" s="169" t="s">
        <v>283</v>
      </c>
      <c r="T786" s="169">
        <v>0</v>
      </c>
    </row>
    <row r="787" spans="1:20" x14ac:dyDescent="0.2">
      <c r="A787" s="169">
        <v>627</v>
      </c>
      <c r="B787" s="167" t="str">
        <f>_xlfn.XLOOKUP(I787,Mapping!D:D,Mapping!E:E)</f>
        <v>Xưởng Sản Xuất</v>
      </c>
      <c r="C787" s="167" t="str">
        <f>_xlfn.XLOOKUP(F787,Mapping!A:A,Mapping!F:F)</f>
        <v>Phụ Cấp</v>
      </c>
      <c r="D787" s="173">
        <v>45777</v>
      </c>
      <c r="E787" s="169" t="s">
        <v>681</v>
      </c>
      <c r="F787" s="169" t="s">
        <v>375</v>
      </c>
      <c r="G787" s="169" t="s">
        <v>336</v>
      </c>
      <c r="H787" s="169" t="s">
        <v>430</v>
      </c>
      <c r="I787" s="169" t="s">
        <v>431</v>
      </c>
      <c r="J787" s="169" t="s">
        <v>416</v>
      </c>
      <c r="K787" s="169" t="s">
        <v>416</v>
      </c>
      <c r="L787" s="169" t="s">
        <v>631</v>
      </c>
      <c r="M787" s="169" t="s">
        <v>281</v>
      </c>
      <c r="N787" s="178">
        <v>-19300000</v>
      </c>
      <c r="O787" s="169" t="s">
        <v>682</v>
      </c>
      <c r="P787" s="169" t="s">
        <v>283</v>
      </c>
      <c r="Q787" s="169" t="s">
        <v>348</v>
      </c>
      <c r="R787" s="169" t="s">
        <v>283</v>
      </c>
      <c r="S787" s="169" t="s">
        <v>283</v>
      </c>
      <c r="T787" s="169">
        <v>0</v>
      </c>
    </row>
    <row r="788" spans="1:20" x14ac:dyDescent="0.2">
      <c r="A788" s="169">
        <v>627</v>
      </c>
      <c r="B788" s="167" t="str">
        <f>_xlfn.XLOOKUP(I788,Mapping!D:D,Mapping!E:E)</f>
        <v>Xưởng Sản Xuất</v>
      </c>
      <c r="C788" s="167" t="str">
        <f>_xlfn.XLOOKUP(F788,Mapping!A:A,Mapping!F:F)</f>
        <v>Phụ Cấp</v>
      </c>
      <c r="D788" s="173">
        <v>45777</v>
      </c>
      <c r="E788" s="169" t="s">
        <v>681</v>
      </c>
      <c r="F788" s="169" t="s">
        <v>375</v>
      </c>
      <c r="G788" s="169" t="s">
        <v>336</v>
      </c>
      <c r="H788" s="169" t="s">
        <v>430</v>
      </c>
      <c r="I788" s="169" t="s">
        <v>431</v>
      </c>
      <c r="J788" s="169" t="s">
        <v>416</v>
      </c>
      <c r="K788" s="169" t="s">
        <v>416</v>
      </c>
      <c r="L788" s="169" t="s">
        <v>631</v>
      </c>
      <c r="M788" s="169" t="s">
        <v>281</v>
      </c>
      <c r="N788" s="178">
        <v>-475000</v>
      </c>
      <c r="O788" s="169" t="s">
        <v>682</v>
      </c>
      <c r="P788" s="169" t="s">
        <v>283</v>
      </c>
      <c r="Q788" s="169" t="s">
        <v>348</v>
      </c>
      <c r="R788" s="169" t="s">
        <v>283</v>
      </c>
      <c r="S788" s="169" t="s">
        <v>283</v>
      </c>
      <c r="T788" s="169">
        <v>0</v>
      </c>
    </row>
    <row r="789" spans="1:20" x14ac:dyDescent="0.2">
      <c r="A789" s="169">
        <v>627</v>
      </c>
      <c r="B789" s="167" t="str">
        <f>_xlfn.XLOOKUP(I789,Mapping!D:D,Mapping!E:E)</f>
        <v>Xưởng Sản Xuất</v>
      </c>
      <c r="C789" s="167" t="str">
        <f>_xlfn.XLOOKUP(F789,Mapping!A:A,Mapping!F:F)</f>
        <v>Khen thưởng BD khác</v>
      </c>
      <c r="D789" s="173">
        <v>45750</v>
      </c>
      <c r="E789" s="169" t="s">
        <v>684</v>
      </c>
      <c r="F789" s="169" t="s">
        <v>435</v>
      </c>
      <c r="G789" s="169" t="s">
        <v>222</v>
      </c>
      <c r="H789" s="169" t="s">
        <v>436</v>
      </c>
      <c r="I789" s="169" t="s">
        <v>437</v>
      </c>
      <c r="J789" s="169" t="s">
        <v>685</v>
      </c>
      <c r="K789" s="169" t="s">
        <v>686</v>
      </c>
      <c r="L789" s="169" t="s">
        <v>631</v>
      </c>
      <c r="M789" s="169" t="s">
        <v>281</v>
      </c>
      <c r="N789" s="178">
        <v>12500000</v>
      </c>
      <c r="O789" s="169" t="s">
        <v>687</v>
      </c>
      <c r="P789" s="169" t="s">
        <v>283</v>
      </c>
      <c r="Q789" s="169" t="s">
        <v>325</v>
      </c>
      <c r="R789" s="169" t="s">
        <v>283</v>
      </c>
      <c r="S789" s="169" t="s">
        <v>283</v>
      </c>
      <c r="T789" s="169">
        <v>0</v>
      </c>
    </row>
    <row r="790" spans="1:20" x14ac:dyDescent="0.2">
      <c r="A790" s="169">
        <v>627</v>
      </c>
      <c r="B790" s="167" t="str">
        <f>_xlfn.XLOOKUP(I790,Mapping!D:D,Mapping!E:E)</f>
        <v>Xưởng Sản Xuất</v>
      </c>
      <c r="C790" s="167" t="str">
        <f>_xlfn.XLOOKUP(F790,Mapping!A:A,Mapping!F:F)</f>
        <v>Phụ Cấp</v>
      </c>
      <c r="D790" s="173">
        <v>45775</v>
      </c>
      <c r="E790" s="169" t="s">
        <v>642</v>
      </c>
      <c r="F790" s="169" t="s">
        <v>375</v>
      </c>
      <c r="G790" s="169" t="s">
        <v>336</v>
      </c>
      <c r="H790" s="169" t="s">
        <v>441</v>
      </c>
      <c r="I790" s="169" t="s">
        <v>442</v>
      </c>
      <c r="J790" s="169" t="s">
        <v>643</v>
      </c>
      <c r="K790" s="169" t="s">
        <v>338</v>
      </c>
      <c r="L790" s="169" t="s">
        <v>631</v>
      </c>
      <c r="M790" s="169" t="s">
        <v>281</v>
      </c>
      <c r="N790" s="178">
        <v>500000</v>
      </c>
      <c r="O790" s="169" t="s">
        <v>644</v>
      </c>
      <c r="P790" s="169" t="s">
        <v>283</v>
      </c>
      <c r="Q790" s="169" t="s">
        <v>306</v>
      </c>
      <c r="R790" s="169" t="s">
        <v>283</v>
      </c>
      <c r="S790" s="169" t="s">
        <v>283</v>
      </c>
      <c r="T790" s="169">
        <v>0</v>
      </c>
    </row>
    <row r="791" spans="1:20" x14ac:dyDescent="0.2">
      <c r="A791" s="169">
        <v>627</v>
      </c>
      <c r="B791" s="167" t="str">
        <f>_xlfn.XLOOKUP(I791,Mapping!D:D,Mapping!E:E)</f>
        <v>Xưởng Sản Xuất</v>
      </c>
      <c r="C791" s="167" t="str">
        <f>_xlfn.XLOOKUP(F791,Mapping!A:A,Mapping!F:F)</f>
        <v>Phụ Cấp</v>
      </c>
      <c r="D791" s="173">
        <v>45775</v>
      </c>
      <c r="E791" s="169" t="s">
        <v>642</v>
      </c>
      <c r="F791" s="169" t="s">
        <v>375</v>
      </c>
      <c r="G791" s="169" t="s">
        <v>336</v>
      </c>
      <c r="H791" s="169" t="s">
        <v>436</v>
      </c>
      <c r="I791" s="169" t="s">
        <v>437</v>
      </c>
      <c r="J791" s="169" t="s">
        <v>643</v>
      </c>
      <c r="K791" s="169" t="s">
        <v>338</v>
      </c>
      <c r="L791" s="169" t="s">
        <v>631</v>
      </c>
      <c r="M791" s="169" t="s">
        <v>281</v>
      </c>
      <c r="N791" s="178">
        <v>29500000</v>
      </c>
      <c r="O791" s="169" t="s">
        <v>644</v>
      </c>
      <c r="P791" s="169" t="s">
        <v>283</v>
      </c>
      <c r="Q791" s="169" t="s">
        <v>306</v>
      </c>
      <c r="R791" s="169" t="s">
        <v>283</v>
      </c>
      <c r="S791" s="169" t="s">
        <v>283</v>
      </c>
      <c r="T791" s="169">
        <v>0</v>
      </c>
    </row>
    <row r="792" spans="1:20" x14ac:dyDescent="0.2">
      <c r="A792" s="169">
        <v>627</v>
      </c>
      <c r="B792" s="167" t="str">
        <f>_xlfn.XLOOKUP(I792,Mapping!D:D,Mapping!E:E)</f>
        <v>Xưởng Sản Xuất</v>
      </c>
      <c r="C792" s="167" t="str">
        <f>_xlfn.XLOOKUP(F792,Mapping!A:A,Mapping!F:F)</f>
        <v>BHXH, BHYT, KPCĐ</v>
      </c>
      <c r="D792" s="173">
        <v>45777</v>
      </c>
      <c r="E792" s="169" t="s">
        <v>639</v>
      </c>
      <c r="F792" s="169" t="s">
        <v>393</v>
      </c>
      <c r="G792" s="169" t="s">
        <v>296</v>
      </c>
      <c r="H792" s="169" t="s">
        <v>436</v>
      </c>
      <c r="I792" s="169" t="s">
        <v>437</v>
      </c>
      <c r="J792" s="169" t="s">
        <v>640</v>
      </c>
      <c r="K792" s="169" t="s">
        <v>640</v>
      </c>
      <c r="L792" s="169" t="s">
        <v>631</v>
      </c>
      <c r="M792" s="169" t="s">
        <v>281</v>
      </c>
      <c r="N792" s="178">
        <v>63390780</v>
      </c>
      <c r="O792" s="169" t="s">
        <v>641</v>
      </c>
      <c r="P792" s="169" t="s">
        <v>283</v>
      </c>
      <c r="Q792" s="169" t="s">
        <v>633</v>
      </c>
      <c r="R792" s="169" t="s">
        <v>283</v>
      </c>
      <c r="S792" s="169" t="s">
        <v>283</v>
      </c>
      <c r="T792" s="169">
        <v>0</v>
      </c>
    </row>
    <row r="793" spans="1:20" x14ac:dyDescent="0.2">
      <c r="A793" s="169">
        <v>622</v>
      </c>
      <c r="B793" s="167" t="str">
        <f>_xlfn.XLOOKUP(I793,Mapping!D:D,Mapping!E:E)</f>
        <v>Xưởng Sản Xuất</v>
      </c>
      <c r="C793" s="167" t="str">
        <f>_xlfn.XLOOKUP(F793,Mapping!A:A,Mapping!F:F)</f>
        <v>BHXH, BHYT, KPCĐ</v>
      </c>
      <c r="D793" s="173">
        <v>45777</v>
      </c>
      <c r="E793" s="169" t="s">
        <v>639</v>
      </c>
      <c r="F793" s="169" t="s">
        <v>425</v>
      </c>
      <c r="G793" s="169" t="s">
        <v>296</v>
      </c>
      <c r="H793" s="169" t="s">
        <v>441</v>
      </c>
      <c r="I793" s="169" t="s">
        <v>442</v>
      </c>
      <c r="J793" s="169" t="s">
        <v>640</v>
      </c>
      <c r="K793" s="169" t="s">
        <v>640</v>
      </c>
      <c r="L793" s="169" t="s">
        <v>631</v>
      </c>
      <c r="M793" s="169" t="s">
        <v>281</v>
      </c>
      <c r="N793" s="178">
        <v>2604740</v>
      </c>
      <c r="O793" s="169" t="s">
        <v>641</v>
      </c>
      <c r="P793" s="169" t="s">
        <v>283</v>
      </c>
      <c r="Q793" s="169" t="s">
        <v>633</v>
      </c>
      <c r="R793" s="169" t="s">
        <v>283</v>
      </c>
      <c r="S793" s="169" t="s">
        <v>283</v>
      </c>
      <c r="T793" s="169">
        <v>0</v>
      </c>
    </row>
    <row r="794" spans="1:20" x14ac:dyDescent="0.2">
      <c r="A794" s="169">
        <v>627</v>
      </c>
      <c r="B794" s="167" t="str">
        <f>_xlfn.XLOOKUP(I794,Mapping!D:D,Mapping!E:E)</f>
        <v>Xưởng Sản Xuất</v>
      </c>
      <c r="C794" s="167" t="str">
        <f>_xlfn.XLOOKUP(F794,Mapping!A:A,Mapping!F:F)</f>
        <v>Phụ Cấp</v>
      </c>
      <c r="D794" s="173">
        <v>45777</v>
      </c>
      <c r="E794" s="169" t="s">
        <v>629</v>
      </c>
      <c r="F794" s="169" t="s">
        <v>386</v>
      </c>
      <c r="G794" s="169" t="s">
        <v>341</v>
      </c>
      <c r="H794" s="169" t="s">
        <v>436</v>
      </c>
      <c r="I794" s="169" t="s">
        <v>437</v>
      </c>
      <c r="J794" s="169" t="s">
        <v>283</v>
      </c>
      <c r="K794" s="169" t="s">
        <v>630</v>
      </c>
      <c r="L794" s="169" t="s">
        <v>631</v>
      </c>
      <c r="M794" s="169" t="s">
        <v>281</v>
      </c>
      <c r="N794" s="178">
        <v>11652958</v>
      </c>
      <c r="O794" s="169" t="s">
        <v>632</v>
      </c>
      <c r="P794" s="169" t="s">
        <v>283</v>
      </c>
      <c r="Q794" s="169" t="s">
        <v>633</v>
      </c>
      <c r="R794" s="169" t="s">
        <v>283</v>
      </c>
      <c r="S794" s="169" t="s">
        <v>283</v>
      </c>
      <c r="T794" s="169">
        <v>0</v>
      </c>
    </row>
    <row r="795" spans="1:20" x14ac:dyDescent="0.2">
      <c r="A795" s="169">
        <v>627</v>
      </c>
      <c r="B795" s="167" t="str">
        <f>_xlfn.XLOOKUP(I795,Mapping!D:D,Mapping!E:E)</f>
        <v>Xưởng Sản Xuất</v>
      </c>
      <c r="C795" s="167" t="str">
        <f>_xlfn.XLOOKUP(F795,Mapping!A:A,Mapping!F:F)</f>
        <v>Lương Chính +T13</v>
      </c>
      <c r="D795" s="173">
        <v>45777</v>
      </c>
      <c r="E795" s="169" t="s">
        <v>629</v>
      </c>
      <c r="F795" s="169" t="s">
        <v>387</v>
      </c>
      <c r="G795" s="169" t="s">
        <v>275</v>
      </c>
      <c r="H795" s="169" t="s">
        <v>436</v>
      </c>
      <c r="I795" s="169" t="s">
        <v>437</v>
      </c>
      <c r="J795" s="169" t="s">
        <v>283</v>
      </c>
      <c r="K795" s="169" t="s">
        <v>630</v>
      </c>
      <c r="L795" s="169" t="s">
        <v>631</v>
      </c>
      <c r="M795" s="169" t="s">
        <v>281</v>
      </c>
      <c r="N795" s="178">
        <v>443532361</v>
      </c>
      <c r="O795" s="169" t="s">
        <v>632</v>
      </c>
      <c r="P795" s="169" t="s">
        <v>283</v>
      </c>
      <c r="Q795" s="169" t="s">
        <v>633</v>
      </c>
      <c r="R795" s="169" t="s">
        <v>283</v>
      </c>
      <c r="S795" s="169" t="s">
        <v>283</v>
      </c>
      <c r="T795" s="169">
        <v>0</v>
      </c>
    </row>
    <row r="796" spans="1:20" x14ac:dyDescent="0.2">
      <c r="A796" s="169">
        <v>627</v>
      </c>
      <c r="B796" s="167" t="str">
        <f>_xlfn.XLOOKUP(I796,Mapping!D:D,Mapping!E:E)</f>
        <v>Xưởng Sản Xuất</v>
      </c>
      <c r="C796" s="167" t="str">
        <f>_xlfn.XLOOKUP(F796,Mapping!A:A,Mapping!F:F)</f>
        <v>Lương Chính +T13</v>
      </c>
      <c r="D796" s="173">
        <v>45777</v>
      </c>
      <c r="E796" s="169" t="s">
        <v>629</v>
      </c>
      <c r="F796" s="169" t="s">
        <v>388</v>
      </c>
      <c r="G796" s="169" t="s">
        <v>286</v>
      </c>
      <c r="H796" s="169" t="s">
        <v>436</v>
      </c>
      <c r="I796" s="169" t="s">
        <v>437</v>
      </c>
      <c r="J796" s="169" t="s">
        <v>283</v>
      </c>
      <c r="K796" s="169" t="s">
        <v>630</v>
      </c>
      <c r="L796" s="169" t="s">
        <v>631</v>
      </c>
      <c r="M796" s="169" t="s">
        <v>281</v>
      </c>
      <c r="N796" s="178">
        <v>8418484</v>
      </c>
      <c r="O796" s="169" t="s">
        <v>632</v>
      </c>
      <c r="P796" s="169" t="s">
        <v>283</v>
      </c>
      <c r="Q796" s="169" t="s">
        <v>633</v>
      </c>
      <c r="R796" s="169" t="s">
        <v>283</v>
      </c>
      <c r="S796" s="169" t="s">
        <v>283</v>
      </c>
      <c r="T796" s="169">
        <v>0</v>
      </c>
    </row>
    <row r="797" spans="1:20" x14ac:dyDescent="0.2">
      <c r="A797" s="169">
        <v>627</v>
      </c>
      <c r="B797" s="167" t="str">
        <f>_xlfn.XLOOKUP(I797,Mapping!D:D,Mapping!E:E)</f>
        <v>Xưởng Sản Xuất</v>
      </c>
      <c r="C797" s="167" t="str">
        <f>_xlfn.XLOOKUP(F797,Mapping!A:A,Mapping!F:F)</f>
        <v>Thưởng</v>
      </c>
      <c r="D797" s="173">
        <v>45777</v>
      </c>
      <c r="E797" s="169" t="s">
        <v>629</v>
      </c>
      <c r="F797" s="169" t="s">
        <v>391</v>
      </c>
      <c r="G797" s="169" t="s">
        <v>291</v>
      </c>
      <c r="H797" s="169" t="s">
        <v>436</v>
      </c>
      <c r="I797" s="169" t="s">
        <v>437</v>
      </c>
      <c r="J797" s="169" t="s">
        <v>283</v>
      </c>
      <c r="K797" s="169" t="s">
        <v>630</v>
      </c>
      <c r="L797" s="169" t="s">
        <v>631</v>
      </c>
      <c r="M797" s="169" t="s">
        <v>281</v>
      </c>
      <c r="N797" s="178">
        <v>8400000</v>
      </c>
      <c r="O797" s="169" t="s">
        <v>632</v>
      </c>
      <c r="P797" s="169" t="s">
        <v>283</v>
      </c>
      <c r="Q797" s="169" t="s">
        <v>633</v>
      </c>
      <c r="R797" s="169" t="s">
        <v>283</v>
      </c>
      <c r="S797" s="169" t="s">
        <v>283</v>
      </c>
      <c r="T797" s="169">
        <v>0</v>
      </c>
    </row>
    <row r="798" spans="1:20" x14ac:dyDescent="0.2">
      <c r="A798" s="169">
        <v>627</v>
      </c>
      <c r="B798" s="167" t="str">
        <f>_xlfn.XLOOKUP(I798,Mapping!D:D,Mapping!E:E)</f>
        <v>Xưởng Sản Xuất</v>
      </c>
      <c r="C798" s="167" t="str">
        <f>_xlfn.XLOOKUP(F798,Mapping!A:A,Mapping!F:F)</f>
        <v>Phụ Cấp</v>
      </c>
      <c r="D798" s="173">
        <v>45777</v>
      </c>
      <c r="E798" s="169" t="s">
        <v>629</v>
      </c>
      <c r="F798" s="169" t="s">
        <v>375</v>
      </c>
      <c r="G798" s="169" t="s">
        <v>336</v>
      </c>
      <c r="H798" s="169" t="s">
        <v>436</v>
      </c>
      <c r="I798" s="169" t="s">
        <v>437</v>
      </c>
      <c r="J798" s="169" t="s">
        <v>283</v>
      </c>
      <c r="K798" s="169" t="s">
        <v>630</v>
      </c>
      <c r="L798" s="169" t="s">
        <v>631</v>
      </c>
      <c r="M798" s="169" t="s">
        <v>281</v>
      </c>
      <c r="N798" s="178">
        <v>6990000</v>
      </c>
      <c r="O798" s="169" t="s">
        <v>632</v>
      </c>
      <c r="P798" s="169" t="s">
        <v>283</v>
      </c>
      <c r="Q798" s="169" t="s">
        <v>633</v>
      </c>
      <c r="R798" s="169" t="s">
        <v>283</v>
      </c>
      <c r="S798" s="169" t="s">
        <v>283</v>
      </c>
      <c r="T798" s="169">
        <v>0</v>
      </c>
    </row>
    <row r="799" spans="1:20" x14ac:dyDescent="0.2">
      <c r="A799" s="169">
        <v>627</v>
      </c>
      <c r="B799" s="167" t="str">
        <f>_xlfn.XLOOKUP(I799,Mapping!D:D,Mapping!E:E)</f>
        <v>Xưởng Sản Xuất</v>
      </c>
      <c r="C799" s="167" t="str">
        <f>_xlfn.XLOOKUP(F799,Mapping!A:A,Mapping!F:F)</f>
        <v>Lương Ngoài giờ</v>
      </c>
      <c r="D799" s="173">
        <v>45777</v>
      </c>
      <c r="E799" s="169" t="s">
        <v>629</v>
      </c>
      <c r="F799" s="169" t="s">
        <v>389</v>
      </c>
      <c r="G799" s="169" t="s">
        <v>390</v>
      </c>
      <c r="H799" s="169" t="s">
        <v>436</v>
      </c>
      <c r="I799" s="169" t="s">
        <v>437</v>
      </c>
      <c r="J799" s="169" t="s">
        <v>283</v>
      </c>
      <c r="K799" s="169" t="s">
        <v>630</v>
      </c>
      <c r="L799" s="169" t="s">
        <v>631</v>
      </c>
      <c r="M799" s="169" t="s">
        <v>281</v>
      </c>
      <c r="N799" s="178">
        <v>63653075</v>
      </c>
      <c r="O799" s="169" t="s">
        <v>632</v>
      </c>
      <c r="P799" s="169" t="s">
        <v>283</v>
      </c>
      <c r="Q799" s="169" t="s">
        <v>633</v>
      </c>
      <c r="R799" s="169" t="s">
        <v>283</v>
      </c>
      <c r="S799" s="169" t="s">
        <v>283</v>
      </c>
      <c r="T799" s="169">
        <v>0</v>
      </c>
    </row>
    <row r="800" spans="1:20" x14ac:dyDescent="0.2">
      <c r="B800" s="167" t="str">
        <f>_xlfn.XLOOKUP(I800,Mapping!D:D,Mapping!E:E)</f>
        <v>Tư vấn dịch vụ</v>
      </c>
      <c r="C800" s="167" t="str">
        <f>_xlfn.XLOOKUP(F800,Mapping!A:A,Mapping!F:F)</f>
        <v>Lương Chính +T13</v>
      </c>
      <c r="D800" s="173">
        <v>45777</v>
      </c>
      <c r="E800" s="169" t="s">
        <v>629</v>
      </c>
      <c r="F800" s="169" t="s">
        <v>274</v>
      </c>
      <c r="G800" s="169" t="s">
        <v>275</v>
      </c>
      <c r="H800" s="169" t="s">
        <v>443</v>
      </c>
      <c r="I800" s="169" t="s">
        <v>444</v>
      </c>
      <c r="J800" s="169" t="s">
        <v>283</v>
      </c>
      <c r="K800" s="169" t="s">
        <v>630</v>
      </c>
      <c r="L800" s="169" t="s">
        <v>631</v>
      </c>
      <c r="M800" s="169" t="s">
        <v>281</v>
      </c>
      <c r="N800" s="178">
        <v>212884614</v>
      </c>
      <c r="O800" s="169" t="s">
        <v>632</v>
      </c>
      <c r="P800" s="169" t="s">
        <v>283</v>
      </c>
      <c r="Q800" s="169" t="s">
        <v>633</v>
      </c>
      <c r="R800" s="169" t="s">
        <v>283</v>
      </c>
      <c r="S800" s="169" t="s">
        <v>283</v>
      </c>
      <c r="T800" s="169">
        <v>0</v>
      </c>
    </row>
    <row r="801" spans="1:20" x14ac:dyDescent="0.2">
      <c r="A801" s="169">
        <v>622</v>
      </c>
      <c r="B801" s="167" t="str">
        <f>_xlfn.XLOOKUP(I801,Mapping!D:D,Mapping!E:E)</f>
        <v>Xưởng Sản Xuất</v>
      </c>
      <c r="C801" s="167" t="str">
        <f>_xlfn.XLOOKUP(F801,Mapping!A:A,Mapping!F:F)</f>
        <v>Lương Chính +T13</v>
      </c>
      <c r="D801" s="173">
        <v>45777</v>
      </c>
      <c r="E801" s="169" t="s">
        <v>629</v>
      </c>
      <c r="F801" s="169" t="s">
        <v>400</v>
      </c>
      <c r="G801" s="169" t="s">
        <v>401</v>
      </c>
      <c r="H801" s="169" t="s">
        <v>441</v>
      </c>
      <c r="I801" s="169" t="s">
        <v>442</v>
      </c>
      <c r="J801" s="169" t="s">
        <v>283</v>
      </c>
      <c r="K801" s="169" t="s">
        <v>630</v>
      </c>
      <c r="L801" s="169" t="s">
        <v>631</v>
      </c>
      <c r="M801" s="169" t="s">
        <v>281</v>
      </c>
      <c r="N801" s="178">
        <v>16532375</v>
      </c>
      <c r="O801" s="169" t="s">
        <v>632</v>
      </c>
      <c r="P801" s="169" t="s">
        <v>283</v>
      </c>
      <c r="Q801" s="169" t="s">
        <v>633</v>
      </c>
      <c r="R801" s="169" t="s">
        <v>283</v>
      </c>
      <c r="S801" s="169" t="s">
        <v>283</v>
      </c>
      <c r="T801" s="169">
        <v>0</v>
      </c>
    </row>
    <row r="802" spans="1:20" x14ac:dyDescent="0.2">
      <c r="A802" s="169">
        <v>622</v>
      </c>
      <c r="B802" s="167" t="str">
        <f>_xlfn.XLOOKUP(I802,Mapping!D:D,Mapping!E:E)</f>
        <v>Xưởng Sản Xuất</v>
      </c>
      <c r="C802" s="167" t="str">
        <f>_xlfn.XLOOKUP(F802,Mapping!A:A,Mapping!F:F)</f>
        <v>Phụ Cấp</v>
      </c>
      <c r="D802" s="173">
        <v>45777</v>
      </c>
      <c r="E802" s="169" t="s">
        <v>629</v>
      </c>
      <c r="F802" s="169" t="s">
        <v>421</v>
      </c>
      <c r="G802" s="169" t="s">
        <v>341</v>
      </c>
      <c r="H802" s="169" t="s">
        <v>441</v>
      </c>
      <c r="I802" s="169" t="s">
        <v>442</v>
      </c>
      <c r="J802" s="169" t="s">
        <v>283</v>
      </c>
      <c r="K802" s="169" t="s">
        <v>630</v>
      </c>
      <c r="L802" s="169" t="s">
        <v>631</v>
      </c>
      <c r="M802" s="169" t="s">
        <v>281</v>
      </c>
      <c r="N802" s="178">
        <v>1646238</v>
      </c>
      <c r="O802" s="169" t="s">
        <v>632</v>
      </c>
      <c r="P802" s="169" t="s">
        <v>283</v>
      </c>
      <c r="Q802" s="169" t="s">
        <v>633</v>
      </c>
      <c r="R802" s="169" t="s">
        <v>283</v>
      </c>
      <c r="S802" s="169" t="s">
        <v>283</v>
      </c>
      <c r="T802" s="169">
        <v>0</v>
      </c>
    </row>
    <row r="803" spans="1:20" x14ac:dyDescent="0.2">
      <c r="A803" s="169">
        <v>622</v>
      </c>
      <c r="B803" s="167" t="str">
        <f>_xlfn.XLOOKUP(I803,Mapping!D:D,Mapping!E:E)</f>
        <v>Xưởng Sản Xuất</v>
      </c>
      <c r="C803" s="167" t="str">
        <f>_xlfn.XLOOKUP(F803,Mapping!A:A,Mapping!F:F)</f>
        <v>Lương Ngoài giờ</v>
      </c>
      <c r="D803" s="173">
        <v>45777</v>
      </c>
      <c r="E803" s="169" t="s">
        <v>629</v>
      </c>
      <c r="F803" s="169" t="s">
        <v>422</v>
      </c>
      <c r="G803" s="169" t="s">
        <v>423</v>
      </c>
      <c r="H803" s="169" t="s">
        <v>441</v>
      </c>
      <c r="I803" s="169" t="s">
        <v>442</v>
      </c>
      <c r="J803" s="169" t="s">
        <v>283</v>
      </c>
      <c r="K803" s="169" t="s">
        <v>630</v>
      </c>
      <c r="L803" s="169" t="s">
        <v>631</v>
      </c>
      <c r="M803" s="169" t="s">
        <v>281</v>
      </c>
      <c r="N803" s="178">
        <v>3522708</v>
      </c>
      <c r="O803" s="169" t="s">
        <v>632</v>
      </c>
      <c r="P803" s="169" t="s">
        <v>283</v>
      </c>
      <c r="Q803" s="169" t="s">
        <v>633</v>
      </c>
      <c r="R803" s="169" t="s">
        <v>283</v>
      </c>
      <c r="S803" s="169" t="s">
        <v>283</v>
      </c>
      <c r="T803" s="169">
        <v>0</v>
      </c>
    </row>
    <row r="804" spans="1:20" x14ac:dyDescent="0.2">
      <c r="A804" s="169">
        <v>622</v>
      </c>
      <c r="B804" s="167" t="str">
        <f>_xlfn.XLOOKUP(I804,Mapping!D:D,Mapping!E:E)</f>
        <v>Xưởng Sản Xuất</v>
      </c>
      <c r="C804" s="167" t="str">
        <f>_xlfn.XLOOKUP(F804,Mapping!A:A,Mapping!F:F)</f>
        <v>Thưởng</v>
      </c>
      <c r="D804" s="173">
        <v>45777</v>
      </c>
      <c r="E804" s="169" t="s">
        <v>629</v>
      </c>
      <c r="F804" s="169" t="s">
        <v>424</v>
      </c>
      <c r="G804" s="169" t="s">
        <v>291</v>
      </c>
      <c r="H804" s="169" t="s">
        <v>441</v>
      </c>
      <c r="I804" s="169" t="s">
        <v>442</v>
      </c>
      <c r="J804" s="169" t="s">
        <v>283</v>
      </c>
      <c r="K804" s="169" t="s">
        <v>630</v>
      </c>
      <c r="L804" s="169" t="s">
        <v>631</v>
      </c>
      <c r="M804" s="169" t="s">
        <v>281</v>
      </c>
      <c r="N804" s="178">
        <v>400000</v>
      </c>
      <c r="O804" s="169" t="s">
        <v>632</v>
      </c>
      <c r="P804" s="169" t="s">
        <v>283</v>
      </c>
      <c r="Q804" s="169" t="s">
        <v>633</v>
      </c>
      <c r="R804" s="169" t="s">
        <v>283</v>
      </c>
      <c r="S804" s="169" t="s">
        <v>283</v>
      </c>
      <c r="T804" s="169">
        <v>0</v>
      </c>
    </row>
    <row r="805" spans="1:20" x14ac:dyDescent="0.2">
      <c r="A805" s="169">
        <v>622</v>
      </c>
      <c r="B805" s="167" t="str">
        <f>_xlfn.XLOOKUP(I805,Mapping!D:D,Mapping!E:E)</f>
        <v>Xưởng Sản Xuất</v>
      </c>
      <c r="C805" s="167" t="str">
        <f>_xlfn.XLOOKUP(F805,Mapping!A:A,Mapping!F:F)</f>
        <v>Phụ Cấp</v>
      </c>
      <c r="D805" s="173">
        <v>45777</v>
      </c>
      <c r="E805" s="169" t="s">
        <v>629</v>
      </c>
      <c r="F805" s="169" t="s">
        <v>414</v>
      </c>
      <c r="G805" s="169" t="s">
        <v>415</v>
      </c>
      <c r="H805" s="169" t="s">
        <v>441</v>
      </c>
      <c r="I805" s="169" t="s">
        <v>442</v>
      </c>
      <c r="J805" s="169" t="s">
        <v>283</v>
      </c>
      <c r="K805" s="169" t="s">
        <v>630</v>
      </c>
      <c r="L805" s="169" t="s">
        <v>631</v>
      </c>
      <c r="M805" s="169" t="s">
        <v>281</v>
      </c>
      <c r="N805" s="178">
        <v>370000</v>
      </c>
      <c r="O805" s="169" t="s">
        <v>632</v>
      </c>
      <c r="P805" s="169" t="s">
        <v>283</v>
      </c>
      <c r="Q805" s="169" t="s">
        <v>633</v>
      </c>
      <c r="R805" s="169" t="s">
        <v>283</v>
      </c>
      <c r="S805" s="169" t="s">
        <v>283</v>
      </c>
      <c r="T805" s="169">
        <v>0</v>
      </c>
    </row>
    <row r="806" spans="1:20" x14ac:dyDescent="0.2">
      <c r="A806" s="169">
        <v>627</v>
      </c>
      <c r="B806" s="167" t="str">
        <f>_xlfn.XLOOKUP(I806,Mapping!D:D,Mapping!E:E)</f>
        <v>Xưởng Sản Xuất</v>
      </c>
      <c r="C806" s="167" t="str">
        <f>_xlfn.XLOOKUP(F806,Mapping!A:A,Mapping!F:F)</f>
        <v>Lương Chính +T13</v>
      </c>
      <c r="D806" s="173">
        <v>45777</v>
      </c>
      <c r="E806" s="169" t="s">
        <v>634</v>
      </c>
      <c r="F806" s="169" t="s">
        <v>388</v>
      </c>
      <c r="G806" s="169" t="s">
        <v>286</v>
      </c>
      <c r="H806" s="169" t="s">
        <v>436</v>
      </c>
      <c r="I806" s="169" t="s">
        <v>437</v>
      </c>
      <c r="J806" s="169" t="s">
        <v>635</v>
      </c>
      <c r="K806" s="169" t="s">
        <v>636</v>
      </c>
      <c r="L806" s="169" t="s">
        <v>631</v>
      </c>
      <c r="M806" s="169" t="s">
        <v>281</v>
      </c>
      <c r="N806" s="178">
        <v>29655184</v>
      </c>
      <c r="O806" s="169" t="s">
        <v>637</v>
      </c>
      <c r="P806" s="169" t="s">
        <v>283</v>
      </c>
      <c r="Q806" s="169" t="s">
        <v>633</v>
      </c>
      <c r="R806" s="169" t="s">
        <v>283</v>
      </c>
      <c r="S806" s="169" t="s">
        <v>283</v>
      </c>
      <c r="T806" s="169">
        <v>0</v>
      </c>
    </row>
    <row r="807" spans="1:20" x14ac:dyDescent="0.2">
      <c r="B807" s="167" t="str">
        <f>_xlfn.XLOOKUP(I807,Mapping!D:D,Mapping!E:E)</f>
        <v>Tư vấn dịch vụ</v>
      </c>
      <c r="C807" s="167" t="str">
        <f>_xlfn.XLOOKUP(F807,Mapping!A:A,Mapping!F:F)</f>
        <v>Lương Chính +T13</v>
      </c>
      <c r="D807" s="173">
        <v>45777</v>
      </c>
      <c r="E807" s="169" t="s">
        <v>634</v>
      </c>
      <c r="F807" s="169" t="s">
        <v>285</v>
      </c>
      <c r="G807" s="169" t="s">
        <v>286</v>
      </c>
      <c r="H807" s="169" t="s">
        <v>443</v>
      </c>
      <c r="I807" s="169" t="s">
        <v>444</v>
      </c>
      <c r="J807" s="169" t="s">
        <v>635</v>
      </c>
      <c r="K807" s="169" t="s">
        <v>636</v>
      </c>
      <c r="L807" s="169" t="s">
        <v>631</v>
      </c>
      <c r="M807" s="169" t="s">
        <v>281</v>
      </c>
      <c r="N807" s="178">
        <v>15833333</v>
      </c>
      <c r="O807" s="169" t="s">
        <v>637</v>
      </c>
      <c r="P807" s="169" t="s">
        <v>283</v>
      </c>
      <c r="Q807" s="169" t="s">
        <v>633</v>
      </c>
      <c r="R807" s="169" t="s">
        <v>283</v>
      </c>
      <c r="S807" s="169" t="s">
        <v>283</v>
      </c>
      <c r="T807" s="169">
        <v>0</v>
      </c>
    </row>
    <row r="808" spans="1:20" x14ac:dyDescent="0.2">
      <c r="A808" s="169">
        <v>622</v>
      </c>
      <c r="B808" s="167" t="str">
        <f>_xlfn.XLOOKUP(I808,Mapping!D:D,Mapping!E:E)</f>
        <v>Xưởng Sản Xuất</v>
      </c>
      <c r="C808" s="167" t="str">
        <f>_xlfn.XLOOKUP(F808,Mapping!A:A,Mapping!F:F)</f>
        <v>Lương Chính +T13</v>
      </c>
      <c r="D808" s="173">
        <v>45777</v>
      </c>
      <c r="E808" s="169" t="s">
        <v>634</v>
      </c>
      <c r="F808" s="169" t="s">
        <v>420</v>
      </c>
      <c r="G808" s="169" t="s">
        <v>286</v>
      </c>
      <c r="H808" s="169" t="s">
        <v>441</v>
      </c>
      <c r="I808" s="169" t="s">
        <v>442</v>
      </c>
      <c r="J808" s="169" t="s">
        <v>635</v>
      </c>
      <c r="K808" s="169" t="s">
        <v>636</v>
      </c>
      <c r="L808" s="169" t="s">
        <v>631</v>
      </c>
      <c r="M808" s="169" t="s">
        <v>281</v>
      </c>
      <c r="N808" s="178">
        <v>1176360</v>
      </c>
      <c r="O808" s="169" t="s">
        <v>637</v>
      </c>
      <c r="P808" s="169" t="s">
        <v>283</v>
      </c>
      <c r="Q808" s="169" t="s">
        <v>633</v>
      </c>
      <c r="R808" s="169" t="s">
        <v>283</v>
      </c>
      <c r="S808" s="169" t="s">
        <v>283</v>
      </c>
      <c r="T808" s="169">
        <v>0</v>
      </c>
    </row>
    <row r="809" spans="1:20" x14ac:dyDescent="0.2">
      <c r="A809" s="169">
        <v>627</v>
      </c>
      <c r="B809" s="167" t="str">
        <f>_xlfn.XLOOKUP(I809,Mapping!D:D,Mapping!E:E)</f>
        <v>Xưởng Sản Xuất</v>
      </c>
      <c r="C809" s="167" t="str">
        <f>_xlfn.XLOOKUP(F809,Mapping!A:A,Mapping!F:F)</f>
        <v>Thưởng</v>
      </c>
      <c r="D809" s="173">
        <v>45777</v>
      </c>
      <c r="E809" s="169" t="s">
        <v>634</v>
      </c>
      <c r="F809" s="169" t="s">
        <v>395</v>
      </c>
      <c r="G809" s="169" t="s">
        <v>77</v>
      </c>
      <c r="H809" s="169" t="s">
        <v>436</v>
      </c>
      <c r="I809" s="169" t="s">
        <v>437</v>
      </c>
      <c r="J809" s="169" t="s">
        <v>638</v>
      </c>
      <c r="K809" s="169" t="s">
        <v>636</v>
      </c>
      <c r="L809" s="169" t="s">
        <v>631</v>
      </c>
      <c r="M809" s="169" t="s">
        <v>281</v>
      </c>
      <c r="N809" s="178">
        <v>18042080</v>
      </c>
      <c r="O809" s="169" t="s">
        <v>637</v>
      </c>
      <c r="P809" s="169" t="s">
        <v>283</v>
      </c>
      <c r="Q809" s="169" t="s">
        <v>633</v>
      </c>
      <c r="R809" s="169" t="s">
        <v>283</v>
      </c>
      <c r="S809" s="169" t="s">
        <v>283</v>
      </c>
      <c r="T809" s="169">
        <v>0</v>
      </c>
    </row>
    <row r="810" spans="1:20" x14ac:dyDescent="0.2">
      <c r="B810" s="167" t="str">
        <f>_xlfn.XLOOKUP(I810,Mapping!D:D,Mapping!E:E)</f>
        <v>Tư vấn dịch vụ</v>
      </c>
      <c r="C810" s="167" t="str">
        <f>_xlfn.XLOOKUP(F810,Mapping!A:A,Mapping!F:F)</f>
        <v>Thưởng</v>
      </c>
      <c r="D810" s="173">
        <v>45777</v>
      </c>
      <c r="E810" s="169" t="s">
        <v>634</v>
      </c>
      <c r="F810" s="169" t="s">
        <v>292</v>
      </c>
      <c r="G810" s="169" t="s">
        <v>77</v>
      </c>
      <c r="H810" s="169" t="s">
        <v>443</v>
      </c>
      <c r="I810" s="169" t="s">
        <v>444</v>
      </c>
      <c r="J810" s="169" t="s">
        <v>638</v>
      </c>
      <c r="K810" s="169" t="s">
        <v>636</v>
      </c>
      <c r="L810" s="169" t="s">
        <v>631</v>
      </c>
      <c r="M810" s="169" t="s">
        <v>281</v>
      </c>
      <c r="N810" s="178">
        <v>14566540</v>
      </c>
      <c r="O810" s="169" t="s">
        <v>637</v>
      </c>
      <c r="P810" s="169" t="s">
        <v>283</v>
      </c>
      <c r="Q810" s="169" t="s">
        <v>633</v>
      </c>
      <c r="R810" s="169" t="s">
        <v>283</v>
      </c>
      <c r="S810" s="169" t="s">
        <v>283</v>
      </c>
      <c r="T810" s="169">
        <v>0</v>
      </c>
    </row>
    <row r="811" spans="1:20" x14ac:dyDescent="0.2">
      <c r="A811" s="169">
        <v>622</v>
      </c>
      <c r="B811" s="167" t="str">
        <f>_xlfn.XLOOKUP(I811,Mapping!D:D,Mapping!E:E)</f>
        <v>Xưởng Sản Xuất</v>
      </c>
      <c r="C811" s="167" t="str">
        <f>_xlfn.XLOOKUP(F811,Mapping!A:A,Mapping!F:F)</f>
        <v>Thưởng</v>
      </c>
      <c r="D811" s="173">
        <v>45777</v>
      </c>
      <c r="E811" s="169" t="s">
        <v>634</v>
      </c>
      <c r="F811" s="169" t="s">
        <v>426</v>
      </c>
      <c r="G811" s="169" t="s">
        <v>77</v>
      </c>
      <c r="H811" s="169" t="s">
        <v>441</v>
      </c>
      <c r="I811" s="169" t="s">
        <v>442</v>
      </c>
      <c r="J811" s="169" t="s">
        <v>638</v>
      </c>
      <c r="K811" s="169" t="s">
        <v>636</v>
      </c>
      <c r="L811" s="169" t="s">
        <v>631</v>
      </c>
      <c r="M811" s="169" t="s">
        <v>281</v>
      </c>
      <c r="N811" s="178">
        <v>157016</v>
      </c>
      <c r="O811" s="169" t="s">
        <v>637</v>
      </c>
      <c r="P811" s="169" t="s">
        <v>283</v>
      </c>
      <c r="Q811" s="169" t="s">
        <v>633</v>
      </c>
      <c r="R811" s="169" t="s">
        <v>283</v>
      </c>
      <c r="S811" s="169" t="s">
        <v>283</v>
      </c>
      <c r="T811" s="169">
        <v>0</v>
      </c>
    </row>
    <row r="812" spans="1:20" x14ac:dyDescent="0.2">
      <c r="A812" s="169">
        <v>622</v>
      </c>
      <c r="B812" s="167" t="str">
        <f>_xlfn.XLOOKUP(I812,Mapping!D:D,Mapping!E:E)</f>
        <v>Xưởng Sản Xuất</v>
      </c>
      <c r="C812" s="167" t="str">
        <f>_xlfn.XLOOKUP(F812,Mapping!A:A,Mapping!F:F)</f>
        <v>BHXH, BHYT, KPCĐ</v>
      </c>
      <c r="D812" s="173">
        <v>45777</v>
      </c>
      <c r="E812" s="169" t="s">
        <v>679</v>
      </c>
      <c r="F812" s="169" t="s">
        <v>425</v>
      </c>
      <c r="G812" s="169" t="s">
        <v>296</v>
      </c>
      <c r="H812" s="169" t="s">
        <v>441</v>
      </c>
      <c r="I812" s="169" t="s">
        <v>442</v>
      </c>
      <c r="J812" s="169" t="s">
        <v>640</v>
      </c>
      <c r="K812" s="169" t="s">
        <v>640</v>
      </c>
      <c r="L812" s="169" t="s">
        <v>631</v>
      </c>
      <c r="M812" s="169" t="s">
        <v>281</v>
      </c>
      <c r="N812" s="178">
        <v>1809607</v>
      </c>
      <c r="O812" s="169" t="s">
        <v>680</v>
      </c>
      <c r="P812" s="169" t="s">
        <v>283</v>
      </c>
      <c r="Q812" s="169" t="s">
        <v>633</v>
      </c>
      <c r="R812" s="169" t="s">
        <v>283</v>
      </c>
      <c r="S812" s="169" t="s">
        <v>283</v>
      </c>
      <c r="T812" s="169">
        <v>0</v>
      </c>
    </row>
    <row r="813" spans="1:20" x14ac:dyDescent="0.2">
      <c r="A813" s="169">
        <v>627</v>
      </c>
      <c r="B813" s="167" t="str">
        <f>_xlfn.XLOOKUP(I813,Mapping!D:D,Mapping!E:E)</f>
        <v>Xưởng Sản Xuất</v>
      </c>
      <c r="C813" s="167" t="str">
        <f>_xlfn.XLOOKUP(F813,Mapping!A:A,Mapping!F:F)</f>
        <v>BHXH, BHYT, KPCĐ</v>
      </c>
      <c r="D813" s="173">
        <v>45777</v>
      </c>
      <c r="E813" s="169" t="s">
        <v>679</v>
      </c>
      <c r="F813" s="169" t="s">
        <v>393</v>
      </c>
      <c r="G813" s="169" t="s">
        <v>296</v>
      </c>
      <c r="H813" s="169" t="s">
        <v>436</v>
      </c>
      <c r="I813" s="169" t="s">
        <v>437</v>
      </c>
      <c r="J813" s="169" t="s">
        <v>640</v>
      </c>
      <c r="K813" s="169" t="s">
        <v>640</v>
      </c>
      <c r="L813" s="169" t="s">
        <v>631</v>
      </c>
      <c r="M813" s="169" t="s">
        <v>281</v>
      </c>
      <c r="N813" s="178">
        <v>2412810</v>
      </c>
      <c r="O813" s="169" t="s">
        <v>680</v>
      </c>
      <c r="P813" s="169" t="s">
        <v>283</v>
      </c>
      <c r="Q813" s="169" t="s">
        <v>633</v>
      </c>
      <c r="R813" s="169" t="s">
        <v>283</v>
      </c>
      <c r="S813" s="169" t="s">
        <v>283</v>
      </c>
      <c r="T813" s="169">
        <v>0</v>
      </c>
    </row>
    <row r="814" spans="1:20" x14ac:dyDescent="0.2">
      <c r="A814" s="169">
        <v>622</v>
      </c>
      <c r="B814" s="167" t="str">
        <f>_xlfn.XLOOKUP(I814,Mapping!D:D,Mapping!E:E)</f>
        <v>Xưởng Sản Xuất</v>
      </c>
      <c r="C814" s="167" t="str">
        <f>_xlfn.XLOOKUP(F814,Mapping!A:A,Mapping!F:F)</f>
        <v>Phụ Cấp</v>
      </c>
      <c r="D814" s="173">
        <v>45777</v>
      </c>
      <c r="E814" s="169" t="s">
        <v>681</v>
      </c>
      <c r="F814" s="169" t="s">
        <v>414</v>
      </c>
      <c r="G814" s="169" t="s">
        <v>415</v>
      </c>
      <c r="H814" s="169" t="s">
        <v>441</v>
      </c>
      <c r="I814" s="169" t="s">
        <v>442</v>
      </c>
      <c r="J814" s="169" t="s">
        <v>416</v>
      </c>
      <c r="K814" s="169" t="s">
        <v>416</v>
      </c>
      <c r="L814" s="169" t="s">
        <v>631</v>
      </c>
      <c r="M814" s="169" t="s">
        <v>281</v>
      </c>
      <c r="N814" s="178">
        <v>500000</v>
      </c>
      <c r="O814" s="169" t="s">
        <v>682</v>
      </c>
      <c r="P814" s="169" t="s">
        <v>283</v>
      </c>
      <c r="Q814" s="169" t="s">
        <v>348</v>
      </c>
      <c r="R814" s="169" t="s">
        <v>283</v>
      </c>
      <c r="S814" s="169" t="s">
        <v>283</v>
      </c>
      <c r="T814" s="169">
        <v>0</v>
      </c>
    </row>
    <row r="815" spans="1:20" x14ac:dyDescent="0.2">
      <c r="A815" s="169">
        <v>627</v>
      </c>
      <c r="B815" s="167" t="str">
        <f>_xlfn.XLOOKUP(I815,Mapping!D:D,Mapping!E:E)</f>
        <v>Xưởng Sản Xuất</v>
      </c>
      <c r="C815" s="167" t="str">
        <f>_xlfn.XLOOKUP(F815,Mapping!A:A,Mapping!F:F)</f>
        <v>Phụ Cấp</v>
      </c>
      <c r="D815" s="173">
        <v>45777</v>
      </c>
      <c r="E815" s="169" t="s">
        <v>681</v>
      </c>
      <c r="F815" s="169" t="s">
        <v>375</v>
      </c>
      <c r="G815" s="169" t="s">
        <v>336</v>
      </c>
      <c r="H815" s="169" t="s">
        <v>441</v>
      </c>
      <c r="I815" s="169" t="s">
        <v>442</v>
      </c>
      <c r="J815" s="169" t="s">
        <v>416</v>
      </c>
      <c r="K815" s="169" t="s">
        <v>416</v>
      </c>
      <c r="L815" s="169" t="s">
        <v>631</v>
      </c>
      <c r="M815" s="169" t="s">
        <v>281</v>
      </c>
      <c r="N815" s="178">
        <v>-500000</v>
      </c>
      <c r="O815" s="169" t="s">
        <v>682</v>
      </c>
      <c r="P815" s="169" t="s">
        <v>283</v>
      </c>
      <c r="Q815" s="169" t="s">
        <v>348</v>
      </c>
      <c r="R815" s="169" t="s">
        <v>283</v>
      </c>
      <c r="S815" s="169" t="s">
        <v>283</v>
      </c>
      <c r="T815" s="169">
        <v>0</v>
      </c>
    </row>
    <row r="816" spans="1:20" x14ac:dyDescent="0.2">
      <c r="A816" s="169">
        <v>622</v>
      </c>
      <c r="B816" s="167" t="str">
        <f>_xlfn.XLOOKUP(I816,Mapping!D:D,Mapping!E:E)</f>
        <v>Xưởng Sản Xuất</v>
      </c>
      <c r="C816" s="167" t="str">
        <f>_xlfn.XLOOKUP(F816,Mapping!A:A,Mapping!F:F)</f>
        <v>Phụ Cấp</v>
      </c>
      <c r="D816" s="173">
        <v>45777</v>
      </c>
      <c r="E816" s="169" t="s">
        <v>681</v>
      </c>
      <c r="F816" s="169" t="s">
        <v>414</v>
      </c>
      <c r="G816" s="169" t="s">
        <v>415</v>
      </c>
      <c r="H816" s="169" t="s">
        <v>441</v>
      </c>
      <c r="I816" s="169" t="s">
        <v>442</v>
      </c>
      <c r="J816" s="169" t="s">
        <v>416</v>
      </c>
      <c r="K816" s="169" t="s">
        <v>416</v>
      </c>
      <c r="L816" s="169" t="s">
        <v>631</v>
      </c>
      <c r="M816" s="169" t="s">
        <v>281</v>
      </c>
      <c r="N816" s="178">
        <v>475000</v>
      </c>
      <c r="O816" s="169" t="s">
        <v>682</v>
      </c>
      <c r="P816" s="169" t="s">
        <v>283</v>
      </c>
      <c r="Q816" s="169" t="s">
        <v>348</v>
      </c>
      <c r="R816" s="169" t="s">
        <v>283</v>
      </c>
      <c r="S816" s="169" t="s">
        <v>283</v>
      </c>
      <c r="T816" s="169">
        <v>0</v>
      </c>
    </row>
    <row r="817" spans="2:20" x14ac:dyDescent="0.2">
      <c r="B817" s="167" t="str">
        <f>_xlfn.XLOOKUP(I817,Mapping!D:D,Mapping!E:E)</f>
        <v>Ban Giám Đốc</v>
      </c>
      <c r="C817" s="167" t="str">
        <f>_xlfn.XLOOKUP(F817,Mapping!A:A,Mapping!F:F)</f>
        <v>Lương Chính +T13</v>
      </c>
      <c r="D817" s="173">
        <v>45808</v>
      </c>
      <c r="E817" s="169" t="s">
        <v>710</v>
      </c>
      <c r="F817" s="169" t="s">
        <v>274</v>
      </c>
      <c r="G817" s="169" t="s">
        <v>275</v>
      </c>
      <c r="H817" s="169" t="s">
        <v>276</v>
      </c>
      <c r="I817" s="169" t="s">
        <v>277</v>
      </c>
      <c r="J817" s="169" t="s">
        <v>711</v>
      </c>
      <c r="K817" s="169" t="s">
        <v>712</v>
      </c>
      <c r="L817" s="169" t="s">
        <v>713</v>
      </c>
      <c r="M817" s="169" t="s">
        <v>281</v>
      </c>
      <c r="N817" s="178">
        <v>1407603182</v>
      </c>
      <c r="O817" s="169" t="s">
        <v>714</v>
      </c>
      <c r="P817" s="169" t="s">
        <v>283</v>
      </c>
      <c r="Q817" s="169" t="s">
        <v>284</v>
      </c>
      <c r="R817" s="169" t="s">
        <v>283</v>
      </c>
      <c r="S817" s="169" t="s">
        <v>283</v>
      </c>
      <c r="T817" s="169">
        <v>0</v>
      </c>
    </row>
    <row r="818" spans="2:20" x14ac:dyDescent="0.2">
      <c r="B818" s="167" t="str">
        <f>_xlfn.XLOOKUP(I818,Mapping!D:D,Mapping!E:E)</f>
        <v>Ban Giám Đốc</v>
      </c>
      <c r="C818" s="167" t="str">
        <f>_xlfn.XLOOKUP(F818,Mapping!A:A,Mapping!F:F)</f>
        <v>Lương Chính +T13</v>
      </c>
      <c r="D818" s="173">
        <v>45808</v>
      </c>
      <c r="E818" s="169" t="s">
        <v>710</v>
      </c>
      <c r="F818" s="169" t="s">
        <v>285</v>
      </c>
      <c r="G818" s="169" t="s">
        <v>286</v>
      </c>
      <c r="H818" s="169" t="s">
        <v>276</v>
      </c>
      <c r="I818" s="169" t="s">
        <v>277</v>
      </c>
      <c r="J818" s="169" t="s">
        <v>711</v>
      </c>
      <c r="K818" s="169" t="s">
        <v>712</v>
      </c>
      <c r="L818" s="169" t="s">
        <v>713</v>
      </c>
      <c r="M818" s="169" t="s">
        <v>281</v>
      </c>
      <c r="N818" s="178">
        <v>84768273</v>
      </c>
      <c r="O818" s="169" t="s">
        <v>714</v>
      </c>
      <c r="P818" s="169" t="s">
        <v>283</v>
      </c>
      <c r="Q818" s="169" t="s">
        <v>284</v>
      </c>
      <c r="R818" s="169" t="s">
        <v>283</v>
      </c>
      <c r="S818" s="169" t="s">
        <v>283</v>
      </c>
      <c r="T818" s="169">
        <v>0</v>
      </c>
    </row>
    <row r="819" spans="2:20" x14ac:dyDescent="0.2">
      <c r="B819" s="167" t="str">
        <f>_xlfn.XLOOKUP(I819,Mapping!D:D,Mapping!E:E)</f>
        <v>Ban Giám Đốc</v>
      </c>
      <c r="C819" s="167" t="str">
        <f>_xlfn.XLOOKUP(F819,Mapping!A:A,Mapping!F:F)</f>
        <v>Lương Chính +T13</v>
      </c>
      <c r="D819" s="173">
        <v>45808</v>
      </c>
      <c r="E819" s="169" t="s">
        <v>715</v>
      </c>
      <c r="F819" s="169" t="s">
        <v>285</v>
      </c>
      <c r="G819" s="169" t="s">
        <v>286</v>
      </c>
      <c r="H819" s="169" t="s">
        <v>276</v>
      </c>
      <c r="I819" s="169" t="s">
        <v>277</v>
      </c>
      <c r="J819" s="169" t="s">
        <v>716</v>
      </c>
      <c r="K819" s="169" t="s">
        <v>712</v>
      </c>
      <c r="L819" s="169" t="s">
        <v>713</v>
      </c>
      <c r="M819" s="169" t="s">
        <v>281</v>
      </c>
      <c r="N819" s="178">
        <v>117108417</v>
      </c>
      <c r="O819" s="169" t="s">
        <v>717</v>
      </c>
      <c r="P819" s="169" t="s">
        <v>283</v>
      </c>
      <c r="Q819" s="169" t="s">
        <v>284</v>
      </c>
      <c r="R819" s="169" t="s">
        <v>283</v>
      </c>
      <c r="S819" s="169" t="s">
        <v>283</v>
      </c>
      <c r="T819" s="169">
        <v>0</v>
      </c>
    </row>
    <row r="820" spans="2:20" x14ac:dyDescent="0.2">
      <c r="B820" s="167" t="str">
        <f>_xlfn.XLOOKUP(I820,Mapping!D:D,Mapping!E:E)</f>
        <v>Ban Giám Đốc</v>
      </c>
      <c r="C820" s="167" t="str">
        <f>_xlfn.XLOOKUP(F820,Mapping!A:A,Mapping!F:F)</f>
        <v>Thưởng</v>
      </c>
      <c r="D820" s="173">
        <v>45808</v>
      </c>
      <c r="E820" s="169" t="s">
        <v>710</v>
      </c>
      <c r="F820" s="169" t="s">
        <v>290</v>
      </c>
      <c r="G820" s="169" t="s">
        <v>291</v>
      </c>
      <c r="H820" s="169" t="s">
        <v>276</v>
      </c>
      <c r="I820" s="169" t="s">
        <v>277</v>
      </c>
      <c r="J820" s="169" t="s">
        <v>711</v>
      </c>
      <c r="K820" s="169" t="s">
        <v>712</v>
      </c>
      <c r="L820" s="169" t="s">
        <v>713</v>
      </c>
      <c r="M820" s="169" t="s">
        <v>281</v>
      </c>
      <c r="N820" s="178">
        <v>2600000</v>
      </c>
      <c r="O820" s="169" t="s">
        <v>714</v>
      </c>
      <c r="P820" s="169" t="s">
        <v>283</v>
      </c>
      <c r="Q820" s="169" t="s">
        <v>284</v>
      </c>
      <c r="R820" s="169" t="s">
        <v>283</v>
      </c>
      <c r="S820" s="169" t="s">
        <v>283</v>
      </c>
      <c r="T820" s="169">
        <v>0</v>
      </c>
    </row>
    <row r="821" spans="2:20" x14ac:dyDescent="0.2">
      <c r="B821" s="167" t="str">
        <f>_xlfn.XLOOKUP(I821,Mapping!D:D,Mapping!E:E)</f>
        <v>Ban Giám Đốc</v>
      </c>
      <c r="C821" s="167" t="str">
        <f>_xlfn.XLOOKUP(F821,Mapping!A:A,Mapping!F:F)</f>
        <v>Thưởng</v>
      </c>
      <c r="D821" s="173">
        <v>45808</v>
      </c>
      <c r="E821" s="169" t="s">
        <v>715</v>
      </c>
      <c r="F821" s="169" t="s">
        <v>292</v>
      </c>
      <c r="G821" s="169" t="s">
        <v>77</v>
      </c>
      <c r="H821" s="169" t="s">
        <v>276</v>
      </c>
      <c r="I821" s="169" t="s">
        <v>277</v>
      </c>
      <c r="J821" s="169" t="s">
        <v>718</v>
      </c>
      <c r="K821" s="169" t="s">
        <v>712</v>
      </c>
      <c r="L821" s="169" t="s">
        <v>713</v>
      </c>
      <c r="M821" s="169" t="s">
        <v>281</v>
      </c>
      <c r="N821" s="178">
        <v>107738806</v>
      </c>
      <c r="O821" s="169" t="s">
        <v>717</v>
      </c>
      <c r="P821" s="169" t="s">
        <v>283</v>
      </c>
      <c r="Q821" s="169" t="s">
        <v>284</v>
      </c>
      <c r="R821" s="169" t="s">
        <v>283</v>
      </c>
      <c r="S821" s="169" t="s">
        <v>283</v>
      </c>
      <c r="T821" s="169">
        <v>0</v>
      </c>
    </row>
    <row r="822" spans="2:20" x14ac:dyDescent="0.2">
      <c r="B822" s="167" t="str">
        <f>_xlfn.XLOOKUP(I822,Mapping!D:D,Mapping!E:E)</f>
        <v>Ban Giám Đốc</v>
      </c>
      <c r="C822" s="167" t="str">
        <f>_xlfn.XLOOKUP(F822,Mapping!A:A,Mapping!F:F)</f>
        <v>BHXH, BHYT, KPCĐ</v>
      </c>
      <c r="D822" s="173">
        <v>45808</v>
      </c>
      <c r="E822" s="169" t="s">
        <v>719</v>
      </c>
      <c r="F822" s="169" t="s">
        <v>295</v>
      </c>
      <c r="G822" s="169" t="s">
        <v>296</v>
      </c>
      <c r="H822" s="169" t="s">
        <v>276</v>
      </c>
      <c r="I822" s="169" t="s">
        <v>277</v>
      </c>
      <c r="J822" s="169" t="s">
        <v>720</v>
      </c>
      <c r="K822" s="169" t="s">
        <v>712</v>
      </c>
      <c r="L822" s="169" t="s">
        <v>713</v>
      </c>
      <c r="M822" s="169" t="s">
        <v>281</v>
      </c>
      <c r="N822" s="178">
        <v>124672010</v>
      </c>
      <c r="O822" s="169" t="s">
        <v>721</v>
      </c>
      <c r="P822" s="169" t="s">
        <v>283</v>
      </c>
      <c r="Q822" s="169" t="s">
        <v>284</v>
      </c>
      <c r="R822" s="169" t="s">
        <v>283</v>
      </c>
      <c r="S822" s="169" t="s">
        <v>283</v>
      </c>
      <c r="T822" s="169">
        <v>0</v>
      </c>
    </row>
    <row r="823" spans="2:20" x14ac:dyDescent="0.2">
      <c r="B823" s="167" t="str">
        <f>_xlfn.XLOOKUP(I823,Mapping!D:D,Mapping!E:E)</f>
        <v>Hành Chánh Nhân Sự</v>
      </c>
      <c r="C823" s="167" t="str">
        <f>_xlfn.XLOOKUP(F823,Mapping!A:A,Mapping!F:F)</f>
        <v>Khen thưởng BD khác</v>
      </c>
      <c r="D823" s="173">
        <v>45778</v>
      </c>
      <c r="E823" s="169" t="s">
        <v>722</v>
      </c>
      <c r="F823" s="169" t="s">
        <v>300</v>
      </c>
      <c r="G823" s="169" t="s">
        <v>222</v>
      </c>
      <c r="H823" s="169" t="s">
        <v>301</v>
      </c>
      <c r="I823" s="169" t="s">
        <v>302</v>
      </c>
      <c r="J823" s="169" t="s">
        <v>723</v>
      </c>
      <c r="K823" s="169" t="s">
        <v>724</v>
      </c>
      <c r="L823" s="169" t="s">
        <v>713</v>
      </c>
      <c r="M823" s="169" t="s">
        <v>281</v>
      </c>
      <c r="N823" s="178">
        <v>2400000</v>
      </c>
      <c r="O823" s="169" t="s">
        <v>725</v>
      </c>
      <c r="P823" s="169" t="s">
        <v>283</v>
      </c>
      <c r="Q823" s="169" t="s">
        <v>306</v>
      </c>
      <c r="R823" s="169" t="s">
        <v>283</v>
      </c>
      <c r="S823" s="169" t="s">
        <v>283</v>
      </c>
      <c r="T823" s="169">
        <v>0</v>
      </c>
    </row>
    <row r="824" spans="2:20" x14ac:dyDescent="0.2">
      <c r="B824" s="167" t="str">
        <f>_xlfn.XLOOKUP(I824,Mapping!D:D,Mapping!E:E)</f>
        <v>Hành Chánh Nhân Sự</v>
      </c>
      <c r="C824" s="167" t="str">
        <f>_xlfn.XLOOKUP(F824,Mapping!A:A,Mapping!F:F)</f>
        <v>Khen thưởng BD khác</v>
      </c>
      <c r="D824" s="173">
        <v>45778</v>
      </c>
      <c r="E824" s="169" t="s">
        <v>726</v>
      </c>
      <c r="F824" s="169" t="s">
        <v>300</v>
      </c>
      <c r="G824" s="169" t="s">
        <v>222</v>
      </c>
      <c r="H824" s="169" t="s">
        <v>301</v>
      </c>
      <c r="I824" s="169" t="s">
        <v>302</v>
      </c>
      <c r="J824" s="169" t="s">
        <v>727</v>
      </c>
      <c r="K824" s="169" t="s">
        <v>724</v>
      </c>
      <c r="L824" s="169" t="s">
        <v>713</v>
      </c>
      <c r="M824" s="169" t="s">
        <v>281</v>
      </c>
      <c r="N824" s="178">
        <v>2400000</v>
      </c>
      <c r="O824" s="169" t="s">
        <v>728</v>
      </c>
      <c r="P824" s="169" t="s">
        <v>283</v>
      </c>
      <c r="Q824" s="169" t="s">
        <v>306</v>
      </c>
      <c r="R824" s="169" t="s">
        <v>283</v>
      </c>
      <c r="S824" s="169" t="s">
        <v>283</v>
      </c>
      <c r="T824" s="169">
        <v>0</v>
      </c>
    </row>
    <row r="825" spans="2:20" x14ac:dyDescent="0.2">
      <c r="B825" s="167" t="str">
        <f>_xlfn.XLOOKUP(I825,Mapping!D:D,Mapping!E:E)</f>
        <v>Hành Chánh Nhân Sự</v>
      </c>
      <c r="C825" s="167" t="str">
        <f>_xlfn.XLOOKUP(F825,Mapping!A:A,Mapping!F:F)</f>
        <v>Khen thưởng BD khác</v>
      </c>
      <c r="D825" s="173">
        <v>45798</v>
      </c>
      <c r="E825" s="169" t="s">
        <v>729</v>
      </c>
      <c r="F825" s="169" t="s">
        <v>300</v>
      </c>
      <c r="G825" s="169" t="s">
        <v>222</v>
      </c>
      <c r="H825" s="169" t="s">
        <v>301</v>
      </c>
      <c r="I825" s="169" t="s">
        <v>302</v>
      </c>
      <c r="J825" s="169" t="s">
        <v>730</v>
      </c>
      <c r="K825" s="169" t="s">
        <v>731</v>
      </c>
      <c r="L825" s="169" t="s">
        <v>713</v>
      </c>
      <c r="M825" s="169" t="s">
        <v>281</v>
      </c>
      <c r="N825" s="178">
        <v>-6175000</v>
      </c>
      <c r="O825" s="169" t="s">
        <v>732</v>
      </c>
      <c r="P825" s="169" t="s">
        <v>283</v>
      </c>
      <c r="Q825" s="169" t="s">
        <v>284</v>
      </c>
      <c r="R825" s="169" t="s">
        <v>283</v>
      </c>
      <c r="S825" s="169" t="s">
        <v>283</v>
      </c>
      <c r="T825" s="169">
        <v>0</v>
      </c>
    </row>
    <row r="826" spans="2:20" x14ac:dyDescent="0.2">
      <c r="B826" s="167" t="str">
        <f>_xlfn.XLOOKUP(I826,Mapping!D:D,Mapping!E:E)</f>
        <v>Hành Chánh Nhân Sự</v>
      </c>
      <c r="C826" s="167" t="str">
        <f>_xlfn.XLOOKUP(F826,Mapping!A:A,Mapping!F:F)</f>
        <v>Lương Chính +T13</v>
      </c>
      <c r="D826" s="173">
        <v>45798</v>
      </c>
      <c r="E826" s="169" t="s">
        <v>729</v>
      </c>
      <c r="F826" s="169" t="s">
        <v>274</v>
      </c>
      <c r="G826" s="169" t="s">
        <v>275</v>
      </c>
      <c r="H826" s="169" t="s">
        <v>301</v>
      </c>
      <c r="I826" s="169" t="s">
        <v>302</v>
      </c>
      <c r="J826" s="169" t="s">
        <v>730</v>
      </c>
      <c r="K826" s="169" t="s">
        <v>731</v>
      </c>
      <c r="L826" s="169" t="s">
        <v>713</v>
      </c>
      <c r="M826" s="169" t="s">
        <v>281</v>
      </c>
      <c r="N826" s="178">
        <v>-13016446</v>
      </c>
      <c r="O826" s="169" t="s">
        <v>732</v>
      </c>
      <c r="P826" s="169" t="s">
        <v>283</v>
      </c>
      <c r="Q826" s="169" t="s">
        <v>284</v>
      </c>
      <c r="R826" s="169" t="s">
        <v>283</v>
      </c>
      <c r="S826" s="169" t="s">
        <v>283</v>
      </c>
      <c r="T826" s="169">
        <v>0</v>
      </c>
    </row>
    <row r="827" spans="2:20" x14ac:dyDescent="0.2">
      <c r="B827" s="167" t="str">
        <f>_xlfn.XLOOKUP(I827,Mapping!D:D,Mapping!E:E)</f>
        <v>Văn Phòng Giám Đốc</v>
      </c>
      <c r="C827" s="167" t="str">
        <f>_xlfn.XLOOKUP(F827,Mapping!A:A,Mapping!F:F)</f>
        <v>Lương Chính +T13</v>
      </c>
      <c r="D827" s="173">
        <v>45808</v>
      </c>
      <c r="E827" s="169" t="s">
        <v>710</v>
      </c>
      <c r="F827" s="169" t="s">
        <v>274</v>
      </c>
      <c r="G827" s="169" t="s">
        <v>275</v>
      </c>
      <c r="H827" s="169" t="s">
        <v>320</v>
      </c>
      <c r="I827" s="169" t="s">
        <v>321</v>
      </c>
      <c r="J827" s="169" t="s">
        <v>711</v>
      </c>
      <c r="K827" s="169" t="s">
        <v>712</v>
      </c>
      <c r="L827" s="169" t="s">
        <v>713</v>
      </c>
      <c r="M827" s="169" t="s">
        <v>281</v>
      </c>
      <c r="N827" s="178">
        <v>77896034</v>
      </c>
      <c r="O827" s="169" t="s">
        <v>714</v>
      </c>
      <c r="P827" s="169" t="s">
        <v>283</v>
      </c>
      <c r="Q827" s="169" t="s">
        <v>284</v>
      </c>
      <c r="R827" s="169" t="s">
        <v>283</v>
      </c>
      <c r="S827" s="169" t="s">
        <v>283</v>
      </c>
      <c r="T827" s="169">
        <v>0</v>
      </c>
    </row>
    <row r="828" spans="2:20" x14ac:dyDescent="0.2">
      <c r="B828" s="167" t="str">
        <f>_xlfn.XLOOKUP(I828,Mapping!D:D,Mapping!E:E)</f>
        <v>Văn Phòng Giám Đốc</v>
      </c>
      <c r="C828" s="167" t="str">
        <f>_xlfn.XLOOKUP(F828,Mapping!A:A,Mapping!F:F)</f>
        <v>Lương Chính +T13</v>
      </c>
      <c r="D828" s="173">
        <v>45808</v>
      </c>
      <c r="E828" s="169" t="s">
        <v>710</v>
      </c>
      <c r="F828" s="169" t="s">
        <v>285</v>
      </c>
      <c r="G828" s="169" t="s">
        <v>286</v>
      </c>
      <c r="H828" s="169" t="s">
        <v>320</v>
      </c>
      <c r="I828" s="169" t="s">
        <v>321</v>
      </c>
      <c r="J828" s="169" t="s">
        <v>711</v>
      </c>
      <c r="K828" s="169" t="s">
        <v>712</v>
      </c>
      <c r="L828" s="169" t="s">
        <v>713</v>
      </c>
      <c r="M828" s="169" t="s">
        <v>281</v>
      </c>
      <c r="N828" s="178">
        <v>4715385</v>
      </c>
      <c r="O828" s="169" t="s">
        <v>714</v>
      </c>
      <c r="P828" s="169" t="s">
        <v>283</v>
      </c>
      <c r="Q828" s="169" t="s">
        <v>284</v>
      </c>
      <c r="R828" s="169" t="s">
        <v>283</v>
      </c>
      <c r="S828" s="169" t="s">
        <v>283</v>
      </c>
      <c r="T828" s="169">
        <v>0</v>
      </c>
    </row>
    <row r="829" spans="2:20" x14ac:dyDescent="0.2">
      <c r="B829" s="167" t="str">
        <f>_xlfn.XLOOKUP(I829,Mapping!D:D,Mapping!E:E)</f>
        <v>Văn Phòng Giám Đốc</v>
      </c>
      <c r="C829" s="167" t="str">
        <f>_xlfn.XLOOKUP(F829,Mapping!A:A,Mapping!F:F)</f>
        <v>Thưởng</v>
      </c>
      <c r="D829" s="173">
        <v>45808</v>
      </c>
      <c r="E829" s="169" t="s">
        <v>710</v>
      </c>
      <c r="F829" s="169" t="s">
        <v>290</v>
      </c>
      <c r="G829" s="169" t="s">
        <v>291</v>
      </c>
      <c r="H829" s="169" t="s">
        <v>320</v>
      </c>
      <c r="I829" s="169" t="s">
        <v>321</v>
      </c>
      <c r="J829" s="169" t="s">
        <v>711</v>
      </c>
      <c r="K829" s="169" t="s">
        <v>712</v>
      </c>
      <c r="L829" s="169" t="s">
        <v>713</v>
      </c>
      <c r="M829" s="169" t="s">
        <v>281</v>
      </c>
      <c r="N829" s="178">
        <v>600000</v>
      </c>
      <c r="O829" s="169" t="s">
        <v>714</v>
      </c>
      <c r="P829" s="169" t="s">
        <v>283</v>
      </c>
      <c r="Q829" s="169" t="s">
        <v>284</v>
      </c>
      <c r="R829" s="169" t="s">
        <v>283</v>
      </c>
      <c r="S829" s="169" t="s">
        <v>283</v>
      </c>
      <c r="T829" s="169">
        <v>0</v>
      </c>
    </row>
    <row r="830" spans="2:20" x14ac:dyDescent="0.2">
      <c r="B830" s="167" t="str">
        <f>_xlfn.XLOOKUP(I830,Mapping!D:D,Mapping!E:E)</f>
        <v>Văn Phòng Giám Đốc</v>
      </c>
      <c r="C830" s="167" t="str">
        <f>_xlfn.XLOOKUP(F830,Mapping!A:A,Mapping!F:F)</f>
        <v>Phụ Cấp</v>
      </c>
      <c r="D830" s="173">
        <v>45808</v>
      </c>
      <c r="E830" s="169" t="s">
        <v>710</v>
      </c>
      <c r="F830" s="169" t="s">
        <v>335</v>
      </c>
      <c r="G830" s="169" t="s">
        <v>336</v>
      </c>
      <c r="H830" s="169" t="s">
        <v>320</v>
      </c>
      <c r="I830" s="169" t="s">
        <v>321</v>
      </c>
      <c r="J830" s="169" t="s">
        <v>711</v>
      </c>
      <c r="K830" s="169" t="s">
        <v>712</v>
      </c>
      <c r="L830" s="169" t="s">
        <v>713</v>
      </c>
      <c r="M830" s="169" t="s">
        <v>281</v>
      </c>
      <c r="N830" s="178">
        <v>50000</v>
      </c>
      <c r="O830" s="169" t="s">
        <v>714</v>
      </c>
      <c r="P830" s="169" t="s">
        <v>283</v>
      </c>
      <c r="Q830" s="169" t="s">
        <v>284</v>
      </c>
      <c r="R830" s="169" t="s">
        <v>283</v>
      </c>
      <c r="S830" s="169" t="s">
        <v>283</v>
      </c>
      <c r="T830" s="169">
        <v>0</v>
      </c>
    </row>
    <row r="831" spans="2:20" x14ac:dyDescent="0.2">
      <c r="B831" s="167" t="str">
        <f>_xlfn.XLOOKUP(I831,Mapping!D:D,Mapping!E:E)</f>
        <v>Hành Chánh Nhân Sự</v>
      </c>
      <c r="C831" s="167" t="str">
        <f>_xlfn.XLOOKUP(F831,Mapping!A:A,Mapping!F:F)</f>
        <v>Phụ Cấp</v>
      </c>
      <c r="D831" s="173">
        <v>45808</v>
      </c>
      <c r="E831" s="169" t="s">
        <v>710</v>
      </c>
      <c r="F831" s="169" t="s">
        <v>340</v>
      </c>
      <c r="G831" s="169" t="s">
        <v>341</v>
      </c>
      <c r="H831" s="169" t="s">
        <v>301</v>
      </c>
      <c r="I831" s="169" t="s">
        <v>302</v>
      </c>
      <c r="J831" s="169" t="s">
        <v>711</v>
      </c>
      <c r="K831" s="169" t="s">
        <v>712</v>
      </c>
      <c r="L831" s="169" t="s">
        <v>713</v>
      </c>
      <c r="M831" s="169" t="s">
        <v>281</v>
      </c>
      <c r="N831" s="178">
        <v>7896386</v>
      </c>
      <c r="O831" s="169" t="s">
        <v>714</v>
      </c>
      <c r="P831" s="169" t="s">
        <v>283</v>
      </c>
      <c r="Q831" s="169" t="s">
        <v>284</v>
      </c>
      <c r="R831" s="169" t="s">
        <v>283</v>
      </c>
      <c r="S831" s="169" t="s">
        <v>283</v>
      </c>
      <c r="T831" s="169">
        <v>0</v>
      </c>
    </row>
    <row r="832" spans="2:20" x14ac:dyDescent="0.2">
      <c r="B832" s="167" t="str">
        <f>_xlfn.XLOOKUP(I832,Mapping!D:D,Mapping!E:E)</f>
        <v>Hành Chánh Nhân Sự</v>
      </c>
      <c r="C832" s="167" t="str">
        <f>_xlfn.XLOOKUP(F832,Mapping!A:A,Mapping!F:F)</f>
        <v>Lương Chính +T13</v>
      </c>
      <c r="D832" s="173">
        <v>45808</v>
      </c>
      <c r="E832" s="169" t="s">
        <v>710</v>
      </c>
      <c r="F832" s="169" t="s">
        <v>274</v>
      </c>
      <c r="G832" s="169" t="s">
        <v>275</v>
      </c>
      <c r="H832" s="169" t="s">
        <v>301</v>
      </c>
      <c r="I832" s="169" t="s">
        <v>302</v>
      </c>
      <c r="J832" s="169" t="s">
        <v>711</v>
      </c>
      <c r="K832" s="169" t="s">
        <v>712</v>
      </c>
      <c r="L832" s="169" t="s">
        <v>713</v>
      </c>
      <c r="M832" s="169" t="s">
        <v>281</v>
      </c>
      <c r="N832" s="178">
        <v>430137102</v>
      </c>
      <c r="O832" s="169" t="s">
        <v>714</v>
      </c>
      <c r="P832" s="169" t="s">
        <v>283</v>
      </c>
      <c r="Q832" s="169" t="s">
        <v>284</v>
      </c>
      <c r="R832" s="169" t="s">
        <v>283</v>
      </c>
      <c r="S832" s="169" t="s">
        <v>283</v>
      </c>
      <c r="T832" s="169">
        <v>0</v>
      </c>
    </row>
    <row r="833" spans="2:20" x14ac:dyDescent="0.2">
      <c r="B833" s="167" t="str">
        <f>_xlfn.XLOOKUP(I833,Mapping!D:D,Mapping!E:E)</f>
        <v>Hành Chánh Nhân Sự</v>
      </c>
      <c r="C833" s="167" t="str">
        <f>_xlfn.XLOOKUP(F833,Mapping!A:A,Mapping!F:F)</f>
        <v>Lương Chính +T13</v>
      </c>
      <c r="D833" s="173">
        <v>45808</v>
      </c>
      <c r="E833" s="169" t="s">
        <v>710</v>
      </c>
      <c r="F833" s="169" t="s">
        <v>285</v>
      </c>
      <c r="G833" s="169" t="s">
        <v>286</v>
      </c>
      <c r="H833" s="169" t="s">
        <v>301</v>
      </c>
      <c r="I833" s="169" t="s">
        <v>302</v>
      </c>
      <c r="J833" s="169" t="s">
        <v>711</v>
      </c>
      <c r="K833" s="169" t="s">
        <v>712</v>
      </c>
      <c r="L833" s="169" t="s">
        <v>713</v>
      </c>
      <c r="M833" s="169" t="s">
        <v>281</v>
      </c>
      <c r="N833" s="178">
        <v>21053632</v>
      </c>
      <c r="O833" s="169" t="s">
        <v>714</v>
      </c>
      <c r="P833" s="169" t="s">
        <v>283</v>
      </c>
      <c r="Q833" s="169" t="s">
        <v>284</v>
      </c>
      <c r="R833" s="169" t="s">
        <v>283</v>
      </c>
      <c r="S833" s="169" t="s">
        <v>283</v>
      </c>
      <c r="T833" s="169">
        <v>0</v>
      </c>
    </row>
    <row r="834" spans="2:20" x14ac:dyDescent="0.2">
      <c r="B834" s="167" t="str">
        <f>_xlfn.XLOOKUP(I834,Mapping!D:D,Mapping!E:E)</f>
        <v>Hành Chánh Nhân Sự</v>
      </c>
      <c r="C834" s="167" t="str">
        <f>_xlfn.XLOOKUP(F834,Mapping!A:A,Mapping!F:F)</f>
        <v>Lương Ngoài giờ</v>
      </c>
      <c r="D834" s="173">
        <v>45808</v>
      </c>
      <c r="E834" s="169" t="s">
        <v>710</v>
      </c>
      <c r="F834" s="169" t="s">
        <v>342</v>
      </c>
      <c r="G834" s="169" t="s">
        <v>343</v>
      </c>
      <c r="H834" s="169" t="s">
        <v>301</v>
      </c>
      <c r="I834" s="169" t="s">
        <v>302</v>
      </c>
      <c r="J834" s="169" t="s">
        <v>711</v>
      </c>
      <c r="K834" s="169" t="s">
        <v>712</v>
      </c>
      <c r="L834" s="169" t="s">
        <v>713</v>
      </c>
      <c r="M834" s="169" t="s">
        <v>281</v>
      </c>
      <c r="N834" s="178">
        <v>102736172</v>
      </c>
      <c r="O834" s="169" t="s">
        <v>714</v>
      </c>
      <c r="P834" s="169" t="s">
        <v>283</v>
      </c>
      <c r="Q834" s="169" t="s">
        <v>284</v>
      </c>
      <c r="R834" s="169" t="s">
        <v>283</v>
      </c>
      <c r="S834" s="169" t="s">
        <v>283</v>
      </c>
      <c r="T834" s="169">
        <v>0</v>
      </c>
    </row>
    <row r="835" spans="2:20" x14ac:dyDescent="0.2">
      <c r="B835" s="167" t="str">
        <f>_xlfn.XLOOKUP(I835,Mapping!D:D,Mapping!E:E)</f>
        <v>Hành Chánh Nhân Sự</v>
      </c>
      <c r="C835" s="167" t="str">
        <f>_xlfn.XLOOKUP(F835,Mapping!A:A,Mapping!F:F)</f>
        <v>Thưởng</v>
      </c>
      <c r="D835" s="173">
        <v>45808</v>
      </c>
      <c r="E835" s="169" t="s">
        <v>710</v>
      </c>
      <c r="F835" s="169" t="s">
        <v>290</v>
      </c>
      <c r="G835" s="169" t="s">
        <v>291</v>
      </c>
      <c r="H835" s="169" t="s">
        <v>301</v>
      </c>
      <c r="I835" s="169" t="s">
        <v>302</v>
      </c>
      <c r="J835" s="169" t="s">
        <v>711</v>
      </c>
      <c r="K835" s="169" t="s">
        <v>712</v>
      </c>
      <c r="L835" s="169" t="s">
        <v>713</v>
      </c>
      <c r="M835" s="169" t="s">
        <v>281</v>
      </c>
      <c r="N835" s="178">
        <v>7000000</v>
      </c>
      <c r="O835" s="169" t="s">
        <v>714</v>
      </c>
      <c r="P835" s="169" t="s">
        <v>283</v>
      </c>
      <c r="Q835" s="169" t="s">
        <v>284</v>
      </c>
      <c r="R835" s="169" t="s">
        <v>283</v>
      </c>
      <c r="S835" s="169" t="s">
        <v>283</v>
      </c>
      <c r="T835" s="169">
        <v>0</v>
      </c>
    </row>
    <row r="836" spans="2:20" x14ac:dyDescent="0.2">
      <c r="B836" s="167" t="str">
        <f>_xlfn.XLOOKUP(I836,Mapping!D:D,Mapping!E:E)</f>
        <v>Hành Chánh Nhân Sự</v>
      </c>
      <c r="C836" s="167" t="str">
        <f>_xlfn.XLOOKUP(F836,Mapping!A:A,Mapping!F:F)</f>
        <v>Phụ Cấp</v>
      </c>
      <c r="D836" s="173">
        <v>45808</v>
      </c>
      <c r="E836" s="169" t="s">
        <v>710</v>
      </c>
      <c r="F836" s="169" t="s">
        <v>335</v>
      </c>
      <c r="G836" s="169" t="s">
        <v>336</v>
      </c>
      <c r="H836" s="169" t="s">
        <v>301</v>
      </c>
      <c r="I836" s="169" t="s">
        <v>302</v>
      </c>
      <c r="J836" s="169" t="s">
        <v>711</v>
      </c>
      <c r="K836" s="169" t="s">
        <v>712</v>
      </c>
      <c r="L836" s="169" t="s">
        <v>713</v>
      </c>
      <c r="M836" s="169" t="s">
        <v>281</v>
      </c>
      <c r="N836" s="178">
        <v>5410000</v>
      </c>
      <c r="O836" s="169" t="s">
        <v>714</v>
      </c>
      <c r="P836" s="169" t="s">
        <v>283</v>
      </c>
      <c r="Q836" s="169" t="s">
        <v>284</v>
      </c>
      <c r="R836" s="169" t="s">
        <v>283</v>
      </c>
      <c r="S836" s="169" t="s">
        <v>283</v>
      </c>
      <c r="T836" s="169">
        <v>0</v>
      </c>
    </row>
    <row r="837" spans="2:20" x14ac:dyDescent="0.2">
      <c r="B837" s="167" t="str">
        <f>_xlfn.XLOOKUP(I837,Mapping!D:D,Mapping!E:E)</f>
        <v>Văn Phòng Giám Đốc</v>
      </c>
      <c r="C837" s="167" t="str">
        <f>_xlfn.XLOOKUP(F837,Mapping!A:A,Mapping!F:F)</f>
        <v>Lương Chính +T13</v>
      </c>
      <c r="D837" s="173">
        <v>45808</v>
      </c>
      <c r="E837" s="169" t="s">
        <v>715</v>
      </c>
      <c r="F837" s="169" t="s">
        <v>285</v>
      </c>
      <c r="G837" s="169" t="s">
        <v>286</v>
      </c>
      <c r="H837" s="169" t="s">
        <v>320</v>
      </c>
      <c r="I837" s="169" t="s">
        <v>321</v>
      </c>
      <c r="J837" s="169" t="s">
        <v>716</v>
      </c>
      <c r="K837" s="169" t="s">
        <v>712</v>
      </c>
      <c r="L837" s="169" t="s">
        <v>713</v>
      </c>
      <c r="M837" s="169" t="s">
        <v>281</v>
      </c>
      <c r="N837" s="178">
        <v>7270833</v>
      </c>
      <c r="O837" s="169" t="s">
        <v>717</v>
      </c>
      <c r="P837" s="169" t="s">
        <v>283</v>
      </c>
      <c r="Q837" s="169" t="s">
        <v>284</v>
      </c>
      <c r="R837" s="169" t="s">
        <v>283</v>
      </c>
      <c r="S837" s="169" t="s">
        <v>283</v>
      </c>
      <c r="T837" s="169">
        <v>0</v>
      </c>
    </row>
    <row r="838" spans="2:20" x14ac:dyDescent="0.2">
      <c r="B838" s="167" t="str">
        <f>_xlfn.XLOOKUP(I838,Mapping!D:D,Mapping!E:E)</f>
        <v>Văn Phòng Giám Đốc</v>
      </c>
      <c r="C838" s="167" t="str">
        <f>_xlfn.XLOOKUP(F838,Mapping!A:A,Mapping!F:F)</f>
        <v>Thưởng</v>
      </c>
      <c r="D838" s="173">
        <v>45808</v>
      </c>
      <c r="E838" s="169" t="s">
        <v>715</v>
      </c>
      <c r="F838" s="169" t="s">
        <v>292</v>
      </c>
      <c r="G838" s="169" t="s">
        <v>77</v>
      </c>
      <c r="H838" s="169" t="s">
        <v>320</v>
      </c>
      <c r="I838" s="169" t="s">
        <v>321</v>
      </c>
      <c r="J838" s="169" t="s">
        <v>718</v>
      </c>
      <c r="K838" s="169" t="s">
        <v>712</v>
      </c>
      <c r="L838" s="169" t="s">
        <v>713</v>
      </c>
      <c r="M838" s="169" t="s">
        <v>281</v>
      </c>
      <c r="N838" s="178">
        <v>6689109</v>
      </c>
      <c r="O838" s="169" t="s">
        <v>717</v>
      </c>
      <c r="P838" s="169" t="s">
        <v>283</v>
      </c>
      <c r="Q838" s="169" t="s">
        <v>284</v>
      </c>
      <c r="R838" s="169" t="s">
        <v>283</v>
      </c>
      <c r="S838" s="169" t="s">
        <v>283</v>
      </c>
      <c r="T838" s="169">
        <v>0</v>
      </c>
    </row>
    <row r="839" spans="2:20" x14ac:dyDescent="0.2">
      <c r="B839" s="167" t="str">
        <f>_xlfn.XLOOKUP(I839,Mapping!D:D,Mapping!E:E)</f>
        <v>Hành Chánh Nhân Sự</v>
      </c>
      <c r="C839" s="167" t="str">
        <f>_xlfn.XLOOKUP(F839,Mapping!A:A,Mapping!F:F)</f>
        <v>Lương Chính +T13</v>
      </c>
      <c r="D839" s="173">
        <v>45808</v>
      </c>
      <c r="E839" s="169" t="s">
        <v>715</v>
      </c>
      <c r="F839" s="169" t="s">
        <v>285</v>
      </c>
      <c r="G839" s="169" t="s">
        <v>286</v>
      </c>
      <c r="H839" s="169" t="s">
        <v>301</v>
      </c>
      <c r="I839" s="169" t="s">
        <v>302</v>
      </c>
      <c r="J839" s="169" t="s">
        <v>716</v>
      </c>
      <c r="K839" s="169" t="s">
        <v>712</v>
      </c>
      <c r="L839" s="169" t="s">
        <v>713</v>
      </c>
      <c r="M839" s="169" t="s">
        <v>281</v>
      </c>
      <c r="N839" s="178">
        <v>40707728</v>
      </c>
      <c r="O839" s="169" t="s">
        <v>717</v>
      </c>
      <c r="P839" s="169" t="s">
        <v>283</v>
      </c>
      <c r="Q839" s="169" t="s">
        <v>284</v>
      </c>
      <c r="R839" s="169" t="s">
        <v>283</v>
      </c>
      <c r="S839" s="169" t="s">
        <v>283</v>
      </c>
      <c r="T839" s="169">
        <v>0</v>
      </c>
    </row>
    <row r="840" spans="2:20" x14ac:dyDescent="0.2">
      <c r="B840" s="167" t="str">
        <f>_xlfn.XLOOKUP(I840,Mapping!D:D,Mapping!E:E)</f>
        <v>Hành Chánh Nhân Sự</v>
      </c>
      <c r="C840" s="167" t="str">
        <f>_xlfn.XLOOKUP(F840,Mapping!A:A,Mapping!F:F)</f>
        <v>Thưởng</v>
      </c>
      <c r="D840" s="173">
        <v>45808</v>
      </c>
      <c r="E840" s="169" t="s">
        <v>715</v>
      </c>
      <c r="F840" s="169" t="s">
        <v>292</v>
      </c>
      <c r="G840" s="169" t="s">
        <v>77</v>
      </c>
      <c r="H840" s="169" t="s">
        <v>301</v>
      </c>
      <c r="I840" s="169" t="s">
        <v>302</v>
      </c>
      <c r="J840" s="169" t="s">
        <v>718</v>
      </c>
      <c r="K840" s="169" t="s">
        <v>712</v>
      </c>
      <c r="L840" s="169" t="s">
        <v>713</v>
      </c>
      <c r="M840" s="169" t="s">
        <v>281</v>
      </c>
      <c r="N840" s="178">
        <v>32304018</v>
      </c>
      <c r="O840" s="169" t="s">
        <v>717</v>
      </c>
      <c r="P840" s="169" t="s">
        <v>283</v>
      </c>
      <c r="Q840" s="169" t="s">
        <v>284</v>
      </c>
      <c r="R840" s="169" t="s">
        <v>283</v>
      </c>
      <c r="S840" s="169" t="s">
        <v>283</v>
      </c>
      <c r="T840" s="169">
        <v>0</v>
      </c>
    </row>
    <row r="841" spans="2:20" x14ac:dyDescent="0.2">
      <c r="B841" s="167" t="str">
        <f>_xlfn.XLOOKUP(I841,Mapping!D:D,Mapping!E:E)</f>
        <v>Văn Phòng Giám Đốc</v>
      </c>
      <c r="C841" s="167" t="str">
        <f>_xlfn.XLOOKUP(F841,Mapping!A:A,Mapping!F:F)</f>
        <v>BHXH, BHYT, KPCĐ</v>
      </c>
      <c r="D841" s="173">
        <v>45808</v>
      </c>
      <c r="E841" s="169" t="s">
        <v>719</v>
      </c>
      <c r="F841" s="169" t="s">
        <v>295</v>
      </c>
      <c r="G841" s="169" t="s">
        <v>296</v>
      </c>
      <c r="H841" s="169" t="s">
        <v>320</v>
      </c>
      <c r="I841" s="169" t="s">
        <v>321</v>
      </c>
      <c r="J841" s="169" t="s">
        <v>720</v>
      </c>
      <c r="K841" s="169" t="s">
        <v>712</v>
      </c>
      <c r="L841" s="169" t="s">
        <v>713</v>
      </c>
      <c r="M841" s="169" t="s">
        <v>281</v>
      </c>
      <c r="N841" s="178">
        <v>20503750</v>
      </c>
      <c r="O841" s="169" t="s">
        <v>721</v>
      </c>
      <c r="P841" s="169" t="s">
        <v>283</v>
      </c>
      <c r="Q841" s="169" t="s">
        <v>284</v>
      </c>
      <c r="R841" s="169" t="s">
        <v>283</v>
      </c>
      <c r="S841" s="169" t="s">
        <v>283</v>
      </c>
      <c r="T841" s="169">
        <v>0</v>
      </c>
    </row>
    <row r="842" spans="2:20" x14ac:dyDescent="0.2">
      <c r="B842" s="167" t="str">
        <f>_xlfn.XLOOKUP(I842,Mapping!D:D,Mapping!E:E)</f>
        <v>Hành Chánh Nhân Sự</v>
      </c>
      <c r="C842" s="167" t="str">
        <f>_xlfn.XLOOKUP(F842,Mapping!A:A,Mapping!F:F)</f>
        <v>BHXH, BHYT, KPCĐ</v>
      </c>
      <c r="D842" s="173">
        <v>45808</v>
      </c>
      <c r="E842" s="169" t="s">
        <v>719</v>
      </c>
      <c r="F842" s="169" t="s">
        <v>295</v>
      </c>
      <c r="G842" s="169" t="s">
        <v>296</v>
      </c>
      <c r="H842" s="169" t="s">
        <v>301</v>
      </c>
      <c r="I842" s="169" t="s">
        <v>302</v>
      </c>
      <c r="J842" s="169" t="s">
        <v>720</v>
      </c>
      <c r="K842" s="169" t="s">
        <v>712</v>
      </c>
      <c r="L842" s="169" t="s">
        <v>713</v>
      </c>
      <c r="M842" s="169" t="s">
        <v>281</v>
      </c>
      <c r="N842" s="178">
        <v>98200645</v>
      </c>
      <c r="O842" s="169" t="s">
        <v>721</v>
      </c>
      <c r="P842" s="169" t="s">
        <v>283</v>
      </c>
      <c r="Q842" s="169" t="s">
        <v>284</v>
      </c>
      <c r="R842" s="169" t="s">
        <v>283</v>
      </c>
      <c r="S842" s="169" t="s">
        <v>283</v>
      </c>
      <c r="T842" s="169">
        <v>0</v>
      </c>
    </row>
    <row r="843" spans="2:20" x14ac:dyDescent="0.2">
      <c r="B843" s="167" t="str">
        <f>_xlfn.XLOOKUP(I843,Mapping!D:D,Mapping!E:E)</f>
        <v>Hành Chánh Nhân Sự</v>
      </c>
      <c r="C843" s="167" t="str">
        <f>_xlfn.XLOOKUP(F843,Mapping!A:A,Mapping!F:F)</f>
        <v>BHXH, BHYT, KPCĐ</v>
      </c>
      <c r="D843" s="173">
        <v>45808</v>
      </c>
      <c r="E843" s="169" t="s">
        <v>719</v>
      </c>
      <c r="F843" s="169" t="s">
        <v>295</v>
      </c>
      <c r="G843" s="169" t="s">
        <v>296</v>
      </c>
      <c r="H843" s="169" t="s">
        <v>301</v>
      </c>
      <c r="I843" s="169" t="s">
        <v>302</v>
      </c>
      <c r="J843" s="169" t="s">
        <v>720</v>
      </c>
      <c r="K843" s="169" t="s">
        <v>712</v>
      </c>
      <c r="L843" s="169" t="s">
        <v>713</v>
      </c>
      <c r="M843" s="169" t="s">
        <v>281</v>
      </c>
      <c r="N843" s="178">
        <v>1352895</v>
      </c>
      <c r="O843" s="169" t="s">
        <v>721</v>
      </c>
      <c r="P843" s="169" t="s">
        <v>283</v>
      </c>
      <c r="Q843" s="169" t="s">
        <v>284</v>
      </c>
      <c r="R843" s="169" t="s">
        <v>283</v>
      </c>
      <c r="S843" s="169" t="s">
        <v>283</v>
      </c>
      <c r="T843" s="169">
        <v>0</v>
      </c>
    </row>
    <row r="844" spans="2:20" x14ac:dyDescent="0.2">
      <c r="B844" s="167" t="str">
        <f>_xlfn.XLOOKUP(I844,Mapping!D:D,Mapping!E:E)</f>
        <v>Hành Chánh Nhân Sự</v>
      </c>
      <c r="C844" s="167" t="str">
        <f>_xlfn.XLOOKUP(F844,Mapping!A:A,Mapping!F:F)</f>
        <v>Lương Chính +T13</v>
      </c>
      <c r="D844" s="173">
        <v>45808</v>
      </c>
      <c r="E844" s="169" t="s">
        <v>733</v>
      </c>
      <c r="F844" s="169" t="s">
        <v>274</v>
      </c>
      <c r="G844" s="169" t="s">
        <v>275</v>
      </c>
      <c r="H844" s="169" t="s">
        <v>301</v>
      </c>
      <c r="I844" s="169" t="s">
        <v>302</v>
      </c>
      <c r="J844" s="169" t="s">
        <v>734</v>
      </c>
      <c r="K844" s="169" t="s">
        <v>328</v>
      </c>
      <c r="L844" s="169" t="s">
        <v>713</v>
      </c>
      <c r="M844" s="169" t="s">
        <v>281</v>
      </c>
      <c r="N844" s="178">
        <v>84884516</v>
      </c>
      <c r="O844" s="169" t="s">
        <v>735</v>
      </c>
      <c r="P844" s="169" t="s">
        <v>283</v>
      </c>
      <c r="Q844" s="169" t="s">
        <v>306</v>
      </c>
      <c r="R844" s="169" t="s">
        <v>283</v>
      </c>
      <c r="S844" s="169" t="s">
        <v>283</v>
      </c>
      <c r="T844" s="169">
        <v>0</v>
      </c>
    </row>
    <row r="845" spans="2:20" x14ac:dyDescent="0.2">
      <c r="B845" s="167" t="str">
        <f>_xlfn.XLOOKUP(I845,Mapping!D:D,Mapping!E:E)</f>
        <v>Hành Chánh Nhân Sự</v>
      </c>
      <c r="C845" s="167" t="str">
        <f>_xlfn.XLOOKUP(F845,Mapping!A:A,Mapping!F:F)</f>
        <v>Phụ Cấp</v>
      </c>
      <c r="D845" s="173">
        <v>45782</v>
      </c>
      <c r="E845" s="169" t="s">
        <v>736</v>
      </c>
      <c r="F845" s="169" t="s">
        <v>335</v>
      </c>
      <c r="G845" s="169" t="s">
        <v>336</v>
      </c>
      <c r="H845" s="169" t="s">
        <v>301</v>
      </c>
      <c r="I845" s="169" t="s">
        <v>302</v>
      </c>
      <c r="J845" s="169" t="s">
        <v>737</v>
      </c>
      <c r="K845" s="169" t="s">
        <v>338</v>
      </c>
      <c r="L845" s="169" t="s">
        <v>713</v>
      </c>
      <c r="M845" s="169" t="s">
        <v>281</v>
      </c>
      <c r="N845" s="178">
        <v>5900000</v>
      </c>
      <c r="O845" s="169" t="s">
        <v>738</v>
      </c>
      <c r="P845" s="169" t="s">
        <v>283</v>
      </c>
      <c r="Q845" s="169" t="s">
        <v>306</v>
      </c>
      <c r="R845" s="169" t="s">
        <v>283</v>
      </c>
      <c r="S845" s="169" t="s">
        <v>283</v>
      </c>
      <c r="T845" s="169">
        <v>0</v>
      </c>
    </row>
    <row r="846" spans="2:20" x14ac:dyDescent="0.2">
      <c r="B846" s="167" t="str">
        <f>_xlfn.XLOOKUP(I846,Mapping!D:D,Mapping!E:E)</f>
        <v>Văn Phòng Giám Đốc</v>
      </c>
      <c r="C846" s="167" t="str">
        <f>_xlfn.XLOOKUP(F846,Mapping!A:A,Mapping!F:F)</f>
        <v>Phụ Cấp</v>
      </c>
      <c r="D846" s="173">
        <v>45782</v>
      </c>
      <c r="E846" s="169" t="s">
        <v>736</v>
      </c>
      <c r="F846" s="169" t="s">
        <v>335</v>
      </c>
      <c r="G846" s="169" t="s">
        <v>336</v>
      </c>
      <c r="H846" s="169" t="s">
        <v>320</v>
      </c>
      <c r="I846" s="169" t="s">
        <v>321</v>
      </c>
      <c r="J846" s="169" t="s">
        <v>737</v>
      </c>
      <c r="K846" s="169" t="s">
        <v>338</v>
      </c>
      <c r="L846" s="169" t="s">
        <v>713</v>
      </c>
      <c r="M846" s="169" t="s">
        <v>281</v>
      </c>
      <c r="N846" s="178">
        <v>300000</v>
      </c>
      <c r="O846" s="169" t="s">
        <v>738</v>
      </c>
      <c r="P846" s="169" t="s">
        <v>283</v>
      </c>
      <c r="Q846" s="169" t="s">
        <v>306</v>
      </c>
      <c r="R846" s="169" t="s">
        <v>283</v>
      </c>
      <c r="S846" s="169" t="s">
        <v>283</v>
      </c>
      <c r="T846" s="169">
        <v>0</v>
      </c>
    </row>
    <row r="847" spans="2:20" x14ac:dyDescent="0.2">
      <c r="B847" s="167" t="str">
        <f>_xlfn.XLOOKUP(I847,Mapping!D:D,Mapping!E:E)</f>
        <v>Hành Chánh Nhân Sự</v>
      </c>
      <c r="C847" s="167" t="str">
        <f>_xlfn.XLOOKUP(F847,Mapping!A:A,Mapping!F:F)</f>
        <v>Phụ Cấp</v>
      </c>
      <c r="D847" s="173">
        <v>45803</v>
      </c>
      <c r="E847" s="169" t="s">
        <v>739</v>
      </c>
      <c r="F847" s="169" t="s">
        <v>335</v>
      </c>
      <c r="G847" s="169" t="s">
        <v>336</v>
      </c>
      <c r="H847" s="169" t="s">
        <v>301</v>
      </c>
      <c r="I847" s="169" t="s">
        <v>302</v>
      </c>
      <c r="J847" s="169" t="s">
        <v>740</v>
      </c>
      <c r="K847" s="169" t="s">
        <v>741</v>
      </c>
      <c r="L847" s="169" t="s">
        <v>713</v>
      </c>
      <c r="M847" s="169" t="s">
        <v>281</v>
      </c>
      <c r="N847" s="178">
        <v>19925000</v>
      </c>
      <c r="O847" s="169" t="s">
        <v>742</v>
      </c>
      <c r="P847" s="169" t="s">
        <v>283</v>
      </c>
      <c r="Q847" s="169" t="s">
        <v>306</v>
      </c>
      <c r="R847" s="169" t="s">
        <v>283</v>
      </c>
      <c r="S847" s="169" t="s">
        <v>283</v>
      </c>
      <c r="T847" s="169">
        <v>0</v>
      </c>
    </row>
    <row r="848" spans="2:20" x14ac:dyDescent="0.2">
      <c r="B848" s="167" t="str">
        <f>_xlfn.XLOOKUP(I848,Mapping!D:D,Mapping!E:E)</f>
        <v>Văn Phòng Giám Đốc</v>
      </c>
      <c r="C848" s="167" t="str">
        <f>_xlfn.XLOOKUP(F848,Mapping!A:A,Mapping!F:F)</f>
        <v>Phụ Cấp</v>
      </c>
      <c r="D848" s="173">
        <v>45803</v>
      </c>
      <c r="E848" s="169" t="s">
        <v>739</v>
      </c>
      <c r="F848" s="169" t="s">
        <v>335</v>
      </c>
      <c r="G848" s="169" t="s">
        <v>336</v>
      </c>
      <c r="H848" s="169" t="s">
        <v>320</v>
      </c>
      <c r="I848" s="169" t="s">
        <v>321</v>
      </c>
      <c r="J848" s="169" t="s">
        <v>740</v>
      </c>
      <c r="K848" s="169" t="s">
        <v>741</v>
      </c>
      <c r="L848" s="169" t="s">
        <v>713</v>
      </c>
      <c r="M848" s="169" t="s">
        <v>281</v>
      </c>
      <c r="N848" s="178">
        <v>1275000</v>
      </c>
      <c r="O848" s="169" t="s">
        <v>742</v>
      </c>
      <c r="P848" s="169" t="s">
        <v>283</v>
      </c>
      <c r="Q848" s="169" t="s">
        <v>306</v>
      </c>
      <c r="R848" s="169" t="s">
        <v>283</v>
      </c>
      <c r="S848" s="169" t="s">
        <v>283</v>
      </c>
      <c r="T848" s="169">
        <v>0</v>
      </c>
    </row>
    <row r="849" spans="2:20" x14ac:dyDescent="0.2">
      <c r="B849" s="167" t="str">
        <f>_xlfn.XLOOKUP(I849,Mapping!D:D,Mapping!E:E)</f>
        <v>Hành Chánh Nhân Sự</v>
      </c>
      <c r="C849" s="167" t="str">
        <f>_xlfn.XLOOKUP(F849,Mapping!A:A,Mapping!F:F)</f>
        <v>Khen thưởng BD khác</v>
      </c>
      <c r="D849" s="173">
        <v>45808</v>
      </c>
      <c r="E849" s="169" t="s">
        <v>743</v>
      </c>
      <c r="F849" s="169" t="s">
        <v>300</v>
      </c>
      <c r="G849" s="169" t="s">
        <v>222</v>
      </c>
      <c r="H849" s="169" t="s">
        <v>301</v>
      </c>
      <c r="I849" s="169" t="s">
        <v>302</v>
      </c>
      <c r="J849" s="169" t="s">
        <v>744</v>
      </c>
      <c r="K849" s="169" t="s">
        <v>745</v>
      </c>
      <c r="L849" s="169" t="s">
        <v>713</v>
      </c>
      <c r="M849" s="169" t="s">
        <v>281</v>
      </c>
      <c r="N849" s="178">
        <v>5400000</v>
      </c>
      <c r="O849" s="169" t="s">
        <v>746</v>
      </c>
      <c r="P849" s="169" t="s">
        <v>283</v>
      </c>
      <c r="Q849" s="169" t="s">
        <v>306</v>
      </c>
      <c r="R849" s="169" t="s">
        <v>283</v>
      </c>
      <c r="S849" s="169" t="s">
        <v>283</v>
      </c>
      <c r="T849" s="169">
        <v>0</v>
      </c>
    </row>
    <row r="850" spans="2:20" x14ac:dyDescent="0.2">
      <c r="B850" s="167" t="str">
        <f>_xlfn.XLOOKUP(I850,Mapping!D:D,Mapping!E:E)</f>
        <v>Hành Chánh Nhân Sự</v>
      </c>
      <c r="C850" s="167" t="str">
        <f>_xlfn.XLOOKUP(F850,Mapping!A:A,Mapping!F:F)</f>
        <v>Khen thưởng BD khác</v>
      </c>
      <c r="D850" s="173">
        <v>45808</v>
      </c>
      <c r="E850" s="169" t="s">
        <v>747</v>
      </c>
      <c r="F850" s="169" t="s">
        <v>300</v>
      </c>
      <c r="G850" s="169" t="s">
        <v>222</v>
      </c>
      <c r="H850" s="169" t="s">
        <v>301</v>
      </c>
      <c r="I850" s="169" t="s">
        <v>302</v>
      </c>
      <c r="J850" s="169" t="s">
        <v>748</v>
      </c>
      <c r="K850" s="169" t="s">
        <v>724</v>
      </c>
      <c r="L850" s="169" t="s">
        <v>713</v>
      </c>
      <c r="M850" s="169" t="s">
        <v>281</v>
      </c>
      <c r="N850" s="178">
        <v>600000</v>
      </c>
      <c r="O850" s="169" t="s">
        <v>749</v>
      </c>
      <c r="P850" s="169" t="s">
        <v>283</v>
      </c>
      <c r="Q850" s="169" t="s">
        <v>306</v>
      </c>
      <c r="R850" s="169" t="s">
        <v>283</v>
      </c>
      <c r="S850" s="169" t="s">
        <v>283</v>
      </c>
      <c r="T850" s="169">
        <v>0</v>
      </c>
    </row>
    <row r="851" spans="2:20" x14ac:dyDescent="0.2">
      <c r="B851" s="167" t="str">
        <f>_xlfn.XLOOKUP(I851,Mapping!D:D,Mapping!E:E)</f>
        <v>Kinh doanh</v>
      </c>
      <c r="C851" s="167" t="str">
        <f>_xlfn.XLOOKUP(F851,Mapping!A:A,Mapping!F:F)</f>
        <v>Thưởng</v>
      </c>
      <c r="D851" s="173">
        <v>45782</v>
      </c>
      <c r="E851" s="169" t="s">
        <v>750</v>
      </c>
      <c r="F851" s="169" t="s">
        <v>365</v>
      </c>
      <c r="G851" s="169" t="s">
        <v>291</v>
      </c>
      <c r="H851" s="169" t="s">
        <v>366</v>
      </c>
      <c r="I851" s="169" t="s">
        <v>1</v>
      </c>
      <c r="J851" s="169" t="s">
        <v>751</v>
      </c>
      <c r="K851" s="169" t="s">
        <v>752</v>
      </c>
      <c r="L851" s="169" t="s">
        <v>713</v>
      </c>
      <c r="M851" s="169" t="s">
        <v>281</v>
      </c>
      <c r="N851" s="178">
        <v>221682</v>
      </c>
      <c r="O851" s="169" t="s">
        <v>753</v>
      </c>
      <c r="P851" s="169" t="s">
        <v>283</v>
      </c>
      <c r="Q851" s="169" t="s">
        <v>370</v>
      </c>
      <c r="R851" s="169" t="s">
        <v>283</v>
      </c>
      <c r="S851" s="169" t="s">
        <v>283</v>
      </c>
      <c r="T851" s="169">
        <v>0</v>
      </c>
    </row>
    <row r="852" spans="2:20" x14ac:dyDescent="0.2">
      <c r="B852" s="167" t="str">
        <f>_xlfn.XLOOKUP(I852,Mapping!D:D,Mapping!E:E)</f>
        <v>Kế Toán</v>
      </c>
      <c r="C852" s="167" t="str">
        <f>_xlfn.XLOOKUP(F852,Mapping!A:A,Mapping!F:F)</f>
        <v>Lương Chính +T13</v>
      </c>
      <c r="D852" s="173">
        <v>45790</v>
      </c>
      <c r="E852" s="169" t="s">
        <v>754</v>
      </c>
      <c r="F852" s="169" t="s">
        <v>274</v>
      </c>
      <c r="G852" s="169" t="s">
        <v>275</v>
      </c>
      <c r="H852" s="169" t="s">
        <v>356</v>
      </c>
      <c r="I852" s="169" t="s">
        <v>357</v>
      </c>
      <c r="J852" s="169" t="s">
        <v>755</v>
      </c>
      <c r="K852" s="169" t="s">
        <v>756</v>
      </c>
      <c r="L852" s="169" t="s">
        <v>713</v>
      </c>
      <c r="M852" s="169" t="s">
        <v>281</v>
      </c>
      <c r="N852" s="178">
        <v>6060000</v>
      </c>
      <c r="O852" s="169" t="s">
        <v>757</v>
      </c>
      <c r="P852" s="169" t="s">
        <v>283</v>
      </c>
      <c r="Q852" s="169" t="s">
        <v>284</v>
      </c>
      <c r="R852" s="169" t="s">
        <v>283</v>
      </c>
      <c r="S852" s="169" t="s">
        <v>283</v>
      </c>
      <c r="T852" s="169">
        <v>0</v>
      </c>
    </row>
    <row r="853" spans="2:20" x14ac:dyDescent="0.2">
      <c r="B853" s="167" t="str">
        <f>_xlfn.XLOOKUP(I853,Mapping!D:D,Mapping!E:E)</f>
        <v>Kinh doanh</v>
      </c>
      <c r="C853" s="167" t="str">
        <f>_xlfn.XLOOKUP(F853,Mapping!A:A,Mapping!F:F)</f>
        <v>Phụ Cấp</v>
      </c>
      <c r="D853" s="173">
        <v>45786</v>
      </c>
      <c r="E853" s="169" t="s">
        <v>758</v>
      </c>
      <c r="F853" s="169" t="s">
        <v>385</v>
      </c>
      <c r="G853" s="169" t="s">
        <v>336</v>
      </c>
      <c r="H853" s="169" t="s">
        <v>366</v>
      </c>
      <c r="I853" s="169" t="s">
        <v>1</v>
      </c>
      <c r="J853" s="169" t="s">
        <v>759</v>
      </c>
      <c r="K853" s="169" t="s">
        <v>581</v>
      </c>
      <c r="L853" s="169" t="s">
        <v>713</v>
      </c>
      <c r="M853" s="169" t="s">
        <v>281</v>
      </c>
      <c r="N853" s="178">
        <v>5085890</v>
      </c>
      <c r="O853" s="169" t="s">
        <v>760</v>
      </c>
      <c r="P853" s="169" t="s">
        <v>283</v>
      </c>
      <c r="Q853" s="169" t="s">
        <v>306</v>
      </c>
      <c r="R853" s="169" t="s">
        <v>283</v>
      </c>
      <c r="S853" s="169" t="s">
        <v>283</v>
      </c>
      <c r="T853" s="169">
        <v>0</v>
      </c>
    </row>
    <row r="854" spans="2:20" x14ac:dyDescent="0.2">
      <c r="B854" s="167" t="str">
        <f>_xlfn.XLOOKUP(I854,Mapping!D:D,Mapping!E:E)</f>
        <v>Hành Chánh Nhân Sự</v>
      </c>
      <c r="C854" s="167" t="str">
        <f>_xlfn.XLOOKUP(F854,Mapping!A:A,Mapping!F:F)</f>
        <v>Khen thưởng BD khác</v>
      </c>
      <c r="D854" s="173">
        <v>45804</v>
      </c>
      <c r="E854" s="169" t="s">
        <v>761</v>
      </c>
      <c r="F854" s="169" t="s">
        <v>300</v>
      </c>
      <c r="G854" s="169" t="s">
        <v>222</v>
      </c>
      <c r="H854" s="169" t="s">
        <v>358</v>
      </c>
      <c r="I854" s="169" t="s">
        <v>359</v>
      </c>
      <c r="J854" s="169" t="s">
        <v>762</v>
      </c>
      <c r="K854" s="169" t="s">
        <v>762</v>
      </c>
      <c r="L854" s="169" t="s">
        <v>713</v>
      </c>
      <c r="M854" s="169" t="s">
        <v>281</v>
      </c>
      <c r="N854" s="178">
        <v>1500000</v>
      </c>
      <c r="O854" s="169" t="s">
        <v>763</v>
      </c>
      <c r="P854" s="169" t="s">
        <v>283</v>
      </c>
      <c r="Q854" s="169" t="s">
        <v>764</v>
      </c>
      <c r="R854" s="169" t="s">
        <v>283</v>
      </c>
      <c r="S854" s="169" t="s">
        <v>283</v>
      </c>
      <c r="T854" s="169">
        <v>0</v>
      </c>
    </row>
    <row r="855" spans="2:20" x14ac:dyDescent="0.2">
      <c r="B855" s="167" t="str">
        <f>_xlfn.XLOOKUP(I855,Mapping!D:D,Mapping!E:E)</f>
        <v>Kế Toán</v>
      </c>
      <c r="C855" s="167" t="str">
        <f>_xlfn.XLOOKUP(F855,Mapping!A:A,Mapping!F:F)</f>
        <v>Thưởng</v>
      </c>
      <c r="D855" s="173">
        <v>45804</v>
      </c>
      <c r="E855" s="169" t="s">
        <v>765</v>
      </c>
      <c r="F855" s="169" t="s">
        <v>365</v>
      </c>
      <c r="G855" s="169" t="s">
        <v>291</v>
      </c>
      <c r="H855" s="169" t="s">
        <v>356</v>
      </c>
      <c r="I855" s="169" t="s">
        <v>357</v>
      </c>
      <c r="J855" s="169" t="s">
        <v>766</v>
      </c>
      <c r="K855" s="169" t="s">
        <v>767</v>
      </c>
      <c r="L855" s="169" t="s">
        <v>713</v>
      </c>
      <c r="M855" s="169" t="s">
        <v>281</v>
      </c>
      <c r="N855" s="178">
        <v>574541</v>
      </c>
      <c r="O855" s="169" t="s">
        <v>768</v>
      </c>
      <c r="P855" s="169" t="s">
        <v>283</v>
      </c>
      <c r="Q855" s="169" t="s">
        <v>370</v>
      </c>
      <c r="R855" s="169" t="s">
        <v>283</v>
      </c>
      <c r="S855" s="169" t="s">
        <v>283</v>
      </c>
      <c r="T855" s="169">
        <v>0</v>
      </c>
    </row>
    <row r="856" spans="2:20" x14ac:dyDescent="0.2">
      <c r="B856" s="167" t="str">
        <f>_xlfn.XLOOKUP(I856,Mapping!D:D,Mapping!E:E)</f>
        <v>Kế Toán</v>
      </c>
      <c r="C856" s="167" t="str">
        <f>_xlfn.XLOOKUP(F856,Mapping!A:A,Mapping!F:F)</f>
        <v>Thưởng</v>
      </c>
      <c r="D856" s="173">
        <v>45804</v>
      </c>
      <c r="E856" s="169" t="s">
        <v>769</v>
      </c>
      <c r="F856" s="169" t="s">
        <v>365</v>
      </c>
      <c r="G856" s="169" t="s">
        <v>291</v>
      </c>
      <c r="H856" s="169" t="s">
        <v>356</v>
      </c>
      <c r="I856" s="169" t="s">
        <v>357</v>
      </c>
      <c r="J856" s="169" t="s">
        <v>766</v>
      </c>
      <c r="K856" s="169" t="s">
        <v>767</v>
      </c>
      <c r="L856" s="169" t="s">
        <v>713</v>
      </c>
      <c r="M856" s="169" t="s">
        <v>281</v>
      </c>
      <c r="N856" s="178">
        <v>-574541</v>
      </c>
      <c r="O856" s="169" t="s">
        <v>770</v>
      </c>
      <c r="P856" s="169" t="s">
        <v>447</v>
      </c>
      <c r="Q856" s="169" t="s">
        <v>284</v>
      </c>
      <c r="R856" s="169" t="s">
        <v>283</v>
      </c>
      <c r="S856" s="169" t="s">
        <v>283</v>
      </c>
      <c r="T856" s="169">
        <v>0</v>
      </c>
    </row>
    <row r="857" spans="2:20" x14ac:dyDescent="0.2">
      <c r="B857" s="167" t="str">
        <f>_xlfn.XLOOKUP(I857,Mapping!D:D,Mapping!E:E)</f>
        <v>Kinh doanh</v>
      </c>
      <c r="C857" s="167" t="str">
        <f>_xlfn.XLOOKUP(F857,Mapping!A:A,Mapping!F:F)</f>
        <v>Thưởng</v>
      </c>
      <c r="D857" s="173">
        <v>45804</v>
      </c>
      <c r="E857" s="169" t="s">
        <v>771</v>
      </c>
      <c r="F857" s="169" t="s">
        <v>365</v>
      </c>
      <c r="G857" s="169" t="s">
        <v>291</v>
      </c>
      <c r="H857" s="169" t="s">
        <v>366</v>
      </c>
      <c r="I857" s="169" t="s">
        <v>1</v>
      </c>
      <c r="J857" s="169" t="s">
        <v>766</v>
      </c>
      <c r="K857" s="169" t="s">
        <v>767</v>
      </c>
      <c r="L857" s="169" t="s">
        <v>713</v>
      </c>
      <c r="M857" s="169" t="s">
        <v>281</v>
      </c>
      <c r="N857" s="178">
        <v>574541</v>
      </c>
      <c r="O857" s="169" t="s">
        <v>772</v>
      </c>
      <c r="P857" s="169" t="s">
        <v>283</v>
      </c>
      <c r="Q857" s="169" t="s">
        <v>370</v>
      </c>
      <c r="R857" s="169" t="s">
        <v>283</v>
      </c>
      <c r="S857" s="169" t="s">
        <v>283</v>
      </c>
      <c r="T857" s="169">
        <v>0</v>
      </c>
    </row>
    <row r="858" spans="2:20" x14ac:dyDescent="0.2">
      <c r="B858" s="167" t="str">
        <f>_xlfn.XLOOKUP(I858,Mapping!D:D,Mapping!E:E)</f>
        <v>Kế Toán</v>
      </c>
      <c r="C858" s="167" t="str">
        <f>_xlfn.XLOOKUP(F858,Mapping!A:A,Mapping!F:F)</f>
        <v>Lương Chính +T13</v>
      </c>
      <c r="D858" s="173">
        <v>45808</v>
      </c>
      <c r="E858" s="169" t="s">
        <v>710</v>
      </c>
      <c r="F858" s="169" t="s">
        <v>274</v>
      </c>
      <c r="G858" s="169" t="s">
        <v>275</v>
      </c>
      <c r="H858" s="169" t="s">
        <v>356</v>
      </c>
      <c r="I858" s="169" t="s">
        <v>357</v>
      </c>
      <c r="J858" s="169" t="s">
        <v>711</v>
      </c>
      <c r="K858" s="169" t="s">
        <v>712</v>
      </c>
      <c r="L858" s="169" t="s">
        <v>713</v>
      </c>
      <c r="M858" s="169" t="s">
        <v>281</v>
      </c>
      <c r="N858" s="178">
        <v>428639273</v>
      </c>
      <c r="O858" s="169" t="s">
        <v>714</v>
      </c>
      <c r="P858" s="169" t="s">
        <v>283</v>
      </c>
      <c r="Q858" s="169" t="s">
        <v>284</v>
      </c>
      <c r="R858" s="169" t="s">
        <v>283</v>
      </c>
      <c r="S858" s="169" t="s">
        <v>283</v>
      </c>
      <c r="T858" s="169">
        <v>0</v>
      </c>
    </row>
    <row r="859" spans="2:20" x14ac:dyDescent="0.2">
      <c r="B859" s="167" t="str">
        <f>_xlfn.XLOOKUP(I859,Mapping!D:D,Mapping!E:E)</f>
        <v>Kế Toán</v>
      </c>
      <c r="C859" s="167" t="str">
        <f>_xlfn.XLOOKUP(F859,Mapping!A:A,Mapping!F:F)</f>
        <v>Lương Chính +T13</v>
      </c>
      <c r="D859" s="173">
        <v>45808</v>
      </c>
      <c r="E859" s="169" t="s">
        <v>710</v>
      </c>
      <c r="F859" s="169" t="s">
        <v>285</v>
      </c>
      <c r="G859" s="169" t="s">
        <v>286</v>
      </c>
      <c r="H859" s="169" t="s">
        <v>356</v>
      </c>
      <c r="I859" s="169" t="s">
        <v>357</v>
      </c>
      <c r="J859" s="169" t="s">
        <v>711</v>
      </c>
      <c r="K859" s="169" t="s">
        <v>712</v>
      </c>
      <c r="L859" s="169" t="s">
        <v>713</v>
      </c>
      <c r="M859" s="169" t="s">
        <v>281</v>
      </c>
      <c r="N859" s="178">
        <v>17737269</v>
      </c>
      <c r="O859" s="169" t="s">
        <v>714</v>
      </c>
      <c r="P859" s="169" t="s">
        <v>283</v>
      </c>
      <c r="Q859" s="169" t="s">
        <v>284</v>
      </c>
      <c r="R859" s="169" t="s">
        <v>283</v>
      </c>
      <c r="S859" s="169" t="s">
        <v>283</v>
      </c>
      <c r="T859" s="169">
        <v>0</v>
      </c>
    </row>
    <row r="860" spans="2:20" x14ac:dyDescent="0.2">
      <c r="B860" s="167" t="str">
        <f>_xlfn.XLOOKUP(I860,Mapping!D:D,Mapping!E:E)</f>
        <v>Kế Toán</v>
      </c>
      <c r="C860" s="167" t="str">
        <f>_xlfn.XLOOKUP(F860,Mapping!A:A,Mapping!F:F)</f>
        <v>Lương Ngoài giờ</v>
      </c>
      <c r="D860" s="173">
        <v>45808</v>
      </c>
      <c r="E860" s="169" t="s">
        <v>710</v>
      </c>
      <c r="F860" s="169" t="s">
        <v>342</v>
      </c>
      <c r="G860" s="169" t="s">
        <v>343</v>
      </c>
      <c r="H860" s="169" t="s">
        <v>356</v>
      </c>
      <c r="I860" s="169" t="s">
        <v>357</v>
      </c>
      <c r="J860" s="169" t="s">
        <v>711</v>
      </c>
      <c r="K860" s="169" t="s">
        <v>712</v>
      </c>
      <c r="L860" s="169" t="s">
        <v>713</v>
      </c>
      <c r="M860" s="169" t="s">
        <v>281</v>
      </c>
      <c r="N860" s="178">
        <v>58349279</v>
      </c>
      <c r="O860" s="169" t="s">
        <v>714</v>
      </c>
      <c r="P860" s="169" t="s">
        <v>283</v>
      </c>
      <c r="Q860" s="169" t="s">
        <v>284</v>
      </c>
      <c r="R860" s="169" t="s">
        <v>283</v>
      </c>
      <c r="S860" s="169" t="s">
        <v>283</v>
      </c>
      <c r="T860" s="169">
        <v>0</v>
      </c>
    </row>
    <row r="861" spans="2:20" x14ac:dyDescent="0.2">
      <c r="B861" s="167" t="str">
        <f>_xlfn.XLOOKUP(I861,Mapping!D:D,Mapping!E:E)</f>
        <v>Kế Toán</v>
      </c>
      <c r="C861" s="167" t="str">
        <f>_xlfn.XLOOKUP(F861,Mapping!A:A,Mapping!F:F)</f>
        <v>Thưởng</v>
      </c>
      <c r="D861" s="173">
        <v>45808</v>
      </c>
      <c r="E861" s="169" t="s">
        <v>710</v>
      </c>
      <c r="F861" s="169" t="s">
        <v>290</v>
      </c>
      <c r="G861" s="169" t="s">
        <v>291</v>
      </c>
      <c r="H861" s="169" t="s">
        <v>356</v>
      </c>
      <c r="I861" s="169" t="s">
        <v>357</v>
      </c>
      <c r="J861" s="169" t="s">
        <v>711</v>
      </c>
      <c r="K861" s="169" t="s">
        <v>712</v>
      </c>
      <c r="L861" s="169" t="s">
        <v>713</v>
      </c>
      <c r="M861" s="169" t="s">
        <v>281</v>
      </c>
      <c r="N861" s="178">
        <v>4800000</v>
      </c>
      <c r="O861" s="169" t="s">
        <v>714</v>
      </c>
      <c r="P861" s="169" t="s">
        <v>283</v>
      </c>
      <c r="Q861" s="169" t="s">
        <v>284</v>
      </c>
      <c r="R861" s="169" t="s">
        <v>283</v>
      </c>
      <c r="S861" s="169" t="s">
        <v>283</v>
      </c>
      <c r="T861" s="169">
        <v>0</v>
      </c>
    </row>
    <row r="862" spans="2:20" x14ac:dyDescent="0.2">
      <c r="B862" s="167" t="str">
        <f>_xlfn.XLOOKUP(I862,Mapping!D:D,Mapping!E:E)</f>
        <v>Kế Toán</v>
      </c>
      <c r="C862" s="167" t="str">
        <f>_xlfn.XLOOKUP(F862,Mapping!A:A,Mapping!F:F)</f>
        <v>Phụ Cấp</v>
      </c>
      <c r="D862" s="173">
        <v>45808</v>
      </c>
      <c r="E862" s="169" t="s">
        <v>710</v>
      </c>
      <c r="F862" s="169" t="s">
        <v>335</v>
      </c>
      <c r="G862" s="169" t="s">
        <v>336</v>
      </c>
      <c r="H862" s="169" t="s">
        <v>356</v>
      </c>
      <c r="I862" s="169" t="s">
        <v>357</v>
      </c>
      <c r="J862" s="169" t="s">
        <v>711</v>
      </c>
      <c r="K862" s="169" t="s">
        <v>712</v>
      </c>
      <c r="L862" s="169" t="s">
        <v>713</v>
      </c>
      <c r="M862" s="169" t="s">
        <v>281</v>
      </c>
      <c r="N862" s="178">
        <v>2575000</v>
      </c>
      <c r="O862" s="169" t="s">
        <v>714</v>
      </c>
      <c r="P862" s="169" t="s">
        <v>283</v>
      </c>
      <c r="Q862" s="169" t="s">
        <v>284</v>
      </c>
      <c r="R862" s="169" t="s">
        <v>283</v>
      </c>
      <c r="S862" s="169" t="s">
        <v>283</v>
      </c>
      <c r="T862" s="169">
        <v>0</v>
      </c>
    </row>
    <row r="863" spans="2:20" x14ac:dyDescent="0.2">
      <c r="B863" s="167" t="str">
        <f>_xlfn.XLOOKUP(I863,Mapping!D:D,Mapping!E:E)</f>
        <v>Kinh doanh</v>
      </c>
      <c r="C863" s="167" t="str">
        <f>_xlfn.XLOOKUP(F863,Mapping!A:A,Mapping!F:F)</f>
        <v>Lương Chính +T13</v>
      </c>
      <c r="D863" s="173">
        <v>45808</v>
      </c>
      <c r="E863" s="169" t="s">
        <v>710</v>
      </c>
      <c r="F863" s="169" t="s">
        <v>383</v>
      </c>
      <c r="G863" s="169" t="s">
        <v>275</v>
      </c>
      <c r="H863" s="169" t="s">
        <v>366</v>
      </c>
      <c r="I863" s="169" t="s">
        <v>1</v>
      </c>
      <c r="J863" s="169" t="s">
        <v>711</v>
      </c>
      <c r="K863" s="169" t="s">
        <v>712</v>
      </c>
      <c r="L863" s="169" t="s">
        <v>713</v>
      </c>
      <c r="M863" s="169" t="s">
        <v>281</v>
      </c>
      <c r="N863" s="178">
        <v>192729928</v>
      </c>
      <c r="O863" s="169" t="s">
        <v>714</v>
      </c>
      <c r="P863" s="169" t="s">
        <v>283</v>
      </c>
      <c r="Q863" s="169" t="s">
        <v>284</v>
      </c>
      <c r="R863" s="169" t="s">
        <v>283</v>
      </c>
      <c r="S863" s="169" t="s">
        <v>283</v>
      </c>
      <c r="T863" s="169">
        <v>0</v>
      </c>
    </row>
    <row r="864" spans="2:20" x14ac:dyDescent="0.2">
      <c r="B864" s="167" t="str">
        <f>_xlfn.XLOOKUP(I864,Mapping!D:D,Mapping!E:E)</f>
        <v>Kinh doanh</v>
      </c>
      <c r="C864" s="167" t="str">
        <f>_xlfn.XLOOKUP(F864,Mapping!A:A,Mapping!F:F)</f>
        <v>Lương Chính +T13</v>
      </c>
      <c r="D864" s="173">
        <v>45808</v>
      </c>
      <c r="E864" s="169" t="s">
        <v>710</v>
      </c>
      <c r="F864" s="169" t="s">
        <v>384</v>
      </c>
      <c r="G864" s="169" t="s">
        <v>286</v>
      </c>
      <c r="H864" s="169" t="s">
        <v>366</v>
      </c>
      <c r="I864" s="169" t="s">
        <v>1</v>
      </c>
      <c r="J864" s="169" t="s">
        <v>711</v>
      </c>
      <c r="K864" s="169" t="s">
        <v>712</v>
      </c>
      <c r="L864" s="169" t="s">
        <v>713</v>
      </c>
      <c r="M864" s="169" t="s">
        <v>281</v>
      </c>
      <c r="N864" s="178">
        <v>22572614</v>
      </c>
      <c r="O864" s="169" t="s">
        <v>714</v>
      </c>
      <c r="P864" s="169" t="s">
        <v>283</v>
      </c>
      <c r="Q864" s="169" t="s">
        <v>284</v>
      </c>
      <c r="R864" s="169" t="s">
        <v>283</v>
      </c>
      <c r="S864" s="169" t="s">
        <v>283</v>
      </c>
      <c r="T864" s="169">
        <v>0</v>
      </c>
    </row>
    <row r="865" spans="2:20" x14ac:dyDescent="0.2">
      <c r="B865" s="167" t="str">
        <f>_xlfn.XLOOKUP(I865,Mapping!D:D,Mapping!E:E)</f>
        <v>Kinh doanh</v>
      </c>
      <c r="C865" s="167" t="str">
        <f>_xlfn.XLOOKUP(F865,Mapping!A:A,Mapping!F:F)</f>
        <v>Thưởng</v>
      </c>
      <c r="D865" s="173">
        <v>45808</v>
      </c>
      <c r="E865" s="169" t="s">
        <v>710</v>
      </c>
      <c r="F865" s="169" t="s">
        <v>365</v>
      </c>
      <c r="G865" s="169" t="s">
        <v>291</v>
      </c>
      <c r="H865" s="169" t="s">
        <v>366</v>
      </c>
      <c r="I865" s="169" t="s">
        <v>1</v>
      </c>
      <c r="J865" s="169" t="s">
        <v>711</v>
      </c>
      <c r="K865" s="169" t="s">
        <v>712</v>
      </c>
      <c r="L865" s="169" t="s">
        <v>713</v>
      </c>
      <c r="M865" s="169" t="s">
        <v>281</v>
      </c>
      <c r="N865" s="178">
        <v>123549080</v>
      </c>
      <c r="O865" s="169" t="s">
        <v>714</v>
      </c>
      <c r="P865" s="169" t="s">
        <v>283</v>
      </c>
      <c r="Q865" s="169" t="s">
        <v>284</v>
      </c>
      <c r="R865" s="169" t="s">
        <v>283</v>
      </c>
      <c r="S865" s="169" t="s">
        <v>283</v>
      </c>
      <c r="T865" s="169">
        <v>0</v>
      </c>
    </row>
    <row r="866" spans="2:20" x14ac:dyDescent="0.2">
      <c r="B866" s="167" t="str">
        <f>_xlfn.XLOOKUP(I866,Mapping!D:D,Mapping!E:E)</f>
        <v>Kinh doanh</v>
      </c>
      <c r="C866" s="167" t="str">
        <f>_xlfn.XLOOKUP(F866,Mapping!A:A,Mapping!F:F)</f>
        <v>Phụ Cấp</v>
      </c>
      <c r="D866" s="173">
        <v>45808</v>
      </c>
      <c r="E866" s="169" t="s">
        <v>710</v>
      </c>
      <c r="F866" s="169" t="s">
        <v>385</v>
      </c>
      <c r="G866" s="169" t="s">
        <v>336</v>
      </c>
      <c r="H866" s="169" t="s">
        <v>366</v>
      </c>
      <c r="I866" s="169" t="s">
        <v>1</v>
      </c>
      <c r="J866" s="169" t="s">
        <v>711</v>
      </c>
      <c r="K866" s="169" t="s">
        <v>712</v>
      </c>
      <c r="L866" s="169" t="s">
        <v>713</v>
      </c>
      <c r="M866" s="169" t="s">
        <v>281</v>
      </c>
      <c r="N866" s="178">
        <v>50000</v>
      </c>
      <c r="O866" s="169" t="s">
        <v>714</v>
      </c>
      <c r="P866" s="169" t="s">
        <v>283</v>
      </c>
      <c r="Q866" s="169" t="s">
        <v>284</v>
      </c>
      <c r="R866" s="169" t="s">
        <v>283</v>
      </c>
      <c r="S866" s="169" t="s">
        <v>283</v>
      </c>
      <c r="T866" s="169">
        <v>0</v>
      </c>
    </row>
    <row r="867" spans="2:20" x14ac:dyDescent="0.2">
      <c r="B867" s="167" t="str">
        <f>_xlfn.XLOOKUP(I867,Mapping!D:D,Mapping!E:E)</f>
        <v>Hành Chánh Nhân Sự</v>
      </c>
      <c r="C867" s="167" t="str">
        <f>_xlfn.XLOOKUP(F867,Mapping!A:A,Mapping!F:F)</f>
        <v>Lương Chính +T13</v>
      </c>
      <c r="D867" s="173">
        <v>45808</v>
      </c>
      <c r="E867" s="169" t="s">
        <v>710</v>
      </c>
      <c r="F867" s="169" t="s">
        <v>274</v>
      </c>
      <c r="G867" s="169" t="s">
        <v>275</v>
      </c>
      <c r="H867" s="169" t="s">
        <v>382</v>
      </c>
      <c r="I867" s="169" t="s">
        <v>200</v>
      </c>
      <c r="J867" s="169" t="s">
        <v>711</v>
      </c>
      <c r="K867" s="169" t="s">
        <v>712</v>
      </c>
      <c r="L867" s="169" t="s">
        <v>713</v>
      </c>
      <c r="M867" s="169" t="s">
        <v>281</v>
      </c>
      <c r="N867" s="178">
        <v>56484349</v>
      </c>
      <c r="O867" s="169" t="s">
        <v>714</v>
      </c>
      <c r="P867" s="169" t="s">
        <v>283</v>
      </c>
      <c r="Q867" s="169" t="s">
        <v>284</v>
      </c>
      <c r="R867" s="169" t="s">
        <v>283</v>
      </c>
      <c r="S867" s="169" t="s">
        <v>283</v>
      </c>
      <c r="T867" s="169">
        <v>0</v>
      </c>
    </row>
    <row r="868" spans="2:20" x14ac:dyDescent="0.2">
      <c r="B868" s="167" t="str">
        <f>_xlfn.XLOOKUP(I868,Mapping!D:D,Mapping!E:E)</f>
        <v>Hành Chánh Nhân Sự</v>
      </c>
      <c r="C868" s="167" t="str">
        <f>_xlfn.XLOOKUP(F868,Mapping!A:A,Mapping!F:F)</f>
        <v>Lương Chính +T13</v>
      </c>
      <c r="D868" s="173">
        <v>45808</v>
      </c>
      <c r="E868" s="169" t="s">
        <v>710</v>
      </c>
      <c r="F868" s="169" t="s">
        <v>285</v>
      </c>
      <c r="G868" s="169" t="s">
        <v>286</v>
      </c>
      <c r="H868" s="169" t="s">
        <v>382</v>
      </c>
      <c r="I868" s="169" t="s">
        <v>200</v>
      </c>
      <c r="J868" s="169" t="s">
        <v>711</v>
      </c>
      <c r="K868" s="169" t="s">
        <v>712</v>
      </c>
      <c r="L868" s="169" t="s">
        <v>713</v>
      </c>
      <c r="M868" s="169" t="s">
        <v>281</v>
      </c>
      <c r="N868" s="178">
        <v>6354923</v>
      </c>
      <c r="O868" s="169" t="s">
        <v>714</v>
      </c>
      <c r="P868" s="169" t="s">
        <v>283</v>
      </c>
      <c r="Q868" s="169" t="s">
        <v>284</v>
      </c>
      <c r="R868" s="169" t="s">
        <v>283</v>
      </c>
      <c r="S868" s="169" t="s">
        <v>283</v>
      </c>
      <c r="T868" s="169">
        <v>0</v>
      </c>
    </row>
    <row r="869" spans="2:20" x14ac:dyDescent="0.2">
      <c r="B869" s="167" t="str">
        <f>_xlfn.XLOOKUP(I869,Mapping!D:D,Mapping!E:E)</f>
        <v>Hành Chánh Nhân Sự</v>
      </c>
      <c r="C869" s="167" t="str">
        <f>_xlfn.XLOOKUP(F869,Mapping!A:A,Mapping!F:F)</f>
        <v>Thưởng</v>
      </c>
      <c r="D869" s="173">
        <v>45808</v>
      </c>
      <c r="E869" s="169" t="s">
        <v>710</v>
      </c>
      <c r="F869" s="169" t="s">
        <v>290</v>
      </c>
      <c r="G869" s="169" t="s">
        <v>291</v>
      </c>
      <c r="H869" s="169" t="s">
        <v>382</v>
      </c>
      <c r="I869" s="169" t="s">
        <v>200</v>
      </c>
      <c r="J869" s="169" t="s">
        <v>711</v>
      </c>
      <c r="K869" s="169" t="s">
        <v>712</v>
      </c>
      <c r="L869" s="169" t="s">
        <v>713</v>
      </c>
      <c r="M869" s="169" t="s">
        <v>281</v>
      </c>
      <c r="N869" s="178">
        <v>600000</v>
      </c>
      <c r="O869" s="169" t="s">
        <v>714</v>
      </c>
      <c r="P869" s="169" t="s">
        <v>283</v>
      </c>
      <c r="Q869" s="169" t="s">
        <v>284</v>
      </c>
      <c r="R869" s="169" t="s">
        <v>283</v>
      </c>
      <c r="S869" s="169" t="s">
        <v>283</v>
      </c>
      <c r="T869" s="169">
        <v>0</v>
      </c>
    </row>
    <row r="870" spans="2:20" x14ac:dyDescent="0.2">
      <c r="B870" s="167" t="str">
        <f>_xlfn.XLOOKUP(I870,Mapping!D:D,Mapping!E:E)</f>
        <v>Hành Chánh Nhân Sự</v>
      </c>
      <c r="C870" s="167" t="str">
        <f>_xlfn.XLOOKUP(F870,Mapping!A:A,Mapping!F:F)</f>
        <v>Lương Chính +T13</v>
      </c>
      <c r="D870" s="173">
        <v>45808</v>
      </c>
      <c r="E870" s="169" t="s">
        <v>710</v>
      </c>
      <c r="F870" s="169" t="s">
        <v>274</v>
      </c>
      <c r="G870" s="169" t="s">
        <v>275</v>
      </c>
      <c r="H870" s="169" t="s">
        <v>358</v>
      </c>
      <c r="I870" s="169" t="s">
        <v>359</v>
      </c>
      <c r="J870" s="169" t="s">
        <v>711</v>
      </c>
      <c r="K870" s="169" t="s">
        <v>712</v>
      </c>
      <c r="L870" s="169" t="s">
        <v>713</v>
      </c>
      <c r="M870" s="169" t="s">
        <v>281</v>
      </c>
      <c r="N870" s="178">
        <v>94521625</v>
      </c>
      <c r="O870" s="169" t="s">
        <v>714</v>
      </c>
      <c r="P870" s="169" t="s">
        <v>283</v>
      </c>
      <c r="Q870" s="169" t="s">
        <v>284</v>
      </c>
      <c r="R870" s="169" t="s">
        <v>283</v>
      </c>
      <c r="S870" s="169" t="s">
        <v>283</v>
      </c>
      <c r="T870" s="169">
        <v>0</v>
      </c>
    </row>
    <row r="871" spans="2:20" x14ac:dyDescent="0.2">
      <c r="B871" s="167" t="str">
        <f>_xlfn.XLOOKUP(I871,Mapping!D:D,Mapping!E:E)</f>
        <v>Hành Chánh Nhân Sự</v>
      </c>
      <c r="C871" s="167" t="str">
        <f>_xlfn.XLOOKUP(F871,Mapping!A:A,Mapping!F:F)</f>
        <v>Lương Chính +T13</v>
      </c>
      <c r="D871" s="173">
        <v>45808</v>
      </c>
      <c r="E871" s="169" t="s">
        <v>710</v>
      </c>
      <c r="F871" s="169" t="s">
        <v>285</v>
      </c>
      <c r="G871" s="169" t="s">
        <v>286</v>
      </c>
      <c r="H871" s="169" t="s">
        <v>358</v>
      </c>
      <c r="I871" s="169" t="s">
        <v>359</v>
      </c>
      <c r="J871" s="169" t="s">
        <v>711</v>
      </c>
      <c r="K871" s="169" t="s">
        <v>712</v>
      </c>
      <c r="L871" s="169" t="s">
        <v>713</v>
      </c>
      <c r="M871" s="169" t="s">
        <v>281</v>
      </c>
      <c r="N871" s="178">
        <v>3960000</v>
      </c>
      <c r="O871" s="169" t="s">
        <v>714</v>
      </c>
      <c r="P871" s="169" t="s">
        <v>283</v>
      </c>
      <c r="Q871" s="169" t="s">
        <v>284</v>
      </c>
      <c r="R871" s="169" t="s">
        <v>283</v>
      </c>
      <c r="S871" s="169" t="s">
        <v>283</v>
      </c>
      <c r="T871" s="169">
        <v>0</v>
      </c>
    </row>
    <row r="872" spans="2:20" x14ac:dyDescent="0.2">
      <c r="B872" s="167" t="str">
        <f>_xlfn.XLOOKUP(I872,Mapping!D:D,Mapping!E:E)</f>
        <v>Hành Chánh Nhân Sự</v>
      </c>
      <c r="C872" s="167" t="str">
        <f>_xlfn.XLOOKUP(F872,Mapping!A:A,Mapping!F:F)</f>
        <v>Thưởng</v>
      </c>
      <c r="D872" s="173">
        <v>45808</v>
      </c>
      <c r="E872" s="169" t="s">
        <v>710</v>
      </c>
      <c r="F872" s="169" t="s">
        <v>290</v>
      </c>
      <c r="G872" s="169" t="s">
        <v>291</v>
      </c>
      <c r="H872" s="169" t="s">
        <v>358</v>
      </c>
      <c r="I872" s="169" t="s">
        <v>359</v>
      </c>
      <c r="J872" s="169" t="s">
        <v>711</v>
      </c>
      <c r="K872" s="169" t="s">
        <v>712</v>
      </c>
      <c r="L872" s="169" t="s">
        <v>713</v>
      </c>
      <c r="M872" s="169" t="s">
        <v>281</v>
      </c>
      <c r="N872" s="178">
        <v>1000000</v>
      </c>
      <c r="O872" s="169" t="s">
        <v>714</v>
      </c>
      <c r="P872" s="169" t="s">
        <v>283</v>
      </c>
      <c r="Q872" s="169" t="s">
        <v>284</v>
      </c>
      <c r="R872" s="169" t="s">
        <v>283</v>
      </c>
      <c r="S872" s="169" t="s">
        <v>283</v>
      </c>
      <c r="T872" s="169">
        <v>0</v>
      </c>
    </row>
    <row r="873" spans="2:20" x14ac:dyDescent="0.2">
      <c r="B873" s="167" t="str">
        <f>_xlfn.XLOOKUP(I873,Mapping!D:D,Mapping!E:E)</f>
        <v>Hành Chánh Nhân Sự</v>
      </c>
      <c r="C873" s="167" t="str">
        <f>_xlfn.XLOOKUP(F873,Mapping!A:A,Mapping!F:F)</f>
        <v>Khen thưởng BD khác</v>
      </c>
      <c r="D873" s="173">
        <v>45808</v>
      </c>
      <c r="E873" s="169" t="s">
        <v>710</v>
      </c>
      <c r="F873" s="169" t="s">
        <v>300</v>
      </c>
      <c r="G873" s="169" t="s">
        <v>222</v>
      </c>
      <c r="H873" s="169" t="s">
        <v>358</v>
      </c>
      <c r="I873" s="169" t="s">
        <v>359</v>
      </c>
      <c r="J873" s="169" t="s">
        <v>711</v>
      </c>
      <c r="K873" s="169" t="s">
        <v>712</v>
      </c>
      <c r="L873" s="169" t="s">
        <v>713</v>
      </c>
      <c r="M873" s="169" t="s">
        <v>281</v>
      </c>
      <c r="N873" s="178">
        <v>8400000</v>
      </c>
      <c r="O873" s="169" t="s">
        <v>714</v>
      </c>
      <c r="P873" s="169" t="s">
        <v>283</v>
      </c>
      <c r="Q873" s="169" t="s">
        <v>284</v>
      </c>
      <c r="R873" s="169" t="s">
        <v>283</v>
      </c>
      <c r="S873" s="169" t="s">
        <v>283</v>
      </c>
      <c r="T873" s="169">
        <v>0</v>
      </c>
    </row>
    <row r="874" spans="2:20" x14ac:dyDescent="0.2">
      <c r="B874" s="167" t="str">
        <f>_xlfn.XLOOKUP(I874,Mapping!D:D,Mapping!E:E)</f>
        <v>Kế Toán</v>
      </c>
      <c r="C874" s="167" t="str">
        <f>_xlfn.XLOOKUP(F874,Mapping!A:A,Mapping!F:F)</f>
        <v>Lương Chính +T13</v>
      </c>
      <c r="D874" s="173">
        <v>45808</v>
      </c>
      <c r="E874" s="169" t="s">
        <v>715</v>
      </c>
      <c r="F874" s="169" t="s">
        <v>285</v>
      </c>
      <c r="G874" s="169" t="s">
        <v>286</v>
      </c>
      <c r="H874" s="169" t="s">
        <v>356</v>
      </c>
      <c r="I874" s="169" t="s">
        <v>357</v>
      </c>
      <c r="J874" s="169" t="s">
        <v>716</v>
      </c>
      <c r="K874" s="169" t="s">
        <v>712</v>
      </c>
      <c r="L874" s="169" t="s">
        <v>713</v>
      </c>
      <c r="M874" s="169" t="s">
        <v>281</v>
      </c>
      <c r="N874" s="178">
        <v>39089763</v>
      </c>
      <c r="O874" s="169" t="s">
        <v>717</v>
      </c>
      <c r="P874" s="169" t="s">
        <v>283</v>
      </c>
      <c r="Q874" s="169" t="s">
        <v>284</v>
      </c>
      <c r="R874" s="169" t="s">
        <v>283</v>
      </c>
      <c r="S874" s="169" t="s">
        <v>283</v>
      </c>
      <c r="T874" s="169">
        <v>0</v>
      </c>
    </row>
    <row r="875" spans="2:20" x14ac:dyDescent="0.2">
      <c r="B875" s="167" t="str">
        <f>_xlfn.XLOOKUP(I875,Mapping!D:D,Mapping!E:E)</f>
        <v>Kế Toán</v>
      </c>
      <c r="C875" s="167" t="str">
        <f>_xlfn.XLOOKUP(F875,Mapping!A:A,Mapping!F:F)</f>
        <v>Thưởng</v>
      </c>
      <c r="D875" s="173">
        <v>45808</v>
      </c>
      <c r="E875" s="169" t="s">
        <v>715</v>
      </c>
      <c r="F875" s="169" t="s">
        <v>292</v>
      </c>
      <c r="G875" s="169" t="s">
        <v>77</v>
      </c>
      <c r="H875" s="169" t="s">
        <v>356</v>
      </c>
      <c r="I875" s="169" t="s">
        <v>357</v>
      </c>
      <c r="J875" s="169" t="s">
        <v>718</v>
      </c>
      <c r="K875" s="169" t="s">
        <v>712</v>
      </c>
      <c r="L875" s="169" t="s">
        <v>713</v>
      </c>
      <c r="M875" s="169" t="s">
        <v>281</v>
      </c>
      <c r="N875" s="178">
        <v>35365489</v>
      </c>
      <c r="O875" s="169" t="s">
        <v>717</v>
      </c>
      <c r="P875" s="169" t="s">
        <v>283</v>
      </c>
      <c r="Q875" s="169" t="s">
        <v>284</v>
      </c>
      <c r="R875" s="169" t="s">
        <v>283</v>
      </c>
      <c r="S875" s="169" t="s">
        <v>283</v>
      </c>
      <c r="T875" s="169">
        <v>0</v>
      </c>
    </row>
    <row r="876" spans="2:20" x14ac:dyDescent="0.2">
      <c r="B876" s="167" t="str">
        <f>_xlfn.XLOOKUP(I876,Mapping!D:D,Mapping!E:E)</f>
        <v>Kinh doanh</v>
      </c>
      <c r="C876" s="167" t="str">
        <f>_xlfn.XLOOKUP(F876,Mapping!A:A,Mapping!F:F)</f>
        <v>Lương Chính +T13</v>
      </c>
      <c r="D876" s="173">
        <v>45808</v>
      </c>
      <c r="E876" s="169" t="s">
        <v>715</v>
      </c>
      <c r="F876" s="169" t="s">
        <v>384</v>
      </c>
      <c r="G876" s="169" t="s">
        <v>286</v>
      </c>
      <c r="H876" s="169" t="s">
        <v>366</v>
      </c>
      <c r="I876" s="169" t="s">
        <v>1</v>
      </c>
      <c r="J876" s="169" t="s">
        <v>716</v>
      </c>
      <c r="K876" s="169" t="s">
        <v>712</v>
      </c>
      <c r="L876" s="169" t="s">
        <v>713</v>
      </c>
      <c r="M876" s="169" t="s">
        <v>281</v>
      </c>
      <c r="N876" s="178">
        <v>22296833</v>
      </c>
      <c r="O876" s="169" t="s">
        <v>717</v>
      </c>
      <c r="P876" s="169" t="s">
        <v>283</v>
      </c>
      <c r="Q876" s="169" t="s">
        <v>284</v>
      </c>
      <c r="R876" s="169" t="s">
        <v>283</v>
      </c>
      <c r="S876" s="169" t="s">
        <v>283</v>
      </c>
      <c r="T876" s="169">
        <v>0</v>
      </c>
    </row>
    <row r="877" spans="2:20" x14ac:dyDescent="0.2">
      <c r="B877" s="167" t="str">
        <f>_xlfn.XLOOKUP(I877,Mapping!D:D,Mapping!E:E)</f>
        <v>Kinh doanh</v>
      </c>
      <c r="C877" s="167" t="str">
        <f>_xlfn.XLOOKUP(F877,Mapping!A:A,Mapping!F:F)</f>
        <v>Thưởng</v>
      </c>
      <c r="D877" s="173">
        <v>45808</v>
      </c>
      <c r="E877" s="169" t="s">
        <v>715</v>
      </c>
      <c r="F877" s="169" t="s">
        <v>394</v>
      </c>
      <c r="G877" s="169" t="s">
        <v>77</v>
      </c>
      <c r="H877" s="169" t="s">
        <v>366</v>
      </c>
      <c r="I877" s="169" t="s">
        <v>1</v>
      </c>
      <c r="J877" s="169" t="s">
        <v>718</v>
      </c>
      <c r="K877" s="169" t="s">
        <v>712</v>
      </c>
      <c r="L877" s="169" t="s">
        <v>713</v>
      </c>
      <c r="M877" s="169" t="s">
        <v>281</v>
      </c>
      <c r="N877" s="178">
        <v>20512908</v>
      </c>
      <c r="O877" s="169" t="s">
        <v>717</v>
      </c>
      <c r="P877" s="169" t="s">
        <v>283</v>
      </c>
      <c r="Q877" s="169" t="s">
        <v>284</v>
      </c>
      <c r="R877" s="169" t="s">
        <v>283</v>
      </c>
      <c r="S877" s="169" t="s">
        <v>283</v>
      </c>
      <c r="T877" s="169">
        <v>0</v>
      </c>
    </row>
    <row r="878" spans="2:20" x14ac:dyDescent="0.2">
      <c r="B878" s="167" t="str">
        <f>_xlfn.XLOOKUP(I878,Mapping!D:D,Mapping!E:E)</f>
        <v>Hành Chánh Nhân Sự</v>
      </c>
      <c r="C878" s="167" t="str">
        <f>_xlfn.XLOOKUP(F878,Mapping!A:A,Mapping!F:F)</f>
        <v>Lương Chính +T13</v>
      </c>
      <c r="D878" s="173">
        <v>45808</v>
      </c>
      <c r="E878" s="169" t="s">
        <v>715</v>
      </c>
      <c r="F878" s="169" t="s">
        <v>285</v>
      </c>
      <c r="G878" s="169" t="s">
        <v>286</v>
      </c>
      <c r="H878" s="169" t="s">
        <v>382</v>
      </c>
      <c r="I878" s="169" t="s">
        <v>200</v>
      </c>
      <c r="J878" s="169" t="s">
        <v>716</v>
      </c>
      <c r="K878" s="169" t="s">
        <v>712</v>
      </c>
      <c r="L878" s="169" t="s">
        <v>713</v>
      </c>
      <c r="M878" s="169" t="s">
        <v>281</v>
      </c>
      <c r="N878" s="178">
        <v>6194250</v>
      </c>
      <c r="O878" s="169" t="s">
        <v>717</v>
      </c>
      <c r="P878" s="169" t="s">
        <v>283</v>
      </c>
      <c r="Q878" s="169" t="s">
        <v>284</v>
      </c>
      <c r="R878" s="169" t="s">
        <v>283</v>
      </c>
      <c r="S878" s="169" t="s">
        <v>283</v>
      </c>
      <c r="T878" s="169">
        <v>0</v>
      </c>
    </row>
    <row r="879" spans="2:20" x14ac:dyDescent="0.2">
      <c r="B879" s="167" t="str">
        <f>_xlfn.XLOOKUP(I879,Mapping!D:D,Mapping!E:E)</f>
        <v>Hành Chánh Nhân Sự</v>
      </c>
      <c r="C879" s="167" t="str">
        <f>_xlfn.XLOOKUP(F879,Mapping!A:A,Mapping!F:F)</f>
        <v>Thưởng</v>
      </c>
      <c r="D879" s="173">
        <v>45808</v>
      </c>
      <c r="E879" s="169" t="s">
        <v>715</v>
      </c>
      <c r="F879" s="169" t="s">
        <v>292</v>
      </c>
      <c r="G879" s="169" t="s">
        <v>77</v>
      </c>
      <c r="H879" s="169" t="s">
        <v>382</v>
      </c>
      <c r="I879" s="169" t="s">
        <v>200</v>
      </c>
      <c r="J879" s="169" t="s">
        <v>718</v>
      </c>
      <c r="K879" s="169" t="s">
        <v>712</v>
      </c>
      <c r="L879" s="169" t="s">
        <v>713</v>
      </c>
      <c r="M879" s="169" t="s">
        <v>281</v>
      </c>
      <c r="N879" s="178">
        <v>5698660</v>
      </c>
      <c r="O879" s="169" t="s">
        <v>717</v>
      </c>
      <c r="P879" s="169" t="s">
        <v>283</v>
      </c>
      <c r="Q879" s="169" t="s">
        <v>284</v>
      </c>
      <c r="R879" s="169" t="s">
        <v>283</v>
      </c>
      <c r="S879" s="169" t="s">
        <v>283</v>
      </c>
      <c r="T879" s="169">
        <v>0</v>
      </c>
    </row>
    <row r="880" spans="2:20" x14ac:dyDescent="0.2">
      <c r="B880" s="167" t="str">
        <f>_xlfn.XLOOKUP(I880,Mapping!D:D,Mapping!E:E)</f>
        <v>Hành Chánh Nhân Sự</v>
      </c>
      <c r="C880" s="167" t="str">
        <f>_xlfn.XLOOKUP(F880,Mapping!A:A,Mapping!F:F)</f>
        <v>Lương Chính +T13</v>
      </c>
      <c r="D880" s="173">
        <v>45808</v>
      </c>
      <c r="E880" s="169" t="s">
        <v>715</v>
      </c>
      <c r="F880" s="169" t="s">
        <v>285</v>
      </c>
      <c r="G880" s="169" t="s">
        <v>286</v>
      </c>
      <c r="H880" s="169" t="s">
        <v>358</v>
      </c>
      <c r="I880" s="169" t="s">
        <v>359</v>
      </c>
      <c r="J880" s="169" t="s">
        <v>716</v>
      </c>
      <c r="K880" s="169" t="s">
        <v>712</v>
      </c>
      <c r="L880" s="169" t="s">
        <v>713</v>
      </c>
      <c r="M880" s="169" t="s">
        <v>281</v>
      </c>
      <c r="N880" s="178">
        <v>8468167</v>
      </c>
      <c r="O880" s="169" t="s">
        <v>717</v>
      </c>
      <c r="P880" s="169" t="s">
        <v>283</v>
      </c>
      <c r="Q880" s="169" t="s">
        <v>284</v>
      </c>
      <c r="R880" s="169" t="s">
        <v>283</v>
      </c>
      <c r="S880" s="169" t="s">
        <v>283</v>
      </c>
      <c r="T880" s="169">
        <v>0</v>
      </c>
    </row>
    <row r="881" spans="2:20" x14ac:dyDescent="0.2">
      <c r="B881" s="167" t="str">
        <f>_xlfn.XLOOKUP(I881,Mapping!D:D,Mapping!E:E)</f>
        <v>Hành Chánh Nhân Sự</v>
      </c>
      <c r="C881" s="167" t="str">
        <f>_xlfn.XLOOKUP(F881,Mapping!A:A,Mapping!F:F)</f>
        <v>Thưởng</v>
      </c>
      <c r="D881" s="173">
        <v>45808</v>
      </c>
      <c r="E881" s="169" t="s">
        <v>715</v>
      </c>
      <c r="F881" s="169" t="s">
        <v>292</v>
      </c>
      <c r="G881" s="169" t="s">
        <v>77</v>
      </c>
      <c r="H881" s="169" t="s">
        <v>358</v>
      </c>
      <c r="I881" s="169" t="s">
        <v>359</v>
      </c>
      <c r="J881" s="169" t="s">
        <v>718</v>
      </c>
      <c r="K881" s="169" t="s">
        <v>712</v>
      </c>
      <c r="L881" s="169" t="s">
        <v>713</v>
      </c>
      <c r="M881" s="169" t="s">
        <v>281</v>
      </c>
      <c r="N881" s="178">
        <v>7790646</v>
      </c>
      <c r="O881" s="169" t="s">
        <v>717</v>
      </c>
      <c r="P881" s="169" t="s">
        <v>283</v>
      </c>
      <c r="Q881" s="169" t="s">
        <v>284</v>
      </c>
      <c r="R881" s="169" t="s">
        <v>283</v>
      </c>
      <c r="S881" s="169" t="s">
        <v>283</v>
      </c>
      <c r="T881" s="169">
        <v>0</v>
      </c>
    </row>
    <row r="882" spans="2:20" x14ac:dyDescent="0.2">
      <c r="B882" s="167" t="str">
        <f>_xlfn.XLOOKUP(I882,Mapping!D:D,Mapping!E:E)</f>
        <v>Kế Toán</v>
      </c>
      <c r="C882" s="167" t="str">
        <f>_xlfn.XLOOKUP(F882,Mapping!A:A,Mapping!F:F)</f>
        <v>BHXH, BHYT, KPCĐ</v>
      </c>
      <c r="D882" s="173">
        <v>45808</v>
      </c>
      <c r="E882" s="169" t="s">
        <v>719</v>
      </c>
      <c r="F882" s="169" t="s">
        <v>295</v>
      </c>
      <c r="G882" s="169" t="s">
        <v>296</v>
      </c>
      <c r="H882" s="169" t="s">
        <v>356</v>
      </c>
      <c r="I882" s="169" t="s">
        <v>357</v>
      </c>
      <c r="J882" s="169" t="s">
        <v>720</v>
      </c>
      <c r="K882" s="169" t="s">
        <v>712</v>
      </c>
      <c r="L882" s="169" t="s">
        <v>713</v>
      </c>
      <c r="M882" s="169" t="s">
        <v>281</v>
      </c>
      <c r="N882" s="178">
        <v>91781855</v>
      </c>
      <c r="O882" s="169" t="s">
        <v>721</v>
      </c>
      <c r="P882" s="169" t="s">
        <v>283</v>
      </c>
      <c r="Q882" s="169" t="s">
        <v>284</v>
      </c>
      <c r="R882" s="169" t="s">
        <v>283</v>
      </c>
      <c r="S882" s="169" t="s">
        <v>283</v>
      </c>
      <c r="T882" s="169">
        <v>0</v>
      </c>
    </row>
    <row r="883" spans="2:20" x14ac:dyDescent="0.2">
      <c r="B883" s="167" t="str">
        <f>_xlfn.XLOOKUP(I883,Mapping!D:D,Mapping!E:E)</f>
        <v>Kinh doanh</v>
      </c>
      <c r="C883" s="167" t="str">
        <f>_xlfn.XLOOKUP(F883,Mapping!A:A,Mapping!F:F)</f>
        <v>BHXH, BHYT, KPCĐ</v>
      </c>
      <c r="D883" s="173">
        <v>45808</v>
      </c>
      <c r="E883" s="169" t="s">
        <v>719</v>
      </c>
      <c r="F883" s="169" t="s">
        <v>392</v>
      </c>
      <c r="G883" s="169" t="s">
        <v>296</v>
      </c>
      <c r="H883" s="169" t="s">
        <v>366</v>
      </c>
      <c r="I883" s="169" t="s">
        <v>1</v>
      </c>
      <c r="J883" s="169" t="s">
        <v>720</v>
      </c>
      <c r="K883" s="169" t="s">
        <v>712</v>
      </c>
      <c r="L883" s="169" t="s">
        <v>713</v>
      </c>
      <c r="M883" s="169" t="s">
        <v>281</v>
      </c>
      <c r="N883" s="178">
        <v>56494945</v>
      </c>
      <c r="O883" s="169" t="s">
        <v>721</v>
      </c>
      <c r="P883" s="169" t="s">
        <v>283</v>
      </c>
      <c r="Q883" s="169" t="s">
        <v>284</v>
      </c>
      <c r="R883" s="169" t="s">
        <v>283</v>
      </c>
      <c r="S883" s="169" t="s">
        <v>283</v>
      </c>
      <c r="T883" s="169">
        <v>0</v>
      </c>
    </row>
    <row r="884" spans="2:20" x14ac:dyDescent="0.2">
      <c r="B884" s="167" t="str">
        <f>_xlfn.XLOOKUP(I884,Mapping!D:D,Mapping!E:E)</f>
        <v>Hành Chánh Nhân Sự</v>
      </c>
      <c r="C884" s="167" t="str">
        <f>_xlfn.XLOOKUP(F884,Mapping!A:A,Mapping!F:F)</f>
        <v>BHXH, BHYT, KPCĐ</v>
      </c>
      <c r="D884" s="173">
        <v>45808</v>
      </c>
      <c r="E884" s="169" t="s">
        <v>719</v>
      </c>
      <c r="F884" s="169" t="s">
        <v>295</v>
      </c>
      <c r="G884" s="169" t="s">
        <v>296</v>
      </c>
      <c r="H884" s="169" t="s">
        <v>382</v>
      </c>
      <c r="I884" s="169" t="s">
        <v>200</v>
      </c>
      <c r="J884" s="169" t="s">
        <v>720</v>
      </c>
      <c r="K884" s="169" t="s">
        <v>712</v>
      </c>
      <c r="L884" s="169" t="s">
        <v>713</v>
      </c>
      <c r="M884" s="169" t="s">
        <v>281</v>
      </c>
      <c r="N884" s="178">
        <v>17467785</v>
      </c>
      <c r="O884" s="169" t="s">
        <v>721</v>
      </c>
      <c r="P884" s="169" t="s">
        <v>283</v>
      </c>
      <c r="Q884" s="169" t="s">
        <v>284</v>
      </c>
      <c r="R884" s="169" t="s">
        <v>283</v>
      </c>
      <c r="S884" s="169" t="s">
        <v>283</v>
      </c>
      <c r="T884" s="169">
        <v>0</v>
      </c>
    </row>
    <row r="885" spans="2:20" x14ac:dyDescent="0.2">
      <c r="B885" s="167" t="str">
        <f>_xlfn.XLOOKUP(I885,Mapping!D:D,Mapping!E:E)</f>
        <v>Hành Chánh Nhân Sự</v>
      </c>
      <c r="C885" s="167" t="str">
        <f>_xlfn.XLOOKUP(F885,Mapping!A:A,Mapping!F:F)</f>
        <v>BHXH, BHYT, KPCĐ</v>
      </c>
      <c r="D885" s="173">
        <v>45808</v>
      </c>
      <c r="E885" s="169" t="s">
        <v>719</v>
      </c>
      <c r="F885" s="169" t="s">
        <v>295</v>
      </c>
      <c r="G885" s="169" t="s">
        <v>296</v>
      </c>
      <c r="H885" s="169" t="s">
        <v>358</v>
      </c>
      <c r="I885" s="169" t="s">
        <v>359</v>
      </c>
      <c r="J885" s="169" t="s">
        <v>720</v>
      </c>
      <c r="K885" s="169" t="s">
        <v>712</v>
      </c>
      <c r="L885" s="169" t="s">
        <v>713</v>
      </c>
      <c r="M885" s="169" t="s">
        <v>281</v>
      </c>
      <c r="N885" s="178">
        <v>21177730</v>
      </c>
      <c r="O885" s="169" t="s">
        <v>721</v>
      </c>
      <c r="P885" s="169" t="s">
        <v>283</v>
      </c>
      <c r="Q885" s="169" t="s">
        <v>284</v>
      </c>
      <c r="R885" s="169" t="s">
        <v>283</v>
      </c>
      <c r="S885" s="169" t="s">
        <v>283</v>
      </c>
      <c r="T885" s="169">
        <v>0</v>
      </c>
    </row>
    <row r="886" spans="2:20" x14ac:dyDescent="0.2">
      <c r="B886" s="167" t="str">
        <f>_xlfn.XLOOKUP(I886,Mapping!D:D,Mapping!E:E)</f>
        <v>Kế Toán</v>
      </c>
      <c r="C886" s="167" t="str">
        <f>_xlfn.XLOOKUP(F886,Mapping!A:A,Mapping!F:F)</f>
        <v>Phụ Cấp</v>
      </c>
      <c r="D886" s="173">
        <v>45782</v>
      </c>
      <c r="E886" s="169" t="s">
        <v>736</v>
      </c>
      <c r="F886" s="169" t="s">
        <v>335</v>
      </c>
      <c r="G886" s="169" t="s">
        <v>336</v>
      </c>
      <c r="H886" s="169" t="s">
        <v>356</v>
      </c>
      <c r="I886" s="169" t="s">
        <v>357</v>
      </c>
      <c r="J886" s="169" t="s">
        <v>737</v>
      </c>
      <c r="K886" s="169" t="s">
        <v>338</v>
      </c>
      <c r="L886" s="169" t="s">
        <v>713</v>
      </c>
      <c r="M886" s="169" t="s">
        <v>281</v>
      </c>
      <c r="N886" s="178">
        <v>2600000</v>
      </c>
      <c r="O886" s="169" t="s">
        <v>738</v>
      </c>
      <c r="P886" s="169" t="s">
        <v>283</v>
      </c>
      <c r="Q886" s="169" t="s">
        <v>306</v>
      </c>
      <c r="R886" s="169" t="s">
        <v>283</v>
      </c>
      <c r="S886" s="169" t="s">
        <v>283</v>
      </c>
      <c r="T886" s="169">
        <v>0</v>
      </c>
    </row>
    <row r="887" spans="2:20" x14ac:dyDescent="0.2">
      <c r="B887" s="167" t="str">
        <f>_xlfn.XLOOKUP(I887,Mapping!D:D,Mapping!E:E)</f>
        <v>Hành Chánh Nhân Sự</v>
      </c>
      <c r="C887" s="167" t="str">
        <f>_xlfn.XLOOKUP(F887,Mapping!A:A,Mapping!F:F)</f>
        <v>Phụ Cấp</v>
      </c>
      <c r="D887" s="173">
        <v>45782</v>
      </c>
      <c r="E887" s="169" t="s">
        <v>736</v>
      </c>
      <c r="F887" s="169" t="s">
        <v>335</v>
      </c>
      <c r="G887" s="169" t="s">
        <v>336</v>
      </c>
      <c r="H887" s="169" t="s">
        <v>382</v>
      </c>
      <c r="I887" s="169" t="s">
        <v>200</v>
      </c>
      <c r="J887" s="169" t="s">
        <v>737</v>
      </c>
      <c r="K887" s="169" t="s">
        <v>338</v>
      </c>
      <c r="L887" s="169" t="s">
        <v>713</v>
      </c>
      <c r="M887" s="169" t="s">
        <v>281</v>
      </c>
      <c r="N887" s="178">
        <v>200000</v>
      </c>
      <c r="O887" s="169" t="s">
        <v>738</v>
      </c>
      <c r="P887" s="169" t="s">
        <v>283</v>
      </c>
      <c r="Q887" s="169" t="s">
        <v>306</v>
      </c>
      <c r="R887" s="169" t="s">
        <v>283</v>
      </c>
      <c r="S887" s="169" t="s">
        <v>283</v>
      </c>
      <c r="T887" s="169">
        <v>0</v>
      </c>
    </row>
    <row r="888" spans="2:20" x14ac:dyDescent="0.2">
      <c r="B888" s="167" t="str">
        <f>_xlfn.XLOOKUP(I888,Mapping!D:D,Mapping!E:E)</f>
        <v>Hành Chánh Nhân Sự</v>
      </c>
      <c r="C888" s="167" t="str">
        <f>_xlfn.XLOOKUP(F888,Mapping!A:A,Mapping!F:F)</f>
        <v>Phụ Cấp</v>
      </c>
      <c r="D888" s="173">
        <v>45782</v>
      </c>
      <c r="E888" s="169" t="s">
        <v>736</v>
      </c>
      <c r="F888" s="169" t="s">
        <v>335</v>
      </c>
      <c r="G888" s="169" t="s">
        <v>336</v>
      </c>
      <c r="H888" s="169" t="s">
        <v>358</v>
      </c>
      <c r="I888" s="169" t="s">
        <v>359</v>
      </c>
      <c r="J888" s="169" t="s">
        <v>737</v>
      </c>
      <c r="K888" s="169" t="s">
        <v>338</v>
      </c>
      <c r="L888" s="169" t="s">
        <v>713</v>
      </c>
      <c r="M888" s="169" t="s">
        <v>281</v>
      </c>
      <c r="N888" s="178">
        <v>525000</v>
      </c>
      <c r="O888" s="169" t="s">
        <v>738</v>
      </c>
      <c r="P888" s="169" t="s">
        <v>283</v>
      </c>
      <c r="Q888" s="169" t="s">
        <v>306</v>
      </c>
      <c r="R888" s="169" t="s">
        <v>283</v>
      </c>
      <c r="S888" s="169" t="s">
        <v>283</v>
      </c>
      <c r="T888" s="169">
        <v>0</v>
      </c>
    </row>
    <row r="889" spans="2:20" x14ac:dyDescent="0.2">
      <c r="B889" s="167" t="str">
        <f>_xlfn.XLOOKUP(I889,Mapping!D:D,Mapping!E:E)</f>
        <v>Kế Toán</v>
      </c>
      <c r="C889" s="167" t="str">
        <f>_xlfn.XLOOKUP(F889,Mapping!A:A,Mapping!F:F)</f>
        <v>Phụ Cấp</v>
      </c>
      <c r="D889" s="173">
        <v>45803</v>
      </c>
      <c r="E889" s="169" t="s">
        <v>739</v>
      </c>
      <c r="F889" s="169" t="s">
        <v>335</v>
      </c>
      <c r="G889" s="169" t="s">
        <v>336</v>
      </c>
      <c r="H889" s="169" t="s">
        <v>356</v>
      </c>
      <c r="I889" s="169" t="s">
        <v>357</v>
      </c>
      <c r="J889" s="169" t="s">
        <v>740</v>
      </c>
      <c r="K889" s="169" t="s">
        <v>741</v>
      </c>
      <c r="L889" s="169" t="s">
        <v>713</v>
      </c>
      <c r="M889" s="169" t="s">
        <v>281</v>
      </c>
      <c r="N889" s="178">
        <v>10150000</v>
      </c>
      <c r="O889" s="169" t="s">
        <v>742</v>
      </c>
      <c r="P889" s="169" t="s">
        <v>283</v>
      </c>
      <c r="Q889" s="169" t="s">
        <v>306</v>
      </c>
      <c r="R889" s="169" t="s">
        <v>283</v>
      </c>
      <c r="S889" s="169" t="s">
        <v>283</v>
      </c>
      <c r="T889" s="169">
        <v>0</v>
      </c>
    </row>
    <row r="890" spans="2:20" x14ac:dyDescent="0.2">
      <c r="B890" s="167" t="str">
        <f>_xlfn.XLOOKUP(I890,Mapping!D:D,Mapping!E:E)</f>
        <v>Hành Chánh Nhân Sự</v>
      </c>
      <c r="C890" s="167" t="str">
        <f>_xlfn.XLOOKUP(F890,Mapping!A:A,Mapping!F:F)</f>
        <v>Phụ Cấp</v>
      </c>
      <c r="D890" s="173">
        <v>45803</v>
      </c>
      <c r="E890" s="169" t="s">
        <v>739</v>
      </c>
      <c r="F890" s="169" t="s">
        <v>335</v>
      </c>
      <c r="G890" s="169" t="s">
        <v>336</v>
      </c>
      <c r="H890" s="169" t="s">
        <v>382</v>
      </c>
      <c r="I890" s="169" t="s">
        <v>200</v>
      </c>
      <c r="J890" s="169" t="s">
        <v>740</v>
      </c>
      <c r="K890" s="169" t="s">
        <v>741</v>
      </c>
      <c r="L890" s="169" t="s">
        <v>713</v>
      </c>
      <c r="M890" s="169" t="s">
        <v>281</v>
      </c>
      <c r="N890" s="178">
        <v>1250000</v>
      </c>
      <c r="O890" s="169" t="s">
        <v>742</v>
      </c>
      <c r="P890" s="169" t="s">
        <v>283</v>
      </c>
      <c r="Q890" s="169" t="s">
        <v>306</v>
      </c>
      <c r="R890" s="169" t="s">
        <v>283</v>
      </c>
      <c r="S890" s="169" t="s">
        <v>283</v>
      </c>
      <c r="T890" s="169">
        <v>0</v>
      </c>
    </row>
    <row r="891" spans="2:20" x14ac:dyDescent="0.2">
      <c r="B891" s="167" t="str">
        <f>_xlfn.XLOOKUP(I891,Mapping!D:D,Mapping!E:E)</f>
        <v>Hành Chánh Nhân Sự</v>
      </c>
      <c r="C891" s="167" t="str">
        <f>_xlfn.XLOOKUP(F891,Mapping!A:A,Mapping!F:F)</f>
        <v>Phụ Cấp</v>
      </c>
      <c r="D891" s="173">
        <v>45803</v>
      </c>
      <c r="E891" s="169" t="s">
        <v>739</v>
      </c>
      <c r="F891" s="169" t="s">
        <v>335</v>
      </c>
      <c r="G891" s="169" t="s">
        <v>336</v>
      </c>
      <c r="H891" s="169" t="s">
        <v>358</v>
      </c>
      <c r="I891" s="169" t="s">
        <v>359</v>
      </c>
      <c r="J891" s="169" t="s">
        <v>740</v>
      </c>
      <c r="K891" s="169" t="s">
        <v>741</v>
      </c>
      <c r="L891" s="169" t="s">
        <v>713</v>
      </c>
      <c r="M891" s="169" t="s">
        <v>281</v>
      </c>
      <c r="N891" s="178">
        <v>2125000</v>
      </c>
      <c r="O891" s="169" t="s">
        <v>742</v>
      </c>
      <c r="P891" s="169" t="s">
        <v>283</v>
      </c>
      <c r="Q891" s="169" t="s">
        <v>306</v>
      </c>
      <c r="R891" s="169" t="s">
        <v>283</v>
      </c>
      <c r="S891" s="169" t="s">
        <v>283</v>
      </c>
      <c r="T891" s="169">
        <v>0</v>
      </c>
    </row>
    <row r="892" spans="2:20" x14ac:dyDescent="0.2">
      <c r="B892" s="167" t="str">
        <f>_xlfn.XLOOKUP(I892,Mapping!D:D,Mapping!E:E)</f>
        <v>Kinh doanh</v>
      </c>
      <c r="C892" s="167" t="str">
        <f>_xlfn.XLOOKUP(F892,Mapping!A:A,Mapping!F:F)</f>
        <v>Thưởng</v>
      </c>
      <c r="D892" s="173">
        <v>45808</v>
      </c>
      <c r="E892" s="169" t="s">
        <v>773</v>
      </c>
      <c r="F892" s="169" t="s">
        <v>365</v>
      </c>
      <c r="G892" s="169" t="s">
        <v>291</v>
      </c>
      <c r="H892" s="169" t="s">
        <v>366</v>
      </c>
      <c r="I892" s="169" t="s">
        <v>1</v>
      </c>
      <c r="J892" s="169" t="s">
        <v>774</v>
      </c>
      <c r="K892" s="169" t="s">
        <v>670</v>
      </c>
      <c r="L892" s="169" t="s">
        <v>713</v>
      </c>
      <c r="M892" s="169" t="s">
        <v>281</v>
      </c>
      <c r="N892" s="178">
        <v>29274885</v>
      </c>
      <c r="O892" s="169" t="s">
        <v>775</v>
      </c>
      <c r="P892" s="169" t="s">
        <v>283</v>
      </c>
      <c r="Q892" s="169" t="s">
        <v>370</v>
      </c>
      <c r="R892" s="169" t="s">
        <v>283</v>
      </c>
      <c r="S892" s="169" t="s">
        <v>283</v>
      </c>
      <c r="T892" s="169">
        <v>0</v>
      </c>
    </row>
    <row r="893" spans="2:20" x14ac:dyDescent="0.2">
      <c r="B893" s="167" t="str">
        <f>_xlfn.XLOOKUP(I893,Mapping!D:D,Mapping!E:E)</f>
        <v>Kinh doanh</v>
      </c>
      <c r="C893" s="167" t="str">
        <f>_xlfn.XLOOKUP(F893,Mapping!A:A,Mapping!F:F)</f>
        <v>Thưởng</v>
      </c>
      <c r="D893" s="173">
        <v>45808</v>
      </c>
      <c r="E893" s="169" t="s">
        <v>776</v>
      </c>
      <c r="F893" s="169" t="s">
        <v>365</v>
      </c>
      <c r="G893" s="169" t="s">
        <v>291</v>
      </c>
      <c r="H893" s="169" t="s">
        <v>366</v>
      </c>
      <c r="I893" s="169" t="s">
        <v>1</v>
      </c>
      <c r="J893" s="169" t="s">
        <v>777</v>
      </c>
      <c r="K893" s="169" t="s">
        <v>670</v>
      </c>
      <c r="L893" s="169" t="s">
        <v>713</v>
      </c>
      <c r="M893" s="169" t="s">
        <v>281</v>
      </c>
      <c r="N893" s="178">
        <v>179053379</v>
      </c>
      <c r="O893" s="169" t="s">
        <v>778</v>
      </c>
      <c r="P893" s="169" t="s">
        <v>283</v>
      </c>
      <c r="Q893" s="169" t="s">
        <v>370</v>
      </c>
      <c r="R893" s="169" t="s">
        <v>283</v>
      </c>
      <c r="S893" s="169" t="s">
        <v>283</v>
      </c>
      <c r="T893" s="169">
        <v>0</v>
      </c>
    </row>
    <row r="894" spans="2:20" x14ac:dyDescent="0.2">
      <c r="B894" s="167" t="str">
        <f>_xlfn.XLOOKUP(I894,Mapping!D:D,Mapping!E:E)</f>
        <v>Kinh doanh</v>
      </c>
      <c r="C894" s="167" t="str">
        <f>_xlfn.XLOOKUP(F894,Mapping!A:A,Mapping!F:F)</f>
        <v>Thưởng</v>
      </c>
      <c r="D894" s="173">
        <v>45778</v>
      </c>
      <c r="E894" s="169" t="s">
        <v>779</v>
      </c>
      <c r="F894" s="169" t="s">
        <v>365</v>
      </c>
      <c r="G894" s="169" t="s">
        <v>291</v>
      </c>
      <c r="H894" s="169" t="s">
        <v>366</v>
      </c>
      <c r="I894" s="169" t="s">
        <v>1</v>
      </c>
      <c r="J894" s="169" t="s">
        <v>673</v>
      </c>
      <c r="K894" s="169" t="s">
        <v>670</v>
      </c>
      <c r="L894" s="169" t="s">
        <v>713</v>
      </c>
      <c r="M894" s="169" t="s">
        <v>281</v>
      </c>
      <c r="N894" s="178">
        <v>-116293966</v>
      </c>
      <c r="O894" s="169" t="s">
        <v>780</v>
      </c>
      <c r="P894" s="169" t="s">
        <v>447</v>
      </c>
      <c r="Q894" s="169" t="s">
        <v>284</v>
      </c>
      <c r="R894" s="169" t="s">
        <v>283</v>
      </c>
      <c r="S894" s="169" t="s">
        <v>283</v>
      </c>
      <c r="T894" s="169">
        <v>0</v>
      </c>
    </row>
    <row r="895" spans="2:20" x14ac:dyDescent="0.2">
      <c r="B895" s="167" t="str">
        <f>_xlfn.XLOOKUP(I895,Mapping!D:D,Mapping!E:E)</f>
        <v>Cung Ứng</v>
      </c>
      <c r="C895" s="167" t="str">
        <f>_xlfn.XLOOKUP(F895,Mapping!A:A,Mapping!F:F)</f>
        <v>Lương Chính +T13</v>
      </c>
      <c r="D895" s="173">
        <v>45808</v>
      </c>
      <c r="E895" s="169" t="s">
        <v>710</v>
      </c>
      <c r="F895" s="169" t="s">
        <v>274</v>
      </c>
      <c r="G895" s="169" t="s">
        <v>275</v>
      </c>
      <c r="H895" s="169" t="s">
        <v>380</v>
      </c>
      <c r="I895" s="169" t="s">
        <v>381</v>
      </c>
      <c r="J895" s="169" t="s">
        <v>711</v>
      </c>
      <c r="K895" s="169" t="s">
        <v>712</v>
      </c>
      <c r="L895" s="169" t="s">
        <v>713</v>
      </c>
      <c r="M895" s="169" t="s">
        <v>281</v>
      </c>
      <c r="N895" s="178">
        <v>494371487</v>
      </c>
      <c r="O895" s="169" t="s">
        <v>714</v>
      </c>
      <c r="P895" s="169" t="s">
        <v>283</v>
      </c>
      <c r="Q895" s="169" t="s">
        <v>284</v>
      </c>
      <c r="R895" s="169" t="s">
        <v>283</v>
      </c>
      <c r="S895" s="169" t="s">
        <v>283</v>
      </c>
      <c r="T895" s="169">
        <v>0</v>
      </c>
    </row>
    <row r="896" spans="2:20" x14ac:dyDescent="0.2">
      <c r="B896" s="167" t="str">
        <f>_xlfn.XLOOKUP(I896,Mapping!D:D,Mapping!E:E)</f>
        <v>Cung Ứng</v>
      </c>
      <c r="C896" s="167" t="str">
        <f>_xlfn.XLOOKUP(F896,Mapping!A:A,Mapping!F:F)</f>
        <v>Lương Chính +T13</v>
      </c>
      <c r="D896" s="173">
        <v>45808</v>
      </c>
      <c r="E896" s="169" t="s">
        <v>710</v>
      </c>
      <c r="F896" s="169" t="s">
        <v>285</v>
      </c>
      <c r="G896" s="169" t="s">
        <v>286</v>
      </c>
      <c r="H896" s="169" t="s">
        <v>380</v>
      </c>
      <c r="I896" s="169" t="s">
        <v>381</v>
      </c>
      <c r="J896" s="169" t="s">
        <v>711</v>
      </c>
      <c r="K896" s="169" t="s">
        <v>712</v>
      </c>
      <c r="L896" s="169" t="s">
        <v>713</v>
      </c>
      <c r="M896" s="169" t="s">
        <v>281</v>
      </c>
      <c r="N896" s="178">
        <v>12039385</v>
      </c>
      <c r="O896" s="169" t="s">
        <v>714</v>
      </c>
      <c r="P896" s="169" t="s">
        <v>283</v>
      </c>
      <c r="Q896" s="169" t="s">
        <v>284</v>
      </c>
      <c r="R896" s="169" t="s">
        <v>283</v>
      </c>
      <c r="S896" s="169" t="s">
        <v>283</v>
      </c>
      <c r="T896" s="169">
        <v>0</v>
      </c>
    </row>
    <row r="897" spans="2:20" x14ac:dyDescent="0.2">
      <c r="B897" s="167" t="str">
        <f>_xlfn.XLOOKUP(I897,Mapping!D:D,Mapping!E:E)</f>
        <v>Cung Ứng</v>
      </c>
      <c r="C897" s="167" t="str">
        <f>_xlfn.XLOOKUP(F897,Mapping!A:A,Mapping!F:F)</f>
        <v>Thưởng</v>
      </c>
      <c r="D897" s="173">
        <v>45808</v>
      </c>
      <c r="E897" s="169" t="s">
        <v>710</v>
      </c>
      <c r="F897" s="169" t="s">
        <v>290</v>
      </c>
      <c r="G897" s="169" t="s">
        <v>291</v>
      </c>
      <c r="H897" s="169" t="s">
        <v>380</v>
      </c>
      <c r="I897" s="169" t="s">
        <v>381</v>
      </c>
      <c r="J897" s="169" t="s">
        <v>711</v>
      </c>
      <c r="K897" s="169" t="s">
        <v>712</v>
      </c>
      <c r="L897" s="169" t="s">
        <v>713</v>
      </c>
      <c r="M897" s="169" t="s">
        <v>281</v>
      </c>
      <c r="N897" s="178">
        <v>247492674</v>
      </c>
      <c r="O897" s="169" t="s">
        <v>714</v>
      </c>
      <c r="P897" s="169" t="s">
        <v>283</v>
      </c>
      <c r="Q897" s="169" t="s">
        <v>284</v>
      </c>
      <c r="R897" s="169" t="s">
        <v>283</v>
      </c>
      <c r="S897" s="169" t="s">
        <v>283</v>
      </c>
      <c r="T897" s="169">
        <v>0</v>
      </c>
    </row>
    <row r="898" spans="2:20" x14ac:dyDescent="0.2">
      <c r="B898" s="167" t="str">
        <f>_xlfn.XLOOKUP(I898,Mapping!D:D,Mapping!E:E)</f>
        <v>Cung Ứng</v>
      </c>
      <c r="C898" s="167" t="str">
        <f>_xlfn.XLOOKUP(F898,Mapping!A:A,Mapping!F:F)</f>
        <v>Phụ Cấp</v>
      </c>
      <c r="D898" s="173">
        <v>45808</v>
      </c>
      <c r="E898" s="169" t="s">
        <v>710</v>
      </c>
      <c r="F898" s="169" t="s">
        <v>335</v>
      </c>
      <c r="G898" s="169" t="s">
        <v>336</v>
      </c>
      <c r="H898" s="169" t="s">
        <v>380</v>
      </c>
      <c r="I898" s="169" t="s">
        <v>381</v>
      </c>
      <c r="J898" s="169" t="s">
        <v>711</v>
      </c>
      <c r="K898" s="169" t="s">
        <v>712</v>
      </c>
      <c r="L898" s="169" t="s">
        <v>713</v>
      </c>
      <c r="M898" s="169" t="s">
        <v>281</v>
      </c>
      <c r="N898" s="178">
        <v>11145000</v>
      </c>
      <c r="O898" s="169" t="s">
        <v>714</v>
      </c>
      <c r="P898" s="169" t="s">
        <v>283</v>
      </c>
      <c r="Q898" s="169" t="s">
        <v>284</v>
      </c>
      <c r="R898" s="169" t="s">
        <v>283</v>
      </c>
      <c r="S898" s="169" t="s">
        <v>283</v>
      </c>
      <c r="T898" s="169">
        <v>0</v>
      </c>
    </row>
    <row r="899" spans="2:20" x14ac:dyDescent="0.2">
      <c r="B899" s="167" t="str">
        <f>_xlfn.XLOOKUP(I899,Mapping!D:D,Mapping!E:E)</f>
        <v>Mua Hàng &amp; XNK</v>
      </c>
      <c r="C899" s="167" t="str">
        <f>_xlfn.XLOOKUP(F899,Mapping!A:A,Mapping!F:F)</f>
        <v>Lương Chính +T13</v>
      </c>
      <c r="D899" s="173">
        <v>45808</v>
      </c>
      <c r="E899" s="169" t="s">
        <v>710</v>
      </c>
      <c r="F899" s="169" t="s">
        <v>274</v>
      </c>
      <c r="G899" s="169" t="s">
        <v>275</v>
      </c>
      <c r="H899" s="169" t="s">
        <v>378</v>
      </c>
      <c r="I899" s="169" t="s">
        <v>379</v>
      </c>
      <c r="J899" s="169" t="s">
        <v>711</v>
      </c>
      <c r="K899" s="169" t="s">
        <v>712</v>
      </c>
      <c r="L899" s="169" t="s">
        <v>713</v>
      </c>
      <c r="M899" s="169" t="s">
        <v>281</v>
      </c>
      <c r="N899" s="178">
        <v>109769064</v>
      </c>
      <c r="O899" s="169" t="s">
        <v>714</v>
      </c>
      <c r="P899" s="169" t="s">
        <v>283</v>
      </c>
      <c r="Q899" s="169" t="s">
        <v>284</v>
      </c>
      <c r="R899" s="169" t="s">
        <v>283</v>
      </c>
      <c r="S899" s="169" t="s">
        <v>283</v>
      </c>
      <c r="T899" s="169">
        <v>0</v>
      </c>
    </row>
    <row r="900" spans="2:20" x14ac:dyDescent="0.2">
      <c r="B900" s="167" t="str">
        <f>_xlfn.XLOOKUP(I900,Mapping!D:D,Mapping!E:E)</f>
        <v>Mua Hàng &amp; XNK</v>
      </c>
      <c r="C900" s="167" t="str">
        <f>_xlfn.XLOOKUP(F900,Mapping!A:A,Mapping!F:F)</f>
        <v>Lương Chính +T13</v>
      </c>
      <c r="D900" s="173">
        <v>45808</v>
      </c>
      <c r="E900" s="169" t="s">
        <v>710</v>
      </c>
      <c r="F900" s="169" t="s">
        <v>285</v>
      </c>
      <c r="G900" s="169" t="s">
        <v>286</v>
      </c>
      <c r="H900" s="169" t="s">
        <v>378</v>
      </c>
      <c r="I900" s="169" t="s">
        <v>379</v>
      </c>
      <c r="J900" s="169" t="s">
        <v>711</v>
      </c>
      <c r="K900" s="169" t="s">
        <v>712</v>
      </c>
      <c r="L900" s="169" t="s">
        <v>713</v>
      </c>
      <c r="M900" s="169" t="s">
        <v>281</v>
      </c>
      <c r="N900" s="178">
        <v>6248576</v>
      </c>
      <c r="O900" s="169" t="s">
        <v>714</v>
      </c>
      <c r="P900" s="169" t="s">
        <v>283</v>
      </c>
      <c r="Q900" s="169" t="s">
        <v>284</v>
      </c>
      <c r="R900" s="169" t="s">
        <v>283</v>
      </c>
      <c r="S900" s="169" t="s">
        <v>283</v>
      </c>
      <c r="T900" s="169">
        <v>0</v>
      </c>
    </row>
    <row r="901" spans="2:20" x14ac:dyDescent="0.2">
      <c r="B901" s="167" t="str">
        <f>_xlfn.XLOOKUP(I901,Mapping!D:D,Mapping!E:E)</f>
        <v>Mua Hàng &amp; XNK</v>
      </c>
      <c r="C901" s="167" t="str">
        <f>_xlfn.XLOOKUP(F901,Mapping!A:A,Mapping!F:F)</f>
        <v>Thưởng</v>
      </c>
      <c r="D901" s="173">
        <v>45808</v>
      </c>
      <c r="E901" s="169" t="s">
        <v>710</v>
      </c>
      <c r="F901" s="169" t="s">
        <v>290</v>
      </c>
      <c r="G901" s="169" t="s">
        <v>291</v>
      </c>
      <c r="H901" s="169" t="s">
        <v>378</v>
      </c>
      <c r="I901" s="169" t="s">
        <v>379</v>
      </c>
      <c r="J901" s="169" t="s">
        <v>711</v>
      </c>
      <c r="K901" s="169" t="s">
        <v>712</v>
      </c>
      <c r="L901" s="169" t="s">
        <v>713</v>
      </c>
      <c r="M901" s="169" t="s">
        <v>281</v>
      </c>
      <c r="N901" s="178">
        <v>1400000</v>
      </c>
      <c r="O901" s="169" t="s">
        <v>714</v>
      </c>
      <c r="P901" s="169" t="s">
        <v>283</v>
      </c>
      <c r="Q901" s="169" t="s">
        <v>284</v>
      </c>
      <c r="R901" s="169" t="s">
        <v>283</v>
      </c>
      <c r="S901" s="169" t="s">
        <v>283</v>
      </c>
      <c r="T901" s="169">
        <v>0</v>
      </c>
    </row>
    <row r="902" spans="2:20" x14ac:dyDescent="0.2">
      <c r="B902" s="167" t="str">
        <f>_xlfn.XLOOKUP(I902,Mapping!D:D,Mapping!E:E)</f>
        <v>Mua Hàng &amp; XNK</v>
      </c>
      <c r="C902" s="167" t="str">
        <f>_xlfn.XLOOKUP(F902,Mapping!A:A,Mapping!F:F)</f>
        <v>Phụ Cấp</v>
      </c>
      <c r="D902" s="173">
        <v>45808</v>
      </c>
      <c r="E902" s="169" t="s">
        <v>710</v>
      </c>
      <c r="F902" s="169" t="s">
        <v>335</v>
      </c>
      <c r="G902" s="169" t="s">
        <v>336</v>
      </c>
      <c r="H902" s="169" t="s">
        <v>378</v>
      </c>
      <c r="I902" s="169" t="s">
        <v>379</v>
      </c>
      <c r="J902" s="169" t="s">
        <v>711</v>
      </c>
      <c r="K902" s="169" t="s">
        <v>712</v>
      </c>
      <c r="L902" s="169" t="s">
        <v>713</v>
      </c>
      <c r="M902" s="169" t="s">
        <v>281</v>
      </c>
      <c r="N902" s="178">
        <v>200000</v>
      </c>
      <c r="O902" s="169" t="s">
        <v>714</v>
      </c>
      <c r="P902" s="169" t="s">
        <v>283</v>
      </c>
      <c r="Q902" s="169" t="s">
        <v>284</v>
      </c>
      <c r="R902" s="169" t="s">
        <v>283</v>
      </c>
      <c r="S902" s="169" t="s">
        <v>283</v>
      </c>
      <c r="T902" s="169">
        <v>0</v>
      </c>
    </row>
    <row r="903" spans="2:20" x14ac:dyDescent="0.2">
      <c r="B903" s="167" t="str">
        <f>_xlfn.XLOOKUP(I903,Mapping!D:D,Mapping!E:E)</f>
        <v>Kỹ Thuật</v>
      </c>
      <c r="C903" s="167" t="str">
        <f>_xlfn.XLOOKUP(F903,Mapping!A:A,Mapping!F:F)</f>
        <v>Phụ Cấp</v>
      </c>
      <c r="D903" s="173">
        <v>45808</v>
      </c>
      <c r="E903" s="169" t="s">
        <v>710</v>
      </c>
      <c r="F903" s="169" t="s">
        <v>386</v>
      </c>
      <c r="G903" s="169" t="s">
        <v>341</v>
      </c>
      <c r="H903" s="169" t="s">
        <v>376</v>
      </c>
      <c r="I903" s="169" t="s">
        <v>377</v>
      </c>
      <c r="J903" s="169" t="s">
        <v>711</v>
      </c>
      <c r="K903" s="169" t="s">
        <v>712</v>
      </c>
      <c r="L903" s="169" t="s">
        <v>713</v>
      </c>
      <c r="M903" s="169" t="s">
        <v>281</v>
      </c>
      <c r="N903" s="178">
        <v>48667328</v>
      </c>
      <c r="O903" s="169" t="s">
        <v>714</v>
      </c>
      <c r="P903" s="169" t="s">
        <v>283</v>
      </c>
      <c r="Q903" s="169" t="s">
        <v>284</v>
      </c>
      <c r="R903" s="169" t="s">
        <v>283</v>
      </c>
      <c r="S903" s="169" t="s">
        <v>283</v>
      </c>
      <c r="T903" s="169">
        <v>0</v>
      </c>
    </row>
    <row r="904" spans="2:20" x14ac:dyDescent="0.2">
      <c r="B904" s="167" t="str">
        <f>_xlfn.XLOOKUP(I904,Mapping!D:D,Mapping!E:E)</f>
        <v>Kỹ Thuật</v>
      </c>
      <c r="C904" s="167" t="str">
        <f>_xlfn.XLOOKUP(F904,Mapping!A:A,Mapping!F:F)</f>
        <v>Lương Chính +T13</v>
      </c>
      <c r="D904" s="173">
        <v>45808</v>
      </c>
      <c r="E904" s="169" t="s">
        <v>710</v>
      </c>
      <c r="F904" s="169" t="s">
        <v>387</v>
      </c>
      <c r="G904" s="169" t="s">
        <v>275</v>
      </c>
      <c r="H904" s="169" t="s">
        <v>376</v>
      </c>
      <c r="I904" s="169" t="s">
        <v>377</v>
      </c>
      <c r="J904" s="169" t="s">
        <v>711</v>
      </c>
      <c r="K904" s="169" t="s">
        <v>712</v>
      </c>
      <c r="L904" s="169" t="s">
        <v>713</v>
      </c>
      <c r="M904" s="169" t="s">
        <v>281</v>
      </c>
      <c r="N904" s="178">
        <v>1022021004</v>
      </c>
      <c r="O904" s="169" t="s">
        <v>714</v>
      </c>
      <c r="P904" s="169" t="s">
        <v>283</v>
      </c>
      <c r="Q904" s="169" t="s">
        <v>284</v>
      </c>
      <c r="R904" s="169" t="s">
        <v>283</v>
      </c>
      <c r="S904" s="169" t="s">
        <v>283</v>
      </c>
      <c r="T904" s="169">
        <v>0</v>
      </c>
    </row>
    <row r="905" spans="2:20" x14ac:dyDescent="0.2">
      <c r="B905" s="167" t="str">
        <f>_xlfn.XLOOKUP(I905,Mapping!D:D,Mapping!E:E)</f>
        <v>Kỹ Thuật</v>
      </c>
      <c r="C905" s="167" t="str">
        <f>_xlfn.XLOOKUP(F905,Mapping!A:A,Mapping!F:F)</f>
        <v>Lương Chính +T13</v>
      </c>
      <c r="D905" s="173">
        <v>45808</v>
      </c>
      <c r="E905" s="169" t="s">
        <v>710</v>
      </c>
      <c r="F905" s="169" t="s">
        <v>388</v>
      </c>
      <c r="G905" s="169" t="s">
        <v>286</v>
      </c>
      <c r="H905" s="169" t="s">
        <v>376</v>
      </c>
      <c r="I905" s="169" t="s">
        <v>377</v>
      </c>
      <c r="J905" s="169" t="s">
        <v>711</v>
      </c>
      <c r="K905" s="169" t="s">
        <v>712</v>
      </c>
      <c r="L905" s="169" t="s">
        <v>713</v>
      </c>
      <c r="M905" s="169" t="s">
        <v>281</v>
      </c>
      <c r="N905" s="178">
        <v>28044096</v>
      </c>
      <c r="O905" s="169" t="s">
        <v>714</v>
      </c>
      <c r="P905" s="169" t="s">
        <v>283</v>
      </c>
      <c r="Q905" s="169" t="s">
        <v>284</v>
      </c>
      <c r="R905" s="169" t="s">
        <v>283</v>
      </c>
      <c r="S905" s="169" t="s">
        <v>283</v>
      </c>
      <c r="T905" s="169">
        <v>0</v>
      </c>
    </row>
    <row r="906" spans="2:20" x14ac:dyDescent="0.2">
      <c r="B906" s="167" t="str">
        <f>_xlfn.XLOOKUP(I906,Mapping!D:D,Mapping!E:E)</f>
        <v>Kỹ Thuật</v>
      </c>
      <c r="C906" s="167" t="str">
        <f>_xlfn.XLOOKUP(F906,Mapping!A:A,Mapping!F:F)</f>
        <v>Lương Ngoài giờ</v>
      </c>
      <c r="D906" s="173">
        <v>45808</v>
      </c>
      <c r="E906" s="169" t="s">
        <v>710</v>
      </c>
      <c r="F906" s="169" t="s">
        <v>389</v>
      </c>
      <c r="G906" s="169" t="s">
        <v>390</v>
      </c>
      <c r="H906" s="169" t="s">
        <v>376</v>
      </c>
      <c r="I906" s="169" t="s">
        <v>377</v>
      </c>
      <c r="J906" s="169" t="s">
        <v>711</v>
      </c>
      <c r="K906" s="169" t="s">
        <v>712</v>
      </c>
      <c r="L906" s="169" t="s">
        <v>713</v>
      </c>
      <c r="M906" s="169" t="s">
        <v>281</v>
      </c>
      <c r="N906" s="178">
        <v>443431514</v>
      </c>
      <c r="O906" s="169" t="s">
        <v>714</v>
      </c>
      <c r="P906" s="169" t="s">
        <v>283</v>
      </c>
      <c r="Q906" s="169" t="s">
        <v>284</v>
      </c>
      <c r="R906" s="169" t="s">
        <v>283</v>
      </c>
      <c r="S906" s="169" t="s">
        <v>283</v>
      </c>
      <c r="T906" s="169">
        <v>0</v>
      </c>
    </row>
    <row r="907" spans="2:20" x14ac:dyDescent="0.2">
      <c r="B907" s="167" t="str">
        <f>_xlfn.XLOOKUP(I907,Mapping!D:D,Mapping!E:E)</f>
        <v>Kỹ Thuật</v>
      </c>
      <c r="C907" s="167" t="str">
        <f>_xlfn.XLOOKUP(F907,Mapping!A:A,Mapping!F:F)</f>
        <v>Thưởng</v>
      </c>
      <c r="D907" s="173">
        <v>45808</v>
      </c>
      <c r="E907" s="169" t="s">
        <v>710</v>
      </c>
      <c r="F907" s="169" t="s">
        <v>391</v>
      </c>
      <c r="G907" s="169" t="s">
        <v>291</v>
      </c>
      <c r="H907" s="169" t="s">
        <v>376</v>
      </c>
      <c r="I907" s="169" t="s">
        <v>377</v>
      </c>
      <c r="J907" s="169" t="s">
        <v>711</v>
      </c>
      <c r="K907" s="169" t="s">
        <v>712</v>
      </c>
      <c r="L907" s="169" t="s">
        <v>713</v>
      </c>
      <c r="M907" s="169" t="s">
        <v>281</v>
      </c>
      <c r="N907" s="178">
        <v>16000000</v>
      </c>
      <c r="O907" s="169" t="s">
        <v>714</v>
      </c>
      <c r="P907" s="169" t="s">
        <v>283</v>
      </c>
      <c r="Q907" s="169" t="s">
        <v>284</v>
      </c>
      <c r="R907" s="169" t="s">
        <v>283</v>
      </c>
      <c r="S907" s="169" t="s">
        <v>283</v>
      </c>
      <c r="T907" s="169">
        <v>0</v>
      </c>
    </row>
    <row r="908" spans="2:20" x14ac:dyDescent="0.2">
      <c r="B908" s="167" t="str">
        <f>_xlfn.XLOOKUP(I908,Mapping!D:D,Mapping!E:E)</f>
        <v>Kỹ Thuật</v>
      </c>
      <c r="C908" s="167" t="str">
        <f>_xlfn.XLOOKUP(F908,Mapping!A:A,Mapping!F:F)</f>
        <v>Phụ Cấp</v>
      </c>
      <c r="D908" s="173">
        <v>45808</v>
      </c>
      <c r="E908" s="169" t="s">
        <v>710</v>
      </c>
      <c r="F908" s="169" t="s">
        <v>375</v>
      </c>
      <c r="G908" s="169" t="s">
        <v>336</v>
      </c>
      <c r="H908" s="169" t="s">
        <v>376</v>
      </c>
      <c r="I908" s="169" t="s">
        <v>377</v>
      </c>
      <c r="J908" s="169" t="s">
        <v>711</v>
      </c>
      <c r="K908" s="169" t="s">
        <v>712</v>
      </c>
      <c r="L908" s="169" t="s">
        <v>713</v>
      </c>
      <c r="M908" s="169" t="s">
        <v>281</v>
      </c>
      <c r="N908" s="178">
        <v>10660000</v>
      </c>
      <c r="O908" s="169" t="s">
        <v>714</v>
      </c>
      <c r="P908" s="169" t="s">
        <v>283</v>
      </c>
      <c r="Q908" s="169" t="s">
        <v>284</v>
      </c>
      <c r="R908" s="169" t="s">
        <v>283</v>
      </c>
      <c r="S908" s="169" t="s">
        <v>283</v>
      </c>
      <c r="T908" s="169">
        <v>0</v>
      </c>
    </row>
    <row r="909" spans="2:20" x14ac:dyDescent="0.2">
      <c r="B909" s="167" t="str">
        <f>_xlfn.XLOOKUP(I909,Mapping!D:D,Mapping!E:E)</f>
        <v>Cung Ứng</v>
      </c>
      <c r="C909" s="167" t="str">
        <f>_xlfn.XLOOKUP(F909,Mapping!A:A,Mapping!F:F)</f>
        <v>Lương Chính +T13</v>
      </c>
      <c r="D909" s="173">
        <v>45808</v>
      </c>
      <c r="E909" s="169" t="s">
        <v>715</v>
      </c>
      <c r="F909" s="169" t="s">
        <v>285</v>
      </c>
      <c r="G909" s="169" t="s">
        <v>286</v>
      </c>
      <c r="H909" s="169" t="s">
        <v>380</v>
      </c>
      <c r="I909" s="169" t="s">
        <v>381</v>
      </c>
      <c r="J909" s="169" t="s">
        <v>716</v>
      </c>
      <c r="K909" s="169" t="s">
        <v>712</v>
      </c>
      <c r="L909" s="169" t="s">
        <v>713</v>
      </c>
      <c r="M909" s="169" t="s">
        <v>281</v>
      </c>
      <c r="N909" s="178">
        <v>41319085</v>
      </c>
      <c r="O909" s="169" t="s">
        <v>717</v>
      </c>
      <c r="P909" s="169" t="s">
        <v>283</v>
      </c>
      <c r="Q909" s="169" t="s">
        <v>284</v>
      </c>
      <c r="R909" s="169" t="s">
        <v>283</v>
      </c>
      <c r="S909" s="169" t="s">
        <v>283</v>
      </c>
      <c r="T909" s="169">
        <v>0</v>
      </c>
    </row>
    <row r="910" spans="2:20" x14ac:dyDescent="0.2">
      <c r="B910" s="167" t="str">
        <f>_xlfn.XLOOKUP(I910,Mapping!D:D,Mapping!E:E)</f>
        <v>Cung Ứng</v>
      </c>
      <c r="C910" s="167" t="str">
        <f>_xlfn.XLOOKUP(F910,Mapping!A:A,Mapping!F:F)</f>
        <v>Thưởng</v>
      </c>
      <c r="D910" s="173">
        <v>45808</v>
      </c>
      <c r="E910" s="169" t="s">
        <v>715</v>
      </c>
      <c r="F910" s="169" t="s">
        <v>292</v>
      </c>
      <c r="G910" s="169" t="s">
        <v>77</v>
      </c>
      <c r="H910" s="169" t="s">
        <v>380</v>
      </c>
      <c r="I910" s="169" t="s">
        <v>381</v>
      </c>
      <c r="J910" s="169" t="s">
        <v>718</v>
      </c>
      <c r="K910" s="169" t="s">
        <v>712</v>
      </c>
      <c r="L910" s="169" t="s">
        <v>713</v>
      </c>
      <c r="M910" s="169" t="s">
        <v>281</v>
      </c>
      <c r="N910" s="178">
        <v>36160046</v>
      </c>
      <c r="O910" s="169" t="s">
        <v>717</v>
      </c>
      <c r="P910" s="169" t="s">
        <v>283</v>
      </c>
      <c r="Q910" s="169" t="s">
        <v>284</v>
      </c>
      <c r="R910" s="169" t="s">
        <v>283</v>
      </c>
      <c r="S910" s="169" t="s">
        <v>283</v>
      </c>
      <c r="T910" s="169">
        <v>0</v>
      </c>
    </row>
    <row r="911" spans="2:20" x14ac:dyDescent="0.2">
      <c r="B911" s="167" t="str">
        <f>_xlfn.XLOOKUP(I911,Mapping!D:D,Mapping!E:E)</f>
        <v>Mua Hàng &amp; XNK</v>
      </c>
      <c r="C911" s="167" t="str">
        <f>_xlfn.XLOOKUP(F911,Mapping!A:A,Mapping!F:F)</f>
        <v>Lương Chính +T13</v>
      </c>
      <c r="D911" s="173">
        <v>45808</v>
      </c>
      <c r="E911" s="169" t="s">
        <v>715</v>
      </c>
      <c r="F911" s="169" t="s">
        <v>285</v>
      </c>
      <c r="G911" s="169" t="s">
        <v>286</v>
      </c>
      <c r="H911" s="169" t="s">
        <v>378</v>
      </c>
      <c r="I911" s="169" t="s">
        <v>379</v>
      </c>
      <c r="J911" s="169" t="s">
        <v>716</v>
      </c>
      <c r="K911" s="169" t="s">
        <v>712</v>
      </c>
      <c r="L911" s="169" t="s">
        <v>713</v>
      </c>
      <c r="M911" s="169" t="s">
        <v>281</v>
      </c>
      <c r="N911" s="178">
        <v>11877750</v>
      </c>
      <c r="O911" s="169" t="s">
        <v>717</v>
      </c>
      <c r="P911" s="169" t="s">
        <v>283</v>
      </c>
      <c r="Q911" s="169" t="s">
        <v>284</v>
      </c>
      <c r="R911" s="169" t="s">
        <v>283</v>
      </c>
      <c r="S911" s="169" t="s">
        <v>283</v>
      </c>
      <c r="T911" s="169">
        <v>0</v>
      </c>
    </row>
    <row r="912" spans="2:20" x14ac:dyDescent="0.2">
      <c r="B912" s="167" t="str">
        <f>_xlfn.XLOOKUP(I912,Mapping!D:D,Mapping!E:E)</f>
        <v>Mua Hàng &amp; XNK</v>
      </c>
      <c r="C912" s="167" t="str">
        <f>_xlfn.XLOOKUP(F912,Mapping!A:A,Mapping!F:F)</f>
        <v>Thưởng</v>
      </c>
      <c r="D912" s="173">
        <v>45808</v>
      </c>
      <c r="E912" s="169" t="s">
        <v>715</v>
      </c>
      <c r="F912" s="169" t="s">
        <v>292</v>
      </c>
      <c r="G912" s="169" t="s">
        <v>77</v>
      </c>
      <c r="H912" s="169" t="s">
        <v>378</v>
      </c>
      <c r="I912" s="169" t="s">
        <v>379</v>
      </c>
      <c r="J912" s="169" t="s">
        <v>718</v>
      </c>
      <c r="K912" s="169" t="s">
        <v>712</v>
      </c>
      <c r="L912" s="169" t="s">
        <v>713</v>
      </c>
      <c r="M912" s="169" t="s">
        <v>281</v>
      </c>
      <c r="N912" s="178">
        <v>10927435</v>
      </c>
      <c r="O912" s="169" t="s">
        <v>717</v>
      </c>
      <c r="P912" s="169" t="s">
        <v>283</v>
      </c>
      <c r="Q912" s="169" t="s">
        <v>284</v>
      </c>
      <c r="R912" s="169" t="s">
        <v>283</v>
      </c>
      <c r="S912" s="169" t="s">
        <v>283</v>
      </c>
      <c r="T912" s="169">
        <v>0</v>
      </c>
    </row>
    <row r="913" spans="1:20" x14ac:dyDescent="0.2">
      <c r="B913" s="167" t="str">
        <f>_xlfn.XLOOKUP(I913,Mapping!D:D,Mapping!E:E)</f>
        <v>Kỹ Thuật</v>
      </c>
      <c r="C913" s="167" t="str">
        <f>_xlfn.XLOOKUP(F913,Mapping!A:A,Mapping!F:F)</f>
        <v>Lương Chính +T13</v>
      </c>
      <c r="D913" s="173">
        <v>45808</v>
      </c>
      <c r="E913" s="169" t="s">
        <v>715</v>
      </c>
      <c r="F913" s="169" t="s">
        <v>388</v>
      </c>
      <c r="G913" s="169" t="s">
        <v>286</v>
      </c>
      <c r="H913" s="169" t="s">
        <v>376</v>
      </c>
      <c r="I913" s="169" t="s">
        <v>377</v>
      </c>
      <c r="J913" s="169" t="s">
        <v>716</v>
      </c>
      <c r="K913" s="169" t="s">
        <v>712</v>
      </c>
      <c r="L913" s="169" t="s">
        <v>713</v>
      </c>
      <c r="M913" s="169" t="s">
        <v>281</v>
      </c>
      <c r="N913" s="178">
        <v>85176833</v>
      </c>
      <c r="O913" s="169" t="s">
        <v>717</v>
      </c>
      <c r="P913" s="169" t="s">
        <v>283</v>
      </c>
      <c r="Q913" s="169" t="s">
        <v>284</v>
      </c>
      <c r="R913" s="169" t="s">
        <v>283</v>
      </c>
      <c r="S913" s="169" t="s">
        <v>283</v>
      </c>
      <c r="T913" s="169">
        <v>0</v>
      </c>
    </row>
    <row r="914" spans="1:20" x14ac:dyDescent="0.2">
      <c r="B914" s="167" t="str">
        <f>_xlfn.XLOOKUP(I914,Mapping!D:D,Mapping!E:E)</f>
        <v>Kỹ Thuật</v>
      </c>
      <c r="C914" s="167" t="str">
        <f>_xlfn.XLOOKUP(F914,Mapping!A:A,Mapping!F:F)</f>
        <v>Thưởng</v>
      </c>
      <c r="D914" s="173">
        <v>45808</v>
      </c>
      <c r="E914" s="169" t="s">
        <v>715</v>
      </c>
      <c r="F914" s="169" t="s">
        <v>395</v>
      </c>
      <c r="G914" s="169" t="s">
        <v>77</v>
      </c>
      <c r="H914" s="169" t="s">
        <v>376</v>
      </c>
      <c r="I914" s="169" t="s">
        <v>377</v>
      </c>
      <c r="J914" s="169" t="s">
        <v>718</v>
      </c>
      <c r="K914" s="169" t="s">
        <v>712</v>
      </c>
      <c r="L914" s="169" t="s">
        <v>713</v>
      </c>
      <c r="M914" s="169" t="s">
        <v>281</v>
      </c>
      <c r="N914" s="178">
        <v>78362005</v>
      </c>
      <c r="O914" s="169" t="s">
        <v>717</v>
      </c>
      <c r="P914" s="169" t="s">
        <v>283</v>
      </c>
      <c r="Q914" s="169" t="s">
        <v>284</v>
      </c>
      <c r="R914" s="169" t="s">
        <v>283</v>
      </c>
      <c r="S914" s="169" t="s">
        <v>283</v>
      </c>
      <c r="T914" s="169">
        <v>0</v>
      </c>
    </row>
    <row r="915" spans="1:20" x14ac:dyDescent="0.2">
      <c r="B915" s="167" t="str">
        <f>_xlfn.XLOOKUP(I915,Mapping!D:D,Mapping!E:E)</f>
        <v>Cung Ứng</v>
      </c>
      <c r="C915" s="167" t="str">
        <f>_xlfn.XLOOKUP(F915,Mapping!A:A,Mapping!F:F)</f>
        <v>Lương Chính +T13</v>
      </c>
      <c r="D915" s="173">
        <v>45808</v>
      </c>
      <c r="E915" s="169" t="s">
        <v>781</v>
      </c>
      <c r="F915" s="169" t="s">
        <v>274</v>
      </c>
      <c r="G915" s="169" t="s">
        <v>275</v>
      </c>
      <c r="H915" s="169" t="s">
        <v>380</v>
      </c>
      <c r="I915" s="169" t="s">
        <v>381</v>
      </c>
      <c r="J915" s="169" t="s">
        <v>782</v>
      </c>
      <c r="K915" s="169" t="s">
        <v>712</v>
      </c>
      <c r="L915" s="169" t="s">
        <v>713</v>
      </c>
      <c r="M915" s="169" t="s">
        <v>281</v>
      </c>
      <c r="N915" s="178">
        <v>-45390</v>
      </c>
      <c r="O915" s="169" t="s">
        <v>783</v>
      </c>
      <c r="P915" s="169" t="s">
        <v>283</v>
      </c>
      <c r="Q915" s="169" t="s">
        <v>284</v>
      </c>
      <c r="R915" s="169" t="s">
        <v>283</v>
      </c>
      <c r="S915" s="169" t="s">
        <v>283</v>
      </c>
      <c r="T915" s="169">
        <v>0</v>
      </c>
    </row>
    <row r="916" spans="1:20" x14ac:dyDescent="0.2">
      <c r="B916" s="167" t="str">
        <f>_xlfn.XLOOKUP(I916,Mapping!D:D,Mapping!E:E)</f>
        <v>Cung Ứng</v>
      </c>
      <c r="C916" s="167" t="str">
        <f>_xlfn.XLOOKUP(F916,Mapping!A:A,Mapping!F:F)</f>
        <v>BHXH, BHYT, KPCĐ</v>
      </c>
      <c r="D916" s="173">
        <v>45808</v>
      </c>
      <c r="E916" s="169" t="s">
        <v>719</v>
      </c>
      <c r="F916" s="169" t="s">
        <v>295</v>
      </c>
      <c r="G916" s="169" t="s">
        <v>296</v>
      </c>
      <c r="H916" s="169" t="s">
        <v>380</v>
      </c>
      <c r="I916" s="169" t="s">
        <v>381</v>
      </c>
      <c r="J916" s="169" t="s">
        <v>720</v>
      </c>
      <c r="K916" s="169" t="s">
        <v>712</v>
      </c>
      <c r="L916" s="169" t="s">
        <v>713</v>
      </c>
      <c r="M916" s="169" t="s">
        <v>281</v>
      </c>
      <c r="N916" s="178">
        <v>104831385</v>
      </c>
      <c r="O916" s="169" t="s">
        <v>721</v>
      </c>
      <c r="P916" s="169" t="s">
        <v>283</v>
      </c>
      <c r="Q916" s="169" t="s">
        <v>284</v>
      </c>
      <c r="R916" s="169" t="s">
        <v>283</v>
      </c>
      <c r="S916" s="169" t="s">
        <v>283</v>
      </c>
      <c r="T916" s="169">
        <v>0</v>
      </c>
    </row>
    <row r="917" spans="1:20" x14ac:dyDescent="0.2">
      <c r="B917" s="167" t="str">
        <f>_xlfn.XLOOKUP(I917,Mapping!D:D,Mapping!E:E)</f>
        <v>Mua Hàng &amp; XNK</v>
      </c>
      <c r="C917" s="167" t="str">
        <f>_xlfn.XLOOKUP(F917,Mapping!A:A,Mapping!F:F)</f>
        <v>BHXH, BHYT, KPCĐ</v>
      </c>
      <c r="D917" s="173">
        <v>45808</v>
      </c>
      <c r="E917" s="169" t="s">
        <v>719</v>
      </c>
      <c r="F917" s="169" t="s">
        <v>295</v>
      </c>
      <c r="G917" s="169" t="s">
        <v>296</v>
      </c>
      <c r="H917" s="169" t="s">
        <v>378</v>
      </c>
      <c r="I917" s="169" t="s">
        <v>379</v>
      </c>
      <c r="J917" s="169" t="s">
        <v>720</v>
      </c>
      <c r="K917" s="169" t="s">
        <v>712</v>
      </c>
      <c r="L917" s="169" t="s">
        <v>713</v>
      </c>
      <c r="M917" s="169" t="s">
        <v>281</v>
      </c>
      <c r="N917" s="178">
        <v>27385255</v>
      </c>
      <c r="O917" s="169" t="s">
        <v>721</v>
      </c>
      <c r="P917" s="169" t="s">
        <v>283</v>
      </c>
      <c r="Q917" s="169" t="s">
        <v>284</v>
      </c>
      <c r="R917" s="169" t="s">
        <v>283</v>
      </c>
      <c r="S917" s="169" t="s">
        <v>283</v>
      </c>
      <c r="T917" s="169">
        <v>0</v>
      </c>
    </row>
    <row r="918" spans="1:20" x14ac:dyDescent="0.2">
      <c r="B918" s="167" t="str">
        <f>_xlfn.XLOOKUP(I918,Mapping!D:D,Mapping!E:E)</f>
        <v>Kỹ Thuật</v>
      </c>
      <c r="C918" s="167" t="str">
        <f>_xlfn.XLOOKUP(F918,Mapping!A:A,Mapping!F:F)</f>
        <v>BHXH, BHYT, KPCĐ</v>
      </c>
      <c r="D918" s="173">
        <v>45808</v>
      </c>
      <c r="E918" s="169" t="s">
        <v>719</v>
      </c>
      <c r="F918" s="169" t="s">
        <v>393</v>
      </c>
      <c r="G918" s="169" t="s">
        <v>296</v>
      </c>
      <c r="H918" s="169" t="s">
        <v>376</v>
      </c>
      <c r="I918" s="169" t="s">
        <v>377</v>
      </c>
      <c r="J918" s="169" t="s">
        <v>720</v>
      </c>
      <c r="K918" s="169" t="s">
        <v>712</v>
      </c>
      <c r="L918" s="169" t="s">
        <v>713</v>
      </c>
      <c r="M918" s="169" t="s">
        <v>281</v>
      </c>
      <c r="N918" s="178">
        <v>212116170</v>
      </c>
      <c r="O918" s="169" t="s">
        <v>721</v>
      </c>
      <c r="P918" s="169" t="s">
        <v>283</v>
      </c>
      <c r="Q918" s="169" t="s">
        <v>284</v>
      </c>
      <c r="R918" s="169" t="s">
        <v>283</v>
      </c>
      <c r="S918" s="169" t="s">
        <v>283</v>
      </c>
      <c r="T918" s="169">
        <v>0</v>
      </c>
    </row>
    <row r="919" spans="1:20" x14ac:dyDescent="0.2">
      <c r="B919" s="167" t="str">
        <f>_xlfn.XLOOKUP(I919,Mapping!D:D,Mapping!E:E)</f>
        <v>Kỹ Thuật</v>
      </c>
      <c r="C919" s="167" t="str">
        <f>_xlfn.XLOOKUP(F919,Mapping!A:A,Mapping!F:F)</f>
        <v>Phụ Cấp</v>
      </c>
      <c r="D919" s="173">
        <v>45782</v>
      </c>
      <c r="E919" s="169" t="s">
        <v>736</v>
      </c>
      <c r="F919" s="169" t="s">
        <v>375</v>
      </c>
      <c r="G919" s="169" t="s">
        <v>336</v>
      </c>
      <c r="H919" s="169" t="s">
        <v>376</v>
      </c>
      <c r="I919" s="169" t="s">
        <v>377</v>
      </c>
      <c r="J919" s="169" t="s">
        <v>737</v>
      </c>
      <c r="K919" s="169" t="s">
        <v>338</v>
      </c>
      <c r="L919" s="169" t="s">
        <v>713</v>
      </c>
      <c r="M919" s="169" t="s">
        <v>281</v>
      </c>
      <c r="N919" s="178">
        <v>10625000</v>
      </c>
      <c r="O919" s="169" t="s">
        <v>738</v>
      </c>
      <c r="P919" s="169" t="s">
        <v>283</v>
      </c>
      <c r="Q919" s="169" t="s">
        <v>306</v>
      </c>
      <c r="R919" s="169" t="s">
        <v>283</v>
      </c>
      <c r="S919" s="169" t="s">
        <v>283</v>
      </c>
      <c r="T919" s="169">
        <v>0</v>
      </c>
    </row>
    <row r="920" spans="1:20" x14ac:dyDescent="0.2">
      <c r="B920" s="167" t="str">
        <f>_xlfn.XLOOKUP(I920,Mapping!D:D,Mapping!E:E)</f>
        <v>Mua Hàng &amp; XNK</v>
      </c>
      <c r="C920" s="167" t="str">
        <f>_xlfn.XLOOKUP(F920,Mapping!A:A,Mapping!F:F)</f>
        <v>Phụ Cấp</v>
      </c>
      <c r="D920" s="173">
        <v>45782</v>
      </c>
      <c r="E920" s="169" t="s">
        <v>736</v>
      </c>
      <c r="F920" s="169" t="s">
        <v>335</v>
      </c>
      <c r="G920" s="169" t="s">
        <v>336</v>
      </c>
      <c r="H920" s="169" t="s">
        <v>378</v>
      </c>
      <c r="I920" s="169" t="s">
        <v>379</v>
      </c>
      <c r="J920" s="169" t="s">
        <v>737</v>
      </c>
      <c r="K920" s="169" t="s">
        <v>338</v>
      </c>
      <c r="L920" s="169" t="s">
        <v>713</v>
      </c>
      <c r="M920" s="169" t="s">
        <v>281</v>
      </c>
      <c r="N920" s="178">
        <v>425000</v>
      </c>
      <c r="O920" s="169" t="s">
        <v>738</v>
      </c>
      <c r="P920" s="169" t="s">
        <v>283</v>
      </c>
      <c r="Q920" s="169" t="s">
        <v>306</v>
      </c>
      <c r="R920" s="169" t="s">
        <v>283</v>
      </c>
      <c r="S920" s="169" t="s">
        <v>283</v>
      </c>
      <c r="T920" s="169">
        <v>0</v>
      </c>
    </row>
    <row r="921" spans="1:20" x14ac:dyDescent="0.2">
      <c r="B921" s="167" t="str">
        <f>_xlfn.XLOOKUP(I921,Mapping!D:D,Mapping!E:E)</f>
        <v>Cung Ứng</v>
      </c>
      <c r="C921" s="167" t="str">
        <f>_xlfn.XLOOKUP(F921,Mapping!A:A,Mapping!F:F)</f>
        <v>Phụ Cấp</v>
      </c>
      <c r="D921" s="173">
        <v>45782</v>
      </c>
      <c r="E921" s="169" t="s">
        <v>736</v>
      </c>
      <c r="F921" s="169" t="s">
        <v>335</v>
      </c>
      <c r="G921" s="169" t="s">
        <v>336</v>
      </c>
      <c r="H921" s="169" t="s">
        <v>380</v>
      </c>
      <c r="I921" s="169" t="s">
        <v>381</v>
      </c>
      <c r="J921" s="169" t="s">
        <v>737</v>
      </c>
      <c r="K921" s="169" t="s">
        <v>338</v>
      </c>
      <c r="L921" s="169" t="s">
        <v>713</v>
      </c>
      <c r="M921" s="169" t="s">
        <v>281</v>
      </c>
      <c r="N921" s="178">
        <v>200000</v>
      </c>
      <c r="O921" s="169" t="s">
        <v>738</v>
      </c>
      <c r="P921" s="169" t="s">
        <v>283</v>
      </c>
      <c r="Q921" s="169" t="s">
        <v>306</v>
      </c>
      <c r="R921" s="169" t="s">
        <v>283</v>
      </c>
      <c r="S921" s="169" t="s">
        <v>283</v>
      </c>
      <c r="T921" s="169">
        <v>0</v>
      </c>
    </row>
    <row r="922" spans="1:20" x14ac:dyDescent="0.2">
      <c r="B922" s="167" t="str">
        <f>_xlfn.XLOOKUP(I922,Mapping!D:D,Mapping!E:E)</f>
        <v>Kỹ Thuật</v>
      </c>
      <c r="C922" s="167" t="str">
        <f>_xlfn.XLOOKUP(F922,Mapping!A:A,Mapping!F:F)</f>
        <v>Phụ Cấp</v>
      </c>
      <c r="D922" s="173">
        <v>45803</v>
      </c>
      <c r="E922" s="169" t="s">
        <v>739</v>
      </c>
      <c r="F922" s="169" t="s">
        <v>375</v>
      </c>
      <c r="G922" s="169" t="s">
        <v>336</v>
      </c>
      <c r="H922" s="169" t="s">
        <v>376</v>
      </c>
      <c r="I922" s="169" t="s">
        <v>377</v>
      </c>
      <c r="J922" s="169" t="s">
        <v>740</v>
      </c>
      <c r="K922" s="169" t="s">
        <v>741</v>
      </c>
      <c r="L922" s="169" t="s">
        <v>713</v>
      </c>
      <c r="M922" s="169" t="s">
        <v>281</v>
      </c>
      <c r="N922" s="178">
        <v>35500000</v>
      </c>
      <c r="O922" s="169" t="s">
        <v>742</v>
      </c>
      <c r="P922" s="169" t="s">
        <v>283</v>
      </c>
      <c r="Q922" s="169" t="s">
        <v>306</v>
      </c>
      <c r="R922" s="169" t="s">
        <v>283</v>
      </c>
      <c r="S922" s="169" t="s">
        <v>283</v>
      </c>
      <c r="T922" s="169">
        <v>0</v>
      </c>
    </row>
    <row r="923" spans="1:20" x14ac:dyDescent="0.2">
      <c r="B923" s="167" t="str">
        <f>_xlfn.XLOOKUP(I923,Mapping!D:D,Mapping!E:E)</f>
        <v>Mua Hàng &amp; XNK</v>
      </c>
      <c r="C923" s="167" t="str">
        <f>_xlfn.XLOOKUP(F923,Mapping!A:A,Mapping!F:F)</f>
        <v>Phụ Cấp</v>
      </c>
      <c r="D923" s="173">
        <v>45803</v>
      </c>
      <c r="E923" s="169" t="s">
        <v>739</v>
      </c>
      <c r="F923" s="169" t="s">
        <v>335</v>
      </c>
      <c r="G923" s="169" t="s">
        <v>336</v>
      </c>
      <c r="H923" s="169" t="s">
        <v>378</v>
      </c>
      <c r="I923" s="169" t="s">
        <v>379</v>
      </c>
      <c r="J923" s="169" t="s">
        <v>740</v>
      </c>
      <c r="K923" s="169" t="s">
        <v>741</v>
      </c>
      <c r="L923" s="169" t="s">
        <v>713</v>
      </c>
      <c r="M923" s="169" t="s">
        <v>281</v>
      </c>
      <c r="N923" s="178">
        <v>2675000</v>
      </c>
      <c r="O923" s="169" t="s">
        <v>742</v>
      </c>
      <c r="P923" s="169" t="s">
        <v>283</v>
      </c>
      <c r="Q923" s="169" t="s">
        <v>306</v>
      </c>
      <c r="R923" s="169" t="s">
        <v>283</v>
      </c>
      <c r="S923" s="169" t="s">
        <v>283</v>
      </c>
      <c r="T923" s="169">
        <v>0</v>
      </c>
    </row>
    <row r="924" spans="1:20" x14ac:dyDescent="0.2">
      <c r="B924" s="167" t="str">
        <f>_xlfn.XLOOKUP(I924,Mapping!D:D,Mapping!E:E)</f>
        <v>Cung Ứng</v>
      </c>
      <c r="C924" s="167" t="str">
        <f>_xlfn.XLOOKUP(F924,Mapping!A:A,Mapping!F:F)</f>
        <v>Phụ Cấp</v>
      </c>
      <c r="D924" s="173">
        <v>45803</v>
      </c>
      <c r="E924" s="169" t="s">
        <v>739</v>
      </c>
      <c r="F924" s="169" t="s">
        <v>335</v>
      </c>
      <c r="G924" s="169" t="s">
        <v>336</v>
      </c>
      <c r="H924" s="169" t="s">
        <v>380</v>
      </c>
      <c r="I924" s="169" t="s">
        <v>381</v>
      </c>
      <c r="J924" s="169" t="s">
        <v>740</v>
      </c>
      <c r="K924" s="169" t="s">
        <v>741</v>
      </c>
      <c r="L924" s="169" t="s">
        <v>713</v>
      </c>
      <c r="M924" s="169" t="s">
        <v>281</v>
      </c>
      <c r="N924" s="178">
        <v>1325000</v>
      </c>
      <c r="O924" s="169" t="s">
        <v>742</v>
      </c>
      <c r="P924" s="169" t="s">
        <v>283</v>
      </c>
      <c r="Q924" s="169" t="s">
        <v>306</v>
      </c>
      <c r="R924" s="169" t="s">
        <v>283</v>
      </c>
      <c r="S924" s="169" t="s">
        <v>283</v>
      </c>
      <c r="T924" s="169">
        <v>0</v>
      </c>
    </row>
    <row r="925" spans="1:20" x14ac:dyDescent="0.2">
      <c r="A925" s="169">
        <v>622</v>
      </c>
      <c r="B925" s="167" t="str">
        <f>_xlfn.XLOOKUP(I925,Mapping!D:D,Mapping!E:E)</f>
        <v>Xưởng Sản Xuất</v>
      </c>
      <c r="C925" s="167" t="str">
        <f>_xlfn.XLOOKUP(F925,Mapping!A:A,Mapping!F:F)</f>
        <v>Lương Chính +T13</v>
      </c>
      <c r="D925" s="173">
        <v>45782</v>
      </c>
      <c r="E925" s="169" t="s">
        <v>784</v>
      </c>
      <c r="F925" s="169" t="s">
        <v>400</v>
      </c>
      <c r="G925" s="169" t="s">
        <v>401</v>
      </c>
      <c r="H925" s="169" t="s">
        <v>402</v>
      </c>
      <c r="I925" s="169" t="s">
        <v>403</v>
      </c>
      <c r="J925" s="169" t="s">
        <v>785</v>
      </c>
      <c r="K925" s="169" t="s">
        <v>405</v>
      </c>
      <c r="L925" s="169" t="s">
        <v>713</v>
      </c>
      <c r="M925" s="169" t="s">
        <v>281</v>
      </c>
      <c r="N925" s="178">
        <v>22167708</v>
      </c>
      <c r="O925" s="169" t="s">
        <v>786</v>
      </c>
      <c r="P925" s="169" t="s">
        <v>283</v>
      </c>
      <c r="Q925" s="169" t="s">
        <v>306</v>
      </c>
      <c r="R925" s="169" t="s">
        <v>283</v>
      </c>
      <c r="S925" s="169" t="s">
        <v>283</v>
      </c>
      <c r="T925" s="169">
        <v>0</v>
      </c>
    </row>
    <row r="926" spans="1:20" x14ac:dyDescent="0.2">
      <c r="B926" s="167" t="str">
        <f>_xlfn.XLOOKUP(I926,Mapping!D:D,Mapping!E:E)</f>
        <v>Kiểm Soát Chất Lượng</v>
      </c>
      <c r="C926" s="167" t="str">
        <f>_xlfn.XLOOKUP(F926,Mapping!A:A,Mapping!F:F)</f>
        <v>Phụ Cấp</v>
      </c>
      <c r="D926" s="173">
        <v>45808</v>
      </c>
      <c r="E926" s="169" t="s">
        <v>710</v>
      </c>
      <c r="F926" s="169" t="s">
        <v>386</v>
      </c>
      <c r="G926" s="169" t="s">
        <v>341</v>
      </c>
      <c r="H926" s="169" t="s">
        <v>411</v>
      </c>
      <c r="I926" s="169" t="s">
        <v>412</v>
      </c>
      <c r="J926" s="169" t="s">
        <v>711</v>
      </c>
      <c r="K926" s="169" t="s">
        <v>712</v>
      </c>
      <c r="L926" s="169" t="s">
        <v>713</v>
      </c>
      <c r="M926" s="169" t="s">
        <v>281</v>
      </c>
      <c r="N926" s="178">
        <v>28055590</v>
      </c>
      <c r="O926" s="169" t="s">
        <v>714</v>
      </c>
      <c r="P926" s="169" t="s">
        <v>283</v>
      </c>
      <c r="Q926" s="169" t="s">
        <v>284</v>
      </c>
      <c r="R926" s="169" t="s">
        <v>283</v>
      </c>
      <c r="S926" s="169" t="s">
        <v>283</v>
      </c>
      <c r="T926" s="169">
        <v>0</v>
      </c>
    </row>
    <row r="927" spans="1:20" x14ac:dyDescent="0.2">
      <c r="B927" s="167" t="str">
        <f>_xlfn.XLOOKUP(I927,Mapping!D:D,Mapping!E:E)</f>
        <v>Kiểm Soát Chất Lượng</v>
      </c>
      <c r="C927" s="167" t="str">
        <f>_xlfn.XLOOKUP(F927,Mapping!A:A,Mapping!F:F)</f>
        <v>Lương Chính +T13</v>
      </c>
      <c r="D927" s="173">
        <v>45808</v>
      </c>
      <c r="E927" s="169" t="s">
        <v>710</v>
      </c>
      <c r="F927" s="169" t="s">
        <v>387</v>
      </c>
      <c r="G927" s="169" t="s">
        <v>275</v>
      </c>
      <c r="H927" s="169" t="s">
        <v>411</v>
      </c>
      <c r="I927" s="169" t="s">
        <v>412</v>
      </c>
      <c r="J927" s="169" t="s">
        <v>711</v>
      </c>
      <c r="K927" s="169" t="s">
        <v>712</v>
      </c>
      <c r="L927" s="169" t="s">
        <v>713</v>
      </c>
      <c r="M927" s="169" t="s">
        <v>281</v>
      </c>
      <c r="N927" s="178">
        <v>461679827</v>
      </c>
      <c r="O927" s="169" t="s">
        <v>714</v>
      </c>
      <c r="P927" s="169" t="s">
        <v>283</v>
      </c>
      <c r="Q927" s="169" t="s">
        <v>284</v>
      </c>
      <c r="R927" s="169" t="s">
        <v>283</v>
      </c>
      <c r="S927" s="169" t="s">
        <v>283</v>
      </c>
      <c r="T927" s="169">
        <v>0</v>
      </c>
    </row>
    <row r="928" spans="1:20" x14ac:dyDescent="0.2">
      <c r="B928" s="167" t="str">
        <f>_xlfn.XLOOKUP(I928,Mapping!D:D,Mapping!E:E)</f>
        <v>Kiểm Soát Chất Lượng</v>
      </c>
      <c r="C928" s="167" t="str">
        <f>_xlfn.XLOOKUP(F928,Mapping!A:A,Mapping!F:F)</f>
        <v>Lương Chính +T13</v>
      </c>
      <c r="D928" s="173">
        <v>45808</v>
      </c>
      <c r="E928" s="169" t="s">
        <v>710</v>
      </c>
      <c r="F928" s="169" t="s">
        <v>388</v>
      </c>
      <c r="G928" s="169" t="s">
        <v>286</v>
      </c>
      <c r="H928" s="169" t="s">
        <v>411</v>
      </c>
      <c r="I928" s="169" t="s">
        <v>412</v>
      </c>
      <c r="J928" s="169" t="s">
        <v>711</v>
      </c>
      <c r="K928" s="169" t="s">
        <v>712</v>
      </c>
      <c r="L928" s="169" t="s">
        <v>713</v>
      </c>
      <c r="M928" s="169" t="s">
        <v>281</v>
      </c>
      <c r="N928" s="178">
        <v>12469425</v>
      </c>
      <c r="O928" s="169" t="s">
        <v>714</v>
      </c>
      <c r="P928" s="169" t="s">
        <v>283</v>
      </c>
      <c r="Q928" s="169" t="s">
        <v>284</v>
      </c>
      <c r="R928" s="169" t="s">
        <v>283</v>
      </c>
      <c r="S928" s="169" t="s">
        <v>283</v>
      </c>
      <c r="T928" s="169">
        <v>0</v>
      </c>
    </row>
    <row r="929" spans="1:20" x14ac:dyDescent="0.2">
      <c r="B929" s="167" t="str">
        <f>_xlfn.XLOOKUP(I929,Mapping!D:D,Mapping!E:E)</f>
        <v>Kiểm Soát Chất Lượng</v>
      </c>
      <c r="C929" s="167" t="str">
        <f>_xlfn.XLOOKUP(F929,Mapping!A:A,Mapping!F:F)</f>
        <v>Lương Ngoài giờ</v>
      </c>
      <c r="D929" s="173">
        <v>45808</v>
      </c>
      <c r="E929" s="169" t="s">
        <v>710</v>
      </c>
      <c r="F929" s="169" t="s">
        <v>389</v>
      </c>
      <c r="G929" s="169" t="s">
        <v>390</v>
      </c>
      <c r="H929" s="169" t="s">
        <v>411</v>
      </c>
      <c r="I929" s="169" t="s">
        <v>412</v>
      </c>
      <c r="J929" s="169" t="s">
        <v>711</v>
      </c>
      <c r="K929" s="169" t="s">
        <v>712</v>
      </c>
      <c r="L929" s="169" t="s">
        <v>713</v>
      </c>
      <c r="M929" s="169" t="s">
        <v>281</v>
      </c>
      <c r="N929" s="178">
        <v>211357684</v>
      </c>
      <c r="O929" s="169" t="s">
        <v>714</v>
      </c>
      <c r="P929" s="169" t="s">
        <v>283</v>
      </c>
      <c r="Q929" s="169" t="s">
        <v>284</v>
      </c>
      <c r="R929" s="169" t="s">
        <v>283</v>
      </c>
      <c r="S929" s="169" t="s">
        <v>283</v>
      </c>
      <c r="T929" s="169">
        <v>0</v>
      </c>
    </row>
    <row r="930" spans="1:20" x14ac:dyDescent="0.2">
      <c r="B930" s="167" t="str">
        <f>_xlfn.XLOOKUP(I930,Mapping!D:D,Mapping!E:E)</f>
        <v>Kiểm Soát Chất Lượng</v>
      </c>
      <c r="C930" s="167" t="str">
        <f>_xlfn.XLOOKUP(F930,Mapping!A:A,Mapping!F:F)</f>
        <v>Thưởng</v>
      </c>
      <c r="D930" s="173">
        <v>45808</v>
      </c>
      <c r="E930" s="169" t="s">
        <v>710</v>
      </c>
      <c r="F930" s="169" t="s">
        <v>391</v>
      </c>
      <c r="G930" s="169" t="s">
        <v>291</v>
      </c>
      <c r="H930" s="169" t="s">
        <v>411</v>
      </c>
      <c r="I930" s="169" t="s">
        <v>412</v>
      </c>
      <c r="J930" s="169" t="s">
        <v>711</v>
      </c>
      <c r="K930" s="169" t="s">
        <v>712</v>
      </c>
      <c r="L930" s="169" t="s">
        <v>713</v>
      </c>
      <c r="M930" s="169" t="s">
        <v>281</v>
      </c>
      <c r="N930" s="178">
        <v>9800000</v>
      </c>
      <c r="O930" s="169" t="s">
        <v>714</v>
      </c>
      <c r="P930" s="169" t="s">
        <v>283</v>
      </c>
      <c r="Q930" s="169" t="s">
        <v>284</v>
      </c>
      <c r="R930" s="169" t="s">
        <v>283</v>
      </c>
      <c r="S930" s="169" t="s">
        <v>283</v>
      </c>
      <c r="T930" s="169">
        <v>0</v>
      </c>
    </row>
    <row r="931" spans="1:20" x14ac:dyDescent="0.2">
      <c r="B931" s="167" t="str">
        <f>_xlfn.XLOOKUP(I931,Mapping!D:D,Mapping!E:E)</f>
        <v>Kiểm Soát Chất Lượng</v>
      </c>
      <c r="C931" s="167" t="str">
        <f>_xlfn.XLOOKUP(F931,Mapping!A:A,Mapping!F:F)</f>
        <v>Phụ Cấp</v>
      </c>
      <c r="D931" s="173">
        <v>45808</v>
      </c>
      <c r="E931" s="169" t="s">
        <v>710</v>
      </c>
      <c r="F931" s="169" t="s">
        <v>375</v>
      </c>
      <c r="G931" s="169" t="s">
        <v>336</v>
      </c>
      <c r="H931" s="169" t="s">
        <v>411</v>
      </c>
      <c r="I931" s="169" t="s">
        <v>412</v>
      </c>
      <c r="J931" s="169" t="s">
        <v>711</v>
      </c>
      <c r="K931" s="169" t="s">
        <v>712</v>
      </c>
      <c r="L931" s="169" t="s">
        <v>713</v>
      </c>
      <c r="M931" s="169" t="s">
        <v>281</v>
      </c>
      <c r="N931" s="178">
        <v>8270000</v>
      </c>
      <c r="O931" s="169" t="s">
        <v>714</v>
      </c>
      <c r="P931" s="169" t="s">
        <v>283</v>
      </c>
      <c r="Q931" s="169" t="s">
        <v>284</v>
      </c>
      <c r="R931" s="169" t="s">
        <v>283</v>
      </c>
      <c r="S931" s="169" t="s">
        <v>283</v>
      </c>
      <c r="T931" s="169">
        <v>0</v>
      </c>
    </row>
    <row r="932" spans="1:20" x14ac:dyDescent="0.2">
      <c r="B932" s="167" t="str">
        <f>_xlfn.XLOOKUP(I932,Mapping!D:D,Mapping!E:E)</f>
        <v>Nghiên Cứu &amp; Phát Triển</v>
      </c>
      <c r="C932" s="167" t="str">
        <f>_xlfn.XLOOKUP(F932,Mapping!A:A,Mapping!F:F)</f>
        <v>Lương Chính +T13</v>
      </c>
      <c r="D932" s="173">
        <v>45808</v>
      </c>
      <c r="E932" s="169" t="s">
        <v>710</v>
      </c>
      <c r="F932" s="169" t="s">
        <v>387</v>
      </c>
      <c r="G932" s="169" t="s">
        <v>275</v>
      </c>
      <c r="H932" s="169" t="s">
        <v>418</v>
      </c>
      <c r="I932" s="169" t="s">
        <v>419</v>
      </c>
      <c r="J932" s="169" t="s">
        <v>711</v>
      </c>
      <c r="K932" s="169" t="s">
        <v>712</v>
      </c>
      <c r="L932" s="169" t="s">
        <v>713</v>
      </c>
      <c r="M932" s="169" t="s">
        <v>281</v>
      </c>
      <c r="N932" s="178">
        <v>143072395</v>
      </c>
      <c r="O932" s="169" t="s">
        <v>714</v>
      </c>
      <c r="P932" s="169" t="s">
        <v>283</v>
      </c>
      <c r="Q932" s="169" t="s">
        <v>284</v>
      </c>
      <c r="R932" s="169" t="s">
        <v>283</v>
      </c>
      <c r="S932" s="169" t="s">
        <v>283</v>
      </c>
      <c r="T932" s="169">
        <v>0</v>
      </c>
    </row>
    <row r="933" spans="1:20" x14ac:dyDescent="0.2">
      <c r="B933" s="167" t="str">
        <f>_xlfn.XLOOKUP(I933,Mapping!D:D,Mapping!E:E)</f>
        <v>Nghiên Cứu &amp; Phát Triển</v>
      </c>
      <c r="C933" s="167" t="str">
        <f>_xlfn.XLOOKUP(F933,Mapping!A:A,Mapping!F:F)</f>
        <v>Lương Chính +T13</v>
      </c>
      <c r="D933" s="173">
        <v>45808</v>
      </c>
      <c r="E933" s="169" t="s">
        <v>710</v>
      </c>
      <c r="F933" s="169" t="s">
        <v>388</v>
      </c>
      <c r="G933" s="169" t="s">
        <v>286</v>
      </c>
      <c r="H933" s="169" t="s">
        <v>418</v>
      </c>
      <c r="I933" s="169" t="s">
        <v>419</v>
      </c>
      <c r="J933" s="169" t="s">
        <v>711</v>
      </c>
      <c r="K933" s="169" t="s">
        <v>712</v>
      </c>
      <c r="L933" s="169" t="s">
        <v>713</v>
      </c>
      <c r="M933" s="169" t="s">
        <v>281</v>
      </c>
      <c r="N933" s="178">
        <v>5605942</v>
      </c>
      <c r="O933" s="169" t="s">
        <v>714</v>
      </c>
      <c r="P933" s="169" t="s">
        <v>283</v>
      </c>
      <c r="Q933" s="169" t="s">
        <v>284</v>
      </c>
      <c r="R933" s="169" t="s">
        <v>283</v>
      </c>
      <c r="S933" s="169" t="s">
        <v>283</v>
      </c>
      <c r="T933" s="169">
        <v>0</v>
      </c>
    </row>
    <row r="934" spans="1:20" x14ac:dyDescent="0.2">
      <c r="B934" s="167" t="str">
        <f>_xlfn.XLOOKUP(I934,Mapping!D:D,Mapping!E:E)</f>
        <v>Nghiên Cứu &amp; Phát Triển</v>
      </c>
      <c r="C934" s="167" t="str">
        <f>_xlfn.XLOOKUP(F934,Mapping!A:A,Mapping!F:F)</f>
        <v>Thưởng</v>
      </c>
      <c r="D934" s="173">
        <v>45808</v>
      </c>
      <c r="E934" s="169" t="s">
        <v>710</v>
      </c>
      <c r="F934" s="169" t="s">
        <v>391</v>
      </c>
      <c r="G934" s="169" t="s">
        <v>291</v>
      </c>
      <c r="H934" s="169" t="s">
        <v>418</v>
      </c>
      <c r="I934" s="169" t="s">
        <v>419</v>
      </c>
      <c r="J934" s="169" t="s">
        <v>711</v>
      </c>
      <c r="K934" s="169" t="s">
        <v>712</v>
      </c>
      <c r="L934" s="169" t="s">
        <v>713</v>
      </c>
      <c r="M934" s="169" t="s">
        <v>281</v>
      </c>
      <c r="N934" s="178">
        <v>1400000</v>
      </c>
      <c r="O934" s="169" t="s">
        <v>714</v>
      </c>
      <c r="P934" s="169" t="s">
        <v>283</v>
      </c>
      <c r="Q934" s="169" t="s">
        <v>284</v>
      </c>
      <c r="R934" s="169" t="s">
        <v>283</v>
      </c>
      <c r="S934" s="169" t="s">
        <v>283</v>
      </c>
      <c r="T934" s="169">
        <v>0</v>
      </c>
    </row>
    <row r="935" spans="1:20" x14ac:dyDescent="0.2">
      <c r="B935" s="167" t="str">
        <f>_xlfn.XLOOKUP(I935,Mapping!D:D,Mapping!E:E)</f>
        <v>Nghiên Cứu &amp; Phát Triển</v>
      </c>
      <c r="C935" s="167" t="str">
        <f>_xlfn.XLOOKUP(F935,Mapping!A:A,Mapping!F:F)</f>
        <v>Phụ Cấp</v>
      </c>
      <c r="D935" s="173">
        <v>45808</v>
      </c>
      <c r="E935" s="169" t="s">
        <v>710</v>
      </c>
      <c r="F935" s="169" t="s">
        <v>375</v>
      </c>
      <c r="G935" s="169" t="s">
        <v>336</v>
      </c>
      <c r="H935" s="169" t="s">
        <v>418</v>
      </c>
      <c r="I935" s="169" t="s">
        <v>419</v>
      </c>
      <c r="J935" s="169" t="s">
        <v>711</v>
      </c>
      <c r="K935" s="169" t="s">
        <v>712</v>
      </c>
      <c r="L935" s="169" t="s">
        <v>713</v>
      </c>
      <c r="M935" s="169" t="s">
        <v>281</v>
      </c>
      <c r="N935" s="178">
        <v>100000</v>
      </c>
      <c r="O935" s="169" t="s">
        <v>714</v>
      </c>
      <c r="P935" s="169" t="s">
        <v>283</v>
      </c>
      <c r="Q935" s="169" t="s">
        <v>284</v>
      </c>
      <c r="R935" s="169" t="s">
        <v>283</v>
      </c>
      <c r="S935" s="169" t="s">
        <v>283</v>
      </c>
      <c r="T935" s="169">
        <v>0</v>
      </c>
    </row>
    <row r="936" spans="1:20" x14ac:dyDescent="0.2">
      <c r="A936" s="169">
        <v>622</v>
      </c>
      <c r="B936" s="167" t="str">
        <f>_xlfn.XLOOKUP(I936,Mapping!D:D,Mapping!E:E)</f>
        <v>Xưởng Sản Xuất</v>
      </c>
      <c r="C936" s="167" t="str">
        <f>_xlfn.XLOOKUP(F936,Mapping!A:A,Mapping!F:F)</f>
        <v>Lương Chính +T13</v>
      </c>
      <c r="D936" s="173">
        <v>45808</v>
      </c>
      <c r="E936" s="169" t="s">
        <v>710</v>
      </c>
      <c r="F936" s="169" t="s">
        <v>400</v>
      </c>
      <c r="G936" s="169" t="s">
        <v>401</v>
      </c>
      <c r="H936" s="169" t="s">
        <v>402</v>
      </c>
      <c r="I936" s="169" t="s">
        <v>403</v>
      </c>
      <c r="J936" s="169" t="s">
        <v>711</v>
      </c>
      <c r="K936" s="169" t="s">
        <v>712</v>
      </c>
      <c r="L936" s="169" t="s">
        <v>713</v>
      </c>
      <c r="M936" s="169" t="s">
        <v>281</v>
      </c>
      <c r="N936" s="178">
        <v>1560771043</v>
      </c>
      <c r="O936" s="169" t="s">
        <v>714</v>
      </c>
      <c r="P936" s="169" t="s">
        <v>283</v>
      </c>
      <c r="Q936" s="169" t="s">
        <v>284</v>
      </c>
      <c r="R936" s="169" t="s">
        <v>283</v>
      </c>
      <c r="S936" s="169" t="s">
        <v>283</v>
      </c>
      <c r="T936" s="169">
        <v>0</v>
      </c>
    </row>
    <row r="937" spans="1:20" x14ac:dyDescent="0.2">
      <c r="A937" s="169">
        <v>622</v>
      </c>
      <c r="B937" s="167" t="str">
        <f>_xlfn.XLOOKUP(I937,Mapping!D:D,Mapping!E:E)</f>
        <v>Xưởng Sản Xuất</v>
      </c>
      <c r="C937" s="167" t="str">
        <f>_xlfn.XLOOKUP(F937,Mapping!A:A,Mapping!F:F)</f>
        <v>Lương Chính +T13</v>
      </c>
      <c r="D937" s="173">
        <v>45808</v>
      </c>
      <c r="E937" s="169" t="s">
        <v>710</v>
      </c>
      <c r="F937" s="169" t="s">
        <v>420</v>
      </c>
      <c r="G937" s="169" t="s">
        <v>286</v>
      </c>
      <c r="H937" s="169" t="s">
        <v>402</v>
      </c>
      <c r="I937" s="169" t="s">
        <v>403</v>
      </c>
      <c r="J937" s="169" t="s">
        <v>711</v>
      </c>
      <c r="K937" s="169" t="s">
        <v>712</v>
      </c>
      <c r="L937" s="169" t="s">
        <v>713</v>
      </c>
      <c r="M937" s="169" t="s">
        <v>281</v>
      </c>
      <c r="N937" s="178">
        <v>21573182</v>
      </c>
      <c r="O937" s="169" t="s">
        <v>714</v>
      </c>
      <c r="P937" s="169" t="s">
        <v>283</v>
      </c>
      <c r="Q937" s="169" t="s">
        <v>284</v>
      </c>
      <c r="R937" s="169" t="s">
        <v>283</v>
      </c>
      <c r="S937" s="169" t="s">
        <v>283</v>
      </c>
      <c r="T937" s="169">
        <v>0</v>
      </c>
    </row>
    <row r="938" spans="1:20" x14ac:dyDescent="0.2">
      <c r="A938" s="169">
        <v>622</v>
      </c>
      <c r="B938" s="167" t="str">
        <f>_xlfn.XLOOKUP(I938,Mapping!D:D,Mapping!E:E)</f>
        <v>Xưởng Sản Xuất</v>
      </c>
      <c r="C938" s="167" t="str">
        <f>_xlfn.XLOOKUP(F938,Mapping!A:A,Mapping!F:F)</f>
        <v>Phụ Cấp</v>
      </c>
      <c r="D938" s="173">
        <v>45808</v>
      </c>
      <c r="E938" s="169" t="s">
        <v>710</v>
      </c>
      <c r="F938" s="169" t="s">
        <v>421</v>
      </c>
      <c r="G938" s="169" t="s">
        <v>341</v>
      </c>
      <c r="H938" s="169" t="s">
        <v>402</v>
      </c>
      <c r="I938" s="169" t="s">
        <v>403</v>
      </c>
      <c r="J938" s="169" t="s">
        <v>711</v>
      </c>
      <c r="K938" s="169" t="s">
        <v>712</v>
      </c>
      <c r="L938" s="169" t="s">
        <v>713</v>
      </c>
      <c r="M938" s="169" t="s">
        <v>281</v>
      </c>
      <c r="N938" s="178">
        <v>132116256</v>
      </c>
      <c r="O938" s="169" t="s">
        <v>714</v>
      </c>
      <c r="P938" s="169" t="s">
        <v>283</v>
      </c>
      <c r="Q938" s="169" t="s">
        <v>284</v>
      </c>
      <c r="R938" s="169" t="s">
        <v>283</v>
      </c>
      <c r="S938" s="169" t="s">
        <v>283</v>
      </c>
      <c r="T938" s="169">
        <v>0</v>
      </c>
    </row>
    <row r="939" spans="1:20" x14ac:dyDescent="0.2">
      <c r="A939" s="169">
        <v>622</v>
      </c>
      <c r="B939" s="167" t="str">
        <f>_xlfn.XLOOKUP(I939,Mapping!D:D,Mapping!E:E)</f>
        <v>Xưởng Sản Xuất</v>
      </c>
      <c r="C939" s="167" t="str">
        <f>_xlfn.XLOOKUP(F939,Mapping!A:A,Mapping!F:F)</f>
        <v>Lương Ngoài giờ</v>
      </c>
      <c r="D939" s="173">
        <v>45808</v>
      </c>
      <c r="E939" s="169" t="s">
        <v>710</v>
      </c>
      <c r="F939" s="169" t="s">
        <v>422</v>
      </c>
      <c r="G939" s="169" t="s">
        <v>423</v>
      </c>
      <c r="H939" s="169" t="s">
        <v>402</v>
      </c>
      <c r="I939" s="169" t="s">
        <v>403</v>
      </c>
      <c r="J939" s="169" t="s">
        <v>711</v>
      </c>
      <c r="K939" s="169" t="s">
        <v>712</v>
      </c>
      <c r="L939" s="169" t="s">
        <v>713</v>
      </c>
      <c r="M939" s="169" t="s">
        <v>281</v>
      </c>
      <c r="N939" s="178">
        <v>525012971</v>
      </c>
      <c r="O939" s="169" t="s">
        <v>714</v>
      </c>
      <c r="P939" s="169" t="s">
        <v>283</v>
      </c>
      <c r="Q939" s="169" t="s">
        <v>284</v>
      </c>
      <c r="R939" s="169" t="s">
        <v>283</v>
      </c>
      <c r="S939" s="169" t="s">
        <v>283</v>
      </c>
      <c r="T939" s="169">
        <v>0</v>
      </c>
    </row>
    <row r="940" spans="1:20" x14ac:dyDescent="0.2">
      <c r="A940" s="169">
        <v>622</v>
      </c>
      <c r="B940" s="167" t="str">
        <f>_xlfn.XLOOKUP(I940,Mapping!D:D,Mapping!E:E)</f>
        <v>Xưởng Sản Xuất</v>
      </c>
      <c r="C940" s="167" t="str">
        <f>_xlfn.XLOOKUP(F940,Mapping!A:A,Mapping!F:F)</f>
        <v>Thưởng</v>
      </c>
      <c r="D940" s="173">
        <v>45808</v>
      </c>
      <c r="E940" s="169" t="s">
        <v>710</v>
      </c>
      <c r="F940" s="169" t="s">
        <v>424</v>
      </c>
      <c r="G940" s="169" t="s">
        <v>291</v>
      </c>
      <c r="H940" s="169" t="s">
        <v>402</v>
      </c>
      <c r="I940" s="169" t="s">
        <v>403</v>
      </c>
      <c r="J940" s="169" t="s">
        <v>711</v>
      </c>
      <c r="K940" s="169" t="s">
        <v>712</v>
      </c>
      <c r="L940" s="169" t="s">
        <v>713</v>
      </c>
      <c r="M940" s="169" t="s">
        <v>281</v>
      </c>
      <c r="N940" s="178">
        <v>38400000</v>
      </c>
      <c r="O940" s="169" t="s">
        <v>714</v>
      </c>
      <c r="P940" s="169" t="s">
        <v>283</v>
      </c>
      <c r="Q940" s="169" t="s">
        <v>284</v>
      </c>
      <c r="R940" s="169" t="s">
        <v>283</v>
      </c>
      <c r="S940" s="169" t="s">
        <v>283</v>
      </c>
      <c r="T940" s="169">
        <v>0</v>
      </c>
    </row>
    <row r="941" spans="1:20" x14ac:dyDescent="0.2">
      <c r="A941" s="169">
        <v>622</v>
      </c>
      <c r="B941" s="167" t="str">
        <f>_xlfn.XLOOKUP(I941,Mapping!D:D,Mapping!E:E)</f>
        <v>Xưởng Sản Xuất</v>
      </c>
      <c r="C941" s="167" t="str">
        <f>_xlfn.XLOOKUP(F941,Mapping!A:A,Mapping!F:F)</f>
        <v>Phụ Cấp</v>
      </c>
      <c r="D941" s="173">
        <v>45808</v>
      </c>
      <c r="E941" s="169" t="s">
        <v>710</v>
      </c>
      <c r="F941" s="169" t="s">
        <v>414</v>
      </c>
      <c r="G941" s="169" t="s">
        <v>415</v>
      </c>
      <c r="H941" s="169" t="s">
        <v>402</v>
      </c>
      <c r="I941" s="169" t="s">
        <v>403</v>
      </c>
      <c r="J941" s="169" t="s">
        <v>711</v>
      </c>
      <c r="K941" s="169" t="s">
        <v>712</v>
      </c>
      <c r="L941" s="169" t="s">
        <v>713</v>
      </c>
      <c r="M941" s="169" t="s">
        <v>281</v>
      </c>
      <c r="N941" s="178">
        <v>35920000</v>
      </c>
      <c r="O941" s="169" t="s">
        <v>714</v>
      </c>
      <c r="P941" s="169" t="s">
        <v>283</v>
      </c>
      <c r="Q941" s="169" t="s">
        <v>284</v>
      </c>
      <c r="R941" s="169" t="s">
        <v>283</v>
      </c>
      <c r="S941" s="169" t="s">
        <v>283</v>
      </c>
      <c r="T941" s="169">
        <v>0</v>
      </c>
    </row>
    <row r="942" spans="1:20" x14ac:dyDescent="0.2">
      <c r="A942" s="169">
        <v>627</v>
      </c>
      <c r="B942" s="167" t="str">
        <f>_xlfn.XLOOKUP(I942,Mapping!D:D,Mapping!E:E)</f>
        <v>Xưởng Sản Xuất</v>
      </c>
      <c r="C942" s="167" t="str">
        <f>_xlfn.XLOOKUP(F942,Mapping!A:A,Mapping!F:F)</f>
        <v>Phụ Cấp</v>
      </c>
      <c r="D942" s="173">
        <v>45808</v>
      </c>
      <c r="E942" s="169" t="s">
        <v>710</v>
      </c>
      <c r="F942" s="169" t="s">
        <v>386</v>
      </c>
      <c r="G942" s="169" t="s">
        <v>341</v>
      </c>
      <c r="H942" s="169" t="s">
        <v>402</v>
      </c>
      <c r="I942" s="169" t="s">
        <v>403</v>
      </c>
      <c r="J942" s="169" t="s">
        <v>711</v>
      </c>
      <c r="K942" s="169" t="s">
        <v>712</v>
      </c>
      <c r="L942" s="169" t="s">
        <v>713</v>
      </c>
      <c r="M942" s="169" t="s">
        <v>281</v>
      </c>
      <c r="N942" s="178">
        <v>15494723</v>
      </c>
      <c r="O942" s="169" t="s">
        <v>714</v>
      </c>
      <c r="P942" s="169" t="s">
        <v>283</v>
      </c>
      <c r="Q942" s="169" t="s">
        <v>284</v>
      </c>
      <c r="R942" s="169" t="s">
        <v>283</v>
      </c>
      <c r="S942" s="169" t="s">
        <v>283</v>
      </c>
      <c r="T942" s="169">
        <v>0</v>
      </c>
    </row>
    <row r="943" spans="1:20" x14ac:dyDescent="0.2">
      <c r="A943" s="169">
        <v>627</v>
      </c>
      <c r="B943" s="167" t="str">
        <f>_xlfn.XLOOKUP(I943,Mapping!D:D,Mapping!E:E)</f>
        <v>Xưởng Sản Xuất</v>
      </c>
      <c r="C943" s="167" t="str">
        <f>_xlfn.XLOOKUP(F943,Mapping!A:A,Mapping!F:F)</f>
        <v>Lương Chính +T13</v>
      </c>
      <c r="D943" s="173">
        <v>45808</v>
      </c>
      <c r="E943" s="169" t="s">
        <v>710</v>
      </c>
      <c r="F943" s="169" t="s">
        <v>387</v>
      </c>
      <c r="G943" s="169" t="s">
        <v>275</v>
      </c>
      <c r="H943" s="169" t="s">
        <v>402</v>
      </c>
      <c r="I943" s="169" t="s">
        <v>403</v>
      </c>
      <c r="J943" s="169" t="s">
        <v>711</v>
      </c>
      <c r="K943" s="169" t="s">
        <v>712</v>
      </c>
      <c r="L943" s="169" t="s">
        <v>713</v>
      </c>
      <c r="M943" s="169" t="s">
        <v>281</v>
      </c>
      <c r="N943" s="178">
        <v>452928267</v>
      </c>
      <c r="O943" s="169" t="s">
        <v>714</v>
      </c>
      <c r="P943" s="169" t="s">
        <v>283</v>
      </c>
      <c r="Q943" s="169" t="s">
        <v>284</v>
      </c>
      <c r="R943" s="169" t="s">
        <v>283</v>
      </c>
      <c r="S943" s="169" t="s">
        <v>283</v>
      </c>
      <c r="T943" s="169">
        <v>0</v>
      </c>
    </row>
    <row r="944" spans="1:20" x14ac:dyDescent="0.2">
      <c r="A944" s="169">
        <v>627</v>
      </c>
      <c r="B944" s="167" t="str">
        <f>_xlfn.XLOOKUP(I944,Mapping!D:D,Mapping!E:E)</f>
        <v>Xưởng Sản Xuất</v>
      </c>
      <c r="C944" s="167" t="str">
        <f>_xlfn.XLOOKUP(F944,Mapping!A:A,Mapping!F:F)</f>
        <v>Lương Chính +T13</v>
      </c>
      <c r="D944" s="173">
        <v>45808</v>
      </c>
      <c r="E944" s="169" t="s">
        <v>710</v>
      </c>
      <c r="F944" s="169" t="s">
        <v>388</v>
      </c>
      <c r="G944" s="169" t="s">
        <v>286</v>
      </c>
      <c r="H944" s="169" t="s">
        <v>402</v>
      </c>
      <c r="I944" s="169" t="s">
        <v>403</v>
      </c>
      <c r="J944" s="169" t="s">
        <v>711</v>
      </c>
      <c r="K944" s="169" t="s">
        <v>712</v>
      </c>
      <c r="L944" s="169" t="s">
        <v>713</v>
      </c>
      <c r="M944" s="169" t="s">
        <v>281</v>
      </c>
      <c r="N944" s="178">
        <v>18661731</v>
      </c>
      <c r="O944" s="169" t="s">
        <v>714</v>
      </c>
      <c r="P944" s="169" t="s">
        <v>283</v>
      </c>
      <c r="Q944" s="169" t="s">
        <v>284</v>
      </c>
      <c r="R944" s="169" t="s">
        <v>283</v>
      </c>
      <c r="S944" s="169" t="s">
        <v>283</v>
      </c>
      <c r="T944" s="169">
        <v>0</v>
      </c>
    </row>
    <row r="945" spans="1:20" x14ac:dyDescent="0.2">
      <c r="A945" s="169">
        <v>627</v>
      </c>
      <c r="B945" s="167" t="str">
        <f>_xlfn.XLOOKUP(I945,Mapping!D:D,Mapping!E:E)</f>
        <v>Xưởng Sản Xuất</v>
      </c>
      <c r="C945" s="167" t="str">
        <f>_xlfn.XLOOKUP(F945,Mapping!A:A,Mapping!F:F)</f>
        <v>Lương Ngoài giờ</v>
      </c>
      <c r="D945" s="173">
        <v>45808</v>
      </c>
      <c r="E945" s="169" t="s">
        <v>710</v>
      </c>
      <c r="F945" s="169" t="s">
        <v>389</v>
      </c>
      <c r="G945" s="169" t="s">
        <v>390</v>
      </c>
      <c r="H945" s="169" t="s">
        <v>402</v>
      </c>
      <c r="I945" s="169" t="s">
        <v>403</v>
      </c>
      <c r="J945" s="169" t="s">
        <v>711</v>
      </c>
      <c r="K945" s="169" t="s">
        <v>712</v>
      </c>
      <c r="L945" s="169" t="s">
        <v>713</v>
      </c>
      <c r="M945" s="169" t="s">
        <v>281</v>
      </c>
      <c r="N945" s="178">
        <v>77219209</v>
      </c>
      <c r="O945" s="169" t="s">
        <v>714</v>
      </c>
      <c r="P945" s="169" t="s">
        <v>283</v>
      </c>
      <c r="Q945" s="169" t="s">
        <v>284</v>
      </c>
      <c r="R945" s="169" t="s">
        <v>283</v>
      </c>
      <c r="S945" s="169" t="s">
        <v>283</v>
      </c>
      <c r="T945" s="169">
        <v>0</v>
      </c>
    </row>
    <row r="946" spans="1:20" x14ac:dyDescent="0.2">
      <c r="A946" s="169">
        <v>627</v>
      </c>
      <c r="B946" s="167" t="str">
        <f>_xlfn.XLOOKUP(I946,Mapping!D:D,Mapping!E:E)</f>
        <v>Xưởng Sản Xuất</v>
      </c>
      <c r="C946" s="167" t="str">
        <f>_xlfn.XLOOKUP(F946,Mapping!A:A,Mapping!F:F)</f>
        <v>Thưởng</v>
      </c>
      <c r="D946" s="173">
        <v>45808</v>
      </c>
      <c r="E946" s="169" t="s">
        <v>710</v>
      </c>
      <c r="F946" s="169" t="s">
        <v>391</v>
      </c>
      <c r="G946" s="169" t="s">
        <v>291</v>
      </c>
      <c r="H946" s="169" t="s">
        <v>402</v>
      </c>
      <c r="I946" s="169" t="s">
        <v>403</v>
      </c>
      <c r="J946" s="169" t="s">
        <v>711</v>
      </c>
      <c r="K946" s="169" t="s">
        <v>712</v>
      </c>
      <c r="L946" s="169" t="s">
        <v>713</v>
      </c>
      <c r="M946" s="169" t="s">
        <v>281</v>
      </c>
      <c r="N946" s="178">
        <v>6800000</v>
      </c>
      <c r="O946" s="169" t="s">
        <v>714</v>
      </c>
      <c r="P946" s="169" t="s">
        <v>283</v>
      </c>
      <c r="Q946" s="169" t="s">
        <v>284</v>
      </c>
      <c r="R946" s="169" t="s">
        <v>283</v>
      </c>
      <c r="S946" s="169" t="s">
        <v>283</v>
      </c>
      <c r="T946" s="169">
        <v>0</v>
      </c>
    </row>
    <row r="947" spans="1:20" x14ac:dyDescent="0.2">
      <c r="A947" s="169">
        <v>627</v>
      </c>
      <c r="B947" s="167" t="str">
        <f>_xlfn.XLOOKUP(I947,Mapping!D:D,Mapping!E:E)</f>
        <v>Xưởng Sản Xuất</v>
      </c>
      <c r="C947" s="167" t="str">
        <f>_xlfn.XLOOKUP(F947,Mapping!A:A,Mapping!F:F)</f>
        <v>Phụ Cấp</v>
      </c>
      <c r="D947" s="173">
        <v>45808</v>
      </c>
      <c r="E947" s="169" t="s">
        <v>710</v>
      </c>
      <c r="F947" s="169" t="s">
        <v>375</v>
      </c>
      <c r="G947" s="169" t="s">
        <v>336</v>
      </c>
      <c r="H947" s="169" t="s">
        <v>402</v>
      </c>
      <c r="I947" s="169" t="s">
        <v>403</v>
      </c>
      <c r="J947" s="169" t="s">
        <v>711</v>
      </c>
      <c r="K947" s="169" t="s">
        <v>712</v>
      </c>
      <c r="L947" s="169" t="s">
        <v>713</v>
      </c>
      <c r="M947" s="169" t="s">
        <v>281</v>
      </c>
      <c r="N947" s="178">
        <v>3985000</v>
      </c>
      <c r="O947" s="169" t="s">
        <v>714</v>
      </c>
      <c r="P947" s="169" t="s">
        <v>283</v>
      </c>
      <c r="Q947" s="169" t="s">
        <v>284</v>
      </c>
      <c r="R947" s="169" t="s">
        <v>283</v>
      </c>
      <c r="S947" s="169" t="s">
        <v>283</v>
      </c>
      <c r="T947" s="169">
        <v>0</v>
      </c>
    </row>
    <row r="948" spans="1:20" x14ac:dyDescent="0.2">
      <c r="B948" s="167" t="str">
        <f>_xlfn.XLOOKUP(I948,Mapping!D:D,Mapping!E:E)</f>
        <v>Kiểm Soát Chất Lượng</v>
      </c>
      <c r="C948" s="167" t="str">
        <f>_xlfn.XLOOKUP(F948,Mapping!A:A,Mapping!F:F)</f>
        <v>Lương Chính +T13</v>
      </c>
      <c r="D948" s="173">
        <v>45808</v>
      </c>
      <c r="E948" s="169" t="s">
        <v>715</v>
      </c>
      <c r="F948" s="169" t="s">
        <v>388</v>
      </c>
      <c r="G948" s="169" t="s">
        <v>286</v>
      </c>
      <c r="H948" s="169" t="s">
        <v>411</v>
      </c>
      <c r="I948" s="169" t="s">
        <v>412</v>
      </c>
      <c r="J948" s="169" t="s">
        <v>716</v>
      </c>
      <c r="K948" s="169" t="s">
        <v>712</v>
      </c>
      <c r="L948" s="169" t="s">
        <v>713</v>
      </c>
      <c r="M948" s="169" t="s">
        <v>281</v>
      </c>
      <c r="N948" s="178">
        <v>39217833</v>
      </c>
      <c r="O948" s="169" t="s">
        <v>717</v>
      </c>
      <c r="P948" s="169" t="s">
        <v>283</v>
      </c>
      <c r="Q948" s="169" t="s">
        <v>284</v>
      </c>
      <c r="R948" s="169" t="s">
        <v>283</v>
      </c>
      <c r="S948" s="169" t="s">
        <v>283</v>
      </c>
      <c r="T948" s="169">
        <v>0</v>
      </c>
    </row>
    <row r="949" spans="1:20" x14ac:dyDescent="0.2">
      <c r="B949" s="167" t="str">
        <f>_xlfn.XLOOKUP(I949,Mapping!D:D,Mapping!E:E)</f>
        <v>Kiểm Soát Chất Lượng</v>
      </c>
      <c r="C949" s="167" t="str">
        <f>_xlfn.XLOOKUP(F949,Mapping!A:A,Mapping!F:F)</f>
        <v>Thưởng</v>
      </c>
      <c r="D949" s="173">
        <v>45808</v>
      </c>
      <c r="E949" s="169" t="s">
        <v>715</v>
      </c>
      <c r="F949" s="169" t="s">
        <v>395</v>
      </c>
      <c r="G949" s="169" t="s">
        <v>77</v>
      </c>
      <c r="H949" s="169" t="s">
        <v>411</v>
      </c>
      <c r="I949" s="169" t="s">
        <v>412</v>
      </c>
      <c r="J949" s="169" t="s">
        <v>718</v>
      </c>
      <c r="K949" s="169" t="s">
        <v>712</v>
      </c>
      <c r="L949" s="169" t="s">
        <v>713</v>
      </c>
      <c r="M949" s="169" t="s">
        <v>281</v>
      </c>
      <c r="N949" s="178">
        <v>36080093</v>
      </c>
      <c r="O949" s="169" t="s">
        <v>717</v>
      </c>
      <c r="P949" s="169" t="s">
        <v>283</v>
      </c>
      <c r="Q949" s="169" t="s">
        <v>284</v>
      </c>
      <c r="R949" s="169" t="s">
        <v>283</v>
      </c>
      <c r="S949" s="169" t="s">
        <v>283</v>
      </c>
      <c r="T949" s="169">
        <v>0</v>
      </c>
    </row>
    <row r="950" spans="1:20" x14ac:dyDescent="0.2">
      <c r="B950" s="167" t="str">
        <f>_xlfn.XLOOKUP(I950,Mapping!D:D,Mapping!E:E)</f>
        <v>Nghiên Cứu &amp; Phát Triển</v>
      </c>
      <c r="C950" s="167" t="str">
        <f>_xlfn.XLOOKUP(F950,Mapping!A:A,Mapping!F:F)</f>
        <v>Lương Chính +T13</v>
      </c>
      <c r="D950" s="173">
        <v>45808</v>
      </c>
      <c r="E950" s="169" t="s">
        <v>715</v>
      </c>
      <c r="F950" s="169" t="s">
        <v>388</v>
      </c>
      <c r="G950" s="169" t="s">
        <v>286</v>
      </c>
      <c r="H950" s="169" t="s">
        <v>418</v>
      </c>
      <c r="I950" s="169" t="s">
        <v>419</v>
      </c>
      <c r="J950" s="169" t="s">
        <v>716</v>
      </c>
      <c r="K950" s="169" t="s">
        <v>712</v>
      </c>
      <c r="L950" s="169" t="s">
        <v>713</v>
      </c>
      <c r="M950" s="169" t="s">
        <v>281</v>
      </c>
      <c r="N950" s="178">
        <v>14044083</v>
      </c>
      <c r="O950" s="169" t="s">
        <v>717</v>
      </c>
      <c r="P950" s="169" t="s">
        <v>283</v>
      </c>
      <c r="Q950" s="169" t="s">
        <v>284</v>
      </c>
      <c r="R950" s="169" t="s">
        <v>283</v>
      </c>
      <c r="S950" s="169" t="s">
        <v>283</v>
      </c>
      <c r="T950" s="169">
        <v>0</v>
      </c>
    </row>
    <row r="951" spans="1:20" x14ac:dyDescent="0.2">
      <c r="B951" s="167" t="str">
        <f>_xlfn.XLOOKUP(I951,Mapping!D:D,Mapping!E:E)</f>
        <v>Nghiên Cứu &amp; Phát Triển</v>
      </c>
      <c r="C951" s="167" t="str">
        <f>_xlfn.XLOOKUP(F951,Mapping!A:A,Mapping!F:F)</f>
        <v>Thưởng</v>
      </c>
      <c r="D951" s="173">
        <v>45808</v>
      </c>
      <c r="E951" s="169" t="s">
        <v>715</v>
      </c>
      <c r="F951" s="169" t="s">
        <v>395</v>
      </c>
      <c r="G951" s="169" t="s">
        <v>77</v>
      </c>
      <c r="H951" s="169" t="s">
        <v>418</v>
      </c>
      <c r="I951" s="169" t="s">
        <v>419</v>
      </c>
      <c r="J951" s="169" t="s">
        <v>718</v>
      </c>
      <c r="K951" s="169" t="s">
        <v>712</v>
      </c>
      <c r="L951" s="169" t="s">
        <v>713</v>
      </c>
      <c r="M951" s="169" t="s">
        <v>281</v>
      </c>
      <c r="N951" s="178">
        <v>12920444</v>
      </c>
      <c r="O951" s="169" t="s">
        <v>717</v>
      </c>
      <c r="P951" s="169" t="s">
        <v>283</v>
      </c>
      <c r="Q951" s="169" t="s">
        <v>284</v>
      </c>
      <c r="R951" s="169" t="s">
        <v>283</v>
      </c>
      <c r="S951" s="169" t="s">
        <v>283</v>
      </c>
      <c r="T951" s="169">
        <v>0</v>
      </c>
    </row>
    <row r="952" spans="1:20" x14ac:dyDescent="0.2">
      <c r="A952" s="169">
        <v>627</v>
      </c>
      <c r="B952" s="167" t="str">
        <f>_xlfn.XLOOKUP(I952,Mapping!D:D,Mapping!E:E)</f>
        <v>Xưởng Sản Xuất</v>
      </c>
      <c r="C952" s="167" t="str">
        <f>_xlfn.XLOOKUP(F952,Mapping!A:A,Mapping!F:F)</f>
        <v>Lương Chính +T13</v>
      </c>
      <c r="D952" s="173">
        <v>45808</v>
      </c>
      <c r="E952" s="169" t="s">
        <v>715</v>
      </c>
      <c r="F952" s="169" t="s">
        <v>388</v>
      </c>
      <c r="G952" s="169" t="s">
        <v>286</v>
      </c>
      <c r="H952" s="169" t="s">
        <v>402</v>
      </c>
      <c r="I952" s="169" t="s">
        <v>403</v>
      </c>
      <c r="J952" s="169" t="s">
        <v>716</v>
      </c>
      <c r="K952" s="169" t="s">
        <v>712</v>
      </c>
      <c r="L952" s="169" t="s">
        <v>713</v>
      </c>
      <c r="M952" s="169" t="s">
        <v>281</v>
      </c>
      <c r="N952" s="178">
        <v>36354478</v>
      </c>
      <c r="O952" s="169" t="s">
        <v>717</v>
      </c>
      <c r="P952" s="169" t="s">
        <v>283</v>
      </c>
      <c r="Q952" s="169" t="s">
        <v>284</v>
      </c>
      <c r="R952" s="169" t="s">
        <v>283</v>
      </c>
      <c r="S952" s="169" t="s">
        <v>283</v>
      </c>
      <c r="T952" s="169">
        <v>0</v>
      </c>
    </row>
    <row r="953" spans="1:20" x14ac:dyDescent="0.2">
      <c r="A953" s="169">
        <v>622</v>
      </c>
      <c r="B953" s="167" t="str">
        <f>_xlfn.XLOOKUP(I953,Mapping!D:D,Mapping!E:E)</f>
        <v>Xưởng Sản Xuất</v>
      </c>
      <c r="C953" s="167" t="str">
        <f>_xlfn.XLOOKUP(F953,Mapping!A:A,Mapping!F:F)</f>
        <v>Lương Chính +T13</v>
      </c>
      <c r="D953" s="173">
        <v>45808</v>
      </c>
      <c r="E953" s="169" t="s">
        <v>715</v>
      </c>
      <c r="F953" s="169" t="s">
        <v>420</v>
      </c>
      <c r="G953" s="169" t="s">
        <v>286</v>
      </c>
      <c r="H953" s="169" t="s">
        <v>402</v>
      </c>
      <c r="I953" s="169" t="s">
        <v>403</v>
      </c>
      <c r="J953" s="169" t="s">
        <v>716</v>
      </c>
      <c r="K953" s="169" t="s">
        <v>712</v>
      </c>
      <c r="L953" s="169" t="s">
        <v>713</v>
      </c>
      <c r="M953" s="169" t="s">
        <v>281</v>
      </c>
      <c r="N953" s="178">
        <v>98677740</v>
      </c>
      <c r="O953" s="169" t="s">
        <v>717</v>
      </c>
      <c r="P953" s="169" t="s">
        <v>283</v>
      </c>
      <c r="Q953" s="169" t="s">
        <v>284</v>
      </c>
      <c r="R953" s="169" t="s">
        <v>283</v>
      </c>
      <c r="S953" s="169" t="s">
        <v>283</v>
      </c>
      <c r="T953" s="169">
        <v>0</v>
      </c>
    </row>
    <row r="954" spans="1:20" x14ac:dyDescent="0.2">
      <c r="A954" s="169">
        <v>627</v>
      </c>
      <c r="B954" s="167" t="str">
        <f>_xlfn.XLOOKUP(I954,Mapping!D:D,Mapping!E:E)</f>
        <v>Xưởng Sản Xuất</v>
      </c>
      <c r="C954" s="167" t="str">
        <f>_xlfn.XLOOKUP(F954,Mapping!A:A,Mapping!F:F)</f>
        <v>Thưởng</v>
      </c>
      <c r="D954" s="173">
        <v>45808</v>
      </c>
      <c r="E954" s="169" t="s">
        <v>715</v>
      </c>
      <c r="F954" s="169" t="s">
        <v>395</v>
      </c>
      <c r="G954" s="169" t="s">
        <v>77</v>
      </c>
      <c r="H954" s="169" t="s">
        <v>402</v>
      </c>
      <c r="I954" s="169" t="s">
        <v>403</v>
      </c>
      <c r="J954" s="169" t="s">
        <v>718</v>
      </c>
      <c r="K954" s="169" t="s">
        <v>712</v>
      </c>
      <c r="L954" s="169" t="s">
        <v>713</v>
      </c>
      <c r="M954" s="169" t="s">
        <v>281</v>
      </c>
      <c r="N954" s="178">
        <v>32692146</v>
      </c>
      <c r="O954" s="169" t="s">
        <v>717</v>
      </c>
      <c r="P954" s="169" t="s">
        <v>283</v>
      </c>
      <c r="Q954" s="169" t="s">
        <v>284</v>
      </c>
      <c r="R954" s="169" t="s">
        <v>283</v>
      </c>
      <c r="S954" s="169" t="s">
        <v>283</v>
      </c>
      <c r="T954" s="169">
        <v>0</v>
      </c>
    </row>
    <row r="955" spans="1:20" x14ac:dyDescent="0.2">
      <c r="A955" s="169">
        <v>622</v>
      </c>
      <c r="B955" s="167" t="str">
        <f>_xlfn.XLOOKUP(I955,Mapping!D:D,Mapping!E:E)</f>
        <v>Xưởng Sản Xuất</v>
      </c>
      <c r="C955" s="167" t="str">
        <f>_xlfn.XLOOKUP(F955,Mapping!A:A,Mapping!F:F)</f>
        <v>Thưởng</v>
      </c>
      <c r="D955" s="173">
        <v>45808</v>
      </c>
      <c r="E955" s="169" t="s">
        <v>715</v>
      </c>
      <c r="F955" s="169" t="s">
        <v>426</v>
      </c>
      <c r="G955" s="169" t="s">
        <v>77</v>
      </c>
      <c r="H955" s="169" t="s">
        <v>402</v>
      </c>
      <c r="I955" s="169" t="s">
        <v>403</v>
      </c>
      <c r="J955" s="169" t="s">
        <v>718</v>
      </c>
      <c r="K955" s="169" t="s">
        <v>712</v>
      </c>
      <c r="L955" s="169" t="s">
        <v>713</v>
      </c>
      <c r="M955" s="169" t="s">
        <v>281</v>
      </c>
      <c r="N955" s="178">
        <v>24405534</v>
      </c>
      <c r="O955" s="169" t="s">
        <v>717</v>
      </c>
      <c r="P955" s="169" t="s">
        <v>283</v>
      </c>
      <c r="Q955" s="169" t="s">
        <v>284</v>
      </c>
      <c r="R955" s="169" t="s">
        <v>283</v>
      </c>
      <c r="S955" s="169" t="s">
        <v>283</v>
      </c>
      <c r="T955" s="169">
        <v>0</v>
      </c>
    </row>
    <row r="956" spans="1:20" x14ac:dyDescent="0.2">
      <c r="B956" s="167" t="str">
        <f>_xlfn.XLOOKUP(I956,Mapping!D:D,Mapping!E:E)</f>
        <v>Kiểm Soát Chất Lượng</v>
      </c>
      <c r="C956" s="167" t="str">
        <f>_xlfn.XLOOKUP(F956,Mapping!A:A,Mapping!F:F)</f>
        <v>BHXH, BHYT, KPCĐ</v>
      </c>
      <c r="D956" s="173">
        <v>45808</v>
      </c>
      <c r="E956" s="169" t="s">
        <v>719</v>
      </c>
      <c r="F956" s="169" t="s">
        <v>393</v>
      </c>
      <c r="G956" s="169" t="s">
        <v>296</v>
      </c>
      <c r="H956" s="169" t="s">
        <v>411</v>
      </c>
      <c r="I956" s="169" t="s">
        <v>412</v>
      </c>
      <c r="J956" s="169" t="s">
        <v>720</v>
      </c>
      <c r="K956" s="169" t="s">
        <v>712</v>
      </c>
      <c r="L956" s="169" t="s">
        <v>713</v>
      </c>
      <c r="M956" s="169" t="s">
        <v>281</v>
      </c>
      <c r="N956" s="178">
        <v>101197920</v>
      </c>
      <c r="O956" s="169" t="s">
        <v>721</v>
      </c>
      <c r="P956" s="169" t="s">
        <v>283</v>
      </c>
      <c r="Q956" s="169" t="s">
        <v>284</v>
      </c>
      <c r="R956" s="169" t="s">
        <v>283</v>
      </c>
      <c r="S956" s="169" t="s">
        <v>283</v>
      </c>
      <c r="T956" s="169">
        <v>0</v>
      </c>
    </row>
    <row r="957" spans="1:20" x14ac:dyDescent="0.2">
      <c r="B957" s="167" t="str">
        <f>_xlfn.XLOOKUP(I957,Mapping!D:D,Mapping!E:E)</f>
        <v>Nghiên Cứu &amp; Phát Triển</v>
      </c>
      <c r="C957" s="167" t="str">
        <f>_xlfn.XLOOKUP(F957,Mapping!A:A,Mapping!F:F)</f>
        <v>BHXH, BHYT, KPCĐ</v>
      </c>
      <c r="D957" s="173">
        <v>45808</v>
      </c>
      <c r="E957" s="169" t="s">
        <v>719</v>
      </c>
      <c r="F957" s="169" t="s">
        <v>393</v>
      </c>
      <c r="G957" s="169" t="s">
        <v>296</v>
      </c>
      <c r="H957" s="169" t="s">
        <v>418</v>
      </c>
      <c r="I957" s="169" t="s">
        <v>419</v>
      </c>
      <c r="J957" s="169" t="s">
        <v>720</v>
      </c>
      <c r="K957" s="169" t="s">
        <v>712</v>
      </c>
      <c r="L957" s="169" t="s">
        <v>713</v>
      </c>
      <c r="M957" s="169" t="s">
        <v>281</v>
      </c>
      <c r="N957" s="178">
        <v>38209315</v>
      </c>
      <c r="O957" s="169" t="s">
        <v>721</v>
      </c>
      <c r="P957" s="169" t="s">
        <v>283</v>
      </c>
      <c r="Q957" s="169" t="s">
        <v>284</v>
      </c>
      <c r="R957" s="169" t="s">
        <v>283</v>
      </c>
      <c r="S957" s="169" t="s">
        <v>283</v>
      </c>
      <c r="T957" s="169">
        <v>0</v>
      </c>
    </row>
    <row r="958" spans="1:20" x14ac:dyDescent="0.2">
      <c r="A958" s="169">
        <v>622</v>
      </c>
      <c r="B958" s="167" t="str">
        <f>_xlfn.XLOOKUP(I958,Mapping!D:D,Mapping!E:E)</f>
        <v>Xưởng Sản Xuất</v>
      </c>
      <c r="C958" s="167" t="str">
        <f>_xlfn.XLOOKUP(F958,Mapping!A:A,Mapping!F:F)</f>
        <v>BHXH, BHYT, KPCĐ</v>
      </c>
      <c r="D958" s="173">
        <v>45808</v>
      </c>
      <c r="E958" s="169" t="s">
        <v>719</v>
      </c>
      <c r="F958" s="169" t="s">
        <v>425</v>
      </c>
      <c r="G958" s="169" t="s">
        <v>296</v>
      </c>
      <c r="H958" s="169" t="s">
        <v>402</v>
      </c>
      <c r="I958" s="169" t="s">
        <v>403</v>
      </c>
      <c r="J958" s="169" t="s">
        <v>720</v>
      </c>
      <c r="K958" s="169" t="s">
        <v>712</v>
      </c>
      <c r="L958" s="169" t="s">
        <v>713</v>
      </c>
      <c r="M958" s="169" t="s">
        <v>281</v>
      </c>
      <c r="N958" s="178">
        <v>243849970</v>
      </c>
      <c r="O958" s="169" t="s">
        <v>721</v>
      </c>
      <c r="P958" s="169" t="s">
        <v>283</v>
      </c>
      <c r="Q958" s="169" t="s">
        <v>284</v>
      </c>
      <c r="R958" s="169" t="s">
        <v>283</v>
      </c>
      <c r="S958" s="169" t="s">
        <v>283</v>
      </c>
      <c r="T958" s="169">
        <v>0</v>
      </c>
    </row>
    <row r="959" spans="1:20" x14ac:dyDescent="0.2">
      <c r="A959" s="169">
        <v>627</v>
      </c>
      <c r="B959" s="167" t="str">
        <f>_xlfn.XLOOKUP(I959,Mapping!D:D,Mapping!E:E)</f>
        <v>Xưởng Sản Xuất</v>
      </c>
      <c r="C959" s="167" t="str">
        <f>_xlfn.XLOOKUP(F959,Mapping!A:A,Mapping!F:F)</f>
        <v>BHXH, BHYT, KPCĐ</v>
      </c>
      <c r="D959" s="173">
        <v>45808</v>
      </c>
      <c r="E959" s="169" t="s">
        <v>719</v>
      </c>
      <c r="F959" s="169" t="s">
        <v>393</v>
      </c>
      <c r="G959" s="169" t="s">
        <v>296</v>
      </c>
      <c r="H959" s="169" t="s">
        <v>402</v>
      </c>
      <c r="I959" s="169" t="s">
        <v>403</v>
      </c>
      <c r="J959" s="169" t="s">
        <v>720</v>
      </c>
      <c r="K959" s="169" t="s">
        <v>712</v>
      </c>
      <c r="L959" s="169" t="s">
        <v>713</v>
      </c>
      <c r="M959" s="169" t="s">
        <v>281</v>
      </c>
      <c r="N959" s="178">
        <v>82161205</v>
      </c>
      <c r="O959" s="169" t="s">
        <v>721</v>
      </c>
      <c r="P959" s="169" t="s">
        <v>283</v>
      </c>
      <c r="Q959" s="169" t="s">
        <v>284</v>
      </c>
      <c r="R959" s="169" t="s">
        <v>283</v>
      </c>
      <c r="S959" s="169" t="s">
        <v>283</v>
      </c>
      <c r="T959" s="169">
        <v>0</v>
      </c>
    </row>
    <row r="960" spans="1:20" x14ac:dyDescent="0.2">
      <c r="A960" s="169">
        <v>622</v>
      </c>
      <c r="B960" s="167" t="str">
        <f>_xlfn.XLOOKUP(I960,Mapping!D:D,Mapping!E:E)</f>
        <v>Xưởng Sản Xuất</v>
      </c>
      <c r="C960" s="167" t="str">
        <f>_xlfn.XLOOKUP(F960,Mapping!A:A,Mapping!F:F)</f>
        <v>BHXH, BHYT, KPCĐ</v>
      </c>
      <c r="D960" s="173">
        <v>45808</v>
      </c>
      <c r="E960" s="169" t="s">
        <v>719</v>
      </c>
      <c r="F960" s="169" t="s">
        <v>425</v>
      </c>
      <c r="G960" s="169" t="s">
        <v>296</v>
      </c>
      <c r="H960" s="169" t="s">
        <v>402</v>
      </c>
      <c r="I960" s="169" t="s">
        <v>403</v>
      </c>
      <c r="J960" s="169" t="s">
        <v>720</v>
      </c>
      <c r="K960" s="169" t="s">
        <v>712</v>
      </c>
      <c r="L960" s="169" t="s">
        <v>713</v>
      </c>
      <c r="M960" s="169" t="s">
        <v>281</v>
      </c>
      <c r="N960" s="178">
        <v>1578965</v>
      </c>
      <c r="O960" s="169" t="s">
        <v>721</v>
      </c>
      <c r="P960" s="169" t="s">
        <v>283</v>
      </c>
      <c r="Q960" s="169" t="s">
        <v>284</v>
      </c>
      <c r="R960" s="169" t="s">
        <v>283</v>
      </c>
      <c r="S960" s="169" t="s">
        <v>283</v>
      </c>
      <c r="T960" s="169">
        <v>0</v>
      </c>
    </row>
    <row r="961" spans="1:20" x14ac:dyDescent="0.2">
      <c r="A961" s="169">
        <v>622</v>
      </c>
      <c r="B961" s="167" t="str">
        <f>_xlfn.XLOOKUP(I961,Mapping!D:D,Mapping!E:E)</f>
        <v>Xưởng Sản Xuất</v>
      </c>
      <c r="C961" s="167" t="str">
        <f>_xlfn.XLOOKUP(F961,Mapping!A:A,Mapping!F:F)</f>
        <v>BHXH, BHYT, KPCĐ</v>
      </c>
      <c r="D961" s="173">
        <v>45808</v>
      </c>
      <c r="E961" s="169" t="s">
        <v>719</v>
      </c>
      <c r="F961" s="169" t="s">
        <v>425</v>
      </c>
      <c r="G961" s="169" t="s">
        <v>296</v>
      </c>
      <c r="H961" s="169" t="s">
        <v>402</v>
      </c>
      <c r="I961" s="169" t="s">
        <v>403</v>
      </c>
      <c r="J961" s="169" t="s">
        <v>720</v>
      </c>
      <c r="K961" s="169" t="s">
        <v>712</v>
      </c>
      <c r="L961" s="169" t="s">
        <v>713</v>
      </c>
      <c r="M961" s="169" t="s">
        <v>281</v>
      </c>
      <c r="N961" s="178">
        <v>2582180</v>
      </c>
      <c r="O961" s="169" t="s">
        <v>721</v>
      </c>
      <c r="P961" s="169" t="s">
        <v>283</v>
      </c>
      <c r="Q961" s="169" t="s">
        <v>284</v>
      </c>
      <c r="R961" s="169" t="s">
        <v>283</v>
      </c>
      <c r="S961" s="169" t="s">
        <v>283</v>
      </c>
      <c r="T961" s="169">
        <v>0</v>
      </c>
    </row>
    <row r="962" spans="1:20" x14ac:dyDescent="0.2">
      <c r="A962" s="169">
        <v>627</v>
      </c>
      <c r="B962" s="167" t="str">
        <f>_xlfn.XLOOKUP(I962,Mapping!D:D,Mapping!E:E)</f>
        <v>Xưởng Sản Xuất</v>
      </c>
      <c r="C962" s="167" t="str">
        <f>_xlfn.XLOOKUP(F962,Mapping!A:A,Mapping!F:F)</f>
        <v>BHXH, BHYT, KPCĐ</v>
      </c>
      <c r="D962" s="173">
        <v>45808</v>
      </c>
      <c r="E962" s="169" t="s">
        <v>787</v>
      </c>
      <c r="F962" s="169" t="s">
        <v>393</v>
      </c>
      <c r="G962" s="169" t="s">
        <v>296</v>
      </c>
      <c r="H962" s="169" t="s">
        <v>402</v>
      </c>
      <c r="I962" s="169" t="s">
        <v>403</v>
      </c>
      <c r="J962" s="169" t="s">
        <v>720</v>
      </c>
      <c r="K962" s="169" t="s">
        <v>712</v>
      </c>
      <c r="L962" s="169" t="s">
        <v>713</v>
      </c>
      <c r="M962" s="169" t="s">
        <v>281</v>
      </c>
      <c r="N962" s="178">
        <v>-924300</v>
      </c>
      <c r="O962" s="169" t="s">
        <v>788</v>
      </c>
      <c r="P962" s="169" t="s">
        <v>283</v>
      </c>
      <c r="Q962" s="169" t="s">
        <v>284</v>
      </c>
      <c r="R962" s="169" t="s">
        <v>283</v>
      </c>
      <c r="S962" s="169" t="s">
        <v>283</v>
      </c>
      <c r="T962" s="169">
        <v>0</v>
      </c>
    </row>
    <row r="963" spans="1:20" x14ac:dyDescent="0.2">
      <c r="A963" s="169">
        <v>627</v>
      </c>
      <c r="B963" s="167" t="str">
        <f>_xlfn.XLOOKUP(I963,Mapping!D:D,Mapping!E:E)</f>
        <v>Xưởng Sản Xuất</v>
      </c>
      <c r="C963" s="167" t="str">
        <f>_xlfn.XLOOKUP(F963,Mapping!A:A,Mapping!F:F)</f>
        <v>BHXH, BHYT, KPCĐ</v>
      </c>
      <c r="D963" s="173">
        <v>45808</v>
      </c>
      <c r="E963" s="169" t="s">
        <v>787</v>
      </c>
      <c r="F963" s="169" t="s">
        <v>393</v>
      </c>
      <c r="G963" s="169" t="s">
        <v>296</v>
      </c>
      <c r="H963" s="169" t="s">
        <v>402</v>
      </c>
      <c r="I963" s="169" t="s">
        <v>403</v>
      </c>
      <c r="J963" s="169" t="s">
        <v>720</v>
      </c>
      <c r="K963" s="169" t="s">
        <v>712</v>
      </c>
      <c r="L963" s="169" t="s">
        <v>713</v>
      </c>
      <c r="M963" s="169" t="s">
        <v>281</v>
      </c>
      <c r="N963" s="178">
        <v>2855295</v>
      </c>
      <c r="O963" s="169" t="s">
        <v>788</v>
      </c>
      <c r="P963" s="169" t="s">
        <v>283</v>
      </c>
      <c r="Q963" s="169" t="s">
        <v>284</v>
      </c>
      <c r="R963" s="169" t="s">
        <v>283</v>
      </c>
      <c r="S963" s="169" t="s">
        <v>283</v>
      </c>
      <c r="T963" s="169">
        <v>0</v>
      </c>
    </row>
    <row r="964" spans="1:20" x14ac:dyDescent="0.2">
      <c r="A964" s="169">
        <v>627</v>
      </c>
      <c r="B964" s="167" t="str">
        <f>_xlfn.XLOOKUP(I964,Mapping!D:D,Mapping!E:E)</f>
        <v>Xưởng Sản Xuất</v>
      </c>
      <c r="C964" s="167" t="str">
        <f>_xlfn.XLOOKUP(F964,Mapping!A:A,Mapping!F:F)</f>
        <v>BHXH, BHYT, KPCĐ</v>
      </c>
      <c r="D964" s="173">
        <v>45808</v>
      </c>
      <c r="E964" s="169" t="s">
        <v>787</v>
      </c>
      <c r="F964" s="169" t="s">
        <v>393</v>
      </c>
      <c r="G964" s="169" t="s">
        <v>296</v>
      </c>
      <c r="H964" s="169" t="s">
        <v>402</v>
      </c>
      <c r="I964" s="169" t="s">
        <v>403</v>
      </c>
      <c r="J964" s="169" t="s">
        <v>720</v>
      </c>
      <c r="K964" s="169" t="s">
        <v>712</v>
      </c>
      <c r="L964" s="169" t="s">
        <v>713</v>
      </c>
      <c r="M964" s="169" t="s">
        <v>281</v>
      </c>
      <c r="N964" s="178">
        <v>-71100</v>
      </c>
      <c r="O964" s="169" t="s">
        <v>788</v>
      </c>
      <c r="P964" s="169" t="s">
        <v>283</v>
      </c>
      <c r="Q964" s="169" t="s">
        <v>284</v>
      </c>
      <c r="R964" s="169" t="s">
        <v>283</v>
      </c>
      <c r="S964" s="169" t="s">
        <v>283</v>
      </c>
      <c r="T964" s="169">
        <v>0</v>
      </c>
    </row>
    <row r="965" spans="1:20" x14ac:dyDescent="0.2">
      <c r="A965" s="169">
        <v>627</v>
      </c>
      <c r="B965" s="167" t="str">
        <f>_xlfn.XLOOKUP(I965,Mapping!D:D,Mapping!E:E)</f>
        <v>Xưởng Sản Xuất</v>
      </c>
      <c r="C965" s="167" t="str">
        <f>_xlfn.XLOOKUP(F965,Mapping!A:A,Mapping!F:F)</f>
        <v>Phụ Cấp</v>
      </c>
      <c r="D965" s="173">
        <v>45782</v>
      </c>
      <c r="E965" s="169" t="s">
        <v>736</v>
      </c>
      <c r="F965" s="169" t="s">
        <v>375</v>
      </c>
      <c r="G965" s="169" t="s">
        <v>336</v>
      </c>
      <c r="H965" s="169" t="s">
        <v>402</v>
      </c>
      <c r="I965" s="169" t="s">
        <v>403</v>
      </c>
      <c r="J965" s="169" t="s">
        <v>737</v>
      </c>
      <c r="K965" s="169" t="s">
        <v>338</v>
      </c>
      <c r="L965" s="169" t="s">
        <v>713</v>
      </c>
      <c r="M965" s="169" t="s">
        <v>281</v>
      </c>
      <c r="N965" s="178">
        <v>28750000</v>
      </c>
      <c r="O965" s="169" t="s">
        <v>738</v>
      </c>
      <c r="P965" s="169" t="s">
        <v>283</v>
      </c>
      <c r="Q965" s="169" t="s">
        <v>306</v>
      </c>
      <c r="R965" s="169" t="s">
        <v>283</v>
      </c>
      <c r="S965" s="169" t="s">
        <v>283</v>
      </c>
      <c r="T965" s="169">
        <v>0</v>
      </c>
    </row>
    <row r="966" spans="1:20" x14ac:dyDescent="0.2">
      <c r="B966" s="167" t="str">
        <f>_xlfn.XLOOKUP(I966,Mapping!D:D,Mapping!E:E)</f>
        <v>Kiểm Soát Chất Lượng</v>
      </c>
      <c r="C966" s="167" t="str">
        <f>_xlfn.XLOOKUP(F966,Mapping!A:A,Mapping!F:F)</f>
        <v>Phụ Cấp</v>
      </c>
      <c r="D966" s="173">
        <v>45782</v>
      </c>
      <c r="E966" s="169" t="s">
        <v>736</v>
      </c>
      <c r="F966" s="169" t="s">
        <v>375</v>
      </c>
      <c r="G966" s="169" t="s">
        <v>336</v>
      </c>
      <c r="H966" s="169" t="s">
        <v>411</v>
      </c>
      <c r="I966" s="169" t="s">
        <v>412</v>
      </c>
      <c r="J966" s="169" t="s">
        <v>737</v>
      </c>
      <c r="K966" s="169" t="s">
        <v>338</v>
      </c>
      <c r="L966" s="169" t="s">
        <v>713</v>
      </c>
      <c r="M966" s="169" t="s">
        <v>281</v>
      </c>
      <c r="N966" s="178">
        <v>6975000</v>
      </c>
      <c r="O966" s="169" t="s">
        <v>738</v>
      </c>
      <c r="P966" s="169" t="s">
        <v>283</v>
      </c>
      <c r="Q966" s="169" t="s">
        <v>306</v>
      </c>
      <c r="R966" s="169" t="s">
        <v>283</v>
      </c>
      <c r="S966" s="169" t="s">
        <v>283</v>
      </c>
      <c r="T966" s="169">
        <v>0</v>
      </c>
    </row>
    <row r="967" spans="1:20" x14ac:dyDescent="0.2">
      <c r="A967" s="169">
        <v>627</v>
      </c>
      <c r="B967" s="167" t="str">
        <f>_xlfn.XLOOKUP(I967,Mapping!D:D,Mapping!E:E)</f>
        <v>Xưởng Sản Xuất</v>
      </c>
      <c r="C967" s="167" t="str">
        <f>_xlfn.XLOOKUP(F967,Mapping!A:A,Mapping!F:F)</f>
        <v>Phụ Cấp</v>
      </c>
      <c r="D967" s="173">
        <v>45803</v>
      </c>
      <c r="E967" s="169" t="s">
        <v>739</v>
      </c>
      <c r="F967" s="169" t="s">
        <v>375</v>
      </c>
      <c r="G967" s="169" t="s">
        <v>336</v>
      </c>
      <c r="H967" s="169" t="s">
        <v>402</v>
      </c>
      <c r="I967" s="169" t="s">
        <v>403</v>
      </c>
      <c r="J967" s="169" t="s">
        <v>740</v>
      </c>
      <c r="K967" s="169" t="s">
        <v>741</v>
      </c>
      <c r="L967" s="169" t="s">
        <v>713</v>
      </c>
      <c r="M967" s="169" t="s">
        <v>281</v>
      </c>
      <c r="N967" s="178">
        <v>90375000</v>
      </c>
      <c r="O967" s="169" t="s">
        <v>742</v>
      </c>
      <c r="P967" s="169" t="s">
        <v>283</v>
      </c>
      <c r="Q967" s="169" t="s">
        <v>306</v>
      </c>
      <c r="R967" s="169" t="s">
        <v>283</v>
      </c>
      <c r="S967" s="169" t="s">
        <v>283</v>
      </c>
      <c r="T967" s="169">
        <v>0</v>
      </c>
    </row>
    <row r="968" spans="1:20" x14ac:dyDescent="0.2">
      <c r="B968" s="167" t="str">
        <f>_xlfn.XLOOKUP(I968,Mapping!D:D,Mapping!E:E)</f>
        <v>Kiểm Soát Chất Lượng</v>
      </c>
      <c r="C968" s="167" t="str">
        <f>_xlfn.XLOOKUP(F968,Mapping!A:A,Mapping!F:F)</f>
        <v>Phụ Cấp</v>
      </c>
      <c r="D968" s="173">
        <v>45803</v>
      </c>
      <c r="E968" s="169" t="s">
        <v>739</v>
      </c>
      <c r="F968" s="169" t="s">
        <v>375</v>
      </c>
      <c r="G968" s="169" t="s">
        <v>336</v>
      </c>
      <c r="H968" s="169" t="s">
        <v>411</v>
      </c>
      <c r="I968" s="169" t="s">
        <v>412</v>
      </c>
      <c r="J968" s="169" t="s">
        <v>740</v>
      </c>
      <c r="K968" s="169" t="s">
        <v>741</v>
      </c>
      <c r="L968" s="169" t="s">
        <v>713</v>
      </c>
      <c r="M968" s="169" t="s">
        <v>281</v>
      </c>
      <c r="N968" s="178">
        <v>24050000</v>
      </c>
      <c r="O968" s="169" t="s">
        <v>742</v>
      </c>
      <c r="P968" s="169" t="s">
        <v>283</v>
      </c>
      <c r="Q968" s="169" t="s">
        <v>306</v>
      </c>
      <c r="R968" s="169" t="s">
        <v>283</v>
      </c>
      <c r="S968" s="169" t="s">
        <v>283</v>
      </c>
      <c r="T968" s="169">
        <v>0</v>
      </c>
    </row>
    <row r="969" spans="1:20" x14ac:dyDescent="0.2">
      <c r="A969" s="169">
        <v>622</v>
      </c>
      <c r="B969" s="167" t="str">
        <f>_xlfn.XLOOKUP(I969,Mapping!D:D,Mapping!E:E)</f>
        <v>Xưởng Sản Xuất</v>
      </c>
      <c r="C969" s="167" t="str">
        <f>_xlfn.XLOOKUP(F969,Mapping!A:A,Mapping!F:F)</f>
        <v>Lương Chính +T13</v>
      </c>
      <c r="D969" s="173">
        <v>45808</v>
      </c>
      <c r="E969" s="169" t="s">
        <v>789</v>
      </c>
      <c r="F969" s="169" t="s">
        <v>400</v>
      </c>
      <c r="G969" s="169" t="s">
        <v>401</v>
      </c>
      <c r="H969" s="169" t="s">
        <v>402</v>
      </c>
      <c r="I969" s="169" t="s">
        <v>403</v>
      </c>
      <c r="J969" s="169" t="s">
        <v>790</v>
      </c>
      <c r="K969" s="169" t="s">
        <v>405</v>
      </c>
      <c r="L969" s="169" t="s">
        <v>713</v>
      </c>
      <c r="M969" s="169" t="s">
        <v>281</v>
      </c>
      <c r="N969" s="178">
        <v>14219810</v>
      </c>
      <c r="O969" s="169" t="s">
        <v>791</v>
      </c>
      <c r="P969" s="169" t="s">
        <v>283</v>
      </c>
      <c r="Q969" s="169" t="s">
        <v>306</v>
      </c>
      <c r="R969" s="169" t="s">
        <v>283</v>
      </c>
      <c r="S969" s="169" t="s">
        <v>283</v>
      </c>
      <c r="T969" s="169">
        <v>0</v>
      </c>
    </row>
    <row r="970" spans="1:20" x14ac:dyDescent="0.2">
      <c r="A970" s="169">
        <v>622</v>
      </c>
      <c r="B970" s="167" t="str">
        <f>_xlfn.XLOOKUP(I970,Mapping!D:D,Mapping!E:E)</f>
        <v>Xưởng Sản Xuất</v>
      </c>
      <c r="C970" s="167" t="str">
        <f>_xlfn.XLOOKUP(F970,Mapping!A:A,Mapping!F:F)</f>
        <v>Lương Chính +T13</v>
      </c>
      <c r="D970" s="173">
        <v>45806</v>
      </c>
      <c r="E970" s="169" t="s">
        <v>792</v>
      </c>
      <c r="F970" s="169" t="s">
        <v>400</v>
      </c>
      <c r="G970" s="169" t="s">
        <v>401</v>
      </c>
      <c r="H970" s="169" t="s">
        <v>402</v>
      </c>
      <c r="I970" s="169" t="s">
        <v>403</v>
      </c>
      <c r="J970" s="169" t="s">
        <v>793</v>
      </c>
      <c r="K970" s="169" t="s">
        <v>405</v>
      </c>
      <c r="L970" s="169" t="s">
        <v>713</v>
      </c>
      <c r="M970" s="169" t="s">
        <v>281</v>
      </c>
      <c r="N970" s="178">
        <v>17301389</v>
      </c>
      <c r="O970" s="169" t="s">
        <v>794</v>
      </c>
      <c r="P970" s="169" t="s">
        <v>283</v>
      </c>
      <c r="Q970" s="169" t="s">
        <v>306</v>
      </c>
      <c r="R970" s="169" t="s">
        <v>283</v>
      </c>
      <c r="S970" s="169" t="s">
        <v>283</v>
      </c>
      <c r="T970" s="169">
        <v>0</v>
      </c>
    </row>
    <row r="971" spans="1:20" x14ac:dyDescent="0.2">
      <c r="A971" s="169">
        <v>622</v>
      </c>
      <c r="B971" s="167" t="str">
        <f>_xlfn.XLOOKUP(I971,Mapping!D:D,Mapping!E:E)</f>
        <v>Xưởng Sản Xuất</v>
      </c>
      <c r="C971" s="167" t="str">
        <f>_xlfn.XLOOKUP(F971,Mapping!A:A,Mapping!F:F)</f>
        <v>Phụ Cấp</v>
      </c>
      <c r="D971" s="173">
        <v>45808</v>
      </c>
      <c r="E971" s="169" t="s">
        <v>795</v>
      </c>
      <c r="F971" s="169" t="s">
        <v>414</v>
      </c>
      <c r="G971" s="169" t="s">
        <v>415</v>
      </c>
      <c r="H971" s="169" t="s">
        <v>402</v>
      </c>
      <c r="I971" s="169" t="s">
        <v>403</v>
      </c>
      <c r="J971" s="169" t="s">
        <v>416</v>
      </c>
      <c r="K971" s="169" t="s">
        <v>416</v>
      </c>
      <c r="L971" s="169" t="s">
        <v>713</v>
      </c>
      <c r="M971" s="169" t="s">
        <v>281</v>
      </c>
      <c r="N971" s="178">
        <v>99125000</v>
      </c>
      <c r="O971" s="169" t="s">
        <v>796</v>
      </c>
      <c r="P971" s="169" t="s">
        <v>283</v>
      </c>
      <c r="Q971" s="169" t="s">
        <v>348</v>
      </c>
      <c r="R971" s="169" t="s">
        <v>283</v>
      </c>
      <c r="S971" s="169" t="s">
        <v>283</v>
      </c>
      <c r="T971" s="169">
        <v>0</v>
      </c>
    </row>
    <row r="972" spans="1:20" x14ac:dyDescent="0.2">
      <c r="A972" s="169">
        <v>627</v>
      </c>
      <c r="B972" s="167" t="str">
        <f>_xlfn.XLOOKUP(I972,Mapping!D:D,Mapping!E:E)</f>
        <v>Xưởng Sản Xuất</v>
      </c>
      <c r="C972" s="167" t="str">
        <f>_xlfn.XLOOKUP(F972,Mapping!A:A,Mapping!F:F)</f>
        <v>Phụ Cấp</v>
      </c>
      <c r="D972" s="173">
        <v>45808</v>
      </c>
      <c r="E972" s="169" t="s">
        <v>795</v>
      </c>
      <c r="F972" s="169" t="s">
        <v>375</v>
      </c>
      <c r="G972" s="169" t="s">
        <v>336</v>
      </c>
      <c r="H972" s="169" t="s">
        <v>402</v>
      </c>
      <c r="I972" s="169" t="s">
        <v>403</v>
      </c>
      <c r="J972" s="169" t="s">
        <v>416</v>
      </c>
      <c r="K972" s="169" t="s">
        <v>416</v>
      </c>
      <c r="L972" s="169" t="s">
        <v>713</v>
      </c>
      <c r="M972" s="169" t="s">
        <v>281</v>
      </c>
      <c r="N972" s="178">
        <v>-99125000</v>
      </c>
      <c r="O972" s="169" t="s">
        <v>796</v>
      </c>
      <c r="P972" s="169" t="s">
        <v>283</v>
      </c>
      <c r="Q972" s="169" t="s">
        <v>348</v>
      </c>
      <c r="R972" s="169" t="s">
        <v>283</v>
      </c>
      <c r="S972" s="169" t="s">
        <v>283</v>
      </c>
      <c r="T972" s="169">
        <v>0</v>
      </c>
    </row>
    <row r="973" spans="1:20" x14ac:dyDescent="0.2">
      <c r="A973" s="169">
        <v>622</v>
      </c>
      <c r="B973" s="167" t="str">
        <f>_xlfn.XLOOKUP(I973,Mapping!D:D,Mapping!E:E)</f>
        <v>Xưởng Sản Xuất</v>
      </c>
      <c r="C973" s="167" t="str">
        <f>_xlfn.XLOOKUP(F973,Mapping!A:A,Mapping!F:F)</f>
        <v>Lương Chính +T13</v>
      </c>
      <c r="D973" s="173">
        <v>45782</v>
      </c>
      <c r="E973" s="169" t="s">
        <v>784</v>
      </c>
      <c r="F973" s="169" t="s">
        <v>400</v>
      </c>
      <c r="G973" s="169" t="s">
        <v>401</v>
      </c>
      <c r="H973" s="169" t="s">
        <v>430</v>
      </c>
      <c r="I973" s="169" t="s">
        <v>431</v>
      </c>
      <c r="J973" s="169" t="s">
        <v>797</v>
      </c>
      <c r="K973" s="169" t="s">
        <v>405</v>
      </c>
      <c r="L973" s="169" t="s">
        <v>713</v>
      </c>
      <c r="M973" s="169" t="s">
        <v>281</v>
      </c>
      <c r="N973" s="178">
        <v>66503125</v>
      </c>
      <c r="O973" s="169" t="s">
        <v>786</v>
      </c>
      <c r="P973" s="169" t="s">
        <v>283</v>
      </c>
      <c r="Q973" s="169" t="s">
        <v>306</v>
      </c>
      <c r="R973" s="169" t="s">
        <v>283</v>
      </c>
      <c r="S973" s="169" t="s">
        <v>283</v>
      </c>
      <c r="T973" s="169">
        <v>0</v>
      </c>
    </row>
    <row r="974" spans="1:20" x14ac:dyDescent="0.2">
      <c r="A974" s="169">
        <v>622</v>
      </c>
      <c r="B974" s="167" t="str">
        <f>_xlfn.XLOOKUP(I974,Mapping!D:D,Mapping!E:E)</f>
        <v>Xưởng Sản Xuất</v>
      </c>
      <c r="C974" s="167" t="str">
        <f>_xlfn.XLOOKUP(F974,Mapping!A:A,Mapping!F:F)</f>
        <v>Lương Chính +T13</v>
      </c>
      <c r="D974" s="173">
        <v>45808</v>
      </c>
      <c r="E974" s="169" t="s">
        <v>710</v>
      </c>
      <c r="F974" s="169" t="s">
        <v>400</v>
      </c>
      <c r="G974" s="169" t="s">
        <v>401</v>
      </c>
      <c r="H974" s="169" t="s">
        <v>430</v>
      </c>
      <c r="I974" s="169" t="s">
        <v>431</v>
      </c>
      <c r="J974" s="169" t="s">
        <v>711</v>
      </c>
      <c r="K974" s="169" t="s">
        <v>712</v>
      </c>
      <c r="L974" s="169" t="s">
        <v>713</v>
      </c>
      <c r="M974" s="169" t="s">
        <v>281</v>
      </c>
      <c r="N974" s="178">
        <v>271774758</v>
      </c>
      <c r="O974" s="169" t="s">
        <v>714</v>
      </c>
      <c r="P974" s="169" t="s">
        <v>283</v>
      </c>
      <c r="Q974" s="169" t="s">
        <v>284</v>
      </c>
      <c r="R974" s="169" t="s">
        <v>283</v>
      </c>
      <c r="S974" s="169" t="s">
        <v>283</v>
      </c>
      <c r="T974" s="169">
        <v>0</v>
      </c>
    </row>
    <row r="975" spans="1:20" x14ac:dyDescent="0.2">
      <c r="A975" s="169">
        <v>622</v>
      </c>
      <c r="B975" s="167" t="str">
        <f>_xlfn.XLOOKUP(I975,Mapping!D:D,Mapping!E:E)</f>
        <v>Xưởng Sản Xuất</v>
      </c>
      <c r="C975" s="167" t="str">
        <f>_xlfn.XLOOKUP(F975,Mapping!A:A,Mapping!F:F)</f>
        <v>Lương Chính +T13</v>
      </c>
      <c r="D975" s="173">
        <v>45808</v>
      </c>
      <c r="E975" s="169" t="s">
        <v>710</v>
      </c>
      <c r="F975" s="169" t="s">
        <v>420</v>
      </c>
      <c r="G975" s="169" t="s">
        <v>286</v>
      </c>
      <c r="H975" s="169" t="s">
        <v>430</v>
      </c>
      <c r="I975" s="169" t="s">
        <v>431</v>
      </c>
      <c r="J975" s="169" t="s">
        <v>711</v>
      </c>
      <c r="K975" s="169" t="s">
        <v>712</v>
      </c>
      <c r="L975" s="169" t="s">
        <v>713</v>
      </c>
      <c r="M975" s="169" t="s">
        <v>281</v>
      </c>
      <c r="N975" s="178">
        <v>4573502</v>
      </c>
      <c r="O975" s="169" t="s">
        <v>714</v>
      </c>
      <c r="P975" s="169" t="s">
        <v>283</v>
      </c>
      <c r="Q975" s="169" t="s">
        <v>284</v>
      </c>
      <c r="R975" s="169" t="s">
        <v>283</v>
      </c>
      <c r="S975" s="169" t="s">
        <v>283</v>
      </c>
      <c r="T975" s="169">
        <v>0</v>
      </c>
    </row>
    <row r="976" spans="1:20" x14ac:dyDescent="0.2">
      <c r="A976" s="169">
        <v>622</v>
      </c>
      <c r="B976" s="167" t="str">
        <f>_xlfn.XLOOKUP(I976,Mapping!D:D,Mapping!E:E)</f>
        <v>Xưởng Sản Xuất</v>
      </c>
      <c r="C976" s="167" t="str">
        <f>_xlfn.XLOOKUP(F976,Mapping!A:A,Mapping!F:F)</f>
        <v>Phụ Cấp</v>
      </c>
      <c r="D976" s="173">
        <v>45808</v>
      </c>
      <c r="E976" s="169" t="s">
        <v>710</v>
      </c>
      <c r="F976" s="169" t="s">
        <v>421</v>
      </c>
      <c r="G976" s="169" t="s">
        <v>341</v>
      </c>
      <c r="H976" s="169" t="s">
        <v>430</v>
      </c>
      <c r="I976" s="169" t="s">
        <v>431</v>
      </c>
      <c r="J976" s="169" t="s">
        <v>711</v>
      </c>
      <c r="K976" s="169" t="s">
        <v>712</v>
      </c>
      <c r="L976" s="169" t="s">
        <v>713</v>
      </c>
      <c r="M976" s="169" t="s">
        <v>281</v>
      </c>
      <c r="N976" s="178">
        <v>24700698</v>
      </c>
      <c r="O976" s="169" t="s">
        <v>714</v>
      </c>
      <c r="P976" s="169" t="s">
        <v>283</v>
      </c>
      <c r="Q976" s="169" t="s">
        <v>284</v>
      </c>
      <c r="R976" s="169" t="s">
        <v>283</v>
      </c>
      <c r="S976" s="169" t="s">
        <v>283</v>
      </c>
      <c r="T976" s="169">
        <v>0</v>
      </c>
    </row>
    <row r="977" spans="1:20" x14ac:dyDescent="0.2">
      <c r="A977" s="169">
        <v>622</v>
      </c>
      <c r="B977" s="167" t="str">
        <f>_xlfn.XLOOKUP(I977,Mapping!D:D,Mapping!E:E)</f>
        <v>Xưởng Sản Xuất</v>
      </c>
      <c r="C977" s="167" t="str">
        <f>_xlfn.XLOOKUP(F977,Mapping!A:A,Mapping!F:F)</f>
        <v>Lương Ngoài giờ</v>
      </c>
      <c r="D977" s="173">
        <v>45808</v>
      </c>
      <c r="E977" s="169" t="s">
        <v>710</v>
      </c>
      <c r="F977" s="169" t="s">
        <v>422</v>
      </c>
      <c r="G977" s="169" t="s">
        <v>423</v>
      </c>
      <c r="H977" s="169" t="s">
        <v>430</v>
      </c>
      <c r="I977" s="169" t="s">
        <v>431</v>
      </c>
      <c r="J977" s="169" t="s">
        <v>711</v>
      </c>
      <c r="K977" s="169" t="s">
        <v>712</v>
      </c>
      <c r="L977" s="169" t="s">
        <v>713</v>
      </c>
      <c r="M977" s="169" t="s">
        <v>281</v>
      </c>
      <c r="N977" s="178">
        <v>56097983</v>
      </c>
      <c r="O977" s="169" t="s">
        <v>714</v>
      </c>
      <c r="P977" s="169" t="s">
        <v>283</v>
      </c>
      <c r="Q977" s="169" t="s">
        <v>284</v>
      </c>
      <c r="R977" s="169" t="s">
        <v>283</v>
      </c>
      <c r="S977" s="169" t="s">
        <v>283</v>
      </c>
      <c r="T977" s="169">
        <v>0</v>
      </c>
    </row>
    <row r="978" spans="1:20" x14ac:dyDescent="0.2">
      <c r="A978" s="169">
        <v>622</v>
      </c>
      <c r="B978" s="167" t="str">
        <f>_xlfn.XLOOKUP(I978,Mapping!D:D,Mapping!E:E)</f>
        <v>Xưởng Sản Xuất</v>
      </c>
      <c r="C978" s="167" t="str">
        <f>_xlfn.XLOOKUP(F978,Mapping!A:A,Mapping!F:F)</f>
        <v>Thưởng</v>
      </c>
      <c r="D978" s="173">
        <v>45808</v>
      </c>
      <c r="E978" s="169" t="s">
        <v>710</v>
      </c>
      <c r="F978" s="169" t="s">
        <v>424</v>
      </c>
      <c r="G978" s="169" t="s">
        <v>291</v>
      </c>
      <c r="H978" s="169" t="s">
        <v>430</v>
      </c>
      <c r="I978" s="169" t="s">
        <v>431</v>
      </c>
      <c r="J978" s="169" t="s">
        <v>711</v>
      </c>
      <c r="K978" s="169" t="s">
        <v>712</v>
      </c>
      <c r="L978" s="169" t="s">
        <v>713</v>
      </c>
      <c r="M978" s="169" t="s">
        <v>281</v>
      </c>
      <c r="N978" s="178">
        <v>6000000</v>
      </c>
      <c r="O978" s="169" t="s">
        <v>714</v>
      </c>
      <c r="P978" s="169" t="s">
        <v>283</v>
      </c>
      <c r="Q978" s="169" t="s">
        <v>284</v>
      </c>
      <c r="R978" s="169" t="s">
        <v>283</v>
      </c>
      <c r="S978" s="169" t="s">
        <v>283</v>
      </c>
      <c r="T978" s="169">
        <v>0</v>
      </c>
    </row>
    <row r="979" spans="1:20" x14ac:dyDescent="0.2">
      <c r="A979" s="169">
        <v>622</v>
      </c>
      <c r="B979" s="167" t="str">
        <f>_xlfn.XLOOKUP(I979,Mapping!D:D,Mapping!E:E)</f>
        <v>Xưởng Sản Xuất</v>
      </c>
      <c r="C979" s="167" t="str">
        <f>_xlfn.XLOOKUP(F979,Mapping!A:A,Mapping!F:F)</f>
        <v>Phụ Cấp</v>
      </c>
      <c r="D979" s="173">
        <v>45808</v>
      </c>
      <c r="E979" s="169" t="s">
        <v>710</v>
      </c>
      <c r="F979" s="169" t="s">
        <v>414</v>
      </c>
      <c r="G979" s="169" t="s">
        <v>415</v>
      </c>
      <c r="H979" s="169" t="s">
        <v>430</v>
      </c>
      <c r="I979" s="169" t="s">
        <v>431</v>
      </c>
      <c r="J979" s="169" t="s">
        <v>711</v>
      </c>
      <c r="K979" s="169" t="s">
        <v>712</v>
      </c>
      <c r="L979" s="169" t="s">
        <v>713</v>
      </c>
      <c r="M979" s="169" t="s">
        <v>281</v>
      </c>
      <c r="N979" s="178">
        <v>6650000</v>
      </c>
      <c r="O979" s="169" t="s">
        <v>714</v>
      </c>
      <c r="P979" s="169" t="s">
        <v>283</v>
      </c>
      <c r="Q979" s="169" t="s">
        <v>284</v>
      </c>
      <c r="R979" s="169" t="s">
        <v>283</v>
      </c>
      <c r="S979" s="169" t="s">
        <v>283</v>
      </c>
      <c r="T979" s="169">
        <v>0</v>
      </c>
    </row>
    <row r="980" spans="1:20" x14ac:dyDescent="0.2">
      <c r="A980" s="169">
        <v>627</v>
      </c>
      <c r="B980" s="167" t="str">
        <f>_xlfn.XLOOKUP(I980,Mapping!D:D,Mapping!E:E)</f>
        <v>Xưởng Sản Xuất</v>
      </c>
      <c r="C980" s="167" t="str">
        <f>_xlfn.XLOOKUP(F980,Mapping!A:A,Mapping!F:F)</f>
        <v>Phụ Cấp</v>
      </c>
      <c r="D980" s="173">
        <v>45808</v>
      </c>
      <c r="E980" s="169" t="s">
        <v>710</v>
      </c>
      <c r="F980" s="169" t="s">
        <v>386</v>
      </c>
      <c r="G980" s="169" t="s">
        <v>341</v>
      </c>
      <c r="H980" s="169" t="s">
        <v>430</v>
      </c>
      <c r="I980" s="169" t="s">
        <v>431</v>
      </c>
      <c r="J980" s="169" t="s">
        <v>711</v>
      </c>
      <c r="K980" s="169" t="s">
        <v>712</v>
      </c>
      <c r="L980" s="169" t="s">
        <v>713</v>
      </c>
      <c r="M980" s="169" t="s">
        <v>281</v>
      </c>
      <c r="N980" s="178">
        <v>9743146</v>
      </c>
      <c r="O980" s="169" t="s">
        <v>714</v>
      </c>
      <c r="P980" s="169" t="s">
        <v>283</v>
      </c>
      <c r="Q980" s="169" t="s">
        <v>284</v>
      </c>
      <c r="R980" s="169" t="s">
        <v>283</v>
      </c>
      <c r="S980" s="169" t="s">
        <v>283</v>
      </c>
      <c r="T980" s="169">
        <v>0</v>
      </c>
    </row>
    <row r="981" spans="1:20" x14ac:dyDescent="0.2">
      <c r="A981" s="169">
        <v>627</v>
      </c>
      <c r="B981" s="167" t="str">
        <f>_xlfn.XLOOKUP(I981,Mapping!D:D,Mapping!E:E)</f>
        <v>Xưởng Sản Xuất</v>
      </c>
      <c r="C981" s="167" t="str">
        <f>_xlfn.XLOOKUP(F981,Mapping!A:A,Mapping!F:F)</f>
        <v>Lương Chính +T13</v>
      </c>
      <c r="D981" s="173">
        <v>45808</v>
      </c>
      <c r="E981" s="169" t="s">
        <v>710</v>
      </c>
      <c r="F981" s="169" t="s">
        <v>387</v>
      </c>
      <c r="G981" s="169" t="s">
        <v>275</v>
      </c>
      <c r="H981" s="169" t="s">
        <v>430</v>
      </c>
      <c r="I981" s="169" t="s">
        <v>431</v>
      </c>
      <c r="J981" s="169" t="s">
        <v>711</v>
      </c>
      <c r="K981" s="169" t="s">
        <v>712</v>
      </c>
      <c r="L981" s="169" t="s">
        <v>713</v>
      </c>
      <c r="M981" s="169" t="s">
        <v>281</v>
      </c>
      <c r="N981" s="178">
        <v>161913246</v>
      </c>
      <c r="O981" s="169" t="s">
        <v>714</v>
      </c>
      <c r="P981" s="169" t="s">
        <v>283</v>
      </c>
      <c r="Q981" s="169" t="s">
        <v>284</v>
      </c>
      <c r="R981" s="169" t="s">
        <v>283</v>
      </c>
      <c r="S981" s="169" t="s">
        <v>283</v>
      </c>
      <c r="T981" s="169">
        <v>0</v>
      </c>
    </row>
    <row r="982" spans="1:20" x14ac:dyDescent="0.2">
      <c r="A982" s="169">
        <v>627</v>
      </c>
      <c r="B982" s="167" t="str">
        <f>_xlfn.XLOOKUP(I982,Mapping!D:D,Mapping!E:E)</f>
        <v>Xưởng Sản Xuất</v>
      </c>
      <c r="C982" s="167" t="str">
        <f>_xlfn.XLOOKUP(F982,Mapping!A:A,Mapping!F:F)</f>
        <v>Lương Chính +T13</v>
      </c>
      <c r="D982" s="173">
        <v>45808</v>
      </c>
      <c r="E982" s="169" t="s">
        <v>710</v>
      </c>
      <c r="F982" s="169" t="s">
        <v>388</v>
      </c>
      <c r="G982" s="169" t="s">
        <v>286</v>
      </c>
      <c r="H982" s="169" t="s">
        <v>430</v>
      </c>
      <c r="I982" s="169" t="s">
        <v>431</v>
      </c>
      <c r="J982" s="169" t="s">
        <v>711</v>
      </c>
      <c r="K982" s="169" t="s">
        <v>712</v>
      </c>
      <c r="L982" s="169" t="s">
        <v>713</v>
      </c>
      <c r="M982" s="169" t="s">
        <v>281</v>
      </c>
      <c r="N982" s="178">
        <v>11181499</v>
      </c>
      <c r="O982" s="169" t="s">
        <v>714</v>
      </c>
      <c r="P982" s="169" t="s">
        <v>283</v>
      </c>
      <c r="Q982" s="169" t="s">
        <v>284</v>
      </c>
      <c r="R982" s="169" t="s">
        <v>283</v>
      </c>
      <c r="S982" s="169" t="s">
        <v>283</v>
      </c>
      <c r="T982" s="169">
        <v>0</v>
      </c>
    </row>
    <row r="983" spans="1:20" x14ac:dyDescent="0.2">
      <c r="A983" s="169">
        <v>627</v>
      </c>
      <c r="B983" s="167" t="str">
        <f>_xlfn.XLOOKUP(I983,Mapping!D:D,Mapping!E:E)</f>
        <v>Xưởng Sản Xuất</v>
      </c>
      <c r="C983" s="167" t="str">
        <f>_xlfn.XLOOKUP(F983,Mapping!A:A,Mapping!F:F)</f>
        <v>Lương Ngoài giờ</v>
      </c>
      <c r="D983" s="173">
        <v>45808</v>
      </c>
      <c r="E983" s="169" t="s">
        <v>710</v>
      </c>
      <c r="F983" s="169" t="s">
        <v>389</v>
      </c>
      <c r="G983" s="169" t="s">
        <v>390</v>
      </c>
      <c r="H983" s="169" t="s">
        <v>430</v>
      </c>
      <c r="I983" s="169" t="s">
        <v>431</v>
      </c>
      <c r="J983" s="169" t="s">
        <v>711</v>
      </c>
      <c r="K983" s="169" t="s">
        <v>712</v>
      </c>
      <c r="L983" s="169" t="s">
        <v>713</v>
      </c>
      <c r="M983" s="169" t="s">
        <v>281</v>
      </c>
      <c r="N983" s="178">
        <v>21000658</v>
      </c>
      <c r="O983" s="169" t="s">
        <v>714</v>
      </c>
      <c r="P983" s="169" t="s">
        <v>283</v>
      </c>
      <c r="Q983" s="169" t="s">
        <v>284</v>
      </c>
      <c r="R983" s="169" t="s">
        <v>283</v>
      </c>
      <c r="S983" s="169" t="s">
        <v>283</v>
      </c>
      <c r="T983" s="169">
        <v>0</v>
      </c>
    </row>
    <row r="984" spans="1:20" x14ac:dyDescent="0.2">
      <c r="A984" s="169">
        <v>627</v>
      </c>
      <c r="B984" s="167" t="str">
        <f>_xlfn.XLOOKUP(I984,Mapping!D:D,Mapping!E:E)</f>
        <v>Xưởng Sản Xuất</v>
      </c>
      <c r="C984" s="167" t="str">
        <f>_xlfn.XLOOKUP(F984,Mapping!A:A,Mapping!F:F)</f>
        <v>Thưởng</v>
      </c>
      <c r="D984" s="173">
        <v>45808</v>
      </c>
      <c r="E984" s="169" t="s">
        <v>710</v>
      </c>
      <c r="F984" s="169" t="s">
        <v>391</v>
      </c>
      <c r="G984" s="169" t="s">
        <v>291</v>
      </c>
      <c r="H984" s="169" t="s">
        <v>430</v>
      </c>
      <c r="I984" s="169" t="s">
        <v>431</v>
      </c>
      <c r="J984" s="169" t="s">
        <v>711</v>
      </c>
      <c r="K984" s="169" t="s">
        <v>712</v>
      </c>
      <c r="L984" s="169" t="s">
        <v>713</v>
      </c>
      <c r="M984" s="169" t="s">
        <v>281</v>
      </c>
      <c r="N984" s="178">
        <v>2400000</v>
      </c>
      <c r="O984" s="169" t="s">
        <v>714</v>
      </c>
      <c r="P984" s="169" t="s">
        <v>283</v>
      </c>
      <c r="Q984" s="169" t="s">
        <v>284</v>
      </c>
      <c r="R984" s="169" t="s">
        <v>283</v>
      </c>
      <c r="S984" s="169" t="s">
        <v>283</v>
      </c>
      <c r="T984" s="169">
        <v>0</v>
      </c>
    </row>
    <row r="985" spans="1:20" x14ac:dyDescent="0.2">
      <c r="A985" s="169">
        <v>627</v>
      </c>
      <c r="B985" s="167" t="str">
        <f>_xlfn.XLOOKUP(I985,Mapping!D:D,Mapping!E:E)</f>
        <v>Xưởng Sản Xuất</v>
      </c>
      <c r="C985" s="167" t="str">
        <f>_xlfn.XLOOKUP(F985,Mapping!A:A,Mapping!F:F)</f>
        <v>Phụ Cấp</v>
      </c>
      <c r="D985" s="173">
        <v>45808</v>
      </c>
      <c r="E985" s="169" t="s">
        <v>710</v>
      </c>
      <c r="F985" s="169" t="s">
        <v>375</v>
      </c>
      <c r="G985" s="169" t="s">
        <v>336</v>
      </c>
      <c r="H985" s="169" t="s">
        <v>430</v>
      </c>
      <c r="I985" s="169" t="s">
        <v>431</v>
      </c>
      <c r="J985" s="169" t="s">
        <v>711</v>
      </c>
      <c r="K985" s="169" t="s">
        <v>712</v>
      </c>
      <c r="L985" s="169" t="s">
        <v>713</v>
      </c>
      <c r="M985" s="169" t="s">
        <v>281</v>
      </c>
      <c r="N985" s="178">
        <v>1650000</v>
      </c>
      <c r="O985" s="169" t="s">
        <v>714</v>
      </c>
      <c r="P985" s="169" t="s">
        <v>283</v>
      </c>
      <c r="Q985" s="169" t="s">
        <v>284</v>
      </c>
      <c r="R985" s="169" t="s">
        <v>283</v>
      </c>
      <c r="S985" s="169" t="s">
        <v>283</v>
      </c>
      <c r="T985" s="169">
        <v>0</v>
      </c>
    </row>
    <row r="986" spans="1:20" x14ac:dyDescent="0.2">
      <c r="A986" s="169">
        <v>627</v>
      </c>
      <c r="B986" s="167" t="str">
        <f>_xlfn.XLOOKUP(I986,Mapping!D:D,Mapping!E:E)</f>
        <v>Xưởng Sản Xuất</v>
      </c>
      <c r="C986" s="167" t="str">
        <f>_xlfn.XLOOKUP(F986,Mapping!A:A,Mapping!F:F)</f>
        <v>Lương Chính +T13</v>
      </c>
      <c r="D986" s="173">
        <v>45808</v>
      </c>
      <c r="E986" s="169" t="s">
        <v>715</v>
      </c>
      <c r="F986" s="169" t="s">
        <v>388</v>
      </c>
      <c r="G986" s="169" t="s">
        <v>286</v>
      </c>
      <c r="H986" s="169" t="s">
        <v>430</v>
      </c>
      <c r="I986" s="169" t="s">
        <v>431</v>
      </c>
      <c r="J986" s="169" t="s">
        <v>716</v>
      </c>
      <c r="K986" s="169" t="s">
        <v>712</v>
      </c>
      <c r="L986" s="169" t="s">
        <v>713</v>
      </c>
      <c r="M986" s="169" t="s">
        <v>281</v>
      </c>
      <c r="N986" s="178">
        <v>12865449</v>
      </c>
      <c r="O986" s="169" t="s">
        <v>717</v>
      </c>
      <c r="P986" s="169" t="s">
        <v>283</v>
      </c>
      <c r="Q986" s="169" t="s">
        <v>284</v>
      </c>
      <c r="R986" s="169" t="s">
        <v>283</v>
      </c>
      <c r="S986" s="169" t="s">
        <v>283</v>
      </c>
      <c r="T986" s="169">
        <v>0</v>
      </c>
    </row>
    <row r="987" spans="1:20" x14ac:dyDescent="0.2">
      <c r="A987" s="169">
        <v>622</v>
      </c>
      <c r="B987" s="167" t="str">
        <f>_xlfn.XLOOKUP(I987,Mapping!D:D,Mapping!E:E)</f>
        <v>Xưởng Sản Xuất</v>
      </c>
      <c r="C987" s="167" t="str">
        <f>_xlfn.XLOOKUP(F987,Mapping!A:A,Mapping!F:F)</f>
        <v>Lương Chính +T13</v>
      </c>
      <c r="D987" s="173">
        <v>45808</v>
      </c>
      <c r="E987" s="169" t="s">
        <v>715</v>
      </c>
      <c r="F987" s="169" t="s">
        <v>420</v>
      </c>
      <c r="G987" s="169" t="s">
        <v>286</v>
      </c>
      <c r="H987" s="169" t="s">
        <v>430</v>
      </c>
      <c r="I987" s="169" t="s">
        <v>431</v>
      </c>
      <c r="J987" s="169" t="s">
        <v>716</v>
      </c>
      <c r="K987" s="169" t="s">
        <v>712</v>
      </c>
      <c r="L987" s="169" t="s">
        <v>713</v>
      </c>
      <c r="M987" s="169" t="s">
        <v>281</v>
      </c>
      <c r="N987" s="178">
        <v>16518886</v>
      </c>
      <c r="O987" s="169" t="s">
        <v>717</v>
      </c>
      <c r="P987" s="169" t="s">
        <v>283</v>
      </c>
      <c r="Q987" s="169" t="s">
        <v>284</v>
      </c>
      <c r="R987" s="169" t="s">
        <v>283</v>
      </c>
      <c r="S987" s="169" t="s">
        <v>283</v>
      </c>
      <c r="T987" s="169">
        <v>0</v>
      </c>
    </row>
    <row r="988" spans="1:20" x14ac:dyDescent="0.2">
      <c r="A988" s="169">
        <v>627</v>
      </c>
      <c r="B988" s="167" t="str">
        <f>_xlfn.XLOOKUP(I988,Mapping!D:D,Mapping!E:E)</f>
        <v>Xưởng Sản Xuất</v>
      </c>
      <c r="C988" s="167" t="str">
        <f>_xlfn.XLOOKUP(F988,Mapping!A:A,Mapping!F:F)</f>
        <v>Thưởng</v>
      </c>
      <c r="D988" s="173">
        <v>45808</v>
      </c>
      <c r="E988" s="169" t="s">
        <v>715</v>
      </c>
      <c r="F988" s="169" t="s">
        <v>395</v>
      </c>
      <c r="G988" s="169" t="s">
        <v>77</v>
      </c>
      <c r="H988" s="169" t="s">
        <v>430</v>
      </c>
      <c r="I988" s="169" t="s">
        <v>431</v>
      </c>
      <c r="J988" s="169" t="s">
        <v>718</v>
      </c>
      <c r="K988" s="169" t="s">
        <v>712</v>
      </c>
      <c r="L988" s="169" t="s">
        <v>713</v>
      </c>
      <c r="M988" s="169" t="s">
        <v>281</v>
      </c>
      <c r="N988" s="178">
        <v>11408821</v>
      </c>
      <c r="O988" s="169" t="s">
        <v>717</v>
      </c>
      <c r="P988" s="169" t="s">
        <v>283</v>
      </c>
      <c r="Q988" s="169" t="s">
        <v>284</v>
      </c>
      <c r="R988" s="169" t="s">
        <v>283</v>
      </c>
      <c r="S988" s="169" t="s">
        <v>283</v>
      </c>
      <c r="T988" s="169">
        <v>0</v>
      </c>
    </row>
    <row r="989" spans="1:20" x14ac:dyDescent="0.2">
      <c r="A989" s="169">
        <v>622</v>
      </c>
      <c r="B989" s="167" t="str">
        <f>_xlfn.XLOOKUP(I989,Mapping!D:D,Mapping!E:E)</f>
        <v>Xưởng Sản Xuất</v>
      </c>
      <c r="C989" s="167" t="str">
        <f>_xlfn.XLOOKUP(F989,Mapping!A:A,Mapping!F:F)</f>
        <v>Thưởng</v>
      </c>
      <c r="D989" s="173">
        <v>45808</v>
      </c>
      <c r="E989" s="169" t="s">
        <v>715</v>
      </c>
      <c r="F989" s="169" t="s">
        <v>426</v>
      </c>
      <c r="G989" s="169" t="s">
        <v>77</v>
      </c>
      <c r="H989" s="169" t="s">
        <v>430</v>
      </c>
      <c r="I989" s="169" t="s">
        <v>431</v>
      </c>
      <c r="J989" s="169" t="s">
        <v>718</v>
      </c>
      <c r="K989" s="169" t="s">
        <v>712</v>
      </c>
      <c r="L989" s="169" t="s">
        <v>713</v>
      </c>
      <c r="M989" s="169" t="s">
        <v>281</v>
      </c>
      <c r="N989" s="178">
        <v>4142785</v>
      </c>
      <c r="O989" s="169" t="s">
        <v>717</v>
      </c>
      <c r="P989" s="169" t="s">
        <v>283</v>
      </c>
      <c r="Q989" s="169" t="s">
        <v>284</v>
      </c>
      <c r="R989" s="169" t="s">
        <v>283</v>
      </c>
      <c r="S989" s="169" t="s">
        <v>283</v>
      </c>
      <c r="T989" s="169">
        <v>0</v>
      </c>
    </row>
    <row r="990" spans="1:20" x14ac:dyDescent="0.2">
      <c r="A990" s="169">
        <v>622</v>
      </c>
      <c r="B990" s="167" t="str">
        <f>_xlfn.XLOOKUP(I990,Mapping!D:D,Mapping!E:E)</f>
        <v>Xưởng Sản Xuất</v>
      </c>
      <c r="C990" s="167" t="str">
        <f>_xlfn.XLOOKUP(F990,Mapping!A:A,Mapping!F:F)</f>
        <v>BHXH, BHYT, KPCĐ</v>
      </c>
      <c r="D990" s="173">
        <v>45808</v>
      </c>
      <c r="E990" s="169" t="s">
        <v>719</v>
      </c>
      <c r="F990" s="169" t="s">
        <v>425</v>
      </c>
      <c r="G990" s="169" t="s">
        <v>296</v>
      </c>
      <c r="H990" s="169" t="s">
        <v>430</v>
      </c>
      <c r="I990" s="169" t="s">
        <v>431</v>
      </c>
      <c r="J990" s="169" t="s">
        <v>720</v>
      </c>
      <c r="K990" s="169" t="s">
        <v>712</v>
      </c>
      <c r="L990" s="169" t="s">
        <v>713</v>
      </c>
      <c r="M990" s="169" t="s">
        <v>281</v>
      </c>
      <c r="N990" s="178">
        <v>43175345</v>
      </c>
      <c r="O990" s="169" t="s">
        <v>721</v>
      </c>
      <c r="P990" s="169" t="s">
        <v>283</v>
      </c>
      <c r="Q990" s="169" t="s">
        <v>284</v>
      </c>
      <c r="R990" s="169" t="s">
        <v>283</v>
      </c>
      <c r="S990" s="169" t="s">
        <v>283</v>
      </c>
      <c r="T990" s="169">
        <v>0</v>
      </c>
    </row>
    <row r="991" spans="1:20" x14ac:dyDescent="0.2">
      <c r="A991" s="169">
        <v>627</v>
      </c>
      <c r="B991" s="167" t="str">
        <f>_xlfn.XLOOKUP(I991,Mapping!D:D,Mapping!E:E)</f>
        <v>Xưởng Sản Xuất</v>
      </c>
      <c r="C991" s="167" t="str">
        <f>_xlfn.XLOOKUP(F991,Mapping!A:A,Mapping!F:F)</f>
        <v>BHXH, BHYT, KPCĐ</v>
      </c>
      <c r="D991" s="173">
        <v>45808</v>
      </c>
      <c r="E991" s="169" t="s">
        <v>719</v>
      </c>
      <c r="F991" s="169" t="s">
        <v>393</v>
      </c>
      <c r="G991" s="169" t="s">
        <v>296</v>
      </c>
      <c r="H991" s="169" t="s">
        <v>430</v>
      </c>
      <c r="I991" s="169" t="s">
        <v>431</v>
      </c>
      <c r="J991" s="169" t="s">
        <v>720</v>
      </c>
      <c r="K991" s="169" t="s">
        <v>712</v>
      </c>
      <c r="L991" s="169" t="s">
        <v>713</v>
      </c>
      <c r="M991" s="169" t="s">
        <v>281</v>
      </c>
      <c r="N991" s="178">
        <v>29920695</v>
      </c>
      <c r="O991" s="169" t="s">
        <v>721</v>
      </c>
      <c r="P991" s="169" t="s">
        <v>283</v>
      </c>
      <c r="Q991" s="169" t="s">
        <v>284</v>
      </c>
      <c r="R991" s="169" t="s">
        <v>283</v>
      </c>
      <c r="S991" s="169" t="s">
        <v>283</v>
      </c>
      <c r="T991" s="169">
        <v>0</v>
      </c>
    </row>
    <row r="992" spans="1:20" x14ac:dyDescent="0.2">
      <c r="A992" s="169">
        <v>627</v>
      </c>
      <c r="B992" s="167" t="str">
        <f>_xlfn.XLOOKUP(I992,Mapping!D:D,Mapping!E:E)</f>
        <v>Xưởng Sản Xuất</v>
      </c>
      <c r="C992" s="167" t="str">
        <f>_xlfn.XLOOKUP(F992,Mapping!A:A,Mapping!F:F)</f>
        <v>Phụ Cấp</v>
      </c>
      <c r="D992" s="173">
        <v>45782</v>
      </c>
      <c r="E992" s="169" t="s">
        <v>736</v>
      </c>
      <c r="F992" s="169" t="s">
        <v>375</v>
      </c>
      <c r="G992" s="169" t="s">
        <v>336</v>
      </c>
      <c r="H992" s="169" t="s">
        <v>430</v>
      </c>
      <c r="I992" s="169" t="s">
        <v>431</v>
      </c>
      <c r="J992" s="169" t="s">
        <v>737</v>
      </c>
      <c r="K992" s="169" t="s">
        <v>338</v>
      </c>
      <c r="L992" s="169" t="s">
        <v>713</v>
      </c>
      <c r="M992" s="169" t="s">
        <v>281</v>
      </c>
      <c r="N992" s="178">
        <v>4525000</v>
      </c>
      <c r="O992" s="169" t="s">
        <v>738</v>
      </c>
      <c r="P992" s="169" t="s">
        <v>283</v>
      </c>
      <c r="Q992" s="169" t="s">
        <v>306</v>
      </c>
      <c r="R992" s="169" t="s">
        <v>283</v>
      </c>
      <c r="S992" s="169" t="s">
        <v>283</v>
      </c>
      <c r="T992" s="169">
        <v>0</v>
      </c>
    </row>
    <row r="993" spans="1:20" x14ac:dyDescent="0.2">
      <c r="A993" s="169">
        <v>627</v>
      </c>
      <c r="B993" s="167" t="str">
        <f>_xlfn.XLOOKUP(I993,Mapping!D:D,Mapping!E:E)</f>
        <v>Xưởng Sản Xuất</v>
      </c>
      <c r="C993" s="167" t="str">
        <f>_xlfn.XLOOKUP(F993,Mapping!A:A,Mapping!F:F)</f>
        <v>Phụ Cấp</v>
      </c>
      <c r="D993" s="173">
        <v>45803</v>
      </c>
      <c r="E993" s="169" t="s">
        <v>739</v>
      </c>
      <c r="F993" s="169" t="s">
        <v>375</v>
      </c>
      <c r="G993" s="169" t="s">
        <v>336</v>
      </c>
      <c r="H993" s="169" t="s">
        <v>430</v>
      </c>
      <c r="I993" s="169" t="s">
        <v>431</v>
      </c>
      <c r="J993" s="169" t="s">
        <v>740</v>
      </c>
      <c r="K993" s="169" t="s">
        <v>741</v>
      </c>
      <c r="L993" s="169" t="s">
        <v>713</v>
      </c>
      <c r="M993" s="169" t="s">
        <v>281</v>
      </c>
      <c r="N993" s="178">
        <v>21025000</v>
      </c>
      <c r="O993" s="169" t="s">
        <v>742</v>
      </c>
      <c r="P993" s="169" t="s">
        <v>283</v>
      </c>
      <c r="Q993" s="169" t="s">
        <v>306</v>
      </c>
      <c r="R993" s="169" t="s">
        <v>283</v>
      </c>
      <c r="S993" s="169" t="s">
        <v>283</v>
      </c>
      <c r="T993" s="169">
        <v>0</v>
      </c>
    </row>
    <row r="994" spans="1:20" x14ac:dyDescent="0.2">
      <c r="A994" s="169">
        <v>622</v>
      </c>
      <c r="B994" s="167" t="str">
        <f>_xlfn.XLOOKUP(I994,Mapping!D:D,Mapping!E:E)</f>
        <v>Xưởng Sản Xuất</v>
      </c>
      <c r="C994" s="167" t="str">
        <f>_xlfn.XLOOKUP(F994,Mapping!A:A,Mapping!F:F)</f>
        <v>Lương Chính +T13</v>
      </c>
      <c r="D994" s="173">
        <v>45806</v>
      </c>
      <c r="E994" s="169" t="s">
        <v>792</v>
      </c>
      <c r="F994" s="169" t="s">
        <v>400</v>
      </c>
      <c r="G994" s="169" t="s">
        <v>401</v>
      </c>
      <c r="H994" s="169" t="s">
        <v>430</v>
      </c>
      <c r="I994" s="169" t="s">
        <v>431</v>
      </c>
      <c r="J994" s="169" t="s">
        <v>798</v>
      </c>
      <c r="K994" s="169" t="s">
        <v>405</v>
      </c>
      <c r="L994" s="169" t="s">
        <v>713</v>
      </c>
      <c r="M994" s="169" t="s">
        <v>281</v>
      </c>
      <c r="N994" s="178">
        <v>34602778</v>
      </c>
      <c r="O994" s="169" t="s">
        <v>794</v>
      </c>
      <c r="P994" s="169" t="s">
        <v>283</v>
      </c>
      <c r="Q994" s="169" t="s">
        <v>306</v>
      </c>
      <c r="R994" s="169" t="s">
        <v>283</v>
      </c>
      <c r="S994" s="169" t="s">
        <v>283</v>
      </c>
      <c r="T994" s="169">
        <v>0</v>
      </c>
    </row>
    <row r="995" spans="1:20" x14ac:dyDescent="0.2">
      <c r="A995" s="169">
        <v>622</v>
      </c>
      <c r="B995" s="167" t="str">
        <f>_xlfn.XLOOKUP(I995,Mapping!D:D,Mapping!E:E)</f>
        <v>Xưởng Sản Xuất</v>
      </c>
      <c r="C995" s="167" t="str">
        <f>_xlfn.XLOOKUP(F995,Mapping!A:A,Mapping!F:F)</f>
        <v>Phụ Cấp</v>
      </c>
      <c r="D995" s="173">
        <v>45808</v>
      </c>
      <c r="E995" s="169" t="s">
        <v>795</v>
      </c>
      <c r="F995" s="169" t="s">
        <v>414</v>
      </c>
      <c r="G995" s="169" t="s">
        <v>415</v>
      </c>
      <c r="H995" s="169" t="s">
        <v>430</v>
      </c>
      <c r="I995" s="169" t="s">
        <v>431</v>
      </c>
      <c r="J995" s="169" t="s">
        <v>416</v>
      </c>
      <c r="K995" s="169" t="s">
        <v>416</v>
      </c>
      <c r="L995" s="169" t="s">
        <v>713</v>
      </c>
      <c r="M995" s="169" t="s">
        <v>281</v>
      </c>
      <c r="N995" s="178">
        <v>19675000</v>
      </c>
      <c r="O995" s="169" t="s">
        <v>796</v>
      </c>
      <c r="P995" s="169" t="s">
        <v>283</v>
      </c>
      <c r="Q995" s="169" t="s">
        <v>348</v>
      </c>
      <c r="R995" s="169" t="s">
        <v>283</v>
      </c>
      <c r="S995" s="169" t="s">
        <v>283</v>
      </c>
      <c r="T995" s="169">
        <v>0</v>
      </c>
    </row>
    <row r="996" spans="1:20" x14ac:dyDescent="0.2">
      <c r="A996" s="169">
        <v>627</v>
      </c>
      <c r="B996" s="167" t="str">
        <f>_xlfn.XLOOKUP(I996,Mapping!D:D,Mapping!E:E)</f>
        <v>Xưởng Sản Xuất</v>
      </c>
      <c r="C996" s="167" t="str">
        <f>_xlfn.XLOOKUP(F996,Mapping!A:A,Mapping!F:F)</f>
        <v>Phụ Cấp</v>
      </c>
      <c r="D996" s="173">
        <v>45808</v>
      </c>
      <c r="E996" s="169" t="s">
        <v>795</v>
      </c>
      <c r="F996" s="169" t="s">
        <v>375</v>
      </c>
      <c r="G996" s="169" t="s">
        <v>336</v>
      </c>
      <c r="H996" s="169" t="s">
        <v>430</v>
      </c>
      <c r="I996" s="169" t="s">
        <v>431</v>
      </c>
      <c r="J996" s="169" t="s">
        <v>416</v>
      </c>
      <c r="K996" s="169" t="s">
        <v>416</v>
      </c>
      <c r="L996" s="169" t="s">
        <v>713</v>
      </c>
      <c r="M996" s="169" t="s">
        <v>281</v>
      </c>
      <c r="N996" s="178">
        <v>-19675000</v>
      </c>
      <c r="O996" s="169" t="s">
        <v>796</v>
      </c>
      <c r="P996" s="169" t="s">
        <v>283</v>
      </c>
      <c r="Q996" s="169" t="s">
        <v>348</v>
      </c>
      <c r="R996" s="169" t="s">
        <v>283</v>
      </c>
      <c r="S996" s="169" t="s">
        <v>283</v>
      </c>
      <c r="T996" s="169">
        <v>0</v>
      </c>
    </row>
    <row r="997" spans="1:20" x14ac:dyDescent="0.2">
      <c r="A997" s="169">
        <v>627</v>
      </c>
      <c r="B997" s="167" t="str">
        <f>_xlfn.XLOOKUP(I997,Mapping!D:D,Mapping!E:E)</f>
        <v>Xưởng Sản Xuất</v>
      </c>
      <c r="C997" s="167" t="str">
        <f>_xlfn.XLOOKUP(F997,Mapping!A:A,Mapping!F:F)</f>
        <v>Phụ Cấp</v>
      </c>
      <c r="D997" s="173">
        <v>45808</v>
      </c>
      <c r="E997" s="169" t="s">
        <v>795</v>
      </c>
      <c r="F997" s="169" t="s">
        <v>375</v>
      </c>
      <c r="G997" s="169" t="s">
        <v>336</v>
      </c>
      <c r="H997" s="169" t="s">
        <v>430</v>
      </c>
      <c r="I997" s="169" t="s">
        <v>431</v>
      </c>
      <c r="J997" s="169" t="s">
        <v>416</v>
      </c>
      <c r="K997" s="169" t="s">
        <v>416</v>
      </c>
      <c r="L997" s="169" t="s">
        <v>713</v>
      </c>
      <c r="M997" s="169" t="s">
        <v>281</v>
      </c>
      <c r="N997" s="178">
        <v>-175000</v>
      </c>
      <c r="O997" s="169" t="s">
        <v>796</v>
      </c>
      <c r="P997" s="169" t="s">
        <v>283</v>
      </c>
      <c r="Q997" s="169" t="s">
        <v>348</v>
      </c>
      <c r="R997" s="169" t="s">
        <v>283</v>
      </c>
      <c r="S997" s="169" t="s">
        <v>283</v>
      </c>
      <c r="T997" s="169">
        <v>0</v>
      </c>
    </row>
    <row r="998" spans="1:20" x14ac:dyDescent="0.2">
      <c r="A998" s="169">
        <v>627</v>
      </c>
      <c r="B998" s="167" t="str">
        <f>_xlfn.XLOOKUP(I998,Mapping!D:D,Mapping!E:E)</f>
        <v>Xưởng Sản Xuất</v>
      </c>
      <c r="C998" s="167" t="str">
        <f>_xlfn.XLOOKUP(F998,Mapping!A:A,Mapping!F:F)</f>
        <v>Khen thưởng BD khác</v>
      </c>
      <c r="D998" s="173">
        <v>45789</v>
      </c>
      <c r="E998" s="169" t="s">
        <v>799</v>
      </c>
      <c r="F998" s="169" t="s">
        <v>435</v>
      </c>
      <c r="G998" s="169" t="s">
        <v>222</v>
      </c>
      <c r="H998" s="169" t="s">
        <v>436</v>
      </c>
      <c r="I998" s="169" t="s">
        <v>437</v>
      </c>
      <c r="J998" s="169" t="s">
        <v>800</v>
      </c>
      <c r="K998" s="169" t="s">
        <v>801</v>
      </c>
      <c r="L998" s="169" t="s">
        <v>713</v>
      </c>
      <c r="M998" s="169" t="s">
        <v>281</v>
      </c>
      <c r="N998" s="178">
        <v>10650000</v>
      </c>
      <c r="O998" s="169" t="s">
        <v>802</v>
      </c>
      <c r="P998" s="169" t="s">
        <v>283</v>
      </c>
      <c r="Q998" s="169" t="s">
        <v>325</v>
      </c>
      <c r="R998" s="169" t="s">
        <v>283</v>
      </c>
      <c r="S998" s="169" t="s">
        <v>283</v>
      </c>
      <c r="T998" s="169">
        <v>0</v>
      </c>
    </row>
    <row r="999" spans="1:20" x14ac:dyDescent="0.2">
      <c r="A999" s="169">
        <v>627</v>
      </c>
      <c r="B999" s="167" t="str">
        <f>_xlfn.XLOOKUP(I999,Mapping!D:D,Mapping!E:E)</f>
        <v>Xưởng Sản Xuất</v>
      </c>
      <c r="C999" s="167" t="str">
        <f>_xlfn.XLOOKUP(F999,Mapping!A:A,Mapping!F:F)</f>
        <v>Phụ Cấp</v>
      </c>
      <c r="D999" s="173">
        <v>45808</v>
      </c>
      <c r="E999" s="169" t="s">
        <v>710</v>
      </c>
      <c r="F999" s="169" t="s">
        <v>386</v>
      </c>
      <c r="G999" s="169" t="s">
        <v>341</v>
      </c>
      <c r="H999" s="169" t="s">
        <v>436</v>
      </c>
      <c r="I999" s="169" t="s">
        <v>437</v>
      </c>
      <c r="J999" s="169" t="s">
        <v>711</v>
      </c>
      <c r="K999" s="169" t="s">
        <v>712</v>
      </c>
      <c r="L999" s="169" t="s">
        <v>713</v>
      </c>
      <c r="M999" s="169" t="s">
        <v>281</v>
      </c>
      <c r="N999" s="178">
        <v>9382778</v>
      </c>
      <c r="O999" s="169" t="s">
        <v>714</v>
      </c>
      <c r="P999" s="169" t="s">
        <v>283</v>
      </c>
      <c r="Q999" s="169" t="s">
        <v>284</v>
      </c>
      <c r="R999" s="169" t="s">
        <v>283</v>
      </c>
      <c r="S999" s="169" t="s">
        <v>283</v>
      </c>
      <c r="T999" s="169">
        <v>0</v>
      </c>
    </row>
    <row r="1000" spans="1:20" x14ac:dyDescent="0.2">
      <c r="A1000" s="169">
        <v>627</v>
      </c>
      <c r="B1000" s="167" t="str">
        <f>_xlfn.XLOOKUP(I1000,Mapping!D:D,Mapping!E:E)</f>
        <v>Xưởng Sản Xuất</v>
      </c>
      <c r="C1000" s="167" t="str">
        <f>_xlfn.XLOOKUP(F1000,Mapping!A:A,Mapping!F:F)</f>
        <v>Lương Chính +T13</v>
      </c>
      <c r="D1000" s="173">
        <v>45808</v>
      </c>
      <c r="E1000" s="169" t="s">
        <v>710</v>
      </c>
      <c r="F1000" s="169" t="s">
        <v>387</v>
      </c>
      <c r="G1000" s="169" t="s">
        <v>275</v>
      </c>
      <c r="H1000" s="169" t="s">
        <v>436</v>
      </c>
      <c r="I1000" s="169" t="s">
        <v>437</v>
      </c>
      <c r="J1000" s="169" t="s">
        <v>711</v>
      </c>
      <c r="K1000" s="169" t="s">
        <v>712</v>
      </c>
      <c r="L1000" s="169" t="s">
        <v>713</v>
      </c>
      <c r="M1000" s="169" t="s">
        <v>281</v>
      </c>
      <c r="N1000" s="178">
        <v>396496241</v>
      </c>
      <c r="O1000" s="169" t="s">
        <v>714</v>
      </c>
      <c r="P1000" s="169" t="s">
        <v>283</v>
      </c>
      <c r="Q1000" s="169" t="s">
        <v>284</v>
      </c>
      <c r="R1000" s="169" t="s">
        <v>283</v>
      </c>
      <c r="S1000" s="169" t="s">
        <v>283</v>
      </c>
      <c r="T1000" s="169">
        <v>0</v>
      </c>
    </row>
    <row r="1001" spans="1:20" x14ac:dyDescent="0.2">
      <c r="A1001" s="169">
        <v>627</v>
      </c>
      <c r="B1001" s="167" t="str">
        <f>_xlfn.XLOOKUP(I1001,Mapping!D:D,Mapping!E:E)</f>
        <v>Xưởng Sản Xuất</v>
      </c>
      <c r="C1001" s="167" t="str">
        <f>_xlfn.XLOOKUP(F1001,Mapping!A:A,Mapping!F:F)</f>
        <v>Lương Chính +T13</v>
      </c>
      <c r="D1001" s="173">
        <v>45808</v>
      </c>
      <c r="E1001" s="169" t="s">
        <v>710</v>
      </c>
      <c r="F1001" s="169" t="s">
        <v>388</v>
      </c>
      <c r="G1001" s="169" t="s">
        <v>286</v>
      </c>
      <c r="H1001" s="169" t="s">
        <v>436</v>
      </c>
      <c r="I1001" s="169" t="s">
        <v>437</v>
      </c>
      <c r="J1001" s="169" t="s">
        <v>711</v>
      </c>
      <c r="K1001" s="169" t="s">
        <v>712</v>
      </c>
      <c r="L1001" s="169" t="s">
        <v>713</v>
      </c>
      <c r="M1001" s="169" t="s">
        <v>281</v>
      </c>
      <c r="N1001" s="178">
        <v>10229732</v>
      </c>
      <c r="O1001" s="169" t="s">
        <v>714</v>
      </c>
      <c r="P1001" s="169" t="s">
        <v>283</v>
      </c>
      <c r="Q1001" s="169" t="s">
        <v>284</v>
      </c>
      <c r="R1001" s="169" t="s">
        <v>283</v>
      </c>
      <c r="S1001" s="169" t="s">
        <v>283</v>
      </c>
      <c r="T1001" s="169">
        <v>0</v>
      </c>
    </row>
    <row r="1002" spans="1:20" x14ac:dyDescent="0.2">
      <c r="A1002" s="169">
        <v>627</v>
      </c>
      <c r="B1002" s="167" t="str">
        <f>_xlfn.XLOOKUP(I1002,Mapping!D:D,Mapping!E:E)</f>
        <v>Xưởng Sản Xuất</v>
      </c>
      <c r="C1002" s="167" t="str">
        <f>_xlfn.XLOOKUP(F1002,Mapping!A:A,Mapping!F:F)</f>
        <v>Lương Ngoài giờ</v>
      </c>
      <c r="D1002" s="173">
        <v>45808</v>
      </c>
      <c r="E1002" s="169" t="s">
        <v>710</v>
      </c>
      <c r="F1002" s="169" t="s">
        <v>389</v>
      </c>
      <c r="G1002" s="169" t="s">
        <v>390</v>
      </c>
      <c r="H1002" s="169" t="s">
        <v>436</v>
      </c>
      <c r="I1002" s="169" t="s">
        <v>437</v>
      </c>
      <c r="J1002" s="169" t="s">
        <v>711</v>
      </c>
      <c r="K1002" s="169" t="s">
        <v>712</v>
      </c>
      <c r="L1002" s="169" t="s">
        <v>713</v>
      </c>
      <c r="M1002" s="169" t="s">
        <v>281</v>
      </c>
      <c r="N1002" s="178">
        <v>59778629</v>
      </c>
      <c r="O1002" s="169" t="s">
        <v>714</v>
      </c>
      <c r="P1002" s="169" t="s">
        <v>283</v>
      </c>
      <c r="Q1002" s="169" t="s">
        <v>284</v>
      </c>
      <c r="R1002" s="169" t="s">
        <v>283</v>
      </c>
      <c r="S1002" s="169" t="s">
        <v>283</v>
      </c>
      <c r="T1002" s="169">
        <v>0</v>
      </c>
    </row>
    <row r="1003" spans="1:20" x14ac:dyDescent="0.2">
      <c r="A1003" s="169">
        <v>627</v>
      </c>
      <c r="B1003" s="167" t="str">
        <f>_xlfn.XLOOKUP(I1003,Mapping!D:D,Mapping!E:E)</f>
        <v>Xưởng Sản Xuất</v>
      </c>
      <c r="C1003" s="167" t="str">
        <f>_xlfn.XLOOKUP(F1003,Mapping!A:A,Mapping!F:F)</f>
        <v>Thưởng</v>
      </c>
      <c r="D1003" s="173">
        <v>45808</v>
      </c>
      <c r="E1003" s="169" t="s">
        <v>710</v>
      </c>
      <c r="F1003" s="169" t="s">
        <v>391</v>
      </c>
      <c r="G1003" s="169" t="s">
        <v>291</v>
      </c>
      <c r="H1003" s="169" t="s">
        <v>436</v>
      </c>
      <c r="I1003" s="169" t="s">
        <v>437</v>
      </c>
      <c r="J1003" s="169" t="s">
        <v>711</v>
      </c>
      <c r="K1003" s="169" t="s">
        <v>712</v>
      </c>
      <c r="L1003" s="169" t="s">
        <v>713</v>
      </c>
      <c r="M1003" s="169" t="s">
        <v>281</v>
      </c>
      <c r="N1003" s="178">
        <v>8000000</v>
      </c>
      <c r="O1003" s="169" t="s">
        <v>714</v>
      </c>
      <c r="P1003" s="169" t="s">
        <v>283</v>
      </c>
      <c r="Q1003" s="169" t="s">
        <v>284</v>
      </c>
      <c r="R1003" s="169" t="s">
        <v>283</v>
      </c>
      <c r="S1003" s="169" t="s">
        <v>283</v>
      </c>
      <c r="T1003" s="169">
        <v>0</v>
      </c>
    </row>
    <row r="1004" spans="1:20" x14ac:dyDescent="0.2">
      <c r="A1004" s="169">
        <v>627</v>
      </c>
      <c r="B1004" s="167" t="str">
        <f>_xlfn.XLOOKUP(I1004,Mapping!D:D,Mapping!E:E)</f>
        <v>Xưởng Sản Xuất</v>
      </c>
      <c r="C1004" s="167" t="str">
        <f>_xlfn.XLOOKUP(F1004,Mapping!A:A,Mapping!F:F)</f>
        <v>Phụ Cấp</v>
      </c>
      <c r="D1004" s="173">
        <v>45808</v>
      </c>
      <c r="E1004" s="169" t="s">
        <v>710</v>
      </c>
      <c r="F1004" s="169" t="s">
        <v>375</v>
      </c>
      <c r="G1004" s="169" t="s">
        <v>336</v>
      </c>
      <c r="H1004" s="169" t="s">
        <v>436</v>
      </c>
      <c r="I1004" s="169" t="s">
        <v>437</v>
      </c>
      <c r="J1004" s="169" t="s">
        <v>711</v>
      </c>
      <c r="K1004" s="169" t="s">
        <v>712</v>
      </c>
      <c r="L1004" s="169" t="s">
        <v>713</v>
      </c>
      <c r="M1004" s="169" t="s">
        <v>281</v>
      </c>
      <c r="N1004" s="178">
        <v>7170000</v>
      </c>
      <c r="O1004" s="169" t="s">
        <v>714</v>
      </c>
      <c r="P1004" s="169" t="s">
        <v>283</v>
      </c>
      <c r="Q1004" s="169" t="s">
        <v>284</v>
      </c>
      <c r="R1004" s="169" t="s">
        <v>283</v>
      </c>
      <c r="S1004" s="169" t="s">
        <v>283</v>
      </c>
      <c r="T1004" s="169">
        <v>0</v>
      </c>
    </row>
    <row r="1005" spans="1:20" x14ac:dyDescent="0.2">
      <c r="B1005" s="167" t="str">
        <f>_xlfn.XLOOKUP(I1005,Mapping!D:D,Mapping!E:E)</f>
        <v>Tư vấn dịch vụ</v>
      </c>
      <c r="C1005" s="167" t="str">
        <f>_xlfn.XLOOKUP(F1005,Mapping!A:A,Mapping!F:F)</f>
        <v>Lương Chính +T13</v>
      </c>
      <c r="D1005" s="173">
        <v>45808</v>
      </c>
      <c r="E1005" s="169" t="s">
        <v>710</v>
      </c>
      <c r="F1005" s="169" t="s">
        <v>274</v>
      </c>
      <c r="G1005" s="169" t="s">
        <v>275</v>
      </c>
      <c r="H1005" s="169" t="s">
        <v>443</v>
      </c>
      <c r="I1005" s="169" t="s">
        <v>444</v>
      </c>
      <c r="J1005" s="169" t="s">
        <v>711</v>
      </c>
      <c r="K1005" s="169" t="s">
        <v>712</v>
      </c>
      <c r="L1005" s="169" t="s">
        <v>713</v>
      </c>
      <c r="M1005" s="169" t="s">
        <v>281</v>
      </c>
      <c r="N1005" s="178">
        <v>190000000</v>
      </c>
      <c r="O1005" s="169" t="s">
        <v>714</v>
      </c>
      <c r="P1005" s="169" t="s">
        <v>283</v>
      </c>
      <c r="Q1005" s="169" t="s">
        <v>284</v>
      </c>
      <c r="R1005" s="169" t="s">
        <v>283</v>
      </c>
      <c r="S1005" s="169" t="s">
        <v>283</v>
      </c>
      <c r="T1005" s="169">
        <v>0</v>
      </c>
    </row>
    <row r="1006" spans="1:20" x14ac:dyDescent="0.2">
      <c r="A1006" s="169">
        <v>622</v>
      </c>
      <c r="B1006" s="167" t="str">
        <f>_xlfn.XLOOKUP(I1006,Mapping!D:D,Mapping!E:E)</f>
        <v>Xưởng Sản Xuất</v>
      </c>
      <c r="C1006" s="167" t="str">
        <f>_xlfn.XLOOKUP(F1006,Mapping!A:A,Mapping!F:F)</f>
        <v>Lương Chính +T13</v>
      </c>
      <c r="D1006" s="173">
        <v>45808</v>
      </c>
      <c r="E1006" s="169" t="s">
        <v>710</v>
      </c>
      <c r="F1006" s="169" t="s">
        <v>400</v>
      </c>
      <c r="G1006" s="169" t="s">
        <v>401</v>
      </c>
      <c r="H1006" s="169" t="s">
        <v>441</v>
      </c>
      <c r="I1006" s="169" t="s">
        <v>442</v>
      </c>
      <c r="J1006" s="169" t="s">
        <v>711</v>
      </c>
      <c r="K1006" s="169" t="s">
        <v>712</v>
      </c>
      <c r="L1006" s="169" t="s">
        <v>713</v>
      </c>
      <c r="M1006" s="169" t="s">
        <v>281</v>
      </c>
      <c r="N1006" s="178">
        <v>11388017</v>
      </c>
      <c r="O1006" s="169" t="s">
        <v>714</v>
      </c>
      <c r="P1006" s="169" t="s">
        <v>283</v>
      </c>
      <c r="Q1006" s="169" t="s">
        <v>284</v>
      </c>
      <c r="R1006" s="169" t="s">
        <v>283</v>
      </c>
      <c r="S1006" s="169" t="s">
        <v>283</v>
      </c>
      <c r="T1006" s="169">
        <v>0</v>
      </c>
    </row>
    <row r="1007" spans="1:20" x14ac:dyDescent="0.2">
      <c r="A1007" s="169">
        <v>622</v>
      </c>
      <c r="B1007" s="167" t="str">
        <f>_xlfn.XLOOKUP(I1007,Mapping!D:D,Mapping!E:E)</f>
        <v>Xưởng Sản Xuất</v>
      </c>
      <c r="C1007" s="167" t="str">
        <f>_xlfn.XLOOKUP(F1007,Mapping!A:A,Mapping!F:F)</f>
        <v>Lương Chính +T13</v>
      </c>
      <c r="D1007" s="173">
        <v>45808</v>
      </c>
      <c r="E1007" s="169" t="s">
        <v>710</v>
      </c>
      <c r="F1007" s="169" t="s">
        <v>420</v>
      </c>
      <c r="G1007" s="169" t="s">
        <v>286</v>
      </c>
      <c r="H1007" s="169" t="s">
        <v>441</v>
      </c>
      <c r="I1007" s="169" t="s">
        <v>442</v>
      </c>
      <c r="J1007" s="169" t="s">
        <v>711</v>
      </c>
      <c r="K1007" s="169" t="s">
        <v>712</v>
      </c>
      <c r="L1007" s="169" t="s">
        <v>713</v>
      </c>
      <c r="M1007" s="169" t="s">
        <v>281</v>
      </c>
      <c r="N1007" s="178">
        <v>848615</v>
      </c>
      <c r="O1007" s="169" t="s">
        <v>714</v>
      </c>
      <c r="P1007" s="169" t="s">
        <v>283</v>
      </c>
      <c r="Q1007" s="169" t="s">
        <v>284</v>
      </c>
      <c r="R1007" s="169" t="s">
        <v>283</v>
      </c>
      <c r="S1007" s="169" t="s">
        <v>283</v>
      </c>
      <c r="T1007" s="169">
        <v>0</v>
      </c>
    </row>
    <row r="1008" spans="1:20" x14ac:dyDescent="0.2">
      <c r="A1008" s="169">
        <v>622</v>
      </c>
      <c r="B1008" s="167" t="str">
        <f>_xlfn.XLOOKUP(I1008,Mapping!D:D,Mapping!E:E)</f>
        <v>Xưởng Sản Xuất</v>
      </c>
      <c r="C1008" s="167" t="str">
        <f>_xlfn.XLOOKUP(F1008,Mapping!A:A,Mapping!F:F)</f>
        <v>Phụ Cấp</v>
      </c>
      <c r="D1008" s="173">
        <v>45808</v>
      </c>
      <c r="E1008" s="169" t="s">
        <v>710</v>
      </c>
      <c r="F1008" s="169" t="s">
        <v>421</v>
      </c>
      <c r="G1008" s="169" t="s">
        <v>341</v>
      </c>
      <c r="H1008" s="169" t="s">
        <v>441</v>
      </c>
      <c r="I1008" s="169" t="s">
        <v>442</v>
      </c>
      <c r="J1008" s="169" t="s">
        <v>711</v>
      </c>
      <c r="K1008" s="169" t="s">
        <v>712</v>
      </c>
      <c r="L1008" s="169" t="s">
        <v>713</v>
      </c>
      <c r="M1008" s="169" t="s">
        <v>281</v>
      </c>
      <c r="N1008" s="178">
        <v>1124308</v>
      </c>
      <c r="O1008" s="169" t="s">
        <v>714</v>
      </c>
      <c r="P1008" s="169" t="s">
        <v>283</v>
      </c>
      <c r="Q1008" s="169" t="s">
        <v>284</v>
      </c>
      <c r="R1008" s="169" t="s">
        <v>283</v>
      </c>
      <c r="S1008" s="169" t="s">
        <v>283</v>
      </c>
      <c r="T1008" s="169">
        <v>0</v>
      </c>
    </row>
    <row r="1009" spans="1:20" x14ac:dyDescent="0.2">
      <c r="A1009" s="169">
        <v>622</v>
      </c>
      <c r="B1009" s="167" t="str">
        <f>_xlfn.XLOOKUP(I1009,Mapping!D:D,Mapping!E:E)</f>
        <v>Xưởng Sản Xuất</v>
      </c>
      <c r="C1009" s="167" t="str">
        <f>_xlfn.XLOOKUP(F1009,Mapping!A:A,Mapping!F:F)</f>
        <v>Lương Ngoài giờ</v>
      </c>
      <c r="D1009" s="173">
        <v>45808</v>
      </c>
      <c r="E1009" s="169" t="s">
        <v>710</v>
      </c>
      <c r="F1009" s="169" t="s">
        <v>422</v>
      </c>
      <c r="G1009" s="169" t="s">
        <v>423</v>
      </c>
      <c r="H1009" s="169" t="s">
        <v>441</v>
      </c>
      <c r="I1009" s="169" t="s">
        <v>442</v>
      </c>
      <c r="J1009" s="169" t="s">
        <v>711</v>
      </c>
      <c r="K1009" s="169" t="s">
        <v>712</v>
      </c>
      <c r="L1009" s="169" t="s">
        <v>713</v>
      </c>
      <c r="M1009" s="169" t="s">
        <v>281</v>
      </c>
      <c r="N1009" s="178">
        <v>2157581</v>
      </c>
      <c r="O1009" s="169" t="s">
        <v>714</v>
      </c>
      <c r="P1009" s="169" t="s">
        <v>283</v>
      </c>
      <c r="Q1009" s="169" t="s">
        <v>284</v>
      </c>
      <c r="R1009" s="169" t="s">
        <v>283</v>
      </c>
      <c r="S1009" s="169" t="s">
        <v>283</v>
      </c>
      <c r="T1009" s="169">
        <v>0</v>
      </c>
    </row>
    <row r="1010" spans="1:20" x14ac:dyDescent="0.2">
      <c r="A1010" s="169">
        <v>622</v>
      </c>
      <c r="B1010" s="167" t="str">
        <f>_xlfn.XLOOKUP(I1010,Mapping!D:D,Mapping!E:E)</f>
        <v>Xưởng Sản Xuất</v>
      </c>
      <c r="C1010" s="167" t="str">
        <f>_xlfn.XLOOKUP(F1010,Mapping!A:A,Mapping!F:F)</f>
        <v>Thưởng</v>
      </c>
      <c r="D1010" s="173">
        <v>45808</v>
      </c>
      <c r="E1010" s="169" t="s">
        <v>710</v>
      </c>
      <c r="F1010" s="169" t="s">
        <v>424</v>
      </c>
      <c r="G1010" s="169" t="s">
        <v>291</v>
      </c>
      <c r="H1010" s="169" t="s">
        <v>441</v>
      </c>
      <c r="I1010" s="169" t="s">
        <v>442</v>
      </c>
      <c r="J1010" s="169" t="s">
        <v>711</v>
      </c>
      <c r="K1010" s="169" t="s">
        <v>712</v>
      </c>
      <c r="L1010" s="169" t="s">
        <v>713</v>
      </c>
      <c r="M1010" s="169" t="s">
        <v>281</v>
      </c>
      <c r="N1010" s="178">
        <v>200000</v>
      </c>
      <c r="O1010" s="169" t="s">
        <v>714</v>
      </c>
      <c r="P1010" s="169" t="s">
        <v>283</v>
      </c>
      <c r="Q1010" s="169" t="s">
        <v>284</v>
      </c>
      <c r="R1010" s="169" t="s">
        <v>283</v>
      </c>
      <c r="S1010" s="169" t="s">
        <v>283</v>
      </c>
      <c r="T1010" s="169">
        <v>0</v>
      </c>
    </row>
    <row r="1011" spans="1:20" x14ac:dyDescent="0.2">
      <c r="A1011" s="169">
        <v>622</v>
      </c>
      <c r="B1011" s="167" t="str">
        <f>_xlfn.XLOOKUP(I1011,Mapping!D:D,Mapping!E:E)</f>
        <v>Xưởng Sản Xuất</v>
      </c>
      <c r="C1011" s="167" t="str">
        <f>_xlfn.XLOOKUP(F1011,Mapping!A:A,Mapping!F:F)</f>
        <v>Phụ Cấp</v>
      </c>
      <c r="D1011" s="173">
        <v>45808</v>
      </c>
      <c r="E1011" s="169" t="s">
        <v>710</v>
      </c>
      <c r="F1011" s="169" t="s">
        <v>414</v>
      </c>
      <c r="G1011" s="169" t="s">
        <v>415</v>
      </c>
      <c r="H1011" s="169" t="s">
        <v>441</v>
      </c>
      <c r="I1011" s="169" t="s">
        <v>442</v>
      </c>
      <c r="J1011" s="169" t="s">
        <v>711</v>
      </c>
      <c r="K1011" s="169" t="s">
        <v>712</v>
      </c>
      <c r="L1011" s="169" t="s">
        <v>713</v>
      </c>
      <c r="M1011" s="169" t="s">
        <v>281</v>
      </c>
      <c r="N1011" s="178">
        <v>240000</v>
      </c>
      <c r="O1011" s="169" t="s">
        <v>714</v>
      </c>
      <c r="P1011" s="169" t="s">
        <v>283</v>
      </c>
      <c r="Q1011" s="169" t="s">
        <v>284</v>
      </c>
      <c r="R1011" s="169" t="s">
        <v>283</v>
      </c>
      <c r="S1011" s="169" t="s">
        <v>283</v>
      </c>
      <c r="T1011" s="169">
        <v>0</v>
      </c>
    </row>
    <row r="1012" spans="1:20" x14ac:dyDescent="0.2">
      <c r="A1012" s="169">
        <v>627</v>
      </c>
      <c r="B1012" s="167" t="str">
        <f>_xlfn.XLOOKUP(I1012,Mapping!D:D,Mapping!E:E)</f>
        <v>Xưởng Sản Xuất</v>
      </c>
      <c r="C1012" s="167" t="str">
        <f>_xlfn.XLOOKUP(F1012,Mapping!A:A,Mapping!F:F)</f>
        <v>Lương Chính +T13</v>
      </c>
      <c r="D1012" s="173">
        <v>45808</v>
      </c>
      <c r="E1012" s="169" t="s">
        <v>715</v>
      </c>
      <c r="F1012" s="169" t="s">
        <v>388</v>
      </c>
      <c r="G1012" s="169" t="s">
        <v>286</v>
      </c>
      <c r="H1012" s="169" t="s">
        <v>436</v>
      </c>
      <c r="I1012" s="169" t="s">
        <v>437</v>
      </c>
      <c r="J1012" s="169" t="s">
        <v>716</v>
      </c>
      <c r="K1012" s="169" t="s">
        <v>712</v>
      </c>
      <c r="L1012" s="169" t="s">
        <v>713</v>
      </c>
      <c r="M1012" s="169" t="s">
        <v>281</v>
      </c>
      <c r="N1012" s="178">
        <v>27204327</v>
      </c>
      <c r="O1012" s="169" t="s">
        <v>717</v>
      </c>
      <c r="P1012" s="169" t="s">
        <v>283</v>
      </c>
      <c r="Q1012" s="169" t="s">
        <v>284</v>
      </c>
      <c r="R1012" s="169" t="s">
        <v>283</v>
      </c>
      <c r="S1012" s="169" t="s">
        <v>283</v>
      </c>
      <c r="T1012" s="169">
        <v>0</v>
      </c>
    </row>
    <row r="1013" spans="1:20" x14ac:dyDescent="0.2">
      <c r="A1013" s="169">
        <v>627</v>
      </c>
      <c r="B1013" s="167" t="str">
        <f>_xlfn.XLOOKUP(I1013,Mapping!D:D,Mapping!E:E)</f>
        <v>Xưởng Sản Xuất</v>
      </c>
      <c r="C1013" s="167" t="str">
        <f>_xlfn.XLOOKUP(F1013,Mapping!A:A,Mapping!F:F)</f>
        <v>Thưởng</v>
      </c>
      <c r="D1013" s="173">
        <v>45808</v>
      </c>
      <c r="E1013" s="169" t="s">
        <v>715</v>
      </c>
      <c r="F1013" s="169" t="s">
        <v>395</v>
      </c>
      <c r="G1013" s="169" t="s">
        <v>77</v>
      </c>
      <c r="H1013" s="169" t="s">
        <v>436</v>
      </c>
      <c r="I1013" s="169" t="s">
        <v>437</v>
      </c>
      <c r="J1013" s="169" t="s">
        <v>718</v>
      </c>
      <c r="K1013" s="169" t="s">
        <v>712</v>
      </c>
      <c r="L1013" s="169" t="s">
        <v>713</v>
      </c>
      <c r="M1013" s="169" t="s">
        <v>281</v>
      </c>
      <c r="N1013" s="178">
        <v>16581993</v>
      </c>
      <c r="O1013" s="169" t="s">
        <v>717</v>
      </c>
      <c r="P1013" s="169" t="s">
        <v>283</v>
      </c>
      <c r="Q1013" s="169" t="s">
        <v>284</v>
      </c>
      <c r="R1013" s="169" t="s">
        <v>283</v>
      </c>
      <c r="S1013" s="169" t="s">
        <v>283</v>
      </c>
      <c r="T1013" s="169">
        <v>0</v>
      </c>
    </row>
    <row r="1014" spans="1:20" x14ac:dyDescent="0.2">
      <c r="B1014" s="167" t="str">
        <f>_xlfn.XLOOKUP(I1014,Mapping!D:D,Mapping!E:E)</f>
        <v>Tư vấn dịch vụ</v>
      </c>
      <c r="C1014" s="167" t="str">
        <f>_xlfn.XLOOKUP(F1014,Mapping!A:A,Mapping!F:F)</f>
        <v>Lương Chính +T13</v>
      </c>
      <c r="D1014" s="173">
        <v>45808</v>
      </c>
      <c r="E1014" s="169" t="s">
        <v>715</v>
      </c>
      <c r="F1014" s="169" t="s">
        <v>285</v>
      </c>
      <c r="G1014" s="169" t="s">
        <v>286</v>
      </c>
      <c r="H1014" s="169" t="s">
        <v>443</v>
      </c>
      <c r="I1014" s="169" t="s">
        <v>444</v>
      </c>
      <c r="J1014" s="169" t="s">
        <v>716</v>
      </c>
      <c r="K1014" s="169" t="s">
        <v>712</v>
      </c>
      <c r="L1014" s="169" t="s">
        <v>713</v>
      </c>
      <c r="M1014" s="169" t="s">
        <v>281</v>
      </c>
      <c r="N1014" s="178">
        <v>15833333</v>
      </c>
      <c r="O1014" s="169" t="s">
        <v>717</v>
      </c>
      <c r="P1014" s="169" t="s">
        <v>283</v>
      </c>
      <c r="Q1014" s="169" t="s">
        <v>284</v>
      </c>
      <c r="R1014" s="169" t="s">
        <v>283</v>
      </c>
      <c r="S1014" s="169" t="s">
        <v>283</v>
      </c>
      <c r="T1014" s="169">
        <v>0</v>
      </c>
    </row>
    <row r="1015" spans="1:20" x14ac:dyDescent="0.2">
      <c r="B1015" s="167" t="str">
        <f>_xlfn.XLOOKUP(I1015,Mapping!D:D,Mapping!E:E)</f>
        <v>Tư vấn dịch vụ</v>
      </c>
      <c r="C1015" s="167" t="str">
        <f>_xlfn.XLOOKUP(F1015,Mapping!A:A,Mapping!F:F)</f>
        <v>Thưởng</v>
      </c>
      <c r="D1015" s="173">
        <v>45808</v>
      </c>
      <c r="E1015" s="169" t="s">
        <v>715</v>
      </c>
      <c r="F1015" s="169" t="s">
        <v>292</v>
      </c>
      <c r="G1015" s="169" t="s">
        <v>77</v>
      </c>
      <c r="H1015" s="169" t="s">
        <v>443</v>
      </c>
      <c r="I1015" s="169" t="s">
        <v>444</v>
      </c>
      <c r="J1015" s="169" t="s">
        <v>718</v>
      </c>
      <c r="K1015" s="169" t="s">
        <v>712</v>
      </c>
      <c r="L1015" s="169" t="s">
        <v>713</v>
      </c>
      <c r="M1015" s="169" t="s">
        <v>281</v>
      </c>
      <c r="N1015" s="178">
        <v>14566540</v>
      </c>
      <c r="O1015" s="169" t="s">
        <v>717</v>
      </c>
      <c r="P1015" s="169" t="s">
        <v>283</v>
      </c>
      <c r="Q1015" s="169" t="s">
        <v>284</v>
      </c>
      <c r="R1015" s="169" t="s">
        <v>283</v>
      </c>
      <c r="S1015" s="169" t="s">
        <v>283</v>
      </c>
      <c r="T1015" s="169">
        <v>0</v>
      </c>
    </row>
    <row r="1016" spans="1:20" x14ac:dyDescent="0.2">
      <c r="A1016" s="169">
        <v>622</v>
      </c>
      <c r="B1016" s="167" t="str">
        <f>_xlfn.XLOOKUP(I1016,Mapping!D:D,Mapping!E:E)</f>
        <v>Xưởng Sản Xuất</v>
      </c>
      <c r="C1016" s="167" t="str">
        <f>_xlfn.XLOOKUP(F1016,Mapping!A:A,Mapping!F:F)</f>
        <v>Lương Chính +T13</v>
      </c>
      <c r="D1016" s="173">
        <v>45808</v>
      </c>
      <c r="E1016" s="169" t="s">
        <v>715</v>
      </c>
      <c r="F1016" s="169" t="s">
        <v>420</v>
      </c>
      <c r="G1016" s="169" t="s">
        <v>286</v>
      </c>
      <c r="H1016" s="169" t="s">
        <v>441</v>
      </c>
      <c r="I1016" s="169" t="s">
        <v>442</v>
      </c>
      <c r="J1016" s="169" t="s">
        <v>716</v>
      </c>
      <c r="K1016" s="169" t="s">
        <v>712</v>
      </c>
      <c r="L1016" s="169" t="s">
        <v>713</v>
      </c>
      <c r="M1016" s="169" t="s">
        <v>281</v>
      </c>
      <c r="N1016" s="178">
        <v>531385</v>
      </c>
      <c r="O1016" s="169" t="s">
        <v>717</v>
      </c>
      <c r="P1016" s="169" t="s">
        <v>283</v>
      </c>
      <c r="Q1016" s="169" t="s">
        <v>284</v>
      </c>
      <c r="R1016" s="169" t="s">
        <v>283</v>
      </c>
      <c r="S1016" s="169" t="s">
        <v>283</v>
      </c>
      <c r="T1016" s="169">
        <v>0</v>
      </c>
    </row>
    <row r="1017" spans="1:20" x14ac:dyDescent="0.2">
      <c r="A1017" s="169">
        <v>622</v>
      </c>
      <c r="B1017" s="167" t="str">
        <f>_xlfn.XLOOKUP(I1017,Mapping!D:D,Mapping!E:E)</f>
        <v>Xưởng Sản Xuất</v>
      </c>
      <c r="C1017" s="167" t="str">
        <f>_xlfn.XLOOKUP(F1017,Mapping!A:A,Mapping!F:F)</f>
        <v>Thưởng</v>
      </c>
      <c r="D1017" s="173">
        <v>45808</v>
      </c>
      <c r="E1017" s="169" t="s">
        <v>715</v>
      </c>
      <c r="F1017" s="169" t="s">
        <v>426</v>
      </c>
      <c r="G1017" s="169" t="s">
        <v>77</v>
      </c>
      <c r="H1017" s="169" t="s">
        <v>441</v>
      </c>
      <c r="I1017" s="169" t="s">
        <v>442</v>
      </c>
      <c r="J1017" s="169" t="s">
        <v>718</v>
      </c>
      <c r="K1017" s="169" t="s">
        <v>712</v>
      </c>
      <c r="L1017" s="169" t="s">
        <v>713</v>
      </c>
      <c r="M1017" s="169" t="s">
        <v>281</v>
      </c>
      <c r="N1017" s="178">
        <v>78876</v>
      </c>
      <c r="O1017" s="169" t="s">
        <v>717</v>
      </c>
      <c r="P1017" s="169" t="s">
        <v>283</v>
      </c>
      <c r="Q1017" s="169" t="s">
        <v>284</v>
      </c>
      <c r="R1017" s="169" t="s">
        <v>283</v>
      </c>
      <c r="S1017" s="169" t="s">
        <v>283</v>
      </c>
      <c r="T1017" s="169">
        <v>0</v>
      </c>
    </row>
    <row r="1018" spans="1:20" x14ac:dyDescent="0.2">
      <c r="A1018" s="169">
        <v>627</v>
      </c>
      <c r="B1018" s="167" t="str">
        <f>_xlfn.XLOOKUP(I1018,Mapping!D:D,Mapping!E:E)</f>
        <v>Xưởng Sản Xuất</v>
      </c>
      <c r="C1018" s="167" t="str">
        <f>_xlfn.XLOOKUP(F1018,Mapping!A:A,Mapping!F:F)</f>
        <v>BHXH, BHYT, KPCĐ</v>
      </c>
      <c r="D1018" s="173">
        <v>45808</v>
      </c>
      <c r="E1018" s="169" t="s">
        <v>719</v>
      </c>
      <c r="F1018" s="169" t="s">
        <v>393</v>
      </c>
      <c r="G1018" s="169" t="s">
        <v>296</v>
      </c>
      <c r="H1018" s="169" t="s">
        <v>436</v>
      </c>
      <c r="I1018" s="169" t="s">
        <v>437</v>
      </c>
      <c r="J1018" s="169" t="s">
        <v>720</v>
      </c>
      <c r="K1018" s="169" t="s">
        <v>712</v>
      </c>
      <c r="L1018" s="169" t="s">
        <v>713</v>
      </c>
      <c r="M1018" s="169" t="s">
        <v>281</v>
      </c>
      <c r="N1018" s="178">
        <v>60975920</v>
      </c>
      <c r="O1018" s="169" t="s">
        <v>721</v>
      </c>
      <c r="P1018" s="169" t="s">
        <v>283</v>
      </c>
      <c r="Q1018" s="169" t="s">
        <v>284</v>
      </c>
      <c r="R1018" s="169" t="s">
        <v>283</v>
      </c>
      <c r="S1018" s="169" t="s">
        <v>283</v>
      </c>
      <c r="T1018" s="169">
        <v>0</v>
      </c>
    </row>
    <row r="1019" spans="1:20" x14ac:dyDescent="0.2">
      <c r="A1019" s="169">
        <v>622</v>
      </c>
      <c r="B1019" s="167" t="str">
        <f>_xlfn.XLOOKUP(I1019,Mapping!D:D,Mapping!E:E)</f>
        <v>Xưởng Sản Xuất</v>
      </c>
      <c r="C1019" s="167" t="str">
        <f>_xlfn.XLOOKUP(F1019,Mapping!A:A,Mapping!F:F)</f>
        <v>BHXH, BHYT, KPCĐ</v>
      </c>
      <c r="D1019" s="173">
        <v>45808</v>
      </c>
      <c r="E1019" s="169" t="s">
        <v>719</v>
      </c>
      <c r="F1019" s="169" t="s">
        <v>425</v>
      </c>
      <c r="G1019" s="169" t="s">
        <v>296</v>
      </c>
      <c r="H1019" s="169" t="s">
        <v>441</v>
      </c>
      <c r="I1019" s="169" t="s">
        <v>442</v>
      </c>
      <c r="J1019" s="169" t="s">
        <v>720</v>
      </c>
      <c r="K1019" s="169" t="s">
        <v>712</v>
      </c>
      <c r="L1019" s="169" t="s">
        <v>713</v>
      </c>
      <c r="M1019" s="169" t="s">
        <v>281</v>
      </c>
      <c r="N1019" s="178">
        <v>1308480</v>
      </c>
      <c r="O1019" s="169" t="s">
        <v>721</v>
      </c>
      <c r="P1019" s="169" t="s">
        <v>283</v>
      </c>
      <c r="Q1019" s="169" t="s">
        <v>284</v>
      </c>
      <c r="R1019" s="169" t="s">
        <v>283</v>
      </c>
      <c r="S1019" s="169" t="s">
        <v>283</v>
      </c>
      <c r="T1019" s="169">
        <v>0</v>
      </c>
    </row>
    <row r="1020" spans="1:20" x14ac:dyDescent="0.2">
      <c r="A1020" s="169">
        <v>627</v>
      </c>
      <c r="B1020" s="167" t="str">
        <f>_xlfn.XLOOKUP(I1020,Mapping!D:D,Mapping!E:E)</f>
        <v>Xưởng Sản Xuất</v>
      </c>
      <c r="C1020" s="167" t="str">
        <f>_xlfn.XLOOKUP(F1020,Mapping!A:A,Mapping!F:F)</f>
        <v>BHXH, BHYT, KPCĐ</v>
      </c>
      <c r="D1020" s="173">
        <v>45808</v>
      </c>
      <c r="E1020" s="169" t="s">
        <v>719</v>
      </c>
      <c r="F1020" s="169" t="s">
        <v>393</v>
      </c>
      <c r="G1020" s="169" t="s">
        <v>296</v>
      </c>
      <c r="H1020" s="169" t="s">
        <v>436</v>
      </c>
      <c r="I1020" s="169" t="s">
        <v>437</v>
      </c>
      <c r="J1020" s="169" t="s">
        <v>720</v>
      </c>
      <c r="K1020" s="169" t="s">
        <v>712</v>
      </c>
      <c r="L1020" s="169" t="s">
        <v>713</v>
      </c>
      <c r="M1020" s="169" t="s">
        <v>281</v>
      </c>
      <c r="N1020" s="178">
        <v>3709710</v>
      </c>
      <c r="O1020" s="169" t="s">
        <v>721</v>
      </c>
      <c r="P1020" s="169" t="s">
        <v>283</v>
      </c>
      <c r="Q1020" s="169" t="s">
        <v>284</v>
      </c>
      <c r="R1020" s="169" t="s">
        <v>283</v>
      </c>
      <c r="S1020" s="169" t="s">
        <v>283</v>
      </c>
      <c r="T1020" s="169">
        <v>0</v>
      </c>
    </row>
    <row r="1021" spans="1:20" x14ac:dyDescent="0.2">
      <c r="A1021" s="169">
        <v>627</v>
      </c>
      <c r="B1021" s="167" t="str">
        <f>_xlfn.XLOOKUP(I1021,Mapping!D:D,Mapping!E:E)</f>
        <v>Xưởng Sản Xuất</v>
      </c>
      <c r="C1021" s="167" t="str">
        <f>_xlfn.XLOOKUP(F1021,Mapping!A:A,Mapping!F:F)</f>
        <v>Phụ Cấp</v>
      </c>
      <c r="D1021" s="173">
        <v>45782</v>
      </c>
      <c r="E1021" s="169" t="s">
        <v>736</v>
      </c>
      <c r="F1021" s="169" t="s">
        <v>375</v>
      </c>
      <c r="G1021" s="169" t="s">
        <v>336</v>
      </c>
      <c r="H1021" s="169" t="s">
        <v>441</v>
      </c>
      <c r="I1021" s="169" t="s">
        <v>442</v>
      </c>
      <c r="J1021" s="169" t="s">
        <v>737</v>
      </c>
      <c r="K1021" s="169" t="s">
        <v>338</v>
      </c>
      <c r="L1021" s="169" t="s">
        <v>713</v>
      </c>
      <c r="M1021" s="169" t="s">
        <v>281</v>
      </c>
      <c r="N1021" s="178">
        <v>100000</v>
      </c>
      <c r="O1021" s="169" t="s">
        <v>738</v>
      </c>
      <c r="P1021" s="169" t="s">
        <v>283</v>
      </c>
      <c r="Q1021" s="169" t="s">
        <v>306</v>
      </c>
      <c r="R1021" s="169" t="s">
        <v>283</v>
      </c>
      <c r="S1021" s="169" t="s">
        <v>283</v>
      </c>
      <c r="T1021" s="169">
        <v>0</v>
      </c>
    </row>
    <row r="1022" spans="1:20" x14ac:dyDescent="0.2">
      <c r="A1022" s="169">
        <v>627</v>
      </c>
      <c r="B1022" s="167" t="str">
        <f>_xlfn.XLOOKUP(I1022,Mapping!D:D,Mapping!E:E)</f>
        <v>Xưởng Sản Xuất</v>
      </c>
      <c r="C1022" s="167" t="str">
        <f>_xlfn.XLOOKUP(F1022,Mapping!A:A,Mapping!F:F)</f>
        <v>Phụ Cấp</v>
      </c>
      <c r="D1022" s="173">
        <v>45782</v>
      </c>
      <c r="E1022" s="169" t="s">
        <v>736</v>
      </c>
      <c r="F1022" s="169" t="s">
        <v>375</v>
      </c>
      <c r="G1022" s="169" t="s">
        <v>336</v>
      </c>
      <c r="H1022" s="169" t="s">
        <v>436</v>
      </c>
      <c r="I1022" s="169" t="s">
        <v>437</v>
      </c>
      <c r="J1022" s="169" t="s">
        <v>737</v>
      </c>
      <c r="K1022" s="169" t="s">
        <v>338</v>
      </c>
      <c r="L1022" s="169" t="s">
        <v>713</v>
      </c>
      <c r="M1022" s="169" t="s">
        <v>281</v>
      </c>
      <c r="N1022" s="178">
        <v>5575000</v>
      </c>
      <c r="O1022" s="169" t="s">
        <v>738</v>
      </c>
      <c r="P1022" s="169" t="s">
        <v>283</v>
      </c>
      <c r="Q1022" s="169" t="s">
        <v>306</v>
      </c>
      <c r="R1022" s="169" t="s">
        <v>283</v>
      </c>
      <c r="S1022" s="169" t="s">
        <v>283</v>
      </c>
      <c r="T1022" s="169">
        <v>0</v>
      </c>
    </row>
    <row r="1023" spans="1:20" x14ac:dyDescent="0.2">
      <c r="A1023" s="169">
        <v>627</v>
      </c>
      <c r="B1023" s="167" t="str">
        <f>_xlfn.XLOOKUP(I1023,Mapping!D:D,Mapping!E:E)</f>
        <v>Xưởng Sản Xuất</v>
      </c>
      <c r="C1023" s="167" t="str">
        <f>_xlfn.XLOOKUP(F1023,Mapping!A:A,Mapping!F:F)</f>
        <v>Phụ Cấp</v>
      </c>
      <c r="D1023" s="173">
        <v>45803</v>
      </c>
      <c r="E1023" s="169" t="s">
        <v>739</v>
      </c>
      <c r="F1023" s="169" t="s">
        <v>375</v>
      </c>
      <c r="G1023" s="169" t="s">
        <v>336</v>
      </c>
      <c r="H1023" s="169" t="s">
        <v>441</v>
      </c>
      <c r="I1023" s="169" t="s">
        <v>442</v>
      </c>
      <c r="J1023" s="169" t="s">
        <v>740</v>
      </c>
      <c r="K1023" s="169" t="s">
        <v>741</v>
      </c>
      <c r="L1023" s="169" t="s">
        <v>713</v>
      </c>
      <c r="M1023" s="169" t="s">
        <v>281</v>
      </c>
      <c r="N1023" s="178">
        <v>325000</v>
      </c>
      <c r="O1023" s="169" t="s">
        <v>742</v>
      </c>
      <c r="P1023" s="169" t="s">
        <v>283</v>
      </c>
      <c r="Q1023" s="169" t="s">
        <v>306</v>
      </c>
      <c r="R1023" s="169" t="s">
        <v>283</v>
      </c>
      <c r="S1023" s="169" t="s">
        <v>283</v>
      </c>
      <c r="T1023" s="169">
        <v>0</v>
      </c>
    </row>
    <row r="1024" spans="1:20" x14ac:dyDescent="0.2">
      <c r="A1024" s="169">
        <v>627</v>
      </c>
      <c r="B1024" s="167" t="str">
        <f>_xlfn.XLOOKUP(I1024,Mapping!D:D,Mapping!E:E)</f>
        <v>Xưởng Sản Xuất</v>
      </c>
      <c r="C1024" s="167" t="str">
        <f>_xlfn.XLOOKUP(F1024,Mapping!A:A,Mapping!F:F)</f>
        <v>Phụ Cấp</v>
      </c>
      <c r="D1024" s="173">
        <v>45803</v>
      </c>
      <c r="E1024" s="169" t="s">
        <v>739</v>
      </c>
      <c r="F1024" s="169" t="s">
        <v>375</v>
      </c>
      <c r="G1024" s="169" t="s">
        <v>336</v>
      </c>
      <c r="H1024" s="169" t="s">
        <v>436</v>
      </c>
      <c r="I1024" s="169" t="s">
        <v>437</v>
      </c>
      <c r="J1024" s="169" t="s">
        <v>740</v>
      </c>
      <c r="K1024" s="169" t="s">
        <v>741</v>
      </c>
      <c r="L1024" s="169" t="s">
        <v>713</v>
      </c>
      <c r="M1024" s="169" t="s">
        <v>281</v>
      </c>
      <c r="N1024" s="178">
        <v>19275000</v>
      </c>
      <c r="O1024" s="169" t="s">
        <v>742</v>
      </c>
      <c r="P1024" s="169" t="s">
        <v>283</v>
      </c>
      <c r="Q1024" s="169" t="s">
        <v>306</v>
      </c>
      <c r="R1024" s="169" t="s">
        <v>283</v>
      </c>
      <c r="S1024" s="169" t="s">
        <v>283</v>
      </c>
      <c r="T1024" s="169">
        <v>0</v>
      </c>
    </row>
    <row r="1025" spans="1:20" x14ac:dyDescent="0.2">
      <c r="A1025" s="169">
        <v>622</v>
      </c>
      <c r="B1025" s="167" t="str">
        <f>_xlfn.XLOOKUP(I1025,Mapping!D:D,Mapping!E:E)</f>
        <v>Xưởng Sản Xuất</v>
      </c>
      <c r="C1025" s="167" t="str">
        <f>_xlfn.XLOOKUP(F1025,Mapping!A:A,Mapping!F:F)</f>
        <v>Phụ Cấp</v>
      </c>
      <c r="D1025" s="173">
        <v>45808</v>
      </c>
      <c r="E1025" s="169" t="s">
        <v>795</v>
      </c>
      <c r="F1025" s="169" t="s">
        <v>414</v>
      </c>
      <c r="G1025" s="169" t="s">
        <v>415</v>
      </c>
      <c r="H1025" s="169" t="s">
        <v>441</v>
      </c>
      <c r="I1025" s="169" t="s">
        <v>442</v>
      </c>
      <c r="J1025" s="169" t="s">
        <v>416</v>
      </c>
      <c r="K1025" s="169" t="s">
        <v>416</v>
      </c>
      <c r="L1025" s="169" t="s">
        <v>713</v>
      </c>
      <c r="M1025" s="169" t="s">
        <v>281</v>
      </c>
      <c r="N1025" s="178">
        <v>425000</v>
      </c>
      <c r="O1025" s="169" t="s">
        <v>796</v>
      </c>
      <c r="P1025" s="169" t="s">
        <v>283</v>
      </c>
      <c r="Q1025" s="169" t="s">
        <v>348</v>
      </c>
      <c r="R1025" s="169" t="s">
        <v>283</v>
      </c>
      <c r="S1025" s="169" t="s">
        <v>283</v>
      </c>
      <c r="T1025" s="169">
        <v>0</v>
      </c>
    </row>
    <row r="1026" spans="1:20" x14ac:dyDescent="0.2">
      <c r="A1026" s="169">
        <v>627</v>
      </c>
      <c r="B1026" s="167" t="str">
        <f>_xlfn.XLOOKUP(I1026,Mapping!D:D,Mapping!E:E)</f>
        <v>Xưởng Sản Xuất</v>
      </c>
      <c r="C1026" s="167" t="str">
        <f>_xlfn.XLOOKUP(F1026,Mapping!A:A,Mapping!F:F)</f>
        <v>Phụ Cấp</v>
      </c>
      <c r="D1026" s="173">
        <v>45808</v>
      </c>
      <c r="E1026" s="169" t="s">
        <v>795</v>
      </c>
      <c r="F1026" s="169" t="s">
        <v>375</v>
      </c>
      <c r="G1026" s="169" t="s">
        <v>336</v>
      </c>
      <c r="H1026" s="169" t="s">
        <v>441</v>
      </c>
      <c r="I1026" s="169" t="s">
        <v>442</v>
      </c>
      <c r="J1026" s="169" t="s">
        <v>416</v>
      </c>
      <c r="K1026" s="169" t="s">
        <v>416</v>
      </c>
      <c r="L1026" s="169" t="s">
        <v>713</v>
      </c>
      <c r="M1026" s="169" t="s">
        <v>281</v>
      </c>
      <c r="N1026" s="178">
        <v>-425000</v>
      </c>
      <c r="O1026" s="169" t="s">
        <v>796</v>
      </c>
      <c r="P1026" s="169" t="s">
        <v>283</v>
      </c>
      <c r="Q1026" s="169" t="s">
        <v>348</v>
      </c>
      <c r="R1026" s="169" t="s">
        <v>283</v>
      </c>
      <c r="S1026" s="169" t="s">
        <v>283</v>
      </c>
      <c r="T1026" s="169">
        <v>0</v>
      </c>
    </row>
    <row r="1027" spans="1:20" x14ac:dyDescent="0.2">
      <c r="A1027" s="169">
        <v>622</v>
      </c>
      <c r="B1027" s="167" t="str">
        <f>_xlfn.XLOOKUP(I1027,Mapping!D:D,Mapping!E:E)</f>
        <v>Xưởng Sản Xuất</v>
      </c>
      <c r="C1027" s="167" t="str">
        <f>_xlfn.XLOOKUP(F1027,Mapping!A:A,Mapping!F:F)</f>
        <v>Phụ Cấp</v>
      </c>
      <c r="D1027" s="173">
        <v>45808</v>
      </c>
      <c r="E1027" s="169" t="s">
        <v>795</v>
      </c>
      <c r="F1027" s="169" t="s">
        <v>414</v>
      </c>
      <c r="G1027" s="169" t="s">
        <v>415</v>
      </c>
      <c r="H1027" s="169" t="s">
        <v>441</v>
      </c>
      <c r="I1027" s="169" t="s">
        <v>442</v>
      </c>
      <c r="J1027" s="169" t="s">
        <v>416</v>
      </c>
      <c r="K1027" s="169" t="s">
        <v>416</v>
      </c>
      <c r="L1027" s="169" t="s">
        <v>713</v>
      </c>
      <c r="M1027" s="169" t="s">
        <v>281</v>
      </c>
      <c r="N1027" s="178">
        <v>175000</v>
      </c>
      <c r="O1027" s="169" t="s">
        <v>796</v>
      </c>
      <c r="P1027" s="169" t="s">
        <v>283</v>
      </c>
      <c r="Q1027" s="169" t="s">
        <v>348</v>
      </c>
      <c r="R1027" s="169" t="s">
        <v>283</v>
      </c>
      <c r="S1027" s="169" t="s">
        <v>283</v>
      </c>
      <c r="T1027" s="169">
        <v>0</v>
      </c>
    </row>
    <row r="1028" spans="1:20" x14ac:dyDescent="0.2">
      <c r="B1028" s="167" t="str">
        <f>_xlfn.XLOOKUP(I1028,Mapping!D:D,Mapping!E:E)</f>
        <v>Ban Giám Đốc</v>
      </c>
      <c r="C1028" s="167" t="str">
        <f>_xlfn.XLOOKUP(F1028,Mapping!A:A,Mapping!F:F)</f>
        <v>Lương Chính +T13</v>
      </c>
      <c r="D1028" s="173">
        <v>45838</v>
      </c>
      <c r="E1028" s="169" t="s">
        <v>813</v>
      </c>
      <c r="F1028" s="169" t="s">
        <v>274</v>
      </c>
      <c r="G1028" s="169" t="s">
        <v>275</v>
      </c>
      <c r="H1028" s="169" t="s">
        <v>276</v>
      </c>
      <c r="I1028" s="169" t="s">
        <v>277</v>
      </c>
      <c r="J1028" s="169" t="s">
        <v>814</v>
      </c>
      <c r="K1028" s="169" t="s">
        <v>815</v>
      </c>
      <c r="L1028" s="169" t="s">
        <v>816</v>
      </c>
      <c r="M1028" s="169" t="s">
        <v>281</v>
      </c>
      <c r="N1028" s="178">
        <v>1424495340</v>
      </c>
      <c r="O1028" s="169" t="s">
        <v>817</v>
      </c>
      <c r="P1028" s="169" t="s">
        <v>283</v>
      </c>
      <c r="Q1028" s="169" t="s">
        <v>284</v>
      </c>
      <c r="R1028" s="169" t="s">
        <v>283</v>
      </c>
      <c r="S1028" s="169" t="s">
        <v>283</v>
      </c>
      <c r="T1028" s="169">
        <v>0</v>
      </c>
    </row>
    <row r="1029" spans="1:20" x14ac:dyDescent="0.2">
      <c r="B1029" s="167" t="str">
        <f>_xlfn.XLOOKUP(I1029,Mapping!D:D,Mapping!E:E)</f>
        <v>Ban Giám Đốc</v>
      </c>
      <c r="C1029" s="167" t="str">
        <f>_xlfn.XLOOKUP(F1029,Mapping!A:A,Mapping!F:F)</f>
        <v>Lương Chính +T13</v>
      </c>
      <c r="D1029" s="173">
        <v>45838</v>
      </c>
      <c r="E1029" s="169" t="s">
        <v>813</v>
      </c>
      <c r="F1029" s="169" t="s">
        <v>285</v>
      </c>
      <c r="G1029" s="169" t="s">
        <v>286</v>
      </c>
      <c r="H1029" s="169" t="s">
        <v>276</v>
      </c>
      <c r="I1029" s="169" t="s">
        <v>277</v>
      </c>
      <c r="J1029" s="169" t="s">
        <v>814</v>
      </c>
      <c r="K1029" s="169" t="s">
        <v>815</v>
      </c>
      <c r="L1029" s="169" t="s">
        <v>816</v>
      </c>
      <c r="M1029" s="169" t="s">
        <v>281</v>
      </c>
      <c r="N1029" s="178">
        <v>32032363</v>
      </c>
      <c r="O1029" s="169" t="s">
        <v>817</v>
      </c>
      <c r="P1029" s="169" t="s">
        <v>283</v>
      </c>
      <c r="Q1029" s="169" t="s">
        <v>284</v>
      </c>
      <c r="R1029" s="169" t="s">
        <v>283</v>
      </c>
      <c r="S1029" s="169" t="s">
        <v>283</v>
      </c>
      <c r="T1029" s="169">
        <v>0</v>
      </c>
    </row>
    <row r="1030" spans="1:20" x14ac:dyDescent="0.2">
      <c r="B1030" s="167" t="str">
        <f>_xlfn.XLOOKUP(I1030,Mapping!D:D,Mapping!E:E)</f>
        <v>Ban Giám Đốc</v>
      </c>
      <c r="C1030" s="167" t="str">
        <f>_xlfn.XLOOKUP(F1030,Mapping!A:A,Mapping!F:F)</f>
        <v>Lương Chính +T13</v>
      </c>
      <c r="D1030" s="173">
        <v>45838</v>
      </c>
      <c r="E1030" s="169" t="s">
        <v>818</v>
      </c>
      <c r="F1030" s="169" t="s">
        <v>285</v>
      </c>
      <c r="G1030" s="169" t="s">
        <v>286</v>
      </c>
      <c r="H1030" s="169" t="s">
        <v>276</v>
      </c>
      <c r="I1030" s="169" t="s">
        <v>277</v>
      </c>
      <c r="J1030" s="169" t="s">
        <v>819</v>
      </c>
      <c r="K1030" s="169" t="s">
        <v>815</v>
      </c>
      <c r="L1030" s="169" t="s">
        <v>816</v>
      </c>
      <c r="M1030" s="169" t="s">
        <v>281</v>
      </c>
      <c r="N1030" s="178">
        <v>113658417</v>
      </c>
      <c r="O1030" s="169" t="s">
        <v>820</v>
      </c>
      <c r="P1030" s="169" t="s">
        <v>283</v>
      </c>
      <c r="Q1030" s="169" t="s">
        <v>284</v>
      </c>
      <c r="R1030" s="169" t="s">
        <v>283</v>
      </c>
      <c r="S1030" s="169" t="s">
        <v>283</v>
      </c>
      <c r="T1030" s="169">
        <v>0</v>
      </c>
    </row>
    <row r="1031" spans="1:20" x14ac:dyDescent="0.2">
      <c r="B1031" s="167" t="str">
        <f>_xlfn.XLOOKUP(I1031,Mapping!D:D,Mapping!E:E)</f>
        <v>Ban Giám Đốc</v>
      </c>
      <c r="C1031" s="167" t="str">
        <f>_xlfn.XLOOKUP(F1031,Mapping!A:A,Mapping!F:F)</f>
        <v>Thưởng</v>
      </c>
      <c r="D1031" s="173">
        <v>45838</v>
      </c>
      <c r="E1031" s="169" t="s">
        <v>818</v>
      </c>
      <c r="F1031" s="169" t="s">
        <v>292</v>
      </c>
      <c r="G1031" s="169" t="s">
        <v>77</v>
      </c>
      <c r="H1031" s="169" t="s">
        <v>276</v>
      </c>
      <c r="I1031" s="169" t="s">
        <v>277</v>
      </c>
      <c r="J1031" s="169" t="s">
        <v>821</v>
      </c>
      <c r="K1031" s="169" t="s">
        <v>815</v>
      </c>
      <c r="L1031" s="169" t="s">
        <v>816</v>
      </c>
      <c r="M1031" s="169" t="s">
        <v>281</v>
      </c>
      <c r="N1031" s="178">
        <v>104564834</v>
      </c>
      <c r="O1031" s="169" t="s">
        <v>820</v>
      </c>
      <c r="P1031" s="169" t="s">
        <v>283</v>
      </c>
      <c r="Q1031" s="169" t="s">
        <v>284</v>
      </c>
      <c r="R1031" s="169" t="s">
        <v>283</v>
      </c>
      <c r="S1031" s="169" t="s">
        <v>283</v>
      </c>
      <c r="T1031" s="169">
        <v>0</v>
      </c>
    </row>
    <row r="1032" spans="1:20" x14ac:dyDescent="0.2">
      <c r="B1032" s="167" t="str">
        <f>_xlfn.XLOOKUP(I1032,Mapping!D:D,Mapping!E:E)</f>
        <v>Ban Giám Đốc</v>
      </c>
      <c r="C1032" s="167" t="str">
        <f>_xlfn.XLOOKUP(F1032,Mapping!A:A,Mapping!F:F)</f>
        <v>BHXH, BHYT, KPCĐ</v>
      </c>
      <c r="D1032" s="173">
        <v>45838</v>
      </c>
      <c r="E1032" s="169" t="s">
        <v>822</v>
      </c>
      <c r="F1032" s="169" t="s">
        <v>295</v>
      </c>
      <c r="G1032" s="169" t="s">
        <v>296</v>
      </c>
      <c r="H1032" s="169" t="s">
        <v>276</v>
      </c>
      <c r="I1032" s="169" t="s">
        <v>277</v>
      </c>
      <c r="J1032" s="169" t="s">
        <v>823</v>
      </c>
      <c r="K1032" s="169" t="s">
        <v>815</v>
      </c>
      <c r="L1032" s="169" t="s">
        <v>816</v>
      </c>
      <c r="M1032" s="169" t="s">
        <v>281</v>
      </c>
      <c r="N1032" s="178">
        <v>-21999445</v>
      </c>
      <c r="O1032" s="169" t="s">
        <v>824</v>
      </c>
      <c r="P1032" s="169" t="s">
        <v>283</v>
      </c>
      <c r="Q1032" s="169" t="s">
        <v>284</v>
      </c>
      <c r="R1032" s="169" t="s">
        <v>283</v>
      </c>
      <c r="S1032" s="169" t="s">
        <v>283</v>
      </c>
      <c r="T1032" s="169">
        <v>0</v>
      </c>
    </row>
    <row r="1033" spans="1:20" x14ac:dyDescent="0.2">
      <c r="B1033" s="167" t="str">
        <f>_xlfn.XLOOKUP(I1033,Mapping!D:D,Mapping!E:E)</f>
        <v>Ban Giám Đốc</v>
      </c>
      <c r="C1033" s="167" t="str">
        <f>_xlfn.XLOOKUP(F1033,Mapping!A:A,Mapping!F:F)</f>
        <v>BHXH, BHYT, KPCĐ</v>
      </c>
      <c r="D1033" s="173">
        <v>45838</v>
      </c>
      <c r="E1033" s="169" t="s">
        <v>825</v>
      </c>
      <c r="F1033" s="169" t="s">
        <v>295</v>
      </c>
      <c r="G1033" s="169" t="s">
        <v>296</v>
      </c>
      <c r="H1033" s="169" t="s">
        <v>276</v>
      </c>
      <c r="I1033" s="169" t="s">
        <v>277</v>
      </c>
      <c r="J1033" s="169" t="s">
        <v>826</v>
      </c>
      <c r="K1033" s="169" t="s">
        <v>815</v>
      </c>
      <c r="L1033" s="169" t="s">
        <v>816</v>
      </c>
      <c r="M1033" s="169" t="s">
        <v>281</v>
      </c>
      <c r="N1033" s="178">
        <v>146310010</v>
      </c>
      <c r="O1033" s="169" t="s">
        <v>827</v>
      </c>
      <c r="P1033" s="169" t="s">
        <v>283</v>
      </c>
      <c r="Q1033" s="169" t="s">
        <v>284</v>
      </c>
      <c r="R1033" s="169" t="s">
        <v>283</v>
      </c>
      <c r="S1033" s="169" t="s">
        <v>283</v>
      </c>
      <c r="T1033" s="169">
        <v>0</v>
      </c>
    </row>
    <row r="1034" spans="1:20" x14ac:dyDescent="0.2">
      <c r="B1034" s="167" t="str">
        <f>_xlfn.XLOOKUP(I1034,Mapping!D:D,Mapping!E:E)</f>
        <v>Ban Giám Đốc</v>
      </c>
      <c r="C1034" s="167" t="str">
        <f>_xlfn.XLOOKUP(F1034,Mapping!A:A,Mapping!F:F)</f>
        <v>BHXH, BHYT, KPCĐ</v>
      </c>
      <c r="D1034" s="173">
        <v>45838</v>
      </c>
      <c r="E1034" s="169" t="s">
        <v>828</v>
      </c>
      <c r="F1034" s="169" t="s">
        <v>295</v>
      </c>
      <c r="G1034" s="169" t="s">
        <v>296</v>
      </c>
      <c r="H1034" s="169" t="s">
        <v>276</v>
      </c>
      <c r="I1034" s="169" t="s">
        <v>277</v>
      </c>
      <c r="J1034" s="169" t="s">
        <v>823</v>
      </c>
      <c r="K1034" s="169" t="s">
        <v>815</v>
      </c>
      <c r="L1034" s="169" t="s">
        <v>816</v>
      </c>
      <c r="M1034" s="169" t="s">
        <v>281</v>
      </c>
      <c r="N1034" s="178">
        <v>21999445</v>
      </c>
      <c r="O1034" s="169" t="s">
        <v>829</v>
      </c>
      <c r="P1034" s="169" t="s">
        <v>447</v>
      </c>
      <c r="Q1034" s="169" t="s">
        <v>284</v>
      </c>
      <c r="R1034" s="169" t="s">
        <v>283</v>
      </c>
      <c r="S1034" s="169" t="s">
        <v>283</v>
      </c>
      <c r="T1034" s="169">
        <v>0</v>
      </c>
    </row>
    <row r="1035" spans="1:20" x14ac:dyDescent="0.2">
      <c r="B1035" s="167" t="str">
        <f>_xlfn.XLOOKUP(I1035,Mapping!D:D,Mapping!E:E)</f>
        <v>Ban Giám Đốc</v>
      </c>
      <c r="C1035" s="167" t="str">
        <f>_xlfn.XLOOKUP(F1035,Mapping!A:A,Mapping!F:F)</f>
        <v>BHXH, BHYT, KPCĐ</v>
      </c>
      <c r="D1035" s="173">
        <v>45838</v>
      </c>
      <c r="E1035" s="169" t="s">
        <v>830</v>
      </c>
      <c r="F1035" s="169" t="s">
        <v>295</v>
      </c>
      <c r="G1035" s="169" t="s">
        <v>296</v>
      </c>
      <c r="H1035" s="169" t="s">
        <v>276</v>
      </c>
      <c r="I1035" s="169" t="s">
        <v>277</v>
      </c>
      <c r="J1035" s="169" t="s">
        <v>823</v>
      </c>
      <c r="K1035" s="169" t="s">
        <v>815</v>
      </c>
      <c r="L1035" s="169" t="s">
        <v>816</v>
      </c>
      <c r="M1035" s="169" t="s">
        <v>281</v>
      </c>
      <c r="N1035" s="178">
        <v>21999445</v>
      </c>
      <c r="O1035" s="169" t="s">
        <v>831</v>
      </c>
      <c r="P1035" s="169" t="s">
        <v>283</v>
      </c>
      <c r="Q1035" s="169" t="s">
        <v>284</v>
      </c>
      <c r="R1035" s="169" t="s">
        <v>283</v>
      </c>
      <c r="S1035" s="169" t="s">
        <v>283</v>
      </c>
      <c r="T1035" s="169">
        <v>0</v>
      </c>
    </row>
    <row r="1036" spans="1:20" x14ac:dyDescent="0.2">
      <c r="B1036" s="167" t="str">
        <f>_xlfn.XLOOKUP(I1036,Mapping!D:D,Mapping!E:E)</f>
        <v>Văn Phòng Giám Đốc</v>
      </c>
      <c r="C1036" s="167" t="str">
        <f>_xlfn.XLOOKUP(F1036,Mapping!A:A,Mapping!F:F)</f>
        <v>Lương Chính +T13</v>
      </c>
      <c r="D1036" s="173">
        <v>45838</v>
      </c>
      <c r="E1036" s="169" t="s">
        <v>813</v>
      </c>
      <c r="F1036" s="169" t="s">
        <v>274</v>
      </c>
      <c r="G1036" s="169" t="s">
        <v>275</v>
      </c>
      <c r="H1036" s="169" t="s">
        <v>320</v>
      </c>
      <c r="I1036" s="169" t="s">
        <v>321</v>
      </c>
      <c r="J1036" s="169" t="s">
        <v>814</v>
      </c>
      <c r="K1036" s="169" t="s">
        <v>815</v>
      </c>
      <c r="L1036" s="169" t="s">
        <v>816</v>
      </c>
      <c r="M1036" s="169" t="s">
        <v>281</v>
      </c>
      <c r="N1036" s="178">
        <v>122216620</v>
      </c>
      <c r="O1036" s="169" t="s">
        <v>817</v>
      </c>
      <c r="P1036" s="169" t="s">
        <v>283</v>
      </c>
      <c r="Q1036" s="169" t="s">
        <v>284</v>
      </c>
      <c r="R1036" s="169" t="s">
        <v>283</v>
      </c>
      <c r="S1036" s="169" t="s">
        <v>283</v>
      </c>
      <c r="T1036" s="169">
        <v>0</v>
      </c>
    </row>
    <row r="1037" spans="1:20" x14ac:dyDescent="0.2">
      <c r="B1037" s="167" t="str">
        <f>_xlfn.XLOOKUP(I1037,Mapping!D:D,Mapping!E:E)</f>
        <v>Văn Phòng Giám Đốc</v>
      </c>
      <c r="C1037" s="167" t="str">
        <f>_xlfn.XLOOKUP(F1037,Mapping!A:A,Mapping!F:F)</f>
        <v>Lương Chính +T13</v>
      </c>
      <c r="D1037" s="173">
        <v>45838</v>
      </c>
      <c r="E1037" s="169" t="s">
        <v>813</v>
      </c>
      <c r="F1037" s="169" t="s">
        <v>285</v>
      </c>
      <c r="G1037" s="169" t="s">
        <v>286</v>
      </c>
      <c r="H1037" s="169" t="s">
        <v>320</v>
      </c>
      <c r="I1037" s="169" t="s">
        <v>321</v>
      </c>
      <c r="J1037" s="169" t="s">
        <v>814</v>
      </c>
      <c r="K1037" s="169" t="s">
        <v>815</v>
      </c>
      <c r="L1037" s="169" t="s">
        <v>816</v>
      </c>
      <c r="M1037" s="169" t="s">
        <v>281</v>
      </c>
      <c r="N1037" s="178">
        <v>5874126</v>
      </c>
      <c r="O1037" s="169" t="s">
        <v>817</v>
      </c>
      <c r="P1037" s="169" t="s">
        <v>283</v>
      </c>
      <c r="Q1037" s="169" t="s">
        <v>284</v>
      </c>
      <c r="R1037" s="169" t="s">
        <v>283</v>
      </c>
      <c r="S1037" s="169" t="s">
        <v>283</v>
      </c>
      <c r="T1037" s="169">
        <v>0</v>
      </c>
    </row>
    <row r="1038" spans="1:20" x14ac:dyDescent="0.2">
      <c r="B1038" s="167" t="str">
        <f>_xlfn.XLOOKUP(I1038,Mapping!D:D,Mapping!E:E)</f>
        <v>Văn Phòng Giám Đốc</v>
      </c>
      <c r="C1038" s="167" t="str">
        <f>_xlfn.XLOOKUP(F1038,Mapping!A:A,Mapping!F:F)</f>
        <v>Phụ Cấp</v>
      </c>
      <c r="D1038" s="173">
        <v>45838</v>
      </c>
      <c r="E1038" s="169" t="s">
        <v>813</v>
      </c>
      <c r="F1038" s="169" t="s">
        <v>335</v>
      </c>
      <c r="G1038" s="169" t="s">
        <v>336</v>
      </c>
      <c r="H1038" s="169" t="s">
        <v>320</v>
      </c>
      <c r="I1038" s="169" t="s">
        <v>321</v>
      </c>
      <c r="J1038" s="169" t="s">
        <v>814</v>
      </c>
      <c r="K1038" s="169" t="s">
        <v>815</v>
      </c>
      <c r="L1038" s="169" t="s">
        <v>816</v>
      </c>
      <c r="M1038" s="169" t="s">
        <v>281</v>
      </c>
      <c r="N1038" s="178">
        <v>50000</v>
      </c>
      <c r="O1038" s="169" t="s">
        <v>817</v>
      </c>
      <c r="P1038" s="169" t="s">
        <v>283</v>
      </c>
      <c r="Q1038" s="169" t="s">
        <v>284</v>
      </c>
      <c r="R1038" s="169" t="s">
        <v>283</v>
      </c>
      <c r="S1038" s="169" t="s">
        <v>283</v>
      </c>
      <c r="T1038" s="169">
        <v>0</v>
      </c>
    </row>
    <row r="1039" spans="1:20" x14ac:dyDescent="0.2">
      <c r="B1039" s="167" t="str">
        <f>_xlfn.XLOOKUP(I1039,Mapping!D:D,Mapping!E:E)</f>
        <v>Hành Chánh Nhân Sự</v>
      </c>
      <c r="C1039" s="167" t="str">
        <f>_xlfn.XLOOKUP(F1039,Mapping!A:A,Mapping!F:F)</f>
        <v>Phụ Cấp</v>
      </c>
      <c r="D1039" s="173">
        <v>45838</v>
      </c>
      <c r="E1039" s="169" t="s">
        <v>813</v>
      </c>
      <c r="F1039" s="169" t="s">
        <v>340</v>
      </c>
      <c r="G1039" s="169" t="s">
        <v>341</v>
      </c>
      <c r="H1039" s="169" t="s">
        <v>301</v>
      </c>
      <c r="I1039" s="169" t="s">
        <v>302</v>
      </c>
      <c r="J1039" s="169" t="s">
        <v>814</v>
      </c>
      <c r="K1039" s="169" t="s">
        <v>815</v>
      </c>
      <c r="L1039" s="169" t="s">
        <v>816</v>
      </c>
      <c r="M1039" s="169" t="s">
        <v>281</v>
      </c>
      <c r="N1039" s="178">
        <v>7719057</v>
      </c>
      <c r="O1039" s="169" t="s">
        <v>817</v>
      </c>
      <c r="P1039" s="169" t="s">
        <v>283</v>
      </c>
      <c r="Q1039" s="169" t="s">
        <v>284</v>
      </c>
      <c r="R1039" s="169" t="s">
        <v>283</v>
      </c>
      <c r="S1039" s="169" t="s">
        <v>283</v>
      </c>
      <c r="T1039" s="169">
        <v>0</v>
      </c>
    </row>
    <row r="1040" spans="1:20" x14ac:dyDescent="0.2">
      <c r="B1040" s="167" t="str">
        <f>_xlfn.XLOOKUP(I1040,Mapping!D:D,Mapping!E:E)</f>
        <v>Hành Chánh Nhân Sự</v>
      </c>
      <c r="C1040" s="167" t="str">
        <f>_xlfn.XLOOKUP(F1040,Mapping!A:A,Mapping!F:F)</f>
        <v>Lương Chính +T13</v>
      </c>
      <c r="D1040" s="173">
        <v>45838</v>
      </c>
      <c r="E1040" s="169" t="s">
        <v>813</v>
      </c>
      <c r="F1040" s="169" t="s">
        <v>274</v>
      </c>
      <c r="G1040" s="169" t="s">
        <v>275</v>
      </c>
      <c r="H1040" s="169" t="s">
        <v>301</v>
      </c>
      <c r="I1040" s="169" t="s">
        <v>302</v>
      </c>
      <c r="J1040" s="169" t="s">
        <v>814</v>
      </c>
      <c r="K1040" s="169" t="s">
        <v>815</v>
      </c>
      <c r="L1040" s="169" t="s">
        <v>816</v>
      </c>
      <c r="M1040" s="169" t="s">
        <v>281</v>
      </c>
      <c r="N1040" s="178">
        <v>475133003</v>
      </c>
      <c r="O1040" s="169" t="s">
        <v>817</v>
      </c>
      <c r="P1040" s="169" t="s">
        <v>283</v>
      </c>
      <c r="Q1040" s="169" t="s">
        <v>284</v>
      </c>
      <c r="R1040" s="169" t="s">
        <v>283</v>
      </c>
      <c r="S1040" s="169" t="s">
        <v>283</v>
      </c>
      <c r="T1040" s="169">
        <v>0</v>
      </c>
    </row>
    <row r="1041" spans="2:20" x14ac:dyDescent="0.2">
      <c r="B1041" s="167" t="str">
        <f>_xlfn.XLOOKUP(I1041,Mapping!D:D,Mapping!E:E)</f>
        <v>Hành Chánh Nhân Sự</v>
      </c>
      <c r="C1041" s="167" t="str">
        <f>_xlfn.XLOOKUP(F1041,Mapping!A:A,Mapping!F:F)</f>
        <v>Lương Chính +T13</v>
      </c>
      <c r="D1041" s="173">
        <v>45838</v>
      </c>
      <c r="E1041" s="169" t="s">
        <v>813</v>
      </c>
      <c r="F1041" s="169" t="s">
        <v>285</v>
      </c>
      <c r="G1041" s="169" t="s">
        <v>286</v>
      </c>
      <c r="H1041" s="169" t="s">
        <v>301</v>
      </c>
      <c r="I1041" s="169" t="s">
        <v>302</v>
      </c>
      <c r="J1041" s="169" t="s">
        <v>814</v>
      </c>
      <c r="K1041" s="169" t="s">
        <v>815</v>
      </c>
      <c r="L1041" s="169" t="s">
        <v>816</v>
      </c>
      <c r="M1041" s="169" t="s">
        <v>281</v>
      </c>
      <c r="N1041" s="178">
        <v>13775713</v>
      </c>
      <c r="O1041" s="169" t="s">
        <v>817</v>
      </c>
      <c r="P1041" s="169" t="s">
        <v>283</v>
      </c>
      <c r="Q1041" s="169" t="s">
        <v>284</v>
      </c>
      <c r="R1041" s="169" t="s">
        <v>283</v>
      </c>
      <c r="S1041" s="169" t="s">
        <v>283</v>
      </c>
      <c r="T1041" s="169">
        <v>0</v>
      </c>
    </row>
    <row r="1042" spans="2:20" x14ac:dyDescent="0.2">
      <c r="B1042" s="167" t="str">
        <f>_xlfn.XLOOKUP(I1042,Mapping!D:D,Mapping!E:E)</f>
        <v>Hành Chánh Nhân Sự</v>
      </c>
      <c r="C1042" s="167" t="str">
        <f>_xlfn.XLOOKUP(F1042,Mapping!A:A,Mapping!F:F)</f>
        <v>Lương Ngoài giờ</v>
      </c>
      <c r="D1042" s="173">
        <v>45838</v>
      </c>
      <c r="E1042" s="169" t="s">
        <v>813</v>
      </c>
      <c r="F1042" s="169" t="s">
        <v>342</v>
      </c>
      <c r="G1042" s="169" t="s">
        <v>343</v>
      </c>
      <c r="H1042" s="169" t="s">
        <v>301</v>
      </c>
      <c r="I1042" s="169" t="s">
        <v>302</v>
      </c>
      <c r="J1042" s="169" t="s">
        <v>814</v>
      </c>
      <c r="K1042" s="169" t="s">
        <v>815</v>
      </c>
      <c r="L1042" s="169" t="s">
        <v>816</v>
      </c>
      <c r="M1042" s="169" t="s">
        <v>281</v>
      </c>
      <c r="N1042" s="178">
        <v>89191644</v>
      </c>
      <c r="O1042" s="169" t="s">
        <v>817</v>
      </c>
      <c r="P1042" s="169" t="s">
        <v>283</v>
      </c>
      <c r="Q1042" s="169" t="s">
        <v>284</v>
      </c>
      <c r="R1042" s="169" t="s">
        <v>283</v>
      </c>
      <c r="S1042" s="169" t="s">
        <v>283</v>
      </c>
      <c r="T1042" s="169">
        <v>0</v>
      </c>
    </row>
    <row r="1043" spans="2:20" x14ac:dyDescent="0.2">
      <c r="B1043" s="167" t="str">
        <f>_xlfn.XLOOKUP(I1043,Mapping!D:D,Mapping!E:E)</f>
        <v>Hành Chánh Nhân Sự</v>
      </c>
      <c r="C1043" s="167" t="str">
        <f>_xlfn.XLOOKUP(F1043,Mapping!A:A,Mapping!F:F)</f>
        <v>Phụ Cấp</v>
      </c>
      <c r="D1043" s="173">
        <v>45838</v>
      </c>
      <c r="E1043" s="169" t="s">
        <v>813</v>
      </c>
      <c r="F1043" s="169" t="s">
        <v>335</v>
      </c>
      <c r="G1043" s="169" t="s">
        <v>336</v>
      </c>
      <c r="H1043" s="169" t="s">
        <v>301</v>
      </c>
      <c r="I1043" s="169" t="s">
        <v>302</v>
      </c>
      <c r="J1043" s="169" t="s">
        <v>814</v>
      </c>
      <c r="K1043" s="169" t="s">
        <v>815</v>
      </c>
      <c r="L1043" s="169" t="s">
        <v>816</v>
      </c>
      <c r="M1043" s="169" t="s">
        <v>281</v>
      </c>
      <c r="N1043" s="178">
        <v>6080000</v>
      </c>
      <c r="O1043" s="169" t="s">
        <v>817</v>
      </c>
      <c r="P1043" s="169" t="s">
        <v>283</v>
      </c>
      <c r="Q1043" s="169" t="s">
        <v>284</v>
      </c>
      <c r="R1043" s="169" t="s">
        <v>283</v>
      </c>
      <c r="S1043" s="169" t="s">
        <v>283</v>
      </c>
      <c r="T1043" s="169">
        <v>0</v>
      </c>
    </row>
    <row r="1044" spans="2:20" x14ac:dyDescent="0.2">
      <c r="B1044" s="167" t="str">
        <f>_xlfn.XLOOKUP(I1044,Mapping!D:D,Mapping!E:E)</f>
        <v>Văn Phòng Giám Đốc</v>
      </c>
      <c r="C1044" s="167" t="str">
        <f>_xlfn.XLOOKUP(F1044,Mapping!A:A,Mapping!F:F)</f>
        <v>Lương Chính +T13</v>
      </c>
      <c r="D1044" s="173">
        <v>45838</v>
      </c>
      <c r="E1044" s="169" t="s">
        <v>818</v>
      </c>
      <c r="F1044" s="169" t="s">
        <v>285</v>
      </c>
      <c r="G1044" s="169" t="s">
        <v>286</v>
      </c>
      <c r="H1044" s="169" t="s">
        <v>320</v>
      </c>
      <c r="I1044" s="169" t="s">
        <v>321</v>
      </c>
      <c r="J1044" s="169" t="s">
        <v>819</v>
      </c>
      <c r="K1044" s="169" t="s">
        <v>815</v>
      </c>
      <c r="L1044" s="169" t="s">
        <v>816</v>
      </c>
      <c r="M1044" s="169" t="s">
        <v>281</v>
      </c>
      <c r="N1044" s="178">
        <v>10720833</v>
      </c>
      <c r="O1044" s="169" t="s">
        <v>820</v>
      </c>
      <c r="P1044" s="169" t="s">
        <v>283</v>
      </c>
      <c r="Q1044" s="169" t="s">
        <v>284</v>
      </c>
      <c r="R1044" s="169" t="s">
        <v>283</v>
      </c>
      <c r="S1044" s="169" t="s">
        <v>283</v>
      </c>
      <c r="T1044" s="169">
        <v>0</v>
      </c>
    </row>
    <row r="1045" spans="2:20" x14ac:dyDescent="0.2">
      <c r="B1045" s="167" t="str">
        <f>_xlfn.XLOOKUP(I1045,Mapping!D:D,Mapping!E:E)</f>
        <v>Hành Chánh Nhân Sự</v>
      </c>
      <c r="C1045" s="167" t="str">
        <f>_xlfn.XLOOKUP(F1045,Mapping!A:A,Mapping!F:F)</f>
        <v>Lương Chính +T13</v>
      </c>
      <c r="D1045" s="173">
        <v>45838</v>
      </c>
      <c r="E1045" s="169" t="s">
        <v>818</v>
      </c>
      <c r="F1045" s="169" t="s">
        <v>285</v>
      </c>
      <c r="G1045" s="169" t="s">
        <v>286</v>
      </c>
      <c r="H1045" s="169" t="s">
        <v>301</v>
      </c>
      <c r="I1045" s="169" t="s">
        <v>302</v>
      </c>
      <c r="J1045" s="169" t="s">
        <v>819</v>
      </c>
      <c r="K1045" s="169" t="s">
        <v>815</v>
      </c>
      <c r="L1045" s="169" t="s">
        <v>816</v>
      </c>
      <c r="M1045" s="169" t="s">
        <v>281</v>
      </c>
      <c r="N1045" s="178">
        <v>41511894</v>
      </c>
      <c r="O1045" s="169" t="s">
        <v>820</v>
      </c>
      <c r="P1045" s="169" t="s">
        <v>283</v>
      </c>
      <c r="Q1045" s="169" t="s">
        <v>284</v>
      </c>
      <c r="R1045" s="169" t="s">
        <v>283</v>
      </c>
      <c r="S1045" s="169" t="s">
        <v>283</v>
      </c>
      <c r="T1045" s="169">
        <v>0</v>
      </c>
    </row>
    <row r="1046" spans="2:20" x14ac:dyDescent="0.2">
      <c r="B1046" s="167" t="str">
        <f>_xlfn.XLOOKUP(I1046,Mapping!D:D,Mapping!E:E)</f>
        <v>Văn Phòng Giám Đốc</v>
      </c>
      <c r="C1046" s="167" t="str">
        <f>_xlfn.XLOOKUP(F1046,Mapping!A:A,Mapping!F:F)</f>
        <v>Thưởng</v>
      </c>
      <c r="D1046" s="173">
        <v>45838</v>
      </c>
      <c r="E1046" s="169" t="s">
        <v>818</v>
      </c>
      <c r="F1046" s="169" t="s">
        <v>292</v>
      </c>
      <c r="G1046" s="169" t="s">
        <v>77</v>
      </c>
      <c r="H1046" s="169" t="s">
        <v>320</v>
      </c>
      <c r="I1046" s="169" t="s">
        <v>321</v>
      </c>
      <c r="J1046" s="169" t="s">
        <v>821</v>
      </c>
      <c r="K1046" s="169" t="s">
        <v>815</v>
      </c>
      <c r="L1046" s="169" t="s">
        <v>816</v>
      </c>
      <c r="M1046" s="169" t="s">
        <v>281</v>
      </c>
      <c r="N1046" s="178">
        <v>9863081</v>
      </c>
      <c r="O1046" s="169" t="s">
        <v>820</v>
      </c>
      <c r="P1046" s="169" t="s">
        <v>283</v>
      </c>
      <c r="Q1046" s="169" t="s">
        <v>284</v>
      </c>
      <c r="R1046" s="169" t="s">
        <v>283</v>
      </c>
      <c r="S1046" s="169" t="s">
        <v>283</v>
      </c>
      <c r="T1046" s="169">
        <v>0</v>
      </c>
    </row>
    <row r="1047" spans="2:20" x14ac:dyDescent="0.2">
      <c r="B1047" s="167" t="str">
        <f>_xlfn.XLOOKUP(I1047,Mapping!D:D,Mapping!E:E)</f>
        <v>Hành Chánh Nhân Sự</v>
      </c>
      <c r="C1047" s="167" t="str">
        <f>_xlfn.XLOOKUP(F1047,Mapping!A:A,Mapping!F:F)</f>
        <v>Thưởng</v>
      </c>
      <c r="D1047" s="173">
        <v>45838</v>
      </c>
      <c r="E1047" s="169" t="s">
        <v>818</v>
      </c>
      <c r="F1047" s="169" t="s">
        <v>292</v>
      </c>
      <c r="G1047" s="169" t="s">
        <v>77</v>
      </c>
      <c r="H1047" s="169" t="s">
        <v>301</v>
      </c>
      <c r="I1047" s="169" t="s">
        <v>302</v>
      </c>
      <c r="J1047" s="169" t="s">
        <v>821</v>
      </c>
      <c r="K1047" s="169" t="s">
        <v>815</v>
      </c>
      <c r="L1047" s="169" t="s">
        <v>816</v>
      </c>
      <c r="M1047" s="169" t="s">
        <v>281</v>
      </c>
      <c r="N1047" s="178">
        <v>33043845</v>
      </c>
      <c r="O1047" s="169" t="s">
        <v>820</v>
      </c>
      <c r="P1047" s="169" t="s">
        <v>283</v>
      </c>
      <c r="Q1047" s="169" t="s">
        <v>284</v>
      </c>
      <c r="R1047" s="169" t="s">
        <v>283</v>
      </c>
      <c r="S1047" s="169" t="s">
        <v>283</v>
      </c>
      <c r="T1047" s="169">
        <v>0</v>
      </c>
    </row>
    <row r="1048" spans="2:20" x14ac:dyDescent="0.2">
      <c r="B1048" s="167" t="str">
        <f>_xlfn.XLOOKUP(I1048,Mapping!D:D,Mapping!E:E)</f>
        <v>Văn Phòng Giám Đốc</v>
      </c>
      <c r="C1048" s="167" t="str">
        <f>_xlfn.XLOOKUP(F1048,Mapping!A:A,Mapping!F:F)</f>
        <v>BHXH, BHYT, KPCĐ</v>
      </c>
      <c r="D1048" s="173">
        <v>45838</v>
      </c>
      <c r="E1048" s="169" t="s">
        <v>825</v>
      </c>
      <c r="F1048" s="169" t="s">
        <v>295</v>
      </c>
      <c r="G1048" s="169" t="s">
        <v>296</v>
      </c>
      <c r="H1048" s="169" t="s">
        <v>320</v>
      </c>
      <c r="I1048" s="169" t="s">
        <v>321</v>
      </c>
      <c r="J1048" s="169" t="s">
        <v>826</v>
      </c>
      <c r="K1048" s="169" t="s">
        <v>815</v>
      </c>
      <c r="L1048" s="169" t="s">
        <v>816</v>
      </c>
      <c r="M1048" s="169" t="s">
        <v>281</v>
      </c>
      <c r="N1048" s="178">
        <v>20917750</v>
      </c>
      <c r="O1048" s="169" t="s">
        <v>827</v>
      </c>
      <c r="P1048" s="169" t="s">
        <v>283</v>
      </c>
      <c r="Q1048" s="169" t="s">
        <v>284</v>
      </c>
      <c r="R1048" s="169" t="s">
        <v>283</v>
      </c>
      <c r="S1048" s="169" t="s">
        <v>283</v>
      </c>
      <c r="T1048" s="169">
        <v>0</v>
      </c>
    </row>
    <row r="1049" spans="2:20" x14ac:dyDescent="0.2">
      <c r="B1049" s="167" t="str">
        <f>_xlfn.XLOOKUP(I1049,Mapping!D:D,Mapping!E:E)</f>
        <v>Hành Chánh Nhân Sự</v>
      </c>
      <c r="C1049" s="167" t="str">
        <f>_xlfn.XLOOKUP(F1049,Mapping!A:A,Mapping!F:F)</f>
        <v>BHXH, BHYT, KPCĐ</v>
      </c>
      <c r="D1049" s="173">
        <v>45838</v>
      </c>
      <c r="E1049" s="169" t="s">
        <v>825</v>
      </c>
      <c r="F1049" s="169" t="s">
        <v>295</v>
      </c>
      <c r="G1049" s="169" t="s">
        <v>296</v>
      </c>
      <c r="H1049" s="169" t="s">
        <v>301</v>
      </c>
      <c r="I1049" s="169" t="s">
        <v>302</v>
      </c>
      <c r="J1049" s="169" t="s">
        <v>826</v>
      </c>
      <c r="K1049" s="169" t="s">
        <v>815</v>
      </c>
      <c r="L1049" s="169" t="s">
        <v>816</v>
      </c>
      <c r="M1049" s="169" t="s">
        <v>281</v>
      </c>
      <c r="N1049" s="178">
        <v>107339010</v>
      </c>
      <c r="O1049" s="169" t="s">
        <v>827</v>
      </c>
      <c r="P1049" s="169" t="s">
        <v>283</v>
      </c>
      <c r="Q1049" s="169" t="s">
        <v>284</v>
      </c>
      <c r="R1049" s="169" t="s">
        <v>283</v>
      </c>
      <c r="S1049" s="169" t="s">
        <v>283</v>
      </c>
      <c r="T1049" s="169">
        <v>0</v>
      </c>
    </row>
    <row r="1050" spans="2:20" x14ac:dyDescent="0.2">
      <c r="B1050" s="167" t="str">
        <f>_xlfn.XLOOKUP(I1050,Mapping!D:D,Mapping!E:E)</f>
        <v>Hành Chánh Nhân Sự</v>
      </c>
      <c r="C1050" s="167" t="str">
        <f>_xlfn.XLOOKUP(F1050,Mapping!A:A,Mapping!F:F)</f>
        <v>BHXH, BHYT, KPCĐ</v>
      </c>
      <c r="D1050" s="173">
        <v>45838</v>
      </c>
      <c r="E1050" s="169" t="s">
        <v>832</v>
      </c>
      <c r="F1050" s="169" t="s">
        <v>295</v>
      </c>
      <c r="G1050" s="169" t="s">
        <v>296</v>
      </c>
      <c r="H1050" s="169" t="s">
        <v>301</v>
      </c>
      <c r="I1050" s="169" t="s">
        <v>302</v>
      </c>
      <c r="J1050" s="169" t="s">
        <v>826</v>
      </c>
      <c r="K1050" s="169" t="s">
        <v>815</v>
      </c>
      <c r="L1050" s="169" t="s">
        <v>816</v>
      </c>
      <c r="M1050" s="169" t="s">
        <v>281</v>
      </c>
      <c r="N1050" s="178">
        <v>2455750</v>
      </c>
      <c r="O1050" s="169" t="s">
        <v>833</v>
      </c>
      <c r="P1050" s="169" t="s">
        <v>283</v>
      </c>
      <c r="Q1050" s="169" t="s">
        <v>284</v>
      </c>
      <c r="R1050" s="169" t="s">
        <v>283</v>
      </c>
      <c r="S1050" s="169" t="s">
        <v>283</v>
      </c>
      <c r="T1050" s="169">
        <v>0</v>
      </c>
    </row>
    <row r="1051" spans="2:20" x14ac:dyDescent="0.2">
      <c r="B1051" s="167" t="str">
        <f>_xlfn.XLOOKUP(I1051,Mapping!D:D,Mapping!E:E)</f>
        <v>Hành Chánh Nhân Sự</v>
      </c>
      <c r="C1051" s="167" t="str">
        <f>_xlfn.XLOOKUP(F1051,Mapping!A:A,Mapping!F:F)</f>
        <v>Lương Chính +T13</v>
      </c>
      <c r="D1051" s="173">
        <v>45838</v>
      </c>
      <c r="E1051" s="169" t="s">
        <v>834</v>
      </c>
      <c r="F1051" s="169" t="s">
        <v>274</v>
      </c>
      <c r="G1051" s="169" t="s">
        <v>275</v>
      </c>
      <c r="H1051" s="169" t="s">
        <v>301</v>
      </c>
      <c r="I1051" s="169" t="s">
        <v>302</v>
      </c>
      <c r="J1051" s="169" t="s">
        <v>835</v>
      </c>
      <c r="K1051" s="169" t="s">
        <v>328</v>
      </c>
      <c r="L1051" s="169" t="s">
        <v>816</v>
      </c>
      <c r="M1051" s="169" t="s">
        <v>281</v>
      </c>
      <c r="N1051" s="178">
        <v>83250000</v>
      </c>
      <c r="O1051" s="169" t="s">
        <v>836</v>
      </c>
      <c r="P1051" s="169" t="s">
        <v>283</v>
      </c>
      <c r="Q1051" s="169" t="s">
        <v>306</v>
      </c>
      <c r="R1051" s="169" t="s">
        <v>283</v>
      </c>
      <c r="S1051" s="169" t="s">
        <v>283</v>
      </c>
      <c r="T1051" s="169">
        <v>0</v>
      </c>
    </row>
    <row r="1052" spans="2:20" x14ac:dyDescent="0.2">
      <c r="B1052" s="167" t="str">
        <f>_xlfn.XLOOKUP(I1052,Mapping!D:D,Mapping!E:E)</f>
        <v>Hành Chánh Nhân Sự</v>
      </c>
      <c r="C1052" s="167" t="str">
        <f>_xlfn.XLOOKUP(F1052,Mapping!A:A,Mapping!F:F)</f>
        <v>Phụ Cấp</v>
      </c>
      <c r="D1052" s="173">
        <v>45834</v>
      </c>
      <c r="E1052" s="169" t="s">
        <v>837</v>
      </c>
      <c r="F1052" s="169" t="s">
        <v>335</v>
      </c>
      <c r="G1052" s="169" t="s">
        <v>336</v>
      </c>
      <c r="H1052" s="169" t="s">
        <v>301</v>
      </c>
      <c r="I1052" s="169" t="s">
        <v>302</v>
      </c>
      <c r="J1052" s="169" t="s">
        <v>838</v>
      </c>
      <c r="K1052" s="169" t="s">
        <v>741</v>
      </c>
      <c r="L1052" s="169" t="s">
        <v>816</v>
      </c>
      <c r="M1052" s="169" t="s">
        <v>281</v>
      </c>
      <c r="N1052" s="178">
        <v>34025000</v>
      </c>
      <c r="O1052" s="169" t="s">
        <v>839</v>
      </c>
      <c r="P1052" s="169" t="s">
        <v>283</v>
      </c>
      <c r="Q1052" s="169" t="s">
        <v>306</v>
      </c>
      <c r="R1052" s="169" t="s">
        <v>283</v>
      </c>
      <c r="S1052" s="169" t="s">
        <v>283</v>
      </c>
      <c r="T1052" s="169">
        <v>0</v>
      </c>
    </row>
    <row r="1053" spans="2:20" x14ac:dyDescent="0.2">
      <c r="B1053" s="167" t="str">
        <f>_xlfn.XLOOKUP(I1053,Mapping!D:D,Mapping!E:E)</f>
        <v>Văn Phòng Giám Đốc</v>
      </c>
      <c r="C1053" s="167" t="str">
        <f>_xlfn.XLOOKUP(F1053,Mapping!A:A,Mapping!F:F)</f>
        <v>Phụ Cấp</v>
      </c>
      <c r="D1053" s="173">
        <v>45834</v>
      </c>
      <c r="E1053" s="169" t="s">
        <v>837</v>
      </c>
      <c r="F1053" s="169" t="s">
        <v>335</v>
      </c>
      <c r="G1053" s="169" t="s">
        <v>336</v>
      </c>
      <c r="H1053" s="169" t="s">
        <v>320</v>
      </c>
      <c r="I1053" s="169" t="s">
        <v>321</v>
      </c>
      <c r="J1053" s="169" t="s">
        <v>838</v>
      </c>
      <c r="K1053" s="169" t="s">
        <v>741</v>
      </c>
      <c r="L1053" s="169" t="s">
        <v>816</v>
      </c>
      <c r="M1053" s="169" t="s">
        <v>281</v>
      </c>
      <c r="N1053" s="178">
        <v>1950000</v>
      </c>
      <c r="O1053" s="169" t="s">
        <v>839</v>
      </c>
      <c r="P1053" s="169" t="s">
        <v>283</v>
      </c>
      <c r="Q1053" s="169" t="s">
        <v>306</v>
      </c>
      <c r="R1053" s="169" t="s">
        <v>283</v>
      </c>
      <c r="S1053" s="169" t="s">
        <v>283</v>
      </c>
      <c r="T1053" s="169">
        <v>0</v>
      </c>
    </row>
    <row r="1054" spans="2:20" x14ac:dyDescent="0.2">
      <c r="B1054" s="167" t="str">
        <f>_xlfn.XLOOKUP(I1054,Mapping!D:D,Mapping!E:E)</f>
        <v>Hành Chánh Nhân Sự</v>
      </c>
      <c r="C1054" s="167" t="str">
        <f>_xlfn.XLOOKUP(F1054,Mapping!A:A,Mapping!F:F)</f>
        <v>Lương Chính +T13</v>
      </c>
      <c r="D1054" s="173">
        <v>45838</v>
      </c>
      <c r="E1054" s="169" t="s">
        <v>840</v>
      </c>
      <c r="F1054" s="169" t="s">
        <v>400</v>
      </c>
      <c r="G1054" s="169" t="s">
        <v>401</v>
      </c>
      <c r="H1054" s="169" t="s">
        <v>301</v>
      </c>
      <c r="I1054" s="169" t="s">
        <v>302</v>
      </c>
      <c r="J1054" s="169" t="s">
        <v>841</v>
      </c>
      <c r="K1054" s="169" t="s">
        <v>405</v>
      </c>
      <c r="L1054" s="169" t="s">
        <v>816</v>
      </c>
      <c r="M1054" s="169" t="s">
        <v>281</v>
      </c>
      <c r="N1054" s="178">
        <v>4083893</v>
      </c>
      <c r="O1054" s="169" t="s">
        <v>842</v>
      </c>
      <c r="P1054" s="169" t="s">
        <v>283</v>
      </c>
      <c r="Q1054" s="169" t="s">
        <v>306</v>
      </c>
      <c r="R1054" s="169" t="s">
        <v>283</v>
      </c>
      <c r="S1054" s="169" t="s">
        <v>283</v>
      </c>
      <c r="T1054" s="169">
        <v>0</v>
      </c>
    </row>
    <row r="1055" spans="2:20" x14ac:dyDescent="0.2">
      <c r="B1055" s="167" t="str">
        <f>_xlfn.XLOOKUP(I1055,Mapping!D:D,Mapping!E:E)</f>
        <v>Hành Chánh Nhân Sự</v>
      </c>
      <c r="C1055" s="167" t="str">
        <f>_xlfn.XLOOKUP(F1055,Mapping!A:A,Mapping!F:F)</f>
        <v>Khen thưởng BD khác</v>
      </c>
      <c r="D1055" s="173">
        <v>45838</v>
      </c>
      <c r="E1055" s="169" t="s">
        <v>843</v>
      </c>
      <c r="F1055" s="169" t="s">
        <v>300</v>
      </c>
      <c r="G1055" s="169" t="s">
        <v>222</v>
      </c>
      <c r="H1055" s="169" t="s">
        <v>301</v>
      </c>
      <c r="I1055" s="169" t="s">
        <v>302</v>
      </c>
      <c r="J1055" s="169" t="s">
        <v>844</v>
      </c>
      <c r="K1055" s="169" t="s">
        <v>845</v>
      </c>
      <c r="L1055" s="169" t="s">
        <v>816</v>
      </c>
      <c r="M1055" s="169" t="s">
        <v>281</v>
      </c>
      <c r="N1055" s="178">
        <v>6000000</v>
      </c>
      <c r="O1055" s="169" t="s">
        <v>846</v>
      </c>
      <c r="P1055" s="169" t="s">
        <v>283</v>
      </c>
      <c r="Q1055" s="169" t="s">
        <v>306</v>
      </c>
      <c r="R1055" s="169" t="s">
        <v>283</v>
      </c>
      <c r="S1055" s="169" t="s">
        <v>283</v>
      </c>
      <c r="T1055" s="169">
        <v>0</v>
      </c>
    </row>
    <row r="1056" spans="2:20" x14ac:dyDescent="0.2">
      <c r="B1056" s="167" t="str">
        <f>_xlfn.XLOOKUP(I1056,Mapping!D:D,Mapping!E:E)</f>
        <v>Hành Chánh Nhân Sự</v>
      </c>
      <c r="C1056" s="167" t="str">
        <f>_xlfn.XLOOKUP(F1056,Mapping!A:A,Mapping!F:F)</f>
        <v>Lương Chính +T13</v>
      </c>
      <c r="D1056" s="173">
        <v>45838</v>
      </c>
      <c r="E1056" s="169" t="s">
        <v>847</v>
      </c>
      <c r="F1056" s="169" t="s">
        <v>274</v>
      </c>
      <c r="G1056" s="169" t="s">
        <v>275</v>
      </c>
      <c r="H1056" s="169" t="s">
        <v>301</v>
      </c>
      <c r="I1056" s="169" t="s">
        <v>302</v>
      </c>
      <c r="J1056" s="169" t="s">
        <v>848</v>
      </c>
      <c r="K1056" s="169" t="s">
        <v>849</v>
      </c>
      <c r="L1056" s="169" t="s">
        <v>816</v>
      </c>
      <c r="M1056" s="169" t="s">
        <v>281</v>
      </c>
      <c r="N1056" s="178">
        <v>4083893</v>
      </c>
      <c r="O1056" s="169" t="s">
        <v>850</v>
      </c>
      <c r="P1056" s="169" t="s">
        <v>283</v>
      </c>
      <c r="Q1056" s="169" t="s">
        <v>306</v>
      </c>
      <c r="R1056" s="169" t="s">
        <v>283</v>
      </c>
      <c r="S1056" s="169" t="s">
        <v>283</v>
      </c>
      <c r="T1056" s="169">
        <v>0</v>
      </c>
    </row>
    <row r="1057" spans="2:20" x14ac:dyDescent="0.2">
      <c r="B1057" s="167" t="str">
        <f>_xlfn.XLOOKUP(I1057,Mapping!D:D,Mapping!E:E)</f>
        <v>Hành Chánh Nhân Sự</v>
      </c>
      <c r="C1057" s="167" t="str">
        <f>_xlfn.XLOOKUP(F1057,Mapping!A:A,Mapping!F:F)</f>
        <v>Lương Chính +T13</v>
      </c>
      <c r="D1057" s="173">
        <v>45838</v>
      </c>
      <c r="E1057" s="169" t="s">
        <v>847</v>
      </c>
      <c r="F1057" s="169" t="s">
        <v>400</v>
      </c>
      <c r="G1057" s="169" t="s">
        <v>401</v>
      </c>
      <c r="H1057" s="169" t="s">
        <v>301</v>
      </c>
      <c r="I1057" s="169" t="s">
        <v>302</v>
      </c>
      <c r="J1057" s="169" t="s">
        <v>848</v>
      </c>
      <c r="K1057" s="169" t="s">
        <v>849</v>
      </c>
      <c r="L1057" s="169" t="s">
        <v>816</v>
      </c>
      <c r="M1057" s="169" t="s">
        <v>281</v>
      </c>
      <c r="N1057" s="178">
        <v>-4083893</v>
      </c>
      <c r="O1057" s="169" t="s">
        <v>850</v>
      </c>
      <c r="P1057" s="169" t="s">
        <v>283</v>
      </c>
      <c r="Q1057" s="169" t="s">
        <v>306</v>
      </c>
      <c r="R1057" s="169" t="s">
        <v>283</v>
      </c>
      <c r="S1057" s="169" t="s">
        <v>283</v>
      </c>
      <c r="T1057" s="169">
        <v>0</v>
      </c>
    </row>
    <row r="1058" spans="2:20" x14ac:dyDescent="0.2">
      <c r="B1058" s="167" t="str">
        <f>_xlfn.XLOOKUP(I1058,Mapping!D:D,Mapping!E:E)</f>
        <v>Hành Chánh Nhân Sự</v>
      </c>
      <c r="C1058" s="167" t="str">
        <f>_xlfn.XLOOKUP(F1058,Mapping!A:A,Mapping!F:F)</f>
        <v>Khen thưởng BD khác</v>
      </c>
      <c r="D1058" s="173">
        <v>45832</v>
      </c>
      <c r="E1058" s="169" t="s">
        <v>851</v>
      </c>
      <c r="F1058" s="169" t="s">
        <v>300</v>
      </c>
      <c r="G1058" s="169" t="s">
        <v>222</v>
      </c>
      <c r="H1058" s="169" t="s">
        <v>358</v>
      </c>
      <c r="I1058" s="169" t="s">
        <v>359</v>
      </c>
      <c r="J1058" s="169" t="s">
        <v>852</v>
      </c>
      <c r="K1058" s="169" t="s">
        <v>852</v>
      </c>
      <c r="L1058" s="169" t="s">
        <v>816</v>
      </c>
      <c r="M1058" s="169" t="s">
        <v>281</v>
      </c>
      <c r="N1058" s="178">
        <v>1500000</v>
      </c>
      <c r="O1058" s="169" t="s">
        <v>853</v>
      </c>
      <c r="P1058" s="169" t="s">
        <v>283</v>
      </c>
      <c r="Q1058" s="169" t="s">
        <v>764</v>
      </c>
      <c r="R1058" s="169" t="s">
        <v>283</v>
      </c>
      <c r="S1058" s="169" t="s">
        <v>283</v>
      </c>
      <c r="T1058" s="169">
        <v>0</v>
      </c>
    </row>
    <row r="1059" spans="2:20" x14ac:dyDescent="0.2">
      <c r="B1059" s="167" t="str">
        <f>_xlfn.XLOOKUP(I1059,Mapping!D:D,Mapping!E:E)</f>
        <v>Kế Toán</v>
      </c>
      <c r="C1059" s="167" t="str">
        <f>_xlfn.XLOOKUP(F1059,Mapping!A:A,Mapping!F:F)</f>
        <v>Lương Chính +T13</v>
      </c>
      <c r="D1059" s="173">
        <v>45838</v>
      </c>
      <c r="E1059" s="169" t="s">
        <v>813</v>
      </c>
      <c r="F1059" s="169" t="s">
        <v>274</v>
      </c>
      <c r="G1059" s="169" t="s">
        <v>275</v>
      </c>
      <c r="H1059" s="169" t="s">
        <v>356</v>
      </c>
      <c r="I1059" s="169" t="s">
        <v>357</v>
      </c>
      <c r="J1059" s="169" t="s">
        <v>814</v>
      </c>
      <c r="K1059" s="169" t="s">
        <v>815</v>
      </c>
      <c r="L1059" s="169" t="s">
        <v>816</v>
      </c>
      <c r="M1059" s="169" t="s">
        <v>281</v>
      </c>
      <c r="N1059" s="178">
        <v>485003215</v>
      </c>
      <c r="O1059" s="169" t="s">
        <v>817</v>
      </c>
      <c r="P1059" s="169" t="s">
        <v>283</v>
      </c>
      <c r="Q1059" s="169" t="s">
        <v>284</v>
      </c>
      <c r="R1059" s="169" t="s">
        <v>283</v>
      </c>
      <c r="S1059" s="169" t="s">
        <v>283</v>
      </c>
      <c r="T1059" s="169">
        <v>0</v>
      </c>
    </row>
    <row r="1060" spans="2:20" x14ac:dyDescent="0.2">
      <c r="B1060" s="167" t="str">
        <f>_xlfn.XLOOKUP(I1060,Mapping!D:D,Mapping!E:E)</f>
        <v>Kế Toán</v>
      </c>
      <c r="C1060" s="167" t="str">
        <f>_xlfn.XLOOKUP(F1060,Mapping!A:A,Mapping!F:F)</f>
        <v>Lương Chính +T13</v>
      </c>
      <c r="D1060" s="173">
        <v>45838</v>
      </c>
      <c r="E1060" s="169" t="s">
        <v>813</v>
      </c>
      <c r="F1060" s="169" t="s">
        <v>285</v>
      </c>
      <c r="G1060" s="169" t="s">
        <v>286</v>
      </c>
      <c r="H1060" s="169" t="s">
        <v>356</v>
      </c>
      <c r="I1060" s="169" t="s">
        <v>357</v>
      </c>
      <c r="J1060" s="169" t="s">
        <v>814</v>
      </c>
      <c r="K1060" s="169" t="s">
        <v>815</v>
      </c>
      <c r="L1060" s="169" t="s">
        <v>816</v>
      </c>
      <c r="M1060" s="169" t="s">
        <v>281</v>
      </c>
      <c r="N1060" s="178">
        <v>8335872</v>
      </c>
      <c r="O1060" s="169" t="s">
        <v>817</v>
      </c>
      <c r="P1060" s="169" t="s">
        <v>283</v>
      </c>
      <c r="Q1060" s="169" t="s">
        <v>284</v>
      </c>
      <c r="R1060" s="169" t="s">
        <v>283</v>
      </c>
      <c r="S1060" s="169" t="s">
        <v>283</v>
      </c>
      <c r="T1060" s="169">
        <v>0</v>
      </c>
    </row>
    <row r="1061" spans="2:20" x14ac:dyDescent="0.2">
      <c r="B1061" s="167" t="str">
        <f>_xlfn.XLOOKUP(I1061,Mapping!D:D,Mapping!E:E)</f>
        <v>Kế Toán</v>
      </c>
      <c r="C1061" s="167" t="str">
        <f>_xlfn.XLOOKUP(F1061,Mapping!A:A,Mapping!F:F)</f>
        <v>Lương Ngoài giờ</v>
      </c>
      <c r="D1061" s="173">
        <v>45838</v>
      </c>
      <c r="E1061" s="169" t="s">
        <v>813</v>
      </c>
      <c r="F1061" s="169" t="s">
        <v>342</v>
      </c>
      <c r="G1061" s="169" t="s">
        <v>343</v>
      </c>
      <c r="H1061" s="169" t="s">
        <v>356</v>
      </c>
      <c r="I1061" s="169" t="s">
        <v>357</v>
      </c>
      <c r="J1061" s="169" t="s">
        <v>814</v>
      </c>
      <c r="K1061" s="169" t="s">
        <v>815</v>
      </c>
      <c r="L1061" s="169" t="s">
        <v>816</v>
      </c>
      <c r="M1061" s="169" t="s">
        <v>281</v>
      </c>
      <c r="N1061" s="178">
        <v>48849223</v>
      </c>
      <c r="O1061" s="169" t="s">
        <v>817</v>
      </c>
      <c r="P1061" s="169" t="s">
        <v>283</v>
      </c>
      <c r="Q1061" s="169" t="s">
        <v>284</v>
      </c>
      <c r="R1061" s="169" t="s">
        <v>283</v>
      </c>
      <c r="S1061" s="169" t="s">
        <v>283</v>
      </c>
      <c r="T1061" s="169">
        <v>0</v>
      </c>
    </row>
    <row r="1062" spans="2:20" x14ac:dyDescent="0.2">
      <c r="B1062" s="167" t="str">
        <f>_xlfn.XLOOKUP(I1062,Mapping!D:D,Mapping!E:E)</f>
        <v>Kế Toán</v>
      </c>
      <c r="C1062" s="167" t="str">
        <f>_xlfn.XLOOKUP(F1062,Mapping!A:A,Mapping!F:F)</f>
        <v>Phụ Cấp</v>
      </c>
      <c r="D1062" s="173">
        <v>45838</v>
      </c>
      <c r="E1062" s="169" t="s">
        <v>813</v>
      </c>
      <c r="F1062" s="169" t="s">
        <v>335</v>
      </c>
      <c r="G1062" s="169" t="s">
        <v>336</v>
      </c>
      <c r="H1062" s="169" t="s">
        <v>356</v>
      </c>
      <c r="I1062" s="169" t="s">
        <v>357</v>
      </c>
      <c r="J1062" s="169" t="s">
        <v>814</v>
      </c>
      <c r="K1062" s="169" t="s">
        <v>815</v>
      </c>
      <c r="L1062" s="169" t="s">
        <v>816</v>
      </c>
      <c r="M1062" s="169" t="s">
        <v>281</v>
      </c>
      <c r="N1062" s="178">
        <v>2415000</v>
      </c>
      <c r="O1062" s="169" t="s">
        <v>817</v>
      </c>
      <c r="P1062" s="169" t="s">
        <v>283</v>
      </c>
      <c r="Q1062" s="169" t="s">
        <v>284</v>
      </c>
      <c r="R1062" s="169" t="s">
        <v>283</v>
      </c>
      <c r="S1062" s="169" t="s">
        <v>283</v>
      </c>
      <c r="T1062" s="169">
        <v>0</v>
      </c>
    </row>
    <row r="1063" spans="2:20" x14ac:dyDescent="0.2">
      <c r="B1063" s="167" t="str">
        <f>_xlfn.XLOOKUP(I1063,Mapping!D:D,Mapping!E:E)</f>
        <v>Hành Chánh Nhân Sự</v>
      </c>
      <c r="C1063" s="167" t="str">
        <f>_xlfn.XLOOKUP(F1063,Mapping!A:A,Mapping!F:F)</f>
        <v>Lương Chính +T13</v>
      </c>
      <c r="D1063" s="173">
        <v>45838</v>
      </c>
      <c r="E1063" s="169" t="s">
        <v>813</v>
      </c>
      <c r="F1063" s="169" t="s">
        <v>274</v>
      </c>
      <c r="G1063" s="169" t="s">
        <v>275</v>
      </c>
      <c r="H1063" s="169" t="s">
        <v>382</v>
      </c>
      <c r="I1063" s="169" t="s">
        <v>200</v>
      </c>
      <c r="J1063" s="169" t="s">
        <v>814</v>
      </c>
      <c r="K1063" s="169" t="s">
        <v>815</v>
      </c>
      <c r="L1063" s="169" t="s">
        <v>816</v>
      </c>
      <c r="M1063" s="169" t="s">
        <v>281</v>
      </c>
      <c r="N1063" s="178">
        <v>68511773</v>
      </c>
      <c r="O1063" s="169" t="s">
        <v>817</v>
      </c>
      <c r="P1063" s="169" t="s">
        <v>283</v>
      </c>
      <c r="Q1063" s="169" t="s">
        <v>284</v>
      </c>
      <c r="R1063" s="169" t="s">
        <v>283</v>
      </c>
      <c r="S1063" s="169" t="s">
        <v>283</v>
      </c>
      <c r="T1063" s="169">
        <v>0</v>
      </c>
    </row>
    <row r="1064" spans="2:20" x14ac:dyDescent="0.2">
      <c r="B1064" s="167" t="str">
        <f>_xlfn.XLOOKUP(I1064,Mapping!D:D,Mapping!E:E)</f>
        <v>Hành Chánh Nhân Sự</v>
      </c>
      <c r="C1064" s="167" t="str">
        <f>_xlfn.XLOOKUP(F1064,Mapping!A:A,Mapping!F:F)</f>
        <v>Lương Chính +T13</v>
      </c>
      <c r="D1064" s="173">
        <v>45838</v>
      </c>
      <c r="E1064" s="169" t="s">
        <v>813</v>
      </c>
      <c r="F1064" s="169" t="s">
        <v>285</v>
      </c>
      <c r="G1064" s="169" t="s">
        <v>286</v>
      </c>
      <c r="H1064" s="169" t="s">
        <v>382</v>
      </c>
      <c r="I1064" s="169" t="s">
        <v>200</v>
      </c>
      <c r="J1064" s="169" t="s">
        <v>814</v>
      </c>
      <c r="K1064" s="169" t="s">
        <v>815</v>
      </c>
      <c r="L1064" s="169" t="s">
        <v>816</v>
      </c>
      <c r="M1064" s="169" t="s">
        <v>281</v>
      </c>
      <c r="N1064" s="178">
        <v>3010884</v>
      </c>
      <c r="O1064" s="169" t="s">
        <v>817</v>
      </c>
      <c r="P1064" s="169" t="s">
        <v>283</v>
      </c>
      <c r="Q1064" s="169" t="s">
        <v>284</v>
      </c>
      <c r="R1064" s="169" t="s">
        <v>283</v>
      </c>
      <c r="S1064" s="169" t="s">
        <v>283</v>
      </c>
      <c r="T1064" s="169">
        <v>0</v>
      </c>
    </row>
    <row r="1065" spans="2:20" x14ac:dyDescent="0.2">
      <c r="B1065" s="167" t="str">
        <f>_xlfn.XLOOKUP(I1065,Mapping!D:D,Mapping!E:E)</f>
        <v>Hành Chánh Nhân Sự</v>
      </c>
      <c r="C1065" s="167" t="str">
        <f>_xlfn.XLOOKUP(F1065,Mapping!A:A,Mapping!F:F)</f>
        <v>Lương Chính +T13</v>
      </c>
      <c r="D1065" s="173">
        <v>45838</v>
      </c>
      <c r="E1065" s="169" t="s">
        <v>813</v>
      </c>
      <c r="F1065" s="169" t="s">
        <v>274</v>
      </c>
      <c r="G1065" s="169" t="s">
        <v>275</v>
      </c>
      <c r="H1065" s="169" t="s">
        <v>358</v>
      </c>
      <c r="I1065" s="169" t="s">
        <v>359</v>
      </c>
      <c r="J1065" s="169" t="s">
        <v>814</v>
      </c>
      <c r="K1065" s="169" t="s">
        <v>815</v>
      </c>
      <c r="L1065" s="169" t="s">
        <v>816</v>
      </c>
      <c r="M1065" s="169" t="s">
        <v>281</v>
      </c>
      <c r="N1065" s="178">
        <v>100652704</v>
      </c>
      <c r="O1065" s="169" t="s">
        <v>817</v>
      </c>
      <c r="P1065" s="169" t="s">
        <v>283</v>
      </c>
      <c r="Q1065" s="169" t="s">
        <v>284</v>
      </c>
      <c r="R1065" s="169" t="s">
        <v>283</v>
      </c>
      <c r="S1065" s="169" t="s">
        <v>283</v>
      </c>
      <c r="T1065" s="169">
        <v>0</v>
      </c>
    </row>
    <row r="1066" spans="2:20" x14ac:dyDescent="0.2">
      <c r="B1066" s="167" t="str">
        <f>_xlfn.XLOOKUP(I1066,Mapping!D:D,Mapping!E:E)</f>
        <v>Hành Chánh Nhân Sự</v>
      </c>
      <c r="C1066" s="167" t="str">
        <f>_xlfn.XLOOKUP(F1066,Mapping!A:A,Mapping!F:F)</f>
        <v>Lương Chính +T13</v>
      </c>
      <c r="D1066" s="173">
        <v>45838</v>
      </c>
      <c r="E1066" s="169" t="s">
        <v>813</v>
      </c>
      <c r="F1066" s="169" t="s">
        <v>285</v>
      </c>
      <c r="G1066" s="169" t="s">
        <v>286</v>
      </c>
      <c r="H1066" s="169" t="s">
        <v>358</v>
      </c>
      <c r="I1066" s="169" t="s">
        <v>359</v>
      </c>
      <c r="J1066" s="169" t="s">
        <v>814</v>
      </c>
      <c r="K1066" s="169" t="s">
        <v>815</v>
      </c>
      <c r="L1066" s="169" t="s">
        <v>816</v>
      </c>
      <c r="M1066" s="169" t="s">
        <v>281</v>
      </c>
      <c r="N1066" s="178">
        <v>5852231</v>
      </c>
      <c r="O1066" s="169" t="s">
        <v>817</v>
      </c>
      <c r="P1066" s="169" t="s">
        <v>283</v>
      </c>
      <c r="Q1066" s="169" t="s">
        <v>284</v>
      </c>
      <c r="R1066" s="169" t="s">
        <v>283</v>
      </c>
      <c r="S1066" s="169" t="s">
        <v>283</v>
      </c>
      <c r="T1066" s="169">
        <v>0</v>
      </c>
    </row>
    <row r="1067" spans="2:20" x14ac:dyDescent="0.2">
      <c r="B1067" s="167" t="str">
        <f>_xlfn.XLOOKUP(I1067,Mapping!D:D,Mapping!E:E)</f>
        <v>Hành Chánh Nhân Sự</v>
      </c>
      <c r="C1067" s="167" t="str">
        <f>_xlfn.XLOOKUP(F1067,Mapping!A:A,Mapping!F:F)</f>
        <v>Phụ Cấp</v>
      </c>
      <c r="D1067" s="173">
        <v>45838</v>
      </c>
      <c r="E1067" s="169" t="s">
        <v>813</v>
      </c>
      <c r="F1067" s="169" t="s">
        <v>335</v>
      </c>
      <c r="G1067" s="169" t="s">
        <v>336</v>
      </c>
      <c r="H1067" s="169" t="s">
        <v>358</v>
      </c>
      <c r="I1067" s="169" t="s">
        <v>359</v>
      </c>
      <c r="J1067" s="169" t="s">
        <v>814</v>
      </c>
      <c r="K1067" s="169" t="s">
        <v>815</v>
      </c>
      <c r="L1067" s="169" t="s">
        <v>816</v>
      </c>
      <c r="M1067" s="169" t="s">
        <v>281</v>
      </c>
      <c r="N1067" s="178">
        <v>50000</v>
      </c>
      <c r="O1067" s="169" t="s">
        <v>817</v>
      </c>
      <c r="P1067" s="169" t="s">
        <v>283</v>
      </c>
      <c r="Q1067" s="169" t="s">
        <v>284</v>
      </c>
      <c r="R1067" s="169" t="s">
        <v>283</v>
      </c>
      <c r="S1067" s="169" t="s">
        <v>283</v>
      </c>
      <c r="T1067" s="169">
        <v>0</v>
      </c>
    </row>
    <row r="1068" spans="2:20" x14ac:dyDescent="0.2">
      <c r="B1068" s="167" t="str">
        <f>_xlfn.XLOOKUP(I1068,Mapping!D:D,Mapping!E:E)</f>
        <v>Kế Toán</v>
      </c>
      <c r="C1068" s="167" t="str">
        <f>_xlfn.XLOOKUP(F1068,Mapping!A:A,Mapping!F:F)</f>
        <v>Lương Chính +T13</v>
      </c>
      <c r="D1068" s="173">
        <v>45838</v>
      </c>
      <c r="E1068" s="169" t="s">
        <v>818</v>
      </c>
      <c r="F1068" s="169" t="s">
        <v>285</v>
      </c>
      <c r="G1068" s="169" t="s">
        <v>286</v>
      </c>
      <c r="H1068" s="169" t="s">
        <v>356</v>
      </c>
      <c r="I1068" s="169" t="s">
        <v>357</v>
      </c>
      <c r="J1068" s="169" t="s">
        <v>819</v>
      </c>
      <c r="K1068" s="169" t="s">
        <v>815</v>
      </c>
      <c r="L1068" s="169" t="s">
        <v>816</v>
      </c>
      <c r="M1068" s="169" t="s">
        <v>281</v>
      </c>
      <c r="N1068" s="178">
        <v>38365180</v>
      </c>
      <c r="O1068" s="169" t="s">
        <v>820</v>
      </c>
      <c r="P1068" s="169" t="s">
        <v>283</v>
      </c>
      <c r="Q1068" s="169" t="s">
        <v>284</v>
      </c>
      <c r="R1068" s="169" t="s">
        <v>283</v>
      </c>
      <c r="S1068" s="169" t="s">
        <v>283</v>
      </c>
      <c r="T1068" s="169">
        <v>0</v>
      </c>
    </row>
    <row r="1069" spans="2:20" x14ac:dyDescent="0.2">
      <c r="B1069" s="167" t="str">
        <f>_xlfn.XLOOKUP(I1069,Mapping!D:D,Mapping!E:E)</f>
        <v>Kế Toán</v>
      </c>
      <c r="C1069" s="167" t="str">
        <f>_xlfn.XLOOKUP(F1069,Mapping!A:A,Mapping!F:F)</f>
        <v>Thưởng</v>
      </c>
      <c r="D1069" s="173">
        <v>45838</v>
      </c>
      <c r="E1069" s="169" t="s">
        <v>818</v>
      </c>
      <c r="F1069" s="169" t="s">
        <v>292</v>
      </c>
      <c r="G1069" s="169" t="s">
        <v>77</v>
      </c>
      <c r="H1069" s="169" t="s">
        <v>356</v>
      </c>
      <c r="I1069" s="169" t="s">
        <v>357</v>
      </c>
      <c r="J1069" s="169" t="s">
        <v>821</v>
      </c>
      <c r="K1069" s="169" t="s">
        <v>815</v>
      </c>
      <c r="L1069" s="169" t="s">
        <v>816</v>
      </c>
      <c r="M1069" s="169" t="s">
        <v>281</v>
      </c>
      <c r="N1069" s="178">
        <v>34852210</v>
      </c>
      <c r="O1069" s="169" t="s">
        <v>820</v>
      </c>
      <c r="P1069" s="169" t="s">
        <v>283</v>
      </c>
      <c r="Q1069" s="169" t="s">
        <v>284</v>
      </c>
      <c r="R1069" s="169" t="s">
        <v>283</v>
      </c>
      <c r="S1069" s="169" t="s">
        <v>283</v>
      </c>
      <c r="T1069" s="169">
        <v>0</v>
      </c>
    </row>
    <row r="1070" spans="2:20" x14ac:dyDescent="0.2">
      <c r="B1070" s="167" t="str">
        <f>_xlfn.XLOOKUP(I1070,Mapping!D:D,Mapping!E:E)</f>
        <v>Hành Chánh Nhân Sự</v>
      </c>
      <c r="C1070" s="167" t="str">
        <f>_xlfn.XLOOKUP(F1070,Mapping!A:A,Mapping!F:F)</f>
        <v>Lương Chính +T13</v>
      </c>
      <c r="D1070" s="173">
        <v>45838</v>
      </c>
      <c r="E1070" s="169" t="s">
        <v>818</v>
      </c>
      <c r="F1070" s="169" t="s">
        <v>285</v>
      </c>
      <c r="G1070" s="169" t="s">
        <v>286</v>
      </c>
      <c r="H1070" s="169" t="s">
        <v>382</v>
      </c>
      <c r="I1070" s="169" t="s">
        <v>200</v>
      </c>
      <c r="J1070" s="169" t="s">
        <v>819</v>
      </c>
      <c r="K1070" s="169" t="s">
        <v>815</v>
      </c>
      <c r="L1070" s="169" t="s">
        <v>816</v>
      </c>
      <c r="M1070" s="169" t="s">
        <v>281</v>
      </c>
      <c r="N1070" s="178">
        <v>6194250</v>
      </c>
      <c r="O1070" s="169" t="s">
        <v>820</v>
      </c>
      <c r="P1070" s="169" t="s">
        <v>283</v>
      </c>
      <c r="Q1070" s="169" t="s">
        <v>284</v>
      </c>
      <c r="R1070" s="169" t="s">
        <v>283</v>
      </c>
      <c r="S1070" s="169" t="s">
        <v>283</v>
      </c>
      <c r="T1070" s="169">
        <v>0</v>
      </c>
    </row>
    <row r="1071" spans="2:20" x14ac:dyDescent="0.2">
      <c r="B1071" s="167" t="str">
        <f>_xlfn.XLOOKUP(I1071,Mapping!D:D,Mapping!E:E)</f>
        <v>Hành Chánh Nhân Sự</v>
      </c>
      <c r="C1071" s="167" t="str">
        <f>_xlfn.XLOOKUP(F1071,Mapping!A:A,Mapping!F:F)</f>
        <v>Thưởng</v>
      </c>
      <c r="D1071" s="173">
        <v>45838</v>
      </c>
      <c r="E1071" s="169" t="s">
        <v>818</v>
      </c>
      <c r="F1071" s="169" t="s">
        <v>292</v>
      </c>
      <c r="G1071" s="169" t="s">
        <v>77</v>
      </c>
      <c r="H1071" s="169" t="s">
        <v>382</v>
      </c>
      <c r="I1071" s="169" t="s">
        <v>200</v>
      </c>
      <c r="J1071" s="169" t="s">
        <v>821</v>
      </c>
      <c r="K1071" s="169" t="s">
        <v>815</v>
      </c>
      <c r="L1071" s="169" t="s">
        <v>816</v>
      </c>
      <c r="M1071" s="169" t="s">
        <v>281</v>
      </c>
      <c r="N1071" s="178">
        <v>5698660</v>
      </c>
      <c r="O1071" s="169" t="s">
        <v>820</v>
      </c>
      <c r="P1071" s="169" t="s">
        <v>283</v>
      </c>
      <c r="Q1071" s="169" t="s">
        <v>284</v>
      </c>
      <c r="R1071" s="169" t="s">
        <v>283</v>
      </c>
      <c r="S1071" s="169" t="s">
        <v>283</v>
      </c>
      <c r="T1071" s="169">
        <v>0</v>
      </c>
    </row>
    <row r="1072" spans="2:20" x14ac:dyDescent="0.2">
      <c r="B1072" s="167" t="str">
        <f>_xlfn.XLOOKUP(I1072,Mapping!D:D,Mapping!E:E)</f>
        <v>Hành Chánh Nhân Sự</v>
      </c>
      <c r="C1072" s="167" t="str">
        <f>_xlfn.XLOOKUP(F1072,Mapping!A:A,Mapping!F:F)</f>
        <v>Lương Chính +T13</v>
      </c>
      <c r="D1072" s="173">
        <v>45838</v>
      </c>
      <c r="E1072" s="169" t="s">
        <v>818</v>
      </c>
      <c r="F1072" s="169" t="s">
        <v>285</v>
      </c>
      <c r="G1072" s="169" t="s">
        <v>286</v>
      </c>
      <c r="H1072" s="169" t="s">
        <v>358</v>
      </c>
      <c r="I1072" s="169" t="s">
        <v>359</v>
      </c>
      <c r="J1072" s="169" t="s">
        <v>819</v>
      </c>
      <c r="K1072" s="169" t="s">
        <v>815</v>
      </c>
      <c r="L1072" s="169" t="s">
        <v>816</v>
      </c>
      <c r="M1072" s="169" t="s">
        <v>281</v>
      </c>
      <c r="N1072" s="178">
        <v>8468167</v>
      </c>
      <c r="O1072" s="169" t="s">
        <v>820</v>
      </c>
      <c r="P1072" s="169" t="s">
        <v>283</v>
      </c>
      <c r="Q1072" s="169" t="s">
        <v>284</v>
      </c>
      <c r="R1072" s="169" t="s">
        <v>283</v>
      </c>
      <c r="S1072" s="169" t="s">
        <v>283</v>
      </c>
      <c r="T1072" s="169">
        <v>0</v>
      </c>
    </row>
    <row r="1073" spans="2:20" x14ac:dyDescent="0.2">
      <c r="B1073" s="167" t="str">
        <f>_xlfn.XLOOKUP(I1073,Mapping!D:D,Mapping!E:E)</f>
        <v>Hành Chánh Nhân Sự</v>
      </c>
      <c r="C1073" s="167" t="str">
        <f>_xlfn.XLOOKUP(F1073,Mapping!A:A,Mapping!F:F)</f>
        <v>Thưởng</v>
      </c>
      <c r="D1073" s="173">
        <v>45838</v>
      </c>
      <c r="E1073" s="169" t="s">
        <v>818</v>
      </c>
      <c r="F1073" s="169" t="s">
        <v>292</v>
      </c>
      <c r="G1073" s="169" t="s">
        <v>77</v>
      </c>
      <c r="H1073" s="169" t="s">
        <v>358</v>
      </c>
      <c r="I1073" s="169" t="s">
        <v>359</v>
      </c>
      <c r="J1073" s="169" t="s">
        <v>821</v>
      </c>
      <c r="K1073" s="169" t="s">
        <v>815</v>
      </c>
      <c r="L1073" s="169" t="s">
        <v>816</v>
      </c>
      <c r="M1073" s="169" t="s">
        <v>281</v>
      </c>
      <c r="N1073" s="178">
        <v>7790646</v>
      </c>
      <c r="O1073" s="169" t="s">
        <v>820</v>
      </c>
      <c r="P1073" s="169" t="s">
        <v>283</v>
      </c>
      <c r="Q1073" s="169" t="s">
        <v>284</v>
      </c>
      <c r="R1073" s="169" t="s">
        <v>283</v>
      </c>
      <c r="S1073" s="169" t="s">
        <v>283</v>
      </c>
      <c r="T1073" s="169">
        <v>0</v>
      </c>
    </row>
    <row r="1074" spans="2:20" x14ac:dyDescent="0.2">
      <c r="B1074" s="167" t="str">
        <f>_xlfn.XLOOKUP(I1074,Mapping!D:D,Mapping!E:E)</f>
        <v>Kế Toán</v>
      </c>
      <c r="C1074" s="167" t="str">
        <f>_xlfn.XLOOKUP(F1074,Mapping!A:A,Mapping!F:F)</f>
        <v>BHXH, BHYT, KPCĐ</v>
      </c>
      <c r="D1074" s="173">
        <v>45838</v>
      </c>
      <c r="E1074" s="169" t="s">
        <v>825</v>
      </c>
      <c r="F1074" s="169" t="s">
        <v>295</v>
      </c>
      <c r="G1074" s="169" t="s">
        <v>296</v>
      </c>
      <c r="H1074" s="169" t="s">
        <v>356</v>
      </c>
      <c r="I1074" s="169" t="s">
        <v>357</v>
      </c>
      <c r="J1074" s="169" t="s">
        <v>826</v>
      </c>
      <c r="K1074" s="169" t="s">
        <v>815</v>
      </c>
      <c r="L1074" s="169" t="s">
        <v>816</v>
      </c>
      <c r="M1074" s="169" t="s">
        <v>281</v>
      </c>
      <c r="N1074" s="178">
        <v>95261030</v>
      </c>
      <c r="O1074" s="169" t="s">
        <v>827</v>
      </c>
      <c r="P1074" s="169" t="s">
        <v>283</v>
      </c>
      <c r="Q1074" s="169" t="s">
        <v>284</v>
      </c>
      <c r="R1074" s="169" t="s">
        <v>283</v>
      </c>
      <c r="S1074" s="169" t="s">
        <v>283</v>
      </c>
      <c r="T1074" s="169">
        <v>0</v>
      </c>
    </row>
    <row r="1075" spans="2:20" x14ac:dyDescent="0.2">
      <c r="B1075" s="167" t="str">
        <f>_xlfn.XLOOKUP(I1075,Mapping!D:D,Mapping!E:E)</f>
        <v>Hành Chánh Nhân Sự</v>
      </c>
      <c r="C1075" s="167" t="str">
        <f>_xlfn.XLOOKUP(F1075,Mapping!A:A,Mapping!F:F)</f>
        <v>BHXH, BHYT, KPCĐ</v>
      </c>
      <c r="D1075" s="173">
        <v>45838</v>
      </c>
      <c r="E1075" s="169" t="s">
        <v>825</v>
      </c>
      <c r="F1075" s="169" t="s">
        <v>295</v>
      </c>
      <c r="G1075" s="169" t="s">
        <v>296</v>
      </c>
      <c r="H1075" s="169" t="s">
        <v>382</v>
      </c>
      <c r="I1075" s="169" t="s">
        <v>200</v>
      </c>
      <c r="J1075" s="169" t="s">
        <v>826</v>
      </c>
      <c r="K1075" s="169" t="s">
        <v>815</v>
      </c>
      <c r="L1075" s="169" t="s">
        <v>816</v>
      </c>
      <c r="M1075" s="169" t="s">
        <v>281</v>
      </c>
      <c r="N1075" s="178">
        <v>17467785</v>
      </c>
      <c r="O1075" s="169" t="s">
        <v>827</v>
      </c>
      <c r="P1075" s="169" t="s">
        <v>283</v>
      </c>
      <c r="Q1075" s="169" t="s">
        <v>284</v>
      </c>
      <c r="R1075" s="169" t="s">
        <v>283</v>
      </c>
      <c r="S1075" s="169" t="s">
        <v>283</v>
      </c>
      <c r="T1075" s="169">
        <v>0</v>
      </c>
    </row>
    <row r="1076" spans="2:20" x14ac:dyDescent="0.2">
      <c r="B1076" s="167" t="str">
        <f>_xlfn.XLOOKUP(I1076,Mapping!D:D,Mapping!E:E)</f>
        <v>Hành Chánh Nhân Sự</v>
      </c>
      <c r="C1076" s="167" t="str">
        <f>_xlfn.XLOOKUP(F1076,Mapping!A:A,Mapping!F:F)</f>
        <v>BHXH, BHYT, KPCĐ</v>
      </c>
      <c r="D1076" s="173">
        <v>45838</v>
      </c>
      <c r="E1076" s="169" t="s">
        <v>825</v>
      </c>
      <c r="F1076" s="169" t="s">
        <v>295</v>
      </c>
      <c r="G1076" s="169" t="s">
        <v>296</v>
      </c>
      <c r="H1076" s="169" t="s">
        <v>358</v>
      </c>
      <c r="I1076" s="169" t="s">
        <v>359</v>
      </c>
      <c r="J1076" s="169" t="s">
        <v>826</v>
      </c>
      <c r="K1076" s="169" t="s">
        <v>815</v>
      </c>
      <c r="L1076" s="169" t="s">
        <v>816</v>
      </c>
      <c r="M1076" s="169" t="s">
        <v>281</v>
      </c>
      <c r="N1076" s="178">
        <v>21177730</v>
      </c>
      <c r="O1076" s="169" t="s">
        <v>827</v>
      </c>
      <c r="P1076" s="169" t="s">
        <v>283</v>
      </c>
      <c r="Q1076" s="169" t="s">
        <v>284</v>
      </c>
      <c r="R1076" s="169" t="s">
        <v>283</v>
      </c>
      <c r="S1076" s="169" t="s">
        <v>283</v>
      </c>
      <c r="T1076" s="169">
        <v>0</v>
      </c>
    </row>
    <row r="1077" spans="2:20" x14ac:dyDescent="0.2">
      <c r="B1077" s="167" t="str">
        <f>_xlfn.XLOOKUP(I1077,Mapping!D:D,Mapping!E:E)</f>
        <v>Hành Chánh Nhân Sự</v>
      </c>
      <c r="C1077" s="167" t="str">
        <f>_xlfn.XLOOKUP(F1077,Mapping!A:A,Mapping!F:F)</f>
        <v>Khen thưởng BD khác</v>
      </c>
      <c r="D1077" s="173">
        <v>45838</v>
      </c>
      <c r="E1077" s="169" t="s">
        <v>854</v>
      </c>
      <c r="F1077" s="169" t="s">
        <v>300</v>
      </c>
      <c r="G1077" s="169" t="s">
        <v>222</v>
      </c>
      <c r="H1077" s="169" t="s">
        <v>358</v>
      </c>
      <c r="I1077" s="169" t="s">
        <v>359</v>
      </c>
      <c r="J1077" s="169" t="s">
        <v>814</v>
      </c>
      <c r="K1077" s="169" t="s">
        <v>815</v>
      </c>
      <c r="L1077" s="169" t="s">
        <v>816</v>
      </c>
      <c r="M1077" s="169" t="s">
        <v>281</v>
      </c>
      <c r="N1077" s="178">
        <v>8600000</v>
      </c>
      <c r="O1077" s="169" t="s">
        <v>855</v>
      </c>
      <c r="P1077" s="169" t="s">
        <v>283</v>
      </c>
      <c r="Q1077" s="169" t="s">
        <v>284</v>
      </c>
      <c r="R1077" s="169" t="s">
        <v>283</v>
      </c>
      <c r="S1077" s="169" t="s">
        <v>283</v>
      </c>
      <c r="T1077" s="169">
        <v>0</v>
      </c>
    </row>
    <row r="1078" spans="2:20" x14ac:dyDescent="0.2">
      <c r="B1078" s="167" t="str">
        <f>_xlfn.XLOOKUP(I1078,Mapping!D:D,Mapping!E:E)</f>
        <v>Kế Toán</v>
      </c>
      <c r="C1078" s="167" t="str">
        <f>_xlfn.XLOOKUP(F1078,Mapping!A:A,Mapping!F:F)</f>
        <v>Phụ Cấp</v>
      </c>
      <c r="D1078" s="173">
        <v>45834</v>
      </c>
      <c r="E1078" s="169" t="s">
        <v>837</v>
      </c>
      <c r="F1078" s="169" t="s">
        <v>335</v>
      </c>
      <c r="G1078" s="169" t="s">
        <v>336</v>
      </c>
      <c r="H1078" s="169" t="s">
        <v>356</v>
      </c>
      <c r="I1078" s="169" t="s">
        <v>357</v>
      </c>
      <c r="J1078" s="169" t="s">
        <v>838</v>
      </c>
      <c r="K1078" s="169" t="s">
        <v>741</v>
      </c>
      <c r="L1078" s="169" t="s">
        <v>816</v>
      </c>
      <c r="M1078" s="169" t="s">
        <v>281</v>
      </c>
      <c r="N1078" s="178">
        <v>14750000</v>
      </c>
      <c r="O1078" s="169" t="s">
        <v>839</v>
      </c>
      <c r="P1078" s="169" t="s">
        <v>283</v>
      </c>
      <c r="Q1078" s="169" t="s">
        <v>306</v>
      </c>
      <c r="R1078" s="169" t="s">
        <v>283</v>
      </c>
      <c r="S1078" s="169" t="s">
        <v>283</v>
      </c>
      <c r="T1078" s="169">
        <v>0</v>
      </c>
    </row>
    <row r="1079" spans="2:20" x14ac:dyDescent="0.2">
      <c r="B1079" s="167" t="str">
        <f>_xlfn.XLOOKUP(I1079,Mapping!D:D,Mapping!E:E)</f>
        <v>Hành Chánh Nhân Sự</v>
      </c>
      <c r="C1079" s="167" t="str">
        <f>_xlfn.XLOOKUP(F1079,Mapping!A:A,Mapping!F:F)</f>
        <v>Phụ Cấp</v>
      </c>
      <c r="D1079" s="173">
        <v>45834</v>
      </c>
      <c r="E1079" s="169" t="s">
        <v>837</v>
      </c>
      <c r="F1079" s="169" t="s">
        <v>335</v>
      </c>
      <c r="G1079" s="169" t="s">
        <v>336</v>
      </c>
      <c r="H1079" s="169" t="s">
        <v>382</v>
      </c>
      <c r="I1079" s="169" t="s">
        <v>200</v>
      </c>
      <c r="J1079" s="169" t="s">
        <v>838</v>
      </c>
      <c r="K1079" s="169" t="s">
        <v>741</v>
      </c>
      <c r="L1079" s="169" t="s">
        <v>816</v>
      </c>
      <c r="M1079" s="169" t="s">
        <v>281</v>
      </c>
      <c r="N1079" s="178">
        <v>1900000</v>
      </c>
      <c r="O1079" s="169" t="s">
        <v>839</v>
      </c>
      <c r="P1079" s="169" t="s">
        <v>283</v>
      </c>
      <c r="Q1079" s="169" t="s">
        <v>306</v>
      </c>
      <c r="R1079" s="169" t="s">
        <v>283</v>
      </c>
      <c r="S1079" s="169" t="s">
        <v>283</v>
      </c>
      <c r="T1079" s="169">
        <v>0</v>
      </c>
    </row>
    <row r="1080" spans="2:20" x14ac:dyDescent="0.2">
      <c r="B1080" s="167" t="str">
        <f>_xlfn.XLOOKUP(I1080,Mapping!D:D,Mapping!E:E)</f>
        <v>Hành Chánh Nhân Sự</v>
      </c>
      <c r="C1080" s="167" t="str">
        <f>_xlfn.XLOOKUP(F1080,Mapping!A:A,Mapping!F:F)</f>
        <v>Phụ Cấp</v>
      </c>
      <c r="D1080" s="173">
        <v>45834</v>
      </c>
      <c r="E1080" s="169" t="s">
        <v>837</v>
      </c>
      <c r="F1080" s="169" t="s">
        <v>335</v>
      </c>
      <c r="G1080" s="169" t="s">
        <v>336</v>
      </c>
      <c r="H1080" s="169" t="s">
        <v>358</v>
      </c>
      <c r="I1080" s="169" t="s">
        <v>359</v>
      </c>
      <c r="J1080" s="169" t="s">
        <v>838</v>
      </c>
      <c r="K1080" s="169" t="s">
        <v>741</v>
      </c>
      <c r="L1080" s="169" t="s">
        <v>816</v>
      </c>
      <c r="M1080" s="169" t="s">
        <v>281</v>
      </c>
      <c r="N1080" s="178">
        <v>3225000</v>
      </c>
      <c r="O1080" s="169" t="s">
        <v>839</v>
      </c>
      <c r="P1080" s="169" t="s">
        <v>283</v>
      </c>
      <c r="Q1080" s="169" t="s">
        <v>306</v>
      </c>
      <c r="R1080" s="169" t="s">
        <v>283</v>
      </c>
      <c r="S1080" s="169" t="s">
        <v>283</v>
      </c>
      <c r="T1080" s="169">
        <v>0</v>
      </c>
    </row>
    <row r="1081" spans="2:20" x14ac:dyDescent="0.2">
      <c r="B1081" s="167" t="str">
        <f>_xlfn.XLOOKUP(I1081,Mapping!D:D,Mapping!E:E)</f>
        <v>Kinh doanh</v>
      </c>
      <c r="C1081" s="167" t="str">
        <f>_xlfn.XLOOKUP(F1081,Mapping!A:A,Mapping!F:F)</f>
        <v>Thưởng</v>
      </c>
      <c r="D1081" s="173">
        <v>45831</v>
      </c>
      <c r="E1081" s="169" t="s">
        <v>856</v>
      </c>
      <c r="F1081" s="169" t="s">
        <v>365</v>
      </c>
      <c r="G1081" s="169" t="s">
        <v>291</v>
      </c>
      <c r="H1081" s="169" t="s">
        <v>366</v>
      </c>
      <c r="I1081" s="169" t="s">
        <v>1</v>
      </c>
      <c r="J1081" s="169" t="s">
        <v>857</v>
      </c>
      <c r="K1081" s="169" t="s">
        <v>858</v>
      </c>
      <c r="L1081" s="169" t="s">
        <v>816</v>
      </c>
      <c r="M1081" s="169" t="s">
        <v>281</v>
      </c>
      <c r="N1081" s="178">
        <v>-87140</v>
      </c>
      <c r="O1081" s="169" t="s">
        <v>859</v>
      </c>
      <c r="P1081" s="169" t="s">
        <v>283</v>
      </c>
      <c r="Q1081" s="169" t="s">
        <v>370</v>
      </c>
      <c r="R1081" s="169" t="s">
        <v>283</v>
      </c>
      <c r="S1081" s="169" t="s">
        <v>283</v>
      </c>
      <c r="T1081" s="169">
        <v>0</v>
      </c>
    </row>
    <row r="1082" spans="2:20" x14ac:dyDescent="0.2">
      <c r="B1082" s="167" t="str">
        <f>_xlfn.XLOOKUP(I1082,Mapping!D:D,Mapping!E:E)</f>
        <v>Kinh doanh</v>
      </c>
      <c r="C1082" s="167" t="str">
        <f>_xlfn.XLOOKUP(F1082,Mapping!A:A,Mapping!F:F)</f>
        <v>Lương Chính +T13</v>
      </c>
      <c r="D1082" s="173">
        <v>45838</v>
      </c>
      <c r="E1082" s="169" t="s">
        <v>813</v>
      </c>
      <c r="F1082" s="169" t="s">
        <v>383</v>
      </c>
      <c r="G1082" s="169" t="s">
        <v>275</v>
      </c>
      <c r="H1082" s="169" t="s">
        <v>366</v>
      </c>
      <c r="I1082" s="169" t="s">
        <v>1</v>
      </c>
      <c r="J1082" s="169" t="s">
        <v>814</v>
      </c>
      <c r="K1082" s="169" t="s">
        <v>815</v>
      </c>
      <c r="L1082" s="169" t="s">
        <v>816</v>
      </c>
      <c r="M1082" s="169" t="s">
        <v>281</v>
      </c>
      <c r="N1082" s="178">
        <v>225105679</v>
      </c>
      <c r="O1082" s="169" t="s">
        <v>817</v>
      </c>
      <c r="P1082" s="169" t="s">
        <v>283</v>
      </c>
      <c r="Q1082" s="169" t="s">
        <v>284</v>
      </c>
      <c r="R1082" s="169" t="s">
        <v>283</v>
      </c>
      <c r="S1082" s="169" t="s">
        <v>283</v>
      </c>
      <c r="T1082" s="169">
        <v>0</v>
      </c>
    </row>
    <row r="1083" spans="2:20" x14ac:dyDescent="0.2">
      <c r="B1083" s="167" t="str">
        <f>_xlfn.XLOOKUP(I1083,Mapping!D:D,Mapping!E:E)</f>
        <v>Kinh doanh</v>
      </c>
      <c r="C1083" s="167" t="str">
        <f>_xlfn.XLOOKUP(F1083,Mapping!A:A,Mapping!F:F)</f>
        <v>Lương Chính +T13</v>
      </c>
      <c r="D1083" s="173">
        <v>45838</v>
      </c>
      <c r="E1083" s="169" t="s">
        <v>813</v>
      </c>
      <c r="F1083" s="169" t="s">
        <v>384</v>
      </c>
      <c r="G1083" s="169" t="s">
        <v>286</v>
      </c>
      <c r="H1083" s="169" t="s">
        <v>366</v>
      </c>
      <c r="I1083" s="169" t="s">
        <v>1</v>
      </c>
      <c r="J1083" s="169" t="s">
        <v>814</v>
      </c>
      <c r="K1083" s="169" t="s">
        <v>815</v>
      </c>
      <c r="L1083" s="169" t="s">
        <v>816</v>
      </c>
      <c r="M1083" s="169" t="s">
        <v>281</v>
      </c>
      <c r="N1083" s="178">
        <v>14139231</v>
      </c>
      <c r="O1083" s="169" t="s">
        <v>817</v>
      </c>
      <c r="P1083" s="169" t="s">
        <v>283</v>
      </c>
      <c r="Q1083" s="169" t="s">
        <v>284</v>
      </c>
      <c r="R1083" s="169" t="s">
        <v>283</v>
      </c>
      <c r="S1083" s="169" t="s">
        <v>283</v>
      </c>
      <c r="T1083" s="169">
        <v>0</v>
      </c>
    </row>
    <row r="1084" spans="2:20" x14ac:dyDescent="0.2">
      <c r="B1084" s="167" t="str">
        <f>_xlfn.XLOOKUP(I1084,Mapping!D:D,Mapping!E:E)</f>
        <v>Kinh doanh</v>
      </c>
      <c r="C1084" s="167" t="str">
        <f>_xlfn.XLOOKUP(F1084,Mapping!A:A,Mapping!F:F)</f>
        <v>Thưởng</v>
      </c>
      <c r="D1084" s="173">
        <v>45838</v>
      </c>
      <c r="E1084" s="169" t="s">
        <v>813</v>
      </c>
      <c r="F1084" s="169" t="s">
        <v>365</v>
      </c>
      <c r="G1084" s="169" t="s">
        <v>291</v>
      </c>
      <c r="H1084" s="169" t="s">
        <v>366</v>
      </c>
      <c r="I1084" s="169" t="s">
        <v>1</v>
      </c>
      <c r="J1084" s="169" t="s">
        <v>814</v>
      </c>
      <c r="K1084" s="169" t="s">
        <v>815</v>
      </c>
      <c r="L1084" s="169" t="s">
        <v>816</v>
      </c>
      <c r="M1084" s="169" t="s">
        <v>281</v>
      </c>
      <c r="N1084" s="178">
        <v>178310086</v>
      </c>
      <c r="O1084" s="169" t="s">
        <v>817</v>
      </c>
      <c r="P1084" s="169" t="s">
        <v>283</v>
      </c>
      <c r="Q1084" s="169" t="s">
        <v>284</v>
      </c>
      <c r="R1084" s="169" t="s">
        <v>283</v>
      </c>
      <c r="S1084" s="169" t="s">
        <v>283</v>
      </c>
      <c r="T1084" s="169">
        <v>0</v>
      </c>
    </row>
    <row r="1085" spans="2:20" x14ac:dyDescent="0.2">
      <c r="B1085" s="167" t="str">
        <f>_xlfn.XLOOKUP(I1085,Mapping!D:D,Mapping!E:E)</f>
        <v>Kinh doanh</v>
      </c>
      <c r="C1085" s="167" t="str">
        <f>_xlfn.XLOOKUP(F1085,Mapping!A:A,Mapping!F:F)</f>
        <v>Phụ Cấp</v>
      </c>
      <c r="D1085" s="173">
        <v>45838</v>
      </c>
      <c r="E1085" s="169" t="s">
        <v>813</v>
      </c>
      <c r="F1085" s="169" t="s">
        <v>385</v>
      </c>
      <c r="G1085" s="169" t="s">
        <v>336</v>
      </c>
      <c r="H1085" s="169" t="s">
        <v>366</v>
      </c>
      <c r="I1085" s="169" t="s">
        <v>1</v>
      </c>
      <c r="J1085" s="169" t="s">
        <v>814</v>
      </c>
      <c r="K1085" s="169" t="s">
        <v>815</v>
      </c>
      <c r="L1085" s="169" t="s">
        <v>816</v>
      </c>
      <c r="M1085" s="169" t="s">
        <v>281</v>
      </c>
      <c r="N1085" s="178">
        <v>50000</v>
      </c>
      <c r="O1085" s="169" t="s">
        <v>817</v>
      </c>
      <c r="P1085" s="169" t="s">
        <v>283</v>
      </c>
      <c r="Q1085" s="169" t="s">
        <v>284</v>
      </c>
      <c r="R1085" s="169" t="s">
        <v>283</v>
      </c>
      <c r="S1085" s="169" t="s">
        <v>283</v>
      </c>
      <c r="T1085" s="169">
        <v>0</v>
      </c>
    </row>
    <row r="1086" spans="2:20" x14ac:dyDescent="0.2">
      <c r="B1086" s="167" t="str">
        <f>_xlfn.XLOOKUP(I1086,Mapping!D:D,Mapping!E:E)</f>
        <v>Cung Ứng</v>
      </c>
      <c r="C1086" s="167" t="str">
        <f>_xlfn.XLOOKUP(F1086,Mapping!A:A,Mapping!F:F)</f>
        <v>Lương Chính +T13</v>
      </c>
      <c r="D1086" s="173">
        <v>45838</v>
      </c>
      <c r="E1086" s="169" t="s">
        <v>813</v>
      </c>
      <c r="F1086" s="169" t="s">
        <v>274</v>
      </c>
      <c r="G1086" s="169" t="s">
        <v>275</v>
      </c>
      <c r="H1086" s="169" t="s">
        <v>380</v>
      </c>
      <c r="I1086" s="169" t="s">
        <v>381</v>
      </c>
      <c r="J1086" s="169" t="s">
        <v>814</v>
      </c>
      <c r="K1086" s="169" t="s">
        <v>815</v>
      </c>
      <c r="L1086" s="169" t="s">
        <v>816</v>
      </c>
      <c r="M1086" s="169" t="s">
        <v>281</v>
      </c>
      <c r="N1086" s="178">
        <v>540919714</v>
      </c>
      <c r="O1086" s="169" t="s">
        <v>817</v>
      </c>
      <c r="P1086" s="169" t="s">
        <v>283</v>
      </c>
      <c r="Q1086" s="169" t="s">
        <v>284</v>
      </c>
      <c r="R1086" s="169" t="s">
        <v>283</v>
      </c>
      <c r="S1086" s="169" t="s">
        <v>283</v>
      </c>
      <c r="T1086" s="169">
        <v>0</v>
      </c>
    </row>
    <row r="1087" spans="2:20" x14ac:dyDescent="0.2">
      <c r="B1087" s="167" t="str">
        <f>_xlfn.XLOOKUP(I1087,Mapping!D:D,Mapping!E:E)</f>
        <v>Cung Ứng</v>
      </c>
      <c r="C1087" s="167" t="str">
        <f>_xlfn.XLOOKUP(F1087,Mapping!A:A,Mapping!F:F)</f>
        <v>Lương Chính +T13</v>
      </c>
      <c r="D1087" s="173">
        <v>45838</v>
      </c>
      <c r="E1087" s="169" t="s">
        <v>813</v>
      </c>
      <c r="F1087" s="169" t="s">
        <v>285</v>
      </c>
      <c r="G1087" s="169" t="s">
        <v>286</v>
      </c>
      <c r="H1087" s="169" t="s">
        <v>380</v>
      </c>
      <c r="I1087" s="169" t="s">
        <v>381</v>
      </c>
      <c r="J1087" s="169" t="s">
        <v>814</v>
      </c>
      <c r="K1087" s="169" t="s">
        <v>815</v>
      </c>
      <c r="L1087" s="169" t="s">
        <v>816</v>
      </c>
      <c r="M1087" s="169" t="s">
        <v>281</v>
      </c>
      <c r="N1087" s="178">
        <v>19074424</v>
      </c>
      <c r="O1087" s="169" t="s">
        <v>817</v>
      </c>
      <c r="P1087" s="169" t="s">
        <v>283</v>
      </c>
      <c r="Q1087" s="169" t="s">
        <v>284</v>
      </c>
      <c r="R1087" s="169" t="s">
        <v>283</v>
      </c>
      <c r="S1087" s="169" t="s">
        <v>283</v>
      </c>
      <c r="T1087" s="169">
        <v>0</v>
      </c>
    </row>
    <row r="1088" spans="2:20" x14ac:dyDescent="0.2">
      <c r="B1088" s="167" t="str">
        <f>_xlfn.XLOOKUP(I1088,Mapping!D:D,Mapping!E:E)</f>
        <v>Cung Ứng</v>
      </c>
      <c r="C1088" s="167" t="str">
        <f>_xlfn.XLOOKUP(F1088,Mapping!A:A,Mapping!F:F)</f>
        <v>Thưởng</v>
      </c>
      <c r="D1088" s="173">
        <v>45838</v>
      </c>
      <c r="E1088" s="169" t="s">
        <v>813</v>
      </c>
      <c r="F1088" s="169" t="s">
        <v>290</v>
      </c>
      <c r="G1088" s="169" t="s">
        <v>291</v>
      </c>
      <c r="H1088" s="169" t="s">
        <v>380</v>
      </c>
      <c r="I1088" s="169" t="s">
        <v>381</v>
      </c>
      <c r="J1088" s="169" t="s">
        <v>814</v>
      </c>
      <c r="K1088" s="169" t="s">
        <v>815</v>
      </c>
      <c r="L1088" s="169" t="s">
        <v>816</v>
      </c>
      <c r="M1088" s="169" t="s">
        <v>281</v>
      </c>
      <c r="N1088" s="178">
        <v>259454352</v>
      </c>
      <c r="O1088" s="169" t="s">
        <v>817</v>
      </c>
      <c r="P1088" s="169" t="s">
        <v>283</v>
      </c>
      <c r="Q1088" s="169" t="s">
        <v>284</v>
      </c>
      <c r="R1088" s="169" t="s">
        <v>283</v>
      </c>
      <c r="S1088" s="169" t="s">
        <v>283</v>
      </c>
      <c r="T1088" s="169">
        <v>0</v>
      </c>
    </row>
    <row r="1089" spans="2:20" x14ac:dyDescent="0.2">
      <c r="B1089" s="167" t="str">
        <f>_xlfn.XLOOKUP(I1089,Mapping!D:D,Mapping!E:E)</f>
        <v>Cung Ứng</v>
      </c>
      <c r="C1089" s="167" t="str">
        <f>_xlfn.XLOOKUP(F1089,Mapping!A:A,Mapping!F:F)</f>
        <v>Phụ Cấp</v>
      </c>
      <c r="D1089" s="173">
        <v>45838</v>
      </c>
      <c r="E1089" s="169" t="s">
        <v>813</v>
      </c>
      <c r="F1089" s="169" t="s">
        <v>335</v>
      </c>
      <c r="G1089" s="169" t="s">
        <v>336</v>
      </c>
      <c r="H1089" s="169" t="s">
        <v>380</v>
      </c>
      <c r="I1089" s="169" t="s">
        <v>381</v>
      </c>
      <c r="J1089" s="169" t="s">
        <v>814</v>
      </c>
      <c r="K1089" s="169" t="s">
        <v>815</v>
      </c>
      <c r="L1089" s="169" t="s">
        <v>816</v>
      </c>
      <c r="M1089" s="169" t="s">
        <v>281</v>
      </c>
      <c r="N1089" s="178">
        <v>12600000</v>
      </c>
      <c r="O1089" s="169" t="s">
        <v>817</v>
      </c>
      <c r="P1089" s="169" t="s">
        <v>283</v>
      </c>
      <c r="Q1089" s="169" t="s">
        <v>284</v>
      </c>
      <c r="R1089" s="169" t="s">
        <v>283</v>
      </c>
      <c r="S1089" s="169" t="s">
        <v>283</v>
      </c>
      <c r="T1089" s="169">
        <v>0</v>
      </c>
    </row>
    <row r="1090" spans="2:20" x14ac:dyDescent="0.2">
      <c r="B1090" s="167" t="str">
        <f>_xlfn.XLOOKUP(I1090,Mapping!D:D,Mapping!E:E)</f>
        <v>Mua Hàng &amp; XNK</v>
      </c>
      <c r="C1090" s="167" t="str">
        <f>_xlfn.XLOOKUP(F1090,Mapping!A:A,Mapping!F:F)</f>
        <v>Lương Chính +T13</v>
      </c>
      <c r="D1090" s="173">
        <v>45838</v>
      </c>
      <c r="E1090" s="169" t="s">
        <v>813</v>
      </c>
      <c r="F1090" s="169" t="s">
        <v>274</v>
      </c>
      <c r="G1090" s="169" t="s">
        <v>275</v>
      </c>
      <c r="H1090" s="169" t="s">
        <v>378</v>
      </c>
      <c r="I1090" s="169" t="s">
        <v>379</v>
      </c>
      <c r="J1090" s="169" t="s">
        <v>814</v>
      </c>
      <c r="K1090" s="169" t="s">
        <v>815</v>
      </c>
      <c r="L1090" s="169" t="s">
        <v>816</v>
      </c>
      <c r="M1090" s="169" t="s">
        <v>281</v>
      </c>
      <c r="N1090" s="178">
        <v>137295525</v>
      </c>
      <c r="O1090" s="169" t="s">
        <v>817</v>
      </c>
      <c r="P1090" s="169" t="s">
        <v>283</v>
      </c>
      <c r="Q1090" s="169" t="s">
        <v>284</v>
      </c>
      <c r="R1090" s="169" t="s">
        <v>283</v>
      </c>
      <c r="S1090" s="169" t="s">
        <v>283</v>
      </c>
      <c r="T1090" s="169">
        <v>0</v>
      </c>
    </row>
    <row r="1091" spans="2:20" x14ac:dyDescent="0.2">
      <c r="B1091" s="167" t="str">
        <f>_xlfn.XLOOKUP(I1091,Mapping!D:D,Mapping!E:E)</f>
        <v>Mua Hàng &amp; XNK</v>
      </c>
      <c r="C1091" s="167" t="str">
        <f>_xlfn.XLOOKUP(F1091,Mapping!A:A,Mapping!F:F)</f>
        <v>Lương Chính +T13</v>
      </c>
      <c r="D1091" s="173">
        <v>45838</v>
      </c>
      <c r="E1091" s="169" t="s">
        <v>813</v>
      </c>
      <c r="F1091" s="169" t="s">
        <v>285</v>
      </c>
      <c r="G1091" s="169" t="s">
        <v>286</v>
      </c>
      <c r="H1091" s="169" t="s">
        <v>378</v>
      </c>
      <c r="I1091" s="169" t="s">
        <v>379</v>
      </c>
      <c r="J1091" s="169" t="s">
        <v>814</v>
      </c>
      <c r="K1091" s="169" t="s">
        <v>815</v>
      </c>
      <c r="L1091" s="169" t="s">
        <v>816</v>
      </c>
      <c r="M1091" s="169" t="s">
        <v>281</v>
      </c>
      <c r="N1091" s="178">
        <v>3077557</v>
      </c>
      <c r="O1091" s="169" t="s">
        <v>817</v>
      </c>
      <c r="P1091" s="169" t="s">
        <v>283</v>
      </c>
      <c r="Q1091" s="169" t="s">
        <v>284</v>
      </c>
      <c r="R1091" s="169" t="s">
        <v>283</v>
      </c>
      <c r="S1091" s="169" t="s">
        <v>283</v>
      </c>
      <c r="T1091" s="169">
        <v>0</v>
      </c>
    </row>
    <row r="1092" spans="2:20" x14ac:dyDescent="0.2">
      <c r="B1092" s="167" t="str">
        <f>_xlfn.XLOOKUP(I1092,Mapping!D:D,Mapping!E:E)</f>
        <v>Mua Hàng &amp; XNK</v>
      </c>
      <c r="C1092" s="167" t="str">
        <f>_xlfn.XLOOKUP(F1092,Mapping!A:A,Mapping!F:F)</f>
        <v>Phụ Cấp</v>
      </c>
      <c r="D1092" s="173">
        <v>45838</v>
      </c>
      <c r="E1092" s="169" t="s">
        <v>813</v>
      </c>
      <c r="F1092" s="169" t="s">
        <v>335</v>
      </c>
      <c r="G1092" s="169" t="s">
        <v>336</v>
      </c>
      <c r="H1092" s="169" t="s">
        <v>378</v>
      </c>
      <c r="I1092" s="169" t="s">
        <v>379</v>
      </c>
      <c r="J1092" s="169" t="s">
        <v>814</v>
      </c>
      <c r="K1092" s="169" t="s">
        <v>815</v>
      </c>
      <c r="L1092" s="169" t="s">
        <v>816</v>
      </c>
      <c r="M1092" s="169" t="s">
        <v>281</v>
      </c>
      <c r="N1092" s="178">
        <v>475000</v>
      </c>
      <c r="O1092" s="169" t="s">
        <v>817</v>
      </c>
      <c r="P1092" s="169" t="s">
        <v>283</v>
      </c>
      <c r="Q1092" s="169" t="s">
        <v>284</v>
      </c>
      <c r="R1092" s="169" t="s">
        <v>283</v>
      </c>
      <c r="S1092" s="169" t="s">
        <v>283</v>
      </c>
      <c r="T1092" s="169">
        <v>0</v>
      </c>
    </row>
    <row r="1093" spans="2:20" x14ac:dyDescent="0.2">
      <c r="B1093" s="167" t="str">
        <f>_xlfn.XLOOKUP(I1093,Mapping!D:D,Mapping!E:E)</f>
        <v>Kỹ Thuật</v>
      </c>
      <c r="C1093" s="167" t="str">
        <f>_xlfn.XLOOKUP(F1093,Mapping!A:A,Mapping!F:F)</f>
        <v>Phụ Cấp</v>
      </c>
      <c r="D1093" s="173">
        <v>45838</v>
      </c>
      <c r="E1093" s="169" t="s">
        <v>813</v>
      </c>
      <c r="F1093" s="169" t="s">
        <v>386</v>
      </c>
      <c r="G1093" s="169" t="s">
        <v>341</v>
      </c>
      <c r="H1093" s="169" t="s">
        <v>376</v>
      </c>
      <c r="I1093" s="169" t="s">
        <v>377</v>
      </c>
      <c r="J1093" s="169" t="s">
        <v>814</v>
      </c>
      <c r="K1093" s="169" t="s">
        <v>815</v>
      </c>
      <c r="L1093" s="169" t="s">
        <v>816</v>
      </c>
      <c r="M1093" s="169" t="s">
        <v>281</v>
      </c>
      <c r="N1093" s="178">
        <v>48223812</v>
      </c>
      <c r="O1093" s="169" t="s">
        <v>817</v>
      </c>
      <c r="P1093" s="169" t="s">
        <v>283</v>
      </c>
      <c r="Q1093" s="169" t="s">
        <v>284</v>
      </c>
      <c r="R1093" s="169" t="s">
        <v>283</v>
      </c>
      <c r="S1093" s="169" t="s">
        <v>283</v>
      </c>
      <c r="T1093" s="169">
        <v>0</v>
      </c>
    </row>
    <row r="1094" spans="2:20" x14ac:dyDescent="0.2">
      <c r="B1094" s="167" t="str">
        <f>_xlfn.XLOOKUP(I1094,Mapping!D:D,Mapping!E:E)</f>
        <v>Kỹ Thuật</v>
      </c>
      <c r="C1094" s="167" t="str">
        <f>_xlfn.XLOOKUP(F1094,Mapping!A:A,Mapping!F:F)</f>
        <v>Lương Chính +T13</v>
      </c>
      <c r="D1094" s="173">
        <v>45838</v>
      </c>
      <c r="E1094" s="169" t="s">
        <v>813</v>
      </c>
      <c r="F1094" s="169" t="s">
        <v>387</v>
      </c>
      <c r="G1094" s="169" t="s">
        <v>275</v>
      </c>
      <c r="H1094" s="169" t="s">
        <v>376</v>
      </c>
      <c r="I1094" s="169" t="s">
        <v>377</v>
      </c>
      <c r="J1094" s="169" t="s">
        <v>814</v>
      </c>
      <c r="K1094" s="169" t="s">
        <v>815</v>
      </c>
      <c r="L1094" s="169" t="s">
        <v>816</v>
      </c>
      <c r="M1094" s="169" t="s">
        <v>281</v>
      </c>
      <c r="N1094" s="178">
        <v>1118505022</v>
      </c>
      <c r="O1094" s="169" t="s">
        <v>817</v>
      </c>
      <c r="P1094" s="169" t="s">
        <v>283</v>
      </c>
      <c r="Q1094" s="169" t="s">
        <v>284</v>
      </c>
      <c r="R1094" s="169" t="s">
        <v>283</v>
      </c>
      <c r="S1094" s="169" t="s">
        <v>283</v>
      </c>
      <c r="T1094" s="169">
        <v>0</v>
      </c>
    </row>
    <row r="1095" spans="2:20" x14ac:dyDescent="0.2">
      <c r="B1095" s="167" t="str">
        <f>_xlfn.XLOOKUP(I1095,Mapping!D:D,Mapping!E:E)</f>
        <v>Kỹ Thuật</v>
      </c>
      <c r="C1095" s="167" t="str">
        <f>_xlfn.XLOOKUP(F1095,Mapping!A:A,Mapping!F:F)</f>
        <v>Lương Chính +T13</v>
      </c>
      <c r="D1095" s="173">
        <v>45838</v>
      </c>
      <c r="E1095" s="169" t="s">
        <v>813</v>
      </c>
      <c r="F1095" s="169" t="s">
        <v>388</v>
      </c>
      <c r="G1095" s="169" t="s">
        <v>286</v>
      </c>
      <c r="H1095" s="169" t="s">
        <v>376</v>
      </c>
      <c r="I1095" s="169" t="s">
        <v>377</v>
      </c>
      <c r="J1095" s="169" t="s">
        <v>814</v>
      </c>
      <c r="K1095" s="169" t="s">
        <v>815</v>
      </c>
      <c r="L1095" s="169" t="s">
        <v>816</v>
      </c>
      <c r="M1095" s="169" t="s">
        <v>281</v>
      </c>
      <c r="N1095" s="178">
        <v>39612215</v>
      </c>
      <c r="O1095" s="169" t="s">
        <v>817</v>
      </c>
      <c r="P1095" s="169" t="s">
        <v>283</v>
      </c>
      <c r="Q1095" s="169" t="s">
        <v>284</v>
      </c>
      <c r="R1095" s="169" t="s">
        <v>283</v>
      </c>
      <c r="S1095" s="169" t="s">
        <v>283</v>
      </c>
      <c r="T1095" s="169">
        <v>0</v>
      </c>
    </row>
    <row r="1096" spans="2:20" x14ac:dyDescent="0.2">
      <c r="B1096" s="167" t="str">
        <f>_xlfn.XLOOKUP(I1096,Mapping!D:D,Mapping!E:E)</f>
        <v>Kỹ Thuật</v>
      </c>
      <c r="C1096" s="167" t="str">
        <f>_xlfn.XLOOKUP(F1096,Mapping!A:A,Mapping!F:F)</f>
        <v>Lương Ngoài giờ</v>
      </c>
      <c r="D1096" s="173">
        <v>45838</v>
      </c>
      <c r="E1096" s="169" t="s">
        <v>813</v>
      </c>
      <c r="F1096" s="169" t="s">
        <v>389</v>
      </c>
      <c r="G1096" s="169" t="s">
        <v>390</v>
      </c>
      <c r="H1096" s="169" t="s">
        <v>376</v>
      </c>
      <c r="I1096" s="169" t="s">
        <v>377</v>
      </c>
      <c r="J1096" s="169" t="s">
        <v>814</v>
      </c>
      <c r="K1096" s="169" t="s">
        <v>815</v>
      </c>
      <c r="L1096" s="169" t="s">
        <v>816</v>
      </c>
      <c r="M1096" s="169" t="s">
        <v>281</v>
      </c>
      <c r="N1096" s="178">
        <v>361637450</v>
      </c>
      <c r="O1096" s="169" t="s">
        <v>817</v>
      </c>
      <c r="P1096" s="169" t="s">
        <v>283</v>
      </c>
      <c r="Q1096" s="169" t="s">
        <v>284</v>
      </c>
      <c r="R1096" s="169" t="s">
        <v>283</v>
      </c>
      <c r="S1096" s="169" t="s">
        <v>283</v>
      </c>
      <c r="T1096" s="169">
        <v>0</v>
      </c>
    </row>
    <row r="1097" spans="2:20" x14ac:dyDescent="0.2">
      <c r="B1097" s="167" t="str">
        <f>_xlfn.XLOOKUP(I1097,Mapping!D:D,Mapping!E:E)</f>
        <v>Kỹ Thuật</v>
      </c>
      <c r="C1097" s="167" t="str">
        <f>_xlfn.XLOOKUP(F1097,Mapping!A:A,Mapping!F:F)</f>
        <v>Phụ Cấp</v>
      </c>
      <c r="D1097" s="173">
        <v>45838</v>
      </c>
      <c r="E1097" s="169" t="s">
        <v>813</v>
      </c>
      <c r="F1097" s="169" t="s">
        <v>375</v>
      </c>
      <c r="G1097" s="169" t="s">
        <v>336</v>
      </c>
      <c r="H1097" s="169" t="s">
        <v>376</v>
      </c>
      <c r="I1097" s="169" t="s">
        <v>377</v>
      </c>
      <c r="J1097" s="169" t="s">
        <v>814</v>
      </c>
      <c r="K1097" s="169" t="s">
        <v>815</v>
      </c>
      <c r="L1097" s="169" t="s">
        <v>816</v>
      </c>
      <c r="M1097" s="169" t="s">
        <v>281</v>
      </c>
      <c r="N1097" s="178">
        <v>11380000</v>
      </c>
      <c r="O1097" s="169" t="s">
        <v>817</v>
      </c>
      <c r="P1097" s="169" t="s">
        <v>283</v>
      </c>
      <c r="Q1097" s="169" t="s">
        <v>284</v>
      </c>
      <c r="R1097" s="169" t="s">
        <v>283</v>
      </c>
      <c r="S1097" s="169" t="s">
        <v>283</v>
      </c>
      <c r="T1097" s="169">
        <v>0</v>
      </c>
    </row>
    <row r="1098" spans="2:20" x14ac:dyDescent="0.2">
      <c r="B1098" s="167" t="str">
        <f>_xlfn.XLOOKUP(I1098,Mapping!D:D,Mapping!E:E)</f>
        <v>Kinh doanh</v>
      </c>
      <c r="C1098" s="167" t="str">
        <f>_xlfn.XLOOKUP(F1098,Mapping!A:A,Mapping!F:F)</f>
        <v>Lương Chính +T13</v>
      </c>
      <c r="D1098" s="173">
        <v>45838</v>
      </c>
      <c r="E1098" s="169" t="s">
        <v>818</v>
      </c>
      <c r="F1098" s="169" t="s">
        <v>384</v>
      </c>
      <c r="G1098" s="169" t="s">
        <v>286</v>
      </c>
      <c r="H1098" s="169" t="s">
        <v>366</v>
      </c>
      <c r="I1098" s="169" t="s">
        <v>1</v>
      </c>
      <c r="J1098" s="169" t="s">
        <v>821</v>
      </c>
      <c r="K1098" s="169" t="s">
        <v>815</v>
      </c>
      <c r="L1098" s="169" t="s">
        <v>816</v>
      </c>
      <c r="M1098" s="169" t="s">
        <v>281</v>
      </c>
      <c r="N1098" s="178">
        <v>22296833</v>
      </c>
      <c r="O1098" s="169" t="s">
        <v>820</v>
      </c>
      <c r="P1098" s="169" t="s">
        <v>283</v>
      </c>
      <c r="Q1098" s="169" t="s">
        <v>284</v>
      </c>
      <c r="R1098" s="169" t="s">
        <v>283</v>
      </c>
      <c r="S1098" s="169" t="s">
        <v>283</v>
      </c>
      <c r="T1098" s="169">
        <v>0</v>
      </c>
    </row>
    <row r="1099" spans="2:20" x14ac:dyDescent="0.2">
      <c r="B1099" s="167" t="str">
        <f>_xlfn.XLOOKUP(I1099,Mapping!D:D,Mapping!E:E)</f>
        <v>Kinh doanh</v>
      </c>
      <c r="C1099" s="167" t="str">
        <f>_xlfn.XLOOKUP(F1099,Mapping!A:A,Mapping!F:F)</f>
        <v>Thưởng</v>
      </c>
      <c r="D1099" s="173">
        <v>45838</v>
      </c>
      <c r="E1099" s="169" t="s">
        <v>818</v>
      </c>
      <c r="F1099" s="169" t="s">
        <v>394</v>
      </c>
      <c r="G1099" s="169" t="s">
        <v>77</v>
      </c>
      <c r="H1099" s="169" t="s">
        <v>366</v>
      </c>
      <c r="I1099" s="169" t="s">
        <v>1</v>
      </c>
      <c r="J1099" s="169" t="s">
        <v>821</v>
      </c>
      <c r="K1099" s="169" t="s">
        <v>815</v>
      </c>
      <c r="L1099" s="169" t="s">
        <v>816</v>
      </c>
      <c r="M1099" s="169" t="s">
        <v>281</v>
      </c>
      <c r="N1099" s="178">
        <v>20512908</v>
      </c>
      <c r="O1099" s="169" t="s">
        <v>820</v>
      </c>
      <c r="P1099" s="169" t="s">
        <v>283</v>
      </c>
      <c r="Q1099" s="169" t="s">
        <v>284</v>
      </c>
      <c r="R1099" s="169" t="s">
        <v>283</v>
      </c>
      <c r="S1099" s="169" t="s">
        <v>283</v>
      </c>
      <c r="T1099" s="169">
        <v>0</v>
      </c>
    </row>
    <row r="1100" spans="2:20" x14ac:dyDescent="0.2">
      <c r="B1100" s="167" t="str">
        <f>_xlfn.XLOOKUP(I1100,Mapping!D:D,Mapping!E:E)</f>
        <v>Cung Ứng</v>
      </c>
      <c r="C1100" s="167" t="str">
        <f>_xlfn.XLOOKUP(F1100,Mapping!A:A,Mapping!F:F)</f>
        <v>Lương Chính +T13</v>
      </c>
      <c r="D1100" s="173">
        <v>45838</v>
      </c>
      <c r="E1100" s="169" t="s">
        <v>818</v>
      </c>
      <c r="F1100" s="169" t="s">
        <v>285</v>
      </c>
      <c r="G1100" s="169" t="s">
        <v>286</v>
      </c>
      <c r="H1100" s="169" t="s">
        <v>380</v>
      </c>
      <c r="I1100" s="169" t="s">
        <v>381</v>
      </c>
      <c r="J1100" s="169" t="s">
        <v>819</v>
      </c>
      <c r="K1100" s="169" t="s">
        <v>815</v>
      </c>
      <c r="L1100" s="169" t="s">
        <v>816</v>
      </c>
      <c r="M1100" s="169" t="s">
        <v>281</v>
      </c>
      <c r="N1100" s="178">
        <v>40044085</v>
      </c>
      <c r="O1100" s="169" t="s">
        <v>820</v>
      </c>
      <c r="P1100" s="169" t="s">
        <v>283</v>
      </c>
      <c r="Q1100" s="169" t="s">
        <v>284</v>
      </c>
      <c r="R1100" s="169" t="s">
        <v>283</v>
      </c>
      <c r="S1100" s="169" t="s">
        <v>283</v>
      </c>
      <c r="T1100" s="169">
        <v>0</v>
      </c>
    </row>
    <row r="1101" spans="2:20" x14ac:dyDescent="0.2">
      <c r="B1101" s="167" t="str">
        <f>_xlfn.XLOOKUP(I1101,Mapping!D:D,Mapping!E:E)</f>
        <v>Cung Ứng</v>
      </c>
      <c r="C1101" s="167" t="str">
        <f>_xlfn.XLOOKUP(F1101,Mapping!A:A,Mapping!F:F)</f>
        <v>Thưởng</v>
      </c>
      <c r="D1101" s="173">
        <v>45838</v>
      </c>
      <c r="E1101" s="169" t="s">
        <v>818</v>
      </c>
      <c r="F1101" s="169" t="s">
        <v>292</v>
      </c>
      <c r="G1101" s="169" t="s">
        <v>77</v>
      </c>
      <c r="H1101" s="169" t="s">
        <v>380</v>
      </c>
      <c r="I1101" s="169" t="s">
        <v>381</v>
      </c>
      <c r="J1101" s="169" t="s">
        <v>821</v>
      </c>
      <c r="K1101" s="169" t="s">
        <v>815</v>
      </c>
      <c r="L1101" s="169" t="s">
        <v>816</v>
      </c>
      <c r="M1101" s="169" t="s">
        <v>281</v>
      </c>
      <c r="N1101" s="178">
        <v>34987056</v>
      </c>
      <c r="O1101" s="169" t="s">
        <v>820</v>
      </c>
      <c r="P1101" s="169" t="s">
        <v>283</v>
      </c>
      <c r="Q1101" s="169" t="s">
        <v>284</v>
      </c>
      <c r="R1101" s="169" t="s">
        <v>283</v>
      </c>
      <c r="S1101" s="169" t="s">
        <v>283</v>
      </c>
      <c r="T1101" s="169">
        <v>0</v>
      </c>
    </row>
    <row r="1102" spans="2:20" x14ac:dyDescent="0.2">
      <c r="B1102" s="167" t="str">
        <f>_xlfn.XLOOKUP(I1102,Mapping!D:D,Mapping!E:E)</f>
        <v>Mua Hàng &amp; XNK</v>
      </c>
      <c r="C1102" s="167" t="str">
        <f>_xlfn.XLOOKUP(F1102,Mapping!A:A,Mapping!F:F)</f>
        <v>Lương Chính +T13</v>
      </c>
      <c r="D1102" s="173">
        <v>45838</v>
      </c>
      <c r="E1102" s="169" t="s">
        <v>818</v>
      </c>
      <c r="F1102" s="169" t="s">
        <v>285</v>
      </c>
      <c r="G1102" s="169" t="s">
        <v>286</v>
      </c>
      <c r="H1102" s="169" t="s">
        <v>378</v>
      </c>
      <c r="I1102" s="169" t="s">
        <v>379</v>
      </c>
      <c r="J1102" s="169" t="s">
        <v>819</v>
      </c>
      <c r="K1102" s="169" t="s">
        <v>815</v>
      </c>
      <c r="L1102" s="169" t="s">
        <v>816</v>
      </c>
      <c r="M1102" s="169" t="s">
        <v>281</v>
      </c>
      <c r="N1102" s="178">
        <v>11877750</v>
      </c>
      <c r="O1102" s="169" t="s">
        <v>820</v>
      </c>
      <c r="P1102" s="169" t="s">
        <v>283</v>
      </c>
      <c r="Q1102" s="169" t="s">
        <v>284</v>
      </c>
      <c r="R1102" s="169" t="s">
        <v>283</v>
      </c>
      <c r="S1102" s="169" t="s">
        <v>283</v>
      </c>
      <c r="T1102" s="169">
        <v>0</v>
      </c>
    </row>
    <row r="1103" spans="2:20" x14ac:dyDescent="0.2">
      <c r="B1103" s="167" t="str">
        <f>_xlfn.XLOOKUP(I1103,Mapping!D:D,Mapping!E:E)</f>
        <v>Mua Hàng &amp; XNK</v>
      </c>
      <c r="C1103" s="167" t="str">
        <f>_xlfn.XLOOKUP(F1103,Mapping!A:A,Mapping!F:F)</f>
        <v>Thưởng</v>
      </c>
      <c r="D1103" s="173">
        <v>45838</v>
      </c>
      <c r="E1103" s="169" t="s">
        <v>818</v>
      </c>
      <c r="F1103" s="169" t="s">
        <v>292</v>
      </c>
      <c r="G1103" s="169" t="s">
        <v>77</v>
      </c>
      <c r="H1103" s="169" t="s">
        <v>378</v>
      </c>
      <c r="I1103" s="169" t="s">
        <v>379</v>
      </c>
      <c r="J1103" s="169" t="s">
        <v>821</v>
      </c>
      <c r="K1103" s="169" t="s">
        <v>815</v>
      </c>
      <c r="L1103" s="169" t="s">
        <v>816</v>
      </c>
      <c r="M1103" s="169" t="s">
        <v>281</v>
      </c>
      <c r="N1103" s="178">
        <v>10927435</v>
      </c>
      <c r="O1103" s="169" t="s">
        <v>820</v>
      </c>
      <c r="P1103" s="169" t="s">
        <v>283</v>
      </c>
      <c r="Q1103" s="169" t="s">
        <v>284</v>
      </c>
      <c r="R1103" s="169" t="s">
        <v>283</v>
      </c>
      <c r="S1103" s="169" t="s">
        <v>283</v>
      </c>
      <c r="T1103" s="169">
        <v>0</v>
      </c>
    </row>
    <row r="1104" spans="2:20" x14ac:dyDescent="0.2">
      <c r="B1104" s="167" t="str">
        <f>_xlfn.XLOOKUP(I1104,Mapping!D:D,Mapping!E:E)</f>
        <v>Kỹ Thuật</v>
      </c>
      <c r="C1104" s="167" t="str">
        <f>_xlfn.XLOOKUP(F1104,Mapping!A:A,Mapping!F:F)</f>
        <v>Lương Chính +T13</v>
      </c>
      <c r="D1104" s="173">
        <v>45838</v>
      </c>
      <c r="E1104" s="169" t="s">
        <v>818</v>
      </c>
      <c r="F1104" s="169" t="s">
        <v>388</v>
      </c>
      <c r="G1104" s="169" t="s">
        <v>286</v>
      </c>
      <c r="H1104" s="169" t="s">
        <v>376</v>
      </c>
      <c r="I1104" s="169" t="s">
        <v>377</v>
      </c>
      <c r="J1104" s="169" t="s">
        <v>819</v>
      </c>
      <c r="K1104" s="169" t="s">
        <v>815</v>
      </c>
      <c r="L1104" s="169" t="s">
        <v>816</v>
      </c>
      <c r="M1104" s="169" t="s">
        <v>281</v>
      </c>
      <c r="N1104" s="178">
        <v>87385167</v>
      </c>
      <c r="O1104" s="169" t="s">
        <v>820</v>
      </c>
      <c r="P1104" s="169" t="s">
        <v>283</v>
      </c>
      <c r="Q1104" s="169" t="s">
        <v>284</v>
      </c>
      <c r="R1104" s="169" t="s">
        <v>283</v>
      </c>
      <c r="S1104" s="169" t="s">
        <v>283</v>
      </c>
      <c r="T1104" s="169">
        <v>0</v>
      </c>
    </row>
    <row r="1105" spans="2:20" x14ac:dyDescent="0.2">
      <c r="B1105" s="167" t="str">
        <f>_xlfn.XLOOKUP(I1105,Mapping!D:D,Mapping!E:E)</f>
        <v>Kỹ Thuật</v>
      </c>
      <c r="C1105" s="167" t="str">
        <f>_xlfn.XLOOKUP(F1105,Mapping!A:A,Mapping!F:F)</f>
        <v>Thưởng</v>
      </c>
      <c r="D1105" s="173">
        <v>45838</v>
      </c>
      <c r="E1105" s="169" t="s">
        <v>818</v>
      </c>
      <c r="F1105" s="169" t="s">
        <v>395</v>
      </c>
      <c r="G1105" s="169" t="s">
        <v>77</v>
      </c>
      <c r="H1105" s="169" t="s">
        <v>376</v>
      </c>
      <c r="I1105" s="169" t="s">
        <v>377</v>
      </c>
      <c r="J1105" s="169" t="s">
        <v>821</v>
      </c>
      <c r="K1105" s="169" t="s">
        <v>815</v>
      </c>
      <c r="L1105" s="169" t="s">
        <v>816</v>
      </c>
      <c r="M1105" s="169" t="s">
        <v>281</v>
      </c>
      <c r="N1105" s="178">
        <v>80393654</v>
      </c>
      <c r="O1105" s="169" t="s">
        <v>820</v>
      </c>
      <c r="P1105" s="169" t="s">
        <v>283</v>
      </c>
      <c r="Q1105" s="169" t="s">
        <v>284</v>
      </c>
      <c r="R1105" s="169" t="s">
        <v>283</v>
      </c>
      <c r="S1105" s="169" t="s">
        <v>283</v>
      </c>
      <c r="T1105" s="169">
        <v>0</v>
      </c>
    </row>
    <row r="1106" spans="2:20" x14ac:dyDescent="0.2">
      <c r="B1106" s="167" t="str">
        <f>_xlfn.XLOOKUP(I1106,Mapping!D:D,Mapping!E:E)</f>
        <v>Kinh doanh</v>
      </c>
      <c r="C1106" s="167" t="str">
        <f>_xlfn.XLOOKUP(F1106,Mapping!A:A,Mapping!F:F)</f>
        <v>BHXH, BHYT, KPCĐ</v>
      </c>
      <c r="D1106" s="173">
        <v>45838</v>
      </c>
      <c r="E1106" s="169" t="s">
        <v>825</v>
      </c>
      <c r="F1106" s="169" t="s">
        <v>392</v>
      </c>
      <c r="G1106" s="169" t="s">
        <v>296</v>
      </c>
      <c r="H1106" s="169" t="s">
        <v>366</v>
      </c>
      <c r="I1106" s="169" t="s">
        <v>1</v>
      </c>
      <c r="J1106" s="169" t="s">
        <v>826</v>
      </c>
      <c r="K1106" s="169" t="s">
        <v>815</v>
      </c>
      <c r="L1106" s="169" t="s">
        <v>816</v>
      </c>
      <c r="M1106" s="169" t="s">
        <v>281</v>
      </c>
      <c r="N1106" s="178">
        <v>56494945</v>
      </c>
      <c r="O1106" s="169" t="s">
        <v>827</v>
      </c>
      <c r="P1106" s="169" t="s">
        <v>283</v>
      </c>
      <c r="Q1106" s="169" t="s">
        <v>284</v>
      </c>
      <c r="R1106" s="169" t="s">
        <v>283</v>
      </c>
      <c r="S1106" s="169" t="s">
        <v>283</v>
      </c>
      <c r="T1106" s="169">
        <v>0</v>
      </c>
    </row>
    <row r="1107" spans="2:20" x14ac:dyDescent="0.2">
      <c r="B1107" s="167" t="str">
        <f>_xlfn.XLOOKUP(I1107,Mapping!D:D,Mapping!E:E)</f>
        <v>Cung Ứng</v>
      </c>
      <c r="C1107" s="167" t="str">
        <f>_xlfn.XLOOKUP(F1107,Mapping!A:A,Mapping!F:F)</f>
        <v>BHXH, BHYT, KPCĐ</v>
      </c>
      <c r="D1107" s="173">
        <v>45838</v>
      </c>
      <c r="E1107" s="169" t="s">
        <v>825</v>
      </c>
      <c r="F1107" s="169" t="s">
        <v>295</v>
      </c>
      <c r="G1107" s="169" t="s">
        <v>296</v>
      </c>
      <c r="H1107" s="169" t="s">
        <v>380</v>
      </c>
      <c r="I1107" s="169" t="s">
        <v>381</v>
      </c>
      <c r="J1107" s="169" t="s">
        <v>826</v>
      </c>
      <c r="K1107" s="169" t="s">
        <v>815</v>
      </c>
      <c r="L1107" s="169" t="s">
        <v>816</v>
      </c>
      <c r="M1107" s="169" t="s">
        <v>281</v>
      </c>
      <c r="N1107" s="178">
        <v>104623615</v>
      </c>
      <c r="O1107" s="169" t="s">
        <v>827</v>
      </c>
      <c r="P1107" s="169" t="s">
        <v>283</v>
      </c>
      <c r="Q1107" s="169" t="s">
        <v>284</v>
      </c>
      <c r="R1107" s="169" t="s">
        <v>283</v>
      </c>
      <c r="S1107" s="169" t="s">
        <v>283</v>
      </c>
      <c r="T1107" s="169">
        <v>0</v>
      </c>
    </row>
    <row r="1108" spans="2:20" x14ac:dyDescent="0.2">
      <c r="B1108" s="167" t="str">
        <f>_xlfn.XLOOKUP(I1108,Mapping!D:D,Mapping!E:E)</f>
        <v>Mua Hàng &amp; XNK</v>
      </c>
      <c r="C1108" s="167" t="str">
        <f>_xlfn.XLOOKUP(F1108,Mapping!A:A,Mapping!F:F)</f>
        <v>BHXH, BHYT, KPCĐ</v>
      </c>
      <c r="D1108" s="173">
        <v>45838</v>
      </c>
      <c r="E1108" s="169" t="s">
        <v>825</v>
      </c>
      <c r="F1108" s="169" t="s">
        <v>295</v>
      </c>
      <c r="G1108" s="169" t="s">
        <v>296</v>
      </c>
      <c r="H1108" s="169" t="s">
        <v>378</v>
      </c>
      <c r="I1108" s="169" t="s">
        <v>379</v>
      </c>
      <c r="J1108" s="169" t="s">
        <v>826</v>
      </c>
      <c r="K1108" s="169" t="s">
        <v>815</v>
      </c>
      <c r="L1108" s="169" t="s">
        <v>816</v>
      </c>
      <c r="M1108" s="169" t="s">
        <v>281</v>
      </c>
      <c r="N1108" s="178">
        <v>27385255</v>
      </c>
      <c r="O1108" s="169" t="s">
        <v>827</v>
      </c>
      <c r="P1108" s="169" t="s">
        <v>283</v>
      </c>
      <c r="Q1108" s="169" t="s">
        <v>284</v>
      </c>
      <c r="R1108" s="169" t="s">
        <v>283</v>
      </c>
      <c r="S1108" s="169" t="s">
        <v>283</v>
      </c>
      <c r="T1108" s="169">
        <v>0</v>
      </c>
    </row>
    <row r="1109" spans="2:20" x14ac:dyDescent="0.2">
      <c r="B1109" s="167" t="str">
        <f>_xlfn.XLOOKUP(I1109,Mapping!D:D,Mapping!E:E)</f>
        <v>Kỹ Thuật</v>
      </c>
      <c r="C1109" s="167" t="str">
        <f>_xlfn.XLOOKUP(F1109,Mapping!A:A,Mapping!F:F)</f>
        <v>BHXH, BHYT, KPCĐ</v>
      </c>
      <c r="D1109" s="173">
        <v>45838</v>
      </c>
      <c r="E1109" s="169" t="s">
        <v>825</v>
      </c>
      <c r="F1109" s="169" t="s">
        <v>393</v>
      </c>
      <c r="G1109" s="169" t="s">
        <v>296</v>
      </c>
      <c r="H1109" s="169" t="s">
        <v>376</v>
      </c>
      <c r="I1109" s="169" t="s">
        <v>377</v>
      </c>
      <c r="J1109" s="169" t="s">
        <v>826</v>
      </c>
      <c r="K1109" s="169" t="s">
        <v>815</v>
      </c>
      <c r="L1109" s="169" t="s">
        <v>816</v>
      </c>
      <c r="M1109" s="169" t="s">
        <v>281</v>
      </c>
      <c r="N1109" s="178">
        <v>237026170</v>
      </c>
      <c r="O1109" s="169" t="s">
        <v>827</v>
      </c>
      <c r="P1109" s="169" t="s">
        <v>283</v>
      </c>
      <c r="Q1109" s="169" t="s">
        <v>284</v>
      </c>
      <c r="R1109" s="169" t="s">
        <v>283</v>
      </c>
      <c r="S1109" s="169" t="s">
        <v>283</v>
      </c>
      <c r="T1109" s="169">
        <v>0</v>
      </c>
    </row>
    <row r="1110" spans="2:20" x14ac:dyDescent="0.2">
      <c r="B1110" s="167" t="str">
        <f>_xlfn.XLOOKUP(I1110,Mapping!D:D,Mapping!E:E)</f>
        <v>Kinh doanh</v>
      </c>
      <c r="C1110" s="167" t="str">
        <f>_xlfn.XLOOKUP(F1110,Mapping!A:A,Mapping!F:F)</f>
        <v>Thưởng</v>
      </c>
      <c r="D1110" s="173">
        <v>45838</v>
      </c>
      <c r="E1110" s="169" t="s">
        <v>860</v>
      </c>
      <c r="F1110" s="169" t="s">
        <v>365</v>
      </c>
      <c r="G1110" s="169" t="s">
        <v>291</v>
      </c>
      <c r="H1110" s="169" t="s">
        <v>366</v>
      </c>
      <c r="I1110" s="169" t="s">
        <v>1</v>
      </c>
      <c r="J1110" s="169" t="s">
        <v>861</v>
      </c>
      <c r="K1110" s="169" t="s">
        <v>670</v>
      </c>
      <c r="L1110" s="169" t="s">
        <v>816</v>
      </c>
      <c r="M1110" s="169" t="s">
        <v>281</v>
      </c>
      <c r="N1110" s="178">
        <v>22983833</v>
      </c>
      <c r="O1110" s="169" t="s">
        <v>862</v>
      </c>
      <c r="P1110" s="169" t="s">
        <v>283</v>
      </c>
      <c r="Q1110" s="169" t="s">
        <v>370</v>
      </c>
      <c r="R1110" s="169" t="s">
        <v>283</v>
      </c>
      <c r="S1110" s="169" t="s">
        <v>283</v>
      </c>
      <c r="T1110" s="169">
        <v>0</v>
      </c>
    </row>
    <row r="1111" spans="2:20" x14ac:dyDescent="0.2">
      <c r="B1111" s="167" t="str">
        <f>_xlfn.XLOOKUP(I1111,Mapping!D:D,Mapping!E:E)</f>
        <v>Kinh doanh</v>
      </c>
      <c r="C1111" s="167" t="str">
        <f>_xlfn.XLOOKUP(F1111,Mapping!A:A,Mapping!F:F)</f>
        <v>Thưởng</v>
      </c>
      <c r="D1111" s="173">
        <v>45838</v>
      </c>
      <c r="E1111" s="169" t="s">
        <v>863</v>
      </c>
      <c r="F1111" s="169" t="s">
        <v>365</v>
      </c>
      <c r="G1111" s="169" t="s">
        <v>291</v>
      </c>
      <c r="H1111" s="169" t="s">
        <v>366</v>
      </c>
      <c r="I1111" s="169" t="s">
        <v>1</v>
      </c>
      <c r="J1111" s="169" t="s">
        <v>864</v>
      </c>
      <c r="K1111" s="169" t="s">
        <v>670</v>
      </c>
      <c r="L1111" s="169" t="s">
        <v>816</v>
      </c>
      <c r="M1111" s="169" t="s">
        <v>281</v>
      </c>
      <c r="N1111" s="178">
        <v>123314837</v>
      </c>
      <c r="O1111" s="169" t="s">
        <v>865</v>
      </c>
      <c r="P1111" s="169" t="s">
        <v>283</v>
      </c>
      <c r="Q1111" s="169" t="s">
        <v>370</v>
      </c>
      <c r="R1111" s="169" t="s">
        <v>283</v>
      </c>
      <c r="S1111" s="169" t="s">
        <v>283</v>
      </c>
      <c r="T1111" s="169">
        <v>0</v>
      </c>
    </row>
    <row r="1112" spans="2:20" x14ac:dyDescent="0.2">
      <c r="B1112" s="167" t="str">
        <f>_xlfn.XLOOKUP(I1112,Mapping!D:D,Mapping!E:E)</f>
        <v>Kinh doanh</v>
      </c>
      <c r="C1112" s="167" t="str">
        <f>_xlfn.XLOOKUP(F1112,Mapping!A:A,Mapping!F:F)</f>
        <v>Thưởng</v>
      </c>
      <c r="D1112" s="173">
        <v>45838</v>
      </c>
      <c r="E1112" s="169" t="s">
        <v>866</v>
      </c>
      <c r="F1112" s="169" t="s">
        <v>365</v>
      </c>
      <c r="G1112" s="169" t="s">
        <v>291</v>
      </c>
      <c r="H1112" s="169" t="s">
        <v>366</v>
      </c>
      <c r="I1112" s="169" t="s">
        <v>1</v>
      </c>
      <c r="J1112" s="169" t="s">
        <v>777</v>
      </c>
      <c r="K1112" s="169" t="s">
        <v>670</v>
      </c>
      <c r="L1112" s="169" t="s">
        <v>816</v>
      </c>
      <c r="M1112" s="169" t="s">
        <v>281</v>
      </c>
      <c r="N1112" s="178">
        <v>-179053379</v>
      </c>
      <c r="O1112" s="169" t="s">
        <v>867</v>
      </c>
      <c r="P1112" s="169" t="s">
        <v>447</v>
      </c>
      <c r="Q1112" s="169" t="s">
        <v>284</v>
      </c>
      <c r="R1112" s="169" t="s">
        <v>283</v>
      </c>
      <c r="S1112" s="169" t="s">
        <v>283</v>
      </c>
      <c r="T1112" s="169">
        <v>0</v>
      </c>
    </row>
    <row r="1113" spans="2:20" x14ac:dyDescent="0.2">
      <c r="B1113" s="167" t="str">
        <f>_xlfn.XLOOKUP(I1113,Mapping!D:D,Mapping!E:E)</f>
        <v>Kinh doanh</v>
      </c>
      <c r="C1113" s="167" t="str">
        <f>_xlfn.XLOOKUP(F1113,Mapping!A:A,Mapping!F:F)</f>
        <v>Phụ Cấp</v>
      </c>
      <c r="D1113" s="173">
        <v>45821</v>
      </c>
      <c r="E1113" s="169" t="s">
        <v>868</v>
      </c>
      <c r="F1113" s="169" t="s">
        <v>385</v>
      </c>
      <c r="G1113" s="169" t="s">
        <v>336</v>
      </c>
      <c r="H1113" s="169" t="s">
        <v>366</v>
      </c>
      <c r="I1113" s="169" t="s">
        <v>1</v>
      </c>
      <c r="J1113" s="169" t="s">
        <v>869</v>
      </c>
      <c r="K1113" s="169" t="s">
        <v>581</v>
      </c>
      <c r="L1113" s="169" t="s">
        <v>816</v>
      </c>
      <c r="M1113" s="169" t="s">
        <v>281</v>
      </c>
      <c r="N1113" s="178">
        <v>4899048</v>
      </c>
      <c r="O1113" s="169" t="s">
        <v>870</v>
      </c>
      <c r="P1113" s="169" t="s">
        <v>283</v>
      </c>
      <c r="Q1113" s="169" t="s">
        <v>306</v>
      </c>
      <c r="R1113" s="169" t="s">
        <v>283</v>
      </c>
      <c r="S1113" s="169" t="s">
        <v>283</v>
      </c>
      <c r="T1113" s="169">
        <v>0</v>
      </c>
    </row>
    <row r="1114" spans="2:20" x14ac:dyDescent="0.2">
      <c r="B1114" s="167" t="str">
        <f>_xlfn.XLOOKUP(I1114,Mapping!D:D,Mapping!E:E)</f>
        <v>Kỹ Thuật</v>
      </c>
      <c r="C1114" s="167" t="str">
        <f>_xlfn.XLOOKUP(F1114,Mapping!A:A,Mapping!F:F)</f>
        <v>Phụ Cấp</v>
      </c>
      <c r="D1114" s="173">
        <v>45834</v>
      </c>
      <c r="E1114" s="169" t="s">
        <v>837</v>
      </c>
      <c r="F1114" s="169" t="s">
        <v>375</v>
      </c>
      <c r="G1114" s="169" t="s">
        <v>336</v>
      </c>
      <c r="H1114" s="169" t="s">
        <v>376</v>
      </c>
      <c r="I1114" s="169" t="s">
        <v>377</v>
      </c>
      <c r="J1114" s="169" t="s">
        <v>838</v>
      </c>
      <c r="K1114" s="169" t="s">
        <v>741</v>
      </c>
      <c r="L1114" s="169" t="s">
        <v>816</v>
      </c>
      <c r="M1114" s="169" t="s">
        <v>281</v>
      </c>
      <c r="N1114" s="178">
        <v>49475000</v>
      </c>
      <c r="O1114" s="169" t="s">
        <v>839</v>
      </c>
      <c r="P1114" s="169" t="s">
        <v>283</v>
      </c>
      <c r="Q1114" s="169" t="s">
        <v>306</v>
      </c>
      <c r="R1114" s="169" t="s">
        <v>283</v>
      </c>
      <c r="S1114" s="169" t="s">
        <v>283</v>
      </c>
      <c r="T1114" s="169">
        <v>0</v>
      </c>
    </row>
    <row r="1115" spans="2:20" x14ac:dyDescent="0.2">
      <c r="B1115" s="167" t="str">
        <f>_xlfn.XLOOKUP(I1115,Mapping!D:D,Mapping!E:E)</f>
        <v>Mua Hàng &amp; XNK</v>
      </c>
      <c r="C1115" s="167" t="str">
        <f>_xlfn.XLOOKUP(F1115,Mapping!A:A,Mapping!F:F)</f>
        <v>Phụ Cấp</v>
      </c>
      <c r="D1115" s="173">
        <v>45834</v>
      </c>
      <c r="E1115" s="169" t="s">
        <v>837</v>
      </c>
      <c r="F1115" s="169" t="s">
        <v>335</v>
      </c>
      <c r="G1115" s="169" t="s">
        <v>336</v>
      </c>
      <c r="H1115" s="169" t="s">
        <v>378</v>
      </c>
      <c r="I1115" s="169" t="s">
        <v>379</v>
      </c>
      <c r="J1115" s="169" t="s">
        <v>838</v>
      </c>
      <c r="K1115" s="169" t="s">
        <v>741</v>
      </c>
      <c r="L1115" s="169" t="s">
        <v>816</v>
      </c>
      <c r="M1115" s="169" t="s">
        <v>281</v>
      </c>
      <c r="N1115" s="178">
        <v>4850000</v>
      </c>
      <c r="O1115" s="169" t="s">
        <v>839</v>
      </c>
      <c r="P1115" s="169" t="s">
        <v>283</v>
      </c>
      <c r="Q1115" s="169" t="s">
        <v>306</v>
      </c>
      <c r="R1115" s="169" t="s">
        <v>283</v>
      </c>
      <c r="S1115" s="169" t="s">
        <v>283</v>
      </c>
      <c r="T1115" s="169">
        <v>0</v>
      </c>
    </row>
    <row r="1116" spans="2:20" x14ac:dyDescent="0.2">
      <c r="B1116" s="167" t="str">
        <f>_xlfn.XLOOKUP(I1116,Mapping!D:D,Mapping!E:E)</f>
        <v>Cung Ứng</v>
      </c>
      <c r="C1116" s="167" t="str">
        <f>_xlfn.XLOOKUP(F1116,Mapping!A:A,Mapping!F:F)</f>
        <v>Phụ Cấp</v>
      </c>
      <c r="D1116" s="173">
        <v>45834</v>
      </c>
      <c r="E1116" s="169" t="s">
        <v>837</v>
      </c>
      <c r="F1116" s="169" t="s">
        <v>335</v>
      </c>
      <c r="G1116" s="169" t="s">
        <v>336</v>
      </c>
      <c r="H1116" s="169" t="s">
        <v>380</v>
      </c>
      <c r="I1116" s="169" t="s">
        <v>381</v>
      </c>
      <c r="J1116" s="169" t="s">
        <v>838</v>
      </c>
      <c r="K1116" s="169" t="s">
        <v>741</v>
      </c>
      <c r="L1116" s="169" t="s">
        <v>816</v>
      </c>
      <c r="M1116" s="169" t="s">
        <v>281</v>
      </c>
      <c r="N1116" s="178">
        <v>2250000</v>
      </c>
      <c r="O1116" s="169" t="s">
        <v>839</v>
      </c>
      <c r="P1116" s="169" t="s">
        <v>283</v>
      </c>
      <c r="Q1116" s="169" t="s">
        <v>306</v>
      </c>
      <c r="R1116" s="169" t="s">
        <v>283</v>
      </c>
      <c r="S1116" s="169" t="s">
        <v>283</v>
      </c>
      <c r="T1116" s="169">
        <v>0</v>
      </c>
    </row>
    <row r="1117" spans="2:20" x14ac:dyDescent="0.2">
      <c r="B1117" s="167" t="str">
        <f>_xlfn.XLOOKUP(I1117,Mapping!D:D,Mapping!E:E)</f>
        <v>Kiểm Soát Chất Lượng</v>
      </c>
      <c r="C1117" s="167" t="str">
        <f>_xlfn.XLOOKUP(F1117,Mapping!A:A,Mapping!F:F)</f>
        <v>Phụ Cấp</v>
      </c>
      <c r="D1117" s="173">
        <v>45838</v>
      </c>
      <c r="E1117" s="169" t="s">
        <v>813</v>
      </c>
      <c r="F1117" s="169" t="s">
        <v>386</v>
      </c>
      <c r="G1117" s="169" t="s">
        <v>341</v>
      </c>
      <c r="H1117" s="169" t="s">
        <v>411</v>
      </c>
      <c r="I1117" s="169" t="s">
        <v>412</v>
      </c>
      <c r="J1117" s="169" t="s">
        <v>814</v>
      </c>
      <c r="K1117" s="169" t="s">
        <v>815</v>
      </c>
      <c r="L1117" s="169" t="s">
        <v>816</v>
      </c>
      <c r="M1117" s="169" t="s">
        <v>281</v>
      </c>
      <c r="N1117" s="178">
        <v>31052483</v>
      </c>
      <c r="O1117" s="169" t="s">
        <v>817</v>
      </c>
      <c r="P1117" s="169" t="s">
        <v>283</v>
      </c>
      <c r="Q1117" s="169" t="s">
        <v>284</v>
      </c>
      <c r="R1117" s="169" t="s">
        <v>283</v>
      </c>
      <c r="S1117" s="169" t="s">
        <v>283</v>
      </c>
      <c r="T1117" s="169">
        <v>0</v>
      </c>
    </row>
    <row r="1118" spans="2:20" x14ac:dyDescent="0.2">
      <c r="B1118" s="167" t="str">
        <f>_xlfn.XLOOKUP(I1118,Mapping!D:D,Mapping!E:E)</f>
        <v>Kiểm Soát Chất Lượng</v>
      </c>
      <c r="C1118" s="167" t="str">
        <f>_xlfn.XLOOKUP(F1118,Mapping!A:A,Mapping!F:F)</f>
        <v>Lương Chính +T13</v>
      </c>
      <c r="D1118" s="173">
        <v>45838</v>
      </c>
      <c r="E1118" s="169" t="s">
        <v>813</v>
      </c>
      <c r="F1118" s="169" t="s">
        <v>387</v>
      </c>
      <c r="G1118" s="169" t="s">
        <v>275</v>
      </c>
      <c r="H1118" s="169" t="s">
        <v>411</v>
      </c>
      <c r="I1118" s="169" t="s">
        <v>412</v>
      </c>
      <c r="J1118" s="169" t="s">
        <v>814</v>
      </c>
      <c r="K1118" s="169" t="s">
        <v>815</v>
      </c>
      <c r="L1118" s="169" t="s">
        <v>816</v>
      </c>
      <c r="M1118" s="169" t="s">
        <v>281</v>
      </c>
      <c r="N1118" s="178">
        <v>545386799</v>
      </c>
      <c r="O1118" s="169" t="s">
        <v>817</v>
      </c>
      <c r="P1118" s="169" t="s">
        <v>283</v>
      </c>
      <c r="Q1118" s="169" t="s">
        <v>284</v>
      </c>
      <c r="R1118" s="169" t="s">
        <v>283</v>
      </c>
      <c r="S1118" s="169" t="s">
        <v>283</v>
      </c>
      <c r="T1118" s="169">
        <v>0</v>
      </c>
    </row>
    <row r="1119" spans="2:20" x14ac:dyDescent="0.2">
      <c r="B1119" s="167" t="str">
        <f>_xlfn.XLOOKUP(I1119,Mapping!D:D,Mapping!E:E)</f>
        <v>Kiểm Soát Chất Lượng</v>
      </c>
      <c r="C1119" s="167" t="str">
        <f>_xlfn.XLOOKUP(F1119,Mapping!A:A,Mapping!F:F)</f>
        <v>Lương Chính +T13</v>
      </c>
      <c r="D1119" s="173">
        <v>45838</v>
      </c>
      <c r="E1119" s="169" t="s">
        <v>813</v>
      </c>
      <c r="F1119" s="169" t="s">
        <v>388</v>
      </c>
      <c r="G1119" s="169" t="s">
        <v>286</v>
      </c>
      <c r="H1119" s="169" t="s">
        <v>411</v>
      </c>
      <c r="I1119" s="169" t="s">
        <v>412</v>
      </c>
      <c r="J1119" s="169" t="s">
        <v>814</v>
      </c>
      <c r="K1119" s="169" t="s">
        <v>815</v>
      </c>
      <c r="L1119" s="169" t="s">
        <v>816</v>
      </c>
      <c r="M1119" s="169" t="s">
        <v>281</v>
      </c>
      <c r="N1119" s="178">
        <v>20358945</v>
      </c>
      <c r="O1119" s="169" t="s">
        <v>817</v>
      </c>
      <c r="P1119" s="169" t="s">
        <v>283</v>
      </c>
      <c r="Q1119" s="169" t="s">
        <v>284</v>
      </c>
      <c r="R1119" s="169" t="s">
        <v>283</v>
      </c>
      <c r="S1119" s="169" t="s">
        <v>283</v>
      </c>
      <c r="T1119" s="169">
        <v>0</v>
      </c>
    </row>
    <row r="1120" spans="2:20" x14ac:dyDescent="0.2">
      <c r="B1120" s="167" t="str">
        <f>_xlfn.XLOOKUP(I1120,Mapping!D:D,Mapping!E:E)</f>
        <v>Kiểm Soát Chất Lượng</v>
      </c>
      <c r="C1120" s="167" t="str">
        <f>_xlfn.XLOOKUP(F1120,Mapping!A:A,Mapping!F:F)</f>
        <v>Lương Ngoài giờ</v>
      </c>
      <c r="D1120" s="173">
        <v>45838</v>
      </c>
      <c r="E1120" s="169" t="s">
        <v>813</v>
      </c>
      <c r="F1120" s="169" t="s">
        <v>389</v>
      </c>
      <c r="G1120" s="169" t="s">
        <v>390</v>
      </c>
      <c r="H1120" s="169" t="s">
        <v>411</v>
      </c>
      <c r="I1120" s="169" t="s">
        <v>412</v>
      </c>
      <c r="J1120" s="169" t="s">
        <v>814</v>
      </c>
      <c r="K1120" s="169" t="s">
        <v>815</v>
      </c>
      <c r="L1120" s="169" t="s">
        <v>816</v>
      </c>
      <c r="M1120" s="169" t="s">
        <v>281</v>
      </c>
      <c r="N1120" s="178">
        <v>202181562</v>
      </c>
      <c r="O1120" s="169" t="s">
        <v>817</v>
      </c>
      <c r="P1120" s="169" t="s">
        <v>283</v>
      </c>
      <c r="Q1120" s="169" t="s">
        <v>284</v>
      </c>
      <c r="R1120" s="169" t="s">
        <v>283</v>
      </c>
      <c r="S1120" s="169" t="s">
        <v>283</v>
      </c>
      <c r="T1120" s="169">
        <v>0</v>
      </c>
    </row>
    <row r="1121" spans="1:20" x14ac:dyDescent="0.2">
      <c r="B1121" s="167" t="str">
        <f>_xlfn.XLOOKUP(I1121,Mapping!D:D,Mapping!E:E)</f>
        <v>Kiểm Soát Chất Lượng</v>
      </c>
      <c r="C1121" s="167" t="str">
        <f>_xlfn.XLOOKUP(F1121,Mapping!A:A,Mapping!F:F)</f>
        <v>Phụ Cấp</v>
      </c>
      <c r="D1121" s="173">
        <v>45838</v>
      </c>
      <c r="E1121" s="169" t="s">
        <v>813</v>
      </c>
      <c r="F1121" s="169" t="s">
        <v>375</v>
      </c>
      <c r="G1121" s="169" t="s">
        <v>336</v>
      </c>
      <c r="H1121" s="169" t="s">
        <v>411</v>
      </c>
      <c r="I1121" s="169" t="s">
        <v>412</v>
      </c>
      <c r="J1121" s="169" t="s">
        <v>814</v>
      </c>
      <c r="K1121" s="169" t="s">
        <v>815</v>
      </c>
      <c r="L1121" s="169" t="s">
        <v>816</v>
      </c>
      <c r="M1121" s="169" t="s">
        <v>281</v>
      </c>
      <c r="N1121" s="178">
        <v>9620000</v>
      </c>
      <c r="O1121" s="169" t="s">
        <v>817</v>
      </c>
      <c r="P1121" s="169" t="s">
        <v>283</v>
      </c>
      <c r="Q1121" s="169" t="s">
        <v>284</v>
      </c>
      <c r="R1121" s="169" t="s">
        <v>283</v>
      </c>
      <c r="S1121" s="169" t="s">
        <v>283</v>
      </c>
      <c r="T1121" s="169">
        <v>0</v>
      </c>
    </row>
    <row r="1122" spans="1:20" x14ac:dyDescent="0.2">
      <c r="B1122" s="167" t="str">
        <f>_xlfn.XLOOKUP(I1122,Mapping!D:D,Mapping!E:E)</f>
        <v>Nghiên Cứu &amp; Phát Triển</v>
      </c>
      <c r="C1122" s="167" t="str">
        <f>_xlfn.XLOOKUP(F1122,Mapping!A:A,Mapping!F:F)</f>
        <v>Lương Chính +T13</v>
      </c>
      <c r="D1122" s="173">
        <v>45838</v>
      </c>
      <c r="E1122" s="169" t="s">
        <v>813</v>
      </c>
      <c r="F1122" s="169" t="s">
        <v>387</v>
      </c>
      <c r="G1122" s="169" t="s">
        <v>275</v>
      </c>
      <c r="H1122" s="169" t="s">
        <v>418</v>
      </c>
      <c r="I1122" s="169" t="s">
        <v>419</v>
      </c>
      <c r="J1122" s="169" t="s">
        <v>814</v>
      </c>
      <c r="K1122" s="169" t="s">
        <v>815</v>
      </c>
      <c r="L1122" s="169" t="s">
        <v>816</v>
      </c>
      <c r="M1122" s="169" t="s">
        <v>281</v>
      </c>
      <c r="N1122" s="178">
        <v>130997772</v>
      </c>
      <c r="O1122" s="169" t="s">
        <v>817</v>
      </c>
      <c r="P1122" s="169" t="s">
        <v>283</v>
      </c>
      <c r="Q1122" s="169" t="s">
        <v>284</v>
      </c>
      <c r="R1122" s="169" t="s">
        <v>283</v>
      </c>
      <c r="S1122" s="169" t="s">
        <v>283</v>
      </c>
      <c r="T1122" s="169">
        <v>0</v>
      </c>
    </row>
    <row r="1123" spans="1:20" x14ac:dyDescent="0.2">
      <c r="B1123" s="167" t="str">
        <f>_xlfn.XLOOKUP(I1123,Mapping!D:D,Mapping!E:E)</f>
        <v>Nghiên Cứu &amp; Phát Triển</v>
      </c>
      <c r="C1123" s="167" t="str">
        <f>_xlfn.XLOOKUP(F1123,Mapping!A:A,Mapping!F:F)</f>
        <v>Lương Chính +T13</v>
      </c>
      <c r="D1123" s="173">
        <v>45838</v>
      </c>
      <c r="E1123" s="169" t="s">
        <v>813</v>
      </c>
      <c r="F1123" s="169" t="s">
        <v>388</v>
      </c>
      <c r="G1123" s="169" t="s">
        <v>286</v>
      </c>
      <c r="H1123" s="169" t="s">
        <v>418</v>
      </c>
      <c r="I1123" s="169" t="s">
        <v>419</v>
      </c>
      <c r="J1123" s="169" t="s">
        <v>814</v>
      </c>
      <c r="K1123" s="169" t="s">
        <v>815</v>
      </c>
      <c r="L1123" s="169" t="s">
        <v>816</v>
      </c>
      <c r="M1123" s="169" t="s">
        <v>281</v>
      </c>
      <c r="N1123" s="178">
        <v>11641385</v>
      </c>
      <c r="O1123" s="169" t="s">
        <v>817</v>
      </c>
      <c r="P1123" s="169" t="s">
        <v>283</v>
      </c>
      <c r="Q1123" s="169" t="s">
        <v>284</v>
      </c>
      <c r="R1123" s="169" t="s">
        <v>283</v>
      </c>
      <c r="S1123" s="169" t="s">
        <v>283</v>
      </c>
      <c r="T1123" s="169">
        <v>0</v>
      </c>
    </row>
    <row r="1124" spans="1:20" x14ac:dyDescent="0.2">
      <c r="B1124" s="167" t="str">
        <f>_xlfn.XLOOKUP(I1124,Mapping!D:D,Mapping!E:E)</f>
        <v>Nghiên Cứu &amp; Phát Triển</v>
      </c>
      <c r="C1124" s="167" t="str">
        <f>_xlfn.XLOOKUP(F1124,Mapping!A:A,Mapping!F:F)</f>
        <v>Phụ Cấp</v>
      </c>
      <c r="D1124" s="173">
        <v>45838</v>
      </c>
      <c r="E1124" s="169" t="s">
        <v>813</v>
      </c>
      <c r="F1124" s="169" t="s">
        <v>375</v>
      </c>
      <c r="G1124" s="169" t="s">
        <v>336</v>
      </c>
      <c r="H1124" s="169" t="s">
        <v>418</v>
      </c>
      <c r="I1124" s="169" t="s">
        <v>419</v>
      </c>
      <c r="J1124" s="169" t="s">
        <v>814</v>
      </c>
      <c r="K1124" s="169" t="s">
        <v>815</v>
      </c>
      <c r="L1124" s="169" t="s">
        <v>816</v>
      </c>
      <c r="M1124" s="169" t="s">
        <v>281</v>
      </c>
      <c r="N1124" s="178">
        <v>200000</v>
      </c>
      <c r="O1124" s="169" t="s">
        <v>817</v>
      </c>
      <c r="P1124" s="169" t="s">
        <v>283</v>
      </c>
      <c r="Q1124" s="169" t="s">
        <v>284</v>
      </c>
      <c r="R1124" s="169" t="s">
        <v>283</v>
      </c>
      <c r="S1124" s="169" t="s">
        <v>283</v>
      </c>
      <c r="T1124" s="169">
        <v>0</v>
      </c>
    </row>
    <row r="1125" spans="1:20" x14ac:dyDescent="0.2">
      <c r="A1125" s="169">
        <v>622</v>
      </c>
      <c r="B1125" s="167" t="str">
        <f>_xlfn.XLOOKUP(I1125,Mapping!D:D,Mapping!E:E)</f>
        <v>Xưởng Sản Xuất</v>
      </c>
      <c r="C1125" s="167" t="str">
        <f>_xlfn.XLOOKUP(F1125,Mapping!A:A,Mapping!F:F)</f>
        <v>Lương Chính +T13</v>
      </c>
      <c r="D1125" s="173">
        <v>45838</v>
      </c>
      <c r="E1125" s="169" t="s">
        <v>813</v>
      </c>
      <c r="F1125" s="169" t="s">
        <v>400</v>
      </c>
      <c r="G1125" s="169" t="s">
        <v>401</v>
      </c>
      <c r="H1125" s="169" t="s">
        <v>402</v>
      </c>
      <c r="I1125" s="169" t="s">
        <v>403</v>
      </c>
      <c r="J1125" s="169" t="s">
        <v>814</v>
      </c>
      <c r="K1125" s="169" t="s">
        <v>815</v>
      </c>
      <c r="L1125" s="169" t="s">
        <v>816</v>
      </c>
      <c r="M1125" s="169" t="s">
        <v>281</v>
      </c>
      <c r="N1125" s="178">
        <v>1673998566</v>
      </c>
      <c r="O1125" s="169" t="s">
        <v>817</v>
      </c>
      <c r="P1125" s="169" t="s">
        <v>283</v>
      </c>
      <c r="Q1125" s="169" t="s">
        <v>284</v>
      </c>
      <c r="R1125" s="169" t="s">
        <v>283</v>
      </c>
      <c r="S1125" s="169" t="s">
        <v>283</v>
      </c>
      <c r="T1125" s="169">
        <v>0</v>
      </c>
    </row>
    <row r="1126" spans="1:20" x14ac:dyDescent="0.2">
      <c r="A1126" s="169">
        <v>622</v>
      </c>
      <c r="B1126" s="167" t="str">
        <f>_xlfn.XLOOKUP(I1126,Mapping!D:D,Mapping!E:E)</f>
        <v>Xưởng Sản Xuất</v>
      </c>
      <c r="C1126" s="167" t="str">
        <f>_xlfn.XLOOKUP(F1126,Mapping!A:A,Mapping!F:F)</f>
        <v>Lương Chính +T13</v>
      </c>
      <c r="D1126" s="173">
        <v>45838</v>
      </c>
      <c r="E1126" s="169" t="s">
        <v>813</v>
      </c>
      <c r="F1126" s="169" t="s">
        <v>420</v>
      </c>
      <c r="G1126" s="169" t="s">
        <v>286</v>
      </c>
      <c r="H1126" s="169" t="s">
        <v>402</v>
      </c>
      <c r="I1126" s="169" t="s">
        <v>403</v>
      </c>
      <c r="J1126" s="169" t="s">
        <v>814</v>
      </c>
      <c r="K1126" s="169" t="s">
        <v>815</v>
      </c>
      <c r="L1126" s="169" t="s">
        <v>816</v>
      </c>
      <c r="M1126" s="169" t="s">
        <v>281</v>
      </c>
      <c r="N1126" s="178">
        <v>34300629</v>
      </c>
      <c r="O1126" s="169" t="s">
        <v>817</v>
      </c>
      <c r="P1126" s="169" t="s">
        <v>283</v>
      </c>
      <c r="Q1126" s="169" t="s">
        <v>284</v>
      </c>
      <c r="R1126" s="169" t="s">
        <v>283</v>
      </c>
      <c r="S1126" s="169" t="s">
        <v>283</v>
      </c>
      <c r="T1126" s="169">
        <v>0</v>
      </c>
    </row>
    <row r="1127" spans="1:20" x14ac:dyDescent="0.2">
      <c r="A1127" s="169">
        <v>622</v>
      </c>
      <c r="B1127" s="167" t="str">
        <f>_xlfn.XLOOKUP(I1127,Mapping!D:D,Mapping!E:E)</f>
        <v>Xưởng Sản Xuất</v>
      </c>
      <c r="C1127" s="167" t="str">
        <f>_xlfn.XLOOKUP(F1127,Mapping!A:A,Mapping!F:F)</f>
        <v>Phụ Cấp</v>
      </c>
      <c r="D1127" s="173">
        <v>45838</v>
      </c>
      <c r="E1127" s="169" t="s">
        <v>813</v>
      </c>
      <c r="F1127" s="169" t="s">
        <v>421</v>
      </c>
      <c r="G1127" s="169" t="s">
        <v>341</v>
      </c>
      <c r="H1127" s="169" t="s">
        <v>402</v>
      </c>
      <c r="I1127" s="169" t="s">
        <v>403</v>
      </c>
      <c r="J1127" s="169" t="s">
        <v>814</v>
      </c>
      <c r="K1127" s="169" t="s">
        <v>815</v>
      </c>
      <c r="L1127" s="169" t="s">
        <v>816</v>
      </c>
      <c r="M1127" s="169" t="s">
        <v>281</v>
      </c>
      <c r="N1127" s="178">
        <v>142169964</v>
      </c>
      <c r="O1127" s="169" t="s">
        <v>817</v>
      </c>
      <c r="P1127" s="169" t="s">
        <v>283</v>
      </c>
      <c r="Q1127" s="169" t="s">
        <v>284</v>
      </c>
      <c r="R1127" s="169" t="s">
        <v>283</v>
      </c>
      <c r="S1127" s="169" t="s">
        <v>283</v>
      </c>
      <c r="T1127" s="169">
        <v>0</v>
      </c>
    </row>
    <row r="1128" spans="1:20" x14ac:dyDescent="0.2">
      <c r="A1128" s="169">
        <v>622</v>
      </c>
      <c r="B1128" s="167" t="str">
        <f>_xlfn.XLOOKUP(I1128,Mapping!D:D,Mapping!E:E)</f>
        <v>Xưởng Sản Xuất</v>
      </c>
      <c r="C1128" s="167" t="str">
        <f>_xlfn.XLOOKUP(F1128,Mapping!A:A,Mapping!F:F)</f>
        <v>Lương Ngoài giờ</v>
      </c>
      <c r="D1128" s="173">
        <v>45838</v>
      </c>
      <c r="E1128" s="169" t="s">
        <v>813</v>
      </c>
      <c r="F1128" s="169" t="s">
        <v>422</v>
      </c>
      <c r="G1128" s="169" t="s">
        <v>423</v>
      </c>
      <c r="H1128" s="169" t="s">
        <v>402</v>
      </c>
      <c r="I1128" s="169" t="s">
        <v>403</v>
      </c>
      <c r="J1128" s="169" t="s">
        <v>814</v>
      </c>
      <c r="K1128" s="169" t="s">
        <v>815</v>
      </c>
      <c r="L1128" s="169" t="s">
        <v>816</v>
      </c>
      <c r="M1128" s="169" t="s">
        <v>281</v>
      </c>
      <c r="N1128" s="178">
        <v>332870237</v>
      </c>
      <c r="O1128" s="169" t="s">
        <v>817</v>
      </c>
      <c r="P1128" s="169" t="s">
        <v>283</v>
      </c>
      <c r="Q1128" s="169" t="s">
        <v>284</v>
      </c>
      <c r="R1128" s="169" t="s">
        <v>283</v>
      </c>
      <c r="S1128" s="169" t="s">
        <v>283</v>
      </c>
      <c r="T1128" s="169">
        <v>0</v>
      </c>
    </row>
    <row r="1129" spans="1:20" x14ac:dyDescent="0.2">
      <c r="A1129" s="169">
        <v>622</v>
      </c>
      <c r="B1129" s="167" t="str">
        <f>_xlfn.XLOOKUP(I1129,Mapping!D:D,Mapping!E:E)</f>
        <v>Xưởng Sản Xuất</v>
      </c>
      <c r="C1129" s="167" t="str">
        <f>_xlfn.XLOOKUP(F1129,Mapping!A:A,Mapping!F:F)</f>
        <v>Phụ Cấp</v>
      </c>
      <c r="D1129" s="173">
        <v>45838</v>
      </c>
      <c r="E1129" s="169" t="s">
        <v>813</v>
      </c>
      <c r="F1129" s="169" t="s">
        <v>414</v>
      </c>
      <c r="G1129" s="169" t="s">
        <v>415</v>
      </c>
      <c r="H1129" s="169" t="s">
        <v>402</v>
      </c>
      <c r="I1129" s="169" t="s">
        <v>403</v>
      </c>
      <c r="J1129" s="169" t="s">
        <v>814</v>
      </c>
      <c r="K1129" s="169" t="s">
        <v>815</v>
      </c>
      <c r="L1129" s="169" t="s">
        <v>816</v>
      </c>
      <c r="M1129" s="169" t="s">
        <v>281</v>
      </c>
      <c r="N1129" s="178">
        <v>37860000</v>
      </c>
      <c r="O1129" s="169" t="s">
        <v>817</v>
      </c>
      <c r="P1129" s="169" t="s">
        <v>283</v>
      </c>
      <c r="Q1129" s="169" t="s">
        <v>284</v>
      </c>
      <c r="R1129" s="169" t="s">
        <v>283</v>
      </c>
      <c r="S1129" s="169" t="s">
        <v>283</v>
      </c>
      <c r="T1129" s="169">
        <v>0</v>
      </c>
    </row>
    <row r="1130" spans="1:20" x14ac:dyDescent="0.2">
      <c r="A1130" s="169">
        <v>627</v>
      </c>
      <c r="B1130" s="167" t="str">
        <f>_xlfn.XLOOKUP(I1130,Mapping!D:D,Mapping!E:E)</f>
        <v>Xưởng Sản Xuất</v>
      </c>
      <c r="C1130" s="167" t="str">
        <f>_xlfn.XLOOKUP(F1130,Mapping!A:A,Mapping!F:F)</f>
        <v>Phụ Cấp</v>
      </c>
      <c r="D1130" s="173">
        <v>45838</v>
      </c>
      <c r="E1130" s="169" t="s">
        <v>813</v>
      </c>
      <c r="F1130" s="169" t="s">
        <v>386</v>
      </c>
      <c r="G1130" s="169" t="s">
        <v>341</v>
      </c>
      <c r="H1130" s="169" t="s">
        <v>402</v>
      </c>
      <c r="I1130" s="169" t="s">
        <v>403</v>
      </c>
      <c r="J1130" s="169" t="s">
        <v>814</v>
      </c>
      <c r="K1130" s="169" t="s">
        <v>815</v>
      </c>
      <c r="L1130" s="169" t="s">
        <v>816</v>
      </c>
      <c r="M1130" s="169" t="s">
        <v>281</v>
      </c>
      <c r="N1130" s="178">
        <v>16439329</v>
      </c>
      <c r="O1130" s="169" t="s">
        <v>817</v>
      </c>
      <c r="P1130" s="169" t="s">
        <v>283</v>
      </c>
      <c r="Q1130" s="169" t="s">
        <v>284</v>
      </c>
      <c r="R1130" s="169" t="s">
        <v>283</v>
      </c>
      <c r="S1130" s="169" t="s">
        <v>283</v>
      </c>
      <c r="T1130" s="169">
        <v>0</v>
      </c>
    </row>
    <row r="1131" spans="1:20" x14ac:dyDescent="0.2">
      <c r="A1131" s="169">
        <v>627</v>
      </c>
      <c r="B1131" s="167" t="str">
        <f>_xlfn.XLOOKUP(I1131,Mapping!D:D,Mapping!E:E)</f>
        <v>Xưởng Sản Xuất</v>
      </c>
      <c r="C1131" s="167" t="str">
        <f>_xlfn.XLOOKUP(F1131,Mapping!A:A,Mapping!F:F)</f>
        <v>Lương Chính +T13</v>
      </c>
      <c r="D1131" s="173">
        <v>45838</v>
      </c>
      <c r="E1131" s="169" t="s">
        <v>813</v>
      </c>
      <c r="F1131" s="169" t="s">
        <v>387</v>
      </c>
      <c r="G1131" s="169" t="s">
        <v>275</v>
      </c>
      <c r="H1131" s="169" t="s">
        <v>402</v>
      </c>
      <c r="I1131" s="169" t="s">
        <v>403</v>
      </c>
      <c r="J1131" s="169" t="s">
        <v>814</v>
      </c>
      <c r="K1131" s="169" t="s">
        <v>815</v>
      </c>
      <c r="L1131" s="169" t="s">
        <v>816</v>
      </c>
      <c r="M1131" s="169" t="s">
        <v>281</v>
      </c>
      <c r="N1131" s="178">
        <v>479174970</v>
      </c>
      <c r="O1131" s="169" t="s">
        <v>817</v>
      </c>
      <c r="P1131" s="169" t="s">
        <v>283</v>
      </c>
      <c r="Q1131" s="169" t="s">
        <v>284</v>
      </c>
      <c r="R1131" s="169" t="s">
        <v>283</v>
      </c>
      <c r="S1131" s="169" t="s">
        <v>283</v>
      </c>
      <c r="T1131" s="169">
        <v>0</v>
      </c>
    </row>
    <row r="1132" spans="1:20" x14ac:dyDescent="0.2">
      <c r="A1132" s="169">
        <v>627</v>
      </c>
      <c r="B1132" s="167" t="str">
        <f>_xlfn.XLOOKUP(I1132,Mapping!D:D,Mapping!E:E)</f>
        <v>Xưởng Sản Xuất</v>
      </c>
      <c r="C1132" s="167" t="str">
        <f>_xlfn.XLOOKUP(F1132,Mapping!A:A,Mapping!F:F)</f>
        <v>Lương Chính +T13</v>
      </c>
      <c r="D1132" s="173">
        <v>45838</v>
      </c>
      <c r="E1132" s="169" t="s">
        <v>813</v>
      </c>
      <c r="F1132" s="169" t="s">
        <v>388</v>
      </c>
      <c r="G1132" s="169" t="s">
        <v>286</v>
      </c>
      <c r="H1132" s="169" t="s">
        <v>402</v>
      </c>
      <c r="I1132" s="169" t="s">
        <v>403</v>
      </c>
      <c r="J1132" s="169" t="s">
        <v>814</v>
      </c>
      <c r="K1132" s="169" t="s">
        <v>815</v>
      </c>
      <c r="L1132" s="169" t="s">
        <v>816</v>
      </c>
      <c r="M1132" s="169" t="s">
        <v>281</v>
      </c>
      <c r="N1132" s="178">
        <v>16480923</v>
      </c>
      <c r="O1132" s="169" t="s">
        <v>817</v>
      </c>
      <c r="P1132" s="169" t="s">
        <v>283</v>
      </c>
      <c r="Q1132" s="169" t="s">
        <v>284</v>
      </c>
      <c r="R1132" s="169" t="s">
        <v>283</v>
      </c>
      <c r="S1132" s="169" t="s">
        <v>283</v>
      </c>
      <c r="T1132" s="169">
        <v>0</v>
      </c>
    </row>
    <row r="1133" spans="1:20" x14ac:dyDescent="0.2">
      <c r="A1133" s="169">
        <v>627</v>
      </c>
      <c r="B1133" s="167" t="str">
        <f>_xlfn.XLOOKUP(I1133,Mapping!D:D,Mapping!E:E)</f>
        <v>Xưởng Sản Xuất</v>
      </c>
      <c r="C1133" s="167" t="str">
        <f>_xlfn.XLOOKUP(F1133,Mapping!A:A,Mapping!F:F)</f>
        <v>Lương Ngoài giờ</v>
      </c>
      <c r="D1133" s="173">
        <v>45838</v>
      </c>
      <c r="E1133" s="169" t="s">
        <v>813</v>
      </c>
      <c r="F1133" s="169" t="s">
        <v>389</v>
      </c>
      <c r="G1133" s="169" t="s">
        <v>390</v>
      </c>
      <c r="H1133" s="169" t="s">
        <v>402</v>
      </c>
      <c r="I1133" s="169" t="s">
        <v>403</v>
      </c>
      <c r="J1133" s="169" t="s">
        <v>814</v>
      </c>
      <c r="K1133" s="169" t="s">
        <v>815</v>
      </c>
      <c r="L1133" s="169" t="s">
        <v>816</v>
      </c>
      <c r="M1133" s="169" t="s">
        <v>281</v>
      </c>
      <c r="N1133" s="178">
        <v>54737934</v>
      </c>
      <c r="O1133" s="169" t="s">
        <v>817</v>
      </c>
      <c r="P1133" s="169" t="s">
        <v>283</v>
      </c>
      <c r="Q1133" s="169" t="s">
        <v>284</v>
      </c>
      <c r="R1133" s="169" t="s">
        <v>283</v>
      </c>
      <c r="S1133" s="169" t="s">
        <v>283</v>
      </c>
      <c r="T1133" s="169">
        <v>0</v>
      </c>
    </row>
    <row r="1134" spans="1:20" x14ac:dyDescent="0.2">
      <c r="A1134" s="169">
        <v>627</v>
      </c>
      <c r="B1134" s="167" t="str">
        <f>_xlfn.XLOOKUP(I1134,Mapping!D:D,Mapping!E:E)</f>
        <v>Xưởng Sản Xuất</v>
      </c>
      <c r="C1134" s="167" t="str">
        <f>_xlfn.XLOOKUP(F1134,Mapping!A:A,Mapping!F:F)</f>
        <v>Phụ Cấp</v>
      </c>
      <c r="D1134" s="173">
        <v>45838</v>
      </c>
      <c r="E1134" s="169" t="s">
        <v>813</v>
      </c>
      <c r="F1134" s="169" t="s">
        <v>375</v>
      </c>
      <c r="G1134" s="169" t="s">
        <v>336</v>
      </c>
      <c r="H1134" s="169" t="s">
        <v>402</v>
      </c>
      <c r="I1134" s="169" t="s">
        <v>403</v>
      </c>
      <c r="J1134" s="169" t="s">
        <v>814</v>
      </c>
      <c r="K1134" s="169" t="s">
        <v>815</v>
      </c>
      <c r="L1134" s="169" t="s">
        <v>816</v>
      </c>
      <c r="M1134" s="169" t="s">
        <v>281</v>
      </c>
      <c r="N1134" s="178">
        <v>4000000</v>
      </c>
      <c r="O1134" s="169" t="s">
        <v>817</v>
      </c>
      <c r="P1134" s="169" t="s">
        <v>283</v>
      </c>
      <c r="Q1134" s="169" t="s">
        <v>284</v>
      </c>
      <c r="R1134" s="169" t="s">
        <v>283</v>
      </c>
      <c r="S1134" s="169" t="s">
        <v>283</v>
      </c>
      <c r="T1134" s="169">
        <v>0</v>
      </c>
    </row>
    <row r="1135" spans="1:20" x14ac:dyDescent="0.2">
      <c r="B1135" s="167" t="str">
        <f>_xlfn.XLOOKUP(I1135,Mapping!D:D,Mapping!E:E)</f>
        <v>Kiểm Soát Chất Lượng</v>
      </c>
      <c r="C1135" s="167" t="str">
        <f>_xlfn.XLOOKUP(F1135,Mapping!A:A,Mapping!F:F)</f>
        <v>Lương Chính +T13</v>
      </c>
      <c r="D1135" s="173">
        <v>45838</v>
      </c>
      <c r="E1135" s="169" t="s">
        <v>818</v>
      </c>
      <c r="F1135" s="169" t="s">
        <v>388</v>
      </c>
      <c r="G1135" s="169" t="s">
        <v>286</v>
      </c>
      <c r="H1135" s="169" t="s">
        <v>411</v>
      </c>
      <c r="I1135" s="169" t="s">
        <v>412</v>
      </c>
      <c r="J1135" s="169" t="s">
        <v>819</v>
      </c>
      <c r="K1135" s="169" t="s">
        <v>815</v>
      </c>
      <c r="L1135" s="169" t="s">
        <v>816</v>
      </c>
      <c r="M1135" s="169" t="s">
        <v>281</v>
      </c>
      <c r="N1135" s="178">
        <v>44615083</v>
      </c>
      <c r="O1135" s="169" t="s">
        <v>820</v>
      </c>
      <c r="P1135" s="169" t="s">
        <v>283</v>
      </c>
      <c r="Q1135" s="169" t="s">
        <v>284</v>
      </c>
      <c r="R1135" s="169" t="s">
        <v>283</v>
      </c>
      <c r="S1135" s="169" t="s">
        <v>283</v>
      </c>
      <c r="T1135" s="169">
        <v>0</v>
      </c>
    </row>
    <row r="1136" spans="1:20" x14ac:dyDescent="0.2">
      <c r="B1136" s="167" t="str">
        <f>_xlfn.XLOOKUP(I1136,Mapping!D:D,Mapping!E:E)</f>
        <v>Kiểm Soát Chất Lượng</v>
      </c>
      <c r="C1136" s="167" t="str">
        <f>_xlfn.XLOOKUP(F1136,Mapping!A:A,Mapping!F:F)</f>
        <v>Thưởng</v>
      </c>
      <c r="D1136" s="173">
        <v>45838</v>
      </c>
      <c r="E1136" s="169" t="s">
        <v>818</v>
      </c>
      <c r="F1136" s="169" t="s">
        <v>395</v>
      </c>
      <c r="G1136" s="169" t="s">
        <v>77</v>
      </c>
      <c r="H1136" s="169" t="s">
        <v>411</v>
      </c>
      <c r="I1136" s="169" t="s">
        <v>412</v>
      </c>
      <c r="J1136" s="169" t="s">
        <v>821</v>
      </c>
      <c r="K1136" s="169" t="s">
        <v>815</v>
      </c>
      <c r="L1136" s="169" t="s">
        <v>816</v>
      </c>
      <c r="M1136" s="169" t="s">
        <v>281</v>
      </c>
      <c r="N1136" s="178">
        <v>41045520</v>
      </c>
      <c r="O1136" s="169" t="s">
        <v>820</v>
      </c>
      <c r="P1136" s="169" t="s">
        <v>283</v>
      </c>
      <c r="Q1136" s="169" t="s">
        <v>284</v>
      </c>
      <c r="R1136" s="169" t="s">
        <v>283</v>
      </c>
      <c r="S1136" s="169" t="s">
        <v>283</v>
      </c>
      <c r="T1136" s="169">
        <v>0</v>
      </c>
    </row>
    <row r="1137" spans="1:20" x14ac:dyDescent="0.2">
      <c r="B1137" s="167" t="str">
        <f>_xlfn.XLOOKUP(I1137,Mapping!D:D,Mapping!E:E)</f>
        <v>Nghiên Cứu &amp; Phát Triển</v>
      </c>
      <c r="C1137" s="167" t="str">
        <f>_xlfn.XLOOKUP(F1137,Mapping!A:A,Mapping!F:F)</f>
        <v>Lương Chính +T13</v>
      </c>
      <c r="D1137" s="173">
        <v>45838</v>
      </c>
      <c r="E1137" s="169" t="s">
        <v>818</v>
      </c>
      <c r="F1137" s="169" t="s">
        <v>388</v>
      </c>
      <c r="G1137" s="169" t="s">
        <v>286</v>
      </c>
      <c r="H1137" s="169" t="s">
        <v>418</v>
      </c>
      <c r="I1137" s="169" t="s">
        <v>419</v>
      </c>
      <c r="J1137" s="169" t="s">
        <v>819</v>
      </c>
      <c r="K1137" s="169" t="s">
        <v>815</v>
      </c>
      <c r="L1137" s="169" t="s">
        <v>816</v>
      </c>
      <c r="M1137" s="169" t="s">
        <v>281</v>
      </c>
      <c r="N1137" s="178">
        <v>10902083</v>
      </c>
      <c r="O1137" s="169" t="s">
        <v>820</v>
      </c>
      <c r="P1137" s="169" t="s">
        <v>283</v>
      </c>
      <c r="Q1137" s="169" t="s">
        <v>284</v>
      </c>
      <c r="R1137" s="169" t="s">
        <v>283</v>
      </c>
      <c r="S1137" s="169" t="s">
        <v>283</v>
      </c>
      <c r="T1137" s="169">
        <v>0</v>
      </c>
    </row>
    <row r="1138" spans="1:20" x14ac:dyDescent="0.2">
      <c r="B1138" s="167" t="str">
        <f>_xlfn.XLOOKUP(I1138,Mapping!D:D,Mapping!E:E)</f>
        <v>Nghiên Cứu &amp; Phát Triển</v>
      </c>
      <c r="C1138" s="167" t="str">
        <f>_xlfn.XLOOKUP(F1138,Mapping!A:A,Mapping!F:F)</f>
        <v>Thưởng</v>
      </c>
      <c r="D1138" s="173">
        <v>45838</v>
      </c>
      <c r="E1138" s="169" t="s">
        <v>818</v>
      </c>
      <c r="F1138" s="169" t="s">
        <v>395</v>
      </c>
      <c r="G1138" s="169" t="s">
        <v>77</v>
      </c>
      <c r="H1138" s="169" t="s">
        <v>418</v>
      </c>
      <c r="I1138" s="169" t="s">
        <v>419</v>
      </c>
      <c r="J1138" s="169" t="s">
        <v>821</v>
      </c>
      <c r="K1138" s="169" t="s">
        <v>815</v>
      </c>
      <c r="L1138" s="169" t="s">
        <v>816</v>
      </c>
      <c r="M1138" s="169" t="s">
        <v>281</v>
      </c>
      <c r="N1138" s="178">
        <v>10029829</v>
      </c>
      <c r="O1138" s="169" t="s">
        <v>820</v>
      </c>
      <c r="P1138" s="169" t="s">
        <v>283</v>
      </c>
      <c r="Q1138" s="169" t="s">
        <v>284</v>
      </c>
      <c r="R1138" s="169" t="s">
        <v>283</v>
      </c>
      <c r="S1138" s="169" t="s">
        <v>283</v>
      </c>
      <c r="T1138" s="169">
        <v>0</v>
      </c>
    </row>
    <row r="1139" spans="1:20" x14ac:dyDescent="0.2">
      <c r="A1139" s="169">
        <v>627</v>
      </c>
      <c r="B1139" s="167" t="str">
        <f>_xlfn.XLOOKUP(I1139,Mapping!D:D,Mapping!E:E)</f>
        <v>Xưởng Sản Xuất</v>
      </c>
      <c r="C1139" s="167" t="str">
        <f>_xlfn.XLOOKUP(F1139,Mapping!A:A,Mapping!F:F)</f>
        <v>Lương Chính +T13</v>
      </c>
      <c r="D1139" s="173">
        <v>45838</v>
      </c>
      <c r="E1139" s="169" t="s">
        <v>818</v>
      </c>
      <c r="F1139" s="169" t="s">
        <v>388</v>
      </c>
      <c r="G1139" s="169" t="s">
        <v>286</v>
      </c>
      <c r="H1139" s="169" t="s">
        <v>402</v>
      </c>
      <c r="I1139" s="169" t="s">
        <v>403</v>
      </c>
      <c r="J1139" s="169" t="s">
        <v>819</v>
      </c>
      <c r="K1139" s="169" t="s">
        <v>815</v>
      </c>
      <c r="L1139" s="169" t="s">
        <v>816</v>
      </c>
      <c r="M1139" s="169" t="s">
        <v>281</v>
      </c>
      <c r="N1139" s="178">
        <v>35796786</v>
      </c>
      <c r="O1139" s="169" t="s">
        <v>820</v>
      </c>
      <c r="P1139" s="169" t="s">
        <v>283</v>
      </c>
      <c r="Q1139" s="169" t="s">
        <v>284</v>
      </c>
      <c r="R1139" s="169" t="s">
        <v>283</v>
      </c>
      <c r="S1139" s="169" t="s">
        <v>283</v>
      </c>
      <c r="T1139" s="169">
        <v>0</v>
      </c>
    </row>
    <row r="1140" spans="1:20" x14ac:dyDescent="0.2">
      <c r="A1140" s="169">
        <v>622</v>
      </c>
      <c r="B1140" s="167" t="str">
        <f>_xlfn.XLOOKUP(I1140,Mapping!D:D,Mapping!E:E)</f>
        <v>Xưởng Sản Xuất</v>
      </c>
      <c r="C1140" s="167" t="str">
        <f>_xlfn.XLOOKUP(F1140,Mapping!A:A,Mapping!F:F)</f>
        <v>Lương Chính +T13</v>
      </c>
      <c r="D1140" s="173">
        <v>45838</v>
      </c>
      <c r="E1140" s="169" t="s">
        <v>818</v>
      </c>
      <c r="F1140" s="169" t="s">
        <v>420</v>
      </c>
      <c r="G1140" s="169" t="s">
        <v>286</v>
      </c>
      <c r="H1140" s="169" t="s">
        <v>402</v>
      </c>
      <c r="I1140" s="169" t="s">
        <v>403</v>
      </c>
      <c r="J1140" s="169" t="s">
        <v>819</v>
      </c>
      <c r="K1140" s="169" t="s">
        <v>815</v>
      </c>
      <c r="L1140" s="169" t="s">
        <v>816</v>
      </c>
      <c r="M1140" s="169" t="s">
        <v>281</v>
      </c>
      <c r="N1140" s="178">
        <v>98242637</v>
      </c>
      <c r="O1140" s="169" t="s">
        <v>820</v>
      </c>
      <c r="P1140" s="169" t="s">
        <v>283</v>
      </c>
      <c r="Q1140" s="169" t="s">
        <v>284</v>
      </c>
      <c r="R1140" s="169" t="s">
        <v>283</v>
      </c>
      <c r="S1140" s="169" t="s">
        <v>283</v>
      </c>
      <c r="T1140" s="169">
        <v>0</v>
      </c>
    </row>
    <row r="1141" spans="1:20" x14ac:dyDescent="0.2">
      <c r="A1141" s="169">
        <v>627</v>
      </c>
      <c r="B1141" s="167" t="str">
        <f>_xlfn.XLOOKUP(I1141,Mapping!D:D,Mapping!E:E)</f>
        <v>Xưởng Sản Xuất</v>
      </c>
      <c r="C1141" s="167" t="str">
        <f>_xlfn.XLOOKUP(F1141,Mapping!A:A,Mapping!F:F)</f>
        <v>Thưởng</v>
      </c>
      <c r="D1141" s="173">
        <v>45838</v>
      </c>
      <c r="E1141" s="169" t="s">
        <v>818</v>
      </c>
      <c r="F1141" s="169" t="s">
        <v>395</v>
      </c>
      <c r="G1141" s="169" t="s">
        <v>77</v>
      </c>
      <c r="H1141" s="169" t="s">
        <v>402</v>
      </c>
      <c r="I1141" s="169" t="s">
        <v>403</v>
      </c>
      <c r="J1141" s="169" t="s">
        <v>821</v>
      </c>
      <c r="K1141" s="169" t="s">
        <v>815</v>
      </c>
      <c r="L1141" s="169" t="s">
        <v>816</v>
      </c>
      <c r="M1141" s="169" t="s">
        <v>281</v>
      </c>
      <c r="N1141" s="178">
        <v>32232150</v>
      </c>
      <c r="O1141" s="169" t="s">
        <v>820</v>
      </c>
      <c r="P1141" s="169" t="s">
        <v>283</v>
      </c>
      <c r="Q1141" s="169" t="s">
        <v>284</v>
      </c>
      <c r="R1141" s="169" t="s">
        <v>283</v>
      </c>
      <c r="S1141" s="169" t="s">
        <v>283</v>
      </c>
      <c r="T1141" s="169">
        <v>0</v>
      </c>
    </row>
    <row r="1142" spans="1:20" x14ac:dyDescent="0.2">
      <c r="A1142" s="169">
        <v>622</v>
      </c>
      <c r="B1142" s="167" t="str">
        <f>_xlfn.XLOOKUP(I1142,Mapping!D:D,Mapping!E:E)</f>
        <v>Xưởng Sản Xuất</v>
      </c>
      <c r="C1142" s="167" t="str">
        <f>_xlfn.XLOOKUP(F1142,Mapping!A:A,Mapping!F:F)</f>
        <v>Thưởng</v>
      </c>
      <c r="D1142" s="173">
        <v>45838</v>
      </c>
      <c r="E1142" s="169" t="s">
        <v>818</v>
      </c>
      <c r="F1142" s="169" t="s">
        <v>426</v>
      </c>
      <c r="G1142" s="169" t="s">
        <v>77</v>
      </c>
      <c r="H1142" s="169" t="s">
        <v>402</v>
      </c>
      <c r="I1142" s="169" t="s">
        <v>403</v>
      </c>
      <c r="J1142" s="169" t="s">
        <v>821</v>
      </c>
      <c r="K1142" s="169" t="s">
        <v>815</v>
      </c>
      <c r="L1142" s="169" t="s">
        <v>816</v>
      </c>
      <c r="M1142" s="169" t="s">
        <v>281</v>
      </c>
      <c r="N1142" s="178">
        <v>23404440</v>
      </c>
      <c r="O1142" s="169" t="s">
        <v>820</v>
      </c>
      <c r="P1142" s="169" t="s">
        <v>283</v>
      </c>
      <c r="Q1142" s="169" t="s">
        <v>284</v>
      </c>
      <c r="R1142" s="169" t="s">
        <v>283</v>
      </c>
      <c r="S1142" s="169" t="s">
        <v>283</v>
      </c>
      <c r="T1142" s="169">
        <v>0</v>
      </c>
    </row>
    <row r="1143" spans="1:20" x14ac:dyDescent="0.2">
      <c r="B1143" s="167" t="str">
        <f>_xlfn.XLOOKUP(I1143,Mapping!D:D,Mapping!E:E)</f>
        <v>Kiểm Soát Chất Lượng</v>
      </c>
      <c r="C1143" s="167" t="str">
        <f>_xlfn.XLOOKUP(F1143,Mapping!A:A,Mapping!F:F)</f>
        <v>BHXH, BHYT, KPCĐ</v>
      </c>
      <c r="D1143" s="173">
        <v>45838</v>
      </c>
      <c r="E1143" s="169" t="s">
        <v>825</v>
      </c>
      <c r="F1143" s="169" t="s">
        <v>393</v>
      </c>
      <c r="G1143" s="169" t="s">
        <v>296</v>
      </c>
      <c r="H1143" s="169" t="s">
        <v>411</v>
      </c>
      <c r="I1143" s="169" t="s">
        <v>412</v>
      </c>
      <c r="J1143" s="169" t="s">
        <v>826</v>
      </c>
      <c r="K1143" s="169" t="s">
        <v>815</v>
      </c>
      <c r="L1143" s="169" t="s">
        <v>816</v>
      </c>
      <c r="M1143" s="169" t="s">
        <v>281</v>
      </c>
      <c r="N1143" s="178">
        <v>107367035</v>
      </c>
      <c r="O1143" s="169" t="s">
        <v>827</v>
      </c>
      <c r="P1143" s="169" t="s">
        <v>283</v>
      </c>
      <c r="Q1143" s="169" t="s">
        <v>284</v>
      </c>
      <c r="R1143" s="169" t="s">
        <v>283</v>
      </c>
      <c r="S1143" s="169" t="s">
        <v>283</v>
      </c>
      <c r="T1143" s="169">
        <v>0</v>
      </c>
    </row>
    <row r="1144" spans="1:20" x14ac:dyDescent="0.2">
      <c r="B1144" s="167" t="str">
        <f>_xlfn.XLOOKUP(I1144,Mapping!D:D,Mapping!E:E)</f>
        <v>Nghiên Cứu &amp; Phát Triển</v>
      </c>
      <c r="C1144" s="167" t="str">
        <f>_xlfn.XLOOKUP(F1144,Mapping!A:A,Mapping!F:F)</f>
        <v>BHXH, BHYT, KPCĐ</v>
      </c>
      <c r="D1144" s="173">
        <v>45838</v>
      </c>
      <c r="E1144" s="169" t="s">
        <v>825</v>
      </c>
      <c r="F1144" s="169" t="s">
        <v>393</v>
      </c>
      <c r="G1144" s="169" t="s">
        <v>296</v>
      </c>
      <c r="H1144" s="169" t="s">
        <v>418</v>
      </c>
      <c r="I1144" s="169" t="s">
        <v>419</v>
      </c>
      <c r="J1144" s="169" t="s">
        <v>826</v>
      </c>
      <c r="K1144" s="169" t="s">
        <v>815</v>
      </c>
      <c r="L1144" s="169" t="s">
        <v>816</v>
      </c>
      <c r="M1144" s="169" t="s">
        <v>281</v>
      </c>
      <c r="N1144" s="178">
        <v>26528875</v>
      </c>
      <c r="O1144" s="169" t="s">
        <v>827</v>
      </c>
      <c r="P1144" s="169" t="s">
        <v>283</v>
      </c>
      <c r="Q1144" s="169" t="s">
        <v>284</v>
      </c>
      <c r="R1144" s="169" t="s">
        <v>283</v>
      </c>
      <c r="S1144" s="169" t="s">
        <v>283</v>
      </c>
      <c r="T1144" s="169">
        <v>0</v>
      </c>
    </row>
    <row r="1145" spans="1:20" x14ac:dyDescent="0.2">
      <c r="A1145" s="169">
        <v>622</v>
      </c>
      <c r="B1145" s="167" t="str">
        <f>_xlfn.XLOOKUP(I1145,Mapping!D:D,Mapping!E:E)</f>
        <v>Xưởng Sản Xuất</v>
      </c>
      <c r="C1145" s="167" t="str">
        <f>_xlfn.XLOOKUP(F1145,Mapping!A:A,Mapping!F:F)</f>
        <v>BHXH, BHYT, KPCĐ</v>
      </c>
      <c r="D1145" s="173">
        <v>45838</v>
      </c>
      <c r="E1145" s="169" t="s">
        <v>825</v>
      </c>
      <c r="F1145" s="169" t="s">
        <v>425</v>
      </c>
      <c r="G1145" s="169" t="s">
        <v>296</v>
      </c>
      <c r="H1145" s="169" t="s">
        <v>402</v>
      </c>
      <c r="I1145" s="169" t="s">
        <v>403</v>
      </c>
      <c r="J1145" s="169" t="s">
        <v>826</v>
      </c>
      <c r="K1145" s="169" t="s">
        <v>815</v>
      </c>
      <c r="L1145" s="169" t="s">
        <v>816</v>
      </c>
      <c r="M1145" s="169" t="s">
        <v>281</v>
      </c>
      <c r="N1145" s="178">
        <v>238721435</v>
      </c>
      <c r="O1145" s="169" t="s">
        <v>827</v>
      </c>
      <c r="P1145" s="169" t="s">
        <v>283</v>
      </c>
      <c r="Q1145" s="169" t="s">
        <v>284</v>
      </c>
      <c r="R1145" s="169" t="s">
        <v>283</v>
      </c>
      <c r="S1145" s="169" t="s">
        <v>283</v>
      </c>
      <c r="T1145" s="169">
        <v>0</v>
      </c>
    </row>
    <row r="1146" spans="1:20" x14ac:dyDescent="0.2">
      <c r="A1146" s="169">
        <v>627</v>
      </c>
      <c r="B1146" s="167" t="str">
        <f>_xlfn.XLOOKUP(I1146,Mapping!D:D,Mapping!E:E)</f>
        <v>Xưởng Sản Xuất</v>
      </c>
      <c r="C1146" s="167" t="str">
        <f>_xlfn.XLOOKUP(F1146,Mapping!A:A,Mapping!F:F)</f>
        <v>BHXH, BHYT, KPCĐ</v>
      </c>
      <c r="D1146" s="173">
        <v>45838</v>
      </c>
      <c r="E1146" s="169" t="s">
        <v>825</v>
      </c>
      <c r="F1146" s="169" t="s">
        <v>393</v>
      </c>
      <c r="G1146" s="169" t="s">
        <v>296</v>
      </c>
      <c r="H1146" s="169" t="s">
        <v>402</v>
      </c>
      <c r="I1146" s="169" t="s">
        <v>403</v>
      </c>
      <c r="J1146" s="169" t="s">
        <v>826</v>
      </c>
      <c r="K1146" s="169" t="s">
        <v>815</v>
      </c>
      <c r="L1146" s="169" t="s">
        <v>816</v>
      </c>
      <c r="M1146" s="169" t="s">
        <v>281</v>
      </c>
      <c r="N1146" s="178">
        <v>83161205</v>
      </c>
      <c r="O1146" s="169" t="s">
        <v>827</v>
      </c>
      <c r="P1146" s="169" t="s">
        <v>283</v>
      </c>
      <c r="Q1146" s="169" t="s">
        <v>284</v>
      </c>
      <c r="R1146" s="169" t="s">
        <v>283</v>
      </c>
      <c r="S1146" s="169" t="s">
        <v>283</v>
      </c>
      <c r="T1146" s="169">
        <v>0</v>
      </c>
    </row>
    <row r="1147" spans="1:20" x14ac:dyDescent="0.2">
      <c r="A1147" s="169">
        <v>627</v>
      </c>
      <c r="B1147" s="167" t="str">
        <f>_xlfn.XLOOKUP(I1147,Mapping!D:D,Mapping!E:E)</f>
        <v>Xưởng Sản Xuất</v>
      </c>
      <c r="C1147" s="167" t="str">
        <f>_xlfn.XLOOKUP(F1147,Mapping!A:A,Mapping!F:F)</f>
        <v>BHXH, BHYT, KPCĐ</v>
      </c>
      <c r="D1147" s="173">
        <v>45838</v>
      </c>
      <c r="E1147" s="169" t="s">
        <v>832</v>
      </c>
      <c r="F1147" s="169" t="s">
        <v>393</v>
      </c>
      <c r="G1147" s="169" t="s">
        <v>296</v>
      </c>
      <c r="H1147" s="169" t="s">
        <v>402</v>
      </c>
      <c r="I1147" s="169" t="s">
        <v>403</v>
      </c>
      <c r="J1147" s="169" t="s">
        <v>826</v>
      </c>
      <c r="K1147" s="169" t="s">
        <v>815</v>
      </c>
      <c r="L1147" s="169" t="s">
        <v>816</v>
      </c>
      <c r="M1147" s="169" t="s">
        <v>281</v>
      </c>
      <c r="N1147" s="178">
        <v>1410000</v>
      </c>
      <c r="O1147" s="169" t="s">
        <v>833</v>
      </c>
      <c r="P1147" s="169" t="s">
        <v>283</v>
      </c>
      <c r="Q1147" s="169" t="s">
        <v>284</v>
      </c>
      <c r="R1147" s="169" t="s">
        <v>283</v>
      </c>
      <c r="S1147" s="169" t="s">
        <v>283</v>
      </c>
      <c r="T1147" s="169">
        <v>0</v>
      </c>
    </row>
    <row r="1148" spans="1:20" x14ac:dyDescent="0.2">
      <c r="A1148" s="169">
        <v>622</v>
      </c>
      <c r="B1148" s="167" t="str">
        <f>_xlfn.XLOOKUP(I1148,Mapping!D:D,Mapping!E:E)</f>
        <v>Xưởng Sản Xuất</v>
      </c>
      <c r="C1148" s="167" t="str">
        <f>_xlfn.XLOOKUP(F1148,Mapping!A:A,Mapping!F:F)</f>
        <v>BHXH, BHYT, KPCĐ</v>
      </c>
      <c r="D1148" s="173">
        <v>45838</v>
      </c>
      <c r="E1148" s="169" t="s">
        <v>832</v>
      </c>
      <c r="F1148" s="169" t="s">
        <v>425</v>
      </c>
      <c r="G1148" s="169" t="s">
        <v>296</v>
      </c>
      <c r="H1148" s="169" t="s">
        <v>402</v>
      </c>
      <c r="I1148" s="169" t="s">
        <v>403</v>
      </c>
      <c r="J1148" s="169" t="s">
        <v>826</v>
      </c>
      <c r="K1148" s="169" t="s">
        <v>815</v>
      </c>
      <c r="L1148" s="169" t="s">
        <v>816</v>
      </c>
      <c r="M1148" s="169" t="s">
        <v>281</v>
      </c>
      <c r="N1148" s="178">
        <v>1271820</v>
      </c>
      <c r="O1148" s="169" t="s">
        <v>833</v>
      </c>
      <c r="P1148" s="169" t="s">
        <v>283</v>
      </c>
      <c r="Q1148" s="169" t="s">
        <v>284</v>
      </c>
      <c r="R1148" s="169" t="s">
        <v>283</v>
      </c>
      <c r="S1148" s="169" t="s">
        <v>283</v>
      </c>
      <c r="T1148" s="169">
        <v>0</v>
      </c>
    </row>
    <row r="1149" spans="1:20" x14ac:dyDescent="0.2">
      <c r="A1149" s="169">
        <v>627</v>
      </c>
      <c r="B1149" s="167" t="str">
        <f>_xlfn.XLOOKUP(I1149,Mapping!D:D,Mapping!E:E)</f>
        <v>Xưởng Sản Xuất</v>
      </c>
      <c r="C1149" s="167" t="str">
        <f>_xlfn.XLOOKUP(F1149,Mapping!A:A,Mapping!F:F)</f>
        <v>Phụ Cấp</v>
      </c>
      <c r="D1149" s="173">
        <v>45834</v>
      </c>
      <c r="E1149" s="169" t="s">
        <v>837</v>
      </c>
      <c r="F1149" s="169" t="s">
        <v>375</v>
      </c>
      <c r="G1149" s="169" t="s">
        <v>336</v>
      </c>
      <c r="H1149" s="169" t="s">
        <v>402</v>
      </c>
      <c r="I1149" s="169" t="s">
        <v>403</v>
      </c>
      <c r="J1149" s="169" t="s">
        <v>838</v>
      </c>
      <c r="K1149" s="169" t="s">
        <v>741</v>
      </c>
      <c r="L1149" s="169" t="s">
        <v>816</v>
      </c>
      <c r="M1149" s="169" t="s">
        <v>281</v>
      </c>
      <c r="N1149" s="178">
        <v>154650000</v>
      </c>
      <c r="O1149" s="169" t="s">
        <v>839</v>
      </c>
      <c r="P1149" s="169" t="s">
        <v>283</v>
      </c>
      <c r="Q1149" s="169" t="s">
        <v>306</v>
      </c>
      <c r="R1149" s="169" t="s">
        <v>283</v>
      </c>
      <c r="S1149" s="169" t="s">
        <v>283</v>
      </c>
      <c r="T1149" s="169">
        <v>0</v>
      </c>
    </row>
    <row r="1150" spans="1:20" x14ac:dyDescent="0.2">
      <c r="B1150" s="167" t="str">
        <f>_xlfn.XLOOKUP(I1150,Mapping!D:D,Mapping!E:E)</f>
        <v>Kiểm Soát Chất Lượng</v>
      </c>
      <c r="C1150" s="167" t="str">
        <f>_xlfn.XLOOKUP(F1150,Mapping!A:A,Mapping!F:F)</f>
        <v>Phụ Cấp</v>
      </c>
      <c r="D1150" s="173">
        <v>45834</v>
      </c>
      <c r="E1150" s="169" t="s">
        <v>837</v>
      </c>
      <c r="F1150" s="169" t="s">
        <v>375</v>
      </c>
      <c r="G1150" s="169" t="s">
        <v>336</v>
      </c>
      <c r="H1150" s="169" t="s">
        <v>411</v>
      </c>
      <c r="I1150" s="169" t="s">
        <v>412</v>
      </c>
      <c r="J1150" s="169" t="s">
        <v>838</v>
      </c>
      <c r="K1150" s="169" t="s">
        <v>741</v>
      </c>
      <c r="L1150" s="169" t="s">
        <v>816</v>
      </c>
      <c r="M1150" s="169" t="s">
        <v>281</v>
      </c>
      <c r="N1150" s="178">
        <v>31425000</v>
      </c>
      <c r="O1150" s="169" t="s">
        <v>839</v>
      </c>
      <c r="P1150" s="169" t="s">
        <v>283</v>
      </c>
      <c r="Q1150" s="169" t="s">
        <v>306</v>
      </c>
      <c r="R1150" s="169" t="s">
        <v>283</v>
      </c>
      <c r="S1150" s="169" t="s">
        <v>283</v>
      </c>
      <c r="T1150" s="169">
        <v>0</v>
      </c>
    </row>
    <row r="1151" spans="1:20" x14ac:dyDescent="0.2">
      <c r="A1151" s="169">
        <v>622</v>
      </c>
      <c r="B1151" s="167" t="str">
        <f>_xlfn.XLOOKUP(I1151,Mapping!D:D,Mapping!E:E)</f>
        <v>Xưởng Sản Xuất</v>
      </c>
      <c r="C1151" s="167" t="str">
        <f>_xlfn.XLOOKUP(F1151,Mapping!A:A,Mapping!F:F)</f>
        <v>Lương Chính +T13</v>
      </c>
      <c r="D1151" s="173">
        <v>45838</v>
      </c>
      <c r="E1151" s="169" t="s">
        <v>840</v>
      </c>
      <c r="F1151" s="169" t="s">
        <v>400</v>
      </c>
      <c r="G1151" s="169" t="s">
        <v>401</v>
      </c>
      <c r="H1151" s="169" t="s">
        <v>402</v>
      </c>
      <c r="I1151" s="169" t="s">
        <v>403</v>
      </c>
      <c r="J1151" s="169" t="s">
        <v>841</v>
      </c>
      <c r="K1151" s="169" t="s">
        <v>405</v>
      </c>
      <c r="L1151" s="169" t="s">
        <v>816</v>
      </c>
      <c r="M1151" s="169" t="s">
        <v>281</v>
      </c>
      <c r="N1151" s="178">
        <v>124778373</v>
      </c>
      <c r="O1151" s="169" t="s">
        <v>842</v>
      </c>
      <c r="P1151" s="169" t="s">
        <v>283</v>
      </c>
      <c r="Q1151" s="169" t="s">
        <v>306</v>
      </c>
      <c r="R1151" s="169" t="s">
        <v>283</v>
      </c>
      <c r="S1151" s="169" t="s">
        <v>283</v>
      </c>
      <c r="T1151" s="169">
        <v>0</v>
      </c>
    </row>
    <row r="1152" spans="1:20" x14ac:dyDescent="0.2">
      <c r="A1152" s="169">
        <v>622</v>
      </c>
      <c r="B1152" s="167" t="str">
        <f>_xlfn.XLOOKUP(I1152,Mapping!D:D,Mapping!E:E)</f>
        <v>Xưởng Sản Xuất</v>
      </c>
      <c r="C1152" s="167" t="str">
        <f>_xlfn.XLOOKUP(F1152,Mapping!A:A,Mapping!F:F)</f>
        <v>Phụ Cấp</v>
      </c>
      <c r="D1152" s="173">
        <v>45838</v>
      </c>
      <c r="E1152" s="169" t="s">
        <v>871</v>
      </c>
      <c r="F1152" s="169" t="s">
        <v>414</v>
      </c>
      <c r="G1152" s="169" t="s">
        <v>415</v>
      </c>
      <c r="H1152" s="169" t="s">
        <v>402</v>
      </c>
      <c r="I1152" s="169" t="s">
        <v>403</v>
      </c>
      <c r="J1152" s="169" t="s">
        <v>416</v>
      </c>
      <c r="K1152" s="169" t="s">
        <v>416</v>
      </c>
      <c r="L1152" s="169" t="s">
        <v>816</v>
      </c>
      <c r="M1152" s="169" t="s">
        <v>281</v>
      </c>
      <c r="N1152" s="178">
        <v>127475000</v>
      </c>
      <c r="O1152" s="169" t="s">
        <v>872</v>
      </c>
      <c r="P1152" s="169" t="s">
        <v>283</v>
      </c>
      <c r="Q1152" s="169" t="s">
        <v>348</v>
      </c>
      <c r="R1152" s="169" t="s">
        <v>283</v>
      </c>
      <c r="S1152" s="169" t="s">
        <v>283</v>
      </c>
      <c r="T1152" s="169">
        <v>0</v>
      </c>
    </row>
    <row r="1153" spans="1:20" x14ac:dyDescent="0.2">
      <c r="A1153" s="169">
        <v>627</v>
      </c>
      <c r="B1153" s="167" t="str">
        <f>_xlfn.XLOOKUP(I1153,Mapping!D:D,Mapping!E:E)</f>
        <v>Xưởng Sản Xuất</v>
      </c>
      <c r="C1153" s="167" t="str">
        <f>_xlfn.XLOOKUP(F1153,Mapping!A:A,Mapping!F:F)</f>
        <v>Phụ Cấp</v>
      </c>
      <c r="D1153" s="173">
        <v>45838</v>
      </c>
      <c r="E1153" s="169" t="s">
        <v>871</v>
      </c>
      <c r="F1153" s="169" t="s">
        <v>375</v>
      </c>
      <c r="G1153" s="169" t="s">
        <v>336</v>
      </c>
      <c r="H1153" s="169" t="s">
        <v>402</v>
      </c>
      <c r="I1153" s="169" t="s">
        <v>403</v>
      </c>
      <c r="J1153" s="169" t="s">
        <v>416</v>
      </c>
      <c r="K1153" s="169" t="s">
        <v>416</v>
      </c>
      <c r="L1153" s="169" t="s">
        <v>816</v>
      </c>
      <c r="M1153" s="169" t="s">
        <v>281</v>
      </c>
      <c r="N1153" s="178">
        <v>-127475000</v>
      </c>
      <c r="O1153" s="169" t="s">
        <v>872</v>
      </c>
      <c r="P1153" s="169" t="s">
        <v>283</v>
      </c>
      <c r="Q1153" s="169" t="s">
        <v>348</v>
      </c>
      <c r="R1153" s="169" t="s">
        <v>283</v>
      </c>
      <c r="S1153" s="169" t="s">
        <v>283</v>
      </c>
      <c r="T1153" s="169">
        <v>0</v>
      </c>
    </row>
    <row r="1154" spans="1:20" x14ac:dyDescent="0.2">
      <c r="A1154" s="169">
        <v>622</v>
      </c>
      <c r="B1154" s="167" t="str">
        <f>_xlfn.XLOOKUP(I1154,Mapping!D:D,Mapping!E:E)</f>
        <v>Xưởng Sản Xuất</v>
      </c>
      <c r="C1154" s="167" t="str">
        <f>_xlfn.XLOOKUP(F1154,Mapping!A:A,Mapping!F:F)</f>
        <v>Lương Chính +T13</v>
      </c>
      <c r="D1154" s="173">
        <v>45838</v>
      </c>
      <c r="E1154" s="169" t="s">
        <v>813</v>
      </c>
      <c r="F1154" s="169" t="s">
        <v>400</v>
      </c>
      <c r="G1154" s="169" t="s">
        <v>401</v>
      </c>
      <c r="H1154" s="169" t="s">
        <v>430</v>
      </c>
      <c r="I1154" s="169" t="s">
        <v>431</v>
      </c>
      <c r="J1154" s="169" t="s">
        <v>814</v>
      </c>
      <c r="K1154" s="169" t="s">
        <v>815</v>
      </c>
      <c r="L1154" s="169" t="s">
        <v>816</v>
      </c>
      <c r="M1154" s="169" t="s">
        <v>281</v>
      </c>
      <c r="N1154" s="178">
        <v>371413214</v>
      </c>
      <c r="O1154" s="169" t="s">
        <v>817</v>
      </c>
      <c r="P1154" s="169" t="s">
        <v>283</v>
      </c>
      <c r="Q1154" s="169" t="s">
        <v>284</v>
      </c>
      <c r="R1154" s="169" t="s">
        <v>283</v>
      </c>
      <c r="S1154" s="169" t="s">
        <v>283</v>
      </c>
      <c r="T1154" s="169">
        <v>0</v>
      </c>
    </row>
    <row r="1155" spans="1:20" x14ac:dyDescent="0.2">
      <c r="A1155" s="169">
        <v>622</v>
      </c>
      <c r="B1155" s="167" t="str">
        <f>_xlfn.XLOOKUP(I1155,Mapping!D:D,Mapping!E:E)</f>
        <v>Xưởng Sản Xuất</v>
      </c>
      <c r="C1155" s="167" t="str">
        <f>_xlfn.XLOOKUP(F1155,Mapping!A:A,Mapping!F:F)</f>
        <v>Lương Chính +T13</v>
      </c>
      <c r="D1155" s="173">
        <v>45838</v>
      </c>
      <c r="E1155" s="169" t="s">
        <v>813</v>
      </c>
      <c r="F1155" s="169" t="s">
        <v>420</v>
      </c>
      <c r="G1155" s="169" t="s">
        <v>286</v>
      </c>
      <c r="H1155" s="169" t="s">
        <v>430</v>
      </c>
      <c r="I1155" s="169" t="s">
        <v>431</v>
      </c>
      <c r="J1155" s="169" t="s">
        <v>814</v>
      </c>
      <c r="K1155" s="169" t="s">
        <v>815</v>
      </c>
      <c r="L1155" s="169" t="s">
        <v>816</v>
      </c>
      <c r="M1155" s="169" t="s">
        <v>281</v>
      </c>
      <c r="N1155" s="178">
        <v>5473618</v>
      </c>
      <c r="O1155" s="169" t="s">
        <v>817</v>
      </c>
      <c r="P1155" s="169" t="s">
        <v>283</v>
      </c>
      <c r="Q1155" s="169" t="s">
        <v>284</v>
      </c>
      <c r="R1155" s="169" t="s">
        <v>283</v>
      </c>
      <c r="S1155" s="169" t="s">
        <v>283</v>
      </c>
      <c r="T1155" s="169">
        <v>0</v>
      </c>
    </row>
    <row r="1156" spans="1:20" x14ac:dyDescent="0.2">
      <c r="A1156" s="169">
        <v>622</v>
      </c>
      <c r="B1156" s="167" t="str">
        <f>_xlfn.XLOOKUP(I1156,Mapping!D:D,Mapping!E:E)</f>
        <v>Xưởng Sản Xuất</v>
      </c>
      <c r="C1156" s="167" t="str">
        <f>_xlfn.XLOOKUP(F1156,Mapping!A:A,Mapping!F:F)</f>
        <v>Phụ Cấp</v>
      </c>
      <c r="D1156" s="173">
        <v>45838</v>
      </c>
      <c r="E1156" s="169" t="s">
        <v>813</v>
      </c>
      <c r="F1156" s="169" t="s">
        <v>421</v>
      </c>
      <c r="G1156" s="169" t="s">
        <v>341</v>
      </c>
      <c r="H1156" s="169" t="s">
        <v>430</v>
      </c>
      <c r="I1156" s="169" t="s">
        <v>431</v>
      </c>
      <c r="J1156" s="169" t="s">
        <v>814</v>
      </c>
      <c r="K1156" s="169" t="s">
        <v>815</v>
      </c>
      <c r="L1156" s="169" t="s">
        <v>816</v>
      </c>
      <c r="M1156" s="169" t="s">
        <v>281</v>
      </c>
      <c r="N1156" s="178">
        <v>34618452</v>
      </c>
      <c r="O1156" s="169" t="s">
        <v>817</v>
      </c>
      <c r="P1156" s="169" t="s">
        <v>283</v>
      </c>
      <c r="Q1156" s="169" t="s">
        <v>284</v>
      </c>
      <c r="R1156" s="169" t="s">
        <v>283</v>
      </c>
      <c r="S1156" s="169" t="s">
        <v>283</v>
      </c>
      <c r="T1156" s="169">
        <v>0</v>
      </c>
    </row>
    <row r="1157" spans="1:20" x14ac:dyDescent="0.2">
      <c r="A1157" s="169">
        <v>622</v>
      </c>
      <c r="B1157" s="167" t="str">
        <f>_xlfn.XLOOKUP(I1157,Mapping!D:D,Mapping!E:E)</f>
        <v>Xưởng Sản Xuất</v>
      </c>
      <c r="C1157" s="167" t="str">
        <f>_xlfn.XLOOKUP(F1157,Mapping!A:A,Mapping!F:F)</f>
        <v>Lương Ngoài giờ</v>
      </c>
      <c r="D1157" s="173">
        <v>45838</v>
      </c>
      <c r="E1157" s="169" t="s">
        <v>813</v>
      </c>
      <c r="F1157" s="169" t="s">
        <v>422</v>
      </c>
      <c r="G1157" s="169" t="s">
        <v>423</v>
      </c>
      <c r="H1157" s="169" t="s">
        <v>430</v>
      </c>
      <c r="I1157" s="169" t="s">
        <v>431</v>
      </c>
      <c r="J1157" s="169" t="s">
        <v>814</v>
      </c>
      <c r="K1157" s="169" t="s">
        <v>815</v>
      </c>
      <c r="L1157" s="169" t="s">
        <v>816</v>
      </c>
      <c r="M1157" s="169" t="s">
        <v>281</v>
      </c>
      <c r="N1157" s="178">
        <v>74683510</v>
      </c>
      <c r="O1157" s="169" t="s">
        <v>817</v>
      </c>
      <c r="P1157" s="169" t="s">
        <v>283</v>
      </c>
      <c r="Q1157" s="169" t="s">
        <v>284</v>
      </c>
      <c r="R1157" s="169" t="s">
        <v>283</v>
      </c>
      <c r="S1157" s="169" t="s">
        <v>283</v>
      </c>
      <c r="T1157" s="169">
        <v>0</v>
      </c>
    </row>
    <row r="1158" spans="1:20" x14ac:dyDescent="0.2">
      <c r="A1158" s="169">
        <v>622</v>
      </c>
      <c r="B1158" s="167" t="str">
        <f>_xlfn.XLOOKUP(I1158,Mapping!D:D,Mapping!E:E)</f>
        <v>Xưởng Sản Xuất</v>
      </c>
      <c r="C1158" s="167" t="str">
        <f>_xlfn.XLOOKUP(F1158,Mapping!A:A,Mapping!F:F)</f>
        <v>Phụ Cấp</v>
      </c>
      <c r="D1158" s="173">
        <v>45838</v>
      </c>
      <c r="E1158" s="169" t="s">
        <v>813</v>
      </c>
      <c r="F1158" s="169" t="s">
        <v>414</v>
      </c>
      <c r="G1158" s="169" t="s">
        <v>415</v>
      </c>
      <c r="H1158" s="169" t="s">
        <v>430</v>
      </c>
      <c r="I1158" s="169" t="s">
        <v>431</v>
      </c>
      <c r="J1158" s="169" t="s">
        <v>814</v>
      </c>
      <c r="K1158" s="169" t="s">
        <v>815</v>
      </c>
      <c r="L1158" s="169" t="s">
        <v>816</v>
      </c>
      <c r="M1158" s="169" t="s">
        <v>281</v>
      </c>
      <c r="N1158" s="178">
        <v>9220000</v>
      </c>
      <c r="O1158" s="169" t="s">
        <v>817</v>
      </c>
      <c r="P1158" s="169" t="s">
        <v>283</v>
      </c>
      <c r="Q1158" s="169" t="s">
        <v>284</v>
      </c>
      <c r="R1158" s="169" t="s">
        <v>283</v>
      </c>
      <c r="S1158" s="169" t="s">
        <v>283</v>
      </c>
      <c r="T1158" s="169">
        <v>0</v>
      </c>
    </row>
    <row r="1159" spans="1:20" x14ac:dyDescent="0.2">
      <c r="A1159" s="169">
        <v>627</v>
      </c>
      <c r="B1159" s="167" t="str">
        <f>_xlfn.XLOOKUP(I1159,Mapping!D:D,Mapping!E:E)</f>
        <v>Xưởng Sản Xuất</v>
      </c>
      <c r="C1159" s="167" t="str">
        <f>_xlfn.XLOOKUP(F1159,Mapping!A:A,Mapping!F:F)</f>
        <v>Phụ Cấp</v>
      </c>
      <c r="D1159" s="173">
        <v>45838</v>
      </c>
      <c r="E1159" s="169" t="s">
        <v>813</v>
      </c>
      <c r="F1159" s="169" t="s">
        <v>386</v>
      </c>
      <c r="G1159" s="169" t="s">
        <v>341</v>
      </c>
      <c r="H1159" s="169" t="s">
        <v>430</v>
      </c>
      <c r="I1159" s="169" t="s">
        <v>431</v>
      </c>
      <c r="J1159" s="169" t="s">
        <v>814</v>
      </c>
      <c r="K1159" s="169" t="s">
        <v>815</v>
      </c>
      <c r="L1159" s="169" t="s">
        <v>816</v>
      </c>
      <c r="M1159" s="169" t="s">
        <v>281</v>
      </c>
      <c r="N1159" s="178">
        <v>11486308</v>
      </c>
      <c r="O1159" s="169" t="s">
        <v>817</v>
      </c>
      <c r="P1159" s="169" t="s">
        <v>283</v>
      </c>
      <c r="Q1159" s="169" t="s">
        <v>284</v>
      </c>
      <c r="R1159" s="169" t="s">
        <v>283</v>
      </c>
      <c r="S1159" s="169" t="s">
        <v>283</v>
      </c>
      <c r="T1159" s="169">
        <v>0</v>
      </c>
    </row>
    <row r="1160" spans="1:20" x14ac:dyDescent="0.2">
      <c r="A1160" s="169">
        <v>622</v>
      </c>
      <c r="B1160" s="167" t="str">
        <f>_xlfn.XLOOKUP(I1160,Mapping!D:D,Mapping!E:E)</f>
        <v>Xưởng Sản Xuất</v>
      </c>
      <c r="C1160" s="167" t="str">
        <f>_xlfn.XLOOKUP(F1160,Mapping!A:A,Mapping!F:F)</f>
        <v>Lương Chính +T13</v>
      </c>
      <c r="D1160" s="173">
        <v>45838</v>
      </c>
      <c r="E1160" s="169" t="s">
        <v>818</v>
      </c>
      <c r="F1160" s="169" t="s">
        <v>420</v>
      </c>
      <c r="G1160" s="169" t="s">
        <v>286</v>
      </c>
      <c r="H1160" s="169" t="s">
        <v>430</v>
      </c>
      <c r="I1160" s="169" t="s">
        <v>431</v>
      </c>
      <c r="J1160" s="169" t="s">
        <v>819</v>
      </c>
      <c r="K1160" s="169" t="s">
        <v>815</v>
      </c>
      <c r="L1160" s="169" t="s">
        <v>816</v>
      </c>
      <c r="M1160" s="169" t="s">
        <v>281</v>
      </c>
      <c r="N1160" s="178">
        <v>19493886</v>
      </c>
      <c r="O1160" s="169" t="s">
        <v>820</v>
      </c>
      <c r="P1160" s="169" t="s">
        <v>283</v>
      </c>
      <c r="Q1160" s="169" t="s">
        <v>284</v>
      </c>
      <c r="R1160" s="169" t="s">
        <v>283</v>
      </c>
      <c r="S1160" s="169" t="s">
        <v>283</v>
      </c>
      <c r="T1160" s="169">
        <v>0</v>
      </c>
    </row>
    <row r="1161" spans="1:20" x14ac:dyDescent="0.2">
      <c r="A1161" s="169">
        <v>622</v>
      </c>
      <c r="B1161" s="167" t="str">
        <f>_xlfn.XLOOKUP(I1161,Mapping!D:D,Mapping!E:E)</f>
        <v>Xưởng Sản Xuất</v>
      </c>
      <c r="C1161" s="167" t="str">
        <f>_xlfn.XLOOKUP(F1161,Mapping!A:A,Mapping!F:F)</f>
        <v>Thưởng</v>
      </c>
      <c r="D1161" s="173">
        <v>45838</v>
      </c>
      <c r="E1161" s="169" t="s">
        <v>818</v>
      </c>
      <c r="F1161" s="169" t="s">
        <v>426</v>
      </c>
      <c r="G1161" s="169" t="s">
        <v>77</v>
      </c>
      <c r="H1161" s="169" t="s">
        <v>430</v>
      </c>
      <c r="I1161" s="169" t="s">
        <v>431</v>
      </c>
      <c r="J1161" s="169" t="s">
        <v>821</v>
      </c>
      <c r="K1161" s="169" t="s">
        <v>815</v>
      </c>
      <c r="L1161" s="169" t="s">
        <v>816</v>
      </c>
      <c r="M1161" s="169" t="s">
        <v>281</v>
      </c>
      <c r="N1161" s="178">
        <v>4648511</v>
      </c>
      <c r="O1161" s="169" t="s">
        <v>820</v>
      </c>
      <c r="P1161" s="169" t="s">
        <v>283</v>
      </c>
      <c r="Q1161" s="169" t="s">
        <v>284</v>
      </c>
      <c r="R1161" s="169" t="s">
        <v>283</v>
      </c>
      <c r="S1161" s="169" t="s">
        <v>283</v>
      </c>
      <c r="T1161" s="169">
        <v>0</v>
      </c>
    </row>
    <row r="1162" spans="1:20" x14ac:dyDescent="0.2">
      <c r="A1162" s="169">
        <v>622</v>
      </c>
      <c r="B1162" s="167" t="str">
        <f>_xlfn.XLOOKUP(I1162,Mapping!D:D,Mapping!E:E)</f>
        <v>Xưởng Sản Xuất</v>
      </c>
      <c r="C1162" s="167" t="str">
        <f>_xlfn.XLOOKUP(F1162,Mapping!A:A,Mapping!F:F)</f>
        <v>BHXH, BHYT, KPCĐ</v>
      </c>
      <c r="D1162" s="173">
        <v>45838</v>
      </c>
      <c r="E1162" s="169" t="s">
        <v>825</v>
      </c>
      <c r="F1162" s="169" t="s">
        <v>425</v>
      </c>
      <c r="G1162" s="169" t="s">
        <v>296</v>
      </c>
      <c r="H1162" s="169" t="s">
        <v>430</v>
      </c>
      <c r="I1162" s="169" t="s">
        <v>431</v>
      </c>
      <c r="J1162" s="169" t="s">
        <v>826</v>
      </c>
      <c r="K1162" s="169" t="s">
        <v>815</v>
      </c>
      <c r="L1162" s="169" t="s">
        <v>816</v>
      </c>
      <c r="M1162" s="169" t="s">
        <v>281</v>
      </c>
      <c r="N1162" s="178">
        <v>39530345</v>
      </c>
      <c r="O1162" s="169" t="s">
        <v>827</v>
      </c>
      <c r="P1162" s="169" t="s">
        <v>283</v>
      </c>
      <c r="Q1162" s="169" t="s">
        <v>284</v>
      </c>
      <c r="R1162" s="169" t="s">
        <v>283</v>
      </c>
      <c r="S1162" s="169" t="s">
        <v>283</v>
      </c>
      <c r="T1162" s="169">
        <v>0</v>
      </c>
    </row>
    <row r="1163" spans="1:20" x14ac:dyDescent="0.2">
      <c r="A1163" s="169">
        <v>622</v>
      </c>
      <c r="B1163" s="167" t="str">
        <f>_xlfn.XLOOKUP(I1163,Mapping!D:D,Mapping!E:E)</f>
        <v>Xưởng Sản Xuất</v>
      </c>
      <c r="C1163" s="167" t="str">
        <f>_xlfn.XLOOKUP(F1163,Mapping!A:A,Mapping!F:F)</f>
        <v>Lương Chính +T13</v>
      </c>
      <c r="D1163" s="173">
        <v>45838</v>
      </c>
      <c r="E1163" s="169" t="s">
        <v>840</v>
      </c>
      <c r="F1163" s="169" t="s">
        <v>400</v>
      </c>
      <c r="G1163" s="169" t="s">
        <v>401</v>
      </c>
      <c r="H1163" s="169" t="s">
        <v>430</v>
      </c>
      <c r="I1163" s="169" t="s">
        <v>431</v>
      </c>
      <c r="J1163" s="169" t="s">
        <v>841</v>
      </c>
      <c r="K1163" s="169" t="s">
        <v>405</v>
      </c>
      <c r="L1163" s="169" t="s">
        <v>816</v>
      </c>
      <c r="M1163" s="169" t="s">
        <v>281</v>
      </c>
      <c r="N1163" s="178">
        <v>25740529</v>
      </c>
      <c r="O1163" s="169" t="s">
        <v>842</v>
      </c>
      <c r="P1163" s="169" t="s">
        <v>283</v>
      </c>
      <c r="Q1163" s="169" t="s">
        <v>306</v>
      </c>
      <c r="R1163" s="169" t="s">
        <v>283</v>
      </c>
      <c r="S1163" s="169" t="s">
        <v>283</v>
      </c>
      <c r="T1163" s="169">
        <v>0</v>
      </c>
    </row>
    <row r="1164" spans="1:20" x14ac:dyDescent="0.2">
      <c r="A1164" s="169">
        <v>622</v>
      </c>
      <c r="B1164" s="167" t="str">
        <f>_xlfn.XLOOKUP(I1164,Mapping!D:D,Mapping!E:E)</f>
        <v>Xưởng Sản Xuất</v>
      </c>
      <c r="C1164" s="167" t="str">
        <f>_xlfn.XLOOKUP(F1164,Mapping!A:A,Mapping!F:F)</f>
        <v>Phụ Cấp</v>
      </c>
      <c r="D1164" s="173">
        <v>45838</v>
      </c>
      <c r="E1164" s="169" t="s">
        <v>871</v>
      </c>
      <c r="F1164" s="169" t="s">
        <v>414</v>
      </c>
      <c r="G1164" s="169" t="s">
        <v>415</v>
      </c>
      <c r="H1164" s="169" t="s">
        <v>430</v>
      </c>
      <c r="I1164" s="169" t="s">
        <v>431</v>
      </c>
      <c r="J1164" s="169" t="s">
        <v>416</v>
      </c>
      <c r="K1164" s="169" t="s">
        <v>416</v>
      </c>
      <c r="L1164" s="169" t="s">
        <v>816</v>
      </c>
      <c r="M1164" s="169" t="s">
        <v>281</v>
      </c>
      <c r="N1164" s="178">
        <v>27950000</v>
      </c>
      <c r="O1164" s="169" t="s">
        <v>872</v>
      </c>
      <c r="P1164" s="169" t="s">
        <v>283</v>
      </c>
      <c r="Q1164" s="169" t="s">
        <v>348</v>
      </c>
      <c r="R1164" s="169" t="s">
        <v>283</v>
      </c>
      <c r="S1164" s="169" t="s">
        <v>283</v>
      </c>
      <c r="T1164" s="169">
        <v>0</v>
      </c>
    </row>
    <row r="1165" spans="1:20" x14ac:dyDescent="0.2">
      <c r="A1165" s="169">
        <v>627</v>
      </c>
      <c r="B1165" s="167" t="str">
        <f>_xlfn.XLOOKUP(I1165,Mapping!D:D,Mapping!E:E)</f>
        <v>Xưởng Sản Xuất</v>
      </c>
      <c r="C1165" s="167" t="str">
        <f>_xlfn.XLOOKUP(F1165,Mapping!A:A,Mapping!F:F)</f>
        <v>Khen thưởng BD khác</v>
      </c>
      <c r="D1165" s="173">
        <v>45812</v>
      </c>
      <c r="E1165" s="169" t="s">
        <v>873</v>
      </c>
      <c r="F1165" s="169" t="s">
        <v>435</v>
      </c>
      <c r="G1165" s="169" t="s">
        <v>222</v>
      </c>
      <c r="H1165" s="169" t="s">
        <v>436</v>
      </c>
      <c r="I1165" s="169" t="s">
        <v>437</v>
      </c>
      <c r="J1165" s="169" t="s">
        <v>874</v>
      </c>
      <c r="K1165" s="169" t="s">
        <v>875</v>
      </c>
      <c r="L1165" s="169" t="s">
        <v>816</v>
      </c>
      <c r="M1165" s="169" t="s">
        <v>281</v>
      </c>
      <c r="N1165" s="178">
        <v>9850000</v>
      </c>
      <c r="O1165" s="169" t="s">
        <v>876</v>
      </c>
      <c r="P1165" s="169" t="s">
        <v>283</v>
      </c>
      <c r="Q1165" s="169" t="s">
        <v>764</v>
      </c>
      <c r="R1165" s="169" t="s">
        <v>283</v>
      </c>
      <c r="S1165" s="169" t="s">
        <v>283</v>
      </c>
      <c r="T1165" s="169">
        <v>0</v>
      </c>
    </row>
    <row r="1166" spans="1:20" x14ac:dyDescent="0.2">
      <c r="A1166" s="169">
        <v>627</v>
      </c>
      <c r="B1166" s="167" t="str">
        <f>_xlfn.XLOOKUP(I1166,Mapping!D:D,Mapping!E:E)</f>
        <v>Xưởng Sản Xuất</v>
      </c>
      <c r="C1166" s="167" t="str">
        <f>_xlfn.XLOOKUP(F1166,Mapping!A:A,Mapping!F:F)</f>
        <v>Lương Chính +T13</v>
      </c>
      <c r="D1166" s="173">
        <v>45838</v>
      </c>
      <c r="E1166" s="169" t="s">
        <v>813</v>
      </c>
      <c r="F1166" s="169" t="s">
        <v>387</v>
      </c>
      <c r="G1166" s="169" t="s">
        <v>275</v>
      </c>
      <c r="H1166" s="169" t="s">
        <v>430</v>
      </c>
      <c r="I1166" s="169" t="s">
        <v>431</v>
      </c>
      <c r="J1166" s="169" t="s">
        <v>814</v>
      </c>
      <c r="K1166" s="169" t="s">
        <v>815</v>
      </c>
      <c r="L1166" s="169" t="s">
        <v>816</v>
      </c>
      <c r="M1166" s="169" t="s">
        <v>281</v>
      </c>
      <c r="N1166" s="178">
        <v>173654279</v>
      </c>
      <c r="O1166" s="169" t="s">
        <v>817</v>
      </c>
      <c r="P1166" s="169" t="s">
        <v>283</v>
      </c>
      <c r="Q1166" s="169" t="s">
        <v>284</v>
      </c>
      <c r="R1166" s="169" t="s">
        <v>283</v>
      </c>
      <c r="S1166" s="169" t="s">
        <v>283</v>
      </c>
      <c r="T1166" s="169">
        <v>0</v>
      </c>
    </row>
    <row r="1167" spans="1:20" x14ac:dyDescent="0.2">
      <c r="A1167" s="169">
        <v>627</v>
      </c>
      <c r="B1167" s="167" t="str">
        <f>_xlfn.XLOOKUP(I1167,Mapping!D:D,Mapping!E:E)</f>
        <v>Xưởng Sản Xuất</v>
      </c>
      <c r="C1167" s="167" t="str">
        <f>_xlfn.XLOOKUP(F1167,Mapping!A:A,Mapping!F:F)</f>
        <v>Lương Chính +T13</v>
      </c>
      <c r="D1167" s="173">
        <v>45838</v>
      </c>
      <c r="E1167" s="169" t="s">
        <v>813</v>
      </c>
      <c r="F1167" s="169" t="s">
        <v>388</v>
      </c>
      <c r="G1167" s="169" t="s">
        <v>286</v>
      </c>
      <c r="H1167" s="169" t="s">
        <v>430</v>
      </c>
      <c r="I1167" s="169" t="s">
        <v>431</v>
      </c>
      <c r="J1167" s="169" t="s">
        <v>814</v>
      </c>
      <c r="K1167" s="169" t="s">
        <v>815</v>
      </c>
      <c r="L1167" s="169" t="s">
        <v>816</v>
      </c>
      <c r="M1167" s="169" t="s">
        <v>281</v>
      </c>
      <c r="N1167" s="178">
        <v>4666807</v>
      </c>
      <c r="O1167" s="169" t="s">
        <v>817</v>
      </c>
      <c r="P1167" s="169" t="s">
        <v>283</v>
      </c>
      <c r="Q1167" s="169" t="s">
        <v>284</v>
      </c>
      <c r="R1167" s="169" t="s">
        <v>283</v>
      </c>
      <c r="S1167" s="169" t="s">
        <v>283</v>
      </c>
      <c r="T1167" s="169">
        <v>0</v>
      </c>
    </row>
    <row r="1168" spans="1:20" x14ac:dyDescent="0.2">
      <c r="A1168" s="169">
        <v>627</v>
      </c>
      <c r="B1168" s="167" t="str">
        <f>_xlfn.XLOOKUP(I1168,Mapping!D:D,Mapping!E:E)</f>
        <v>Xưởng Sản Xuất</v>
      </c>
      <c r="C1168" s="167" t="str">
        <f>_xlfn.XLOOKUP(F1168,Mapping!A:A,Mapping!F:F)</f>
        <v>Lương Ngoài giờ</v>
      </c>
      <c r="D1168" s="173">
        <v>45838</v>
      </c>
      <c r="E1168" s="169" t="s">
        <v>813</v>
      </c>
      <c r="F1168" s="169" t="s">
        <v>389</v>
      </c>
      <c r="G1168" s="169" t="s">
        <v>390</v>
      </c>
      <c r="H1168" s="169" t="s">
        <v>430</v>
      </c>
      <c r="I1168" s="169" t="s">
        <v>431</v>
      </c>
      <c r="J1168" s="169" t="s">
        <v>814</v>
      </c>
      <c r="K1168" s="169" t="s">
        <v>815</v>
      </c>
      <c r="L1168" s="169" t="s">
        <v>816</v>
      </c>
      <c r="M1168" s="169" t="s">
        <v>281</v>
      </c>
      <c r="N1168" s="178">
        <v>22564094</v>
      </c>
      <c r="O1168" s="169" t="s">
        <v>817</v>
      </c>
      <c r="P1168" s="169" t="s">
        <v>283</v>
      </c>
      <c r="Q1168" s="169" t="s">
        <v>284</v>
      </c>
      <c r="R1168" s="169" t="s">
        <v>283</v>
      </c>
      <c r="S1168" s="169" t="s">
        <v>283</v>
      </c>
      <c r="T1168" s="169">
        <v>0</v>
      </c>
    </row>
    <row r="1169" spans="1:20" x14ac:dyDescent="0.2">
      <c r="A1169" s="169">
        <v>627</v>
      </c>
      <c r="B1169" s="167" t="str">
        <f>_xlfn.XLOOKUP(I1169,Mapping!D:D,Mapping!E:E)</f>
        <v>Xưởng Sản Xuất</v>
      </c>
      <c r="C1169" s="167" t="str">
        <f>_xlfn.XLOOKUP(F1169,Mapping!A:A,Mapping!F:F)</f>
        <v>Phụ Cấp</v>
      </c>
      <c r="D1169" s="173">
        <v>45838</v>
      </c>
      <c r="E1169" s="169" t="s">
        <v>813</v>
      </c>
      <c r="F1169" s="169" t="s">
        <v>375</v>
      </c>
      <c r="G1169" s="169" t="s">
        <v>336</v>
      </c>
      <c r="H1169" s="169" t="s">
        <v>430</v>
      </c>
      <c r="I1169" s="169" t="s">
        <v>431</v>
      </c>
      <c r="J1169" s="169" t="s">
        <v>814</v>
      </c>
      <c r="K1169" s="169" t="s">
        <v>815</v>
      </c>
      <c r="L1169" s="169" t="s">
        <v>816</v>
      </c>
      <c r="M1169" s="169" t="s">
        <v>281</v>
      </c>
      <c r="N1169" s="178">
        <v>1790000</v>
      </c>
      <c r="O1169" s="169" t="s">
        <v>817</v>
      </c>
      <c r="P1169" s="169" t="s">
        <v>283</v>
      </c>
      <c r="Q1169" s="169" t="s">
        <v>284</v>
      </c>
      <c r="R1169" s="169" t="s">
        <v>283</v>
      </c>
      <c r="S1169" s="169" t="s">
        <v>283</v>
      </c>
      <c r="T1169" s="169">
        <v>0</v>
      </c>
    </row>
    <row r="1170" spans="1:20" x14ac:dyDescent="0.2">
      <c r="A1170" s="169">
        <v>627</v>
      </c>
      <c r="B1170" s="167" t="str">
        <f>_xlfn.XLOOKUP(I1170,Mapping!D:D,Mapping!E:E)</f>
        <v>Xưởng Sản Xuất</v>
      </c>
      <c r="C1170" s="167" t="str">
        <f>_xlfn.XLOOKUP(F1170,Mapping!A:A,Mapping!F:F)</f>
        <v>Phụ Cấp</v>
      </c>
      <c r="D1170" s="173">
        <v>45838</v>
      </c>
      <c r="E1170" s="169" t="s">
        <v>813</v>
      </c>
      <c r="F1170" s="169" t="s">
        <v>386</v>
      </c>
      <c r="G1170" s="169" t="s">
        <v>341</v>
      </c>
      <c r="H1170" s="169" t="s">
        <v>436</v>
      </c>
      <c r="I1170" s="169" t="s">
        <v>437</v>
      </c>
      <c r="J1170" s="169" t="s">
        <v>814</v>
      </c>
      <c r="K1170" s="169" t="s">
        <v>815</v>
      </c>
      <c r="L1170" s="169" t="s">
        <v>816</v>
      </c>
      <c r="M1170" s="169" t="s">
        <v>281</v>
      </c>
      <c r="N1170" s="178">
        <v>10100436</v>
      </c>
      <c r="O1170" s="169" t="s">
        <v>817</v>
      </c>
      <c r="P1170" s="169" t="s">
        <v>283</v>
      </c>
      <c r="Q1170" s="169" t="s">
        <v>284</v>
      </c>
      <c r="R1170" s="169" t="s">
        <v>283</v>
      </c>
      <c r="S1170" s="169" t="s">
        <v>283</v>
      </c>
      <c r="T1170" s="169">
        <v>0</v>
      </c>
    </row>
    <row r="1171" spans="1:20" x14ac:dyDescent="0.2">
      <c r="A1171" s="169">
        <v>627</v>
      </c>
      <c r="B1171" s="167" t="str">
        <f>_xlfn.XLOOKUP(I1171,Mapping!D:D,Mapping!E:E)</f>
        <v>Xưởng Sản Xuất</v>
      </c>
      <c r="C1171" s="167" t="str">
        <f>_xlfn.XLOOKUP(F1171,Mapping!A:A,Mapping!F:F)</f>
        <v>Lương Chính +T13</v>
      </c>
      <c r="D1171" s="173">
        <v>45838</v>
      </c>
      <c r="E1171" s="169" t="s">
        <v>813</v>
      </c>
      <c r="F1171" s="169" t="s">
        <v>387</v>
      </c>
      <c r="G1171" s="169" t="s">
        <v>275</v>
      </c>
      <c r="H1171" s="169" t="s">
        <v>436</v>
      </c>
      <c r="I1171" s="169" t="s">
        <v>437</v>
      </c>
      <c r="J1171" s="169" t="s">
        <v>814</v>
      </c>
      <c r="K1171" s="169" t="s">
        <v>815</v>
      </c>
      <c r="L1171" s="169" t="s">
        <v>816</v>
      </c>
      <c r="M1171" s="169" t="s">
        <v>281</v>
      </c>
      <c r="N1171" s="178">
        <v>388075451</v>
      </c>
      <c r="O1171" s="169" t="s">
        <v>817</v>
      </c>
      <c r="P1171" s="169" t="s">
        <v>283</v>
      </c>
      <c r="Q1171" s="169" t="s">
        <v>284</v>
      </c>
      <c r="R1171" s="169" t="s">
        <v>283</v>
      </c>
      <c r="S1171" s="169" t="s">
        <v>283</v>
      </c>
      <c r="T1171" s="169">
        <v>0</v>
      </c>
    </row>
    <row r="1172" spans="1:20" x14ac:dyDescent="0.2">
      <c r="A1172" s="169">
        <v>627</v>
      </c>
      <c r="B1172" s="167" t="str">
        <f>_xlfn.XLOOKUP(I1172,Mapping!D:D,Mapping!E:E)</f>
        <v>Xưởng Sản Xuất</v>
      </c>
      <c r="C1172" s="167" t="str">
        <f>_xlfn.XLOOKUP(F1172,Mapping!A:A,Mapping!F:F)</f>
        <v>Lương Chính +T13</v>
      </c>
      <c r="D1172" s="173">
        <v>45838</v>
      </c>
      <c r="E1172" s="169" t="s">
        <v>813</v>
      </c>
      <c r="F1172" s="169" t="s">
        <v>388</v>
      </c>
      <c r="G1172" s="169" t="s">
        <v>286</v>
      </c>
      <c r="H1172" s="169" t="s">
        <v>436</v>
      </c>
      <c r="I1172" s="169" t="s">
        <v>437</v>
      </c>
      <c r="J1172" s="169" t="s">
        <v>814</v>
      </c>
      <c r="K1172" s="169" t="s">
        <v>815</v>
      </c>
      <c r="L1172" s="169" t="s">
        <v>816</v>
      </c>
      <c r="M1172" s="169" t="s">
        <v>281</v>
      </c>
      <c r="N1172" s="178">
        <v>11765869</v>
      </c>
      <c r="O1172" s="169" t="s">
        <v>817</v>
      </c>
      <c r="P1172" s="169" t="s">
        <v>283</v>
      </c>
      <c r="Q1172" s="169" t="s">
        <v>284</v>
      </c>
      <c r="R1172" s="169" t="s">
        <v>283</v>
      </c>
      <c r="S1172" s="169" t="s">
        <v>283</v>
      </c>
      <c r="T1172" s="169">
        <v>0</v>
      </c>
    </row>
    <row r="1173" spans="1:20" x14ac:dyDescent="0.2">
      <c r="A1173" s="169">
        <v>627</v>
      </c>
      <c r="B1173" s="167" t="str">
        <f>_xlfn.XLOOKUP(I1173,Mapping!D:D,Mapping!E:E)</f>
        <v>Xưởng Sản Xuất</v>
      </c>
      <c r="C1173" s="167" t="str">
        <f>_xlfn.XLOOKUP(F1173,Mapping!A:A,Mapping!F:F)</f>
        <v>Lương Ngoài giờ</v>
      </c>
      <c r="D1173" s="173">
        <v>45838</v>
      </c>
      <c r="E1173" s="169" t="s">
        <v>813</v>
      </c>
      <c r="F1173" s="169" t="s">
        <v>389</v>
      </c>
      <c r="G1173" s="169" t="s">
        <v>390</v>
      </c>
      <c r="H1173" s="169" t="s">
        <v>436</v>
      </c>
      <c r="I1173" s="169" t="s">
        <v>437</v>
      </c>
      <c r="J1173" s="169" t="s">
        <v>814</v>
      </c>
      <c r="K1173" s="169" t="s">
        <v>815</v>
      </c>
      <c r="L1173" s="169" t="s">
        <v>816</v>
      </c>
      <c r="M1173" s="169" t="s">
        <v>281</v>
      </c>
      <c r="N1173" s="178">
        <v>56291567</v>
      </c>
      <c r="O1173" s="169" t="s">
        <v>817</v>
      </c>
      <c r="P1173" s="169" t="s">
        <v>283</v>
      </c>
      <c r="Q1173" s="169" t="s">
        <v>284</v>
      </c>
      <c r="R1173" s="169" t="s">
        <v>283</v>
      </c>
      <c r="S1173" s="169" t="s">
        <v>283</v>
      </c>
      <c r="T1173" s="169">
        <v>0</v>
      </c>
    </row>
    <row r="1174" spans="1:20" x14ac:dyDescent="0.2">
      <c r="A1174" s="169">
        <v>627</v>
      </c>
      <c r="B1174" s="167" t="str">
        <f>_xlfn.XLOOKUP(I1174,Mapping!D:D,Mapping!E:E)</f>
        <v>Xưởng Sản Xuất</v>
      </c>
      <c r="C1174" s="167" t="str">
        <f>_xlfn.XLOOKUP(F1174,Mapping!A:A,Mapping!F:F)</f>
        <v>Phụ Cấp</v>
      </c>
      <c r="D1174" s="173">
        <v>45838</v>
      </c>
      <c r="E1174" s="169" t="s">
        <v>813</v>
      </c>
      <c r="F1174" s="169" t="s">
        <v>375</v>
      </c>
      <c r="G1174" s="169" t="s">
        <v>336</v>
      </c>
      <c r="H1174" s="169" t="s">
        <v>436</v>
      </c>
      <c r="I1174" s="169" t="s">
        <v>437</v>
      </c>
      <c r="J1174" s="169" t="s">
        <v>814</v>
      </c>
      <c r="K1174" s="169" t="s">
        <v>815</v>
      </c>
      <c r="L1174" s="169" t="s">
        <v>816</v>
      </c>
      <c r="M1174" s="169" t="s">
        <v>281</v>
      </c>
      <c r="N1174" s="178">
        <v>5980000</v>
      </c>
      <c r="O1174" s="169" t="s">
        <v>817</v>
      </c>
      <c r="P1174" s="169" t="s">
        <v>283</v>
      </c>
      <c r="Q1174" s="169" t="s">
        <v>284</v>
      </c>
      <c r="R1174" s="169" t="s">
        <v>283</v>
      </c>
      <c r="S1174" s="169" t="s">
        <v>283</v>
      </c>
      <c r="T1174" s="169">
        <v>0</v>
      </c>
    </row>
    <row r="1175" spans="1:20" x14ac:dyDescent="0.2">
      <c r="B1175" s="167" t="str">
        <f>_xlfn.XLOOKUP(I1175,Mapping!D:D,Mapping!E:E)</f>
        <v>Tư vấn dịch vụ</v>
      </c>
      <c r="C1175" s="167" t="str">
        <f>_xlfn.XLOOKUP(F1175,Mapping!A:A,Mapping!F:F)</f>
        <v>Lương Chính +T13</v>
      </c>
      <c r="D1175" s="173">
        <v>45838</v>
      </c>
      <c r="E1175" s="169" t="s">
        <v>813</v>
      </c>
      <c r="F1175" s="169" t="s">
        <v>274</v>
      </c>
      <c r="G1175" s="169" t="s">
        <v>275</v>
      </c>
      <c r="H1175" s="169" t="s">
        <v>443</v>
      </c>
      <c r="I1175" s="169" t="s">
        <v>444</v>
      </c>
      <c r="J1175" s="169" t="s">
        <v>814</v>
      </c>
      <c r="K1175" s="169" t="s">
        <v>815</v>
      </c>
      <c r="L1175" s="169" t="s">
        <v>816</v>
      </c>
      <c r="M1175" s="169" t="s">
        <v>281</v>
      </c>
      <c r="N1175" s="178">
        <v>190000000</v>
      </c>
      <c r="O1175" s="169" t="s">
        <v>817</v>
      </c>
      <c r="P1175" s="169" t="s">
        <v>283</v>
      </c>
      <c r="Q1175" s="169" t="s">
        <v>284</v>
      </c>
      <c r="R1175" s="169" t="s">
        <v>283</v>
      </c>
      <c r="S1175" s="169" t="s">
        <v>283</v>
      </c>
      <c r="T1175" s="169">
        <v>0</v>
      </c>
    </row>
    <row r="1176" spans="1:20" x14ac:dyDescent="0.2">
      <c r="A1176" s="169">
        <v>622</v>
      </c>
      <c r="B1176" s="167" t="str">
        <f>_xlfn.XLOOKUP(I1176,Mapping!D:D,Mapping!E:E)</f>
        <v>Xưởng Sản Xuất</v>
      </c>
      <c r="C1176" s="167" t="str">
        <f>_xlfn.XLOOKUP(F1176,Mapping!A:A,Mapping!F:F)</f>
        <v>Lương Chính +T13</v>
      </c>
      <c r="D1176" s="173">
        <v>45838</v>
      </c>
      <c r="E1176" s="169" t="s">
        <v>813</v>
      </c>
      <c r="F1176" s="169" t="s">
        <v>400</v>
      </c>
      <c r="G1176" s="169" t="s">
        <v>401</v>
      </c>
      <c r="H1176" s="169" t="s">
        <v>441</v>
      </c>
      <c r="I1176" s="169" t="s">
        <v>442</v>
      </c>
      <c r="J1176" s="169" t="s">
        <v>814</v>
      </c>
      <c r="K1176" s="169" t="s">
        <v>815</v>
      </c>
      <c r="L1176" s="169" t="s">
        <v>816</v>
      </c>
      <c r="M1176" s="169" t="s">
        <v>281</v>
      </c>
      <c r="N1176" s="178">
        <v>10301404</v>
      </c>
      <c r="O1176" s="169" t="s">
        <v>817</v>
      </c>
      <c r="P1176" s="169" t="s">
        <v>283</v>
      </c>
      <c r="Q1176" s="169" t="s">
        <v>284</v>
      </c>
      <c r="R1176" s="169" t="s">
        <v>283</v>
      </c>
      <c r="S1176" s="169" t="s">
        <v>283</v>
      </c>
      <c r="T1176" s="169">
        <v>0</v>
      </c>
    </row>
    <row r="1177" spans="1:20" x14ac:dyDescent="0.2">
      <c r="A1177" s="169">
        <v>622</v>
      </c>
      <c r="B1177" s="167" t="str">
        <f>_xlfn.XLOOKUP(I1177,Mapping!D:D,Mapping!E:E)</f>
        <v>Xưởng Sản Xuất</v>
      </c>
      <c r="C1177" s="167" t="str">
        <f>_xlfn.XLOOKUP(F1177,Mapping!A:A,Mapping!F:F)</f>
        <v>Phụ Cấp</v>
      </c>
      <c r="D1177" s="173">
        <v>45838</v>
      </c>
      <c r="E1177" s="169" t="s">
        <v>813</v>
      </c>
      <c r="F1177" s="169" t="s">
        <v>421</v>
      </c>
      <c r="G1177" s="169" t="s">
        <v>341</v>
      </c>
      <c r="H1177" s="169" t="s">
        <v>441</v>
      </c>
      <c r="I1177" s="169" t="s">
        <v>442</v>
      </c>
      <c r="J1177" s="169" t="s">
        <v>814</v>
      </c>
      <c r="K1177" s="169" t="s">
        <v>815</v>
      </c>
      <c r="L1177" s="169" t="s">
        <v>816</v>
      </c>
      <c r="M1177" s="169" t="s">
        <v>281</v>
      </c>
      <c r="N1177" s="178">
        <v>883385</v>
      </c>
      <c r="O1177" s="169" t="s">
        <v>817</v>
      </c>
      <c r="P1177" s="169" t="s">
        <v>283</v>
      </c>
      <c r="Q1177" s="169" t="s">
        <v>284</v>
      </c>
      <c r="R1177" s="169" t="s">
        <v>283</v>
      </c>
      <c r="S1177" s="169" t="s">
        <v>283</v>
      </c>
      <c r="T1177" s="169">
        <v>0</v>
      </c>
    </row>
    <row r="1178" spans="1:20" x14ac:dyDescent="0.2">
      <c r="A1178" s="169">
        <v>622</v>
      </c>
      <c r="B1178" s="167" t="str">
        <f>_xlfn.XLOOKUP(I1178,Mapping!D:D,Mapping!E:E)</f>
        <v>Xưởng Sản Xuất</v>
      </c>
      <c r="C1178" s="167" t="str">
        <f>_xlfn.XLOOKUP(F1178,Mapping!A:A,Mapping!F:F)</f>
        <v>Lương Ngoài giờ</v>
      </c>
      <c r="D1178" s="173">
        <v>45838</v>
      </c>
      <c r="E1178" s="169" t="s">
        <v>813</v>
      </c>
      <c r="F1178" s="169" t="s">
        <v>422</v>
      </c>
      <c r="G1178" s="169" t="s">
        <v>423</v>
      </c>
      <c r="H1178" s="169" t="s">
        <v>441</v>
      </c>
      <c r="I1178" s="169" t="s">
        <v>442</v>
      </c>
      <c r="J1178" s="169" t="s">
        <v>814</v>
      </c>
      <c r="K1178" s="169" t="s">
        <v>815</v>
      </c>
      <c r="L1178" s="169" t="s">
        <v>816</v>
      </c>
      <c r="M1178" s="169" t="s">
        <v>281</v>
      </c>
      <c r="N1178" s="178">
        <v>2129474</v>
      </c>
      <c r="O1178" s="169" t="s">
        <v>817</v>
      </c>
      <c r="P1178" s="169" t="s">
        <v>283</v>
      </c>
      <c r="Q1178" s="169" t="s">
        <v>284</v>
      </c>
      <c r="R1178" s="169" t="s">
        <v>283</v>
      </c>
      <c r="S1178" s="169" t="s">
        <v>283</v>
      </c>
      <c r="T1178" s="169">
        <v>0</v>
      </c>
    </row>
    <row r="1179" spans="1:20" x14ac:dyDescent="0.2">
      <c r="A1179" s="169">
        <v>622</v>
      </c>
      <c r="B1179" s="167" t="str">
        <f>_xlfn.XLOOKUP(I1179,Mapping!D:D,Mapping!E:E)</f>
        <v>Xưởng Sản Xuất</v>
      </c>
      <c r="C1179" s="167" t="str">
        <f>_xlfn.XLOOKUP(F1179,Mapping!A:A,Mapping!F:F)</f>
        <v>Phụ Cấp</v>
      </c>
      <c r="D1179" s="173">
        <v>45838</v>
      </c>
      <c r="E1179" s="169" t="s">
        <v>813</v>
      </c>
      <c r="F1179" s="169" t="s">
        <v>414</v>
      </c>
      <c r="G1179" s="169" t="s">
        <v>415</v>
      </c>
      <c r="H1179" s="169" t="s">
        <v>441</v>
      </c>
      <c r="I1179" s="169" t="s">
        <v>442</v>
      </c>
      <c r="J1179" s="169" t="s">
        <v>814</v>
      </c>
      <c r="K1179" s="169" t="s">
        <v>815</v>
      </c>
      <c r="L1179" s="169" t="s">
        <v>816</v>
      </c>
      <c r="M1179" s="169" t="s">
        <v>281</v>
      </c>
      <c r="N1179" s="178">
        <v>250000</v>
      </c>
      <c r="O1179" s="169" t="s">
        <v>817</v>
      </c>
      <c r="P1179" s="169" t="s">
        <v>283</v>
      </c>
      <c r="Q1179" s="169" t="s">
        <v>284</v>
      </c>
      <c r="R1179" s="169" t="s">
        <v>283</v>
      </c>
      <c r="S1179" s="169" t="s">
        <v>283</v>
      </c>
      <c r="T1179" s="169">
        <v>0</v>
      </c>
    </row>
    <row r="1180" spans="1:20" x14ac:dyDescent="0.2">
      <c r="A1180" s="169">
        <v>627</v>
      </c>
      <c r="B1180" s="167" t="str">
        <f>_xlfn.XLOOKUP(I1180,Mapping!D:D,Mapping!E:E)</f>
        <v>Xưởng Sản Xuất</v>
      </c>
      <c r="C1180" s="167" t="str">
        <f>_xlfn.XLOOKUP(F1180,Mapping!A:A,Mapping!F:F)</f>
        <v>Lương Chính +T13</v>
      </c>
      <c r="D1180" s="173">
        <v>45838</v>
      </c>
      <c r="E1180" s="169" t="s">
        <v>818</v>
      </c>
      <c r="F1180" s="169" t="s">
        <v>388</v>
      </c>
      <c r="G1180" s="169" t="s">
        <v>286</v>
      </c>
      <c r="H1180" s="169" t="s">
        <v>430</v>
      </c>
      <c r="I1180" s="169" t="s">
        <v>431</v>
      </c>
      <c r="J1180" s="169" t="s">
        <v>819</v>
      </c>
      <c r="K1180" s="169" t="s">
        <v>815</v>
      </c>
      <c r="L1180" s="169" t="s">
        <v>816</v>
      </c>
      <c r="M1180" s="169" t="s">
        <v>281</v>
      </c>
      <c r="N1180" s="178">
        <v>12365449</v>
      </c>
      <c r="O1180" s="169" t="s">
        <v>820</v>
      </c>
      <c r="P1180" s="169" t="s">
        <v>283</v>
      </c>
      <c r="Q1180" s="169" t="s">
        <v>284</v>
      </c>
      <c r="R1180" s="169" t="s">
        <v>283</v>
      </c>
      <c r="S1180" s="169" t="s">
        <v>283</v>
      </c>
      <c r="T1180" s="169">
        <v>0</v>
      </c>
    </row>
    <row r="1181" spans="1:20" x14ac:dyDescent="0.2">
      <c r="A1181" s="169">
        <v>627</v>
      </c>
      <c r="B1181" s="167" t="str">
        <f>_xlfn.XLOOKUP(I1181,Mapping!D:D,Mapping!E:E)</f>
        <v>Xưởng Sản Xuất</v>
      </c>
      <c r="C1181" s="167" t="str">
        <f>_xlfn.XLOOKUP(F1181,Mapping!A:A,Mapping!F:F)</f>
        <v>Thưởng</v>
      </c>
      <c r="D1181" s="173">
        <v>45838</v>
      </c>
      <c r="E1181" s="169" t="s">
        <v>818</v>
      </c>
      <c r="F1181" s="169" t="s">
        <v>395</v>
      </c>
      <c r="G1181" s="169" t="s">
        <v>77</v>
      </c>
      <c r="H1181" s="169" t="s">
        <v>430</v>
      </c>
      <c r="I1181" s="169" t="s">
        <v>431</v>
      </c>
      <c r="J1181" s="169" t="s">
        <v>821</v>
      </c>
      <c r="K1181" s="169" t="s">
        <v>815</v>
      </c>
      <c r="L1181" s="169" t="s">
        <v>816</v>
      </c>
      <c r="M1181" s="169" t="s">
        <v>281</v>
      </c>
      <c r="N1181" s="178">
        <v>10948825</v>
      </c>
      <c r="O1181" s="169" t="s">
        <v>820</v>
      </c>
      <c r="P1181" s="169" t="s">
        <v>283</v>
      </c>
      <c r="Q1181" s="169" t="s">
        <v>284</v>
      </c>
      <c r="R1181" s="169" t="s">
        <v>283</v>
      </c>
      <c r="S1181" s="169" t="s">
        <v>283</v>
      </c>
      <c r="T1181" s="169">
        <v>0</v>
      </c>
    </row>
    <row r="1182" spans="1:20" x14ac:dyDescent="0.2">
      <c r="A1182" s="169">
        <v>627</v>
      </c>
      <c r="B1182" s="167" t="str">
        <f>_xlfn.XLOOKUP(I1182,Mapping!D:D,Mapping!E:E)</f>
        <v>Xưởng Sản Xuất</v>
      </c>
      <c r="C1182" s="167" t="str">
        <f>_xlfn.XLOOKUP(F1182,Mapping!A:A,Mapping!F:F)</f>
        <v>Lương Chính +T13</v>
      </c>
      <c r="D1182" s="173">
        <v>45838</v>
      </c>
      <c r="E1182" s="169" t="s">
        <v>818</v>
      </c>
      <c r="F1182" s="169" t="s">
        <v>388</v>
      </c>
      <c r="G1182" s="169" t="s">
        <v>286</v>
      </c>
      <c r="H1182" s="169" t="s">
        <v>436</v>
      </c>
      <c r="I1182" s="169" t="s">
        <v>437</v>
      </c>
      <c r="J1182" s="169" t="s">
        <v>819</v>
      </c>
      <c r="K1182" s="169" t="s">
        <v>815</v>
      </c>
      <c r="L1182" s="169" t="s">
        <v>816</v>
      </c>
      <c r="M1182" s="169" t="s">
        <v>281</v>
      </c>
      <c r="N1182" s="178">
        <v>25733334</v>
      </c>
      <c r="O1182" s="169" t="s">
        <v>820</v>
      </c>
      <c r="P1182" s="169" t="s">
        <v>283</v>
      </c>
      <c r="Q1182" s="169" t="s">
        <v>284</v>
      </c>
      <c r="R1182" s="169" t="s">
        <v>283</v>
      </c>
      <c r="S1182" s="169" t="s">
        <v>283</v>
      </c>
      <c r="T1182" s="169">
        <v>0</v>
      </c>
    </row>
    <row r="1183" spans="1:20" x14ac:dyDescent="0.2">
      <c r="A1183" s="169">
        <v>627</v>
      </c>
      <c r="B1183" s="167" t="str">
        <f>_xlfn.XLOOKUP(I1183,Mapping!D:D,Mapping!E:E)</f>
        <v>Xưởng Sản Xuất</v>
      </c>
      <c r="C1183" s="167" t="str">
        <f>_xlfn.XLOOKUP(F1183,Mapping!A:A,Mapping!F:F)</f>
        <v>Thưởng</v>
      </c>
      <c r="D1183" s="173">
        <v>45838</v>
      </c>
      <c r="E1183" s="169" t="s">
        <v>818</v>
      </c>
      <c r="F1183" s="169" t="s">
        <v>395</v>
      </c>
      <c r="G1183" s="169" t="s">
        <v>77</v>
      </c>
      <c r="H1183" s="169" t="s">
        <v>436</v>
      </c>
      <c r="I1183" s="169" t="s">
        <v>437</v>
      </c>
      <c r="J1183" s="169" t="s">
        <v>821</v>
      </c>
      <c r="K1183" s="169" t="s">
        <v>815</v>
      </c>
      <c r="L1183" s="169" t="s">
        <v>816</v>
      </c>
      <c r="M1183" s="169" t="s">
        <v>281</v>
      </c>
      <c r="N1183" s="178">
        <v>15684237</v>
      </c>
      <c r="O1183" s="169" t="s">
        <v>820</v>
      </c>
      <c r="P1183" s="169" t="s">
        <v>283</v>
      </c>
      <c r="Q1183" s="169" t="s">
        <v>284</v>
      </c>
      <c r="R1183" s="169" t="s">
        <v>283</v>
      </c>
      <c r="S1183" s="169" t="s">
        <v>283</v>
      </c>
      <c r="T1183" s="169">
        <v>0</v>
      </c>
    </row>
    <row r="1184" spans="1:20" x14ac:dyDescent="0.2">
      <c r="B1184" s="167" t="str">
        <f>_xlfn.XLOOKUP(I1184,Mapping!D:D,Mapping!E:E)</f>
        <v>Tư vấn dịch vụ</v>
      </c>
      <c r="C1184" s="167" t="str">
        <f>_xlfn.XLOOKUP(F1184,Mapping!A:A,Mapping!F:F)</f>
        <v>Lương Chính +T13</v>
      </c>
      <c r="D1184" s="173">
        <v>45838</v>
      </c>
      <c r="E1184" s="169" t="s">
        <v>818</v>
      </c>
      <c r="F1184" s="169" t="s">
        <v>285</v>
      </c>
      <c r="G1184" s="169" t="s">
        <v>286</v>
      </c>
      <c r="H1184" s="169" t="s">
        <v>443</v>
      </c>
      <c r="I1184" s="169" t="s">
        <v>444</v>
      </c>
      <c r="J1184" s="169" t="s">
        <v>819</v>
      </c>
      <c r="K1184" s="169" t="s">
        <v>815</v>
      </c>
      <c r="L1184" s="169" t="s">
        <v>816</v>
      </c>
      <c r="M1184" s="169" t="s">
        <v>281</v>
      </c>
      <c r="N1184" s="178">
        <v>15833333</v>
      </c>
      <c r="O1184" s="169" t="s">
        <v>820</v>
      </c>
      <c r="P1184" s="169" t="s">
        <v>283</v>
      </c>
      <c r="Q1184" s="169" t="s">
        <v>284</v>
      </c>
      <c r="R1184" s="169" t="s">
        <v>283</v>
      </c>
      <c r="S1184" s="169" t="s">
        <v>283</v>
      </c>
      <c r="T1184" s="169">
        <v>0</v>
      </c>
    </row>
    <row r="1185" spans="1:20" x14ac:dyDescent="0.2">
      <c r="B1185" s="167" t="str">
        <f>_xlfn.XLOOKUP(I1185,Mapping!D:D,Mapping!E:E)</f>
        <v>Tư vấn dịch vụ</v>
      </c>
      <c r="C1185" s="167" t="str">
        <f>_xlfn.XLOOKUP(F1185,Mapping!A:A,Mapping!F:F)</f>
        <v>Thưởng</v>
      </c>
      <c r="D1185" s="173">
        <v>45838</v>
      </c>
      <c r="E1185" s="169" t="s">
        <v>818</v>
      </c>
      <c r="F1185" s="169" t="s">
        <v>292</v>
      </c>
      <c r="G1185" s="169" t="s">
        <v>77</v>
      </c>
      <c r="H1185" s="169" t="s">
        <v>443</v>
      </c>
      <c r="I1185" s="169" t="s">
        <v>444</v>
      </c>
      <c r="J1185" s="169" t="s">
        <v>821</v>
      </c>
      <c r="K1185" s="169" t="s">
        <v>815</v>
      </c>
      <c r="L1185" s="169" t="s">
        <v>816</v>
      </c>
      <c r="M1185" s="169" t="s">
        <v>281</v>
      </c>
      <c r="N1185" s="178">
        <v>14566540</v>
      </c>
      <c r="O1185" s="169" t="s">
        <v>820</v>
      </c>
      <c r="P1185" s="169" t="s">
        <v>283</v>
      </c>
      <c r="Q1185" s="169" t="s">
        <v>284</v>
      </c>
      <c r="R1185" s="169" t="s">
        <v>283</v>
      </c>
      <c r="S1185" s="169" t="s">
        <v>283</v>
      </c>
      <c r="T1185" s="169">
        <v>0</v>
      </c>
    </row>
    <row r="1186" spans="1:20" x14ac:dyDescent="0.2">
      <c r="A1186" s="169">
        <v>622</v>
      </c>
      <c r="B1186" s="167" t="str">
        <f>_xlfn.XLOOKUP(I1186,Mapping!D:D,Mapping!E:E)</f>
        <v>Xưởng Sản Xuất</v>
      </c>
      <c r="C1186" s="167" t="str">
        <f>_xlfn.XLOOKUP(F1186,Mapping!A:A,Mapping!F:F)</f>
        <v>Lương Chính +T13</v>
      </c>
      <c r="D1186" s="173">
        <v>45838</v>
      </c>
      <c r="E1186" s="169" t="s">
        <v>818</v>
      </c>
      <c r="F1186" s="169" t="s">
        <v>420</v>
      </c>
      <c r="G1186" s="169" t="s">
        <v>286</v>
      </c>
      <c r="H1186" s="169" t="s">
        <v>441</v>
      </c>
      <c r="I1186" s="169" t="s">
        <v>442</v>
      </c>
      <c r="J1186" s="169" t="s">
        <v>819</v>
      </c>
      <c r="K1186" s="169" t="s">
        <v>815</v>
      </c>
      <c r="L1186" s="169" t="s">
        <v>816</v>
      </c>
      <c r="M1186" s="169" t="s">
        <v>281</v>
      </c>
      <c r="N1186" s="178">
        <v>531385</v>
      </c>
      <c r="O1186" s="169" t="s">
        <v>820</v>
      </c>
      <c r="P1186" s="169" t="s">
        <v>283</v>
      </c>
      <c r="Q1186" s="169" t="s">
        <v>284</v>
      </c>
      <c r="R1186" s="169" t="s">
        <v>283</v>
      </c>
      <c r="S1186" s="169" t="s">
        <v>283</v>
      </c>
      <c r="T1186" s="169">
        <v>0</v>
      </c>
    </row>
    <row r="1187" spans="1:20" x14ac:dyDescent="0.2">
      <c r="A1187" s="169">
        <v>622</v>
      </c>
      <c r="B1187" s="167" t="str">
        <f>_xlfn.XLOOKUP(I1187,Mapping!D:D,Mapping!E:E)</f>
        <v>Xưởng Sản Xuất</v>
      </c>
      <c r="C1187" s="167" t="str">
        <f>_xlfn.XLOOKUP(F1187,Mapping!A:A,Mapping!F:F)</f>
        <v>Thưởng</v>
      </c>
      <c r="D1187" s="173">
        <v>45838</v>
      </c>
      <c r="E1187" s="169" t="s">
        <v>818</v>
      </c>
      <c r="F1187" s="169" t="s">
        <v>426</v>
      </c>
      <c r="G1187" s="169" t="s">
        <v>77</v>
      </c>
      <c r="H1187" s="169" t="s">
        <v>441</v>
      </c>
      <c r="I1187" s="169" t="s">
        <v>442</v>
      </c>
      <c r="J1187" s="169" t="s">
        <v>821</v>
      </c>
      <c r="K1187" s="169" t="s">
        <v>815</v>
      </c>
      <c r="L1187" s="169" t="s">
        <v>816</v>
      </c>
      <c r="M1187" s="169" t="s">
        <v>281</v>
      </c>
      <c r="N1187" s="178">
        <v>78876</v>
      </c>
      <c r="O1187" s="169" t="s">
        <v>820</v>
      </c>
      <c r="P1187" s="169" t="s">
        <v>283</v>
      </c>
      <c r="Q1187" s="169" t="s">
        <v>284</v>
      </c>
      <c r="R1187" s="169" t="s">
        <v>283</v>
      </c>
      <c r="S1187" s="169" t="s">
        <v>283</v>
      </c>
      <c r="T1187" s="169">
        <v>0</v>
      </c>
    </row>
    <row r="1188" spans="1:20" x14ac:dyDescent="0.2">
      <c r="A1188" s="169">
        <v>627</v>
      </c>
      <c r="B1188" s="167" t="str">
        <f>_xlfn.XLOOKUP(I1188,Mapping!D:D,Mapping!E:E)</f>
        <v>Xưởng Sản Xuất</v>
      </c>
      <c r="C1188" s="167" t="str">
        <f>_xlfn.XLOOKUP(F1188,Mapping!A:A,Mapping!F:F)</f>
        <v>BHXH, BHYT, KPCĐ</v>
      </c>
      <c r="D1188" s="173">
        <v>45838</v>
      </c>
      <c r="E1188" s="169" t="s">
        <v>825</v>
      </c>
      <c r="F1188" s="169" t="s">
        <v>393</v>
      </c>
      <c r="G1188" s="169" t="s">
        <v>296</v>
      </c>
      <c r="H1188" s="169" t="s">
        <v>430</v>
      </c>
      <c r="I1188" s="169" t="s">
        <v>431</v>
      </c>
      <c r="J1188" s="169" t="s">
        <v>826</v>
      </c>
      <c r="K1188" s="169" t="s">
        <v>815</v>
      </c>
      <c r="L1188" s="169" t="s">
        <v>816</v>
      </c>
      <c r="M1188" s="169" t="s">
        <v>281</v>
      </c>
      <c r="N1188" s="178">
        <v>31008195</v>
      </c>
      <c r="O1188" s="169" t="s">
        <v>827</v>
      </c>
      <c r="P1188" s="169" t="s">
        <v>283</v>
      </c>
      <c r="Q1188" s="169" t="s">
        <v>284</v>
      </c>
      <c r="R1188" s="169" t="s">
        <v>283</v>
      </c>
      <c r="S1188" s="169" t="s">
        <v>283</v>
      </c>
      <c r="T1188" s="169">
        <v>0</v>
      </c>
    </row>
    <row r="1189" spans="1:20" x14ac:dyDescent="0.2">
      <c r="A1189" s="169">
        <v>627</v>
      </c>
      <c r="B1189" s="167" t="str">
        <f>_xlfn.XLOOKUP(I1189,Mapping!D:D,Mapping!E:E)</f>
        <v>Xưởng Sản Xuất</v>
      </c>
      <c r="C1189" s="167" t="str">
        <f>_xlfn.XLOOKUP(F1189,Mapping!A:A,Mapping!F:F)</f>
        <v>BHXH, BHYT, KPCĐ</v>
      </c>
      <c r="D1189" s="173">
        <v>45838</v>
      </c>
      <c r="E1189" s="169" t="s">
        <v>825</v>
      </c>
      <c r="F1189" s="169" t="s">
        <v>393</v>
      </c>
      <c r="G1189" s="169" t="s">
        <v>296</v>
      </c>
      <c r="H1189" s="169" t="s">
        <v>436</v>
      </c>
      <c r="I1189" s="169" t="s">
        <v>437</v>
      </c>
      <c r="J1189" s="169" t="s">
        <v>826</v>
      </c>
      <c r="K1189" s="169" t="s">
        <v>815</v>
      </c>
      <c r="L1189" s="169" t="s">
        <v>816</v>
      </c>
      <c r="M1189" s="169" t="s">
        <v>281</v>
      </c>
      <c r="N1189" s="178">
        <v>54671485</v>
      </c>
      <c r="O1189" s="169" t="s">
        <v>827</v>
      </c>
      <c r="P1189" s="169" t="s">
        <v>283</v>
      </c>
      <c r="Q1189" s="169" t="s">
        <v>284</v>
      </c>
      <c r="R1189" s="169" t="s">
        <v>283</v>
      </c>
      <c r="S1189" s="169" t="s">
        <v>283</v>
      </c>
      <c r="T1189" s="169">
        <v>0</v>
      </c>
    </row>
    <row r="1190" spans="1:20" x14ac:dyDescent="0.2">
      <c r="A1190" s="169">
        <v>622</v>
      </c>
      <c r="B1190" s="167" t="str">
        <f>_xlfn.XLOOKUP(I1190,Mapping!D:D,Mapping!E:E)</f>
        <v>Xưởng Sản Xuất</v>
      </c>
      <c r="C1190" s="167" t="str">
        <f>_xlfn.XLOOKUP(F1190,Mapping!A:A,Mapping!F:F)</f>
        <v>BHXH, BHYT, KPCĐ</v>
      </c>
      <c r="D1190" s="173">
        <v>45838</v>
      </c>
      <c r="E1190" s="169" t="s">
        <v>825</v>
      </c>
      <c r="F1190" s="169" t="s">
        <v>425</v>
      </c>
      <c r="G1190" s="169" t="s">
        <v>296</v>
      </c>
      <c r="H1190" s="169" t="s">
        <v>441</v>
      </c>
      <c r="I1190" s="169" t="s">
        <v>442</v>
      </c>
      <c r="J1190" s="169" t="s">
        <v>826</v>
      </c>
      <c r="K1190" s="169" t="s">
        <v>815</v>
      </c>
      <c r="L1190" s="169" t="s">
        <v>816</v>
      </c>
      <c r="M1190" s="169" t="s">
        <v>281</v>
      </c>
      <c r="N1190" s="178">
        <v>1308480</v>
      </c>
      <c r="O1190" s="169" t="s">
        <v>827</v>
      </c>
      <c r="P1190" s="169" t="s">
        <v>283</v>
      </c>
      <c r="Q1190" s="169" t="s">
        <v>284</v>
      </c>
      <c r="R1190" s="169" t="s">
        <v>283</v>
      </c>
      <c r="S1190" s="169" t="s">
        <v>283</v>
      </c>
      <c r="T1190" s="169">
        <v>0</v>
      </c>
    </row>
    <row r="1191" spans="1:20" x14ac:dyDescent="0.2">
      <c r="A1191" s="169">
        <v>627</v>
      </c>
      <c r="B1191" s="167" t="str">
        <f>_xlfn.XLOOKUP(I1191,Mapping!D:D,Mapping!E:E)</f>
        <v>Xưởng Sản Xuất</v>
      </c>
      <c r="C1191" s="167" t="str">
        <f>_xlfn.XLOOKUP(F1191,Mapping!A:A,Mapping!F:F)</f>
        <v>BHXH, BHYT, KPCĐ</v>
      </c>
      <c r="D1191" s="173">
        <v>45838</v>
      </c>
      <c r="E1191" s="169" t="s">
        <v>832</v>
      </c>
      <c r="F1191" s="169" t="s">
        <v>393</v>
      </c>
      <c r="G1191" s="169" t="s">
        <v>296</v>
      </c>
      <c r="H1191" s="169" t="s">
        <v>436</v>
      </c>
      <c r="I1191" s="169" t="s">
        <v>437</v>
      </c>
      <c r="J1191" s="169" t="s">
        <v>826</v>
      </c>
      <c r="K1191" s="169" t="s">
        <v>815</v>
      </c>
      <c r="L1191" s="169" t="s">
        <v>816</v>
      </c>
      <c r="M1191" s="169" t="s">
        <v>281</v>
      </c>
      <c r="N1191" s="178">
        <v>1198500</v>
      </c>
      <c r="O1191" s="169" t="s">
        <v>833</v>
      </c>
      <c r="P1191" s="169" t="s">
        <v>283</v>
      </c>
      <c r="Q1191" s="169" t="s">
        <v>284</v>
      </c>
      <c r="R1191" s="169" t="s">
        <v>283</v>
      </c>
      <c r="S1191" s="169" t="s">
        <v>283</v>
      </c>
      <c r="T1191" s="169">
        <v>0</v>
      </c>
    </row>
    <row r="1192" spans="1:20" x14ac:dyDescent="0.2">
      <c r="A1192" s="169">
        <v>627</v>
      </c>
      <c r="B1192" s="167" t="str">
        <f>_xlfn.XLOOKUP(I1192,Mapping!D:D,Mapping!E:E)</f>
        <v>Xưởng Sản Xuất</v>
      </c>
      <c r="C1192" s="167" t="str">
        <f>_xlfn.XLOOKUP(F1192,Mapping!A:A,Mapping!F:F)</f>
        <v>Phụ Cấp</v>
      </c>
      <c r="D1192" s="173">
        <v>45834</v>
      </c>
      <c r="E1192" s="169" t="s">
        <v>837</v>
      </c>
      <c r="F1192" s="169" t="s">
        <v>375</v>
      </c>
      <c r="G1192" s="169" t="s">
        <v>336</v>
      </c>
      <c r="H1192" s="169" t="s">
        <v>441</v>
      </c>
      <c r="I1192" s="169" t="s">
        <v>442</v>
      </c>
      <c r="J1192" s="169" t="s">
        <v>838</v>
      </c>
      <c r="K1192" s="169" t="s">
        <v>741</v>
      </c>
      <c r="L1192" s="169" t="s">
        <v>816</v>
      </c>
      <c r="M1192" s="169" t="s">
        <v>281</v>
      </c>
      <c r="N1192" s="178">
        <v>500000</v>
      </c>
      <c r="O1192" s="169" t="s">
        <v>839</v>
      </c>
      <c r="P1192" s="169" t="s">
        <v>283</v>
      </c>
      <c r="Q1192" s="169" t="s">
        <v>306</v>
      </c>
      <c r="R1192" s="169" t="s">
        <v>283</v>
      </c>
      <c r="S1192" s="169" t="s">
        <v>283</v>
      </c>
      <c r="T1192" s="169">
        <v>0</v>
      </c>
    </row>
    <row r="1193" spans="1:20" x14ac:dyDescent="0.2">
      <c r="A1193" s="169">
        <v>627</v>
      </c>
      <c r="B1193" s="167" t="str">
        <f>_xlfn.XLOOKUP(I1193,Mapping!D:D,Mapping!E:E)</f>
        <v>Xưởng Sản Xuất</v>
      </c>
      <c r="C1193" s="167" t="str">
        <f>_xlfn.XLOOKUP(F1193,Mapping!A:A,Mapping!F:F)</f>
        <v>Phụ Cấp</v>
      </c>
      <c r="D1193" s="173">
        <v>45834</v>
      </c>
      <c r="E1193" s="169" t="s">
        <v>837</v>
      </c>
      <c r="F1193" s="169" t="s">
        <v>375</v>
      </c>
      <c r="G1193" s="169" t="s">
        <v>336</v>
      </c>
      <c r="H1193" s="169" t="s">
        <v>430</v>
      </c>
      <c r="I1193" s="169" t="s">
        <v>431</v>
      </c>
      <c r="J1193" s="169" t="s">
        <v>838</v>
      </c>
      <c r="K1193" s="169" t="s">
        <v>741</v>
      </c>
      <c r="L1193" s="169" t="s">
        <v>816</v>
      </c>
      <c r="M1193" s="169" t="s">
        <v>281</v>
      </c>
      <c r="N1193" s="178">
        <v>33775000</v>
      </c>
      <c r="O1193" s="169" t="s">
        <v>839</v>
      </c>
      <c r="P1193" s="169" t="s">
        <v>283</v>
      </c>
      <c r="Q1193" s="169" t="s">
        <v>306</v>
      </c>
      <c r="R1193" s="169" t="s">
        <v>283</v>
      </c>
      <c r="S1193" s="169" t="s">
        <v>283</v>
      </c>
      <c r="T1193" s="169">
        <v>0</v>
      </c>
    </row>
    <row r="1194" spans="1:20" x14ac:dyDescent="0.2">
      <c r="A1194" s="169">
        <v>627</v>
      </c>
      <c r="B1194" s="167" t="str">
        <f>_xlfn.XLOOKUP(I1194,Mapping!D:D,Mapping!E:E)</f>
        <v>Xưởng Sản Xuất</v>
      </c>
      <c r="C1194" s="167" t="str">
        <f>_xlfn.XLOOKUP(F1194,Mapping!A:A,Mapping!F:F)</f>
        <v>Phụ Cấp</v>
      </c>
      <c r="D1194" s="173">
        <v>45834</v>
      </c>
      <c r="E1194" s="169" t="s">
        <v>837</v>
      </c>
      <c r="F1194" s="169" t="s">
        <v>375</v>
      </c>
      <c r="G1194" s="169" t="s">
        <v>336</v>
      </c>
      <c r="H1194" s="169" t="s">
        <v>436</v>
      </c>
      <c r="I1194" s="169" t="s">
        <v>437</v>
      </c>
      <c r="J1194" s="169" t="s">
        <v>838</v>
      </c>
      <c r="K1194" s="169" t="s">
        <v>741</v>
      </c>
      <c r="L1194" s="169" t="s">
        <v>816</v>
      </c>
      <c r="M1194" s="169" t="s">
        <v>281</v>
      </c>
      <c r="N1194" s="178">
        <v>26700000</v>
      </c>
      <c r="O1194" s="169" t="s">
        <v>839</v>
      </c>
      <c r="P1194" s="169" t="s">
        <v>283</v>
      </c>
      <c r="Q1194" s="169" t="s">
        <v>306</v>
      </c>
      <c r="R1194" s="169" t="s">
        <v>283</v>
      </c>
      <c r="S1194" s="169" t="s">
        <v>283</v>
      </c>
      <c r="T1194" s="169">
        <v>0</v>
      </c>
    </row>
    <row r="1195" spans="1:20" x14ac:dyDescent="0.2">
      <c r="A1195" s="169">
        <v>622</v>
      </c>
      <c r="B1195" s="167" t="str">
        <f>_xlfn.XLOOKUP(I1195,Mapping!D:D,Mapping!E:E)</f>
        <v>Xưởng Sản Xuất</v>
      </c>
      <c r="C1195" s="167" t="str">
        <f>_xlfn.XLOOKUP(F1195,Mapping!A:A,Mapping!F:F)</f>
        <v>Lương Chính +T13</v>
      </c>
      <c r="D1195" s="173">
        <v>45838</v>
      </c>
      <c r="E1195" s="169" t="s">
        <v>840</v>
      </c>
      <c r="F1195" s="169" t="s">
        <v>400</v>
      </c>
      <c r="G1195" s="169" t="s">
        <v>401</v>
      </c>
      <c r="H1195" s="169" t="s">
        <v>436</v>
      </c>
      <c r="I1195" s="169" t="s">
        <v>437</v>
      </c>
      <c r="J1195" s="169" t="s">
        <v>841</v>
      </c>
      <c r="K1195" s="169" t="s">
        <v>405</v>
      </c>
      <c r="L1195" s="169" t="s">
        <v>816</v>
      </c>
      <c r="M1195" s="169" t="s">
        <v>281</v>
      </c>
      <c r="N1195" s="178">
        <v>6266089</v>
      </c>
      <c r="O1195" s="169" t="s">
        <v>842</v>
      </c>
      <c r="P1195" s="169" t="s">
        <v>283</v>
      </c>
      <c r="Q1195" s="169" t="s">
        <v>306</v>
      </c>
      <c r="R1195" s="169" t="s">
        <v>283</v>
      </c>
      <c r="S1195" s="169" t="s">
        <v>283</v>
      </c>
      <c r="T1195" s="169">
        <v>0</v>
      </c>
    </row>
    <row r="1196" spans="1:20" x14ac:dyDescent="0.2">
      <c r="A1196" s="169">
        <v>627</v>
      </c>
      <c r="B1196" s="167" t="str">
        <f>_xlfn.XLOOKUP(I1196,Mapping!D:D,Mapping!E:E)</f>
        <v>Xưởng Sản Xuất</v>
      </c>
      <c r="C1196" s="167" t="str">
        <f>_xlfn.XLOOKUP(F1196,Mapping!A:A,Mapping!F:F)</f>
        <v>Phụ Cấp</v>
      </c>
      <c r="D1196" s="173">
        <v>45838</v>
      </c>
      <c r="E1196" s="169" t="s">
        <v>871</v>
      </c>
      <c r="F1196" s="169" t="s">
        <v>375</v>
      </c>
      <c r="G1196" s="169" t="s">
        <v>336</v>
      </c>
      <c r="H1196" s="169" t="s">
        <v>430</v>
      </c>
      <c r="I1196" s="169" t="s">
        <v>431</v>
      </c>
      <c r="J1196" s="169" t="s">
        <v>416</v>
      </c>
      <c r="K1196" s="169" t="s">
        <v>416</v>
      </c>
      <c r="L1196" s="169" t="s">
        <v>816</v>
      </c>
      <c r="M1196" s="169" t="s">
        <v>281</v>
      </c>
      <c r="N1196" s="178">
        <v>-27950000</v>
      </c>
      <c r="O1196" s="169" t="s">
        <v>872</v>
      </c>
      <c r="P1196" s="169" t="s">
        <v>283</v>
      </c>
      <c r="Q1196" s="169" t="s">
        <v>348</v>
      </c>
      <c r="R1196" s="169" t="s">
        <v>283</v>
      </c>
      <c r="S1196" s="169" t="s">
        <v>283</v>
      </c>
      <c r="T1196" s="169">
        <v>0</v>
      </c>
    </row>
    <row r="1197" spans="1:20" x14ac:dyDescent="0.2">
      <c r="A1197" s="169">
        <v>622</v>
      </c>
      <c r="B1197" s="167" t="str">
        <f>_xlfn.XLOOKUP(I1197,Mapping!D:D,Mapping!E:E)</f>
        <v>Xưởng Sản Xuất</v>
      </c>
      <c r="C1197" s="167" t="str">
        <f>_xlfn.XLOOKUP(F1197,Mapping!A:A,Mapping!F:F)</f>
        <v>Phụ Cấp</v>
      </c>
      <c r="D1197" s="173">
        <v>45838</v>
      </c>
      <c r="E1197" s="169" t="s">
        <v>871</v>
      </c>
      <c r="F1197" s="169" t="s">
        <v>414</v>
      </c>
      <c r="G1197" s="169" t="s">
        <v>415</v>
      </c>
      <c r="H1197" s="169" t="s">
        <v>441</v>
      </c>
      <c r="I1197" s="169" t="s">
        <v>442</v>
      </c>
      <c r="J1197" s="169" t="s">
        <v>416</v>
      </c>
      <c r="K1197" s="169" t="s">
        <v>416</v>
      </c>
      <c r="L1197" s="169" t="s">
        <v>816</v>
      </c>
      <c r="M1197" s="169" t="s">
        <v>281</v>
      </c>
      <c r="N1197" s="178">
        <v>500000</v>
      </c>
      <c r="O1197" s="169" t="s">
        <v>872</v>
      </c>
      <c r="P1197" s="169" t="s">
        <v>283</v>
      </c>
      <c r="Q1197" s="169" t="s">
        <v>348</v>
      </c>
      <c r="R1197" s="169" t="s">
        <v>283</v>
      </c>
      <c r="S1197" s="169" t="s">
        <v>283</v>
      </c>
      <c r="T1197" s="169">
        <v>0</v>
      </c>
    </row>
    <row r="1198" spans="1:20" x14ac:dyDescent="0.2">
      <c r="A1198" s="169">
        <v>627</v>
      </c>
      <c r="B1198" s="167" t="str">
        <f>_xlfn.XLOOKUP(I1198,Mapping!D:D,Mapping!E:E)</f>
        <v>Xưởng Sản Xuất</v>
      </c>
      <c r="C1198" s="167" t="str">
        <f>_xlfn.XLOOKUP(F1198,Mapping!A:A,Mapping!F:F)</f>
        <v>Phụ Cấp</v>
      </c>
      <c r="D1198" s="173">
        <v>45838</v>
      </c>
      <c r="E1198" s="169" t="s">
        <v>871</v>
      </c>
      <c r="F1198" s="169" t="s">
        <v>375</v>
      </c>
      <c r="G1198" s="169" t="s">
        <v>336</v>
      </c>
      <c r="H1198" s="169" t="s">
        <v>441</v>
      </c>
      <c r="I1198" s="169" t="s">
        <v>442</v>
      </c>
      <c r="J1198" s="169" t="s">
        <v>416</v>
      </c>
      <c r="K1198" s="169" t="s">
        <v>416</v>
      </c>
      <c r="L1198" s="169" t="s">
        <v>816</v>
      </c>
      <c r="M1198" s="169" t="s">
        <v>281</v>
      </c>
      <c r="N1198" s="178">
        <v>-500000</v>
      </c>
      <c r="O1198" s="169" t="s">
        <v>872</v>
      </c>
      <c r="P1198" s="169" t="s">
        <v>283</v>
      </c>
      <c r="Q1198" s="169" t="s">
        <v>348</v>
      </c>
      <c r="R1198" s="169" t="s">
        <v>283</v>
      </c>
      <c r="S1198" s="169" t="s">
        <v>283</v>
      </c>
      <c r="T1198" s="169">
        <v>0</v>
      </c>
    </row>
    <row r="1199" spans="1:20" x14ac:dyDescent="0.2">
      <c r="A1199" s="169">
        <v>622</v>
      </c>
      <c r="B1199" s="167" t="str">
        <f>_xlfn.XLOOKUP(I1199,Mapping!D:D,Mapping!E:E)</f>
        <v>Xưởng Sản Xuất</v>
      </c>
      <c r="C1199" s="167" t="str">
        <f>_xlfn.XLOOKUP(F1199,Mapping!A:A,Mapping!F:F)</f>
        <v>Phụ Cấp</v>
      </c>
      <c r="D1199" s="173">
        <v>45838</v>
      </c>
      <c r="E1199" s="169" t="s">
        <v>871</v>
      </c>
      <c r="F1199" s="169" t="s">
        <v>414</v>
      </c>
      <c r="G1199" s="169" t="s">
        <v>415</v>
      </c>
      <c r="H1199" s="169" t="s">
        <v>441</v>
      </c>
      <c r="I1199" s="169" t="s">
        <v>442</v>
      </c>
      <c r="J1199" s="169" t="s">
        <v>416</v>
      </c>
      <c r="K1199" s="169" t="s">
        <v>416</v>
      </c>
      <c r="L1199" s="169" t="s">
        <v>816</v>
      </c>
      <c r="M1199" s="169" t="s">
        <v>281</v>
      </c>
      <c r="N1199" s="178">
        <v>150000</v>
      </c>
      <c r="O1199" s="169" t="s">
        <v>872</v>
      </c>
      <c r="P1199" s="169" t="s">
        <v>283</v>
      </c>
      <c r="Q1199" s="169" t="s">
        <v>348</v>
      </c>
      <c r="R1199" s="169" t="s">
        <v>283</v>
      </c>
      <c r="S1199" s="169" t="s">
        <v>283</v>
      </c>
      <c r="T1199" s="169">
        <v>0</v>
      </c>
    </row>
    <row r="1200" spans="1:20" x14ac:dyDescent="0.2">
      <c r="A1200" s="169">
        <v>627</v>
      </c>
      <c r="B1200" s="167" t="str">
        <f>_xlfn.XLOOKUP(I1200,Mapping!D:D,Mapping!E:E)</f>
        <v>Xưởng Sản Xuất</v>
      </c>
      <c r="C1200" s="167" t="str">
        <f>_xlfn.XLOOKUP(F1200,Mapping!A:A,Mapping!F:F)</f>
        <v>Phụ Cấp</v>
      </c>
      <c r="D1200" s="173">
        <v>45838</v>
      </c>
      <c r="E1200" s="169" t="s">
        <v>871</v>
      </c>
      <c r="F1200" s="169" t="s">
        <v>375</v>
      </c>
      <c r="G1200" s="169" t="s">
        <v>336</v>
      </c>
      <c r="H1200" s="169" t="s">
        <v>430</v>
      </c>
      <c r="I1200" s="169" t="s">
        <v>431</v>
      </c>
      <c r="J1200" s="169" t="s">
        <v>416</v>
      </c>
      <c r="K1200" s="169" t="s">
        <v>416</v>
      </c>
      <c r="L1200" s="169" t="s">
        <v>816</v>
      </c>
      <c r="M1200" s="169" t="s">
        <v>281</v>
      </c>
      <c r="N1200" s="178">
        <v>-150000</v>
      </c>
      <c r="O1200" s="169" t="s">
        <v>872</v>
      </c>
      <c r="P1200" s="169" t="s">
        <v>283</v>
      </c>
      <c r="Q1200" s="169" t="s">
        <v>348</v>
      </c>
      <c r="R1200" s="169" t="s">
        <v>283</v>
      </c>
      <c r="S1200" s="169" t="s">
        <v>283</v>
      </c>
      <c r="T1200" s="169">
        <v>0</v>
      </c>
    </row>
    <row r="1201" spans="1:20" x14ac:dyDescent="0.2">
      <c r="A1201" s="169">
        <v>627</v>
      </c>
      <c r="B1201" s="167" t="str">
        <f>_xlfn.XLOOKUP(I1201,Mapping!D:D,Mapping!E:E)</f>
        <v>Xưởng Sản Xuất</v>
      </c>
      <c r="C1201" s="167" t="str">
        <f>_xlfn.XLOOKUP(F1201,Mapping!A:A,Mapping!F:F)</f>
        <v>Lương Chính +T13</v>
      </c>
      <c r="D1201" s="173">
        <v>45838</v>
      </c>
      <c r="E1201" s="169" t="s">
        <v>877</v>
      </c>
      <c r="F1201" s="169" t="s">
        <v>387</v>
      </c>
      <c r="G1201" s="169" t="s">
        <v>275</v>
      </c>
      <c r="H1201" s="169" t="s">
        <v>436</v>
      </c>
      <c r="I1201" s="169" t="s">
        <v>437</v>
      </c>
      <c r="J1201" s="169" t="s">
        <v>848</v>
      </c>
      <c r="K1201" s="169" t="s">
        <v>849</v>
      </c>
      <c r="L1201" s="169" t="s">
        <v>816</v>
      </c>
      <c r="M1201" s="169" t="s">
        <v>281</v>
      </c>
      <c r="N1201" s="178">
        <v>6266089</v>
      </c>
      <c r="O1201" s="169" t="s">
        <v>878</v>
      </c>
      <c r="P1201" s="169" t="s">
        <v>283</v>
      </c>
      <c r="Q1201" s="169" t="s">
        <v>306</v>
      </c>
      <c r="R1201" s="169" t="s">
        <v>283</v>
      </c>
      <c r="S1201" s="169" t="s">
        <v>283</v>
      </c>
      <c r="T1201" s="169">
        <v>0</v>
      </c>
    </row>
    <row r="1202" spans="1:20" x14ac:dyDescent="0.2">
      <c r="A1202" s="169">
        <v>622</v>
      </c>
      <c r="B1202" s="167" t="str">
        <f>_xlfn.XLOOKUP(I1202,Mapping!D:D,Mapping!E:E)</f>
        <v>Xưởng Sản Xuất</v>
      </c>
      <c r="C1202" s="167" t="str">
        <f>_xlfn.XLOOKUP(F1202,Mapping!A:A,Mapping!F:F)</f>
        <v>Lương Chính +T13</v>
      </c>
      <c r="D1202" s="173">
        <v>45838</v>
      </c>
      <c r="E1202" s="169" t="s">
        <v>877</v>
      </c>
      <c r="F1202" s="169" t="s">
        <v>400</v>
      </c>
      <c r="G1202" s="169" t="s">
        <v>401</v>
      </c>
      <c r="H1202" s="169" t="s">
        <v>436</v>
      </c>
      <c r="I1202" s="169" t="s">
        <v>437</v>
      </c>
      <c r="J1202" s="169" t="s">
        <v>848</v>
      </c>
      <c r="K1202" s="169" t="s">
        <v>849</v>
      </c>
      <c r="L1202" s="169" t="s">
        <v>816</v>
      </c>
      <c r="M1202" s="169" t="s">
        <v>281</v>
      </c>
      <c r="N1202" s="178">
        <v>-6266089</v>
      </c>
      <c r="O1202" s="169" t="s">
        <v>878</v>
      </c>
      <c r="P1202" s="169" t="s">
        <v>283</v>
      </c>
      <c r="Q1202" s="169" t="s">
        <v>306</v>
      </c>
      <c r="R1202" s="169" t="s">
        <v>283</v>
      </c>
      <c r="S1202" s="169" t="s">
        <v>283</v>
      </c>
      <c r="T1202" s="169">
        <v>0</v>
      </c>
    </row>
    <row r="1203" spans="1:20" x14ac:dyDescent="0.2">
      <c r="B1203" s="167" t="str">
        <f>_xlfn.XLOOKUP(I1203,Mapping!D:D,Mapping!E:E)</f>
        <v>Ban Giám Đốc</v>
      </c>
      <c r="C1203" s="167" t="str">
        <f>_xlfn.XLOOKUP(F1203,Mapping!A:A,Mapping!F:F)</f>
        <v>Lương Chính +T13</v>
      </c>
      <c r="D1203" s="173">
        <v>45869</v>
      </c>
      <c r="E1203" s="169" t="s">
        <v>879</v>
      </c>
      <c r="F1203" s="169" t="s">
        <v>274</v>
      </c>
      <c r="G1203" s="169" t="s">
        <v>275</v>
      </c>
      <c r="H1203" s="169" t="s">
        <v>276</v>
      </c>
      <c r="I1203" s="169" t="s">
        <v>277</v>
      </c>
      <c r="J1203" s="169" t="s">
        <v>880</v>
      </c>
      <c r="K1203" s="169" t="s">
        <v>881</v>
      </c>
      <c r="L1203" s="169" t="s">
        <v>882</v>
      </c>
      <c r="M1203" s="169" t="s">
        <v>281</v>
      </c>
      <c r="N1203" s="178">
        <v>1280095779</v>
      </c>
      <c r="O1203" s="169" t="s">
        <v>883</v>
      </c>
      <c r="P1203" s="169" t="s">
        <v>283</v>
      </c>
      <c r="Q1203" s="169" t="s">
        <v>284</v>
      </c>
      <c r="R1203" s="169" t="s">
        <v>283</v>
      </c>
      <c r="S1203" s="169" t="s">
        <v>283</v>
      </c>
      <c r="T1203" s="169">
        <v>0</v>
      </c>
    </row>
    <row r="1204" spans="1:20" x14ac:dyDescent="0.2">
      <c r="B1204" s="167" t="str">
        <f>_xlfn.XLOOKUP(I1204,Mapping!D:D,Mapping!E:E)</f>
        <v>Ban Giám Đốc</v>
      </c>
      <c r="C1204" s="167" t="str">
        <f>_xlfn.XLOOKUP(F1204,Mapping!A:A,Mapping!F:F)</f>
        <v>Lương Chính +T13</v>
      </c>
      <c r="D1204" s="173">
        <v>45869</v>
      </c>
      <c r="E1204" s="169" t="s">
        <v>879</v>
      </c>
      <c r="F1204" s="169" t="s">
        <v>285</v>
      </c>
      <c r="G1204" s="169" t="s">
        <v>286</v>
      </c>
      <c r="H1204" s="169" t="s">
        <v>276</v>
      </c>
      <c r="I1204" s="169" t="s">
        <v>277</v>
      </c>
      <c r="J1204" s="169" t="s">
        <v>880</v>
      </c>
      <c r="K1204" s="169" t="s">
        <v>881</v>
      </c>
      <c r="L1204" s="169" t="s">
        <v>882</v>
      </c>
      <c r="M1204" s="169" t="s">
        <v>281</v>
      </c>
      <c r="N1204" s="178">
        <v>135613203</v>
      </c>
      <c r="O1204" s="169" t="s">
        <v>883</v>
      </c>
      <c r="P1204" s="169" t="s">
        <v>283</v>
      </c>
      <c r="Q1204" s="169" t="s">
        <v>284</v>
      </c>
      <c r="R1204" s="169" t="s">
        <v>283</v>
      </c>
      <c r="S1204" s="169" t="s">
        <v>283</v>
      </c>
      <c r="T1204" s="169">
        <v>0</v>
      </c>
    </row>
    <row r="1205" spans="1:20" x14ac:dyDescent="0.2">
      <c r="B1205" s="167" t="str">
        <f>_xlfn.XLOOKUP(I1205,Mapping!D:D,Mapping!E:E)</f>
        <v>Ban Giám Đốc</v>
      </c>
      <c r="C1205" s="167" t="str">
        <f>_xlfn.XLOOKUP(F1205,Mapping!A:A,Mapping!F:F)</f>
        <v>Lương Chính +T13</v>
      </c>
      <c r="D1205" s="173">
        <v>45869</v>
      </c>
      <c r="E1205" s="169" t="s">
        <v>884</v>
      </c>
      <c r="F1205" s="169" t="s">
        <v>285</v>
      </c>
      <c r="G1205" s="169" t="s">
        <v>286</v>
      </c>
      <c r="H1205" s="169" t="s">
        <v>276</v>
      </c>
      <c r="I1205" s="169" t="s">
        <v>277</v>
      </c>
      <c r="J1205" s="169" t="s">
        <v>885</v>
      </c>
      <c r="K1205" s="169" t="s">
        <v>881</v>
      </c>
      <c r="L1205" s="169" t="s">
        <v>882</v>
      </c>
      <c r="M1205" s="169" t="s">
        <v>281</v>
      </c>
      <c r="N1205" s="178">
        <v>107825083</v>
      </c>
      <c r="O1205" s="169" t="s">
        <v>886</v>
      </c>
      <c r="P1205" s="169" t="s">
        <v>283</v>
      </c>
      <c r="Q1205" s="169" t="s">
        <v>284</v>
      </c>
      <c r="R1205" s="169" t="s">
        <v>283</v>
      </c>
      <c r="S1205" s="169" t="s">
        <v>283</v>
      </c>
      <c r="T1205" s="169">
        <v>0</v>
      </c>
    </row>
    <row r="1206" spans="1:20" x14ac:dyDescent="0.2">
      <c r="B1206" s="167" t="str">
        <f>_xlfn.XLOOKUP(I1206,Mapping!D:D,Mapping!E:E)</f>
        <v>Ban Giám Đốc</v>
      </c>
      <c r="C1206" s="167" t="str">
        <f>_xlfn.XLOOKUP(F1206,Mapping!A:A,Mapping!F:F)</f>
        <v>Thưởng</v>
      </c>
      <c r="D1206" s="173">
        <v>45869</v>
      </c>
      <c r="E1206" s="169" t="s">
        <v>884</v>
      </c>
      <c r="F1206" s="169" t="s">
        <v>292</v>
      </c>
      <c r="G1206" s="169" t="s">
        <v>77</v>
      </c>
      <c r="H1206" s="169" t="s">
        <v>276</v>
      </c>
      <c r="I1206" s="169" t="s">
        <v>277</v>
      </c>
      <c r="J1206" s="169" t="s">
        <v>887</v>
      </c>
      <c r="K1206" s="169" t="s">
        <v>881</v>
      </c>
      <c r="L1206" s="169" t="s">
        <v>882</v>
      </c>
      <c r="M1206" s="169" t="s">
        <v>281</v>
      </c>
      <c r="N1206" s="178">
        <v>99198214</v>
      </c>
      <c r="O1206" s="169" t="s">
        <v>886</v>
      </c>
      <c r="P1206" s="169" t="s">
        <v>283</v>
      </c>
      <c r="Q1206" s="169" t="s">
        <v>284</v>
      </c>
      <c r="R1206" s="169" t="s">
        <v>283</v>
      </c>
      <c r="S1206" s="169" t="s">
        <v>283</v>
      </c>
      <c r="T1206" s="169">
        <v>0</v>
      </c>
    </row>
    <row r="1207" spans="1:20" x14ac:dyDescent="0.2">
      <c r="B1207" s="167" t="str">
        <f>_xlfn.XLOOKUP(I1207,Mapping!D:D,Mapping!E:E)</f>
        <v>Ban Giám Đốc</v>
      </c>
      <c r="C1207" s="167" t="str">
        <f>_xlfn.XLOOKUP(F1207,Mapping!A:A,Mapping!F:F)</f>
        <v>BHXH, BHYT, KPCĐ</v>
      </c>
      <c r="D1207" s="173">
        <v>45869</v>
      </c>
      <c r="E1207" s="169" t="s">
        <v>888</v>
      </c>
      <c r="F1207" s="169" t="s">
        <v>295</v>
      </c>
      <c r="G1207" s="169" t="s">
        <v>296</v>
      </c>
      <c r="H1207" s="169" t="s">
        <v>276</v>
      </c>
      <c r="I1207" s="169" t="s">
        <v>277</v>
      </c>
      <c r="J1207" s="169" t="s">
        <v>889</v>
      </c>
      <c r="K1207" s="169" t="s">
        <v>881</v>
      </c>
      <c r="L1207" s="169" t="s">
        <v>882</v>
      </c>
      <c r="M1207" s="169" t="s">
        <v>281</v>
      </c>
      <c r="N1207" s="178">
        <v>135080010</v>
      </c>
      <c r="O1207" s="169" t="s">
        <v>890</v>
      </c>
      <c r="P1207" s="169" t="s">
        <v>283</v>
      </c>
      <c r="Q1207" s="169" t="s">
        <v>284</v>
      </c>
      <c r="R1207" s="169" t="s">
        <v>283</v>
      </c>
      <c r="S1207" s="169" t="s">
        <v>283</v>
      </c>
      <c r="T1207" s="169">
        <v>0</v>
      </c>
    </row>
    <row r="1208" spans="1:20" x14ac:dyDescent="0.2">
      <c r="B1208" s="167" t="str">
        <f>_xlfn.XLOOKUP(I1208,Mapping!D:D,Mapping!E:E)</f>
        <v>Ban Giám Đốc</v>
      </c>
      <c r="C1208" s="167" t="str">
        <f>_xlfn.XLOOKUP(F1208,Mapping!A:A,Mapping!F:F)</f>
        <v>BHXH, BHYT, KPCĐ</v>
      </c>
      <c r="D1208" s="173">
        <v>45869</v>
      </c>
      <c r="E1208" s="169" t="s">
        <v>891</v>
      </c>
      <c r="F1208" s="169" t="s">
        <v>295</v>
      </c>
      <c r="G1208" s="169" t="s">
        <v>296</v>
      </c>
      <c r="H1208" s="169" t="s">
        <v>276</v>
      </c>
      <c r="I1208" s="169" t="s">
        <v>277</v>
      </c>
      <c r="J1208" s="169" t="s">
        <v>892</v>
      </c>
      <c r="K1208" s="169" t="s">
        <v>881</v>
      </c>
      <c r="L1208" s="169" t="s">
        <v>882</v>
      </c>
      <c r="M1208" s="169" t="s">
        <v>281</v>
      </c>
      <c r="N1208" s="178">
        <v>2106000</v>
      </c>
      <c r="O1208" s="169" t="s">
        <v>893</v>
      </c>
      <c r="P1208" s="169" t="s">
        <v>283</v>
      </c>
      <c r="Q1208" s="169" t="s">
        <v>284</v>
      </c>
      <c r="R1208" s="169" t="s">
        <v>283</v>
      </c>
      <c r="S1208" s="169" t="s">
        <v>283</v>
      </c>
      <c r="T1208" s="169">
        <v>0</v>
      </c>
    </row>
    <row r="1209" spans="1:20" x14ac:dyDescent="0.2">
      <c r="B1209" s="167" t="str">
        <f>_xlfn.XLOOKUP(I1209,Mapping!D:D,Mapping!E:E)</f>
        <v>Văn Phòng Giám Đốc</v>
      </c>
      <c r="C1209" s="167" t="str">
        <f>_xlfn.XLOOKUP(F1209,Mapping!A:A,Mapping!F:F)</f>
        <v>Lương Chính +T13</v>
      </c>
      <c r="D1209" s="173">
        <v>45869</v>
      </c>
      <c r="E1209" s="169" t="s">
        <v>879</v>
      </c>
      <c r="F1209" s="169" t="s">
        <v>274</v>
      </c>
      <c r="G1209" s="169" t="s">
        <v>275</v>
      </c>
      <c r="H1209" s="169" t="s">
        <v>320</v>
      </c>
      <c r="I1209" s="169" t="s">
        <v>321</v>
      </c>
      <c r="J1209" s="169" t="s">
        <v>880</v>
      </c>
      <c r="K1209" s="169" t="s">
        <v>881</v>
      </c>
      <c r="L1209" s="169" t="s">
        <v>882</v>
      </c>
      <c r="M1209" s="169" t="s">
        <v>281</v>
      </c>
      <c r="N1209" s="178">
        <v>91972390</v>
      </c>
      <c r="O1209" s="169" t="s">
        <v>883</v>
      </c>
      <c r="P1209" s="169" t="s">
        <v>283</v>
      </c>
      <c r="Q1209" s="169" t="s">
        <v>284</v>
      </c>
      <c r="R1209" s="169" t="s">
        <v>283</v>
      </c>
      <c r="S1209" s="169" t="s">
        <v>283</v>
      </c>
      <c r="T1209" s="169">
        <v>0</v>
      </c>
    </row>
    <row r="1210" spans="1:20" x14ac:dyDescent="0.2">
      <c r="B1210" s="167" t="str">
        <f>_xlfn.XLOOKUP(I1210,Mapping!D:D,Mapping!E:E)</f>
        <v>Văn Phòng Giám Đốc</v>
      </c>
      <c r="C1210" s="167" t="str">
        <f>_xlfn.XLOOKUP(F1210,Mapping!A:A,Mapping!F:F)</f>
        <v>Lương Chính +T13</v>
      </c>
      <c r="D1210" s="173">
        <v>45869</v>
      </c>
      <c r="E1210" s="169" t="s">
        <v>879</v>
      </c>
      <c r="F1210" s="169" t="s">
        <v>285</v>
      </c>
      <c r="G1210" s="169" t="s">
        <v>286</v>
      </c>
      <c r="H1210" s="169" t="s">
        <v>320</v>
      </c>
      <c r="I1210" s="169" t="s">
        <v>321</v>
      </c>
      <c r="J1210" s="169" t="s">
        <v>880</v>
      </c>
      <c r="K1210" s="169" t="s">
        <v>881</v>
      </c>
      <c r="L1210" s="169" t="s">
        <v>882</v>
      </c>
      <c r="M1210" s="169" t="s">
        <v>281</v>
      </c>
      <c r="N1210" s="178">
        <v>5408741</v>
      </c>
      <c r="O1210" s="169" t="s">
        <v>883</v>
      </c>
      <c r="P1210" s="169" t="s">
        <v>283</v>
      </c>
      <c r="Q1210" s="169" t="s">
        <v>284</v>
      </c>
      <c r="R1210" s="169" t="s">
        <v>283</v>
      </c>
      <c r="S1210" s="169" t="s">
        <v>283</v>
      </c>
      <c r="T1210" s="169">
        <v>0</v>
      </c>
    </row>
    <row r="1211" spans="1:20" x14ac:dyDescent="0.2">
      <c r="B1211" s="167" t="str">
        <f>_xlfn.XLOOKUP(I1211,Mapping!D:D,Mapping!E:E)</f>
        <v>Văn Phòng Giám Đốc</v>
      </c>
      <c r="C1211" s="167" t="str">
        <f>_xlfn.XLOOKUP(F1211,Mapping!A:A,Mapping!F:F)</f>
        <v>Lương Chính +T13</v>
      </c>
      <c r="D1211" s="173">
        <v>45869</v>
      </c>
      <c r="E1211" s="169" t="s">
        <v>884</v>
      </c>
      <c r="F1211" s="169" t="s">
        <v>285</v>
      </c>
      <c r="G1211" s="169" t="s">
        <v>286</v>
      </c>
      <c r="H1211" s="169" t="s">
        <v>320</v>
      </c>
      <c r="I1211" s="169" t="s">
        <v>321</v>
      </c>
      <c r="J1211" s="169" t="s">
        <v>885</v>
      </c>
      <c r="K1211" s="169" t="s">
        <v>881</v>
      </c>
      <c r="L1211" s="169" t="s">
        <v>882</v>
      </c>
      <c r="M1211" s="169" t="s">
        <v>281</v>
      </c>
      <c r="N1211" s="178">
        <v>9604167</v>
      </c>
      <c r="O1211" s="169" t="s">
        <v>886</v>
      </c>
      <c r="P1211" s="169" t="s">
        <v>283</v>
      </c>
      <c r="Q1211" s="169" t="s">
        <v>284</v>
      </c>
      <c r="R1211" s="169" t="s">
        <v>283</v>
      </c>
      <c r="S1211" s="169" t="s">
        <v>283</v>
      </c>
      <c r="T1211" s="169">
        <v>0</v>
      </c>
    </row>
    <row r="1212" spans="1:20" x14ac:dyDescent="0.2">
      <c r="B1212" s="167" t="str">
        <f>_xlfn.XLOOKUP(I1212,Mapping!D:D,Mapping!E:E)</f>
        <v>Văn Phòng Giám Đốc</v>
      </c>
      <c r="C1212" s="167" t="str">
        <f>_xlfn.XLOOKUP(F1212,Mapping!A:A,Mapping!F:F)</f>
        <v>Thưởng</v>
      </c>
      <c r="D1212" s="173">
        <v>45869</v>
      </c>
      <c r="E1212" s="169" t="s">
        <v>884</v>
      </c>
      <c r="F1212" s="169" t="s">
        <v>292</v>
      </c>
      <c r="G1212" s="169" t="s">
        <v>77</v>
      </c>
      <c r="H1212" s="169" t="s">
        <v>320</v>
      </c>
      <c r="I1212" s="169" t="s">
        <v>321</v>
      </c>
      <c r="J1212" s="169" t="s">
        <v>887</v>
      </c>
      <c r="K1212" s="169" t="s">
        <v>881</v>
      </c>
      <c r="L1212" s="169" t="s">
        <v>882</v>
      </c>
      <c r="M1212" s="169" t="s">
        <v>281</v>
      </c>
      <c r="N1212" s="178">
        <v>8835757</v>
      </c>
      <c r="O1212" s="169" t="s">
        <v>886</v>
      </c>
      <c r="P1212" s="169" t="s">
        <v>283</v>
      </c>
      <c r="Q1212" s="169" t="s">
        <v>284</v>
      </c>
      <c r="R1212" s="169" t="s">
        <v>283</v>
      </c>
      <c r="S1212" s="169" t="s">
        <v>283</v>
      </c>
      <c r="T1212" s="169">
        <v>0</v>
      </c>
    </row>
    <row r="1213" spans="1:20" x14ac:dyDescent="0.2">
      <c r="B1213" s="167" t="str">
        <f>_xlfn.XLOOKUP(I1213,Mapping!D:D,Mapping!E:E)</f>
        <v>Văn Phòng Giám Đốc</v>
      </c>
      <c r="C1213" s="167" t="str">
        <f>_xlfn.XLOOKUP(F1213,Mapping!A:A,Mapping!F:F)</f>
        <v>Phụ Cấp</v>
      </c>
      <c r="D1213" s="173">
        <v>45864</v>
      </c>
      <c r="E1213" s="169" t="s">
        <v>894</v>
      </c>
      <c r="F1213" s="169" t="s">
        <v>335</v>
      </c>
      <c r="G1213" s="169" t="s">
        <v>336</v>
      </c>
      <c r="H1213" s="169" t="s">
        <v>320</v>
      </c>
      <c r="I1213" s="169" t="s">
        <v>321</v>
      </c>
      <c r="J1213" s="169" t="s">
        <v>895</v>
      </c>
      <c r="K1213" s="169" t="s">
        <v>741</v>
      </c>
      <c r="L1213" s="169" t="s">
        <v>882</v>
      </c>
      <c r="M1213" s="169" t="s">
        <v>281</v>
      </c>
      <c r="N1213" s="178">
        <v>1475000</v>
      </c>
      <c r="O1213" s="169" t="s">
        <v>896</v>
      </c>
      <c r="P1213" s="169" t="s">
        <v>283</v>
      </c>
      <c r="Q1213" s="169" t="s">
        <v>306</v>
      </c>
      <c r="R1213" s="169" t="s">
        <v>283</v>
      </c>
      <c r="S1213" s="169" t="s">
        <v>283</v>
      </c>
      <c r="T1213" s="169">
        <v>0</v>
      </c>
    </row>
    <row r="1214" spans="1:20" x14ac:dyDescent="0.2">
      <c r="B1214" s="167" t="str">
        <f>_xlfn.XLOOKUP(I1214,Mapping!D:D,Mapping!E:E)</f>
        <v>Văn Phòng Giám Đốc</v>
      </c>
      <c r="C1214" s="167" t="str">
        <f>_xlfn.XLOOKUP(F1214,Mapping!A:A,Mapping!F:F)</f>
        <v>BHXH, BHYT, KPCĐ</v>
      </c>
      <c r="D1214" s="173">
        <v>45869</v>
      </c>
      <c r="E1214" s="169" t="s">
        <v>891</v>
      </c>
      <c r="F1214" s="169" t="s">
        <v>295</v>
      </c>
      <c r="G1214" s="169" t="s">
        <v>296</v>
      </c>
      <c r="H1214" s="169" t="s">
        <v>320</v>
      </c>
      <c r="I1214" s="169" t="s">
        <v>321</v>
      </c>
      <c r="J1214" s="169" t="s">
        <v>892</v>
      </c>
      <c r="K1214" s="169" t="s">
        <v>881</v>
      </c>
      <c r="L1214" s="169" t="s">
        <v>882</v>
      </c>
      <c r="M1214" s="169" t="s">
        <v>281</v>
      </c>
      <c r="N1214" s="178">
        <v>-3264000</v>
      </c>
      <c r="O1214" s="169" t="s">
        <v>893</v>
      </c>
      <c r="P1214" s="169" t="s">
        <v>283</v>
      </c>
      <c r="Q1214" s="169" t="s">
        <v>284</v>
      </c>
      <c r="R1214" s="169" t="s">
        <v>283</v>
      </c>
      <c r="S1214" s="169" t="s">
        <v>283</v>
      </c>
      <c r="T1214" s="169">
        <v>0</v>
      </c>
    </row>
    <row r="1215" spans="1:20" x14ac:dyDescent="0.2">
      <c r="B1215" s="167" t="str">
        <f>_xlfn.XLOOKUP(I1215,Mapping!D:D,Mapping!E:E)</f>
        <v>Văn Phòng Giám Đốc</v>
      </c>
      <c r="C1215" s="167" t="str">
        <f>_xlfn.XLOOKUP(F1215,Mapping!A:A,Mapping!F:F)</f>
        <v>BHXH, BHYT, KPCĐ</v>
      </c>
      <c r="D1215" s="173">
        <v>45869</v>
      </c>
      <c r="E1215" s="169" t="s">
        <v>888</v>
      </c>
      <c r="F1215" s="169" t="s">
        <v>295</v>
      </c>
      <c r="G1215" s="169" t="s">
        <v>296</v>
      </c>
      <c r="H1215" s="169" t="s">
        <v>320</v>
      </c>
      <c r="I1215" s="169" t="s">
        <v>321</v>
      </c>
      <c r="J1215" s="169" t="s">
        <v>889</v>
      </c>
      <c r="K1215" s="169" t="s">
        <v>881</v>
      </c>
      <c r="L1215" s="169" t="s">
        <v>882</v>
      </c>
      <c r="M1215" s="169" t="s">
        <v>281</v>
      </c>
      <c r="N1215" s="178">
        <v>25643750</v>
      </c>
      <c r="O1215" s="169" t="s">
        <v>890</v>
      </c>
      <c r="P1215" s="169" t="s">
        <v>283</v>
      </c>
      <c r="Q1215" s="169" t="s">
        <v>284</v>
      </c>
      <c r="R1215" s="169" t="s">
        <v>283</v>
      </c>
      <c r="S1215" s="169" t="s">
        <v>283</v>
      </c>
      <c r="T1215" s="169">
        <v>0</v>
      </c>
    </row>
    <row r="1216" spans="1:20" x14ac:dyDescent="0.2">
      <c r="B1216" s="167" t="str">
        <f>_xlfn.XLOOKUP(I1216,Mapping!D:D,Mapping!E:E)</f>
        <v>Hành Chánh Nhân Sự</v>
      </c>
      <c r="C1216" s="167" t="str">
        <f>_xlfn.XLOOKUP(F1216,Mapping!A:A,Mapping!F:F)</f>
        <v>Phụ Cấp</v>
      </c>
      <c r="D1216" s="173">
        <v>45869</v>
      </c>
      <c r="E1216" s="169" t="s">
        <v>879</v>
      </c>
      <c r="F1216" s="169" t="s">
        <v>340</v>
      </c>
      <c r="G1216" s="169" t="s">
        <v>341</v>
      </c>
      <c r="H1216" s="169" t="s">
        <v>301</v>
      </c>
      <c r="I1216" s="169" t="s">
        <v>302</v>
      </c>
      <c r="J1216" s="169" t="s">
        <v>880</v>
      </c>
      <c r="K1216" s="169" t="s">
        <v>881</v>
      </c>
      <c r="L1216" s="169" t="s">
        <v>882</v>
      </c>
      <c r="M1216" s="169" t="s">
        <v>281</v>
      </c>
      <c r="N1216" s="178">
        <v>7477130</v>
      </c>
      <c r="O1216" s="169" t="s">
        <v>883</v>
      </c>
      <c r="P1216" s="169" t="s">
        <v>283</v>
      </c>
      <c r="Q1216" s="169" t="s">
        <v>284</v>
      </c>
      <c r="R1216" s="169" t="s">
        <v>283</v>
      </c>
      <c r="S1216" s="169" t="s">
        <v>283</v>
      </c>
      <c r="T1216" s="169">
        <v>0</v>
      </c>
    </row>
    <row r="1217" spans="2:20" x14ac:dyDescent="0.2">
      <c r="B1217" s="167" t="str">
        <f>_xlfn.XLOOKUP(I1217,Mapping!D:D,Mapping!E:E)</f>
        <v>Hành Chánh Nhân Sự</v>
      </c>
      <c r="C1217" s="167" t="str">
        <f>_xlfn.XLOOKUP(F1217,Mapping!A:A,Mapping!F:F)</f>
        <v>Lương Chính +T13</v>
      </c>
      <c r="D1217" s="173">
        <v>45869</v>
      </c>
      <c r="E1217" s="169" t="s">
        <v>879</v>
      </c>
      <c r="F1217" s="169" t="s">
        <v>274</v>
      </c>
      <c r="G1217" s="169" t="s">
        <v>275</v>
      </c>
      <c r="H1217" s="169" t="s">
        <v>301</v>
      </c>
      <c r="I1217" s="169" t="s">
        <v>302</v>
      </c>
      <c r="J1217" s="169" t="s">
        <v>880</v>
      </c>
      <c r="K1217" s="169" t="s">
        <v>881</v>
      </c>
      <c r="L1217" s="169" t="s">
        <v>882</v>
      </c>
      <c r="M1217" s="169" t="s">
        <v>281</v>
      </c>
      <c r="N1217" s="178">
        <v>460298354</v>
      </c>
      <c r="O1217" s="169" t="s">
        <v>883</v>
      </c>
      <c r="P1217" s="169" t="s">
        <v>283</v>
      </c>
      <c r="Q1217" s="169" t="s">
        <v>284</v>
      </c>
      <c r="R1217" s="169" t="s">
        <v>283</v>
      </c>
      <c r="S1217" s="169" t="s">
        <v>283</v>
      </c>
      <c r="T1217" s="169">
        <v>0</v>
      </c>
    </row>
    <row r="1218" spans="2:20" x14ac:dyDescent="0.2">
      <c r="B1218" s="167" t="str">
        <f>_xlfn.XLOOKUP(I1218,Mapping!D:D,Mapping!E:E)</f>
        <v>Hành Chánh Nhân Sự</v>
      </c>
      <c r="C1218" s="167" t="str">
        <f>_xlfn.XLOOKUP(F1218,Mapping!A:A,Mapping!F:F)</f>
        <v>Lương Chính +T13</v>
      </c>
      <c r="D1218" s="173">
        <v>45869</v>
      </c>
      <c r="E1218" s="169" t="s">
        <v>897</v>
      </c>
      <c r="F1218" s="169" t="s">
        <v>274</v>
      </c>
      <c r="G1218" s="169" t="s">
        <v>275</v>
      </c>
      <c r="H1218" s="169" t="s">
        <v>301</v>
      </c>
      <c r="I1218" s="169" t="s">
        <v>302</v>
      </c>
      <c r="J1218" s="169" t="s">
        <v>898</v>
      </c>
      <c r="K1218" s="169" t="s">
        <v>328</v>
      </c>
      <c r="L1218" s="169" t="s">
        <v>882</v>
      </c>
      <c r="M1218" s="169" t="s">
        <v>281</v>
      </c>
      <c r="N1218" s="178">
        <v>83250000</v>
      </c>
      <c r="O1218" s="169" t="s">
        <v>899</v>
      </c>
      <c r="P1218" s="169" t="s">
        <v>283</v>
      </c>
      <c r="Q1218" s="169" t="s">
        <v>306</v>
      </c>
      <c r="R1218" s="169" t="s">
        <v>283</v>
      </c>
      <c r="S1218" s="169" t="s">
        <v>283</v>
      </c>
      <c r="T1218" s="169">
        <v>0</v>
      </c>
    </row>
    <row r="1219" spans="2:20" x14ac:dyDescent="0.2">
      <c r="B1219" s="167" t="str">
        <f>_xlfn.XLOOKUP(I1219,Mapping!D:D,Mapping!E:E)</f>
        <v>Hành Chánh Nhân Sự</v>
      </c>
      <c r="C1219" s="167" t="str">
        <f>_xlfn.XLOOKUP(F1219,Mapping!A:A,Mapping!F:F)</f>
        <v>Lương Chính +T13</v>
      </c>
      <c r="D1219" s="173">
        <v>45869</v>
      </c>
      <c r="E1219" s="169" t="s">
        <v>900</v>
      </c>
      <c r="F1219" s="169" t="s">
        <v>274</v>
      </c>
      <c r="G1219" s="169" t="s">
        <v>275</v>
      </c>
      <c r="H1219" s="169" t="s">
        <v>301</v>
      </c>
      <c r="I1219" s="169" t="s">
        <v>302</v>
      </c>
      <c r="J1219" s="169" t="s">
        <v>901</v>
      </c>
      <c r="K1219" s="169" t="s">
        <v>405</v>
      </c>
      <c r="L1219" s="169" t="s">
        <v>882</v>
      </c>
      <c r="M1219" s="169" t="s">
        <v>281</v>
      </c>
      <c r="N1219" s="178">
        <v>8539049</v>
      </c>
      <c r="O1219" s="169" t="s">
        <v>902</v>
      </c>
      <c r="P1219" s="169" t="s">
        <v>283</v>
      </c>
      <c r="Q1219" s="169" t="s">
        <v>306</v>
      </c>
      <c r="R1219" s="169" t="s">
        <v>283</v>
      </c>
      <c r="S1219" s="169" t="s">
        <v>283</v>
      </c>
      <c r="T1219" s="169">
        <v>0</v>
      </c>
    </row>
    <row r="1220" spans="2:20" x14ac:dyDescent="0.2">
      <c r="B1220" s="167" t="str">
        <f>_xlfn.XLOOKUP(I1220,Mapping!D:D,Mapping!E:E)</f>
        <v>Hành Chánh Nhân Sự</v>
      </c>
      <c r="C1220" s="167" t="str">
        <f>_xlfn.XLOOKUP(F1220,Mapping!A:A,Mapping!F:F)</f>
        <v>Lương Chính +T13</v>
      </c>
      <c r="D1220" s="173">
        <v>45869</v>
      </c>
      <c r="E1220" s="169" t="s">
        <v>879</v>
      </c>
      <c r="F1220" s="169" t="s">
        <v>285</v>
      </c>
      <c r="G1220" s="169" t="s">
        <v>286</v>
      </c>
      <c r="H1220" s="169" t="s">
        <v>301</v>
      </c>
      <c r="I1220" s="169" t="s">
        <v>302</v>
      </c>
      <c r="J1220" s="169" t="s">
        <v>880</v>
      </c>
      <c r="K1220" s="169" t="s">
        <v>881</v>
      </c>
      <c r="L1220" s="169" t="s">
        <v>882</v>
      </c>
      <c r="M1220" s="169" t="s">
        <v>281</v>
      </c>
      <c r="N1220" s="178">
        <v>14734963</v>
      </c>
      <c r="O1220" s="169" t="s">
        <v>883</v>
      </c>
      <c r="P1220" s="169" t="s">
        <v>283</v>
      </c>
      <c r="Q1220" s="169" t="s">
        <v>284</v>
      </c>
      <c r="R1220" s="169" t="s">
        <v>283</v>
      </c>
      <c r="S1220" s="169" t="s">
        <v>283</v>
      </c>
      <c r="T1220" s="169">
        <v>0</v>
      </c>
    </row>
    <row r="1221" spans="2:20" x14ac:dyDescent="0.2">
      <c r="B1221" s="167" t="str">
        <f>_xlfn.XLOOKUP(I1221,Mapping!D:D,Mapping!E:E)</f>
        <v>Hành Chánh Nhân Sự</v>
      </c>
      <c r="C1221" s="167" t="str">
        <f>_xlfn.XLOOKUP(F1221,Mapping!A:A,Mapping!F:F)</f>
        <v>Lương Chính +T13</v>
      </c>
      <c r="D1221" s="173">
        <v>45869</v>
      </c>
      <c r="E1221" s="169" t="s">
        <v>884</v>
      </c>
      <c r="F1221" s="169" t="s">
        <v>285</v>
      </c>
      <c r="G1221" s="169" t="s">
        <v>286</v>
      </c>
      <c r="H1221" s="169" t="s">
        <v>301</v>
      </c>
      <c r="I1221" s="169" t="s">
        <v>302</v>
      </c>
      <c r="J1221" s="169" t="s">
        <v>885</v>
      </c>
      <c r="K1221" s="169" t="s">
        <v>881</v>
      </c>
      <c r="L1221" s="169" t="s">
        <v>882</v>
      </c>
      <c r="M1221" s="169" t="s">
        <v>281</v>
      </c>
      <c r="N1221" s="178">
        <v>41478548</v>
      </c>
      <c r="O1221" s="169" t="s">
        <v>886</v>
      </c>
      <c r="P1221" s="169" t="s">
        <v>283</v>
      </c>
      <c r="Q1221" s="169" t="s">
        <v>284</v>
      </c>
      <c r="R1221" s="169" t="s">
        <v>283</v>
      </c>
      <c r="S1221" s="169" t="s">
        <v>283</v>
      </c>
      <c r="T1221" s="169">
        <v>0</v>
      </c>
    </row>
    <row r="1222" spans="2:20" x14ac:dyDescent="0.2">
      <c r="B1222" s="167" t="str">
        <f>_xlfn.XLOOKUP(I1222,Mapping!D:D,Mapping!E:E)</f>
        <v>Hành Chánh Nhân Sự</v>
      </c>
      <c r="C1222" s="167" t="str">
        <f>_xlfn.XLOOKUP(F1222,Mapping!A:A,Mapping!F:F)</f>
        <v>Lương Ngoài giờ</v>
      </c>
      <c r="D1222" s="173">
        <v>45869</v>
      </c>
      <c r="E1222" s="169" t="s">
        <v>879</v>
      </c>
      <c r="F1222" s="169" t="s">
        <v>342</v>
      </c>
      <c r="G1222" s="169" t="s">
        <v>343</v>
      </c>
      <c r="H1222" s="169" t="s">
        <v>301</v>
      </c>
      <c r="I1222" s="169" t="s">
        <v>302</v>
      </c>
      <c r="J1222" s="169" t="s">
        <v>880</v>
      </c>
      <c r="K1222" s="169" t="s">
        <v>881</v>
      </c>
      <c r="L1222" s="169" t="s">
        <v>882</v>
      </c>
      <c r="M1222" s="169" t="s">
        <v>281</v>
      </c>
      <c r="N1222" s="178">
        <v>83690926</v>
      </c>
      <c r="O1222" s="169" t="s">
        <v>883</v>
      </c>
      <c r="P1222" s="169" t="s">
        <v>283</v>
      </c>
      <c r="Q1222" s="169" t="s">
        <v>284</v>
      </c>
      <c r="R1222" s="169" t="s">
        <v>283</v>
      </c>
      <c r="S1222" s="169" t="s">
        <v>283</v>
      </c>
      <c r="T1222" s="169">
        <v>0</v>
      </c>
    </row>
    <row r="1223" spans="2:20" x14ac:dyDescent="0.2">
      <c r="B1223" s="167" t="str">
        <f>_xlfn.XLOOKUP(I1223,Mapping!D:D,Mapping!E:E)</f>
        <v>Hành Chánh Nhân Sự</v>
      </c>
      <c r="C1223" s="167" t="str">
        <f>_xlfn.XLOOKUP(F1223,Mapping!A:A,Mapping!F:F)</f>
        <v>Thưởng</v>
      </c>
      <c r="D1223" s="173">
        <v>45869</v>
      </c>
      <c r="E1223" s="169" t="s">
        <v>884</v>
      </c>
      <c r="F1223" s="169" t="s">
        <v>292</v>
      </c>
      <c r="G1223" s="169" t="s">
        <v>77</v>
      </c>
      <c r="H1223" s="169" t="s">
        <v>301</v>
      </c>
      <c r="I1223" s="169" t="s">
        <v>302</v>
      </c>
      <c r="J1223" s="169" t="s">
        <v>887</v>
      </c>
      <c r="K1223" s="169" t="s">
        <v>881</v>
      </c>
      <c r="L1223" s="169" t="s">
        <v>882</v>
      </c>
      <c r="M1223" s="169" t="s">
        <v>281</v>
      </c>
      <c r="N1223" s="178">
        <v>32709455</v>
      </c>
      <c r="O1223" s="169" t="s">
        <v>886</v>
      </c>
      <c r="P1223" s="169" t="s">
        <v>283</v>
      </c>
      <c r="Q1223" s="169" t="s">
        <v>284</v>
      </c>
      <c r="R1223" s="169" t="s">
        <v>283</v>
      </c>
      <c r="S1223" s="169" t="s">
        <v>283</v>
      </c>
      <c r="T1223" s="169">
        <v>0</v>
      </c>
    </row>
    <row r="1224" spans="2:20" x14ac:dyDescent="0.2">
      <c r="B1224" s="167" t="str">
        <f>_xlfn.XLOOKUP(I1224,Mapping!D:D,Mapping!E:E)</f>
        <v>Hành Chánh Nhân Sự</v>
      </c>
      <c r="C1224" s="167" t="str">
        <f>_xlfn.XLOOKUP(F1224,Mapping!A:A,Mapping!F:F)</f>
        <v>Phụ Cấp</v>
      </c>
      <c r="D1224" s="173">
        <v>45869</v>
      </c>
      <c r="E1224" s="169" t="s">
        <v>879</v>
      </c>
      <c r="F1224" s="169" t="s">
        <v>335</v>
      </c>
      <c r="G1224" s="169" t="s">
        <v>336</v>
      </c>
      <c r="H1224" s="169" t="s">
        <v>301</v>
      </c>
      <c r="I1224" s="169" t="s">
        <v>302</v>
      </c>
      <c r="J1224" s="169" t="s">
        <v>880</v>
      </c>
      <c r="K1224" s="169" t="s">
        <v>881</v>
      </c>
      <c r="L1224" s="169" t="s">
        <v>882</v>
      </c>
      <c r="M1224" s="169" t="s">
        <v>281</v>
      </c>
      <c r="N1224" s="178">
        <v>5585000</v>
      </c>
      <c r="O1224" s="169" t="s">
        <v>883</v>
      </c>
      <c r="P1224" s="169" t="s">
        <v>283</v>
      </c>
      <c r="Q1224" s="169" t="s">
        <v>284</v>
      </c>
      <c r="R1224" s="169" t="s">
        <v>283</v>
      </c>
      <c r="S1224" s="169" t="s">
        <v>283</v>
      </c>
      <c r="T1224" s="169">
        <v>0</v>
      </c>
    </row>
    <row r="1225" spans="2:20" x14ac:dyDescent="0.2">
      <c r="B1225" s="167" t="str">
        <f>_xlfn.XLOOKUP(I1225,Mapping!D:D,Mapping!E:E)</f>
        <v>Hành Chánh Nhân Sự</v>
      </c>
      <c r="C1225" s="167" t="str">
        <f>_xlfn.XLOOKUP(F1225,Mapping!A:A,Mapping!F:F)</f>
        <v>Phụ Cấp</v>
      </c>
      <c r="D1225" s="173">
        <v>45864</v>
      </c>
      <c r="E1225" s="169" t="s">
        <v>894</v>
      </c>
      <c r="F1225" s="169" t="s">
        <v>335</v>
      </c>
      <c r="G1225" s="169" t="s">
        <v>336</v>
      </c>
      <c r="H1225" s="169" t="s">
        <v>301</v>
      </c>
      <c r="I1225" s="169" t="s">
        <v>302</v>
      </c>
      <c r="J1225" s="169" t="s">
        <v>895</v>
      </c>
      <c r="K1225" s="169" t="s">
        <v>741</v>
      </c>
      <c r="L1225" s="169" t="s">
        <v>882</v>
      </c>
      <c r="M1225" s="169" t="s">
        <v>281</v>
      </c>
      <c r="N1225" s="178">
        <v>37825000</v>
      </c>
      <c r="O1225" s="169" t="s">
        <v>896</v>
      </c>
      <c r="P1225" s="169" t="s">
        <v>283</v>
      </c>
      <c r="Q1225" s="169" t="s">
        <v>306</v>
      </c>
      <c r="R1225" s="169" t="s">
        <v>283</v>
      </c>
      <c r="S1225" s="169" t="s">
        <v>283</v>
      </c>
      <c r="T1225" s="169">
        <v>0</v>
      </c>
    </row>
    <row r="1226" spans="2:20" x14ac:dyDescent="0.2">
      <c r="B1226" s="167" t="str">
        <f>_xlfn.XLOOKUP(I1226,Mapping!D:D,Mapping!E:E)</f>
        <v>Hành Chánh Nhân Sự</v>
      </c>
      <c r="C1226" s="167" t="str">
        <f>_xlfn.XLOOKUP(F1226,Mapping!A:A,Mapping!F:F)</f>
        <v>BHXH, BHYT, KPCĐ</v>
      </c>
      <c r="D1226" s="173">
        <v>45869</v>
      </c>
      <c r="E1226" s="169" t="s">
        <v>888</v>
      </c>
      <c r="F1226" s="169" t="s">
        <v>295</v>
      </c>
      <c r="G1226" s="169" t="s">
        <v>296</v>
      </c>
      <c r="H1226" s="169" t="s">
        <v>301</v>
      </c>
      <c r="I1226" s="169" t="s">
        <v>302</v>
      </c>
      <c r="J1226" s="169" t="s">
        <v>889</v>
      </c>
      <c r="K1226" s="169" t="s">
        <v>881</v>
      </c>
      <c r="L1226" s="169" t="s">
        <v>882</v>
      </c>
      <c r="M1226" s="169" t="s">
        <v>281</v>
      </c>
      <c r="N1226" s="178">
        <v>103116715</v>
      </c>
      <c r="O1226" s="169" t="s">
        <v>890</v>
      </c>
      <c r="P1226" s="169" t="s">
        <v>283</v>
      </c>
      <c r="Q1226" s="169" t="s">
        <v>284</v>
      </c>
      <c r="R1226" s="169" t="s">
        <v>283</v>
      </c>
      <c r="S1226" s="169" t="s">
        <v>283</v>
      </c>
      <c r="T1226" s="169">
        <v>0</v>
      </c>
    </row>
    <row r="1227" spans="2:20" x14ac:dyDescent="0.2">
      <c r="B1227" s="167" t="str">
        <f>_xlfn.XLOOKUP(I1227,Mapping!D:D,Mapping!E:E)</f>
        <v>Hành Chánh Nhân Sự</v>
      </c>
      <c r="C1227" s="167" t="str">
        <f>_xlfn.XLOOKUP(F1227,Mapping!A:A,Mapping!F:F)</f>
        <v>BHXH, BHYT, KPCĐ</v>
      </c>
      <c r="D1227" s="173">
        <v>45869</v>
      </c>
      <c r="E1227" s="169" t="s">
        <v>891</v>
      </c>
      <c r="F1227" s="169" t="s">
        <v>295</v>
      </c>
      <c r="G1227" s="169" t="s">
        <v>296</v>
      </c>
      <c r="H1227" s="169" t="s">
        <v>301</v>
      </c>
      <c r="I1227" s="169" t="s">
        <v>302</v>
      </c>
      <c r="J1227" s="169" t="s">
        <v>892</v>
      </c>
      <c r="K1227" s="169" t="s">
        <v>881</v>
      </c>
      <c r="L1227" s="169" t="s">
        <v>882</v>
      </c>
      <c r="M1227" s="169" t="s">
        <v>281</v>
      </c>
      <c r="N1227" s="178">
        <v>235350</v>
      </c>
      <c r="O1227" s="169" t="s">
        <v>893</v>
      </c>
      <c r="P1227" s="169" t="s">
        <v>283</v>
      </c>
      <c r="Q1227" s="169" t="s">
        <v>284</v>
      </c>
      <c r="R1227" s="169" t="s">
        <v>283</v>
      </c>
      <c r="S1227" s="169" t="s">
        <v>283</v>
      </c>
      <c r="T1227" s="169">
        <v>0</v>
      </c>
    </row>
    <row r="1228" spans="2:20" x14ac:dyDescent="0.2">
      <c r="B1228" s="167" t="str">
        <f>_xlfn.XLOOKUP(I1228,Mapping!D:D,Mapping!E:E)</f>
        <v>Hành Chánh Nhân Sự</v>
      </c>
      <c r="C1228" s="167" t="str">
        <f>_xlfn.XLOOKUP(F1228,Mapping!A:A,Mapping!F:F)</f>
        <v>Khen thưởng BD khác</v>
      </c>
      <c r="D1228" s="173">
        <v>45869</v>
      </c>
      <c r="E1228" s="169" t="s">
        <v>903</v>
      </c>
      <c r="F1228" s="169" t="s">
        <v>300</v>
      </c>
      <c r="G1228" s="169" t="s">
        <v>222</v>
      </c>
      <c r="H1228" s="169" t="s">
        <v>301</v>
      </c>
      <c r="I1228" s="169" t="s">
        <v>302</v>
      </c>
      <c r="J1228" s="169" t="s">
        <v>904</v>
      </c>
      <c r="K1228" s="169" t="s">
        <v>905</v>
      </c>
      <c r="L1228" s="169" t="s">
        <v>882</v>
      </c>
      <c r="M1228" s="169" t="s">
        <v>281</v>
      </c>
      <c r="N1228" s="178">
        <v>6000000</v>
      </c>
      <c r="O1228" s="169" t="s">
        <v>906</v>
      </c>
      <c r="P1228" s="169" t="s">
        <v>283</v>
      </c>
      <c r="Q1228" s="169" t="s">
        <v>306</v>
      </c>
      <c r="R1228" s="169" t="s">
        <v>283</v>
      </c>
      <c r="S1228" s="169" t="s">
        <v>283</v>
      </c>
      <c r="T1228" s="169">
        <v>0</v>
      </c>
    </row>
    <row r="1229" spans="2:20" x14ac:dyDescent="0.2">
      <c r="B1229" s="167" t="str">
        <f>_xlfn.XLOOKUP(I1229,Mapping!D:D,Mapping!E:E)</f>
        <v>Kế Toán</v>
      </c>
      <c r="C1229" s="167" t="str">
        <f>_xlfn.XLOOKUP(F1229,Mapping!A:A,Mapping!F:F)</f>
        <v>Lương Chính +T13</v>
      </c>
      <c r="D1229" s="173">
        <v>45869</v>
      </c>
      <c r="E1229" s="169" t="s">
        <v>879</v>
      </c>
      <c r="F1229" s="169" t="s">
        <v>274</v>
      </c>
      <c r="G1229" s="169" t="s">
        <v>275</v>
      </c>
      <c r="H1229" s="169" t="s">
        <v>356</v>
      </c>
      <c r="I1229" s="169" t="s">
        <v>357</v>
      </c>
      <c r="J1229" s="169" t="s">
        <v>880</v>
      </c>
      <c r="K1229" s="169" t="s">
        <v>881</v>
      </c>
      <c r="L1229" s="169" t="s">
        <v>882</v>
      </c>
      <c r="M1229" s="169" t="s">
        <v>281</v>
      </c>
      <c r="N1229" s="178">
        <v>474680895</v>
      </c>
      <c r="O1229" s="169" t="s">
        <v>883</v>
      </c>
      <c r="P1229" s="169" t="s">
        <v>283</v>
      </c>
      <c r="Q1229" s="169" t="s">
        <v>284</v>
      </c>
      <c r="R1229" s="169" t="s">
        <v>283</v>
      </c>
      <c r="S1229" s="169" t="s">
        <v>283</v>
      </c>
      <c r="T1229" s="169">
        <v>0</v>
      </c>
    </row>
    <row r="1230" spans="2:20" x14ac:dyDescent="0.2">
      <c r="B1230" s="167" t="str">
        <f>_xlfn.XLOOKUP(I1230,Mapping!D:D,Mapping!E:E)</f>
        <v>Kế Toán</v>
      </c>
      <c r="C1230" s="167" t="str">
        <f>_xlfn.XLOOKUP(F1230,Mapping!A:A,Mapping!F:F)</f>
        <v>Lương Chính +T13</v>
      </c>
      <c r="D1230" s="173">
        <v>45869</v>
      </c>
      <c r="E1230" s="169" t="s">
        <v>879</v>
      </c>
      <c r="F1230" s="169" t="s">
        <v>285</v>
      </c>
      <c r="G1230" s="169" t="s">
        <v>286</v>
      </c>
      <c r="H1230" s="169" t="s">
        <v>356</v>
      </c>
      <c r="I1230" s="169" t="s">
        <v>357</v>
      </c>
      <c r="J1230" s="169" t="s">
        <v>880</v>
      </c>
      <c r="K1230" s="169" t="s">
        <v>881</v>
      </c>
      <c r="L1230" s="169" t="s">
        <v>882</v>
      </c>
      <c r="M1230" s="169" t="s">
        <v>281</v>
      </c>
      <c r="N1230" s="178">
        <v>25689381</v>
      </c>
      <c r="O1230" s="169" t="s">
        <v>883</v>
      </c>
      <c r="P1230" s="169" t="s">
        <v>283</v>
      </c>
      <c r="Q1230" s="169" t="s">
        <v>284</v>
      </c>
      <c r="R1230" s="169" t="s">
        <v>283</v>
      </c>
      <c r="S1230" s="169" t="s">
        <v>283</v>
      </c>
      <c r="T1230" s="169">
        <v>0</v>
      </c>
    </row>
    <row r="1231" spans="2:20" x14ac:dyDescent="0.2">
      <c r="B1231" s="167" t="str">
        <f>_xlfn.XLOOKUP(I1231,Mapping!D:D,Mapping!E:E)</f>
        <v>Kế Toán</v>
      </c>
      <c r="C1231" s="167" t="str">
        <f>_xlfn.XLOOKUP(F1231,Mapping!A:A,Mapping!F:F)</f>
        <v>Lương Ngoài giờ</v>
      </c>
      <c r="D1231" s="173">
        <v>45869</v>
      </c>
      <c r="E1231" s="169" t="s">
        <v>879</v>
      </c>
      <c r="F1231" s="169" t="s">
        <v>342</v>
      </c>
      <c r="G1231" s="169" t="s">
        <v>343</v>
      </c>
      <c r="H1231" s="169" t="s">
        <v>356</v>
      </c>
      <c r="I1231" s="169" t="s">
        <v>357</v>
      </c>
      <c r="J1231" s="169" t="s">
        <v>880</v>
      </c>
      <c r="K1231" s="169" t="s">
        <v>881</v>
      </c>
      <c r="L1231" s="169" t="s">
        <v>882</v>
      </c>
      <c r="M1231" s="169" t="s">
        <v>281</v>
      </c>
      <c r="N1231" s="178">
        <v>52196018</v>
      </c>
      <c r="O1231" s="169" t="s">
        <v>883</v>
      </c>
      <c r="P1231" s="169" t="s">
        <v>283</v>
      </c>
      <c r="Q1231" s="169" t="s">
        <v>284</v>
      </c>
      <c r="R1231" s="169" t="s">
        <v>283</v>
      </c>
      <c r="S1231" s="169" t="s">
        <v>283</v>
      </c>
      <c r="T1231" s="169">
        <v>0</v>
      </c>
    </row>
    <row r="1232" spans="2:20" x14ac:dyDescent="0.2">
      <c r="B1232" s="167" t="str">
        <f>_xlfn.XLOOKUP(I1232,Mapping!D:D,Mapping!E:E)</f>
        <v>Kế Toán</v>
      </c>
      <c r="C1232" s="167" t="str">
        <f>_xlfn.XLOOKUP(F1232,Mapping!A:A,Mapping!F:F)</f>
        <v>Phụ Cấp</v>
      </c>
      <c r="D1232" s="173">
        <v>45869</v>
      </c>
      <c r="E1232" s="169" t="s">
        <v>879</v>
      </c>
      <c r="F1232" s="169" t="s">
        <v>335</v>
      </c>
      <c r="G1232" s="169" t="s">
        <v>336</v>
      </c>
      <c r="H1232" s="169" t="s">
        <v>356</v>
      </c>
      <c r="I1232" s="169" t="s">
        <v>357</v>
      </c>
      <c r="J1232" s="169" t="s">
        <v>880</v>
      </c>
      <c r="K1232" s="169" t="s">
        <v>881</v>
      </c>
      <c r="L1232" s="169" t="s">
        <v>882</v>
      </c>
      <c r="M1232" s="169" t="s">
        <v>281</v>
      </c>
      <c r="N1232" s="178">
        <v>2400000</v>
      </c>
      <c r="O1232" s="169" t="s">
        <v>883</v>
      </c>
      <c r="P1232" s="169" t="s">
        <v>283</v>
      </c>
      <c r="Q1232" s="169" t="s">
        <v>284</v>
      </c>
      <c r="R1232" s="169" t="s">
        <v>283</v>
      </c>
      <c r="S1232" s="169" t="s">
        <v>283</v>
      </c>
      <c r="T1232" s="169">
        <v>0</v>
      </c>
    </row>
    <row r="1233" spans="2:20" x14ac:dyDescent="0.2">
      <c r="B1233" s="167" t="str">
        <f>_xlfn.XLOOKUP(I1233,Mapping!D:D,Mapping!E:E)</f>
        <v>Kế Toán</v>
      </c>
      <c r="C1233" s="167" t="str">
        <f>_xlfn.XLOOKUP(F1233,Mapping!A:A,Mapping!F:F)</f>
        <v>Phụ Cấp</v>
      </c>
      <c r="D1233" s="173">
        <v>45864</v>
      </c>
      <c r="E1233" s="169" t="s">
        <v>894</v>
      </c>
      <c r="F1233" s="169" t="s">
        <v>335</v>
      </c>
      <c r="G1233" s="169" t="s">
        <v>336</v>
      </c>
      <c r="H1233" s="169" t="s">
        <v>356</v>
      </c>
      <c r="I1233" s="169" t="s">
        <v>357</v>
      </c>
      <c r="J1233" s="169" t="s">
        <v>895</v>
      </c>
      <c r="K1233" s="169" t="s">
        <v>741</v>
      </c>
      <c r="L1233" s="169" t="s">
        <v>882</v>
      </c>
      <c r="M1233" s="169" t="s">
        <v>281</v>
      </c>
      <c r="N1233" s="178">
        <v>15925000</v>
      </c>
      <c r="O1233" s="169" t="s">
        <v>896</v>
      </c>
      <c r="P1233" s="169" t="s">
        <v>283</v>
      </c>
      <c r="Q1233" s="169" t="s">
        <v>306</v>
      </c>
      <c r="R1233" s="169" t="s">
        <v>283</v>
      </c>
      <c r="S1233" s="169" t="s">
        <v>283</v>
      </c>
      <c r="T1233" s="169">
        <v>0</v>
      </c>
    </row>
    <row r="1234" spans="2:20" x14ac:dyDescent="0.2">
      <c r="B1234" s="167" t="str">
        <f>_xlfn.XLOOKUP(I1234,Mapping!D:D,Mapping!E:E)</f>
        <v>Kế Toán</v>
      </c>
      <c r="C1234" s="167" t="str">
        <f>_xlfn.XLOOKUP(F1234,Mapping!A:A,Mapping!F:F)</f>
        <v>Lương Chính +T13</v>
      </c>
      <c r="D1234" s="173">
        <v>45869</v>
      </c>
      <c r="E1234" s="169" t="s">
        <v>884</v>
      </c>
      <c r="F1234" s="169" t="s">
        <v>285</v>
      </c>
      <c r="G1234" s="169" t="s">
        <v>286</v>
      </c>
      <c r="H1234" s="169" t="s">
        <v>356</v>
      </c>
      <c r="I1234" s="169" t="s">
        <v>357</v>
      </c>
      <c r="J1234" s="169" t="s">
        <v>885</v>
      </c>
      <c r="K1234" s="169" t="s">
        <v>881</v>
      </c>
      <c r="L1234" s="169" t="s">
        <v>882</v>
      </c>
      <c r="M1234" s="169" t="s">
        <v>281</v>
      </c>
      <c r="N1234" s="178">
        <v>42930430</v>
      </c>
      <c r="O1234" s="169" t="s">
        <v>886</v>
      </c>
      <c r="P1234" s="169" t="s">
        <v>283</v>
      </c>
      <c r="Q1234" s="169" t="s">
        <v>284</v>
      </c>
      <c r="R1234" s="169" t="s">
        <v>283</v>
      </c>
      <c r="S1234" s="169" t="s">
        <v>283</v>
      </c>
      <c r="T1234" s="169">
        <v>0</v>
      </c>
    </row>
    <row r="1235" spans="2:20" x14ac:dyDescent="0.2">
      <c r="B1235" s="167" t="str">
        <f>_xlfn.XLOOKUP(I1235,Mapping!D:D,Mapping!E:E)</f>
        <v>Kế Toán</v>
      </c>
      <c r="C1235" s="167" t="str">
        <f>_xlfn.XLOOKUP(F1235,Mapping!A:A,Mapping!F:F)</f>
        <v>Thưởng</v>
      </c>
      <c r="D1235" s="173">
        <v>45869</v>
      </c>
      <c r="E1235" s="169" t="s">
        <v>884</v>
      </c>
      <c r="F1235" s="169" t="s">
        <v>292</v>
      </c>
      <c r="G1235" s="169" t="s">
        <v>77</v>
      </c>
      <c r="H1235" s="169" t="s">
        <v>356</v>
      </c>
      <c r="I1235" s="169" t="s">
        <v>357</v>
      </c>
      <c r="J1235" s="169" t="s">
        <v>887</v>
      </c>
      <c r="K1235" s="169" t="s">
        <v>881</v>
      </c>
      <c r="L1235" s="169" t="s">
        <v>882</v>
      </c>
      <c r="M1235" s="169" t="s">
        <v>281</v>
      </c>
      <c r="N1235" s="178">
        <v>39052204</v>
      </c>
      <c r="O1235" s="169" t="s">
        <v>886</v>
      </c>
      <c r="P1235" s="169" t="s">
        <v>283</v>
      </c>
      <c r="Q1235" s="169" t="s">
        <v>284</v>
      </c>
      <c r="R1235" s="169" t="s">
        <v>283</v>
      </c>
      <c r="S1235" s="169" t="s">
        <v>283</v>
      </c>
      <c r="T1235" s="169">
        <v>0</v>
      </c>
    </row>
    <row r="1236" spans="2:20" x14ac:dyDescent="0.2">
      <c r="B1236" s="167" t="str">
        <f>_xlfn.XLOOKUP(I1236,Mapping!D:D,Mapping!E:E)</f>
        <v>Hành Chánh Nhân Sự</v>
      </c>
      <c r="C1236" s="167" t="str">
        <f>_xlfn.XLOOKUP(F1236,Mapping!A:A,Mapping!F:F)</f>
        <v>Khen thưởng BD khác</v>
      </c>
      <c r="D1236" s="173">
        <v>45841</v>
      </c>
      <c r="E1236" s="169" t="s">
        <v>907</v>
      </c>
      <c r="F1236" s="169" t="s">
        <v>300</v>
      </c>
      <c r="G1236" s="169" t="s">
        <v>222</v>
      </c>
      <c r="H1236" s="169" t="s">
        <v>382</v>
      </c>
      <c r="I1236" s="169" t="s">
        <v>200</v>
      </c>
      <c r="J1236" s="169" t="s">
        <v>908</v>
      </c>
      <c r="K1236" s="169" t="s">
        <v>909</v>
      </c>
      <c r="L1236" s="169" t="s">
        <v>882</v>
      </c>
      <c r="M1236" s="169" t="s">
        <v>281</v>
      </c>
      <c r="N1236" s="178">
        <v>3000000</v>
      </c>
      <c r="O1236" s="169" t="s">
        <v>910</v>
      </c>
      <c r="P1236" s="169" t="s">
        <v>283</v>
      </c>
      <c r="Q1236" s="169" t="s">
        <v>911</v>
      </c>
      <c r="R1236" s="169" t="s">
        <v>283</v>
      </c>
      <c r="S1236" s="169" t="s">
        <v>283</v>
      </c>
      <c r="T1236" s="169">
        <v>0</v>
      </c>
    </row>
    <row r="1237" spans="2:20" x14ac:dyDescent="0.2">
      <c r="B1237" s="167" t="str">
        <f>_xlfn.XLOOKUP(I1237,Mapping!D:D,Mapping!E:E)</f>
        <v>Kinh doanh</v>
      </c>
      <c r="C1237" s="167" t="str">
        <f>_xlfn.XLOOKUP(F1237,Mapping!A:A,Mapping!F:F)</f>
        <v>Thưởng</v>
      </c>
      <c r="D1237" s="173">
        <v>45862</v>
      </c>
      <c r="E1237" s="169" t="s">
        <v>912</v>
      </c>
      <c r="F1237" s="169" t="s">
        <v>365</v>
      </c>
      <c r="G1237" s="169" t="s">
        <v>291</v>
      </c>
      <c r="H1237" s="169" t="s">
        <v>366</v>
      </c>
      <c r="I1237" s="169" t="s">
        <v>1</v>
      </c>
      <c r="J1237" s="169" t="s">
        <v>913</v>
      </c>
      <c r="K1237" s="169" t="s">
        <v>914</v>
      </c>
      <c r="L1237" s="169" t="s">
        <v>882</v>
      </c>
      <c r="M1237" s="169" t="s">
        <v>281</v>
      </c>
      <c r="N1237" s="178">
        <v>-12515</v>
      </c>
      <c r="O1237" s="169" t="s">
        <v>915</v>
      </c>
      <c r="P1237" s="169" t="s">
        <v>283</v>
      </c>
      <c r="Q1237" s="169" t="s">
        <v>370</v>
      </c>
      <c r="R1237" s="169" t="s">
        <v>283</v>
      </c>
      <c r="S1237" s="169" t="s">
        <v>283</v>
      </c>
      <c r="T1237" s="169">
        <v>0</v>
      </c>
    </row>
    <row r="1238" spans="2:20" x14ac:dyDescent="0.2">
      <c r="B1238" s="167" t="str">
        <f>_xlfn.XLOOKUP(I1238,Mapping!D:D,Mapping!E:E)</f>
        <v>Hành Chánh Nhân Sự</v>
      </c>
      <c r="C1238" s="167" t="str">
        <f>_xlfn.XLOOKUP(F1238,Mapping!A:A,Mapping!F:F)</f>
        <v>Khen thưởng BD khác</v>
      </c>
      <c r="D1238" s="173">
        <v>45868</v>
      </c>
      <c r="E1238" s="169" t="s">
        <v>916</v>
      </c>
      <c r="F1238" s="169" t="s">
        <v>300</v>
      </c>
      <c r="G1238" s="169" t="s">
        <v>222</v>
      </c>
      <c r="H1238" s="169" t="s">
        <v>358</v>
      </c>
      <c r="I1238" s="169" t="s">
        <v>359</v>
      </c>
      <c r="J1238" s="169" t="s">
        <v>917</v>
      </c>
      <c r="K1238" s="169" t="s">
        <v>917</v>
      </c>
      <c r="L1238" s="169" t="s">
        <v>882</v>
      </c>
      <c r="M1238" s="169" t="s">
        <v>281</v>
      </c>
      <c r="N1238" s="178">
        <v>1500000</v>
      </c>
      <c r="O1238" s="169" t="s">
        <v>918</v>
      </c>
      <c r="P1238" s="169" t="s">
        <v>283</v>
      </c>
      <c r="Q1238" s="169" t="s">
        <v>764</v>
      </c>
      <c r="R1238" s="169" t="s">
        <v>283</v>
      </c>
      <c r="S1238" s="169" t="s">
        <v>283</v>
      </c>
      <c r="T1238" s="169">
        <v>0</v>
      </c>
    </row>
    <row r="1239" spans="2:20" x14ac:dyDescent="0.2">
      <c r="B1239" s="167" t="str">
        <f>_xlfn.XLOOKUP(I1239,Mapping!D:D,Mapping!E:E)</f>
        <v>Kinh doanh</v>
      </c>
      <c r="C1239" s="167" t="str">
        <f>_xlfn.XLOOKUP(F1239,Mapping!A:A,Mapping!F:F)</f>
        <v>Lương Chính +T13</v>
      </c>
      <c r="D1239" s="173">
        <v>45869</v>
      </c>
      <c r="E1239" s="169" t="s">
        <v>879</v>
      </c>
      <c r="F1239" s="169" t="s">
        <v>383</v>
      </c>
      <c r="G1239" s="169" t="s">
        <v>275</v>
      </c>
      <c r="H1239" s="169" t="s">
        <v>366</v>
      </c>
      <c r="I1239" s="169" t="s">
        <v>1</v>
      </c>
      <c r="J1239" s="169" t="s">
        <v>880</v>
      </c>
      <c r="K1239" s="169" t="s">
        <v>881</v>
      </c>
      <c r="L1239" s="169" t="s">
        <v>882</v>
      </c>
      <c r="M1239" s="169" t="s">
        <v>281</v>
      </c>
      <c r="N1239" s="178">
        <v>225637641</v>
      </c>
      <c r="O1239" s="169" t="s">
        <v>883</v>
      </c>
      <c r="P1239" s="169" t="s">
        <v>283</v>
      </c>
      <c r="Q1239" s="169" t="s">
        <v>284</v>
      </c>
      <c r="R1239" s="169" t="s">
        <v>283</v>
      </c>
      <c r="S1239" s="169" t="s">
        <v>283</v>
      </c>
      <c r="T1239" s="169">
        <v>0</v>
      </c>
    </row>
    <row r="1240" spans="2:20" x14ac:dyDescent="0.2">
      <c r="B1240" s="167" t="str">
        <f>_xlfn.XLOOKUP(I1240,Mapping!D:D,Mapping!E:E)</f>
        <v>Kinh doanh</v>
      </c>
      <c r="C1240" s="167" t="str">
        <f>_xlfn.XLOOKUP(F1240,Mapping!A:A,Mapping!F:F)</f>
        <v>Lương Chính +T13</v>
      </c>
      <c r="D1240" s="173">
        <v>45869</v>
      </c>
      <c r="E1240" s="169" t="s">
        <v>879</v>
      </c>
      <c r="F1240" s="169" t="s">
        <v>384</v>
      </c>
      <c r="G1240" s="169" t="s">
        <v>286</v>
      </c>
      <c r="H1240" s="169" t="s">
        <v>366</v>
      </c>
      <c r="I1240" s="169" t="s">
        <v>1</v>
      </c>
      <c r="J1240" s="169" t="s">
        <v>880</v>
      </c>
      <c r="K1240" s="169" t="s">
        <v>881</v>
      </c>
      <c r="L1240" s="169" t="s">
        <v>882</v>
      </c>
      <c r="M1240" s="169" t="s">
        <v>281</v>
      </c>
      <c r="N1240" s="178">
        <v>15810538</v>
      </c>
      <c r="O1240" s="169" t="s">
        <v>883</v>
      </c>
      <c r="P1240" s="169" t="s">
        <v>283</v>
      </c>
      <c r="Q1240" s="169" t="s">
        <v>284</v>
      </c>
      <c r="R1240" s="169" t="s">
        <v>283</v>
      </c>
      <c r="S1240" s="169" t="s">
        <v>283</v>
      </c>
      <c r="T1240" s="169">
        <v>0</v>
      </c>
    </row>
    <row r="1241" spans="2:20" x14ac:dyDescent="0.2">
      <c r="B1241" s="167" t="str">
        <f>_xlfn.XLOOKUP(I1241,Mapping!D:D,Mapping!E:E)</f>
        <v>Kinh doanh</v>
      </c>
      <c r="C1241" s="167" t="str">
        <f>_xlfn.XLOOKUP(F1241,Mapping!A:A,Mapping!F:F)</f>
        <v>Thưởng</v>
      </c>
      <c r="D1241" s="173">
        <v>45869</v>
      </c>
      <c r="E1241" s="169" t="s">
        <v>879</v>
      </c>
      <c r="F1241" s="169" t="s">
        <v>365</v>
      </c>
      <c r="G1241" s="169" t="s">
        <v>291</v>
      </c>
      <c r="H1241" s="169" t="s">
        <v>366</v>
      </c>
      <c r="I1241" s="169" t="s">
        <v>1</v>
      </c>
      <c r="J1241" s="169" t="s">
        <v>880</v>
      </c>
      <c r="K1241" s="169" t="s">
        <v>881</v>
      </c>
      <c r="L1241" s="169" t="s">
        <v>882</v>
      </c>
      <c r="M1241" s="169" t="s">
        <v>281</v>
      </c>
      <c r="N1241" s="178">
        <v>120179297</v>
      </c>
      <c r="O1241" s="169" t="s">
        <v>883</v>
      </c>
      <c r="P1241" s="169" t="s">
        <v>283</v>
      </c>
      <c r="Q1241" s="169" t="s">
        <v>284</v>
      </c>
      <c r="R1241" s="169" t="s">
        <v>283</v>
      </c>
      <c r="S1241" s="169" t="s">
        <v>283</v>
      </c>
      <c r="T1241" s="169">
        <v>0</v>
      </c>
    </row>
    <row r="1242" spans="2:20" x14ac:dyDescent="0.2">
      <c r="B1242" s="167" t="str">
        <f>_xlfn.XLOOKUP(I1242,Mapping!D:D,Mapping!E:E)</f>
        <v>Hành Chánh Nhân Sự</v>
      </c>
      <c r="C1242" s="167" t="str">
        <f>_xlfn.XLOOKUP(F1242,Mapping!A:A,Mapping!F:F)</f>
        <v>Lương Chính +T13</v>
      </c>
      <c r="D1242" s="173">
        <v>45869</v>
      </c>
      <c r="E1242" s="169" t="s">
        <v>879</v>
      </c>
      <c r="F1242" s="169" t="s">
        <v>274</v>
      </c>
      <c r="G1242" s="169" t="s">
        <v>275</v>
      </c>
      <c r="H1242" s="169" t="s">
        <v>382</v>
      </c>
      <c r="I1242" s="169" t="s">
        <v>200</v>
      </c>
      <c r="J1242" s="169" t="s">
        <v>880</v>
      </c>
      <c r="K1242" s="169" t="s">
        <v>881</v>
      </c>
      <c r="L1242" s="169" t="s">
        <v>882</v>
      </c>
      <c r="M1242" s="169" t="s">
        <v>281</v>
      </c>
      <c r="N1242" s="178">
        <v>65132696</v>
      </c>
      <c r="O1242" s="169" t="s">
        <v>883</v>
      </c>
      <c r="P1242" s="169" t="s">
        <v>283</v>
      </c>
      <c r="Q1242" s="169" t="s">
        <v>284</v>
      </c>
      <c r="R1242" s="169" t="s">
        <v>283</v>
      </c>
      <c r="S1242" s="169" t="s">
        <v>283</v>
      </c>
      <c r="T1242" s="169">
        <v>0</v>
      </c>
    </row>
    <row r="1243" spans="2:20" x14ac:dyDescent="0.2">
      <c r="B1243" s="167" t="str">
        <f>_xlfn.XLOOKUP(I1243,Mapping!D:D,Mapping!E:E)</f>
        <v>Hành Chánh Nhân Sự</v>
      </c>
      <c r="C1243" s="167" t="str">
        <f>_xlfn.XLOOKUP(F1243,Mapping!A:A,Mapping!F:F)</f>
        <v>Lương Chính +T13</v>
      </c>
      <c r="D1243" s="173">
        <v>45869</v>
      </c>
      <c r="E1243" s="169" t="s">
        <v>879</v>
      </c>
      <c r="F1243" s="169" t="s">
        <v>285</v>
      </c>
      <c r="G1243" s="169" t="s">
        <v>286</v>
      </c>
      <c r="H1243" s="169" t="s">
        <v>382</v>
      </c>
      <c r="I1243" s="169" t="s">
        <v>200</v>
      </c>
      <c r="J1243" s="169" t="s">
        <v>880</v>
      </c>
      <c r="K1243" s="169" t="s">
        <v>881</v>
      </c>
      <c r="L1243" s="169" t="s">
        <v>882</v>
      </c>
      <c r="M1243" s="169" t="s">
        <v>281</v>
      </c>
      <c r="N1243" s="178">
        <v>1794135</v>
      </c>
      <c r="O1243" s="169" t="s">
        <v>883</v>
      </c>
      <c r="P1243" s="169" t="s">
        <v>283</v>
      </c>
      <c r="Q1243" s="169" t="s">
        <v>284</v>
      </c>
      <c r="R1243" s="169" t="s">
        <v>283</v>
      </c>
      <c r="S1243" s="169" t="s">
        <v>283</v>
      </c>
      <c r="T1243" s="169">
        <v>0</v>
      </c>
    </row>
    <row r="1244" spans="2:20" x14ac:dyDescent="0.2">
      <c r="B1244" s="167" t="str">
        <f>_xlfn.XLOOKUP(I1244,Mapping!D:D,Mapping!E:E)</f>
        <v>Hành Chánh Nhân Sự</v>
      </c>
      <c r="C1244" s="167" t="str">
        <f>_xlfn.XLOOKUP(F1244,Mapping!A:A,Mapping!F:F)</f>
        <v>Lương Chính +T13</v>
      </c>
      <c r="D1244" s="173">
        <v>45869</v>
      </c>
      <c r="E1244" s="169" t="s">
        <v>879</v>
      </c>
      <c r="F1244" s="169" t="s">
        <v>274</v>
      </c>
      <c r="G1244" s="169" t="s">
        <v>275</v>
      </c>
      <c r="H1244" s="169" t="s">
        <v>358</v>
      </c>
      <c r="I1244" s="169" t="s">
        <v>359</v>
      </c>
      <c r="J1244" s="169" t="s">
        <v>880</v>
      </c>
      <c r="K1244" s="169" t="s">
        <v>881</v>
      </c>
      <c r="L1244" s="169" t="s">
        <v>882</v>
      </c>
      <c r="M1244" s="169" t="s">
        <v>281</v>
      </c>
      <c r="N1244" s="178">
        <v>98213549</v>
      </c>
      <c r="O1244" s="169" t="s">
        <v>883</v>
      </c>
      <c r="P1244" s="169" t="s">
        <v>283</v>
      </c>
      <c r="Q1244" s="169" t="s">
        <v>284</v>
      </c>
      <c r="R1244" s="169" t="s">
        <v>283</v>
      </c>
      <c r="S1244" s="169" t="s">
        <v>283</v>
      </c>
      <c r="T1244" s="169">
        <v>0</v>
      </c>
    </row>
    <row r="1245" spans="2:20" x14ac:dyDescent="0.2">
      <c r="B1245" s="167" t="str">
        <f>_xlfn.XLOOKUP(I1245,Mapping!D:D,Mapping!E:E)</f>
        <v>Hành Chánh Nhân Sự</v>
      </c>
      <c r="C1245" s="167" t="str">
        <f>_xlfn.XLOOKUP(F1245,Mapping!A:A,Mapping!F:F)</f>
        <v>Lương Chính +T13</v>
      </c>
      <c r="D1245" s="173">
        <v>45869</v>
      </c>
      <c r="E1245" s="169" t="s">
        <v>879</v>
      </c>
      <c r="F1245" s="169" t="s">
        <v>285</v>
      </c>
      <c r="G1245" s="169" t="s">
        <v>286</v>
      </c>
      <c r="H1245" s="169" t="s">
        <v>358</v>
      </c>
      <c r="I1245" s="169" t="s">
        <v>359</v>
      </c>
      <c r="J1245" s="169" t="s">
        <v>880</v>
      </c>
      <c r="K1245" s="169" t="s">
        <v>881</v>
      </c>
      <c r="L1245" s="169" t="s">
        <v>882</v>
      </c>
      <c r="M1245" s="169" t="s">
        <v>281</v>
      </c>
      <c r="N1245" s="178">
        <v>5604769</v>
      </c>
      <c r="O1245" s="169" t="s">
        <v>883</v>
      </c>
      <c r="P1245" s="169" t="s">
        <v>283</v>
      </c>
      <c r="Q1245" s="169" t="s">
        <v>284</v>
      </c>
      <c r="R1245" s="169" t="s">
        <v>283</v>
      </c>
      <c r="S1245" s="169" t="s">
        <v>283</v>
      </c>
      <c r="T1245" s="169">
        <v>0</v>
      </c>
    </row>
    <row r="1246" spans="2:20" x14ac:dyDescent="0.2">
      <c r="B1246" s="167" t="str">
        <f>_xlfn.XLOOKUP(I1246,Mapping!D:D,Mapping!E:E)</f>
        <v>Hành Chánh Nhân Sự</v>
      </c>
      <c r="C1246" s="167" t="str">
        <f>_xlfn.XLOOKUP(F1246,Mapping!A:A,Mapping!F:F)</f>
        <v>Phụ Cấp</v>
      </c>
      <c r="D1246" s="173">
        <v>45869</v>
      </c>
      <c r="E1246" s="169" t="s">
        <v>879</v>
      </c>
      <c r="F1246" s="169" t="s">
        <v>335</v>
      </c>
      <c r="G1246" s="169" t="s">
        <v>336</v>
      </c>
      <c r="H1246" s="169" t="s">
        <v>358</v>
      </c>
      <c r="I1246" s="169" t="s">
        <v>359</v>
      </c>
      <c r="J1246" s="169" t="s">
        <v>880</v>
      </c>
      <c r="K1246" s="169" t="s">
        <v>881</v>
      </c>
      <c r="L1246" s="169" t="s">
        <v>882</v>
      </c>
      <c r="M1246" s="169" t="s">
        <v>281</v>
      </c>
      <c r="N1246" s="178">
        <v>25000</v>
      </c>
      <c r="O1246" s="169" t="s">
        <v>883</v>
      </c>
      <c r="P1246" s="169" t="s">
        <v>283</v>
      </c>
      <c r="Q1246" s="169" t="s">
        <v>284</v>
      </c>
      <c r="R1246" s="169" t="s">
        <v>283</v>
      </c>
      <c r="S1246" s="169" t="s">
        <v>283</v>
      </c>
      <c r="T1246" s="169">
        <v>0</v>
      </c>
    </row>
    <row r="1247" spans="2:20" x14ac:dyDescent="0.2">
      <c r="B1247" s="167" t="str">
        <f>_xlfn.XLOOKUP(I1247,Mapping!D:D,Mapping!E:E)</f>
        <v>Hành Chánh Nhân Sự</v>
      </c>
      <c r="C1247" s="167" t="str">
        <f>_xlfn.XLOOKUP(F1247,Mapping!A:A,Mapping!F:F)</f>
        <v>Phụ Cấp</v>
      </c>
      <c r="D1247" s="173">
        <v>45864</v>
      </c>
      <c r="E1247" s="169" t="s">
        <v>894</v>
      </c>
      <c r="F1247" s="169" t="s">
        <v>335</v>
      </c>
      <c r="G1247" s="169" t="s">
        <v>336</v>
      </c>
      <c r="H1247" s="169" t="s">
        <v>382</v>
      </c>
      <c r="I1247" s="169" t="s">
        <v>200</v>
      </c>
      <c r="J1247" s="169" t="s">
        <v>895</v>
      </c>
      <c r="K1247" s="169" t="s">
        <v>741</v>
      </c>
      <c r="L1247" s="169" t="s">
        <v>882</v>
      </c>
      <c r="M1247" s="169" t="s">
        <v>281</v>
      </c>
      <c r="N1247" s="178">
        <v>1800000</v>
      </c>
      <c r="O1247" s="169" t="s">
        <v>896</v>
      </c>
      <c r="P1247" s="169" t="s">
        <v>283</v>
      </c>
      <c r="Q1247" s="169" t="s">
        <v>306</v>
      </c>
      <c r="R1247" s="169" t="s">
        <v>283</v>
      </c>
      <c r="S1247" s="169" t="s">
        <v>283</v>
      </c>
      <c r="T1247" s="169">
        <v>0</v>
      </c>
    </row>
    <row r="1248" spans="2:20" x14ac:dyDescent="0.2">
      <c r="B1248" s="167" t="str">
        <f>_xlfn.XLOOKUP(I1248,Mapping!D:D,Mapping!E:E)</f>
        <v>Hành Chánh Nhân Sự</v>
      </c>
      <c r="C1248" s="167" t="str">
        <f>_xlfn.XLOOKUP(F1248,Mapping!A:A,Mapping!F:F)</f>
        <v>Phụ Cấp</v>
      </c>
      <c r="D1248" s="173">
        <v>45864</v>
      </c>
      <c r="E1248" s="169" t="s">
        <v>894</v>
      </c>
      <c r="F1248" s="169" t="s">
        <v>335</v>
      </c>
      <c r="G1248" s="169" t="s">
        <v>336</v>
      </c>
      <c r="H1248" s="169" t="s">
        <v>358</v>
      </c>
      <c r="I1248" s="169" t="s">
        <v>359</v>
      </c>
      <c r="J1248" s="169" t="s">
        <v>895</v>
      </c>
      <c r="K1248" s="169" t="s">
        <v>741</v>
      </c>
      <c r="L1248" s="169" t="s">
        <v>882</v>
      </c>
      <c r="M1248" s="169" t="s">
        <v>281</v>
      </c>
      <c r="N1248" s="178">
        <v>3050000</v>
      </c>
      <c r="O1248" s="169" t="s">
        <v>896</v>
      </c>
      <c r="P1248" s="169" t="s">
        <v>283</v>
      </c>
      <c r="Q1248" s="169" t="s">
        <v>306</v>
      </c>
      <c r="R1248" s="169" t="s">
        <v>283</v>
      </c>
      <c r="S1248" s="169" t="s">
        <v>283</v>
      </c>
      <c r="T1248" s="169">
        <v>0</v>
      </c>
    </row>
    <row r="1249" spans="1:20" x14ac:dyDescent="0.2">
      <c r="B1249" s="167" t="str">
        <f>_xlfn.XLOOKUP(I1249,Mapping!D:D,Mapping!E:E)</f>
        <v>Kinh doanh</v>
      </c>
      <c r="C1249" s="167" t="str">
        <f>_xlfn.XLOOKUP(F1249,Mapping!A:A,Mapping!F:F)</f>
        <v>Lương Chính +T13</v>
      </c>
      <c r="D1249" s="173">
        <v>45869</v>
      </c>
      <c r="E1249" s="169" t="s">
        <v>884</v>
      </c>
      <c r="F1249" s="169" t="s">
        <v>384</v>
      </c>
      <c r="G1249" s="169" t="s">
        <v>286</v>
      </c>
      <c r="H1249" s="169" t="s">
        <v>366</v>
      </c>
      <c r="I1249" s="169" t="s">
        <v>1</v>
      </c>
      <c r="J1249" s="169" t="s">
        <v>885</v>
      </c>
      <c r="K1249" s="169" t="s">
        <v>881</v>
      </c>
      <c r="L1249" s="169" t="s">
        <v>882</v>
      </c>
      <c r="M1249" s="169" t="s">
        <v>281</v>
      </c>
      <c r="N1249" s="178">
        <v>25046833</v>
      </c>
      <c r="O1249" s="169" t="s">
        <v>886</v>
      </c>
      <c r="P1249" s="169" t="s">
        <v>283</v>
      </c>
      <c r="Q1249" s="169" t="s">
        <v>284</v>
      </c>
      <c r="R1249" s="169" t="s">
        <v>283</v>
      </c>
      <c r="S1249" s="169" t="s">
        <v>283</v>
      </c>
      <c r="T1249" s="169">
        <v>0</v>
      </c>
    </row>
    <row r="1250" spans="1:20" x14ac:dyDescent="0.2">
      <c r="B1250" s="167" t="str">
        <f>_xlfn.XLOOKUP(I1250,Mapping!D:D,Mapping!E:E)</f>
        <v>Kinh doanh</v>
      </c>
      <c r="C1250" s="167" t="str">
        <f>_xlfn.XLOOKUP(F1250,Mapping!A:A,Mapping!F:F)</f>
        <v>Thưởng</v>
      </c>
      <c r="D1250" s="173">
        <v>45869</v>
      </c>
      <c r="E1250" s="169" t="s">
        <v>884</v>
      </c>
      <c r="F1250" s="169" t="s">
        <v>394</v>
      </c>
      <c r="G1250" s="169" t="s">
        <v>77</v>
      </c>
      <c r="H1250" s="169" t="s">
        <v>366</v>
      </c>
      <c r="I1250" s="169" t="s">
        <v>1</v>
      </c>
      <c r="J1250" s="169" t="s">
        <v>887</v>
      </c>
      <c r="K1250" s="169" t="s">
        <v>881</v>
      </c>
      <c r="L1250" s="169" t="s">
        <v>882</v>
      </c>
      <c r="M1250" s="169" t="s">
        <v>281</v>
      </c>
      <c r="N1250" s="178">
        <v>23042886</v>
      </c>
      <c r="O1250" s="169" t="s">
        <v>886</v>
      </c>
      <c r="P1250" s="169" t="s">
        <v>283</v>
      </c>
      <c r="Q1250" s="169" t="s">
        <v>284</v>
      </c>
      <c r="R1250" s="169" t="s">
        <v>283</v>
      </c>
      <c r="S1250" s="169" t="s">
        <v>283</v>
      </c>
      <c r="T1250" s="169">
        <v>0</v>
      </c>
    </row>
    <row r="1251" spans="1:20" x14ac:dyDescent="0.2">
      <c r="B1251" s="167" t="str">
        <f>_xlfn.XLOOKUP(I1251,Mapping!D:D,Mapping!E:E)</f>
        <v>Hành Chánh Nhân Sự</v>
      </c>
      <c r="C1251" s="167" t="str">
        <f>_xlfn.XLOOKUP(F1251,Mapping!A:A,Mapping!F:F)</f>
        <v>Lương Chính +T13</v>
      </c>
      <c r="D1251" s="173">
        <v>45869</v>
      </c>
      <c r="E1251" s="169" t="s">
        <v>884</v>
      </c>
      <c r="F1251" s="169" t="s">
        <v>285</v>
      </c>
      <c r="G1251" s="169" t="s">
        <v>286</v>
      </c>
      <c r="H1251" s="169" t="s">
        <v>382</v>
      </c>
      <c r="I1251" s="169" t="s">
        <v>200</v>
      </c>
      <c r="J1251" s="169" t="s">
        <v>885</v>
      </c>
      <c r="K1251" s="169" t="s">
        <v>881</v>
      </c>
      <c r="L1251" s="169" t="s">
        <v>882</v>
      </c>
      <c r="M1251" s="169" t="s">
        <v>281</v>
      </c>
      <c r="N1251" s="178">
        <v>6194250</v>
      </c>
      <c r="O1251" s="169" t="s">
        <v>886</v>
      </c>
      <c r="P1251" s="169" t="s">
        <v>283</v>
      </c>
      <c r="Q1251" s="169" t="s">
        <v>284</v>
      </c>
      <c r="R1251" s="169" t="s">
        <v>283</v>
      </c>
      <c r="S1251" s="169" t="s">
        <v>283</v>
      </c>
      <c r="T1251" s="169">
        <v>0</v>
      </c>
    </row>
    <row r="1252" spans="1:20" x14ac:dyDescent="0.2">
      <c r="B1252" s="167" t="str">
        <f>_xlfn.XLOOKUP(I1252,Mapping!D:D,Mapping!E:E)</f>
        <v>Hành Chánh Nhân Sự</v>
      </c>
      <c r="C1252" s="167" t="str">
        <f>_xlfn.XLOOKUP(F1252,Mapping!A:A,Mapping!F:F)</f>
        <v>Thưởng</v>
      </c>
      <c r="D1252" s="173">
        <v>45869</v>
      </c>
      <c r="E1252" s="169" t="s">
        <v>884</v>
      </c>
      <c r="F1252" s="169" t="s">
        <v>292</v>
      </c>
      <c r="G1252" s="169" t="s">
        <v>77</v>
      </c>
      <c r="H1252" s="169" t="s">
        <v>382</v>
      </c>
      <c r="I1252" s="169" t="s">
        <v>200</v>
      </c>
      <c r="J1252" s="169" t="s">
        <v>887</v>
      </c>
      <c r="K1252" s="169" t="s">
        <v>881</v>
      </c>
      <c r="L1252" s="169" t="s">
        <v>882</v>
      </c>
      <c r="M1252" s="169" t="s">
        <v>281</v>
      </c>
      <c r="N1252" s="178">
        <v>5698660</v>
      </c>
      <c r="O1252" s="169" t="s">
        <v>886</v>
      </c>
      <c r="P1252" s="169" t="s">
        <v>283</v>
      </c>
      <c r="Q1252" s="169" t="s">
        <v>284</v>
      </c>
      <c r="R1252" s="169" t="s">
        <v>283</v>
      </c>
      <c r="S1252" s="169" t="s">
        <v>283</v>
      </c>
      <c r="T1252" s="169">
        <v>0</v>
      </c>
    </row>
    <row r="1253" spans="1:20" x14ac:dyDescent="0.2">
      <c r="B1253" s="167" t="str">
        <f>_xlfn.XLOOKUP(I1253,Mapping!D:D,Mapping!E:E)</f>
        <v>Hành Chánh Nhân Sự</v>
      </c>
      <c r="C1253" s="167" t="str">
        <f>_xlfn.XLOOKUP(F1253,Mapping!A:A,Mapping!F:F)</f>
        <v>Lương Chính +T13</v>
      </c>
      <c r="D1253" s="173">
        <v>45869</v>
      </c>
      <c r="E1253" s="169" t="s">
        <v>884</v>
      </c>
      <c r="F1253" s="169" t="s">
        <v>285</v>
      </c>
      <c r="G1253" s="169" t="s">
        <v>286</v>
      </c>
      <c r="H1253" s="169" t="s">
        <v>358</v>
      </c>
      <c r="I1253" s="169" t="s">
        <v>359</v>
      </c>
      <c r="J1253" s="169" t="s">
        <v>885</v>
      </c>
      <c r="K1253" s="169" t="s">
        <v>881</v>
      </c>
      <c r="L1253" s="169" t="s">
        <v>882</v>
      </c>
      <c r="M1253" s="169" t="s">
        <v>281</v>
      </c>
      <c r="N1253" s="178">
        <v>8468167</v>
      </c>
      <c r="O1253" s="169" t="s">
        <v>886</v>
      </c>
      <c r="P1253" s="169" t="s">
        <v>283</v>
      </c>
      <c r="Q1253" s="169" t="s">
        <v>284</v>
      </c>
      <c r="R1253" s="169" t="s">
        <v>283</v>
      </c>
      <c r="S1253" s="169" t="s">
        <v>283</v>
      </c>
      <c r="T1253" s="169">
        <v>0</v>
      </c>
    </row>
    <row r="1254" spans="1:20" x14ac:dyDescent="0.2">
      <c r="B1254" s="167" t="str">
        <f>_xlfn.XLOOKUP(I1254,Mapping!D:D,Mapping!E:E)</f>
        <v>Hành Chánh Nhân Sự</v>
      </c>
      <c r="C1254" s="167" t="str">
        <f>_xlfn.XLOOKUP(F1254,Mapping!A:A,Mapping!F:F)</f>
        <v>Thưởng</v>
      </c>
      <c r="D1254" s="173">
        <v>45869</v>
      </c>
      <c r="E1254" s="169" t="s">
        <v>884</v>
      </c>
      <c r="F1254" s="169" t="s">
        <v>292</v>
      </c>
      <c r="G1254" s="169" t="s">
        <v>77</v>
      </c>
      <c r="H1254" s="169" t="s">
        <v>358</v>
      </c>
      <c r="I1254" s="169" t="s">
        <v>359</v>
      </c>
      <c r="J1254" s="169" t="s">
        <v>887</v>
      </c>
      <c r="K1254" s="169" t="s">
        <v>881</v>
      </c>
      <c r="L1254" s="169" t="s">
        <v>882</v>
      </c>
      <c r="M1254" s="169" t="s">
        <v>281</v>
      </c>
      <c r="N1254" s="178">
        <v>7790646</v>
      </c>
      <c r="O1254" s="169" t="s">
        <v>886</v>
      </c>
      <c r="P1254" s="169" t="s">
        <v>283</v>
      </c>
      <c r="Q1254" s="169" t="s">
        <v>284</v>
      </c>
      <c r="R1254" s="169" t="s">
        <v>283</v>
      </c>
      <c r="S1254" s="169" t="s">
        <v>283</v>
      </c>
      <c r="T1254" s="169">
        <v>0</v>
      </c>
    </row>
    <row r="1255" spans="1:20" x14ac:dyDescent="0.2">
      <c r="B1255" s="167" t="str">
        <f>_xlfn.XLOOKUP(I1255,Mapping!D:D,Mapping!E:E)</f>
        <v>Kế Toán</v>
      </c>
      <c r="C1255" s="167" t="str">
        <f>_xlfn.XLOOKUP(F1255,Mapping!A:A,Mapping!F:F)</f>
        <v>BHXH, BHYT, KPCĐ</v>
      </c>
      <c r="D1255" s="173">
        <v>45869</v>
      </c>
      <c r="E1255" s="169" t="s">
        <v>888</v>
      </c>
      <c r="F1255" s="169" t="s">
        <v>295</v>
      </c>
      <c r="G1255" s="169" t="s">
        <v>296</v>
      </c>
      <c r="H1255" s="169" t="s">
        <v>356</v>
      </c>
      <c r="I1255" s="169" t="s">
        <v>357</v>
      </c>
      <c r="J1255" s="169" t="s">
        <v>889</v>
      </c>
      <c r="K1255" s="169" t="s">
        <v>881</v>
      </c>
      <c r="L1255" s="169" t="s">
        <v>882</v>
      </c>
      <c r="M1255" s="169" t="s">
        <v>281</v>
      </c>
      <c r="N1255" s="178">
        <v>100027535</v>
      </c>
      <c r="O1255" s="169" t="s">
        <v>890</v>
      </c>
      <c r="P1255" s="169" t="s">
        <v>283</v>
      </c>
      <c r="Q1255" s="169" t="s">
        <v>284</v>
      </c>
      <c r="R1255" s="169" t="s">
        <v>283</v>
      </c>
      <c r="S1255" s="169" t="s">
        <v>283</v>
      </c>
      <c r="T1255" s="169">
        <v>0</v>
      </c>
    </row>
    <row r="1256" spans="1:20" x14ac:dyDescent="0.2">
      <c r="B1256" s="167" t="str">
        <f>_xlfn.XLOOKUP(I1256,Mapping!D:D,Mapping!E:E)</f>
        <v>Kinh doanh</v>
      </c>
      <c r="C1256" s="167" t="str">
        <f>_xlfn.XLOOKUP(F1256,Mapping!A:A,Mapping!F:F)</f>
        <v>BHXH, BHYT, KPCĐ</v>
      </c>
      <c r="D1256" s="173">
        <v>45869</v>
      </c>
      <c r="E1256" s="169" t="s">
        <v>888</v>
      </c>
      <c r="F1256" s="169" t="s">
        <v>392</v>
      </c>
      <c r="G1256" s="169" t="s">
        <v>296</v>
      </c>
      <c r="H1256" s="169" t="s">
        <v>366</v>
      </c>
      <c r="I1256" s="169" t="s">
        <v>1</v>
      </c>
      <c r="J1256" s="169" t="s">
        <v>889</v>
      </c>
      <c r="K1256" s="169" t="s">
        <v>881</v>
      </c>
      <c r="L1256" s="169" t="s">
        <v>882</v>
      </c>
      <c r="M1256" s="169" t="s">
        <v>281</v>
      </c>
      <c r="N1256" s="178">
        <v>56494945</v>
      </c>
      <c r="O1256" s="169" t="s">
        <v>890</v>
      </c>
      <c r="P1256" s="169" t="s">
        <v>283</v>
      </c>
      <c r="Q1256" s="169" t="s">
        <v>284</v>
      </c>
      <c r="R1256" s="169" t="s">
        <v>283</v>
      </c>
      <c r="S1256" s="169" t="s">
        <v>283</v>
      </c>
      <c r="T1256" s="169">
        <v>0</v>
      </c>
    </row>
    <row r="1257" spans="1:20" x14ac:dyDescent="0.2">
      <c r="B1257" s="167" t="str">
        <f>_xlfn.XLOOKUP(I1257,Mapping!D:D,Mapping!E:E)</f>
        <v>Hành Chánh Nhân Sự</v>
      </c>
      <c r="C1257" s="167" t="str">
        <f>_xlfn.XLOOKUP(F1257,Mapping!A:A,Mapping!F:F)</f>
        <v>BHXH, BHYT, KPCĐ</v>
      </c>
      <c r="D1257" s="173">
        <v>45869</v>
      </c>
      <c r="E1257" s="169" t="s">
        <v>888</v>
      </c>
      <c r="F1257" s="169" t="s">
        <v>295</v>
      </c>
      <c r="G1257" s="169" t="s">
        <v>296</v>
      </c>
      <c r="H1257" s="169" t="s">
        <v>382</v>
      </c>
      <c r="I1257" s="169" t="s">
        <v>200</v>
      </c>
      <c r="J1257" s="169" t="s">
        <v>889</v>
      </c>
      <c r="K1257" s="169" t="s">
        <v>881</v>
      </c>
      <c r="L1257" s="169" t="s">
        <v>882</v>
      </c>
      <c r="M1257" s="169" t="s">
        <v>281</v>
      </c>
      <c r="N1257" s="178">
        <v>17467785</v>
      </c>
      <c r="O1257" s="169" t="s">
        <v>890</v>
      </c>
      <c r="P1257" s="169" t="s">
        <v>283</v>
      </c>
      <c r="Q1257" s="169" t="s">
        <v>284</v>
      </c>
      <c r="R1257" s="169" t="s">
        <v>283</v>
      </c>
      <c r="S1257" s="169" t="s">
        <v>283</v>
      </c>
      <c r="T1257" s="169">
        <v>0</v>
      </c>
    </row>
    <row r="1258" spans="1:20" x14ac:dyDescent="0.2">
      <c r="B1258" s="167" t="str">
        <f>_xlfn.XLOOKUP(I1258,Mapping!D:D,Mapping!E:E)</f>
        <v>Hành Chánh Nhân Sự</v>
      </c>
      <c r="C1258" s="167" t="str">
        <f>_xlfn.XLOOKUP(F1258,Mapping!A:A,Mapping!F:F)</f>
        <v>BHXH, BHYT, KPCĐ</v>
      </c>
      <c r="D1258" s="173">
        <v>45869</v>
      </c>
      <c r="E1258" s="169" t="s">
        <v>888</v>
      </c>
      <c r="F1258" s="169" t="s">
        <v>295</v>
      </c>
      <c r="G1258" s="169" t="s">
        <v>296</v>
      </c>
      <c r="H1258" s="169" t="s">
        <v>358</v>
      </c>
      <c r="I1258" s="169" t="s">
        <v>359</v>
      </c>
      <c r="J1258" s="169" t="s">
        <v>889</v>
      </c>
      <c r="K1258" s="169" t="s">
        <v>881</v>
      </c>
      <c r="L1258" s="169" t="s">
        <v>882</v>
      </c>
      <c r="M1258" s="169" t="s">
        <v>281</v>
      </c>
      <c r="N1258" s="178">
        <v>23880230</v>
      </c>
      <c r="O1258" s="169" t="s">
        <v>890</v>
      </c>
      <c r="P1258" s="169" t="s">
        <v>283</v>
      </c>
      <c r="Q1258" s="169" t="s">
        <v>284</v>
      </c>
      <c r="R1258" s="169" t="s">
        <v>283</v>
      </c>
      <c r="S1258" s="169" t="s">
        <v>283</v>
      </c>
      <c r="T1258" s="169">
        <v>0</v>
      </c>
    </row>
    <row r="1259" spans="1:20" x14ac:dyDescent="0.2">
      <c r="B1259" s="167" t="str">
        <f>_xlfn.XLOOKUP(I1259,Mapping!D:D,Mapping!E:E)</f>
        <v>Hành Chánh Nhân Sự</v>
      </c>
      <c r="C1259" s="167" t="str">
        <f>_xlfn.XLOOKUP(F1259,Mapping!A:A,Mapping!F:F)</f>
        <v>Khen thưởng BD khác</v>
      </c>
      <c r="D1259" s="173">
        <v>45869</v>
      </c>
      <c r="E1259" s="169" t="s">
        <v>919</v>
      </c>
      <c r="F1259" s="169" t="s">
        <v>300</v>
      </c>
      <c r="G1259" s="169" t="s">
        <v>222</v>
      </c>
      <c r="H1259" s="169" t="s">
        <v>358</v>
      </c>
      <c r="I1259" s="169" t="s">
        <v>359</v>
      </c>
      <c r="J1259" s="169" t="s">
        <v>880</v>
      </c>
      <c r="K1259" s="169" t="s">
        <v>881</v>
      </c>
      <c r="L1259" s="169" t="s">
        <v>882</v>
      </c>
      <c r="M1259" s="169" t="s">
        <v>281</v>
      </c>
      <c r="N1259" s="178">
        <v>5200000</v>
      </c>
      <c r="O1259" s="169" t="s">
        <v>920</v>
      </c>
      <c r="P1259" s="169" t="s">
        <v>283</v>
      </c>
      <c r="Q1259" s="169" t="s">
        <v>284</v>
      </c>
      <c r="R1259" s="169" t="s">
        <v>283</v>
      </c>
      <c r="S1259" s="169" t="s">
        <v>283</v>
      </c>
      <c r="T1259" s="169">
        <v>0</v>
      </c>
    </row>
    <row r="1260" spans="1:20" x14ac:dyDescent="0.2">
      <c r="B1260" s="167" t="str">
        <f>_xlfn.XLOOKUP(I1260,Mapping!D:D,Mapping!E:E)</f>
        <v>Kinh doanh</v>
      </c>
      <c r="C1260" s="167" t="str">
        <f>_xlfn.XLOOKUP(F1260,Mapping!A:A,Mapping!F:F)</f>
        <v>Thưởng</v>
      </c>
      <c r="D1260" s="173">
        <v>45869</v>
      </c>
      <c r="E1260" s="169" t="s">
        <v>921</v>
      </c>
      <c r="F1260" s="169" t="s">
        <v>365</v>
      </c>
      <c r="G1260" s="169" t="s">
        <v>291</v>
      </c>
      <c r="H1260" s="169" t="s">
        <v>366</v>
      </c>
      <c r="I1260" s="169" t="s">
        <v>1</v>
      </c>
      <c r="J1260" s="169" t="s">
        <v>922</v>
      </c>
      <c r="K1260" s="169" t="s">
        <v>670</v>
      </c>
      <c r="L1260" s="169" t="s">
        <v>882</v>
      </c>
      <c r="M1260" s="169" t="s">
        <v>281</v>
      </c>
      <c r="N1260" s="178">
        <v>15957698</v>
      </c>
      <c r="O1260" s="169" t="s">
        <v>923</v>
      </c>
      <c r="P1260" s="169" t="s">
        <v>283</v>
      </c>
      <c r="Q1260" s="169" t="s">
        <v>370</v>
      </c>
      <c r="R1260" s="169" t="s">
        <v>283</v>
      </c>
      <c r="S1260" s="169" t="s">
        <v>283</v>
      </c>
      <c r="T1260" s="169">
        <v>0</v>
      </c>
    </row>
    <row r="1261" spans="1:20" x14ac:dyDescent="0.2">
      <c r="B1261" s="167" t="str">
        <f>_xlfn.XLOOKUP(I1261,Mapping!D:D,Mapping!E:E)</f>
        <v>Kinh doanh</v>
      </c>
      <c r="C1261" s="167" t="str">
        <f>_xlfn.XLOOKUP(F1261,Mapping!A:A,Mapping!F:F)</f>
        <v>Thưởng</v>
      </c>
      <c r="D1261" s="173">
        <v>45869</v>
      </c>
      <c r="E1261" s="169" t="s">
        <v>924</v>
      </c>
      <c r="F1261" s="169" t="s">
        <v>365</v>
      </c>
      <c r="G1261" s="169" t="s">
        <v>291</v>
      </c>
      <c r="H1261" s="169" t="s">
        <v>366</v>
      </c>
      <c r="I1261" s="169" t="s">
        <v>1</v>
      </c>
      <c r="J1261" s="169" t="s">
        <v>925</v>
      </c>
      <c r="K1261" s="169" t="s">
        <v>670</v>
      </c>
      <c r="L1261" s="169" t="s">
        <v>882</v>
      </c>
      <c r="M1261" s="169" t="s">
        <v>281</v>
      </c>
      <c r="N1261" s="178">
        <v>83908472</v>
      </c>
      <c r="O1261" s="169" t="s">
        <v>926</v>
      </c>
      <c r="P1261" s="169" t="s">
        <v>283</v>
      </c>
      <c r="Q1261" s="169" t="s">
        <v>370</v>
      </c>
      <c r="R1261" s="169" t="s">
        <v>283</v>
      </c>
      <c r="S1261" s="169" t="s">
        <v>283</v>
      </c>
      <c r="T1261" s="169">
        <v>0</v>
      </c>
    </row>
    <row r="1262" spans="1:20" x14ac:dyDescent="0.2">
      <c r="B1262" s="167" t="str">
        <f>_xlfn.XLOOKUP(I1262,Mapping!D:D,Mapping!E:E)</f>
        <v>Kinh doanh</v>
      </c>
      <c r="C1262" s="167" t="str">
        <f>_xlfn.XLOOKUP(F1262,Mapping!A:A,Mapping!F:F)</f>
        <v>Thưởng</v>
      </c>
      <c r="D1262" s="173">
        <v>45839</v>
      </c>
      <c r="E1262" s="169" t="s">
        <v>927</v>
      </c>
      <c r="F1262" s="169" t="s">
        <v>365</v>
      </c>
      <c r="G1262" s="169" t="s">
        <v>291</v>
      </c>
      <c r="H1262" s="169" t="s">
        <v>366</v>
      </c>
      <c r="I1262" s="169" t="s">
        <v>1</v>
      </c>
      <c r="J1262" s="169" t="s">
        <v>864</v>
      </c>
      <c r="K1262" s="169" t="s">
        <v>670</v>
      </c>
      <c r="L1262" s="169" t="s">
        <v>882</v>
      </c>
      <c r="M1262" s="169" t="s">
        <v>281</v>
      </c>
      <c r="N1262" s="178">
        <v>-123314837</v>
      </c>
      <c r="O1262" s="169" t="s">
        <v>928</v>
      </c>
      <c r="P1262" s="169" t="s">
        <v>447</v>
      </c>
      <c r="Q1262" s="169" t="s">
        <v>284</v>
      </c>
      <c r="R1262" s="169" t="s">
        <v>283</v>
      </c>
      <c r="S1262" s="169" t="s">
        <v>283</v>
      </c>
      <c r="T1262" s="169">
        <v>0</v>
      </c>
    </row>
    <row r="1263" spans="1:20" x14ac:dyDescent="0.2">
      <c r="B1263" s="167" t="str">
        <f>_xlfn.XLOOKUP(I1263,Mapping!D:D,Mapping!E:E)</f>
        <v>Kinh doanh</v>
      </c>
      <c r="C1263" s="167" t="str">
        <f>_xlfn.XLOOKUP(F1263,Mapping!A:A,Mapping!F:F)</f>
        <v>Phụ Cấp</v>
      </c>
      <c r="D1263" s="173">
        <v>45869</v>
      </c>
      <c r="E1263" s="169" t="s">
        <v>929</v>
      </c>
      <c r="F1263" s="169" t="s">
        <v>385</v>
      </c>
      <c r="G1263" s="169" t="s">
        <v>336</v>
      </c>
      <c r="H1263" s="169" t="s">
        <v>366</v>
      </c>
      <c r="I1263" s="169" t="s">
        <v>1</v>
      </c>
      <c r="J1263" s="169" t="s">
        <v>930</v>
      </c>
      <c r="K1263" s="169" t="s">
        <v>581</v>
      </c>
      <c r="L1263" s="169" t="s">
        <v>882</v>
      </c>
      <c r="M1263" s="169" t="s">
        <v>281</v>
      </c>
      <c r="N1263" s="178">
        <v>5320000</v>
      </c>
      <c r="O1263" s="169" t="s">
        <v>931</v>
      </c>
      <c r="P1263" s="169" t="s">
        <v>283</v>
      </c>
      <c r="Q1263" s="169" t="s">
        <v>306</v>
      </c>
      <c r="R1263" s="169" t="s">
        <v>283</v>
      </c>
      <c r="S1263" s="169" t="s">
        <v>283</v>
      </c>
      <c r="T1263" s="169">
        <v>0</v>
      </c>
    </row>
    <row r="1264" spans="1:20" x14ac:dyDescent="0.2">
      <c r="A1264" s="169">
        <v>622</v>
      </c>
      <c r="B1264" s="167" t="str">
        <f>_xlfn.XLOOKUP(I1264,Mapping!D:D,Mapping!E:E)</f>
        <v>Xưởng Sản Xuất</v>
      </c>
      <c r="C1264" s="167" t="str">
        <f>_xlfn.XLOOKUP(F1264,Mapping!A:A,Mapping!F:F)</f>
        <v>Lương Chính +T13</v>
      </c>
      <c r="D1264" s="173">
        <v>45840</v>
      </c>
      <c r="E1264" s="169" t="s">
        <v>932</v>
      </c>
      <c r="F1264" s="169" t="s">
        <v>400</v>
      </c>
      <c r="G1264" s="169" t="s">
        <v>401</v>
      </c>
      <c r="H1264" s="169" t="s">
        <v>402</v>
      </c>
      <c r="I1264" s="169" t="s">
        <v>403</v>
      </c>
      <c r="J1264" s="169" t="s">
        <v>933</v>
      </c>
      <c r="K1264" s="169" t="s">
        <v>405</v>
      </c>
      <c r="L1264" s="169" t="s">
        <v>882</v>
      </c>
      <c r="M1264" s="169" t="s">
        <v>281</v>
      </c>
      <c r="N1264" s="178">
        <v>333355000</v>
      </c>
      <c r="O1264" s="169" t="s">
        <v>934</v>
      </c>
      <c r="P1264" s="169" t="s">
        <v>283</v>
      </c>
      <c r="Q1264" s="169" t="s">
        <v>306</v>
      </c>
      <c r="R1264" s="169" t="s">
        <v>283</v>
      </c>
      <c r="S1264" s="169" t="s">
        <v>283</v>
      </c>
      <c r="T1264" s="169">
        <v>0</v>
      </c>
    </row>
    <row r="1265" spans="2:20" x14ac:dyDescent="0.2">
      <c r="B1265" s="167" t="str">
        <f>_xlfn.XLOOKUP(I1265,Mapping!D:D,Mapping!E:E)</f>
        <v>Cung Ứng</v>
      </c>
      <c r="C1265" s="167" t="str">
        <f>_xlfn.XLOOKUP(F1265,Mapping!A:A,Mapping!F:F)</f>
        <v>Khen thưởng BD khác</v>
      </c>
      <c r="D1265" s="173">
        <v>45852</v>
      </c>
      <c r="E1265" s="169" t="s">
        <v>935</v>
      </c>
      <c r="F1265" s="169" t="s">
        <v>300</v>
      </c>
      <c r="G1265" s="169" t="s">
        <v>222</v>
      </c>
      <c r="H1265" s="169" t="s">
        <v>380</v>
      </c>
      <c r="I1265" s="169" t="s">
        <v>381</v>
      </c>
      <c r="J1265" s="169" t="s">
        <v>936</v>
      </c>
      <c r="K1265" s="169" t="s">
        <v>936</v>
      </c>
      <c r="L1265" s="169" t="s">
        <v>882</v>
      </c>
      <c r="M1265" s="169" t="s">
        <v>281</v>
      </c>
      <c r="N1265" s="178">
        <v>4700000</v>
      </c>
      <c r="O1265" s="169" t="s">
        <v>937</v>
      </c>
      <c r="P1265" s="169" t="s">
        <v>283</v>
      </c>
      <c r="Q1265" s="169" t="s">
        <v>306</v>
      </c>
      <c r="R1265" s="169" t="s">
        <v>283</v>
      </c>
      <c r="S1265" s="169" t="s">
        <v>283</v>
      </c>
      <c r="T1265" s="169">
        <v>0</v>
      </c>
    </row>
    <row r="1266" spans="2:20" x14ac:dyDescent="0.2">
      <c r="B1266" s="167" t="str">
        <f>_xlfn.XLOOKUP(I1266,Mapping!D:D,Mapping!E:E)</f>
        <v>Kỹ Thuật</v>
      </c>
      <c r="C1266" s="167" t="str">
        <f>_xlfn.XLOOKUP(F1266,Mapping!A:A,Mapping!F:F)</f>
        <v>Khen thưởng BD khác</v>
      </c>
      <c r="D1266" s="173">
        <v>45852</v>
      </c>
      <c r="E1266" s="169" t="s">
        <v>935</v>
      </c>
      <c r="F1266" s="169" t="s">
        <v>435</v>
      </c>
      <c r="G1266" s="169" t="s">
        <v>222</v>
      </c>
      <c r="H1266" s="169" t="s">
        <v>376</v>
      </c>
      <c r="I1266" s="169" t="s">
        <v>377</v>
      </c>
      <c r="J1266" s="169" t="s">
        <v>936</v>
      </c>
      <c r="K1266" s="169" t="s">
        <v>936</v>
      </c>
      <c r="L1266" s="169" t="s">
        <v>882</v>
      </c>
      <c r="M1266" s="169" t="s">
        <v>281</v>
      </c>
      <c r="N1266" s="178">
        <v>4800000</v>
      </c>
      <c r="O1266" s="169" t="s">
        <v>937</v>
      </c>
      <c r="P1266" s="169" t="s">
        <v>283</v>
      </c>
      <c r="Q1266" s="169" t="s">
        <v>306</v>
      </c>
      <c r="R1266" s="169" t="s">
        <v>283</v>
      </c>
      <c r="S1266" s="169" t="s">
        <v>283</v>
      </c>
      <c r="T1266" s="169">
        <v>0</v>
      </c>
    </row>
    <row r="1267" spans="2:20" x14ac:dyDescent="0.2">
      <c r="B1267" s="167" t="str">
        <f>_xlfn.XLOOKUP(I1267,Mapping!D:D,Mapping!E:E)</f>
        <v>Kiểm Soát Chất Lượng</v>
      </c>
      <c r="C1267" s="167" t="str">
        <f>_xlfn.XLOOKUP(F1267,Mapping!A:A,Mapping!F:F)</f>
        <v>Khen thưởng BD khác</v>
      </c>
      <c r="D1267" s="173">
        <v>45852</v>
      </c>
      <c r="E1267" s="169" t="s">
        <v>935</v>
      </c>
      <c r="F1267" s="169" t="s">
        <v>435</v>
      </c>
      <c r="G1267" s="169" t="s">
        <v>222</v>
      </c>
      <c r="H1267" s="169" t="s">
        <v>411</v>
      </c>
      <c r="I1267" s="169" t="s">
        <v>412</v>
      </c>
      <c r="J1267" s="169" t="s">
        <v>936</v>
      </c>
      <c r="K1267" s="169" t="s">
        <v>936</v>
      </c>
      <c r="L1267" s="169" t="s">
        <v>882</v>
      </c>
      <c r="M1267" s="169" t="s">
        <v>281</v>
      </c>
      <c r="N1267" s="178">
        <v>9600000</v>
      </c>
      <c r="O1267" s="169" t="s">
        <v>937</v>
      </c>
      <c r="P1267" s="169" t="s">
        <v>283</v>
      </c>
      <c r="Q1267" s="169" t="s">
        <v>306</v>
      </c>
      <c r="R1267" s="169" t="s">
        <v>283</v>
      </c>
      <c r="S1267" s="169" t="s">
        <v>283</v>
      </c>
      <c r="T1267" s="169">
        <v>0</v>
      </c>
    </row>
    <row r="1268" spans="2:20" x14ac:dyDescent="0.2">
      <c r="B1268" s="167" t="str">
        <f>_xlfn.XLOOKUP(I1268,Mapping!D:D,Mapping!E:E)</f>
        <v>Nghiên Cứu &amp; Phát Triển</v>
      </c>
      <c r="C1268" s="167" t="str">
        <f>_xlfn.XLOOKUP(F1268,Mapping!A:A,Mapping!F:F)</f>
        <v>Khen thưởng BD khác</v>
      </c>
      <c r="D1268" s="173">
        <v>45852</v>
      </c>
      <c r="E1268" s="169" t="s">
        <v>935</v>
      </c>
      <c r="F1268" s="169" t="s">
        <v>435</v>
      </c>
      <c r="G1268" s="169" t="s">
        <v>222</v>
      </c>
      <c r="H1268" s="169" t="s">
        <v>418</v>
      </c>
      <c r="I1268" s="169" t="s">
        <v>419</v>
      </c>
      <c r="J1268" s="169" t="s">
        <v>936</v>
      </c>
      <c r="K1268" s="169" t="s">
        <v>936</v>
      </c>
      <c r="L1268" s="169" t="s">
        <v>882</v>
      </c>
      <c r="M1268" s="169" t="s">
        <v>281</v>
      </c>
      <c r="N1268" s="178">
        <v>3200000</v>
      </c>
      <c r="O1268" s="169" t="s">
        <v>937</v>
      </c>
      <c r="P1268" s="169" t="s">
        <v>283</v>
      </c>
      <c r="Q1268" s="169" t="s">
        <v>306</v>
      </c>
      <c r="R1268" s="169" t="s">
        <v>283</v>
      </c>
      <c r="S1268" s="169" t="s">
        <v>283</v>
      </c>
      <c r="T1268" s="169">
        <v>0</v>
      </c>
    </row>
    <row r="1269" spans="2:20" x14ac:dyDescent="0.2">
      <c r="B1269" s="167" t="str">
        <f>_xlfn.XLOOKUP(I1269,Mapping!D:D,Mapping!E:E)</f>
        <v>Cung Ứng</v>
      </c>
      <c r="C1269" s="167" t="str">
        <f>_xlfn.XLOOKUP(F1269,Mapping!A:A,Mapping!F:F)</f>
        <v>Lương Chính +T13</v>
      </c>
      <c r="D1269" s="173">
        <v>45869</v>
      </c>
      <c r="E1269" s="169" t="s">
        <v>879</v>
      </c>
      <c r="F1269" s="169" t="s">
        <v>274</v>
      </c>
      <c r="G1269" s="169" t="s">
        <v>275</v>
      </c>
      <c r="H1269" s="169" t="s">
        <v>380</v>
      </c>
      <c r="I1269" s="169" t="s">
        <v>381</v>
      </c>
      <c r="J1269" s="169" t="s">
        <v>880</v>
      </c>
      <c r="K1269" s="169" t="s">
        <v>881</v>
      </c>
      <c r="L1269" s="169" t="s">
        <v>882</v>
      </c>
      <c r="M1269" s="169" t="s">
        <v>281</v>
      </c>
      <c r="N1269" s="178">
        <v>520582059</v>
      </c>
      <c r="O1269" s="169" t="s">
        <v>883</v>
      </c>
      <c r="P1269" s="169" t="s">
        <v>283</v>
      </c>
      <c r="Q1269" s="169" t="s">
        <v>284</v>
      </c>
      <c r="R1269" s="169" t="s">
        <v>283</v>
      </c>
      <c r="S1269" s="169" t="s">
        <v>283</v>
      </c>
      <c r="T1269" s="169">
        <v>0</v>
      </c>
    </row>
    <row r="1270" spans="2:20" x14ac:dyDescent="0.2">
      <c r="B1270" s="167" t="str">
        <f>_xlfn.XLOOKUP(I1270,Mapping!D:D,Mapping!E:E)</f>
        <v>Cung Ứng</v>
      </c>
      <c r="C1270" s="167" t="str">
        <f>_xlfn.XLOOKUP(F1270,Mapping!A:A,Mapping!F:F)</f>
        <v>Lương Chính +T13</v>
      </c>
      <c r="D1270" s="173">
        <v>45869</v>
      </c>
      <c r="E1270" s="169" t="s">
        <v>879</v>
      </c>
      <c r="F1270" s="169" t="s">
        <v>285</v>
      </c>
      <c r="G1270" s="169" t="s">
        <v>286</v>
      </c>
      <c r="H1270" s="169" t="s">
        <v>380</v>
      </c>
      <c r="I1270" s="169" t="s">
        <v>381</v>
      </c>
      <c r="J1270" s="169" t="s">
        <v>880</v>
      </c>
      <c r="K1270" s="169" t="s">
        <v>881</v>
      </c>
      <c r="L1270" s="169" t="s">
        <v>882</v>
      </c>
      <c r="M1270" s="169" t="s">
        <v>281</v>
      </c>
      <c r="N1270" s="178">
        <v>19183539</v>
      </c>
      <c r="O1270" s="169" t="s">
        <v>883</v>
      </c>
      <c r="P1270" s="169" t="s">
        <v>283</v>
      </c>
      <c r="Q1270" s="169" t="s">
        <v>284</v>
      </c>
      <c r="R1270" s="169" t="s">
        <v>283</v>
      </c>
      <c r="S1270" s="169" t="s">
        <v>283</v>
      </c>
      <c r="T1270" s="169">
        <v>0</v>
      </c>
    </row>
    <row r="1271" spans="2:20" x14ac:dyDescent="0.2">
      <c r="B1271" s="167" t="str">
        <f>_xlfn.XLOOKUP(I1271,Mapping!D:D,Mapping!E:E)</f>
        <v>Cung Ứng</v>
      </c>
      <c r="C1271" s="167" t="str">
        <f>_xlfn.XLOOKUP(F1271,Mapping!A:A,Mapping!F:F)</f>
        <v>Thưởng</v>
      </c>
      <c r="D1271" s="173">
        <v>45869</v>
      </c>
      <c r="E1271" s="169" t="s">
        <v>879</v>
      </c>
      <c r="F1271" s="169" t="s">
        <v>290</v>
      </c>
      <c r="G1271" s="169" t="s">
        <v>291</v>
      </c>
      <c r="H1271" s="169" t="s">
        <v>380</v>
      </c>
      <c r="I1271" s="169" t="s">
        <v>381</v>
      </c>
      <c r="J1271" s="169" t="s">
        <v>880</v>
      </c>
      <c r="K1271" s="169" t="s">
        <v>881</v>
      </c>
      <c r="L1271" s="169" t="s">
        <v>882</v>
      </c>
      <c r="M1271" s="169" t="s">
        <v>281</v>
      </c>
      <c r="N1271" s="178">
        <v>284695793</v>
      </c>
      <c r="O1271" s="169" t="s">
        <v>883</v>
      </c>
      <c r="P1271" s="169" t="s">
        <v>283</v>
      </c>
      <c r="Q1271" s="169" t="s">
        <v>284</v>
      </c>
      <c r="R1271" s="169" t="s">
        <v>283</v>
      </c>
      <c r="S1271" s="169" t="s">
        <v>283</v>
      </c>
      <c r="T1271" s="169">
        <v>0</v>
      </c>
    </row>
    <row r="1272" spans="2:20" x14ac:dyDescent="0.2">
      <c r="B1272" s="167" t="str">
        <f>_xlfn.XLOOKUP(I1272,Mapping!D:D,Mapping!E:E)</f>
        <v>Cung Ứng</v>
      </c>
      <c r="C1272" s="167" t="str">
        <f>_xlfn.XLOOKUP(F1272,Mapping!A:A,Mapping!F:F)</f>
        <v>Phụ Cấp</v>
      </c>
      <c r="D1272" s="173">
        <v>45869</v>
      </c>
      <c r="E1272" s="169" t="s">
        <v>879</v>
      </c>
      <c r="F1272" s="169" t="s">
        <v>335</v>
      </c>
      <c r="G1272" s="169" t="s">
        <v>336</v>
      </c>
      <c r="H1272" s="169" t="s">
        <v>380</v>
      </c>
      <c r="I1272" s="169" t="s">
        <v>381</v>
      </c>
      <c r="J1272" s="169" t="s">
        <v>880</v>
      </c>
      <c r="K1272" s="169" t="s">
        <v>881</v>
      </c>
      <c r="L1272" s="169" t="s">
        <v>882</v>
      </c>
      <c r="M1272" s="169" t="s">
        <v>281</v>
      </c>
      <c r="N1272" s="178">
        <v>11900000</v>
      </c>
      <c r="O1272" s="169" t="s">
        <v>883</v>
      </c>
      <c r="P1272" s="169" t="s">
        <v>283</v>
      </c>
      <c r="Q1272" s="169" t="s">
        <v>284</v>
      </c>
      <c r="R1272" s="169" t="s">
        <v>283</v>
      </c>
      <c r="S1272" s="169" t="s">
        <v>283</v>
      </c>
      <c r="T1272" s="169">
        <v>0</v>
      </c>
    </row>
    <row r="1273" spans="2:20" x14ac:dyDescent="0.2">
      <c r="B1273" s="167" t="str">
        <f>_xlfn.XLOOKUP(I1273,Mapping!D:D,Mapping!E:E)</f>
        <v>Mua Hàng &amp; XNK</v>
      </c>
      <c r="C1273" s="167" t="str">
        <f>_xlfn.XLOOKUP(F1273,Mapping!A:A,Mapping!F:F)</f>
        <v>Lương Chính +T13</v>
      </c>
      <c r="D1273" s="173">
        <v>45869</v>
      </c>
      <c r="E1273" s="169" t="s">
        <v>879</v>
      </c>
      <c r="F1273" s="169" t="s">
        <v>274</v>
      </c>
      <c r="G1273" s="169" t="s">
        <v>275</v>
      </c>
      <c r="H1273" s="169" t="s">
        <v>378</v>
      </c>
      <c r="I1273" s="169" t="s">
        <v>379</v>
      </c>
      <c r="J1273" s="169" t="s">
        <v>880</v>
      </c>
      <c r="K1273" s="169" t="s">
        <v>881</v>
      </c>
      <c r="L1273" s="169" t="s">
        <v>882</v>
      </c>
      <c r="M1273" s="169" t="s">
        <v>281</v>
      </c>
      <c r="N1273" s="178">
        <v>121194853</v>
      </c>
      <c r="O1273" s="169" t="s">
        <v>883</v>
      </c>
      <c r="P1273" s="169" t="s">
        <v>283</v>
      </c>
      <c r="Q1273" s="169" t="s">
        <v>284</v>
      </c>
      <c r="R1273" s="169" t="s">
        <v>283</v>
      </c>
      <c r="S1273" s="169" t="s">
        <v>283</v>
      </c>
      <c r="T1273" s="169">
        <v>0</v>
      </c>
    </row>
    <row r="1274" spans="2:20" x14ac:dyDescent="0.2">
      <c r="B1274" s="167" t="str">
        <f>_xlfn.XLOOKUP(I1274,Mapping!D:D,Mapping!E:E)</f>
        <v>Mua Hàng &amp; XNK</v>
      </c>
      <c r="C1274" s="167" t="str">
        <f>_xlfn.XLOOKUP(F1274,Mapping!A:A,Mapping!F:F)</f>
        <v>Lương Chính +T13</v>
      </c>
      <c r="D1274" s="173">
        <v>45869</v>
      </c>
      <c r="E1274" s="169" t="s">
        <v>879</v>
      </c>
      <c r="F1274" s="169" t="s">
        <v>285</v>
      </c>
      <c r="G1274" s="169" t="s">
        <v>286</v>
      </c>
      <c r="H1274" s="169" t="s">
        <v>378</v>
      </c>
      <c r="I1274" s="169" t="s">
        <v>379</v>
      </c>
      <c r="J1274" s="169" t="s">
        <v>880</v>
      </c>
      <c r="K1274" s="169" t="s">
        <v>881</v>
      </c>
      <c r="L1274" s="169" t="s">
        <v>882</v>
      </c>
      <c r="M1274" s="169" t="s">
        <v>281</v>
      </c>
      <c r="N1274" s="178">
        <v>5771018</v>
      </c>
      <c r="O1274" s="169" t="s">
        <v>883</v>
      </c>
      <c r="P1274" s="169" t="s">
        <v>283</v>
      </c>
      <c r="Q1274" s="169" t="s">
        <v>284</v>
      </c>
      <c r="R1274" s="169" t="s">
        <v>283</v>
      </c>
      <c r="S1274" s="169" t="s">
        <v>283</v>
      </c>
      <c r="T1274" s="169">
        <v>0</v>
      </c>
    </row>
    <row r="1275" spans="2:20" x14ac:dyDescent="0.2">
      <c r="B1275" s="167" t="str">
        <f>_xlfn.XLOOKUP(I1275,Mapping!D:D,Mapping!E:E)</f>
        <v>Mua Hàng &amp; XNK</v>
      </c>
      <c r="C1275" s="167" t="str">
        <f>_xlfn.XLOOKUP(F1275,Mapping!A:A,Mapping!F:F)</f>
        <v>Phụ Cấp</v>
      </c>
      <c r="D1275" s="173">
        <v>45869</v>
      </c>
      <c r="E1275" s="169" t="s">
        <v>879</v>
      </c>
      <c r="F1275" s="169" t="s">
        <v>335</v>
      </c>
      <c r="G1275" s="169" t="s">
        <v>336</v>
      </c>
      <c r="H1275" s="169" t="s">
        <v>378</v>
      </c>
      <c r="I1275" s="169" t="s">
        <v>379</v>
      </c>
      <c r="J1275" s="169" t="s">
        <v>880</v>
      </c>
      <c r="K1275" s="169" t="s">
        <v>881</v>
      </c>
      <c r="L1275" s="169" t="s">
        <v>882</v>
      </c>
      <c r="M1275" s="169" t="s">
        <v>281</v>
      </c>
      <c r="N1275" s="178">
        <v>800000</v>
      </c>
      <c r="O1275" s="169" t="s">
        <v>883</v>
      </c>
      <c r="P1275" s="169" t="s">
        <v>283</v>
      </c>
      <c r="Q1275" s="169" t="s">
        <v>284</v>
      </c>
      <c r="R1275" s="169" t="s">
        <v>283</v>
      </c>
      <c r="S1275" s="169" t="s">
        <v>283</v>
      </c>
      <c r="T1275" s="169">
        <v>0</v>
      </c>
    </row>
    <row r="1276" spans="2:20" x14ac:dyDescent="0.2">
      <c r="B1276" s="167" t="str">
        <f>_xlfn.XLOOKUP(I1276,Mapping!D:D,Mapping!E:E)</f>
        <v>Kỹ Thuật</v>
      </c>
      <c r="C1276" s="167" t="str">
        <f>_xlfn.XLOOKUP(F1276,Mapping!A:A,Mapping!F:F)</f>
        <v>Phụ Cấp</v>
      </c>
      <c r="D1276" s="173">
        <v>45869</v>
      </c>
      <c r="E1276" s="169" t="s">
        <v>879</v>
      </c>
      <c r="F1276" s="169" t="s">
        <v>386</v>
      </c>
      <c r="G1276" s="169" t="s">
        <v>341</v>
      </c>
      <c r="H1276" s="169" t="s">
        <v>376</v>
      </c>
      <c r="I1276" s="169" t="s">
        <v>377</v>
      </c>
      <c r="J1276" s="169" t="s">
        <v>880</v>
      </c>
      <c r="K1276" s="169" t="s">
        <v>881</v>
      </c>
      <c r="L1276" s="169" t="s">
        <v>882</v>
      </c>
      <c r="M1276" s="169" t="s">
        <v>281</v>
      </c>
      <c r="N1276" s="178">
        <v>48252086</v>
      </c>
      <c r="O1276" s="169" t="s">
        <v>883</v>
      </c>
      <c r="P1276" s="169" t="s">
        <v>283</v>
      </c>
      <c r="Q1276" s="169" t="s">
        <v>284</v>
      </c>
      <c r="R1276" s="169" t="s">
        <v>283</v>
      </c>
      <c r="S1276" s="169" t="s">
        <v>283</v>
      </c>
      <c r="T1276" s="169">
        <v>0</v>
      </c>
    </row>
    <row r="1277" spans="2:20" x14ac:dyDescent="0.2">
      <c r="B1277" s="167" t="str">
        <f>_xlfn.XLOOKUP(I1277,Mapping!D:D,Mapping!E:E)</f>
        <v>Kỹ Thuật</v>
      </c>
      <c r="C1277" s="167" t="str">
        <f>_xlfn.XLOOKUP(F1277,Mapping!A:A,Mapping!F:F)</f>
        <v>Lương Chính +T13</v>
      </c>
      <c r="D1277" s="173">
        <v>45869</v>
      </c>
      <c r="E1277" s="169" t="s">
        <v>879</v>
      </c>
      <c r="F1277" s="169" t="s">
        <v>387</v>
      </c>
      <c r="G1277" s="169" t="s">
        <v>275</v>
      </c>
      <c r="H1277" s="169" t="s">
        <v>376</v>
      </c>
      <c r="I1277" s="169" t="s">
        <v>377</v>
      </c>
      <c r="J1277" s="169" t="s">
        <v>880</v>
      </c>
      <c r="K1277" s="169" t="s">
        <v>881</v>
      </c>
      <c r="L1277" s="169" t="s">
        <v>882</v>
      </c>
      <c r="M1277" s="169" t="s">
        <v>281</v>
      </c>
      <c r="N1277" s="178">
        <v>1117680889</v>
      </c>
      <c r="O1277" s="169" t="s">
        <v>883</v>
      </c>
      <c r="P1277" s="169" t="s">
        <v>283</v>
      </c>
      <c r="Q1277" s="169" t="s">
        <v>284</v>
      </c>
      <c r="R1277" s="169" t="s">
        <v>283</v>
      </c>
      <c r="S1277" s="169" t="s">
        <v>283</v>
      </c>
      <c r="T1277" s="169">
        <v>0</v>
      </c>
    </row>
    <row r="1278" spans="2:20" x14ac:dyDescent="0.2">
      <c r="B1278" s="167" t="str">
        <f>_xlfn.XLOOKUP(I1278,Mapping!D:D,Mapping!E:E)</f>
        <v>Kỹ Thuật</v>
      </c>
      <c r="C1278" s="167" t="str">
        <f>_xlfn.XLOOKUP(F1278,Mapping!A:A,Mapping!F:F)</f>
        <v>Lương Chính +T13</v>
      </c>
      <c r="D1278" s="173">
        <v>45869</v>
      </c>
      <c r="E1278" s="169" t="s">
        <v>879</v>
      </c>
      <c r="F1278" s="169" t="s">
        <v>388</v>
      </c>
      <c r="G1278" s="169" t="s">
        <v>286</v>
      </c>
      <c r="H1278" s="169" t="s">
        <v>376</v>
      </c>
      <c r="I1278" s="169" t="s">
        <v>377</v>
      </c>
      <c r="J1278" s="169" t="s">
        <v>880</v>
      </c>
      <c r="K1278" s="169" t="s">
        <v>881</v>
      </c>
      <c r="L1278" s="169" t="s">
        <v>882</v>
      </c>
      <c r="M1278" s="169" t="s">
        <v>281</v>
      </c>
      <c r="N1278" s="178">
        <v>35321557</v>
      </c>
      <c r="O1278" s="169" t="s">
        <v>883</v>
      </c>
      <c r="P1278" s="169" t="s">
        <v>283</v>
      </c>
      <c r="Q1278" s="169" t="s">
        <v>284</v>
      </c>
      <c r="R1278" s="169" t="s">
        <v>283</v>
      </c>
      <c r="S1278" s="169" t="s">
        <v>283</v>
      </c>
      <c r="T1278" s="169">
        <v>0</v>
      </c>
    </row>
    <row r="1279" spans="2:20" x14ac:dyDescent="0.2">
      <c r="B1279" s="167" t="str">
        <f>_xlfn.XLOOKUP(I1279,Mapping!D:D,Mapping!E:E)</f>
        <v>Kỹ Thuật</v>
      </c>
      <c r="C1279" s="167" t="str">
        <f>_xlfn.XLOOKUP(F1279,Mapping!A:A,Mapping!F:F)</f>
        <v>Lương Ngoài giờ</v>
      </c>
      <c r="D1279" s="173">
        <v>45869</v>
      </c>
      <c r="E1279" s="169" t="s">
        <v>879</v>
      </c>
      <c r="F1279" s="169" t="s">
        <v>389</v>
      </c>
      <c r="G1279" s="169" t="s">
        <v>390</v>
      </c>
      <c r="H1279" s="169" t="s">
        <v>376</v>
      </c>
      <c r="I1279" s="169" t="s">
        <v>377</v>
      </c>
      <c r="J1279" s="169" t="s">
        <v>880</v>
      </c>
      <c r="K1279" s="169" t="s">
        <v>881</v>
      </c>
      <c r="L1279" s="169" t="s">
        <v>882</v>
      </c>
      <c r="M1279" s="169" t="s">
        <v>281</v>
      </c>
      <c r="N1279" s="178">
        <v>358041860</v>
      </c>
      <c r="O1279" s="169" t="s">
        <v>883</v>
      </c>
      <c r="P1279" s="169" t="s">
        <v>283</v>
      </c>
      <c r="Q1279" s="169" t="s">
        <v>284</v>
      </c>
      <c r="R1279" s="169" t="s">
        <v>283</v>
      </c>
      <c r="S1279" s="169" t="s">
        <v>283</v>
      </c>
      <c r="T1279" s="169">
        <v>0</v>
      </c>
    </row>
    <row r="1280" spans="2:20" x14ac:dyDescent="0.2">
      <c r="B1280" s="167" t="str">
        <f>_xlfn.XLOOKUP(I1280,Mapping!D:D,Mapping!E:E)</f>
        <v>Kỹ Thuật</v>
      </c>
      <c r="C1280" s="167" t="str">
        <f>_xlfn.XLOOKUP(F1280,Mapping!A:A,Mapping!F:F)</f>
        <v>Phụ Cấp</v>
      </c>
      <c r="D1280" s="173">
        <v>45869</v>
      </c>
      <c r="E1280" s="169" t="s">
        <v>879</v>
      </c>
      <c r="F1280" s="169" t="s">
        <v>375</v>
      </c>
      <c r="G1280" s="169" t="s">
        <v>336</v>
      </c>
      <c r="H1280" s="169" t="s">
        <v>376</v>
      </c>
      <c r="I1280" s="169" t="s">
        <v>377</v>
      </c>
      <c r="J1280" s="169" t="s">
        <v>880</v>
      </c>
      <c r="K1280" s="169" t="s">
        <v>881</v>
      </c>
      <c r="L1280" s="169" t="s">
        <v>882</v>
      </c>
      <c r="M1280" s="169" t="s">
        <v>281</v>
      </c>
      <c r="N1280" s="178">
        <v>12210000</v>
      </c>
      <c r="O1280" s="169" t="s">
        <v>883</v>
      </c>
      <c r="P1280" s="169" t="s">
        <v>283</v>
      </c>
      <c r="Q1280" s="169" t="s">
        <v>284</v>
      </c>
      <c r="R1280" s="169" t="s">
        <v>283</v>
      </c>
      <c r="S1280" s="169" t="s">
        <v>283</v>
      </c>
      <c r="T1280" s="169">
        <v>0</v>
      </c>
    </row>
    <row r="1281" spans="1:20" x14ac:dyDescent="0.2">
      <c r="B1281" s="167" t="str">
        <f>_xlfn.XLOOKUP(I1281,Mapping!D:D,Mapping!E:E)</f>
        <v>Kiểm Soát Chất Lượng</v>
      </c>
      <c r="C1281" s="167" t="str">
        <f>_xlfn.XLOOKUP(F1281,Mapping!A:A,Mapping!F:F)</f>
        <v>Phụ Cấp</v>
      </c>
      <c r="D1281" s="173">
        <v>45869</v>
      </c>
      <c r="E1281" s="169" t="s">
        <v>879</v>
      </c>
      <c r="F1281" s="169" t="s">
        <v>386</v>
      </c>
      <c r="G1281" s="169" t="s">
        <v>341</v>
      </c>
      <c r="H1281" s="169" t="s">
        <v>411</v>
      </c>
      <c r="I1281" s="169" t="s">
        <v>412</v>
      </c>
      <c r="J1281" s="169" t="s">
        <v>880</v>
      </c>
      <c r="K1281" s="169" t="s">
        <v>881</v>
      </c>
      <c r="L1281" s="169" t="s">
        <v>882</v>
      </c>
      <c r="M1281" s="169" t="s">
        <v>281</v>
      </c>
      <c r="N1281" s="178">
        <v>30011480</v>
      </c>
      <c r="O1281" s="169" t="s">
        <v>883</v>
      </c>
      <c r="P1281" s="169" t="s">
        <v>283</v>
      </c>
      <c r="Q1281" s="169" t="s">
        <v>284</v>
      </c>
      <c r="R1281" s="169" t="s">
        <v>283</v>
      </c>
      <c r="S1281" s="169" t="s">
        <v>283</v>
      </c>
      <c r="T1281" s="169">
        <v>0</v>
      </c>
    </row>
    <row r="1282" spans="1:20" x14ac:dyDescent="0.2">
      <c r="B1282" s="167" t="str">
        <f>_xlfn.XLOOKUP(I1282,Mapping!D:D,Mapping!E:E)</f>
        <v>Kiểm Soát Chất Lượng</v>
      </c>
      <c r="C1282" s="167" t="str">
        <f>_xlfn.XLOOKUP(F1282,Mapping!A:A,Mapping!F:F)</f>
        <v>Lương Chính +T13</v>
      </c>
      <c r="D1282" s="173">
        <v>45869</v>
      </c>
      <c r="E1282" s="169" t="s">
        <v>879</v>
      </c>
      <c r="F1282" s="169" t="s">
        <v>387</v>
      </c>
      <c r="G1282" s="169" t="s">
        <v>275</v>
      </c>
      <c r="H1282" s="169" t="s">
        <v>411</v>
      </c>
      <c r="I1282" s="169" t="s">
        <v>412</v>
      </c>
      <c r="J1282" s="169" t="s">
        <v>880</v>
      </c>
      <c r="K1282" s="169" t="s">
        <v>881</v>
      </c>
      <c r="L1282" s="169" t="s">
        <v>882</v>
      </c>
      <c r="M1282" s="169" t="s">
        <v>281</v>
      </c>
      <c r="N1282" s="178">
        <v>554194975</v>
      </c>
      <c r="O1282" s="169" t="s">
        <v>883</v>
      </c>
      <c r="P1282" s="169" t="s">
        <v>283</v>
      </c>
      <c r="Q1282" s="169" t="s">
        <v>284</v>
      </c>
      <c r="R1282" s="169" t="s">
        <v>283</v>
      </c>
      <c r="S1282" s="169" t="s">
        <v>283</v>
      </c>
      <c r="T1282" s="169">
        <v>0</v>
      </c>
    </row>
    <row r="1283" spans="1:20" x14ac:dyDescent="0.2">
      <c r="B1283" s="167" t="str">
        <f>_xlfn.XLOOKUP(I1283,Mapping!D:D,Mapping!E:E)</f>
        <v>Kiểm Soát Chất Lượng</v>
      </c>
      <c r="C1283" s="167" t="str">
        <f>_xlfn.XLOOKUP(F1283,Mapping!A:A,Mapping!F:F)</f>
        <v>Lương Chính +T13</v>
      </c>
      <c r="D1283" s="173">
        <v>45869</v>
      </c>
      <c r="E1283" s="169" t="s">
        <v>879</v>
      </c>
      <c r="F1283" s="169" t="s">
        <v>388</v>
      </c>
      <c r="G1283" s="169" t="s">
        <v>286</v>
      </c>
      <c r="H1283" s="169" t="s">
        <v>411</v>
      </c>
      <c r="I1283" s="169" t="s">
        <v>412</v>
      </c>
      <c r="J1283" s="169" t="s">
        <v>880</v>
      </c>
      <c r="K1283" s="169" t="s">
        <v>881</v>
      </c>
      <c r="L1283" s="169" t="s">
        <v>882</v>
      </c>
      <c r="M1283" s="169" t="s">
        <v>281</v>
      </c>
      <c r="N1283" s="178">
        <v>16214809</v>
      </c>
      <c r="O1283" s="169" t="s">
        <v>883</v>
      </c>
      <c r="P1283" s="169" t="s">
        <v>283</v>
      </c>
      <c r="Q1283" s="169" t="s">
        <v>284</v>
      </c>
      <c r="R1283" s="169" t="s">
        <v>283</v>
      </c>
      <c r="S1283" s="169" t="s">
        <v>283</v>
      </c>
      <c r="T1283" s="169">
        <v>0</v>
      </c>
    </row>
    <row r="1284" spans="1:20" x14ac:dyDescent="0.2">
      <c r="B1284" s="167" t="str">
        <f>_xlfn.XLOOKUP(I1284,Mapping!D:D,Mapping!E:E)</f>
        <v>Kiểm Soát Chất Lượng</v>
      </c>
      <c r="C1284" s="167" t="str">
        <f>_xlfn.XLOOKUP(F1284,Mapping!A:A,Mapping!F:F)</f>
        <v>Lương Ngoài giờ</v>
      </c>
      <c r="D1284" s="173">
        <v>45869</v>
      </c>
      <c r="E1284" s="169" t="s">
        <v>879</v>
      </c>
      <c r="F1284" s="169" t="s">
        <v>389</v>
      </c>
      <c r="G1284" s="169" t="s">
        <v>390</v>
      </c>
      <c r="H1284" s="169" t="s">
        <v>411</v>
      </c>
      <c r="I1284" s="169" t="s">
        <v>412</v>
      </c>
      <c r="J1284" s="169" t="s">
        <v>880</v>
      </c>
      <c r="K1284" s="169" t="s">
        <v>881</v>
      </c>
      <c r="L1284" s="169" t="s">
        <v>882</v>
      </c>
      <c r="M1284" s="169" t="s">
        <v>281</v>
      </c>
      <c r="N1284" s="178">
        <v>196909674</v>
      </c>
      <c r="O1284" s="169" t="s">
        <v>883</v>
      </c>
      <c r="P1284" s="169" t="s">
        <v>283</v>
      </c>
      <c r="Q1284" s="169" t="s">
        <v>284</v>
      </c>
      <c r="R1284" s="169" t="s">
        <v>283</v>
      </c>
      <c r="S1284" s="169" t="s">
        <v>283</v>
      </c>
      <c r="T1284" s="169">
        <v>0</v>
      </c>
    </row>
    <row r="1285" spans="1:20" x14ac:dyDescent="0.2">
      <c r="B1285" s="167" t="str">
        <f>_xlfn.XLOOKUP(I1285,Mapping!D:D,Mapping!E:E)</f>
        <v>Kiểm Soát Chất Lượng</v>
      </c>
      <c r="C1285" s="167" t="str">
        <f>_xlfn.XLOOKUP(F1285,Mapping!A:A,Mapping!F:F)</f>
        <v>Phụ Cấp</v>
      </c>
      <c r="D1285" s="173">
        <v>45869</v>
      </c>
      <c r="E1285" s="169" t="s">
        <v>879</v>
      </c>
      <c r="F1285" s="169" t="s">
        <v>375</v>
      </c>
      <c r="G1285" s="169" t="s">
        <v>336</v>
      </c>
      <c r="H1285" s="169" t="s">
        <v>411</v>
      </c>
      <c r="I1285" s="169" t="s">
        <v>412</v>
      </c>
      <c r="J1285" s="169" t="s">
        <v>880</v>
      </c>
      <c r="K1285" s="169" t="s">
        <v>881</v>
      </c>
      <c r="L1285" s="169" t="s">
        <v>882</v>
      </c>
      <c r="M1285" s="169" t="s">
        <v>281</v>
      </c>
      <c r="N1285" s="178">
        <v>9440000</v>
      </c>
      <c r="O1285" s="169" t="s">
        <v>883</v>
      </c>
      <c r="P1285" s="169" t="s">
        <v>283</v>
      </c>
      <c r="Q1285" s="169" t="s">
        <v>284</v>
      </c>
      <c r="R1285" s="169" t="s">
        <v>283</v>
      </c>
      <c r="S1285" s="169" t="s">
        <v>283</v>
      </c>
      <c r="T1285" s="169">
        <v>0</v>
      </c>
    </row>
    <row r="1286" spans="1:20" x14ac:dyDescent="0.2">
      <c r="B1286" s="167" t="str">
        <f>_xlfn.XLOOKUP(I1286,Mapping!D:D,Mapping!E:E)</f>
        <v>Nghiên Cứu &amp; Phát Triển</v>
      </c>
      <c r="C1286" s="167" t="str">
        <f>_xlfn.XLOOKUP(F1286,Mapping!A:A,Mapping!F:F)</f>
        <v>Lương Chính +T13</v>
      </c>
      <c r="D1286" s="173">
        <v>45869</v>
      </c>
      <c r="E1286" s="169" t="s">
        <v>879</v>
      </c>
      <c r="F1286" s="169" t="s">
        <v>387</v>
      </c>
      <c r="G1286" s="169" t="s">
        <v>275</v>
      </c>
      <c r="H1286" s="169" t="s">
        <v>418</v>
      </c>
      <c r="I1286" s="169" t="s">
        <v>419</v>
      </c>
      <c r="J1286" s="169" t="s">
        <v>880</v>
      </c>
      <c r="K1286" s="169" t="s">
        <v>881</v>
      </c>
      <c r="L1286" s="169" t="s">
        <v>882</v>
      </c>
      <c r="M1286" s="169" t="s">
        <v>281</v>
      </c>
      <c r="N1286" s="178">
        <v>168703221</v>
      </c>
      <c r="O1286" s="169" t="s">
        <v>883</v>
      </c>
      <c r="P1286" s="169" t="s">
        <v>283</v>
      </c>
      <c r="Q1286" s="169" t="s">
        <v>284</v>
      </c>
      <c r="R1286" s="169" t="s">
        <v>283</v>
      </c>
      <c r="S1286" s="169" t="s">
        <v>283</v>
      </c>
      <c r="T1286" s="169">
        <v>0</v>
      </c>
    </row>
    <row r="1287" spans="1:20" x14ac:dyDescent="0.2">
      <c r="B1287" s="167" t="str">
        <f>_xlfn.XLOOKUP(I1287,Mapping!D:D,Mapping!E:E)</f>
        <v>Nghiên Cứu &amp; Phát Triển</v>
      </c>
      <c r="C1287" s="167" t="str">
        <f>_xlfn.XLOOKUP(F1287,Mapping!A:A,Mapping!F:F)</f>
        <v>Lương Chính +T13</v>
      </c>
      <c r="D1287" s="173">
        <v>45869</v>
      </c>
      <c r="E1287" s="169" t="s">
        <v>879</v>
      </c>
      <c r="F1287" s="169" t="s">
        <v>388</v>
      </c>
      <c r="G1287" s="169" t="s">
        <v>286</v>
      </c>
      <c r="H1287" s="169" t="s">
        <v>418</v>
      </c>
      <c r="I1287" s="169" t="s">
        <v>419</v>
      </c>
      <c r="J1287" s="169" t="s">
        <v>880</v>
      </c>
      <c r="K1287" s="169" t="s">
        <v>881</v>
      </c>
      <c r="L1287" s="169" t="s">
        <v>882</v>
      </c>
      <c r="M1287" s="169" t="s">
        <v>281</v>
      </c>
      <c r="N1287" s="178">
        <v>8339136</v>
      </c>
      <c r="O1287" s="169" t="s">
        <v>883</v>
      </c>
      <c r="P1287" s="169" t="s">
        <v>283</v>
      </c>
      <c r="Q1287" s="169" t="s">
        <v>284</v>
      </c>
      <c r="R1287" s="169" t="s">
        <v>283</v>
      </c>
      <c r="S1287" s="169" t="s">
        <v>283</v>
      </c>
      <c r="T1287" s="169">
        <v>0</v>
      </c>
    </row>
    <row r="1288" spans="1:20" x14ac:dyDescent="0.2">
      <c r="B1288" s="167" t="str">
        <f>_xlfn.XLOOKUP(I1288,Mapping!D:D,Mapping!E:E)</f>
        <v>Nghiên Cứu &amp; Phát Triển</v>
      </c>
      <c r="C1288" s="167" t="str">
        <f>_xlfn.XLOOKUP(F1288,Mapping!A:A,Mapping!F:F)</f>
        <v>Phụ Cấp</v>
      </c>
      <c r="D1288" s="173">
        <v>45869</v>
      </c>
      <c r="E1288" s="169" t="s">
        <v>879</v>
      </c>
      <c r="F1288" s="169" t="s">
        <v>375</v>
      </c>
      <c r="G1288" s="169" t="s">
        <v>336</v>
      </c>
      <c r="H1288" s="169" t="s">
        <v>418</v>
      </c>
      <c r="I1288" s="169" t="s">
        <v>419</v>
      </c>
      <c r="J1288" s="169" t="s">
        <v>880</v>
      </c>
      <c r="K1288" s="169" t="s">
        <v>881</v>
      </c>
      <c r="L1288" s="169" t="s">
        <v>882</v>
      </c>
      <c r="M1288" s="169" t="s">
        <v>281</v>
      </c>
      <c r="N1288" s="178">
        <v>350000</v>
      </c>
      <c r="O1288" s="169" t="s">
        <v>883</v>
      </c>
      <c r="P1288" s="169" t="s">
        <v>283</v>
      </c>
      <c r="Q1288" s="169" t="s">
        <v>284</v>
      </c>
      <c r="R1288" s="169" t="s">
        <v>283</v>
      </c>
      <c r="S1288" s="169" t="s">
        <v>283</v>
      </c>
      <c r="T1288" s="169">
        <v>0</v>
      </c>
    </row>
    <row r="1289" spans="1:20" x14ac:dyDescent="0.2">
      <c r="A1289" s="169">
        <v>622</v>
      </c>
      <c r="B1289" s="167" t="str">
        <f>_xlfn.XLOOKUP(I1289,Mapping!D:D,Mapping!E:E)</f>
        <v>Xưởng Sản Xuất</v>
      </c>
      <c r="C1289" s="167" t="str">
        <f>_xlfn.XLOOKUP(F1289,Mapping!A:A,Mapping!F:F)</f>
        <v>Lương Chính +T13</v>
      </c>
      <c r="D1289" s="173">
        <v>45869</v>
      </c>
      <c r="E1289" s="169" t="s">
        <v>879</v>
      </c>
      <c r="F1289" s="169" t="s">
        <v>400</v>
      </c>
      <c r="G1289" s="169" t="s">
        <v>401</v>
      </c>
      <c r="H1289" s="169" t="s">
        <v>402</v>
      </c>
      <c r="I1289" s="169" t="s">
        <v>403</v>
      </c>
      <c r="J1289" s="169" t="s">
        <v>880</v>
      </c>
      <c r="K1289" s="169" t="s">
        <v>881</v>
      </c>
      <c r="L1289" s="169" t="s">
        <v>882</v>
      </c>
      <c r="M1289" s="169" t="s">
        <v>281</v>
      </c>
      <c r="N1289" s="178">
        <v>1599369969</v>
      </c>
      <c r="O1289" s="169" t="s">
        <v>883</v>
      </c>
      <c r="P1289" s="169" t="s">
        <v>283</v>
      </c>
      <c r="Q1289" s="169" t="s">
        <v>284</v>
      </c>
      <c r="R1289" s="169" t="s">
        <v>283</v>
      </c>
      <c r="S1289" s="169" t="s">
        <v>283</v>
      </c>
      <c r="T1289" s="169">
        <v>0</v>
      </c>
    </row>
    <row r="1290" spans="1:20" x14ac:dyDescent="0.2">
      <c r="A1290" s="169">
        <v>622</v>
      </c>
      <c r="B1290" s="167" t="str">
        <f>_xlfn.XLOOKUP(I1290,Mapping!D:D,Mapping!E:E)</f>
        <v>Xưởng Sản Xuất</v>
      </c>
      <c r="C1290" s="167" t="str">
        <f>_xlfn.XLOOKUP(F1290,Mapping!A:A,Mapping!F:F)</f>
        <v>Lương Chính +T13</v>
      </c>
      <c r="D1290" s="173">
        <v>45869</v>
      </c>
      <c r="E1290" s="169" t="s">
        <v>879</v>
      </c>
      <c r="F1290" s="169" t="s">
        <v>420</v>
      </c>
      <c r="G1290" s="169" t="s">
        <v>286</v>
      </c>
      <c r="H1290" s="169" t="s">
        <v>402</v>
      </c>
      <c r="I1290" s="169" t="s">
        <v>403</v>
      </c>
      <c r="J1290" s="169" t="s">
        <v>880</v>
      </c>
      <c r="K1290" s="169" t="s">
        <v>881</v>
      </c>
      <c r="L1290" s="169" t="s">
        <v>882</v>
      </c>
      <c r="M1290" s="169" t="s">
        <v>281</v>
      </c>
      <c r="N1290" s="178">
        <v>28502091</v>
      </c>
      <c r="O1290" s="169" t="s">
        <v>883</v>
      </c>
      <c r="P1290" s="169" t="s">
        <v>283</v>
      </c>
      <c r="Q1290" s="169" t="s">
        <v>284</v>
      </c>
      <c r="R1290" s="169" t="s">
        <v>283</v>
      </c>
      <c r="S1290" s="169" t="s">
        <v>283</v>
      </c>
      <c r="T1290" s="169">
        <v>0</v>
      </c>
    </row>
    <row r="1291" spans="1:20" x14ac:dyDescent="0.2">
      <c r="A1291" s="169">
        <v>622</v>
      </c>
      <c r="B1291" s="167" t="str">
        <f>_xlfn.XLOOKUP(I1291,Mapping!D:D,Mapping!E:E)</f>
        <v>Xưởng Sản Xuất</v>
      </c>
      <c r="C1291" s="167" t="str">
        <f>_xlfn.XLOOKUP(F1291,Mapping!A:A,Mapping!F:F)</f>
        <v>Phụ Cấp</v>
      </c>
      <c r="D1291" s="173">
        <v>45869</v>
      </c>
      <c r="E1291" s="169" t="s">
        <v>879</v>
      </c>
      <c r="F1291" s="169" t="s">
        <v>421</v>
      </c>
      <c r="G1291" s="169" t="s">
        <v>341</v>
      </c>
      <c r="H1291" s="169" t="s">
        <v>402</v>
      </c>
      <c r="I1291" s="169" t="s">
        <v>403</v>
      </c>
      <c r="J1291" s="169" t="s">
        <v>880</v>
      </c>
      <c r="K1291" s="169" t="s">
        <v>881</v>
      </c>
      <c r="L1291" s="169" t="s">
        <v>882</v>
      </c>
      <c r="M1291" s="169" t="s">
        <v>281</v>
      </c>
      <c r="N1291" s="178">
        <v>130961563</v>
      </c>
      <c r="O1291" s="169" t="s">
        <v>883</v>
      </c>
      <c r="P1291" s="169" t="s">
        <v>283</v>
      </c>
      <c r="Q1291" s="169" t="s">
        <v>284</v>
      </c>
      <c r="R1291" s="169" t="s">
        <v>283</v>
      </c>
      <c r="S1291" s="169" t="s">
        <v>283</v>
      </c>
      <c r="T1291" s="169">
        <v>0</v>
      </c>
    </row>
    <row r="1292" spans="1:20" x14ac:dyDescent="0.2">
      <c r="A1292" s="169">
        <v>622</v>
      </c>
      <c r="B1292" s="167" t="str">
        <f>_xlfn.XLOOKUP(I1292,Mapping!D:D,Mapping!E:E)</f>
        <v>Xưởng Sản Xuất</v>
      </c>
      <c r="C1292" s="167" t="str">
        <f>_xlfn.XLOOKUP(F1292,Mapping!A:A,Mapping!F:F)</f>
        <v>Lương Ngoài giờ</v>
      </c>
      <c r="D1292" s="173">
        <v>45869</v>
      </c>
      <c r="E1292" s="169" t="s">
        <v>879</v>
      </c>
      <c r="F1292" s="169" t="s">
        <v>422</v>
      </c>
      <c r="G1292" s="169" t="s">
        <v>423</v>
      </c>
      <c r="H1292" s="169" t="s">
        <v>402</v>
      </c>
      <c r="I1292" s="169" t="s">
        <v>403</v>
      </c>
      <c r="J1292" s="169" t="s">
        <v>880</v>
      </c>
      <c r="K1292" s="169" t="s">
        <v>881</v>
      </c>
      <c r="L1292" s="169" t="s">
        <v>882</v>
      </c>
      <c r="M1292" s="169" t="s">
        <v>281</v>
      </c>
      <c r="N1292" s="178">
        <v>318363559</v>
      </c>
      <c r="O1292" s="169" t="s">
        <v>883</v>
      </c>
      <c r="P1292" s="169" t="s">
        <v>283</v>
      </c>
      <c r="Q1292" s="169" t="s">
        <v>284</v>
      </c>
      <c r="R1292" s="169" t="s">
        <v>283</v>
      </c>
      <c r="S1292" s="169" t="s">
        <v>283</v>
      </c>
      <c r="T1292" s="169">
        <v>0</v>
      </c>
    </row>
    <row r="1293" spans="1:20" x14ac:dyDescent="0.2">
      <c r="A1293" s="169">
        <v>622</v>
      </c>
      <c r="B1293" s="167" t="str">
        <f>_xlfn.XLOOKUP(I1293,Mapping!D:D,Mapping!E:E)</f>
        <v>Xưởng Sản Xuất</v>
      </c>
      <c r="C1293" s="167" t="str">
        <f>_xlfn.XLOOKUP(F1293,Mapping!A:A,Mapping!F:F)</f>
        <v>Phụ Cấp</v>
      </c>
      <c r="D1293" s="173">
        <v>45869</v>
      </c>
      <c r="E1293" s="169" t="s">
        <v>879</v>
      </c>
      <c r="F1293" s="169" t="s">
        <v>414</v>
      </c>
      <c r="G1293" s="169" t="s">
        <v>415</v>
      </c>
      <c r="H1293" s="169" t="s">
        <v>402</v>
      </c>
      <c r="I1293" s="169" t="s">
        <v>403</v>
      </c>
      <c r="J1293" s="169" t="s">
        <v>880</v>
      </c>
      <c r="K1293" s="169" t="s">
        <v>881</v>
      </c>
      <c r="L1293" s="169" t="s">
        <v>882</v>
      </c>
      <c r="M1293" s="169" t="s">
        <v>281</v>
      </c>
      <c r="N1293" s="178">
        <v>35090000</v>
      </c>
      <c r="O1293" s="169" t="s">
        <v>883</v>
      </c>
      <c r="P1293" s="169" t="s">
        <v>283</v>
      </c>
      <c r="Q1293" s="169" t="s">
        <v>284</v>
      </c>
      <c r="R1293" s="169" t="s">
        <v>283</v>
      </c>
      <c r="S1293" s="169" t="s">
        <v>283</v>
      </c>
      <c r="T1293" s="169">
        <v>0</v>
      </c>
    </row>
    <row r="1294" spans="1:20" x14ac:dyDescent="0.2">
      <c r="A1294" s="169">
        <v>627</v>
      </c>
      <c r="B1294" s="167" t="str">
        <f>_xlfn.XLOOKUP(I1294,Mapping!D:D,Mapping!E:E)</f>
        <v>Xưởng Sản Xuất</v>
      </c>
      <c r="C1294" s="167" t="str">
        <f>_xlfn.XLOOKUP(F1294,Mapping!A:A,Mapping!F:F)</f>
        <v>Phụ Cấp</v>
      </c>
      <c r="D1294" s="173">
        <v>45869</v>
      </c>
      <c r="E1294" s="169" t="s">
        <v>879</v>
      </c>
      <c r="F1294" s="169" t="s">
        <v>386</v>
      </c>
      <c r="G1294" s="169" t="s">
        <v>341</v>
      </c>
      <c r="H1294" s="169" t="s">
        <v>402</v>
      </c>
      <c r="I1294" s="169" t="s">
        <v>403</v>
      </c>
      <c r="J1294" s="169" t="s">
        <v>880</v>
      </c>
      <c r="K1294" s="169" t="s">
        <v>881</v>
      </c>
      <c r="L1294" s="169" t="s">
        <v>882</v>
      </c>
      <c r="M1294" s="169" t="s">
        <v>281</v>
      </c>
      <c r="N1294" s="178">
        <v>15343455</v>
      </c>
      <c r="O1294" s="169" t="s">
        <v>883</v>
      </c>
      <c r="P1294" s="169" t="s">
        <v>283</v>
      </c>
      <c r="Q1294" s="169" t="s">
        <v>284</v>
      </c>
      <c r="R1294" s="169" t="s">
        <v>283</v>
      </c>
      <c r="S1294" s="169" t="s">
        <v>283</v>
      </c>
      <c r="T1294" s="169">
        <v>0</v>
      </c>
    </row>
    <row r="1295" spans="1:20" x14ac:dyDescent="0.2">
      <c r="A1295" s="169">
        <v>627</v>
      </c>
      <c r="B1295" s="167" t="str">
        <f>_xlfn.XLOOKUP(I1295,Mapping!D:D,Mapping!E:E)</f>
        <v>Xưởng Sản Xuất</v>
      </c>
      <c r="C1295" s="167" t="str">
        <f>_xlfn.XLOOKUP(F1295,Mapping!A:A,Mapping!F:F)</f>
        <v>Lương Chính +T13</v>
      </c>
      <c r="D1295" s="173">
        <v>45869</v>
      </c>
      <c r="E1295" s="169" t="s">
        <v>879</v>
      </c>
      <c r="F1295" s="169" t="s">
        <v>387</v>
      </c>
      <c r="G1295" s="169" t="s">
        <v>275</v>
      </c>
      <c r="H1295" s="169" t="s">
        <v>402</v>
      </c>
      <c r="I1295" s="169" t="s">
        <v>403</v>
      </c>
      <c r="J1295" s="169" t="s">
        <v>880</v>
      </c>
      <c r="K1295" s="169" t="s">
        <v>881</v>
      </c>
      <c r="L1295" s="169" t="s">
        <v>882</v>
      </c>
      <c r="M1295" s="169" t="s">
        <v>281</v>
      </c>
      <c r="N1295" s="178">
        <v>463520798</v>
      </c>
      <c r="O1295" s="169" t="s">
        <v>883</v>
      </c>
      <c r="P1295" s="169" t="s">
        <v>283</v>
      </c>
      <c r="Q1295" s="169" t="s">
        <v>284</v>
      </c>
      <c r="R1295" s="169" t="s">
        <v>283</v>
      </c>
      <c r="S1295" s="169" t="s">
        <v>283</v>
      </c>
      <c r="T1295" s="169">
        <v>0</v>
      </c>
    </row>
    <row r="1296" spans="1:20" x14ac:dyDescent="0.2">
      <c r="A1296" s="169">
        <v>627</v>
      </c>
      <c r="B1296" s="167" t="str">
        <f>_xlfn.XLOOKUP(I1296,Mapping!D:D,Mapping!E:E)</f>
        <v>Xưởng Sản Xuất</v>
      </c>
      <c r="C1296" s="167" t="str">
        <f>_xlfn.XLOOKUP(F1296,Mapping!A:A,Mapping!F:F)</f>
        <v>Lương Chính +T13</v>
      </c>
      <c r="D1296" s="173">
        <v>45869</v>
      </c>
      <c r="E1296" s="169" t="s">
        <v>879</v>
      </c>
      <c r="F1296" s="169" t="s">
        <v>388</v>
      </c>
      <c r="G1296" s="169" t="s">
        <v>286</v>
      </c>
      <c r="H1296" s="169" t="s">
        <v>402</v>
      </c>
      <c r="I1296" s="169" t="s">
        <v>403</v>
      </c>
      <c r="J1296" s="169" t="s">
        <v>880</v>
      </c>
      <c r="K1296" s="169" t="s">
        <v>881</v>
      </c>
      <c r="L1296" s="169" t="s">
        <v>882</v>
      </c>
      <c r="M1296" s="169" t="s">
        <v>281</v>
      </c>
      <c r="N1296" s="178">
        <v>15371499</v>
      </c>
      <c r="O1296" s="169" t="s">
        <v>883</v>
      </c>
      <c r="P1296" s="169" t="s">
        <v>283</v>
      </c>
      <c r="Q1296" s="169" t="s">
        <v>284</v>
      </c>
      <c r="R1296" s="169" t="s">
        <v>283</v>
      </c>
      <c r="S1296" s="169" t="s">
        <v>283</v>
      </c>
      <c r="T1296" s="169">
        <v>0</v>
      </c>
    </row>
    <row r="1297" spans="1:20" x14ac:dyDescent="0.2">
      <c r="A1297" s="169">
        <v>627</v>
      </c>
      <c r="B1297" s="167" t="str">
        <f>_xlfn.XLOOKUP(I1297,Mapping!D:D,Mapping!E:E)</f>
        <v>Xưởng Sản Xuất</v>
      </c>
      <c r="C1297" s="167" t="str">
        <f>_xlfn.XLOOKUP(F1297,Mapping!A:A,Mapping!F:F)</f>
        <v>Lương Ngoài giờ</v>
      </c>
      <c r="D1297" s="173">
        <v>45869</v>
      </c>
      <c r="E1297" s="169" t="s">
        <v>879</v>
      </c>
      <c r="F1297" s="169" t="s">
        <v>389</v>
      </c>
      <c r="G1297" s="169" t="s">
        <v>390</v>
      </c>
      <c r="H1297" s="169" t="s">
        <v>402</v>
      </c>
      <c r="I1297" s="169" t="s">
        <v>403</v>
      </c>
      <c r="J1297" s="169" t="s">
        <v>880</v>
      </c>
      <c r="K1297" s="169" t="s">
        <v>881</v>
      </c>
      <c r="L1297" s="169" t="s">
        <v>882</v>
      </c>
      <c r="M1297" s="169" t="s">
        <v>281</v>
      </c>
      <c r="N1297" s="178">
        <v>53007677</v>
      </c>
      <c r="O1297" s="169" t="s">
        <v>883</v>
      </c>
      <c r="P1297" s="169" t="s">
        <v>283</v>
      </c>
      <c r="Q1297" s="169" t="s">
        <v>284</v>
      </c>
      <c r="R1297" s="169" t="s">
        <v>283</v>
      </c>
      <c r="S1297" s="169" t="s">
        <v>283</v>
      </c>
      <c r="T1297" s="169">
        <v>0</v>
      </c>
    </row>
    <row r="1298" spans="1:20" x14ac:dyDescent="0.2">
      <c r="A1298" s="169">
        <v>627</v>
      </c>
      <c r="B1298" s="167" t="str">
        <f>_xlfn.XLOOKUP(I1298,Mapping!D:D,Mapping!E:E)</f>
        <v>Xưởng Sản Xuất</v>
      </c>
      <c r="C1298" s="167" t="str">
        <f>_xlfn.XLOOKUP(F1298,Mapping!A:A,Mapping!F:F)</f>
        <v>Phụ Cấp</v>
      </c>
      <c r="D1298" s="173">
        <v>45869</v>
      </c>
      <c r="E1298" s="169" t="s">
        <v>879</v>
      </c>
      <c r="F1298" s="169" t="s">
        <v>375</v>
      </c>
      <c r="G1298" s="169" t="s">
        <v>336</v>
      </c>
      <c r="H1298" s="169" t="s">
        <v>402</v>
      </c>
      <c r="I1298" s="169" t="s">
        <v>403</v>
      </c>
      <c r="J1298" s="169" t="s">
        <v>880</v>
      </c>
      <c r="K1298" s="169" t="s">
        <v>881</v>
      </c>
      <c r="L1298" s="169" t="s">
        <v>882</v>
      </c>
      <c r="M1298" s="169" t="s">
        <v>281</v>
      </c>
      <c r="N1298" s="178">
        <v>3850000</v>
      </c>
      <c r="O1298" s="169" t="s">
        <v>883</v>
      </c>
      <c r="P1298" s="169" t="s">
        <v>283</v>
      </c>
      <c r="Q1298" s="169" t="s">
        <v>284</v>
      </c>
      <c r="R1298" s="169" t="s">
        <v>283</v>
      </c>
      <c r="S1298" s="169" t="s">
        <v>283</v>
      </c>
      <c r="T1298" s="169">
        <v>0</v>
      </c>
    </row>
    <row r="1299" spans="1:20" x14ac:dyDescent="0.2">
      <c r="A1299" s="169">
        <v>627</v>
      </c>
      <c r="B1299" s="167" t="str">
        <f>_xlfn.XLOOKUP(I1299,Mapping!D:D,Mapping!E:E)</f>
        <v>Xưởng Sản Xuất</v>
      </c>
      <c r="C1299" s="167" t="str">
        <f>_xlfn.XLOOKUP(F1299,Mapping!A:A,Mapping!F:F)</f>
        <v>Phụ Cấp</v>
      </c>
      <c r="D1299" s="173">
        <v>45864</v>
      </c>
      <c r="E1299" s="169" t="s">
        <v>894</v>
      </c>
      <c r="F1299" s="169" t="s">
        <v>375</v>
      </c>
      <c r="G1299" s="169" t="s">
        <v>336</v>
      </c>
      <c r="H1299" s="169" t="s">
        <v>402</v>
      </c>
      <c r="I1299" s="169" t="s">
        <v>403</v>
      </c>
      <c r="J1299" s="169" t="s">
        <v>895</v>
      </c>
      <c r="K1299" s="169" t="s">
        <v>741</v>
      </c>
      <c r="L1299" s="169" t="s">
        <v>882</v>
      </c>
      <c r="M1299" s="169" t="s">
        <v>281</v>
      </c>
      <c r="N1299" s="178">
        <v>157825000</v>
      </c>
      <c r="O1299" s="169" t="s">
        <v>896</v>
      </c>
      <c r="P1299" s="169" t="s">
        <v>283</v>
      </c>
      <c r="Q1299" s="169" t="s">
        <v>306</v>
      </c>
      <c r="R1299" s="169" t="s">
        <v>283</v>
      </c>
      <c r="S1299" s="169" t="s">
        <v>283</v>
      </c>
      <c r="T1299" s="169">
        <v>0</v>
      </c>
    </row>
    <row r="1300" spans="1:20" x14ac:dyDescent="0.2">
      <c r="B1300" s="167" t="str">
        <f>_xlfn.XLOOKUP(I1300,Mapping!D:D,Mapping!E:E)</f>
        <v>Kỹ Thuật</v>
      </c>
      <c r="C1300" s="167" t="str">
        <f>_xlfn.XLOOKUP(F1300,Mapping!A:A,Mapping!F:F)</f>
        <v>Phụ Cấp</v>
      </c>
      <c r="D1300" s="173">
        <v>45864</v>
      </c>
      <c r="E1300" s="169" t="s">
        <v>894</v>
      </c>
      <c r="F1300" s="169" t="s">
        <v>375</v>
      </c>
      <c r="G1300" s="169" t="s">
        <v>336</v>
      </c>
      <c r="H1300" s="169" t="s">
        <v>376</v>
      </c>
      <c r="I1300" s="169" t="s">
        <v>377</v>
      </c>
      <c r="J1300" s="169" t="s">
        <v>895</v>
      </c>
      <c r="K1300" s="169" t="s">
        <v>741</v>
      </c>
      <c r="L1300" s="169" t="s">
        <v>882</v>
      </c>
      <c r="M1300" s="169" t="s">
        <v>281</v>
      </c>
      <c r="N1300" s="178">
        <v>48500000</v>
      </c>
      <c r="O1300" s="169" t="s">
        <v>896</v>
      </c>
      <c r="P1300" s="169" t="s">
        <v>283</v>
      </c>
      <c r="Q1300" s="169" t="s">
        <v>306</v>
      </c>
      <c r="R1300" s="169" t="s">
        <v>283</v>
      </c>
      <c r="S1300" s="169" t="s">
        <v>283</v>
      </c>
      <c r="T1300" s="169">
        <v>0</v>
      </c>
    </row>
    <row r="1301" spans="1:20" x14ac:dyDescent="0.2">
      <c r="B1301" s="167" t="str">
        <f>_xlfn.XLOOKUP(I1301,Mapping!D:D,Mapping!E:E)</f>
        <v>Kiểm Soát Chất Lượng</v>
      </c>
      <c r="C1301" s="167" t="str">
        <f>_xlfn.XLOOKUP(F1301,Mapping!A:A,Mapping!F:F)</f>
        <v>Phụ Cấp</v>
      </c>
      <c r="D1301" s="173">
        <v>45864</v>
      </c>
      <c r="E1301" s="169" t="s">
        <v>894</v>
      </c>
      <c r="F1301" s="169" t="s">
        <v>375</v>
      </c>
      <c r="G1301" s="169" t="s">
        <v>336</v>
      </c>
      <c r="H1301" s="169" t="s">
        <v>411</v>
      </c>
      <c r="I1301" s="169" t="s">
        <v>412</v>
      </c>
      <c r="J1301" s="169" t="s">
        <v>895</v>
      </c>
      <c r="K1301" s="169" t="s">
        <v>741</v>
      </c>
      <c r="L1301" s="169" t="s">
        <v>882</v>
      </c>
      <c r="M1301" s="169" t="s">
        <v>281</v>
      </c>
      <c r="N1301" s="178">
        <v>31075000</v>
      </c>
      <c r="O1301" s="169" t="s">
        <v>896</v>
      </c>
      <c r="P1301" s="169" t="s">
        <v>283</v>
      </c>
      <c r="Q1301" s="169" t="s">
        <v>306</v>
      </c>
      <c r="R1301" s="169" t="s">
        <v>283</v>
      </c>
      <c r="S1301" s="169" t="s">
        <v>283</v>
      </c>
      <c r="T1301" s="169">
        <v>0</v>
      </c>
    </row>
    <row r="1302" spans="1:20" x14ac:dyDescent="0.2">
      <c r="B1302" s="167" t="str">
        <f>_xlfn.XLOOKUP(I1302,Mapping!D:D,Mapping!E:E)</f>
        <v>Mua Hàng &amp; XNK</v>
      </c>
      <c r="C1302" s="167" t="str">
        <f>_xlfn.XLOOKUP(F1302,Mapping!A:A,Mapping!F:F)</f>
        <v>Phụ Cấp</v>
      </c>
      <c r="D1302" s="173">
        <v>45864</v>
      </c>
      <c r="E1302" s="169" t="s">
        <v>894</v>
      </c>
      <c r="F1302" s="169" t="s">
        <v>335</v>
      </c>
      <c r="G1302" s="169" t="s">
        <v>336</v>
      </c>
      <c r="H1302" s="169" t="s">
        <v>378</v>
      </c>
      <c r="I1302" s="169" t="s">
        <v>379</v>
      </c>
      <c r="J1302" s="169" t="s">
        <v>895</v>
      </c>
      <c r="K1302" s="169" t="s">
        <v>741</v>
      </c>
      <c r="L1302" s="169" t="s">
        <v>882</v>
      </c>
      <c r="M1302" s="169" t="s">
        <v>281</v>
      </c>
      <c r="N1302" s="178">
        <v>4250000</v>
      </c>
      <c r="O1302" s="169" t="s">
        <v>896</v>
      </c>
      <c r="P1302" s="169" t="s">
        <v>283</v>
      </c>
      <c r="Q1302" s="169" t="s">
        <v>306</v>
      </c>
      <c r="R1302" s="169" t="s">
        <v>283</v>
      </c>
      <c r="S1302" s="169" t="s">
        <v>283</v>
      </c>
      <c r="T1302" s="169">
        <v>0</v>
      </c>
    </row>
    <row r="1303" spans="1:20" x14ac:dyDescent="0.2">
      <c r="B1303" s="167" t="str">
        <f>_xlfn.XLOOKUP(I1303,Mapping!D:D,Mapping!E:E)</f>
        <v>Cung Ứng</v>
      </c>
      <c r="C1303" s="167" t="str">
        <f>_xlfn.XLOOKUP(F1303,Mapping!A:A,Mapping!F:F)</f>
        <v>Phụ Cấp</v>
      </c>
      <c r="D1303" s="173">
        <v>45864</v>
      </c>
      <c r="E1303" s="169" t="s">
        <v>894</v>
      </c>
      <c r="F1303" s="169" t="s">
        <v>335</v>
      </c>
      <c r="G1303" s="169" t="s">
        <v>336</v>
      </c>
      <c r="H1303" s="169" t="s">
        <v>380</v>
      </c>
      <c r="I1303" s="169" t="s">
        <v>381</v>
      </c>
      <c r="J1303" s="169" t="s">
        <v>895</v>
      </c>
      <c r="K1303" s="169" t="s">
        <v>741</v>
      </c>
      <c r="L1303" s="169" t="s">
        <v>882</v>
      </c>
      <c r="M1303" s="169" t="s">
        <v>281</v>
      </c>
      <c r="N1303" s="178">
        <v>3400000</v>
      </c>
      <c r="O1303" s="169" t="s">
        <v>896</v>
      </c>
      <c r="P1303" s="169" t="s">
        <v>283</v>
      </c>
      <c r="Q1303" s="169" t="s">
        <v>306</v>
      </c>
      <c r="R1303" s="169" t="s">
        <v>283</v>
      </c>
      <c r="S1303" s="169" t="s">
        <v>283</v>
      </c>
      <c r="T1303" s="169">
        <v>0</v>
      </c>
    </row>
    <row r="1304" spans="1:20" x14ac:dyDescent="0.2">
      <c r="B1304" s="167" t="str">
        <f>_xlfn.XLOOKUP(I1304,Mapping!D:D,Mapping!E:E)</f>
        <v>Cung Ứng</v>
      </c>
      <c r="C1304" s="167" t="str">
        <f>_xlfn.XLOOKUP(F1304,Mapping!A:A,Mapping!F:F)</f>
        <v>Lương Chính +T13</v>
      </c>
      <c r="D1304" s="173">
        <v>45869</v>
      </c>
      <c r="E1304" s="169" t="s">
        <v>884</v>
      </c>
      <c r="F1304" s="169" t="s">
        <v>285</v>
      </c>
      <c r="G1304" s="169" t="s">
        <v>286</v>
      </c>
      <c r="H1304" s="169" t="s">
        <v>380</v>
      </c>
      <c r="I1304" s="169" t="s">
        <v>381</v>
      </c>
      <c r="J1304" s="169" t="s">
        <v>885</v>
      </c>
      <c r="K1304" s="169" t="s">
        <v>881</v>
      </c>
      <c r="L1304" s="169" t="s">
        <v>882</v>
      </c>
      <c r="M1304" s="169" t="s">
        <v>281</v>
      </c>
      <c r="N1304" s="178">
        <v>40044085</v>
      </c>
      <c r="O1304" s="169" t="s">
        <v>886</v>
      </c>
      <c r="P1304" s="169" t="s">
        <v>283</v>
      </c>
      <c r="Q1304" s="169" t="s">
        <v>284</v>
      </c>
      <c r="R1304" s="169" t="s">
        <v>283</v>
      </c>
      <c r="S1304" s="169" t="s">
        <v>283</v>
      </c>
      <c r="T1304" s="169">
        <v>0</v>
      </c>
    </row>
    <row r="1305" spans="1:20" x14ac:dyDescent="0.2">
      <c r="B1305" s="167" t="str">
        <f>_xlfn.XLOOKUP(I1305,Mapping!D:D,Mapping!E:E)</f>
        <v>Cung Ứng</v>
      </c>
      <c r="C1305" s="167" t="str">
        <f>_xlfn.XLOOKUP(F1305,Mapping!A:A,Mapping!F:F)</f>
        <v>Thưởng</v>
      </c>
      <c r="D1305" s="173">
        <v>45869</v>
      </c>
      <c r="E1305" s="169" t="s">
        <v>884</v>
      </c>
      <c r="F1305" s="169" t="s">
        <v>292</v>
      </c>
      <c r="G1305" s="169" t="s">
        <v>77</v>
      </c>
      <c r="H1305" s="169" t="s">
        <v>380</v>
      </c>
      <c r="I1305" s="169" t="s">
        <v>381</v>
      </c>
      <c r="J1305" s="169" t="s">
        <v>887</v>
      </c>
      <c r="K1305" s="169" t="s">
        <v>881</v>
      </c>
      <c r="L1305" s="169" t="s">
        <v>882</v>
      </c>
      <c r="M1305" s="169" t="s">
        <v>281</v>
      </c>
      <c r="N1305" s="178">
        <v>34987056</v>
      </c>
      <c r="O1305" s="169" t="s">
        <v>886</v>
      </c>
      <c r="P1305" s="169" t="s">
        <v>283</v>
      </c>
      <c r="Q1305" s="169" t="s">
        <v>284</v>
      </c>
      <c r="R1305" s="169" t="s">
        <v>283</v>
      </c>
      <c r="S1305" s="169" t="s">
        <v>283</v>
      </c>
      <c r="T1305" s="169">
        <v>0</v>
      </c>
    </row>
    <row r="1306" spans="1:20" x14ac:dyDescent="0.2">
      <c r="B1306" s="167" t="str">
        <f>_xlfn.XLOOKUP(I1306,Mapping!D:D,Mapping!E:E)</f>
        <v>Mua Hàng &amp; XNK</v>
      </c>
      <c r="C1306" s="167" t="str">
        <f>_xlfn.XLOOKUP(F1306,Mapping!A:A,Mapping!F:F)</f>
        <v>Lương Chính +T13</v>
      </c>
      <c r="D1306" s="173">
        <v>45869</v>
      </c>
      <c r="E1306" s="169" t="s">
        <v>884</v>
      </c>
      <c r="F1306" s="169" t="s">
        <v>285</v>
      </c>
      <c r="G1306" s="169" t="s">
        <v>286</v>
      </c>
      <c r="H1306" s="169" t="s">
        <v>378</v>
      </c>
      <c r="I1306" s="169" t="s">
        <v>379</v>
      </c>
      <c r="J1306" s="169" t="s">
        <v>885</v>
      </c>
      <c r="K1306" s="169" t="s">
        <v>881</v>
      </c>
      <c r="L1306" s="169" t="s">
        <v>882</v>
      </c>
      <c r="M1306" s="169" t="s">
        <v>281</v>
      </c>
      <c r="N1306" s="178">
        <v>10877750</v>
      </c>
      <c r="O1306" s="169" t="s">
        <v>886</v>
      </c>
      <c r="P1306" s="169" t="s">
        <v>283</v>
      </c>
      <c r="Q1306" s="169" t="s">
        <v>284</v>
      </c>
      <c r="R1306" s="169" t="s">
        <v>283</v>
      </c>
      <c r="S1306" s="169" t="s">
        <v>283</v>
      </c>
      <c r="T1306" s="169">
        <v>0</v>
      </c>
    </row>
    <row r="1307" spans="1:20" x14ac:dyDescent="0.2">
      <c r="B1307" s="167" t="str">
        <f>_xlfn.XLOOKUP(I1307,Mapping!D:D,Mapping!E:E)</f>
        <v>Mua Hàng &amp; XNK</v>
      </c>
      <c r="C1307" s="167" t="str">
        <f>_xlfn.XLOOKUP(F1307,Mapping!A:A,Mapping!F:F)</f>
        <v>Thưởng</v>
      </c>
      <c r="D1307" s="173">
        <v>45869</v>
      </c>
      <c r="E1307" s="169" t="s">
        <v>884</v>
      </c>
      <c r="F1307" s="169" t="s">
        <v>292</v>
      </c>
      <c r="G1307" s="169" t="s">
        <v>77</v>
      </c>
      <c r="H1307" s="169" t="s">
        <v>378</v>
      </c>
      <c r="I1307" s="169" t="s">
        <v>379</v>
      </c>
      <c r="J1307" s="169" t="s">
        <v>887</v>
      </c>
      <c r="K1307" s="169" t="s">
        <v>881</v>
      </c>
      <c r="L1307" s="169" t="s">
        <v>882</v>
      </c>
      <c r="M1307" s="169" t="s">
        <v>281</v>
      </c>
      <c r="N1307" s="178">
        <v>10007443</v>
      </c>
      <c r="O1307" s="169" t="s">
        <v>886</v>
      </c>
      <c r="P1307" s="169" t="s">
        <v>283</v>
      </c>
      <c r="Q1307" s="169" t="s">
        <v>284</v>
      </c>
      <c r="R1307" s="169" t="s">
        <v>283</v>
      </c>
      <c r="S1307" s="169" t="s">
        <v>283</v>
      </c>
      <c r="T1307" s="169">
        <v>0</v>
      </c>
    </row>
    <row r="1308" spans="1:20" x14ac:dyDescent="0.2">
      <c r="B1308" s="167" t="str">
        <f>_xlfn.XLOOKUP(I1308,Mapping!D:D,Mapping!E:E)</f>
        <v>Kỹ Thuật</v>
      </c>
      <c r="C1308" s="167" t="str">
        <f>_xlfn.XLOOKUP(F1308,Mapping!A:A,Mapping!F:F)</f>
        <v>Lương Chính +T13</v>
      </c>
      <c r="D1308" s="173">
        <v>45869</v>
      </c>
      <c r="E1308" s="169" t="s">
        <v>884</v>
      </c>
      <c r="F1308" s="169" t="s">
        <v>388</v>
      </c>
      <c r="G1308" s="169" t="s">
        <v>286</v>
      </c>
      <c r="H1308" s="169" t="s">
        <v>376</v>
      </c>
      <c r="I1308" s="169" t="s">
        <v>377</v>
      </c>
      <c r="J1308" s="169" t="s">
        <v>885</v>
      </c>
      <c r="K1308" s="169" t="s">
        <v>881</v>
      </c>
      <c r="L1308" s="169" t="s">
        <v>882</v>
      </c>
      <c r="M1308" s="169" t="s">
        <v>281</v>
      </c>
      <c r="N1308" s="178">
        <v>88885167</v>
      </c>
      <c r="O1308" s="169" t="s">
        <v>886</v>
      </c>
      <c r="P1308" s="169" t="s">
        <v>283</v>
      </c>
      <c r="Q1308" s="169" t="s">
        <v>284</v>
      </c>
      <c r="R1308" s="169" t="s">
        <v>283</v>
      </c>
      <c r="S1308" s="169" t="s">
        <v>283</v>
      </c>
      <c r="T1308" s="169">
        <v>0</v>
      </c>
    </row>
    <row r="1309" spans="1:20" x14ac:dyDescent="0.2">
      <c r="B1309" s="167" t="str">
        <f>_xlfn.XLOOKUP(I1309,Mapping!D:D,Mapping!E:E)</f>
        <v>Kỹ Thuật</v>
      </c>
      <c r="C1309" s="167" t="str">
        <f>_xlfn.XLOOKUP(F1309,Mapping!A:A,Mapping!F:F)</f>
        <v>Thưởng</v>
      </c>
      <c r="D1309" s="173">
        <v>45869</v>
      </c>
      <c r="E1309" s="169" t="s">
        <v>884</v>
      </c>
      <c r="F1309" s="169" t="s">
        <v>395</v>
      </c>
      <c r="G1309" s="169" t="s">
        <v>77</v>
      </c>
      <c r="H1309" s="169" t="s">
        <v>376</v>
      </c>
      <c r="I1309" s="169" t="s">
        <v>377</v>
      </c>
      <c r="J1309" s="169" t="s">
        <v>887</v>
      </c>
      <c r="K1309" s="169" t="s">
        <v>881</v>
      </c>
      <c r="L1309" s="169" t="s">
        <v>882</v>
      </c>
      <c r="M1309" s="169" t="s">
        <v>281</v>
      </c>
      <c r="N1309" s="178">
        <v>81773642</v>
      </c>
      <c r="O1309" s="169" t="s">
        <v>886</v>
      </c>
      <c r="P1309" s="169" t="s">
        <v>283</v>
      </c>
      <c r="Q1309" s="169" t="s">
        <v>284</v>
      </c>
      <c r="R1309" s="169" t="s">
        <v>283</v>
      </c>
      <c r="S1309" s="169" t="s">
        <v>283</v>
      </c>
      <c r="T1309" s="169">
        <v>0</v>
      </c>
    </row>
    <row r="1310" spans="1:20" x14ac:dyDescent="0.2">
      <c r="B1310" s="167" t="str">
        <f>_xlfn.XLOOKUP(I1310,Mapping!D:D,Mapping!E:E)</f>
        <v>Kiểm Soát Chất Lượng</v>
      </c>
      <c r="C1310" s="167" t="str">
        <f>_xlfn.XLOOKUP(F1310,Mapping!A:A,Mapping!F:F)</f>
        <v>Lương Chính +T13</v>
      </c>
      <c r="D1310" s="173">
        <v>45869</v>
      </c>
      <c r="E1310" s="169" t="s">
        <v>884</v>
      </c>
      <c r="F1310" s="169" t="s">
        <v>388</v>
      </c>
      <c r="G1310" s="169" t="s">
        <v>286</v>
      </c>
      <c r="H1310" s="169" t="s">
        <v>411</v>
      </c>
      <c r="I1310" s="169" t="s">
        <v>412</v>
      </c>
      <c r="J1310" s="169" t="s">
        <v>885</v>
      </c>
      <c r="K1310" s="169" t="s">
        <v>881</v>
      </c>
      <c r="L1310" s="169" t="s">
        <v>882</v>
      </c>
      <c r="M1310" s="169" t="s">
        <v>281</v>
      </c>
      <c r="N1310" s="178">
        <v>40114417</v>
      </c>
      <c r="O1310" s="169" t="s">
        <v>886</v>
      </c>
      <c r="P1310" s="169" t="s">
        <v>283</v>
      </c>
      <c r="Q1310" s="169" t="s">
        <v>284</v>
      </c>
      <c r="R1310" s="169" t="s">
        <v>283</v>
      </c>
      <c r="S1310" s="169" t="s">
        <v>283</v>
      </c>
      <c r="T1310" s="169">
        <v>0</v>
      </c>
    </row>
    <row r="1311" spans="1:20" x14ac:dyDescent="0.2">
      <c r="B1311" s="167" t="str">
        <f>_xlfn.XLOOKUP(I1311,Mapping!D:D,Mapping!E:E)</f>
        <v>Kiểm Soát Chất Lượng</v>
      </c>
      <c r="C1311" s="167" t="str">
        <f>_xlfn.XLOOKUP(F1311,Mapping!A:A,Mapping!F:F)</f>
        <v>Thưởng</v>
      </c>
      <c r="D1311" s="173">
        <v>45869</v>
      </c>
      <c r="E1311" s="169" t="s">
        <v>884</v>
      </c>
      <c r="F1311" s="169" t="s">
        <v>395</v>
      </c>
      <c r="G1311" s="169" t="s">
        <v>77</v>
      </c>
      <c r="H1311" s="169" t="s">
        <v>411</v>
      </c>
      <c r="I1311" s="169" t="s">
        <v>412</v>
      </c>
      <c r="J1311" s="169" t="s">
        <v>887</v>
      </c>
      <c r="K1311" s="169" t="s">
        <v>881</v>
      </c>
      <c r="L1311" s="169" t="s">
        <v>882</v>
      </c>
      <c r="M1311" s="169" t="s">
        <v>281</v>
      </c>
      <c r="N1311" s="178">
        <v>36904942</v>
      </c>
      <c r="O1311" s="169" t="s">
        <v>886</v>
      </c>
      <c r="P1311" s="169" t="s">
        <v>283</v>
      </c>
      <c r="Q1311" s="169" t="s">
        <v>284</v>
      </c>
      <c r="R1311" s="169" t="s">
        <v>283</v>
      </c>
      <c r="S1311" s="169" t="s">
        <v>283</v>
      </c>
      <c r="T1311" s="169">
        <v>0</v>
      </c>
    </row>
    <row r="1312" spans="1:20" x14ac:dyDescent="0.2">
      <c r="B1312" s="167" t="str">
        <f>_xlfn.XLOOKUP(I1312,Mapping!D:D,Mapping!E:E)</f>
        <v>Nghiên Cứu &amp; Phát Triển</v>
      </c>
      <c r="C1312" s="167" t="str">
        <f>_xlfn.XLOOKUP(F1312,Mapping!A:A,Mapping!F:F)</f>
        <v>Lương Chính +T13</v>
      </c>
      <c r="D1312" s="173">
        <v>45869</v>
      </c>
      <c r="E1312" s="169" t="s">
        <v>884</v>
      </c>
      <c r="F1312" s="169" t="s">
        <v>388</v>
      </c>
      <c r="G1312" s="169" t="s">
        <v>286</v>
      </c>
      <c r="H1312" s="169" t="s">
        <v>418</v>
      </c>
      <c r="I1312" s="169" t="s">
        <v>419</v>
      </c>
      <c r="J1312" s="169" t="s">
        <v>885</v>
      </c>
      <c r="K1312" s="169" t="s">
        <v>881</v>
      </c>
      <c r="L1312" s="169" t="s">
        <v>882</v>
      </c>
      <c r="M1312" s="169" t="s">
        <v>281</v>
      </c>
      <c r="N1312" s="178">
        <v>14000000</v>
      </c>
      <c r="O1312" s="169" t="s">
        <v>886</v>
      </c>
      <c r="P1312" s="169" t="s">
        <v>283</v>
      </c>
      <c r="Q1312" s="169" t="s">
        <v>284</v>
      </c>
      <c r="R1312" s="169" t="s">
        <v>283</v>
      </c>
      <c r="S1312" s="169" t="s">
        <v>283</v>
      </c>
      <c r="T1312" s="169">
        <v>0</v>
      </c>
    </row>
    <row r="1313" spans="1:20" x14ac:dyDescent="0.2">
      <c r="B1313" s="167" t="str">
        <f>_xlfn.XLOOKUP(I1313,Mapping!D:D,Mapping!E:E)</f>
        <v>Nghiên Cứu &amp; Phát Triển</v>
      </c>
      <c r="C1313" s="167" t="str">
        <f>_xlfn.XLOOKUP(F1313,Mapping!A:A,Mapping!F:F)</f>
        <v>Thưởng</v>
      </c>
      <c r="D1313" s="173">
        <v>45869</v>
      </c>
      <c r="E1313" s="169" t="s">
        <v>884</v>
      </c>
      <c r="F1313" s="169" t="s">
        <v>395</v>
      </c>
      <c r="G1313" s="169" t="s">
        <v>77</v>
      </c>
      <c r="H1313" s="169" t="s">
        <v>418</v>
      </c>
      <c r="I1313" s="169" t="s">
        <v>419</v>
      </c>
      <c r="J1313" s="169" t="s">
        <v>887</v>
      </c>
      <c r="K1313" s="169" t="s">
        <v>881</v>
      </c>
      <c r="L1313" s="169" t="s">
        <v>882</v>
      </c>
      <c r="M1313" s="169" t="s">
        <v>281</v>
      </c>
      <c r="N1313" s="178">
        <v>12879888</v>
      </c>
      <c r="O1313" s="169" t="s">
        <v>886</v>
      </c>
      <c r="P1313" s="169" t="s">
        <v>283</v>
      </c>
      <c r="Q1313" s="169" t="s">
        <v>284</v>
      </c>
      <c r="R1313" s="169" t="s">
        <v>283</v>
      </c>
      <c r="S1313" s="169" t="s">
        <v>283</v>
      </c>
      <c r="T1313" s="169">
        <v>0</v>
      </c>
    </row>
    <row r="1314" spans="1:20" x14ac:dyDescent="0.2">
      <c r="A1314" s="169">
        <v>627</v>
      </c>
      <c r="B1314" s="167" t="str">
        <f>_xlfn.XLOOKUP(I1314,Mapping!D:D,Mapping!E:E)</f>
        <v>Xưởng Sản Xuất</v>
      </c>
      <c r="C1314" s="167" t="str">
        <f>_xlfn.XLOOKUP(F1314,Mapping!A:A,Mapping!F:F)</f>
        <v>Lương Chính +T13</v>
      </c>
      <c r="D1314" s="173">
        <v>45869</v>
      </c>
      <c r="E1314" s="169" t="s">
        <v>884</v>
      </c>
      <c r="F1314" s="169" t="s">
        <v>388</v>
      </c>
      <c r="G1314" s="169" t="s">
        <v>286</v>
      </c>
      <c r="H1314" s="169" t="s">
        <v>402</v>
      </c>
      <c r="I1314" s="169" t="s">
        <v>403</v>
      </c>
      <c r="J1314" s="169" t="s">
        <v>885</v>
      </c>
      <c r="K1314" s="169" t="s">
        <v>881</v>
      </c>
      <c r="L1314" s="169" t="s">
        <v>882</v>
      </c>
      <c r="M1314" s="169" t="s">
        <v>281</v>
      </c>
      <c r="N1314" s="178">
        <v>36341838</v>
      </c>
      <c r="O1314" s="169" t="s">
        <v>886</v>
      </c>
      <c r="P1314" s="169" t="s">
        <v>283</v>
      </c>
      <c r="Q1314" s="169" t="s">
        <v>284</v>
      </c>
      <c r="R1314" s="169" t="s">
        <v>283</v>
      </c>
      <c r="S1314" s="169" t="s">
        <v>283</v>
      </c>
      <c r="T1314" s="169">
        <v>0</v>
      </c>
    </row>
    <row r="1315" spans="1:20" x14ac:dyDescent="0.2">
      <c r="A1315" s="169">
        <v>622</v>
      </c>
      <c r="B1315" s="167" t="str">
        <f>_xlfn.XLOOKUP(I1315,Mapping!D:D,Mapping!E:E)</f>
        <v>Xưởng Sản Xuất</v>
      </c>
      <c r="C1315" s="167" t="str">
        <f>_xlfn.XLOOKUP(F1315,Mapping!A:A,Mapping!F:F)</f>
        <v>Lương Chính +T13</v>
      </c>
      <c r="D1315" s="173">
        <v>45869</v>
      </c>
      <c r="E1315" s="169" t="s">
        <v>884</v>
      </c>
      <c r="F1315" s="169" t="s">
        <v>420</v>
      </c>
      <c r="G1315" s="169" t="s">
        <v>286</v>
      </c>
      <c r="H1315" s="169" t="s">
        <v>402</v>
      </c>
      <c r="I1315" s="169" t="s">
        <v>403</v>
      </c>
      <c r="J1315" s="169" t="s">
        <v>885</v>
      </c>
      <c r="K1315" s="169" t="s">
        <v>881</v>
      </c>
      <c r="L1315" s="169" t="s">
        <v>882</v>
      </c>
      <c r="M1315" s="169" t="s">
        <v>281</v>
      </c>
      <c r="N1315" s="178">
        <v>101850341</v>
      </c>
      <c r="O1315" s="169" t="s">
        <v>886</v>
      </c>
      <c r="P1315" s="169" t="s">
        <v>283</v>
      </c>
      <c r="Q1315" s="169" t="s">
        <v>284</v>
      </c>
      <c r="R1315" s="169" t="s">
        <v>283</v>
      </c>
      <c r="S1315" s="169" t="s">
        <v>283</v>
      </c>
      <c r="T1315" s="169">
        <v>0</v>
      </c>
    </row>
    <row r="1316" spans="1:20" x14ac:dyDescent="0.2">
      <c r="A1316" s="169">
        <v>627</v>
      </c>
      <c r="B1316" s="167" t="str">
        <f>_xlfn.XLOOKUP(I1316,Mapping!D:D,Mapping!E:E)</f>
        <v>Xưởng Sản Xuất</v>
      </c>
      <c r="C1316" s="167" t="str">
        <f>_xlfn.XLOOKUP(F1316,Mapping!A:A,Mapping!F:F)</f>
        <v>Thưởng</v>
      </c>
      <c r="D1316" s="173">
        <v>45869</v>
      </c>
      <c r="E1316" s="169" t="s">
        <v>884</v>
      </c>
      <c r="F1316" s="169" t="s">
        <v>395</v>
      </c>
      <c r="G1316" s="169" t="s">
        <v>77</v>
      </c>
      <c r="H1316" s="169" t="s">
        <v>402</v>
      </c>
      <c r="I1316" s="169" t="s">
        <v>403</v>
      </c>
      <c r="J1316" s="169" t="s">
        <v>887</v>
      </c>
      <c r="K1316" s="169" t="s">
        <v>881</v>
      </c>
      <c r="L1316" s="169" t="s">
        <v>882</v>
      </c>
      <c r="M1316" s="169" t="s">
        <v>281</v>
      </c>
      <c r="N1316" s="178">
        <v>32673439</v>
      </c>
      <c r="O1316" s="169" t="s">
        <v>886</v>
      </c>
      <c r="P1316" s="169" t="s">
        <v>283</v>
      </c>
      <c r="Q1316" s="169" t="s">
        <v>284</v>
      </c>
      <c r="R1316" s="169" t="s">
        <v>283</v>
      </c>
      <c r="S1316" s="169" t="s">
        <v>283</v>
      </c>
      <c r="T1316" s="169">
        <v>0</v>
      </c>
    </row>
    <row r="1317" spans="1:20" x14ac:dyDescent="0.2">
      <c r="A1317" s="169">
        <v>622</v>
      </c>
      <c r="B1317" s="167" t="str">
        <f>_xlfn.XLOOKUP(I1317,Mapping!D:D,Mapping!E:E)</f>
        <v>Xưởng Sản Xuất</v>
      </c>
      <c r="C1317" s="167" t="str">
        <f>_xlfn.XLOOKUP(F1317,Mapping!A:A,Mapping!F:F)</f>
        <v>Thưởng</v>
      </c>
      <c r="D1317" s="173">
        <v>45869</v>
      </c>
      <c r="E1317" s="169" t="s">
        <v>884</v>
      </c>
      <c r="F1317" s="169" t="s">
        <v>426</v>
      </c>
      <c r="G1317" s="169" t="s">
        <v>77</v>
      </c>
      <c r="H1317" s="169" t="s">
        <v>402</v>
      </c>
      <c r="I1317" s="169" t="s">
        <v>403</v>
      </c>
      <c r="J1317" s="169" t="s">
        <v>887</v>
      </c>
      <c r="K1317" s="169" t="s">
        <v>881</v>
      </c>
      <c r="L1317" s="169" t="s">
        <v>882</v>
      </c>
      <c r="M1317" s="169" t="s">
        <v>281</v>
      </c>
      <c r="N1317" s="178">
        <v>23790880</v>
      </c>
      <c r="O1317" s="169" t="s">
        <v>886</v>
      </c>
      <c r="P1317" s="169" t="s">
        <v>283</v>
      </c>
      <c r="Q1317" s="169" t="s">
        <v>284</v>
      </c>
      <c r="R1317" s="169" t="s">
        <v>283</v>
      </c>
      <c r="S1317" s="169" t="s">
        <v>283</v>
      </c>
      <c r="T1317" s="169">
        <v>0</v>
      </c>
    </row>
    <row r="1318" spans="1:20" x14ac:dyDescent="0.2">
      <c r="B1318" s="167" t="str">
        <f>_xlfn.XLOOKUP(I1318,Mapping!D:D,Mapping!E:E)</f>
        <v>Cung Ứng</v>
      </c>
      <c r="C1318" s="167" t="str">
        <f>_xlfn.XLOOKUP(F1318,Mapping!A:A,Mapping!F:F)</f>
        <v>BHXH, BHYT, KPCĐ</v>
      </c>
      <c r="D1318" s="173">
        <v>45869</v>
      </c>
      <c r="E1318" s="169" t="s">
        <v>888</v>
      </c>
      <c r="F1318" s="169" t="s">
        <v>295</v>
      </c>
      <c r="G1318" s="169" t="s">
        <v>296</v>
      </c>
      <c r="H1318" s="169" t="s">
        <v>380</v>
      </c>
      <c r="I1318" s="169" t="s">
        <v>381</v>
      </c>
      <c r="J1318" s="169" t="s">
        <v>889</v>
      </c>
      <c r="K1318" s="169" t="s">
        <v>881</v>
      </c>
      <c r="L1318" s="169" t="s">
        <v>882</v>
      </c>
      <c r="M1318" s="169" t="s">
        <v>281</v>
      </c>
      <c r="N1318" s="178">
        <v>108285885</v>
      </c>
      <c r="O1318" s="169" t="s">
        <v>890</v>
      </c>
      <c r="P1318" s="169" t="s">
        <v>283</v>
      </c>
      <c r="Q1318" s="169" t="s">
        <v>284</v>
      </c>
      <c r="R1318" s="169" t="s">
        <v>283</v>
      </c>
      <c r="S1318" s="169" t="s">
        <v>283</v>
      </c>
      <c r="T1318" s="169">
        <v>0</v>
      </c>
    </row>
    <row r="1319" spans="1:20" x14ac:dyDescent="0.2">
      <c r="B1319" s="167" t="str">
        <f>_xlfn.XLOOKUP(I1319,Mapping!D:D,Mapping!E:E)</f>
        <v>Mua Hàng &amp; XNK</v>
      </c>
      <c r="C1319" s="167" t="str">
        <f>_xlfn.XLOOKUP(F1319,Mapping!A:A,Mapping!F:F)</f>
        <v>BHXH, BHYT, KPCĐ</v>
      </c>
      <c r="D1319" s="173">
        <v>45869</v>
      </c>
      <c r="E1319" s="169" t="s">
        <v>888</v>
      </c>
      <c r="F1319" s="169" t="s">
        <v>295</v>
      </c>
      <c r="G1319" s="169" t="s">
        <v>296</v>
      </c>
      <c r="H1319" s="169" t="s">
        <v>378</v>
      </c>
      <c r="I1319" s="169" t="s">
        <v>379</v>
      </c>
      <c r="J1319" s="169" t="s">
        <v>889</v>
      </c>
      <c r="K1319" s="169" t="s">
        <v>881</v>
      </c>
      <c r="L1319" s="169" t="s">
        <v>882</v>
      </c>
      <c r="M1319" s="169" t="s">
        <v>281</v>
      </c>
      <c r="N1319" s="178">
        <v>27620255</v>
      </c>
      <c r="O1319" s="169" t="s">
        <v>890</v>
      </c>
      <c r="P1319" s="169" t="s">
        <v>283</v>
      </c>
      <c r="Q1319" s="169" t="s">
        <v>284</v>
      </c>
      <c r="R1319" s="169" t="s">
        <v>283</v>
      </c>
      <c r="S1319" s="169" t="s">
        <v>283</v>
      </c>
      <c r="T1319" s="169">
        <v>0</v>
      </c>
    </row>
    <row r="1320" spans="1:20" x14ac:dyDescent="0.2">
      <c r="B1320" s="167" t="str">
        <f>_xlfn.XLOOKUP(I1320,Mapping!D:D,Mapping!E:E)</f>
        <v>Kỹ Thuật</v>
      </c>
      <c r="C1320" s="167" t="str">
        <f>_xlfn.XLOOKUP(F1320,Mapping!A:A,Mapping!F:F)</f>
        <v>BHXH, BHYT, KPCĐ</v>
      </c>
      <c r="D1320" s="173">
        <v>45869</v>
      </c>
      <c r="E1320" s="169" t="s">
        <v>888</v>
      </c>
      <c r="F1320" s="169" t="s">
        <v>393</v>
      </c>
      <c r="G1320" s="169" t="s">
        <v>296</v>
      </c>
      <c r="H1320" s="169" t="s">
        <v>376</v>
      </c>
      <c r="I1320" s="169" t="s">
        <v>377</v>
      </c>
      <c r="J1320" s="169" t="s">
        <v>889</v>
      </c>
      <c r="K1320" s="169" t="s">
        <v>881</v>
      </c>
      <c r="L1320" s="169" t="s">
        <v>882</v>
      </c>
      <c r="M1320" s="169" t="s">
        <v>281</v>
      </c>
      <c r="N1320" s="178">
        <v>242548670</v>
      </c>
      <c r="O1320" s="169" t="s">
        <v>890</v>
      </c>
      <c r="P1320" s="169" t="s">
        <v>283</v>
      </c>
      <c r="Q1320" s="169" t="s">
        <v>284</v>
      </c>
      <c r="R1320" s="169" t="s">
        <v>283</v>
      </c>
      <c r="S1320" s="169" t="s">
        <v>283</v>
      </c>
      <c r="T1320" s="169">
        <v>0</v>
      </c>
    </row>
    <row r="1321" spans="1:20" x14ac:dyDescent="0.2">
      <c r="B1321" s="167" t="str">
        <f>_xlfn.XLOOKUP(I1321,Mapping!D:D,Mapping!E:E)</f>
        <v>Kiểm Soát Chất Lượng</v>
      </c>
      <c r="C1321" s="167" t="str">
        <f>_xlfn.XLOOKUP(F1321,Mapping!A:A,Mapping!F:F)</f>
        <v>BHXH, BHYT, KPCĐ</v>
      </c>
      <c r="D1321" s="173">
        <v>45869</v>
      </c>
      <c r="E1321" s="169" t="s">
        <v>888</v>
      </c>
      <c r="F1321" s="169" t="s">
        <v>393</v>
      </c>
      <c r="G1321" s="169" t="s">
        <v>296</v>
      </c>
      <c r="H1321" s="169" t="s">
        <v>411</v>
      </c>
      <c r="I1321" s="169" t="s">
        <v>412</v>
      </c>
      <c r="J1321" s="169" t="s">
        <v>889</v>
      </c>
      <c r="K1321" s="169" t="s">
        <v>881</v>
      </c>
      <c r="L1321" s="169" t="s">
        <v>882</v>
      </c>
      <c r="M1321" s="169" t="s">
        <v>281</v>
      </c>
      <c r="N1321" s="178">
        <v>104897655</v>
      </c>
      <c r="O1321" s="169" t="s">
        <v>890</v>
      </c>
      <c r="P1321" s="169" t="s">
        <v>283</v>
      </c>
      <c r="Q1321" s="169" t="s">
        <v>284</v>
      </c>
      <c r="R1321" s="169" t="s">
        <v>283</v>
      </c>
      <c r="S1321" s="169" t="s">
        <v>283</v>
      </c>
      <c r="T1321" s="169">
        <v>0</v>
      </c>
    </row>
    <row r="1322" spans="1:20" x14ac:dyDescent="0.2">
      <c r="B1322" s="167" t="str">
        <f>_xlfn.XLOOKUP(I1322,Mapping!D:D,Mapping!E:E)</f>
        <v>Nghiên Cứu &amp; Phát Triển</v>
      </c>
      <c r="C1322" s="167" t="str">
        <f>_xlfn.XLOOKUP(F1322,Mapping!A:A,Mapping!F:F)</f>
        <v>BHXH, BHYT, KPCĐ</v>
      </c>
      <c r="D1322" s="173">
        <v>45869</v>
      </c>
      <c r="E1322" s="169" t="s">
        <v>888</v>
      </c>
      <c r="F1322" s="169" t="s">
        <v>393</v>
      </c>
      <c r="G1322" s="169" t="s">
        <v>296</v>
      </c>
      <c r="H1322" s="169" t="s">
        <v>418</v>
      </c>
      <c r="I1322" s="169" t="s">
        <v>419</v>
      </c>
      <c r="J1322" s="169" t="s">
        <v>889</v>
      </c>
      <c r="K1322" s="169" t="s">
        <v>881</v>
      </c>
      <c r="L1322" s="169" t="s">
        <v>882</v>
      </c>
      <c r="M1322" s="169" t="s">
        <v>281</v>
      </c>
      <c r="N1322" s="178">
        <v>24687500</v>
      </c>
      <c r="O1322" s="169" t="s">
        <v>890</v>
      </c>
      <c r="P1322" s="169" t="s">
        <v>283</v>
      </c>
      <c r="Q1322" s="169" t="s">
        <v>284</v>
      </c>
      <c r="R1322" s="169" t="s">
        <v>283</v>
      </c>
      <c r="S1322" s="169" t="s">
        <v>283</v>
      </c>
      <c r="T1322" s="169">
        <v>0</v>
      </c>
    </row>
    <row r="1323" spans="1:20" x14ac:dyDescent="0.2">
      <c r="A1323" s="169">
        <v>622</v>
      </c>
      <c r="B1323" s="167" t="str">
        <f>_xlfn.XLOOKUP(I1323,Mapping!D:D,Mapping!E:E)</f>
        <v>Xưởng Sản Xuất</v>
      </c>
      <c r="C1323" s="167" t="str">
        <f>_xlfn.XLOOKUP(F1323,Mapping!A:A,Mapping!F:F)</f>
        <v>BHXH, BHYT, KPCĐ</v>
      </c>
      <c r="D1323" s="173">
        <v>45869</v>
      </c>
      <c r="E1323" s="169" t="s">
        <v>888</v>
      </c>
      <c r="F1323" s="169" t="s">
        <v>425</v>
      </c>
      <c r="G1323" s="169" t="s">
        <v>296</v>
      </c>
      <c r="H1323" s="169" t="s">
        <v>402</v>
      </c>
      <c r="I1323" s="169" t="s">
        <v>403</v>
      </c>
      <c r="J1323" s="169" t="s">
        <v>889</v>
      </c>
      <c r="K1323" s="169" t="s">
        <v>881</v>
      </c>
      <c r="L1323" s="169" t="s">
        <v>882</v>
      </c>
      <c r="M1323" s="169" t="s">
        <v>281</v>
      </c>
      <c r="N1323" s="178">
        <v>244464700</v>
      </c>
      <c r="O1323" s="169" t="s">
        <v>890</v>
      </c>
      <c r="P1323" s="169" t="s">
        <v>283</v>
      </c>
      <c r="Q1323" s="169" t="s">
        <v>284</v>
      </c>
      <c r="R1323" s="169" t="s">
        <v>283</v>
      </c>
      <c r="S1323" s="169" t="s">
        <v>283</v>
      </c>
      <c r="T1323" s="169">
        <v>0</v>
      </c>
    </row>
    <row r="1324" spans="1:20" x14ac:dyDescent="0.2">
      <c r="A1324" s="169">
        <v>622</v>
      </c>
      <c r="B1324" s="167" t="str">
        <f>_xlfn.XLOOKUP(I1324,Mapping!D:D,Mapping!E:E)</f>
        <v>Xưởng Sản Xuất</v>
      </c>
      <c r="C1324" s="167" t="str">
        <f>_xlfn.XLOOKUP(F1324,Mapping!A:A,Mapping!F:F)</f>
        <v>BHXH, BHYT, KPCĐ</v>
      </c>
      <c r="D1324" s="173">
        <v>45869</v>
      </c>
      <c r="E1324" s="169" t="s">
        <v>891</v>
      </c>
      <c r="F1324" s="169" t="s">
        <v>425</v>
      </c>
      <c r="G1324" s="169" t="s">
        <v>296</v>
      </c>
      <c r="H1324" s="169" t="s">
        <v>402</v>
      </c>
      <c r="I1324" s="169" t="s">
        <v>403</v>
      </c>
      <c r="J1324" s="169" t="s">
        <v>892</v>
      </c>
      <c r="K1324" s="169" t="s">
        <v>881</v>
      </c>
      <c r="L1324" s="169" t="s">
        <v>882</v>
      </c>
      <c r="M1324" s="169" t="s">
        <v>281</v>
      </c>
      <c r="N1324" s="178">
        <v>-332350</v>
      </c>
      <c r="O1324" s="169" t="s">
        <v>893</v>
      </c>
      <c r="P1324" s="169" t="s">
        <v>283</v>
      </c>
      <c r="Q1324" s="169" t="s">
        <v>284</v>
      </c>
      <c r="R1324" s="169" t="s">
        <v>283</v>
      </c>
      <c r="S1324" s="169" t="s">
        <v>283</v>
      </c>
      <c r="T1324" s="169">
        <v>0</v>
      </c>
    </row>
    <row r="1325" spans="1:20" x14ac:dyDescent="0.2">
      <c r="B1325" s="167" t="str">
        <f>_xlfn.XLOOKUP(I1325,Mapping!D:D,Mapping!E:E)</f>
        <v>Kiểm Soát Chất Lượng</v>
      </c>
      <c r="C1325" s="167" t="str">
        <f>_xlfn.XLOOKUP(F1325,Mapping!A:A,Mapping!F:F)</f>
        <v>BHXH, BHYT, KPCĐ</v>
      </c>
      <c r="D1325" s="173">
        <v>45869</v>
      </c>
      <c r="E1325" s="169" t="s">
        <v>938</v>
      </c>
      <c r="F1325" s="169" t="s">
        <v>393</v>
      </c>
      <c r="G1325" s="169" t="s">
        <v>296</v>
      </c>
      <c r="H1325" s="169" t="s">
        <v>411</v>
      </c>
      <c r="I1325" s="169" t="s">
        <v>412</v>
      </c>
      <c r="J1325" s="169" t="s">
        <v>889</v>
      </c>
      <c r="K1325" s="169" t="s">
        <v>881</v>
      </c>
      <c r="L1325" s="169" t="s">
        <v>882</v>
      </c>
      <c r="M1325" s="169" t="s">
        <v>281</v>
      </c>
      <c r="N1325" s="178">
        <v>3996880</v>
      </c>
      <c r="O1325" s="169" t="s">
        <v>939</v>
      </c>
      <c r="P1325" s="169" t="s">
        <v>283</v>
      </c>
      <c r="Q1325" s="169" t="s">
        <v>284</v>
      </c>
      <c r="R1325" s="169" t="s">
        <v>283</v>
      </c>
      <c r="S1325" s="169" t="s">
        <v>283</v>
      </c>
      <c r="T1325" s="169">
        <v>0</v>
      </c>
    </row>
    <row r="1326" spans="1:20" x14ac:dyDescent="0.2">
      <c r="B1326" s="167" t="str">
        <f>_xlfn.XLOOKUP(I1326,Mapping!D:D,Mapping!E:E)</f>
        <v>Nghiên Cứu &amp; Phát Triển</v>
      </c>
      <c r="C1326" s="167" t="str">
        <f>_xlfn.XLOOKUP(F1326,Mapping!A:A,Mapping!F:F)</f>
        <v>BHXH, BHYT, KPCĐ</v>
      </c>
      <c r="D1326" s="173">
        <v>45869</v>
      </c>
      <c r="E1326" s="169" t="s">
        <v>938</v>
      </c>
      <c r="F1326" s="169" t="s">
        <v>393</v>
      </c>
      <c r="G1326" s="169" t="s">
        <v>296</v>
      </c>
      <c r="H1326" s="169" t="s">
        <v>418</v>
      </c>
      <c r="I1326" s="169" t="s">
        <v>419</v>
      </c>
      <c r="J1326" s="169" t="s">
        <v>889</v>
      </c>
      <c r="K1326" s="169" t="s">
        <v>881</v>
      </c>
      <c r="L1326" s="169" t="s">
        <v>882</v>
      </c>
      <c r="M1326" s="169" t="s">
        <v>281</v>
      </c>
      <c r="N1326" s="178">
        <v>3591975</v>
      </c>
      <c r="O1326" s="169" t="s">
        <v>939</v>
      </c>
      <c r="P1326" s="169" t="s">
        <v>283</v>
      </c>
      <c r="Q1326" s="169" t="s">
        <v>284</v>
      </c>
      <c r="R1326" s="169" t="s">
        <v>283</v>
      </c>
      <c r="S1326" s="169" t="s">
        <v>283</v>
      </c>
      <c r="T1326" s="169">
        <v>0</v>
      </c>
    </row>
    <row r="1327" spans="1:20" x14ac:dyDescent="0.2">
      <c r="A1327" s="169">
        <v>622</v>
      </c>
      <c r="B1327" s="167" t="str">
        <f>_xlfn.XLOOKUP(I1327,Mapping!D:D,Mapping!E:E)</f>
        <v>Xưởng Sản Xuất</v>
      </c>
      <c r="C1327" s="167" t="str">
        <f>_xlfn.XLOOKUP(F1327,Mapping!A:A,Mapping!F:F)</f>
        <v>BHXH, BHYT, KPCĐ</v>
      </c>
      <c r="D1327" s="173">
        <v>45869</v>
      </c>
      <c r="E1327" s="169" t="s">
        <v>938</v>
      </c>
      <c r="F1327" s="169" t="s">
        <v>425</v>
      </c>
      <c r="G1327" s="169" t="s">
        <v>296</v>
      </c>
      <c r="H1327" s="169" t="s">
        <v>402</v>
      </c>
      <c r="I1327" s="169" t="s">
        <v>403</v>
      </c>
      <c r="J1327" s="169" t="s">
        <v>889</v>
      </c>
      <c r="K1327" s="169" t="s">
        <v>881</v>
      </c>
      <c r="L1327" s="169" t="s">
        <v>882</v>
      </c>
      <c r="M1327" s="169" t="s">
        <v>281</v>
      </c>
      <c r="N1327" s="178">
        <v>1198500</v>
      </c>
      <c r="O1327" s="169" t="s">
        <v>939</v>
      </c>
      <c r="P1327" s="169" t="s">
        <v>283</v>
      </c>
      <c r="Q1327" s="169" t="s">
        <v>284</v>
      </c>
      <c r="R1327" s="169" t="s">
        <v>283</v>
      </c>
      <c r="S1327" s="169" t="s">
        <v>283</v>
      </c>
      <c r="T1327" s="169">
        <v>0</v>
      </c>
    </row>
    <row r="1328" spans="1:20" x14ac:dyDescent="0.2">
      <c r="A1328" s="169">
        <v>622</v>
      </c>
      <c r="B1328" s="167" t="str">
        <f>_xlfn.XLOOKUP(I1328,Mapping!D:D,Mapping!E:E)</f>
        <v>Xưởng Sản Xuất</v>
      </c>
      <c r="C1328" s="167" t="str">
        <f>_xlfn.XLOOKUP(F1328,Mapping!A:A,Mapping!F:F)</f>
        <v>BHXH, BHYT, KPCĐ</v>
      </c>
      <c r="D1328" s="173">
        <v>45869</v>
      </c>
      <c r="E1328" s="169" t="s">
        <v>938</v>
      </c>
      <c r="F1328" s="169" t="s">
        <v>425</v>
      </c>
      <c r="G1328" s="169" t="s">
        <v>296</v>
      </c>
      <c r="H1328" s="169" t="s">
        <v>402</v>
      </c>
      <c r="I1328" s="169" t="s">
        <v>403</v>
      </c>
      <c r="J1328" s="169" t="s">
        <v>889</v>
      </c>
      <c r="K1328" s="169" t="s">
        <v>881</v>
      </c>
      <c r="L1328" s="169" t="s">
        <v>882</v>
      </c>
      <c r="M1328" s="169" t="s">
        <v>281</v>
      </c>
      <c r="N1328" s="178">
        <v>4794000</v>
      </c>
      <c r="O1328" s="169" t="s">
        <v>939</v>
      </c>
      <c r="P1328" s="169" t="s">
        <v>283</v>
      </c>
      <c r="Q1328" s="169" t="s">
        <v>284</v>
      </c>
      <c r="R1328" s="169" t="s">
        <v>283</v>
      </c>
      <c r="S1328" s="169" t="s">
        <v>283</v>
      </c>
      <c r="T1328" s="169">
        <v>0</v>
      </c>
    </row>
    <row r="1329" spans="1:20" x14ac:dyDescent="0.2">
      <c r="A1329" s="169">
        <v>622</v>
      </c>
      <c r="B1329" s="167" t="str">
        <f>_xlfn.XLOOKUP(I1329,Mapping!D:D,Mapping!E:E)</f>
        <v>Xưởng Sản Xuất</v>
      </c>
      <c r="C1329" s="167" t="str">
        <f>_xlfn.XLOOKUP(F1329,Mapping!A:A,Mapping!F:F)</f>
        <v>Lương Chính +T13</v>
      </c>
      <c r="D1329" s="173">
        <v>45869</v>
      </c>
      <c r="E1329" s="169" t="s">
        <v>940</v>
      </c>
      <c r="F1329" s="169" t="s">
        <v>400</v>
      </c>
      <c r="G1329" s="169" t="s">
        <v>401</v>
      </c>
      <c r="H1329" s="169" t="s">
        <v>402</v>
      </c>
      <c r="I1329" s="169" t="s">
        <v>403</v>
      </c>
      <c r="J1329" s="169" t="s">
        <v>941</v>
      </c>
      <c r="K1329" s="169" t="s">
        <v>405</v>
      </c>
      <c r="L1329" s="169" t="s">
        <v>882</v>
      </c>
      <c r="M1329" s="169" t="s">
        <v>281</v>
      </c>
      <c r="N1329" s="178">
        <v>536849167</v>
      </c>
      <c r="O1329" s="169" t="s">
        <v>942</v>
      </c>
      <c r="P1329" s="169" t="s">
        <v>283</v>
      </c>
      <c r="Q1329" s="169" t="s">
        <v>306</v>
      </c>
      <c r="R1329" s="169" t="s">
        <v>283</v>
      </c>
      <c r="S1329" s="169" t="s">
        <v>283</v>
      </c>
      <c r="T1329" s="169">
        <v>0</v>
      </c>
    </row>
    <row r="1330" spans="1:20" x14ac:dyDescent="0.2">
      <c r="A1330" s="169">
        <v>622</v>
      </c>
      <c r="B1330" s="167" t="str">
        <f>_xlfn.XLOOKUP(I1330,Mapping!D:D,Mapping!E:E)</f>
        <v>Xưởng Sản Xuất</v>
      </c>
      <c r="C1330" s="167" t="str">
        <f>_xlfn.XLOOKUP(F1330,Mapping!A:A,Mapping!F:F)</f>
        <v>Lương Chính +T13</v>
      </c>
      <c r="D1330" s="173">
        <v>45869</v>
      </c>
      <c r="E1330" s="169" t="s">
        <v>900</v>
      </c>
      <c r="F1330" s="169" t="s">
        <v>400</v>
      </c>
      <c r="G1330" s="169" t="s">
        <v>401</v>
      </c>
      <c r="H1330" s="169" t="s">
        <v>402</v>
      </c>
      <c r="I1330" s="169" t="s">
        <v>403</v>
      </c>
      <c r="J1330" s="169" t="s">
        <v>901</v>
      </c>
      <c r="K1330" s="169" t="s">
        <v>405</v>
      </c>
      <c r="L1330" s="169" t="s">
        <v>882</v>
      </c>
      <c r="M1330" s="169" t="s">
        <v>281</v>
      </c>
      <c r="N1330" s="178">
        <v>280273150</v>
      </c>
      <c r="O1330" s="169" t="s">
        <v>902</v>
      </c>
      <c r="P1330" s="169" t="s">
        <v>283</v>
      </c>
      <c r="Q1330" s="169" t="s">
        <v>306</v>
      </c>
      <c r="R1330" s="169" t="s">
        <v>283</v>
      </c>
      <c r="S1330" s="169" t="s">
        <v>283</v>
      </c>
      <c r="T1330" s="169">
        <v>0</v>
      </c>
    </row>
    <row r="1331" spans="1:20" x14ac:dyDescent="0.2">
      <c r="A1331" s="169">
        <v>622</v>
      </c>
      <c r="B1331" s="167" t="str">
        <f>_xlfn.XLOOKUP(I1331,Mapping!D:D,Mapping!E:E)</f>
        <v>Xưởng Sản Xuất</v>
      </c>
      <c r="C1331" s="167" t="str">
        <f>_xlfn.XLOOKUP(F1331,Mapping!A:A,Mapping!F:F)</f>
        <v>Phụ Cấp</v>
      </c>
      <c r="D1331" s="173">
        <v>45869</v>
      </c>
      <c r="E1331" s="169" t="s">
        <v>943</v>
      </c>
      <c r="F1331" s="169" t="s">
        <v>414</v>
      </c>
      <c r="G1331" s="169" t="s">
        <v>415</v>
      </c>
      <c r="H1331" s="169" t="s">
        <v>402</v>
      </c>
      <c r="I1331" s="169" t="s">
        <v>403</v>
      </c>
      <c r="J1331" s="169" t="s">
        <v>416</v>
      </c>
      <c r="K1331" s="169" t="s">
        <v>416</v>
      </c>
      <c r="L1331" s="169" t="s">
        <v>882</v>
      </c>
      <c r="M1331" s="169" t="s">
        <v>281</v>
      </c>
      <c r="N1331" s="178">
        <v>134200000</v>
      </c>
      <c r="O1331" s="169" t="s">
        <v>944</v>
      </c>
      <c r="P1331" s="169" t="s">
        <v>283</v>
      </c>
      <c r="Q1331" s="169" t="s">
        <v>348</v>
      </c>
      <c r="R1331" s="169" t="s">
        <v>283</v>
      </c>
      <c r="S1331" s="169" t="s">
        <v>283</v>
      </c>
      <c r="T1331" s="169">
        <v>0</v>
      </c>
    </row>
    <row r="1332" spans="1:20" x14ac:dyDescent="0.2">
      <c r="A1332" s="169">
        <v>627</v>
      </c>
      <c r="B1332" s="167" t="str">
        <f>_xlfn.XLOOKUP(I1332,Mapping!D:D,Mapping!E:E)</f>
        <v>Xưởng Sản Xuất</v>
      </c>
      <c r="C1332" s="167" t="str">
        <f>_xlfn.XLOOKUP(F1332,Mapping!A:A,Mapping!F:F)</f>
        <v>Phụ Cấp</v>
      </c>
      <c r="D1332" s="173">
        <v>45869</v>
      </c>
      <c r="E1332" s="169" t="s">
        <v>943</v>
      </c>
      <c r="F1332" s="169" t="s">
        <v>375</v>
      </c>
      <c r="G1332" s="169" t="s">
        <v>336</v>
      </c>
      <c r="H1332" s="169" t="s">
        <v>402</v>
      </c>
      <c r="I1332" s="169" t="s">
        <v>403</v>
      </c>
      <c r="J1332" s="169" t="s">
        <v>416</v>
      </c>
      <c r="K1332" s="169" t="s">
        <v>416</v>
      </c>
      <c r="L1332" s="169" t="s">
        <v>882</v>
      </c>
      <c r="M1332" s="169" t="s">
        <v>281</v>
      </c>
      <c r="N1332" s="178">
        <v>-134200000</v>
      </c>
      <c r="O1332" s="169" t="s">
        <v>944</v>
      </c>
      <c r="P1332" s="169" t="s">
        <v>283</v>
      </c>
      <c r="Q1332" s="169" t="s">
        <v>348</v>
      </c>
      <c r="R1332" s="169" t="s">
        <v>283</v>
      </c>
      <c r="S1332" s="169" t="s">
        <v>283</v>
      </c>
      <c r="T1332" s="169">
        <v>0</v>
      </c>
    </row>
    <row r="1333" spans="1:20" x14ac:dyDescent="0.2">
      <c r="A1333" s="169">
        <v>627</v>
      </c>
      <c r="B1333" s="167" t="str">
        <f>_xlfn.XLOOKUP(I1333,Mapping!D:D,Mapping!E:E)</f>
        <v>Xưởng Sản Xuất</v>
      </c>
      <c r="C1333" s="167" t="str">
        <f>_xlfn.XLOOKUP(F1333,Mapping!A:A,Mapping!F:F)</f>
        <v>Khen thưởng BD khác</v>
      </c>
      <c r="D1333" s="173">
        <v>45852</v>
      </c>
      <c r="E1333" s="169" t="s">
        <v>935</v>
      </c>
      <c r="F1333" s="169" t="s">
        <v>435</v>
      </c>
      <c r="G1333" s="169" t="s">
        <v>222</v>
      </c>
      <c r="H1333" s="169" t="s">
        <v>402</v>
      </c>
      <c r="I1333" s="169" t="s">
        <v>403</v>
      </c>
      <c r="J1333" s="169" t="s">
        <v>936</v>
      </c>
      <c r="K1333" s="169" t="s">
        <v>936</v>
      </c>
      <c r="L1333" s="169" t="s">
        <v>882</v>
      </c>
      <c r="M1333" s="169" t="s">
        <v>281</v>
      </c>
      <c r="N1333" s="178">
        <v>3200000</v>
      </c>
      <c r="O1333" s="169" t="s">
        <v>937</v>
      </c>
      <c r="P1333" s="169" t="s">
        <v>283</v>
      </c>
      <c r="Q1333" s="169" t="s">
        <v>306</v>
      </c>
      <c r="R1333" s="169" t="s">
        <v>283</v>
      </c>
      <c r="S1333" s="169" t="s">
        <v>283</v>
      </c>
      <c r="T1333" s="169">
        <v>0</v>
      </c>
    </row>
    <row r="1334" spans="1:20" x14ac:dyDescent="0.2">
      <c r="A1334" s="169">
        <v>627</v>
      </c>
      <c r="B1334" s="167" t="str">
        <f>_xlfn.XLOOKUP(I1334,Mapping!D:D,Mapping!E:E)</f>
        <v>Xưởng Sản Xuất</v>
      </c>
      <c r="C1334" s="167" t="str">
        <f>_xlfn.XLOOKUP(F1334,Mapping!A:A,Mapping!F:F)</f>
        <v>BHXH, BHYT, KPCĐ</v>
      </c>
      <c r="D1334" s="173">
        <v>45869</v>
      </c>
      <c r="E1334" s="169" t="s">
        <v>888</v>
      </c>
      <c r="F1334" s="169" t="s">
        <v>393</v>
      </c>
      <c r="G1334" s="169" t="s">
        <v>296</v>
      </c>
      <c r="H1334" s="169" t="s">
        <v>402</v>
      </c>
      <c r="I1334" s="169" t="s">
        <v>403</v>
      </c>
      <c r="J1334" s="169" t="s">
        <v>889</v>
      </c>
      <c r="K1334" s="169" t="s">
        <v>881</v>
      </c>
      <c r="L1334" s="169" t="s">
        <v>882</v>
      </c>
      <c r="M1334" s="169" t="s">
        <v>281</v>
      </c>
      <c r="N1334" s="178">
        <v>87181265</v>
      </c>
      <c r="O1334" s="169" t="s">
        <v>890</v>
      </c>
      <c r="P1334" s="169" t="s">
        <v>283</v>
      </c>
      <c r="Q1334" s="169" t="s">
        <v>284</v>
      </c>
      <c r="R1334" s="169" t="s">
        <v>283</v>
      </c>
      <c r="S1334" s="169" t="s">
        <v>283</v>
      </c>
      <c r="T1334" s="169">
        <v>0</v>
      </c>
    </row>
    <row r="1335" spans="1:20" x14ac:dyDescent="0.2">
      <c r="A1335" s="169">
        <v>622</v>
      </c>
      <c r="B1335" s="167" t="str">
        <f>_xlfn.XLOOKUP(I1335,Mapping!D:D,Mapping!E:E)</f>
        <v>Xưởng Sản Xuất</v>
      </c>
      <c r="C1335" s="167" t="str">
        <f>_xlfn.XLOOKUP(F1335,Mapping!A:A,Mapping!F:F)</f>
        <v>Lương Chính +T13</v>
      </c>
      <c r="D1335" s="173">
        <v>45840</v>
      </c>
      <c r="E1335" s="169" t="s">
        <v>932</v>
      </c>
      <c r="F1335" s="169" t="s">
        <v>400</v>
      </c>
      <c r="G1335" s="169" t="s">
        <v>401</v>
      </c>
      <c r="H1335" s="169" t="s">
        <v>430</v>
      </c>
      <c r="I1335" s="169" t="s">
        <v>431</v>
      </c>
      <c r="J1335" s="169" t="s">
        <v>933</v>
      </c>
      <c r="K1335" s="169" t="s">
        <v>405</v>
      </c>
      <c r="L1335" s="169" t="s">
        <v>882</v>
      </c>
      <c r="M1335" s="169" t="s">
        <v>281</v>
      </c>
      <c r="N1335" s="178">
        <v>39371667</v>
      </c>
      <c r="O1335" s="169" t="s">
        <v>934</v>
      </c>
      <c r="P1335" s="169" t="s">
        <v>283</v>
      </c>
      <c r="Q1335" s="169" t="s">
        <v>306</v>
      </c>
      <c r="R1335" s="169" t="s">
        <v>283</v>
      </c>
      <c r="S1335" s="169" t="s">
        <v>283</v>
      </c>
      <c r="T1335" s="169">
        <v>0</v>
      </c>
    </row>
    <row r="1336" spans="1:20" x14ac:dyDescent="0.2">
      <c r="A1336" s="169">
        <v>627</v>
      </c>
      <c r="B1336" s="167" t="str">
        <f>_xlfn.XLOOKUP(I1336,Mapping!D:D,Mapping!E:E)</f>
        <v>Xưởng Sản Xuất</v>
      </c>
      <c r="C1336" s="167" t="str">
        <f>_xlfn.XLOOKUP(F1336,Mapping!A:A,Mapping!F:F)</f>
        <v>Khen thưởng BD khác</v>
      </c>
      <c r="D1336" s="173">
        <v>45852</v>
      </c>
      <c r="E1336" s="169" t="s">
        <v>935</v>
      </c>
      <c r="F1336" s="169" t="s">
        <v>435</v>
      </c>
      <c r="G1336" s="169" t="s">
        <v>222</v>
      </c>
      <c r="H1336" s="169" t="s">
        <v>430</v>
      </c>
      <c r="I1336" s="169" t="s">
        <v>431</v>
      </c>
      <c r="J1336" s="169" t="s">
        <v>936</v>
      </c>
      <c r="K1336" s="169" t="s">
        <v>936</v>
      </c>
      <c r="L1336" s="169" t="s">
        <v>882</v>
      </c>
      <c r="M1336" s="169" t="s">
        <v>281</v>
      </c>
      <c r="N1336" s="178">
        <v>4600000</v>
      </c>
      <c r="O1336" s="169" t="s">
        <v>937</v>
      </c>
      <c r="P1336" s="169" t="s">
        <v>283</v>
      </c>
      <c r="Q1336" s="169" t="s">
        <v>306</v>
      </c>
      <c r="R1336" s="169" t="s">
        <v>283</v>
      </c>
      <c r="S1336" s="169" t="s">
        <v>283</v>
      </c>
      <c r="T1336" s="169">
        <v>0</v>
      </c>
    </row>
    <row r="1337" spans="1:20" x14ac:dyDescent="0.2">
      <c r="A1337" s="169">
        <v>627</v>
      </c>
      <c r="B1337" s="167" t="str">
        <f>_xlfn.XLOOKUP(I1337,Mapping!D:D,Mapping!E:E)</f>
        <v>Xưởng Sản Xuất</v>
      </c>
      <c r="C1337" s="167" t="str">
        <f>_xlfn.XLOOKUP(F1337,Mapping!A:A,Mapping!F:F)</f>
        <v>Khen thưởng BD khác</v>
      </c>
      <c r="D1337" s="173">
        <v>45852</v>
      </c>
      <c r="E1337" s="169" t="s">
        <v>935</v>
      </c>
      <c r="F1337" s="169" t="s">
        <v>435</v>
      </c>
      <c r="G1337" s="169" t="s">
        <v>222</v>
      </c>
      <c r="H1337" s="169" t="s">
        <v>436</v>
      </c>
      <c r="I1337" s="169" t="s">
        <v>437</v>
      </c>
      <c r="J1337" s="169" t="s">
        <v>936</v>
      </c>
      <c r="K1337" s="169" t="s">
        <v>936</v>
      </c>
      <c r="L1337" s="169" t="s">
        <v>882</v>
      </c>
      <c r="M1337" s="169" t="s">
        <v>281</v>
      </c>
      <c r="N1337" s="178">
        <v>1600000</v>
      </c>
      <c r="O1337" s="169" t="s">
        <v>937</v>
      </c>
      <c r="P1337" s="169" t="s">
        <v>283</v>
      </c>
      <c r="Q1337" s="169" t="s">
        <v>306</v>
      </c>
      <c r="R1337" s="169" t="s">
        <v>283</v>
      </c>
      <c r="S1337" s="169" t="s">
        <v>283</v>
      </c>
      <c r="T1337" s="169">
        <v>0</v>
      </c>
    </row>
    <row r="1338" spans="1:20" x14ac:dyDescent="0.2">
      <c r="A1338" s="169">
        <v>627</v>
      </c>
      <c r="B1338" s="167" t="str">
        <f>_xlfn.XLOOKUP(I1338,Mapping!D:D,Mapping!E:E)</f>
        <v>Xưởng Sản Xuất</v>
      </c>
      <c r="C1338" s="167" t="str">
        <f>_xlfn.XLOOKUP(F1338,Mapping!A:A,Mapping!F:F)</f>
        <v>Khen thưởng BD khác</v>
      </c>
      <c r="D1338" s="173">
        <v>45869</v>
      </c>
      <c r="E1338" s="169" t="s">
        <v>945</v>
      </c>
      <c r="F1338" s="169" t="s">
        <v>435</v>
      </c>
      <c r="G1338" s="169" t="s">
        <v>222</v>
      </c>
      <c r="H1338" s="169" t="s">
        <v>436</v>
      </c>
      <c r="I1338" s="169" t="s">
        <v>437</v>
      </c>
      <c r="J1338" s="169" t="s">
        <v>946</v>
      </c>
      <c r="K1338" s="169" t="s">
        <v>947</v>
      </c>
      <c r="L1338" s="169" t="s">
        <v>882</v>
      </c>
      <c r="M1338" s="169" t="s">
        <v>281</v>
      </c>
      <c r="N1338" s="178">
        <v>10950000</v>
      </c>
      <c r="O1338" s="169" t="s">
        <v>948</v>
      </c>
      <c r="P1338" s="169" t="s">
        <v>283</v>
      </c>
      <c r="Q1338" s="169" t="s">
        <v>764</v>
      </c>
      <c r="R1338" s="169" t="s">
        <v>283</v>
      </c>
      <c r="S1338" s="169" t="s">
        <v>283</v>
      </c>
      <c r="T1338" s="169">
        <v>0</v>
      </c>
    </row>
    <row r="1339" spans="1:20" x14ac:dyDescent="0.2">
      <c r="A1339" s="169">
        <v>622</v>
      </c>
      <c r="B1339" s="167" t="str">
        <f>_xlfn.XLOOKUP(I1339,Mapping!D:D,Mapping!E:E)</f>
        <v>Xưởng Sản Xuất</v>
      </c>
      <c r="C1339" s="167" t="str">
        <f>_xlfn.XLOOKUP(F1339,Mapping!A:A,Mapping!F:F)</f>
        <v>Lương Chính +T13</v>
      </c>
      <c r="D1339" s="173">
        <v>45869</v>
      </c>
      <c r="E1339" s="169" t="s">
        <v>879</v>
      </c>
      <c r="F1339" s="169" t="s">
        <v>400</v>
      </c>
      <c r="G1339" s="169" t="s">
        <v>401</v>
      </c>
      <c r="H1339" s="169" t="s">
        <v>430</v>
      </c>
      <c r="I1339" s="169" t="s">
        <v>431</v>
      </c>
      <c r="J1339" s="169" t="s">
        <v>880</v>
      </c>
      <c r="K1339" s="169" t="s">
        <v>881</v>
      </c>
      <c r="L1339" s="169" t="s">
        <v>882</v>
      </c>
      <c r="M1339" s="169" t="s">
        <v>281</v>
      </c>
      <c r="N1339" s="178">
        <v>310592873</v>
      </c>
      <c r="O1339" s="169" t="s">
        <v>883</v>
      </c>
      <c r="P1339" s="169" t="s">
        <v>283</v>
      </c>
      <c r="Q1339" s="169" t="s">
        <v>284</v>
      </c>
      <c r="R1339" s="169" t="s">
        <v>283</v>
      </c>
      <c r="S1339" s="169" t="s">
        <v>283</v>
      </c>
      <c r="T1339" s="169">
        <v>0</v>
      </c>
    </row>
    <row r="1340" spans="1:20" x14ac:dyDescent="0.2">
      <c r="A1340" s="169">
        <v>622</v>
      </c>
      <c r="B1340" s="167" t="str">
        <f>_xlfn.XLOOKUP(I1340,Mapping!D:D,Mapping!E:E)</f>
        <v>Xưởng Sản Xuất</v>
      </c>
      <c r="C1340" s="167" t="str">
        <f>_xlfn.XLOOKUP(F1340,Mapping!A:A,Mapping!F:F)</f>
        <v>Lương Chính +T13</v>
      </c>
      <c r="D1340" s="173">
        <v>45869</v>
      </c>
      <c r="E1340" s="169" t="s">
        <v>879</v>
      </c>
      <c r="F1340" s="169" t="s">
        <v>420</v>
      </c>
      <c r="G1340" s="169" t="s">
        <v>286</v>
      </c>
      <c r="H1340" s="169" t="s">
        <v>430</v>
      </c>
      <c r="I1340" s="169" t="s">
        <v>431</v>
      </c>
      <c r="J1340" s="169" t="s">
        <v>880</v>
      </c>
      <c r="K1340" s="169" t="s">
        <v>881</v>
      </c>
      <c r="L1340" s="169" t="s">
        <v>882</v>
      </c>
      <c r="M1340" s="169" t="s">
        <v>281</v>
      </c>
      <c r="N1340" s="178">
        <v>3192656</v>
      </c>
      <c r="O1340" s="169" t="s">
        <v>883</v>
      </c>
      <c r="P1340" s="169" t="s">
        <v>283</v>
      </c>
      <c r="Q1340" s="169" t="s">
        <v>284</v>
      </c>
      <c r="R1340" s="169" t="s">
        <v>283</v>
      </c>
      <c r="S1340" s="169" t="s">
        <v>283</v>
      </c>
      <c r="T1340" s="169">
        <v>0</v>
      </c>
    </row>
    <row r="1341" spans="1:20" x14ac:dyDescent="0.2">
      <c r="A1341" s="169">
        <v>622</v>
      </c>
      <c r="B1341" s="167" t="str">
        <f>_xlfn.XLOOKUP(I1341,Mapping!D:D,Mapping!E:E)</f>
        <v>Xưởng Sản Xuất</v>
      </c>
      <c r="C1341" s="167" t="str">
        <f>_xlfn.XLOOKUP(F1341,Mapping!A:A,Mapping!F:F)</f>
        <v>Phụ Cấp</v>
      </c>
      <c r="D1341" s="173">
        <v>45869</v>
      </c>
      <c r="E1341" s="169" t="s">
        <v>879</v>
      </c>
      <c r="F1341" s="169" t="s">
        <v>421</v>
      </c>
      <c r="G1341" s="169" t="s">
        <v>341</v>
      </c>
      <c r="H1341" s="169" t="s">
        <v>430</v>
      </c>
      <c r="I1341" s="169" t="s">
        <v>431</v>
      </c>
      <c r="J1341" s="169" t="s">
        <v>880</v>
      </c>
      <c r="K1341" s="169" t="s">
        <v>881</v>
      </c>
      <c r="L1341" s="169" t="s">
        <v>882</v>
      </c>
      <c r="M1341" s="169" t="s">
        <v>281</v>
      </c>
      <c r="N1341" s="178">
        <v>28499265</v>
      </c>
      <c r="O1341" s="169" t="s">
        <v>883</v>
      </c>
      <c r="P1341" s="169" t="s">
        <v>283</v>
      </c>
      <c r="Q1341" s="169" t="s">
        <v>284</v>
      </c>
      <c r="R1341" s="169" t="s">
        <v>283</v>
      </c>
      <c r="S1341" s="169" t="s">
        <v>283</v>
      </c>
      <c r="T1341" s="169">
        <v>0</v>
      </c>
    </row>
    <row r="1342" spans="1:20" x14ac:dyDescent="0.2">
      <c r="A1342" s="169">
        <v>622</v>
      </c>
      <c r="B1342" s="167" t="str">
        <f>_xlfn.XLOOKUP(I1342,Mapping!D:D,Mapping!E:E)</f>
        <v>Xưởng Sản Xuất</v>
      </c>
      <c r="C1342" s="167" t="str">
        <f>_xlfn.XLOOKUP(F1342,Mapping!A:A,Mapping!F:F)</f>
        <v>Lương Ngoài giờ</v>
      </c>
      <c r="D1342" s="173">
        <v>45869</v>
      </c>
      <c r="E1342" s="169" t="s">
        <v>879</v>
      </c>
      <c r="F1342" s="169" t="s">
        <v>422</v>
      </c>
      <c r="G1342" s="169" t="s">
        <v>423</v>
      </c>
      <c r="H1342" s="169" t="s">
        <v>430</v>
      </c>
      <c r="I1342" s="169" t="s">
        <v>431</v>
      </c>
      <c r="J1342" s="169" t="s">
        <v>880</v>
      </c>
      <c r="K1342" s="169" t="s">
        <v>881</v>
      </c>
      <c r="L1342" s="169" t="s">
        <v>882</v>
      </c>
      <c r="M1342" s="169" t="s">
        <v>281</v>
      </c>
      <c r="N1342" s="178">
        <v>62461935</v>
      </c>
      <c r="O1342" s="169" t="s">
        <v>883</v>
      </c>
      <c r="P1342" s="169" t="s">
        <v>283</v>
      </c>
      <c r="Q1342" s="169" t="s">
        <v>284</v>
      </c>
      <c r="R1342" s="169" t="s">
        <v>283</v>
      </c>
      <c r="S1342" s="169" t="s">
        <v>283</v>
      </c>
      <c r="T1342" s="169">
        <v>0</v>
      </c>
    </row>
    <row r="1343" spans="1:20" x14ac:dyDescent="0.2">
      <c r="A1343" s="169">
        <v>622</v>
      </c>
      <c r="B1343" s="167" t="str">
        <f>_xlfn.XLOOKUP(I1343,Mapping!D:D,Mapping!E:E)</f>
        <v>Xưởng Sản Xuất</v>
      </c>
      <c r="C1343" s="167" t="str">
        <f>_xlfn.XLOOKUP(F1343,Mapping!A:A,Mapping!F:F)</f>
        <v>Phụ Cấp</v>
      </c>
      <c r="D1343" s="173">
        <v>45869</v>
      </c>
      <c r="E1343" s="169" t="s">
        <v>879</v>
      </c>
      <c r="F1343" s="169" t="s">
        <v>414</v>
      </c>
      <c r="G1343" s="169" t="s">
        <v>415</v>
      </c>
      <c r="H1343" s="169" t="s">
        <v>430</v>
      </c>
      <c r="I1343" s="169" t="s">
        <v>431</v>
      </c>
      <c r="J1343" s="169" t="s">
        <v>880</v>
      </c>
      <c r="K1343" s="169" t="s">
        <v>881</v>
      </c>
      <c r="L1343" s="169" t="s">
        <v>882</v>
      </c>
      <c r="M1343" s="169" t="s">
        <v>281</v>
      </c>
      <c r="N1343" s="178">
        <v>7070000</v>
      </c>
      <c r="O1343" s="169" t="s">
        <v>883</v>
      </c>
      <c r="P1343" s="169" t="s">
        <v>283</v>
      </c>
      <c r="Q1343" s="169" t="s">
        <v>284</v>
      </c>
      <c r="R1343" s="169" t="s">
        <v>283</v>
      </c>
      <c r="S1343" s="169" t="s">
        <v>283</v>
      </c>
      <c r="T1343" s="169">
        <v>0</v>
      </c>
    </row>
    <row r="1344" spans="1:20" x14ac:dyDescent="0.2">
      <c r="A1344" s="169">
        <v>627</v>
      </c>
      <c r="B1344" s="167" t="str">
        <f>_xlfn.XLOOKUP(I1344,Mapping!D:D,Mapping!E:E)</f>
        <v>Xưởng Sản Xuất</v>
      </c>
      <c r="C1344" s="167" t="str">
        <f>_xlfn.XLOOKUP(F1344,Mapping!A:A,Mapping!F:F)</f>
        <v>Phụ Cấp</v>
      </c>
      <c r="D1344" s="173">
        <v>45869</v>
      </c>
      <c r="E1344" s="169" t="s">
        <v>879</v>
      </c>
      <c r="F1344" s="169" t="s">
        <v>386</v>
      </c>
      <c r="G1344" s="169" t="s">
        <v>341</v>
      </c>
      <c r="H1344" s="169" t="s">
        <v>430</v>
      </c>
      <c r="I1344" s="169" t="s">
        <v>431</v>
      </c>
      <c r="J1344" s="169" t="s">
        <v>880</v>
      </c>
      <c r="K1344" s="169" t="s">
        <v>881</v>
      </c>
      <c r="L1344" s="169" t="s">
        <v>882</v>
      </c>
      <c r="M1344" s="169" t="s">
        <v>281</v>
      </c>
      <c r="N1344" s="178">
        <v>9919068</v>
      </c>
      <c r="O1344" s="169" t="s">
        <v>883</v>
      </c>
      <c r="P1344" s="169" t="s">
        <v>283</v>
      </c>
      <c r="Q1344" s="169" t="s">
        <v>284</v>
      </c>
      <c r="R1344" s="169" t="s">
        <v>283</v>
      </c>
      <c r="S1344" s="169" t="s">
        <v>283</v>
      </c>
      <c r="T1344" s="169">
        <v>0</v>
      </c>
    </row>
    <row r="1345" spans="1:20" x14ac:dyDescent="0.2">
      <c r="A1345" s="169">
        <v>627</v>
      </c>
      <c r="B1345" s="167" t="str">
        <f>_xlfn.XLOOKUP(I1345,Mapping!D:D,Mapping!E:E)</f>
        <v>Xưởng Sản Xuất</v>
      </c>
      <c r="C1345" s="167" t="str">
        <f>_xlfn.XLOOKUP(F1345,Mapping!A:A,Mapping!F:F)</f>
        <v>Lương Chính +T13</v>
      </c>
      <c r="D1345" s="173">
        <v>45869</v>
      </c>
      <c r="E1345" s="169" t="s">
        <v>879</v>
      </c>
      <c r="F1345" s="169" t="s">
        <v>387</v>
      </c>
      <c r="G1345" s="169" t="s">
        <v>275</v>
      </c>
      <c r="H1345" s="169" t="s">
        <v>430</v>
      </c>
      <c r="I1345" s="169" t="s">
        <v>431</v>
      </c>
      <c r="J1345" s="169" t="s">
        <v>880</v>
      </c>
      <c r="K1345" s="169" t="s">
        <v>881</v>
      </c>
      <c r="L1345" s="169" t="s">
        <v>882</v>
      </c>
      <c r="M1345" s="169" t="s">
        <v>281</v>
      </c>
      <c r="N1345" s="178">
        <v>166954641</v>
      </c>
      <c r="O1345" s="169" t="s">
        <v>883</v>
      </c>
      <c r="P1345" s="169" t="s">
        <v>283</v>
      </c>
      <c r="Q1345" s="169" t="s">
        <v>284</v>
      </c>
      <c r="R1345" s="169" t="s">
        <v>283</v>
      </c>
      <c r="S1345" s="169" t="s">
        <v>283</v>
      </c>
      <c r="T1345" s="169">
        <v>0</v>
      </c>
    </row>
    <row r="1346" spans="1:20" x14ac:dyDescent="0.2">
      <c r="A1346" s="169">
        <v>627</v>
      </c>
      <c r="B1346" s="167" t="str">
        <f>_xlfn.XLOOKUP(I1346,Mapping!D:D,Mapping!E:E)</f>
        <v>Xưởng Sản Xuất</v>
      </c>
      <c r="C1346" s="167" t="str">
        <f>_xlfn.XLOOKUP(F1346,Mapping!A:A,Mapping!F:F)</f>
        <v>Lương Chính +T13</v>
      </c>
      <c r="D1346" s="173">
        <v>45869</v>
      </c>
      <c r="E1346" s="169" t="s">
        <v>879</v>
      </c>
      <c r="F1346" s="169" t="s">
        <v>388</v>
      </c>
      <c r="G1346" s="169" t="s">
        <v>286</v>
      </c>
      <c r="H1346" s="169" t="s">
        <v>430</v>
      </c>
      <c r="I1346" s="169" t="s">
        <v>431</v>
      </c>
      <c r="J1346" s="169" t="s">
        <v>880</v>
      </c>
      <c r="K1346" s="169" t="s">
        <v>881</v>
      </c>
      <c r="L1346" s="169" t="s">
        <v>882</v>
      </c>
      <c r="M1346" s="169" t="s">
        <v>281</v>
      </c>
      <c r="N1346" s="178">
        <v>4015231</v>
      </c>
      <c r="O1346" s="169" t="s">
        <v>883</v>
      </c>
      <c r="P1346" s="169" t="s">
        <v>283</v>
      </c>
      <c r="Q1346" s="169" t="s">
        <v>284</v>
      </c>
      <c r="R1346" s="169" t="s">
        <v>283</v>
      </c>
      <c r="S1346" s="169" t="s">
        <v>283</v>
      </c>
      <c r="T1346" s="169">
        <v>0</v>
      </c>
    </row>
    <row r="1347" spans="1:20" x14ac:dyDescent="0.2">
      <c r="A1347" s="169">
        <v>627</v>
      </c>
      <c r="B1347" s="167" t="str">
        <f>_xlfn.XLOOKUP(I1347,Mapping!D:D,Mapping!E:E)</f>
        <v>Xưởng Sản Xuất</v>
      </c>
      <c r="C1347" s="167" t="str">
        <f>_xlfn.XLOOKUP(F1347,Mapping!A:A,Mapping!F:F)</f>
        <v>Lương Ngoài giờ</v>
      </c>
      <c r="D1347" s="173">
        <v>45869</v>
      </c>
      <c r="E1347" s="169" t="s">
        <v>879</v>
      </c>
      <c r="F1347" s="169" t="s">
        <v>389</v>
      </c>
      <c r="G1347" s="169" t="s">
        <v>390</v>
      </c>
      <c r="H1347" s="169" t="s">
        <v>430</v>
      </c>
      <c r="I1347" s="169" t="s">
        <v>431</v>
      </c>
      <c r="J1347" s="169" t="s">
        <v>880</v>
      </c>
      <c r="K1347" s="169" t="s">
        <v>881</v>
      </c>
      <c r="L1347" s="169" t="s">
        <v>882</v>
      </c>
      <c r="M1347" s="169" t="s">
        <v>281</v>
      </c>
      <c r="N1347" s="178">
        <v>21145443</v>
      </c>
      <c r="O1347" s="169" t="s">
        <v>883</v>
      </c>
      <c r="P1347" s="169" t="s">
        <v>283</v>
      </c>
      <c r="Q1347" s="169" t="s">
        <v>284</v>
      </c>
      <c r="R1347" s="169" t="s">
        <v>283</v>
      </c>
      <c r="S1347" s="169" t="s">
        <v>283</v>
      </c>
      <c r="T1347" s="169">
        <v>0</v>
      </c>
    </row>
    <row r="1348" spans="1:20" x14ac:dyDescent="0.2">
      <c r="A1348" s="169">
        <v>627</v>
      </c>
      <c r="B1348" s="167" t="str">
        <f>_xlfn.XLOOKUP(I1348,Mapping!D:D,Mapping!E:E)</f>
        <v>Xưởng Sản Xuất</v>
      </c>
      <c r="C1348" s="167" t="str">
        <f>_xlfn.XLOOKUP(F1348,Mapping!A:A,Mapping!F:F)</f>
        <v>Phụ Cấp</v>
      </c>
      <c r="D1348" s="173">
        <v>45869</v>
      </c>
      <c r="E1348" s="169" t="s">
        <v>879</v>
      </c>
      <c r="F1348" s="169" t="s">
        <v>375</v>
      </c>
      <c r="G1348" s="169" t="s">
        <v>336</v>
      </c>
      <c r="H1348" s="169" t="s">
        <v>430</v>
      </c>
      <c r="I1348" s="169" t="s">
        <v>431</v>
      </c>
      <c r="J1348" s="169" t="s">
        <v>880</v>
      </c>
      <c r="K1348" s="169" t="s">
        <v>881</v>
      </c>
      <c r="L1348" s="169" t="s">
        <v>882</v>
      </c>
      <c r="M1348" s="169" t="s">
        <v>281</v>
      </c>
      <c r="N1348" s="178">
        <v>1600000</v>
      </c>
      <c r="O1348" s="169" t="s">
        <v>883</v>
      </c>
      <c r="P1348" s="169" t="s">
        <v>283</v>
      </c>
      <c r="Q1348" s="169" t="s">
        <v>284</v>
      </c>
      <c r="R1348" s="169" t="s">
        <v>283</v>
      </c>
      <c r="S1348" s="169" t="s">
        <v>283</v>
      </c>
      <c r="T1348" s="169">
        <v>0</v>
      </c>
    </row>
    <row r="1349" spans="1:20" x14ac:dyDescent="0.2">
      <c r="A1349" s="169">
        <v>627</v>
      </c>
      <c r="B1349" s="167" t="str">
        <f>_xlfn.XLOOKUP(I1349,Mapping!D:D,Mapping!E:E)</f>
        <v>Xưởng Sản Xuất</v>
      </c>
      <c r="C1349" s="167" t="str">
        <f>_xlfn.XLOOKUP(F1349,Mapping!A:A,Mapping!F:F)</f>
        <v>Phụ Cấp</v>
      </c>
      <c r="D1349" s="173">
        <v>45869</v>
      </c>
      <c r="E1349" s="169" t="s">
        <v>879</v>
      </c>
      <c r="F1349" s="169" t="s">
        <v>386</v>
      </c>
      <c r="G1349" s="169" t="s">
        <v>341</v>
      </c>
      <c r="H1349" s="169" t="s">
        <v>436</v>
      </c>
      <c r="I1349" s="169" t="s">
        <v>437</v>
      </c>
      <c r="J1349" s="169" t="s">
        <v>880</v>
      </c>
      <c r="K1349" s="169" t="s">
        <v>881</v>
      </c>
      <c r="L1349" s="169" t="s">
        <v>882</v>
      </c>
      <c r="M1349" s="169" t="s">
        <v>281</v>
      </c>
      <c r="N1349" s="178">
        <v>10800612</v>
      </c>
      <c r="O1349" s="169" t="s">
        <v>883</v>
      </c>
      <c r="P1349" s="169" t="s">
        <v>283</v>
      </c>
      <c r="Q1349" s="169" t="s">
        <v>284</v>
      </c>
      <c r="R1349" s="169" t="s">
        <v>283</v>
      </c>
      <c r="S1349" s="169" t="s">
        <v>283</v>
      </c>
      <c r="T1349" s="169">
        <v>0</v>
      </c>
    </row>
    <row r="1350" spans="1:20" x14ac:dyDescent="0.2">
      <c r="A1350" s="169">
        <v>627</v>
      </c>
      <c r="B1350" s="167" t="str">
        <f>_xlfn.XLOOKUP(I1350,Mapping!D:D,Mapping!E:E)</f>
        <v>Xưởng Sản Xuất</v>
      </c>
      <c r="C1350" s="167" t="str">
        <f>_xlfn.XLOOKUP(F1350,Mapping!A:A,Mapping!F:F)</f>
        <v>Lương Chính +T13</v>
      </c>
      <c r="D1350" s="173">
        <v>45869</v>
      </c>
      <c r="E1350" s="169" t="s">
        <v>879</v>
      </c>
      <c r="F1350" s="169" t="s">
        <v>387</v>
      </c>
      <c r="G1350" s="169" t="s">
        <v>275</v>
      </c>
      <c r="H1350" s="169" t="s">
        <v>436</v>
      </c>
      <c r="I1350" s="169" t="s">
        <v>437</v>
      </c>
      <c r="J1350" s="169" t="s">
        <v>880</v>
      </c>
      <c r="K1350" s="169" t="s">
        <v>881</v>
      </c>
      <c r="L1350" s="169" t="s">
        <v>882</v>
      </c>
      <c r="M1350" s="169" t="s">
        <v>281</v>
      </c>
      <c r="N1350" s="178">
        <v>385123758</v>
      </c>
      <c r="O1350" s="169" t="s">
        <v>883</v>
      </c>
      <c r="P1350" s="169" t="s">
        <v>283</v>
      </c>
      <c r="Q1350" s="169" t="s">
        <v>284</v>
      </c>
      <c r="R1350" s="169" t="s">
        <v>283</v>
      </c>
      <c r="S1350" s="169" t="s">
        <v>283</v>
      </c>
      <c r="T1350" s="169">
        <v>0</v>
      </c>
    </row>
    <row r="1351" spans="1:20" x14ac:dyDescent="0.2">
      <c r="A1351" s="169">
        <v>627</v>
      </c>
      <c r="B1351" s="167" t="str">
        <f>_xlfn.XLOOKUP(I1351,Mapping!D:D,Mapping!E:E)</f>
        <v>Xưởng Sản Xuất</v>
      </c>
      <c r="C1351" s="167" t="str">
        <f>_xlfn.XLOOKUP(F1351,Mapping!A:A,Mapping!F:F)</f>
        <v>Lương Chính +T13</v>
      </c>
      <c r="D1351" s="173">
        <v>45869</v>
      </c>
      <c r="E1351" s="169" t="s">
        <v>879</v>
      </c>
      <c r="F1351" s="169" t="s">
        <v>388</v>
      </c>
      <c r="G1351" s="169" t="s">
        <v>286</v>
      </c>
      <c r="H1351" s="169" t="s">
        <v>436</v>
      </c>
      <c r="I1351" s="169" t="s">
        <v>437</v>
      </c>
      <c r="J1351" s="169" t="s">
        <v>880</v>
      </c>
      <c r="K1351" s="169" t="s">
        <v>881</v>
      </c>
      <c r="L1351" s="169" t="s">
        <v>882</v>
      </c>
      <c r="M1351" s="169" t="s">
        <v>281</v>
      </c>
      <c r="N1351" s="178">
        <v>8082445</v>
      </c>
      <c r="O1351" s="169" t="s">
        <v>883</v>
      </c>
      <c r="P1351" s="169" t="s">
        <v>283</v>
      </c>
      <c r="Q1351" s="169" t="s">
        <v>284</v>
      </c>
      <c r="R1351" s="169" t="s">
        <v>283</v>
      </c>
      <c r="S1351" s="169" t="s">
        <v>283</v>
      </c>
      <c r="T1351" s="169">
        <v>0</v>
      </c>
    </row>
    <row r="1352" spans="1:20" x14ac:dyDescent="0.2">
      <c r="A1352" s="169">
        <v>627</v>
      </c>
      <c r="B1352" s="167" t="str">
        <f>_xlfn.XLOOKUP(I1352,Mapping!D:D,Mapping!E:E)</f>
        <v>Xưởng Sản Xuất</v>
      </c>
      <c r="C1352" s="167" t="str">
        <f>_xlfn.XLOOKUP(F1352,Mapping!A:A,Mapping!F:F)</f>
        <v>Lương Ngoài giờ</v>
      </c>
      <c r="D1352" s="173">
        <v>45869</v>
      </c>
      <c r="E1352" s="169" t="s">
        <v>879</v>
      </c>
      <c r="F1352" s="169" t="s">
        <v>389</v>
      </c>
      <c r="G1352" s="169" t="s">
        <v>390</v>
      </c>
      <c r="H1352" s="169" t="s">
        <v>436</v>
      </c>
      <c r="I1352" s="169" t="s">
        <v>437</v>
      </c>
      <c r="J1352" s="169" t="s">
        <v>880</v>
      </c>
      <c r="K1352" s="169" t="s">
        <v>881</v>
      </c>
      <c r="L1352" s="169" t="s">
        <v>882</v>
      </c>
      <c r="M1352" s="169" t="s">
        <v>281</v>
      </c>
      <c r="N1352" s="178">
        <v>54951964</v>
      </c>
      <c r="O1352" s="169" t="s">
        <v>883</v>
      </c>
      <c r="P1352" s="169" t="s">
        <v>283</v>
      </c>
      <c r="Q1352" s="169" t="s">
        <v>284</v>
      </c>
      <c r="R1352" s="169" t="s">
        <v>283</v>
      </c>
      <c r="S1352" s="169" t="s">
        <v>283</v>
      </c>
      <c r="T1352" s="169">
        <v>0</v>
      </c>
    </row>
    <row r="1353" spans="1:20" x14ac:dyDescent="0.2">
      <c r="A1353" s="169">
        <v>627</v>
      </c>
      <c r="B1353" s="167" t="str">
        <f>_xlfn.XLOOKUP(I1353,Mapping!D:D,Mapping!E:E)</f>
        <v>Xưởng Sản Xuất</v>
      </c>
      <c r="C1353" s="167" t="str">
        <f>_xlfn.XLOOKUP(F1353,Mapping!A:A,Mapping!F:F)</f>
        <v>Phụ Cấp</v>
      </c>
      <c r="D1353" s="173">
        <v>45869</v>
      </c>
      <c r="E1353" s="169" t="s">
        <v>879</v>
      </c>
      <c r="F1353" s="169" t="s">
        <v>375</v>
      </c>
      <c r="G1353" s="169" t="s">
        <v>336</v>
      </c>
      <c r="H1353" s="169" t="s">
        <v>436</v>
      </c>
      <c r="I1353" s="169" t="s">
        <v>437</v>
      </c>
      <c r="J1353" s="169" t="s">
        <v>880</v>
      </c>
      <c r="K1353" s="169" t="s">
        <v>881</v>
      </c>
      <c r="L1353" s="169" t="s">
        <v>882</v>
      </c>
      <c r="M1353" s="169" t="s">
        <v>281</v>
      </c>
      <c r="N1353" s="178">
        <v>5830000</v>
      </c>
      <c r="O1353" s="169" t="s">
        <v>883</v>
      </c>
      <c r="P1353" s="169" t="s">
        <v>283</v>
      </c>
      <c r="Q1353" s="169" t="s">
        <v>284</v>
      </c>
      <c r="R1353" s="169" t="s">
        <v>283</v>
      </c>
      <c r="S1353" s="169" t="s">
        <v>283</v>
      </c>
      <c r="T1353" s="169">
        <v>0</v>
      </c>
    </row>
    <row r="1354" spans="1:20" x14ac:dyDescent="0.2">
      <c r="B1354" s="167" t="str">
        <f>_xlfn.XLOOKUP(I1354,Mapping!D:D,Mapping!E:E)</f>
        <v>Tư vấn dịch vụ</v>
      </c>
      <c r="C1354" s="167" t="str">
        <f>_xlfn.XLOOKUP(F1354,Mapping!A:A,Mapping!F:F)</f>
        <v>Lương Chính +T13</v>
      </c>
      <c r="D1354" s="173">
        <v>45869</v>
      </c>
      <c r="E1354" s="169" t="s">
        <v>879</v>
      </c>
      <c r="F1354" s="169" t="s">
        <v>274</v>
      </c>
      <c r="G1354" s="169" t="s">
        <v>275</v>
      </c>
      <c r="H1354" s="169" t="s">
        <v>443</v>
      </c>
      <c r="I1354" s="169" t="s">
        <v>444</v>
      </c>
      <c r="J1354" s="169" t="s">
        <v>880</v>
      </c>
      <c r="K1354" s="169" t="s">
        <v>881</v>
      </c>
      <c r="L1354" s="169" t="s">
        <v>882</v>
      </c>
      <c r="M1354" s="169" t="s">
        <v>281</v>
      </c>
      <c r="N1354" s="178">
        <v>190000000</v>
      </c>
      <c r="O1354" s="169" t="s">
        <v>883</v>
      </c>
      <c r="P1354" s="169" t="s">
        <v>283</v>
      </c>
      <c r="Q1354" s="169" t="s">
        <v>284</v>
      </c>
      <c r="R1354" s="169" t="s">
        <v>283</v>
      </c>
      <c r="S1354" s="169" t="s">
        <v>283</v>
      </c>
      <c r="T1354" s="169">
        <v>0</v>
      </c>
    </row>
    <row r="1355" spans="1:20" x14ac:dyDescent="0.2">
      <c r="A1355" s="169">
        <v>622</v>
      </c>
      <c r="B1355" s="167" t="str">
        <f>_xlfn.XLOOKUP(I1355,Mapping!D:D,Mapping!E:E)</f>
        <v>Xưởng Sản Xuất</v>
      </c>
      <c r="C1355" s="167" t="str">
        <f>_xlfn.XLOOKUP(F1355,Mapping!A:A,Mapping!F:F)</f>
        <v>Lương Chính +T13</v>
      </c>
      <c r="D1355" s="173">
        <v>45869</v>
      </c>
      <c r="E1355" s="169" t="s">
        <v>879</v>
      </c>
      <c r="F1355" s="169" t="s">
        <v>400</v>
      </c>
      <c r="G1355" s="169" t="s">
        <v>401</v>
      </c>
      <c r="H1355" s="169" t="s">
        <v>441</v>
      </c>
      <c r="I1355" s="169" t="s">
        <v>442</v>
      </c>
      <c r="J1355" s="169" t="s">
        <v>880</v>
      </c>
      <c r="K1355" s="169" t="s">
        <v>881</v>
      </c>
      <c r="L1355" s="169" t="s">
        <v>882</v>
      </c>
      <c r="M1355" s="169" t="s">
        <v>281</v>
      </c>
      <c r="N1355" s="178">
        <v>8204318</v>
      </c>
      <c r="O1355" s="169" t="s">
        <v>883</v>
      </c>
      <c r="P1355" s="169" t="s">
        <v>283</v>
      </c>
      <c r="Q1355" s="169" t="s">
        <v>284</v>
      </c>
      <c r="R1355" s="169" t="s">
        <v>283</v>
      </c>
      <c r="S1355" s="169" t="s">
        <v>283</v>
      </c>
      <c r="T1355" s="169">
        <v>0</v>
      </c>
    </row>
    <row r="1356" spans="1:20" x14ac:dyDescent="0.2">
      <c r="A1356" s="169">
        <v>622</v>
      </c>
      <c r="B1356" s="167" t="str">
        <f>_xlfn.XLOOKUP(I1356,Mapping!D:D,Mapping!E:E)</f>
        <v>Xưởng Sản Xuất</v>
      </c>
      <c r="C1356" s="167" t="str">
        <f>_xlfn.XLOOKUP(F1356,Mapping!A:A,Mapping!F:F)</f>
        <v>Phụ Cấp</v>
      </c>
      <c r="D1356" s="173">
        <v>45869</v>
      </c>
      <c r="E1356" s="169" t="s">
        <v>879</v>
      </c>
      <c r="F1356" s="169" t="s">
        <v>421</v>
      </c>
      <c r="G1356" s="169" t="s">
        <v>341</v>
      </c>
      <c r="H1356" s="169" t="s">
        <v>441</v>
      </c>
      <c r="I1356" s="169" t="s">
        <v>442</v>
      </c>
      <c r="J1356" s="169" t="s">
        <v>880</v>
      </c>
      <c r="K1356" s="169" t="s">
        <v>881</v>
      </c>
      <c r="L1356" s="169" t="s">
        <v>882</v>
      </c>
      <c r="M1356" s="169" t="s">
        <v>281</v>
      </c>
      <c r="N1356" s="178">
        <v>787015</v>
      </c>
      <c r="O1356" s="169" t="s">
        <v>883</v>
      </c>
      <c r="P1356" s="169" t="s">
        <v>283</v>
      </c>
      <c r="Q1356" s="169" t="s">
        <v>284</v>
      </c>
      <c r="R1356" s="169" t="s">
        <v>283</v>
      </c>
      <c r="S1356" s="169" t="s">
        <v>283</v>
      </c>
      <c r="T1356" s="169">
        <v>0</v>
      </c>
    </row>
    <row r="1357" spans="1:20" x14ac:dyDescent="0.2">
      <c r="A1357" s="169">
        <v>622</v>
      </c>
      <c r="B1357" s="167" t="str">
        <f>_xlfn.XLOOKUP(I1357,Mapping!D:D,Mapping!E:E)</f>
        <v>Xưởng Sản Xuất</v>
      </c>
      <c r="C1357" s="167" t="str">
        <f>_xlfn.XLOOKUP(F1357,Mapping!A:A,Mapping!F:F)</f>
        <v>Lương Ngoài giờ</v>
      </c>
      <c r="D1357" s="173">
        <v>45869</v>
      </c>
      <c r="E1357" s="169" t="s">
        <v>879</v>
      </c>
      <c r="F1357" s="169" t="s">
        <v>422</v>
      </c>
      <c r="G1357" s="169" t="s">
        <v>423</v>
      </c>
      <c r="H1357" s="169" t="s">
        <v>441</v>
      </c>
      <c r="I1357" s="169" t="s">
        <v>442</v>
      </c>
      <c r="J1357" s="169" t="s">
        <v>880</v>
      </c>
      <c r="K1357" s="169" t="s">
        <v>881</v>
      </c>
      <c r="L1357" s="169" t="s">
        <v>882</v>
      </c>
      <c r="M1357" s="169" t="s">
        <v>281</v>
      </c>
      <c r="N1357" s="178">
        <v>1755020</v>
      </c>
      <c r="O1357" s="169" t="s">
        <v>883</v>
      </c>
      <c r="P1357" s="169" t="s">
        <v>283</v>
      </c>
      <c r="Q1357" s="169" t="s">
        <v>284</v>
      </c>
      <c r="R1357" s="169" t="s">
        <v>283</v>
      </c>
      <c r="S1357" s="169" t="s">
        <v>283</v>
      </c>
      <c r="T1357" s="169">
        <v>0</v>
      </c>
    </row>
    <row r="1358" spans="1:20" x14ac:dyDescent="0.2">
      <c r="A1358" s="169">
        <v>622</v>
      </c>
      <c r="B1358" s="167" t="str">
        <f>_xlfn.XLOOKUP(I1358,Mapping!D:D,Mapping!E:E)</f>
        <v>Xưởng Sản Xuất</v>
      </c>
      <c r="C1358" s="167" t="str">
        <f>_xlfn.XLOOKUP(F1358,Mapping!A:A,Mapping!F:F)</f>
        <v>Phụ Cấp</v>
      </c>
      <c r="D1358" s="173">
        <v>45869</v>
      </c>
      <c r="E1358" s="169" t="s">
        <v>879</v>
      </c>
      <c r="F1358" s="169" t="s">
        <v>414</v>
      </c>
      <c r="G1358" s="169" t="s">
        <v>415</v>
      </c>
      <c r="H1358" s="169" t="s">
        <v>441</v>
      </c>
      <c r="I1358" s="169" t="s">
        <v>442</v>
      </c>
      <c r="J1358" s="169" t="s">
        <v>880</v>
      </c>
      <c r="K1358" s="169" t="s">
        <v>881</v>
      </c>
      <c r="L1358" s="169" t="s">
        <v>882</v>
      </c>
      <c r="M1358" s="169" t="s">
        <v>281</v>
      </c>
      <c r="N1358" s="178">
        <v>170000</v>
      </c>
      <c r="O1358" s="169" t="s">
        <v>883</v>
      </c>
      <c r="P1358" s="169" t="s">
        <v>283</v>
      </c>
      <c r="Q1358" s="169" t="s">
        <v>284</v>
      </c>
      <c r="R1358" s="169" t="s">
        <v>283</v>
      </c>
      <c r="S1358" s="169" t="s">
        <v>283</v>
      </c>
      <c r="T1358" s="169">
        <v>0</v>
      </c>
    </row>
    <row r="1359" spans="1:20" x14ac:dyDescent="0.2">
      <c r="A1359" s="169">
        <v>627</v>
      </c>
      <c r="B1359" s="167" t="str">
        <f>_xlfn.XLOOKUP(I1359,Mapping!D:D,Mapping!E:E)</f>
        <v>Xưởng Sản Xuất</v>
      </c>
      <c r="C1359" s="167" t="str">
        <f>_xlfn.XLOOKUP(F1359,Mapping!A:A,Mapping!F:F)</f>
        <v>Phụ Cấp</v>
      </c>
      <c r="D1359" s="173">
        <v>45864</v>
      </c>
      <c r="E1359" s="169" t="s">
        <v>894</v>
      </c>
      <c r="F1359" s="169" t="s">
        <v>375</v>
      </c>
      <c r="G1359" s="169" t="s">
        <v>336</v>
      </c>
      <c r="H1359" s="169" t="s">
        <v>441</v>
      </c>
      <c r="I1359" s="169" t="s">
        <v>442</v>
      </c>
      <c r="J1359" s="169" t="s">
        <v>895</v>
      </c>
      <c r="K1359" s="169" t="s">
        <v>741</v>
      </c>
      <c r="L1359" s="169" t="s">
        <v>882</v>
      </c>
      <c r="M1359" s="169" t="s">
        <v>281</v>
      </c>
      <c r="N1359" s="178">
        <v>400000</v>
      </c>
      <c r="O1359" s="169" t="s">
        <v>896</v>
      </c>
      <c r="P1359" s="169" t="s">
        <v>283</v>
      </c>
      <c r="Q1359" s="169" t="s">
        <v>306</v>
      </c>
      <c r="R1359" s="169" t="s">
        <v>283</v>
      </c>
      <c r="S1359" s="169" t="s">
        <v>283</v>
      </c>
      <c r="T1359" s="169">
        <v>0</v>
      </c>
    </row>
    <row r="1360" spans="1:20" x14ac:dyDescent="0.2">
      <c r="A1360" s="169">
        <v>627</v>
      </c>
      <c r="B1360" s="167" t="str">
        <f>_xlfn.XLOOKUP(I1360,Mapping!D:D,Mapping!E:E)</f>
        <v>Xưởng Sản Xuất</v>
      </c>
      <c r="C1360" s="167" t="str">
        <f>_xlfn.XLOOKUP(F1360,Mapping!A:A,Mapping!F:F)</f>
        <v>Phụ Cấp</v>
      </c>
      <c r="D1360" s="173">
        <v>45864</v>
      </c>
      <c r="E1360" s="169" t="s">
        <v>894</v>
      </c>
      <c r="F1360" s="169" t="s">
        <v>375</v>
      </c>
      <c r="G1360" s="169" t="s">
        <v>336</v>
      </c>
      <c r="H1360" s="169" t="s">
        <v>430</v>
      </c>
      <c r="I1360" s="169" t="s">
        <v>431</v>
      </c>
      <c r="J1360" s="169" t="s">
        <v>895</v>
      </c>
      <c r="K1360" s="169" t="s">
        <v>741</v>
      </c>
      <c r="L1360" s="169" t="s">
        <v>882</v>
      </c>
      <c r="M1360" s="169" t="s">
        <v>281</v>
      </c>
      <c r="N1360" s="178">
        <v>28325000</v>
      </c>
      <c r="O1360" s="169" t="s">
        <v>896</v>
      </c>
      <c r="P1360" s="169" t="s">
        <v>283</v>
      </c>
      <c r="Q1360" s="169" t="s">
        <v>306</v>
      </c>
      <c r="R1360" s="169" t="s">
        <v>283</v>
      </c>
      <c r="S1360" s="169" t="s">
        <v>283</v>
      </c>
      <c r="T1360" s="169">
        <v>0</v>
      </c>
    </row>
    <row r="1361" spans="1:20" x14ac:dyDescent="0.2">
      <c r="A1361" s="169">
        <v>627</v>
      </c>
      <c r="B1361" s="167" t="str">
        <f>_xlfn.XLOOKUP(I1361,Mapping!D:D,Mapping!E:E)</f>
        <v>Xưởng Sản Xuất</v>
      </c>
      <c r="C1361" s="167" t="str">
        <f>_xlfn.XLOOKUP(F1361,Mapping!A:A,Mapping!F:F)</f>
        <v>Phụ Cấp</v>
      </c>
      <c r="D1361" s="173">
        <v>45864</v>
      </c>
      <c r="E1361" s="169" t="s">
        <v>894</v>
      </c>
      <c r="F1361" s="169" t="s">
        <v>375</v>
      </c>
      <c r="G1361" s="169" t="s">
        <v>336</v>
      </c>
      <c r="H1361" s="169" t="s">
        <v>436</v>
      </c>
      <c r="I1361" s="169" t="s">
        <v>437</v>
      </c>
      <c r="J1361" s="169" t="s">
        <v>895</v>
      </c>
      <c r="K1361" s="169" t="s">
        <v>741</v>
      </c>
      <c r="L1361" s="169" t="s">
        <v>882</v>
      </c>
      <c r="M1361" s="169" t="s">
        <v>281</v>
      </c>
      <c r="N1361" s="178">
        <v>25525000</v>
      </c>
      <c r="O1361" s="169" t="s">
        <v>896</v>
      </c>
      <c r="P1361" s="169" t="s">
        <v>283</v>
      </c>
      <c r="Q1361" s="169" t="s">
        <v>306</v>
      </c>
      <c r="R1361" s="169" t="s">
        <v>283</v>
      </c>
      <c r="S1361" s="169" t="s">
        <v>283</v>
      </c>
      <c r="T1361" s="169">
        <v>0</v>
      </c>
    </row>
    <row r="1362" spans="1:20" x14ac:dyDescent="0.2">
      <c r="A1362" s="169">
        <v>627</v>
      </c>
      <c r="B1362" s="167" t="str">
        <f>_xlfn.XLOOKUP(I1362,Mapping!D:D,Mapping!E:E)</f>
        <v>Xưởng Sản Xuất</v>
      </c>
      <c r="C1362" s="167" t="str">
        <f>_xlfn.XLOOKUP(F1362,Mapping!A:A,Mapping!F:F)</f>
        <v>Lương Chính +T13</v>
      </c>
      <c r="D1362" s="173">
        <v>45869</v>
      </c>
      <c r="E1362" s="169" t="s">
        <v>884</v>
      </c>
      <c r="F1362" s="169" t="s">
        <v>388</v>
      </c>
      <c r="G1362" s="169" t="s">
        <v>286</v>
      </c>
      <c r="H1362" s="169" t="s">
        <v>430</v>
      </c>
      <c r="I1362" s="169" t="s">
        <v>431</v>
      </c>
      <c r="J1362" s="169" t="s">
        <v>885</v>
      </c>
      <c r="K1362" s="169" t="s">
        <v>881</v>
      </c>
      <c r="L1362" s="169" t="s">
        <v>882</v>
      </c>
      <c r="M1362" s="169" t="s">
        <v>281</v>
      </c>
      <c r="N1362" s="178">
        <v>12865449</v>
      </c>
      <c r="O1362" s="169" t="s">
        <v>886</v>
      </c>
      <c r="P1362" s="169" t="s">
        <v>283</v>
      </c>
      <c r="Q1362" s="169" t="s">
        <v>284</v>
      </c>
      <c r="R1362" s="169" t="s">
        <v>283</v>
      </c>
      <c r="S1362" s="169" t="s">
        <v>283</v>
      </c>
      <c r="T1362" s="169">
        <v>0</v>
      </c>
    </row>
    <row r="1363" spans="1:20" x14ac:dyDescent="0.2">
      <c r="A1363" s="169">
        <v>622</v>
      </c>
      <c r="B1363" s="167" t="str">
        <f>_xlfn.XLOOKUP(I1363,Mapping!D:D,Mapping!E:E)</f>
        <v>Xưởng Sản Xuất</v>
      </c>
      <c r="C1363" s="167" t="str">
        <f>_xlfn.XLOOKUP(F1363,Mapping!A:A,Mapping!F:F)</f>
        <v>Lương Chính +T13</v>
      </c>
      <c r="D1363" s="173">
        <v>45869</v>
      </c>
      <c r="E1363" s="169" t="s">
        <v>884</v>
      </c>
      <c r="F1363" s="169" t="s">
        <v>420</v>
      </c>
      <c r="G1363" s="169" t="s">
        <v>286</v>
      </c>
      <c r="H1363" s="169" t="s">
        <v>430</v>
      </c>
      <c r="I1363" s="169" t="s">
        <v>431</v>
      </c>
      <c r="J1363" s="169" t="s">
        <v>885</v>
      </c>
      <c r="K1363" s="169" t="s">
        <v>881</v>
      </c>
      <c r="L1363" s="169" t="s">
        <v>882</v>
      </c>
      <c r="M1363" s="169" t="s">
        <v>281</v>
      </c>
      <c r="N1363" s="178">
        <v>19493886</v>
      </c>
      <c r="O1363" s="169" t="s">
        <v>886</v>
      </c>
      <c r="P1363" s="169" t="s">
        <v>283</v>
      </c>
      <c r="Q1363" s="169" t="s">
        <v>284</v>
      </c>
      <c r="R1363" s="169" t="s">
        <v>283</v>
      </c>
      <c r="S1363" s="169" t="s">
        <v>283</v>
      </c>
      <c r="T1363" s="169">
        <v>0</v>
      </c>
    </row>
    <row r="1364" spans="1:20" x14ac:dyDescent="0.2">
      <c r="A1364" s="169">
        <v>627</v>
      </c>
      <c r="B1364" s="167" t="str">
        <f>_xlfn.XLOOKUP(I1364,Mapping!D:D,Mapping!E:E)</f>
        <v>Xưởng Sản Xuất</v>
      </c>
      <c r="C1364" s="167" t="str">
        <f>_xlfn.XLOOKUP(F1364,Mapping!A:A,Mapping!F:F)</f>
        <v>Thưởng</v>
      </c>
      <c r="D1364" s="173">
        <v>45869</v>
      </c>
      <c r="E1364" s="169" t="s">
        <v>884</v>
      </c>
      <c r="F1364" s="169" t="s">
        <v>395</v>
      </c>
      <c r="G1364" s="169" t="s">
        <v>77</v>
      </c>
      <c r="H1364" s="169" t="s">
        <v>430</v>
      </c>
      <c r="I1364" s="169" t="s">
        <v>431</v>
      </c>
      <c r="J1364" s="169" t="s">
        <v>887</v>
      </c>
      <c r="K1364" s="169" t="s">
        <v>881</v>
      </c>
      <c r="L1364" s="169" t="s">
        <v>882</v>
      </c>
      <c r="M1364" s="169" t="s">
        <v>281</v>
      </c>
      <c r="N1364" s="178">
        <v>11408821</v>
      </c>
      <c r="O1364" s="169" t="s">
        <v>886</v>
      </c>
      <c r="P1364" s="169" t="s">
        <v>283</v>
      </c>
      <c r="Q1364" s="169" t="s">
        <v>284</v>
      </c>
      <c r="R1364" s="169" t="s">
        <v>283</v>
      </c>
      <c r="S1364" s="169" t="s">
        <v>283</v>
      </c>
      <c r="T1364" s="169">
        <v>0</v>
      </c>
    </row>
    <row r="1365" spans="1:20" x14ac:dyDescent="0.2">
      <c r="A1365" s="169">
        <v>622</v>
      </c>
      <c r="B1365" s="167" t="str">
        <f>_xlfn.XLOOKUP(I1365,Mapping!D:D,Mapping!E:E)</f>
        <v>Xưởng Sản Xuất</v>
      </c>
      <c r="C1365" s="167" t="str">
        <f>_xlfn.XLOOKUP(F1365,Mapping!A:A,Mapping!F:F)</f>
        <v>Thưởng</v>
      </c>
      <c r="D1365" s="173">
        <v>45869</v>
      </c>
      <c r="E1365" s="169" t="s">
        <v>884</v>
      </c>
      <c r="F1365" s="169" t="s">
        <v>426</v>
      </c>
      <c r="G1365" s="169" t="s">
        <v>77</v>
      </c>
      <c r="H1365" s="169" t="s">
        <v>430</v>
      </c>
      <c r="I1365" s="169" t="s">
        <v>431</v>
      </c>
      <c r="J1365" s="169" t="s">
        <v>887</v>
      </c>
      <c r="K1365" s="169" t="s">
        <v>881</v>
      </c>
      <c r="L1365" s="169" t="s">
        <v>882</v>
      </c>
      <c r="M1365" s="169" t="s">
        <v>281</v>
      </c>
      <c r="N1365" s="178">
        <v>4967261</v>
      </c>
      <c r="O1365" s="169" t="s">
        <v>886</v>
      </c>
      <c r="P1365" s="169" t="s">
        <v>283</v>
      </c>
      <c r="Q1365" s="169" t="s">
        <v>284</v>
      </c>
      <c r="R1365" s="169" t="s">
        <v>283</v>
      </c>
      <c r="S1365" s="169" t="s">
        <v>283</v>
      </c>
      <c r="T1365" s="169">
        <v>0</v>
      </c>
    </row>
    <row r="1366" spans="1:20" x14ac:dyDescent="0.2">
      <c r="A1366" s="169">
        <v>627</v>
      </c>
      <c r="B1366" s="167" t="str">
        <f>_xlfn.XLOOKUP(I1366,Mapping!D:D,Mapping!E:E)</f>
        <v>Xưởng Sản Xuất</v>
      </c>
      <c r="C1366" s="167" t="str">
        <f>_xlfn.XLOOKUP(F1366,Mapping!A:A,Mapping!F:F)</f>
        <v>Lương Chính +T13</v>
      </c>
      <c r="D1366" s="173">
        <v>45869</v>
      </c>
      <c r="E1366" s="169" t="s">
        <v>884</v>
      </c>
      <c r="F1366" s="169" t="s">
        <v>388</v>
      </c>
      <c r="G1366" s="169" t="s">
        <v>286</v>
      </c>
      <c r="H1366" s="169" t="s">
        <v>436</v>
      </c>
      <c r="I1366" s="169" t="s">
        <v>437</v>
      </c>
      <c r="J1366" s="169" t="s">
        <v>885</v>
      </c>
      <c r="K1366" s="169" t="s">
        <v>881</v>
      </c>
      <c r="L1366" s="169" t="s">
        <v>882</v>
      </c>
      <c r="M1366" s="169" t="s">
        <v>281</v>
      </c>
      <c r="N1366" s="178">
        <v>26364035</v>
      </c>
      <c r="O1366" s="169" t="s">
        <v>886</v>
      </c>
      <c r="P1366" s="169" t="s">
        <v>283</v>
      </c>
      <c r="Q1366" s="169" t="s">
        <v>284</v>
      </c>
      <c r="R1366" s="169" t="s">
        <v>283</v>
      </c>
      <c r="S1366" s="169" t="s">
        <v>283</v>
      </c>
      <c r="T1366" s="169">
        <v>0</v>
      </c>
    </row>
    <row r="1367" spans="1:20" x14ac:dyDescent="0.2">
      <c r="A1367" s="169">
        <v>627</v>
      </c>
      <c r="B1367" s="167" t="str">
        <f>_xlfn.XLOOKUP(I1367,Mapping!D:D,Mapping!E:E)</f>
        <v>Xưởng Sản Xuất</v>
      </c>
      <c r="C1367" s="167" t="str">
        <f>_xlfn.XLOOKUP(F1367,Mapping!A:A,Mapping!F:F)</f>
        <v>Thưởng</v>
      </c>
      <c r="D1367" s="173">
        <v>45869</v>
      </c>
      <c r="E1367" s="169" t="s">
        <v>884</v>
      </c>
      <c r="F1367" s="169" t="s">
        <v>395</v>
      </c>
      <c r="G1367" s="169" t="s">
        <v>77</v>
      </c>
      <c r="H1367" s="169" t="s">
        <v>436</v>
      </c>
      <c r="I1367" s="169" t="s">
        <v>437</v>
      </c>
      <c r="J1367" s="169" t="s">
        <v>887</v>
      </c>
      <c r="K1367" s="169" t="s">
        <v>881</v>
      </c>
      <c r="L1367" s="169" t="s">
        <v>882</v>
      </c>
      <c r="M1367" s="169" t="s">
        <v>281</v>
      </c>
      <c r="N1367" s="178">
        <v>16194564</v>
      </c>
      <c r="O1367" s="169" t="s">
        <v>886</v>
      </c>
      <c r="P1367" s="169" t="s">
        <v>283</v>
      </c>
      <c r="Q1367" s="169" t="s">
        <v>284</v>
      </c>
      <c r="R1367" s="169" t="s">
        <v>283</v>
      </c>
      <c r="S1367" s="169" t="s">
        <v>283</v>
      </c>
      <c r="T1367" s="169">
        <v>0</v>
      </c>
    </row>
    <row r="1368" spans="1:20" x14ac:dyDescent="0.2">
      <c r="A1368" s="169">
        <v>622</v>
      </c>
      <c r="B1368" s="167" t="str">
        <f>_xlfn.XLOOKUP(I1368,Mapping!D:D,Mapping!E:E)</f>
        <v>Xưởng Sản Xuất</v>
      </c>
      <c r="C1368" s="167" t="str">
        <f>_xlfn.XLOOKUP(F1368,Mapping!A:A,Mapping!F:F)</f>
        <v>Lương Chính +T13</v>
      </c>
      <c r="D1368" s="173">
        <v>45869</v>
      </c>
      <c r="E1368" s="169" t="s">
        <v>884</v>
      </c>
      <c r="F1368" s="169" t="s">
        <v>420</v>
      </c>
      <c r="G1368" s="169" t="s">
        <v>286</v>
      </c>
      <c r="H1368" s="169" t="s">
        <v>441</v>
      </c>
      <c r="I1368" s="169" t="s">
        <v>442</v>
      </c>
      <c r="J1368" s="169" t="s">
        <v>885</v>
      </c>
      <c r="K1368" s="169" t="s">
        <v>881</v>
      </c>
      <c r="L1368" s="169" t="s">
        <v>882</v>
      </c>
      <c r="M1368" s="169" t="s">
        <v>281</v>
      </c>
      <c r="N1368" s="178">
        <v>531385</v>
      </c>
      <c r="O1368" s="169" t="s">
        <v>886</v>
      </c>
      <c r="P1368" s="169" t="s">
        <v>283</v>
      </c>
      <c r="Q1368" s="169" t="s">
        <v>284</v>
      </c>
      <c r="R1368" s="169" t="s">
        <v>283</v>
      </c>
      <c r="S1368" s="169" t="s">
        <v>283</v>
      </c>
      <c r="T1368" s="169">
        <v>0</v>
      </c>
    </row>
    <row r="1369" spans="1:20" x14ac:dyDescent="0.2">
      <c r="A1369" s="169">
        <v>622</v>
      </c>
      <c r="B1369" s="167" t="str">
        <f>_xlfn.XLOOKUP(I1369,Mapping!D:D,Mapping!E:E)</f>
        <v>Xưởng Sản Xuất</v>
      </c>
      <c r="C1369" s="167" t="str">
        <f>_xlfn.XLOOKUP(F1369,Mapping!A:A,Mapping!F:F)</f>
        <v>Thưởng</v>
      </c>
      <c r="D1369" s="173">
        <v>45869</v>
      </c>
      <c r="E1369" s="169" t="s">
        <v>884</v>
      </c>
      <c r="F1369" s="169" t="s">
        <v>426</v>
      </c>
      <c r="G1369" s="169" t="s">
        <v>77</v>
      </c>
      <c r="H1369" s="169" t="s">
        <v>441</v>
      </c>
      <c r="I1369" s="169" t="s">
        <v>442</v>
      </c>
      <c r="J1369" s="169" t="s">
        <v>887</v>
      </c>
      <c r="K1369" s="169" t="s">
        <v>881</v>
      </c>
      <c r="L1369" s="169" t="s">
        <v>882</v>
      </c>
      <c r="M1369" s="169" t="s">
        <v>281</v>
      </c>
      <c r="N1369" s="178">
        <v>78876</v>
      </c>
      <c r="O1369" s="169" t="s">
        <v>886</v>
      </c>
      <c r="P1369" s="169" t="s">
        <v>283</v>
      </c>
      <c r="Q1369" s="169" t="s">
        <v>284</v>
      </c>
      <c r="R1369" s="169" t="s">
        <v>283</v>
      </c>
      <c r="S1369" s="169" t="s">
        <v>283</v>
      </c>
      <c r="T1369" s="169">
        <v>0</v>
      </c>
    </row>
    <row r="1370" spans="1:20" x14ac:dyDescent="0.2">
      <c r="A1370" s="169">
        <v>622</v>
      </c>
      <c r="B1370" s="167" t="str">
        <f>_xlfn.XLOOKUP(I1370,Mapping!D:D,Mapping!E:E)</f>
        <v>Xưởng Sản Xuất</v>
      </c>
      <c r="C1370" s="167" t="str">
        <f>_xlfn.XLOOKUP(F1370,Mapping!A:A,Mapping!F:F)</f>
        <v>BHXH, BHYT, KPCĐ</v>
      </c>
      <c r="D1370" s="173">
        <v>45869</v>
      </c>
      <c r="E1370" s="169" t="s">
        <v>888</v>
      </c>
      <c r="F1370" s="169" t="s">
        <v>425</v>
      </c>
      <c r="G1370" s="169" t="s">
        <v>296</v>
      </c>
      <c r="H1370" s="169" t="s">
        <v>430</v>
      </c>
      <c r="I1370" s="169" t="s">
        <v>431</v>
      </c>
      <c r="J1370" s="169" t="s">
        <v>889</v>
      </c>
      <c r="K1370" s="169" t="s">
        <v>881</v>
      </c>
      <c r="L1370" s="169" t="s">
        <v>882</v>
      </c>
      <c r="M1370" s="169" t="s">
        <v>281</v>
      </c>
      <c r="N1370" s="178">
        <v>47970845</v>
      </c>
      <c r="O1370" s="169" t="s">
        <v>890</v>
      </c>
      <c r="P1370" s="169" t="s">
        <v>283</v>
      </c>
      <c r="Q1370" s="169" t="s">
        <v>284</v>
      </c>
      <c r="R1370" s="169" t="s">
        <v>283</v>
      </c>
      <c r="S1370" s="169" t="s">
        <v>283</v>
      </c>
      <c r="T1370" s="169">
        <v>0</v>
      </c>
    </row>
    <row r="1371" spans="1:20" x14ac:dyDescent="0.2">
      <c r="A1371" s="169">
        <v>627</v>
      </c>
      <c r="B1371" s="167" t="str">
        <f>_xlfn.XLOOKUP(I1371,Mapping!D:D,Mapping!E:E)</f>
        <v>Xưởng Sản Xuất</v>
      </c>
      <c r="C1371" s="167" t="str">
        <f>_xlfn.XLOOKUP(F1371,Mapping!A:A,Mapping!F:F)</f>
        <v>BHXH, BHYT, KPCĐ</v>
      </c>
      <c r="D1371" s="173">
        <v>45869</v>
      </c>
      <c r="E1371" s="169" t="s">
        <v>888</v>
      </c>
      <c r="F1371" s="169" t="s">
        <v>393</v>
      </c>
      <c r="G1371" s="169" t="s">
        <v>296</v>
      </c>
      <c r="H1371" s="169" t="s">
        <v>430</v>
      </c>
      <c r="I1371" s="169" t="s">
        <v>431</v>
      </c>
      <c r="J1371" s="169" t="s">
        <v>889</v>
      </c>
      <c r="K1371" s="169" t="s">
        <v>881</v>
      </c>
      <c r="L1371" s="169" t="s">
        <v>882</v>
      </c>
      <c r="M1371" s="169" t="s">
        <v>281</v>
      </c>
      <c r="N1371" s="178">
        <v>32155695</v>
      </c>
      <c r="O1371" s="169" t="s">
        <v>890</v>
      </c>
      <c r="P1371" s="169" t="s">
        <v>283</v>
      </c>
      <c r="Q1371" s="169" t="s">
        <v>284</v>
      </c>
      <c r="R1371" s="169" t="s">
        <v>283</v>
      </c>
      <c r="S1371" s="169" t="s">
        <v>283</v>
      </c>
      <c r="T1371" s="169">
        <v>0</v>
      </c>
    </row>
    <row r="1372" spans="1:20" x14ac:dyDescent="0.2">
      <c r="A1372" s="169">
        <v>627</v>
      </c>
      <c r="B1372" s="167" t="str">
        <f>_xlfn.XLOOKUP(I1372,Mapping!D:D,Mapping!E:E)</f>
        <v>Xưởng Sản Xuất</v>
      </c>
      <c r="C1372" s="167" t="str">
        <f>_xlfn.XLOOKUP(F1372,Mapping!A:A,Mapping!F:F)</f>
        <v>BHXH, BHYT, KPCĐ</v>
      </c>
      <c r="D1372" s="173">
        <v>45869</v>
      </c>
      <c r="E1372" s="169" t="s">
        <v>888</v>
      </c>
      <c r="F1372" s="169" t="s">
        <v>393</v>
      </c>
      <c r="G1372" s="169" t="s">
        <v>296</v>
      </c>
      <c r="H1372" s="169" t="s">
        <v>436</v>
      </c>
      <c r="I1372" s="169" t="s">
        <v>437</v>
      </c>
      <c r="J1372" s="169" t="s">
        <v>889</v>
      </c>
      <c r="K1372" s="169" t="s">
        <v>881</v>
      </c>
      <c r="L1372" s="169" t="s">
        <v>882</v>
      </c>
      <c r="M1372" s="169" t="s">
        <v>281</v>
      </c>
      <c r="N1372" s="178">
        <v>54693565</v>
      </c>
      <c r="O1372" s="169" t="s">
        <v>890</v>
      </c>
      <c r="P1372" s="169" t="s">
        <v>283</v>
      </c>
      <c r="Q1372" s="169" t="s">
        <v>284</v>
      </c>
      <c r="R1372" s="169" t="s">
        <v>283</v>
      </c>
      <c r="S1372" s="169" t="s">
        <v>283</v>
      </c>
      <c r="T1372" s="169">
        <v>0</v>
      </c>
    </row>
    <row r="1373" spans="1:20" x14ac:dyDescent="0.2">
      <c r="A1373" s="169">
        <v>622</v>
      </c>
      <c r="B1373" s="167" t="str">
        <f>_xlfn.XLOOKUP(I1373,Mapping!D:D,Mapping!E:E)</f>
        <v>Xưởng Sản Xuất</v>
      </c>
      <c r="C1373" s="167" t="str">
        <f>_xlfn.XLOOKUP(F1373,Mapping!A:A,Mapping!F:F)</f>
        <v>BHXH, BHYT, KPCĐ</v>
      </c>
      <c r="D1373" s="173">
        <v>45869</v>
      </c>
      <c r="E1373" s="169" t="s">
        <v>888</v>
      </c>
      <c r="F1373" s="169" t="s">
        <v>425</v>
      </c>
      <c r="G1373" s="169" t="s">
        <v>296</v>
      </c>
      <c r="H1373" s="169" t="s">
        <v>441</v>
      </c>
      <c r="I1373" s="169" t="s">
        <v>442</v>
      </c>
      <c r="J1373" s="169" t="s">
        <v>889</v>
      </c>
      <c r="K1373" s="169" t="s">
        <v>881</v>
      </c>
      <c r="L1373" s="169" t="s">
        <v>882</v>
      </c>
      <c r="M1373" s="169" t="s">
        <v>281</v>
      </c>
      <c r="N1373" s="178">
        <v>1308480</v>
      </c>
      <c r="O1373" s="169" t="s">
        <v>890</v>
      </c>
      <c r="P1373" s="169" t="s">
        <v>283</v>
      </c>
      <c r="Q1373" s="169" t="s">
        <v>284</v>
      </c>
      <c r="R1373" s="169" t="s">
        <v>283</v>
      </c>
      <c r="S1373" s="169" t="s">
        <v>283</v>
      </c>
      <c r="T1373" s="169">
        <v>0</v>
      </c>
    </row>
    <row r="1374" spans="1:20" x14ac:dyDescent="0.2">
      <c r="A1374" s="169">
        <v>627</v>
      </c>
      <c r="B1374" s="167" t="str">
        <f>_xlfn.XLOOKUP(I1374,Mapping!D:D,Mapping!E:E)</f>
        <v>Xưởng Sản Xuất</v>
      </c>
      <c r="C1374" s="167" t="str">
        <f>_xlfn.XLOOKUP(F1374,Mapping!A:A,Mapping!F:F)</f>
        <v>BHXH, BHYT, KPCĐ</v>
      </c>
      <c r="D1374" s="173">
        <v>45869</v>
      </c>
      <c r="E1374" s="169" t="s">
        <v>891</v>
      </c>
      <c r="F1374" s="169" t="s">
        <v>393</v>
      </c>
      <c r="G1374" s="169" t="s">
        <v>296</v>
      </c>
      <c r="H1374" s="169" t="s">
        <v>436</v>
      </c>
      <c r="I1374" s="169" t="s">
        <v>437</v>
      </c>
      <c r="J1374" s="169" t="s">
        <v>892</v>
      </c>
      <c r="K1374" s="169" t="s">
        <v>881</v>
      </c>
      <c r="L1374" s="169" t="s">
        <v>882</v>
      </c>
      <c r="M1374" s="169" t="s">
        <v>281</v>
      </c>
      <c r="N1374" s="178">
        <v>-2339115</v>
      </c>
      <c r="O1374" s="169" t="s">
        <v>893</v>
      </c>
      <c r="P1374" s="169" t="s">
        <v>283</v>
      </c>
      <c r="Q1374" s="169" t="s">
        <v>284</v>
      </c>
      <c r="R1374" s="169" t="s">
        <v>283</v>
      </c>
      <c r="S1374" s="169" t="s">
        <v>283</v>
      </c>
      <c r="T1374" s="169">
        <v>0</v>
      </c>
    </row>
    <row r="1375" spans="1:20" x14ac:dyDescent="0.2">
      <c r="A1375" s="169">
        <v>622</v>
      </c>
      <c r="B1375" s="167" t="str">
        <f>_xlfn.XLOOKUP(I1375,Mapping!D:D,Mapping!E:E)</f>
        <v>Xưởng Sản Xuất</v>
      </c>
      <c r="C1375" s="167" t="str">
        <f>_xlfn.XLOOKUP(F1375,Mapping!A:A,Mapping!F:F)</f>
        <v>BHXH, BHYT, KPCĐ</v>
      </c>
      <c r="D1375" s="173">
        <v>45869</v>
      </c>
      <c r="E1375" s="169" t="s">
        <v>891</v>
      </c>
      <c r="F1375" s="169" t="s">
        <v>425</v>
      </c>
      <c r="G1375" s="169" t="s">
        <v>296</v>
      </c>
      <c r="H1375" s="169" t="s">
        <v>430</v>
      </c>
      <c r="I1375" s="169" t="s">
        <v>431</v>
      </c>
      <c r="J1375" s="169" t="s">
        <v>892</v>
      </c>
      <c r="K1375" s="169" t="s">
        <v>881</v>
      </c>
      <c r="L1375" s="169" t="s">
        <v>882</v>
      </c>
      <c r="M1375" s="169" t="s">
        <v>281</v>
      </c>
      <c r="N1375" s="178">
        <v>229500</v>
      </c>
      <c r="O1375" s="169" t="s">
        <v>893</v>
      </c>
      <c r="P1375" s="169" t="s">
        <v>283</v>
      </c>
      <c r="Q1375" s="169" t="s">
        <v>284</v>
      </c>
      <c r="R1375" s="169" t="s">
        <v>283</v>
      </c>
      <c r="S1375" s="169" t="s">
        <v>283</v>
      </c>
      <c r="T1375" s="169">
        <v>0</v>
      </c>
    </row>
    <row r="1376" spans="1:20" x14ac:dyDescent="0.2">
      <c r="A1376" s="169">
        <v>627</v>
      </c>
      <c r="B1376" s="167" t="str">
        <f>_xlfn.XLOOKUP(I1376,Mapping!D:D,Mapping!E:E)</f>
        <v>Xưởng Sản Xuất</v>
      </c>
      <c r="C1376" s="167" t="str">
        <f>_xlfn.XLOOKUP(F1376,Mapping!A:A,Mapping!F:F)</f>
        <v>Lương Chính +T13</v>
      </c>
      <c r="D1376" s="173">
        <v>45869</v>
      </c>
      <c r="E1376" s="169" t="s">
        <v>900</v>
      </c>
      <c r="F1376" s="169" t="s">
        <v>387</v>
      </c>
      <c r="G1376" s="169" t="s">
        <v>275</v>
      </c>
      <c r="H1376" s="169" t="s">
        <v>436</v>
      </c>
      <c r="I1376" s="169" t="s">
        <v>437</v>
      </c>
      <c r="J1376" s="169" t="s">
        <v>901</v>
      </c>
      <c r="K1376" s="169" t="s">
        <v>405</v>
      </c>
      <c r="L1376" s="169" t="s">
        <v>882</v>
      </c>
      <c r="M1376" s="169" t="s">
        <v>281</v>
      </c>
      <c r="N1376" s="178">
        <v>3096801</v>
      </c>
      <c r="O1376" s="169" t="s">
        <v>902</v>
      </c>
      <c r="P1376" s="169" t="s">
        <v>283</v>
      </c>
      <c r="Q1376" s="169" t="s">
        <v>306</v>
      </c>
      <c r="R1376" s="169" t="s">
        <v>283</v>
      </c>
      <c r="S1376" s="169" t="s">
        <v>283</v>
      </c>
      <c r="T1376" s="169">
        <v>0</v>
      </c>
    </row>
    <row r="1377" spans="1:20" x14ac:dyDescent="0.2">
      <c r="B1377" s="167" t="str">
        <f>_xlfn.XLOOKUP(I1377,Mapping!D:D,Mapping!E:E)</f>
        <v>Tư vấn dịch vụ</v>
      </c>
      <c r="C1377" s="167" t="str">
        <f>_xlfn.XLOOKUP(F1377,Mapping!A:A,Mapping!F:F)</f>
        <v>Lương Chính +T13</v>
      </c>
      <c r="D1377" s="173">
        <v>45869</v>
      </c>
      <c r="E1377" s="169" t="s">
        <v>949</v>
      </c>
      <c r="F1377" s="169" t="s">
        <v>285</v>
      </c>
      <c r="G1377" s="169" t="s">
        <v>286</v>
      </c>
      <c r="H1377" s="169" t="s">
        <v>443</v>
      </c>
      <c r="I1377" s="169" t="s">
        <v>444</v>
      </c>
      <c r="J1377" s="169" t="s">
        <v>950</v>
      </c>
      <c r="K1377" s="169" t="s">
        <v>951</v>
      </c>
      <c r="L1377" s="169" t="s">
        <v>882</v>
      </c>
      <c r="M1377" s="169" t="s">
        <v>281</v>
      </c>
      <c r="N1377" s="178">
        <v>-93749999</v>
      </c>
      <c r="O1377" s="169" t="s">
        <v>952</v>
      </c>
      <c r="P1377" s="169" t="s">
        <v>283</v>
      </c>
      <c r="Q1377" s="169" t="s">
        <v>284</v>
      </c>
      <c r="R1377" s="169" t="s">
        <v>283</v>
      </c>
      <c r="S1377" s="169" t="s">
        <v>283</v>
      </c>
      <c r="T1377" s="169">
        <v>0</v>
      </c>
    </row>
    <row r="1378" spans="1:20" x14ac:dyDescent="0.2">
      <c r="B1378" s="167" t="str">
        <f>_xlfn.XLOOKUP(I1378,Mapping!D:D,Mapping!E:E)</f>
        <v>Tư vấn dịch vụ</v>
      </c>
      <c r="C1378" s="167" t="str">
        <f>_xlfn.XLOOKUP(F1378,Mapping!A:A,Mapping!F:F)</f>
        <v>Thưởng</v>
      </c>
      <c r="D1378" s="173">
        <v>45869</v>
      </c>
      <c r="E1378" s="169" t="s">
        <v>949</v>
      </c>
      <c r="F1378" s="169" t="s">
        <v>292</v>
      </c>
      <c r="G1378" s="169" t="s">
        <v>77</v>
      </c>
      <c r="H1378" s="169" t="s">
        <v>443</v>
      </c>
      <c r="I1378" s="169" t="s">
        <v>444</v>
      </c>
      <c r="J1378" s="169" t="s">
        <v>953</v>
      </c>
      <c r="K1378" s="169" t="s">
        <v>951</v>
      </c>
      <c r="L1378" s="169" t="s">
        <v>882</v>
      </c>
      <c r="M1378" s="169" t="s">
        <v>281</v>
      </c>
      <c r="N1378" s="178">
        <v>-86249250</v>
      </c>
      <c r="O1378" s="169" t="s">
        <v>952</v>
      </c>
      <c r="P1378" s="169" t="s">
        <v>283</v>
      </c>
      <c r="Q1378" s="169" t="s">
        <v>284</v>
      </c>
      <c r="R1378" s="169" t="s">
        <v>283</v>
      </c>
      <c r="S1378" s="169" t="s">
        <v>283</v>
      </c>
      <c r="T1378" s="169">
        <v>0</v>
      </c>
    </row>
    <row r="1379" spans="1:20" x14ac:dyDescent="0.2">
      <c r="A1379" s="169">
        <v>622</v>
      </c>
      <c r="B1379" s="167" t="str">
        <f>_xlfn.XLOOKUP(I1379,Mapping!D:D,Mapping!E:E)</f>
        <v>Xưởng Sản Xuất</v>
      </c>
      <c r="C1379" s="167" t="str">
        <f>_xlfn.XLOOKUP(F1379,Mapping!A:A,Mapping!F:F)</f>
        <v>Phụ Cấp</v>
      </c>
      <c r="D1379" s="173">
        <v>45869</v>
      </c>
      <c r="E1379" s="169" t="s">
        <v>943</v>
      </c>
      <c r="F1379" s="169" t="s">
        <v>414</v>
      </c>
      <c r="G1379" s="169" t="s">
        <v>415</v>
      </c>
      <c r="H1379" s="169" t="s">
        <v>441</v>
      </c>
      <c r="I1379" s="169" t="s">
        <v>442</v>
      </c>
      <c r="J1379" s="169" t="s">
        <v>416</v>
      </c>
      <c r="K1379" s="169" t="s">
        <v>416</v>
      </c>
      <c r="L1379" s="169" t="s">
        <v>882</v>
      </c>
      <c r="M1379" s="169" t="s">
        <v>281</v>
      </c>
      <c r="N1379" s="178">
        <v>400000</v>
      </c>
      <c r="O1379" s="169" t="s">
        <v>944</v>
      </c>
      <c r="P1379" s="169" t="s">
        <v>283</v>
      </c>
      <c r="Q1379" s="169" t="s">
        <v>348</v>
      </c>
      <c r="R1379" s="169" t="s">
        <v>283</v>
      </c>
      <c r="S1379" s="169" t="s">
        <v>283</v>
      </c>
      <c r="T1379" s="169">
        <v>0</v>
      </c>
    </row>
    <row r="1380" spans="1:20" x14ac:dyDescent="0.2">
      <c r="A1380" s="169">
        <v>627</v>
      </c>
      <c r="B1380" s="167" t="str">
        <f>_xlfn.XLOOKUP(I1380,Mapping!D:D,Mapping!E:E)</f>
        <v>Xưởng Sản Xuất</v>
      </c>
      <c r="C1380" s="167" t="str">
        <f>_xlfn.XLOOKUP(F1380,Mapping!A:A,Mapping!F:F)</f>
        <v>Phụ Cấp</v>
      </c>
      <c r="D1380" s="173">
        <v>45869</v>
      </c>
      <c r="E1380" s="169" t="s">
        <v>943</v>
      </c>
      <c r="F1380" s="169" t="s">
        <v>375</v>
      </c>
      <c r="G1380" s="169" t="s">
        <v>336</v>
      </c>
      <c r="H1380" s="169" t="s">
        <v>441</v>
      </c>
      <c r="I1380" s="169" t="s">
        <v>442</v>
      </c>
      <c r="J1380" s="169" t="s">
        <v>416</v>
      </c>
      <c r="K1380" s="169" t="s">
        <v>416</v>
      </c>
      <c r="L1380" s="169" t="s">
        <v>882</v>
      </c>
      <c r="M1380" s="169" t="s">
        <v>281</v>
      </c>
      <c r="N1380" s="178">
        <v>-400000</v>
      </c>
      <c r="O1380" s="169" t="s">
        <v>944</v>
      </c>
      <c r="P1380" s="169" t="s">
        <v>283</v>
      </c>
      <c r="Q1380" s="169" t="s">
        <v>348</v>
      </c>
      <c r="R1380" s="169" t="s">
        <v>283</v>
      </c>
      <c r="S1380" s="169" t="s">
        <v>283</v>
      </c>
      <c r="T1380" s="169">
        <v>0</v>
      </c>
    </row>
    <row r="1381" spans="1:20" x14ac:dyDescent="0.2">
      <c r="A1381" s="169">
        <v>622</v>
      </c>
      <c r="B1381" s="167" t="str">
        <f>_xlfn.XLOOKUP(I1381,Mapping!D:D,Mapping!E:E)</f>
        <v>Xưởng Sản Xuất</v>
      </c>
      <c r="C1381" s="167" t="str">
        <f>_xlfn.XLOOKUP(F1381,Mapping!A:A,Mapping!F:F)</f>
        <v>Phụ Cấp</v>
      </c>
      <c r="D1381" s="173">
        <v>45869</v>
      </c>
      <c r="E1381" s="169" t="s">
        <v>943</v>
      </c>
      <c r="F1381" s="169" t="s">
        <v>414</v>
      </c>
      <c r="G1381" s="169" t="s">
        <v>415</v>
      </c>
      <c r="H1381" s="169" t="s">
        <v>441</v>
      </c>
      <c r="I1381" s="169" t="s">
        <v>442</v>
      </c>
      <c r="J1381" s="169" t="s">
        <v>416</v>
      </c>
      <c r="K1381" s="169" t="s">
        <v>416</v>
      </c>
      <c r="L1381" s="169" t="s">
        <v>882</v>
      </c>
      <c r="M1381" s="169" t="s">
        <v>281</v>
      </c>
      <c r="N1381" s="178">
        <v>100000</v>
      </c>
      <c r="O1381" s="169" t="s">
        <v>944</v>
      </c>
      <c r="P1381" s="169" t="s">
        <v>283</v>
      </c>
      <c r="Q1381" s="169" t="s">
        <v>348</v>
      </c>
      <c r="R1381" s="169" t="s">
        <v>283</v>
      </c>
      <c r="S1381" s="169" t="s">
        <v>283</v>
      </c>
      <c r="T1381" s="169">
        <v>0</v>
      </c>
    </row>
    <row r="1382" spans="1:20" x14ac:dyDescent="0.2">
      <c r="A1382" s="169">
        <v>627</v>
      </c>
      <c r="B1382" s="167" t="str">
        <f>_xlfn.XLOOKUP(I1382,Mapping!D:D,Mapping!E:E)</f>
        <v>Xưởng Sản Xuất</v>
      </c>
      <c r="C1382" s="167" t="str">
        <f>_xlfn.XLOOKUP(F1382,Mapping!A:A,Mapping!F:F)</f>
        <v>Phụ Cấp</v>
      </c>
      <c r="D1382" s="173">
        <v>45869</v>
      </c>
      <c r="E1382" s="169" t="s">
        <v>943</v>
      </c>
      <c r="F1382" s="169" t="s">
        <v>375</v>
      </c>
      <c r="G1382" s="169" t="s">
        <v>336</v>
      </c>
      <c r="H1382" s="169" t="s">
        <v>430</v>
      </c>
      <c r="I1382" s="169" t="s">
        <v>431</v>
      </c>
      <c r="J1382" s="169" t="s">
        <v>416</v>
      </c>
      <c r="K1382" s="169" t="s">
        <v>416</v>
      </c>
      <c r="L1382" s="169" t="s">
        <v>882</v>
      </c>
      <c r="M1382" s="169" t="s">
        <v>281</v>
      </c>
      <c r="N1382" s="178">
        <v>-100000</v>
      </c>
      <c r="O1382" s="169" t="s">
        <v>944</v>
      </c>
      <c r="P1382" s="169" t="s">
        <v>283</v>
      </c>
      <c r="Q1382" s="169" t="s">
        <v>348</v>
      </c>
      <c r="R1382" s="169" t="s">
        <v>283</v>
      </c>
      <c r="S1382" s="169" t="s">
        <v>283</v>
      </c>
      <c r="T1382" s="169">
        <v>0</v>
      </c>
    </row>
    <row r="1383" spans="1:20" x14ac:dyDescent="0.2">
      <c r="A1383" s="169">
        <v>622</v>
      </c>
      <c r="B1383" s="167" t="str">
        <f>_xlfn.XLOOKUP(I1383,Mapping!D:D,Mapping!E:E)</f>
        <v>Xưởng Sản Xuất</v>
      </c>
      <c r="C1383" s="167" t="str">
        <f>_xlfn.XLOOKUP(F1383,Mapping!A:A,Mapping!F:F)</f>
        <v>Phụ Cấp</v>
      </c>
      <c r="D1383" s="173">
        <v>45869</v>
      </c>
      <c r="E1383" s="169" t="s">
        <v>943</v>
      </c>
      <c r="F1383" s="169" t="s">
        <v>414</v>
      </c>
      <c r="G1383" s="169" t="s">
        <v>415</v>
      </c>
      <c r="H1383" s="169" t="s">
        <v>430</v>
      </c>
      <c r="I1383" s="169" t="s">
        <v>431</v>
      </c>
      <c r="J1383" s="169" t="s">
        <v>416</v>
      </c>
      <c r="K1383" s="169" t="s">
        <v>416</v>
      </c>
      <c r="L1383" s="169" t="s">
        <v>882</v>
      </c>
      <c r="M1383" s="169" t="s">
        <v>281</v>
      </c>
      <c r="N1383" s="178">
        <v>22125000</v>
      </c>
      <c r="O1383" s="169" t="s">
        <v>944</v>
      </c>
      <c r="P1383" s="169" t="s">
        <v>283</v>
      </c>
      <c r="Q1383" s="169" t="s">
        <v>348</v>
      </c>
      <c r="R1383" s="169" t="s">
        <v>283</v>
      </c>
      <c r="S1383" s="169" t="s">
        <v>283</v>
      </c>
      <c r="T1383" s="169">
        <v>0</v>
      </c>
    </row>
    <row r="1384" spans="1:20" x14ac:dyDescent="0.2">
      <c r="A1384" s="169">
        <v>627</v>
      </c>
      <c r="B1384" s="167" t="str">
        <f>_xlfn.XLOOKUP(I1384,Mapping!D:D,Mapping!E:E)</f>
        <v>Xưởng Sản Xuất</v>
      </c>
      <c r="C1384" s="167" t="str">
        <f>_xlfn.XLOOKUP(F1384,Mapping!A:A,Mapping!F:F)</f>
        <v>Phụ Cấp</v>
      </c>
      <c r="D1384" s="173">
        <v>45869</v>
      </c>
      <c r="E1384" s="169" t="s">
        <v>943</v>
      </c>
      <c r="F1384" s="169" t="s">
        <v>375</v>
      </c>
      <c r="G1384" s="169" t="s">
        <v>336</v>
      </c>
      <c r="H1384" s="169" t="s">
        <v>430</v>
      </c>
      <c r="I1384" s="169" t="s">
        <v>431</v>
      </c>
      <c r="J1384" s="169" t="s">
        <v>416</v>
      </c>
      <c r="K1384" s="169" t="s">
        <v>416</v>
      </c>
      <c r="L1384" s="169" t="s">
        <v>882</v>
      </c>
      <c r="M1384" s="169" t="s">
        <v>281</v>
      </c>
      <c r="N1384" s="178">
        <v>-22125000</v>
      </c>
      <c r="O1384" s="169" t="s">
        <v>944</v>
      </c>
      <c r="P1384" s="169" t="s">
        <v>283</v>
      </c>
      <c r="Q1384" s="169" t="s">
        <v>348</v>
      </c>
      <c r="R1384" s="169" t="s">
        <v>283</v>
      </c>
      <c r="S1384" s="169" t="s">
        <v>283</v>
      </c>
      <c r="T1384" s="169">
        <v>0</v>
      </c>
    </row>
    <row r="1385" spans="1:20" x14ac:dyDescent="0.2">
      <c r="A1385" s="169" t="str">
        <f>LEFT(F1385,3)</f>
        <v>642</v>
      </c>
      <c r="B1385" s="167" t="str">
        <f>_xlfn.XLOOKUP(I1385,Mapping!D:D,Mapping!E:E)</f>
        <v>Hành Chánh Nhân Sự</v>
      </c>
      <c r="C1385" s="167" t="str">
        <f>_xlfn.XLOOKUP(F1385,Mapping!A:A,Mapping!F:F)</f>
        <v>Khen thưởng BD khác</v>
      </c>
      <c r="D1385" s="173">
        <v>45874</v>
      </c>
      <c r="E1385" s="169" t="s">
        <v>954</v>
      </c>
      <c r="F1385" s="169" t="s">
        <v>300</v>
      </c>
      <c r="G1385" s="169" t="s">
        <v>222</v>
      </c>
      <c r="H1385" s="169" t="s">
        <v>382</v>
      </c>
      <c r="I1385" s="169" t="s">
        <v>200</v>
      </c>
      <c r="J1385" s="169" t="s">
        <v>955</v>
      </c>
      <c r="K1385" s="169" t="s">
        <v>955</v>
      </c>
      <c r="L1385" s="169" t="s">
        <v>956</v>
      </c>
      <c r="M1385" s="169" t="s">
        <v>281</v>
      </c>
      <c r="N1385" s="178">
        <v>2500000</v>
      </c>
      <c r="O1385" s="169" t="s">
        <v>957</v>
      </c>
      <c r="P1385" s="169" t="s">
        <v>283</v>
      </c>
      <c r="Q1385" s="169" t="s">
        <v>911</v>
      </c>
      <c r="R1385" s="169" t="s">
        <v>283</v>
      </c>
      <c r="S1385" s="169" t="s">
        <v>283</v>
      </c>
      <c r="T1385" s="169">
        <v>0</v>
      </c>
    </row>
    <row r="1386" spans="1:20" x14ac:dyDescent="0.2">
      <c r="A1386" s="169" t="str">
        <f t="shared" ref="A1386:A1449" si="0">LEFT(F1386,3)</f>
        <v>622</v>
      </c>
      <c r="B1386" s="167" t="str">
        <f>_xlfn.XLOOKUP(I1386,Mapping!D:D,Mapping!E:E)</f>
        <v>Xưởng Sản Xuất</v>
      </c>
      <c r="C1386" s="167" t="str">
        <f>_xlfn.XLOOKUP(F1386,Mapping!A:A,Mapping!F:F)</f>
        <v>Lương Chính +T13</v>
      </c>
      <c r="D1386" s="173">
        <v>45870</v>
      </c>
      <c r="E1386" s="169" t="s">
        <v>958</v>
      </c>
      <c r="F1386" s="169" t="s">
        <v>400</v>
      </c>
      <c r="G1386" s="169" t="s">
        <v>401</v>
      </c>
      <c r="H1386" s="169" t="s">
        <v>402</v>
      </c>
      <c r="I1386" s="169" t="s">
        <v>403</v>
      </c>
      <c r="J1386" s="169" t="s">
        <v>959</v>
      </c>
      <c r="K1386" s="169" t="s">
        <v>405</v>
      </c>
      <c r="L1386" s="169" t="s">
        <v>956</v>
      </c>
      <c r="M1386" s="169" t="s">
        <v>281</v>
      </c>
      <c r="N1386" s="178">
        <v>1650000</v>
      </c>
      <c r="O1386" s="169" t="s">
        <v>960</v>
      </c>
      <c r="P1386" s="169" t="s">
        <v>283</v>
      </c>
      <c r="Q1386" s="169" t="s">
        <v>306</v>
      </c>
      <c r="R1386" s="169" t="s">
        <v>283</v>
      </c>
      <c r="S1386" s="169" t="s">
        <v>283</v>
      </c>
      <c r="T1386" s="169">
        <v>0</v>
      </c>
    </row>
    <row r="1387" spans="1:20" x14ac:dyDescent="0.2">
      <c r="A1387" s="169" t="str">
        <f t="shared" si="0"/>
        <v>642</v>
      </c>
      <c r="B1387" s="167" t="str">
        <f>_xlfn.XLOOKUP(I1387,Mapping!D:D,Mapping!E:E)</f>
        <v>Hành Chánh Nhân Sự</v>
      </c>
      <c r="C1387" s="167" t="str">
        <f>_xlfn.XLOOKUP(F1387,Mapping!A:A,Mapping!F:F)</f>
        <v>Khen thưởng BD khác</v>
      </c>
      <c r="D1387" s="173">
        <v>45895</v>
      </c>
      <c r="E1387" s="169" t="s">
        <v>961</v>
      </c>
      <c r="F1387" s="169" t="s">
        <v>300</v>
      </c>
      <c r="G1387" s="169" t="s">
        <v>222</v>
      </c>
      <c r="H1387" s="169" t="s">
        <v>358</v>
      </c>
      <c r="I1387" s="169" t="s">
        <v>359</v>
      </c>
      <c r="J1387" s="169" t="s">
        <v>962</v>
      </c>
      <c r="K1387" s="169" t="s">
        <v>962</v>
      </c>
      <c r="L1387" s="169" t="s">
        <v>956</v>
      </c>
      <c r="M1387" s="169" t="s">
        <v>281</v>
      </c>
      <c r="N1387" s="178">
        <v>1500000</v>
      </c>
      <c r="O1387" s="169" t="s">
        <v>963</v>
      </c>
      <c r="P1387" s="169" t="s">
        <v>283</v>
      </c>
      <c r="Q1387" s="169" t="s">
        <v>964</v>
      </c>
      <c r="R1387" s="169" t="s">
        <v>283</v>
      </c>
      <c r="S1387" s="169" t="s">
        <v>283</v>
      </c>
      <c r="T1387" s="169">
        <v>0</v>
      </c>
    </row>
    <row r="1388" spans="1:20" x14ac:dyDescent="0.2">
      <c r="A1388" s="169" t="str">
        <f t="shared" si="0"/>
        <v>627</v>
      </c>
      <c r="B1388" s="167" t="str">
        <f>_xlfn.XLOOKUP(I1388,Mapping!D:D,Mapping!E:E)</f>
        <v>Xưởng Sản Xuất</v>
      </c>
      <c r="C1388" s="167" t="str">
        <f>_xlfn.XLOOKUP(F1388,Mapping!A:A,Mapping!F:F)</f>
        <v>Khen thưởng BD khác</v>
      </c>
      <c r="D1388" s="173">
        <v>45894</v>
      </c>
      <c r="E1388" s="169" t="s">
        <v>965</v>
      </c>
      <c r="F1388" s="169" t="s">
        <v>435</v>
      </c>
      <c r="G1388" s="169" t="s">
        <v>222</v>
      </c>
      <c r="H1388" s="169" t="s">
        <v>436</v>
      </c>
      <c r="I1388" s="169" t="s">
        <v>437</v>
      </c>
      <c r="J1388" s="169" t="s">
        <v>966</v>
      </c>
      <c r="K1388" s="169" t="s">
        <v>967</v>
      </c>
      <c r="L1388" s="169" t="s">
        <v>956</v>
      </c>
      <c r="M1388" s="169" t="s">
        <v>281</v>
      </c>
      <c r="N1388" s="178">
        <v>8950000</v>
      </c>
      <c r="O1388" s="169" t="s">
        <v>968</v>
      </c>
      <c r="P1388" s="169" t="s">
        <v>283</v>
      </c>
      <c r="Q1388" s="169" t="s">
        <v>964</v>
      </c>
      <c r="R1388" s="169" t="s">
        <v>283</v>
      </c>
      <c r="S1388" s="169" t="s">
        <v>283</v>
      </c>
      <c r="T1388" s="169">
        <v>0</v>
      </c>
    </row>
    <row r="1389" spans="1:20" x14ac:dyDescent="0.2">
      <c r="A1389" s="169" t="str">
        <f t="shared" si="0"/>
        <v>641</v>
      </c>
      <c r="B1389" s="167" t="str">
        <f>_xlfn.XLOOKUP(I1389,Mapping!D:D,Mapping!E:E)</f>
        <v>Kinh doanh</v>
      </c>
      <c r="C1389" s="167" t="str">
        <f>_xlfn.XLOOKUP(F1389,Mapping!A:A,Mapping!F:F)</f>
        <v>Lương Chính +T13</v>
      </c>
      <c r="D1389" s="173">
        <v>45880</v>
      </c>
      <c r="E1389" s="169" t="s">
        <v>969</v>
      </c>
      <c r="F1389" s="169" t="s">
        <v>383</v>
      </c>
      <c r="G1389" s="169" t="s">
        <v>275</v>
      </c>
      <c r="H1389" s="169" t="s">
        <v>366</v>
      </c>
      <c r="I1389" s="169" t="s">
        <v>1</v>
      </c>
      <c r="J1389" s="169" t="s">
        <v>970</v>
      </c>
      <c r="K1389" s="169" t="s">
        <v>971</v>
      </c>
      <c r="L1389" s="169" t="s">
        <v>956</v>
      </c>
      <c r="M1389" s="169" t="s">
        <v>281</v>
      </c>
      <c r="N1389" s="178">
        <v>105600000</v>
      </c>
      <c r="O1389" s="169" t="s">
        <v>972</v>
      </c>
      <c r="P1389" s="169" t="s">
        <v>283</v>
      </c>
      <c r="Q1389" s="169" t="s">
        <v>973</v>
      </c>
      <c r="R1389" s="169" t="s">
        <v>283</v>
      </c>
      <c r="S1389" s="169" t="s">
        <v>283</v>
      </c>
      <c r="T1389" s="169">
        <v>0</v>
      </c>
    </row>
    <row r="1390" spans="1:20" x14ac:dyDescent="0.2">
      <c r="A1390" s="169" t="str">
        <f t="shared" si="0"/>
        <v>641</v>
      </c>
      <c r="B1390" s="167" t="str">
        <f>_xlfn.XLOOKUP(I1390,Mapping!D:D,Mapping!E:E)</f>
        <v>Kinh doanh</v>
      </c>
      <c r="C1390" s="167" t="str">
        <f>_xlfn.XLOOKUP(F1390,Mapping!A:A,Mapping!F:F)</f>
        <v>Lương Chính +T13</v>
      </c>
      <c r="D1390" s="173">
        <v>45895</v>
      </c>
      <c r="E1390" s="169" t="s">
        <v>974</v>
      </c>
      <c r="F1390" s="169" t="s">
        <v>383</v>
      </c>
      <c r="G1390" s="169" t="s">
        <v>275</v>
      </c>
      <c r="H1390" s="169" t="s">
        <v>366</v>
      </c>
      <c r="I1390" s="169" t="s">
        <v>1</v>
      </c>
      <c r="J1390" s="169" t="s">
        <v>975</v>
      </c>
      <c r="K1390" s="169" t="s">
        <v>971</v>
      </c>
      <c r="L1390" s="169" t="s">
        <v>956</v>
      </c>
      <c r="M1390" s="169" t="s">
        <v>281</v>
      </c>
      <c r="N1390" s="178">
        <v>105960000</v>
      </c>
      <c r="O1390" s="169" t="s">
        <v>976</v>
      </c>
      <c r="P1390" s="169" t="s">
        <v>283</v>
      </c>
      <c r="Q1390" s="169" t="s">
        <v>973</v>
      </c>
      <c r="R1390" s="169" t="s">
        <v>283</v>
      </c>
      <c r="S1390" s="169" t="s">
        <v>283</v>
      </c>
      <c r="T1390" s="169">
        <v>0</v>
      </c>
    </row>
    <row r="1391" spans="1:20" x14ac:dyDescent="0.2">
      <c r="A1391" s="169" t="str">
        <f t="shared" si="0"/>
        <v>642</v>
      </c>
      <c r="B1391" s="167" t="str">
        <f>_xlfn.XLOOKUP(I1391,Mapping!D:D,Mapping!E:E)</f>
        <v>Cung Ứng</v>
      </c>
      <c r="C1391" s="167" t="str">
        <f>_xlfn.XLOOKUP(F1391,Mapping!A:A,Mapping!F:F)</f>
        <v>Khen thưởng BD khác</v>
      </c>
      <c r="D1391" s="173">
        <v>45896</v>
      </c>
      <c r="E1391" s="169" t="s">
        <v>977</v>
      </c>
      <c r="F1391" s="169" t="s">
        <v>300</v>
      </c>
      <c r="G1391" s="169" t="s">
        <v>222</v>
      </c>
      <c r="H1391" s="169" t="s">
        <v>380</v>
      </c>
      <c r="I1391" s="169" t="s">
        <v>381</v>
      </c>
      <c r="J1391" s="169" t="s">
        <v>978</v>
      </c>
      <c r="K1391" s="169" t="s">
        <v>978</v>
      </c>
      <c r="L1391" s="169" t="s">
        <v>956</v>
      </c>
      <c r="M1391" s="169" t="s">
        <v>281</v>
      </c>
      <c r="N1391" s="178">
        <v>5800000</v>
      </c>
      <c r="O1391" s="169" t="s">
        <v>979</v>
      </c>
      <c r="P1391" s="169" t="s">
        <v>283</v>
      </c>
      <c r="Q1391" s="169" t="s">
        <v>306</v>
      </c>
      <c r="R1391" s="169" t="s">
        <v>283</v>
      </c>
      <c r="S1391" s="169" t="s">
        <v>283</v>
      </c>
      <c r="T1391" s="169">
        <v>0</v>
      </c>
    </row>
    <row r="1392" spans="1:20" x14ac:dyDescent="0.2">
      <c r="A1392" s="169" t="str">
        <f t="shared" si="0"/>
        <v>627</v>
      </c>
      <c r="B1392" s="167" t="str">
        <f>_xlfn.XLOOKUP(I1392,Mapping!D:D,Mapping!E:E)</f>
        <v>Kỹ Thuật</v>
      </c>
      <c r="C1392" s="167" t="str">
        <f>_xlfn.XLOOKUP(F1392,Mapping!A:A,Mapping!F:F)</f>
        <v>Khen thưởng BD khác</v>
      </c>
      <c r="D1392" s="173">
        <v>45896</v>
      </c>
      <c r="E1392" s="169" t="s">
        <v>977</v>
      </c>
      <c r="F1392" s="169" t="s">
        <v>435</v>
      </c>
      <c r="G1392" s="169" t="s">
        <v>222</v>
      </c>
      <c r="H1392" s="169" t="s">
        <v>376</v>
      </c>
      <c r="I1392" s="169" t="s">
        <v>377</v>
      </c>
      <c r="J1392" s="169" t="s">
        <v>978</v>
      </c>
      <c r="K1392" s="169" t="s">
        <v>978</v>
      </c>
      <c r="L1392" s="169" t="s">
        <v>956</v>
      </c>
      <c r="M1392" s="169" t="s">
        <v>281</v>
      </c>
      <c r="N1392" s="178">
        <v>5600000</v>
      </c>
      <c r="O1392" s="169" t="s">
        <v>979</v>
      </c>
      <c r="P1392" s="169" t="s">
        <v>283</v>
      </c>
      <c r="Q1392" s="169" t="s">
        <v>306</v>
      </c>
      <c r="R1392" s="169" t="s">
        <v>283</v>
      </c>
      <c r="S1392" s="169" t="s">
        <v>283</v>
      </c>
      <c r="T1392" s="169">
        <v>0</v>
      </c>
    </row>
    <row r="1393" spans="1:20" x14ac:dyDescent="0.2">
      <c r="A1393" s="169" t="str">
        <f t="shared" si="0"/>
        <v>627</v>
      </c>
      <c r="B1393" s="167" t="str">
        <f>_xlfn.XLOOKUP(I1393,Mapping!D:D,Mapping!E:E)</f>
        <v>Kiểm Soát Chất Lượng</v>
      </c>
      <c r="C1393" s="167" t="str">
        <f>_xlfn.XLOOKUP(F1393,Mapping!A:A,Mapping!F:F)</f>
        <v>Khen thưởng BD khác</v>
      </c>
      <c r="D1393" s="173">
        <v>45896</v>
      </c>
      <c r="E1393" s="169" t="s">
        <v>977</v>
      </c>
      <c r="F1393" s="169" t="s">
        <v>435</v>
      </c>
      <c r="G1393" s="169" t="s">
        <v>222</v>
      </c>
      <c r="H1393" s="169" t="s">
        <v>411</v>
      </c>
      <c r="I1393" s="169" t="s">
        <v>412</v>
      </c>
      <c r="J1393" s="169" t="s">
        <v>978</v>
      </c>
      <c r="K1393" s="169" t="s">
        <v>978</v>
      </c>
      <c r="L1393" s="169" t="s">
        <v>956</v>
      </c>
      <c r="M1393" s="169" t="s">
        <v>281</v>
      </c>
      <c r="N1393" s="178">
        <v>10800000</v>
      </c>
      <c r="O1393" s="169" t="s">
        <v>979</v>
      </c>
      <c r="P1393" s="169" t="s">
        <v>283</v>
      </c>
      <c r="Q1393" s="169" t="s">
        <v>306</v>
      </c>
      <c r="R1393" s="169" t="s">
        <v>283</v>
      </c>
      <c r="S1393" s="169" t="s">
        <v>283</v>
      </c>
      <c r="T1393" s="169">
        <v>0</v>
      </c>
    </row>
    <row r="1394" spans="1:20" x14ac:dyDescent="0.2">
      <c r="A1394" s="169" t="str">
        <f t="shared" si="0"/>
        <v>627</v>
      </c>
      <c r="B1394" s="167" t="str">
        <f>_xlfn.XLOOKUP(I1394,Mapping!D:D,Mapping!E:E)</f>
        <v>Nghiên Cứu &amp; Phát Triển</v>
      </c>
      <c r="C1394" s="167" t="str">
        <f>_xlfn.XLOOKUP(F1394,Mapping!A:A,Mapping!F:F)</f>
        <v>Khen thưởng BD khác</v>
      </c>
      <c r="D1394" s="173">
        <v>45896</v>
      </c>
      <c r="E1394" s="169" t="s">
        <v>977</v>
      </c>
      <c r="F1394" s="169" t="s">
        <v>435</v>
      </c>
      <c r="G1394" s="169" t="s">
        <v>222</v>
      </c>
      <c r="H1394" s="169" t="s">
        <v>418</v>
      </c>
      <c r="I1394" s="169" t="s">
        <v>419</v>
      </c>
      <c r="J1394" s="169" t="s">
        <v>978</v>
      </c>
      <c r="K1394" s="169" t="s">
        <v>978</v>
      </c>
      <c r="L1394" s="169" t="s">
        <v>956</v>
      </c>
      <c r="M1394" s="169" t="s">
        <v>281</v>
      </c>
      <c r="N1394" s="178">
        <v>4000000</v>
      </c>
      <c r="O1394" s="169" t="s">
        <v>979</v>
      </c>
      <c r="P1394" s="169" t="s">
        <v>283</v>
      </c>
      <c r="Q1394" s="169" t="s">
        <v>306</v>
      </c>
      <c r="R1394" s="169" t="s">
        <v>283</v>
      </c>
      <c r="S1394" s="169" t="s">
        <v>283</v>
      </c>
      <c r="T1394" s="169">
        <v>0</v>
      </c>
    </row>
    <row r="1395" spans="1:20" x14ac:dyDescent="0.2">
      <c r="A1395" s="169" t="str">
        <f t="shared" si="0"/>
        <v>627</v>
      </c>
      <c r="B1395" s="167" t="str">
        <f>_xlfn.XLOOKUP(I1395,Mapping!D:D,Mapping!E:E)</f>
        <v>Xưởng Sản Xuất</v>
      </c>
      <c r="C1395" s="167" t="str">
        <f>_xlfn.XLOOKUP(F1395,Mapping!A:A,Mapping!F:F)</f>
        <v>Khen thưởng BD khác</v>
      </c>
      <c r="D1395" s="173">
        <v>45896</v>
      </c>
      <c r="E1395" s="169" t="s">
        <v>977</v>
      </c>
      <c r="F1395" s="169" t="s">
        <v>435</v>
      </c>
      <c r="G1395" s="169" t="s">
        <v>222</v>
      </c>
      <c r="H1395" s="169" t="s">
        <v>430</v>
      </c>
      <c r="I1395" s="169" t="s">
        <v>431</v>
      </c>
      <c r="J1395" s="169" t="s">
        <v>978</v>
      </c>
      <c r="K1395" s="169" t="s">
        <v>978</v>
      </c>
      <c r="L1395" s="169" t="s">
        <v>956</v>
      </c>
      <c r="M1395" s="169" t="s">
        <v>281</v>
      </c>
      <c r="N1395" s="178">
        <v>5600000</v>
      </c>
      <c r="O1395" s="169" t="s">
        <v>979</v>
      </c>
      <c r="P1395" s="169" t="s">
        <v>283</v>
      </c>
      <c r="Q1395" s="169" t="s">
        <v>306</v>
      </c>
      <c r="R1395" s="169" t="s">
        <v>283</v>
      </c>
      <c r="S1395" s="169" t="s">
        <v>283</v>
      </c>
      <c r="T1395" s="169">
        <v>0</v>
      </c>
    </row>
    <row r="1396" spans="1:20" x14ac:dyDescent="0.2">
      <c r="A1396" s="169" t="str">
        <f t="shared" si="0"/>
        <v>627</v>
      </c>
      <c r="B1396" s="167" t="str">
        <f>_xlfn.XLOOKUP(I1396,Mapping!D:D,Mapping!E:E)</f>
        <v>Xưởng Sản Xuất</v>
      </c>
      <c r="C1396" s="167" t="str">
        <f>_xlfn.XLOOKUP(F1396,Mapping!A:A,Mapping!F:F)</f>
        <v>Khen thưởng BD khác</v>
      </c>
      <c r="D1396" s="173">
        <v>45896</v>
      </c>
      <c r="E1396" s="169" t="s">
        <v>977</v>
      </c>
      <c r="F1396" s="169" t="s">
        <v>435</v>
      </c>
      <c r="G1396" s="169" t="s">
        <v>222</v>
      </c>
      <c r="H1396" s="169" t="s">
        <v>436</v>
      </c>
      <c r="I1396" s="169" t="s">
        <v>437</v>
      </c>
      <c r="J1396" s="169" t="s">
        <v>978</v>
      </c>
      <c r="K1396" s="169" t="s">
        <v>978</v>
      </c>
      <c r="L1396" s="169" t="s">
        <v>956</v>
      </c>
      <c r="M1396" s="169" t="s">
        <v>281</v>
      </c>
      <c r="N1396" s="178">
        <v>2000000</v>
      </c>
      <c r="O1396" s="169" t="s">
        <v>979</v>
      </c>
      <c r="P1396" s="169" t="s">
        <v>283</v>
      </c>
      <c r="Q1396" s="169" t="s">
        <v>306</v>
      </c>
      <c r="R1396" s="169" t="s">
        <v>283</v>
      </c>
      <c r="S1396" s="169" t="s">
        <v>283</v>
      </c>
      <c r="T1396" s="169">
        <v>0</v>
      </c>
    </row>
    <row r="1397" spans="1:20" x14ac:dyDescent="0.2">
      <c r="A1397" s="169" t="str">
        <f t="shared" si="0"/>
        <v>627</v>
      </c>
      <c r="B1397" s="167" t="str">
        <f>_xlfn.XLOOKUP(I1397,Mapping!D:D,Mapping!E:E)</f>
        <v>Xưởng Sản Xuất</v>
      </c>
      <c r="C1397" s="167" t="str">
        <f>_xlfn.XLOOKUP(F1397,Mapping!A:A,Mapping!F:F)</f>
        <v>Khen thưởng BD khác</v>
      </c>
      <c r="D1397" s="173">
        <v>45896</v>
      </c>
      <c r="E1397" s="169" t="s">
        <v>977</v>
      </c>
      <c r="F1397" s="169" t="s">
        <v>435</v>
      </c>
      <c r="G1397" s="169" t="s">
        <v>222</v>
      </c>
      <c r="H1397" s="169" t="s">
        <v>402</v>
      </c>
      <c r="I1397" s="169" t="s">
        <v>403</v>
      </c>
      <c r="J1397" s="169" t="s">
        <v>978</v>
      </c>
      <c r="K1397" s="169" t="s">
        <v>978</v>
      </c>
      <c r="L1397" s="169" t="s">
        <v>956</v>
      </c>
      <c r="M1397" s="169" t="s">
        <v>281</v>
      </c>
      <c r="N1397" s="178">
        <v>3600000</v>
      </c>
      <c r="O1397" s="169" t="s">
        <v>979</v>
      </c>
      <c r="P1397" s="169" t="s">
        <v>283</v>
      </c>
      <c r="Q1397" s="169" t="s">
        <v>306</v>
      </c>
      <c r="R1397" s="169" t="s">
        <v>283</v>
      </c>
      <c r="S1397" s="169" t="s">
        <v>283</v>
      </c>
      <c r="T1397" s="169">
        <v>0</v>
      </c>
    </row>
    <row r="1398" spans="1:20" x14ac:dyDescent="0.2">
      <c r="A1398" s="169" t="str">
        <f t="shared" si="0"/>
        <v>642</v>
      </c>
      <c r="B1398" s="167" t="str">
        <f>_xlfn.XLOOKUP(I1398,Mapping!D:D,Mapping!E:E)</f>
        <v>Cung Ứng</v>
      </c>
      <c r="C1398" s="167" t="str">
        <f>_xlfn.XLOOKUP(F1398,Mapping!A:A,Mapping!F:F)</f>
        <v>Khen thưởng BD khác</v>
      </c>
      <c r="D1398" s="173">
        <v>45880</v>
      </c>
      <c r="E1398" s="169" t="s">
        <v>980</v>
      </c>
      <c r="F1398" s="169" t="s">
        <v>300</v>
      </c>
      <c r="G1398" s="169" t="s">
        <v>222</v>
      </c>
      <c r="H1398" s="169" t="s">
        <v>380</v>
      </c>
      <c r="I1398" s="169" t="s">
        <v>381</v>
      </c>
      <c r="J1398" s="169" t="s">
        <v>981</v>
      </c>
      <c r="K1398" s="169" t="s">
        <v>981</v>
      </c>
      <c r="L1398" s="169" t="s">
        <v>956</v>
      </c>
      <c r="M1398" s="169" t="s">
        <v>281</v>
      </c>
      <c r="N1398" s="178">
        <v>13200000</v>
      </c>
      <c r="O1398" s="169" t="s">
        <v>982</v>
      </c>
      <c r="P1398" s="169" t="s">
        <v>283</v>
      </c>
      <c r="Q1398" s="169" t="s">
        <v>306</v>
      </c>
      <c r="R1398" s="169" t="s">
        <v>283</v>
      </c>
      <c r="S1398" s="169" t="s">
        <v>283</v>
      </c>
      <c r="T1398" s="169">
        <v>0</v>
      </c>
    </row>
    <row r="1399" spans="1:20" x14ac:dyDescent="0.2">
      <c r="A1399" s="169" t="str">
        <f t="shared" si="0"/>
        <v>627</v>
      </c>
      <c r="B1399" s="167" t="str">
        <f>_xlfn.XLOOKUP(I1399,Mapping!D:D,Mapping!E:E)</f>
        <v>Kỹ Thuật</v>
      </c>
      <c r="C1399" s="167" t="str">
        <f>_xlfn.XLOOKUP(F1399,Mapping!A:A,Mapping!F:F)</f>
        <v>Khen thưởng BD khác</v>
      </c>
      <c r="D1399" s="173">
        <v>45880</v>
      </c>
      <c r="E1399" s="169" t="s">
        <v>980</v>
      </c>
      <c r="F1399" s="169" t="s">
        <v>435</v>
      </c>
      <c r="G1399" s="169" t="s">
        <v>222</v>
      </c>
      <c r="H1399" s="169" t="s">
        <v>376</v>
      </c>
      <c r="I1399" s="169" t="s">
        <v>377</v>
      </c>
      <c r="J1399" s="169" t="s">
        <v>981</v>
      </c>
      <c r="K1399" s="169" t="s">
        <v>981</v>
      </c>
      <c r="L1399" s="169" t="s">
        <v>956</v>
      </c>
      <c r="M1399" s="169" t="s">
        <v>281</v>
      </c>
      <c r="N1399" s="178">
        <v>13000000</v>
      </c>
      <c r="O1399" s="169" t="s">
        <v>982</v>
      </c>
      <c r="P1399" s="169" t="s">
        <v>283</v>
      </c>
      <c r="Q1399" s="169" t="s">
        <v>306</v>
      </c>
      <c r="R1399" s="169" t="s">
        <v>283</v>
      </c>
      <c r="S1399" s="169" t="s">
        <v>283</v>
      </c>
      <c r="T1399" s="169">
        <v>0</v>
      </c>
    </row>
    <row r="1400" spans="1:20" x14ac:dyDescent="0.2">
      <c r="A1400" s="169" t="str">
        <f t="shared" si="0"/>
        <v>627</v>
      </c>
      <c r="B1400" s="167" t="str">
        <f>_xlfn.XLOOKUP(I1400,Mapping!D:D,Mapping!E:E)</f>
        <v>Kiểm Soát Chất Lượng</v>
      </c>
      <c r="C1400" s="167" t="str">
        <f>_xlfn.XLOOKUP(F1400,Mapping!A:A,Mapping!F:F)</f>
        <v>Khen thưởng BD khác</v>
      </c>
      <c r="D1400" s="173">
        <v>45880</v>
      </c>
      <c r="E1400" s="169" t="s">
        <v>980</v>
      </c>
      <c r="F1400" s="169" t="s">
        <v>435</v>
      </c>
      <c r="G1400" s="169" t="s">
        <v>222</v>
      </c>
      <c r="H1400" s="169" t="s">
        <v>411</v>
      </c>
      <c r="I1400" s="169" t="s">
        <v>412</v>
      </c>
      <c r="J1400" s="169" t="s">
        <v>981</v>
      </c>
      <c r="K1400" s="169" t="s">
        <v>981</v>
      </c>
      <c r="L1400" s="169" t="s">
        <v>956</v>
      </c>
      <c r="M1400" s="169" t="s">
        <v>281</v>
      </c>
      <c r="N1400" s="178">
        <v>25000000</v>
      </c>
      <c r="O1400" s="169" t="s">
        <v>982</v>
      </c>
      <c r="P1400" s="169" t="s">
        <v>283</v>
      </c>
      <c r="Q1400" s="169" t="s">
        <v>306</v>
      </c>
      <c r="R1400" s="169" t="s">
        <v>283</v>
      </c>
      <c r="S1400" s="169" t="s">
        <v>283</v>
      </c>
      <c r="T1400" s="169">
        <v>0</v>
      </c>
    </row>
    <row r="1401" spans="1:20" x14ac:dyDescent="0.2">
      <c r="A1401" s="169" t="str">
        <f t="shared" si="0"/>
        <v>627</v>
      </c>
      <c r="B1401" s="167" t="str">
        <f>_xlfn.XLOOKUP(I1401,Mapping!D:D,Mapping!E:E)</f>
        <v>Nghiên Cứu &amp; Phát Triển</v>
      </c>
      <c r="C1401" s="167" t="str">
        <f>_xlfn.XLOOKUP(F1401,Mapping!A:A,Mapping!F:F)</f>
        <v>Khen thưởng BD khác</v>
      </c>
      <c r="D1401" s="173">
        <v>45880</v>
      </c>
      <c r="E1401" s="169" t="s">
        <v>980</v>
      </c>
      <c r="F1401" s="169" t="s">
        <v>435</v>
      </c>
      <c r="G1401" s="169" t="s">
        <v>222</v>
      </c>
      <c r="H1401" s="169" t="s">
        <v>418</v>
      </c>
      <c r="I1401" s="169" t="s">
        <v>419</v>
      </c>
      <c r="J1401" s="169" t="s">
        <v>981</v>
      </c>
      <c r="K1401" s="169" t="s">
        <v>981</v>
      </c>
      <c r="L1401" s="169" t="s">
        <v>956</v>
      </c>
      <c r="M1401" s="169" t="s">
        <v>281</v>
      </c>
      <c r="N1401" s="178">
        <v>8600000</v>
      </c>
      <c r="O1401" s="169" t="s">
        <v>982</v>
      </c>
      <c r="P1401" s="169" t="s">
        <v>283</v>
      </c>
      <c r="Q1401" s="169" t="s">
        <v>306</v>
      </c>
      <c r="R1401" s="169" t="s">
        <v>283</v>
      </c>
      <c r="S1401" s="169" t="s">
        <v>283</v>
      </c>
      <c r="T1401" s="169">
        <v>0</v>
      </c>
    </row>
    <row r="1402" spans="1:20" x14ac:dyDescent="0.2">
      <c r="A1402" s="169" t="str">
        <f t="shared" si="0"/>
        <v>627</v>
      </c>
      <c r="B1402" s="167" t="str">
        <f>_xlfn.XLOOKUP(I1402,Mapping!D:D,Mapping!E:E)</f>
        <v>Xưởng Sản Xuất</v>
      </c>
      <c r="C1402" s="167" t="str">
        <f>_xlfn.XLOOKUP(F1402,Mapping!A:A,Mapping!F:F)</f>
        <v>Khen thưởng BD khác</v>
      </c>
      <c r="D1402" s="173">
        <v>45880</v>
      </c>
      <c r="E1402" s="169" t="s">
        <v>980</v>
      </c>
      <c r="F1402" s="169" t="s">
        <v>435</v>
      </c>
      <c r="G1402" s="169" t="s">
        <v>222</v>
      </c>
      <c r="H1402" s="169" t="s">
        <v>430</v>
      </c>
      <c r="I1402" s="169" t="s">
        <v>431</v>
      </c>
      <c r="J1402" s="169" t="s">
        <v>981</v>
      </c>
      <c r="K1402" s="169" t="s">
        <v>981</v>
      </c>
      <c r="L1402" s="169" t="s">
        <v>956</v>
      </c>
      <c r="M1402" s="169" t="s">
        <v>281</v>
      </c>
      <c r="N1402" s="178">
        <v>12900000</v>
      </c>
      <c r="O1402" s="169" t="s">
        <v>982</v>
      </c>
      <c r="P1402" s="169" t="s">
        <v>283</v>
      </c>
      <c r="Q1402" s="169" t="s">
        <v>306</v>
      </c>
      <c r="R1402" s="169" t="s">
        <v>283</v>
      </c>
      <c r="S1402" s="169" t="s">
        <v>283</v>
      </c>
      <c r="T1402" s="169">
        <v>0</v>
      </c>
    </row>
    <row r="1403" spans="1:20" x14ac:dyDescent="0.2">
      <c r="A1403" s="169" t="str">
        <f t="shared" si="0"/>
        <v>627</v>
      </c>
      <c r="B1403" s="167" t="str">
        <f>_xlfn.XLOOKUP(I1403,Mapping!D:D,Mapping!E:E)</f>
        <v>Xưởng Sản Xuất</v>
      </c>
      <c r="C1403" s="167" t="str">
        <f>_xlfn.XLOOKUP(F1403,Mapping!A:A,Mapping!F:F)</f>
        <v>Khen thưởng BD khác</v>
      </c>
      <c r="D1403" s="173">
        <v>45880</v>
      </c>
      <c r="E1403" s="169" t="s">
        <v>980</v>
      </c>
      <c r="F1403" s="169" t="s">
        <v>435</v>
      </c>
      <c r="G1403" s="169" t="s">
        <v>222</v>
      </c>
      <c r="H1403" s="169" t="s">
        <v>436</v>
      </c>
      <c r="I1403" s="169" t="s">
        <v>437</v>
      </c>
      <c r="J1403" s="169" t="s">
        <v>981</v>
      </c>
      <c r="K1403" s="169" t="s">
        <v>981</v>
      </c>
      <c r="L1403" s="169" t="s">
        <v>956</v>
      </c>
      <c r="M1403" s="169" t="s">
        <v>281</v>
      </c>
      <c r="N1403" s="178">
        <v>4000000</v>
      </c>
      <c r="O1403" s="169" t="s">
        <v>982</v>
      </c>
      <c r="P1403" s="169" t="s">
        <v>283</v>
      </c>
      <c r="Q1403" s="169" t="s">
        <v>306</v>
      </c>
      <c r="R1403" s="169" t="s">
        <v>283</v>
      </c>
      <c r="S1403" s="169" t="s">
        <v>283</v>
      </c>
      <c r="T1403" s="169">
        <v>0</v>
      </c>
    </row>
    <row r="1404" spans="1:20" x14ac:dyDescent="0.2">
      <c r="A1404" s="169" t="str">
        <f t="shared" si="0"/>
        <v>627</v>
      </c>
      <c r="B1404" s="167" t="str">
        <f>_xlfn.XLOOKUP(I1404,Mapping!D:D,Mapping!E:E)</f>
        <v>Xưởng Sản Xuất</v>
      </c>
      <c r="C1404" s="167" t="str">
        <f>_xlfn.XLOOKUP(F1404,Mapping!A:A,Mapping!F:F)</f>
        <v>Khen thưởng BD khác</v>
      </c>
      <c r="D1404" s="173">
        <v>45880</v>
      </c>
      <c r="E1404" s="169" t="s">
        <v>980</v>
      </c>
      <c r="F1404" s="169" t="s">
        <v>435</v>
      </c>
      <c r="G1404" s="169" t="s">
        <v>222</v>
      </c>
      <c r="H1404" s="169" t="s">
        <v>402</v>
      </c>
      <c r="I1404" s="169" t="s">
        <v>403</v>
      </c>
      <c r="J1404" s="169" t="s">
        <v>981</v>
      </c>
      <c r="K1404" s="169" t="s">
        <v>981</v>
      </c>
      <c r="L1404" s="169" t="s">
        <v>956</v>
      </c>
      <c r="M1404" s="169" t="s">
        <v>281</v>
      </c>
      <c r="N1404" s="178">
        <v>8100000</v>
      </c>
      <c r="O1404" s="169" t="s">
        <v>982</v>
      </c>
      <c r="P1404" s="169" t="s">
        <v>283</v>
      </c>
      <c r="Q1404" s="169" t="s">
        <v>306</v>
      </c>
      <c r="R1404" s="169" t="s">
        <v>283</v>
      </c>
      <c r="S1404" s="169" t="s">
        <v>283</v>
      </c>
      <c r="T1404" s="169">
        <v>0</v>
      </c>
    </row>
    <row r="1405" spans="1:20" x14ac:dyDescent="0.2">
      <c r="A1405" s="169" t="str">
        <f t="shared" si="0"/>
        <v>641</v>
      </c>
      <c r="B1405" s="167" t="str">
        <f>_xlfn.XLOOKUP(I1405,Mapping!D:D,Mapping!E:E)</f>
        <v>Kinh doanh</v>
      </c>
      <c r="C1405" s="167" t="str">
        <f>_xlfn.XLOOKUP(F1405,Mapping!A:A,Mapping!F:F)</f>
        <v>Thưởng</v>
      </c>
      <c r="D1405" s="173">
        <v>45896</v>
      </c>
      <c r="E1405" s="169" t="s">
        <v>983</v>
      </c>
      <c r="F1405" s="169" t="s">
        <v>365</v>
      </c>
      <c r="G1405" s="169" t="s">
        <v>291</v>
      </c>
      <c r="H1405" s="169" t="s">
        <v>366</v>
      </c>
      <c r="I1405" s="169" t="s">
        <v>1</v>
      </c>
      <c r="J1405" s="169" t="s">
        <v>984</v>
      </c>
      <c r="K1405" s="169" t="s">
        <v>985</v>
      </c>
      <c r="L1405" s="169" t="s">
        <v>956</v>
      </c>
      <c r="M1405" s="169" t="s">
        <v>281</v>
      </c>
      <c r="N1405" s="178">
        <v>250432</v>
      </c>
      <c r="O1405" s="169" t="s">
        <v>986</v>
      </c>
      <c r="P1405" s="169" t="s">
        <v>283</v>
      </c>
      <c r="Q1405" s="169" t="s">
        <v>370</v>
      </c>
      <c r="R1405" s="169" t="s">
        <v>283</v>
      </c>
      <c r="S1405" s="169" t="s">
        <v>283</v>
      </c>
      <c r="T1405" s="169">
        <v>0</v>
      </c>
    </row>
    <row r="1406" spans="1:20" x14ac:dyDescent="0.2">
      <c r="A1406" s="169" t="str">
        <f t="shared" si="0"/>
        <v>627</v>
      </c>
      <c r="B1406" s="167" t="str">
        <f>_xlfn.XLOOKUP(I1406,Mapping!D:D,Mapping!E:E)</f>
        <v>Xưởng Sản Xuất</v>
      </c>
      <c r="C1406" s="167" t="str">
        <f>_xlfn.XLOOKUP(F1406,Mapping!A:A,Mapping!F:F)</f>
        <v>Phụ Cấp</v>
      </c>
      <c r="D1406" s="173">
        <v>45875</v>
      </c>
      <c r="E1406" s="169" t="s">
        <v>987</v>
      </c>
      <c r="F1406" s="169" t="s">
        <v>375</v>
      </c>
      <c r="G1406" s="169" t="s">
        <v>336</v>
      </c>
      <c r="H1406" s="169" t="s">
        <v>402</v>
      </c>
      <c r="I1406" s="169" t="s">
        <v>403</v>
      </c>
      <c r="J1406" s="169" t="s">
        <v>988</v>
      </c>
      <c r="K1406" s="169" t="s">
        <v>741</v>
      </c>
      <c r="L1406" s="169" t="s">
        <v>956</v>
      </c>
      <c r="M1406" s="169" t="s">
        <v>281</v>
      </c>
      <c r="N1406" s="178">
        <v>45875000</v>
      </c>
      <c r="O1406" s="169" t="s">
        <v>989</v>
      </c>
      <c r="P1406" s="169" t="s">
        <v>283</v>
      </c>
      <c r="Q1406" s="169" t="s">
        <v>306</v>
      </c>
      <c r="R1406" s="169" t="s">
        <v>283</v>
      </c>
      <c r="S1406" s="169" t="s">
        <v>283</v>
      </c>
      <c r="T1406" s="169">
        <v>0</v>
      </c>
    </row>
    <row r="1407" spans="1:20" x14ac:dyDescent="0.2">
      <c r="A1407" s="169" t="str">
        <f t="shared" si="0"/>
        <v>642</v>
      </c>
      <c r="B1407" s="167" t="str">
        <f>_xlfn.XLOOKUP(I1407,Mapping!D:D,Mapping!E:E)</f>
        <v>Hành Chánh Nhân Sự</v>
      </c>
      <c r="C1407" s="167" t="str">
        <f>_xlfn.XLOOKUP(F1407,Mapping!A:A,Mapping!F:F)</f>
        <v>Phụ Cấp</v>
      </c>
      <c r="D1407" s="173">
        <v>45875</v>
      </c>
      <c r="E1407" s="169" t="s">
        <v>987</v>
      </c>
      <c r="F1407" s="169" t="s">
        <v>335</v>
      </c>
      <c r="G1407" s="169" t="s">
        <v>336</v>
      </c>
      <c r="H1407" s="169" t="s">
        <v>301</v>
      </c>
      <c r="I1407" s="169" t="s">
        <v>302</v>
      </c>
      <c r="J1407" s="169" t="s">
        <v>988</v>
      </c>
      <c r="K1407" s="169" t="s">
        <v>741</v>
      </c>
      <c r="L1407" s="169" t="s">
        <v>956</v>
      </c>
      <c r="M1407" s="169" t="s">
        <v>281</v>
      </c>
      <c r="N1407" s="178">
        <v>11400000</v>
      </c>
      <c r="O1407" s="169" t="s">
        <v>989</v>
      </c>
      <c r="P1407" s="169" t="s">
        <v>283</v>
      </c>
      <c r="Q1407" s="169" t="s">
        <v>306</v>
      </c>
      <c r="R1407" s="169" t="s">
        <v>283</v>
      </c>
      <c r="S1407" s="169" t="s">
        <v>283</v>
      </c>
      <c r="T1407" s="169">
        <v>0</v>
      </c>
    </row>
    <row r="1408" spans="1:20" x14ac:dyDescent="0.2">
      <c r="A1408" s="169" t="str">
        <f t="shared" si="0"/>
        <v>642</v>
      </c>
      <c r="B1408" s="167" t="str">
        <f>_xlfn.XLOOKUP(I1408,Mapping!D:D,Mapping!E:E)</f>
        <v>Kế Toán</v>
      </c>
      <c r="C1408" s="167" t="str">
        <f>_xlfn.XLOOKUP(F1408,Mapping!A:A,Mapping!F:F)</f>
        <v>Phụ Cấp</v>
      </c>
      <c r="D1408" s="173">
        <v>45875</v>
      </c>
      <c r="E1408" s="169" t="s">
        <v>987</v>
      </c>
      <c r="F1408" s="169" t="s">
        <v>335</v>
      </c>
      <c r="G1408" s="169" t="s">
        <v>336</v>
      </c>
      <c r="H1408" s="169" t="s">
        <v>356</v>
      </c>
      <c r="I1408" s="169" t="s">
        <v>357</v>
      </c>
      <c r="J1408" s="169" t="s">
        <v>988</v>
      </c>
      <c r="K1408" s="169" t="s">
        <v>741</v>
      </c>
      <c r="L1408" s="169" t="s">
        <v>956</v>
      </c>
      <c r="M1408" s="169" t="s">
        <v>281</v>
      </c>
      <c r="N1408" s="178">
        <v>4775000</v>
      </c>
      <c r="O1408" s="169" t="s">
        <v>989</v>
      </c>
      <c r="P1408" s="169" t="s">
        <v>283</v>
      </c>
      <c r="Q1408" s="169" t="s">
        <v>306</v>
      </c>
      <c r="R1408" s="169" t="s">
        <v>283</v>
      </c>
      <c r="S1408" s="169" t="s">
        <v>283</v>
      </c>
      <c r="T1408" s="169">
        <v>0</v>
      </c>
    </row>
    <row r="1409" spans="1:20" x14ac:dyDescent="0.2">
      <c r="A1409" s="169" t="str">
        <f t="shared" si="0"/>
        <v>642</v>
      </c>
      <c r="B1409" s="167" t="str">
        <f>_xlfn.XLOOKUP(I1409,Mapping!D:D,Mapping!E:E)</f>
        <v>Văn Phòng Giám Đốc</v>
      </c>
      <c r="C1409" s="167" t="str">
        <f>_xlfn.XLOOKUP(F1409,Mapping!A:A,Mapping!F:F)</f>
        <v>Phụ Cấp</v>
      </c>
      <c r="D1409" s="173">
        <v>45875</v>
      </c>
      <c r="E1409" s="169" t="s">
        <v>987</v>
      </c>
      <c r="F1409" s="169" t="s">
        <v>335</v>
      </c>
      <c r="G1409" s="169" t="s">
        <v>336</v>
      </c>
      <c r="H1409" s="169" t="s">
        <v>320</v>
      </c>
      <c r="I1409" s="169" t="s">
        <v>321</v>
      </c>
      <c r="J1409" s="169" t="s">
        <v>988</v>
      </c>
      <c r="K1409" s="169" t="s">
        <v>741</v>
      </c>
      <c r="L1409" s="169" t="s">
        <v>956</v>
      </c>
      <c r="M1409" s="169" t="s">
        <v>281</v>
      </c>
      <c r="N1409" s="178">
        <v>525000</v>
      </c>
      <c r="O1409" s="169" t="s">
        <v>989</v>
      </c>
      <c r="P1409" s="169" t="s">
        <v>283</v>
      </c>
      <c r="Q1409" s="169" t="s">
        <v>306</v>
      </c>
      <c r="R1409" s="169" t="s">
        <v>283</v>
      </c>
      <c r="S1409" s="169" t="s">
        <v>283</v>
      </c>
      <c r="T1409" s="169">
        <v>0</v>
      </c>
    </row>
    <row r="1410" spans="1:20" x14ac:dyDescent="0.2">
      <c r="A1410" s="169" t="str">
        <f t="shared" si="0"/>
        <v>627</v>
      </c>
      <c r="B1410" s="167" t="str">
        <f>_xlfn.XLOOKUP(I1410,Mapping!D:D,Mapping!E:E)</f>
        <v>Kỹ Thuật</v>
      </c>
      <c r="C1410" s="167" t="str">
        <f>_xlfn.XLOOKUP(F1410,Mapping!A:A,Mapping!F:F)</f>
        <v>Phụ Cấp</v>
      </c>
      <c r="D1410" s="173">
        <v>45875</v>
      </c>
      <c r="E1410" s="169" t="s">
        <v>987</v>
      </c>
      <c r="F1410" s="169" t="s">
        <v>375</v>
      </c>
      <c r="G1410" s="169" t="s">
        <v>336</v>
      </c>
      <c r="H1410" s="169" t="s">
        <v>376</v>
      </c>
      <c r="I1410" s="169" t="s">
        <v>377</v>
      </c>
      <c r="J1410" s="169" t="s">
        <v>988</v>
      </c>
      <c r="K1410" s="169" t="s">
        <v>741</v>
      </c>
      <c r="L1410" s="169" t="s">
        <v>956</v>
      </c>
      <c r="M1410" s="169" t="s">
        <v>281</v>
      </c>
      <c r="N1410" s="178">
        <v>15325000</v>
      </c>
      <c r="O1410" s="169" t="s">
        <v>989</v>
      </c>
      <c r="P1410" s="169" t="s">
        <v>283</v>
      </c>
      <c r="Q1410" s="169" t="s">
        <v>306</v>
      </c>
      <c r="R1410" s="169" t="s">
        <v>283</v>
      </c>
      <c r="S1410" s="169" t="s">
        <v>283</v>
      </c>
      <c r="T1410" s="169">
        <v>0</v>
      </c>
    </row>
    <row r="1411" spans="1:20" x14ac:dyDescent="0.2">
      <c r="A1411" s="169" t="str">
        <f t="shared" si="0"/>
        <v>627</v>
      </c>
      <c r="B1411" s="167" t="str">
        <f>_xlfn.XLOOKUP(I1411,Mapping!D:D,Mapping!E:E)</f>
        <v>Kiểm Soát Chất Lượng</v>
      </c>
      <c r="C1411" s="167" t="str">
        <f>_xlfn.XLOOKUP(F1411,Mapping!A:A,Mapping!F:F)</f>
        <v>Phụ Cấp</v>
      </c>
      <c r="D1411" s="173">
        <v>45875</v>
      </c>
      <c r="E1411" s="169" t="s">
        <v>987</v>
      </c>
      <c r="F1411" s="169" t="s">
        <v>375</v>
      </c>
      <c r="G1411" s="169" t="s">
        <v>336</v>
      </c>
      <c r="H1411" s="169" t="s">
        <v>411</v>
      </c>
      <c r="I1411" s="169" t="s">
        <v>412</v>
      </c>
      <c r="J1411" s="169" t="s">
        <v>988</v>
      </c>
      <c r="K1411" s="169" t="s">
        <v>741</v>
      </c>
      <c r="L1411" s="169" t="s">
        <v>956</v>
      </c>
      <c r="M1411" s="169" t="s">
        <v>281</v>
      </c>
      <c r="N1411" s="178">
        <v>9750000</v>
      </c>
      <c r="O1411" s="169" t="s">
        <v>989</v>
      </c>
      <c r="P1411" s="169" t="s">
        <v>283</v>
      </c>
      <c r="Q1411" s="169" t="s">
        <v>306</v>
      </c>
      <c r="R1411" s="169" t="s">
        <v>283</v>
      </c>
      <c r="S1411" s="169" t="s">
        <v>283</v>
      </c>
      <c r="T1411" s="169">
        <v>0</v>
      </c>
    </row>
    <row r="1412" spans="1:20" x14ac:dyDescent="0.2">
      <c r="A1412" s="169" t="str">
        <f t="shared" si="0"/>
        <v>627</v>
      </c>
      <c r="B1412" s="167" t="str">
        <f>_xlfn.XLOOKUP(I1412,Mapping!D:D,Mapping!E:E)</f>
        <v>Xưởng Sản Xuất</v>
      </c>
      <c r="C1412" s="167" t="str">
        <f>_xlfn.XLOOKUP(F1412,Mapping!A:A,Mapping!F:F)</f>
        <v>Phụ Cấp</v>
      </c>
      <c r="D1412" s="173">
        <v>45875</v>
      </c>
      <c r="E1412" s="169" t="s">
        <v>987</v>
      </c>
      <c r="F1412" s="169" t="s">
        <v>375</v>
      </c>
      <c r="G1412" s="169" t="s">
        <v>336</v>
      </c>
      <c r="H1412" s="169" t="s">
        <v>441</v>
      </c>
      <c r="I1412" s="169" t="s">
        <v>442</v>
      </c>
      <c r="J1412" s="169" t="s">
        <v>988</v>
      </c>
      <c r="K1412" s="169" t="s">
        <v>741</v>
      </c>
      <c r="L1412" s="169" t="s">
        <v>956</v>
      </c>
      <c r="M1412" s="169" t="s">
        <v>281</v>
      </c>
      <c r="N1412" s="178">
        <v>125000</v>
      </c>
      <c r="O1412" s="169" t="s">
        <v>989</v>
      </c>
      <c r="P1412" s="169" t="s">
        <v>283</v>
      </c>
      <c r="Q1412" s="169" t="s">
        <v>306</v>
      </c>
      <c r="R1412" s="169" t="s">
        <v>283</v>
      </c>
      <c r="S1412" s="169" t="s">
        <v>283</v>
      </c>
      <c r="T1412" s="169">
        <v>0</v>
      </c>
    </row>
    <row r="1413" spans="1:20" x14ac:dyDescent="0.2">
      <c r="A1413" s="169" t="str">
        <f t="shared" si="0"/>
        <v>627</v>
      </c>
      <c r="B1413" s="167" t="str">
        <f>_xlfn.XLOOKUP(I1413,Mapping!D:D,Mapping!E:E)</f>
        <v>Xưởng Sản Xuất</v>
      </c>
      <c r="C1413" s="167" t="str">
        <f>_xlfn.XLOOKUP(F1413,Mapping!A:A,Mapping!F:F)</f>
        <v>Phụ Cấp</v>
      </c>
      <c r="D1413" s="173">
        <v>45875</v>
      </c>
      <c r="E1413" s="169" t="s">
        <v>987</v>
      </c>
      <c r="F1413" s="169" t="s">
        <v>375</v>
      </c>
      <c r="G1413" s="169" t="s">
        <v>336</v>
      </c>
      <c r="H1413" s="169" t="s">
        <v>430</v>
      </c>
      <c r="I1413" s="169" t="s">
        <v>431</v>
      </c>
      <c r="J1413" s="169" t="s">
        <v>988</v>
      </c>
      <c r="K1413" s="169" t="s">
        <v>741</v>
      </c>
      <c r="L1413" s="169" t="s">
        <v>956</v>
      </c>
      <c r="M1413" s="169" t="s">
        <v>281</v>
      </c>
      <c r="N1413" s="178">
        <v>6900000</v>
      </c>
      <c r="O1413" s="169" t="s">
        <v>989</v>
      </c>
      <c r="P1413" s="169" t="s">
        <v>283</v>
      </c>
      <c r="Q1413" s="169" t="s">
        <v>306</v>
      </c>
      <c r="R1413" s="169" t="s">
        <v>283</v>
      </c>
      <c r="S1413" s="169" t="s">
        <v>283</v>
      </c>
      <c r="T1413" s="169">
        <v>0</v>
      </c>
    </row>
    <row r="1414" spans="1:20" x14ac:dyDescent="0.2">
      <c r="A1414" s="169" t="str">
        <f t="shared" si="0"/>
        <v>627</v>
      </c>
      <c r="B1414" s="167" t="str">
        <f>_xlfn.XLOOKUP(I1414,Mapping!D:D,Mapping!E:E)</f>
        <v>Xưởng Sản Xuất</v>
      </c>
      <c r="C1414" s="167" t="str">
        <f>_xlfn.XLOOKUP(F1414,Mapping!A:A,Mapping!F:F)</f>
        <v>Phụ Cấp</v>
      </c>
      <c r="D1414" s="173">
        <v>45875</v>
      </c>
      <c r="E1414" s="169" t="s">
        <v>987</v>
      </c>
      <c r="F1414" s="169" t="s">
        <v>375</v>
      </c>
      <c r="G1414" s="169" t="s">
        <v>336</v>
      </c>
      <c r="H1414" s="169" t="s">
        <v>436</v>
      </c>
      <c r="I1414" s="169" t="s">
        <v>437</v>
      </c>
      <c r="J1414" s="169" t="s">
        <v>988</v>
      </c>
      <c r="K1414" s="169" t="s">
        <v>741</v>
      </c>
      <c r="L1414" s="169" t="s">
        <v>956</v>
      </c>
      <c r="M1414" s="169" t="s">
        <v>281</v>
      </c>
      <c r="N1414" s="178">
        <v>7725000</v>
      </c>
      <c r="O1414" s="169" t="s">
        <v>989</v>
      </c>
      <c r="P1414" s="169" t="s">
        <v>283</v>
      </c>
      <c r="Q1414" s="169" t="s">
        <v>306</v>
      </c>
      <c r="R1414" s="169" t="s">
        <v>283</v>
      </c>
      <c r="S1414" s="169" t="s">
        <v>283</v>
      </c>
      <c r="T1414" s="169">
        <v>0</v>
      </c>
    </row>
    <row r="1415" spans="1:20" x14ac:dyDescent="0.2">
      <c r="A1415" s="169" t="str">
        <f t="shared" si="0"/>
        <v>642</v>
      </c>
      <c r="B1415" s="167" t="str">
        <f>_xlfn.XLOOKUP(I1415,Mapping!D:D,Mapping!E:E)</f>
        <v>Mua Hàng &amp; XNK</v>
      </c>
      <c r="C1415" s="167" t="str">
        <f>_xlfn.XLOOKUP(F1415,Mapping!A:A,Mapping!F:F)</f>
        <v>Phụ Cấp</v>
      </c>
      <c r="D1415" s="173">
        <v>45875</v>
      </c>
      <c r="E1415" s="169" t="s">
        <v>987</v>
      </c>
      <c r="F1415" s="169" t="s">
        <v>335</v>
      </c>
      <c r="G1415" s="169" t="s">
        <v>336</v>
      </c>
      <c r="H1415" s="169" t="s">
        <v>378</v>
      </c>
      <c r="I1415" s="169" t="s">
        <v>379</v>
      </c>
      <c r="J1415" s="169" t="s">
        <v>988</v>
      </c>
      <c r="K1415" s="169" t="s">
        <v>741</v>
      </c>
      <c r="L1415" s="169" t="s">
        <v>956</v>
      </c>
      <c r="M1415" s="169" t="s">
        <v>281</v>
      </c>
      <c r="N1415" s="178">
        <v>1125000</v>
      </c>
      <c r="O1415" s="169" t="s">
        <v>989</v>
      </c>
      <c r="P1415" s="169" t="s">
        <v>283</v>
      </c>
      <c r="Q1415" s="169" t="s">
        <v>306</v>
      </c>
      <c r="R1415" s="169" t="s">
        <v>283</v>
      </c>
      <c r="S1415" s="169" t="s">
        <v>283</v>
      </c>
      <c r="T1415" s="169">
        <v>0</v>
      </c>
    </row>
    <row r="1416" spans="1:20" x14ac:dyDescent="0.2">
      <c r="A1416" s="169" t="str">
        <f t="shared" si="0"/>
        <v>642</v>
      </c>
      <c r="B1416" s="167" t="str">
        <f>_xlfn.XLOOKUP(I1416,Mapping!D:D,Mapping!E:E)</f>
        <v>Cung Ứng</v>
      </c>
      <c r="C1416" s="167" t="str">
        <f>_xlfn.XLOOKUP(F1416,Mapping!A:A,Mapping!F:F)</f>
        <v>Phụ Cấp</v>
      </c>
      <c r="D1416" s="173">
        <v>45875</v>
      </c>
      <c r="E1416" s="169" t="s">
        <v>987</v>
      </c>
      <c r="F1416" s="169" t="s">
        <v>335</v>
      </c>
      <c r="G1416" s="169" t="s">
        <v>336</v>
      </c>
      <c r="H1416" s="169" t="s">
        <v>380</v>
      </c>
      <c r="I1416" s="169" t="s">
        <v>381</v>
      </c>
      <c r="J1416" s="169" t="s">
        <v>988</v>
      </c>
      <c r="K1416" s="169" t="s">
        <v>741</v>
      </c>
      <c r="L1416" s="169" t="s">
        <v>956</v>
      </c>
      <c r="M1416" s="169" t="s">
        <v>281</v>
      </c>
      <c r="N1416" s="178">
        <v>775000</v>
      </c>
      <c r="O1416" s="169" t="s">
        <v>989</v>
      </c>
      <c r="P1416" s="169" t="s">
        <v>283</v>
      </c>
      <c r="Q1416" s="169" t="s">
        <v>306</v>
      </c>
      <c r="R1416" s="169" t="s">
        <v>283</v>
      </c>
      <c r="S1416" s="169" t="s">
        <v>283</v>
      </c>
      <c r="T1416" s="169">
        <v>0</v>
      </c>
    </row>
    <row r="1417" spans="1:20" x14ac:dyDescent="0.2">
      <c r="A1417" s="169" t="str">
        <f t="shared" si="0"/>
        <v>642</v>
      </c>
      <c r="B1417" s="167" t="str">
        <f>_xlfn.XLOOKUP(I1417,Mapping!D:D,Mapping!E:E)</f>
        <v>Hành Chánh Nhân Sự</v>
      </c>
      <c r="C1417" s="167" t="str">
        <f>_xlfn.XLOOKUP(F1417,Mapping!A:A,Mapping!F:F)</f>
        <v>Phụ Cấp</v>
      </c>
      <c r="D1417" s="173">
        <v>45875</v>
      </c>
      <c r="E1417" s="169" t="s">
        <v>987</v>
      </c>
      <c r="F1417" s="169" t="s">
        <v>335</v>
      </c>
      <c r="G1417" s="169" t="s">
        <v>336</v>
      </c>
      <c r="H1417" s="169" t="s">
        <v>382</v>
      </c>
      <c r="I1417" s="169" t="s">
        <v>200</v>
      </c>
      <c r="J1417" s="169" t="s">
        <v>988</v>
      </c>
      <c r="K1417" s="169" t="s">
        <v>741</v>
      </c>
      <c r="L1417" s="169" t="s">
        <v>956</v>
      </c>
      <c r="M1417" s="169" t="s">
        <v>281</v>
      </c>
      <c r="N1417" s="178">
        <v>500000</v>
      </c>
      <c r="O1417" s="169" t="s">
        <v>989</v>
      </c>
      <c r="P1417" s="169" t="s">
        <v>283</v>
      </c>
      <c r="Q1417" s="169" t="s">
        <v>306</v>
      </c>
      <c r="R1417" s="169" t="s">
        <v>283</v>
      </c>
      <c r="S1417" s="169" t="s">
        <v>283</v>
      </c>
      <c r="T1417" s="169">
        <v>0</v>
      </c>
    </row>
    <row r="1418" spans="1:20" x14ac:dyDescent="0.2">
      <c r="A1418" s="169" t="str">
        <f t="shared" si="0"/>
        <v>642</v>
      </c>
      <c r="B1418" s="167" t="str">
        <f>_xlfn.XLOOKUP(I1418,Mapping!D:D,Mapping!E:E)</f>
        <v>Hành Chánh Nhân Sự</v>
      </c>
      <c r="C1418" s="167" t="str">
        <f>_xlfn.XLOOKUP(F1418,Mapping!A:A,Mapping!F:F)</f>
        <v>Phụ Cấp</v>
      </c>
      <c r="D1418" s="173">
        <v>45875</v>
      </c>
      <c r="E1418" s="169" t="s">
        <v>987</v>
      </c>
      <c r="F1418" s="169" t="s">
        <v>335</v>
      </c>
      <c r="G1418" s="169" t="s">
        <v>336</v>
      </c>
      <c r="H1418" s="169" t="s">
        <v>358</v>
      </c>
      <c r="I1418" s="169" t="s">
        <v>359</v>
      </c>
      <c r="J1418" s="169" t="s">
        <v>988</v>
      </c>
      <c r="K1418" s="169" t="s">
        <v>741</v>
      </c>
      <c r="L1418" s="169" t="s">
        <v>956</v>
      </c>
      <c r="M1418" s="169" t="s">
        <v>281</v>
      </c>
      <c r="N1418" s="178">
        <v>900000</v>
      </c>
      <c r="O1418" s="169" t="s">
        <v>989</v>
      </c>
      <c r="P1418" s="169" t="s">
        <v>283</v>
      </c>
      <c r="Q1418" s="169" t="s">
        <v>306</v>
      </c>
      <c r="R1418" s="169" t="s">
        <v>283</v>
      </c>
      <c r="S1418" s="169" t="s">
        <v>283</v>
      </c>
      <c r="T1418" s="169">
        <v>0</v>
      </c>
    </row>
    <row r="1419" spans="1:20" x14ac:dyDescent="0.2">
      <c r="A1419" s="169" t="str">
        <f t="shared" si="0"/>
        <v>627</v>
      </c>
      <c r="B1419" s="167" t="str">
        <f>_xlfn.XLOOKUP(I1419,Mapping!D:D,Mapping!E:E)</f>
        <v>Xưởng Sản Xuất</v>
      </c>
      <c r="C1419" s="167" t="str">
        <f>_xlfn.XLOOKUP(F1419,Mapping!A:A,Mapping!F:F)</f>
        <v>Phụ Cấp</v>
      </c>
      <c r="D1419" s="173">
        <v>45897</v>
      </c>
      <c r="E1419" s="169" t="s">
        <v>990</v>
      </c>
      <c r="F1419" s="169" t="s">
        <v>375</v>
      </c>
      <c r="G1419" s="169" t="s">
        <v>336</v>
      </c>
      <c r="H1419" s="169" t="s">
        <v>402</v>
      </c>
      <c r="I1419" s="169" t="s">
        <v>403</v>
      </c>
      <c r="J1419" s="169" t="s">
        <v>991</v>
      </c>
      <c r="K1419" s="169" t="s">
        <v>992</v>
      </c>
      <c r="L1419" s="169" t="s">
        <v>956</v>
      </c>
      <c r="M1419" s="169" t="s">
        <v>281</v>
      </c>
      <c r="N1419" s="178">
        <v>105950000</v>
      </c>
      <c r="O1419" s="169" t="s">
        <v>993</v>
      </c>
      <c r="P1419" s="169" t="s">
        <v>283</v>
      </c>
      <c r="Q1419" s="169" t="s">
        <v>306</v>
      </c>
      <c r="R1419" s="169" t="s">
        <v>283</v>
      </c>
      <c r="S1419" s="169" t="s">
        <v>283</v>
      </c>
      <c r="T1419" s="169">
        <v>0</v>
      </c>
    </row>
    <row r="1420" spans="1:20" x14ac:dyDescent="0.2">
      <c r="A1420" s="169" t="str">
        <f t="shared" si="0"/>
        <v>642</v>
      </c>
      <c r="B1420" s="167" t="str">
        <f>_xlfn.XLOOKUP(I1420,Mapping!D:D,Mapping!E:E)</f>
        <v>Hành Chánh Nhân Sự</v>
      </c>
      <c r="C1420" s="167" t="str">
        <f>_xlfn.XLOOKUP(F1420,Mapping!A:A,Mapping!F:F)</f>
        <v>Phụ Cấp</v>
      </c>
      <c r="D1420" s="173">
        <v>45897</v>
      </c>
      <c r="E1420" s="169" t="s">
        <v>990</v>
      </c>
      <c r="F1420" s="169" t="s">
        <v>335</v>
      </c>
      <c r="G1420" s="169" t="s">
        <v>336</v>
      </c>
      <c r="H1420" s="169" t="s">
        <v>301</v>
      </c>
      <c r="I1420" s="169" t="s">
        <v>302</v>
      </c>
      <c r="J1420" s="169" t="s">
        <v>991</v>
      </c>
      <c r="K1420" s="169" t="s">
        <v>992</v>
      </c>
      <c r="L1420" s="169" t="s">
        <v>956</v>
      </c>
      <c r="M1420" s="169" t="s">
        <v>281</v>
      </c>
      <c r="N1420" s="178">
        <v>21350000</v>
      </c>
      <c r="O1420" s="169" t="s">
        <v>993</v>
      </c>
      <c r="P1420" s="169" t="s">
        <v>283</v>
      </c>
      <c r="Q1420" s="169" t="s">
        <v>306</v>
      </c>
      <c r="R1420" s="169" t="s">
        <v>283</v>
      </c>
      <c r="S1420" s="169" t="s">
        <v>283</v>
      </c>
      <c r="T1420" s="169">
        <v>0</v>
      </c>
    </row>
    <row r="1421" spans="1:20" x14ac:dyDescent="0.2">
      <c r="A1421" s="169" t="str">
        <f t="shared" si="0"/>
        <v>642</v>
      </c>
      <c r="B1421" s="167" t="str">
        <f>_xlfn.XLOOKUP(I1421,Mapping!D:D,Mapping!E:E)</f>
        <v>Kế Toán</v>
      </c>
      <c r="C1421" s="167" t="str">
        <f>_xlfn.XLOOKUP(F1421,Mapping!A:A,Mapping!F:F)</f>
        <v>Phụ Cấp</v>
      </c>
      <c r="D1421" s="173">
        <v>45897</v>
      </c>
      <c r="E1421" s="169" t="s">
        <v>990</v>
      </c>
      <c r="F1421" s="169" t="s">
        <v>335</v>
      </c>
      <c r="G1421" s="169" t="s">
        <v>336</v>
      </c>
      <c r="H1421" s="169" t="s">
        <v>356</v>
      </c>
      <c r="I1421" s="169" t="s">
        <v>357</v>
      </c>
      <c r="J1421" s="169" t="s">
        <v>991</v>
      </c>
      <c r="K1421" s="169" t="s">
        <v>992</v>
      </c>
      <c r="L1421" s="169" t="s">
        <v>956</v>
      </c>
      <c r="M1421" s="169" t="s">
        <v>281</v>
      </c>
      <c r="N1421" s="178">
        <v>11375000</v>
      </c>
      <c r="O1421" s="169" t="s">
        <v>993</v>
      </c>
      <c r="P1421" s="169" t="s">
        <v>283</v>
      </c>
      <c r="Q1421" s="169" t="s">
        <v>306</v>
      </c>
      <c r="R1421" s="169" t="s">
        <v>283</v>
      </c>
      <c r="S1421" s="169" t="s">
        <v>283</v>
      </c>
      <c r="T1421" s="169">
        <v>0</v>
      </c>
    </row>
    <row r="1422" spans="1:20" x14ac:dyDescent="0.2">
      <c r="A1422" s="169" t="str">
        <f t="shared" si="0"/>
        <v>642</v>
      </c>
      <c r="B1422" s="167" t="str">
        <f>_xlfn.XLOOKUP(I1422,Mapping!D:D,Mapping!E:E)</f>
        <v>Văn Phòng Giám Đốc</v>
      </c>
      <c r="C1422" s="167" t="str">
        <f>_xlfn.XLOOKUP(F1422,Mapping!A:A,Mapping!F:F)</f>
        <v>Phụ Cấp</v>
      </c>
      <c r="D1422" s="173">
        <v>45897</v>
      </c>
      <c r="E1422" s="169" t="s">
        <v>990</v>
      </c>
      <c r="F1422" s="169" t="s">
        <v>335</v>
      </c>
      <c r="G1422" s="169" t="s">
        <v>336</v>
      </c>
      <c r="H1422" s="169" t="s">
        <v>320</v>
      </c>
      <c r="I1422" s="169" t="s">
        <v>321</v>
      </c>
      <c r="J1422" s="169" t="s">
        <v>991</v>
      </c>
      <c r="K1422" s="169" t="s">
        <v>992</v>
      </c>
      <c r="L1422" s="169" t="s">
        <v>956</v>
      </c>
      <c r="M1422" s="169" t="s">
        <v>281</v>
      </c>
      <c r="N1422" s="178">
        <v>1225000</v>
      </c>
      <c r="O1422" s="169" t="s">
        <v>993</v>
      </c>
      <c r="P1422" s="169" t="s">
        <v>283</v>
      </c>
      <c r="Q1422" s="169" t="s">
        <v>306</v>
      </c>
      <c r="R1422" s="169" t="s">
        <v>283</v>
      </c>
      <c r="S1422" s="169" t="s">
        <v>283</v>
      </c>
      <c r="T1422" s="169">
        <v>0</v>
      </c>
    </row>
    <row r="1423" spans="1:20" x14ac:dyDescent="0.2">
      <c r="A1423" s="169" t="str">
        <f t="shared" si="0"/>
        <v>627</v>
      </c>
      <c r="B1423" s="167" t="str">
        <f>_xlfn.XLOOKUP(I1423,Mapping!D:D,Mapping!E:E)</f>
        <v>Kỹ Thuật</v>
      </c>
      <c r="C1423" s="167" t="str">
        <f>_xlfn.XLOOKUP(F1423,Mapping!A:A,Mapping!F:F)</f>
        <v>Phụ Cấp</v>
      </c>
      <c r="D1423" s="173">
        <v>45897</v>
      </c>
      <c r="E1423" s="169" t="s">
        <v>990</v>
      </c>
      <c r="F1423" s="169" t="s">
        <v>375</v>
      </c>
      <c r="G1423" s="169" t="s">
        <v>336</v>
      </c>
      <c r="H1423" s="169" t="s">
        <v>376</v>
      </c>
      <c r="I1423" s="169" t="s">
        <v>377</v>
      </c>
      <c r="J1423" s="169" t="s">
        <v>991</v>
      </c>
      <c r="K1423" s="169" t="s">
        <v>992</v>
      </c>
      <c r="L1423" s="169" t="s">
        <v>956</v>
      </c>
      <c r="M1423" s="169" t="s">
        <v>281</v>
      </c>
      <c r="N1423" s="178">
        <v>36200000</v>
      </c>
      <c r="O1423" s="169" t="s">
        <v>993</v>
      </c>
      <c r="P1423" s="169" t="s">
        <v>283</v>
      </c>
      <c r="Q1423" s="169" t="s">
        <v>306</v>
      </c>
      <c r="R1423" s="169" t="s">
        <v>283</v>
      </c>
      <c r="S1423" s="169" t="s">
        <v>283</v>
      </c>
      <c r="T1423" s="169">
        <v>0</v>
      </c>
    </row>
    <row r="1424" spans="1:20" x14ac:dyDescent="0.2">
      <c r="A1424" s="169" t="str">
        <f t="shared" si="0"/>
        <v>627</v>
      </c>
      <c r="B1424" s="167" t="str">
        <f>_xlfn.XLOOKUP(I1424,Mapping!D:D,Mapping!E:E)</f>
        <v>Kiểm Soát Chất Lượng</v>
      </c>
      <c r="C1424" s="167" t="str">
        <f>_xlfn.XLOOKUP(F1424,Mapping!A:A,Mapping!F:F)</f>
        <v>Phụ Cấp</v>
      </c>
      <c r="D1424" s="173">
        <v>45897</v>
      </c>
      <c r="E1424" s="169" t="s">
        <v>990</v>
      </c>
      <c r="F1424" s="169" t="s">
        <v>375</v>
      </c>
      <c r="G1424" s="169" t="s">
        <v>336</v>
      </c>
      <c r="H1424" s="169" t="s">
        <v>411</v>
      </c>
      <c r="I1424" s="169" t="s">
        <v>412</v>
      </c>
      <c r="J1424" s="169" t="s">
        <v>991</v>
      </c>
      <c r="K1424" s="169" t="s">
        <v>992</v>
      </c>
      <c r="L1424" s="169" t="s">
        <v>956</v>
      </c>
      <c r="M1424" s="169" t="s">
        <v>281</v>
      </c>
      <c r="N1424" s="178">
        <v>23725000</v>
      </c>
      <c r="O1424" s="169" t="s">
        <v>993</v>
      </c>
      <c r="P1424" s="169" t="s">
        <v>283</v>
      </c>
      <c r="Q1424" s="169" t="s">
        <v>306</v>
      </c>
      <c r="R1424" s="169" t="s">
        <v>283</v>
      </c>
      <c r="S1424" s="169" t="s">
        <v>283</v>
      </c>
      <c r="T1424" s="169">
        <v>0</v>
      </c>
    </row>
    <row r="1425" spans="1:20" x14ac:dyDescent="0.2">
      <c r="A1425" s="169" t="str">
        <f t="shared" si="0"/>
        <v>627</v>
      </c>
      <c r="B1425" s="167" t="str">
        <f>_xlfn.XLOOKUP(I1425,Mapping!D:D,Mapping!E:E)</f>
        <v>Xưởng Sản Xuất</v>
      </c>
      <c r="C1425" s="167" t="str">
        <f>_xlfn.XLOOKUP(F1425,Mapping!A:A,Mapping!F:F)</f>
        <v>Phụ Cấp</v>
      </c>
      <c r="D1425" s="173">
        <v>45897</v>
      </c>
      <c r="E1425" s="169" t="s">
        <v>990</v>
      </c>
      <c r="F1425" s="169" t="s">
        <v>375</v>
      </c>
      <c r="G1425" s="169" t="s">
        <v>336</v>
      </c>
      <c r="H1425" s="169" t="s">
        <v>441</v>
      </c>
      <c r="I1425" s="169" t="s">
        <v>442</v>
      </c>
      <c r="J1425" s="169" t="s">
        <v>991</v>
      </c>
      <c r="K1425" s="169" t="s">
        <v>992</v>
      </c>
      <c r="L1425" s="169" t="s">
        <v>956</v>
      </c>
      <c r="M1425" s="169" t="s">
        <v>281</v>
      </c>
      <c r="N1425" s="178">
        <v>275000</v>
      </c>
      <c r="O1425" s="169" t="s">
        <v>993</v>
      </c>
      <c r="P1425" s="169" t="s">
        <v>283</v>
      </c>
      <c r="Q1425" s="169" t="s">
        <v>306</v>
      </c>
      <c r="R1425" s="169" t="s">
        <v>283</v>
      </c>
      <c r="S1425" s="169" t="s">
        <v>283</v>
      </c>
      <c r="T1425" s="169">
        <v>0</v>
      </c>
    </row>
    <row r="1426" spans="1:20" x14ac:dyDescent="0.2">
      <c r="A1426" s="169" t="str">
        <f t="shared" si="0"/>
        <v>627</v>
      </c>
      <c r="B1426" s="167" t="str">
        <f>_xlfn.XLOOKUP(I1426,Mapping!D:D,Mapping!E:E)</f>
        <v>Xưởng Sản Xuất</v>
      </c>
      <c r="C1426" s="167" t="str">
        <f>_xlfn.XLOOKUP(F1426,Mapping!A:A,Mapping!F:F)</f>
        <v>Phụ Cấp</v>
      </c>
      <c r="D1426" s="173">
        <v>45897</v>
      </c>
      <c r="E1426" s="169" t="s">
        <v>990</v>
      </c>
      <c r="F1426" s="169" t="s">
        <v>375</v>
      </c>
      <c r="G1426" s="169" t="s">
        <v>336</v>
      </c>
      <c r="H1426" s="169" t="s">
        <v>430</v>
      </c>
      <c r="I1426" s="169" t="s">
        <v>431</v>
      </c>
      <c r="J1426" s="169" t="s">
        <v>991</v>
      </c>
      <c r="K1426" s="169" t="s">
        <v>992</v>
      </c>
      <c r="L1426" s="169" t="s">
        <v>956</v>
      </c>
      <c r="M1426" s="169" t="s">
        <v>281</v>
      </c>
      <c r="N1426" s="178">
        <v>18650000</v>
      </c>
      <c r="O1426" s="169" t="s">
        <v>993</v>
      </c>
      <c r="P1426" s="169" t="s">
        <v>283</v>
      </c>
      <c r="Q1426" s="169" t="s">
        <v>306</v>
      </c>
      <c r="R1426" s="169" t="s">
        <v>283</v>
      </c>
      <c r="S1426" s="169" t="s">
        <v>283</v>
      </c>
      <c r="T1426" s="169">
        <v>0</v>
      </c>
    </row>
    <row r="1427" spans="1:20" x14ac:dyDescent="0.2">
      <c r="A1427" s="169" t="str">
        <f t="shared" si="0"/>
        <v>627</v>
      </c>
      <c r="B1427" s="167" t="str">
        <f>_xlfn.XLOOKUP(I1427,Mapping!D:D,Mapping!E:E)</f>
        <v>Xưởng Sản Xuất</v>
      </c>
      <c r="C1427" s="167" t="str">
        <f>_xlfn.XLOOKUP(F1427,Mapping!A:A,Mapping!F:F)</f>
        <v>Phụ Cấp</v>
      </c>
      <c r="D1427" s="173">
        <v>45897</v>
      </c>
      <c r="E1427" s="169" t="s">
        <v>990</v>
      </c>
      <c r="F1427" s="169" t="s">
        <v>375</v>
      </c>
      <c r="G1427" s="169" t="s">
        <v>336</v>
      </c>
      <c r="H1427" s="169" t="s">
        <v>436</v>
      </c>
      <c r="I1427" s="169" t="s">
        <v>437</v>
      </c>
      <c r="J1427" s="169" t="s">
        <v>991</v>
      </c>
      <c r="K1427" s="169" t="s">
        <v>992</v>
      </c>
      <c r="L1427" s="169" t="s">
        <v>956</v>
      </c>
      <c r="M1427" s="169" t="s">
        <v>281</v>
      </c>
      <c r="N1427" s="178">
        <v>18400000</v>
      </c>
      <c r="O1427" s="169" t="s">
        <v>993</v>
      </c>
      <c r="P1427" s="169" t="s">
        <v>283</v>
      </c>
      <c r="Q1427" s="169" t="s">
        <v>306</v>
      </c>
      <c r="R1427" s="169" t="s">
        <v>283</v>
      </c>
      <c r="S1427" s="169" t="s">
        <v>283</v>
      </c>
      <c r="T1427" s="169">
        <v>0</v>
      </c>
    </row>
    <row r="1428" spans="1:20" x14ac:dyDescent="0.2">
      <c r="A1428" s="169" t="str">
        <f t="shared" si="0"/>
        <v>642</v>
      </c>
      <c r="B1428" s="167" t="str">
        <f>_xlfn.XLOOKUP(I1428,Mapping!D:D,Mapping!E:E)</f>
        <v>Mua Hàng &amp; XNK</v>
      </c>
      <c r="C1428" s="167" t="str">
        <f>_xlfn.XLOOKUP(F1428,Mapping!A:A,Mapping!F:F)</f>
        <v>Phụ Cấp</v>
      </c>
      <c r="D1428" s="173">
        <v>45897</v>
      </c>
      <c r="E1428" s="169" t="s">
        <v>990</v>
      </c>
      <c r="F1428" s="169" t="s">
        <v>335</v>
      </c>
      <c r="G1428" s="169" t="s">
        <v>336</v>
      </c>
      <c r="H1428" s="169" t="s">
        <v>378</v>
      </c>
      <c r="I1428" s="169" t="s">
        <v>379</v>
      </c>
      <c r="J1428" s="169" t="s">
        <v>991</v>
      </c>
      <c r="K1428" s="169" t="s">
        <v>992</v>
      </c>
      <c r="L1428" s="169" t="s">
        <v>956</v>
      </c>
      <c r="M1428" s="169" t="s">
        <v>281</v>
      </c>
      <c r="N1428" s="178">
        <v>3250000</v>
      </c>
      <c r="O1428" s="169" t="s">
        <v>993</v>
      </c>
      <c r="P1428" s="169" t="s">
        <v>283</v>
      </c>
      <c r="Q1428" s="169" t="s">
        <v>306</v>
      </c>
      <c r="R1428" s="169" t="s">
        <v>283</v>
      </c>
      <c r="S1428" s="169" t="s">
        <v>283</v>
      </c>
      <c r="T1428" s="169">
        <v>0</v>
      </c>
    </row>
    <row r="1429" spans="1:20" x14ac:dyDescent="0.2">
      <c r="A1429" s="169" t="str">
        <f t="shared" si="0"/>
        <v>642</v>
      </c>
      <c r="B1429" s="167" t="str">
        <f>_xlfn.XLOOKUP(I1429,Mapping!D:D,Mapping!E:E)</f>
        <v>Cung Ứng</v>
      </c>
      <c r="C1429" s="167" t="str">
        <f>_xlfn.XLOOKUP(F1429,Mapping!A:A,Mapping!F:F)</f>
        <v>Phụ Cấp</v>
      </c>
      <c r="D1429" s="173">
        <v>45897</v>
      </c>
      <c r="E1429" s="169" t="s">
        <v>990</v>
      </c>
      <c r="F1429" s="169" t="s">
        <v>335</v>
      </c>
      <c r="G1429" s="169" t="s">
        <v>336</v>
      </c>
      <c r="H1429" s="169" t="s">
        <v>380</v>
      </c>
      <c r="I1429" s="169" t="s">
        <v>381</v>
      </c>
      <c r="J1429" s="169" t="s">
        <v>991</v>
      </c>
      <c r="K1429" s="169" t="s">
        <v>992</v>
      </c>
      <c r="L1429" s="169" t="s">
        <v>956</v>
      </c>
      <c r="M1429" s="169" t="s">
        <v>281</v>
      </c>
      <c r="N1429" s="178">
        <v>2000000</v>
      </c>
      <c r="O1429" s="169" t="s">
        <v>993</v>
      </c>
      <c r="P1429" s="169" t="s">
        <v>283</v>
      </c>
      <c r="Q1429" s="169" t="s">
        <v>306</v>
      </c>
      <c r="R1429" s="169" t="s">
        <v>283</v>
      </c>
      <c r="S1429" s="169" t="s">
        <v>283</v>
      </c>
      <c r="T1429" s="169">
        <v>0</v>
      </c>
    </row>
    <row r="1430" spans="1:20" x14ac:dyDescent="0.2">
      <c r="A1430" s="169" t="str">
        <f t="shared" si="0"/>
        <v>642</v>
      </c>
      <c r="B1430" s="167" t="str">
        <f>_xlfn.XLOOKUP(I1430,Mapping!D:D,Mapping!E:E)</f>
        <v>Hành Chánh Nhân Sự</v>
      </c>
      <c r="C1430" s="167" t="str">
        <f>_xlfn.XLOOKUP(F1430,Mapping!A:A,Mapping!F:F)</f>
        <v>Phụ Cấp</v>
      </c>
      <c r="D1430" s="173">
        <v>45897</v>
      </c>
      <c r="E1430" s="169" t="s">
        <v>990</v>
      </c>
      <c r="F1430" s="169" t="s">
        <v>335</v>
      </c>
      <c r="G1430" s="169" t="s">
        <v>336</v>
      </c>
      <c r="H1430" s="169" t="s">
        <v>382</v>
      </c>
      <c r="I1430" s="169" t="s">
        <v>200</v>
      </c>
      <c r="J1430" s="169" t="s">
        <v>991</v>
      </c>
      <c r="K1430" s="169" t="s">
        <v>992</v>
      </c>
      <c r="L1430" s="169" t="s">
        <v>956</v>
      </c>
      <c r="M1430" s="169" t="s">
        <v>281</v>
      </c>
      <c r="N1430" s="178">
        <v>1200000</v>
      </c>
      <c r="O1430" s="169" t="s">
        <v>993</v>
      </c>
      <c r="P1430" s="169" t="s">
        <v>283</v>
      </c>
      <c r="Q1430" s="169" t="s">
        <v>306</v>
      </c>
      <c r="R1430" s="169" t="s">
        <v>283</v>
      </c>
      <c r="S1430" s="169" t="s">
        <v>283</v>
      </c>
      <c r="T1430" s="169">
        <v>0</v>
      </c>
    </row>
    <row r="1431" spans="1:20" x14ac:dyDescent="0.2">
      <c r="A1431" s="169" t="str">
        <f t="shared" si="0"/>
        <v>642</v>
      </c>
      <c r="B1431" s="167" t="str">
        <f>_xlfn.XLOOKUP(I1431,Mapping!D:D,Mapping!E:E)</f>
        <v>Hành Chánh Nhân Sự</v>
      </c>
      <c r="C1431" s="167" t="str">
        <f>_xlfn.XLOOKUP(F1431,Mapping!A:A,Mapping!F:F)</f>
        <v>Phụ Cấp</v>
      </c>
      <c r="D1431" s="173">
        <v>45897</v>
      </c>
      <c r="E1431" s="169" t="s">
        <v>990</v>
      </c>
      <c r="F1431" s="169" t="s">
        <v>335</v>
      </c>
      <c r="G1431" s="169" t="s">
        <v>336</v>
      </c>
      <c r="H1431" s="169" t="s">
        <v>358</v>
      </c>
      <c r="I1431" s="169" t="s">
        <v>359</v>
      </c>
      <c r="J1431" s="169" t="s">
        <v>991</v>
      </c>
      <c r="K1431" s="169" t="s">
        <v>992</v>
      </c>
      <c r="L1431" s="169" t="s">
        <v>956</v>
      </c>
      <c r="M1431" s="169" t="s">
        <v>281</v>
      </c>
      <c r="N1431" s="178">
        <v>2150000</v>
      </c>
      <c r="O1431" s="169" t="s">
        <v>993</v>
      </c>
      <c r="P1431" s="169" t="s">
        <v>283</v>
      </c>
      <c r="Q1431" s="169" t="s">
        <v>306</v>
      </c>
      <c r="R1431" s="169" t="s">
        <v>283</v>
      </c>
      <c r="S1431" s="169" t="s">
        <v>283</v>
      </c>
      <c r="T1431" s="169">
        <v>0</v>
      </c>
    </row>
    <row r="1432" spans="1:20" x14ac:dyDescent="0.2">
      <c r="A1432" s="169" t="str">
        <f t="shared" si="0"/>
        <v>642</v>
      </c>
      <c r="B1432" s="167" t="str">
        <f>_xlfn.XLOOKUP(I1432,Mapping!D:D,Mapping!E:E)</f>
        <v>Ban Giám Đốc</v>
      </c>
      <c r="C1432" s="167" t="str">
        <f>_xlfn.XLOOKUP(F1432,Mapping!A:A,Mapping!F:F)</f>
        <v>Lương Chính +T13</v>
      </c>
      <c r="D1432" s="173">
        <v>45900</v>
      </c>
      <c r="E1432" s="169" t="s">
        <v>994</v>
      </c>
      <c r="F1432" s="169" t="s">
        <v>274</v>
      </c>
      <c r="G1432" s="169" t="s">
        <v>275</v>
      </c>
      <c r="H1432" s="169" t="s">
        <v>276</v>
      </c>
      <c r="I1432" s="169" t="s">
        <v>277</v>
      </c>
      <c r="J1432" s="169" t="s">
        <v>995</v>
      </c>
      <c r="K1432" s="169" t="s">
        <v>996</v>
      </c>
      <c r="L1432" s="169" t="s">
        <v>956</v>
      </c>
      <c r="M1432" s="169" t="s">
        <v>281</v>
      </c>
      <c r="N1432" s="178">
        <v>1468322117</v>
      </c>
      <c r="O1432" s="169" t="s">
        <v>997</v>
      </c>
      <c r="P1432" s="169" t="s">
        <v>283</v>
      </c>
      <c r="Q1432" s="169" t="s">
        <v>284</v>
      </c>
      <c r="R1432" s="169" t="s">
        <v>283</v>
      </c>
      <c r="S1432" s="169" t="s">
        <v>283</v>
      </c>
      <c r="T1432" s="169">
        <v>0</v>
      </c>
    </row>
    <row r="1433" spans="1:20" x14ac:dyDescent="0.2">
      <c r="A1433" s="169" t="str">
        <f t="shared" si="0"/>
        <v>642</v>
      </c>
      <c r="B1433" s="167" t="str">
        <f>_xlfn.XLOOKUP(I1433,Mapping!D:D,Mapping!E:E)</f>
        <v>Ban Giám Đốc</v>
      </c>
      <c r="C1433" s="167" t="str">
        <f>_xlfn.XLOOKUP(F1433,Mapping!A:A,Mapping!F:F)</f>
        <v>Lương Chính +T13</v>
      </c>
      <c r="D1433" s="173">
        <v>45900</v>
      </c>
      <c r="E1433" s="169" t="s">
        <v>994</v>
      </c>
      <c r="F1433" s="169" t="s">
        <v>285</v>
      </c>
      <c r="G1433" s="169" t="s">
        <v>286</v>
      </c>
      <c r="H1433" s="169" t="s">
        <v>276</v>
      </c>
      <c r="I1433" s="169" t="s">
        <v>277</v>
      </c>
      <c r="J1433" s="169" t="s">
        <v>995</v>
      </c>
      <c r="K1433" s="169" t="s">
        <v>996</v>
      </c>
      <c r="L1433" s="169" t="s">
        <v>956</v>
      </c>
      <c r="M1433" s="169" t="s">
        <v>281</v>
      </c>
      <c r="N1433" s="178">
        <v>20509092</v>
      </c>
      <c r="O1433" s="169" t="s">
        <v>997</v>
      </c>
      <c r="P1433" s="169" t="s">
        <v>283</v>
      </c>
      <c r="Q1433" s="169" t="s">
        <v>284</v>
      </c>
      <c r="R1433" s="169" t="s">
        <v>283</v>
      </c>
      <c r="S1433" s="169" t="s">
        <v>283</v>
      </c>
      <c r="T1433" s="169">
        <v>0</v>
      </c>
    </row>
    <row r="1434" spans="1:20" x14ac:dyDescent="0.2">
      <c r="A1434" s="169" t="str">
        <f t="shared" si="0"/>
        <v>642</v>
      </c>
      <c r="B1434" s="167" t="str">
        <f>_xlfn.XLOOKUP(I1434,Mapping!D:D,Mapping!E:E)</f>
        <v>Văn Phòng Giám Đốc</v>
      </c>
      <c r="C1434" s="167" t="str">
        <f>_xlfn.XLOOKUP(F1434,Mapping!A:A,Mapping!F:F)</f>
        <v>Lương Chính +T13</v>
      </c>
      <c r="D1434" s="173">
        <v>45900</v>
      </c>
      <c r="E1434" s="169" t="s">
        <v>994</v>
      </c>
      <c r="F1434" s="169" t="s">
        <v>274</v>
      </c>
      <c r="G1434" s="169" t="s">
        <v>275</v>
      </c>
      <c r="H1434" s="169" t="s">
        <v>320</v>
      </c>
      <c r="I1434" s="169" t="s">
        <v>321</v>
      </c>
      <c r="J1434" s="169" t="s">
        <v>995</v>
      </c>
      <c r="K1434" s="169" t="s">
        <v>996</v>
      </c>
      <c r="L1434" s="169" t="s">
        <v>956</v>
      </c>
      <c r="M1434" s="169" t="s">
        <v>281</v>
      </c>
      <c r="N1434" s="178">
        <v>107283928</v>
      </c>
      <c r="O1434" s="169" t="s">
        <v>997</v>
      </c>
      <c r="P1434" s="169" t="s">
        <v>283</v>
      </c>
      <c r="Q1434" s="169" t="s">
        <v>284</v>
      </c>
      <c r="R1434" s="169" t="s">
        <v>283</v>
      </c>
      <c r="S1434" s="169" t="s">
        <v>283</v>
      </c>
      <c r="T1434" s="169">
        <v>0</v>
      </c>
    </row>
    <row r="1435" spans="1:20" x14ac:dyDescent="0.2">
      <c r="A1435" s="169" t="str">
        <f t="shared" si="0"/>
        <v>642</v>
      </c>
      <c r="B1435" s="167" t="str">
        <f>_xlfn.XLOOKUP(I1435,Mapping!D:D,Mapping!E:E)</f>
        <v>Văn Phòng Giám Đốc</v>
      </c>
      <c r="C1435" s="167" t="str">
        <f>_xlfn.XLOOKUP(F1435,Mapping!A:A,Mapping!F:F)</f>
        <v>Lương Chính +T13</v>
      </c>
      <c r="D1435" s="173">
        <v>45900</v>
      </c>
      <c r="E1435" s="169" t="s">
        <v>994</v>
      </c>
      <c r="F1435" s="169" t="s">
        <v>285</v>
      </c>
      <c r="G1435" s="169" t="s">
        <v>286</v>
      </c>
      <c r="H1435" s="169" t="s">
        <v>320</v>
      </c>
      <c r="I1435" s="169" t="s">
        <v>321</v>
      </c>
      <c r="J1435" s="169" t="s">
        <v>995</v>
      </c>
      <c r="K1435" s="169" t="s">
        <v>996</v>
      </c>
      <c r="L1435" s="169" t="s">
        <v>956</v>
      </c>
      <c r="M1435" s="169" t="s">
        <v>281</v>
      </c>
      <c r="N1435" s="178">
        <v>5552971</v>
      </c>
      <c r="O1435" s="169" t="s">
        <v>997</v>
      </c>
      <c r="P1435" s="169" t="s">
        <v>283</v>
      </c>
      <c r="Q1435" s="169" t="s">
        <v>284</v>
      </c>
      <c r="R1435" s="169" t="s">
        <v>283</v>
      </c>
      <c r="S1435" s="169" t="s">
        <v>283</v>
      </c>
      <c r="T1435" s="169">
        <v>0</v>
      </c>
    </row>
    <row r="1436" spans="1:20" x14ac:dyDescent="0.2">
      <c r="A1436" s="169" t="str">
        <f t="shared" si="0"/>
        <v>642</v>
      </c>
      <c r="B1436" s="167" t="str">
        <f>_xlfn.XLOOKUP(I1436,Mapping!D:D,Mapping!E:E)</f>
        <v>Hành Chánh Nhân Sự</v>
      </c>
      <c r="C1436" s="167" t="str">
        <f>_xlfn.XLOOKUP(F1436,Mapping!A:A,Mapping!F:F)</f>
        <v>Phụ Cấp</v>
      </c>
      <c r="D1436" s="173">
        <v>45900</v>
      </c>
      <c r="E1436" s="169" t="s">
        <v>994</v>
      </c>
      <c r="F1436" s="169" t="s">
        <v>340</v>
      </c>
      <c r="G1436" s="169" t="s">
        <v>341</v>
      </c>
      <c r="H1436" s="169" t="s">
        <v>301</v>
      </c>
      <c r="I1436" s="169" t="s">
        <v>302</v>
      </c>
      <c r="J1436" s="169" t="s">
        <v>995</v>
      </c>
      <c r="K1436" s="169" t="s">
        <v>996</v>
      </c>
      <c r="L1436" s="169" t="s">
        <v>956</v>
      </c>
      <c r="M1436" s="169" t="s">
        <v>281</v>
      </c>
      <c r="N1436" s="178">
        <v>7114293</v>
      </c>
      <c r="O1436" s="169" t="s">
        <v>997</v>
      </c>
      <c r="P1436" s="169" t="s">
        <v>283</v>
      </c>
      <c r="Q1436" s="169" t="s">
        <v>284</v>
      </c>
      <c r="R1436" s="169" t="s">
        <v>283</v>
      </c>
      <c r="S1436" s="169" t="s">
        <v>283</v>
      </c>
      <c r="T1436" s="169">
        <v>0</v>
      </c>
    </row>
    <row r="1437" spans="1:20" x14ac:dyDescent="0.2">
      <c r="A1437" s="169" t="str">
        <f t="shared" si="0"/>
        <v>642</v>
      </c>
      <c r="B1437" s="167" t="str">
        <f>_xlfn.XLOOKUP(I1437,Mapping!D:D,Mapping!E:E)</f>
        <v>Hành Chánh Nhân Sự</v>
      </c>
      <c r="C1437" s="167" t="str">
        <f>_xlfn.XLOOKUP(F1437,Mapping!A:A,Mapping!F:F)</f>
        <v>Lương Chính +T13</v>
      </c>
      <c r="D1437" s="173">
        <v>45900</v>
      </c>
      <c r="E1437" s="169" t="s">
        <v>994</v>
      </c>
      <c r="F1437" s="169" t="s">
        <v>274</v>
      </c>
      <c r="G1437" s="169" t="s">
        <v>275</v>
      </c>
      <c r="H1437" s="169" t="s">
        <v>301</v>
      </c>
      <c r="I1437" s="169" t="s">
        <v>302</v>
      </c>
      <c r="J1437" s="169" t="s">
        <v>995</v>
      </c>
      <c r="K1437" s="169" t="s">
        <v>996</v>
      </c>
      <c r="L1437" s="169" t="s">
        <v>956</v>
      </c>
      <c r="M1437" s="169" t="s">
        <v>281</v>
      </c>
      <c r="N1437" s="178">
        <v>463794441</v>
      </c>
      <c r="O1437" s="169" t="s">
        <v>997</v>
      </c>
      <c r="P1437" s="169" t="s">
        <v>283</v>
      </c>
      <c r="Q1437" s="169" t="s">
        <v>284</v>
      </c>
      <c r="R1437" s="169" t="s">
        <v>283</v>
      </c>
      <c r="S1437" s="169" t="s">
        <v>283</v>
      </c>
      <c r="T1437" s="169">
        <v>0</v>
      </c>
    </row>
    <row r="1438" spans="1:20" x14ac:dyDescent="0.2">
      <c r="A1438" s="169" t="str">
        <f t="shared" si="0"/>
        <v>642</v>
      </c>
      <c r="B1438" s="167" t="str">
        <f>_xlfn.XLOOKUP(I1438,Mapping!D:D,Mapping!E:E)</f>
        <v>Hành Chánh Nhân Sự</v>
      </c>
      <c r="C1438" s="167" t="str">
        <f>_xlfn.XLOOKUP(F1438,Mapping!A:A,Mapping!F:F)</f>
        <v>Lương Chính +T13</v>
      </c>
      <c r="D1438" s="173">
        <v>45900</v>
      </c>
      <c r="E1438" s="169" t="s">
        <v>994</v>
      </c>
      <c r="F1438" s="169" t="s">
        <v>285</v>
      </c>
      <c r="G1438" s="169" t="s">
        <v>286</v>
      </c>
      <c r="H1438" s="169" t="s">
        <v>301</v>
      </c>
      <c r="I1438" s="169" t="s">
        <v>302</v>
      </c>
      <c r="J1438" s="169" t="s">
        <v>995</v>
      </c>
      <c r="K1438" s="169" t="s">
        <v>996</v>
      </c>
      <c r="L1438" s="169" t="s">
        <v>956</v>
      </c>
      <c r="M1438" s="169" t="s">
        <v>281</v>
      </c>
      <c r="N1438" s="178">
        <v>17302926</v>
      </c>
      <c r="O1438" s="169" t="s">
        <v>997</v>
      </c>
      <c r="P1438" s="169" t="s">
        <v>283</v>
      </c>
      <c r="Q1438" s="169" t="s">
        <v>284</v>
      </c>
      <c r="R1438" s="169" t="s">
        <v>283</v>
      </c>
      <c r="S1438" s="169" t="s">
        <v>283</v>
      </c>
      <c r="T1438" s="169">
        <v>0</v>
      </c>
    </row>
    <row r="1439" spans="1:20" x14ac:dyDescent="0.2">
      <c r="A1439" s="169" t="str">
        <f t="shared" si="0"/>
        <v>642</v>
      </c>
      <c r="B1439" s="167" t="str">
        <f>_xlfn.XLOOKUP(I1439,Mapping!D:D,Mapping!E:E)</f>
        <v>Hành Chánh Nhân Sự</v>
      </c>
      <c r="C1439" s="167" t="str">
        <f>_xlfn.XLOOKUP(F1439,Mapping!A:A,Mapping!F:F)</f>
        <v>Lương Ngoài giờ</v>
      </c>
      <c r="D1439" s="173">
        <v>45900</v>
      </c>
      <c r="E1439" s="169" t="s">
        <v>994</v>
      </c>
      <c r="F1439" s="169" t="s">
        <v>342</v>
      </c>
      <c r="G1439" s="169" t="s">
        <v>343</v>
      </c>
      <c r="H1439" s="169" t="s">
        <v>301</v>
      </c>
      <c r="I1439" s="169" t="s">
        <v>302</v>
      </c>
      <c r="J1439" s="169" t="s">
        <v>995</v>
      </c>
      <c r="K1439" s="169" t="s">
        <v>996</v>
      </c>
      <c r="L1439" s="169" t="s">
        <v>956</v>
      </c>
      <c r="M1439" s="169" t="s">
        <v>281</v>
      </c>
      <c r="N1439" s="178">
        <v>85259084</v>
      </c>
      <c r="O1439" s="169" t="s">
        <v>997</v>
      </c>
      <c r="P1439" s="169" t="s">
        <v>283</v>
      </c>
      <c r="Q1439" s="169" t="s">
        <v>284</v>
      </c>
      <c r="R1439" s="169" t="s">
        <v>283</v>
      </c>
      <c r="S1439" s="169" t="s">
        <v>283</v>
      </c>
      <c r="T1439" s="169">
        <v>0</v>
      </c>
    </row>
    <row r="1440" spans="1:20" x14ac:dyDescent="0.2">
      <c r="A1440" s="169" t="str">
        <f t="shared" si="0"/>
        <v>642</v>
      </c>
      <c r="B1440" s="167" t="str">
        <f>_xlfn.XLOOKUP(I1440,Mapping!D:D,Mapping!E:E)</f>
        <v>Hành Chánh Nhân Sự</v>
      </c>
      <c r="C1440" s="167" t="str">
        <f>_xlfn.XLOOKUP(F1440,Mapping!A:A,Mapping!F:F)</f>
        <v>Phụ Cấp</v>
      </c>
      <c r="D1440" s="173">
        <v>45900</v>
      </c>
      <c r="E1440" s="169" t="s">
        <v>994</v>
      </c>
      <c r="F1440" s="169" t="s">
        <v>335</v>
      </c>
      <c r="G1440" s="169" t="s">
        <v>336</v>
      </c>
      <c r="H1440" s="169" t="s">
        <v>301</v>
      </c>
      <c r="I1440" s="169" t="s">
        <v>302</v>
      </c>
      <c r="J1440" s="169" t="s">
        <v>995</v>
      </c>
      <c r="K1440" s="169" t="s">
        <v>996</v>
      </c>
      <c r="L1440" s="169" t="s">
        <v>956</v>
      </c>
      <c r="M1440" s="169" t="s">
        <v>281</v>
      </c>
      <c r="N1440" s="178">
        <v>5940000</v>
      </c>
      <c r="O1440" s="169" t="s">
        <v>997</v>
      </c>
      <c r="P1440" s="169" t="s">
        <v>283</v>
      </c>
      <c r="Q1440" s="169" t="s">
        <v>284</v>
      </c>
      <c r="R1440" s="169" t="s">
        <v>283</v>
      </c>
      <c r="S1440" s="169" t="s">
        <v>283</v>
      </c>
      <c r="T1440" s="169">
        <v>0</v>
      </c>
    </row>
    <row r="1441" spans="1:20" x14ac:dyDescent="0.2">
      <c r="A1441" s="169" t="str">
        <f t="shared" si="0"/>
        <v>642</v>
      </c>
      <c r="B1441" s="167" t="str">
        <f>_xlfn.XLOOKUP(I1441,Mapping!D:D,Mapping!E:E)</f>
        <v>Kế Toán</v>
      </c>
      <c r="C1441" s="167" t="str">
        <f>_xlfn.XLOOKUP(F1441,Mapping!A:A,Mapping!F:F)</f>
        <v>Lương Chính +T13</v>
      </c>
      <c r="D1441" s="173">
        <v>45900</v>
      </c>
      <c r="E1441" s="169" t="s">
        <v>994</v>
      </c>
      <c r="F1441" s="169" t="s">
        <v>274</v>
      </c>
      <c r="G1441" s="169" t="s">
        <v>275</v>
      </c>
      <c r="H1441" s="169" t="s">
        <v>356</v>
      </c>
      <c r="I1441" s="169" t="s">
        <v>357</v>
      </c>
      <c r="J1441" s="169" t="s">
        <v>995</v>
      </c>
      <c r="K1441" s="169" t="s">
        <v>996</v>
      </c>
      <c r="L1441" s="169" t="s">
        <v>956</v>
      </c>
      <c r="M1441" s="169" t="s">
        <v>281</v>
      </c>
      <c r="N1441" s="178">
        <v>502370819</v>
      </c>
      <c r="O1441" s="169" t="s">
        <v>997</v>
      </c>
      <c r="P1441" s="169" t="s">
        <v>283</v>
      </c>
      <c r="Q1441" s="169" t="s">
        <v>284</v>
      </c>
      <c r="R1441" s="169" t="s">
        <v>283</v>
      </c>
      <c r="S1441" s="169" t="s">
        <v>283</v>
      </c>
      <c r="T1441" s="169">
        <v>0</v>
      </c>
    </row>
    <row r="1442" spans="1:20" x14ac:dyDescent="0.2">
      <c r="A1442" s="169" t="str">
        <f t="shared" si="0"/>
        <v>642</v>
      </c>
      <c r="B1442" s="167" t="str">
        <f>_xlfn.XLOOKUP(I1442,Mapping!D:D,Mapping!E:E)</f>
        <v>Kế Toán</v>
      </c>
      <c r="C1442" s="167" t="str">
        <f>_xlfn.XLOOKUP(F1442,Mapping!A:A,Mapping!F:F)</f>
        <v>Lương Chính +T13</v>
      </c>
      <c r="D1442" s="173">
        <v>45900</v>
      </c>
      <c r="E1442" s="169" t="s">
        <v>994</v>
      </c>
      <c r="F1442" s="169" t="s">
        <v>285</v>
      </c>
      <c r="G1442" s="169" t="s">
        <v>286</v>
      </c>
      <c r="H1442" s="169" t="s">
        <v>356</v>
      </c>
      <c r="I1442" s="169" t="s">
        <v>357</v>
      </c>
      <c r="J1442" s="169" t="s">
        <v>995</v>
      </c>
      <c r="K1442" s="169" t="s">
        <v>996</v>
      </c>
      <c r="L1442" s="169" t="s">
        <v>956</v>
      </c>
      <c r="M1442" s="169" t="s">
        <v>281</v>
      </c>
      <c r="N1442" s="178">
        <v>28269608</v>
      </c>
      <c r="O1442" s="169" t="s">
        <v>997</v>
      </c>
      <c r="P1442" s="169" t="s">
        <v>283</v>
      </c>
      <c r="Q1442" s="169" t="s">
        <v>284</v>
      </c>
      <c r="R1442" s="169" t="s">
        <v>283</v>
      </c>
      <c r="S1442" s="169" t="s">
        <v>283</v>
      </c>
      <c r="T1442" s="169">
        <v>0</v>
      </c>
    </row>
    <row r="1443" spans="1:20" x14ac:dyDescent="0.2">
      <c r="A1443" s="169" t="str">
        <f t="shared" si="0"/>
        <v>642</v>
      </c>
      <c r="B1443" s="167" t="str">
        <f>_xlfn.XLOOKUP(I1443,Mapping!D:D,Mapping!E:E)</f>
        <v>Kế Toán</v>
      </c>
      <c r="C1443" s="167" t="str">
        <f>_xlfn.XLOOKUP(F1443,Mapping!A:A,Mapping!F:F)</f>
        <v>Lương Ngoài giờ</v>
      </c>
      <c r="D1443" s="173">
        <v>45900</v>
      </c>
      <c r="E1443" s="169" t="s">
        <v>994</v>
      </c>
      <c r="F1443" s="169" t="s">
        <v>342</v>
      </c>
      <c r="G1443" s="169" t="s">
        <v>343</v>
      </c>
      <c r="H1443" s="169" t="s">
        <v>356</v>
      </c>
      <c r="I1443" s="169" t="s">
        <v>357</v>
      </c>
      <c r="J1443" s="169" t="s">
        <v>995</v>
      </c>
      <c r="K1443" s="169" t="s">
        <v>996</v>
      </c>
      <c r="L1443" s="169" t="s">
        <v>956</v>
      </c>
      <c r="M1443" s="169" t="s">
        <v>281</v>
      </c>
      <c r="N1443" s="178">
        <v>49682613</v>
      </c>
      <c r="O1443" s="169" t="s">
        <v>997</v>
      </c>
      <c r="P1443" s="169" t="s">
        <v>283</v>
      </c>
      <c r="Q1443" s="169" t="s">
        <v>284</v>
      </c>
      <c r="R1443" s="169" t="s">
        <v>283</v>
      </c>
      <c r="S1443" s="169" t="s">
        <v>283</v>
      </c>
      <c r="T1443" s="169">
        <v>0</v>
      </c>
    </row>
    <row r="1444" spans="1:20" x14ac:dyDescent="0.2">
      <c r="A1444" s="169" t="str">
        <f t="shared" si="0"/>
        <v>642</v>
      </c>
      <c r="B1444" s="167" t="str">
        <f>_xlfn.XLOOKUP(I1444,Mapping!D:D,Mapping!E:E)</f>
        <v>Kế Toán</v>
      </c>
      <c r="C1444" s="167" t="str">
        <f>_xlfn.XLOOKUP(F1444,Mapping!A:A,Mapping!F:F)</f>
        <v>Phụ Cấp</v>
      </c>
      <c r="D1444" s="173">
        <v>45900</v>
      </c>
      <c r="E1444" s="169" t="s">
        <v>994</v>
      </c>
      <c r="F1444" s="169" t="s">
        <v>335</v>
      </c>
      <c r="G1444" s="169" t="s">
        <v>336</v>
      </c>
      <c r="H1444" s="169" t="s">
        <v>356</v>
      </c>
      <c r="I1444" s="169" t="s">
        <v>357</v>
      </c>
      <c r="J1444" s="169" t="s">
        <v>995</v>
      </c>
      <c r="K1444" s="169" t="s">
        <v>996</v>
      </c>
      <c r="L1444" s="169" t="s">
        <v>956</v>
      </c>
      <c r="M1444" s="169" t="s">
        <v>281</v>
      </c>
      <c r="N1444" s="178">
        <v>2575000</v>
      </c>
      <c r="O1444" s="169" t="s">
        <v>997</v>
      </c>
      <c r="P1444" s="169" t="s">
        <v>283</v>
      </c>
      <c r="Q1444" s="169" t="s">
        <v>284</v>
      </c>
      <c r="R1444" s="169" t="s">
        <v>283</v>
      </c>
      <c r="S1444" s="169" t="s">
        <v>283</v>
      </c>
      <c r="T1444" s="169">
        <v>0</v>
      </c>
    </row>
    <row r="1445" spans="1:20" x14ac:dyDescent="0.2">
      <c r="A1445" s="169" t="str">
        <f t="shared" si="0"/>
        <v>641</v>
      </c>
      <c r="B1445" s="167" t="str">
        <f>_xlfn.XLOOKUP(I1445,Mapping!D:D,Mapping!E:E)</f>
        <v>Kinh doanh</v>
      </c>
      <c r="C1445" s="167" t="str">
        <f>_xlfn.XLOOKUP(F1445,Mapping!A:A,Mapping!F:F)</f>
        <v>Lương Chính +T13</v>
      </c>
      <c r="D1445" s="173">
        <v>45900</v>
      </c>
      <c r="E1445" s="169" t="s">
        <v>994</v>
      </c>
      <c r="F1445" s="169" t="s">
        <v>383</v>
      </c>
      <c r="G1445" s="169" t="s">
        <v>275</v>
      </c>
      <c r="H1445" s="169" t="s">
        <v>366</v>
      </c>
      <c r="I1445" s="169" t="s">
        <v>1</v>
      </c>
      <c r="J1445" s="169" t="s">
        <v>995</v>
      </c>
      <c r="K1445" s="169" t="s">
        <v>996</v>
      </c>
      <c r="L1445" s="169" t="s">
        <v>956</v>
      </c>
      <c r="M1445" s="169" t="s">
        <v>281</v>
      </c>
      <c r="N1445" s="178">
        <v>234735562</v>
      </c>
      <c r="O1445" s="169" t="s">
        <v>997</v>
      </c>
      <c r="P1445" s="169" t="s">
        <v>283</v>
      </c>
      <c r="Q1445" s="169" t="s">
        <v>284</v>
      </c>
      <c r="R1445" s="169" t="s">
        <v>283</v>
      </c>
      <c r="S1445" s="169" t="s">
        <v>283</v>
      </c>
      <c r="T1445" s="169">
        <v>0</v>
      </c>
    </row>
    <row r="1446" spans="1:20" x14ac:dyDescent="0.2">
      <c r="A1446" s="169" t="str">
        <f t="shared" si="0"/>
        <v>641</v>
      </c>
      <c r="B1446" s="167" t="str">
        <f>_xlfn.XLOOKUP(I1446,Mapping!D:D,Mapping!E:E)</f>
        <v>Kinh doanh</v>
      </c>
      <c r="C1446" s="167" t="str">
        <f>_xlfn.XLOOKUP(F1446,Mapping!A:A,Mapping!F:F)</f>
        <v>Lương Chính +T13</v>
      </c>
      <c r="D1446" s="173">
        <v>45900</v>
      </c>
      <c r="E1446" s="169" t="s">
        <v>994</v>
      </c>
      <c r="F1446" s="169" t="s">
        <v>384</v>
      </c>
      <c r="G1446" s="169" t="s">
        <v>286</v>
      </c>
      <c r="H1446" s="169" t="s">
        <v>366</v>
      </c>
      <c r="I1446" s="169" t="s">
        <v>1</v>
      </c>
      <c r="J1446" s="169" t="s">
        <v>995</v>
      </c>
      <c r="K1446" s="169" t="s">
        <v>996</v>
      </c>
      <c r="L1446" s="169" t="s">
        <v>956</v>
      </c>
      <c r="M1446" s="169" t="s">
        <v>281</v>
      </c>
      <c r="N1446" s="178">
        <v>3873808</v>
      </c>
      <c r="O1446" s="169" t="s">
        <v>997</v>
      </c>
      <c r="P1446" s="169" t="s">
        <v>283</v>
      </c>
      <c r="Q1446" s="169" t="s">
        <v>284</v>
      </c>
      <c r="R1446" s="169" t="s">
        <v>283</v>
      </c>
      <c r="S1446" s="169" t="s">
        <v>283</v>
      </c>
      <c r="T1446" s="169">
        <v>0</v>
      </c>
    </row>
    <row r="1447" spans="1:20" x14ac:dyDescent="0.2">
      <c r="A1447" s="169" t="str">
        <f t="shared" si="0"/>
        <v>641</v>
      </c>
      <c r="B1447" s="167" t="str">
        <f>_xlfn.XLOOKUP(I1447,Mapping!D:D,Mapping!E:E)</f>
        <v>Kinh doanh</v>
      </c>
      <c r="C1447" s="167" t="str">
        <f>_xlfn.XLOOKUP(F1447,Mapping!A:A,Mapping!F:F)</f>
        <v>Thưởng</v>
      </c>
      <c r="D1447" s="173">
        <v>45900</v>
      </c>
      <c r="E1447" s="169" t="s">
        <v>994</v>
      </c>
      <c r="F1447" s="169" t="s">
        <v>365</v>
      </c>
      <c r="G1447" s="169" t="s">
        <v>291</v>
      </c>
      <c r="H1447" s="169" t="s">
        <v>366</v>
      </c>
      <c r="I1447" s="169" t="s">
        <v>1</v>
      </c>
      <c r="J1447" s="169" t="s">
        <v>995</v>
      </c>
      <c r="K1447" s="169" t="s">
        <v>996</v>
      </c>
      <c r="L1447" s="169" t="s">
        <v>956</v>
      </c>
      <c r="M1447" s="169" t="s">
        <v>281</v>
      </c>
      <c r="N1447" s="178">
        <v>88536485</v>
      </c>
      <c r="O1447" s="169" t="s">
        <v>997</v>
      </c>
      <c r="P1447" s="169" t="s">
        <v>283</v>
      </c>
      <c r="Q1447" s="169" t="s">
        <v>284</v>
      </c>
      <c r="R1447" s="169" t="s">
        <v>283</v>
      </c>
      <c r="S1447" s="169" t="s">
        <v>283</v>
      </c>
      <c r="T1447" s="169">
        <v>0</v>
      </c>
    </row>
    <row r="1448" spans="1:20" x14ac:dyDescent="0.2">
      <c r="A1448" s="169" t="str">
        <f t="shared" si="0"/>
        <v>641</v>
      </c>
      <c r="B1448" s="167" t="str">
        <f>_xlfn.XLOOKUP(I1448,Mapping!D:D,Mapping!E:E)</f>
        <v>Kinh doanh</v>
      </c>
      <c r="C1448" s="167" t="str">
        <f>_xlfn.XLOOKUP(F1448,Mapping!A:A,Mapping!F:F)</f>
        <v>Phụ Cấp</v>
      </c>
      <c r="D1448" s="173">
        <v>45900</v>
      </c>
      <c r="E1448" s="169" t="s">
        <v>994</v>
      </c>
      <c r="F1448" s="169" t="s">
        <v>385</v>
      </c>
      <c r="G1448" s="169" t="s">
        <v>336</v>
      </c>
      <c r="H1448" s="169" t="s">
        <v>366</v>
      </c>
      <c r="I1448" s="169" t="s">
        <v>1</v>
      </c>
      <c r="J1448" s="169" t="s">
        <v>995</v>
      </c>
      <c r="K1448" s="169" t="s">
        <v>996</v>
      </c>
      <c r="L1448" s="169" t="s">
        <v>956</v>
      </c>
      <c r="M1448" s="169" t="s">
        <v>281</v>
      </c>
      <c r="N1448" s="178">
        <v>50000</v>
      </c>
      <c r="O1448" s="169" t="s">
        <v>997</v>
      </c>
      <c r="P1448" s="169" t="s">
        <v>283</v>
      </c>
      <c r="Q1448" s="169" t="s">
        <v>284</v>
      </c>
      <c r="R1448" s="169" t="s">
        <v>283</v>
      </c>
      <c r="S1448" s="169" t="s">
        <v>283</v>
      </c>
      <c r="T1448" s="169">
        <v>0</v>
      </c>
    </row>
    <row r="1449" spans="1:20" x14ac:dyDescent="0.2">
      <c r="A1449" s="169" t="str">
        <f t="shared" si="0"/>
        <v>642</v>
      </c>
      <c r="B1449" s="167" t="str">
        <f>_xlfn.XLOOKUP(I1449,Mapping!D:D,Mapping!E:E)</f>
        <v>Cung Ứng</v>
      </c>
      <c r="C1449" s="167" t="str">
        <f>_xlfn.XLOOKUP(F1449,Mapping!A:A,Mapping!F:F)</f>
        <v>Lương Chính +T13</v>
      </c>
      <c r="D1449" s="173">
        <v>45900</v>
      </c>
      <c r="E1449" s="169" t="s">
        <v>994</v>
      </c>
      <c r="F1449" s="169" t="s">
        <v>274</v>
      </c>
      <c r="G1449" s="169" t="s">
        <v>275</v>
      </c>
      <c r="H1449" s="169" t="s">
        <v>380</v>
      </c>
      <c r="I1449" s="169" t="s">
        <v>381</v>
      </c>
      <c r="J1449" s="169" t="s">
        <v>995</v>
      </c>
      <c r="K1449" s="169" t="s">
        <v>996</v>
      </c>
      <c r="L1449" s="169" t="s">
        <v>956</v>
      </c>
      <c r="M1449" s="169" t="s">
        <v>281</v>
      </c>
      <c r="N1449" s="178">
        <v>530658480</v>
      </c>
      <c r="O1449" s="169" t="s">
        <v>997</v>
      </c>
      <c r="P1449" s="169" t="s">
        <v>283</v>
      </c>
      <c r="Q1449" s="169" t="s">
        <v>284</v>
      </c>
      <c r="R1449" s="169" t="s">
        <v>283</v>
      </c>
      <c r="S1449" s="169" t="s">
        <v>283</v>
      </c>
      <c r="T1449" s="169">
        <v>0</v>
      </c>
    </row>
    <row r="1450" spans="1:20" x14ac:dyDescent="0.2">
      <c r="A1450" s="169" t="str">
        <f t="shared" ref="A1450:A1513" si="1">LEFT(F1450,3)</f>
        <v>642</v>
      </c>
      <c r="B1450" s="167" t="str">
        <f>_xlfn.XLOOKUP(I1450,Mapping!D:D,Mapping!E:E)</f>
        <v>Cung Ứng</v>
      </c>
      <c r="C1450" s="167" t="str">
        <f>_xlfn.XLOOKUP(F1450,Mapping!A:A,Mapping!F:F)</f>
        <v>Lương Chính +T13</v>
      </c>
      <c r="D1450" s="173">
        <v>45900</v>
      </c>
      <c r="E1450" s="169" t="s">
        <v>994</v>
      </c>
      <c r="F1450" s="169" t="s">
        <v>285</v>
      </c>
      <c r="G1450" s="169" t="s">
        <v>286</v>
      </c>
      <c r="H1450" s="169" t="s">
        <v>380</v>
      </c>
      <c r="I1450" s="169" t="s">
        <v>381</v>
      </c>
      <c r="J1450" s="169" t="s">
        <v>995</v>
      </c>
      <c r="K1450" s="169" t="s">
        <v>996</v>
      </c>
      <c r="L1450" s="169" t="s">
        <v>956</v>
      </c>
      <c r="M1450" s="169" t="s">
        <v>281</v>
      </c>
      <c r="N1450" s="178">
        <v>24227232</v>
      </c>
      <c r="O1450" s="169" t="s">
        <v>997</v>
      </c>
      <c r="P1450" s="169" t="s">
        <v>283</v>
      </c>
      <c r="Q1450" s="169" t="s">
        <v>284</v>
      </c>
      <c r="R1450" s="169" t="s">
        <v>283</v>
      </c>
      <c r="S1450" s="169" t="s">
        <v>283</v>
      </c>
      <c r="T1450" s="169">
        <v>0</v>
      </c>
    </row>
    <row r="1451" spans="1:20" x14ac:dyDescent="0.2">
      <c r="A1451" s="169" t="str">
        <f t="shared" si="1"/>
        <v>642</v>
      </c>
      <c r="B1451" s="167" t="str">
        <f>_xlfn.XLOOKUP(I1451,Mapping!D:D,Mapping!E:E)</f>
        <v>Cung Ứng</v>
      </c>
      <c r="C1451" s="167" t="str">
        <f>_xlfn.XLOOKUP(F1451,Mapping!A:A,Mapping!F:F)</f>
        <v>Thưởng</v>
      </c>
      <c r="D1451" s="173">
        <v>45900</v>
      </c>
      <c r="E1451" s="169" t="s">
        <v>994</v>
      </c>
      <c r="F1451" s="169" t="s">
        <v>290</v>
      </c>
      <c r="G1451" s="169" t="s">
        <v>291</v>
      </c>
      <c r="H1451" s="169" t="s">
        <v>380</v>
      </c>
      <c r="I1451" s="169" t="s">
        <v>381</v>
      </c>
      <c r="J1451" s="169" t="s">
        <v>995</v>
      </c>
      <c r="K1451" s="169" t="s">
        <v>996</v>
      </c>
      <c r="L1451" s="169" t="s">
        <v>956</v>
      </c>
      <c r="M1451" s="169" t="s">
        <v>281</v>
      </c>
      <c r="N1451" s="178">
        <v>312008538</v>
      </c>
      <c r="O1451" s="169" t="s">
        <v>997</v>
      </c>
      <c r="P1451" s="169" t="s">
        <v>283</v>
      </c>
      <c r="Q1451" s="169" t="s">
        <v>284</v>
      </c>
      <c r="R1451" s="169" t="s">
        <v>283</v>
      </c>
      <c r="S1451" s="169" t="s">
        <v>283</v>
      </c>
      <c r="T1451" s="169">
        <v>0</v>
      </c>
    </row>
    <row r="1452" spans="1:20" x14ac:dyDescent="0.2">
      <c r="A1452" s="169" t="str">
        <f t="shared" si="1"/>
        <v>642</v>
      </c>
      <c r="B1452" s="167" t="str">
        <f>_xlfn.XLOOKUP(I1452,Mapping!D:D,Mapping!E:E)</f>
        <v>Cung Ứng</v>
      </c>
      <c r="C1452" s="167" t="str">
        <f>_xlfn.XLOOKUP(F1452,Mapping!A:A,Mapping!F:F)</f>
        <v>Phụ Cấp</v>
      </c>
      <c r="D1452" s="173">
        <v>45900</v>
      </c>
      <c r="E1452" s="169" t="s">
        <v>994</v>
      </c>
      <c r="F1452" s="169" t="s">
        <v>335</v>
      </c>
      <c r="G1452" s="169" t="s">
        <v>336</v>
      </c>
      <c r="H1452" s="169" t="s">
        <v>380</v>
      </c>
      <c r="I1452" s="169" t="s">
        <v>381</v>
      </c>
      <c r="J1452" s="169" t="s">
        <v>995</v>
      </c>
      <c r="K1452" s="169" t="s">
        <v>996</v>
      </c>
      <c r="L1452" s="169" t="s">
        <v>956</v>
      </c>
      <c r="M1452" s="169" t="s">
        <v>281</v>
      </c>
      <c r="N1452" s="178">
        <v>12430000</v>
      </c>
      <c r="O1452" s="169" t="s">
        <v>997</v>
      </c>
      <c r="P1452" s="169" t="s">
        <v>283</v>
      </c>
      <c r="Q1452" s="169" t="s">
        <v>284</v>
      </c>
      <c r="R1452" s="169" t="s">
        <v>283</v>
      </c>
      <c r="S1452" s="169" t="s">
        <v>283</v>
      </c>
      <c r="T1452" s="169">
        <v>0</v>
      </c>
    </row>
    <row r="1453" spans="1:20" x14ac:dyDescent="0.2">
      <c r="A1453" s="169" t="str">
        <f t="shared" si="1"/>
        <v>642</v>
      </c>
      <c r="B1453" s="167" t="str">
        <f>_xlfn.XLOOKUP(I1453,Mapping!D:D,Mapping!E:E)</f>
        <v>Mua Hàng &amp; XNK</v>
      </c>
      <c r="C1453" s="167" t="str">
        <f>_xlfn.XLOOKUP(F1453,Mapping!A:A,Mapping!F:F)</f>
        <v>Lương Chính +T13</v>
      </c>
      <c r="D1453" s="173">
        <v>45900</v>
      </c>
      <c r="E1453" s="169" t="s">
        <v>994</v>
      </c>
      <c r="F1453" s="169" t="s">
        <v>274</v>
      </c>
      <c r="G1453" s="169" t="s">
        <v>275</v>
      </c>
      <c r="H1453" s="169" t="s">
        <v>378</v>
      </c>
      <c r="I1453" s="169" t="s">
        <v>379</v>
      </c>
      <c r="J1453" s="169" t="s">
        <v>995</v>
      </c>
      <c r="K1453" s="169" t="s">
        <v>996</v>
      </c>
      <c r="L1453" s="169" t="s">
        <v>956</v>
      </c>
      <c r="M1453" s="169" t="s">
        <v>281</v>
      </c>
      <c r="N1453" s="178">
        <v>121680122</v>
      </c>
      <c r="O1453" s="169" t="s">
        <v>997</v>
      </c>
      <c r="P1453" s="169" t="s">
        <v>283</v>
      </c>
      <c r="Q1453" s="169" t="s">
        <v>284</v>
      </c>
      <c r="R1453" s="169" t="s">
        <v>283</v>
      </c>
      <c r="S1453" s="169" t="s">
        <v>283</v>
      </c>
      <c r="T1453" s="169">
        <v>0</v>
      </c>
    </row>
    <row r="1454" spans="1:20" x14ac:dyDescent="0.2">
      <c r="A1454" s="169" t="str">
        <f t="shared" si="1"/>
        <v>642</v>
      </c>
      <c r="B1454" s="167" t="str">
        <f>_xlfn.XLOOKUP(I1454,Mapping!D:D,Mapping!E:E)</f>
        <v>Mua Hàng &amp; XNK</v>
      </c>
      <c r="C1454" s="167" t="str">
        <f>_xlfn.XLOOKUP(F1454,Mapping!A:A,Mapping!F:F)</f>
        <v>Lương Chính +T13</v>
      </c>
      <c r="D1454" s="173">
        <v>45900</v>
      </c>
      <c r="E1454" s="169" t="s">
        <v>994</v>
      </c>
      <c r="F1454" s="169" t="s">
        <v>285</v>
      </c>
      <c r="G1454" s="169" t="s">
        <v>286</v>
      </c>
      <c r="H1454" s="169" t="s">
        <v>378</v>
      </c>
      <c r="I1454" s="169" t="s">
        <v>379</v>
      </c>
      <c r="J1454" s="169" t="s">
        <v>995</v>
      </c>
      <c r="K1454" s="169" t="s">
        <v>996</v>
      </c>
      <c r="L1454" s="169" t="s">
        <v>956</v>
      </c>
      <c r="M1454" s="169" t="s">
        <v>281</v>
      </c>
      <c r="N1454" s="178">
        <v>6622114</v>
      </c>
      <c r="O1454" s="169" t="s">
        <v>997</v>
      </c>
      <c r="P1454" s="169" t="s">
        <v>283</v>
      </c>
      <c r="Q1454" s="169" t="s">
        <v>284</v>
      </c>
      <c r="R1454" s="169" t="s">
        <v>283</v>
      </c>
      <c r="S1454" s="169" t="s">
        <v>283</v>
      </c>
      <c r="T1454" s="169">
        <v>0</v>
      </c>
    </row>
    <row r="1455" spans="1:20" x14ac:dyDescent="0.2">
      <c r="A1455" s="169" t="str">
        <f t="shared" si="1"/>
        <v>642</v>
      </c>
      <c r="B1455" s="167" t="str">
        <f>_xlfn.XLOOKUP(I1455,Mapping!D:D,Mapping!E:E)</f>
        <v>Mua Hàng &amp; XNK</v>
      </c>
      <c r="C1455" s="167" t="str">
        <f>_xlfn.XLOOKUP(F1455,Mapping!A:A,Mapping!F:F)</f>
        <v>Phụ Cấp</v>
      </c>
      <c r="D1455" s="173">
        <v>45900</v>
      </c>
      <c r="E1455" s="169" t="s">
        <v>994</v>
      </c>
      <c r="F1455" s="169" t="s">
        <v>335</v>
      </c>
      <c r="G1455" s="169" t="s">
        <v>336</v>
      </c>
      <c r="H1455" s="169" t="s">
        <v>378</v>
      </c>
      <c r="I1455" s="169" t="s">
        <v>379</v>
      </c>
      <c r="J1455" s="169" t="s">
        <v>995</v>
      </c>
      <c r="K1455" s="169" t="s">
        <v>996</v>
      </c>
      <c r="L1455" s="169" t="s">
        <v>956</v>
      </c>
      <c r="M1455" s="169" t="s">
        <v>281</v>
      </c>
      <c r="N1455" s="178">
        <v>700000</v>
      </c>
      <c r="O1455" s="169" t="s">
        <v>997</v>
      </c>
      <c r="P1455" s="169" t="s">
        <v>283</v>
      </c>
      <c r="Q1455" s="169" t="s">
        <v>284</v>
      </c>
      <c r="R1455" s="169" t="s">
        <v>283</v>
      </c>
      <c r="S1455" s="169" t="s">
        <v>283</v>
      </c>
      <c r="T1455" s="169">
        <v>0</v>
      </c>
    </row>
    <row r="1456" spans="1:20" x14ac:dyDescent="0.2">
      <c r="A1456" s="169" t="str">
        <f t="shared" si="1"/>
        <v>627</v>
      </c>
      <c r="B1456" s="167" t="str">
        <f>_xlfn.XLOOKUP(I1456,Mapping!D:D,Mapping!E:E)</f>
        <v>Kỹ Thuật</v>
      </c>
      <c r="C1456" s="167" t="str">
        <f>_xlfn.XLOOKUP(F1456,Mapping!A:A,Mapping!F:F)</f>
        <v>Phụ Cấp</v>
      </c>
      <c r="D1456" s="173">
        <v>45900</v>
      </c>
      <c r="E1456" s="169" t="s">
        <v>994</v>
      </c>
      <c r="F1456" s="169" t="s">
        <v>386</v>
      </c>
      <c r="G1456" s="169" t="s">
        <v>341</v>
      </c>
      <c r="H1456" s="169" t="s">
        <v>376</v>
      </c>
      <c r="I1456" s="169" t="s">
        <v>377</v>
      </c>
      <c r="J1456" s="169" t="s">
        <v>995</v>
      </c>
      <c r="K1456" s="169" t="s">
        <v>996</v>
      </c>
      <c r="L1456" s="169" t="s">
        <v>956</v>
      </c>
      <c r="M1456" s="169" t="s">
        <v>281</v>
      </c>
      <c r="N1456" s="178">
        <v>51620106</v>
      </c>
      <c r="O1456" s="169" t="s">
        <v>997</v>
      </c>
      <c r="P1456" s="169" t="s">
        <v>283</v>
      </c>
      <c r="Q1456" s="169" t="s">
        <v>284</v>
      </c>
      <c r="R1456" s="169" t="s">
        <v>283</v>
      </c>
      <c r="S1456" s="169" t="s">
        <v>283</v>
      </c>
      <c r="T1456" s="169">
        <v>0</v>
      </c>
    </row>
    <row r="1457" spans="1:20" x14ac:dyDescent="0.2">
      <c r="A1457" s="169" t="str">
        <f t="shared" si="1"/>
        <v>627</v>
      </c>
      <c r="B1457" s="167" t="str">
        <f>_xlfn.XLOOKUP(I1457,Mapping!D:D,Mapping!E:E)</f>
        <v>Kỹ Thuật</v>
      </c>
      <c r="C1457" s="167" t="str">
        <f>_xlfn.XLOOKUP(F1457,Mapping!A:A,Mapping!F:F)</f>
        <v>Lương Chính +T13</v>
      </c>
      <c r="D1457" s="173">
        <v>45900</v>
      </c>
      <c r="E1457" s="169" t="s">
        <v>994</v>
      </c>
      <c r="F1457" s="169" t="s">
        <v>387</v>
      </c>
      <c r="G1457" s="169" t="s">
        <v>275</v>
      </c>
      <c r="H1457" s="169" t="s">
        <v>376</v>
      </c>
      <c r="I1457" s="169" t="s">
        <v>377</v>
      </c>
      <c r="J1457" s="169" t="s">
        <v>995</v>
      </c>
      <c r="K1457" s="169" t="s">
        <v>996</v>
      </c>
      <c r="L1457" s="169" t="s">
        <v>956</v>
      </c>
      <c r="M1457" s="169" t="s">
        <v>281</v>
      </c>
      <c r="N1457" s="178">
        <v>1118793481</v>
      </c>
      <c r="O1457" s="169" t="s">
        <v>997</v>
      </c>
      <c r="P1457" s="169" t="s">
        <v>283</v>
      </c>
      <c r="Q1457" s="169" t="s">
        <v>284</v>
      </c>
      <c r="R1457" s="169" t="s">
        <v>283</v>
      </c>
      <c r="S1457" s="169" t="s">
        <v>283</v>
      </c>
      <c r="T1457" s="169">
        <v>0</v>
      </c>
    </row>
    <row r="1458" spans="1:20" x14ac:dyDescent="0.2">
      <c r="A1458" s="169" t="str">
        <f t="shared" si="1"/>
        <v>627</v>
      </c>
      <c r="B1458" s="167" t="str">
        <f>_xlfn.XLOOKUP(I1458,Mapping!D:D,Mapping!E:E)</f>
        <v>Kỹ Thuật</v>
      </c>
      <c r="C1458" s="167" t="str">
        <f>_xlfn.XLOOKUP(F1458,Mapping!A:A,Mapping!F:F)</f>
        <v>Lương Chính +T13</v>
      </c>
      <c r="D1458" s="173">
        <v>45900</v>
      </c>
      <c r="E1458" s="169" t="s">
        <v>994</v>
      </c>
      <c r="F1458" s="169" t="s">
        <v>388</v>
      </c>
      <c r="G1458" s="169" t="s">
        <v>286</v>
      </c>
      <c r="H1458" s="169" t="s">
        <v>376</v>
      </c>
      <c r="I1458" s="169" t="s">
        <v>377</v>
      </c>
      <c r="J1458" s="169" t="s">
        <v>995</v>
      </c>
      <c r="K1458" s="169" t="s">
        <v>996</v>
      </c>
      <c r="L1458" s="169" t="s">
        <v>956</v>
      </c>
      <c r="M1458" s="169" t="s">
        <v>281</v>
      </c>
      <c r="N1458" s="178">
        <v>48816653</v>
      </c>
      <c r="O1458" s="169" t="s">
        <v>997</v>
      </c>
      <c r="P1458" s="169" t="s">
        <v>283</v>
      </c>
      <c r="Q1458" s="169" t="s">
        <v>284</v>
      </c>
      <c r="R1458" s="169" t="s">
        <v>283</v>
      </c>
      <c r="S1458" s="169" t="s">
        <v>283</v>
      </c>
      <c r="T1458" s="169">
        <v>0</v>
      </c>
    </row>
    <row r="1459" spans="1:20" x14ac:dyDescent="0.2">
      <c r="A1459" s="169" t="str">
        <f t="shared" si="1"/>
        <v>627</v>
      </c>
      <c r="B1459" s="167" t="str">
        <f>_xlfn.XLOOKUP(I1459,Mapping!D:D,Mapping!E:E)</f>
        <v>Kỹ Thuật</v>
      </c>
      <c r="C1459" s="167" t="str">
        <f>_xlfn.XLOOKUP(F1459,Mapping!A:A,Mapping!F:F)</f>
        <v>Lương Ngoài giờ</v>
      </c>
      <c r="D1459" s="173">
        <v>45900</v>
      </c>
      <c r="E1459" s="169" t="s">
        <v>994</v>
      </c>
      <c r="F1459" s="169" t="s">
        <v>389</v>
      </c>
      <c r="G1459" s="169" t="s">
        <v>390</v>
      </c>
      <c r="H1459" s="169" t="s">
        <v>376</v>
      </c>
      <c r="I1459" s="169" t="s">
        <v>377</v>
      </c>
      <c r="J1459" s="169" t="s">
        <v>995</v>
      </c>
      <c r="K1459" s="169" t="s">
        <v>996</v>
      </c>
      <c r="L1459" s="169" t="s">
        <v>956</v>
      </c>
      <c r="M1459" s="169" t="s">
        <v>281</v>
      </c>
      <c r="N1459" s="178">
        <v>406556893</v>
      </c>
      <c r="O1459" s="169" t="s">
        <v>997</v>
      </c>
      <c r="P1459" s="169" t="s">
        <v>283</v>
      </c>
      <c r="Q1459" s="169" t="s">
        <v>284</v>
      </c>
      <c r="R1459" s="169" t="s">
        <v>283</v>
      </c>
      <c r="S1459" s="169" t="s">
        <v>283</v>
      </c>
      <c r="T1459" s="169">
        <v>0</v>
      </c>
    </row>
    <row r="1460" spans="1:20" x14ac:dyDescent="0.2">
      <c r="A1460" s="169" t="str">
        <f t="shared" si="1"/>
        <v>627</v>
      </c>
      <c r="B1460" s="167" t="str">
        <f>_xlfn.XLOOKUP(I1460,Mapping!D:D,Mapping!E:E)</f>
        <v>Kỹ Thuật</v>
      </c>
      <c r="C1460" s="167" t="str">
        <f>_xlfn.XLOOKUP(F1460,Mapping!A:A,Mapping!F:F)</f>
        <v>Phụ Cấp</v>
      </c>
      <c r="D1460" s="173">
        <v>45900</v>
      </c>
      <c r="E1460" s="169" t="s">
        <v>994</v>
      </c>
      <c r="F1460" s="169" t="s">
        <v>375</v>
      </c>
      <c r="G1460" s="169" t="s">
        <v>336</v>
      </c>
      <c r="H1460" s="169" t="s">
        <v>376</v>
      </c>
      <c r="I1460" s="169" t="s">
        <v>377</v>
      </c>
      <c r="J1460" s="169" t="s">
        <v>995</v>
      </c>
      <c r="K1460" s="169" t="s">
        <v>996</v>
      </c>
      <c r="L1460" s="169" t="s">
        <v>956</v>
      </c>
      <c r="M1460" s="169" t="s">
        <v>281</v>
      </c>
      <c r="N1460" s="178">
        <v>12110000</v>
      </c>
      <c r="O1460" s="169" t="s">
        <v>997</v>
      </c>
      <c r="P1460" s="169" t="s">
        <v>283</v>
      </c>
      <c r="Q1460" s="169" t="s">
        <v>284</v>
      </c>
      <c r="R1460" s="169" t="s">
        <v>283</v>
      </c>
      <c r="S1460" s="169" t="s">
        <v>283</v>
      </c>
      <c r="T1460" s="169">
        <v>0</v>
      </c>
    </row>
    <row r="1461" spans="1:20" x14ac:dyDescent="0.2">
      <c r="A1461" s="169" t="str">
        <f t="shared" si="1"/>
        <v>627</v>
      </c>
      <c r="B1461" s="167" t="str">
        <f>_xlfn.XLOOKUP(I1461,Mapping!D:D,Mapping!E:E)</f>
        <v>Kiểm Soát Chất Lượng</v>
      </c>
      <c r="C1461" s="167" t="str">
        <f>_xlfn.XLOOKUP(F1461,Mapping!A:A,Mapping!F:F)</f>
        <v>Phụ Cấp</v>
      </c>
      <c r="D1461" s="173">
        <v>45900</v>
      </c>
      <c r="E1461" s="169" t="s">
        <v>994</v>
      </c>
      <c r="F1461" s="169" t="s">
        <v>386</v>
      </c>
      <c r="G1461" s="169" t="s">
        <v>341</v>
      </c>
      <c r="H1461" s="169" t="s">
        <v>411</v>
      </c>
      <c r="I1461" s="169" t="s">
        <v>412</v>
      </c>
      <c r="J1461" s="169" t="s">
        <v>995</v>
      </c>
      <c r="K1461" s="169" t="s">
        <v>996</v>
      </c>
      <c r="L1461" s="169" t="s">
        <v>956</v>
      </c>
      <c r="M1461" s="169" t="s">
        <v>281</v>
      </c>
      <c r="N1461" s="178">
        <v>29100945</v>
      </c>
      <c r="O1461" s="169" t="s">
        <v>997</v>
      </c>
      <c r="P1461" s="169" t="s">
        <v>283</v>
      </c>
      <c r="Q1461" s="169" t="s">
        <v>284</v>
      </c>
      <c r="R1461" s="169" t="s">
        <v>283</v>
      </c>
      <c r="S1461" s="169" t="s">
        <v>283</v>
      </c>
      <c r="T1461" s="169">
        <v>0</v>
      </c>
    </row>
    <row r="1462" spans="1:20" x14ac:dyDescent="0.2">
      <c r="A1462" s="169" t="str">
        <f t="shared" si="1"/>
        <v>627</v>
      </c>
      <c r="B1462" s="167" t="str">
        <f>_xlfn.XLOOKUP(I1462,Mapping!D:D,Mapping!E:E)</f>
        <v>Kiểm Soát Chất Lượng</v>
      </c>
      <c r="C1462" s="167" t="str">
        <f>_xlfn.XLOOKUP(F1462,Mapping!A:A,Mapping!F:F)</f>
        <v>Lương Chính +T13</v>
      </c>
      <c r="D1462" s="173">
        <v>45900</v>
      </c>
      <c r="E1462" s="169" t="s">
        <v>994</v>
      </c>
      <c r="F1462" s="169" t="s">
        <v>387</v>
      </c>
      <c r="G1462" s="169" t="s">
        <v>275</v>
      </c>
      <c r="H1462" s="169" t="s">
        <v>411</v>
      </c>
      <c r="I1462" s="169" t="s">
        <v>412</v>
      </c>
      <c r="J1462" s="169" t="s">
        <v>995</v>
      </c>
      <c r="K1462" s="169" t="s">
        <v>996</v>
      </c>
      <c r="L1462" s="169" t="s">
        <v>956</v>
      </c>
      <c r="M1462" s="169" t="s">
        <v>281</v>
      </c>
      <c r="N1462" s="178">
        <v>509618147</v>
      </c>
      <c r="O1462" s="169" t="s">
        <v>997</v>
      </c>
      <c r="P1462" s="169" t="s">
        <v>283</v>
      </c>
      <c r="Q1462" s="169" t="s">
        <v>284</v>
      </c>
      <c r="R1462" s="169" t="s">
        <v>283</v>
      </c>
      <c r="S1462" s="169" t="s">
        <v>283</v>
      </c>
      <c r="T1462" s="169">
        <v>0</v>
      </c>
    </row>
    <row r="1463" spans="1:20" x14ac:dyDescent="0.2">
      <c r="A1463" s="169" t="str">
        <f t="shared" si="1"/>
        <v>627</v>
      </c>
      <c r="B1463" s="167" t="str">
        <f>_xlfn.XLOOKUP(I1463,Mapping!D:D,Mapping!E:E)</f>
        <v>Kiểm Soát Chất Lượng</v>
      </c>
      <c r="C1463" s="167" t="str">
        <f>_xlfn.XLOOKUP(F1463,Mapping!A:A,Mapping!F:F)</f>
        <v>Lương Chính +T13</v>
      </c>
      <c r="D1463" s="173">
        <v>45900</v>
      </c>
      <c r="E1463" s="169" t="s">
        <v>994</v>
      </c>
      <c r="F1463" s="169" t="s">
        <v>388</v>
      </c>
      <c r="G1463" s="169" t="s">
        <v>286</v>
      </c>
      <c r="H1463" s="169" t="s">
        <v>411</v>
      </c>
      <c r="I1463" s="169" t="s">
        <v>412</v>
      </c>
      <c r="J1463" s="169" t="s">
        <v>995</v>
      </c>
      <c r="K1463" s="169" t="s">
        <v>996</v>
      </c>
      <c r="L1463" s="169" t="s">
        <v>956</v>
      </c>
      <c r="M1463" s="169" t="s">
        <v>281</v>
      </c>
      <c r="N1463" s="178">
        <v>26854750</v>
      </c>
      <c r="O1463" s="169" t="s">
        <v>997</v>
      </c>
      <c r="P1463" s="169" t="s">
        <v>283</v>
      </c>
      <c r="Q1463" s="169" t="s">
        <v>284</v>
      </c>
      <c r="R1463" s="169" t="s">
        <v>283</v>
      </c>
      <c r="S1463" s="169" t="s">
        <v>283</v>
      </c>
      <c r="T1463" s="169">
        <v>0</v>
      </c>
    </row>
    <row r="1464" spans="1:20" x14ac:dyDescent="0.2">
      <c r="A1464" s="169" t="str">
        <f t="shared" si="1"/>
        <v>627</v>
      </c>
      <c r="B1464" s="167" t="str">
        <f>_xlfn.XLOOKUP(I1464,Mapping!D:D,Mapping!E:E)</f>
        <v>Kiểm Soát Chất Lượng</v>
      </c>
      <c r="C1464" s="167" t="str">
        <f>_xlfn.XLOOKUP(F1464,Mapping!A:A,Mapping!F:F)</f>
        <v>Lương Ngoài giờ</v>
      </c>
      <c r="D1464" s="173">
        <v>45900</v>
      </c>
      <c r="E1464" s="169" t="s">
        <v>994</v>
      </c>
      <c r="F1464" s="169" t="s">
        <v>389</v>
      </c>
      <c r="G1464" s="169" t="s">
        <v>390</v>
      </c>
      <c r="H1464" s="169" t="s">
        <v>411</v>
      </c>
      <c r="I1464" s="169" t="s">
        <v>412</v>
      </c>
      <c r="J1464" s="169" t="s">
        <v>995</v>
      </c>
      <c r="K1464" s="169" t="s">
        <v>996</v>
      </c>
      <c r="L1464" s="169" t="s">
        <v>956</v>
      </c>
      <c r="M1464" s="169" t="s">
        <v>281</v>
      </c>
      <c r="N1464" s="178">
        <v>191485300</v>
      </c>
      <c r="O1464" s="169" t="s">
        <v>997</v>
      </c>
      <c r="P1464" s="169" t="s">
        <v>283</v>
      </c>
      <c r="Q1464" s="169" t="s">
        <v>284</v>
      </c>
      <c r="R1464" s="169" t="s">
        <v>283</v>
      </c>
      <c r="S1464" s="169" t="s">
        <v>283</v>
      </c>
      <c r="T1464" s="169">
        <v>0</v>
      </c>
    </row>
    <row r="1465" spans="1:20" x14ac:dyDescent="0.2">
      <c r="A1465" s="169" t="str">
        <f t="shared" si="1"/>
        <v>627</v>
      </c>
      <c r="B1465" s="167" t="str">
        <f>_xlfn.XLOOKUP(I1465,Mapping!D:D,Mapping!E:E)</f>
        <v>Kiểm Soát Chất Lượng</v>
      </c>
      <c r="C1465" s="167" t="str">
        <f>_xlfn.XLOOKUP(F1465,Mapping!A:A,Mapping!F:F)</f>
        <v>Phụ Cấp</v>
      </c>
      <c r="D1465" s="173">
        <v>45900</v>
      </c>
      <c r="E1465" s="169" t="s">
        <v>994</v>
      </c>
      <c r="F1465" s="169" t="s">
        <v>375</v>
      </c>
      <c r="G1465" s="169" t="s">
        <v>336</v>
      </c>
      <c r="H1465" s="169" t="s">
        <v>411</v>
      </c>
      <c r="I1465" s="169" t="s">
        <v>412</v>
      </c>
      <c r="J1465" s="169" t="s">
        <v>995</v>
      </c>
      <c r="K1465" s="169" t="s">
        <v>996</v>
      </c>
      <c r="L1465" s="169" t="s">
        <v>956</v>
      </c>
      <c r="M1465" s="169" t="s">
        <v>281</v>
      </c>
      <c r="N1465" s="178">
        <v>8960000</v>
      </c>
      <c r="O1465" s="169" t="s">
        <v>997</v>
      </c>
      <c r="P1465" s="169" t="s">
        <v>283</v>
      </c>
      <c r="Q1465" s="169" t="s">
        <v>284</v>
      </c>
      <c r="R1465" s="169" t="s">
        <v>283</v>
      </c>
      <c r="S1465" s="169" t="s">
        <v>283</v>
      </c>
      <c r="T1465" s="169">
        <v>0</v>
      </c>
    </row>
    <row r="1466" spans="1:20" x14ac:dyDescent="0.2">
      <c r="A1466" s="169" t="str">
        <f t="shared" si="1"/>
        <v>627</v>
      </c>
      <c r="B1466" s="167" t="str">
        <f>_xlfn.XLOOKUP(I1466,Mapping!D:D,Mapping!E:E)</f>
        <v>Nghiên Cứu &amp; Phát Triển</v>
      </c>
      <c r="C1466" s="167" t="str">
        <f>_xlfn.XLOOKUP(F1466,Mapping!A:A,Mapping!F:F)</f>
        <v>Lương Chính +T13</v>
      </c>
      <c r="D1466" s="173">
        <v>45900</v>
      </c>
      <c r="E1466" s="169" t="s">
        <v>994</v>
      </c>
      <c r="F1466" s="169" t="s">
        <v>387</v>
      </c>
      <c r="G1466" s="169" t="s">
        <v>275</v>
      </c>
      <c r="H1466" s="169" t="s">
        <v>418</v>
      </c>
      <c r="I1466" s="169" t="s">
        <v>419</v>
      </c>
      <c r="J1466" s="169" t="s">
        <v>995</v>
      </c>
      <c r="K1466" s="169" t="s">
        <v>996</v>
      </c>
      <c r="L1466" s="169" t="s">
        <v>956</v>
      </c>
      <c r="M1466" s="169" t="s">
        <v>281</v>
      </c>
      <c r="N1466" s="178">
        <v>158256008</v>
      </c>
      <c r="O1466" s="169" t="s">
        <v>997</v>
      </c>
      <c r="P1466" s="169" t="s">
        <v>283</v>
      </c>
      <c r="Q1466" s="169" t="s">
        <v>284</v>
      </c>
      <c r="R1466" s="169" t="s">
        <v>283</v>
      </c>
      <c r="S1466" s="169" t="s">
        <v>283</v>
      </c>
      <c r="T1466" s="169">
        <v>0</v>
      </c>
    </row>
    <row r="1467" spans="1:20" x14ac:dyDescent="0.2">
      <c r="A1467" s="169" t="str">
        <f t="shared" si="1"/>
        <v>627</v>
      </c>
      <c r="B1467" s="167" t="str">
        <f>_xlfn.XLOOKUP(I1467,Mapping!D:D,Mapping!E:E)</f>
        <v>Nghiên Cứu &amp; Phát Triển</v>
      </c>
      <c r="C1467" s="167" t="str">
        <f>_xlfn.XLOOKUP(F1467,Mapping!A:A,Mapping!F:F)</f>
        <v>Lương Chính +T13</v>
      </c>
      <c r="D1467" s="173">
        <v>45900</v>
      </c>
      <c r="E1467" s="169" t="s">
        <v>994</v>
      </c>
      <c r="F1467" s="169" t="s">
        <v>388</v>
      </c>
      <c r="G1467" s="169" t="s">
        <v>286</v>
      </c>
      <c r="H1467" s="169" t="s">
        <v>418</v>
      </c>
      <c r="I1467" s="169" t="s">
        <v>419</v>
      </c>
      <c r="J1467" s="169" t="s">
        <v>995</v>
      </c>
      <c r="K1467" s="169" t="s">
        <v>996</v>
      </c>
      <c r="L1467" s="169" t="s">
        <v>956</v>
      </c>
      <c r="M1467" s="169" t="s">
        <v>281</v>
      </c>
      <c r="N1467" s="178">
        <v>7721154</v>
      </c>
      <c r="O1467" s="169" t="s">
        <v>997</v>
      </c>
      <c r="P1467" s="169" t="s">
        <v>283</v>
      </c>
      <c r="Q1467" s="169" t="s">
        <v>284</v>
      </c>
      <c r="R1467" s="169" t="s">
        <v>283</v>
      </c>
      <c r="S1467" s="169" t="s">
        <v>283</v>
      </c>
      <c r="T1467" s="169">
        <v>0</v>
      </c>
    </row>
    <row r="1468" spans="1:20" x14ac:dyDescent="0.2">
      <c r="A1468" s="169" t="str">
        <f t="shared" si="1"/>
        <v>627</v>
      </c>
      <c r="B1468" s="167" t="str">
        <f>_xlfn.XLOOKUP(I1468,Mapping!D:D,Mapping!E:E)</f>
        <v>Nghiên Cứu &amp; Phát Triển</v>
      </c>
      <c r="C1468" s="167" t="str">
        <f>_xlfn.XLOOKUP(F1468,Mapping!A:A,Mapping!F:F)</f>
        <v>Phụ Cấp</v>
      </c>
      <c r="D1468" s="173">
        <v>45900</v>
      </c>
      <c r="E1468" s="169" t="s">
        <v>994</v>
      </c>
      <c r="F1468" s="169" t="s">
        <v>375</v>
      </c>
      <c r="G1468" s="169" t="s">
        <v>336</v>
      </c>
      <c r="H1468" s="169" t="s">
        <v>418</v>
      </c>
      <c r="I1468" s="169" t="s">
        <v>419</v>
      </c>
      <c r="J1468" s="169" t="s">
        <v>995</v>
      </c>
      <c r="K1468" s="169" t="s">
        <v>996</v>
      </c>
      <c r="L1468" s="169" t="s">
        <v>956</v>
      </c>
      <c r="M1468" s="169" t="s">
        <v>281</v>
      </c>
      <c r="N1468" s="178">
        <v>250000</v>
      </c>
      <c r="O1468" s="169" t="s">
        <v>997</v>
      </c>
      <c r="P1468" s="169" t="s">
        <v>283</v>
      </c>
      <c r="Q1468" s="169" t="s">
        <v>284</v>
      </c>
      <c r="R1468" s="169" t="s">
        <v>283</v>
      </c>
      <c r="S1468" s="169" t="s">
        <v>283</v>
      </c>
      <c r="T1468" s="169">
        <v>0</v>
      </c>
    </row>
    <row r="1469" spans="1:20" x14ac:dyDescent="0.2">
      <c r="A1469" s="169" t="str">
        <f t="shared" si="1"/>
        <v>622</v>
      </c>
      <c r="B1469" s="167" t="str">
        <f>_xlfn.XLOOKUP(I1469,Mapping!D:D,Mapping!E:E)</f>
        <v>Xưởng Sản Xuất</v>
      </c>
      <c r="C1469" s="167" t="str">
        <f>_xlfn.XLOOKUP(F1469,Mapping!A:A,Mapping!F:F)</f>
        <v>Lương Chính +T13</v>
      </c>
      <c r="D1469" s="173">
        <v>45900</v>
      </c>
      <c r="E1469" s="169" t="s">
        <v>994</v>
      </c>
      <c r="F1469" s="169" t="s">
        <v>400</v>
      </c>
      <c r="G1469" s="169" t="s">
        <v>401</v>
      </c>
      <c r="H1469" s="169" t="s">
        <v>402</v>
      </c>
      <c r="I1469" s="169" t="s">
        <v>403</v>
      </c>
      <c r="J1469" s="169" t="s">
        <v>995</v>
      </c>
      <c r="K1469" s="169" t="s">
        <v>996</v>
      </c>
      <c r="L1469" s="169" t="s">
        <v>956</v>
      </c>
      <c r="M1469" s="169" t="s">
        <v>281</v>
      </c>
      <c r="N1469" s="178">
        <v>1728472042</v>
      </c>
      <c r="O1469" s="169" t="s">
        <v>997</v>
      </c>
      <c r="P1469" s="169" t="s">
        <v>283</v>
      </c>
      <c r="Q1469" s="169" t="s">
        <v>284</v>
      </c>
      <c r="R1469" s="169" t="s">
        <v>283</v>
      </c>
      <c r="S1469" s="169" t="s">
        <v>283</v>
      </c>
      <c r="T1469" s="169">
        <v>0</v>
      </c>
    </row>
    <row r="1470" spans="1:20" x14ac:dyDescent="0.2">
      <c r="A1470" s="169" t="str">
        <f t="shared" si="1"/>
        <v>622</v>
      </c>
      <c r="B1470" s="167" t="str">
        <f>_xlfn.XLOOKUP(I1470,Mapping!D:D,Mapping!E:E)</f>
        <v>Xưởng Sản Xuất</v>
      </c>
      <c r="C1470" s="167" t="str">
        <f>_xlfn.XLOOKUP(F1470,Mapping!A:A,Mapping!F:F)</f>
        <v>Lương Chính +T13</v>
      </c>
      <c r="D1470" s="173">
        <v>45900</v>
      </c>
      <c r="E1470" s="169" t="s">
        <v>994</v>
      </c>
      <c r="F1470" s="169" t="s">
        <v>420</v>
      </c>
      <c r="G1470" s="169" t="s">
        <v>286</v>
      </c>
      <c r="H1470" s="169" t="s">
        <v>402</v>
      </c>
      <c r="I1470" s="169" t="s">
        <v>403</v>
      </c>
      <c r="J1470" s="169" t="s">
        <v>995</v>
      </c>
      <c r="K1470" s="169" t="s">
        <v>996</v>
      </c>
      <c r="L1470" s="169" t="s">
        <v>956</v>
      </c>
      <c r="M1470" s="169" t="s">
        <v>281</v>
      </c>
      <c r="N1470" s="178">
        <v>27831243</v>
      </c>
      <c r="O1470" s="169" t="s">
        <v>997</v>
      </c>
      <c r="P1470" s="169" t="s">
        <v>283</v>
      </c>
      <c r="Q1470" s="169" t="s">
        <v>284</v>
      </c>
      <c r="R1470" s="169" t="s">
        <v>283</v>
      </c>
      <c r="S1470" s="169" t="s">
        <v>283</v>
      </c>
      <c r="T1470" s="169">
        <v>0</v>
      </c>
    </row>
    <row r="1471" spans="1:20" x14ac:dyDescent="0.2">
      <c r="A1471" s="169" t="str">
        <f t="shared" si="1"/>
        <v>622</v>
      </c>
      <c r="B1471" s="167" t="str">
        <f>_xlfn.XLOOKUP(I1471,Mapping!D:D,Mapping!E:E)</f>
        <v>Xưởng Sản Xuất</v>
      </c>
      <c r="C1471" s="167" t="str">
        <f>_xlfn.XLOOKUP(F1471,Mapping!A:A,Mapping!F:F)</f>
        <v>Phụ Cấp</v>
      </c>
      <c r="D1471" s="173">
        <v>45900</v>
      </c>
      <c r="E1471" s="169" t="s">
        <v>994</v>
      </c>
      <c r="F1471" s="169" t="s">
        <v>421</v>
      </c>
      <c r="G1471" s="169" t="s">
        <v>341</v>
      </c>
      <c r="H1471" s="169" t="s">
        <v>402</v>
      </c>
      <c r="I1471" s="169" t="s">
        <v>403</v>
      </c>
      <c r="J1471" s="169" t="s">
        <v>995</v>
      </c>
      <c r="K1471" s="169" t="s">
        <v>996</v>
      </c>
      <c r="L1471" s="169" t="s">
        <v>956</v>
      </c>
      <c r="M1471" s="169" t="s">
        <v>281</v>
      </c>
      <c r="N1471" s="178">
        <v>138379096</v>
      </c>
      <c r="O1471" s="169" t="s">
        <v>997</v>
      </c>
      <c r="P1471" s="169" t="s">
        <v>283</v>
      </c>
      <c r="Q1471" s="169" t="s">
        <v>284</v>
      </c>
      <c r="R1471" s="169" t="s">
        <v>283</v>
      </c>
      <c r="S1471" s="169" t="s">
        <v>283</v>
      </c>
      <c r="T1471" s="169">
        <v>0</v>
      </c>
    </row>
    <row r="1472" spans="1:20" x14ac:dyDescent="0.2">
      <c r="A1472" s="169" t="str">
        <f t="shared" si="1"/>
        <v>622</v>
      </c>
      <c r="B1472" s="167" t="str">
        <f>_xlfn.XLOOKUP(I1472,Mapping!D:D,Mapping!E:E)</f>
        <v>Xưởng Sản Xuất</v>
      </c>
      <c r="C1472" s="167" t="str">
        <f>_xlfn.XLOOKUP(F1472,Mapping!A:A,Mapping!F:F)</f>
        <v>Lương Ngoài giờ</v>
      </c>
      <c r="D1472" s="173">
        <v>45900</v>
      </c>
      <c r="E1472" s="169" t="s">
        <v>994</v>
      </c>
      <c r="F1472" s="169" t="s">
        <v>422</v>
      </c>
      <c r="G1472" s="169" t="s">
        <v>423</v>
      </c>
      <c r="H1472" s="169" t="s">
        <v>402</v>
      </c>
      <c r="I1472" s="169" t="s">
        <v>403</v>
      </c>
      <c r="J1472" s="169" t="s">
        <v>995</v>
      </c>
      <c r="K1472" s="169" t="s">
        <v>996</v>
      </c>
      <c r="L1472" s="169" t="s">
        <v>956</v>
      </c>
      <c r="M1472" s="169" t="s">
        <v>281</v>
      </c>
      <c r="N1472" s="178">
        <v>344441820</v>
      </c>
      <c r="O1472" s="169" t="s">
        <v>997</v>
      </c>
      <c r="P1472" s="169" t="s">
        <v>283</v>
      </c>
      <c r="Q1472" s="169" t="s">
        <v>284</v>
      </c>
      <c r="R1472" s="169" t="s">
        <v>283</v>
      </c>
      <c r="S1472" s="169" t="s">
        <v>283</v>
      </c>
      <c r="T1472" s="169">
        <v>0</v>
      </c>
    </row>
    <row r="1473" spans="1:20" x14ac:dyDescent="0.2">
      <c r="A1473" s="169" t="str">
        <f t="shared" si="1"/>
        <v>622</v>
      </c>
      <c r="B1473" s="167" t="str">
        <f>_xlfn.XLOOKUP(I1473,Mapping!D:D,Mapping!E:E)</f>
        <v>Xưởng Sản Xuất</v>
      </c>
      <c r="C1473" s="167" t="str">
        <f>_xlfn.XLOOKUP(F1473,Mapping!A:A,Mapping!F:F)</f>
        <v>Phụ Cấp</v>
      </c>
      <c r="D1473" s="173">
        <v>45900</v>
      </c>
      <c r="E1473" s="169" t="s">
        <v>994</v>
      </c>
      <c r="F1473" s="169" t="s">
        <v>414</v>
      </c>
      <c r="G1473" s="169" t="s">
        <v>415</v>
      </c>
      <c r="H1473" s="169" t="s">
        <v>402</v>
      </c>
      <c r="I1473" s="169" t="s">
        <v>403</v>
      </c>
      <c r="J1473" s="169" t="s">
        <v>995</v>
      </c>
      <c r="K1473" s="169" t="s">
        <v>996</v>
      </c>
      <c r="L1473" s="169" t="s">
        <v>956</v>
      </c>
      <c r="M1473" s="169" t="s">
        <v>281</v>
      </c>
      <c r="N1473" s="178">
        <v>37510000</v>
      </c>
      <c r="O1473" s="169" t="s">
        <v>997</v>
      </c>
      <c r="P1473" s="169" t="s">
        <v>283</v>
      </c>
      <c r="Q1473" s="169" t="s">
        <v>284</v>
      </c>
      <c r="R1473" s="169" t="s">
        <v>283</v>
      </c>
      <c r="S1473" s="169" t="s">
        <v>283</v>
      </c>
      <c r="T1473" s="169">
        <v>0</v>
      </c>
    </row>
    <row r="1474" spans="1:20" x14ac:dyDescent="0.2">
      <c r="A1474" s="169" t="str">
        <f t="shared" si="1"/>
        <v>627</v>
      </c>
      <c r="B1474" s="167" t="str">
        <f>_xlfn.XLOOKUP(I1474,Mapping!D:D,Mapping!E:E)</f>
        <v>Xưởng Sản Xuất</v>
      </c>
      <c r="C1474" s="167" t="str">
        <f>_xlfn.XLOOKUP(F1474,Mapping!A:A,Mapping!F:F)</f>
        <v>Phụ Cấp</v>
      </c>
      <c r="D1474" s="173">
        <v>45900</v>
      </c>
      <c r="E1474" s="169" t="s">
        <v>994</v>
      </c>
      <c r="F1474" s="169" t="s">
        <v>386</v>
      </c>
      <c r="G1474" s="169" t="s">
        <v>341</v>
      </c>
      <c r="H1474" s="169" t="s">
        <v>402</v>
      </c>
      <c r="I1474" s="169" t="s">
        <v>403</v>
      </c>
      <c r="J1474" s="169" t="s">
        <v>995</v>
      </c>
      <c r="K1474" s="169" t="s">
        <v>996</v>
      </c>
      <c r="L1474" s="169" t="s">
        <v>956</v>
      </c>
      <c r="M1474" s="169" t="s">
        <v>281</v>
      </c>
      <c r="N1474" s="178">
        <v>14089564</v>
      </c>
      <c r="O1474" s="169" t="s">
        <v>997</v>
      </c>
      <c r="P1474" s="169" t="s">
        <v>283</v>
      </c>
      <c r="Q1474" s="169" t="s">
        <v>284</v>
      </c>
      <c r="R1474" s="169" t="s">
        <v>283</v>
      </c>
      <c r="S1474" s="169" t="s">
        <v>283</v>
      </c>
      <c r="T1474" s="169">
        <v>0</v>
      </c>
    </row>
    <row r="1475" spans="1:20" x14ac:dyDescent="0.2">
      <c r="A1475" s="169" t="str">
        <f t="shared" si="1"/>
        <v>627</v>
      </c>
      <c r="B1475" s="167" t="str">
        <f>_xlfn.XLOOKUP(I1475,Mapping!D:D,Mapping!E:E)</f>
        <v>Xưởng Sản Xuất</v>
      </c>
      <c r="C1475" s="167" t="str">
        <f>_xlfn.XLOOKUP(F1475,Mapping!A:A,Mapping!F:F)</f>
        <v>Lương Chính +T13</v>
      </c>
      <c r="D1475" s="173">
        <v>45900</v>
      </c>
      <c r="E1475" s="169" t="s">
        <v>994</v>
      </c>
      <c r="F1475" s="169" t="s">
        <v>387</v>
      </c>
      <c r="G1475" s="169" t="s">
        <v>275</v>
      </c>
      <c r="H1475" s="169" t="s">
        <v>402</v>
      </c>
      <c r="I1475" s="169" t="s">
        <v>403</v>
      </c>
      <c r="J1475" s="169" t="s">
        <v>995</v>
      </c>
      <c r="K1475" s="169" t="s">
        <v>996</v>
      </c>
      <c r="L1475" s="169" t="s">
        <v>956</v>
      </c>
      <c r="M1475" s="169" t="s">
        <v>281</v>
      </c>
      <c r="N1475" s="178">
        <v>450926816</v>
      </c>
      <c r="O1475" s="169" t="s">
        <v>997</v>
      </c>
      <c r="P1475" s="169" t="s">
        <v>283</v>
      </c>
      <c r="Q1475" s="169" t="s">
        <v>284</v>
      </c>
      <c r="R1475" s="169" t="s">
        <v>283</v>
      </c>
      <c r="S1475" s="169" t="s">
        <v>283</v>
      </c>
      <c r="T1475" s="169">
        <v>0</v>
      </c>
    </row>
    <row r="1476" spans="1:20" x14ac:dyDescent="0.2">
      <c r="A1476" s="169" t="str">
        <f t="shared" si="1"/>
        <v>627</v>
      </c>
      <c r="B1476" s="167" t="str">
        <f>_xlfn.XLOOKUP(I1476,Mapping!D:D,Mapping!E:E)</f>
        <v>Xưởng Sản Xuất</v>
      </c>
      <c r="C1476" s="167" t="str">
        <f>_xlfn.XLOOKUP(F1476,Mapping!A:A,Mapping!F:F)</f>
        <v>Lương Chính +T13</v>
      </c>
      <c r="D1476" s="173">
        <v>45900</v>
      </c>
      <c r="E1476" s="169" t="s">
        <v>994</v>
      </c>
      <c r="F1476" s="169" t="s">
        <v>388</v>
      </c>
      <c r="G1476" s="169" t="s">
        <v>286</v>
      </c>
      <c r="H1476" s="169" t="s">
        <v>402</v>
      </c>
      <c r="I1476" s="169" t="s">
        <v>403</v>
      </c>
      <c r="J1476" s="169" t="s">
        <v>995</v>
      </c>
      <c r="K1476" s="169" t="s">
        <v>996</v>
      </c>
      <c r="L1476" s="169" t="s">
        <v>956</v>
      </c>
      <c r="M1476" s="169" t="s">
        <v>281</v>
      </c>
      <c r="N1476" s="178">
        <v>17042213</v>
      </c>
      <c r="O1476" s="169" t="s">
        <v>997</v>
      </c>
      <c r="P1476" s="169" t="s">
        <v>283</v>
      </c>
      <c r="Q1476" s="169" t="s">
        <v>284</v>
      </c>
      <c r="R1476" s="169" t="s">
        <v>283</v>
      </c>
      <c r="S1476" s="169" t="s">
        <v>283</v>
      </c>
      <c r="T1476" s="169">
        <v>0</v>
      </c>
    </row>
    <row r="1477" spans="1:20" x14ac:dyDescent="0.2">
      <c r="A1477" s="169" t="str">
        <f t="shared" si="1"/>
        <v>627</v>
      </c>
      <c r="B1477" s="167" t="str">
        <f>_xlfn.XLOOKUP(I1477,Mapping!D:D,Mapping!E:E)</f>
        <v>Xưởng Sản Xuất</v>
      </c>
      <c r="C1477" s="167" t="str">
        <f>_xlfn.XLOOKUP(F1477,Mapping!A:A,Mapping!F:F)</f>
        <v>Lương Ngoài giờ</v>
      </c>
      <c r="D1477" s="173">
        <v>45900</v>
      </c>
      <c r="E1477" s="169" t="s">
        <v>994</v>
      </c>
      <c r="F1477" s="169" t="s">
        <v>389</v>
      </c>
      <c r="G1477" s="169" t="s">
        <v>390</v>
      </c>
      <c r="H1477" s="169" t="s">
        <v>402</v>
      </c>
      <c r="I1477" s="169" t="s">
        <v>403</v>
      </c>
      <c r="J1477" s="169" t="s">
        <v>995</v>
      </c>
      <c r="K1477" s="169" t="s">
        <v>996</v>
      </c>
      <c r="L1477" s="169" t="s">
        <v>956</v>
      </c>
      <c r="M1477" s="169" t="s">
        <v>281</v>
      </c>
      <c r="N1477" s="178">
        <v>53887639</v>
      </c>
      <c r="O1477" s="169" t="s">
        <v>997</v>
      </c>
      <c r="P1477" s="169" t="s">
        <v>283</v>
      </c>
      <c r="Q1477" s="169" t="s">
        <v>284</v>
      </c>
      <c r="R1477" s="169" t="s">
        <v>283</v>
      </c>
      <c r="S1477" s="169" t="s">
        <v>283</v>
      </c>
      <c r="T1477" s="169">
        <v>0</v>
      </c>
    </row>
    <row r="1478" spans="1:20" x14ac:dyDescent="0.2">
      <c r="A1478" s="169" t="str">
        <f t="shared" si="1"/>
        <v>627</v>
      </c>
      <c r="B1478" s="167" t="str">
        <f>_xlfn.XLOOKUP(I1478,Mapping!D:D,Mapping!E:E)</f>
        <v>Xưởng Sản Xuất</v>
      </c>
      <c r="C1478" s="167" t="str">
        <f>_xlfn.XLOOKUP(F1478,Mapping!A:A,Mapping!F:F)</f>
        <v>Phụ Cấp</v>
      </c>
      <c r="D1478" s="173">
        <v>45900</v>
      </c>
      <c r="E1478" s="169" t="s">
        <v>994</v>
      </c>
      <c r="F1478" s="169" t="s">
        <v>375</v>
      </c>
      <c r="G1478" s="169" t="s">
        <v>336</v>
      </c>
      <c r="H1478" s="169" t="s">
        <v>402</v>
      </c>
      <c r="I1478" s="169" t="s">
        <v>403</v>
      </c>
      <c r="J1478" s="169" t="s">
        <v>995</v>
      </c>
      <c r="K1478" s="169" t="s">
        <v>996</v>
      </c>
      <c r="L1478" s="169" t="s">
        <v>956</v>
      </c>
      <c r="M1478" s="169" t="s">
        <v>281</v>
      </c>
      <c r="N1478" s="178">
        <v>3930000</v>
      </c>
      <c r="O1478" s="169" t="s">
        <v>997</v>
      </c>
      <c r="P1478" s="169" t="s">
        <v>283</v>
      </c>
      <c r="Q1478" s="169" t="s">
        <v>284</v>
      </c>
      <c r="R1478" s="169" t="s">
        <v>283</v>
      </c>
      <c r="S1478" s="169" t="s">
        <v>283</v>
      </c>
      <c r="T1478" s="169">
        <v>0</v>
      </c>
    </row>
    <row r="1479" spans="1:20" x14ac:dyDescent="0.2">
      <c r="A1479" s="169" t="str">
        <f t="shared" si="1"/>
        <v>622</v>
      </c>
      <c r="B1479" s="167" t="str">
        <f>_xlfn.XLOOKUP(I1479,Mapping!D:D,Mapping!E:E)</f>
        <v>Xưởng Sản Xuất</v>
      </c>
      <c r="C1479" s="167" t="str">
        <f>_xlfn.XLOOKUP(F1479,Mapping!A:A,Mapping!F:F)</f>
        <v>Lương Chính +T13</v>
      </c>
      <c r="D1479" s="173">
        <v>45900</v>
      </c>
      <c r="E1479" s="169" t="s">
        <v>994</v>
      </c>
      <c r="F1479" s="169" t="s">
        <v>400</v>
      </c>
      <c r="G1479" s="169" t="s">
        <v>401</v>
      </c>
      <c r="H1479" s="169" t="s">
        <v>430</v>
      </c>
      <c r="I1479" s="169" t="s">
        <v>431</v>
      </c>
      <c r="J1479" s="169" t="s">
        <v>995</v>
      </c>
      <c r="K1479" s="169" t="s">
        <v>996</v>
      </c>
      <c r="L1479" s="169" t="s">
        <v>956</v>
      </c>
      <c r="M1479" s="169" t="s">
        <v>281</v>
      </c>
      <c r="N1479" s="178">
        <v>290533669</v>
      </c>
      <c r="O1479" s="169" t="s">
        <v>997</v>
      </c>
      <c r="P1479" s="169" t="s">
        <v>283</v>
      </c>
      <c r="Q1479" s="169" t="s">
        <v>284</v>
      </c>
      <c r="R1479" s="169" t="s">
        <v>283</v>
      </c>
      <c r="S1479" s="169" t="s">
        <v>283</v>
      </c>
      <c r="T1479" s="169">
        <v>0</v>
      </c>
    </row>
    <row r="1480" spans="1:20" x14ac:dyDescent="0.2">
      <c r="A1480" s="169" t="str">
        <f t="shared" si="1"/>
        <v>622</v>
      </c>
      <c r="B1480" s="167" t="str">
        <f>_xlfn.XLOOKUP(I1480,Mapping!D:D,Mapping!E:E)</f>
        <v>Xưởng Sản Xuất</v>
      </c>
      <c r="C1480" s="167" t="str">
        <f>_xlfn.XLOOKUP(F1480,Mapping!A:A,Mapping!F:F)</f>
        <v>Lương Chính +T13</v>
      </c>
      <c r="D1480" s="173">
        <v>45900</v>
      </c>
      <c r="E1480" s="169" t="s">
        <v>994</v>
      </c>
      <c r="F1480" s="169" t="s">
        <v>420</v>
      </c>
      <c r="G1480" s="169" t="s">
        <v>286</v>
      </c>
      <c r="H1480" s="169" t="s">
        <v>430</v>
      </c>
      <c r="I1480" s="169" t="s">
        <v>431</v>
      </c>
      <c r="J1480" s="169" t="s">
        <v>995</v>
      </c>
      <c r="K1480" s="169" t="s">
        <v>996</v>
      </c>
      <c r="L1480" s="169" t="s">
        <v>956</v>
      </c>
      <c r="M1480" s="169" t="s">
        <v>281</v>
      </c>
      <c r="N1480" s="178">
        <v>6270752</v>
      </c>
      <c r="O1480" s="169" t="s">
        <v>997</v>
      </c>
      <c r="P1480" s="169" t="s">
        <v>283</v>
      </c>
      <c r="Q1480" s="169" t="s">
        <v>284</v>
      </c>
      <c r="R1480" s="169" t="s">
        <v>283</v>
      </c>
      <c r="S1480" s="169" t="s">
        <v>283</v>
      </c>
      <c r="T1480" s="169">
        <v>0</v>
      </c>
    </row>
    <row r="1481" spans="1:20" x14ac:dyDescent="0.2">
      <c r="A1481" s="169" t="str">
        <f t="shared" si="1"/>
        <v>622</v>
      </c>
      <c r="B1481" s="167" t="str">
        <f>_xlfn.XLOOKUP(I1481,Mapping!D:D,Mapping!E:E)</f>
        <v>Xưởng Sản Xuất</v>
      </c>
      <c r="C1481" s="167" t="str">
        <f>_xlfn.XLOOKUP(F1481,Mapping!A:A,Mapping!F:F)</f>
        <v>Phụ Cấp</v>
      </c>
      <c r="D1481" s="173">
        <v>45900</v>
      </c>
      <c r="E1481" s="169" t="s">
        <v>994</v>
      </c>
      <c r="F1481" s="169" t="s">
        <v>421</v>
      </c>
      <c r="G1481" s="169" t="s">
        <v>341</v>
      </c>
      <c r="H1481" s="169" t="s">
        <v>430</v>
      </c>
      <c r="I1481" s="169" t="s">
        <v>431</v>
      </c>
      <c r="J1481" s="169" t="s">
        <v>995</v>
      </c>
      <c r="K1481" s="169" t="s">
        <v>996</v>
      </c>
      <c r="L1481" s="169" t="s">
        <v>956</v>
      </c>
      <c r="M1481" s="169" t="s">
        <v>281</v>
      </c>
      <c r="N1481" s="178">
        <v>26039580</v>
      </c>
      <c r="O1481" s="169" t="s">
        <v>997</v>
      </c>
      <c r="P1481" s="169" t="s">
        <v>283</v>
      </c>
      <c r="Q1481" s="169" t="s">
        <v>284</v>
      </c>
      <c r="R1481" s="169" t="s">
        <v>283</v>
      </c>
      <c r="S1481" s="169" t="s">
        <v>283</v>
      </c>
      <c r="T1481" s="169">
        <v>0</v>
      </c>
    </row>
    <row r="1482" spans="1:20" x14ac:dyDescent="0.2">
      <c r="A1482" s="169" t="str">
        <f t="shared" si="1"/>
        <v>622</v>
      </c>
      <c r="B1482" s="167" t="str">
        <f>_xlfn.XLOOKUP(I1482,Mapping!D:D,Mapping!E:E)</f>
        <v>Xưởng Sản Xuất</v>
      </c>
      <c r="C1482" s="167" t="str">
        <f>_xlfn.XLOOKUP(F1482,Mapping!A:A,Mapping!F:F)</f>
        <v>Lương Ngoài giờ</v>
      </c>
      <c r="D1482" s="173">
        <v>45900</v>
      </c>
      <c r="E1482" s="169" t="s">
        <v>994</v>
      </c>
      <c r="F1482" s="169" t="s">
        <v>422</v>
      </c>
      <c r="G1482" s="169" t="s">
        <v>423</v>
      </c>
      <c r="H1482" s="169" t="s">
        <v>430</v>
      </c>
      <c r="I1482" s="169" t="s">
        <v>431</v>
      </c>
      <c r="J1482" s="169" t="s">
        <v>995</v>
      </c>
      <c r="K1482" s="169" t="s">
        <v>996</v>
      </c>
      <c r="L1482" s="169" t="s">
        <v>956</v>
      </c>
      <c r="M1482" s="169" t="s">
        <v>281</v>
      </c>
      <c r="N1482" s="178">
        <v>63329280</v>
      </c>
      <c r="O1482" s="169" t="s">
        <v>997</v>
      </c>
      <c r="P1482" s="169" t="s">
        <v>283</v>
      </c>
      <c r="Q1482" s="169" t="s">
        <v>284</v>
      </c>
      <c r="R1482" s="169" t="s">
        <v>283</v>
      </c>
      <c r="S1482" s="169" t="s">
        <v>283</v>
      </c>
      <c r="T1482" s="169">
        <v>0</v>
      </c>
    </row>
    <row r="1483" spans="1:20" x14ac:dyDescent="0.2">
      <c r="A1483" s="169" t="str">
        <f t="shared" si="1"/>
        <v>622</v>
      </c>
      <c r="B1483" s="167" t="str">
        <f>_xlfn.XLOOKUP(I1483,Mapping!D:D,Mapping!E:E)</f>
        <v>Xưởng Sản Xuất</v>
      </c>
      <c r="C1483" s="167" t="str">
        <f>_xlfn.XLOOKUP(F1483,Mapping!A:A,Mapping!F:F)</f>
        <v>Phụ Cấp</v>
      </c>
      <c r="D1483" s="173">
        <v>45900</v>
      </c>
      <c r="E1483" s="169" t="s">
        <v>994</v>
      </c>
      <c r="F1483" s="169" t="s">
        <v>414</v>
      </c>
      <c r="G1483" s="169" t="s">
        <v>415</v>
      </c>
      <c r="H1483" s="169" t="s">
        <v>430</v>
      </c>
      <c r="I1483" s="169" t="s">
        <v>431</v>
      </c>
      <c r="J1483" s="169" t="s">
        <v>995</v>
      </c>
      <c r="K1483" s="169" t="s">
        <v>996</v>
      </c>
      <c r="L1483" s="169" t="s">
        <v>956</v>
      </c>
      <c r="M1483" s="169" t="s">
        <v>281</v>
      </c>
      <c r="N1483" s="178">
        <v>6900000</v>
      </c>
      <c r="O1483" s="169" t="s">
        <v>997</v>
      </c>
      <c r="P1483" s="169" t="s">
        <v>283</v>
      </c>
      <c r="Q1483" s="169" t="s">
        <v>284</v>
      </c>
      <c r="R1483" s="169" t="s">
        <v>283</v>
      </c>
      <c r="S1483" s="169" t="s">
        <v>283</v>
      </c>
      <c r="T1483" s="169">
        <v>0</v>
      </c>
    </row>
    <row r="1484" spans="1:20" x14ac:dyDescent="0.2">
      <c r="A1484" s="169" t="str">
        <f t="shared" si="1"/>
        <v>627</v>
      </c>
      <c r="B1484" s="167" t="str">
        <f>_xlfn.XLOOKUP(I1484,Mapping!D:D,Mapping!E:E)</f>
        <v>Xưởng Sản Xuất</v>
      </c>
      <c r="C1484" s="167" t="str">
        <f>_xlfn.XLOOKUP(F1484,Mapping!A:A,Mapping!F:F)</f>
        <v>Phụ Cấp</v>
      </c>
      <c r="D1484" s="173">
        <v>45900</v>
      </c>
      <c r="E1484" s="169" t="s">
        <v>994</v>
      </c>
      <c r="F1484" s="169" t="s">
        <v>386</v>
      </c>
      <c r="G1484" s="169" t="s">
        <v>341</v>
      </c>
      <c r="H1484" s="169" t="s">
        <v>430</v>
      </c>
      <c r="I1484" s="169" t="s">
        <v>431</v>
      </c>
      <c r="J1484" s="169" t="s">
        <v>995</v>
      </c>
      <c r="K1484" s="169" t="s">
        <v>996</v>
      </c>
      <c r="L1484" s="169" t="s">
        <v>956</v>
      </c>
      <c r="M1484" s="169" t="s">
        <v>281</v>
      </c>
      <c r="N1484" s="178">
        <v>8580089</v>
      </c>
      <c r="O1484" s="169" t="s">
        <v>997</v>
      </c>
      <c r="P1484" s="169" t="s">
        <v>283</v>
      </c>
      <c r="Q1484" s="169" t="s">
        <v>284</v>
      </c>
      <c r="R1484" s="169" t="s">
        <v>283</v>
      </c>
      <c r="S1484" s="169" t="s">
        <v>283</v>
      </c>
      <c r="T1484" s="169">
        <v>0</v>
      </c>
    </row>
    <row r="1485" spans="1:20" x14ac:dyDescent="0.2">
      <c r="A1485" s="169" t="str">
        <f t="shared" si="1"/>
        <v>627</v>
      </c>
      <c r="B1485" s="167" t="str">
        <f>_xlfn.XLOOKUP(I1485,Mapping!D:D,Mapping!E:E)</f>
        <v>Xưởng Sản Xuất</v>
      </c>
      <c r="C1485" s="167" t="str">
        <f>_xlfn.XLOOKUP(F1485,Mapping!A:A,Mapping!F:F)</f>
        <v>Lương Chính +T13</v>
      </c>
      <c r="D1485" s="173">
        <v>45900</v>
      </c>
      <c r="E1485" s="169" t="s">
        <v>994</v>
      </c>
      <c r="F1485" s="169" t="s">
        <v>387</v>
      </c>
      <c r="G1485" s="169" t="s">
        <v>275</v>
      </c>
      <c r="H1485" s="169" t="s">
        <v>430</v>
      </c>
      <c r="I1485" s="169" t="s">
        <v>431</v>
      </c>
      <c r="J1485" s="169" t="s">
        <v>995</v>
      </c>
      <c r="K1485" s="169" t="s">
        <v>996</v>
      </c>
      <c r="L1485" s="169" t="s">
        <v>956</v>
      </c>
      <c r="M1485" s="169" t="s">
        <v>281</v>
      </c>
      <c r="N1485" s="178">
        <v>152519156</v>
      </c>
      <c r="O1485" s="169" t="s">
        <v>997</v>
      </c>
      <c r="P1485" s="169" t="s">
        <v>283</v>
      </c>
      <c r="Q1485" s="169" t="s">
        <v>284</v>
      </c>
      <c r="R1485" s="169" t="s">
        <v>283</v>
      </c>
      <c r="S1485" s="169" t="s">
        <v>283</v>
      </c>
      <c r="T1485" s="169">
        <v>0</v>
      </c>
    </row>
    <row r="1486" spans="1:20" x14ac:dyDescent="0.2">
      <c r="A1486" s="169" t="str">
        <f t="shared" si="1"/>
        <v>627</v>
      </c>
      <c r="B1486" s="167" t="str">
        <f>_xlfn.XLOOKUP(I1486,Mapping!D:D,Mapping!E:E)</f>
        <v>Xưởng Sản Xuất</v>
      </c>
      <c r="C1486" s="167" t="str">
        <f>_xlfn.XLOOKUP(F1486,Mapping!A:A,Mapping!F:F)</f>
        <v>Lương Chính +T13</v>
      </c>
      <c r="D1486" s="173">
        <v>45900</v>
      </c>
      <c r="E1486" s="169" t="s">
        <v>994</v>
      </c>
      <c r="F1486" s="169" t="s">
        <v>388</v>
      </c>
      <c r="G1486" s="169" t="s">
        <v>286</v>
      </c>
      <c r="H1486" s="169" t="s">
        <v>430</v>
      </c>
      <c r="I1486" s="169" t="s">
        <v>431</v>
      </c>
      <c r="J1486" s="169" t="s">
        <v>995</v>
      </c>
      <c r="K1486" s="169" t="s">
        <v>996</v>
      </c>
      <c r="L1486" s="169" t="s">
        <v>956</v>
      </c>
      <c r="M1486" s="169" t="s">
        <v>281</v>
      </c>
      <c r="N1486" s="178">
        <v>7807770</v>
      </c>
      <c r="O1486" s="169" t="s">
        <v>997</v>
      </c>
      <c r="P1486" s="169" t="s">
        <v>283</v>
      </c>
      <c r="Q1486" s="169" t="s">
        <v>284</v>
      </c>
      <c r="R1486" s="169" t="s">
        <v>283</v>
      </c>
      <c r="S1486" s="169" t="s">
        <v>283</v>
      </c>
      <c r="T1486" s="169">
        <v>0</v>
      </c>
    </row>
    <row r="1487" spans="1:20" x14ac:dyDescent="0.2">
      <c r="A1487" s="169" t="str">
        <f t="shared" si="1"/>
        <v>627</v>
      </c>
      <c r="B1487" s="167" t="str">
        <f>_xlfn.XLOOKUP(I1487,Mapping!D:D,Mapping!E:E)</f>
        <v>Xưởng Sản Xuất</v>
      </c>
      <c r="C1487" s="167" t="str">
        <f>_xlfn.XLOOKUP(F1487,Mapping!A:A,Mapping!F:F)</f>
        <v>Lương Ngoài giờ</v>
      </c>
      <c r="D1487" s="173">
        <v>45900</v>
      </c>
      <c r="E1487" s="169" t="s">
        <v>994</v>
      </c>
      <c r="F1487" s="169" t="s">
        <v>389</v>
      </c>
      <c r="G1487" s="169" t="s">
        <v>390</v>
      </c>
      <c r="H1487" s="169" t="s">
        <v>430</v>
      </c>
      <c r="I1487" s="169" t="s">
        <v>431</v>
      </c>
      <c r="J1487" s="169" t="s">
        <v>995</v>
      </c>
      <c r="K1487" s="169" t="s">
        <v>996</v>
      </c>
      <c r="L1487" s="169" t="s">
        <v>956</v>
      </c>
      <c r="M1487" s="169" t="s">
        <v>281</v>
      </c>
      <c r="N1487" s="178">
        <v>19438419</v>
      </c>
      <c r="O1487" s="169" t="s">
        <v>997</v>
      </c>
      <c r="P1487" s="169" t="s">
        <v>283</v>
      </c>
      <c r="Q1487" s="169" t="s">
        <v>284</v>
      </c>
      <c r="R1487" s="169" t="s">
        <v>283</v>
      </c>
      <c r="S1487" s="169" t="s">
        <v>283</v>
      </c>
      <c r="T1487" s="169">
        <v>0</v>
      </c>
    </row>
    <row r="1488" spans="1:20" x14ac:dyDescent="0.2">
      <c r="A1488" s="169" t="str">
        <f t="shared" si="1"/>
        <v>627</v>
      </c>
      <c r="B1488" s="167" t="str">
        <f>_xlfn.XLOOKUP(I1488,Mapping!D:D,Mapping!E:E)</f>
        <v>Xưởng Sản Xuất</v>
      </c>
      <c r="C1488" s="167" t="str">
        <f>_xlfn.XLOOKUP(F1488,Mapping!A:A,Mapping!F:F)</f>
        <v>Phụ Cấp</v>
      </c>
      <c r="D1488" s="173">
        <v>45900</v>
      </c>
      <c r="E1488" s="169" t="s">
        <v>994</v>
      </c>
      <c r="F1488" s="169" t="s">
        <v>375</v>
      </c>
      <c r="G1488" s="169" t="s">
        <v>336</v>
      </c>
      <c r="H1488" s="169" t="s">
        <v>430</v>
      </c>
      <c r="I1488" s="169" t="s">
        <v>431</v>
      </c>
      <c r="J1488" s="169" t="s">
        <v>995</v>
      </c>
      <c r="K1488" s="169" t="s">
        <v>996</v>
      </c>
      <c r="L1488" s="169" t="s">
        <v>956</v>
      </c>
      <c r="M1488" s="169" t="s">
        <v>281</v>
      </c>
      <c r="N1488" s="178">
        <v>1450000</v>
      </c>
      <c r="O1488" s="169" t="s">
        <v>997</v>
      </c>
      <c r="P1488" s="169" t="s">
        <v>283</v>
      </c>
      <c r="Q1488" s="169" t="s">
        <v>284</v>
      </c>
      <c r="R1488" s="169" t="s">
        <v>283</v>
      </c>
      <c r="S1488" s="169" t="s">
        <v>283</v>
      </c>
      <c r="T1488" s="169">
        <v>0</v>
      </c>
    </row>
    <row r="1489" spans="1:20" x14ac:dyDescent="0.2">
      <c r="A1489" s="169" t="str">
        <f t="shared" si="1"/>
        <v>627</v>
      </c>
      <c r="B1489" s="167" t="str">
        <f>_xlfn.XLOOKUP(I1489,Mapping!D:D,Mapping!E:E)</f>
        <v>Xưởng Sản Xuất</v>
      </c>
      <c r="C1489" s="167" t="str">
        <f>_xlfn.XLOOKUP(F1489,Mapping!A:A,Mapping!F:F)</f>
        <v>Phụ Cấp</v>
      </c>
      <c r="D1489" s="173">
        <v>45900</v>
      </c>
      <c r="E1489" s="169" t="s">
        <v>994</v>
      </c>
      <c r="F1489" s="169" t="s">
        <v>386</v>
      </c>
      <c r="G1489" s="169" t="s">
        <v>341</v>
      </c>
      <c r="H1489" s="169" t="s">
        <v>436</v>
      </c>
      <c r="I1489" s="169" t="s">
        <v>437</v>
      </c>
      <c r="J1489" s="169" t="s">
        <v>995</v>
      </c>
      <c r="K1489" s="169" t="s">
        <v>996</v>
      </c>
      <c r="L1489" s="169" t="s">
        <v>956</v>
      </c>
      <c r="M1489" s="169" t="s">
        <v>281</v>
      </c>
      <c r="N1489" s="178">
        <v>8299270</v>
      </c>
      <c r="O1489" s="169" t="s">
        <v>997</v>
      </c>
      <c r="P1489" s="169" t="s">
        <v>283</v>
      </c>
      <c r="Q1489" s="169" t="s">
        <v>284</v>
      </c>
      <c r="R1489" s="169" t="s">
        <v>283</v>
      </c>
      <c r="S1489" s="169" t="s">
        <v>283</v>
      </c>
      <c r="T1489" s="169">
        <v>0</v>
      </c>
    </row>
    <row r="1490" spans="1:20" x14ac:dyDescent="0.2">
      <c r="A1490" s="169" t="str">
        <f t="shared" si="1"/>
        <v>627</v>
      </c>
      <c r="B1490" s="167" t="str">
        <f>_xlfn.XLOOKUP(I1490,Mapping!D:D,Mapping!E:E)</f>
        <v>Xưởng Sản Xuất</v>
      </c>
      <c r="C1490" s="167" t="str">
        <f>_xlfn.XLOOKUP(F1490,Mapping!A:A,Mapping!F:F)</f>
        <v>Lương Chính +T13</v>
      </c>
      <c r="D1490" s="173">
        <v>45900</v>
      </c>
      <c r="E1490" s="169" t="s">
        <v>994</v>
      </c>
      <c r="F1490" s="169" t="s">
        <v>387</v>
      </c>
      <c r="G1490" s="169" t="s">
        <v>275</v>
      </c>
      <c r="H1490" s="169" t="s">
        <v>436</v>
      </c>
      <c r="I1490" s="169" t="s">
        <v>437</v>
      </c>
      <c r="J1490" s="169" t="s">
        <v>995</v>
      </c>
      <c r="K1490" s="169" t="s">
        <v>996</v>
      </c>
      <c r="L1490" s="169" t="s">
        <v>956</v>
      </c>
      <c r="M1490" s="169" t="s">
        <v>281</v>
      </c>
      <c r="N1490" s="178">
        <v>397968678</v>
      </c>
      <c r="O1490" s="169" t="s">
        <v>997</v>
      </c>
      <c r="P1490" s="169" t="s">
        <v>283</v>
      </c>
      <c r="Q1490" s="169" t="s">
        <v>284</v>
      </c>
      <c r="R1490" s="169" t="s">
        <v>283</v>
      </c>
      <c r="S1490" s="169" t="s">
        <v>283</v>
      </c>
      <c r="T1490" s="169">
        <v>0</v>
      </c>
    </row>
    <row r="1491" spans="1:20" x14ac:dyDescent="0.2">
      <c r="A1491" s="169" t="str">
        <f t="shared" si="1"/>
        <v>627</v>
      </c>
      <c r="B1491" s="167" t="str">
        <f>_xlfn.XLOOKUP(I1491,Mapping!D:D,Mapping!E:E)</f>
        <v>Xưởng Sản Xuất</v>
      </c>
      <c r="C1491" s="167" t="str">
        <f>_xlfn.XLOOKUP(F1491,Mapping!A:A,Mapping!F:F)</f>
        <v>Lương Chính +T13</v>
      </c>
      <c r="D1491" s="173">
        <v>45900</v>
      </c>
      <c r="E1491" s="169" t="s">
        <v>994</v>
      </c>
      <c r="F1491" s="169" t="s">
        <v>388</v>
      </c>
      <c r="G1491" s="169" t="s">
        <v>286</v>
      </c>
      <c r="H1491" s="169" t="s">
        <v>436</v>
      </c>
      <c r="I1491" s="169" t="s">
        <v>437</v>
      </c>
      <c r="J1491" s="169" t="s">
        <v>995</v>
      </c>
      <c r="K1491" s="169" t="s">
        <v>996</v>
      </c>
      <c r="L1491" s="169" t="s">
        <v>956</v>
      </c>
      <c r="M1491" s="169" t="s">
        <v>281</v>
      </c>
      <c r="N1491" s="178">
        <v>8377117</v>
      </c>
      <c r="O1491" s="169" t="s">
        <v>997</v>
      </c>
      <c r="P1491" s="169" t="s">
        <v>283</v>
      </c>
      <c r="Q1491" s="169" t="s">
        <v>284</v>
      </c>
      <c r="R1491" s="169" t="s">
        <v>283</v>
      </c>
      <c r="S1491" s="169" t="s">
        <v>283</v>
      </c>
      <c r="T1491" s="169">
        <v>0</v>
      </c>
    </row>
    <row r="1492" spans="1:20" x14ac:dyDescent="0.2">
      <c r="A1492" s="169" t="str">
        <f t="shared" si="1"/>
        <v>627</v>
      </c>
      <c r="B1492" s="167" t="str">
        <f>_xlfn.XLOOKUP(I1492,Mapping!D:D,Mapping!E:E)</f>
        <v>Xưởng Sản Xuất</v>
      </c>
      <c r="C1492" s="167" t="str">
        <f>_xlfn.XLOOKUP(F1492,Mapping!A:A,Mapping!F:F)</f>
        <v>Lương Ngoài giờ</v>
      </c>
      <c r="D1492" s="173">
        <v>45900</v>
      </c>
      <c r="E1492" s="169" t="s">
        <v>994</v>
      </c>
      <c r="F1492" s="169" t="s">
        <v>389</v>
      </c>
      <c r="G1492" s="169" t="s">
        <v>390</v>
      </c>
      <c r="H1492" s="169" t="s">
        <v>436</v>
      </c>
      <c r="I1492" s="169" t="s">
        <v>437</v>
      </c>
      <c r="J1492" s="169" t="s">
        <v>995</v>
      </c>
      <c r="K1492" s="169" t="s">
        <v>996</v>
      </c>
      <c r="L1492" s="169" t="s">
        <v>956</v>
      </c>
      <c r="M1492" s="169" t="s">
        <v>281</v>
      </c>
      <c r="N1492" s="178">
        <v>65296508</v>
      </c>
      <c r="O1492" s="169" t="s">
        <v>997</v>
      </c>
      <c r="P1492" s="169" t="s">
        <v>283</v>
      </c>
      <c r="Q1492" s="169" t="s">
        <v>284</v>
      </c>
      <c r="R1492" s="169" t="s">
        <v>283</v>
      </c>
      <c r="S1492" s="169" t="s">
        <v>283</v>
      </c>
      <c r="T1492" s="169">
        <v>0</v>
      </c>
    </row>
    <row r="1493" spans="1:20" x14ac:dyDescent="0.2">
      <c r="A1493" s="169" t="str">
        <f t="shared" si="1"/>
        <v>627</v>
      </c>
      <c r="B1493" s="167" t="str">
        <f>_xlfn.XLOOKUP(I1493,Mapping!D:D,Mapping!E:E)</f>
        <v>Xưởng Sản Xuất</v>
      </c>
      <c r="C1493" s="167" t="str">
        <f>_xlfn.XLOOKUP(F1493,Mapping!A:A,Mapping!F:F)</f>
        <v>Phụ Cấp</v>
      </c>
      <c r="D1493" s="173">
        <v>45900</v>
      </c>
      <c r="E1493" s="169" t="s">
        <v>994</v>
      </c>
      <c r="F1493" s="169" t="s">
        <v>375</v>
      </c>
      <c r="G1493" s="169" t="s">
        <v>336</v>
      </c>
      <c r="H1493" s="169" t="s">
        <v>436</v>
      </c>
      <c r="I1493" s="169" t="s">
        <v>437</v>
      </c>
      <c r="J1493" s="169" t="s">
        <v>995</v>
      </c>
      <c r="K1493" s="169" t="s">
        <v>996</v>
      </c>
      <c r="L1493" s="169" t="s">
        <v>956</v>
      </c>
      <c r="M1493" s="169" t="s">
        <v>281</v>
      </c>
      <c r="N1493" s="178">
        <v>6520000</v>
      </c>
      <c r="O1493" s="169" t="s">
        <v>997</v>
      </c>
      <c r="P1493" s="169" t="s">
        <v>283</v>
      </c>
      <c r="Q1493" s="169" t="s">
        <v>284</v>
      </c>
      <c r="R1493" s="169" t="s">
        <v>283</v>
      </c>
      <c r="S1493" s="169" t="s">
        <v>283</v>
      </c>
      <c r="T1493" s="169">
        <v>0</v>
      </c>
    </row>
    <row r="1494" spans="1:20" x14ac:dyDescent="0.2">
      <c r="A1494" s="169" t="str">
        <f t="shared" si="1"/>
        <v>642</v>
      </c>
      <c r="B1494" s="167" t="str">
        <f>_xlfn.XLOOKUP(I1494,Mapping!D:D,Mapping!E:E)</f>
        <v>Hành Chánh Nhân Sự</v>
      </c>
      <c r="C1494" s="167" t="str">
        <f>_xlfn.XLOOKUP(F1494,Mapping!A:A,Mapping!F:F)</f>
        <v>Lương Chính +T13</v>
      </c>
      <c r="D1494" s="173">
        <v>45900</v>
      </c>
      <c r="E1494" s="169" t="s">
        <v>994</v>
      </c>
      <c r="F1494" s="169" t="s">
        <v>274</v>
      </c>
      <c r="G1494" s="169" t="s">
        <v>275</v>
      </c>
      <c r="H1494" s="169" t="s">
        <v>382</v>
      </c>
      <c r="I1494" s="169" t="s">
        <v>200</v>
      </c>
      <c r="J1494" s="169" t="s">
        <v>995</v>
      </c>
      <c r="K1494" s="169" t="s">
        <v>996</v>
      </c>
      <c r="L1494" s="169" t="s">
        <v>956</v>
      </c>
      <c r="M1494" s="169" t="s">
        <v>281</v>
      </c>
      <c r="N1494" s="178">
        <v>62152197</v>
      </c>
      <c r="O1494" s="169" t="s">
        <v>997</v>
      </c>
      <c r="P1494" s="169" t="s">
        <v>283</v>
      </c>
      <c r="Q1494" s="169" t="s">
        <v>284</v>
      </c>
      <c r="R1494" s="169" t="s">
        <v>283</v>
      </c>
      <c r="S1494" s="169" t="s">
        <v>283</v>
      </c>
      <c r="T1494" s="169">
        <v>0</v>
      </c>
    </row>
    <row r="1495" spans="1:20" x14ac:dyDescent="0.2">
      <c r="A1495" s="169" t="str">
        <f t="shared" si="1"/>
        <v>642</v>
      </c>
      <c r="B1495" s="167" t="str">
        <f>_xlfn.XLOOKUP(I1495,Mapping!D:D,Mapping!E:E)</f>
        <v>Hành Chánh Nhân Sự</v>
      </c>
      <c r="C1495" s="167" t="str">
        <f>_xlfn.XLOOKUP(F1495,Mapping!A:A,Mapping!F:F)</f>
        <v>Lương Chính +T13</v>
      </c>
      <c r="D1495" s="173">
        <v>45900</v>
      </c>
      <c r="E1495" s="169" t="s">
        <v>994</v>
      </c>
      <c r="F1495" s="169" t="s">
        <v>285</v>
      </c>
      <c r="G1495" s="169" t="s">
        <v>286</v>
      </c>
      <c r="H1495" s="169" t="s">
        <v>382</v>
      </c>
      <c r="I1495" s="169" t="s">
        <v>200</v>
      </c>
      <c r="J1495" s="169" t="s">
        <v>995</v>
      </c>
      <c r="K1495" s="169" t="s">
        <v>996</v>
      </c>
      <c r="L1495" s="169" t="s">
        <v>956</v>
      </c>
      <c r="M1495" s="169" t="s">
        <v>281</v>
      </c>
      <c r="N1495" s="178">
        <v>2878808</v>
      </c>
      <c r="O1495" s="169" t="s">
        <v>997</v>
      </c>
      <c r="P1495" s="169" t="s">
        <v>283</v>
      </c>
      <c r="Q1495" s="169" t="s">
        <v>284</v>
      </c>
      <c r="R1495" s="169" t="s">
        <v>283</v>
      </c>
      <c r="S1495" s="169" t="s">
        <v>283</v>
      </c>
      <c r="T1495" s="169">
        <v>0</v>
      </c>
    </row>
    <row r="1496" spans="1:20" x14ac:dyDescent="0.2">
      <c r="A1496" s="169" t="str">
        <f t="shared" si="1"/>
        <v>642</v>
      </c>
      <c r="B1496" s="167" t="str">
        <f>_xlfn.XLOOKUP(I1496,Mapping!D:D,Mapping!E:E)</f>
        <v>Hành Chánh Nhân Sự</v>
      </c>
      <c r="C1496" s="167" t="str">
        <f>_xlfn.XLOOKUP(F1496,Mapping!A:A,Mapping!F:F)</f>
        <v>Phụ Cấp</v>
      </c>
      <c r="D1496" s="173">
        <v>45900</v>
      </c>
      <c r="E1496" s="169" t="s">
        <v>994</v>
      </c>
      <c r="F1496" s="169" t="s">
        <v>335</v>
      </c>
      <c r="G1496" s="169" t="s">
        <v>336</v>
      </c>
      <c r="H1496" s="169" t="s">
        <v>382</v>
      </c>
      <c r="I1496" s="169" t="s">
        <v>200</v>
      </c>
      <c r="J1496" s="169" t="s">
        <v>995</v>
      </c>
      <c r="K1496" s="169" t="s">
        <v>996</v>
      </c>
      <c r="L1496" s="169" t="s">
        <v>956</v>
      </c>
      <c r="M1496" s="169" t="s">
        <v>281</v>
      </c>
      <c r="N1496" s="178">
        <v>50000</v>
      </c>
      <c r="O1496" s="169" t="s">
        <v>997</v>
      </c>
      <c r="P1496" s="169" t="s">
        <v>283</v>
      </c>
      <c r="Q1496" s="169" t="s">
        <v>284</v>
      </c>
      <c r="R1496" s="169" t="s">
        <v>283</v>
      </c>
      <c r="S1496" s="169" t="s">
        <v>283</v>
      </c>
      <c r="T1496" s="169">
        <v>0</v>
      </c>
    </row>
    <row r="1497" spans="1:20" x14ac:dyDescent="0.2">
      <c r="A1497" s="169" t="str">
        <f t="shared" si="1"/>
        <v>642</v>
      </c>
      <c r="B1497" s="167" t="str">
        <f>_xlfn.XLOOKUP(I1497,Mapping!D:D,Mapping!E:E)</f>
        <v>Hành Chánh Nhân Sự</v>
      </c>
      <c r="C1497" s="167" t="str">
        <f>_xlfn.XLOOKUP(F1497,Mapping!A:A,Mapping!F:F)</f>
        <v>Lương Chính +T13</v>
      </c>
      <c r="D1497" s="173">
        <v>45900</v>
      </c>
      <c r="E1497" s="169" t="s">
        <v>994</v>
      </c>
      <c r="F1497" s="169" t="s">
        <v>274</v>
      </c>
      <c r="G1497" s="169" t="s">
        <v>275</v>
      </c>
      <c r="H1497" s="169" t="s">
        <v>358</v>
      </c>
      <c r="I1497" s="169" t="s">
        <v>359</v>
      </c>
      <c r="J1497" s="169" t="s">
        <v>995</v>
      </c>
      <c r="K1497" s="169" t="s">
        <v>996</v>
      </c>
      <c r="L1497" s="169" t="s">
        <v>956</v>
      </c>
      <c r="M1497" s="169" t="s">
        <v>281</v>
      </c>
      <c r="N1497" s="178">
        <v>94810048</v>
      </c>
      <c r="O1497" s="169" t="s">
        <v>997</v>
      </c>
      <c r="P1497" s="169" t="s">
        <v>283</v>
      </c>
      <c r="Q1497" s="169" t="s">
        <v>284</v>
      </c>
      <c r="R1497" s="169" t="s">
        <v>283</v>
      </c>
      <c r="S1497" s="169" t="s">
        <v>283</v>
      </c>
      <c r="T1497" s="169">
        <v>0</v>
      </c>
    </row>
    <row r="1498" spans="1:20" x14ac:dyDescent="0.2">
      <c r="A1498" s="169" t="str">
        <f t="shared" si="1"/>
        <v>642</v>
      </c>
      <c r="B1498" s="167" t="str">
        <f>_xlfn.XLOOKUP(I1498,Mapping!D:D,Mapping!E:E)</f>
        <v>Hành Chánh Nhân Sự</v>
      </c>
      <c r="C1498" s="167" t="str">
        <f>_xlfn.XLOOKUP(F1498,Mapping!A:A,Mapping!F:F)</f>
        <v>Lương Chính +T13</v>
      </c>
      <c r="D1498" s="173">
        <v>45900</v>
      </c>
      <c r="E1498" s="169" t="s">
        <v>994</v>
      </c>
      <c r="F1498" s="169" t="s">
        <v>285</v>
      </c>
      <c r="G1498" s="169" t="s">
        <v>286</v>
      </c>
      <c r="H1498" s="169" t="s">
        <v>358</v>
      </c>
      <c r="I1498" s="169" t="s">
        <v>359</v>
      </c>
      <c r="J1498" s="169" t="s">
        <v>995</v>
      </c>
      <c r="K1498" s="169" t="s">
        <v>996</v>
      </c>
      <c r="L1498" s="169" t="s">
        <v>956</v>
      </c>
      <c r="M1498" s="169" t="s">
        <v>281</v>
      </c>
      <c r="N1498" s="178">
        <v>6372269</v>
      </c>
      <c r="O1498" s="169" t="s">
        <v>997</v>
      </c>
      <c r="P1498" s="169" t="s">
        <v>283</v>
      </c>
      <c r="Q1498" s="169" t="s">
        <v>284</v>
      </c>
      <c r="R1498" s="169" t="s">
        <v>283</v>
      </c>
      <c r="S1498" s="169" t="s">
        <v>283</v>
      </c>
      <c r="T1498" s="169">
        <v>0</v>
      </c>
    </row>
    <row r="1499" spans="1:20" x14ac:dyDescent="0.2">
      <c r="A1499" s="169" t="str">
        <f t="shared" si="1"/>
        <v>642</v>
      </c>
      <c r="B1499" s="167" t="str">
        <f>_xlfn.XLOOKUP(I1499,Mapping!D:D,Mapping!E:E)</f>
        <v>Tư vấn dịch vụ</v>
      </c>
      <c r="C1499" s="167" t="str">
        <f>_xlfn.XLOOKUP(F1499,Mapping!A:A,Mapping!F:F)</f>
        <v>Lương Chính +T13</v>
      </c>
      <c r="D1499" s="173">
        <v>45900</v>
      </c>
      <c r="E1499" s="169" t="s">
        <v>994</v>
      </c>
      <c r="F1499" s="169" t="s">
        <v>274</v>
      </c>
      <c r="G1499" s="169" t="s">
        <v>275</v>
      </c>
      <c r="H1499" s="169" t="s">
        <v>443</v>
      </c>
      <c r="I1499" s="169" t="s">
        <v>444</v>
      </c>
      <c r="J1499" s="169" t="s">
        <v>995</v>
      </c>
      <c r="K1499" s="169" t="s">
        <v>996</v>
      </c>
      <c r="L1499" s="169" t="s">
        <v>956</v>
      </c>
      <c r="M1499" s="169" t="s">
        <v>281</v>
      </c>
      <c r="N1499" s="178">
        <v>190000000</v>
      </c>
      <c r="O1499" s="169" t="s">
        <v>997</v>
      </c>
      <c r="P1499" s="169" t="s">
        <v>283</v>
      </c>
      <c r="Q1499" s="169" t="s">
        <v>284</v>
      </c>
      <c r="R1499" s="169" t="s">
        <v>283</v>
      </c>
      <c r="S1499" s="169" t="s">
        <v>283</v>
      </c>
      <c r="T1499" s="169">
        <v>0</v>
      </c>
    </row>
    <row r="1500" spans="1:20" x14ac:dyDescent="0.2">
      <c r="A1500" s="169" t="str">
        <f t="shared" si="1"/>
        <v>622</v>
      </c>
      <c r="B1500" s="167" t="str">
        <f>_xlfn.XLOOKUP(I1500,Mapping!D:D,Mapping!E:E)</f>
        <v>Xưởng Sản Xuất</v>
      </c>
      <c r="C1500" s="167" t="str">
        <f>_xlfn.XLOOKUP(F1500,Mapping!A:A,Mapping!F:F)</f>
        <v>Lương Chính +T13</v>
      </c>
      <c r="D1500" s="173">
        <v>45900</v>
      </c>
      <c r="E1500" s="169" t="s">
        <v>994</v>
      </c>
      <c r="F1500" s="169" t="s">
        <v>400</v>
      </c>
      <c r="G1500" s="169" t="s">
        <v>401</v>
      </c>
      <c r="H1500" s="169" t="s">
        <v>441</v>
      </c>
      <c r="I1500" s="169" t="s">
        <v>442</v>
      </c>
      <c r="J1500" s="169" t="s">
        <v>995</v>
      </c>
      <c r="K1500" s="169" t="s">
        <v>996</v>
      </c>
      <c r="L1500" s="169" t="s">
        <v>956</v>
      </c>
      <c r="M1500" s="169" t="s">
        <v>281</v>
      </c>
      <c r="N1500" s="178">
        <v>8204318</v>
      </c>
      <c r="O1500" s="169" t="s">
        <v>997</v>
      </c>
      <c r="P1500" s="169" t="s">
        <v>283</v>
      </c>
      <c r="Q1500" s="169" t="s">
        <v>284</v>
      </c>
      <c r="R1500" s="169" t="s">
        <v>283</v>
      </c>
      <c r="S1500" s="169" t="s">
        <v>283</v>
      </c>
      <c r="T1500" s="169">
        <v>0</v>
      </c>
    </row>
    <row r="1501" spans="1:20" x14ac:dyDescent="0.2">
      <c r="A1501" s="169" t="str">
        <f t="shared" si="1"/>
        <v>622</v>
      </c>
      <c r="B1501" s="167" t="str">
        <f>_xlfn.XLOOKUP(I1501,Mapping!D:D,Mapping!E:E)</f>
        <v>Xưởng Sản Xuất</v>
      </c>
      <c r="C1501" s="167" t="str">
        <f>_xlfn.XLOOKUP(F1501,Mapping!A:A,Mapping!F:F)</f>
        <v>Phụ Cấp</v>
      </c>
      <c r="D1501" s="173">
        <v>45900</v>
      </c>
      <c r="E1501" s="169" t="s">
        <v>994</v>
      </c>
      <c r="F1501" s="169" t="s">
        <v>421</v>
      </c>
      <c r="G1501" s="169" t="s">
        <v>341</v>
      </c>
      <c r="H1501" s="169" t="s">
        <v>441</v>
      </c>
      <c r="I1501" s="169" t="s">
        <v>442</v>
      </c>
      <c r="J1501" s="169" t="s">
        <v>995</v>
      </c>
      <c r="K1501" s="169" t="s">
        <v>996</v>
      </c>
      <c r="L1501" s="169" t="s">
        <v>956</v>
      </c>
      <c r="M1501" s="169" t="s">
        <v>281</v>
      </c>
      <c r="N1501" s="178">
        <v>770954</v>
      </c>
      <c r="O1501" s="169" t="s">
        <v>997</v>
      </c>
      <c r="P1501" s="169" t="s">
        <v>283</v>
      </c>
      <c r="Q1501" s="169" t="s">
        <v>284</v>
      </c>
      <c r="R1501" s="169" t="s">
        <v>283</v>
      </c>
      <c r="S1501" s="169" t="s">
        <v>283</v>
      </c>
      <c r="T1501" s="169">
        <v>0</v>
      </c>
    </row>
    <row r="1502" spans="1:20" x14ac:dyDescent="0.2">
      <c r="A1502" s="169" t="str">
        <f t="shared" si="1"/>
        <v>622</v>
      </c>
      <c r="B1502" s="167" t="str">
        <f>_xlfn.XLOOKUP(I1502,Mapping!D:D,Mapping!E:E)</f>
        <v>Xưởng Sản Xuất</v>
      </c>
      <c r="C1502" s="167" t="str">
        <f>_xlfn.XLOOKUP(F1502,Mapping!A:A,Mapping!F:F)</f>
        <v>Lương Ngoài giờ</v>
      </c>
      <c r="D1502" s="173">
        <v>45900</v>
      </c>
      <c r="E1502" s="169" t="s">
        <v>994</v>
      </c>
      <c r="F1502" s="169" t="s">
        <v>422</v>
      </c>
      <c r="G1502" s="169" t="s">
        <v>423</v>
      </c>
      <c r="H1502" s="169" t="s">
        <v>441</v>
      </c>
      <c r="I1502" s="169" t="s">
        <v>442</v>
      </c>
      <c r="J1502" s="169" t="s">
        <v>995</v>
      </c>
      <c r="K1502" s="169" t="s">
        <v>996</v>
      </c>
      <c r="L1502" s="169" t="s">
        <v>956</v>
      </c>
      <c r="M1502" s="169" t="s">
        <v>281</v>
      </c>
      <c r="N1502" s="178">
        <v>1904123</v>
      </c>
      <c r="O1502" s="169" t="s">
        <v>997</v>
      </c>
      <c r="P1502" s="169" t="s">
        <v>283</v>
      </c>
      <c r="Q1502" s="169" t="s">
        <v>284</v>
      </c>
      <c r="R1502" s="169" t="s">
        <v>283</v>
      </c>
      <c r="S1502" s="169" t="s">
        <v>283</v>
      </c>
      <c r="T1502" s="169">
        <v>0</v>
      </c>
    </row>
    <row r="1503" spans="1:20" x14ac:dyDescent="0.2">
      <c r="A1503" s="169" t="str">
        <f t="shared" si="1"/>
        <v>622</v>
      </c>
      <c r="B1503" s="167" t="str">
        <f>_xlfn.XLOOKUP(I1503,Mapping!D:D,Mapping!E:E)</f>
        <v>Xưởng Sản Xuất</v>
      </c>
      <c r="C1503" s="167" t="str">
        <f>_xlfn.XLOOKUP(F1503,Mapping!A:A,Mapping!F:F)</f>
        <v>Phụ Cấp</v>
      </c>
      <c r="D1503" s="173">
        <v>45900</v>
      </c>
      <c r="E1503" s="169" t="s">
        <v>994</v>
      </c>
      <c r="F1503" s="169" t="s">
        <v>414</v>
      </c>
      <c r="G1503" s="169" t="s">
        <v>415</v>
      </c>
      <c r="H1503" s="169" t="s">
        <v>441</v>
      </c>
      <c r="I1503" s="169" t="s">
        <v>442</v>
      </c>
      <c r="J1503" s="169" t="s">
        <v>995</v>
      </c>
      <c r="K1503" s="169" t="s">
        <v>996</v>
      </c>
      <c r="L1503" s="169" t="s">
        <v>956</v>
      </c>
      <c r="M1503" s="169" t="s">
        <v>281</v>
      </c>
      <c r="N1503" s="178">
        <v>190000</v>
      </c>
      <c r="O1503" s="169" t="s">
        <v>997</v>
      </c>
      <c r="P1503" s="169" t="s">
        <v>283</v>
      </c>
      <c r="Q1503" s="169" t="s">
        <v>284</v>
      </c>
      <c r="R1503" s="169" t="s">
        <v>283</v>
      </c>
      <c r="S1503" s="169" t="s">
        <v>283</v>
      </c>
      <c r="T1503" s="169">
        <v>0</v>
      </c>
    </row>
    <row r="1504" spans="1:20" x14ac:dyDescent="0.2">
      <c r="A1504" s="169" t="str">
        <f t="shared" si="1"/>
        <v>642</v>
      </c>
      <c r="B1504" s="167" t="str">
        <f>_xlfn.XLOOKUP(I1504,Mapping!D:D,Mapping!E:E)</f>
        <v>Ban Giám Đốc</v>
      </c>
      <c r="C1504" s="167" t="str">
        <f>_xlfn.XLOOKUP(F1504,Mapping!A:A,Mapping!F:F)</f>
        <v>Lương Chính +T13</v>
      </c>
      <c r="D1504" s="173">
        <v>45900</v>
      </c>
      <c r="E1504" s="169" t="s">
        <v>998</v>
      </c>
      <c r="F1504" s="169" t="s">
        <v>285</v>
      </c>
      <c r="G1504" s="169" t="s">
        <v>286</v>
      </c>
      <c r="H1504" s="169" t="s">
        <v>276</v>
      </c>
      <c r="I1504" s="169" t="s">
        <v>277</v>
      </c>
      <c r="J1504" s="169" t="s">
        <v>999</v>
      </c>
      <c r="K1504" s="169" t="s">
        <v>996</v>
      </c>
      <c r="L1504" s="169" t="s">
        <v>956</v>
      </c>
      <c r="M1504" s="169" t="s">
        <v>281</v>
      </c>
      <c r="N1504" s="178">
        <v>102074583</v>
      </c>
      <c r="O1504" s="169" t="s">
        <v>1000</v>
      </c>
      <c r="P1504" s="169" t="s">
        <v>283</v>
      </c>
      <c r="Q1504" s="169" t="s">
        <v>284</v>
      </c>
      <c r="R1504" s="169" t="s">
        <v>283</v>
      </c>
      <c r="S1504" s="169" t="s">
        <v>283</v>
      </c>
      <c r="T1504" s="169">
        <v>0</v>
      </c>
    </row>
    <row r="1505" spans="1:20" x14ac:dyDescent="0.2">
      <c r="A1505" s="169" t="str">
        <f t="shared" si="1"/>
        <v>642</v>
      </c>
      <c r="B1505" s="167" t="str">
        <f>_xlfn.XLOOKUP(I1505,Mapping!D:D,Mapping!E:E)</f>
        <v>Ban Giám Đốc</v>
      </c>
      <c r="C1505" s="167" t="str">
        <f>_xlfn.XLOOKUP(F1505,Mapping!A:A,Mapping!F:F)</f>
        <v>Thưởng</v>
      </c>
      <c r="D1505" s="173">
        <v>45900</v>
      </c>
      <c r="E1505" s="169" t="s">
        <v>998</v>
      </c>
      <c r="F1505" s="169" t="s">
        <v>292</v>
      </c>
      <c r="G1505" s="169" t="s">
        <v>77</v>
      </c>
      <c r="H1505" s="169" t="s">
        <v>276</v>
      </c>
      <c r="I1505" s="169" t="s">
        <v>277</v>
      </c>
      <c r="J1505" s="169" t="s">
        <v>1001</v>
      </c>
      <c r="K1505" s="169" t="s">
        <v>996</v>
      </c>
      <c r="L1505" s="169" t="s">
        <v>956</v>
      </c>
      <c r="M1505" s="169" t="s">
        <v>281</v>
      </c>
      <c r="N1505" s="178">
        <v>93907800</v>
      </c>
      <c r="O1505" s="169" t="s">
        <v>1000</v>
      </c>
      <c r="P1505" s="169" t="s">
        <v>283</v>
      </c>
      <c r="Q1505" s="169" t="s">
        <v>284</v>
      </c>
      <c r="R1505" s="169" t="s">
        <v>283</v>
      </c>
      <c r="S1505" s="169" t="s">
        <v>283</v>
      </c>
      <c r="T1505" s="169">
        <v>0</v>
      </c>
    </row>
    <row r="1506" spans="1:20" x14ac:dyDescent="0.2">
      <c r="A1506" s="169" t="str">
        <f t="shared" si="1"/>
        <v>642</v>
      </c>
      <c r="B1506" s="167" t="str">
        <f>_xlfn.XLOOKUP(I1506,Mapping!D:D,Mapping!E:E)</f>
        <v>Văn Phòng Giám Đốc</v>
      </c>
      <c r="C1506" s="167" t="str">
        <f>_xlfn.XLOOKUP(F1506,Mapping!A:A,Mapping!F:F)</f>
        <v>Lương Chính +T13</v>
      </c>
      <c r="D1506" s="173">
        <v>45900</v>
      </c>
      <c r="E1506" s="169" t="s">
        <v>998</v>
      </c>
      <c r="F1506" s="169" t="s">
        <v>285</v>
      </c>
      <c r="G1506" s="169" t="s">
        <v>286</v>
      </c>
      <c r="H1506" s="169" t="s">
        <v>320</v>
      </c>
      <c r="I1506" s="169" t="s">
        <v>321</v>
      </c>
      <c r="J1506" s="169" t="s">
        <v>999</v>
      </c>
      <c r="K1506" s="169" t="s">
        <v>996</v>
      </c>
      <c r="L1506" s="169" t="s">
        <v>956</v>
      </c>
      <c r="M1506" s="169" t="s">
        <v>281</v>
      </c>
      <c r="N1506" s="178">
        <v>9604167</v>
      </c>
      <c r="O1506" s="169" t="s">
        <v>1000</v>
      </c>
      <c r="P1506" s="169" t="s">
        <v>283</v>
      </c>
      <c r="Q1506" s="169" t="s">
        <v>284</v>
      </c>
      <c r="R1506" s="169" t="s">
        <v>283</v>
      </c>
      <c r="S1506" s="169" t="s">
        <v>283</v>
      </c>
      <c r="T1506" s="169">
        <v>0</v>
      </c>
    </row>
    <row r="1507" spans="1:20" x14ac:dyDescent="0.2">
      <c r="A1507" s="169" t="str">
        <f t="shared" si="1"/>
        <v>642</v>
      </c>
      <c r="B1507" s="167" t="str">
        <f>_xlfn.XLOOKUP(I1507,Mapping!D:D,Mapping!E:E)</f>
        <v>Văn Phòng Giám Đốc</v>
      </c>
      <c r="C1507" s="167" t="str">
        <f>_xlfn.XLOOKUP(F1507,Mapping!A:A,Mapping!F:F)</f>
        <v>Thưởng</v>
      </c>
      <c r="D1507" s="173">
        <v>45900</v>
      </c>
      <c r="E1507" s="169" t="s">
        <v>998</v>
      </c>
      <c r="F1507" s="169" t="s">
        <v>292</v>
      </c>
      <c r="G1507" s="169" t="s">
        <v>77</v>
      </c>
      <c r="H1507" s="169" t="s">
        <v>320</v>
      </c>
      <c r="I1507" s="169" t="s">
        <v>321</v>
      </c>
      <c r="J1507" s="169" t="s">
        <v>1001</v>
      </c>
      <c r="K1507" s="169" t="s">
        <v>996</v>
      </c>
      <c r="L1507" s="169" t="s">
        <v>956</v>
      </c>
      <c r="M1507" s="169" t="s">
        <v>281</v>
      </c>
      <c r="N1507" s="178">
        <v>8835757</v>
      </c>
      <c r="O1507" s="169" t="s">
        <v>1000</v>
      </c>
      <c r="P1507" s="169" t="s">
        <v>283</v>
      </c>
      <c r="Q1507" s="169" t="s">
        <v>284</v>
      </c>
      <c r="R1507" s="169" t="s">
        <v>283</v>
      </c>
      <c r="S1507" s="169" t="s">
        <v>283</v>
      </c>
      <c r="T1507" s="169">
        <v>0</v>
      </c>
    </row>
    <row r="1508" spans="1:20" x14ac:dyDescent="0.2">
      <c r="A1508" s="169" t="str">
        <f t="shared" si="1"/>
        <v>642</v>
      </c>
      <c r="B1508" s="167" t="str">
        <f>_xlfn.XLOOKUP(I1508,Mapping!D:D,Mapping!E:E)</f>
        <v>Hành Chánh Nhân Sự</v>
      </c>
      <c r="C1508" s="167" t="str">
        <f>_xlfn.XLOOKUP(F1508,Mapping!A:A,Mapping!F:F)</f>
        <v>Lương Chính +T13</v>
      </c>
      <c r="D1508" s="173">
        <v>45900</v>
      </c>
      <c r="E1508" s="169" t="s">
        <v>998</v>
      </c>
      <c r="F1508" s="169" t="s">
        <v>285</v>
      </c>
      <c r="G1508" s="169" t="s">
        <v>286</v>
      </c>
      <c r="H1508" s="169" t="s">
        <v>301</v>
      </c>
      <c r="I1508" s="169" t="s">
        <v>302</v>
      </c>
      <c r="J1508" s="169" t="s">
        <v>999</v>
      </c>
      <c r="K1508" s="169" t="s">
        <v>996</v>
      </c>
      <c r="L1508" s="169" t="s">
        <v>956</v>
      </c>
      <c r="M1508" s="169" t="s">
        <v>281</v>
      </c>
      <c r="N1508" s="178">
        <v>40454759</v>
      </c>
      <c r="O1508" s="169" t="s">
        <v>1000</v>
      </c>
      <c r="P1508" s="169" t="s">
        <v>283</v>
      </c>
      <c r="Q1508" s="169" t="s">
        <v>284</v>
      </c>
      <c r="R1508" s="169" t="s">
        <v>283</v>
      </c>
      <c r="S1508" s="169" t="s">
        <v>283</v>
      </c>
      <c r="T1508" s="169">
        <v>0</v>
      </c>
    </row>
    <row r="1509" spans="1:20" x14ac:dyDescent="0.2">
      <c r="A1509" s="169" t="str">
        <f t="shared" si="1"/>
        <v>642</v>
      </c>
      <c r="B1509" s="167" t="str">
        <f>_xlfn.XLOOKUP(I1509,Mapping!D:D,Mapping!E:E)</f>
        <v>Hành Chánh Nhân Sự</v>
      </c>
      <c r="C1509" s="167" t="str">
        <f>_xlfn.XLOOKUP(F1509,Mapping!A:A,Mapping!F:F)</f>
        <v>Thưởng</v>
      </c>
      <c r="D1509" s="173">
        <v>45900</v>
      </c>
      <c r="E1509" s="169" t="s">
        <v>998</v>
      </c>
      <c r="F1509" s="169" t="s">
        <v>292</v>
      </c>
      <c r="G1509" s="169" t="s">
        <v>77</v>
      </c>
      <c r="H1509" s="169" t="s">
        <v>301</v>
      </c>
      <c r="I1509" s="169" t="s">
        <v>302</v>
      </c>
      <c r="J1509" s="169" t="s">
        <v>1001</v>
      </c>
      <c r="K1509" s="169" t="s">
        <v>996</v>
      </c>
      <c r="L1509" s="169" t="s">
        <v>956</v>
      </c>
      <c r="M1509" s="169" t="s">
        <v>281</v>
      </c>
      <c r="N1509" s="178">
        <v>32197912</v>
      </c>
      <c r="O1509" s="169" t="s">
        <v>1000</v>
      </c>
      <c r="P1509" s="169" t="s">
        <v>283</v>
      </c>
      <c r="Q1509" s="169" t="s">
        <v>284</v>
      </c>
      <c r="R1509" s="169" t="s">
        <v>283</v>
      </c>
      <c r="S1509" s="169" t="s">
        <v>283</v>
      </c>
      <c r="T1509" s="169">
        <v>0</v>
      </c>
    </row>
    <row r="1510" spans="1:20" x14ac:dyDescent="0.2">
      <c r="A1510" s="169" t="str">
        <f t="shared" si="1"/>
        <v>642</v>
      </c>
      <c r="B1510" s="167" t="str">
        <f>_xlfn.XLOOKUP(I1510,Mapping!D:D,Mapping!E:E)</f>
        <v>Kế Toán</v>
      </c>
      <c r="C1510" s="167" t="str">
        <f>_xlfn.XLOOKUP(F1510,Mapping!A:A,Mapping!F:F)</f>
        <v>Lương Chính +T13</v>
      </c>
      <c r="D1510" s="173">
        <v>45900</v>
      </c>
      <c r="E1510" s="169" t="s">
        <v>998</v>
      </c>
      <c r="F1510" s="169" t="s">
        <v>285</v>
      </c>
      <c r="G1510" s="169" t="s">
        <v>286</v>
      </c>
      <c r="H1510" s="169" t="s">
        <v>356</v>
      </c>
      <c r="I1510" s="169" t="s">
        <v>357</v>
      </c>
      <c r="J1510" s="169" t="s">
        <v>999</v>
      </c>
      <c r="K1510" s="169" t="s">
        <v>996</v>
      </c>
      <c r="L1510" s="169" t="s">
        <v>956</v>
      </c>
      <c r="M1510" s="169" t="s">
        <v>281</v>
      </c>
      <c r="N1510" s="178">
        <v>43180430</v>
      </c>
      <c r="O1510" s="169" t="s">
        <v>1000</v>
      </c>
      <c r="P1510" s="169" t="s">
        <v>283</v>
      </c>
      <c r="Q1510" s="169" t="s">
        <v>284</v>
      </c>
      <c r="R1510" s="169" t="s">
        <v>283</v>
      </c>
      <c r="S1510" s="169" t="s">
        <v>283</v>
      </c>
      <c r="T1510" s="169">
        <v>0</v>
      </c>
    </row>
    <row r="1511" spans="1:20" x14ac:dyDescent="0.2">
      <c r="A1511" s="169" t="str">
        <f t="shared" si="1"/>
        <v>642</v>
      </c>
      <c r="B1511" s="167" t="str">
        <f>_xlfn.XLOOKUP(I1511,Mapping!D:D,Mapping!E:E)</f>
        <v>Kế Toán</v>
      </c>
      <c r="C1511" s="167" t="str">
        <f>_xlfn.XLOOKUP(F1511,Mapping!A:A,Mapping!F:F)</f>
        <v>Thưởng</v>
      </c>
      <c r="D1511" s="173">
        <v>45900</v>
      </c>
      <c r="E1511" s="169" t="s">
        <v>998</v>
      </c>
      <c r="F1511" s="169" t="s">
        <v>292</v>
      </c>
      <c r="G1511" s="169" t="s">
        <v>77</v>
      </c>
      <c r="H1511" s="169" t="s">
        <v>356</v>
      </c>
      <c r="I1511" s="169" t="s">
        <v>357</v>
      </c>
      <c r="J1511" s="169" t="s">
        <v>1001</v>
      </c>
      <c r="K1511" s="169" t="s">
        <v>996</v>
      </c>
      <c r="L1511" s="169" t="s">
        <v>956</v>
      </c>
      <c r="M1511" s="169" t="s">
        <v>281</v>
      </c>
      <c r="N1511" s="178">
        <v>39282202</v>
      </c>
      <c r="O1511" s="169" t="s">
        <v>1000</v>
      </c>
      <c r="P1511" s="169" t="s">
        <v>283</v>
      </c>
      <c r="Q1511" s="169" t="s">
        <v>284</v>
      </c>
      <c r="R1511" s="169" t="s">
        <v>283</v>
      </c>
      <c r="S1511" s="169" t="s">
        <v>283</v>
      </c>
      <c r="T1511" s="169">
        <v>0</v>
      </c>
    </row>
    <row r="1512" spans="1:20" x14ac:dyDescent="0.2">
      <c r="A1512" s="169" t="str">
        <f t="shared" si="1"/>
        <v>641</v>
      </c>
      <c r="B1512" s="167" t="str">
        <f>_xlfn.XLOOKUP(I1512,Mapping!D:D,Mapping!E:E)</f>
        <v>Kinh doanh</v>
      </c>
      <c r="C1512" s="167" t="str">
        <f>_xlfn.XLOOKUP(F1512,Mapping!A:A,Mapping!F:F)</f>
        <v>Lương Chính +T13</v>
      </c>
      <c r="D1512" s="173">
        <v>45900</v>
      </c>
      <c r="E1512" s="169" t="s">
        <v>998</v>
      </c>
      <c r="F1512" s="169" t="s">
        <v>384</v>
      </c>
      <c r="G1512" s="169" t="s">
        <v>286</v>
      </c>
      <c r="H1512" s="169" t="s">
        <v>366</v>
      </c>
      <c r="I1512" s="169" t="s">
        <v>1</v>
      </c>
      <c r="J1512" s="169" t="s">
        <v>999</v>
      </c>
      <c r="K1512" s="169" t="s">
        <v>996</v>
      </c>
      <c r="L1512" s="169" t="s">
        <v>956</v>
      </c>
      <c r="M1512" s="169" t="s">
        <v>281</v>
      </c>
      <c r="N1512" s="178">
        <v>25046833</v>
      </c>
      <c r="O1512" s="169" t="s">
        <v>1000</v>
      </c>
      <c r="P1512" s="169" t="s">
        <v>283</v>
      </c>
      <c r="Q1512" s="169" t="s">
        <v>284</v>
      </c>
      <c r="R1512" s="169" t="s">
        <v>283</v>
      </c>
      <c r="S1512" s="169" t="s">
        <v>283</v>
      </c>
      <c r="T1512" s="169">
        <v>0</v>
      </c>
    </row>
    <row r="1513" spans="1:20" x14ac:dyDescent="0.2">
      <c r="A1513" s="169" t="str">
        <f t="shared" si="1"/>
        <v>641</v>
      </c>
      <c r="B1513" s="167" t="str">
        <f>_xlfn.XLOOKUP(I1513,Mapping!D:D,Mapping!E:E)</f>
        <v>Kinh doanh</v>
      </c>
      <c r="C1513" s="167" t="str">
        <f>_xlfn.XLOOKUP(F1513,Mapping!A:A,Mapping!F:F)</f>
        <v>Thưởng</v>
      </c>
      <c r="D1513" s="173">
        <v>45900</v>
      </c>
      <c r="E1513" s="169" t="s">
        <v>998</v>
      </c>
      <c r="F1513" s="169" t="s">
        <v>394</v>
      </c>
      <c r="G1513" s="169" t="s">
        <v>77</v>
      </c>
      <c r="H1513" s="169" t="s">
        <v>366</v>
      </c>
      <c r="I1513" s="169" t="s">
        <v>1</v>
      </c>
      <c r="J1513" s="169" t="s">
        <v>1001</v>
      </c>
      <c r="K1513" s="169" t="s">
        <v>996</v>
      </c>
      <c r="L1513" s="169" t="s">
        <v>956</v>
      </c>
      <c r="M1513" s="169" t="s">
        <v>281</v>
      </c>
      <c r="N1513" s="178">
        <v>23042886</v>
      </c>
      <c r="O1513" s="169" t="s">
        <v>1000</v>
      </c>
      <c r="P1513" s="169" t="s">
        <v>283</v>
      </c>
      <c r="Q1513" s="169" t="s">
        <v>284</v>
      </c>
      <c r="R1513" s="169" t="s">
        <v>283</v>
      </c>
      <c r="S1513" s="169" t="s">
        <v>283</v>
      </c>
      <c r="T1513" s="169">
        <v>0</v>
      </c>
    </row>
    <row r="1514" spans="1:20" x14ac:dyDescent="0.2">
      <c r="A1514" s="169" t="str">
        <f t="shared" ref="A1514:A1577" si="2">LEFT(F1514,3)</f>
        <v>642</v>
      </c>
      <c r="B1514" s="167" t="str">
        <f>_xlfn.XLOOKUP(I1514,Mapping!D:D,Mapping!E:E)</f>
        <v>Cung Ứng</v>
      </c>
      <c r="C1514" s="167" t="str">
        <f>_xlfn.XLOOKUP(F1514,Mapping!A:A,Mapping!F:F)</f>
        <v>Lương Chính +T13</v>
      </c>
      <c r="D1514" s="173">
        <v>45900</v>
      </c>
      <c r="E1514" s="169" t="s">
        <v>998</v>
      </c>
      <c r="F1514" s="169" t="s">
        <v>285</v>
      </c>
      <c r="G1514" s="169" t="s">
        <v>286</v>
      </c>
      <c r="H1514" s="169" t="s">
        <v>380</v>
      </c>
      <c r="I1514" s="169" t="s">
        <v>381</v>
      </c>
      <c r="J1514" s="169" t="s">
        <v>999</v>
      </c>
      <c r="K1514" s="169" t="s">
        <v>996</v>
      </c>
      <c r="L1514" s="169" t="s">
        <v>956</v>
      </c>
      <c r="M1514" s="169" t="s">
        <v>281</v>
      </c>
      <c r="N1514" s="178">
        <v>42460752</v>
      </c>
      <c r="O1514" s="169" t="s">
        <v>1000</v>
      </c>
      <c r="P1514" s="169" t="s">
        <v>283</v>
      </c>
      <c r="Q1514" s="169" t="s">
        <v>284</v>
      </c>
      <c r="R1514" s="169" t="s">
        <v>283</v>
      </c>
      <c r="S1514" s="169" t="s">
        <v>283</v>
      </c>
      <c r="T1514" s="169">
        <v>0</v>
      </c>
    </row>
    <row r="1515" spans="1:20" x14ac:dyDescent="0.2">
      <c r="A1515" s="169" t="str">
        <f t="shared" si="2"/>
        <v>642</v>
      </c>
      <c r="B1515" s="167" t="str">
        <f>_xlfn.XLOOKUP(I1515,Mapping!D:D,Mapping!E:E)</f>
        <v>Cung Ứng</v>
      </c>
      <c r="C1515" s="167" t="str">
        <f>_xlfn.XLOOKUP(F1515,Mapping!A:A,Mapping!F:F)</f>
        <v>Thưởng</v>
      </c>
      <c r="D1515" s="173">
        <v>45900</v>
      </c>
      <c r="E1515" s="169" t="s">
        <v>998</v>
      </c>
      <c r="F1515" s="169" t="s">
        <v>292</v>
      </c>
      <c r="G1515" s="169" t="s">
        <v>77</v>
      </c>
      <c r="H1515" s="169" t="s">
        <v>380</v>
      </c>
      <c r="I1515" s="169" t="s">
        <v>381</v>
      </c>
      <c r="J1515" s="169" t="s">
        <v>1001</v>
      </c>
      <c r="K1515" s="169" t="s">
        <v>996</v>
      </c>
      <c r="L1515" s="169" t="s">
        <v>956</v>
      </c>
      <c r="M1515" s="169" t="s">
        <v>281</v>
      </c>
      <c r="N1515" s="178">
        <v>37210370</v>
      </c>
      <c r="O1515" s="169" t="s">
        <v>1000</v>
      </c>
      <c r="P1515" s="169" t="s">
        <v>283</v>
      </c>
      <c r="Q1515" s="169" t="s">
        <v>284</v>
      </c>
      <c r="R1515" s="169" t="s">
        <v>283</v>
      </c>
      <c r="S1515" s="169" t="s">
        <v>283</v>
      </c>
      <c r="T1515" s="169">
        <v>0</v>
      </c>
    </row>
    <row r="1516" spans="1:20" x14ac:dyDescent="0.2">
      <c r="A1516" s="169" t="str">
        <f t="shared" si="2"/>
        <v>642</v>
      </c>
      <c r="B1516" s="167" t="str">
        <f>_xlfn.XLOOKUP(I1516,Mapping!D:D,Mapping!E:E)</f>
        <v>Mua Hàng &amp; XNK</v>
      </c>
      <c r="C1516" s="167" t="str">
        <f>_xlfn.XLOOKUP(F1516,Mapping!A:A,Mapping!F:F)</f>
        <v>Lương Chính +T13</v>
      </c>
      <c r="D1516" s="173">
        <v>45900</v>
      </c>
      <c r="E1516" s="169" t="s">
        <v>998</v>
      </c>
      <c r="F1516" s="169" t="s">
        <v>285</v>
      </c>
      <c r="G1516" s="169" t="s">
        <v>286</v>
      </c>
      <c r="H1516" s="169" t="s">
        <v>378</v>
      </c>
      <c r="I1516" s="169" t="s">
        <v>379</v>
      </c>
      <c r="J1516" s="169" t="s">
        <v>999</v>
      </c>
      <c r="K1516" s="169" t="s">
        <v>996</v>
      </c>
      <c r="L1516" s="169" t="s">
        <v>956</v>
      </c>
      <c r="M1516" s="169" t="s">
        <v>281</v>
      </c>
      <c r="N1516" s="178">
        <v>11544417</v>
      </c>
      <c r="O1516" s="169" t="s">
        <v>1000</v>
      </c>
      <c r="P1516" s="169" t="s">
        <v>283</v>
      </c>
      <c r="Q1516" s="169" t="s">
        <v>284</v>
      </c>
      <c r="R1516" s="169" t="s">
        <v>283</v>
      </c>
      <c r="S1516" s="169" t="s">
        <v>283</v>
      </c>
      <c r="T1516" s="169">
        <v>0</v>
      </c>
    </row>
    <row r="1517" spans="1:20" x14ac:dyDescent="0.2">
      <c r="A1517" s="169" t="str">
        <f t="shared" si="2"/>
        <v>642</v>
      </c>
      <c r="B1517" s="167" t="str">
        <f>_xlfn.XLOOKUP(I1517,Mapping!D:D,Mapping!E:E)</f>
        <v>Mua Hàng &amp; XNK</v>
      </c>
      <c r="C1517" s="167" t="str">
        <f>_xlfn.XLOOKUP(F1517,Mapping!A:A,Mapping!F:F)</f>
        <v>Thưởng</v>
      </c>
      <c r="D1517" s="173">
        <v>45900</v>
      </c>
      <c r="E1517" s="169" t="s">
        <v>998</v>
      </c>
      <c r="F1517" s="169" t="s">
        <v>292</v>
      </c>
      <c r="G1517" s="169" t="s">
        <v>77</v>
      </c>
      <c r="H1517" s="169" t="s">
        <v>378</v>
      </c>
      <c r="I1517" s="169" t="s">
        <v>379</v>
      </c>
      <c r="J1517" s="169" t="s">
        <v>1001</v>
      </c>
      <c r="K1517" s="169" t="s">
        <v>996</v>
      </c>
      <c r="L1517" s="169" t="s">
        <v>956</v>
      </c>
      <c r="M1517" s="169" t="s">
        <v>281</v>
      </c>
      <c r="N1517" s="178">
        <v>10620771</v>
      </c>
      <c r="O1517" s="169" t="s">
        <v>1000</v>
      </c>
      <c r="P1517" s="169" t="s">
        <v>283</v>
      </c>
      <c r="Q1517" s="169" t="s">
        <v>284</v>
      </c>
      <c r="R1517" s="169" t="s">
        <v>283</v>
      </c>
      <c r="S1517" s="169" t="s">
        <v>283</v>
      </c>
      <c r="T1517" s="169">
        <v>0</v>
      </c>
    </row>
    <row r="1518" spans="1:20" x14ac:dyDescent="0.2">
      <c r="A1518" s="169" t="str">
        <f t="shared" si="2"/>
        <v>627</v>
      </c>
      <c r="B1518" s="167" t="str">
        <f>_xlfn.XLOOKUP(I1518,Mapping!D:D,Mapping!E:E)</f>
        <v>Kỹ Thuật</v>
      </c>
      <c r="C1518" s="167" t="str">
        <f>_xlfn.XLOOKUP(F1518,Mapping!A:A,Mapping!F:F)</f>
        <v>Lương Chính +T13</v>
      </c>
      <c r="D1518" s="173">
        <v>45900</v>
      </c>
      <c r="E1518" s="169" t="s">
        <v>998</v>
      </c>
      <c r="F1518" s="169" t="s">
        <v>388</v>
      </c>
      <c r="G1518" s="169" t="s">
        <v>286</v>
      </c>
      <c r="H1518" s="169" t="s">
        <v>376</v>
      </c>
      <c r="I1518" s="169" t="s">
        <v>377</v>
      </c>
      <c r="J1518" s="169" t="s">
        <v>999</v>
      </c>
      <c r="K1518" s="169" t="s">
        <v>996</v>
      </c>
      <c r="L1518" s="169" t="s">
        <v>956</v>
      </c>
      <c r="M1518" s="169" t="s">
        <v>281</v>
      </c>
      <c r="N1518" s="178">
        <v>89490167</v>
      </c>
      <c r="O1518" s="169" t="s">
        <v>1000</v>
      </c>
      <c r="P1518" s="169" t="s">
        <v>283</v>
      </c>
      <c r="Q1518" s="169" t="s">
        <v>284</v>
      </c>
      <c r="R1518" s="169" t="s">
        <v>283</v>
      </c>
      <c r="S1518" s="169" t="s">
        <v>283</v>
      </c>
      <c r="T1518" s="169">
        <v>0</v>
      </c>
    </row>
    <row r="1519" spans="1:20" x14ac:dyDescent="0.2">
      <c r="A1519" s="169" t="str">
        <f t="shared" si="2"/>
        <v>627</v>
      </c>
      <c r="B1519" s="167" t="str">
        <f>_xlfn.XLOOKUP(I1519,Mapping!D:D,Mapping!E:E)</f>
        <v>Kỹ Thuật</v>
      </c>
      <c r="C1519" s="167" t="str">
        <f>_xlfn.XLOOKUP(F1519,Mapping!A:A,Mapping!F:F)</f>
        <v>Thưởng</v>
      </c>
      <c r="D1519" s="173">
        <v>45900</v>
      </c>
      <c r="E1519" s="169" t="s">
        <v>998</v>
      </c>
      <c r="F1519" s="169" t="s">
        <v>395</v>
      </c>
      <c r="G1519" s="169" t="s">
        <v>77</v>
      </c>
      <c r="H1519" s="169" t="s">
        <v>376</v>
      </c>
      <c r="I1519" s="169" t="s">
        <v>377</v>
      </c>
      <c r="J1519" s="169" t="s">
        <v>1001</v>
      </c>
      <c r="K1519" s="169" t="s">
        <v>996</v>
      </c>
      <c r="L1519" s="169" t="s">
        <v>956</v>
      </c>
      <c r="M1519" s="169" t="s">
        <v>281</v>
      </c>
      <c r="N1519" s="178">
        <v>82330237</v>
      </c>
      <c r="O1519" s="169" t="s">
        <v>1000</v>
      </c>
      <c r="P1519" s="169" t="s">
        <v>283</v>
      </c>
      <c r="Q1519" s="169" t="s">
        <v>284</v>
      </c>
      <c r="R1519" s="169" t="s">
        <v>283</v>
      </c>
      <c r="S1519" s="169" t="s">
        <v>283</v>
      </c>
      <c r="T1519" s="169">
        <v>0</v>
      </c>
    </row>
    <row r="1520" spans="1:20" x14ac:dyDescent="0.2">
      <c r="A1520" s="169" t="str">
        <f t="shared" si="2"/>
        <v>627</v>
      </c>
      <c r="B1520" s="167" t="str">
        <f>_xlfn.XLOOKUP(I1520,Mapping!D:D,Mapping!E:E)</f>
        <v>Kiểm Soát Chất Lượng</v>
      </c>
      <c r="C1520" s="167" t="str">
        <f>_xlfn.XLOOKUP(F1520,Mapping!A:A,Mapping!F:F)</f>
        <v>Lương Chính +T13</v>
      </c>
      <c r="D1520" s="173">
        <v>45900</v>
      </c>
      <c r="E1520" s="169" t="s">
        <v>998</v>
      </c>
      <c r="F1520" s="169" t="s">
        <v>388</v>
      </c>
      <c r="G1520" s="169" t="s">
        <v>286</v>
      </c>
      <c r="H1520" s="169" t="s">
        <v>411</v>
      </c>
      <c r="I1520" s="169" t="s">
        <v>412</v>
      </c>
      <c r="J1520" s="169" t="s">
        <v>999</v>
      </c>
      <c r="K1520" s="169" t="s">
        <v>996</v>
      </c>
      <c r="L1520" s="169" t="s">
        <v>956</v>
      </c>
      <c r="M1520" s="169" t="s">
        <v>281</v>
      </c>
      <c r="N1520" s="178">
        <v>40114417</v>
      </c>
      <c r="O1520" s="169" t="s">
        <v>1000</v>
      </c>
      <c r="P1520" s="169" t="s">
        <v>283</v>
      </c>
      <c r="Q1520" s="169" t="s">
        <v>284</v>
      </c>
      <c r="R1520" s="169" t="s">
        <v>283</v>
      </c>
      <c r="S1520" s="169" t="s">
        <v>283</v>
      </c>
      <c r="T1520" s="169">
        <v>0</v>
      </c>
    </row>
    <row r="1521" spans="1:20" x14ac:dyDescent="0.2">
      <c r="A1521" s="169" t="str">
        <f t="shared" si="2"/>
        <v>627</v>
      </c>
      <c r="B1521" s="167" t="str">
        <f>_xlfn.XLOOKUP(I1521,Mapping!D:D,Mapping!E:E)</f>
        <v>Kiểm Soát Chất Lượng</v>
      </c>
      <c r="C1521" s="167" t="str">
        <f>_xlfn.XLOOKUP(F1521,Mapping!A:A,Mapping!F:F)</f>
        <v>Thưởng</v>
      </c>
      <c r="D1521" s="173">
        <v>45900</v>
      </c>
      <c r="E1521" s="169" t="s">
        <v>998</v>
      </c>
      <c r="F1521" s="169" t="s">
        <v>395</v>
      </c>
      <c r="G1521" s="169" t="s">
        <v>77</v>
      </c>
      <c r="H1521" s="169" t="s">
        <v>411</v>
      </c>
      <c r="I1521" s="169" t="s">
        <v>412</v>
      </c>
      <c r="J1521" s="169" t="s">
        <v>1001</v>
      </c>
      <c r="K1521" s="169" t="s">
        <v>996</v>
      </c>
      <c r="L1521" s="169" t="s">
        <v>956</v>
      </c>
      <c r="M1521" s="169" t="s">
        <v>281</v>
      </c>
      <c r="N1521" s="178">
        <v>36904942</v>
      </c>
      <c r="O1521" s="169" t="s">
        <v>1000</v>
      </c>
      <c r="P1521" s="169" t="s">
        <v>283</v>
      </c>
      <c r="Q1521" s="169" t="s">
        <v>284</v>
      </c>
      <c r="R1521" s="169" t="s">
        <v>283</v>
      </c>
      <c r="S1521" s="169" t="s">
        <v>283</v>
      </c>
      <c r="T1521" s="169">
        <v>0</v>
      </c>
    </row>
    <row r="1522" spans="1:20" x14ac:dyDescent="0.2">
      <c r="A1522" s="169" t="str">
        <f t="shared" si="2"/>
        <v>627</v>
      </c>
      <c r="B1522" s="167" t="str">
        <f>_xlfn.XLOOKUP(I1522,Mapping!D:D,Mapping!E:E)</f>
        <v>Nghiên Cứu &amp; Phát Triển</v>
      </c>
      <c r="C1522" s="167" t="str">
        <f>_xlfn.XLOOKUP(F1522,Mapping!A:A,Mapping!F:F)</f>
        <v>Lương Chính +T13</v>
      </c>
      <c r="D1522" s="173">
        <v>45900</v>
      </c>
      <c r="E1522" s="169" t="s">
        <v>998</v>
      </c>
      <c r="F1522" s="169" t="s">
        <v>388</v>
      </c>
      <c r="G1522" s="169" t="s">
        <v>286</v>
      </c>
      <c r="H1522" s="169" t="s">
        <v>418</v>
      </c>
      <c r="I1522" s="169" t="s">
        <v>419</v>
      </c>
      <c r="J1522" s="169" t="s">
        <v>999</v>
      </c>
      <c r="K1522" s="169" t="s">
        <v>996</v>
      </c>
      <c r="L1522" s="169" t="s">
        <v>956</v>
      </c>
      <c r="M1522" s="169" t="s">
        <v>281</v>
      </c>
      <c r="N1522" s="178">
        <v>14000000</v>
      </c>
      <c r="O1522" s="169" t="s">
        <v>1000</v>
      </c>
      <c r="P1522" s="169" t="s">
        <v>283</v>
      </c>
      <c r="Q1522" s="169" t="s">
        <v>284</v>
      </c>
      <c r="R1522" s="169" t="s">
        <v>283</v>
      </c>
      <c r="S1522" s="169" t="s">
        <v>283</v>
      </c>
      <c r="T1522" s="169">
        <v>0</v>
      </c>
    </row>
    <row r="1523" spans="1:20" x14ac:dyDescent="0.2">
      <c r="A1523" s="169" t="str">
        <f t="shared" si="2"/>
        <v>627</v>
      </c>
      <c r="B1523" s="167" t="str">
        <f>_xlfn.XLOOKUP(I1523,Mapping!D:D,Mapping!E:E)</f>
        <v>Nghiên Cứu &amp; Phát Triển</v>
      </c>
      <c r="C1523" s="167" t="str">
        <f>_xlfn.XLOOKUP(F1523,Mapping!A:A,Mapping!F:F)</f>
        <v>Thưởng</v>
      </c>
      <c r="D1523" s="173">
        <v>45900</v>
      </c>
      <c r="E1523" s="169" t="s">
        <v>998</v>
      </c>
      <c r="F1523" s="169" t="s">
        <v>395</v>
      </c>
      <c r="G1523" s="169" t="s">
        <v>77</v>
      </c>
      <c r="H1523" s="169" t="s">
        <v>418</v>
      </c>
      <c r="I1523" s="169" t="s">
        <v>419</v>
      </c>
      <c r="J1523" s="169" t="s">
        <v>1001</v>
      </c>
      <c r="K1523" s="169" t="s">
        <v>996</v>
      </c>
      <c r="L1523" s="169" t="s">
        <v>956</v>
      </c>
      <c r="M1523" s="169" t="s">
        <v>281</v>
      </c>
      <c r="N1523" s="178">
        <v>12879888</v>
      </c>
      <c r="O1523" s="169" t="s">
        <v>1000</v>
      </c>
      <c r="P1523" s="169" t="s">
        <v>283</v>
      </c>
      <c r="Q1523" s="169" t="s">
        <v>284</v>
      </c>
      <c r="R1523" s="169" t="s">
        <v>283</v>
      </c>
      <c r="S1523" s="169" t="s">
        <v>283</v>
      </c>
      <c r="T1523" s="169">
        <v>0</v>
      </c>
    </row>
    <row r="1524" spans="1:20" x14ac:dyDescent="0.2">
      <c r="A1524" s="169" t="str">
        <f t="shared" si="2"/>
        <v>627</v>
      </c>
      <c r="B1524" s="167" t="str">
        <f>_xlfn.XLOOKUP(I1524,Mapping!D:D,Mapping!E:E)</f>
        <v>Xưởng Sản Xuất</v>
      </c>
      <c r="C1524" s="167" t="str">
        <f>_xlfn.XLOOKUP(F1524,Mapping!A:A,Mapping!F:F)</f>
        <v>Lương Chính +T13</v>
      </c>
      <c r="D1524" s="173">
        <v>45900</v>
      </c>
      <c r="E1524" s="169" t="s">
        <v>998</v>
      </c>
      <c r="F1524" s="169" t="s">
        <v>388</v>
      </c>
      <c r="G1524" s="169" t="s">
        <v>286</v>
      </c>
      <c r="H1524" s="169" t="s">
        <v>402</v>
      </c>
      <c r="I1524" s="169" t="s">
        <v>403</v>
      </c>
      <c r="J1524" s="169" t="s">
        <v>999</v>
      </c>
      <c r="K1524" s="169" t="s">
        <v>996</v>
      </c>
      <c r="L1524" s="169" t="s">
        <v>956</v>
      </c>
      <c r="M1524" s="169" t="s">
        <v>281</v>
      </c>
      <c r="N1524" s="178">
        <v>36195709</v>
      </c>
      <c r="O1524" s="169" t="s">
        <v>1000</v>
      </c>
      <c r="P1524" s="169" t="s">
        <v>283</v>
      </c>
      <c r="Q1524" s="169" t="s">
        <v>284</v>
      </c>
      <c r="R1524" s="169" t="s">
        <v>283</v>
      </c>
      <c r="S1524" s="169" t="s">
        <v>283</v>
      </c>
      <c r="T1524" s="169">
        <v>0</v>
      </c>
    </row>
    <row r="1525" spans="1:20" x14ac:dyDescent="0.2">
      <c r="A1525" s="169" t="str">
        <f t="shared" si="2"/>
        <v>622</v>
      </c>
      <c r="B1525" s="167" t="str">
        <f>_xlfn.XLOOKUP(I1525,Mapping!D:D,Mapping!E:E)</f>
        <v>Xưởng Sản Xuất</v>
      </c>
      <c r="C1525" s="167" t="str">
        <f>_xlfn.XLOOKUP(F1525,Mapping!A:A,Mapping!F:F)</f>
        <v>Lương Chính +T13</v>
      </c>
      <c r="D1525" s="173">
        <v>45900</v>
      </c>
      <c r="E1525" s="169" t="s">
        <v>998</v>
      </c>
      <c r="F1525" s="169" t="s">
        <v>420</v>
      </c>
      <c r="G1525" s="169" t="s">
        <v>286</v>
      </c>
      <c r="H1525" s="169" t="s">
        <v>402</v>
      </c>
      <c r="I1525" s="169" t="s">
        <v>403</v>
      </c>
      <c r="J1525" s="169" t="s">
        <v>999</v>
      </c>
      <c r="K1525" s="169" t="s">
        <v>996</v>
      </c>
      <c r="L1525" s="169" t="s">
        <v>956</v>
      </c>
      <c r="M1525" s="169" t="s">
        <v>281</v>
      </c>
      <c r="N1525" s="178">
        <v>112106973</v>
      </c>
      <c r="O1525" s="169" t="s">
        <v>1000</v>
      </c>
      <c r="P1525" s="169" t="s">
        <v>283</v>
      </c>
      <c r="Q1525" s="169" t="s">
        <v>284</v>
      </c>
      <c r="R1525" s="169" t="s">
        <v>283</v>
      </c>
      <c r="S1525" s="169" t="s">
        <v>283</v>
      </c>
      <c r="T1525" s="169">
        <v>0</v>
      </c>
    </row>
    <row r="1526" spans="1:20" x14ac:dyDescent="0.2">
      <c r="A1526" s="169" t="str">
        <f t="shared" si="2"/>
        <v>627</v>
      </c>
      <c r="B1526" s="167" t="str">
        <f>_xlfn.XLOOKUP(I1526,Mapping!D:D,Mapping!E:E)</f>
        <v>Xưởng Sản Xuất</v>
      </c>
      <c r="C1526" s="167" t="str">
        <f>_xlfn.XLOOKUP(F1526,Mapping!A:A,Mapping!F:F)</f>
        <v>Thưởng</v>
      </c>
      <c r="D1526" s="173">
        <v>45900</v>
      </c>
      <c r="E1526" s="169" t="s">
        <v>998</v>
      </c>
      <c r="F1526" s="169" t="s">
        <v>395</v>
      </c>
      <c r="G1526" s="169" t="s">
        <v>77</v>
      </c>
      <c r="H1526" s="169" t="s">
        <v>402</v>
      </c>
      <c r="I1526" s="169" t="s">
        <v>403</v>
      </c>
      <c r="J1526" s="169" t="s">
        <v>1001</v>
      </c>
      <c r="K1526" s="169" t="s">
        <v>996</v>
      </c>
      <c r="L1526" s="169" t="s">
        <v>956</v>
      </c>
      <c r="M1526" s="169" t="s">
        <v>281</v>
      </c>
      <c r="N1526" s="178">
        <v>32638786</v>
      </c>
      <c r="O1526" s="169" t="s">
        <v>1000</v>
      </c>
      <c r="P1526" s="169" t="s">
        <v>283</v>
      </c>
      <c r="Q1526" s="169" t="s">
        <v>284</v>
      </c>
      <c r="R1526" s="169" t="s">
        <v>283</v>
      </c>
      <c r="S1526" s="169" t="s">
        <v>283</v>
      </c>
      <c r="T1526" s="169">
        <v>0</v>
      </c>
    </row>
    <row r="1527" spans="1:20" x14ac:dyDescent="0.2">
      <c r="A1527" s="169" t="str">
        <f t="shared" si="2"/>
        <v>622</v>
      </c>
      <c r="B1527" s="167" t="str">
        <f>_xlfn.XLOOKUP(I1527,Mapping!D:D,Mapping!E:E)</f>
        <v>Xưởng Sản Xuất</v>
      </c>
      <c r="C1527" s="167" t="str">
        <f>_xlfn.XLOOKUP(F1527,Mapping!A:A,Mapping!F:F)</f>
        <v>Thưởng</v>
      </c>
      <c r="D1527" s="173">
        <v>45900</v>
      </c>
      <c r="E1527" s="169" t="s">
        <v>998</v>
      </c>
      <c r="F1527" s="169" t="s">
        <v>426</v>
      </c>
      <c r="G1527" s="169" t="s">
        <v>77</v>
      </c>
      <c r="H1527" s="169" t="s">
        <v>402</v>
      </c>
      <c r="I1527" s="169" t="s">
        <v>403</v>
      </c>
      <c r="J1527" s="169" t="s">
        <v>1001</v>
      </c>
      <c r="K1527" s="169" t="s">
        <v>996</v>
      </c>
      <c r="L1527" s="169" t="s">
        <v>956</v>
      </c>
      <c r="M1527" s="169" t="s">
        <v>281</v>
      </c>
      <c r="N1527" s="178">
        <v>25897889</v>
      </c>
      <c r="O1527" s="169" t="s">
        <v>1000</v>
      </c>
      <c r="P1527" s="169" t="s">
        <v>283</v>
      </c>
      <c r="Q1527" s="169" t="s">
        <v>284</v>
      </c>
      <c r="R1527" s="169" t="s">
        <v>283</v>
      </c>
      <c r="S1527" s="169" t="s">
        <v>283</v>
      </c>
      <c r="T1527" s="169">
        <v>0</v>
      </c>
    </row>
    <row r="1528" spans="1:20" x14ac:dyDescent="0.2">
      <c r="A1528" s="169" t="str">
        <f t="shared" si="2"/>
        <v>627</v>
      </c>
      <c r="B1528" s="167" t="str">
        <f>_xlfn.XLOOKUP(I1528,Mapping!D:D,Mapping!E:E)</f>
        <v>Xưởng Sản Xuất</v>
      </c>
      <c r="C1528" s="167" t="str">
        <f>_xlfn.XLOOKUP(F1528,Mapping!A:A,Mapping!F:F)</f>
        <v>Lương Chính +T13</v>
      </c>
      <c r="D1528" s="173">
        <v>45900</v>
      </c>
      <c r="E1528" s="169" t="s">
        <v>998</v>
      </c>
      <c r="F1528" s="169" t="s">
        <v>388</v>
      </c>
      <c r="G1528" s="169" t="s">
        <v>286</v>
      </c>
      <c r="H1528" s="169" t="s">
        <v>430</v>
      </c>
      <c r="I1528" s="169" t="s">
        <v>431</v>
      </c>
      <c r="J1528" s="169" t="s">
        <v>999</v>
      </c>
      <c r="K1528" s="169" t="s">
        <v>996</v>
      </c>
      <c r="L1528" s="169" t="s">
        <v>956</v>
      </c>
      <c r="M1528" s="169" t="s">
        <v>281</v>
      </c>
      <c r="N1528" s="178">
        <v>12865449</v>
      </c>
      <c r="O1528" s="169" t="s">
        <v>1000</v>
      </c>
      <c r="P1528" s="169" t="s">
        <v>283</v>
      </c>
      <c r="Q1528" s="169" t="s">
        <v>284</v>
      </c>
      <c r="R1528" s="169" t="s">
        <v>283</v>
      </c>
      <c r="S1528" s="169" t="s">
        <v>283</v>
      </c>
      <c r="T1528" s="169">
        <v>0</v>
      </c>
    </row>
    <row r="1529" spans="1:20" x14ac:dyDescent="0.2">
      <c r="A1529" s="169" t="str">
        <f t="shared" si="2"/>
        <v>622</v>
      </c>
      <c r="B1529" s="167" t="str">
        <f>_xlfn.XLOOKUP(I1529,Mapping!D:D,Mapping!E:E)</f>
        <v>Xưởng Sản Xuất</v>
      </c>
      <c r="C1529" s="167" t="str">
        <f>_xlfn.XLOOKUP(F1529,Mapping!A:A,Mapping!F:F)</f>
        <v>Lương Chính +T13</v>
      </c>
      <c r="D1529" s="173">
        <v>45900</v>
      </c>
      <c r="E1529" s="169" t="s">
        <v>998</v>
      </c>
      <c r="F1529" s="169" t="s">
        <v>420</v>
      </c>
      <c r="G1529" s="169" t="s">
        <v>286</v>
      </c>
      <c r="H1529" s="169" t="s">
        <v>430</v>
      </c>
      <c r="I1529" s="169" t="s">
        <v>431</v>
      </c>
      <c r="J1529" s="169" t="s">
        <v>999</v>
      </c>
      <c r="K1529" s="169" t="s">
        <v>996</v>
      </c>
      <c r="L1529" s="169" t="s">
        <v>956</v>
      </c>
      <c r="M1529" s="169" t="s">
        <v>281</v>
      </c>
      <c r="N1529" s="178">
        <v>19788116</v>
      </c>
      <c r="O1529" s="169" t="s">
        <v>1000</v>
      </c>
      <c r="P1529" s="169" t="s">
        <v>283</v>
      </c>
      <c r="Q1529" s="169" t="s">
        <v>284</v>
      </c>
      <c r="R1529" s="169" t="s">
        <v>283</v>
      </c>
      <c r="S1529" s="169" t="s">
        <v>283</v>
      </c>
      <c r="T1529" s="169">
        <v>0</v>
      </c>
    </row>
    <row r="1530" spans="1:20" x14ac:dyDescent="0.2">
      <c r="A1530" s="169" t="str">
        <f t="shared" si="2"/>
        <v>627</v>
      </c>
      <c r="B1530" s="167" t="str">
        <f>_xlfn.XLOOKUP(I1530,Mapping!D:D,Mapping!E:E)</f>
        <v>Xưởng Sản Xuất</v>
      </c>
      <c r="C1530" s="167" t="str">
        <f>_xlfn.XLOOKUP(F1530,Mapping!A:A,Mapping!F:F)</f>
        <v>Thưởng</v>
      </c>
      <c r="D1530" s="173">
        <v>45900</v>
      </c>
      <c r="E1530" s="169" t="s">
        <v>998</v>
      </c>
      <c r="F1530" s="169" t="s">
        <v>395</v>
      </c>
      <c r="G1530" s="169" t="s">
        <v>77</v>
      </c>
      <c r="H1530" s="169" t="s">
        <v>430</v>
      </c>
      <c r="I1530" s="169" t="s">
        <v>431</v>
      </c>
      <c r="J1530" s="169" t="s">
        <v>1001</v>
      </c>
      <c r="K1530" s="169" t="s">
        <v>996</v>
      </c>
      <c r="L1530" s="169" t="s">
        <v>956</v>
      </c>
      <c r="M1530" s="169" t="s">
        <v>281</v>
      </c>
      <c r="N1530" s="178">
        <v>11408821</v>
      </c>
      <c r="O1530" s="169" t="s">
        <v>1000</v>
      </c>
      <c r="P1530" s="169" t="s">
        <v>283</v>
      </c>
      <c r="Q1530" s="169" t="s">
        <v>284</v>
      </c>
      <c r="R1530" s="169" t="s">
        <v>283</v>
      </c>
      <c r="S1530" s="169" t="s">
        <v>283</v>
      </c>
      <c r="T1530" s="169">
        <v>0</v>
      </c>
    </row>
    <row r="1531" spans="1:20" x14ac:dyDescent="0.2">
      <c r="A1531" s="169" t="str">
        <f t="shared" si="2"/>
        <v>622</v>
      </c>
      <c r="B1531" s="167" t="str">
        <f>_xlfn.XLOOKUP(I1531,Mapping!D:D,Mapping!E:E)</f>
        <v>Xưởng Sản Xuất</v>
      </c>
      <c r="C1531" s="167" t="str">
        <f>_xlfn.XLOOKUP(F1531,Mapping!A:A,Mapping!F:F)</f>
        <v>Thưởng</v>
      </c>
      <c r="D1531" s="173">
        <v>45900</v>
      </c>
      <c r="E1531" s="169" t="s">
        <v>998</v>
      </c>
      <c r="F1531" s="169" t="s">
        <v>426</v>
      </c>
      <c r="G1531" s="169" t="s">
        <v>77</v>
      </c>
      <c r="H1531" s="169" t="s">
        <v>430</v>
      </c>
      <c r="I1531" s="169" t="s">
        <v>431</v>
      </c>
      <c r="J1531" s="169" t="s">
        <v>1001</v>
      </c>
      <c r="K1531" s="169" t="s">
        <v>996</v>
      </c>
      <c r="L1531" s="169" t="s">
        <v>956</v>
      </c>
      <c r="M1531" s="169" t="s">
        <v>281</v>
      </c>
      <c r="N1531" s="178">
        <v>5039508</v>
      </c>
      <c r="O1531" s="169" t="s">
        <v>1000</v>
      </c>
      <c r="P1531" s="169" t="s">
        <v>283</v>
      </c>
      <c r="Q1531" s="169" t="s">
        <v>284</v>
      </c>
      <c r="R1531" s="169" t="s">
        <v>283</v>
      </c>
      <c r="S1531" s="169" t="s">
        <v>283</v>
      </c>
      <c r="T1531" s="169">
        <v>0</v>
      </c>
    </row>
    <row r="1532" spans="1:20" x14ac:dyDescent="0.2">
      <c r="A1532" s="169" t="str">
        <f t="shared" si="2"/>
        <v>627</v>
      </c>
      <c r="B1532" s="167" t="str">
        <f>_xlfn.XLOOKUP(I1532,Mapping!D:D,Mapping!E:E)</f>
        <v>Xưởng Sản Xuất</v>
      </c>
      <c r="C1532" s="167" t="str">
        <f>_xlfn.XLOOKUP(F1532,Mapping!A:A,Mapping!F:F)</f>
        <v>Lương Chính +T13</v>
      </c>
      <c r="D1532" s="173">
        <v>45900</v>
      </c>
      <c r="E1532" s="169" t="s">
        <v>998</v>
      </c>
      <c r="F1532" s="169" t="s">
        <v>388</v>
      </c>
      <c r="G1532" s="169" t="s">
        <v>286</v>
      </c>
      <c r="H1532" s="169" t="s">
        <v>436</v>
      </c>
      <c r="I1532" s="169" t="s">
        <v>437</v>
      </c>
      <c r="J1532" s="169" t="s">
        <v>999</v>
      </c>
      <c r="K1532" s="169" t="s">
        <v>996</v>
      </c>
      <c r="L1532" s="169" t="s">
        <v>956</v>
      </c>
      <c r="M1532" s="169" t="s">
        <v>281</v>
      </c>
      <c r="N1532" s="178">
        <v>26702407</v>
      </c>
      <c r="O1532" s="169" t="s">
        <v>1000</v>
      </c>
      <c r="P1532" s="169" t="s">
        <v>283</v>
      </c>
      <c r="Q1532" s="169" t="s">
        <v>284</v>
      </c>
      <c r="R1532" s="169" t="s">
        <v>283</v>
      </c>
      <c r="S1532" s="169" t="s">
        <v>283</v>
      </c>
      <c r="T1532" s="169">
        <v>0</v>
      </c>
    </row>
    <row r="1533" spans="1:20" x14ac:dyDescent="0.2">
      <c r="A1533" s="169" t="str">
        <f t="shared" si="2"/>
        <v>627</v>
      </c>
      <c r="B1533" s="167" t="str">
        <f>_xlfn.XLOOKUP(I1533,Mapping!D:D,Mapping!E:E)</f>
        <v>Xưởng Sản Xuất</v>
      </c>
      <c r="C1533" s="167" t="str">
        <f>_xlfn.XLOOKUP(F1533,Mapping!A:A,Mapping!F:F)</f>
        <v>Thưởng</v>
      </c>
      <c r="D1533" s="173">
        <v>45900</v>
      </c>
      <c r="E1533" s="169" t="s">
        <v>998</v>
      </c>
      <c r="F1533" s="169" t="s">
        <v>395</v>
      </c>
      <c r="G1533" s="169" t="s">
        <v>77</v>
      </c>
      <c r="H1533" s="169" t="s">
        <v>436</v>
      </c>
      <c r="I1533" s="169" t="s">
        <v>437</v>
      </c>
      <c r="J1533" s="169" t="s">
        <v>1001</v>
      </c>
      <c r="K1533" s="169" t="s">
        <v>996</v>
      </c>
      <c r="L1533" s="169" t="s">
        <v>956</v>
      </c>
      <c r="M1533" s="169" t="s">
        <v>281</v>
      </c>
      <c r="N1533" s="178">
        <v>17005934</v>
      </c>
      <c r="O1533" s="169" t="s">
        <v>1000</v>
      </c>
      <c r="P1533" s="169" t="s">
        <v>283</v>
      </c>
      <c r="Q1533" s="169" t="s">
        <v>284</v>
      </c>
      <c r="R1533" s="169" t="s">
        <v>283</v>
      </c>
      <c r="S1533" s="169" t="s">
        <v>283</v>
      </c>
      <c r="T1533" s="169">
        <v>0</v>
      </c>
    </row>
    <row r="1534" spans="1:20" x14ac:dyDescent="0.2">
      <c r="A1534" s="169" t="str">
        <f t="shared" si="2"/>
        <v>642</v>
      </c>
      <c r="B1534" s="167" t="str">
        <f>_xlfn.XLOOKUP(I1534,Mapping!D:D,Mapping!E:E)</f>
        <v>Hành Chánh Nhân Sự</v>
      </c>
      <c r="C1534" s="167" t="str">
        <f>_xlfn.XLOOKUP(F1534,Mapping!A:A,Mapping!F:F)</f>
        <v>Lương Chính +T13</v>
      </c>
      <c r="D1534" s="173">
        <v>45900</v>
      </c>
      <c r="E1534" s="169" t="s">
        <v>998</v>
      </c>
      <c r="F1534" s="169" t="s">
        <v>285</v>
      </c>
      <c r="G1534" s="169" t="s">
        <v>286</v>
      </c>
      <c r="H1534" s="169" t="s">
        <v>382</v>
      </c>
      <c r="I1534" s="169" t="s">
        <v>200</v>
      </c>
      <c r="J1534" s="169" t="s">
        <v>999</v>
      </c>
      <c r="K1534" s="169" t="s">
        <v>996</v>
      </c>
      <c r="L1534" s="169" t="s">
        <v>956</v>
      </c>
      <c r="M1534" s="169" t="s">
        <v>281</v>
      </c>
      <c r="N1534" s="178">
        <v>6194250</v>
      </c>
      <c r="O1534" s="169" t="s">
        <v>1000</v>
      </c>
      <c r="P1534" s="169" t="s">
        <v>283</v>
      </c>
      <c r="Q1534" s="169" t="s">
        <v>284</v>
      </c>
      <c r="R1534" s="169" t="s">
        <v>283</v>
      </c>
      <c r="S1534" s="169" t="s">
        <v>283</v>
      </c>
      <c r="T1534" s="169">
        <v>0</v>
      </c>
    </row>
    <row r="1535" spans="1:20" x14ac:dyDescent="0.2">
      <c r="A1535" s="169" t="str">
        <f t="shared" si="2"/>
        <v>642</v>
      </c>
      <c r="B1535" s="167" t="str">
        <f>_xlfn.XLOOKUP(I1535,Mapping!D:D,Mapping!E:E)</f>
        <v>Hành Chánh Nhân Sự</v>
      </c>
      <c r="C1535" s="167" t="str">
        <f>_xlfn.XLOOKUP(F1535,Mapping!A:A,Mapping!F:F)</f>
        <v>Thưởng</v>
      </c>
      <c r="D1535" s="173">
        <v>45900</v>
      </c>
      <c r="E1535" s="169" t="s">
        <v>998</v>
      </c>
      <c r="F1535" s="169" t="s">
        <v>292</v>
      </c>
      <c r="G1535" s="169" t="s">
        <v>77</v>
      </c>
      <c r="H1535" s="169" t="s">
        <v>382</v>
      </c>
      <c r="I1535" s="169" t="s">
        <v>200</v>
      </c>
      <c r="J1535" s="169" t="s">
        <v>1001</v>
      </c>
      <c r="K1535" s="169" t="s">
        <v>996</v>
      </c>
      <c r="L1535" s="169" t="s">
        <v>956</v>
      </c>
      <c r="M1535" s="169" t="s">
        <v>281</v>
      </c>
      <c r="N1535" s="178">
        <v>5698660</v>
      </c>
      <c r="O1535" s="169" t="s">
        <v>1000</v>
      </c>
      <c r="P1535" s="169" t="s">
        <v>283</v>
      </c>
      <c r="Q1535" s="169" t="s">
        <v>284</v>
      </c>
      <c r="R1535" s="169" t="s">
        <v>283</v>
      </c>
      <c r="S1535" s="169" t="s">
        <v>283</v>
      </c>
      <c r="T1535" s="169">
        <v>0</v>
      </c>
    </row>
    <row r="1536" spans="1:20" x14ac:dyDescent="0.2">
      <c r="A1536" s="169" t="str">
        <f t="shared" si="2"/>
        <v>642</v>
      </c>
      <c r="B1536" s="167" t="str">
        <f>_xlfn.XLOOKUP(I1536,Mapping!D:D,Mapping!E:E)</f>
        <v>Hành Chánh Nhân Sự</v>
      </c>
      <c r="C1536" s="167" t="str">
        <f>_xlfn.XLOOKUP(F1536,Mapping!A:A,Mapping!F:F)</f>
        <v>Lương Chính +T13</v>
      </c>
      <c r="D1536" s="173">
        <v>45900</v>
      </c>
      <c r="E1536" s="169" t="s">
        <v>998</v>
      </c>
      <c r="F1536" s="169" t="s">
        <v>285</v>
      </c>
      <c r="G1536" s="169" t="s">
        <v>286</v>
      </c>
      <c r="H1536" s="169" t="s">
        <v>358</v>
      </c>
      <c r="I1536" s="169" t="s">
        <v>359</v>
      </c>
      <c r="J1536" s="169" t="s">
        <v>999</v>
      </c>
      <c r="K1536" s="169" t="s">
        <v>996</v>
      </c>
      <c r="L1536" s="169" t="s">
        <v>956</v>
      </c>
      <c r="M1536" s="169" t="s">
        <v>281</v>
      </c>
      <c r="N1536" s="178">
        <v>8468167</v>
      </c>
      <c r="O1536" s="169" t="s">
        <v>1000</v>
      </c>
      <c r="P1536" s="169" t="s">
        <v>283</v>
      </c>
      <c r="Q1536" s="169" t="s">
        <v>284</v>
      </c>
      <c r="R1536" s="169" t="s">
        <v>283</v>
      </c>
      <c r="S1536" s="169" t="s">
        <v>283</v>
      </c>
      <c r="T1536" s="169">
        <v>0</v>
      </c>
    </row>
    <row r="1537" spans="1:20" x14ac:dyDescent="0.2">
      <c r="A1537" s="169" t="str">
        <f t="shared" si="2"/>
        <v>642</v>
      </c>
      <c r="B1537" s="167" t="str">
        <f>_xlfn.XLOOKUP(I1537,Mapping!D:D,Mapping!E:E)</f>
        <v>Hành Chánh Nhân Sự</v>
      </c>
      <c r="C1537" s="167" t="str">
        <f>_xlfn.XLOOKUP(F1537,Mapping!A:A,Mapping!F:F)</f>
        <v>Thưởng</v>
      </c>
      <c r="D1537" s="173">
        <v>45900</v>
      </c>
      <c r="E1537" s="169" t="s">
        <v>998</v>
      </c>
      <c r="F1537" s="169" t="s">
        <v>292</v>
      </c>
      <c r="G1537" s="169" t="s">
        <v>77</v>
      </c>
      <c r="H1537" s="169" t="s">
        <v>358</v>
      </c>
      <c r="I1537" s="169" t="s">
        <v>359</v>
      </c>
      <c r="J1537" s="169" t="s">
        <v>1001</v>
      </c>
      <c r="K1537" s="169" t="s">
        <v>996</v>
      </c>
      <c r="L1537" s="169" t="s">
        <v>956</v>
      </c>
      <c r="M1537" s="169" t="s">
        <v>281</v>
      </c>
      <c r="N1537" s="178">
        <v>7790646</v>
      </c>
      <c r="O1537" s="169" t="s">
        <v>1000</v>
      </c>
      <c r="P1537" s="169" t="s">
        <v>283</v>
      </c>
      <c r="Q1537" s="169" t="s">
        <v>284</v>
      </c>
      <c r="R1537" s="169" t="s">
        <v>283</v>
      </c>
      <c r="S1537" s="169" t="s">
        <v>283</v>
      </c>
      <c r="T1537" s="169">
        <v>0</v>
      </c>
    </row>
    <row r="1538" spans="1:20" x14ac:dyDescent="0.2">
      <c r="A1538" s="169" t="str">
        <f t="shared" si="2"/>
        <v>622</v>
      </c>
      <c r="B1538" s="167" t="str">
        <f>_xlfn.XLOOKUP(I1538,Mapping!D:D,Mapping!E:E)</f>
        <v>Xưởng Sản Xuất</v>
      </c>
      <c r="C1538" s="167" t="str">
        <f>_xlfn.XLOOKUP(F1538,Mapping!A:A,Mapping!F:F)</f>
        <v>Lương Chính +T13</v>
      </c>
      <c r="D1538" s="173">
        <v>45900</v>
      </c>
      <c r="E1538" s="169" t="s">
        <v>998</v>
      </c>
      <c r="F1538" s="169" t="s">
        <v>420</v>
      </c>
      <c r="G1538" s="169" t="s">
        <v>286</v>
      </c>
      <c r="H1538" s="169" t="s">
        <v>441</v>
      </c>
      <c r="I1538" s="169" t="s">
        <v>442</v>
      </c>
      <c r="J1538" s="169" t="s">
        <v>999</v>
      </c>
      <c r="K1538" s="169" t="s">
        <v>996</v>
      </c>
      <c r="L1538" s="169" t="s">
        <v>956</v>
      </c>
      <c r="M1538" s="169" t="s">
        <v>281</v>
      </c>
      <c r="N1538" s="178">
        <v>531385</v>
      </c>
      <c r="O1538" s="169" t="s">
        <v>1000</v>
      </c>
      <c r="P1538" s="169" t="s">
        <v>283</v>
      </c>
      <c r="Q1538" s="169" t="s">
        <v>284</v>
      </c>
      <c r="R1538" s="169" t="s">
        <v>283</v>
      </c>
      <c r="S1538" s="169" t="s">
        <v>283</v>
      </c>
      <c r="T1538" s="169">
        <v>0</v>
      </c>
    </row>
    <row r="1539" spans="1:20" x14ac:dyDescent="0.2">
      <c r="A1539" s="169" t="str">
        <f t="shared" si="2"/>
        <v>622</v>
      </c>
      <c r="B1539" s="167" t="str">
        <f>_xlfn.XLOOKUP(I1539,Mapping!D:D,Mapping!E:E)</f>
        <v>Xưởng Sản Xuất</v>
      </c>
      <c r="C1539" s="167" t="str">
        <f>_xlfn.XLOOKUP(F1539,Mapping!A:A,Mapping!F:F)</f>
        <v>Thưởng</v>
      </c>
      <c r="D1539" s="173">
        <v>45900</v>
      </c>
      <c r="E1539" s="169" t="s">
        <v>998</v>
      </c>
      <c r="F1539" s="169" t="s">
        <v>426</v>
      </c>
      <c r="G1539" s="169" t="s">
        <v>77</v>
      </c>
      <c r="H1539" s="169" t="s">
        <v>441</v>
      </c>
      <c r="I1539" s="169" t="s">
        <v>442</v>
      </c>
      <c r="J1539" s="169" t="s">
        <v>1001</v>
      </c>
      <c r="K1539" s="169" t="s">
        <v>996</v>
      </c>
      <c r="L1539" s="169" t="s">
        <v>956</v>
      </c>
      <c r="M1539" s="169" t="s">
        <v>281</v>
      </c>
      <c r="N1539" s="178">
        <v>78876</v>
      </c>
      <c r="O1539" s="169" t="s">
        <v>1000</v>
      </c>
      <c r="P1539" s="169" t="s">
        <v>283</v>
      </c>
      <c r="Q1539" s="169" t="s">
        <v>284</v>
      </c>
      <c r="R1539" s="169" t="s">
        <v>283</v>
      </c>
      <c r="S1539" s="169" t="s">
        <v>283</v>
      </c>
      <c r="T1539" s="169">
        <v>0</v>
      </c>
    </row>
    <row r="1540" spans="1:20" x14ac:dyDescent="0.2">
      <c r="A1540" s="169" t="str">
        <f t="shared" si="2"/>
        <v>642</v>
      </c>
      <c r="B1540" s="167" t="str">
        <f>_xlfn.XLOOKUP(I1540,Mapping!D:D,Mapping!E:E)</f>
        <v>Ban Giám Đốc</v>
      </c>
      <c r="C1540" s="167" t="str">
        <f>_xlfn.XLOOKUP(F1540,Mapping!A:A,Mapping!F:F)</f>
        <v>BHXH, BHYT, KPCĐ</v>
      </c>
      <c r="D1540" s="173">
        <v>45900</v>
      </c>
      <c r="E1540" s="169" t="s">
        <v>1002</v>
      </c>
      <c r="F1540" s="169" t="s">
        <v>295</v>
      </c>
      <c r="G1540" s="169" t="s">
        <v>296</v>
      </c>
      <c r="H1540" s="169" t="s">
        <v>276</v>
      </c>
      <c r="I1540" s="169" t="s">
        <v>277</v>
      </c>
      <c r="J1540" s="169" t="s">
        <v>1003</v>
      </c>
      <c r="K1540" s="169" t="s">
        <v>996</v>
      </c>
      <c r="L1540" s="169" t="s">
        <v>956</v>
      </c>
      <c r="M1540" s="169" t="s">
        <v>281</v>
      </c>
      <c r="N1540" s="178">
        <v>123859950</v>
      </c>
      <c r="O1540" s="169" t="s">
        <v>1004</v>
      </c>
      <c r="P1540" s="169" t="s">
        <v>283</v>
      </c>
      <c r="Q1540" s="169" t="s">
        <v>284</v>
      </c>
      <c r="R1540" s="169" t="s">
        <v>283</v>
      </c>
      <c r="S1540" s="169" t="s">
        <v>283</v>
      </c>
      <c r="T1540" s="169">
        <v>0</v>
      </c>
    </row>
    <row r="1541" spans="1:20" x14ac:dyDescent="0.2">
      <c r="A1541" s="169" t="str">
        <f t="shared" si="2"/>
        <v>642</v>
      </c>
      <c r="B1541" s="167" t="str">
        <f>_xlfn.XLOOKUP(I1541,Mapping!D:D,Mapping!E:E)</f>
        <v>Văn Phòng Giám Đốc</v>
      </c>
      <c r="C1541" s="167" t="str">
        <f>_xlfn.XLOOKUP(F1541,Mapping!A:A,Mapping!F:F)</f>
        <v>BHXH, BHYT, KPCĐ</v>
      </c>
      <c r="D1541" s="173">
        <v>45900</v>
      </c>
      <c r="E1541" s="169" t="s">
        <v>1002</v>
      </c>
      <c r="F1541" s="169" t="s">
        <v>295</v>
      </c>
      <c r="G1541" s="169" t="s">
        <v>296</v>
      </c>
      <c r="H1541" s="169" t="s">
        <v>320</v>
      </c>
      <c r="I1541" s="169" t="s">
        <v>321</v>
      </c>
      <c r="J1541" s="169" t="s">
        <v>1003</v>
      </c>
      <c r="K1541" s="169" t="s">
        <v>996</v>
      </c>
      <c r="L1541" s="169" t="s">
        <v>956</v>
      </c>
      <c r="M1541" s="169" t="s">
        <v>281</v>
      </c>
      <c r="N1541" s="178">
        <v>25643750</v>
      </c>
      <c r="O1541" s="169" t="s">
        <v>1004</v>
      </c>
      <c r="P1541" s="169" t="s">
        <v>283</v>
      </c>
      <c r="Q1541" s="169" t="s">
        <v>284</v>
      </c>
      <c r="R1541" s="169" t="s">
        <v>283</v>
      </c>
      <c r="S1541" s="169" t="s">
        <v>283</v>
      </c>
      <c r="T1541" s="169">
        <v>0</v>
      </c>
    </row>
    <row r="1542" spans="1:20" x14ac:dyDescent="0.2">
      <c r="A1542" s="169" t="str">
        <f t="shared" si="2"/>
        <v>642</v>
      </c>
      <c r="B1542" s="167" t="str">
        <f>_xlfn.XLOOKUP(I1542,Mapping!D:D,Mapping!E:E)</f>
        <v>Hành Chánh Nhân Sự</v>
      </c>
      <c r="C1542" s="167" t="str">
        <f>_xlfn.XLOOKUP(F1542,Mapping!A:A,Mapping!F:F)</f>
        <v>BHXH, BHYT, KPCĐ</v>
      </c>
      <c r="D1542" s="173">
        <v>45900</v>
      </c>
      <c r="E1542" s="169" t="s">
        <v>1002</v>
      </c>
      <c r="F1542" s="169" t="s">
        <v>295</v>
      </c>
      <c r="G1542" s="169" t="s">
        <v>296</v>
      </c>
      <c r="H1542" s="169" t="s">
        <v>301</v>
      </c>
      <c r="I1542" s="169" t="s">
        <v>302</v>
      </c>
      <c r="J1542" s="169" t="s">
        <v>1003</v>
      </c>
      <c r="K1542" s="169" t="s">
        <v>996</v>
      </c>
      <c r="L1542" s="169" t="s">
        <v>956</v>
      </c>
      <c r="M1542" s="169" t="s">
        <v>281</v>
      </c>
      <c r="N1542" s="178">
        <v>104072265</v>
      </c>
      <c r="O1542" s="169" t="s">
        <v>1004</v>
      </c>
      <c r="P1542" s="169" t="s">
        <v>283</v>
      </c>
      <c r="Q1542" s="169" t="s">
        <v>284</v>
      </c>
      <c r="R1542" s="169" t="s">
        <v>283</v>
      </c>
      <c r="S1542" s="169" t="s">
        <v>283</v>
      </c>
      <c r="T1542" s="169">
        <v>0</v>
      </c>
    </row>
    <row r="1543" spans="1:20" x14ac:dyDescent="0.2">
      <c r="A1543" s="169" t="str">
        <f t="shared" si="2"/>
        <v>642</v>
      </c>
      <c r="B1543" s="167" t="str">
        <f>_xlfn.XLOOKUP(I1543,Mapping!D:D,Mapping!E:E)</f>
        <v>Kế Toán</v>
      </c>
      <c r="C1543" s="167" t="str">
        <f>_xlfn.XLOOKUP(F1543,Mapping!A:A,Mapping!F:F)</f>
        <v>BHXH, BHYT, KPCĐ</v>
      </c>
      <c r="D1543" s="173">
        <v>45900</v>
      </c>
      <c r="E1543" s="169" t="s">
        <v>1002</v>
      </c>
      <c r="F1543" s="169" t="s">
        <v>295</v>
      </c>
      <c r="G1543" s="169" t="s">
        <v>296</v>
      </c>
      <c r="H1543" s="169" t="s">
        <v>356</v>
      </c>
      <c r="I1543" s="169" t="s">
        <v>357</v>
      </c>
      <c r="J1543" s="169" t="s">
        <v>1003</v>
      </c>
      <c r="K1543" s="169" t="s">
        <v>996</v>
      </c>
      <c r="L1543" s="169" t="s">
        <v>956</v>
      </c>
      <c r="M1543" s="169" t="s">
        <v>281</v>
      </c>
      <c r="N1543" s="178">
        <v>100057535</v>
      </c>
      <c r="O1543" s="169" t="s">
        <v>1004</v>
      </c>
      <c r="P1543" s="169" t="s">
        <v>283</v>
      </c>
      <c r="Q1543" s="169" t="s">
        <v>284</v>
      </c>
      <c r="R1543" s="169" t="s">
        <v>283</v>
      </c>
      <c r="S1543" s="169" t="s">
        <v>283</v>
      </c>
      <c r="T1543" s="169">
        <v>0</v>
      </c>
    </row>
    <row r="1544" spans="1:20" x14ac:dyDescent="0.2">
      <c r="A1544" s="169" t="str">
        <f t="shared" si="2"/>
        <v>641</v>
      </c>
      <c r="B1544" s="167" t="str">
        <f>_xlfn.XLOOKUP(I1544,Mapping!D:D,Mapping!E:E)</f>
        <v>Kinh doanh</v>
      </c>
      <c r="C1544" s="167" t="str">
        <f>_xlfn.XLOOKUP(F1544,Mapping!A:A,Mapping!F:F)</f>
        <v>BHXH, BHYT, KPCĐ</v>
      </c>
      <c r="D1544" s="173">
        <v>45900</v>
      </c>
      <c r="E1544" s="169" t="s">
        <v>1002</v>
      </c>
      <c r="F1544" s="169" t="s">
        <v>392</v>
      </c>
      <c r="G1544" s="169" t="s">
        <v>296</v>
      </c>
      <c r="H1544" s="169" t="s">
        <v>366</v>
      </c>
      <c r="I1544" s="169" t="s">
        <v>1</v>
      </c>
      <c r="J1544" s="169" t="s">
        <v>1003</v>
      </c>
      <c r="K1544" s="169" t="s">
        <v>996</v>
      </c>
      <c r="L1544" s="169" t="s">
        <v>956</v>
      </c>
      <c r="M1544" s="169" t="s">
        <v>281</v>
      </c>
      <c r="N1544" s="178">
        <v>56494945</v>
      </c>
      <c r="O1544" s="169" t="s">
        <v>1004</v>
      </c>
      <c r="P1544" s="169" t="s">
        <v>283</v>
      </c>
      <c r="Q1544" s="169" t="s">
        <v>284</v>
      </c>
      <c r="R1544" s="169" t="s">
        <v>283</v>
      </c>
      <c r="S1544" s="169" t="s">
        <v>283</v>
      </c>
      <c r="T1544" s="169">
        <v>0</v>
      </c>
    </row>
    <row r="1545" spans="1:20" x14ac:dyDescent="0.2">
      <c r="A1545" s="169" t="str">
        <f t="shared" si="2"/>
        <v>642</v>
      </c>
      <c r="B1545" s="167" t="str">
        <f>_xlfn.XLOOKUP(I1545,Mapping!D:D,Mapping!E:E)</f>
        <v>Cung Ứng</v>
      </c>
      <c r="C1545" s="167" t="str">
        <f>_xlfn.XLOOKUP(F1545,Mapping!A:A,Mapping!F:F)</f>
        <v>BHXH, BHYT, KPCĐ</v>
      </c>
      <c r="D1545" s="173">
        <v>45900</v>
      </c>
      <c r="E1545" s="169" t="s">
        <v>1002</v>
      </c>
      <c r="F1545" s="169" t="s">
        <v>295</v>
      </c>
      <c r="G1545" s="169" t="s">
        <v>296</v>
      </c>
      <c r="H1545" s="169" t="s">
        <v>380</v>
      </c>
      <c r="I1545" s="169" t="s">
        <v>381</v>
      </c>
      <c r="J1545" s="169" t="s">
        <v>1003</v>
      </c>
      <c r="K1545" s="169" t="s">
        <v>996</v>
      </c>
      <c r="L1545" s="169" t="s">
        <v>956</v>
      </c>
      <c r="M1545" s="169" t="s">
        <v>281</v>
      </c>
      <c r="N1545" s="178">
        <v>111458385</v>
      </c>
      <c r="O1545" s="169" t="s">
        <v>1004</v>
      </c>
      <c r="P1545" s="169" t="s">
        <v>283</v>
      </c>
      <c r="Q1545" s="169" t="s">
        <v>284</v>
      </c>
      <c r="R1545" s="169" t="s">
        <v>283</v>
      </c>
      <c r="S1545" s="169" t="s">
        <v>283</v>
      </c>
      <c r="T1545" s="169">
        <v>0</v>
      </c>
    </row>
    <row r="1546" spans="1:20" x14ac:dyDescent="0.2">
      <c r="A1546" s="169" t="str">
        <f t="shared" si="2"/>
        <v>642</v>
      </c>
      <c r="B1546" s="167" t="str">
        <f>_xlfn.XLOOKUP(I1546,Mapping!D:D,Mapping!E:E)</f>
        <v>Mua Hàng &amp; XNK</v>
      </c>
      <c r="C1546" s="167" t="str">
        <f>_xlfn.XLOOKUP(F1546,Mapping!A:A,Mapping!F:F)</f>
        <v>BHXH, BHYT, KPCĐ</v>
      </c>
      <c r="D1546" s="173">
        <v>45900</v>
      </c>
      <c r="E1546" s="169" t="s">
        <v>1002</v>
      </c>
      <c r="F1546" s="169" t="s">
        <v>295</v>
      </c>
      <c r="G1546" s="169" t="s">
        <v>296</v>
      </c>
      <c r="H1546" s="169" t="s">
        <v>378</v>
      </c>
      <c r="I1546" s="169" t="s">
        <v>379</v>
      </c>
      <c r="J1546" s="169" t="s">
        <v>1003</v>
      </c>
      <c r="K1546" s="169" t="s">
        <v>996</v>
      </c>
      <c r="L1546" s="169" t="s">
        <v>956</v>
      </c>
      <c r="M1546" s="169" t="s">
        <v>281</v>
      </c>
      <c r="N1546" s="178">
        <v>30675255</v>
      </c>
      <c r="O1546" s="169" t="s">
        <v>1004</v>
      </c>
      <c r="P1546" s="169" t="s">
        <v>283</v>
      </c>
      <c r="Q1546" s="169" t="s">
        <v>284</v>
      </c>
      <c r="R1546" s="169" t="s">
        <v>283</v>
      </c>
      <c r="S1546" s="169" t="s">
        <v>283</v>
      </c>
      <c r="T1546" s="169">
        <v>0</v>
      </c>
    </row>
    <row r="1547" spans="1:20" x14ac:dyDescent="0.2">
      <c r="A1547" s="169" t="str">
        <f t="shared" si="2"/>
        <v>627</v>
      </c>
      <c r="B1547" s="167" t="str">
        <f>_xlfn.XLOOKUP(I1547,Mapping!D:D,Mapping!E:E)</f>
        <v>Kỹ Thuật</v>
      </c>
      <c r="C1547" s="167" t="str">
        <f>_xlfn.XLOOKUP(F1547,Mapping!A:A,Mapping!F:F)</f>
        <v>BHXH, BHYT, KPCĐ</v>
      </c>
      <c r="D1547" s="173">
        <v>45900</v>
      </c>
      <c r="E1547" s="169" t="s">
        <v>1002</v>
      </c>
      <c r="F1547" s="169" t="s">
        <v>393</v>
      </c>
      <c r="G1547" s="169" t="s">
        <v>296</v>
      </c>
      <c r="H1547" s="169" t="s">
        <v>376</v>
      </c>
      <c r="I1547" s="169" t="s">
        <v>377</v>
      </c>
      <c r="J1547" s="169" t="s">
        <v>1003</v>
      </c>
      <c r="K1547" s="169" t="s">
        <v>996</v>
      </c>
      <c r="L1547" s="169" t="s">
        <v>956</v>
      </c>
      <c r="M1547" s="169" t="s">
        <v>281</v>
      </c>
      <c r="N1547" s="178">
        <v>246678770</v>
      </c>
      <c r="O1547" s="169" t="s">
        <v>1004</v>
      </c>
      <c r="P1547" s="169" t="s">
        <v>283</v>
      </c>
      <c r="Q1547" s="169" t="s">
        <v>284</v>
      </c>
      <c r="R1547" s="169" t="s">
        <v>283</v>
      </c>
      <c r="S1547" s="169" t="s">
        <v>283</v>
      </c>
      <c r="T1547" s="169">
        <v>0</v>
      </c>
    </row>
    <row r="1548" spans="1:20" x14ac:dyDescent="0.2">
      <c r="A1548" s="169" t="str">
        <f t="shared" si="2"/>
        <v>627</v>
      </c>
      <c r="B1548" s="167" t="str">
        <f>_xlfn.XLOOKUP(I1548,Mapping!D:D,Mapping!E:E)</f>
        <v>Kiểm Soát Chất Lượng</v>
      </c>
      <c r="C1548" s="167" t="str">
        <f>_xlfn.XLOOKUP(F1548,Mapping!A:A,Mapping!F:F)</f>
        <v>BHXH, BHYT, KPCĐ</v>
      </c>
      <c r="D1548" s="173">
        <v>45900</v>
      </c>
      <c r="E1548" s="169" t="s">
        <v>1002</v>
      </c>
      <c r="F1548" s="169" t="s">
        <v>393</v>
      </c>
      <c r="G1548" s="169" t="s">
        <v>296</v>
      </c>
      <c r="H1548" s="169" t="s">
        <v>411</v>
      </c>
      <c r="I1548" s="169" t="s">
        <v>412</v>
      </c>
      <c r="J1548" s="169" t="s">
        <v>1003</v>
      </c>
      <c r="K1548" s="169" t="s">
        <v>996</v>
      </c>
      <c r="L1548" s="169" t="s">
        <v>956</v>
      </c>
      <c r="M1548" s="169" t="s">
        <v>281</v>
      </c>
      <c r="N1548" s="178">
        <v>104897655</v>
      </c>
      <c r="O1548" s="169" t="s">
        <v>1004</v>
      </c>
      <c r="P1548" s="169" t="s">
        <v>283</v>
      </c>
      <c r="Q1548" s="169" t="s">
        <v>284</v>
      </c>
      <c r="R1548" s="169" t="s">
        <v>283</v>
      </c>
      <c r="S1548" s="169" t="s">
        <v>283</v>
      </c>
      <c r="T1548" s="169">
        <v>0</v>
      </c>
    </row>
    <row r="1549" spans="1:20" x14ac:dyDescent="0.2">
      <c r="A1549" s="169" t="str">
        <f t="shared" si="2"/>
        <v>627</v>
      </c>
      <c r="B1549" s="167" t="str">
        <f>_xlfn.XLOOKUP(I1549,Mapping!D:D,Mapping!E:E)</f>
        <v>Nghiên Cứu &amp; Phát Triển</v>
      </c>
      <c r="C1549" s="167" t="str">
        <f>_xlfn.XLOOKUP(F1549,Mapping!A:A,Mapping!F:F)</f>
        <v>BHXH, BHYT, KPCĐ</v>
      </c>
      <c r="D1549" s="173">
        <v>45900</v>
      </c>
      <c r="E1549" s="169" t="s">
        <v>1002</v>
      </c>
      <c r="F1549" s="169" t="s">
        <v>393</v>
      </c>
      <c r="G1549" s="169" t="s">
        <v>296</v>
      </c>
      <c r="H1549" s="169" t="s">
        <v>418</v>
      </c>
      <c r="I1549" s="169" t="s">
        <v>419</v>
      </c>
      <c r="J1549" s="169" t="s">
        <v>1003</v>
      </c>
      <c r="K1549" s="169" t="s">
        <v>996</v>
      </c>
      <c r="L1549" s="169" t="s">
        <v>956</v>
      </c>
      <c r="M1549" s="169" t="s">
        <v>281</v>
      </c>
      <c r="N1549" s="178">
        <v>27507500</v>
      </c>
      <c r="O1549" s="169" t="s">
        <v>1004</v>
      </c>
      <c r="P1549" s="169" t="s">
        <v>283</v>
      </c>
      <c r="Q1549" s="169" t="s">
        <v>284</v>
      </c>
      <c r="R1549" s="169" t="s">
        <v>283</v>
      </c>
      <c r="S1549" s="169" t="s">
        <v>283</v>
      </c>
      <c r="T1549" s="169">
        <v>0</v>
      </c>
    </row>
    <row r="1550" spans="1:20" x14ac:dyDescent="0.2">
      <c r="A1550" s="169" t="str">
        <f t="shared" si="2"/>
        <v>622</v>
      </c>
      <c r="B1550" s="167" t="str">
        <f>_xlfn.XLOOKUP(I1550,Mapping!D:D,Mapping!E:E)</f>
        <v>Xưởng Sản Xuất</v>
      </c>
      <c r="C1550" s="167" t="str">
        <f>_xlfn.XLOOKUP(F1550,Mapping!A:A,Mapping!F:F)</f>
        <v>BHXH, BHYT, KPCĐ</v>
      </c>
      <c r="D1550" s="173">
        <v>45900</v>
      </c>
      <c r="E1550" s="169" t="s">
        <v>1002</v>
      </c>
      <c r="F1550" s="169" t="s">
        <v>425</v>
      </c>
      <c r="G1550" s="169" t="s">
        <v>296</v>
      </c>
      <c r="H1550" s="169" t="s">
        <v>402</v>
      </c>
      <c r="I1550" s="169" t="s">
        <v>403</v>
      </c>
      <c r="J1550" s="169" t="s">
        <v>1003</v>
      </c>
      <c r="K1550" s="169" t="s">
        <v>996</v>
      </c>
      <c r="L1550" s="169" t="s">
        <v>956</v>
      </c>
      <c r="M1550" s="169" t="s">
        <v>281</v>
      </c>
      <c r="N1550" s="178">
        <v>261770985</v>
      </c>
      <c r="O1550" s="169" t="s">
        <v>1004</v>
      </c>
      <c r="P1550" s="169" t="s">
        <v>283</v>
      </c>
      <c r="Q1550" s="169" t="s">
        <v>284</v>
      </c>
      <c r="R1550" s="169" t="s">
        <v>283</v>
      </c>
      <c r="S1550" s="169" t="s">
        <v>283</v>
      </c>
      <c r="T1550" s="169">
        <v>0</v>
      </c>
    </row>
    <row r="1551" spans="1:20" x14ac:dyDescent="0.2">
      <c r="A1551" s="169" t="str">
        <f t="shared" si="2"/>
        <v>627</v>
      </c>
      <c r="B1551" s="167" t="str">
        <f>_xlfn.XLOOKUP(I1551,Mapping!D:D,Mapping!E:E)</f>
        <v>Xưởng Sản Xuất</v>
      </c>
      <c r="C1551" s="167" t="str">
        <f>_xlfn.XLOOKUP(F1551,Mapping!A:A,Mapping!F:F)</f>
        <v>BHXH, BHYT, KPCĐ</v>
      </c>
      <c r="D1551" s="173">
        <v>45900</v>
      </c>
      <c r="E1551" s="169" t="s">
        <v>1002</v>
      </c>
      <c r="F1551" s="169" t="s">
        <v>393</v>
      </c>
      <c r="G1551" s="169" t="s">
        <v>296</v>
      </c>
      <c r="H1551" s="169" t="s">
        <v>402</v>
      </c>
      <c r="I1551" s="169" t="s">
        <v>403</v>
      </c>
      <c r="J1551" s="169" t="s">
        <v>1003</v>
      </c>
      <c r="K1551" s="169" t="s">
        <v>996</v>
      </c>
      <c r="L1551" s="169" t="s">
        <v>956</v>
      </c>
      <c r="M1551" s="169" t="s">
        <v>281</v>
      </c>
      <c r="N1551" s="178">
        <v>88264245</v>
      </c>
      <c r="O1551" s="169" t="s">
        <v>1004</v>
      </c>
      <c r="P1551" s="169" t="s">
        <v>283</v>
      </c>
      <c r="Q1551" s="169" t="s">
        <v>284</v>
      </c>
      <c r="R1551" s="169" t="s">
        <v>283</v>
      </c>
      <c r="S1551" s="169" t="s">
        <v>283</v>
      </c>
      <c r="T1551" s="169">
        <v>0</v>
      </c>
    </row>
    <row r="1552" spans="1:20" x14ac:dyDescent="0.2">
      <c r="A1552" s="169" t="str">
        <f t="shared" si="2"/>
        <v>622</v>
      </c>
      <c r="B1552" s="167" t="str">
        <f>_xlfn.XLOOKUP(I1552,Mapping!D:D,Mapping!E:E)</f>
        <v>Xưởng Sản Xuất</v>
      </c>
      <c r="C1552" s="167" t="str">
        <f>_xlfn.XLOOKUP(F1552,Mapping!A:A,Mapping!F:F)</f>
        <v>BHXH, BHYT, KPCĐ</v>
      </c>
      <c r="D1552" s="173">
        <v>45900</v>
      </c>
      <c r="E1552" s="169" t="s">
        <v>1002</v>
      </c>
      <c r="F1552" s="169" t="s">
        <v>425</v>
      </c>
      <c r="G1552" s="169" t="s">
        <v>296</v>
      </c>
      <c r="H1552" s="169" t="s">
        <v>430</v>
      </c>
      <c r="I1552" s="169" t="s">
        <v>431</v>
      </c>
      <c r="J1552" s="169" t="s">
        <v>1003</v>
      </c>
      <c r="K1552" s="169" t="s">
        <v>996</v>
      </c>
      <c r="L1552" s="169" t="s">
        <v>956</v>
      </c>
      <c r="M1552" s="169" t="s">
        <v>281</v>
      </c>
      <c r="N1552" s="178">
        <v>49169345</v>
      </c>
      <c r="O1552" s="169" t="s">
        <v>1004</v>
      </c>
      <c r="P1552" s="169" t="s">
        <v>283</v>
      </c>
      <c r="Q1552" s="169" t="s">
        <v>284</v>
      </c>
      <c r="R1552" s="169" t="s">
        <v>283</v>
      </c>
      <c r="S1552" s="169" t="s">
        <v>283</v>
      </c>
      <c r="T1552" s="169">
        <v>0</v>
      </c>
    </row>
    <row r="1553" spans="1:20" x14ac:dyDescent="0.2">
      <c r="A1553" s="169" t="str">
        <f t="shared" si="2"/>
        <v>627</v>
      </c>
      <c r="B1553" s="167" t="str">
        <f>_xlfn.XLOOKUP(I1553,Mapping!D:D,Mapping!E:E)</f>
        <v>Xưởng Sản Xuất</v>
      </c>
      <c r="C1553" s="167" t="str">
        <f>_xlfn.XLOOKUP(F1553,Mapping!A:A,Mapping!F:F)</f>
        <v>BHXH, BHYT, KPCĐ</v>
      </c>
      <c r="D1553" s="173">
        <v>45900</v>
      </c>
      <c r="E1553" s="169" t="s">
        <v>1002</v>
      </c>
      <c r="F1553" s="169" t="s">
        <v>393</v>
      </c>
      <c r="G1553" s="169" t="s">
        <v>296</v>
      </c>
      <c r="H1553" s="169" t="s">
        <v>430</v>
      </c>
      <c r="I1553" s="169" t="s">
        <v>431</v>
      </c>
      <c r="J1553" s="169" t="s">
        <v>1003</v>
      </c>
      <c r="K1553" s="169" t="s">
        <v>996</v>
      </c>
      <c r="L1553" s="169" t="s">
        <v>956</v>
      </c>
      <c r="M1553" s="169" t="s">
        <v>281</v>
      </c>
      <c r="N1553" s="178">
        <v>32155695</v>
      </c>
      <c r="O1553" s="169" t="s">
        <v>1004</v>
      </c>
      <c r="P1553" s="169" t="s">
        <v>283</v>
      </c>
      <c r="Q1553" s="169" t="s">
        <v>284</v>
      </c>
      <c r="R1553" s="169" t="s">
        <v>283</v>
      </c>
      <c r="S1553" s="169" t="s">
        <v>283</v>
      </c>
      <c r="T1553" s="169">
        <v>0</v>
      </c>
    </row>
    <row r="1554" spans="1:20" x14ac:dyDescent="0.2">
      <c r="A1554" s="169" t="str">
        <f t="shared" si="2"/>
        <v>627</v>
      </c>
      <c r="B1554" s="167" t="str">
        <f>_xlfn.XLOOKUP(I1554,Mapping!D:D,Mapping!E:E)</f>
        <v>Xưởng Sản Xuất</v>
      </c>
      <c r="C1554" s="167" t="str">
        <f>_xlfn.XLOOKUP(F1554,Mapping!A:A,Mapping!F:F)</f>
        <v>BHXH, BHYT, KPCĐ</v>
      </c>
      <c r="D1554" s="173">
        <v>45900</v>
      </c>
      <c r="E1554" s="169" t="s">
        <v>1002</v>
      </c>
      <c r="F1554" s="169" t="s">
        <v>393</v>
      </c>
      <c r="G1554" s="169" t="s">
        <v>296</v>
      </c>
      <c r="H1554" s="169" t="s">
        <v>436</v>
      </c>
      <c r="I1554" s="169" t="s">
        <v>437</v>
      </c>
      <c r="J1554" s="169" t="s">
        <v>1003</v>
      </c>
      <c r="K1554" s="169" t="s">
        <v>996</v>
      </c>
      <c r="L1554" s="169" t="s">
        <v>956</v>
      </c>
      <c r="M1554" s="169" t="s">
        <v>281</v>
      </c>
      <c r="N1554" s="178">
        <v>57097860</v>
      </c>
      <c r="O1554" s="169" t="s">
        <v>1004</v>
      </c>
      <c r="P1554" s="169" t="s">
        <v>283</v>
      </c>
      <c r="Q1554" s="169" t="s">
        <v>284</v>
      </c>
      <c r="R1554" s="169" t="s">
        <v>283</v>
      </c>
      <c r="S1554" s="169" t="s">
        <v>283</v>
      </c>
      <c r="T1554" s="169">
        <v>0</v>
      </c>
    </row>
    <row r="1555" spans="1:20" x14ac:dyDescent="0.2">
      <c r="A1555" s="169" t="str">
        <f t="shared" si="2"/>
        <v>642</v>
      </c>
      <c r="B1555" s="167" t="str">
        <f>_xlfn.XLOOKUP(I1555,Mapping!D:D,Mapping!E:E)</f>
        <v>Hành Chánh Nhân Sự</v>
      </c>
      <c r="C1555" s="167" t="str">
        <f>_xlfn.XLOOKUP(F1555,Mapping!A:A,Mapping!F:F)</f>
        <v>BHXH, BHYT, KPCĐ</v>
      </c>
      <c r="D1555" s="173">
        <v>45900</v>
      </c>
      <c r="E1555" s="169" t="s">
        <v>1002</v>
      </c>
      <c r="F1555" s="169" t="s">
        <v>295</v>
      </c>
      <c r="G1555" s="169" t="s">
        <v>296</v>
      </c>
      <c r="H1555" s="169" t="s">
        <v>382</v>
      </c>
      <c r="I1555" s="169" t="s">
        <v>200</v>
      </c>
      <c r="J1555" s="169" t="s">
        <v>1003</v>
      </c>
      <c r="K1555" s="169" t="s">
        <v>996</v>
      </c>
      <c r="L1555" s="169" t="s">
        <v>956</v>
      </c>
      <c r="M1555" s="169" t="s">
        <v>281</v>
      </c>
      <c r="N1555" s="178">
        <v>17467785</v>
      </c>
      <c r="O1555" s="169" t="s">
        <v>1004</v>
      </c>
      <c r="P1555" s="169" t="s">
        <v>283</v>
      </c>
      <c r="Q1555" s="169" t="s">
        <v>284</v>
      </c>
      <c r="R1555" s="169" t="s">
        <v>283</v>
      </c>
      <c r="S1555" s="169" t="s">
        <v>283</v>
      </c>
      <c r="T1555" s="169">
        <v>0</v>
      </c>
    </row>
    <row r="1556" spans="1:20" x14ac:dyDescent="0.2">
      <c r="A1556" s="169" t="str">
        <f t="shared" si="2"/>
        <v>642</v>
      </c>
      <c r="B1556" s="167" t="str">
        <f>_xlfn.XLOOKUP(I1556,Mapping!D:D,Mapping!E:E)</f>
        <v>Hành Chánh Nhân Sự</v>
      </c>
      <c r="C1556" s="167" t="str">
        <f>_xlfn.XLOOKUP(F1556,Mapping!A:A,Mapping!F:F)</f>
        <v>BHXH, BHYT, KPCĐ</v>
      </c>
      <c r="D1556" s="173">
        <v>45900</v>
      </c>
      <c r="E1556" s="169" t="s">
        <v>1002</v>
      </c>
      <c r="F1556" s="169" t="s">
        <v>295</v>
      </c>
      <c r="G1556" s="169" t="s">
        <v>296</v>
      </c>
      <c r="H1556" s="169" t="s">
        <v>358</v>
      </c>
      <c r="I1556" s="169" t="s">
        <v>359</v>
      </c>
      <c r="J1556" s="169" t="s">
        <v>1003</v>
      </c>
      <c r="K1556" s="169" t="s">
        <v>996</v>
      </c>
      <c r="L1556" s="169" t="s">
        <v>956</v>
      </c>
      <c r="M1556" s="169" t="s">
        <v>281</v>
      </c>
      <c r="N1556" s="178">
        <v>23880230</v>
      </c>
      <c r="O1556" s="169" t="s">
        <v>1004</v>
      </c>
      <c r="P1556" s="169" t="s">
        <v>283</v>
      </c>
      <c r="Q1556" s="169" t="s">
        <v>284</v>
      </c>
      <c r="R1556" s="169" t="s">
        <v>283</v>
      </c>
      <c r="S1556" s="169" t="s">
        <v>283</v>
      </c>
      <c r="T1556" s="169">
        <v>0</v>
      </c>
    </row>
    <row r="1557" spans="1:20" x14ac:dyDescent="0.2">
      <c r="A1557" s="169" t="str">
        <f t="shared" si="2"/>
        <v>622</v>
      </c>
      <c r="B1557" s="167" t="str">
        <f>_xlfn.XLOOKUP(I1557,Mapping!D:D,Mapping!E:E)</f>
        <v>Xưởng Sản Xuất</v>
      </c>
      <c r="C1557" s="167" t="str">
        <f>_xlfn.XLOOKUP(F1557,Mapping!A:A,Mapping!F:F)</f>
        <v>BHXH, BHYT, KPCĐ</v>
      </c>
      <c r="D1557" s="173">
        <v>45900</v>
      </c>
      <c r="E1557" s="169" t="s">
        <v>1002</v>
      </c>
      <c r="F1557" s="169" t="s">
        <v>425</v>
      </c>
      <c r="G1557" s="169" t="s">
        <v>296</v>
      </c>
      <c r="H1557" s="169" t="s">
        <v>441</v>
      </c>
      <c r="I1557" s="169" t="s">
        <v>442</v>
      </c>
      <c r="J1557" s="169" t="s">
        <v>1003</v>
      </c>
      <c r="K1557" s="169" t="s">
        <v>996</v>
      </c>
      <c r="L1557" s="169" t="s">
        <v>956</v>
      </c>
      <c r="M1557" s="169" t="s">
        <v>281</v>
      </c>
      <c r="N1557" s="178">
        <v>1308480</v>
      </c>
      <c r="O1557" s="169" t="s">
        <v>1004</v>
      </c>
      <c r="P1557" s="169" t="s">
        <v>283</v>
      </c>
      <c r="Q1557" s="169" t="s">
        <v>284</v>
      </c>
      <c r="R1557" s="169" t="s">
        <v>283</v>
      </c>
      <c r="S1557" s="169" t="s">
        <v>283</v>
      </c>
      <c r="T1557" s="169">
        <v>0</v>
      </c>
    </row>
    <row r="1558" spans="1:20" x14ac:dyDescent="0.2">
      <c r="A1558" s="169" t="str">
        <f t="shared" si="2"/>
        <v>642</v>
      </c>
      <c r="B1558" s="167" t="str">
        <f>_xlfn.XLOOKUP(I1558,Mapping!D:D,Mapping!E:E)</f>
        <v>Hành Chánh Nhân Sự</v>
      </c>
      <c r="C1558" s="167" t="str">
        <f>_xlfn.XLOOKUP(F1558,Mapping!A:A,Mapping!F:F)</f>
        <v>Lương Chính +T13</v>
      </c>
      <c r="D1558" s="173">
        <v>45900</v>
      </c>
      <c r="E1558" s="169" t="s">
        <v>1005</v>
      </c>
      <c r="F1558" s="169" t="s">
        <v>274</v>
      </c>
      <c r="G1558" s="169" t="s">
        <v>275</v>
      </c>
      <c r="H1558" s="169" t="s">
        <v>301</v>
      </c>
      <c r="I1558" s="169" t="s">
        <v>302</v>
      </c>
      <c r="J1558" s="169" t="s">
        <v>1006</v>
      </c>
      <c r="K1558" s="169" t="s">
        <v>328</v>
      </c>
      <c r="L1558" s="169" t="s">
        <v>956</v>
      </c>
      <c r="M1558" s="169" t="s">
        <v>281</v>
      </c>
      <c r="N1558" s="178">
        <v>96820000</v>
      </c>
      <c r="O1558" s="169" t="s">
        <v>1007</v>
      </c>
      <c r="P1558" s="169" t="s">
        <v>283</v>
      </c>
      <c r="Q1558" s="169" t="s">
        <v>306</v>
      </c>
      <c r="R1558" s="169" t="s">
        <v>283</v>
      </c>
      <c r="S1558" s="169" t="s">
        <v>283</v>
      </c>
      <c r="T1558" s="169">
        <v>0</v>
      </c>
    </row>
    <row r="1559" spans="1:20" x14ac:dyDescent="0.2">
      <c r="A1559" s="169" t="str">
        <f t="shared" si="2"/>
        <v>642</v>
      </c>
      <c r="B1559" s="167" t="str">
        <f>_xlfn.XLOOKUP(I1559,Mapping!D:D,Mapping!E:E)</f>
        <v>Hành Chánh Nhân Sự</v>
      </c>
      <c r="C1559" s="167" t="str">
        <f>_xlfn.XLOOKUP(F1559,Mapping!A:A,Mapping!F:F)</f>
        <v>Khen thưởng BD khác</v>
      </c>
      <c r="D1559" s="173">
        <v>45899</v>
      </c>
      <c r="E1559" s="169" t="s">
        <v>1008</v>
      </c>
      <c r="F1559" s="169" t="s">
        <v>300</v>
      </c>
      <c r="G1559" s="169" t="s">
        <v>222</v>
      </c>
      <c r="H1559" s="169" t="s">
        <v>301</v>
      </c>
      <c r="I1559" s="169" t="s">
        <v>302</v>
      </c>
      <c r="J1559" s="169" t="s">
        <v>1009</v>
      </c>
      <c r="K1559" s="169" t="s">
        <v>1010</v>
      </c>
      <c r="L1559" s="169" t="s">
        <v>956</v>
      </c>
      <c r="M1559" s="169" t="s">
        <v>281</v>
      </c>
      <c r="N1559" s="178">
        <v>6000000</v>
      </c>
      <c r="O1559" s="169" t="s">
        <v>1011</v>
      </c>
      <c r="P1559" s="169" t="s">
        <v>283</v>
      </c>
      <c r="Q1559" s="169" t="s">
        <v>306</v>
      </c>
      <c r="R1559" s="169" t="s">
        <v>283</v>
      </c>
      <c r="S1559" s="169" t="s">
        <v>283</v>
      </c>
      <c r="T1559" s="169">
        <v>0</v>
      </c>
    </row>
    <row r="1560" spans="1:20" x14ac:dyDescent="0.2">
      <c r="A1560" s="169" t="str">
        <f t="shared" si="2"/>
        <v>627</v>
      </c>
      <c r="B1560" s="167" t="str">
        <f>_xlfn.XLOOKUP(I1560,Mapping!D:D,Mapping!E:E)</f>
        <v>Kiểm Soát Chất Lượng</v>
      </c>
      <c r="C1560" s="167" t="str">
        <f>_xlfn.XLOOKUP(F1560,Mapping!A:A,Mapping!F:F)</f>
        <v>BHXH, BHYT, KPCĐ</v>
      </c>
      <c r="D1560" s="173">
        <v>45900</v>
      </c>
      <c r="E1560" s="169" t="s">
        <v>1012</v>
      </c>
      <c r="F1560" s="169" t="s">
        <v>393</v>
      </c>
      <c r="G1560" s="169" t="s">
        <v>296</v>
      </c>
      <c r="H1560" s="169" t="s">
        <v>411</v>
      </c>
      <c r="I1560" s="169" t="s">
        <v>412</v>
      </c>
      <c r="J1560" s="169" t="s">
        <v>1003</v>
      </c>
      <c r="K1560" s="169" t="s">
        <v>996</v>
      </c>
      <c r="L1560" s="169" t="s">
        <v>956</v>
      </c>
      <c r="M1560" s="169" t="s">
        <v>281</v>
      </c>
      <c r="N1560" s="178">
        <v>1527500</v>
      </c>
      <c r="O1560" s="169" t="s">
        <v>1013</v>
      </c>
      <c r="P1560" s="169" t="s">
        <v>283</v>
      </c>
      <c r="Q1560" s="169" t="s">
        <v>284</v>
      </c>
      <c r="R1560" s="169" t="s">
        <v>283</v>
      </c>
      <c r="S1560" s="169" t="s">
        <v>283</v>
      </c>
      <c r="T1560" s="169">
        <v>0</v>
      </c>
    </row>
    <row r="1561" spans="1:20" x14ac:dyDescent="0.2">
      <c r="A1561" s="169" t="str">
        <f t="shared" si="2"/>
        <v>627</v>
      </c>
      <c r="B1561" s="167" t="str">
        <f>_xlfn.XLOOKUP(I1561,Mapping!D:D,Mapping!E:E)</f>
        <v>Xưởng Sản Xuất</v>
      </c>
      <c r="C1561" s="167" t="str">
        <f>_xlfn.XLOOKUP(F1561,Mapping!A:A,Mapping!F:F)</f>
        <v>BHXH, BHYT, KPCĐ</v>
      </c>
      <c r="D1561" s="173">
        <v>45900</v>
      </c>
      <c r="E1561" s="169" t="s">
        <v>1012</v>
      </c>
      <c r="F1561" s="169" t="s">
        <v>393</v>
      </c>
      <c r="G1561" s="169" t="s">
        <v>296</v>
      </c>
      <c r="H1561" s="169" t="s">
        <v>436</v>
      </c>
      <c r="I1561" s="169" t="s">
        <v>437</v>
      </c>
      <c r="J1561" s="169" t="s">
        <v>1003</v>
      </c>
      <c r="K1561" s="169" t="s">
        <v>996</v>
      </c>
      <c r="L1561" s="169" t="s">
        <v>956</v>
      </c>
      <c r="M1561" s="169" t="s">
        <v>281</v>
      </c>
      <c r="N1561" s="178">
        <v>1198500</v>
      </c>
      <c r="O1561" s="169" t="s">
        <v>1013</v>
      </c>
      <c r="P1561" s="169" t="s">
        <v>283</v>
      </c>
      <c r="Q1561" s="169" t="s">
        <v>284</v>
      </c>
      <c r="R1561" s="169" t="s">
        <v>283</v>
      </c>
      <c r="S1561" s="169" t="s">
        <v>283</v>
      </c>
      <c r="T1561" s="169">
        <v>0</v>
      </c>
    </row>
    <row r="1562" spans="1:20" x14ac:dyDescent="0.2">
      <c r="A1562" s="169" t="str">
        <f t="shared" si="2"/>
        <v>622</v>
      </c>
      <c r="B1562" s="167" t="str">
        <f>_xlfn.XLOOKUP(I1562,Mapping!D:D,Mapping!E:E)</f>
        <v>Xưởng Sản Xuất</v>
      </c>
      <c r="C1562" s="167" t="str">
        <f>_xlfn.XLOOKUP(F1562,Mapping!A:A,Mapping!F:F)</f>
        <v>BHXH, BHYT, KPCĐ</v>
      </c>
      <c r="D1562" s="173">
        <v>45900</v>
      </c>
      <c r="E1562" s="169" t="s">
        <v>1012</v>
      </c>
      <c r="F1562" s="169" t="s">
        <v>425</v>
      </c>
      <c r="G1562" s="169" t="s">
        <v>296</v>
      </c>
      <c r="H1562" s="169" t="s">
        <v>430</v>
      </c>
      <c r="I1562" s="169" t="s">
        <v>431</v>
      </c>
      <c r="J1562" s="169" t="s">
        <v>1003</v>
      </c>
      <c r="K1562" s="169" t="s">
        <v>996</v>
      </c>
      <c r="L1562" s="169" t="s">
        <v>956</v>
      </c>
      <c r="M1562" s="169" t="s">
        <v>281</v>
      </c>
      <c r="N1562" s="178">
        <v>1198500</v>
      </c>
      <c r="O1562" s="169" t="s">
        <v>1013</v>
      </c>
      <c r="P1562" s="169" t="s">
        <v>283</v>
      </c>
      <c r="Q1562" s="169" t="s">
        <v>284</v>
      </c>
      <c r="R1562" s="169" t="s">
        <v>283</v>
      </c>
      <c r="S1562" s="169" t="s">
        <v>283</v>
      </c>
      <c r="T1562" s="169">
        <v>0</v>
      </c>
    </row>
    <row r="1563" spans="1:20" x14ac:dyDescent="0.2">
      <c r="A1563" s="169" t="str">
        <f t="shared" si="2"/>
        <v>627</v>
      </c>
      <c r="B1563" s="167" t="str">
        <f>_xlfn.XLOOKUP(I1563,Mapping!D:D,Mapping!E:E)</f>
        <v>Xưởng Sản Xuất</v>
      </c>
      <c r="C1563" s="167" t="str">
        <f>_xlfn.XLOOKUP(F1563,Mapping!A:A,Mapping!F:F)</f>
        <v>Lương Chính +T13</v>
      </c>
      <c r="D1563" s="173">
        <v>45900</v>
      </c>
      <c r="E1563" s="169" t="s">
        <v>1014</v>
      </c>
      <c r="F1563" s="169" t="s">
        <v>387</v>
      </c>
      <c r="G1563" s="169" t="s">
        <v>275</v>
      </c>
      <c r="H1563" s="169" t="s">
        <v>402</v>
      </c>
      <c r="I1563" s="169" t="s">
        <v>403</v>
      </c>
      <c r="J1563" s="169" t="s">
        <v>1015</v>
      </c>
      <c r="K1563" s="169" t="s">
        <v>996</v>
      </c>
      <c r="L1563" s="169" t="s">
        <v>956</v>
      </c>
      <c r="M1563" s="169" t="s">
        <v>281</v>
      </c>
      <c r="N1563" s="178">
        <v>1592167</v>
      </c>
      <c r="O1563" s="169" t="s">
        <v>1016</v>
      </c>
      <c r="P1563" s="169" t="s">
        <v>283</v>
      </c>
      <c r="Q1563" s="169" t="s">
        <v>284</v>
      </c>
      <c r="R1563" s="169" t="s">
        <v>283</v>
      </c>
      <c r="S1563" s="169" t="s">
        <v>283</v>
      </c>
      <c r="T1563" s="169">
        <v>0</v>
      </c>
    </row>
    <row r="1564" spans="1:20" x14ac:dyDescent="0.2">
      <c r="A1564" s="169" t="str">
        <f t="shared" si="2"/>
        <v>627</v>
      </c>
      <c r="B1564" s="167" t="str">
        <f>_xlfn.XLOOKUP(I1564,Mapping!D:D,Mapping!E:E)</f>
        <v>Xưởng Sản Xuất</v>
      </c>
      <c r="C1564" s="167" t="str">
        <f>_xlfn.XLOOKUP(F1564,Mapping!A:A,Mapping!F:F)</f>
        <v>Lương Chính +T13</v>
      </c>
      <c r="D1564" s="173">
        <v>45900</v>
      </c>
      <c r="E1564" s="169" t="s">
        <v>1014</v>
      </c>
      <c r="F1564" s="169" t="s">
        <v>387</v>
      </c>
      <c r="G1564" s="169" t="s">
        <v>275</v>
      </c>
      <c r="H1564" s="169" t="s">
        <v>436</v>
      </c>
      <c r="I1564" s="169" t="s">
        <v>437</v>
      </c>
      <c r="J1564" s="169" t="s">
        <v>995</v>
      </c>
      <c r="K1564" s="169" t="s">
        <v>996</v>
      </c>
      <c r="L1564" s="169" t="s">
        <v>956</v>
      </c>
      <c r="M1564" s="169" t="s">
        <v>281</v>
      </c>
      <c r="N1564" s="178">
        <v>1375750</v>
      </c>
      <c r="O1564" s="169" t="s">
        <v>1016</v>
      </c>
      <c r="P1564" s="169" t="s">
        <v>283</v>
      </c>
      <c r="Q1564" s="169" t="s">
        <v>284</v>
      </c>
      <c r="R1564" s="169" t="s">
        <v>283</v>
      </c>
      <c r="S1564" s="169" t="s">
        <v>283</v>
      </c>
      <c r="T1564" s="169">
        <v>0</v>
      </c>
    </row>
    <row r="1565" spans="1:20" x14ac:dyDescent="0.2">
      <c r="A1565" s="169" t="str">
        <f t="shared" si="2"/>
        <v>622</v>
      </c>
      <c r="B1565" s="167" t="str">
        <f>_xlfn.XLOOKUP(I1565,Mapping!D:D,Mapping!E:E)</f>
        <v>Xưởng Sản Xuất</v>
      </c>
      <c r="C1565" s="167" t="str">
        <f>_xlfn.XLOOKUP(F1565,Mapping!A:A,Mapping!F:F)</f>
        <v>Lương Chính +T13</v>
      </c>
      <c r="D1565" s="173">
        <v>45900</v>
      </c>
      <c r="E1565" s="169" t="s">
        <v>1014</v>
      </c>
      <c r="F1565" s="169" t="s">
        <v>400</v>
      </c>
      <c r="G1565" s="169" t="s">
        <v>401</v>
      </c>
      <c r="H1565" s="169" t="s">
        <v>402</v>
      </c>
      <c r="I1565" s="169" t="s">
        <v>403</v>
      </c>
      <c r="J1565" s="169" t="s">
        <v>995</v>
      </c>
      <c r="K1565" s="169" t="s">
        <v>996</v>
      </c>
      <c r="L1565" s="169" t="s">
        <v>956</v>
      </c>
      <c r="M1565" s="169" t="s">
        <v>281</v>
      </c>
      <c r="N1565" s="178">
        <v>5497750</v>
      </c>
      <c r="O1565" s="169" t="s">
        <v>1016</v>
      </c>
      <c r="P1565" s="169" t="s">
        <v>283</v>
      </c>
      <c r="Q1565" s="169" t="s">
        <v>284</v>
      </c>
      <c r="R1565" s="169" t="s">
        <v>283</v>
      </c>
      <c r="S1565" s="169" t="s">
        <v>283</v>
      </c>
      <c r="T1565" s="169">
        <v>0</v>
      </c>
    </row>
    <row r="1566" spans="1:20" x14ac:dyDescent="0.2">
      <c r="A1566" s="169" t="str">
        <f t="shared" si="2"/>
        <v>642</v>
      </c>
      <c r="B1566" s="167" t="str">
        <f>_xlfn.XLOOKUP(I1566,Mapping!D:D,Mapping!E:E)</f>
        <v>Ban Giám Đốc</v>
      </c>
      <c r="C1566" s="167" t="str">
        <f>_xlfn.XLOOKUP(F1566,Mapping!A:A,Mapping!F:F)</f>
        <v>Lương Chính +T13</v>
      </c>
      <c r="D1566" s="173">
        <v>45900</v>
      </c>
      <c r="E1566" s="169" t="s">
        <v>1014</v>
      </c>
      <c r="F1566" s="169" t="s">
        <v>274</v>
      </c>
      <c r="G1566" s="169" t="s">
        <v>275</v>
      </c>
      <c r="H1566" s="169" t="s">
        <v>276</v>
      </c>
      <c r="I1566" s="169" t="s">
        <v>277</v>
      </c>
      <c r="J1566" s="169" t="s">
        <v>995</v>
      </c>
      <c r="K1566" s="169" t="s">
        <v>996</v>
      </c>
      <c r="L1566" s="169" t="s">
        <v>956</v>
      </c>
      <c r="M1566" s="169" t="s">
        <v>281</v>
      </c>
      <c r="N1566" s="178">
        <v>17251500</v>
      </c>
      <c r="O1566" s="169" t="s">
        <v>1016</v>
      </c>
      <c r="P1566" s="169" t="s">
        <v>283</v>
      </c>
      <c r="Q1566" s="169" t="s">
        <v>284</v>
      </c>
      <c r="R1566" s="169" t="s">
        <v>283</v>
      </c>
      <c r="S1566" s="169" t="s">
        <v>283</v>
      </c>
      <c r="T1566" s="169">
        <v>0</v>
      </c>
    </row>
    <row r="1567" spans="1:20" x14ac:dyDescent="0.2">
      <c r="A1567" s="169" t="str">
        <f t="shared" si="2"/>
        <v>642</v>
      </c>
      <c r="B1567" s="167" t="str">
        <f>_xlfn.XLOOKUP(I1567,Mapping!D:D,Mapping!E:E)</f>
        <v>Hành Chánh Nhân Sự</v>
      </c>
      <c r="C1567" s="167" t="str">
        <f>_xlfn.XLOOKUP(F1567,Mapping!A:A,Mapping!F:F)</f>
        <v>Lương Chính +T13</v>
      </c>
      <c r="D1567" s="173">
        <v>45900</v>
      </c>
      <c r="E1567" s="169" t="s">
        <v>1014</v>
      </c>
      <c r="F1567" s="169" t="s">
        <v>274</v>
      </c>
      <c r="G1567" s="169" t="s">
        <v>275</v>
      </c>
      <c r="H1567" s="169" t="s">
        <v>301</v>
      </c>
      <c r="I1567" s="169" t="s">
        <v>302</v>
      </c>
      <c r="J1567" s="169" t="s">
        <v>995</v>
      </c>
      <c r="K1567" s="169" t="s">
        <v>996</v>
      </c>
      <c r="L1567" s="169" t="s">
        <v>956</v>
      </c>
      <c r="M1567" s="169" t="s">
        <v>281</v>
      </c>
      <c r="N1567" s="178">
        <v>1432500</v>
      </c>
      <c r="O1567" s="169" t="s">
        <v>1016</v>
      </c>
      <c r="P1567" s="169" t="s">
        <v>283</v>
      </c>
      <c r="Q1567" s="169" t="s">
        <v>284</v>
      </c>
      <c r="R1567" s="169" t="s">
        <v>283</v>
      </c>
      <c r="S1567" s="169" t="s">
        <v>283</v>
      </c>
      <c r="T1567" s="169">
        <v>0</v>
      </c>
    </row>
    <row r="1568" spans="1:20" x14ac:dyDescent="0.2">
      <c r="A1568" s="169" t="str">
        <f t="shared" si="2"/>
        <v>642</v>
      </c>
      <c r="B1568" s="167" t="str">
        <f>_xlfn.XLOOKUP(I1568,Mapping!D:D,Mapping!E:E)</f>
        <v>Ban Giám Đốc</v>
      </c>
      <c r="C1568" s="167" t="str">
        <f>_xlfn.XLOOKUP(F1568,Mapping!A:A,Mapping!F:F)</f>
        <v>BHXH, BHYT, KPCĐ</v>
      </c>
      <c r="D1568" s="173">
        <v>45900</v>
      </c>
      <c r="E1568" s="169" t="s">
        <v>1017</v>
      </c>
      <c r="F1568" s="169" t="s">
        <v>295</v>
      </c>
      <c r="G1568" s="169" t="s">
        <v>296</v>
      </c>
      <c r="H1568" s="169" t="s">
        <v>276</v>
      </c>
      <c r="I1568" s="169" t="s">
        <v>277</v>
      </c>
      <c r="J1568" s="169" t="s">
        <v>1003</v>
      </c>
      <c r="K1568" s="169" t="s">
        <v>996</v>
      </c>
      <c r="L1568" s="169" t="s">
        <v>956</v>
      </c>
      <c r="M1568" s="169" t="s">
        <v>281</v>
      </c>
      <c r="N1568" s="178">
        <v>2106000</v>
      </c>
      <c r="O1568" s="169" t="s">
        <v>1018</v>
      </c>
      <c r="P1568" s="169" t="s">
        <v>283</v>
      </c>
      <c r="Q1568" s="169" t="s">
        <v>284</v>
      </c>
      <c r="R1568" s="169" t="s">
        <v>283</v>
      </c>
      <c r="S1568" s="169" t="s">
        <v>283</v>
      </c>
      <c r="T1568" s="169">
        <v>0</v>
      </c>
    </row>
    <row r="1569" spans="1:20" x14ac:dyDescent="0.2">
      <c r="A1569" s="169" t="str">
        <f t="shared" si="2"/>
        <v>642</v>
      </c>
      <c r="B1569" s="167" t="str">
        <f>_xlfn.XLOOKUP(I1569,Mapping!D:D,Mapping!E:E)</f>
        <v>Hành Chánh Nhân Sự</v>
      </c>
      <c r="C1569" s="167" t="str">
        <f>_xlfn.XLOOKUP(F1569,Mapping!A:A,Mapping!F:F)</f>
        <v>BHXH, BHYT, KPCĐ</v>
      </c>
      <c r="D1569" s="173">
        <v>45900</v>
      </c>
      <c r="E1569" s="169" t="s">
        <v>1017</v>
      </c>
      <c r="F1569" s="169" t="s">
        <v>295</v>
      </c>
      <c r="G1569" s="169" t="s">
        <v>296</v>
      </c>
      <c r="H1569" s="169" t="s">
        <v>301</v>
      </c>
      <c r="I1569" s="169" t="s">
        <v>302</v>
      </c>
      <c r="J1569" s="169" t="s">
        <v>1003</v>
      </c>
      <c r="K1569" s="169" t="s">
        <v>996</v>
      </c>
      <c r="L1569" s="169" t="s">
        <v>956</v>
      </c>
      <c r="M1569" s="169" t="s">
        <v>281</v>
      </c>
      <c r="N1569" s="178">
        <v>257850</v>
      </c>
      <c r="O1569" s="169" t="s">
        <v>1018</v>
      </c>
      <c r="P1569" s="169" t="s">
        <v>283</v>
      </c>
      <c r="Q1569" s="169" t="s">
        <v>284</v>
      </c>
      <c r="R1569" s="169" t="s">
        <v>283</v>
      </c>
      <c r="S1569" s="169" t="s">
        <v>283</v>
      </c>
      <c r="T1569" s="169">
        <v>0</v>
      </c>
    </row>
    <row r="1570" spans="1:20" x14ac:dyDescent="0.2">
      <c r="A1570" s="169" t="str">
        <f t="shared" si="2"/>
        <v>627</v>
      </c>
      <c r="B1570" s="167" t="str">
        <f>_xlfn.XLOOKUP(I1570,Mapping!D:D,Mapping!E:E)</f>
        <v>Kiểm Soát Chất Lượng</v>
      </c>
      <c r="C1570" s="167" t="str">
        <f>_xlfn.XLOOKUP(F1570,Mapping!A:A,Mapping!F:F)</f>
        <v>BHXH, BHYT, KPCĐ</v>
      </c>
      <c r="D1570" s="173">
        <v>45900</v>
      </c>
      <c r="E1570" s="169" t="s">
        <v>1017</v>
      </c>
      <c r="F1570" s="169" t="s">
        <v>393</v>
      </c>
      <c r="G1570" s="169" t="s">
        <v>296</v>
      </c>
      <c r="H1570" s="169" t="s">
        <v>411</v>
      </c>
      <c r="I1570" s="169" t="s">
        <v>412</v>
      </c>
      <c r="J1570" s="169" t="s">
        <v>1003</v>
      </c>
      <c r="K1570" s="169" t="s">
        <v>996</v>
      </c>
      <c r="L1570" s="169" t="s">
        <v>956</v>
      </c>
      <c r="M1570" s="169" t="s">
        <v>281</v>
      </c>
      <c r="N1570" s="178">
        <v>-1530000</v>
      </c>
      <c r="O1570" s="169" t="s">
        <v>1018</v>
      </c>
      <c r="P1570" s="169" t="s">
        <v>283</v>
      </c>
      <c r="Q1570" s="169" t="s">
        <v>284</v>
      </c>
      <c r="R1570" s="169" t="s">
        <v>283</v>
      </c>
      <c r="S1570" s="169" t="s">
        <v>283</v>
      </c>
      <c r="T1570" s="169">
        <v>0</v>
      </c>
    </row>
    <row r="1571" spans="1:20" x14ac:dyDescent="0.2">
      <c r="A1571" s="169" t="str">
        <f t="shared" si="2"/>
        <v>627</v>
      </c>
      <c r="B1571" s="167" t="str">
        <f>_xlfn.XLOOKUP(I1571,Mapping!D:D,Mapping!E:E)</f>
        <v>Kiểm Soát Chất Lượng</v>
      </c>
      <c r="C1571" s="167" t="str">
        <f>_xlfn.XLOOKUP(F1571,Mapping!A:A,Mapping!F:F)</f>
        <v>BHXH, BHYT, KPCĐ</v>
      </c>
      <c r="D1571" s="173">
        <v>45900</v>
      </c>
      <c r="E1571" s="169" t="s">
        <v>1017</v>
      </c>
      <c r="F1571" s="169" t="s">
        <v>393</v>
      </c>
      <c r="G1571" s="169" t="s">
        <v>296</v>
      </c>
      <c r="H1571" s="169" t="s">
        <v>411</v>
      </c>
      <c r="I1571" s="169" t="s">
        <v>412</v>
      </c>
      <c r="J1571" s="169" t="s">
        <v>1003</v>
      </c>
      <c r="K1571" s="169" t="s">
        <v>996</v>
      </c>
      <c r="L1571" s="169" t="s">
        <v>956</v>
      </c>
      <c r="M1571" s="169" t="s">
        <v>281</v>
      </c>
      <c r="N1571" s="178">
        <v>954360</v>
      </c>
      <c r="O1571" s="169" t="s">
        <v>1018</v>
      </c>
      <c r="P1571" s="169" t="s">
        <v>283</v>
      </c>
      <c r="Q1571" s="169" t="s">
        <v>284</v>
      </c>
      <c r="R1571" s="169" t="s">
        <v>283</v>
      </c>
      <c r="S1571" s="169" t="s">
        <v>283</v>
      </c>
      <c r="T1571" s="169">
        <v>0</v>
      </c>
    </row>
    <row r="1572" spans="1:20" x14ac:dyDescent="0.2">
      <c r="A1572" s="169" t="str">
        <f t="shared" si="2"/>
        <v>627</v>
      </c>
      <c r="B1572" s="167" t="str">
        <f>_xlfn.XLOOKUP(I1572,Mapping!D:D,Mapping!E:E)</f>
        <v>Kiểm Soát Chất Lượng</v>
      </c>
      <c r="C1572" s="167" t="str">
        <f>_xlfn.XLOOKUP(F1572,Mapping!A:A,Mapping!F:F)</f>
        <v>BHXH, BHYT, KPCĐ</v>
      </c>
      <c r="D1572" s="173">
        <v>45900</v>
      </c>
      <c r="E1572" s="169" t="s">
        <v>1017</v>
      </c>
      <c r="F1572" s="169" t="s">
        <v>393</v>
      </c>
      <c r="G1572" s="169" t="s">
        <v>296</v>
      </c>
      <c r="H1572" s="169" t="s">
        <v>411</v>
      </c>
      <c r="I1572" s="169" t="s">
        <v>412</v>
      </c>
      <c r="J1572" s="169" t="s">
        <v>1003</v>
      </c>
      <c r="K1572" s="169" t="s">
        <v>996</v>
      </c>
      <c r="L1572" s="169" t="s">
        <v>956</v>
      </c>
      <c r="M1572" s="169" t="s">
        <v>281</v>
      </c>
      <c r="N1572" s="178">
        <v>-120000</v>
      </c>
      <c r="O1572" s="169" t="s">
        <v>1018</v>
      </c>
      <c r="P1572" s="169" t="s">
        <v>283</v>
      </c>
      <c r="Q1572" s="169" t="s">
        <v>284</v>
      </c>
      <c r="R1572" s="169" t="s">
        <v>283</v>
      </c>
      <c r="S1572" s="169" t="s">
        <v>283</v>
      </c>
      <c r="T1572" s="169">
        <v>0</v>
      </c>
    </row>
    <row r="1573" spans="1:20" x14ac:dyDescent="0.2">
      <c r="A1573" s="169" t="str">
        <f t="shared" si="2"/>
        <v>627</v>
      </c>
      <c r="B1573" s="167" t="str">
        <f>_xlfn.XLOOKUP(I1573,Mapping!D:D,Mapping!E:E)</f>
        <v>Nghiên Cứu &amp; Phát Triển</v>
      </c>
      <c r="C1573" s="167" t="str">
        <f>_xlfn.XLOOKUP(F1573,Mapping!A:A,Mapping!F:F)</f>
        <v>BHXH, BHYT, KPCĐ</v>
      </c>
      <c r="D1573" s="173">
        <v>45900</v>
      </c>
      <c r="E1573" s="169" t="s">
        <v>1017</v>
      </c>
      <c r="F1573" s="169" t="s">
        <v>393</v>
      </c>
      <c r="G1573" s="169" t="s">
        <v>296</v>
      </c>
      <c r="H1573" s="169" t="s">
        <v>418</v>
      </c>
      <c r="I1573" s="169" t="s">
        <v>419</v>
      </c>
      <c r="J1573" s="169" t="s">
        <v>1003</v>
      </c>
      <c r="K1573" s="169" t="s">
        <v>996</v>
      </c>
      <c r="L1573" s="169" t="s">
        <v>956</v>
      </c>
      <c r="M1573" s="169" t="s">
        <v>281</v>
      </c>
      <c r="N1573" s="178">
        <v>687825</v>
      </c>
      <c r="O1573" s="169" t="s">
        <v>1018</v>
      </c>
      <c r="P1573" s="169" t="s">
        <v>283</v>
      </c>
      <c r="Q1573" s="169" t="s">
        <v>284</v>
      </c>
      <c r="R1573" s="169" t="s">
        <v>283</v>
      </c>
      <c r="S1573" s="169" t="s">
        <v>283</v>
      </c>
      <c r="T1573" s="169">
        <v>0</v>
      </c>
    </row>
    <row r="1574" spans="1:20" x14ac:dyDescent="0.2">
      <c r="A1574" s="169" t="str">
        <f t="shared" si="2"/>
        <v>622</v>
      </c>
      <c r="B1574" s="167" t="str">
        <f>_xlfn.XLOOKUP(I1574,Mapping!D:D,Mapping!E:E)</f>
        <v>Xưởng Sản Xuất</v>
      </c>
      <c r="C1574" s="167" t="str">
        <f>_xlfn.XLOOKUP(F1574,Mapping!A:A,Mapping!F:F)</f>
        <v>BHXH, BHYT, KPCĐ</v>
      </c>
      <c r="D1574" s="173">
        <v>45900</v>
      </c>
      <c r="E1574" s="169" t="s">
        <v>1017</v>
      </c>
      <c r="F1574" s="169" t="s">
        <v>425</v>
      </c>
      <c r="G1574" s="169" t="s">
        <v>296</v>
      </c>
      <c r="H1574" s="169" t="s">
        <v>402</v>
      </c>
      <c r="I1574" s="169" t="s">
        <v>403</v>
      </c>
      <c r="J1574" s="169" t="s">
        <v>1003</v>
      </c>
      <c r="K1574" s="169" t="s">
        <v>996</v>
      </c>
      <c r="L1574" s="169" t="s">
        <v>956</v>
      </c>
      <c r="M1574" s="169" t="s">
        <v>281</v>
      </c>
      <c r="N1574" s="178">
        <v>4289355</v>
      </c>
      <c r="O1574" s="169" t="s">
        <v>1018</v>
      </c>
      <c r="P1574" s="169" t="s">
        <v>283</v>
      </c>
      <c r="Q1574" s="169" t="s">
        <v>284</v>
      </c>
      <c r="R1574" s="169" t="s">
        <v>283</v>
      </c>
      <c r="S1574" s="169" t="s">
        <v>283</v>
      </c>
      <c r="T1574" s="169">
        <v>0</v>
      </c>
    </row>
    <row r="1575" spans="1:20" x14ac:dyDescent="0.2">
      <c r="A1575" s="169" t="str">
        <f t="shared" si="2"/>
        <v>627</v>
      </c>
      <c r="B1575" s="167" t="str">
        <f>_xlfn.XLOOKUP(I1575,Mapping!D:D,Mapping!E:E)</f>
        <v>Xưởng Sản Xuất</v>
      </c>
      <c r="C1575" s="167" t="str">
        <f>_xlfn.XLOOKUP(F1575,Mapping!A:A,Mapping!F:F)</f>
        <v>Lương Chính +T13</v>
      </c>
      <c r="D1575" s="173">
        <v>45900</v>
      </c>
      <c r="E1575" s="169" t="s">
        <v>1019</v>
      </c>
      <c r="F1575" s="169" t="s">
        <v>387</v>
      </c>
      <c r="G1575" s="169" t="s">
        <v>275</v>
      </c>
      <c r="H1575" s="169" t="s">
        <v>402</v>
      </c>
      <c r="I1575" s="169" t="s">
        <v>403</v>
      </c>
      <c r="J1575" s="169" t="s">
        <v>1015</v>
      </c>
      <c r="K1575" s="169" t="s">
        <v>996</v>
      </c>
      <c r="L1575" s="169" t="s">
        <v>956</v>
      </c>
      <c r="M1575" s="169" t="s">
        <v>281</v>
      </c>
      <c r="N1575" s="178">
        <v>-1592167</v>
      </c>
      <c r="O1575" s="169" t="s">
        <v>1020</v>
      </c>
      <c r="P1575" s="169" t="s">
        <v>447</v>
      </c>
      <c r="Q1575" s="169" t="s">
        <v>284</v>
      </c>
      <c r="R1575" s="169" t="s">
        <v>283</v>
      </c>
      <c r="S1575" s="169" t="s">
        <v>283</v>
      </c>
      <c r="T1575" s="169">
        <v>0</v>
      </c>
    </row>
    <row r="1576" spans="1:20" x14ac:dyDescent="0.2">
      <c r="A1576" s="169" t="str">
        <f t="shared" si="2"/>
        <v>627</v>
      </c>
      <c r="B1576" s="167" t="str">
        <f>_xlfn.XLOOKUP(I1576,Mapping!D:D,Mapping!E:E)</f>
        <v>Xưởng Sản Xuất</v>
      </c>
      <c r="C1576" s="167" t="str">
        <f>_xlfn.XLOOKUP(F1576,Mapping!A:A,Mapping!F:F)</f>
        <v>Lương Chính +T13</v>
      </c>
      <c r="D1576" s="173">
        <v>45900</v>
      </c>
      <c r="E1576" s="169" t="s">
        <v>1019</v>
      </c>
      <c r="F1576" s="169" t="s">
        <v>387</v>
      </c>
      <c r="G1576" s="169" t="s">
        <v>275</v>
      </c>
      <c r="H1576" s="169" t="s">
        <v>436</v>
      </c>
      <c r="I1576" s="169" t="s">
        <v>437</v>
      </c>
      <c r="J1576" s="169" t="s">
        <v>995</v>
      </c>
      <c r="K1576" s="169" t="s">
        <v>996</v>
      </c>
      <c r="L1576" s="169" t="s">
        <v>956</v>
      </c>
      <c r="M1576" s="169" t="s">
        <v>281</v>
      </c>
      <c r="N1576" s="178">
        <v>-1375750</v>
      </c>
      <c r="O1576" s="169" t="s">
        <v>1020</v>
      </c>
      <c r="P1576" s="169" t="s">
        <v>447</v>
      </c>
      <c r="Q1576" s="169" t="s">
        <v>284</v>
      </c>
      <c r="R1576" s="169" t="s">
        <v>283</v>
      </c>
      <c r="S1576" s="169" t="s">
        <v>283</v>
      </c>
      <c r="T1576" s="169">
        <v>0</v>
      </c>
    </row>
    <row r="1577" spans="1:20" x14ac:dyDescent="0.2">
      <c r="A1577" s="169" t="str">
        <f t="shared" si="2"/>
        <v>622</v>
      </c>
      <c r="B1577" s="167" t="str">
        <f>_xlfn.XLOOKUP(I1577,Mapping!D:D,Mapping!E:E)</f>
        <v>Xưởng Sản Xuất</v>
      </c>
      <c r="C1577" s="167" t="str">
        <f>_xlfn.XLOOKUP(F1577,Mapping!A:A,Mapping!F:F)</f>
        <v>Lương Chính +T13</v>
      </c>
      <c r="D1577" s="173">
        <v>45900</v>
      </c>
      <c r="E1577" s="169" t="s">
        <v>1019</v>
      </c>
      <c r="F1577" s="169" t="s">
        <v>400</v>
      </c>
      <c r="G1577" s="169" t="s">
        <v>401</v>
      </c>
      <c r="H1577" s="169" t="s">
        <v>402</v>
      </c>
      <c r="I1577" s="169" t="s">
        <v>403</v>
      </c>
      <c r="J1577" s="169" t="s">
        <v>995</v>
      </c>
      <c r="K1577" s="169" t="s">
        <v>996</v>
      </c>
      <c r="L1577" s="169" t="s">
        <v>956</v>
      </c>
      <c r="M1577" s="169" t="s">
        <v>281</v>
      </c>
      <c r="N1577" s="178">
        <v>-5497750</v>
      </c>
      <c r="O1577" s="169" t="s">
        <v>1020</v>
      </c>
      <c r="P1577" s="169" t="s">
        <v>447</v>
      </c>
      <c r="Q1577" s="169" t="s">
        <v>284</v>
      </c>
      <c r="R1577" s="169" t="s">
        <v>283</v>
      </c>
      <c r="S1577" s="169" t="s">
        <v>283</v>
      </c>
      <c r="T1577" s="169">
        <v>0</v>
      </c>
    </row>
    <row r="1578" spans="1:20" x14ac:dyDescent="0.2">
      <c r="A1578" s="169" t="str">
        <f t="shared" ref="A1578:A1641" si="3">LEFT(F1578,3)</f>
        <v>642</v>
      </c>
      <c r="B1578" s="167" t="str">
        <f>_xlfn.XLOOKUP(I1578,Mapping!D:D,Mapping!E:E)</f>
        <v>Ban Giám Đốc</v>
      </c>
      <c r="C1578" s="167" t="str">
        <f>_xlfn.XLOOKUP(F1578,Mapping!A:A,Mapping!F:F)</f>
        <v>Lương Chính +T13</v>
      </c>
      <c r="D1578" s="173">
        <v>45900</v>
      </c>
      <c r="E1578" s="169" t="s">
        <v>1019</v>
      </c>
      <c r="F1578" s="169" t="s">
        <v>274</v>
      </c>
      <c r="G1578" s="169" t="s">
        <v>275</v>
      </c>
      <c r="H1578" s="169" t="s">
        <v>276</v>
      </c>
      <c r="I1578" s="169" t="s">
        <v>277</v>
      </c>
      <c r="J1578" s="169" t="s">
        <v>995</v>
      </c>
      <c r="K1578" s="169" t="s">
        <v>996</v>
      </c>
      <c r="L1578" s="169" t="s">
        <v>956</v>
      </c>
      <c r="M1578" s="169" t="s">
        <v>281</v>
      </c>
      <c r="N1578" s="178">
        <v>-17251500</v>
      </c>
      <c r="O1578" s="169" t="s">
        <v>1020</v>
      </c>
      <c r="P1578" s="169" t="s">
        <v>447</v>
      </c>
      <c r="Q1578" s="169" t="s">
        <v>284</v>
      </c>
      <c r="R1578" s="169" t="s">
        <v>283</v>
      </c>
      <c r="S1578" s="169" t="s">
        <v>283</v>
      </c>
      <c r="T1578" s="169">
        <v>0</v>
      </c>
    </row>
    <row r="1579" spans="1:20" x14ac:dyDescent="0.2">
      <c r="A1579" s="169" t="str">
        <f t="shared" si="3"/>
        <v>642</v>
      </c>
      <c r="B1579" s="167" t="str">
        <f>_xlfn.XLOOKUP(I1579,Mapping!D:D,Mapping!E:E)</f>
        <v>Hành Chánh Nhân Sự</v>
      </c>
      <c r="C1579" s="167" t="str">
        <f>_xlfn.XLOOKUP(F1579,Mapping!A:A,Mapping!F:F)</f>
        <v>Lương Chính +T13</v>
      </c>
      <c r="D1579" s="173">
        <v>45900</v>
      </c>
      <c r="E1579" s="169" t="s">
        <v>1019</v>
      </c>
      <c r="F1579" s="169" t="s">
        <v>274</v>
      </c>
      <c r="G1579" s="169" t="s">
        <v>275</v>
      </c>
      <c r="H1579" s="169" t="s">
        <v>301</v>
      </c>
      <c r="I1579" s="169" t="s">
        <v>302</v>
      </c>
      <c r="J1579" s="169" t="s">
        <v>995</v>
      </c>
      <c r="K1579" s="169" t="s">
        <v>996</v>
      </c>
      <c r="L1579" s="169" t="s">
        <v>956</v>
      </c>
      <c r="M1579" s="169" t="s">
        <v>281</v>
      </c>
      <c r="N1579" s="178">
        <v>-1432500</v>
      </c>
      <c r="O1579" s="169" t="s">
        <v>1020</v>
      </c>
      <c r="P1579" s="169" t="s">
        <v>447</v>
      </c>
      <c r="Q1579" s="169" t="s">
        <v>284</v>
      </c>
      <c r="R1579" s="169" t="s">
        <v>283</v>
      </c>
      <c r="S1579" s="169" t="s">
        <v>283</v>
      </c>
      <c r="T1579" s="169">
        <v>0</v>
      </c>
    </row>
    <row r="1580" spans="1:20" x14ac:dyDescent="0.2">
      <c r="A1580" s="169" t="str">
        <f t="shared" si="3"/>
        <v>622</v>
      </c>
      <c r="B1580" s="167" t="str">
        <f>_xlfn.XLOOKUP(I1580,Mapping!D:D,Mapping!E:E)</f>
        <v>Xưởng Sản Xuất</v>
      </c>
      <c r="C1580" s="167" t="str">
        <f>_xlfn.XLOOKUP(F1580,Mapping!A:A,Mapping!F:F)</f>
        <v>Lương Chính +T13</v>
      </c>
      <c r="D1580" s="173">
        <v>45900</v>
      </c>
      <c r="E1580" s="169" t="s">
        <v>1021</v>
      </c>
      <c r="F1580" s="169" t="s">
        <v>400</v>
      </c>
      <c r="G1580" s="169" t="s">
        <v>401</v>
      </c>
      <c r="H1580" s="169" t="s">
        <v>402</v>
      </c>
      <c r="I1580" s="169" t="s">
        <v>403</v>
      </c>
      <c r="J1580" s="169" t="s">
        <v>1022</v>
      </c>
      <c r="K1580" s="169" t="s">
        <v>405</v>
      </c>
      <c r="L1580" s="169" t="s">
        <v>956</v>
      </c>
      <c r="M1580" s="169" t="s">
        <v>281</v>
      </c>
      <c r="N1580" s="178">
        <v>275124506</v>
      </c>
      <c r="O1580" s="169" t="s">
        <v>1023</v>
      </c>
      <c r="P1580" s="169" t="s">
        <v>283</v>
      </c>
      <c r="Q1580" s="169" t="s">
        <v>306</v>
      </c>
      <c r="R1580" s="169" t="s">
        <v>283</v>
      </c>
      <c r="S1580" s="169" t="s">
        <v>283</v>
      </c>
      <c r="T1580" s="169">
        <v>0</v>
      </c>
    </row>
    <row r="1581" spans="1:20" x14ac:dyDescent="0.2">
      <c r="A1581" s="169" t="str">
        <f t="shared" si="3"/>
        <v>642</v>
      </c>
      <c r="B1581" s="167" t="str">
        <f>_xlfn.XLOOKUP(I1581,Mapping!D:D,Mapping!E:E)</f>
        <v>Hành Chánh Nhân Sự</v>
      </c>
      <c r="C1581" s="167" t="str">
        <f>_xlfn.XLOOKUP(F1581,Mapping!A:A,Mapping!F:F)</f>
        <v>Lương Chính +T13</v>
      </c>
      <c r="D1581" s="173">
        <v>45900</v>
      </c>
      <c r="E1581" s="169" t="s">
        <v>1021</v>
      </c>
      <c r="F1581" s="169" t="s">
        <v>274</v>
      </c>
      <c r="G1581" s="169" t="s">
        <v>275</v>
      </c>
      <c r="H1581" s="169" t="s">
        <v>301</v>
      </c>
      <c r="I1581" s="169" t="s">
        <v>302</v>
      </c>
      <c r="J1581" s="169" t="s">
        <v>1022</v>
      </c>
      <c r="K1581" s="169" t="s">
        <v>405</v>
      </c>
      <c r="L1581" s="169" t="s">
        <v>956</v>
      </c>
      <c r="M1581" s="169" t="s">
        <v>281</v>
      </c>
      <c r="N1581" s="178">
        <v>9490259</v>
      </c>
      <c r="O1581" s="169" t="s">
        <v>1023</v>
      </c>
      <c r="P1581" s="169" t="s">
        <v>283</v>
      </c>
      <c r="Q1581" s="169" t="s">
        <v>306</v>
      </c>
      <c r="R1581" s="169" t="s">
        <v>283</v>
      </c>
      <c r="S1581" s="169" t="s">
        <v>283</v>
      </c>
      <c r="T1581" s="169">
        <v>0</v>
      </c>
    </row>
    <row r="1582" spans="1:20" x14ac:dyDescent="0.2">
      <c r="A1582" s="169" t="str">
        <f t="shared" si="3"/>
        <v>627</v>
      </c>
      <c r="B1582" s="167" t="str">
        <f>_xlfn.XLOOKUP(I1582,Mapping!D:D,Mapping!E:E)</f>
        <v>Xưởng Sản Xuất</v>
      </c>
      <c r="C1582" s="167" t="str">
        <f>_xlfn.XLOOKUP(F1582,Mapping!A:A,Mapping!F:F)</f>
        <v>Lương Chính +T13</v>
      </c>
      <c r="D1582" s="173">
        <v>45900</v>
      </c>
      <c r="E1582" s="169" t="s">
        <v>1021</v>
      </c>
      <c r="F1582" s="169" t="s">
        <v>387</v>
      </c>
      <c r="G1582" s="169" t="s">
        <v>275</v>
      </c>
      <c r="H1582" s="169" t="s">
        <v>436</v>
      </c>
      <c r="I1582" s="169" t="s">
        <v>437</v>
      </c>
      <c r="J1582" s="169" t="s">
        <v>1022</v>
      </c>
      <c r="K1582" s="169" t="s">
        <v>405</v>
      </c>
      <c r="L1582" s="169" t="s">
        <v>956</v>
      </c>
      <c r="M1582" s="169" t="s">
        <v>281</v>
      </c>
      <c r="N1582" s="178">
        <v>11721278</v>
      </c>
      <c r="O1582" s="169" t="s">
        <v>1023</v>
      </c>
      <c r="P1582" s="169" t="s">
        <v>283</v>
      </c>
      <c r="Q1582" s="169" t="s">
        <v>306</v>
      </c>
      <c r="R1582" s="169" t="s">
        <v>283</v>
      </c>
      <c r="S1582" s="169" t="s">
        <v>283</v>
      </c>
      <c r="T1582" s="169">
        <v>0</v>
      </c>
    </row>
    <row r="1583" spans="1:20" x14ac:dyDescent="0.2">
      <c r="A1583" s="169" t="str">
        <f t="shared" si="3"/>
        <v>622</v>
      </c>
      <c r="B1583" s="167" t="str">
        <f>_xlfn.XLOOKUP(I1583,Mapping!D:D,Mapping!E:E)</f>
        <v>Xưởng Sản Xuất</v>
      </c>
      <c r="C1583" s="167" t="str">
        <f>_xlfn.XLOOKUP(F1583,Mapping!A:A,Mapping!F:F)</f>
        <v>Lương Chính +T13</v>
      </c>
      <c r="D1583" s="173">
        <v>45900</v>
      </c>
      <c r="E1583" s="169" t="s">
        <v>1021</v>
      </c>
      <c r="F1583" s="169" t="s">
        <v>400</v>
      </c>
      <c r="G1583" s="169" t="s">
        <v>401</v>
      </c>
      <c r="H1583" s="169" t="s">
        <v>430</v>
      </c>
      <c r="I1583" s="169" t="s">
        <v>431</v>
      </c>
      <c r="J1583" s="169" t="s">
        <v>1022</v>
      </c>
      <c r="K1583" s="169" t="s">
        <v>405</v>
      </c>
      <c r="L1583" s="169" t="s">
        <v>956</v>
      </c>
      <c r="M1583" s="169" t="s">
        <v>281</v>
      </c>
      <c r="N1583" s="178">
        <v>11045704</v>
      </c>
      <c r="O1583" s="169" t="s">
        <v>1023</v>
      </c>
      <c r="P1583" s="169" t="s">
        <v>283</v>
      </c>
      <c r="Q1583" s="169" t="s">
        <v>306</v>
      </c>
      <c r="R1583" s="169" t="s">
        <v>283</v>
      </c>
      <c r="S1583" s="169" t="s">
        <v>283</v>
      </c>
      <c r="T1583" s="169">
        <v>0</v>
      </c>
    </row>
    <row r="1584" spans="1:20" x14ac:dyDescent="0.2">
      <c r="A1584" s="169" t="str">
        <f t="shared" si="3"/>
        <v>622</v>
      </c>
      <c r="B1584" s="167" t="str">
        <f>_xlfn.XLOOKUP(I1584,Mapping!D:D,Mapping!E:E)</f>
        <v>Xưởng Sản Xuất</v>
      </c>
      <c r="C1584" s="167" t="str">
        <f>_xlfn.XLOOKUP(F1584,Mapping!A:A,Mapping!F:F)</f>
        <v>Lương Chính +T13</v>
      </c>
      <c r="D1584" s="173">
        <v>45899</v>
      </c>
      <c r="E1584" s="169" t="s">
        <v>1024</v>
      </c>
      <c r="F1584" s="169" t="s">
        <v>400</v>
      </c>
      <c r="G1584" s="169" t="s">
        <v>401</v>
      </c>
      <c r="H1584" s="169" t="s">
        <v>402</v>
      </c>
      <c r="I1584" s="169" t="s">
        <v>403</v>
      </c>
      <c r="J1584" s="169" t="s">
        <v>1025</v>
      </c>
      <c r="K1584" s="169" t="s">
        <v>405</v>
      </c>
      <c r="L1584" s="169" t="s">
        <v>956</v>
      </c>
      <c r="M1584" s="169" t="s">
        <v>281</v>
      </c>
      <c r="N1584" s="178">
        <v>203305833</v>
      </c>
      <c r="O1584" s="169" t="s">
        <v>1026</v>
      </c>
      <c r="P1584" s="169" t="s">
        <v>283</v>
      </c>
      <c r="Q1584" s="169" t="s">
        <v>306</v>
      </c>
      <c r="R1584" s="169" t="s">
        <v>283</v>
      </c>
      <c r="S1584" s="169" t="s">
        <v>283</v>
      </c>
      <c r="T1584" s="169">
        <v>0</v>
      </c>
    </row>
    <row r="1585" spans="1:20" x14ac:dyDescent="0.2">
      <c r="A1585" s="169" t="str">
        <f t="shared" si="3"/>
        <v>622</v>
      </c>
      <c r="B1585" s="167" t="str">
        <f>_xlfn.XLOOKUP(I1585,Mapping!D:D,Mapping!E:E)</f>
        <v>Xưởng Sản Xuất</v>
      </c>
      <c r="C1585" s="167" t="str">
        <f>_xlfn.XLOOKUP(F1585,Mapping!A:A,Mapping!F:F)</f>
        <v>Lương Chính +T13</v>
      </c>
      <c r="D1585" s="173">
        <v>45899</v>
      </c>
      <c r="E1585" s="169" t="s">
        <v>1024</v>
      </c>
      <c r="F1585" s="169" t="s">
        <v>400</v>
      </c>
      <c r="G1585" s="169" t="s">
        <v>401</v>
      </c>
      <c r="H1585" s="169" t="s">
        <v>430</v>
      </c>
      <c r="I1585" s="169" t="s">
        <v>431</v>
      </c>
      <c r="J1585" s="169" t="s">
        <v>1025</v>
      </c>
      <c r="K1585" s="169" t="s">
        <v>405</v>
      </c>
      <c r="L1585" s="169" t="s">
        <v>956</v>
      </c>
      <c r="M1585" s="169" t="s">
        <v>281</v>
      </c>
      <c r="N1585" s="178">
        <v>12066667</v>
      </c>
      <c r="O1585" s="169" t="s">
        <v>1026</v>
      </c>
      <c r="P1585" s="169" t="s">
        <v>283</v>
      </c>
      <c r="Q1585" s="169" t="s">
        <v>306</v>
      </c>
      <c r="R1585" s="169" t="s">
        <v>283</v>
      </c>
      <c r="S1585" s="169" t="s">
        <v>283</v>
      </c>
      <c r="T1585" s="169">
        <v>0</v>
      </c>
    </row>
    <row r="1586" spans="1:20" x14ac:dyDescent="0.2">
      <c r="A1586" s="169" t="str">
        <f t="shared" si="3"/>
        <v>642</v>
      </c>
      <c r="B1586" s="167" t="str">
        <f>_xlfn.XLOOKUP(I1586,Mapping!D:D,Mapping!E:E)</f>
        <v>Hành Chánh Nhân Sự</v>
      </c>
      <c r="C1586" s="167" t="str">
        <f>_xlfn.XLOOKUP(F1586,Mapping!A:A,Mapping!F:F)</f>
        <v>Khen thưởng BD khác</v>
      </c>
      <c r="D1586" s="173">
        <v>45900</v>
      </c>
      <c r="E1586" s="169" t="s">
        <v>1027</v>
      </c>
      <c r="F1586" s="169" t="s">
        <v>300</v>
      </c>
      <c r="G1586" s="169" t="s">
        <v>222</v>
      </c>
      <c r="H1586" s="169" t="s">
        <v>358</v>
      </c>
      <c r="I1586" s="169" t="s">
        <v>359</v>
      </c>
      <c r="J1586" s="169" t="s">
        <v>1015</v>
      </c>
      <c r="K1586" s="169" t="s">
        <v>996</v>
      </c>
      <c r="L1586" s="169" t="s">
        <v>956</v>
      </c>
      <c r="M1586" s="169" t="s">
        <v>281</v>
      </c>
      <c r="N1586" s="178">
        <v>5600000</v>
      </c>
      <c r="O1586" s="169" t="s">
        <v>1028</v>
      </c>
      <c r="P1586" s="169" t="s">
        <v>283</v>
      </c>
      <c r="Q1586" s="169" t="s">
        <v>284</v>
      </c>
      <c r="R1586" s="169" t="s">
        <v>283</v>
      </c>
      <c r="S1586" s="169" t="s">
        <v>283</v>
      </c>
      <c r="T1586" s="169">
        <v>0</v>
      </c>
    </row>
    <row r="1587" spans="1:20" x14ac:dyDescent="0.2">
      <c r="A1587" s="169" t="str">
        <f t="shared" si="3"/>
        <v>641</v>
      </c>
      <c r="B1587" s="167" t="str">
        <f>_xlfn.XLOOKUP(I1587,Mapping!D:D,Mapping!E:E)</f>
        <v>Kinh doanh</v>
      </c>
      <c r="C1587" s="167" t="str">
        <f>_xlfn.XLOOKUP(F1587,Mapping!A:A,Mapping!F:F)</f>
        <v>Thưởng</v>
      </c>
      <c r="D1587" s="173">
        <v>45900</v>
      </c>
      <c r="E1587" s="169" t="s">
        <v>1029</v>
      </c>
      <c r="F1587" s="169" t="s">
        <v>365</v>
      </c>
      <c r="G1587" s="169" t="s">
        <v>291</v>
      </c>
      <c r="H1587" s="169" t="s">
        <v>366</v>
      </c>
      <c r="I1587" s="169" t="s">
        <v>1</v>
      </c>
      <c r="J1587" s="169" t="s">
        <v>1030</v>
      </c>
      <c r="K1587" s="169" t="s">
        <v>670</v>
      </c>
      <c r="L1587" s="169" t="s">
        <v>956</v>
      </c>
      <c r="M1587" s="169" t="s">
        <v>281</v>
      </c>
      <c r="N1587" s="178">
        <v>21467943</v>
      </c>
      <c r="O1587" s="169" t="s">
        <v>1031</v>
      </c>
      <c r="P1587" s="169" t="s">
        <v>283</v>
      </c>
      <c r="Q1587" s="169" t="s">
        <v>370</v>
      </c>
      <c r="R1587" s="169" t="s">
        <v>283</v>
      </c>
      <c r="S1587" s="169" t="s">
        <v>283</v>
      </c>
      <c r="T1587" s="169">
        <v>0</v>
      </c>
    </row>
    <row r="1588" spans="1:20" x14ac:dyDescent="0.2">
      <c r="A1588" s="169" t="str">
        <f t="shared" si="3"/>
        <v>641</v>
      </c>
      <c r="B1588" s="167" t="str">
        <f>_xlfn.XLOOKUP(I1588,Mapping!D:D,Mapping!E:E)</f>
        <v>Kinh doanh</v>
      </c>
      <c r="C1588" s="167" t="str">
        <f>_xlfn.XLOOKUP(F1588,Mapping!A:A,Mapping!F:F)</f>
        <v>Thưởng</v>
      </c>
      <c r="D1588" s="173">
        <v>45900</v>
      </c>
      <c r="E1588" s="169" t="s">
        <v>1032</v>
      </c>
      <c r="F1588" s="169" t="s">
        <v>365</v>
      </c>
      <c r="G1588" s="169" t="s">
        <v>291</v>
      </c>
      <c r="H1588" s="169" t="s">
        <v>366</v>
      </c>
      <c r="I1588" s="169" t="s">
        <v>1</v>
      </c>
      <c r="J1588" s="169" t="s">
        <v>1033</v>
      </c>
      <c r="K1588" s="169" t="s">
        <v>670</v>
      </c>
      <c r="L1588" s="169" t="s">
        <v>956</v>
      </c>
      <c r="M1588" s="169" t="s">
        <v>281</v>
      </c>
      <c r="N1588" s="178">
        <v>185891381</v>
      </c>
      <c r="O1588" s="169" t="s">
        <v>1034</v>
      </c>
      <c r="P1588" s="169" t="s">
        <v>283</v>
      </c>
      <c r="Q1588" s="169" t="s">
        <v>370</v>
      </c>
      <c r="R1588" s="169" t="s">
        <v>283</v>
      </c>
      <c r="S1588" s="169" t="s">
        <v>283</v>
      </c>
      <c r="T1588" s="169">
        <v>0</v>
      </c>
    </row>
    <row r="1589" spans="1:20" x14ac:dyDescent="0.2">
      <c r="A1589" s="169" t="str">
        <f t="shared" si="3"/>
        <v>641</v>
      </c>
      <c r="B1589" s="167" t="str">
        <f>_xlfn.XLOOKUP(I1589,Mapping!D:D,Mapping!E:E)</f>
        <v>Kinh doanh</v>
      </c>
      <c r="C1589" s="167" t="str">
        <f>_xlfn.XLOOKUP(F1589,Mapping!A:A,Mapping!F:F)</f>
        <v>Thưởng</v>
      </c>
      <c r="D1589" s="173">
        <v>45870</v>
      </c>
      <c r="E1589" s="169" t="s">
        <v>1035</v>
      </c>
      <c r="F1589" s="169" t="s">
        <v>365</v>
      </c>
      <c r="G1589" s="169" t="s">
        <v>291</v>
      </c>
      <c r="H1589" s="169" t="s">
        <v>366</v>
      </c>
      <c r="I1589" s="169" t="s">
        <v>1</v>
      </c>
      <c r="J1589" s="169" t="s">
        <v>925</v>
      </c>
      <c r="K1589" s="169" t="s">
        <v>670</v>
      </c>
      <c r="L1589" s="169" t="s">
        <v>956</v>
      </c>
      <c r="M1589" s="169" t="s">
        <v>281</v>
      </c>
      <c r="N1589" s="178">
        <v>-83908472</v>
      </c>
      <c r="O1589" s="169" t="s">
        <v>1036</v>
      </c>
      <c r="P1589" s="169" t="s">
        <v>447</v>
      </c>
      <c r="Q1589" s="169" t="s">
        <v>284</v>
      </c>
      <c r="R1589" s="169" t="s">
        <v>283</v>
      </c>
      <c r="S1589" s="169" t="s">
        <v>283</v>
      </c>
      <c r="T1589" s="169">
        <v>0</v>
      </c>
    </row>
    <row r="1590" spans="1:20" x14ac:dyDescent="0.2">
      <c r="A1590" s="169" t="str">
        <f t="shared" si="3"/>
        <v>622</v>
      </c>
      <c r="B1590" s="167" t="str">
        <f>_xlfn.XLOOKUP(I1590,Mapping!D:D,Mapping!E:E)</f>
        <v>Xưởng Sản Xuất</v>
      </c>
      <c r="C1590" s="167" t="str">
        <f>_xlfn.XLOOKUP(F1590,Mapping!A:A,Mapping!F:F)</f>
        <v>Phụ Cấp</v>
      </c>
      <c r="D1590" s="173">
        <v>45900</v>
      </c>
      <c r="E1590" s="169" t="s">
        <v>1037</v>
      </c>
      <c r="F1590" s="169" t="s">
        <v>414</v>
      </c>
      <c r="G1590" s="169" t="s">
        <v>415</v>
      </c>
      <c r="H1590" s="169" t="s">
        <v>441</v>
      </c>
      <c r="I1590" s="169" t="s">
        <v>442</v>
      </c>
      <c r="J1590" s="169" t="s">
        <v>416</v>
      </c>
      <c r="K1590" s="169" t="s">
        <v>416</v>
      </c>
      <c r="L1590" s="169" t="s">
        <v>956</v>
      </c>
      <c r="M1590" s="169" t="s">
        <v>281</v>
      </c>
      <c r="N1590" s="178">
        <v>400000</v>
      </c>
      <c r="O1590" s="169" t="s">
        <v>1038</v>
      </c>
      <c r="P1590" s="169" t="s">
        <v>283</v>
      </c>
      <c r="Q1590" s="169" t="s">
        <v>348</v>
      </c>
      <c r="R1590" s="169" t="s">
        <v>283</v>
      </c>
      <c r="S1590" s="169" t="s">
        <v>283</v>
      </c>
      <c r="T1590" s="169">
        <v>0</v>
      </c>
    </row>
    <row r="1591" spans="1:20" x14ac:dyDescent="0.2">
      <c r="A1591" s="169" t="str">
        <f t="shared" si="3"/>
        <v>627</v>
      </c>
      <c r="B1591" s="167" t="str">
        <f>_xlfn.XLOOKUP(I1591,Mapping!D:D,Mapping!E:E)</f>
        <v>Xưởng Sản Xuất</v>
      </c>
      <c r="C1591" s="167" t="str">
        <f>_xlfn.XLOOKUP(F1591,Mapping!A:A,Mapping!F:F)</f>
        <v>Phụ Cấp</v>
      </c>
      <c r="D1591" s="173">
        <v>45900</v>
      </c>
      <c r="E1591" s="169" t="s">
        <v>1037</v>
      </c>
      <c r="F1591" s="169" t="s">
        <v>375</v>
      </c>
      <c r="G1591" s="169" t="s">
        <v>336</v>
      </c>
      <c r="H1591" s="169" t="s">
        <v>441</v>
      </c>
      <c r="I1591" s="169" t="s">
        <v>442</v>
      </c>
      <c r="J1591" s="169" t="s">
        <v>416</v>
      </c>
      <c r="K1591" s="169" t="s">
        <v>416</v>
      </c>
      <c r="L1591" s="169" t="s">
        <v>956</v>
      </c>
      <c r="M1591" s="169" t="s">
        <v>281</v>
      </c>
      <c r="N1591" s="178">
        <v>-400000</v>
      </c>
      <c r="O1591" s="169" t="s">
        <v>1038</v>
      </c>
      <c r="P1591" s="169" t="s">
        <v>283</v>
      </c>
      <c r="Q1591" s="169" t="s">
        <v>348</v>
      </c>
      <c r="R1591" s="169" t="s">
        <v>283</v>
      </c>
      <c r="S1591" s="169" t="s">
        <v>283</v>
      </c>
      <c r="T1591" s="169">
        <v>0</v>
      </c>
    </row>
    <row r="1592" spans="1:20" x14ac:dyDescent="0.2">
      <c r="A1592" s="169" t="str">
        <f t="shared" si="3"/>
        <v>622</v>
      </c>
      <c r="B1592" s="167" t="str">
        <f>_xlfn.XLOOKUP(I1592,Mapping!D:D,Mapping!E:E)</f>
        <v>Xưởng Sản Xuất</v>
      </c>
      <c r="C1592" s="167" t="str">
        <f>_xlfn.XLOOKUP(F1592,Mapping!A:A,Mapping!F:F)</f>
        <v>Phụ Cấp</v>
      </c>
      <c r="D1592" s="173">
        <v>45900</v>
      </c>
      <c r="E1592" s="169" t="s">
        <v>1037</v>
      </c>
      <c r="F1592" s="169" t="s">
        <v>414</v>
      </c>
      <c r="G1592" s="169" t="s">
        <v>415</v>
      </c>
      <c r="H1592" s="169" t="s">
        <v>441</v>
      </c>
      <c r="I1592" s="169" t="s">
        <v>442</v>
      </c>
      <c r="J1592" s="169" t="s">
        <v>416</v>
      </c>
      <c r="K1592" s="169" t="s">
        <v>416</v>
      </c>
      <c r="L1592" s="169" t="s">
        <v>956</v>
      </c>
      <c r="M1592" s="169" t="s">
        <v>281</v>
      </c>
      <c r="N1592" s="178">
        <v>100000</v>
      </c>
      <c r="O1592" s="169" t="s">
        <v>1038</v>
      </c>
      <c r="P1592" s="169" t="s">
        <v>283</v>
      </c>
      <c r="Q1592" s="169" t="s">
        <v>348</v>
      </c>
      <c r="R1592" s="169" t="s">
        <v>283</v>
      </c>
      <c r="S1592" s="169" t="s">
        <v>283</v>
      </c>
      <c r="T1592" s="169">
        <v>0</v>
      </c>
    </row>
    <row r="1593" spans="1:20" x14ac:dyDescent="0.2">
      <c r="A1593" s="169" t="str">
        <f t="shared" si="3"/>
        <v>627</v>
      </c>
      <c r="B1593" s="167" t="str">
        <f>_xlfn.XLOOKUP(I1593,Mapping!D:D,Mapping!E:E)</f>
        <v>Xưởng Sản Xuất</v>
      </c>
      <c r="C1593" s="167" t="str">
        <f>_xlfn.XLOOKUP(F1593,Mapping!A:A,Mapping!F:F)</f>
        <v>Phụ Cấp</v>
      </c>
      <c r="D1593" s="173">
        <v>45900</v>
      </c>
      <c r="E1593" s="169" t="s">
        <v>1037</v>
      </c>
      <c r="F1593" s="169" t="s">
        <v>375</v>
      </c>
      <c r="G1593" s="169" t="s">
        <v>336</v>
      </c>
      <c r="H1593" s="169" t="s">
        <v>430</v>
      </c>
      <c r="I1593" s="169" t="s">
        <v>431</v>
      </c>
      <c r="J1593" s="169" t="s">
        <v>416</v>
      </c>
      <c r="K1593" s="169" t="s">
        <v>416</v>
      </c>
      <c r="L1593" s="169" t="s">
        <v>956</v>
      </c>
      <c r="M1593" s="169" t="s">
        <v>281</v>
      </c>
      <c r="N1593" s="178">
        <v>-100000</v>
      </c>
      <c r="O1593" s="169" t="s">
        <v>1038</v>
      </c>
      <c r="P1593" s="169" t="s">
        <v>283</v>
      </c>
      <c r="Q1593" s="169" t="s">
        <v>348</v>
      </c>
      <c r="R1593" s="169" t="s">
        <v>283</v>
      </c>
      <c r="S1593" s="169" t="s">
        <v>283</v>
      </c>
      <c r="T1593" s="169">
        <v>0</v>
      </c>
    </row>
    <row r="1594" spans="1:20" x14ac:dyDescent="0.2">
      <c r="A1594" s="169" t="str">
        <f t="shared" si="3"/>
        <v>622</v>
      </c>
      <c r="B1594" s="167" t="str">
        <f>_xlfn.XLOOKUP(I1594,Mapping!D:D,Mapping!E:E)</f>
        <v>Xưởng Sản Xuất</v>
      </c>
      <c r="C1594" s="167" t="str">
        <f>_xlfn.XLOOKUP(F1594,Mapping!A:A,Mapping!F:F)</f>
        <v>Phụ Cấp</v>
      </c>
      <c r="D1594" s="173">
        <v>45900</v>
      </c>
      <c r="E1594" s="169" t="s">
        <v>1037</v>
      </c>
      <c r="F1594" s="169" t="s">
        <v>414</v>
      </c>
      <c r="G1594" s="169" t="s">
        <v>415</v>
      </c>
      <c r="H1594" s="169" t="s">
        <v>430</v>
      </c>
      <c r="I1594" s="169" t="s">
        <v>431</v>
      </c>
      <c r="J1594" s="169" t="s">
        <v>416</v>
      </c>
      <c r="K1594" s="169" t="s">
        <v>416</v>
      </c>
      <c r="L1594" s="169" t="s">
        <v>956</v>
      </c>
      <c r="M1594" s="169" t="s">
        <v>281</v>
      </c>
      <c r="N1594" s="178">
        <v>19875000</v>
      </c>
      <c r="O1594" s="169" t="s">
        <v>1038</v>
      </c>
      <c r="P1594" s="169" t="s">
        <v>283</v>
      </c>
      <c r="Q1594" s="169" t="s">
        <v>348</v>
      </c>
      <c r="R1594" s="169" t="s">
        <v>283</v>
      </c>
      <c r="S1594" s="169" t="s">
        <v>283</v>
      </c>
      <c r="T1594" s="169">
        <v>0</v>
      </c>
    </row>
    <row r="1595" spans="1:20" x14ac:dyDescent="0.2">
      <c r="A1595" s="169" t="str">
        <f t="shared" si="3"/>
        <v>627</v>
      </c>
      <c r="B1595" s="167" t="str">
        <f>_xlfn.XLOOKUP(I1595,Mapping!D:D,Mapping!E:E)</f>
        <v>Xưởng Sản Xuất</v>
      </c>
      <c r="C1595" s="167" t="str">
        <f>_xlfn.XLOOKUP(F1595,Mapping!A:A,Mapping!F:F)</f>
        <v>Phụ Cấp</v>
      </c>
      <c r="D1595" s="173">
        <v>45900</v>
      </c>
      <c r="E1595" s="169" t="s">
        <v>1037</v>
      </c>
      <c r="F1595" s="169" t="s">
        <v>375</v>
      </c>
      <c r="G1595" s="169" t="s">
        <v>336</v>
      </c>
      <c r="H1595" s="169" t="s">
        <v>430</v>
      </c>
      <c r="I1595" s="169" t="s">
        <v>431</v>
      </c>
      <c r="J1595" s="169" t="s">
        <v>416</v>
      </c>
      <c r="K1595" s="169" t="s">
        <v>416</v>
      </c>
      <c r="L1595" s="169" t="s">
        <v>956</v>
      </c>
      <c r="M1595" s="169" t="s">
        <v>281</v>
      </c>
      <c r="N1595" s="178">
        <v>-19875000</v>
      </c>
      <c r="O1595" s="169" t="s">
        <v>1038</v>
      </c>
      <c r="P1595" s="169" t="s">
        <v>283</v>
      </c>
      <c r="Q1595" s="169" t="s">
        <v>348</v>
      </c>
      <c r="R1595" s="169" t="s">
        <v>283</v>
      </c>
      <c r="S1595" s="169" t="s">
        <v>283</v>
      </c>
      <c r="T1595" s="169">
        <v>0</v>
      </c>
    </row>
    <row r="1596" spans="1:20" x14ac:dyDescent="0.2">
      <c r="A1596" s="169" t="str">
        <f t="shared" si="3"/>
        <v>622</v>
      </c>
      <c r="B1596" s="167" t="str">
        <f>_xlfn.XLOOKUP(I1596,Mapping!D:D,Mapping!E:E)</f>
        <v>Xưởng Sản Xuất</v>
      </c>
      <c r="C1596" s="167" t="str">
        <f>_xlfn.XLOOKUP(F1596,Mapping!A:A,Mapping!F:F)</f>
        <v>Phụ Cấp</v>
      </c>
      <c r="D1596" s="173">
        <v>45900</v>
      </c>
      <c r="E1596" s="169" t="s">
        <v>1037</v>
      </c>
      <c r="F1596" s="169" t="s">
        <v>414</v>
      </c>
      <c r="G1596" s="169" t="s">
        <v>415</v>
      </c>
      <c r="H1596" s="169" t="s">
        <v>402</v>
      </c>
      <c r="I1596" s="169" t="s">
        <v>403</v>
      </c>
      <c r="J1596" s="169" t="s">
        <v>416</v>
      </c>
      <c r="K1596" s="169" t="s">
        <v>416</v>
      </c>
      <c r="L1596" s="169" t="s">
        <v>956</v>
      </c>
      <c r="M1596" s="169" t="s">
        <v>281</v>
      </c>
      <c r="N1596" s="178">
        <v>128050000</v>
      </c>
      <c r="O1596" s="169" t="s">
        <v>1038</v>
      </c>
      <c r="P1596" s="169" t="s">
        <v>283</v>
      </c>
      <c r="Q1596" s="169" t="s">
        <v>348</v>
      </c>
      <c r="R1596" s="169" t="s">
        <v>283</v>
      </c>
      <c r="S1596" s="169" t="s">
        <v>283</v>
      </c>
      <c r="T1596" s="169">
        <v>0</v>
      </c>
    </row>
    <row r="1597" spans="1:20" x14ac:dyDescent="0.2">
      <c r="A1597" s="169" t="str">
        <f t="shared" si="3"/>
        <v>627</v>
      </c>
      <c r="B1597" s="167" t="str">
        <f>_xlfn.XLOOKUP(I1597,Mapping!D:D,Mapping!E:E)</f>
        <v>Xưởng Sản Xuất</v>
      </c>
      <c r="C1597" s="167" t="str">
        <f>_xlfn.XLOOKUP(F1597,Mapping!A:A,Mapping!F:F)</f>
        <v>Phụ Cấp</v>
      </c>
      <c r="D1597" s="173">
        <v>45900</v>
      </c>
      <c r="E1597" s="169" t="s">
        <v>1037</v>
      </c>
      <c r="F1597" s="169" t="s">
        <v>375</v>
      </c>
      <c r="G1597" s="169" t="s">
        <v>336</v>
      </c>
      <c r="H1597" s="169" t="s">
        <v>402</v>
      </c>
      <c r="I1597" s="169" t="s">
        <v>403</v>
      </c>
      <c r="J1597" s="169" t="s">
        <v>416</v>
      </c>
      <c r="K1597" s="169" t="s">
        <v>416</v>
      </c>
      <c r="L1597" s="169" t="s">
        <v>956</v>
      </c>
      <c r="M1597" s="169" t="s">
        <v>281</v>
      </c>
      <c r="N1597" s="178">
        <v>-128050000</v>
      </c>
      <c r="O1597" s="169" t="s">
        <v>1038</v>
      </c>
      <c r="P1597" s="169" t="s">
        <v>283</v>
      </c>
      <c r="Q1597" s="169" t="s">
        <v>348</v>
      </c>
      <c r="R1597" s="169" t="s">
        <v>283</v>
      </c>
      <c r="S1597" s="169" t="s">
        <v>283</v>
      </c>
      <c r="T1597" s="169">
        <v>0</v>
      </c>
    </row>
    <row r="1598" spans="1:20" x14ac:dyDescent="0.2">
      <c r="A1598" s="169" t="str">
        <f t="shared" si="3"/>
        <v>641</v>
      </c>
      <c r="B1598" s="167" t="str">
        <f>_xlfn.XLOOKUP(I1598,Mapping!D:D,Mapping!E:E)</f>
        <v>Kinh doanh</v>
      </c>
      <c r="C1598" s="167" t="str">
        <f>_xlfn.XLOOKUP(F1598,Mapping!A:A,Mapping!F:F)</f>
        <v>Phụ Cấp</v>
      </c>
      <c r="D1598" s="173">
        <v>45901</v>
      </c>
      <c r="E1598" s="169" t="s">
        <v>1046</v>
      </c>
      <c r="F1598" s="169" t="s">
        <v>385</v>
      </c>
      <c r="G1598" s="169" t="s">
        <v>336</v>
      </c>
      <c r="H1598" s="169" t="s">
        <v>366</v>
      </c>
      <c r="I1598" s="169" t="s">
        <v>1</v>
      </c>
      <c r="J1598" s="169" t="s">
        <v>1047</v>
      </c>
      <c r="K1598" s="169" t="s">
        <v>581</v>
      </c>
      <c r="L1598" s="169" t="s">
        <v>1048</v>
      </c>
      <c r="M1598" s="169" t="s">
        <v>281</v>
      </c>
      <c r="N1598" s="178">
        <v>7056000</v>
      </c>
      <c r="O1598" s="169" t="s">
        <v>1049</v>
      </c>
      <c r="P1598" s="169" t="s">
        <v>283</v>
      </c>
      <c r="Q1598" s="169" t="s">
        <v>306</v>
      </c>
      <c r="R1598" s="169" t="s">
        <v>283</v>
      </c>
      <c r="S1598" s="169" t="s">
        <v>283</v>
      </c>
      <c r="T1598" s="169">
        <v>0</v>
      </c>
    </row>
    <row r="1599" spans="1:20" x14ac:dyDescent="0.2">
      <c r="A1599" s="169" t="str">
        <f t="shared" si="3"/>
        <v>627</v>
      </c>
      <c r="B1599" s="167" t="str">
        <f>_xlfn.XLOOKUP(I1599,Mapping!D:D,Mapping!E:E)</f>
        <v>Xưởng Sản Xuất</v>
      </c>
      <c r="C1599" s="167" t="str">
        <f>_xlfn.XLOOKUP(F1599,Mapping!A:A,Mapping!F:F)</f>
        <v>Khen thưởng BD khác</v>
      </c>
      <c r="D1599" s="173">
        <v>45913</v>
      </c>
      <c r="E1599" s="169" t="s">
        <v>1050</v>
      </c>
      <c r="F1599" s="169" t="s">
        <v>435</v>
      </c>
      <c r="G1599" s="169" t="s">
        <v>222</v>
      </c>
      <c r="H1599" s="169" t="s">
        <v>436</v>
      </c>
      <c r="I1599" s="169" t="s">
        <v>437</v>
      </c>
      <c r="J1599" s="169" t="s">
        <v>1051</v>
      </c>
      <c r="K1599" s="169" t="s">
        <v>1052</v>
      </c>
      <c r="L1599" s="169" t="s">
        <v>1048</v>
      </c>
      <c r="M1599" s="169" t="s">
        <v>281</v>
      </c>
      <c r="N1599" s="178">
        <v>10050000</v>
      </c>
      <c r="O1599" s="169" t="s">
        <v>1053</v>
      </c>
      <c r="P1599" s="169" t="s">
        <v>283</v>
      </c>
      <c r="Q1599" s="169" t="s">
        <v>964</v>
      </c>
      <c r="R1599" s="169" t="s">
        <v>283</v>
      </c>
      <c r="S1599" s="169" t="s">
        <v>283</v>
      </c>
      <c r="T1599" s="169">
        <v>0</v>
      </c>
    </row>
    <row r="1600" spans="1:20" x14ac:dyDescent="0.2">
      <c r="A1600" s="169" t="str">
        <f t="shared" si="3"/>
        <v>627</v>
      </c>
      <c r="B1600" s="167" t="str">
        <f>_xlfn.XLOOKUP(I1600,Mapping!D:D,Mapping!E:E)</f>
        <v>Nghiên Cứu &amp; Phát Triển</v>
      </c>
      <c r="C1600" s="167" t="str">
        <f>_xlfn.XLOOKUP(F1600,Mapping!A:A,Mapping!F:F)</f>
        <v>Khen thưởng BD khác</v>
      </c>
      <c r="D1600" s="173">
        <v>45911</v>
      </c>
      <c r="E1600" s="169" t="s">
        <v>1054</v>
      </c>
      <c r="F1600" s="169" t="s">
        <v>435</v>
      </c>
      <c r="G1600" s="169" t="s">
        <v>222</v>
      </c>
      <c r="H1600" s="169" t="s">
        <v>418</v>
      </c>
      <c r="I1600" s="169" t="s">
        <v>419</v>
      </c>
      <c r="J1600" s="169" t="s">
        <v>1055</v>
      </c>
      <c r="K1600" s="169" t="s">
        <v>978</v>
      </c>
      <c r="L1600" s="169" t="s">
        <v>1048</v>
      </c>
      <c r="M1600" s="169" t="s">
        <v>281</v>
      </c>
      <c r="N1600" s="178">
        <v>4000000</v>
      </c>
      <c r="O1600" s="169" t="s">
        <v>1056</v>
      </c>
      <c r="P1600" s="169" t="s">
        <v>283</v>
      </c>
      <c r="Q1600" s="169" t="s">
        <v>306</v>
      </c>
      <c r="R1600" s="169" t="s">
        <v>283</v>
      </c>
      <c r="S1600" s="169" t="s">
        <v>283</v>
      </c>
      <c r="T1600" s="169">
        <v>0</v>
      </c>
    </row>
    <row r="1601" spans="1:20" x14ac:dyDescent="0.2">
      <c r="A1601" s="169" t="str">
        <f t="shared" si="3"/>
        <v>627</v>
      </c>
      <c r="B1601" s="167" t="str">
        <f>_xlfn.XLOOKUP(I1601,Mapping!D:D,Mapping!E:E)</f>
        <v>Nghiên Cứu &amp; Phát Triển</v>
      </c>
      <c r="C1601" s="167" t="str">
        <f>_xlfn.XLOOKUP(F1601,Mapping!A:A,Mapping!F:F)</f>
        <v>Khen thưởng BD khác</v>
      </c>
      <c r="D1601" s="173">
        <v>45911</v>
      </c>
      <c r="E1601" s="169" t="s">
        <v>1054</v>
      </c>
      <c r="F1601" s="169" t="s">
        <v>435</v>
      </c>
      <c r="G1601" s="169" t="s">
        <v>222</v>
      </c>
      <c r="H1601" s="169" t="s">
        <v>418</v>
      </c>
      <c r="I1601" s="169" t="s">
        <v>419</v>
      </c>
      <c r="J1601" s="169" t="s">
        <v>1057</v>
      </c>
      <c r="K1601" s="169" t="s">
        <v>978</v>
      </c>
      <c r="L1601" s="169" t="s">
        <v>1048</v>
      </c>
      <c r="M1601" s="169" t="s">
        <v>281</v>
      </c>
      <c r="N1601" s="178">
        <v>3600000</v>
      </c>
      <c r="O1601" s="169" t="s">
        <v>1056</v>
      </c>
      <c r="P1601" s="169" t="s">
        <v>283</v>
      </c>
      <c r="Q1601" s="169" t="s">
        <v>306</v>
      </c>
      <c r="R1601" s="169" t="s">
        <v>283</v>
      </c>
      <c r="S1601" s="169" t="s">
        <v>283</v>
      </c>
      <c r="T1601" s="169">
        <v>0</v>
      </c>
    </row>
    <row r="1602" spans="1:20" x14ac:dyDescent="0.2">
      <c r="A1602" s="169" t="str">
        <f t="shared" si="3"/>
        <v>627</v>
      </c>
      <c r="B1602" s="167" t="str">
        <f>_xlfn.XLOOKUP(I1602,Mapping!D:D,Mapping!E:E)</f>
        <v>Kiểm Soát Chất Lượng</v>
      </c>
      <c r="C1602" s="167" t="str">
        <f>_xlfn.XLOOKUP(F1602,Mapping!A:A,Mapping!F:F)</f>
        <v>Khen thưởng BD khác</v>
      </c>
      <c r="D1602" s="173">
        <v>45913</v>
      </c>
      <c r="E1602" s="169" t="s">
        <v>1058</v>
      </c>
      <c r="F1602" s="169" t="s">
        <v>435</v>
      </c>
      <c r="G1602" s="169" t="s">
        <v>222</v>
      </c>
      <c r="H1602" s="169" t="s">
        <v>411</v>
      </c>
      <c r="I1602" s="169" t="s">
        <v>412</v>
      </c>
      <c r="J1602" s="169" t="s">
        <v>1059</v>
      </c>
      <c r="K1602" s="169" t="s">
        <v>978</v>
      </c>
      <c r="L1602" s="169" t="s">
        <v>1048</v>
      </c>
      <c r="M1602" s="169" t="s">
        <v>281</v>
      </c>
      <c r="N1602" s="178">
        <v>3600000</v>
      </c>
      <c r="O1602" s="169" t="s">
        <v>1060</v>
      </c>
      <c r="P1602" s="169" t="s">
        <v>283</v>
      </c>
      <c r="Q1602" s="169" t="s">
        <v>306</v>
      </c>
      <c r="R1602" s="169" t="s">
        <v>283</v>
      </c>
      <c r="S1602" s="169" t="s">
        <v>283</v>
      </c>
      <c r="T1602" s="169">
        <v>0</v>
      </c>
    </row>
    <row r="1603" spans="1:20" x14ac:dyDescent="0.2">
      <c r="A1603" s="169" t="str">
        <f t="shared" si="3"/>
        <v>627</v>
      </c>
      <c r="B1603" s="167" t="str">
        <f>_xlfn.XLOOKUP(I1603,Mapping!D:D,Mapping!E:E)</f>
        <v>Xưởng Sản Xuất</v>
      </c>
      <c r="C1603" s="167" t="str">
        <f>_xlfn.XLOOKUP(F1603,Mapping!A:A,Mapping!F:F)</f>
        <v>Khen thưởng BD khác</v>
      </c>
      <c r="D1603" s="173">
        <v>45924</v>
      </c>
      <c r="E1603" s="169" t="s">
        <v>1061</v>
      </c>
      <c r="F1603" s="169" t="s">
        <v>435</v>
      </c>
      <c r="G1603" s="169" t="s">
        <v>222</v>
      </c>
      <c r="H1603" s="169" t="s">
        <v>436</v>
      </c>
      <c r="I1603" s="169" t="s">
        <v>437</v>
      </c>
      <c r="J1603" s="169" t="s">
        <v>1062</v>
      </c>
      <c r="K1603" s="169" t="s">
        <v>1052</v>
      </c>
      <c r="L1603" s="169" t="s">
        <v>1048</v>
      </c>
      <c r="M1603" s="169" t="s">
        <v>281</v>
      </c>
      <c r="N1603" s="178">
        <v>12950000</v>
      </c>
      <c r="O1603" s="169" t="s">
        <v>1063</v>
      </c>
      <c r="P1603" s="169" t="s">
        <v>283</v>
      </c>
      <c r="Q1603" s="169" t="s">
        <v>964</v>
      </c>
      <c r="R1603" s="169" t="s">
        <v>283</v>
      </c>
      <c r="S1603" s="169" t="s">
        <v>283</v>
      </c>
      <c r="T1603" s="169">
        <v>0</v>
      </c>
    </row>
    <row r="1604" spans="1:20" x14ac:dyDescent="0.2">
      <c r="A1604" s="169" t="str">
        <f t="shared" si="3"/>
        <v>641</v>
      </c>
      <c r="B1604" s="167" t="str">
        <f>_xlfn.XLOOKUP(I1604,Mapping!D:D,Mapping!E:E)</f>
        <v>Kinh doanh</v>
      </c>
      <c r="C1604" s="167" t="str">
        <f>_xlfn.XLOOKUP(F1604,Mapping!A:A,Mapping!F:F)</f>
        <v>Thưởng</v>
      </c>
      <c r="D1604" s="173">
        <v>45926</v>
      </c>
      <c r="E1604" s="169" t="s">
        <v>1064</v>
      </c>
      <c r="F1604" s="169" t="s">
        <v>365</v>
      </c>
      <c r="G1604" s="169" t="s">
        <v>291</v>
      </c>
      <c r="H1604" s="169" t="s">
        <v>366</v>
      </c>
      <c r="I1604" s="169" t="s">
        <v>1</v>
      </c>
      <c r="J1604" s="169" t="s">
        <v>1065</v>
      </c>
      <c r="K1604" s="169" t="s">
        <v>1066</v>
      </c>
      <c r="L1604" s="169" t="s">
        <v>1048</v>
      </c>
      <c r="M1604" s="169" t="s">
        <v>281</v>
      </c>
      <c r="N1604" s="178">
        <v>-6011386</v>
      </c>
      <c r="O1604" s="169" t="s">
        <v>1067</v>
      </c>
      <c r="P1604" s="169" t="s">
        <v>283</v>
      </c>
      <c r="Q1604" s="169" t="s">
        <v>370</v>
      </c>
      <c r="R1604" s="169" t="s">
        <v>283</v>
      </c>
      <c r="S1604" s="169" t="s">
        <v>283</v>
      </c>
      <c r="T1604" s="169">
        <v>0</v>
      </c>
    </row>
    <row r="1605" spans="1:20" x14ac:dyDescent="0.2">
      <c r="A1605" s="169" t="str">
        <f t="shared" si="3"/>
        <v>641</v>
      </c>
      <c r="B1605" s="167" t="str">
        <f>_xlfn.XLOOKUP(I1605,Mapping!D:D,Mapping!E:E)</f>
        <v>Kinh doanh</v>
      </c>
      <c r="C1605" s="167" t="str">
        <f>_xlfn.XLOOKUP(F1605,Mapping!A:A,Mapping!F:F)</f>
        <v>Lương Chính +T13</v>
      </c>
      <c r="D1605" s="173">
        <v>45926</v>
      </c>
      <c r="E1605" s="169" t="s">
        <v>1068</v>
      </c>
      <c r="F1605" s="169" t="s">
        <v>383</v>
      </c>
      <c r="G1605" s="169" t="s">
        <v>275</v>
      </c>
      <c r="H1605" s="169" t="s">
        <v>366</v>
      </c>
      <c r="I1605" s="169" t="s">
        <v>1</v>
      </c>
      <c r="J1605" s="169" t="s">
        <v>1069</v>
      </c>
      <c r="K1605" s="169" t="s">
        <v>1070</v>
      </c>
      <c r="L1605" s="169" t="s">
        <v>1048</v>
      </c>
      <c r="M1605" s="169" t="s">
        <v>281</v>
      </c>
      <c r="N1605" s="178">
        <v>105780000</v>
      </c>
      <c r="O1605" s="169" t="s">
        <v>1071</v>
      </c>
      <c r="P1605" s="169" t="s">
        <v>283</v>
      </c>
      <c r="Q1605" s="169" t="s">
        <v>973</v>
      </c>
      <c r="R1605" s="169" t="s">
        <v>283</v>
      </c>
      <c r="S1605" s="169" t="s">
        <v>283</v>
      </c>
      <c r="T1605" s="169">
        <v>0</v>
      </c>
    </row>
    <row r="1606" spans="1:20" x14ac:dyDescent="0.2">
      <c r="A1606" s="169" t="str">
        <f t="shared" si="3"/>
        <v>642</v>
      </c>
      <c r="B1606" s="167" t="str">
        <f>_xlfn.XLOOKUP(I1606,Mapping!D:D,Mapping!E:E)</f>
        <v>Hành Chánh Nhân Sự</v>
      </c>
      <c r="C1606" s="167" t="str">
        <f>_xlfn.XLOOKUP(F1606,Mapping!A:A,Mapping!F:F)</f>
        <v>Khen thưởng BD khác</v>
      </c>
      <c r="D1606" s="173">
        <v>45930</v>
      </c>
      <c r="E1606" s="169" t="s">
        <v>1072</v>
      </c>
      <c r="F1606" s="169" t="s">
        <v>300</v>
      </c>
      <c r="G1606" s="169" t="s">
        <v>222</v>
      </c>
      <c r="H1606" s="169" t="s">
        <v>358</v>
      </c>
      <c r="I1606" s="169" t="s">
        <v>359</v>
      </c>
      <c r="J1606" s="169" t="s">
        <v>1073</v>
      </c>
      <c r="K1606" s="169" t="s">
        <v>1073</v>
      </c>
      <c r="L1606" s="169" t="s">
        <v>1048</v>
      </c>
      <c r="M1606" s="169" t="s">
        <v>281</v>
      </c>
      <c r="N1606" s="178">
        <v>1500000</v>
      </c>
      <c r="O1606" s="169" t="s">
        <v>1074</v>
      </c>
      <c r="P1606" s="169" t="s">
        <v>283</v>
      </c>
      <c r="Q1606" s="169" t="s">
        <v>764</v>
      </c>
      <c r="R1606" s="169" t="s">
        <v>283</v>
      </c>
      <c r="S1606" s="169" t="s">
        <v>283</v>
      </c>
      <c r="T1606" s="169">
        <v>0</v>
      </c>
    </row>
    <row r="1607" spans="1:20" x14ac:dyDescent="0.2">
      <c r="A1607" s="169" t="str">
        <f t="shared" si="3"/>
        <v>627</v>
      </c>
      <c r="B1607" s="167" t="str">
        <f>_xlfn.XLOOKUP(I1607,Mapping!D:D,Mapping!E:E)</f>
        <v>Xưởng Sản Xuất</v>
      </c>
      <c r="C1607" s="167" t="str">
        <f>_xlfn.XLOOKUP(F1607,Mapping!A:A,Mapping!F:F)</f>
        <v>Phụ Cấp</v>
      </c>
      <c r="D1607" s="173">
        <v>45929</v>
      </c>
      <c r="E1607" s="169" t="s">
        <v>1075</v>
      </c>
      <c r="F1607" s="169" t="s">
        <v>375</v>
      </c>
      <c r="G1607" s="169" t="s">
        <v>336</v>
      </c>
      <c r="H1607" s="169" t="s">
        <v>402</v>
      </c>
      <c r="I1607" s="169" t="s">
        <v>403</v>
      </c>
      <c r="J1607" s="169" t="s">
        <v>1076</v>
      </c>
      <c r="K1607" s="169" t="s">
        <v>992</v>
      </c>
      <c r="L1607" s="169" t="s">
        <v>1048</v>
      </c>
      <c r="M1607" s="169" t="s">
        <v>281</v>
      </c>
      <c r="N1607" s="178">
        <v>159825000</v>
      </c>
      <c r="O1607" s="169" t="s">
        <v>1077</v>
      </c>
      <c r="P1607" s="169" t="s">
        <v>283</v>
      </c>
      <c r="Q1607" s="169" t="s">
        <v>306</v>
      </c>
      <c r="R1607" s="169" t="s">
        <v>283</v>
      </c>
      <c r="S1607" s="169" t="s">
        <v>283</v>
      </c>
      <c r="T1607" s="169">
        <v>0</v>
      </c>
    </row>
    <row r="1608" spans="1:20" x14ac:dyDescent="0.2">
      <c r="A1608" s="169" t="str">
        <f t="shared" si="3"/>
        <v>642</v>
      </c>
      <c r="B1608" s="167" t="str">
        <f>_xlfn.XLOOKUP(I1608,Mapping!D:D,Mapping!E:E)</f>
        <v>Hành Chánh Nhân Sự</v>
      </c>
      <c r="C1608" s="167" t="str">
        <f>_xlfn.XLOOKUP(F1608,Mapping!A:A,Mapping!F:F)</f>
        <v>Phụ Cấp</v>
      </c>
      <c r="D1608" s="173">
        <v>45929</v>
      </c>
      <c r="E1608" s="169" t="s">
        <v>1075</v>
      </c>
      <c r="F1608" s="169" t="s">
        <v>335</v>
      </c>
      <c r="G1608" s="169" t="s">
        <v>336</v>
      </c>
      <c r="H1608" s="169" t="s">
        <v>301</v>
      </c>
      <c r="I1608" s="169" t="s">
        <v>302</v>
      </c>
      <c r="J1608" s="169" t="s">
        <v>1076</v>
      </c>
      <c r="K1608" s="169" t="s">
        <v>992</v>
      </c>
      <c r="L1608" s="169" t="s">
        <v>1048</v>
      </c>
      <c r="M1608" s="169" t="s">
        <v>281</v>
      </c>
      <c r="N1608" s="178">
        <v>28550000</v>
      </c>
      <c r="O1608" s="169" t="s">
        <v>1077</v>
      </c>
      <c r="P1608" s="169" t="s">
        <v>283</v>
      </c>
      <c r="Q1608" s="169" t="s">
        <v>306</v>
      </c>
      <c r="R1608" s="169" t="s">
        <v>283</v>
      </c>
      <c r="S1608" s="169" t="s">
        <v>283</v>
      </c>
      <c r="T1608" s="169">
        <v>0</v>
      </c>
    </row>
    <row r="1609" spans="1:20" x14ac:dyDescent="0.2">
      <c r="A1609" s="169" t="str">
        <f t="shared" si="3"/>
        <v>642</v>
      </c>
      <c r="B1609" s="167" t="str">
        <f>_xlfn.XLOOKUP(I1609,Mapping!D:D,Mapping!E:E)</f>
        <v>Kế Toán</v>
      </c>
      <c r="C1609" s="167" t="str">
        <f>_xlfn.XLOOKUP(F1609,Mapping!A:A,Mapping!F:F)</f>
        <v>Phụ Cấp</v>
      </c>
      <c r="D1609" s="173">
        <v>45929</v>
      </c>
      <c r="E1609" s="169" t="s">
        <v>1075</v>
      </c>
      <c r="F1609" s="169" t="s">
        <v>335</v>
      </c>
      <c r="G1609" s="169" t="s">
        <v>336</v>
      </c>
      <c r="H1609" s="169" t="s">
        <v>356</v>
      </c>
      <c r="I1609" s="169" t="s">
        <v>357</v>
      </c>
      <c r="J1609" s="169" t="s">
        <v>1076</v>
      </c>
      <c r="K1609" s="169" t="s">
        <v>992</v>
      </c>
      <c r="L1609" s="169" t="s">
        <v>1048</v>
      </c>
      <c r="M1609" s="169" t="s">
        <v>281</v>
      </c>
      <c r="N1609" s="178">
        <v>16675000</v>
      </c>
      <c r="O1609" s="169" t="s">
        <v>1077</v>
      </c>
      <c r="P1609" s="169" t="s">
        <v>283</v>
      </c>
      <c r="Q1609" s="169" t="s">
        <v>306</v>
      </c>
      <c r="R1609" s="169" t="s">
        <v>283</v>
      </c>
      <c r="S1609" s="169" t="s">
        <v>283</v>
      </c>
      <c r="T1609" s="169">
        <v>0</v>
      </c>
    </row>
    <row r="1610" spans="1:20" x14ac:dyDescent="0.2">
      <c r="A1610" s="169" t="str">
        <f t="shared" si="3"/>
        <v>642</v>
      </c>
      <c r="B1610" s="167" t="str">
        <f>_xlfn.XLOOKUP(I1610,Mapping!D:D,Mapping!E:E)</f>
        <v>Văn Phòng Giám Đốc</v>
      </c>
      <c r="C1610" s="167" t="str">
        <f>_xlfn.XLOOKUP(F1610,Mapping!A:A,Mapping!F:F)</f>
        <v>Phụ Cấp</v>
      </c>
      <c r="D1610" s="173">
        <v>45929</v>
      </c>
      <c r="E1610" s="169" t="s">
        <v>1075</v>
      </c>
      <c r="F1610" s="169" t="s">
        <v>335</v>
      </c>
      <c r="G1610" s="169" t="s">
        <v>336</v>
      </c>
      <c r="H1610" s="169" t="s">
        <v>320</v>
      </c>
      <c r="I1610" s="169" t="s">
        <v>321</v>
      </c>
      <c r="J1610" s="169" t="s">
        <v>1076</v>
      </c>
      <c r="K1610" s="169" t="s">
        <v>992</v>
      </c>
      <c r="L1610" s="169" t="s">
        <v>1048</v>
      </c>
      <c r="M1610" s="169" t="s">
        <v>281</v>
      </c>
      <c r="N1610" s="178">
        <v>1475000</v>
      </c>
      <c r="O1610" s="169" t="s">
        <v>1077</v>
      </c>
      <c r="P1610" s="169" t="s">
        <v>283</v>
      </c>
      <c r="Q1610" s="169" t="s">
        <v>306</v>
      </c>
      <c r="R1610" s="169" t="s">
        <v>283</v>
      </c>
      <c r="S1610" s="169" t="s">
        <v>283</v>
      </c>
      <c r="T1610" s="169">
        <v>0</v>
      </c>
    </row>
    <row r="1611" spans="1:20" x14ac:dyDescent="0.2">
      <c r="A1611" s="169" t="str">
        <f t="shared" si="3"/>
        <v>627</v>
      </c>
      <c r="B1611" s="167" t="str">
        <f>_xlfn.XLOOKUP(I1611,Mapping!D:D,Mapping!E:E)</f>
        <v>Kỹ Thuật</v>
      </c>
      <c r="C1611" s="167" t="str">
        <f>_xlfn.XLOOKUP(F1611,Mapping!A:A,Mapping!F:F)</f>
        <v>Phụ Cấp</v>
      </c>
      <c r="D1611" s="173">
        <v>45929</v>
      </c>
      <c r="E1611" s="169" t="s">
        <v>1075</v>
      </c>
      <c r="F1611" s="169" t="s">
        <v>375</v>
      </c>
      <c r="G1611" s="169" t="s">
        <v>336</v>
      </c>
      <c r="H1611" s="169" t="s">
        <v>376</v>
      </c>
      <c r="I1611" s="169" t="s">
        <v>377</v>
      </c>
      <c r="J1611" s="169" t="s">
        <v>1076</v>
      </c>
      <c r="K1611" s="169" t="s">
        <v>992</v>
      </c>
      <c r="L1611" s="169" t="s">
        <v>1048</v>
      </c>
      <c r="M1611" s="169" t="s">
        <v>281</v>
      </c>
      <c r="N1611" s="178">
        <v>51025000</v>
      </c>
      <c r="O1611" s="169" t="s">
        <v>1077</v>
      </c>
      <c r="P1611" s="169" t="s">
        <v>283</v>
      </c>
      <c r="Q1611" s="169" t="s">
        <v>306</v>
      </c>
      <c r="R1611" s="169" t="s">
        <v>283</v>
      </c>
      <c r="S1611" s="169" t="s">
        <v>283</v>
      </c>
      <c r="T1611" s="169">
        <v>0</v>
      </c>
    </row>
    <row r="1612" spans="1:20" x14ac:dyDescent="0.2">
      <c r="A1612" s="169" t="str">
        <f t="shared" si="3"/>
        <v>627</v>
      </c>
      <c r="B1612" s="167" t="str">
        <f>_xlfn.XLOOKUP(I1612,Mapping!D:D,Mapping!E:E)</f>
        <v>Kiểm Soát Chất Lượng</v>
      </c>
      <c r="C1612" s="167" t="str">
        <f>_xlfn.XLOOKUP(F1612,Mapping!A:A,Mapping!F:F)</f>
        <v>Phụ Cấp</v>
      </c>
      <c r="D1612" s="173">
        <v>45929</v>
      </c>
      <c r="E1612" s="169" t="s">
        <v>1075</v>
      </c>
      <c r="F1612" s="169" t="s">
        <v>375</v>
      </c>
      <c r="G1612" s="169" t="s">
        <v>336</v>
      </c>
      <c r="H1612" s="169" t="s">
        <v>411</v>
      </c>
      <c r="I1612" s="169" t="s">
        <v>412</v>
      </c>
      <c r="J1612" s="169" t="s">
        <v>1076</v>
      </c>
      <c r="K1612" s="169" t="s">
        <v>992</v>
      </c>
      <c r="L1612" s="169" t="s">
        <v>1048</v>
      </c>
      <c r="M1612" s="169" t="s">
        <v>281</v>
      </c>
      <c r="N1612" s="178">
        <v>33825000</v>
      </c>
      <c r="O1612" s="169" t="s">
        <v>1077</v>
      </c>
      <c r="P1612" s="169" t="s">
        <v>283</v>
      </c>
      <c r="Q1612" s="169" t="s">
        <v>306</v>
      </c>
      <c r="R1612" s="169" t="s">
        <v>283</v>
      </c>
      <c r="S1612" s="169" t="s">
        <v>283</v>
      </c>
      <c r="T1612" s="169">
        <v>0</v>
      </c>
    </row>
    <row r="1613" spans="1:20" x14ac:dyDescent="0.2">
      <c r="A1613" s="169" t="str">
        <f t="shared" si="3"/>
        <v>627</v>
      </c>
      <c r="B1613" s="167" t="str">
        <f>_xlfn.XLOOKUP(I1613,Mapping!D:D,Mapping!E:E)</f>
        <v>Xưởng Sản Xuất</v>
      </c>
      <c r="C1613" s="167" t="str">
        <f>_xlfn.XLOOKUP(F1613,Mapping!A:A,Mapping!F:F)</f>
        <v>Phụ Cấp</v>
      </c>
      <c r="D1613" s="173">
        <v>45929</v>
      </c>
      <c r="E1613" s="169" t="s">
        <v>1075</v>
      </c>
      <c r="F1613" s="169" t="s">
        <v>375</v>
      </c>
      <c r="G1613" s="169" t="s">
        <v>336</v>
      </c>
      <c r="H1613" s="169" t="s">
        <v>441</v>
      </c>
      <c r="I1613" s="169" t="s">
        <v>442</v>
      </c>
      <c r="J1613" s="169" t="s">
        <v>1076</v>
      </c>
      <c r="K1613" s="169" t="s">
        <v>992</v>
      </c>
      <c r="L1613" s="169" t="s">
        <v>1048</v>
      </c>
      <c r="M1613" s="169" t="s">
        <v>281</v>
      </c>
      <c r="N1613" s="178">
        <v>425000</v>
      </c>
      <c r="O1613" s="169" t="s">
        <v>1077</v>
      </c>
      <c r="P1613" s="169" t="s">
        <v>283</v>
      </c>
      <c r="Q1613" s="169" t="s">
        <v>306</v>
      </c>
      <c r="R1613" s="169" t="s">
        <v>283</v>
      </c>
      <c r="S1613" s="169" t="s">
        <v>283</v>
      </c>
      <c r="T1613" s="169">
        <v>0</v>
      </c>
    </row>
    <row r="1614" spans="1:20" x14ac:dyDescent="0.2">
      <c r="A1614" s="169" t="str">
        <f t="shared" si="3"/>
        <v>627</v>
      </c>
      <c r="B1614" s="167" t="str">
        <f>_xlfn.XLOOKUP(I1614,Mapping!D:D,Mapping!E:E)</f>
        <v>Xưởng Sản Xuất</v>
      </c>
      <c r="C1614" s="167" t="str">
        <f>_xlfn.XLOOKUP(F1614,Mapping!A:A,Mapping!F:F)</f>
        <v>Phụ Cấp</v>
      </c>
      <c r="D1614" s="173">
        <v>45929</v>
      </c>
      <c r="E1614" s="169" t="s">
        <v>1075</v>
      </c>
      <c r="F1614" s="169" t="s">
        <v>375</v>
      </c>
      <c r="G1614" s="169" t="s">
        <v>336</v>
      </c>
      <c r="H1614" s="169" t="s">
        <v>430</v>
      </c>
      <c r="I1614" s="169" t="s">
        <v>431</v>
      </c>
      <c r="J1614" s="169" t="s">
        <v>1076</v>
      </c>
      <c r="K1614" s="169" t="s">
        <v>992</v>
      </c>
      <c r="L1614" s="169" t="s">
        <v>1048</v>
      </c>
      <c r="M1614" s="169" t="s">
        <v>281</v>
      </c>
      <c r="N1614" s="178">
        <v>26350000</v>
      </c>
      <c r="O1614" s="169" t="s">
        <v>1077</v>
      </c>
      <c r="P1614" s="169" t="s">
        <v>283</v>
      </c>
      <c r="Q1614" s="169" t="s">
        <v>306</v>
      </c>
      <c r="R1614" s="169" t="s">
        <v>283</v>
      </c>
      <c r="S1614" s="169" t="s">
        <v>283</v>
      </c>
      <c r="T1614" s="169">
        <v>0</v>
      </c>
    </row>
    <row r="1615" spans="1:20" x14ac:dyDescent="0.2">
      <c r="A1615" s="169" t="str">
        <f t="shared" si="3"/>
        <v>627</v>
      </c>
      <c r="B1615" s="167" t="str">
        <f>_xlfn.XLOOKUP(I1615,Mapping!D:D,Mapping!E:E)</f>
        <v>Xưởng Sản Xuất</v>
      </c>
      <c r="C1615" s="167" t="str">
        <f>_xlfn.XLOOKUP(F1615,Mapping!A:A,Mapping!F:F)</f>
        <v>Phụ Cấp</v>
      </c>
      <c r="D1615" s="173">
        <v>45929</v>
      </c>
      <c r="E1615" s="169" t="s">
        <v>1075</v>
      </c>
      <c r="F1615" s="169" t="s">
        <v>375</v>
      </c>
      <c r="G1615" s="169" t="s">
        <v>336</v>
      </c>
      <c r="H1615" s="169" t="s">
        <v>436</v>
      </c>
      <c r="I1615" s="169" t="s">
        <v>437</v>
      </c>
      <c r="J1615" s="169" t="s">
        <v>1076</v>
      </c>
      <c r="K1615" s="169" t="s">
        <v>992</v>
      </c>
      <c r="L1615" s="169" t="s">
        <v>1048</v>
      </c>
      <c r="M1615" s="169" t="s">
        <v>281</v>
      </c>
      <c r="N1615" s="178">
        <v>27100000</v>
      </c>
      <c r="O1615" s="169" t="s">
        <v>1077</v>
      </c>
      <c r="P1615" s="169" t="s">
        <v>283</v>
      </c>
      <c r="Q1615" s="169" t="s">
        <v>306</v>
      </c>
      <c r="R1615" s="169" t="s">
        <v>283</v>
      </c>
      <c r="S1615" s="169" t="s">
        <v>283</v>
      </c>
      <c r="T1615" s="169">
        <v>0</v>
      </c>
    </row>
    <row r="1616" spans="1:20" x14ac:dyDescent="0.2">
      <c r="A1616" s="169" t="str">
        <f t="shared" si="3"/>
        <v>642</v>
      </c>
      <c r="B1616" s="167" t="str">
        <f>_xlfn.XLOOKUP(I1616,Mapping!D:D,Mapping!E:E)</f>
        <v>Mua Hàng &amp; XNK</v>
      </c>
      <c r="C1616" s="167" t="str">
        <f>_xlfn.XLOOKUP(F1616,Mapping!A:A,Mapping!F:F)</f>
        <v>Phụ Cấp</v>
      </c>
      <c r="D1616" s="173">
        <v>45929</v>
      </c>
      <c r="E1616" s="169" t="s">
        <v>1075</v>
      </c>
      <c r="F1616" s="169" t="s">
        <v>335</v>
      </c>
      <c r="G1616" s="169" t="s">
        <v>336</v>
      </c>
      <c r="H1616" s="169" t="s">
        <v>378</v>
      </c>
      <c r="I1616" s="169" t="s">
        <v>379</v>
      </c>
      <c r="J1616" s="169" t="s">
        <v>1076</v>
      </c>
      <c r="K1616" s="169" t="s">
        <v>992</v>
      </c>
      <c r="L1616" s="169" t="s">
        <v>1048</v>
      </c>
      <c r="M1616" s="169" t="s">
        <v>281</v>
      </c>
      <c r="N1616" s="178">
        <v>4625000</v>
      </c>
      <c r="O1616" s="169" t="s">
        <v>1077</v>
      </c>
      <c r="P1616" s="169" t="s">
        <v>283</v>
      </c>
      <c r="Q1616" s="169" t="s">
        <v>306</v>
      </c>
      <c r="R1616" s="169" t="s">
        <v>283</v>
      </c>
      <c r="S1616" s="169" t="s">
        <v>283</v>
      </c>
      <c r="T1616" s="169">
        <v>0</v>
      </c>
    </row>
    <row r="1617" spans="1:20" x14ac:dyDescent="0.2">
      <c r="A1617" s="169" t="str">
        <f t="shared" si="3"/>
        <v>642</v>
      </c>
      <c r="B1617" s="167" t="str">
        <f>_xlfn.XLOOKUP(I1617,Mapping!D:D,Mapping!E:E)</f>
        <v>Cung Ứng</v>
      </c>
      <c r="C1617" s="167" t="str">
        <f>_xlfn.XLOOKUP(F1617,Mapping!A:A,Mapping!F:F)</f>
        <v>Phụ Cấp</v>
      </c>
      <c r="D1617" s="173">
        <v>45929</v>
      </c>
      <c r="E1617" s="169" t="s">
        <v>1075</v>
      </c>
      <c r="F1617" s="169" t="s">
        <v>335</v>
      </c>
      <c r="G1617" s="169" t="s">
        <v>336</v>
      </c>
      <c r="H1617" s="169" t="s">
        <v>380</v>
      </c>
      <c r="I1617" s="169" t="s">
        <v>381</v>
      </c>
      <c r="J1617" s="169" t="s">
        <v>1076</v>
      </c>
      <c r="K1617" s="169" t="s">
        <v>992</v>
      </c>
      <c r="L1617" s="169" t="s">
        <v>1048</v>
      </c>
      <c r="M1617" s="169" t="s">
        <v>281</v>
      </c>
      <c r="N1617" s="178">
        <v>2775000</v>
      </c>
      <c r="O1617" s="169" t="s">
        <v>1077</v>
      </c>
      <c r="P1617" s="169" t="s">
        <v>283</v>
      </c>
      <c r="Q1617" s="169" t="s">
        <v>306</v>
      </c>
      <c r="R1617" s="169" t="s">
        <v>283</v>
      </c>
      <c r="S1617" s="169" t="s">
        <v>283</v>
      </c>
      <c r="T1617" s="169">
        <v>0</v>
      </c>
    </row>
    <row r="1618" spans="1:20" x14ac:dyDescent="0.2">
      <c r="A1618" s="169" t="str">
        <f t="shared" si="3"/>
        <v>642</v>
      </c>
      <c r="B1618" s="167" t="str">
        <f>_xlfn.XLOOKUP(I1618,Mapping!D:D,Mapping!E:E)</f>
        <v>Hành Chánh Nhân Sự</v>
      </c>
      <c r="C1618" s="167" t="str">
        <f>_xlfn.XLOOKUP(F1618,Mapping!A:A,Mapping!F:F)</f>
        <v>Phụ Cấp</v>
      </c>
      <c r="D1618" s="173">
        <v>45929</v>
      </c>
      <c r="E1618" s="169" t="s">
        <v>1075</v>
      </c>
      <c r="F1618" s="169" t="s">
        <v>335</v>
      </c>
      <c r="G1618" s="169" t="s">
        <v>336</v>
      </c>
      <c r="H1618" s="169" t="s">
        <v>382</v>
      </c>
      <c r="I1618" s="169" t="s">
        <v>200</v>
      </c>
      <c r="J1618" s="169" t="s">
        <v>1076</v>
      </c>
      <c r="K1618" s="169" t="s">
        <v>992</v>
      </c>
      <c r="L1618" s="169" t="s">
        <v>1048</v>
      </c>
      <c r="M1618" s="169" t="s">
        <v>281</v>
      </c>
      <c r="N1618" s="178">
        <v>1575000</v>
      </c>
      <c r="O1618" s="169" t="s">
        <v>1077</v>
      </c>
      <c r="P1618" s="169" t="s">
        <v>283</v>
      </c>
      <c r="Q1618" s="169" t="s">
        <v>306</v>
      </c>
      <c r="R1618" s="169" t="s">
        <v>283</v>
      </c>
      <c r="S1618" s="169" t="s">
        <v>283</v>
      </c>
      <c r="T1618" s="169">
        <v>0</v>
      </c>
    </row>
    <row r="1619" spans="1:20" x14ac:dyDescent="0.2">
      <c r="A1619" s="169" t="str">
        <f t="shared" si="3"/>
        <v>642</v>
      </c>
      <c r="B1619" s="167" t="str">
        <f>_xlfn.XLOOKUP(I1619,Mapping!D:D,Mapping!E:E)</f>
        <v>Hành Chánh Nhân Sự</v>
      </c>
      <c r="C1619" s="167" t="str">
        <f>_xlfn.XLOOKUP(F1619,Mapping!A:A,Mapping!F:F)</f>
        <v>Phụ Cấp</v>
      </c>
      <c r="D1619" s="173">
        <v>45929</v>
      </c>
      <c r="E1619" s="169" t="s">
        <v>1075</v>
      </c>
      <c r="F1619" s="169" t="s">
        <v>335</v>
      </c>
      <c r="G1619" s="169" t="s">
        <v>336</v>
      </c>
      <c r="H1619" s="169" t="s">
        <v>358</v>
      </c>
      <c r="I1619" s="169" t="s">
        <v>359</v>
      </c>
      <c r="J1619" s="169" t="s">
        <v>1076</v>
      </c>
      <c r="K1619" s="169" t="s">
        <v>992</v>
      </c>
      <c r="L1619" s="169" t="s">
        <v>1048</v>
      </c>
      <c r="M1619" s="169" t="s">
        <v>281</v>
      </c>
      <c r="N1619" s="178">
        <v>2925000</v>
      </c>
      <c r="O1619" s="169" t="s">
        <v>1077</v>
      </c>
      <c r="P1619" s="169" t="s">
        <v>283</v>
      </c>
      <c r="Q1619" s="169" t="s">
        <v>306</v>
      </c>
      <c r="R1619" s="169" t="s">
        <v>283</v>
      </c>
      <c r="S1619" s="169" t="s">
        <v>283</v>
      </c>
      <c r="T1619" s="169">
        <v>0</v>
      </c>
    </row>
    <row r="1620" spans="1:20" x14ac:dyDescent="0.2">
      <c r="A1620" s="169" t="str">
        <f t="shared" si="3"/>
        <v>642</v>
      </c>
      <c r="B1620" s="167" t="str">
        <f>_xlfn.XLOOKUP(I1620,Mapping!D:D,Mapping!E:E)</f>
        <v>Hành Chánh Nhân Sự</v>
      </c>
      <c r="C1620" s="167" t="str">
        <f>_xlfn.XLOOKUP(F1620,Mapping!A:A,Mapping!F:F)</f>
        <v>Lương Chính +T13</v>
      </c>
      <c r="D1620" s="173">
        <v>45930</v>
      </c>
      <c r="E1620" s="169" t="s">
        <v>1078</v>
      </c>
      <c r="F1620" s="169" t="s">
        <v>274</v>
      </c>
      <c r="G1620" s="169" t="s">
        <v>275</v>
      </c>
      <c r="H1620" s="169" t="s">
        <v>301</v>
      </c>
      <c r="I1620" s="169" t="s">
        <v>302</v>
      </c>
      <c r="J1620" s="169" t="s">
        <v>1079</v>
      </c>
      <c r="K1620" s="169" t="s">
        <v>328</v>
      </c>
      <c r="L1620" s="169" t="s">
        <v>1048</v>
      </c>
      <c r="M1620" s="169" t="s">
        <v>281</v>
      </c>
      <c r="N1620" s="178">
        <v>96413333</v>
      </c>
      <c r="O1620" s="169" t="s">
        <v>1080</v>
      </c>
      <c r="P1620" s="169" t="s">
        <v>283</v>
      </c>
      <c r="Q1620" s="169" t="s">
        <v>306</v>
      </c>
      <c r="R1620" s="169" t="s">
        <v>283</v>
      </c>
      <c r="S1620" s="169" t="s">
        <v>283</v>
      </c>
      <c r="T1620" s="169">
        <v>0</v>
      </c>
    </row>
    <row r="1621" spans="1:20" x14ac:dyDescent="0.2">
      <c r="A1621" s="169" t="str">
        <f t="shared" si="3"/>
        <v>642</v>
      </c>
      <c r="B1621" s="167" t="str">
        <f>_xlfn.XLOOKUP(I1621,Mapping!D:D,Mapping!E:E)</f>
        <v>Hành Chánh Nhân Sự</v>
      </c>
      <c r="C1621" s="167" t="str">
        <f>_xlfn.XLOOKUP(F1621,Mapping!A:A,Mapping!F:F)</f>
        <v>Khen thưởng BD khác</v>
      </c>
      <c r="D1621" s="173">
        <v>45930</v>
      </c>
      <c r="E1621" s="169" t="s">
        <v>1081</v>
      </c>
      <c r="F1621" s="169" t="s">
        <v>300</v>
      </c>
      <c r="G1621" s="169" t="s">
        <v>222</v>
      </c>
      <c r="H1621" s="169" t="s">
        <v>301</v>
      </c>
      <c r="I1621" s="169" t="s">
        <v>302</v>
      </c>
      <c r="J1621" s="169" t="s">
        <v>1082</v>
      </c>
      <c r="K1621" s="169" t="s">
        <v>1083</v>
      </c>
      <c r="L1621" s="169" t="s">
        <v>1048</v>
      </c>
      <c r="M1621" s="169" t="s">
        <v>281</v>
      </c>
      <c r="N1621" s="178">
        <v>6000000</v>
      </c>
      <c r="O1621" s="169" t="s">
        <v>1084</v>
      </c>
      <c r="P1621" s="169" t="s">
        <v>283</v>
      </c>
      <c r="Q1621" s="169" t="s">
        <v>306</v>
      </c>
      <c r="R1621" s="169" t="s">
        <v>283</v>
      </c>
      <c r="S1621" s="169" t="s">
        <v>283</v>
      </c>
      <c r="T1621" s="169">
        <v>0</v>
      </c>
    </row>
    <row r="1622" spans="1:20" x14ac:dyDescent="0.2">
      <c r="A1622" s="169" t="str">
        <f t="shared" si="3"/>
        <v>622</v>
      </c>
      <c r="B1622" s="167" t="str">
        <f>_xlfn.XLOOKUP(I1622,Mapping!D:D,Mapping!E:E)</f>
        <v>Xưởng Sản Xuất</v>
      </c>
      <c r="C1622" s="167" t="str">
        <f>_xlfn.XLOOKUP(F1622,Mapping!A:A,Mapping!F:F)</f>
        <v>Lương Chính +T13</v>
      </c>
      <c r="D1622" s="173">
        <v>45930</v>
      </c>
      <c r="E1622" s="169" t="s">
        <v>1085</v>
      </c>
      <c r="F1622" s="169" t="s">
        <v>400</v>
      </c>
      <c r="G1622" s="169" t="s">
        <v>401</v>
      </c>
      <c r="H1622" s="169" t="s">
        <v>430</v>
      </c>
      <c r="I1622" s="169" t="s">
        <v>431</v>
      </c>
      <c r="J1622" s="169" t="s">
        <v>1086</v>
      </c>
      <c r="K1622" s="169" t="s">
        <v>405</v>
      </c>
      <c r="L1622" s="169" t="s">
        <v>1048</v>
      </c>
      <c r="M1622" s="169" t="s">
        <v>281</v>
      </c>
      <c r="N1622" s="178">
        <v>1363930</v>
      </c>
      <c r="O1622" s="169" t="s">
        <v>1087</v>
      </c>
      <c r="P1622" s="169" t="s">
        <v>283</v>
      </c>
      <c r="Q1622" s="169" t="s">
        <v>306</v>
      </c>
      <c r="R1622" s="169" t="s">
        <v>283</v>
      </c>
      <c r="S1622" s="169" t="s">
        <v>283</v>
      </c>
      <c r="T1622" s="169">
        <v>0</v>
      </c>
    </row>
    <row r="1623" spans="1:20" x14ac:dyDescent="0.2">
      <c r="A1623" s="169" t="str">
        <f t="shared" si="3"/>
        <v>627</v>
      </c>
      <c r="B1623" s="167" t="str">
        <f>_xlfn.XLOOKUP(I1623,Mapping!D:D,Mapping!E:E)</f>
        <v>Xưởng Sản Xuất</v>
      </c>
      <c r="C1623" s="167" t="str">
        <f>_xlfn.XLOOKUP(F1623,Mapping!A:A,Mapping!F:F)</f>
        <v>Lương Chính +T13</v>
      </c>
      <c r="D1623" s="173">
        <v>45930</v>
      </c>
      <c r="E1623" s="169" t="s">
        <v>1085</v>
      </c>
      <c r="F1623" s="169" t="s">
        <v>387</v>
      </c>
      <c r="G1623" s="169" t="s">
        <v>275</v>
      </c>
      <c r="H1623" s="169" t="s">
        <v>436</v>
      </c>
      <c r="I1623" s="169" t="s">
        <v>437</v>
      </c>
      <c r="J1623" s="169" t="s">
        <v>1086</v>
      </c>
      <c r="K1623" s="169" t="s">
        <v>405</v>
      </c>
      <c r="L1623" s="169" t="s">
        <v>1048</v>
      </c>
      <c r="M1623" s="169" t="s">
        <v>281</v>
      </c>
      <c r="N1623" s="178">
        <v>8962021</v>
      </c>
      <c r="O1623" s="169" t="s">
        <v>1087</v>
      </c>
      <c r="P1623" s="169" t="s">
        <v>283</v>
      </c>
      <c r="Q1623" s="169" t="s">
        <v>306</v>
      </c>
      <c r="R1623" s="169" t="s">
        <v>283</v>
      </c>
      <c r="S1623" s="169" t="s">
        <v>283</v>
      </c>
      <c r="T1623" s="169">
        <v>0</v>
      </c>
    </row>
    <row r="1624" spans="1:20" x14ac:dyDescent="0.2">
      <c r="A1624" s="169" t="str">
        <f t="shared" si="3"/>
        <v>642</v>
      </c>
      <c r="B1624" s="167" t="str">
        <f>_xlfn.XLOOKUP(I1624,Mapping!D:D,Mapping!E:E)</f>
        <v>Hành Chánh Nhân Sự</v>
      </c>
      <c r="C1624" s="167" t="str">
        <f>_xlfn.XLOOKUP(F1624,Mapping!A:A,Mapping!F:F)</f>
        <v>Lương Chính +T13</v>
      </c>
      <c r="D1624" s="173">
        <v>45930</v>
      </c>
      <c r="E1624" s="169" t="s">
        <v>1085</v>
      </c>
      <c r="F1624" s="169" t="s">
        <v>274</v>
      </c>
      <c r="G1624" s="169" t="s">
        <v>275</v>
      </c>
      <c r="H1624" s="169" t="s">
        <v>301</v>
      </c>
      <c r="I1624" s="169" t="s">
        <v>302</v>
      </c>
      <c r="J1624" s="169" t="s">
        <v>1086</v>
      </c>
      <c r="K1624" s="169" t="s">
        <v>405</v>
      </c>
      <c r="L1624" s="169" t="s">
        <v>1048</v>
      </c>
      <c r="M1624" s="169" t="s">
        <v>281</v>
      </c>
      <c r="N1624" s="178">
        <v>6748140</v>
      </c>
      <c r="O1624" s="169" t="s">
        <v>1087</v>
      </c>
      <c r="P1624" s="169" t="s">
        <v>283</v>
      </c>
      <c r="Q1624" s="169" t="s">
        <v>306</v>
      </c>
      <c r="R1624" s="169" t="s">
        <v>283</v>
      </c>
      <c r="S1624" s="169" t="s">
        <v>283</v>
      </c>
      <c r="T1624" s="169">
        <v>0</v>
      </c>
    </row>
    <row r="1625" spans="1:20" x14ac:dyDescent="0.2">
      <c r="A1625" s="169" t="str">
        <f t="shared" si="3"/>
        <v>622</v>
      </c>
      <c r="B1625" s="167" t="str">
        <f>_xlfn.XLOOKUP(I1625,Mapping!D:D,Mapping!E:E)</f>
        <v>Xưởng Sản Xuất</v>
      </c>
      <c r="C1625" s="167" t="str">
        <f>_xlfn.XLOOKUP(F1625,Mapping!A:A,Mapping!F:F)</f>
        <v>Lương Chính +T13</v>
      </c>
      <c r="D1625" s="173">
        <v>45930</v>
      </c>
      <c r="E1625" s="169" t="s">
        <v>1085</v>
      </c>
      <c r="F1625" s="169" t="s">
        <v>400</v>
      </c>
      <c r="G1625" s="169" t="s">
        <v>401</v>
      </c>
      <c r="H1625" s="169" t="s">
        <v>402</v>
      </c>
      <c r="I1625" s="169" t="s">
        <v>403</v>
      </c>
      <c r="J1625" s="169" t="s">
        <v>1086</v>
      </c>
      <c r="K1625" s="169" t="s">
        <v>405</v>
      </c>
      <c r="L1625" s="169" t="s">
        <v>1048</v>
      </c>
      <c r="M1625" s="169" t="s">
        <v>281</v>
      </c>
      <c r="N1625" s="178">
        <v>175636120</v>
      </c>
      <c r="O1625" s="169" t="s">
        <v>1087</v>
      </c>
      <c r="P1625" s="169" t="s">
        <v>283</v>
      </c>
      <c r="Q1625" s="169" t="s">
        <v>306</v>
      </c>
      <c r="R1625" s="169" t="s">
        <v>283</v>
      </c>
      <c r="S1625" s="169" t="s">
        <v>283</v>
      </c>
      <c r="T1625" s="169">
        <v>0</v>
      </c>
    </row>
    <row r="1626" spans="1:20" x14ac:dyDescent="0.2">
      <c r="A1626" s="169" t="str">
        <f t="shared" si="3"/>
        <v>622</v>
      </c>
      <c r="B1626" s="167" t="str">
        <f>_xlfn.XLOOKUP(I1626,Mapping!D:D,Mapping!E:E)</f>
        <v>Xưởng Sản Xuất</v>
      </c>
      <c r="C1626" s="167" t="str">
        <f>_xlfn.XLOOKUP(F1626,Mapping!A:A,Mapping!F:F)</f>
        <v>Lương Chính +T13</v>
      </c>
      <c r="D1626" s="173">
        <v>45930</v>
      </c>
      <c r="E1626" s="169" t="s">
        <v>1088</v>
      </c>
      <c r="F1626" s="169" t="s">
        <v>400</v>
      </c>
      <c r="G1626" s="169" t="s">
        <v>401</v>
      </c>
      <c r="H1626" s="169" t="s">
        <v>430</v>
      </c>
      <c r="I1626" s="169" t="s">
        <v>431</v>
      </c>
      <c r="J1626" s="169" t="s">
        <v>1089</v>
      </c>
      <c r="K1626" s="169" t="s">
        <v>405</v>
      </c>
      <c r="L1626" s="169" t="s">
        <v>1048</v>
      </c>
      <c r="M1626" s="169" t="s">
        <v>281</v>
      </c>
      <c r="N1626" s="178">
        <v>10713334</v>
      </c>
      <c r="O1626" s="169" t="s">
        <v>1090</v>
      </c>
      <c r="P1626" s="169" t="s">
        <v>283</v>
      </c>
      <c r="Q1626" s="169" t="s">
        <v>306</v>
      </c>
      <c r="R1626" s="169" t="s">
        <v>283</v>
      </c>
      <c r="S1626" s="169" t="s">
        <v>283</v>
      </c>
      <c r="T1626" s="169">
        <v>0</v>
      </c>
    </row>
    <row r="1627" spans="1:20" x14ac:dyDescent="0.2">
      <c r="A1627" s="169" t="str">
        <f t="shared" si="3"/>
        <v>622</v>
      </c>
      <c r="B1627" s="167" t="str">
        <f>_xlfn.XLOOKUP(I1627,Mapping!D:D,Mapping!E:E)</f>
        <v>Xưởng Sản Xuất</v>
      </c>
      <c r="C1627" s="167" t="str">
        <f>_xlfn.XLOOKUP(F1627,Mapping!A:A,Mapping!F:F)</f>
        <v>Lương Chính +T13</v>
      </c>
      <c r="D1627" s="173">
        <v>45930</v>
      </c>
      <c r="E1627" s="169" t="s">
        <v>1088</v>
      </c>
      <c r="F1627" s="169" t="s">
        <v>400</v>
      </c>
      <c r="G1627" s="169" t="s">
        <v>401</v>
      </c>
      <c r="H1627" s="169" t="s">
        <v>402</v>
      </c>
      <c r="I1627" s="169" t="s">
        <v>403</v>
      </c>
      <c r="J1627" s="169" t="s">
        <v>1089</v>
      </c>
      <c r="K1627" s="169" t="s">
        <v>405</v>
      </c>
      <c r="L1627" s="169" t="s">
        <v>1048</v>
      </c>
      <c r="M1627" s="169" t="s">
        <v>281</v>
      </c>
      <c r="N1627" s="178">
        <v>166432509</v>
      </c>
      <c r="O1627" s="169" t="s">
        <v>1090</v>
      </c>
      <c r="P1627" s="169" t="s">
        <v>283</v>
      </c>
      <c r="Q1627" s="169" t="s">
        <v>306</v>
      </c>
      <c r="R1627" s="169" t="s">
        <v>283</v>
      </c>
      <c r="S1627" s="169" t="s">
        <v>283</v>
      </c>
      <c r="T1627" s="169">
        <v>0</v>
      </c>
    </row>
    <row r="1628" spans="1:20" x14ac:dyDescent="0.2">
      <c r="A1628" s="169" t="str">
        <f t="shared" si="3"/>
        <v>642</v>
      </c>
      <c r="B1628" s="167" t="str">
        <f>_xlfn.XLOOKUP(I1628,Mapping!D:D,Mapping!E:E)</f>
        <v>Tư vấn dịch vụ</v>
      </c>
      <c r="C1628" s="167" t="str">
        <f>_xlfn.XLOOKUP(F1628,Mapping!A:A,Mapping!F:F)</f>
        <v>Lương Chính +T13</v>
      </c>
      <c r="D1628" s="173">
        <v>45919</v>
      </c>
      <c r="E1628" s="169" t="s">
        <v>1091</v>
      </c>
      <c r="F1628" s="169" t="s">
        <v>274</v>
      </c>
      <c r="G1628" s="169" t="s">
        <v>275</v>
      </c>
      <c r="H1628" s="169" t="s">
        <v>443</v>
      </c>
      <c r="I1628" s="169" t="s">
        <v>444</v>
      </c>
      <c r="J1628" s="169" t="s">
        <v>1092</v>
      </c>
      <c r="K1628" s="169" t="s">
        <v>1093</v>
      </c>
      <c r="L1628" s="169" t="s">
        <v>1048</v>
      </c>
      <c r="M1628" s="169" t="s">
        <v>281</v>
      </c>
      <c r="N1628" s="178">
        <v>70000000</v>
      </c>
      <c r="O1628" s="169" t="s">
        <v>1094</v>
      </c>
      <c r="P1628" s="169" t="s">
        <v>283</v>
      </c>
      <c r="Q1628" s="169" t="s">
        <v>284</v>
      </c>
      <c r="R1628" s="169" t="s">
        <v>283</v>
      </c>
      <c r="S1628" s="169" t="s">
        <v>283</v>
      </c>
      <c r="T1628" s="169">
        <v>0</v>
      </c>
    </row>
    <row r="1629" spans="1:20" x14ac:dyDescent="0.2">
      <c r="A1629" s="169" t="str">
        <f t="shared" si="3"/>
        <v>642</v>
      </c>
      <c r="B1629" s="167" t="str">
        <f>_xlfn.XLOOKUP(I1629,Mapping!D:D,Mapping!E:E)</f>
        <v>Hành Chánh Nhân Sự</v>
      </c>
      <c r="C1629" s="167" t="str">
        <f>_xlfn.XLOOKUP(F1629,Mapping!A:A,Mapping!F:F)</f>
        <v>Phụ Cấp</v>
      </c>
      <c r="D1629" s="173">
        <v>45919</v>
      </c>
      <c r="E1629" s="169" t="s">
        <v>1091</v>
      </c>
      <c r="F1629" s="169" t="s">
        <v>335</v>
      </c>
      <c r="G1629" s="169" t="s">
        <v>336</v>
      </c>
      <c r="H1629" s="169" t="s">
        <v>358</v>
      </c>
      <c r="I1629" s="169" t="s">
        <v>359</v>
      </c>
      <c r="J1629" s="169" t="s">
        <v>1092</v>
      </c>
      <c r="K1629" s="169" t="s">
        <v>1093</v>
      </c>
      <c r="L1629" s="169" t="s">
        <v>1048</v>
      </c>
      <c r="M1629" s="169" t="s">
        <v>281</v>
      </c>
      <c r="N1629" s="178">
        <v>100000</v>
      </c>
      <c r="O1629" s="169" t="s">
        <v>1094</v>
      </c>
      <c r="P1629" s="169" t="s">
        <v>283</v>
      </c>
      <c r="Q1629" s="169" t="s">
        <v>284</v>
      </c>
      <c r="R1629" s="169" t="s">
        <v>283</v>
      </c>
      <c r="S1629" s="169" t="s">
        <v>283</v>
      </c>
      <c r="T1629" s="169">
        <v>0</v>
      </c>
    </row>
    <row r="1630" spans="1:20" x14ac:dyDescent="0.2">
      <c r="A1630" s="169" t="str">
        <f t="shared" si="3"/>
        <v>642</v>
      </c>
      <c r="B1630" s="167" t="str">
        <f>_xlfn.XLOOKUP(I1630,Mapping!D:D,Mapping!E:E)</f>
        <v>Hành Chánh Nhân Sự</v>
      </c>
      <c r="C1630" s="167" t="str">
        <f>_xlfn.XLOOKUP(F1630,Mapping!A:A,Mapping!F:F)</f>
        <v>Thưởng</v>
      </c>
      <c r="D1630" s="173">
        <v>45919</v>
      </c>
      <c r="E1630" s="169" t="s">
        <v>1091</v>
      </c>
      <c r="F1630" s="169" t="s">
        <v>290</v>
      </c>
      <c r="G1630" s="169" t="s">
        <v>291</v>
      </c>
      <c r="H1630" s="169" t="s">
        <v>358</v>
      </c>
      <c r="I1630" s="169" t="s">
        <v>359</v>
      </c>
      <c r="J1630" s="169" t="s">
        <v>1092</v>
      </c>
      <c r="K1630" s="169" t="s">
        <v>1093</v>
      </c>
      <c r="L1630" s="169" t="s">
        <v>1048</v>
      </c>
      <c r="M1630" s="169" t="s">
        <v>281</v>
      </c>
      <c r="N1630" s="178">
        <v>1000000</v>
      </c>
      <c r="O1630" s="169" t="s">
        <v>1094</v>
      </c>
      <c r="P1630" s="169" t="s">
        <v>283</v>
      </c>
      <c r="Q1630" s="169" t="s">
        <v>284</v>
      </c>
      <c r="R1630" s="169" t="s">
        <v>283</v>
      </c>
      <c r="S1630" s="169" t="s">
        <v>283</v>
      </c>
      <c r="T1630" s="169">
        <v>0</v>
      </c>
    </row>
    <row r="1631" spans="1:20" x14ac:dyDescent="0.2">
      <c r="A1631" s="169" t="str">
        <f t="shared" si="3"/>
        <v>642</v>
      </c>
      <c r="B1631" s="167" t="str">
        <f>_xlfn.XLOOKUP(I1631,Mapping!D:D,Mapping!E:E)</f>
        <v>Hành Chánh Nhân Sự</v>
      </c>
      <c r="C1631" s="167" t="str">
        <f>_xlfn.XLOOKUP(F1631,Mapping!A:A,Mapping!F:F)</f>
        <v>Lương Chính +T13</v>
      </c>
      <c r="D1631" s="173">
        <v>45919</v>
      </c>
      <c r="E1631" s="169" t="s">
        <v>1091</v>
      </c>
      <c r="F1631" s="169" t="s">
        <v>285</v>
      </c>
      <c r="G1631" s="169" t="s">
        <v>286</v>
      </c>
      <c r="H1631" s="169" t="s">
        <v>358</v>
      </c>
      <c r="I1631" s="169" t="s">
        <v>359</v>
      </c>
      <c r="J1631" s="169" t="s">
        <v>1092</v>
      </c>
      <c r="K1631" s="169" t="s">
        <v>1093</v>
      </c>
      <c r="L1631" s="169" t="s">
        <v>1048</v>
      </c>
      <c r="M1631" s="169" t="s">
        <v>281</v>
      </c>
      <c r="N1631" s="178">
        <v>9326193</v>
      </c>
      <c r="O1631" s="169" t="s">
        <v>1094</v>
      </c>
      <c r="P1631" s="169" t="s">
        <v>283</v>
      </c>
      <c r="Q1631" s="169" t="s">
        <v>284</v>
      </c>
      <c r="R1631" s="169" t="s">
        <v>283</v>
      </c>
      <c r="S1631" s="169" t="s">
        <v>283</v>
      </c>
      <c r="T1631" s="169">
        <v>0</v>
      </c>
    </row>
    <row r="1632" spans="1:20" x14ac:dyDescent="0.2">
      <c r="A1632" s="169" t="str">
        <f t="shared" si="3"/>
        <v>642</v>
      </c>
      <c r="B1632" s="167" t="str">
        <f>_xlfn.XLOOKUP(I1632,Mapping!D:D,Mapping!E:E)</f>
        <v>Hành Chánh Nhân Sự</v>
      </c>
      <c r="C1632" s="167" t="str">
        <f>_xlfn.XLOOKUP(F1632,Mapping!A:A,Mapping!F:F)</f>
        <v>Lương Chính +T13</v>
      </c>
      <c r="D1632" s="173">
        <v>45919</v>
      </c>
      <c r="E1632" s="169" t="s">
        <v>1091</v>
      </c>
      <c r="F1632" s="169" t="s">
        <v>274</v>
      </c>
      <c r="G1632" s="169" t="s">
        <v>275</v>
      </c>
      <c r="H1632" s="169" t="s">
        <v>358</v>
      </c>
      <c r="I1632" s="169" t="s">
        <v>359</v>
      </c>
      <c r="J1632" s="169" t="s">
        <v>1092</v>
      </c>
      <c r="K1632" s="169" t="s">
        <v>1093</v>
      </c>
      <c r="L1632" s="169" t="s">
        <v>1048</v>
      </c>
      <c r="M1632" s="169" t="s">
        <v>281</v>
      </c>
      <c r="N1632" s="178">
        <v>99900981</v>
      </c>
      <c r="O1632" s="169" t="s">
        <v>1094</v>
      </c>
      <c r="P1632" s="169" t="s">
        <v>283</v>
      </c>
      <c r="Q1632" s="169" t="s">
        <v>284</v>
      </c>
      <c r="R1632" s="169" t="s">
        <v>283</v>
      </c>
      <c r="S1632" s="169" t="s">
        <v>283</v>
      </c>
      <c r="T1632" s="169">
        <v>0</v>
      </c>
    </row>
    <row r="1633" spans="1:20" x14ac:dyDescent="0.2">
      <c r="A1633" s="169" t="str">
        <f t="shared" si="3"/>
        <v>642</v>
      </c>
      <c r="B1633" s="167" t="str">
        <f>_xlfn.XLOOKUP(I1633,Mapping!D:D,Mapping!E:E)</f>
        <v>Hành Chánh Nhân Sự</v>
      </c>
      <c r="C1633" s="167" t="str">
        <f>_xlfn.XLOOKUP(F1633,Mapping!A:A,Mapping!F:F)</f>
        <v>Thưởng</v>
      </c>
      <c r="D1633" s="173">
        <v>45919</v>
      </c>
      <c r="E1633" s="169" t="s">
        <v>1091</v>
      </c>
      <c r="F1633" s="169" t="s">
        <v>290</v>
      </c>
      <c r="G1633" s="169" t="s">
        <v>291</v>
      </c>
      <c r="H1633" s="169" t="s">
        <v>382</v>
      </c>
      <c r="I1633" s="169" t="s">
        <v>200</v>
      </c>
      <c r="J1633" s="169" t="s">
        <v>1092</v>
      </c>
      <c r="K1633" s="169" t="s">
        <v>1093</v>
      </c>
      <c r="L1633" s="169" t="s">
        <v>1048</v>
      </c>
      <c r="M1633" s="169" t="s">
        <v>281</v>
      </c>
      <c r="N1633" s="178">
        <v>600000</v>
      </c>
      <c r="O1633" s="169" t="s">
        <v>1094</v>
      </c>
      <c r="P1633" s="169" t="s">
        <v>283</v>
      </c>
      <c r="Q1633" s="169" t="s">
        <v>284</v>
      </c>
      <c r="R1633" s="169" t="s">
        <v>283</v>
      </c>
      <c r="S1633" s="169" t="s">
        <v>283</v>
      </c>
      <c r="T1633" s="169">
        <v>0</v>
      </c>
    </row>
    <row r="1634" spans="1:20" x14ac:dyDescent="0.2">
      <c r="A1634" s="169" t="str">
        <f t="shared" si="3"/>
        <v>642</v>
      </c>
      <c r="B1634" s="167" t="str">
        <f>_xlfn.XLOOKUP(I1634,Mapping!D:D,Mapping!E:E)</f>
        <v>Hành Chánh Nhân Sự</v>
      </c>
      <c r="C1634" s="167" t="str">
        <f>_xlfn.XLOOKUP(F1634,Mapping!A:A,Mapping!F:F)</f>
        <v>Lương Chính +T13</v>
      </c>
      <c r="D1634" s="173">
        <v>45919</v>
      </c>
      <c r="E1634" s="169" t="s">
        <v>1091</v>
      </c>
      <c r="F1634" s="169" t="s">
        <v>285</v>
      </c>
      <c r="G1634" s="169" t="s">
        <v>286</v>
      </c>
      <c r="H1634" s="169" t="s">
        <v>382</v>
      </c>
      <c r="I1634" s="169" t="s">
        <v>200</v>
      </c>
      <c r="J1634" s="169" t="s">
        <v>1092</v>
      </c>
      <c r="K1634" s="169" t="s">
        <v>1093</v>
      </c>
      <c r="L1634" s="169" t="s">
        <v>1048</v>
      </c>
      <c r="M1634" s="169" t="s">
        <v>281</v>
      </c>
      <c r="N1634" s="178">
        <v>2924923</v>
      </c>
      <c r="O1634" s="169" t="s">
        <v>1094</v>
      </c>
      <c r="P1634" s="169" t="s">
        <v>283</v>
      </c>
      <c r="Q1634" s="169" t="s">
        <v>284</v>
      </c>
      <c r="R1634" s="169" t="s">
        <v>283</v>
      </c>
      <c r="S1634" s="169" t="s">
        <v>283</v>
      </c>
      <c r="T1634" s="169">
        <v>0</v>
      </c>
    </row>
    <row r="1635" spans="1:20" x14ac:dyDescent="0.2">
      <c r="A1635" s="169" t="str">
        <f t="shared" si="3"/>
        <v>642</v>
      </c>
      <c r="B1635" s="167" t="str">
        <f>_xlfn.XLOOKUP(I1635,Mapping!D:D,Mapping!E:E)</f>
        <v>Hành Chánh Nhân Sự</v>
      </c>
      <c r="C1635" s="167" t="str">
        <f>_xlfn.XLOOKUP(F1635,Mapping!A:A,Mapping!F:F)</f>
        <v>Lương Chính +T13</v>
      </c>
      <c r="D1635" s="173">
        <v>45919</v>
      </c>
      <c r="E1635" s="169" t="s">
        <v>1091</v>
      </c>
      <c r="F1635" s="169" t="s">
        <v>274</v>
      </c>
      <c r="G1635" s="169" t="s">
        <v>275</v>
      </c>
      <c r="H1635" s="169" t="s">
        <v>382</v>
      </c>
      <c r="I1635" s="169" t="s">
        <v>200</v>
      </c>
      <c r="J1635" s="169" t="s">
        <v>1092</v>
      </c>
      <c r="K1635" s="169" t="s">
        <v>1093</v>
      </c>
      <c r="L1635" s="169" t="s">
        <v>1048</v>
      </c>
      <c r="M1635" s="169" t="s">
        <v>281</v>
      </c>
      <c r="N1635" s="178">
        <v>70697120</v>
      </c>
      <c r="O1635" s="169" t="s">
        <v>1094</v>
      </c>
      <c r="P1635" s="169" t="s">
        <v>283</v>
      </c>
      <c r="Q1635" s="169" t="s">
        <v>284</v>
      </c>
      <c r="R1635" s="169" t="s">
        <v>283</v>
      </c>
      <c r="S1635" s="169" t="s">
        <v>283</v>
      </c>
      <c r="T1635" s="169">
        <v>0</v>
      </c>
    </row>
    <row r="1636" spans="1:20" x14ac:dyDescent="0.2">
      <c r="A1636" s="169" t="str">
        <f t="shared" si="3"/>
        <v>622</v>
      </c>
      <c r="B1636" s="167" t="str">
        <f>_xlfn.XLOOKUP(I1636,Mapping!D:D,Mapping!E:E)</f>
        <v>Xưởng Sản Xuất</v>
      </c>
      <c r="C1636" s="167" t="str">
        <f>_xlfn.XLOOKUP(F1636,Mapping!A:A,Mapping!F:F)</f>
        <v>Phụ Cấp</v>
      </c>
      <c r="D1636" s="173">
        <v>45919</v>
      </c>
      <c r="E1636" s="169" t="s">
        <v>1091</v>
      </c>
      <c r="F1636" s="169" t="s">
        <v>421</v>
      </c>
      <c r="G1636" s="169" t="s">
        <v>341</v>
      </c>
      <c r="H1636" s="169" t="s">
        <v>402</v>
      </c>
      <c r="I1636" s="169" t="s">
        <v>403</v>
      </c>
      <c r="J1636" s="169" t="s">
        <v>1092</v>
      </c>
      <c r="K1636" s="169" t="s">
        <v>1093</v>
      </c>
      <c r="L1636" s="169" t="s">
        <v>1048</v>
      </c>
      <c r="M1636" s="169" t="s">
        <v>281</v>
      </c>
      <c r="N1636" s="178">
        <v>167392650</v>
      </c>
      <c r="O1636" s="169" t="s">
        <v>1094</v>
      </c>
      <c r="P1636" s="169" t="s">
        <v>283</v>
      </c>
      <c r="Q1636" s="169" t="s">
        <v>284</v>
      </c>
      <c r="R1636" s="169" t="s">
        <v>283</v>
      </c>
      <c r="S1636" s="169" t="s">
        <v>283</v>
      </c>
      <c r="T1636" s="169">
        <v>0</v>
      </c>
    </row>
    <row r="1637" spans="1:20" x14ac:dyDescent="0.2">
      <c r="A1637" s="169" t="str">
        <f t="shared" si="3"/>
        <v>622</v>
      </c>
      <c r="B1637" s="167" t="str">
        <f>_xlfn.XLOOKUP(I1637,Mapping!D:D,Mapping!E:E)</f>
        <v>Xưởng Sản Xuất</v>
      </c>
      <c r="C1637" s="167" t="str">
        <f>_xlfn.XLOOKUP(F1637,Mapping!A:A,Mapping!F:F)</f>
        <v>Lương Chính +T13</v>
      </c>
      <c r="D1637" s="173">
        <v>45919</v>
      </c>
      <c r="E1637" s="169" t="s">
        <v>1091</v>
      </c>
      <c r="F1637" s="169" t="s">
        <v>420</v>
      </c>
      <c r="G1637" s="169" t="s">
        <v>286</v>
      </c>
      <c r="H1637" s="169" t="s">
        <v>402</v>
      </c>
      <c r="I1637" s="169" t="s">
        <v>403</v>
      </c>
      <c r="J1637" s="169" t="s">
        <v>1092</v>
      </c>
      <c r="K1637" s="169" t="s">
        <v>1093</v>
      </c>
      <c r="L1637" s="169" t="s">
        <v>1048</v>
      </c>
      <c r="M1637" s="169" t="s">
        <v>281</v>
      </c>
      <c r="N1637" s="178">
        <v>26941782</v>
      </c>
      <c r="O1637" s="169" t="s">
        <v>1094</v>
      </c>
      <c r="P1637" s="169" t="s">
        <v>283</v>
      </c>
      <c r="Q1637" s="169" t="s">
        <v>284</v>
      </c>
      <c r="R1637" s="169" t="s">
        <v>283</v>
      </c>
      <c r="S1637" s="169" t="s">
        <v>283</v>
      </c>
      <c r="T1637" s="169">
        <v>0</v>
      </c>
    </row>
    <row r="1638" spans="1:20" x14ac:dyDescent="0.2">
      <c r="A1638" s="169" t="str">
        <f t="shared" si="3"/>
        <v>622</v>
      </c>
      <c r="B1638" s="167" t="str">
        <f>_xlfn.XLOOKUP(I1638,Mapping!D:D,Mapping!E:E)</f>
        <v>Xưởng Sản Xuất</v>
      </c>
      <c r="C1638" s="167" t="str">
        <f>_xlfn.XLOOKUP(F1638,Mapping!A:A,Mapping!F:F)</f>
        <v>Lương Chính +T13</v>
      </c>
      <c r="D1638" s="173">
        <v>45919</v>
      </c>
      <c r="E1638" s="169" t="s">
        <v>1091</v>
      </c>
      <c r="F1638" s="169" t="s">
        <v>400</v>
      </c>
      <c r="G1638" s="169" t="s">
        <v>401</v>
      </c>
      <c r="H1638" s="169" t="s">
        <v>402</v>
      </c>
      <c r="I1638" s="169" t="s">
        <v>403</v>
      </c>
      <c r="J1638" s="169" t="s">
        <v>1092</v>
      </c>
      <c r="K1638" s="169" t="s">
        <v>1093</v>
      </c>
      <c r="L1638" s="169" t="s">
        <v>1048</v>
      </c>
      <c r="M1638" s="169" t="s">
        <v>281</v>
      </c>
      <c r="N1638" s="178">
        <v>1990371923</v>
      </c>
      <c r="O1638" s="169" t="s">
        <v>1094</v>
      </c>
      <c r="P1638" s="169" t="s">
        <v>283</v>
      </c>
      <c r="Q1638" s="169" t="s">
        <v>284</v>
      </c>
      <c r="R1638" s="169" t="s">
        <v>283</v>
      </c>
      <c r="S1638" s="169" t="s">
        <v>283</v>
      </c>
      <c r="T1638" s="169">
        <v>0</v>
      </c>
    </row>
    <row r="1639" spans="1:20" x14ac:dyDescent="0.2">
      <c r="A1639" s="169" t="str">
        <f t="shared" si="3"/>
        <v>627</v>
      </c>
      <c r="B1639" s="167" t="str">
        <f>_xlfn.XLOOKUP(I1639,Mapping!D:D,Mapping!E:E)</f>
        <v>Nghiên Cứu &amp; Phát Triển</v>
      </c>
      <c r="C1639" s="167" t="str">
        <f>_xlfn.XLOOKUP(F1639,Mapping!A:A,Mapping!F:F)</f>
        <v>Phụ Cấp</v>
      </c>
      <c r="D1639" s="173">
        <v>45919</v>
      </c>
      <c r="E1639" s="169" t="s">
        <v>1091</v>
      </c>
      <c r="F1639" s="169" t="s">
        <v>375</v>
      </c>
      <c r="G1639" s="169" t="s">
        <v>336</v>
      </c>
      <c r="H1639" s="169" t="s">
        <v>418</v>
      </c>
      <c r="I1639" s="169" t="s">
        <v>419</v>
      </c>
      <c r="J1639" s="169" t="s">
        <v>1092</v>
      </c>
      <c r="K1639" s="169" t="s">
        <v>1093</v>
      </c>
      <c r="L1639" s="169" t="s">
        <v>1048</v>
      </c>
      <c r="M1639" s="169" t="s">
        <v>281</v>
      </c>
      <c r="N1639" s="178">
        <v>400000</v>
      </c>
      <c r="O1639" s="169" t="s">
        <v>1094</v>
      </c>
      <c r="P1639" s="169" t="s">
        <v>283</v>
      </c>
      <c r="Q1639" s="169" t="s">
        <v>284</v>
      </c>
      <c r="R1639" s="169" t="s">
        <v>283</v>
      </c>
      <c r="S1639" s="169" t="s">
        <v>283</v>
      </c>
      <c r="T1639" s="169">
        <v>0</v>
      </c>
    </row>
    <row r="1640" spans="1:20" x14ac:dyDescent="0.2">
      <c r="A1640" s="169" t="str">
        <f t="shared" si="3"/>
        <v>627</v>
      </c>
      <c r="B1640" s="167" t="str">
        <f>_xlfn.XLOOKUP(I1640,Mapping!D:D,Mapping!E:E)</f>
        <v>Nghiên Cứu &amp; Phát Triển</v>
      </c>
      <c r="C1640" s="167" t="str">
        <f>_xlfn.XLOOKUP(F1640,Mapping!A:A,Mapping!F:F)</f>
        <v>Thưởng</v>
      </c>
      <c r="D1640" s="173">
        <v>45919</v>
      </c>
      <c r="E1640" s="169" t="s">
        <v>1091</v>
      </c>
      <c r="F1640" s="169" t="s">
        <v>391</v>
      </c>
      <c r="G1640" s="169" t="s">
        <v>291</v>
      </c>
      <c r="H1640" s="169" t="s">
        <v>418</v>
      </c>
      <c r="I1640" s="169" t="s">
        <v>419</v>
      </c>
      <c r="J1640" s="169" t="s">
        <v>1092</v>
      </c>
      <c r="K1640" s="169" t="s">
        <v>1093</v>
      </c>
      <c r="L1640" s="169" t="s">
        <v>1048</v>
      </c>
      <c r="M1640" s="169" t="s">
        <v>281</v>
      </c>
      <c r="N1640" s="178">
        <v>1400000</v>
      </c>
      <c r="O1640" s="169" t="s">
        <v>1094</v>
      </c>
      <c r="P1640" s="169" t="s">
        <v>283</v>
      </c>
      <c r="Q1640" s="169" t="s">
        <v>284</v>
      </c>
      <c r="R1640" s="169" t="s">
        <v>283</v>
      </c>
      <c r="S1640" s="169" t="s">
        <v>283</v>
      </c>
      <c r="T1640" s="169">
        <v>0</v>
      </c>
    </row>
    <row r="1641" spans="1:20" x14ac:dyDescent="0.2">
      <c r="A1641" s="169" t="str">
        <f t="shared" si="3"/>
        <v>627</v>
      </c>
      <c r="B1641" s="167" t="str">
        <f>_xlfn.XLOOKUP(I1641,Mapping!D:D,Mapping!E:E)</f>
        <v>Nghiên Cứu &amp; Phát Triển</v>
      </c>
      <c r="C1641" s="167" t="str">
        <f>_xlfn.XLOOKUP(F1641,Mapping!A:A,Mapping!F:F)</f>
        <v>Lương Chính +T13</v>
      </c>
      <c r="D1641" s="173">
        <v>45919</v>
      </c>
      <c r="E1641" s="169" t="s">
        <v>1091</v>
      </c>
      <c r="F1641" s="169" t="s">
        <v>388</v>
      </c>
      <c r="G1641" s="169" t="s">
        <v>286</v>
      </c>
      <c r="H1641" s="169" t="s">
        <v>418</v>
      </c>
      <c r="I1641" s="169" t="s">
        <v>419</v>
      </c>
      <c r="J1641" s="169" t="s">
        <v>1092</v>
      </c>
      <c r="K1641" s="169" t="s">
        <v>1093</v>
      </c>
      <c r="L1641" s="169" t="s">
        <v>1048</v>
      </c>
      <c r="M1641" s="169" t="s">
        <v>281</v>
      </c>
      <c r="N1641" s="178">
        <v>6634616</v>
      </c>
      <c r="O1641" s="169" t="s">
        <v>1094</v>
      </c>
      <c r="P1641" s="169" t="s">
        <v>283</v>
      </c>
      <c r="Q1641" s="169" t="s">
        <v>284</v>
      </c>
      <c r="R1641" s="169" t="s">
        <v>283</v>
      </c>
      <c r="S1641" s="169" t="s">
        <v>283</v>
      </c>
      <c r="T1641" s="169">
        <v>0</v>
      </c>
    </row>
    <row r="1642" spans="1:20" x14ac:dyDescent="0.2">
      <c r="A1642" s="169" t="str">
        <f t="shared" ref="A1642:A1705" si="4">LEFT(F1642,3)</f>
        <v>627</v>
      </c>
      <c r="B1642" s="167" t="str">
        <f>_xlfn.XLOOKUP(I1642,Mapping!D:D,Mapping!E:E)</f>
        <v>Nghiên Cứu &amp; Phát Triển</v>
      </c>
      <c r="C1642" s="167" t="str">
        <f>_xlfn.XLOOKUP(F1642,Mapping!A:A,Mapping!F:F)</f>
        <v>Lương Chính +T13</v>
      </c>
      <c r="D1642" s="173">
        <v>45919</v>
      </c>
      <c r="E1642" s="169" t="s">
        <v>1091</v>
      </c>
      <c r="F1642" s="169" t="s">
        <v>387</v>
      </c>
      <c r="G1642" s="169" t="s">
        <v>275</v>
      </c>
      <c r="H1642" s="169" t="s">
        <v>418</v>
      </c>
      <c r="I1642" s="169" t="s">
        <v>419</v>
      </c>
      <c r="J1642" s="169" t="s">
        <v>1092</v>
      </c>
      <c r="K1642" s="169" t="s">
        <v>1093</v>
      </c>
      <c r="L1642" s="169" t="s">
        <v>1048</v>
      </c>
      <c r="M1642" s="169" t="s">
        <v>281</v>
      </c>
      <c r="N1642" s="178">
        <v>165644856</v>
      </c>
      <c r="O1642" s="169" t="s">
        <v>1094</v>
      </c>
      <c r="P1642" s="169" t="s">
        <v>283</v>
      </c>
      <c r="Q1642" s="169" t="s">
        <v>284</v>
      </c>
      <c r="R1642" s="169" t="s">
        <v>283</v>
      </c>
      <c r="S1642" s="169" t="s">
        <v>283</v>
      </c>
      <c r="T1642" s="169">
        <v>0</v>
      </c>
    </row>
    <row r="1643" spans="1:20" x14ac:dyDescent="0.2">
      <c r="A1643" s="169" t="str">
        <f t="shared" si="4"/>
        <v>627</v>
      </c>
      <c r="B1643" s="167" t="str">
        <f>_xlfn.XLOOKUP(I1643,Mapping!D:D,Mapping!E:E)</f>
        <v>Kiểm Soát Chất Lượng</v>
      </c>
      <c r="C1643" s="167" t="str">
        <f>_xlfn.XLOOKUP(F1643,Mapping!A:A,Mapping!F:F)</f>
        <v>Phụ Cấp</v>
      </c>
      <c r="D1643" s="173">
        <v>45919</v>
      </c>
      <c r="E1643" s="169" t="s">
        <v>1091</v>
      </c>
      <c r="F1643" s="169" t="s">
        <v>375</v>
      </c>
      <c r="G1643" s="169" t="s">
        <v>336</v>
      </c>
      <c r="H1643" s="169" t="s">
        <v>411</v>
      </c>
      <c r="I1643" s="169" t="s">
        <v>412</v>
      </c>
      <c r="J1643" s="169" t="s">
        <v>1092</v>
      </c>
      <c r="K1643" s="169" t="s">
        <v>1093</v>
      </c>
      <c r="L1643" s="169" t="s">
        <v>1048</v>
      </c>
      <c r="M1643" s="169" t="s">
        <v>281</v>
      </c>
      <c r="N1643" s="178">
        <v>8970000</v>
      </c>
      <c r="O1643" s="169" t="s">
        <v>1094</v>
      </c>
      <c r="P1643" s="169" t="s">
        <v>283</v>
      </c>
      <c r="Q1643" s="169" t="s">
        <v>284</v>
      </c>
      <c r="R1643" s="169" t="s">
        <v>283</v>
      </c>
      <c r="S1643" s="169" t="s">
        <v>283</v>
      </c>
      <c r="T1643" s="169">
        <v>0</v>
      </c>
    </row>
    <row r="1644" spans="1:20" x14ac:dyDescent="0.2">
      <c r="A1644" s="169" t="str">
        <f t="shared" si="4"/>
        <v>627</v>
      </c>
      <c r="B1644" s="167" t="str">
        <f>_xlfn.XLOOKUP(I1644,Mapping!D:D,Mapping!E:E)</f>
        <v>Kiểm Soát Chất Lượng</v>
      </c>
      <c r="C1644" s="167" t="str">
        <f>_xlfn.XLOOKUP(F1644,Mapping!A:A,Mapping!F:F)</f>
        <v>Thưởng</v>
      </c>
      <c r="D1644" s="173">
        <v>45919</v>
      </c>
      <c r="E1644" s="169" t="s">
        <v>1091</v>
      </c>
      <c r="F1644" s="169" t="s">
        <v>391</v>
      </c>
      <c r="G1644" s="169" t="s">
        <v>291</v>
      </c>
      <c r="H1644" s="169" t="s">
        <v>411</v>
      </c>
      <c r="I1644" s="169" t="s">
        <v>412</v>
      </c>
      <c r="J1644" s="169" t="s">
        <v>1092</v>
      </c>
      <c r="K1644" s="169" t="s">
        <v>1093</v>
      </c>
      <c r="L1644" s="169" t="s">
        <v>1048</v>
      </c>
      <c r="M1644" s="169" t="s">
        <v>281</v>
      </c>
      <c r="N1644" s="178">
        <v>9600000</v>
      </c>
      <c r="O1644" s="169" t="s">
        <v>1094</v>
      </c>
      <c r="P1644" s="169" t="s">
        <v>283</v>
      </c>
      <c r="Q1644" s="169" t="s">
        <v>284</v>
      </c>
      <c r="R1644" s="169" t="s">
        <v>283</v>
      </c>
      <c r="S1644" s="169" t="s">
        <v>283</v>
      </c>
      <c r="T1644" s="169">
        <v>0</v>
      </c>
    </row>
    <row r="1645" spans="1:20" x14ac:dyDescent="0.2">
      <c r="A1645" s="169" t="str">
        <f t="shared" si="4"/>
        <v>627</v>
      </c>
      <c r="B1645" s="167" t="str">
        <f>_xlfn.XLOOKUP(I1645,Mapping!D:D,Mapping!E:E)</f>
        <v>Kiểm Soát Chất Lượng</v>
      </c>
      <c r="C1645" s="167" t="str">
        <f>_xlfn.XLOOKUP(F1645,Mapping!A:A,Mapping!F:F)</f>
        <v>Lương Ngoài giờ</v>
      </c>
      <c r="D1645" s="173">
        <v>45919</v>
      </c>
      <c r="E1645" s="169" t="s">
        <v>1091</v>
      </c>
      <c r="F1645" s="169" t="s">
        <v>389</v>
      </c>
      <c r="G1645" s="169" t="s">
        <v>390</v>
      </c>
      <c r="H1645" s="169" t="s">
        <v>411</v>
      </c>
      <c r="I1645" s="169" t="s">
        <v>412</v>
      </c>
      <c r="J1645" s="169" t="s">
        <v>1092</v>
      </c>
      <c r="K1645" s="169" t="s">
        <v>1093</v>
      </c>
      <c r="L1645" s="169" t="s">
        <v>1048</v>
      </c>
      <c r="M1645" s="169" t="s">
        <v>281</v>
      </c>
      <c r="N1645" s="178">
        <v>220295183</v>
      </c>
      <c r="O1645" s="169" t="s">
        <v>1094</v>
      </c>
      <c r="P1645" s="169" t="s">
        <v>283</v>
      </c>
      <c r="Q1645" s="169" t="s">
        <v>284</v>
      </c>
      <c r="R1645" s="169" t="s">
        <v>283</v>
      </c>
      <c r="S1645" s="169" t="s">
        <v>283</v>
      </c>
      <c r="T1645" s="169">
        <v>0</v>
      </c>
    </row>
    <row r="1646" spans="1:20" x14ac:dyDescent="0.2">
      <c r="A1646" s="169" t="str">
        <f t="shared" si="4"/>
        <v>627</v>
      </c>
      <c r="B1646" s="167" t="str">
        <f>_xlfn.XLOOKUP(I1646,Mapping!D:D,Mapping!E:E)</f>
        <v>Kiểm Soát Chất Lượng</v>
      </c>
      <c r="C1646" s="167" t="str">
        <f>_xlfn.XLOOKUP(F1646,Mapping!A:A,Mapping!F:F)</f>
        <v>Lương Chính +T13</v>
      </c>
      <c r="D1646" s="173">
        <v>45919</v>
      </c>
      <c r="E1646" s="169" t="s">
        <v>1091</v>
      </c>
      <c r="F1646" s="169" t="s">
        <v>388</v>
      </c>
      <c r="G1646" s="169" t="s">
        <v>286</v>
      </c>
      <c r="H1646" s="169" t="s">
        <v>411</v>
      </c>
      <c r="I1646" s="169" t="s">
        <v>412</v>
      </c>
      <c r="J1646" s="169" t="s">
        <v>1092</v>
      </c>
      <c r="K1646" s="169" t="s">
        <v>1093</v>
      </c>
      <c r="L1646" s="169" t="s">
        <v>1048</v>
      </c>
      <c r="M1646" s="169" t="s">
        <v>281</v>
      </c>
      <c r="N1646" s="178">
        <v>13667942</v>
      </c>
      <c r="O1646" s="169" t="s">
        <v>1094</v>
      </c>
      <c r="P1646" s="169" t="s">
        <v>283</v>
      </c>
      <c r="Q1646" s="169" t="s">
        <v>284</v>
      </c>
      <c r="R1646" s="169" t="s">
        <v>283</v>
      </c>
      <c r="S1646" s="169" t="s">
        <v>283</v>
      </c>
      <c r="T1646" s="169">
        <v>0</v>
      </c>
    </row>
    <row r="1647" spans="1:20" x14ac:dyDescent="0.2">
      <c r="A1647" s="169" t="str">
        <f t="shared" si="4"/>
        <v>627</v>
      </c>
      <c r="B1647" s="167" t="str">
        <f>_xlfn.XLOOKUP(I1647,Mapping!D:D,Mapping!E:E)</f>
        <v>Kiểm Soát Chất Lượng</v>
      </c>
      <c r="C1647" s="167" t="str">
        <f>_xlfn.XLOOKUP(F1647,Mapping!A:A,Mapping!F:F)</f>
        <v>Lương Chính +T13</v>
      </c>
      <c r="D1647" s="173">
        <v>45919</v>
      </c>
      <c r="E1647" s="169" t="s">
        <v>1091</v>
      </c>
      <c r="F1647" s="169" t="s">
        <v>387</v>
      </c>
      <c r="G1647" s="169" t="s">
        <v>275</v>
      </c>
      <c r="H1647" s="169" t="s">
        <v>411</v>
      </c>
      <c r="I1647" s="169" t="s">
        <v>412</v>
      </c>
      <c r="J1647" s="169" t="s">
        <v>1092</v>
      </c>
      <c r="K1647" s="169" t="s">
        <v>1093</v>
      </c>
      <c r="L1647" s="169" t="s">
        <v>1048</v>
      </c>
      <c r="M1647" s="169" t="s">
        <v>281</v>
      </c>
      <c r="N1647" s="178">
        <v>528079880</v>
      </c>
      <c r="O1647" s="169" t="s">
        <v>1094</v>
      </c>
      <c r="P1647" s="169" t="s">
        <v>283</v>
      </c>
      <c r="Q1647" s="169" t="s">
        <v>284</v>
      </c>
      <c r="R1647" s="169" t="s">
        <v>283</v>
      </c>
      <c r="S1647" s="169" t="s">
        <v>283</v>
      </c>
      <c r="T1647" s="169">
        <v>0</v>
      </c>
    </row>
    <row r="1648" spans="1:20" x14ac:dyDescent="0.2">
      <c r="A1648" s="169" t="str">
        <f t="shared" si="4"/>
        <v>627</v>
      </c>
      <c r="B1648" s="167" t="str">
        <f>_xlfn.XLOOKUP(I1648,Mapping!D:D,Mapping!E:E)</f>
        <v>Kiểm Soát Chất Lượng</v>
      </c>
      <c r="C1648" s="167" t="str">
        <f>_xlfn.XLOOKUP(F1648,Mapping!A:A,Mapping!F:F)</f>
        <v>Phụ Cấp</v>
      </c>
      <c r="D1648" s="173">
        <v>45919</v>
      </c>
      <c r="E1648" s="169" t="s">
        <v>1091</v>
      </c>
      <c r="F1648" s="169" t="s">
        <v>386</v>
      </c>
      <c r="G1648" s="169" t="s">
        <v>341</v>
      </c>
      <c r="H1648" s="169" t="s">
        <v>411</v>
      </c>
      <c r="I1648" s="169" t="s">
        <v>412</v>
      </c>
      <c r="J1648" s="169" t="s">
        <v>1092</v>
      </c>
      <c r="K1648" s="169" t="s">
        <v>1093</v>
      </c>
      <c r="L1648" s="169" t="s">
        <v>1048</v>
      </c>
      <c r="M1648" s="169" t="s">
        <v>281</v>
      </c>
      <c r="N1648" s="178">
        <v>29133013</v>
      </c>
      <c r="O1648" s="169" t="s">
        <v>1094</v>
      </c>
      <c r="P1648" s="169" t="s">
        <v>283</v>
      </c>
      <c r="Q1648" s="169" t="s">
        <v>284</v>
      </c>
      <c r="R1648" s="169" t="s">
        <v>283</v>
      </c>
      <c r="S1648" s="169" t="s">
        <v>283</v>
      </c>
      <c r="T1648" s="169">
        <v>0</v>
      </c>
    </row>
    <row r="1649" spans="1:20" x14ac:dyDescent="0.2">
      <c r="A1649" s="169" t="str">
        <f t="shared" si="4"/>
        <v>627</v>
      </c>
      <c r="B1649" s="167" t="str">
        <f>_xlfn.XLOOKUP(I1649,Mapping!D:D,Mapping!E:E)</f>
        <v>Kỹ Thuật</v>
      </c>
      <c r="C1649" s="167" t="str">
        <f>_xlfn.XLOOKUP(F1649,Mapping!A:A,Mapping!F:F)</f>
        <v>Phụ Cấp</v>
      </c>
      <c r="D1649" s="173">
        <v>45919</v>
      </c>
      <c r="E1649" s="169" t="s">
        <v>1091</v>
      </c>
      <c r="F1649" s="169" t="s">
        <v>375</v>
      </c>
      <c r="G1649" s="169" t="s">
        <v>336</v>
      </c>
      <c r="H1649" s="169" t="s">
        <v>376</v>
      </c>
      <c r="I1649" s="169" t="s">
        <v>377</v>
      </c>
      <c r="J1649" s="169" t="s">
        <v>1092</v>
      </c>
      <c r="K1649" s="169" t="s">
        <v>1093</v>
      </c>
      <c r="L1649" s="169" t="s">
        <v>1048</v>
      </c>
      <c r="M1649" s="169" t="s">
        <v>281</v>
      </c>
      <c r="N1649" s="178">
        <v>12255000</v>
      </c>
      <c r="O1649" s="169" t="s">
        <v>1094</v>
      </c>
      <c r="P1649" s="169" t="s">
        <v>283</v>
      </c>
      <c r="Q1649" s="169" t="s">
        <v>284</v>
      </c>
      <c r="R1649" s="169" t="s">
        <v>283</v>
      </c>
      <c r="S1649" s="169" t="s">
        <v>283</v>
      </c>
      <c r="T1649" s="169">
        <v>0</v>
      </c>
    </row>
    <row r="1650" spans="1:20" x14ac:dyDescent="0.2">
      <c r="A1650" s="169" t="str">
        <f t="shared" si="4"/>
        <v>627</v>
      </c>
      <c r="B1650" s="167" t="str">
        <f>_xlfn.XLOOKUP(I1650,Mapping!D:D,Mapping!E:E)</f>
        <v>Kỹ Thuật</v>
      </c>
      <c r="C1650" s="167" t="str">
        <f>_xlfn.XLOOKUP(F1650,Mapping!A:A,Mapping!F:F)</f>
        <v>Thưởng</v>
      </c>
      <c r="D1650" s="173">
        <v>45919</v>
      </c>
      <c r="E1650" s="169" t="s">
        <v>1091</v>
      </c>
      <c r="F1650" s="169" t="s">
        <v>391</v>
      </c>
      <c r="G1650" s="169" t="s">
        <v>291</v>
      </c>
      <c r="H1650" s="169" t="s">
        <v>376</v>
      </c>
      <c r="I1650" s="169" t="s">
        <v>377</v>
      </c>
      <c r="J1650" s="169" t="s">
        <v>1092</v>
      </c>
      <c r="K1650" s="169" t="s">
        <v>1093</v>
      </c>
      <c r="L1650" s="169" t="s">
        <v>1048</v>
      </c>
      <c r="M1650" s="169" t="s">
        <v>281</v>
      </c>
      <c r="N1650" s="178">
        <v>17000000</v>
      </c>
      <c r="O1650" s="169" t="s">
        <v>1094</v>
      </c>
      <c r="P1650" s="169" t="s">
        <v>283</v>
      </c>
      <c r="Q1650" s="169" t="s">
        <v>284</v>
      </c>
      <c r="R1650" s="169" t="s">
        <v>283</v>
      </c>
      <c r="S1650" s="169" t="s">
        <v>283</v>
      </c>
      <c r="T1650" s="169">
        <v>0</v>
      </c>
    </row>
    <row r="1651" spans="1:20" x14ac:dyDescent="0.2">
      <c r="A1651" s="169" t="str">
        <f t="shared" si="4"/>
        <v>627</v>
      </c>
      <c r="B1651" s="167" t="str">
        <f>_xlfn.XLOOKUP(I1651,Mapping!D:D,Mapping!E:E)</f>
        <v>Kỹ Thuật</v>
      </c>
      <c r="C1651" s="167" t="str">
        <f>_xlfn.XLOOKUP(F1651,Mapping!A:A,Mapping!F:F)</f>
        <v>Lương Ngoài giờ</v>
      </c>
      <c r="D1651" s="173">
        <v>45919</v>
      </c>
      <c r="E1651" s="169" t="s">
        <v>1091</v>
      </c>
      <c r="F1651" s="169" t="s">
        <v>389</v>
      </c>
      <c r="G1651" s="169" t="s">
        <v>390</v>
      </c>
      <c r="H1651" s="169" t="s">
        <v>376</v>
      </c>
      <c r="I1651" s="169" t="s">
        <v>377</v>
      </c>
      <c r="J1651" s="169" t="s">
        <v>1092</v>
      </c>
      <c r="K1651" s="169" t="s">
        <v>1093</v>
      </c>
      <c r="L1651" s="169" t="s">
        <v>1048</v>
      </c>
      <c r="M1651" s="169" t="s">
        <v>281</v>
      </c>
      <c r="N1651" s="178">
        <v>492192168</v>
      </c>
      <c r="O1651" s="169" t="s">
        <v>1094</v>
      </c>
      <c r="P1651" s="169" t="s">
        <v>283</v>
      </c>
      <c r="Q1651" s="169" t="s">
        <v>284</v>
      </c>
      <c r="R1651" s="169" t="s">
        <v>283</v>
      </c>
      <c r="S1651" s="169" t="s">
        <v>283</v>
      </c>
      <c r="T1651" s="169">
        <v>0</v>
      </c>
    </row>
    <row r="1652" spans="1:20" x14ac:dyDescent="0.2">
      <c r="A1652" s="169" t="str">
        <f t="shared" si="4"/>
        <v>627</v>
      </c>
      <c r="B1652" s="167" t="str">
        <f>_xlfn.XLOOKUP(I1652,Mapping!D:D,Mapping!E:E)</f>
        <v>Kỹ Thuật</v>
      </c>
      <c r="C1652" s="167" t="str">
        <f>_xlfn.XLOOKUP(F1652,Mapping!A:A,Mapping!F:F)</f>
        <v>Lương Chính +T13</v>
      </c>
      <c r="D1652" s="173">
        <v>45919</v>
      </c>
      <c r="E1652" s="169" t="s">
        <v>1091</v>
      </c>
      <c r="F1652" s="169" t="s">
        <v>388</v>
      </c>
      <c r="G1652" s="169" t="s">
        <v>286</v>
      </c>
      <c r="H1652" s="169" t="s">
        <v>376</v>
      </c>
      <c r="I1652" s="169" t="s">
        <v>377</v>
      </c>
      <c r="J1652" s="169" t="s">
        <v>1092</v>
      </c>
      <c r="K1652" s="169" t="s">
        <v>1093</v>
      </c>
      <c r="L1652" s="169" t="s">
        <v>1048</v>
      </c>
      <c r="M1652" s="169" t="s">
        <v>281</v>
      </c>
      <c r="N1652" s="178">
        <v>47938347</v>
      </c>
      <c r="O1652" s="169" t="s">
        <v>1094</v>
      </c>
      <c r="P1652" s="169" t="s">
        <v>283</v>
      </c>
      <c r="Q1652" s="169" t="s">
        <v>284</v>
      </c>
      <c r="R1652" s="169" t="s">
        <v>283</v>
      </c>
      <c r="S1652" s="169" t="s">
        <v>283</v>
      </c>
      <c r="T1652" s="169">
        <v>0</v>
      </c>
    </row>
    <row r="1653" spans="1:20" x14ac:dyDescent="0.2">
      <c r="A1653" s="169" t="str">
        <f t="shared" si="4"/>
        <v>627</v>
      </c>
      <c r="B1653" s="167" t="str">
        <f>_xlfn.XLOOKUP(I1653,Mapping!D:D,Mapping!E:E)</f>
        <v>Kỹ Thuật</v>
      </c>
      <c r="C1653" s="167" t="str">
        <f>_xlfn.XLOOKUP(F1653,Mapping!A:A,Mapping!F:F)</f>
        <v>Lương Chính +T13</v>
      </c>
      <c r="D1653" s="173">
        <v>45919</v>
      </c>
      <c r="E1653" s="169" t="s">
        <v>1091</v>
      </c>
      <c r="F1653" s="169" t="s">
        <v>387</v>
      </c>
      <c r="G1653" s="169" t="s">
        <v>275</v>
      </c>
      <c r="H1653" s="169" t="s">
        <v>376</v>
      </c>
      <c r="I1653" s="169" t="s">
        <v>377</v>
      </c>
      <c r="J1653" s="169" t="s">
        <v>1092</v>
      </c>
      <c r="K1653" s="169" t="s">
        <v>1093</v>
      </c>
      <c r="L1653" s="169" t="s">
        <v>1048</v>
      </c>
      <c r="M1653" s="169" t="s">
        <v>281</v>
      </c>
      <c r="N1653" s="178">
        <v>1141542239</v>
      </c>
      <c r="O1653" s="169" t="s">
        <v>1094</v>
      </c>
      <c r="P1653" s="169" t="s">
        <v>283</v>
      </c>
      <c r="Q1653" s="169" t="s">
        <v>284</v>
      </c>
      <c r="R1653" s="169" t="s">
        <v>283</v>
      </c>
      <c r="S1653" s="169" t="s">
        <v>283</v>
      </c>
      <c r="T1653" s="169">
        <v>0</v>
      </c>
    </row>
    <row r="1654" spans="1:20" x14ac:dyDescent="0.2">
      <c r="A1654" s="169" t="str">
        <f t="shared" si="4"/>
        <v>627</v>
      </c>
      <c r="B1654" s="167" t="str">
        <f>_xlfn.XLOOKUP(I1654,Mapping!D:D,Mapping!E:E)</f>
        <v>Kỹ Thuật</v>
      </c>
      <c r="C1654" s="167" t="str">
        <f>_xlfn.XLOOKUP(F1654,Mapping!A:A,Mapping!F:F)</f>
        <v>Phụ Cấp</v>
      </c>
      <c r="D1654" s="173">
        <v>45919</v>
      </c>
      <c r="E1654" s="169" t="s">
        <v>1091</v>
      </c>
      <c r="F1654" s="169" t="s">
        <v>386</v>
      </c>
      <c r="G1654" s="169" t="s">
        <v>341</v>
      </c>
      <c r="H1654" s="169" t="s">
        <v>376</v>
      </c>
      <c r="I1654" s="169" t="s">
        <v>377</v>
      </c>
      <c r="J1654" s="169" t="s">
        <v>1092</v>
      </c>
      <c r="K1654" s="169" t="s">
        <v>1093</v>
      </c>
      <c r="L1654" s="169" t="s">
        <v>1048</v>
      </c>
      <c r="M1654" s="169" t="s">
        <v>281</v>
      </c>
      <c r="N1654" s="178">
        <v>54484692</v>
      </c>
      <c r="O1654" s="169" t="s">
        <v>1094</v>
      </c>
      <c r="P1654" s="169" t="s">
        <v>283</v>
      </c>
      <c r="Q1654" s="169" t="s">
        <v>284</v>
      </c>
      <c r="R1654" s="169" t="s">
        <v>283</v>
      </c>
      <c r="S1654" s="169" t="s">
        <v>283</v>
      </c>
      <c r="T1654" s="169">
        <v>0</v>
      </c>
    </row>
    <row r="1655" spans="1:20" x14ac:dyDescent="0.2">
      <c r="A1655" s="169" t="str">
        <f t="shared" si="4"/>
        <v>642</v>
      </c>
      <c r="B1655" s="167" t="str">
        <f>_xlfn.XLOOKUP(I1655,Mapping!D:D,Mapping!E:E)</f>
        <v>Mua Hàng &amp; XNK</v>
      </c>
      <c r="C1655" s="167" t="str">
        <f>_xlfn.XLOOKUP(F1655,Mapping!A:A,Mapping!F:F)</f>
        <v>Phụ Cấp</v>
      </c>
      <c r="D1655" s="173">
        <v>45919</v>
      </c>
      <c r="E1655" s="169" t="s">
        <v>1091</v>
      </c>
      <c r="F1655" s="169" t="s">
        <v>335</v>
      </c>
      <c r="G1655" s="169" t="s">
        <v>336</v>
      </c>
      <c r="H1655" s="169" t="s">
        <v>378</v>
      </c>
      <c r="I1655" s="169" t="s">
        <v>379</v>
      </c>
      <c r="J1655" s="169" t="s">
        <v>1092</v>
      </c>
      <c r="K1655" s="169" t="s">
        <v>1093</v>
      </c>
      <c r="L1655" s="169" t="s">
        <v>1048</v>
      </c>
      <c r="M1655" s="169" t="s">
        <v>281</v>
      </c>
      <c r="N1655" s="178">
        <v>1050000</v>
      </c>
      <c r="O1655" s="169" t="s">
        <v>1094</v>
      </c>
      <c r="P1655" s="169" t="s">
        <v>283</v>
      </c>
      <c r="Q1655" s="169" t="s">
        <v>284</v>
      </c>
      <c r="R1655" s="169" t="s">
        <v>283</v>
      </c>
      <c r="S1655" s="169" t="s">
        <v>283</v>
      </c>
      <c r="T1655" s="169">
        <v>0</v>
      </c>
    </row>
    <row r="1656" spans="1:20" x14ac:dyDescent="0.2">
      <c r="A1656" s="169" t="str">
        <f t="shared" si="4"/>
        <v>642</v>
      </c>
      <c r="B1656" s="167" t="str">
        <f>_xlfn.XLOOKUP(I1656,Mapping!D:D,Mapping!E:E)</f>
        <v>Mua Hàng &amp; XNK</v>
      </c>
      <c r="C1656" s="167" t="str">
        <f>_xlfn.XLOOKUP(F1656,Mapping!A:A,Mapping!F:F)</f>
        <v>Thưởng</v>
      </c>
      <c r="D1656" s="173">
        <v>45919</v>
      </c>
      <c r="E1656" s="169" t="s">
        <v>1091</v>
      </c>
      <c r="F1656" s="169" t="s">
        <v>290</v>
      </c>
      <c r="G1656" s="169" t="s">
        <v>291</v>
      </c>
      <c r="H1656" s="169" t="s">
        <v>378</v>
      </c>
      <c r="I1656" s="169" t="s">
        <v>379</v>
      </c>
      <c r="J1656" s="169" t="s">
        <v>1092</v>
      </c>
      <c r="K1656" s="169" t="s">
        <v>1093</v>
      </c>
      <c r="L1656" s="169" t="s">
        <v>1048</v>
      </c>
      <c r="M1656" s="169" t="s">
        <v>281</v>
      </c>
      <c r="N1656" s="178">
        <v>1600000</v>
      </c>
      <c r="O1656" s="169" t="s">
        <v>1094</v>
      </c>
      <c r="P1656" s="169" t="s">
        <v>283</v>
      </c>
      <c r="Q1656" s="169" t="s">
        <v>284</v>
      </c>
      <c r="R1656" s="169" t="s">
        <v>283</v>
      </c>
      <c r="S1656" s="169" t="s">
        <v>283</v>
      </c>
      <c r="T1656" s="169">
        <v>0</v>
      </c>
    </row>
    <row r="1657" spans="1:20" x14ac:dyDescent="0.2">
      <c r="A1657" s="169" t="str">
        <f t="shared" si="4"/>
        <v>642</v>
      </c>
      <c r="B1657" s="167" t="str">
        <f>_xlfn.XLOOKUP(I1657,Mapping!D:D,Mapping!E:E)</f>
        <v>Mua Hàng &amp; XNK</v>
      </c>
      <c r="C1657" s="167" t="str">
        <f>_xlfn.XLOOKUP(F1657,Mapping!A:A,Mapping!F:F)</f>
        <v>Lương Chính +T13</v>
      </c>
      <c r="D1657" s="173">
        <v>45919</v>
      </c>
      <c r="E1657" s="169" t="s">
        <v>1091</v>
      </c>
      <c r="F1657" s="169" t="s">
        <v>285</v>
      </c>
      <c r="G1657" s="169" t="s">
        <v>286</v>
      </c>
      <c r="H1657" s="169" t="s">
        <v>378</v>
      </c>
      <c r="I1657" s="169" t="s">
        <v>379</v>
      </c>
      <c r="J1657" s="169" t="s">
        <v>1092</v>
      </c>
      <c r="K1657" s="169" t="s">
        <v>1093</v>
      </c>
      <c r="L1657" s="169" t="s">
        <v>1048</v>
      </c>
      <c r="M1657" s="169" t="s">
        <v>281</v>
      </c>
      <c r="N1657" s="178">
        <v>2101615</v>
      </c>
      <c r="O1657" s="169" t="s">
        <v>1094</v>
      </c>
      <c r="P1657" s="169" t="s">
        <v>283</v>
      </c>
      <c r="Q1657" s="169" t="s">
        <v>284</v>
      </c>
      <c r="R1657" s="169" t="s">
        <v>283</v>
      </c>
      <c r="S1657" s="169" t="s">
        <v>283</v>
      </c>
      <c r="T1657" s="169">
        <v>0</v>
      </c>
    </row>
    <row r="1658" spans="1:20" x14ac:dyDescent="0.2">
      <c r="A1658" s="169" t="str">
        <f t="shared" si="4"/>
        <v>642</v>
      </c>
      <c r="B1658" s="167" t="str">
        <f>_xlfn.XLOOKUP(I1658,Mapping!D:D,Mapping!E:E)</f>
        <v>Mua Hàng &amp; XNK</v>
      </c>
      <c r="C1658" s="167" t="str">
        <f>_xlfn.XLOOKUP(F1658,Mapping!A:A,Mapping!F:F)</f>
        <v>Lương Chính +T13</v>
      </c>
      <c r="D1658" s="173">
        <v>45919</v>
      </c>
      <c r="E1658" s="169" t="s">
        <v>1091</v>
      </c>
      <c r="F1658" s="169" t="s">
        <v>274</v>
      </c>
      <c r="G1658" s="169" t="s">
        <v>275</v>
      </c>
      <c r="H1658" s="169" t="s">
        <v>378</v>
      </c>
      <c r="I1658" s="169" t="s">
        <v>379</v>
      </c>
      <c r="J1658" s="169" t="s">
        <v>1092</v>
      </c>
      <c r="K1658" s="169" t="s">
        <v>1093</v>
      </c>
      <c r="L1658" s="169" t="s">
        <v>1048</v>
      </c>
      <c r="M1658" s="169" t="s">
        <v>281</v>
      </c>
      <c r="N1658" s="178">
        <v>127851334</v>
      </c>
      <c r="O1658" s="169" t="s">
        <v>1094</v>
      </c>
      <c r="P1658" s="169" t="s">
        <v>283</v>
      </c>
      <c r="Q1658" s="169" t="s">
        <v>284</v>
      </c>
      <c r="R1658" s="169" t="s">
        <v>283</v>
      </c>
      <c r="S1658" s="169" t="s">
        <v>283</v>
      </c>
      <c r="T1658" s="169">
        <v>0</v>
      </c>
    </row>
    <row r="1659" spans="1:20" x14ac:dyDescent="0.2">
      <c r="A1659" s="169" t="str">
        <f t="shared" si="4"/>
        <v>642</v>
      </c>
      <c r="B1659" s="167" t="str">
        <f>_xlfn.XLOOKUP(I1659,Mapping!D:D,Mapping!E:E)</f>
        <v>Cung Ứng</v>
      </c>
      <c r="C1659" s="167" t="str">
        <f>_xlfn.XLOOKUP(F1659,Mapping!A:A,Mapping!F:F)</f>
        <v>Phụ Cấp</v>
      </c>
      <c r="D1659" s="173">
        <v>45919</v>
      </c>
      <c r="E1659" s="169" t="s">
        <v>1091</v>
      </c>
      <c r="F1659" s="169" t="s">
        <v>335</v>
      </c>
      <c r="G1659" s="169" t="s">
        <v>336</v>
      </c>
      <c r="H1659" s="169" t="s">
        <v>380</v>
      </c>
      <c r="I1659" s="169" t="s">
        <v>381</v>
      </c>
      <c r="J1659" s="169" t="s">
        <v>1092</v>
      </c>
      <c r="K1659" s="169" t="s">
        <v>1093</v>
      </c>
      <c r="L1659" s="169" t="s">
        <v>1048</v>
      </c>
      <c r="M1659" s="169" t="s">
        <v>281</v>
      </c>
      <c r="N1659" s="178">
        <v>13175000</v>
      </c>
      <c r="O1659" s="169" t="s">
        <v>1094</v>
      </c>
      <c r="P1659" s="169" t="s">
        <v>283</v>
      </c>
      <c r="Q1659" s="169" t="s">
        <v>284</v>
      </c>
      <c r="R1659" s="169" t="s">
        <v>283</v>
      </c>
      <c r="S1659" s="169" t="s">
        <v>283</v>
      </c>
      <c r="T1659" s="169">
        <v>0</v>
      </c>
    </row>
    <row r="1660" spans="1:20" x14ac:dyDescent="0.2">
      <c r="A1660" s="169" t="str">
        <f t="shared" si="4"/>
        <v>642</v>
      </c>
      <c r="B1660" s="167" t="str">
        <f>_xlfn.XLOOKUP(I1660,Mapping!D:D,Mapping!E:E)</f>
        <v>Cung Ứng</v>
      </c>
      <c r="C1660" s="167" t="str">
        <f>_xlfn.XLOOKUP(F1660,Mapping!A:A,Mapping!F:F)</f>
        <v>Thưởng</v>
      </c>
      <c r="D1660" s="173">
        <v>45919</v>
      </c>
      <c r="E1660" s="169" t="s">
        <v>1091</v>
      </c>
      <c r="F1660" s="169" t="s">
        <v>290</v>
      </c>
      <c r="G1660" s="169" t="s">
        <v>291</v>
      </c>
      <c r="H1660" s="169" t="s">
        <v>380</v>
      </c>
      <c r="I1660" s="169" t="s">
        <v>381</v>
      </c>
      <c r="J1660" s="169" t="s">
        <v>1092</v>
      </c>
      <c r="K1660" s="169" t="s">
        <v>1093</v>
      </c>
      <c r="L1660" s="169" t="s">
        <v>1048</v>
      </c>
      <c r="M1660" s="169" t="s">
        <v>281</v>
      </c>
      <c r="N1660" s="178">
        <v>15031108</v>
      </c>
      <c r="O1660" s="169" t="s">
        <v>1094</v>
      </c>
      <c r="P1660" s="169" t="s">
        <v>283</v>
      </c>
      <c r="Q1660" s="169" t="s">
        <v>284</v>
      </c>
      <c r="R1660" s="169" t="s">
        <v>283</v>
      </c>
      <c r="S1660" s="169" t="s">
        <v>283</v>
      </c>
      <c r="T1660" s="169">
        <v>0</v>
      </c>
    </row>
    <row r="1661" spans="1:20" x14ac:dyDescent="0.2">
      <c r="A1661" s="169" t="str">
        <f t="shared" si="4"/>
        <v>642</v>
      </c>
      <c r="B1661" s="167" t="str">
        <f>_xlfn.XLOOKUP(I1661,Mapping!D:D,Mapping!E:E)</f>
        <v>Cung Ứng</v>
      </c>
      <c r="C1661" s="167" t="str">
        <f>_xlfn.XLOOKUP(F1661,Mapping!A:A,Mapping!F:F)</f>
        <v>Lương Chính +T13</v>
      </c>
      <c r="D1661" s="173">
        <v>45919</v>
      </c>
      <c r="E1661" s="169" t="s">
        <v>1091</v>
      </c>
      <c r="F1661" s="169" t="s">
        <v>285</v>
      </c>
      <c r="G1661" s="169" t="s">
        <v>286</v>
      </c>
      <c r="H1661" s="169" t="s">
        <v>380</v>
      </c>
      <c r="I1661" s="169" t="s">
        <v>381</v>
      </c>
      <c r="J1661" s="169" t="s">
        <v>1092</v>
      </c>
      <c r="K1661" s="169" t="s">
        <v>1093</v>
      </c>
      <c r="L1661" s="169" t="s">
        <v>1048</v>
      </c>
      <c r="M1661" s="169" t="s">
        <v>281</v>
      </c>
      <c r="N1661" s="178">
        <v>9698924</v>
      </c>
      <c r="O1661" s="169" t="s">
        <v>1094</v>
      </c>
      <c r="P1661" s="169" t="s">
        <v>283</v>
      </c>
      <c r="Q1661" s="169" t="s">
        <v>284</v>
      </c>
      <c r="R1661" s="169" t="s">
        <v>283</v>
      </c>
      <c r="S1661" s="169" t="s">
        <v>283</v>
      </c>
      <c r="T1661" s="169">
        <v>0</v>
      </c>
    </row>
    <row r="1662" spans="1:20" x14ac:dyDescent="0.2">
      <c r="A1662" s="169" t="str">
        <f t="shared" si="4"/>
        <v>642</v>
      </c>
      <c r="B1662" s="167" t="str">
        <f>_xlfn.XLOOKUP(I1662,Mapping!D:D,Mapping!E:E)</f>
        <v>Cung Ứng</v>
      </c>
      <c r="C1662" s="167" t="str">
        <f>_xlfn.XLOOKUP(F1662,Mapping!A:A,Mapping!F:F)</f>
        <v>Lương Chính +T13</v>
      </c>
      <c r="D1662" s="173">
        <v>45919</v>
      </c>
      <c r="E1662" s="169" t="s">
        <v>1091</v>
      </c>
      <c r="F1662" s="169" t="s">
        <v>274</v>
      </c>
      <c r="G1662" s="169" t="s">
        <v>275</v>
      </c>
      <c r="H1662" s="169" t="s">
        <v>380</v>
      </c>
      <c r="I1662" s="169" t="s">
        <v>381</v>
      </c>
      <c r="J1662" s="169" t="s">
        <v>1092</v>
      </c>
      <c r="K1662" s="169" t="s">
        <v>1093</v>
      </c>
      <c r="L1662" s="169" t="s">
        <v>1048</v>
      </c>
      <c r="M1662" s="169" t="s">
        <v>281</v>
      </c>
      <c r="N1662" s="178">
        <v>581045654</v>
      </c>
      <c r="O1662" s="169" t="s">
        <v>1094</v>
      </c>
      <c r="P1662" s="169" t="s">
        <v>283</v>
      </c>
      <c r="Q1662" s="169" t="s">
        <v>284</v>
      </c>
      <c r="R1662" s="169" t="s">
        <v>283</v>
      </c>
      <c r="S1662" s="169" t="s">
        <v>283</v>
      </c>
      <c r="T1662" s="169">
        <v>0</v>
      </c>
    </row>
    <row r="1663" spans="1:20" x14ac:dyDescent="0.2">
      <c r="A1663" s="169" t="str">
        <f t="shared" si="4"/>
        <v>641</v>
      </c>
      <c r="B1663" s="167" t="str">
        <f>_xlfn.XLOOKUP(I1663,Mapping!D:D,Mapping!E:E)</f>
        <v>Kinh doanh</v>
      </c>
      <c r="C1663" s="167" t="str">
        <f>_xlfn.XLOOKUP(F1663,Mapping!A:A,Mapping!F:F)</f>
        <v>Thưởng</v>
      </c>
      <c r="D1663" s="173">
        <v>45919</v>
      </c>
      <c r="E1663" s="169" t="s">
        <v>1091</v>
      </c>
      <c r="F1663" s="169" t="s">
        <v>365</v>
      </c>
      <c r="G1663" s="169" t="s">
        <v>291</v>
      </c>
      <c r="H1663" s="169" t="s">
        <v>366</v>
      </c>
      <c r="I1663" s="169" t="s">
        <v>1</v>
      </c>
      <c r="J1663" s="169" t="s">
        <v>1092</v>
      </c>
      <c r="K1663" s="169" t="s">
        <v>1093</v>
      </c>
      <c r="L1663" s="169" t="s">
        <v>1048</v>
      </c>
      <c r="M1663" s="169" t="s">
        <v>281</v>
      </c>
      <c r="N1663" s="178">
        <v>133488905</v>
      </c>
      <c r="O1663" s="169" t="s">
        <v>1094</v>
      </c>
      <c r="P1663" s="169" t="s">
        <v>283</v>
      </c>
      <c r="Q1663" s="169" t="s">
        <v>284</v>
      </c>
      <c r="R1663" s="169" t="s">
        <v>283</v>
      </c>
      <c r="S1663" s="169" t="s">
        <v>283</v>
      </c>
      <c r="T1663" s="169">
        <v>0</v>
      </c>
    </row>
    <row r="1664" spans="1:20" x14ac:dyDescent="0.2">
      <c r="A1664" s="169" t="str">
        <f t="shared" si="4"/>
        <v>641</v>
      </c>
      <c r="B1664" s="167" t="str">
        <f>_xlfn.XLOOKUP(I1664,Mapping!D:D,Mapping!E:E)</f>
        <v>Kinh doanh</v>
      </c>
      <c r="C1664" s="167" t="str">
        <f>_xlfn.XLOOKUP(F1664,Mapping!A:A,Mapping!F:F)</f>
        <v>Lương Chính +T13</v>
      </c>
      <c r="D1664" s="173">
        <v>45919</v>
      </c>
      <c r="E1664" s="169" t="s">
        <v>1091</v>
      </c>
      <c r="F1664" s="169" t="s">
        <v>384</v>
      </c>
      <c r="G1664" s="169" t="s">
        <v>286</v>
      </c>
      <c r="H1664" s="169" t="s">
        <v>366</v>
      </c>
      <c r="I1664" s="169" t="s">
        <v>1</v>
      </c>
      <c r="J1664" s="169" t="s">
        <v>1092</v>
      </c>
      <c r="K1664" s="169" t="s">
        <v>1093</v>
      </c>
      <c r="L1664" s="169" t="s">
        <v>1048</v>
      </c>
      <c r="M1664" s="169" t="s">
        <v>281</v>
      </c>
      <c r="N1664" s="178">
        <v>8948019</v>
      </c>
      <c r="O1664" s="169" t="s">
        <v>1094</v>
      </c>
      <c r="P1664" s="169" t="s">
        <v>283</v>
      </c>
      <c r="Q1664" s="169" t="s">
        <v>284</v>
      </c>
      <c r="R1664" s="169" t="s">
        <v>283</v>
      </c>
      <c r="S1664" s="169" t="s">
        <v>283</v>
      </c>
      <c r="T1664" s="169">
        <v>0</v>
      </c>
    </row>
    <row r="1665" spans="1:20" x14ac:dyDescent="0.2">
      <c r="A1665" s="169" t="str">
        <f t="shared" si="4"/>
        <v>641</v>
      </c>
      <c r="B1665" s="167" t="str">
        <f>_xlfn.XLOOKUP(I1665,Mapping!D:D,Mapping!E:E)</f>
        <v>Kinh doanh</v>
      </c>
      <c r="C1665" s="167" t="str">
        <f>_xlfn.XLOOKUP(F1665,Mapping!A:A,Mapping!F:F)</f>
        <v>Lương Chính +T13</v>
      </c>
      <c r="D1665" s="173">
        <v>45919</v>
      </c>
      <c r="E1665" s="169" t="s">
        <v>1091</v>
      </c>
      <c r="F1665" s="169" t="s">
        <v>383</v>
      </c>
      <c r="G1665" s="169" t="s">
        <v>275</v>
      </c>
      <c r="H1665" s="169" t="s">
        <v>366</v>
      </c>
      <c r="I1665" s="169" t="s">
        <v>1</v>
      </c>
      <c r="J1665" s="169" t="s">
        <v>1092</v>
      </c>
      <c r="K1665" s="169" t="s">
        <v>1093</v>
      </c>
      <c r="L1665" s="169" t="s">
        <v>1048</v>
      </c>
      <c r="M1665" s="169" t="s">
        <v>281</v>
      </c>
      <c r="N1665" s="178">
        <v>259709486</v>
      </c>
      <c r="O1665" s="169" t="s">
        <v>1094</v>
      </c>
      <c r="P1665" s="169" t="s">
        <v>283</v>
      </c>
      <c r="Q1665" s="169" t="s">
        <v>284</v>
      </c>
      <c r="R1665" s="169" t="s">
        <v>283</v>
      </c>
      <c r="S1665" s="169" t="s">
        <v>283</v>
      </c>
      <c r="T1665" s="169">
        <v>0</v>
      </c>
    </row>
    <row r="1666" spans="1:20" x14ac:dyDescent="0.2">
      <c r="A1666" s="169" t="str">
        <f t="shared" si="4"/>
        <v>642</v>
      </c>
      <c r="B1666" s="167" t="str">
        <f>_xlfn.XLOOKUP(I1666,Mapping!D:D,Mapping!E:E)</f>
        <v>Kế Toán</v>
      </c>
      <c r="C1666" s="167" t="str">
        <f>_xlfn.XLOOKUP(F1666,Mapping!A:A,Mapping!F:F)</f>
        <v>Phụ Cấp</v>
      </c>
      <c r="D1666" s="173">
        <v>45919</v>
      </c>
      <c r="E1666" s="169" t="s">
        <v>1091</v>
      </c>
      <c r="F1666" s="169" t="s">
        <v>335</v>
      </c>
      <c r="G1666" s="169" t="s">
        <v>336</v>
      </c>
      <c r="H1666" s="169" t="s">
        <v>356</v>
      </c>
      <c r="I1666" s="169" t="s">
        <v>357</v>
      </c>
      <c r="J1666" s="169" t="s">
        <v>1092</v>
      </c>
      <c r="K1666" s="169" t="s">
        <v>1093</v>
      </c>
      <c r="L1666" s="169" t="s">
        <v>1048</v>
      </c>
      <c r="M1666" s="169" t="s">
        <v>281</v>
      </c>
      <c r="N1666" s="178">
        <v>2570000</v>
      </c>
      <c r="O1666" s="169" t="s">
        <v>1094</v>
      </c>
      <c r="P1666" s="169" t="s">
        <v>283</v>
      </c>
      <c r="Q1666" s="169" t="s">
        <v>284</v>
      </c>
      <c r="R1666" s="169" t="s">
        <v>283</v>
      </c>
      <c r="S1666" s="169" t="s">
        <v>283</v>
      </c>
      <c r="T1666" s="169">
        <v>0</v>
      </c>
    </row>
    <row r="1667" spans="1:20" x14ac:dyDescent="0.2">
      <c r="A1667" s="169" t="str">
        <f t="shared" si="4"/>
        <v>642</v>
      </c>
      <c r="B1667" s="167" t="str">
        <f>_xlfn.XLOOKUP(I1667,Mapping!D:D,Mapping!E:E)</f>
        <v>Kế Toán</v>
      </c>
      <c r="C1667" s="167" t="str">
        <f>_xlfn.XLOOKUP(F1667,Mapping!A:A,Mapping!F:F)</f>
        <v>Thưởng</v>
      </c>
      <c r="D1667" s="173">
        <v>45919</v>
      </c>
      <c r="E1667" s="169" t="s">
        <v>1091</v>
      </c>
      <c r="F1667" s="169" t="s">
        <v>290</v>
      </c>
      <c r="G1667" s="169" t="s">
        <v>291</v>
      </c>
      <c r="H1667" s="169" t="s">
        <v>356</v>
      </c>
      <c r="I1667" s="169" t="s">
        <v>357</v>
      </c>
      <c r="J1667" s="169" t="s">
        <v>1092</v>
      </c>
      <c r="K1667" s="169" t="s">
        <v>1093</v>
      </c>
      <c r="L1667" s="169" t="s">
        <v>1048</v>
      </c>
      <c r="M1667" s="169" t="s">
        <v>281</v>
      </c>
      <c r="N1667" s="178">
        <v>5400000</v>
      </c>
      <c r="O1667" s="169" t="s">
        <v>1094</v>
      </c>
      <c r="P1667" s="169" t="s">
        <v>283</v>
      </c>
      <c r="Q1667" s="169" t="s">
        <v>284</v>
      </c>
      <c r="R1667" s="169" t="s">
        <v>283</v>
      </c>
      <c r="S1667" s="169" t="s">
        <v>283</v>
      </c>
      <c r="T1667" s="169">
        <v>0</v>
      </c>
    </row>
    <row r="1668" spans="1:20" x14ac:dyDescent="0.2">
      <c r="A1668" s="169" t="str">
        <f t="shared" si="4"/>
        <v>642</v>
      </c>
      <c r="B1668" s="167" t="str">
        <f>_xlfn.XLOOKUP(I1668,Mapping!D:D,Mapping!E:E)</f>
        <v>Kế Toán</v>
      </c>
      <c r="C1668" s="167" t="str">
        <f>_xlfn.XLOOKUP(F1668,Mapping!A:A,Mapping!F:F)</f>
        <v>Lương Ngoài giờ</v>
      </c>
      <c r="D1668" s="173">
        <v>45919</v>
      </c>
      <c r="E1668" s="169" t="s">
        <v>1091</v>
      </c>
      <c r="F1668" s="169" t="s">
        <v>342</v>
      </c>
      <c r="G1668" s="169" t="s">
        <v>343</v>
      </c>
      <c r="H1668" s="169" t="s">
        <v>356</v>
      </c>
      <c r="I1668" s="169" t="s">
        <v>357</v>
      </c>
      <c r="J1668" s="169" t="s">
        <v>1092</v>
      </c>
      <c r="K1668" s="169" t="s">
        <v>1093</v>
      </c>
      <c r="L1668" s="169" t="s">
        <v>1048</v>
      </c>
      <c r="M1668" s="169" t="s">
        <v>281</v>
      </c>
      <c r="N1668" s="178">
        <v>58786665</v>
      </c>
      <c r="O1668" s="169" t="s">
        <v>1094</v>
      </c>
      <c r="P1668" s="169" t="s">
        <v>283</v>
      </c>
      <c r="Q1668" s="169" t="s">
        <v>284</v>
      </c>
      <c r="R1668" s="169" t="s">
        <v>283</v>
      </c>
      <c r="S1668" s="169" t="s">
        <v>283</v>
      </c>
      <c r="T1668" s="169">
        <v>0</v>
      </c>
    </row>
    <row r="1669" spans="1:20" x14ac:dyDescent="0.2">
      <c r="A1669" s="169" t="str">
        <f t="shared" si="4"/>
        <v>642</v>
      </c>
      <c r="B1669" s="167" t="str">
        <f>_xlfn.XLOOKUP(I1669,Mapping!D:D,Mapping!E:E)</f>
        <v>Kế Toán</v>
      </c>
      <c r="C1669" s="167" t="str">
        <f>_xlfn.XLOOKUP(F1669,Mapping!A:A,Mapping!F:F)</f>
        <v>Lương Chính +T13</v>
      </c>
      <c r="D1669" s="173">
        <v>45919</v>
      </c>
      <c r="E1669" s="169" t="s">
        <v>1091</v>
      </c>
      <c r="F1669" s="169" t="s">
        <v>285</v>
      </c>
      <c r="G1669" s="169" t="s">
        <v>286</v>
      </c>
      <c r="H1669" s="169" t="s">
        <v>356</v>
      </c>
      <c r="I1669" s="169" t="s">
        <v>357</v>
      </c>
      <c r="J1669" s="169" t="s">
        <v>1092</v>
      </c>
      <c r="K1669" s="169" t="s">
        <v>1093</v>
      </c>
      <c r="L1669" s="169" t="s">
        <v>1048</v>
      </c>
      <c r="M1669" s="169" t="s">
        <v>281</v>
      </c>
      <c r="N1669" s="178">
        <v>11630595</v>
      </c>
      <c r="O1669" s="169" t="s">
        <v>1094</v>
      </c>
      <c r="P1669" s="169" t="s">
        <v>283</v>
      </c>
      <c r="Q1669" s="169" t="s">
        <v>284</v>
      </c>
      <c r="R1669" s="169" t="s">
        <v>283</v>
      </c>
      <c r="S1669" s="169" t="s">
        <v>283</v>
      </c>
      <c r="T1669" s="169">
        <v>0</v>
      </c>
    </row>
    <row r="1670" spans="1:20" x14ac:dyDescent="0.2">
      <c r="A1670" s="169" t="str">
        <f t="shared" si="4"/>
        <v>642</v>
      </c>
      <c r="B1670" s="167" t="str">
        <f>_xlfn.XLOOKUP(I1670,Mapping!D:D,Mapping!E:E)</f>
        <v>Kế Toán</v>
      </c>
      <c r="C1670" s="167" t="str">
        <f>_xlfn.XLOOKUP(F1670,Mapping!A:A,Mapping!F:F)</f>
        <v>Lương Chính +T13</v>
      </c>
      <c r="D1670" s="173">
        <v>45919</v>
      </c>
      <c r="E1670" s="169" t="s">
        <v>1091</v>
      </c>
      <c r="F1670" s="169" t="s">
        <v>274</v>
      </c>
      <c r="G1670" s="169" t="s">
        <v>275</v>
      </c>
      <c r="H1670" s="169" t="s">
        <v>356</v>
      </c>
      <c r="I1670" s="169" t="s">
        <v>357</v>
      </c>
      <c r="J1670" s="169" t="s">
        <v>1092</v>
      </c>
      <c r="K1670" s="169" t="s">
        <v>1093</v>
      </c>
      <c r="L1670" s="169" t="s">
        <v>1048</v>
      </c>
      <c r="M1670" s="169" t="s">
        <v>281</v>
      </c>
      <c r="N1670" s="178">
        <v>541960182</v>
      </c>
      <c r="O1670" s="169" t="s">
        <v>1094</v>
      </c>
      <c r="P1670" s="169" t="s">
        <v>283</v>
      </c>
      <c r="Q1670" s="169" t="s">
        <v>284</v>
      </c>
      <c r="R1670" s="169" t="s">
        <v>283</v>
      </c>
      <c r="S1670" s="169" t="s">
        <v>283</v>
      </c>
      <c r="T1670" s="169">
        <v>0</v>
      </c>
    </row>
    <row r="1671" spans="1:20" x14ac:dyDescent="0.2">
      <c r="A1671" s="169" t="str">
        <f t="shared" si="4"/>
        <v>642</v>
      </c>
      <c r="B1671" s="167" t="str">
        <f>_xlfn.XLOOKUP(I1671,Mapping!D:D,Mapping!E:E)</f>
        <v>Hành Chánh Nhân Sự</v>
      </c>
      <c r="C1671" s="167" t="str">
        <f>_xlfn.XLOOKUP(F1671,Mapping!A:A,Mapping!F:F)</f>
        <v>Phụ Cấp</v>
      </c>
      <c r="D1671" s="173">
        <v>45919</v>
      </c>
      <c r="E1671" s="169" t="s">
        <v>1091</v>
      </c>
      <c r="F1671" s="169" t="s">
        <v>335</v>
      </c>
      <c r="G1671" s="169" t="s">
        <v>336</v>
      </c>
      <c r="H1671" s="169" t="s">
        <v>301</v>
      </c>
      <c r="I1671" s="169" t="s">
        <v>302</v>
      </c>
      <c r="J1671" s="169" t="s">
        <v>1092</v>
      </c>
      <c r="K1671" s="169" t="s">
        <v>1093</v>
      </c>
      <c r="L1671" s="169" t="s">
        <v>1048</v>
      </c>
      <c r="M1671" s="169" t="s">
        <v>281</v>
      </c>
      <c r="N1671" s="178">
        <v>5425000</v>
      </c>
      <c r="O1671" s="169" t="s">
        <v>1094</v>
      </c>
      <c r="P1671" s="169" t="s">
        <v>283</v>
      </c>
      <c r="Q1671" s="169" t="s">
        <v>284</v>
      </c>
      <c r="R1671" s="169" t="s">
        <v>283</v>
      </c>
      <c r="S1671" s="169" t="s">
        <v>283</v>
      </c>
      <c r="T1671" s="169">
        <v>0</v>
      </c>
    </row>
    <row r="1672" spans="1:20" x14ac:dyDescent="0.2">
      <c r="A1672" s="169" t="str">
        <f t="shared" si="4"/>
        <v>642</v>
      </c>
      <c r="B1672" s="167" t="str">
        <f>_xlfn.XLOOKUP(I1672,Mapping!D:D,Mapping!E:E)</f>
        <v>Hành Chánh Nhân Sự</v>
      </c>
      <c r="C1672" s="167" t="str">
        <f>_xlfn.XLOOKUP(F1672,Mapping!A:A,Mapping!F:F)</f>
        <v>Thưởng</v>
      </c>
      <c r="D1672" s="173">
        <v>45919</v>
      </c>
      <c r="E1672" s="169" t="s">
        <v>1091</v>
      </c>
      <c r="F1672" s="169" t="s">
        <v>290</v>
      </c>
      <c r="G1672" s="169" t="s">
        <v>291</v>
      </c>
      <c r="H1672" s="169" t="s">
        <v>301</v>
      </c>
      <c r="I1672" s="169" t="s">
        <v>302</v>
      </c>
      <c r="J1672" s="169" t="s">
        <v>1092</v>
      </c>
      <c r="K1672" s="169" t="s">
        <v>1093</v>
      </c>
      <c r="L1672" s="169" t="s">
        <v>1048</v>
      </c>
      <c r="M1672" s="169" t="s">
        <v>281</v>
      </c>
      <c r="N1672" s="178">
        <v>7000000</v>
      </c>
      <c r="O1672" s="169" t="s">
        <v>1094</v>
      </c>
      <c r="P1672" s="169" t="s">
        <v>283</v>
      </c>
      <c r="Q1672" s="169" t="s">
        <v>284</v>
      </c>
      <c r="R1672" s="169" t="s">
        <v>283</v>
      </c>
      <c r="S1672" s="169" t="s">
        <v>283</v>
      </c>
      <c r="T1672" s="169">
        <v>0</v>
      </c>
    </row>
    <row r="1673" spans="1:20" x14ac:dyDescent="0.2">
      <c r="A1673" s="169" t="str">
        <f t="shared" si="4"/>
        <v>642</v>
      </c>
      <c r="B1673" s="167" t="str">
        <f>_xlfn.XLOOKUP(I1673,Mapping!D:D,Mapping!E:E)</f>
        <v>Hành Chánh Nhân Sự</v>
      </c>
      <c r="C1673" s="167" t="str">
        <f>_xlfn.XLOOKUP(F1673,Mapping!A:A,Mapping!F:F)</f>
        <v>Lương Ngoài giờ</v>
      </c>
      <c r="D1673" s="173">
        <v>45919</v>
      </c>
      <c r="E1673" s="169" t="s">
        <v>1091</v>
      </c>
      <c r="F1673" s="169" t="s">
        <v>342</v>
      </c>
      <c r="G1673" s="169" t="s">
        <v>343</v>
      </c>
      <c r="H1673" s="169" t="s">
        <v>301</v>
      </c>
      <c r="I1673" s="169" t="s">
        <v>302</v>
      </c>
      <c r="J1673" s="169" t="s">
        <v>1092</v>
      </c>
      <c r="K1673" s="169" t="s">
        <v>1093</v>
      </c>
      <c r="L1673" s="169" t="s">
        <v>1048</v>
      </c>
      <c r="M1673" s="169" t="s">
        <v>281</v>
      </c>
      <c r="N1673" s="178">
        <v>98974549</v>
      </c>
      <c r="O1673" s="169" t="s">
        <v>1094</v>
      </c>
      <c r="P1673" s="169" t="s">
        <v>283</v>
      </c>
      <c r="Q1673" s="169" t="s">
        <v>284</v>
      </c>
      <c r="R1673" s="169" t="s">
        <v>283</v>
      </c>
      <c r="S1673" s="169" t="s">
        <v>283</v>
      </c>
      <c r="T1673" s="169">
        <v>0</v>
      </c>
    </row>
    <row r="1674" spans="1:20" x14ac:dyDescent="0.2">
      <c r="A1674" s="169" t="str">
        <f t="shared" si="4"/>
        <v>642</v>
      </c>
      <c r="B1674" s="167" t="str">
        <f>_xlfn.XLOOKUP(I1674,Mapping!D:D,Mapping!E:E)</f>
        <v>Hành Chánh Nhân Sự</v>
      </c>
      <c r="C1674" s="167" t="str">
        <f>_xlfn.XLOOKUP(F1674,Mapping!A:A,Mapping!F:F)</f>
        <v>Lương Chính +T13</v>
      </c>
      <c r="D1674" s="173">
        <v>45919</v>
      </c>
      <c r="E1674" s="169" t="s">
        <v>1091</v>
      </c>
      <c r="F1674" s="169" t="s">
        <v>285</v>
      </c>
      <c r="G1674" s="169" t="s">
        <v>286</v>
      </c>
      <c r="H1674" s="169" t="s">
        <v>301</v>
      </c>
      <c r="I1674" s="169" t="s">
        <v>302</v>
      </c>
      <c r="J1674" s="169" t="s">
        <v>1092</v>
      </c>
      <c r="K1674" s="169" t="s">
        <v>1093</v>
      </c>
      <c r="L1674" s="169" t="s">
        <v>1048</v>
      </c>
      <c r="M1674" s="169" t="s">
        <v>281</v>
      </c>
      <c r="N1674" s="178">
        <v>11230673</v>
      </c>
      <c r="O1674" s="169" t="s">
        <v>1094</v>
      </c>
      <c r="P1674" s="169" t="s">
        <v>283</v>
      </c>
      <c r="Q1674" s="169" t="s">
        <v>284</v>
      </c>
      <c r="R1674" s="169" t="s">
        <v>283</v>
      </c>
      <c r="S1674" s="169" t="s">
        <v>283</v>
      </c>
      <c r="T1674" s="169">
        <v>0</v>
      </c>
    </row>
    <row r="1675" spans="1:20" x14ac:dyDescent="0.2">
      <c r="A1675" s="169" t="str">
        <f t="shared" si="4"/>
        <v>642</v>
      </c>
      <c r="B1675" s="167" t="str">
        <f>_xlfn.XLOOKUP(I1675,Mapping!D:D,Mapping!E:E)</f>
        <v>Hành Chánh Nhân Sự</v>
      </c>
      <c r="C1675" s="167" t="str">
        <f>_xlfn.XLOOKUP(F1675,Mapping!A:A,Mapping!F:F)</f>
        <v>Lương Chính +T13</v>
      </c>
      <c r="D1675" s="173">
        <v>45919</v>
      </c>
      <c r="E1675" s="169" t="s">
        <v>1091</v>
      </c>
      <c r="F1675" s="169" t="s">
        <v>274</v>
      </c>
      <c r="G1675" s="169" t="s">
        <v>275</v>
      </c>
      <c r="H1675" s="169" t="s">
        <v>301</v>
      </c>
      <c r="I1675" s="169" t="s">
        <v>302</v>
      </c>
      <c r="J1675" s="169" t="s">
        <v>1092</v>
      </c>
      <c r="K1675" s="169" t="s">
        <v>1093</v>
      </c>
      <c r="L1675" s="169" t="s">
        <v>1048</v>
      </c>
      <c r="M1675" s="169" t="s">
        <v>281</v>
      </c>
      <c r="N1675" s="178">
        <v>483735400</v>
      </c>
      <c r="O1675" s="169" t="s">
        <v>1094</v>
      </c>
      <c r="P1675" s="169" t="s">
        <v>283</v>
      </c>
      <c r="Q1675" s="169" t="s">
        <v>284</v>
      </c>
      <c r="R1675" s="169" t="s">
        <v>283</v>
      </c>
      <c r="S1675" s="169" t="s">
        <v>283</v>
      </c>
      <c r="T1675" s="169">
        <v>0</v>
      </c>
    </row>
    <row r="1676" spans="1:20" x14ac:dyDescent="0.2">
      <c r="A1676" s="169" t="str">
        <f t="shared" si="4"/>
        <v>642</v>
      </c>
      <c r="B1676" s="167" t="str">
        <f>_xlfn.XLOOKUP(I1676,Mapping!D:D,Mapping!E:E)</f>
        <v>Hành Chánh Nhân Sự</v>
      </c>
      <c r="C1676" s="167" t="str">
        <f>_xlfn.XLOOKUP(F1676,Mapping!A:A,Mapping!F:F)</f>
        <v>Phụ Cấp</v>
      </c>
      <c r="D1676" s="173">
        <v>45919</v>
      </c>
      <c r="E1676" s="169" t="s">
        <v>1091</v>
      </c>
      <c r="F1676" s="169" t="s">
        <v>340</v>
      </c>
      <c r="G1676" s="169" t="s">
        <v>341</v>
      </c>
      <c r="H1676" s="169" t="s">
        <v>301</v>
      </c>
      <c r="I1676" s="169" t="s">
        <v>302</v>
      </c>
      <c r="J1676" s="169" t="s">
        <v>1092</v>
      </c>
      <c r="K1676" s="169" t="s">
        <v>1093</v>
      </c>
      <c r="L1676" s="169" t="s">
        <v>1048</v>
      </c>
      <c r="M1676" s="169" t="s">
        <v>281</v>
      </c>
      <c r="N1676" s="178">
        <v>7228435</v>
      </c>
      <c r="O1676" s="169" t="s">
        <v>1094</v>
      </c>
      <c r="P1676" s="169" t="s">
        <v>283</v>
      </c>
      <c r="Q1676" s="169" t="s">
        <v>284</v>
      </c>
      <c r="R1676" s="169" t="s">
        <v>283</v>
      </c>
      <c r="S1676" s="169" t="s">
        <v>283</v>
      </c>
      <c r="T1676" s="169">
        <v>0</v>
      </c>
    </row>
    <row r="1677" spans="1:20" x14ac:dyDescent="0.2">
      <c r="A1677" s="169" t="str">
        <f t="shared" si="4"/>
        <v>642</v>
      </c>
      <c r="B1677" s="167" t="str">
        <f>_xlfn.XLOOKUP(I1677,Mapping!D:D,Mapping!E:E)</f>
        <v>Văn Phòng Giám Đốc</v>
      </c>
      <c r="C1677" s="167" t="str">
        <f>_xlfn.XLOOKUP(F1677,Mapping!A:A,Mapping!F:F)</f>
        <v>Thưởng</v>
      </c>
      <c r="D1677" s="173">
        <v>45919</v>
      </c>
      <c r="E1677" s="169" t="s">
        <v>1091</v>
      </c>
      <c r="F1677" s="169" t="s">
        <v>290</v>
      </c>
      <c r="G1677" s="169" t="s">
        <v>291</v>
      </c>
      <c r="H1677" s="169" t="s">
        <v>320</v>
      </c>
      <c r="I1677" s="169" t="s">
        <v>321</v>
      </c>
      <c r="J1677" s="169" t="s">
        <v>1092</v>
      </c>
      <c r="K1677" s="169" t="s">
        <v>1093</v>
      </c>
      <c r="L1677" s="169" t="s">
        <v>1048</v>
      </c>
      <c r="M1677" s="169" t="s">
        <v>281</v>
      </c>
      <c r="N1677" s="178">
        <v>800000</v>
      </c>
      <c r="O1677" s="169" t="s">
        <v>1094</v>
      </c>
      <c r="P1677" s="169" t="s">
        <v>283</v>
      </c>
      <c r="Q1677" s="169" t="s">
        <v>284</v>
      </c>
      <c r="R1677" s="169" t="s">
        <v>283</v>
      </c>
      <c r="S1677" s="169" t="s">
        <v>283</v>
      </c>
      <c r="T1677" s="169">
        <v>0</v>
      </c>
    </row>
    <row r="1678" spans="1:20" x14ac:dyDescent="0.2">
      <c r="A1678" s="169" t="str">
        <f t="shared" si="4"/>
        <v>642</v>
      </c>
      <c r="B1678" s="167" t="str">
        <f>_xlfn.XLOOKUP(I1678,Mapping!D:D,Mapping!E:E)</f>
        <v>Văn Phòng Giám Đốc</v>
      </c>
      <c r="C1678" s="167" t="str">
        <f>_xlfn.XLOOKUP(F1678,Mapping!A:A,Mapping!F:F)</f>
        <v>Lương Chính +T13</v>
      </c>
      <c r="D1678" s="173">
        <v>45919</v>
      </c>
      <c r="E1678" s="169" t="s">
        <v>1091</v>
      </c>
      <c r="F1678" s="169" t="s">
        <v>285</v>
      </c>
      <c r="G1678" s="169" t="s">
        <v>286</v>
      </c>
      <c r="H1678" s="169" t="s">
        <v>320</v>
      </c>
      <c r="I1678" s="169" t="s">
        <v>321</v>
      </c>
      <c r="J1678" s="169" t="s">
        <v>1092</v>
      </c>
      <c r="K1678" s="169" t="s">
        <v>1093</v>
      </c>
      <c r="L1678" s="169" t="s">
        <v>1048</v>
      </c>
      <c r="M1678" s="169" t="s">
        <v>281</v>
      </c>
      <c r="N1678" s="178">
        <v>830769</v>
      </c>
      <c r="O1678" s="169" t="s">
        <v>1094</v>
      </c>
      <c r="P1678" s="169" t="s">
        <v>283</v>
      </c>
      <c r="Q1678" s="169" t="s">
        <v>284</v>
      </c>
      <c r="R1678" s="169" t="s">
        <v>283</v>
      </c>
      <c r="S1678" s="169" t="s">
        <v>283</v>
      </c>
      <c r="T1678" s="169">
        <v>0</v>
      </c>
    </row>
    <row r="1679" spans="1:20" x14ac:dyDescent="0.2">
      <c r="A1679" s="169" t="str">
        <f t="shared" si="4"/>
        <v>642</v>
      </c>
      <c r="B1679" s="167" t="str">
        <f>_xlfn.XLOOKUP(I1679,Mapping!D:D,Mapping!E:E)</f>
        <v>Văn Phòng Giám Đốc</v>
      </c>
      <c r="C1679" s="167" t="str">
        <f>_xlfn.XLOOKUP(F1679,Mapping!A:A,Mapping!F:F)</f>
        <v>Lương Chính +T13</v>
      </c>
      <c r="D1679" s="173">
        <v>45919</v>
      </c>
      <c r="E1679" s="169" t="s">
        <v>1091</v>
      </c>
      <c r="F1679" s="169" t="s">
        <v>274</v>
      </c>
      <c r="G1679" s="169" t="s">
        <v>275</v>
      </c>
      <c r="H1679" s="169" t="s">
        <v>320</v>
      </c>
      <c r="I1679" s="169" t="s">
        <v>321</v>
      </c>
      <c r="J1679" s="169" t="s">
        <v>1092</v>
      </c>
      <c r="K1679" s="169" t="s">
        <v>1093</v>
      </c>
      <c r="L1679" s="169" t="s">
        <v>1048</v>
      </c>
      <c r="M1679" s="169" t="s">
        <v>281</v>
      </c>
      <c r="N1679" s="178">
        <v>110454975</v>
      </c>
      <c r="O1679" s="169" t="s">
        <v>1094</v>
      </c>
      <c r="P1679" s="169" t="s">
        <v>283</v>
      </c>
      <c r="Q1679" s="169" t="s">
        <v>284</v>
      </c>
      <c r="R1679" s="169" t="s">
        <v>283</v>
      </c>
      <c r="S1679" s="169" t="s">
        <v>283</v>
      </c>
      <c r="T1679" s="169">
        <v>0</v>
      </c>
    </row>
    <row r="1680" spans="1:20" x14ac:dyDescent="0.2">
      <c r="A1680" s="169" t="str">
        <f t="shared" si="4"/>
        <v>642</v>
      </c>
      <c r="B1680" s="167" t="str">
        <f>_xlfn.XLOOKUP(I1680,Mapping!D:D,Mapping!E:E)</f>
        <v>Ban Giám Đốc</v>
      </c>
      <c r="C1680" s="167" t="str">
        <f>_xlfn.XLOOKUP(F1680,Mapping!A:A,Mapping!F:F)</f>
        <v>Thưởng</v>
      </c>
      <c r="D1680" s="173">
        <v>45919</v>
      </c>
      <c r="E1680" s="169" t="s">
        <v>1091</v>
      </c>
      <c r="F1680" s="169" t="s">
        <v>290</v>
      </c>
      <c r="G1680" s="169" t="s">
        <v>291</v>
      </c>
      <c r="H1680" s="169" t="s">
        <v>276</v>
      </c>
      <c r="I1680" s="169" t="s">
        <v>277</v>
      </c>
      <c r="J1680" s="169" t="s">
        <v>1092</v>
      </c>
      <c r="K1680" s="169" t="s">
        <v>1093</v>
      </c>
      <c r="L1680" s="169" t="s">
        <v>1048</v>
      </c>
      <c r="M1680" s="169" t="s">
        <v>281</v>
      </c>
      <c r="N1680" s="178">
        <v>2200000</v>
      </c>
      <c r="O1680" s="169" t="s">
        <v>1094</v>
      </c>
      <c r="P1680" s="169" t="s">
        <v>283</v>
      </c>
      <c r="Q1680" s="169" t="s">
        <v>284</v>
      </c>
      <c r="R1680" s="169" t="s">
        <v>283</v>
      </c>
      <c r="S1680" s="169" t="s">
        <v>283</v>
      </c>
      <c r="T1680" s="169">
        <v>0</v>
      </c>
    </row>
    <row r="1681" spans="1:20" x14ac:dyDescent="0.2">
      <c r="A1681" s="169" t="str">
        <f t="shared" si="4"/>
        <v>642</v>
      </c>
      <c r="B1681" s="167" t="str">
        <f>_xlfn.XLOOKUP(I1681,Mapping!D:D,Mapping!E:E)</f>
        <v>Ban Giám Đốc</v>
      </c>
      <c r="C1681" s="167" t="str">
        <f>_xlfn.XLOOKUP(F1681,Mapping!A:A,Mapping!F:F)</f>
        <v>Lương Chính +T13</v>
      </c>
      <c r="D1681" s="173">
        <v>45919</v>
      </c>
      <c r="E1681" s="169" t="s">
        <v>1091</v>
      </c>
      <c r="F1681" s="169" t="s">
        <v>285</v>
      </c>
      <c r="G1681" s="169" t="s">
        <v>286</v>
      </c>
      <c r="H1681" s="169" t="s">
        <v>276</v>
      </c>
      <c r="I1681" s="169" t="s">
        <v>277</v>
      </c>
      <c r="J1681" s="169" t="s">
        <v>1092</v>
      </c>
      <c r="K1681" s="169" t="s">
        <v>1093</v>
      </c>
      <c r="L1681" s="169" t="s">
        <v>1048</v>
      </c>
      <c r="M1681" s="169" t="s">
        <v>281</v>
      </c>
      <c r="N1681" s="178">
        <v>33754547</v>
      </c>
      <c r="O1681" s="169" t="s">
        <v>1094</v>
      </c>
      <c r="P1681" s="169" t="s">
        <v>283</v>
      </c>
      <c r="Q1681" s="169" t="s">
        <v>284</v>
      </c>
      <c r="R1681" s="169" t="s">
        <v>283</v>
      </c>
      <c r="S1681" s="169" t="s">
        <v>283</v>
      </c>
      <c r="T1681" s="169">
        <v>0</v>
      </c>
    </row>
    <row r="1682" spans="1:20" x14ac:dyDescent="0.2">
      <c r="A1682" s="169" t="str">
        <f t="shared" si="4"/>
        <v>642</v>
      </c>
      <c r="B1682" s="167" t="str">
        <f>_xlfn.XLOOKUP(I1682,Mapping!D:D,Mapping!E:E)</f>
        <v>Ban Giám Đốc</v>
      </c>
      <c r="C1682" s="167" t="str">
        <f>_xlfn.XLOOKUP(F1682,Mapping!A:A,Mapping!F:F)</f>
        <v>Lương Chính +T13</v>
      </c>
      <c r="D1682" s="173">
        <v>45919</v>
      </c>
      <c r="E1682" s="169" t="s">
        <v>1091</v>
      </c>
      <c r="F1682" s="169" t="s">
        <v>274</v>
      </c>
      <c r="G1682" s="169" t="s">
        <v>275</v>
      </c>
      <c r="H1682" s="169" t="s">
        <v>276</v>
      </c>
      <c r="I1682" s="169" t="s">
        <v>277</v>
      </c>
      <c r="J1682" s="169" t="s">
        <v>1092</v>
      </c>
      <c r="K1682" s="169" t="s">
        <v>1093</v>
      </c>
      <c r="L1682" s="169" t="s">
        <v>1048</v>
      </c>
      <c r="M1682" s="169" t="s">
        <v>281</v>
      </c>
      <c r="N1682" s="178">
        <v>1426494433</v>
      </c>
      <c r="O1682" s="169" t="s">
        <v>1094</v>
      </c>
      <c r="P1682" s="169" t="s">
        <v>283</v>
      </c>
      <c r="Q1682" s="169" t="s">
        <v>284</v>
      </c>
      <c r="R1682" s="169" t="s">
        <v>283</v>
      </c>
      <c r="S1682" s="169" t="s">
        <v>283</v>
      </c>
      <c r="T1682" s="169">
        <v>0</v>
      </c>
    </row>
    <row r="1683" spans="1:20" x14ac:dyDescent="0.2">
      <c r="A1683" s="169" t="str">
        <f t="shared" si="4"/>
        <v>627</v>
      </c>
      <c r="B1683" s="167" t="str">
        <f>_xlfn.XLOOKUP(I1683,Mapping!D:D,Mapping!E:E)</f>
        <v>Xưởng Sản Xuất</v>
      </c>
      <c r="C1683" s="167" t="str">
        <f>_xlfn.XLOOKUP(F1683,Mapping!A:A,Mapping!F:F)</f>
        <v>Phụ Cấp</v>
      </c>
      <c r="D1683" s="173">
        <v>45919</v>
      </c>
      <c r="E1683" s="169" t="s">
        <v>1091</v>
      </c>
      <c r="F1683" s="169" t="s">
        <v>375</v>
      </c>
      <c r="G1683" s="169" t="s">
        <v>336</v>
      </c>
      <c r="H1683" s="169" t="s">
        <v>436</v>
      </c>
      <c r="I1683" s="169" t="s">
        <v>437</v>
      </c>
      <c r="J1683" s="169" t="s">
        <v>1092</v>
      </c>
      <c r="K1683" s="169" t="s">
        <v>1093</v>
      </c>
      <c r="L1683" s="169" t="s">
        <v>1048</v>
      </c>
      <c r="M1683" s="169" t="s">
        <v>281</v>
      </c>
      <c r="N1683" s="178">
        <v>6020000</v>
      </c>
      <c r="O1683" s="169" t="s">
        <v>1094</v>
      </c>
      <c r="P1683" s="169" t="s">
        <v>283</v>
      </c>
      <c r="Q1683" s="169" t="s">
        <v>284</v>
      </c>
      <c r="R1683" s="169" t="s">
        <v>283</v>
      </c>
      <c r="S1683" s="169" t="s">
        <v>283</v>
      </c>
      <c r="T1683" s="169">
        <v>0</v>
      </c>
    </row>
    <row r="1684" spans="1:20" x14ac:dyDescent="0.2">
      <c r="A1684" s="169" t="str">
        <f t="shared" si="4"/>
        <v>627</v>
      </c>
      <c r="B1684" s="167" t="str">
        <f>_xlfn.XLOOKUP(I1684,Mapping!D:D,Mapping!E:E)</f>
        <v>Xưởng Sản Xuất</v>
      </c>
      <c r="C1684" s="167" t="str">
        <f>_xlfn.XLOOKUP(F1684,Mapping!A:A,Mapping!F:F)</f>
        <v>Thưởng</v>
      </c>
      <c r="D1684" s="173">
        <v>45919</v>
      </c>
      <c r="E1684" s="169" t="s">
        <v>1091</v>
      </c>
      <c r="F1684" s="169" t="s">
        <v>391</v>
      </c>
      <c r="G1684" s="169" t="s">
        <v>291</v>
      </c>
      <c r="H1684" s="169" t="s">
        <v>436</v>
      </c>
      <c r="I1684" s="169" t="s">
        <v>437</v>
      </c>
      <c r="J1684" s="169" t="s">
        <v>1092</v>
      </c>
      <c r="K1684" s="169" t="s">
        <v>1093</v>
      </c>
      <c r="L1684" s="169" t="s">
        <v>1048</v>
      </c>
      <c r="M1684" s="169" t="s">
        <v>281</v>
      </c>
      <c r="N1684" s="178">
        <v>8200000</v>
      </c>
      <c r="O1684" s="169" t="s">
        <v>1094</v>
      </c>
      <c r="P1684" s="169" t="s">
        <v>283</v>
      </c>
      <c r="Q1684" s="169" t="s">
        <v>284</v>
      </c>
      <c r="R1684" s="169" t="s">
        <v>283</v>
      </c>
      <c r="S1684" s="169" t="s">
        <v>283</v>
      </c>
      <c r="T1684" s="169">
        <v>0</v>
      </c>
    </row>
    <row r="1685" spans="1:20" x14ac:dyDescent="0.2">
      <c r="A1685" s="169" t="str">
        <f t="shared" si="4"/>
        <v>627</v>
      </c>
      <c r="B1685" s="167" t="str">
        <f>_xlfn.XLOOKUP(I1685,Mapping!D:D,Mapping!E:E)</f>
        <v>Xưởng Sản Xuất</v>
      </c>
      <c r="C1685" s="167" t="str">
        <f>_xlfn.XLOOKUP(F1685,Mapping!A:A,Mapping!F:F)</f>
        <v>Lương Ngoài giờ</v>
      </c>
      <c r="D1685" s="173">
        <v>45919</v>
      </c>
      <c r="E1685" s="169" t="s">
        <v>1091</v>
      </c>
      <c r="F1685" s="169" t="s">
        <v>389</v>
      </c>
      <c r="G1685" s="169" t="s">
        <v>390</v>
      </c>
      <c r="H1685" s="169" t="s">
        <v>436</v>
      </c>
      <c r="I1685" s="169" t="s">
        <v>437</v>
      </c>
      <c r="J1685" s="169" t="s">
        <v>1092</v>
      </c>
      <c r="K1685" s="169" t="s">
        <v>1093</v>
      </c>
      <c r="L1685" s="169" t="s">
        <v>1048</v>
      </c>
      <c r="M1685" s="169" t="s">
        <v>281</v>
      </c>
      <c r="N1685" s="178">
        <v>61761643</v>
      </c>
      <c r="O1685" s="169" t="s">
        <v>1094</v>
      </c>
      <c r="P1685" s="169" t="s">
        <v>283</v>
      </c>
      <c r="Q1685" s="169" t="s">
        <v>284</v>
      </c>
      <c r="R1685" s="169" t="s">
        <v>283</v>
      </c>
      <c r="S1685" s="169" t="s">
        <v>283</v>
      </c>
      <c r="T1685" s="169">
        <v>0</v>
      </c>
    </row>
    <row r="1686" spans="1:20" x14ac:dyDescent="0.2">
      <c r="A1686" s="169" t="str">
        <f t="shared" si="4"/>
        <v>627</v>
      </c>
      <c r="B1686" s="167" t="str">
        <f>_xlfn.XLOOKUP(I1686,Mapping!D:D,Mapping!E:E)</f>
        <v>Xưởng Sản Xuất</v>
      </c>
      <c r="C1686" s="167" t="str">
        <f>_xlfn.XLOOKUP(F1686,Mapping!A:A,Mapping!F:F)</f>
        <v>Lương Chính +T13</v>
      </c>
      <c r="D1686" s="173">
        <v>45919</v>
      </c>
      <c r="E1686" s="169" t="s">
        <v>1091</v>
      </c>
      <c r="F1686" s="169" t="s">
        <v>388</v>
      </c>
      <c r="G1686" s="169" t="s">
        <v>286</v>
      </c>
      <c r="H1686" s="169" t="s">
        <v>436</v>
      </c>
      <c r="I1686" s="169" t="s">
        <v>437</v>
      </c>
      <c r="J1686" s="169" t="s">
        <v>1092</v>
      </c>
      <c r="K1686" s="169" t="s">
        <v>1093</v>
      </c>
      <c r="L1686" s="169" t="s">
        <v>1048</v>
      </c>
      <c r="M1686" s="169" t="s">
        <v>281</v>
      </c>
      <c r="N1686" s="178">
        <v>9225617</v>
      </c>
      <c r="O1686" s="169" t="s">
        <v>1094</v>
      </c>
      <c r="P1686" s="169" t="s">
        <v>283</v>
      </c>
      <c r="Q1686" s="169" t="s">
        <v>284</v>
      </c>
      <c r="R1686" s="169" t="s">
        <v>283</v>
      </c>
      <c r="S1686" s="169" t="s">
        <v>283</v>
      </c>
      <c r="T1686" s="169">
        <v>0</v>
      </c>
    </row>
    <row r="1687" spans="1:20" x14ac:dyDescent="0.2">
      <c r="A1687" s="169" t="str">
        <f t="shared" si="4"/>
        <v>627</v>
      </c>
      <c r="B1687" s="167" t="str">
        <f>_xlfn.XLOOKUP(I1687,Mapping!D:D,Mapping!E:E)</f>
        <v>Xưởng Sản Xuất</v>
      </c>
      <c r="C1687" s="167" t="str">
        <f>_xlfn.XLOOKUP(F1687,Mapping!A:A,Mapping!F:F)</f>
        <v>Lương Chính +T13</v>
      </c>
      <c r="D1687" s="173">
        <v>45919</v>
      </c>
      <c r="E1687" s="169" t="s">
        <v>1091</v>
      </c>
      <c r="F1687" s="169" t="s">
        <v>387</v>
      </c>
      <c r="G1687" s="169" t="s">
        <v>275</v>
      </c>
      <c r="H1687" s="169" t="s">
        <v>436</v>
      </c>
      <c r="I1687" s="169" t="s">
        <v>437</v>
      </c>
      <c r="J1687" s="169" t="s">
        <v>1092</v>
      </c>
      <c r="K1687" s="169" t="s">
        <v>1093</v>
      </c>
      <c r="L1687" s="169" t="s">
        <v>1048</v>
      </c>
      <c r="M1687" s="169" t="s">
        <v>281</v>
      </c>
      <c r="N1687" s="178">
        <v>425901265</v>
      </c>
      <c r="O1687" s="169" t="s">
        <v>1094</v>
      </c>
      <c r="P1687" s="169" t="s">
        <v>283</v>
      </c>
      <c r="Q1687" s="169" t="s">
        <v>284</v>
      </c>
      <c r="R1687" s="169" t="s">
        <v>283</v>
      </c>
      <c r="S1687" s="169" t="s">
        <v>283</v>
      </c>
      <c r="T1687" s="169">
        <v>0</v>
      </c>
    </row>
    <row r="1688" spans="1:20" x14ac:dyDescent="0.2">
      <c r="A1688" s="169" t="str">
        <f t="shared" si="4"/>
        <v>627</v>
      </c>
      <c r="B1688" s="167" t="str">
        <f>_xlfn.XLOOKUP(I1688,Mapping!D:D,Mapping!E:E)</f>
        <v>Xưởng Sản Xuất</v>
      </c>
      <c r="C1688" s="167" t="str">
        <f>_xlfn.XLOOKUP(F1688,Mapping!A:A,Mapping!F:F)</f>
        <v>Phụ Cấp</v>
      </c>
      <c r="D1688" s="173">
        <v>45919</v>
      </c>
      <c r="E1688" s="169" t="s">
        <v>1091</v>
      </c>
      <c r="F1688" s="169" t="s">
        <v>386</v>
      </c>
      <c r="G1688" s="169" t="s">
        <v>341</v>
      </c>
      <c r="H1688" s="169" t="s">
        <v>436</v>
      </c>
      <c r="I1688" s="169" t="s">
        <v>437</v>
      </c>
      <c r="J1688" s="169" t="s">
        <v>1092</v>
      </c>
      <c r="K1688" s="169" t="s">
        <v>1093</v>
      </c>
      <c r="L1688" s="169" t="s">
        <v>1048</v>
      </c>
      <c r="M1688" s="169" t="s">
        <v>281</v>
      </c>
      <c r="N1688" s="178">
        <v>7398529</v>
      </c>
      <c r="O1688" s="169" t="s">
        <v>1094</v>
      </c>
      <c r="P1688" s="169" t="s">
        <v>283</v>
      </c>
      <c r="Q1688" s="169" t="s">
        <v>284</v>
      </c>
      <c r="R1688" s="169" t="s">
        <v>283</v>
      </c>
      <c r="S1688" s="169" t="s">
        <v>283</v>
      </c>
      <c r="T1688" s="169">
        <v>0</v>
      </c>
    </row>
    <row r="1689" spans="1:20" x14ac:dyDescent="0.2">
      <c r="A1689" s="169" t="str">
        <f t="shared" si="4"/>
        <v>627</v>
      </c>
      <c r="B1689" s="167" t="str">
        <f>_xlfn.XLOOKUP(I1689,Mapping!D:D,Mapping!E:E)</f>
        <v>Xưởng Sản Xuất</v>
      </c>
      <c r="C1689" s="167" t="str">
        <f>_xlfn.XLOOKUP(F1689,Mapping!A:A,Mapping!F:F)</f>
        <v>Phụ Cấp</v>
      </c>
      <c r="D1689" s="173">
        <v>45919</v>
      </c>
      <c r="E1689" s="169" t="s">
        <v>1091</v>
      </c>
      <c r="F1689" s="169" t="s">
        <v>375</v>
      </c>
      <c r="G1689" s="169" t="s">
        <v>336</v>
      </c>
      <c r="H1689" s="169" t="s">
        <v>430</v>
      </c>
      <c r="I1689" s="169" t="s">
        <v>431</v>
      </c>
      <c r="J1689" s="169" t="s">
        <v>1092</v>
      </c>
      <c r="K1689" s="169" t="s">
        <v>1093</v>
      </c>
      <c r="L1689" s="169" t="s">
        <v>1048</v>
      </c>
      <c r="M1689" s="169" t="s">
        <v>281</v>
      </c>
      <c r="N1689" s="178">
        <v>1390000</v>
      </c>
      <c r="O1689" s="169" t="s">
        <v>1094</v>
      </c>
      <c r="P1689" s="169" t="s">
        <v>283</v>
      </c>
      <c r="Q1689" s="169" t="s">
        <v>284</v>
      </c>
      <c r="R1689" s="169" t="s">
        <v>283</v>
      </c>
      <c r="S1689" s="169" t="s">
        <v>283</v>
      </c>
      <c r="T1689" s="169">
        <v>0</v>
      </c>
    </row>
    <row r="1690" spans="1:20" x14ac:dyDescent="0.2">
      <c r="A1690" s="169" t="str">
        <f t="shared" si="4"/>
        <v>627</v>
      </c>
      <c r="B1690" s="167" t="str">
        <f>_xlfn.XLOOKUP(I1690,Mapping!D:D,Mapping!E:E)</f>
        <v>Xưởng Sản Xuất</v>
      </c>
      <c r="C1690" s="167" t="str">
        <f>_xlfn.XLOOKUP(F1690,Mapping!A:A,Mapping!F:F)</f>
        <v>Thưởng</v>
      </c>
      <c r="D1690" s="173">
        <v>45919</v>
      </c>
      <c r="E1690" s="169" t="s">
        <v>1091</v>
      </c>
      <c r="F1690" s="169" t="s">
        <v>391</v>
      </c>
      <c r="G1690" s="169" t="s">
        <v>291</v>
      </c>
      <c r="H1690" s="169" t="s">
        <v>430</v>
      </c>
      <c r="I1690" s="169" t="s">
        <v>431</v>
      </c>
      <c r="J1690" s="169" t="s">
        <v>1092</v>
      </c>
      <c r="K1690" s="169" t="s">
        <v>1093</v>
      </c>
      <c r="L1690" s="169" t="s">
        <v>1048</v>
      </c>
      <c r="M1690" s="169" t="s">
        <v>281</v>
      </c>
      <c r="N1690" s="178">
        <v>2200000</v>
      </c>
      <c r="O1690" s="169" t="s">
        <v>1094</v>
      </c>
      <c r="P1690" s="169" t="s">
        <v>283</v>
      </c>
      <c r="Q1690" s="169" t="s">
        <v>284</v>
      </c>
      <c r="R1690" s="169" t="s">
        <v>283</v>
      </c>
      <c r="S1690" s="169" t="s">
        <v>283</v>
      </c>
      <c r="T1690" s="169">
        <v>0</v>
      </c>
    </row>
    <row r="1691" spans="1:20" x14ac:dyDescent="0.2">
      <c r="A1691" s="169" t="str">
        <f t="shared" si="4"/>
        <v>627</v>
      </c>
      <c r="B1691" s="167" t="str">
        <f>_xlfn.XLOOKUP(I1691,Mapping!D:D,Mapping!E:E)</f>
        <v>Xưởng Sản Xuất</v>
      </c>
      <c r="C1691" s="167" t="str">
        <f>_xlfn.XLOOKUP(F1691,Mapping!A:A,Mapping!F:F)</f>
        <v>Lương Ngoài giờ</v>
      </c>
      <c r="D1691" s="173">
        <v>45919</v>
      </c>
      <c r="E1691" s="169" t="s">
        <v>1091</v>
      </c>
      <c r="F1691" s="169" t="s">
        <v>389</v>
      </c>
      <c r="G1691" s="169" t="s">
        <v>390</v>
      </c>
      <c r="H1691" s="169" t="s">
        <v>430</v>
      </c>
      <c r="I1691" s="169" t="s">
        <v>431</v>
      </c>
      <c r="J1691" s="169" t="s">
        <v>1092</v>
      </c>
      <c r="K1691" s="169" t="s">
        <v>1093</v>
      </c>
      <c r="L1691" s="169" t="s">
        <v>1048</v>
      </c>
      <c r="M1691" s="169" t="s">
        <v>281</v>
      </c>
      <c r="N1691" s="178">
        <v>17432776</v>
      </c>
      <c r="O1691" s="169" t="s">
        <v>1094</v>
      </c>
      <c r="P1691" s="169" t="s">
        <v>283</v>
      </c>
      <c r="Q1691" s="169" t="s">
        <v>284</v>
      </c>
      <c r="R1691" s="169" t="s">
        <v>283</v>
      </c>
      <c r="S1691" s="169" t="s">
        <v>283</v>
      </c>
      <c r="T1691" s="169">
        <v>0</v>
      </c>
    </row>
    <row r="1692" spans="1:20" x14ac:dyDescent="0.2">
      <c r="A1692" s="169" t="str">
        <f t="shared" si="4"/>
        <v>627</v>
      </c>
      <c r="B1692" s="167" t="str">
        <f>_xlfn.XLOOKUP(I1692,Mapping!D:D,Mapping!E:E)</f>
        <v>Xưởng Sản Xuất</v>
      </c>
      <c r="C1692" s="167" t="str">
        <f>_xlfn.XLOOKUP(F1692,Mapping!A:A,Mapping!F:F)</f>
        <v>Lương Chính +T13</v>
      </c>
      <c r="D1692" s="173">
        <v>45919</v>
      </c>
      <c r="E1692" s="169" t="s">
        <v>1091</v>
      </c>
      <c r="F1692" s="169" t="s">
        <v>388</v>
      </c>
      <c r="G1692" s="169" t="s">
        <v>286</v>
      </c>
      <c r="H1692" s="169" t="s">
        <v>430</v>
      </c>
      <c r="I1692" s="169" t="s">
        <v>431</v>
      </c>
      <c r="J1692" s="169" t="s">
        <v>1092</v>
      </c>
      <c r="K1692" s="169" t="s">
        <v>1093</v>
      </c>
      <c r="L1692" s="169" t="s">
        <v>1048</v>
      </c>
      <c r="M1692" s="169" t="s">
        <v>281</v>
      </c>
      <c r="N1692" s="178">
        <v>4259230</v>
      </c>
      <c r="O1692" s="169" t="s">
        <v>1094</v>
      </c>
      <c r="P1692" s="169" t="s">
        <v>283</v>
      </c>
      <c r="Q1692" s="169" t="s">
        <v>284</v>
      </c>
      <c r="R1692" s="169" t="s">
        <v>283</v>
      </c>
      <c r="S1692" s="169" t="s">
        <v>283</v>
      </c>
      <c r="T1692" s="169">
        <v>0</v>
      </c>
    </row>
    <row r="1693" spans="1:20" x14ac:dyDescent="0.2">
      <c r="A1693" s="169" t="str">
        <f t="shared" si="4"/>
        <v>627</v>
      </c>
      <c r="B1693" s="167" t="str">
        <f>_xlfn.XLOOKUP(I1693,Mapping!D:D,Mapping!E:E)</f>
        <v>Xưởng Sản Xuất</v>
      </c>
      <c r="C1693" s="167" t="str">
        <f>_xlfn.XLOOKUP(F1693,Mapping!A:A,Mapping!F:F)</f>
        <v>Lương Chính +T13</v>
      </c>
      <c r="D1693" s="173">
        <v>45919</v>
      </c>
      <c r="E1693" s="169" t="s">
        <v>1091</v>
      </c>
      <c r="F1693" s="169" t="s">
        <v>387</v>
      </c>
      <c r="G1693" s="169" t="s">
        <v>275</v>
      </c>
      <c r="H1693" s="169" t="s">
        <v>430</v>
      </c>
      <c r="I1693" s="169" t="s">
        <v>431</v>
      </c>
      <c r="J1693" s="169" t="s">
        <v>1092</v>
      </c>
      <c r="K1693" s="169" t="s">
        <v>1093</v>
      </c>
      <c r="L1693" s="169" t="s">
        <v>1048</v>
      </c>
      <c r="M1693" s="169" t="s">
        <v>281</v>
      </c>
      <c r="N1693" s="178">
        <v>166553524</v>
      </c>
      <c r="O1693" s="169" t="s">
        <v>1094</v>
      </c>
      <c r="P1693" s="169" t="s">
        <v>283</v>
      </c>
      <c r="Q1693" s="169" t="s">
        <v>284</v>
      </c>
      <c r="R1693" s="169" t="s">
        <v>283</v>
      </c>
      <c r="S1693" s="169" t="s">
        <v>283</v>
      </c>
      <c r="T1693" s="169">
        <v>0</v>
      </c>
    </row>
    <row r="1694" spans="1:20" x14ac:dyDescent="0.2">
      <c r="A1694" s="169" t="str">
        <f t="shared" si="4"/>
        <v>627</v>
      </c>
      <c r="B1694" s="167" t="str">
        <f>_xlfn.XLOOKUP(I1694,Mapping!D:D,Mapping!E:E)</f>
        <v>Xưởng Sản Xuất</v>
      </c>
      <c r="C1694" s="167" t="str">
        <f>_xlfn.XLOOKUP(F1694,Mapping!A:A,Mapping!F:F)</f>
        <v>Phụ Cấp</v>
      </c>
      <c r="D1694" s="173">
        <v>45919</v>
      </c>
      <c r="E1694" s="169" t="s">
        <v>1091</v>
      </c>
      <c r="F1694" s="169" t="s">
        <v>386</v>
      </c>
      <c r="G1694" s="169" t="s">
        <v>341</v>
      </c>
      <c r="H1694" s="169" t="s">
        <v>430</v>
      </c>
      <c r="I1694" s="169" t="s">
        <v>431</v>
      </c>
      <c r="J1694" s="169" t="s">
        <v>1092</v>
      </c>
      <c r="K1694" s="169" t="s">
        <v>1093</v>
      </c>
      <c r="L1694" s="169" t="s">
        <v>1048</v>
      </c>
      <c r="M1694" s="169" t="s">
        <v>281</v>
      </c>
      <c r="N1694" s="178">
        <v>7930226</v>
      </c>
      <c r="O1694" s="169" t="s">
        <v>1094</v>
      </c>
      <c r="P1694" s="169" t="s">
        <v>283</v>
      </c>
      <c r="Q1694" s="169" t="s">
        <v>284</v>
      </c>
      <c r="R1694" s="169" t="s">
        <v>283</v>
      </c>
      <c r="S1694" s="169" t="s">
        <v>283</v>
      </c>
      <c r="T1694" s="169">
        <v>0</v>
      </c>
    </row>
    <row r="1695" spans="1:20" x14ac:dyDescent="0.2">
      <c r="A1695" s="169" t="str">
        <f t="shared" si="4"/>
        <v>622</v>
      </c>
      <c r="B1695" s="167" t="str">
        <f>_xlfn.XLOOKUP(I1695,Mapping!D:D,Mapping!E:E)</f>
        <v>Xưởng Sản Xuất</v>
      </c>
      <c r="C1695" s="167" t="str">
        <f>_xlfn.XLOOKUP(F1695,Mapping!A:A,Mapping!F:F)</f>
        <v>Phụ Cấp</v>
      </c>
      <c r="D1695" s="173">
        <v>45919</v>
      </c>
      <c r="E1695" s="169" t="s">
        <v>1091</v>
      </c>
      <c r="F1695" s="169" t="s">
        <v>414</v>
      </c>
      <c r="G1695" s="169" t="s">
        <v>415</v>
      </c>
      <c r="H1695" s="169" t="s">
        <v>430</v>
      </c>
      <c r="I1695" s="169" t="s">
        <v>431</v>
      </c>
      <c r="J1695" s="169" t="s">
        <v>1092</v>
      </c>
      <c r="K1695" s="169" t="s">
        <v>1093</v>
      </c>
      <c r="L1695" s="169" t="s">
        <v>1048</v>
      </c>
      <c r="M1695" s="169" t="s">
        <v>281</v>
      </c>
      <c r="N1695" s="178">
        <v>7200000</v>
      </c>
      <c r="O1695" s="169" t="s">
        <v>1094</v>
      </c>
      <c r="P1695" s="169" t="s">
        <v>283</v>
      </c>
      <c r="Q1695" s="169" t="s">
        <v>284</v>
      </c>
      <c r="R1695" s="169" t="s">
        <v>283</v>
      </c>
      <c r="S1695" s="169" t="s">
        <v>283</v>
      </c>
      <c r="T1695" s="169">
        <v>0</v>
      </c>
    </row>
    <row r="1696" spans="1:20" x14ac:dyDescent="0.2">
      <c r="A1696" s="169" t="str">
        <f t="shared" si="4"/>
        <v>622</v>
      </c>
      <c r="B1696" s="167" t="str">
        <f>_xlfn.XLOOKUP(I1696,Mapping!D:D,Mapping!E:E)</f>
        <v>Xưởng Sản Xuất</v>
      </c>
      <c r="C1696" s="167" t="str">
        <f>_xlfn.XLOOKUP(F1696,Mapping!A:A,Mapping!F:F)</f>
        <v>Thưởng</v>
      </c>
      <c r="D1696" s="173">
        <v>45919</v>
      </c>
      <c r="E1696" s="169" t="s">
        <v>1091</v>
      </c>
      <c r="F1696" s="169" t="s">
        <v>424</v>
      </c>
      <c r="G1696" s="169" t="s">
        <v>291</v>
      </c>
      <c r="H1696" s="169" t="s">
        <v>430</v>
      </c>
      <c r="I1696" s="169" t="s">
        <v>431</v>
      </c>
      <c r="J1696" s="169" t="s">
        <v>1092</v>
      </c>
      <c r="K1696" s="169" t="s">
        <v>1093</v>
      </c>
      <c r="L1696" s="169" t="s">
        <v>1048</v>
      </c>
      <c r="M1696" s="169" t="s">
        <v>281</v>
      </c>
      <c r="N1696" s="178">
        <v>8000000</v>
      </c>
      <c r="O1696" s="169" t="s">
        <v>1094</v>
      </c>
      <c r="P1696" s="169" t="s">
        <v>283</v>
      </c>
      <c r="Q1696" s="169" t="s">
        <v>284</v>
      </c>
      <c r="R1696" s="169" t="s">
        <v>283</v>
      </c>
      <c r="S1696" s="169" t="s">
        <v>283</v>
      </c>
      <c r="T1696" s="169">
        <v>0</v>
      </c>
    </row>
    <row r="1697" spans="1:20" x14ac:dyDescent="0.2">
      <c r="A1697" s="169" t="str">
        <f t="shared" si="4"/>
        <v>622</v>
      </c>
      <c r="B1697" s="167" t="str">
        <f>_xlfn.XLOOKUP(I1697,Mapping!D:D,Mapping!E:E)</f>
        <v>Xưởng Sản Xuất</v>
      </c>
      <c r="C1697" s="167" t="str">
        <f>_xlfn.XLOOKUP(F1697,Mapping!A:A,Mapping!F:F)</f>
        <v>Lương Ngoài giờ</v>
      </c>
      <c r="D1697" s="173">
        <v>45919</v>
      </c>
      <c r="E1697" s="169" t="s">
        <v>1091</v>
      </c>
      <c r="F1697" s="169" t="s">
        <v>422</v>
      </c>
      <c r="G1697" s="169" t="s">
        <v>423</v>
      </c>
      <c r="H1697" s="169" t="s">
        <v>430</v>
      </c>
      <c r="I1697" s="169" t="s">
        <v>431</v>
      </c>
      <c r="J1697" s="169" t="s">
        <v>1092</v>
      </c>
      <c r="K1697" s="169" t="s">
        <v>1093</v>
      </c>
      <c r="L1697" s="169" t="s">
        <v>1048</v>
      </c>
      <c r="M1697" s="169" t="s">
        <v>281</v>
      </c>
      <c r="N1697" s="178">
        <v>63972945</v>
      </c>
      <c r="O1697" s="169" t="s">
        <v>1094</v>
      </c>
      <c r="P1697" s="169" t="s">
        <v>283</v>
      </c>
      <c r="Q1697" s="169" t="s">
        <v>284</v>
      </c>
      <c r="R1697" s="169" t="s">
        <v>283</v>
      </c>
      <c r="S1697" s="169" t="s">
        <v>283</v>
      </c>
      <c r="T1697" s="169">
        <v>0</v>
      </c>
    </row>
    <row r="1698" spans="1:20" x14ac:dyDescent="0.2">
      <c r="A1698" s="169" t="str">
        <f t="shared" si="4"/>
        <v>622</v>
      </c>
      <c r="B1698" s="167" t="str">
        <f>_xlfn.XLOOKUP(I1698,Mapping!D:D,Mapping!E:E)</f>
        <v>Xưởng Sản Xuất</v>
      </c>
      <c r="C1698" s="167" t="str">
        <f>_xlfn.XLOOKUP(F1698,Mapping!A:A,Mapping!F:F)</f>
        <v>Phụ Cấp</v>
      </c>
      <c r="D1698" s="173">
        <v>45919</v>
      </c>
      <c r="E1698" s="169" t="s">
        <v>1091</v>
      </c>
      <c r="F1698" s="169" t="s">
        <v>421</v>
      </c>
      <c r="G1698" s="169" t="s">
        <v>341</v>
      </c>
      <c r="H1698" s="169" t="s">
        <v>430</v>
      </c>
      <c r="I1698" s="169" t="s">
        <v>431</v>
      </c>
      <c r="J1698" s="169" t="s">
        <v>1092</v>
      </c>
      <c r="K1698" s="169" t="s">
        <v>1093</v>
      </c>
      <c r="L1698" s="169" t="s">
        <v>1048</v>
      </c>
      <c r="M1698" s="169" t="s">
        <v>281</v>
      </c>
      <c r="N1698" s="178">
        <v>27010507</v>
      </c>
      <c r="O1698" s="169" t="s">
        <v>1094</v>
      </c>
      <c r="P1698" s="169" t="s">
        <v>283</v>
      </c>
      <c r="Q1698" s="169" t="s">
        <v>284</v>
      </c>
      <c r="R1698" s="169" t="s">
        <v>283</v>
      </c>
      <c r="S1698" s="169" t="s">
        <v>283</v>
      </c>
      <c r="T1698" s="169">
        <v>0</v>
      </c>
    </row>
    <row r="1699" spans="1:20" x14ac:dyDescent="0.2">
      <c r="A1699" s="169" t="str">
        <f t="shared" si="4"/>
        <v>622</v>
      </c>
      <c r="B1699" s="167" t="str">
        <f>_xlfn.XLOOKUP(I1699,Mapping!D:D,Mapping!E:E)</f>
        <v>Xưởng Sản Xuất</v>
      </c>
      <c r="C1699" s="167" t="str">
        <f>_xlfn.XLOOKUP(F1699,Mapping!A:A,Mapping!F:F)</f>
        <v>Lương Chính +T13</v>
      </c>
      <c r="D1699" s="173">
        <v>45919</v>
      </c>
      <c r="E1699" s="169" t="s">
        <v>1091</v>
      </c>
      <c r="F1699" s="169" t="s">
        <v>420</v>
      </c>
      <c r="G1699" s="169" t="s">
        <v>286</v>
      </c>
      <c r="H1699" s="169" t="s">
        <v>430</v>
      </c>
      <c r="I1699" s="169" t="s">
        <v>431</v>
      </c>
      <c r="J1699" s="169" t="s">
        <v>1092</v>
      </c>
      <c r="K1699" s="169" t="s">
        <v>1093</v>
      </c>
      <c r="L1699" s="169" t="s">
        <v>1048</v>
      </c>
      <c r="M1699" s="169" t="s">
        <v>281</v>
      </c>
      <c r="N1699" s="178">
        <v>5280810</v>
      </c>
      <c r="O1699" s="169" t="s">
        <v>1094</v>
      </c>
      <c r="P1699" s="169" t="s">
        <v>283</v>
      </c>
      <c r="Q1699" s="169" t="s">
        <v>284</v>
      </c>
      <c r="R1699" s="169" t="s">
        <v>283</v>
      </c>
      <c r="S1699" s="169" t="s">
        <v>283</v>
      </c>
      <c r="T1699" s="169">
        <v>0</v>
      </c>
    </row>
    <row r="1700" spans="1:20" x14ac:dyDescent="0.2">
      <c r="A1700" s="169" t="str">
        <f t="shared" si="4"/>
        <v>622</v>
      </c>
      <c r="B1700" s="167" t="str">
        <f>_xlfn.XLOOKUP(I1700,Mapping!D:D,Mapping!E:E)</f>
        <v>Xưởng Sản Xuất</v>
      </c>
      <c r="C1700" s="167" t="str">
        <f>_xlfn.XLOOKUP(F1700,Mapping!A:A,Mapping!F:F)</f>
        <v>Lương Chính +T13</v>
      </c>
      <c r="D1700" s="173">
        <v>45919</v>
      </c>
      <c r="E1700" s="169" t="s">
        <v>1091</v>
      </c>
      <c r="F1700" s="169" t="s">
        <v>400</v>
      </c>
      <c r="G1700" s="169" t="s">
        <v>401</v>
      </c>
      <c r="H1700" s="169" t="s">
        <v>430</v>
      </c>
      <c r="I1700" s="169" t="s">
        <v>431</v>
      </c>
      <c r="J1700" s="169" t="s">
        <v>1092</v>
      </c>
      <c r="K1700" s="169" t="s">
        <v>1093</v>
      </c>
      <c r="L1700" s="169" t="s">
        <v>1048</v>
      </c>
      <c r="M1700" s="169" t="s">
        <v>281</v>
      </c>
      <c r="N1700" s="178">
        <v>323489078</v>
      </c>
      <c r="O1700" s="169" t="s">
        <v>1094</v>
      </c>
      <c r="P1700" s="169" t="s">
        <v>283</v>
      </c>
      <c r="Q1700" s="169" t="s">
        <v>284</v>
      </c>
      <c r="R1700" s="169" t="s">
        <v>283</v>
      </c>
      <c r="S1700" s="169" t="s">
        <v>283</v>
      </c>
      <c r="T1700" s="169">
        <v>0</v>
      </c>
    </row>
    <row r="1701" spans="1:20" x14ac:dyDescent="0.2">
      <c r="A1701" s="169" t="str">
        <f t="shared" si="4"/>
        <v>627</v>
      </c>
      <c r="B1701" s="167" t="str">
        <f>_xlfn.XLOOKUP(I1701,Mapping!D:D,Mapping!E:E)</f>
        <v>Xưởng Sản Xuất</v>
      </c>
      <c r="C1701" s="167" t="str">
        <f>_xlfn.XLOOKUP(F1701,Mapping!A:A,Mapping!F:F)</f>
        <v>Phụ Cấp</v>
      </c>
      <c r="D1701" s="173">
        <v>45919</v>
      </c>
      <c r="E1701" s="169" t="s">
        <v>1091</v>
      </c>
      <c r="F1701" s="169" t="s">
        <v>375</v>
      </c>
      <c r="G1701" s="169" t="s">
        <v>336</v>
      </c>
      <c r="H1701" s="169" t="s">
        <v>402</v>
      </c>
      <c r="I1701" s="169" t="s">
        <v>403</v>
      </c>
      <c r="J1701" s="169" t="s">
        <v>1092</v>
      </c>
      <c r="K1701" s="169" t="s">
        <v>1093</v>
      </c>
      <c r="L1701" s="169" t="s">
        <v>1048</v>
      </c>
      <c r="M1701" s="169" t="s">
        <v>281</v>
      </c>
      <c r="N1701" s="178">
        <v>4060000</v>
      </c>
      <c r="O1701" s="169" t="s">
        <v>1094</v>
      </c>
      <c r="P1701" s="169" t="s">
        <v>283</v>
      </c>
      <c r="Q1701" s="169" t="s">
        <v>284</v>
      </c>
      <c r="R1701" s="169" t="s">
        <v>283</v>
      </c>
      <c r="S1701" s="169" t="s">
        <v>283</v>
      </c>
      <c r="T1701" s="169">
        <v>0</v>
      </c>
    </row>
    <row r="1702" spans="1:20" x14ac:dyDescent="0.2">
      <c r="A1702" s="169" t="str">
        <f t="shared" si="4"/>
        <v>627</v>
      </c>
      <c r="B1702" s="167" t="str">
        <f>_xlfn.XLOOKUP(I1702,Mapping!D:D,Mapping!E:E)</f>
        <v>Xưởng Sản Xuất</v>
      </c>
      <c r="C1702" s="167" t="str">
        <f>_xlfn.XLOOKUP(F1702,Mapping!A:A,Mapping!F:F)</f>
        <v>Thưởng</v>
      </c>
      <c r="D1702" s="173">
        <v>45919</v>
      </c>
      <c r="E1702" s="169" t="s">
        <v>1091</v>
      </c>
      <c r="F1702" s="169" t="s">
        <v>391</v>
      </c>
      <c r="G1702" s="169" t="s">
        <v>291</v>
      </c>
      <c r="H1702" s="169" t="s">
        <v>402</v>
      </c>
      <c r="I1702" s="169" t="s">
        <v>403</v>
      </c>
      <c r="J1702" s="169" t="s">
        <v>1092</v>
      </c>
      <c r="K1702" s="169" t="s">
        <v>1093</v>
      </c>
      <c r="L1702" s="169" t="s">
        <v>1048</v>
      </c>
      <c r="M1702" s="169" t="s">
        <v>281</v>
      </c>
      <c r="N1702" s="178">
        <v>7000000</v>
      </c>
      <c r="O1702" s="169" t="s">
        <v>1094</v>
      </c>
      <c r="P1702" s="169" t="s">
        <v>283</v>
      </c>
      <c r="Q1702" s="169" t="s">
        <v>284</v>
      </c>
      <c r="R1702" s="169" t="s">
        <v>283</v>
      </c>
      <c r="S1702" s="169" t="s">
        <v>283</v>
      </c>
      <c r="T1702" s="169">
        <v>0</v>
      </c>
    </row>
    <row r="1703" spans="1:20" x14ac:dyDescent="0.2">
      <c r="A1703" s="169" t="str">
        <f t="shared" si="4"/>
        <v>627</v>
      </c>
      <c r="B1703" s="167" t="str">
        <f>_xlfn.XLOOKUP(I1703,Mapping!D:D,Mapping!E:E)</f>
        <v>Xưởng Sản Xuất</v>
      </c>
      <c r="C1703" s="167" t="str">
        <f>_xlfn.XLOOKUP(F1703,Mapping!A:A,Mapping!F:F)</f>
        <v>Lương Ngoài giờ</v>
      </c>
      <c r="D1703" s="173">
        <v>45919</v>
      </c>
      <c r="E1703" s="169" t="s">
        <v>1091</v>
      </c>
      <c r="F1703" s="169" t="s">
        <v>389</v>
      </c>
      <c r="G1703" s="169" t="s">
        <v>390</v>
      </c>
      <c r="H1703" s="169" t="s">
        <v>402</v>
      </c>
      <c r="I1703" s="169" t="s">
        <v>403</v>
      </c>
      <c r="J1703" s="169" t="s">
        <v>1092</v>
      </c>
      <c r="K1703" s="169" t="s">
        <v>1093</v>
      </c>
      <c r="L1703" s="169" t="s">
        <v>1048</v>
      </c>
      <c r="M1703" s="169" t="s">
        <v>281</v>
      </c>
      <c r="N1703" s="178">
        <v>86589310</v>
      </c>
      <c r="O1703" s="169" t="s">
        <v>1094</v>
      </c>
      <c r="P1703" s="169" t="s">
        <v>283</v>
      </c>
      <c r="Q1703" s="169" t="s">
        <v>284</v>
      </c>
      <c r="R1703" s="169" t="s">
        <v>283</v>
      </c>
      <c r="S1703" s="169" t="s">
        <v>283</v>
      </c>
      <c r="T1703" s="169">
        <v>0</v>
      </c>
    </row>
    <row r="1704" spans="1:20" x14ac:dyDescent="0.2">
      <c r="A1704" s="169" t="str">
        <f t="shared" si="4"/>
        <v>627</v>
      </c>
      <c r="B1704" s="167" t="str">
        <f>_xlfn.XLOOKUP(I1704,Mapping!D:D,Mapping!E:E)</f>
        <v>Xưởng Sản Xuất</v>
      </c>
      <c r="C1704" s="167" t="str">
        <f>_xlfn.XLOOKUP(F1704,Mapping!A:A,Mapping!F:F)</f>
        <v>Lương Chính +T13</v>
      </c>
      <c r="D1704" s="173">
        <v>45919</v>
      </c>
      <c r="E1704" s="169" t="s">
        <v>1091</v>
      </c>
      <c r="F1704" s="169" t="s">
        <v>388</v>
      </c>
      <c r="G1704" s="169" t="s">
        <v>286</v>
      </c>
      <c r="H1704" s="169" t="s">
        <v>402</v>
      </c>
      <c r="I1704" s="169" t="s">
        <v>403</v>
      </c>
      <c r="J1704" s="169" t="s">
        <v>1092</v>
      </c>
      <c r="K1704" s="169" t="s">
        <v>1093</v>
      </c>
      <c r="L1704" s="169" t="s">
        <v>1048</v>
      </c>
      <c r="M1704" s="169" t="s">
        <v>281</v>
      </c>
      <c r="N1704" s="178">
        <v>13188482</v>
      </c>
      <c r="O1704" s="169" t="s">
        <v>1094</v>
      </c>
      <c r="P1704" s="169" t="s">
        <v>283</v>
      </c>
      <c r="Q1704" s="169" t="s">
        <v>284</v>
      </c>
      <c r="R1704" s="169" t="s">
        <v>283</v>
      </c>
      <c r="S1704" s="169" t="s">
        <v>283</v>
      </c>
      <c r="T1704" s="169">
        <v>0</v>
      </c>
    </row>
    <row r="1705" spans="1:20" x14ac:dyDescent="0.2">
      <c r="A1705" s="169" t="str">
        <f t="shared" si="4"/>
        <v>627</v>
      </c>
      <c r="B1705" s="167" t="str">
        <f>_xlfn.XLOOKUP(I1705,Mapping!D:D,Mapping!E:E)</f>
        <v>Xưởng Sản Xuất</v>
      </c>
      <c r="C1705" s="167" t="str">
        <f>_xlfn.XLOOKUP(F1705,Mapping!A:A,Mapping!F:F)</f>
        <v>Lương Chính +T13</v>
      </c>
      <c r="D1705" s="173">
        <v>45919</v>
      </c>
      <c r="E1705" s="169" t="s">
        <v>1091</v>
      </c>
      <c r="F1705" s="169" t="s">
        <v>387</v>
      </c>
      <c r="G1705" s="169" t="s">
        <v>275</v>
      </c>
      <c r="H1705" s="169" t="s">
        <v>402</v>
      </c>
      <c r="I1705" s="169" t="s">
        <v>403</v>
      </c>
      <c r="J1705" s="169" t="s">
        <v>1092</v>
      </c>
      <c r="K1705" s="169" t="s">
        <v>1093</v>
      </c>
      <c r="L1705" s="169" t="s">
        <v>1048</v>
      </c>
      <c r="M1705" s="169" t="s">
        <v>281</v>
      </c>
      <c r="N1705" s="178">
        <v>473398777</v>
      </c>
      <c r="O1705" s="169" t="s">
        <v>1094</v>
      </c>
      <c r="P1705" s="169" t="s">
        <v>283</v>
      </c>
      <c r="Q1705" s="169" t="s">
        <v>284</v>
      </c>
      <c r="R1705" s="169" t="s">
        <v>283</v>
      </c>
      <c r="S1705" s="169" t="s">
        <v>283</v>
      </c>
      <c r="T1705" s="169">
        <v>0</v>
      </c>
    </row>
    <row r="1706" spans="1:20" x14ac:dyDescent="0.2">
      <c r="A1706" s="169" t="str">
        <f t="shared" ref="A1706:A1769" si="5">LEFT(F1706,3)</f>
        <v>627</v>
      </c>
      <c r="B1706" s="167" t="str">
        <f>_xlfn.XLOOKUP(I1706,Mapping!D:D,Mapping!E:E)</f>
        <v>Xưởng Sản Xuất</v>
      </c>
      <c r="C1706" s="167" t="str">
        <f>_xlfn.XLOOKUP(F1706,Mapping!A:A,Mapping!F:F)</f>
        <v>Phụ Cấp</v>
      </c>
      <c r="D1706" s="173">
        <v>45919</v>
      </c>
      <c r="E1706" s="169" t="s">
        <v>1091</v>
      </c>
      <c r="F1706" s="169" t="s">
        <v>386</v>
      </c>
      <c r="G1706" s="169" t="s">
        <v>341</v>
      </c>
      <c r="H1706" s="169" t="s">
        <v>402</v>
      </c>
      <c r="I1706" s="169" t="s">
        <v>403</v>
      </c>
      <c r="J1706" s="169" t="s">
        <v>1092</v>
      </c>
      <c r="K1706" s="169" t="s">
        <v>1093</v>
      </c>
      <c r="L1706" s="169" t="s">
        <v>1048</v>
      </c>
      <c r="M1706" s="169" t="s">
        <v>281</v>
      </c>
      <c r="N1706" s="178">
        <v>15558870</v>
      </c>
      <c r="O1706" s="169" t="s">
        <v>1094</v>
      </c>
      <c r="P1706" s="169" t="s">
        <v>283</v>
      </c>
      <c r="Q1706" s="169" t="s">
        <v>284</v>
      </c>
      <c r="R1706" s="169" t="s">
        <v>283</v>
      </c>
      <c r="S1706" s="169" t="s">
        <v>283</v>
      </c>
      <c r="T1706" s="169">
        <v>0</v>
      </c>
    </row>
    <row r="1707" spans="1:20" x14ac:dyDescent="0.2">
      <c r="A1707" s="169" t="str">
        <f t="shared" si="5"/>
        <v>622</v>
      </c>
      <c r="B1707" s="167" t="str">
        <f>_xlfn.XLOOKUP(I1707,Mapping!D:D,Mapping!E:E)</f>
        <v>Xưởng Sản Xuất</v>
      </c>
      <c r="C1707" s="167" t="str">
        <f>_xlfn.XLOOKUP(F1707,Mapping!A:A,Mapping!F:F)</f>
        <v>Phụ Cấp</v>
      </c>
      <c r="D1707" s="173">
        <v>45919</v>
      </c>
      <c r="E1707" s="169" t="s">
        <v>1091</v>
      </c>
      <c r="F1707" s="169" t="s">
        <v>414</v>
      </c>
      <c r="G1707" s="169" t="s">
        <v>415</v>
      </c>
      <c r="H1707" s="169" t="s">
        <v>402</v>
      </c>
      <c r="I1707" s="169" t="s">
        <v>403</v>
      </c>
      <c r="J1707" s="169" t="s">
        <v>1092</v>
      </c>
      <c r="K1707" s="169" t="s">
        <v>1093</v>
      </c>
      <c r="L1707" s="169" t="s">
        <v>1048</v>
      </c>
      <c r="M1707" s="169" t="s">
        <v>281</v>
      </c>
      <c r="N1707" s="178">
        <v>43700000</v>
      </c>
      <c r="O1707" s="169" t="s">
        <v>1094</v>
      </c>
      <c r="P1707" s="169" t="s">
        <v>283</v>
      </c>
      <c r="Q1707" s="169" t="s">
        <v>284</v>
      </c>
      <c r="R1707" s="169" t="s">
        <v>283</v>
      </c>
      <c r="S1707" s="169" t="s">
        <v>283</v>
      </c>
      <c r="T1707" s="169">
        <v>0</v>
      </c>
    </row>
    <row r="1708" spans="1:20" x14ac:dyDescent="0.2">
      <c r="A1708" s="169" t="str">
        <f t="shared" si="5"/>
        <v>622</v>
      </c>
      <c r="B1708" s="167" t="str">
        <f>_xlfn.XLOOKUP(I1708,Mapping!D:D,Mapping!E:E)</f>
        <v>Xưởng Sản Xuất</v>
      </c>
      <c r="C1708" s="167" t="str">
        <f>_xlfn.XLOOKUP(F1708,Mapping!A:A,Mapping!F:F)</f>
        <v>Thưởng</v>
      </c>
      <c r="D1708" s="173">
        <v>45919</v>
      </c>
      <c r="E1708" s="169" t="s">
        <v>1091</v>
      </c>
      <c r="F1708" s="169" t="s">
        <v>424</v>
      </c>
      <c r="G1708" s="169" t="s">
        <v>291</v>
      </c>
      <c r="H1708" s="169" t="s">
        <v>402</v>
      </c>
      <c r="I1708" s="169" t="s">
        <v>403</v>
      </c>
      <c r="J1708" s="169" t="s">
        <v>1092</v>
      </c>
      <c r="K1708" s="169" t="s">
        <v>1093</v>
      </c>
      <c r="L1708" s="169" t="s">
        <v>1048</v>
      </c>
      <c r="M1708" s="169" t="s">
        <v>281</v>
      </c>
      <c r="N1708" s="178">
        <v>47800000</v>
      </c>
      <c r="O1708" s="169" t="s">
        <v>1094</v>
      </c>
      <c r="P1708" s="169" t="s">
        <v>283</v>
      </c>
      <c r="Q1708" s="169" t="s">
        <v>284</v>
      </c>
      <c r="R1708" s="169" t="s">
        <v>283</v>
      </c>
      <c r="S1708" s="169" t="s">
        <v>283</v>
      </c>
      <c r="T1708" s="169">
        <v>0</v>
      </c>
    </row>
    <row r="1709" spans="1:20" x14ac:dyDescent="0.2">
      <c r="A1709" s="169" t="str">
        <f t="shared" si="5"/>
        <v>622</v>
      </c>
      <c r="B1709" s="167" t="str">
        <f>_xlfn.XLOOKUP(I1709,Mapping!D:D,Mapping!E:E)</f>
        <v>Xưởng Sản Xuất</v>
      </c>
      <c r="C1709" s="167" t="str">
        <f>_xlfn.XLOOKUP(F1709,Mapping!A:A,Mapping!F:F)</f>
        <v>Lương Ngoài giờ</v>
      </c>
      <c r="D1709" s="173">
        <v>45919</v>
      </c>
      <c r="E1709" s="169" t="s">
        <v>1091</v>
      </c>
      <c r="F1709" s="169" t="s">
        <v>422</v>
      </c>
      <c r="G1709" s="169" t="s">
        <v>423</v>
      </c>
      <c r="H1709" s="169" t="s">
        <v>402</v>
      </c>
      <c r="I1709" s="169" t="s">
        <v>403</v>
      </c>
      <c r="J1709" s="169" t="s">
        <v>1092</v>
      </c>
      <c r="K1709" s="169" t="s">
        <v>1093</v>
      </c>
      <c r="L1709" s="169" t="s">
        <v>1048</v>
      </c>
      <c r="M1709" s="169" t="s">
        <v>281</v>
      </c>
      <c r="N1709" s="178">
        <v>615650777</v>
      </c>
      <c r="O1709" s="169" t="s">
        <v>1094</v>
      </c>
      <c r="P1709" s="169" t="s">
        <v>283</v>
      </c>
      <c r="Q1709" s="169" t="s">
        <v>284</v>
      </c>
      <c r="R1709" s="169" t="s">
        <v>283</v>
      </c>
      <c r="S1709" s="169" t="s">
        <v>283</v>
      </c>
      <c r="T1709" s="169">
        <v>0</v>
      </c>
    </row>
    <row r="1710" spans="1:20" x14ac:dyDescent="0.2">
      <c r="A1710" s="169" t="str">
        <f t="shared" si="5"/>
        <v>622</v>
      </c>
      <c r="B1710" s="167" t="str">
        <f>_xlfn.XLOOKUP(I1710,Mapping!D:D,Mapping!E:E)</f>
        <v>Xưởng Sản Xuất</v>
      </c>
      <c r="C1710" s="167" t="str">
        <f>_xlfn.XLOOKUP(F1710,Mapping!A:A,Mapping!F:F)</f>
        <v>Lương Chính +T13</v>
      </c>
      <c r="D1710" s="173">
        <v>45919</v>
      </c>
      <c r="E1710" s="169" t="s">
        <v>1091</v>
      </c>
      <c r="F1710" s="169" t="s">
        <v>400</v>
      </c>
      <c r="G1710" s="169" t="s">
        <v>401</v>
      </c>
      <c r="H1710" s="169" t="s">
        <v>441</v>
      </c>
      <c r="I1710" s="169" t="s">
        <v>442</v>
      </c>
      <c r="J1710" s="169" t="s">
        <v>1092</v>
      </c>
      <c r="K1710" s="169" t="s">
        <v>1093</v>
      </c>
      <c r="L1710" s="169" t="s">
        <v>1048</v>
      </c>
      <c r="M1710" s="169" t="s">
        <v>281</v>
      </c>
      <c r="N1710" s="178">
        <v>8060693</v>
      </c>
      <c r="O1710" s="169" t="s">
        <v>1094</v>
      </c>
      <c r="P1710" s="169" t="s">
        <v>283</v>
      </c>
      <c r="Q1710" s="169" t="s">
        <v>284</v>
      </c>
      <c r="R1710" s="169" t="s">
        <v>283</v>
      </c>
      <c r="S1710" s="169" t="s">
        <v>283</v>
      </c>
      <c r="T1710" s="169">
        <v>0</v>
      </c>
    </row>
    <row r="1711" spans="1:20" x14ac:dyDescent="0.2">
      <c r="A1711" s="169" t="str">
        <f t="shared" si="5"/>
        <v>622</v>
      </c>
      <c r="B1711" s="167" t="str">
        <f>_xlfn.XLOOKUP(I1711,Mapping!D:D,Mapping!E:E)</f>
        <v>Xưởng Sản Xuất</v>
      </c>
      <c r="C1711" s="167" t="str">
        <f>_xlfn.XLOOKUP(F1711,Mapping!A:A,Mapping!F:F)</f>
        <v>Phụ Cấp</v>
      </c>
      <c r="D1711" s="173">
        <v>45919</v>
      </c>
      <c r="E1711" s="169" t="s">
        <v>1091</v>
      </c>
      <c r="F1711" s="169" t="s">
        <v>421</v>
      </c>
      <c r="G1711" s="169" t="s">
        <v>341</v>
      </c>
      <c r="H1711" s="169" t="s">
        <v>441</v>
      </c>
      <c r="I1711" s="169" t="s">
        <v>442</v>
      </c>
      <c r="J1711" s="169" t="s">
        <v>1092</v>
      </c>
      <c r="K1711" s="169" t="s">
        <v>1093</v>
      </c>
      <c r="L1711" s="169" t="s">
        <v>1048</v>
      </c>
      <c r="M1711" s="169" t="s">
        <v>281</v>
      </c>
      <c r="N1711" s="178">
        <v>706708</v>
      </c>
      <c r="O1711" s="169" t="s">
        <v>1094</v>
      </c>
      <c r="P1711" s="169" t="s">
        <v>283</v>
      </c>
      <c r="Q1711" s="169" t="s">
        <v>284</v>
      </c>
      <c r="R1711" s="169" t="s">
        <v>283</v>
      </c>
      <c r="S1711" s="169" t="s">
        <v>283</v>
      </c>
      <c r="T1711" s="169">
        <v>0</v>
      </c>
    </row>
    <row r="1712" spans="1:20" x14ac:dyDescent="0.2">
      <c r="A1712" s="169" t="str">
        <f t="shared" si="5"/>
        <v>622</v>
      </c>
      <c r="B1712" s="167" t="str">
        <f>_xlfn.XLOOKUP(I1712,Mapping!D:D,Mapping!E:E)</f>
        <v>Xưởng Sản Xuất</v>
      </c>
      <c r="C1712" s="167" t="str">
        <f>_xlfn.XLOOKUP(F1712,Mapping!A:A,Mapping!F:F)</f>
        <v>Lương Ngoài giờ</v>
      </c>
      <c r="D1712" s="173">
        <v>45919</v>
      </c>
      <c r="E1712" s="169" t="s">
        <v>1091</v>
      </c>
      <c r="F1712" s="169" t="s">
        <v>422</v>
      </c>
      <c r="G1712" s="169" t="s">
        <v>423</v>
      </c>
      <c r="H1712" s="169" t="s">
        <v>441</v>
      </c>
      <c r="I1712" s="169" t="s">
        <v>442</v>
      </c>
      <c r="J1712" s="169" t="s">
        <v>1092</v>
      </c>
      <c r="K1712" s="169" t="s">
        <v>1093</v>
      </c>
      <c r="L1712" s="169" t="s">
        <v>1048</v>
      </c>
      <c r="M1712" s="169" t="s">
        <v>281</v>
      </c>
      <c r="N1712" s="178">
        <v>1713216</v>
      </c>
      <c r="O1712" s="169" t="s">
        <v>1094</v>
      </c>
      <c r="P1712" s="169" t="s">
        <v>283</v>
      </c>
      <c r="Q1712" s="169" t="s">
        <v>284</v>
      </c>
      <c r="R1712" s="169" t="s">
        <v>283</v>
      </c>
      <c r="S1712" s="169" t="s">
        <v>283</v>
      </c>
      <c r="T1712" s="169">
        <v>0</v>
      </c>
    </row>
    <row r="1713" spans="1:20" x14ac:dyDescent="0.2">
      <c r="A1713" s="169" t="str">
        <f t="shared" si="5"/>
        <v>622</v>
      </c>
      <c r="B1713" s="167" t="str">
        <f>_xlfn.XLOOKUP(I1713,Mapping!D:D,Mapping!E:E)</f>
        <v>Xưởng Sản Xuất</v>
      </c>
      <c r="C1713" s="167" t="str">
        <f>_xlfn.XLOOKUP(F1713,Mapping!A:A,Mapping!F:F)</f>
        <v>Thưởng</v>
      </c>
      <c r="D1713" s="173">
        <v>45919</v>
      </c>
      <c r="E1713" s="169" t="s">
        <v>1091</v>
      </c>
      <c r="F1713" s="169" t="s">
        <v>424</v>
      </c>
      <c r="G1713" s="169" t="s">
        <v>291</v>
      </c>
      <c r="H1713" s="169" t="s">
        <v>441</v>
      </c>
      <c r="I1713" s="169" t="s">
        <v>442</v>
      </c>
      <c r="J1713" s="169" t="s">
        <v>1092</v>
      </c>
      <c r="K1713" s="169" t="s">
        <v>1093</v>
      </c>
      <c r="L1713" s="169" t="s">
        <v>1048</v>
      </c>
      <c r="M1713" s="169" t="s">
        <v>281</v>
      </c>
      <c r="N1713" s="178">
        <v>200000</v>
      </c>
      <c r="O1713" s="169" t="s">
        <v>1094</v>
      </c>
      <c r="P1713" s="169" t="s">
        <v>283</v>
      </c>
      <c r="Q1713" s="169" t="s">
        <v>284</v>
      </c>
      <c r="R1713" s="169" t="s">
        <v>283</v>
      </c>
      <c r="S1713" s="169" t="s">
        <v>283</v>
      </c>
      <c r="T1713" s="169">
        <v>0</v>
      </c>
    </row>
    <row r="1714" spans="1:20" x14ac:dyDescent="0.2">
      <c r="A1714" s="169" t="str">
        <f t="shared" si="5"/>
        <v>622</v>
      </c>
      <c r="B1714" s="167" t="str">
        <f>_xlfn.XLOOKUP(I1714,Mapping!D:D,Mapping!E:E)</f>
        <v>Xưởng Sản Xuất</v>
      </c>
      <c r="C1714" s="167" t="str">
        <f>_xlfn.XLOOKUP(F1714,Mapping!A:A,Mapping!F:F)</f>
        <v>Phụ Cấp</v>
      </c>
      <c r="D1714" s="173">
        <v>45919</v>
      </c>
      <c r="E1714" s="169" t="s">
        <v>1091</v>
      </c>
      <c r="F1714" s="169" t="s">
        <v>414</v>
      </c>
      <c r="G1714" s="169" t="s">
        <v>415</v>
      </c>
      <c r="H1714" s="169" t="s">
        <v>441</v>
      </c>
      <c r="I1714" s="169" t="s">
        <v>442</v>
      </c>
      <c r="J1714" s="169" t="s">
        <v>1092</v>
      </c>
      <c r="K1714" s="169" t="s">
        <v>1093</v>
      </c>
      <c r="L1714" s="169" t="s">
        <v>1048</v>
      </c>
      <c r="M1714" s="169" t="s">
        <v>281</v>
      </c>
      <c r="N1714" s="178">
        <v>180000</v>
      </c>
      <c r="O1714" s="169" t="s">
        <v>1094</v>
      </c>
      <c r="P1714" s="169" t="s">
        <v>283</v>
      </c>
      <c r="Q1714" s="169" t="s">
        <v>284</v>
      </c>
      <c r="R1714" s="169" t="s">
        <v>283</v>
      </c>
      <c r="S1714" s="169" t="s">
        <v>283</v>
      </c>
      <c r="T1714" s="169">
        <v>0</v>
      </c>
    </row>
    <row r="1715" spans="1:20" x14ac:dyDescent="0.2">
      <c r="A1715" s="169" t="str">
        <f t="shared" si="5"/>
        <v>641</v>
      </c>
      <c r="B1715" s="167" t="str">
        <f>_xlfn.XLOOKUP(I1715,Mapping!D:D,Mapping!E:E)</f>
        <v>Kinh doanh</v>
      </c>
      <c r="C1715" s="167" t="str">
        <f>_xlfn.XLOOKUP(F1715,Mapping!A:A,Mapping!F:F)</f>
        <v>Thưởng</v>
      </c>
      <c r="D1715" s="173">
        <v>45901</v>
      </c>
      <c r="E1715" s="169" t="s">
        <v>1095</v>
      </c>
      <c r="F1715" s="169" t="s">
        <v>365</v>
      </c>
      <c r="G1715" s="169" t="s">
        <v>291</v>
      </c>
      <c r="H1715" s="169" t="s">
        <v>366</v>
      </c>
      <c r="I1715" s="169" t="s">
        <v>1</v>
      </c>
      <c r="J1715" s="169" t="s">
        <v>1033</v>
      </c>
      <c r="K1715" s="169" t="s">
        <v>670</v>
      </c>
      <c r="L1715" s="169" t="s">
        <v>1048</v>
      </c>
      <c r="M1715" s="169" t="s">
        <v>281</v>
      </c>
      <c r="N1715" s="178">
        <v>-185891381</v>
      </c>
      <c r="O1715" s="169" t="s">
        <v>1096</v>
      </c>
      <c r="P1715" s="169" t="s">
        <v>447</v>
      </c>
      <c r="Q1715" s="169" t="s">
        <v>284</v>
      </c>
      <c r="R1715" s="169" t="s">
        <v>283</v>
      </c>
      <c r="S1715" s="169" t="s">
        <v>283</v>
      </c>
      <c r="T1715" s="169">
        <v>0</v>
      </c>
    </row>
    <row r="1716" spans="1:20" x14ac:dyDescent="0.2">
      <c r="A1716" s="169" t="str">
        <f t="shared" si="5"/>
        <v>641</v>
      </c>
      <c r="B1716" s="167" t="str">
        <f>_xlfn.XLOOKUP(I1716,Mapping!D:D,Mapping!E:E)</f>
        <v>Kinh doanh</v>
      </c>
      <c r="C1716" s="167" t="str">
        <f>_xlfn.XLOOKUP(F1716,Mapping!A:A,Mapping!F:F)</f>
        <v>Thưởng</v>
      </c>
      <c r="D1716" s="173">
        <v>45930</v>
      </c>
      <c r="E1716" s="169" t="s">
        <v>1097</v>
      </c>
      <c r="F1716" s="169" t="s">
        <v>365</v>
      </c>
      <c r="G1716" s="169" t="s">
        <v>291</v>
      </c>
      <c r="H1716" s="169" t="s">
        <v>366</v>
      </c>
      <c r="I1716" s="169" t="s">
        <v>1</v>
      </c>
      <c r="J1716" s="169" t="s">
        <v>1098</v>
      </c>
      <c r="K1716" s="169" t="s">
        <v>670</v>
      </c>
      <c r="L1716" s="169" t="s">
        <v>1048</v>
      </c>
      <c r="M1716" s="169" t="s">
        <v>281</v>
      </c>
      <c r="N1716" s="178">
        <v>10066555</v>
      </c>
      <c r="O1716" s="169" t="s">
        <v>1099</v>
      </c>
      <c r="P1716" s="169" t="s">
        <v>283</v>
      </c>
      <c r="Q1716" s="169" t="s">
        <v>370</v>
      </c>
      <c r="R1716" s="169" t="s">
        <v>283</v>
      </c>
      <c r="S1716" s="169" t="s">
        <v>283</v>
      </c>
      <c r="T1716" s="169">
        <v>0</v>
      </c>
    </row>
    <row r="1717" spans="1:20" x14ac:dyDescent="0.2">
      <c r="A1717" s="169" t="str">
        <f t="shared" si="5"/>
        <v>641</v>
      </c>
      <c r="B1717" s="167" t="str">
        <f>_xlfn.XLOOKUP(I1717,Mapping!D:D,Mapping!E:E)</f>
        <v>Kinh doanh</v>
      </c>
      <c r="C1717" s="167" t="str">
        <f>_xlfn.XLOOKUP(F1717,Mapping!A:A,Mapping!F:F)</f>
        <v>Thưởng</v>
      </c>
      <c r="D1717" s="173">
        <v>45930</v>
      </c>
      <c r="E1717" s="169" t="s">
        <v>1100</v>
      </c>
      <c r="F1717" s="169" t="s">
        <v>365</v>
      </c>
      <c r="G1717" s="169" t="s">
        <v>291</v>
      </c>
      <c r="H1717" s="169" t="s">
        <v>366</v>
      </c>
      <c r="I1717" s="169" t="s">
        <v>1</v>
      </c>
      <c r="J1717" s="169" t="s">
        <v>1101</v>
      </c>
      <c r="K1717" s="169" t="s">
        <v>670</v>
      </c>
      <c r="L1717" s="169" t="s">
        <v>1048</v>
      </c>
      <c r="M1717" s="169" t="s">
        <v>281</v>
      </c>
      <c r="N1717" s="178">
        <v>101478655</v>
      </c>
      <c r="O1717" s="169" t="s">
        <v>1102</v>
      </c>
      <c r="P1717" s="169" t="s">
        <v>283</v>
      </c>
      <c r="Q1717" s="169" t="s">
        <v>370</v>
      </c>
      <c r="R1717" s="169" t="s">
        <v>283</v>
      </c>
      <c r="S1717" s="169" t="s">
        <v>283</v>
      </c>
      <c r="T1717" s="169">
        <v>0</v>
      </c>
    </row>
    <row r="1718" spans="1:20" x14ac:dyDescent="0.2">
      <c r="A1718" s="169" t="str">
        <f t="shared" si="5"/>
        <v>642</v>
      </c>
      <c r="B1718" s="167" t="str">
        <f>_xlfn.XLOOKUP(I1718,Mapping!D:D,Mapping!E:E)</f>
        <v>Ban Giám Đốc</v>
      </c>
      <c r="C1718" s="167" t="str">
        <f>_xlfn.XLOOKUP(F1718,Mapping!A:A,Mapping!F:F)</f>
        <v>Lương Chính +T13</v>
      </c>
      <c r="D1718" s="173">
        <v>45930</v>
      </c>
      <c r="E1718" s="169" t="s">
        <v>1103</v>
      </c>
      <c r="F1718" s="169" t="s">
        <v>285</v>
      </c>
      <c r="G1718" s="169" t="s">
        <v>286</v>
      </c>
      <c r="H1718" s="169" t="s">
        <v>276</v>
      </c>
      <c r="I1718" s="169" t="s">
        <v>277</v>
      </c>
      <c r="J1718" s="169" t="s">
        <v>1104</v>
      </c>
      <c r="K1718" s="169" t="s">
        <v>1093</v>
      </c>
      <c r="L1718" s="169" t="s">
        <v>1048</v>
      </c>
      <c r="M1718" s="169" t="s">
        <v>281</v>
      </c>
      <c r="N1718" s="178">
        <v>113741250</v>
      </c>
      <c r="O1718" s="169" t="s">
        <v>1105</v>
      </c>
      <c r="P1718" s="169" t="s">
        <v>283</v>
      </c>
      <c r="Q1718" s="169" t="s">
        <v>284</v>
      </c>
      <c r="R1718" s="169" t="s">
        <v>283</v>
      </c>
      <c r="S1718" s="169" t="s">
        <v>283</v>
      </c>
      <c r="T1718" s="169">
        <v>0</v>
      </c>
    </row>
    <row r="1719" spans="1:20" x14ac:dyDescent="0.2">
      <c r="A1719" s="169" t="str">
        <f t="shared" si="5"/>
        <v>642</v>
      </c>
      <c r="B1719" s="167" t="str">
        <f>_xlfn.XLOOKUP(I1719,Mapping!D:D,Mapping!E:E)</f>
        <v>Ban Giám Đốc</v>
      </c>
      <c r="C1719" s="167" t="str">
        <f>_xlfn.XLOOKUP(F1719,Mapping!A:A,Mapping!F:F)</f>
        <v>Thưởng</v>
      </c>
      <c r="D1719" s="173">
        <v>45930</v>
      </c>
      <c r="E1719" s="169" t="s">
        <v>1103</v>
      </c>
      <c r="F1719" s="169" t="s">
        <v>292</v>
      </c>
      <c r="G1719" s="169" t="s">
        <v>77</v>
      </c>
      <c r="H1719" s="169" t="s">
        <v>276</v>
      </c>
      <c r="I1719" s="169" t="s">
        <v>277</v>
      </c>
      <c r="J1719" s="169" t="s">
        <v>1106</v>
      </c>
      <c r="K1719" s="169" t="s">
        <v>1093</v>
      </c>
      <c r="L1719" s="169" t="s">
        <v>1048</v>
      </c>
      <c r="M1719" s="169" t="s">
        <v>281</v>
      </c>
      <c r="N1719" s="178">
        <v>104641040</v>
      </c>
      <c r="O1719" s="169" t="s">
        <v>1105</v>
      </c>
      <c r="P1719" s="169" t="s">
        <v>283</v>
      </c>
      <c r="Q1719" s="169" t="s">
        <v>284</v>
      </c>
      <c r="R1719" s="169" t="s">
        <v>283</v>
      </c>
      <c r="S1719" s="169" t="s">
        <v>283</v>
      </c>
      <c r="T1719" s="169">
        <v>0</v>
      </c>
    </row>
    <row r="1720" spans="1:20" x14ac:dyDescent="0.2">
      <c r="A1720" s="169" t="str">
        <f t="shared" si="5"/>
        <v>642</v>
      </c>
      <c r="B1720" s="167" t="str">
        <f>_xlfn.XLOOKUP(I1720,Mapping!D:D,Mapping!E:E)</f>
        <v>Văn Phòng Giám Đốc</v>
      </c>
      <c r="C1720" s="167" t="str">
        <f>_xlfn.XLOOKUP(F1720,Mapping!A:A,Mapping!F:F)</f>
        <v>Lương Chính +T13</v>
      </c>
      <c r="D1720" s="173">
        <v>45930</v>
      </c>
      <c r="E1720" s="169" t="s">
        <v>1103</v>
      </c>
      <c r="F1720" s="169" t="s">
        <v>285</v>
      </c>
      <c r="G1720" s="169" t="s">
        <v>286</v>
      </c>
      <c r="H1720" s="169" t="s">
        <v>320</v>
      </c>
      <c r="I1720" s="169" t="s">
        <v>321</v>
      </c>
      <c r="J1720" s="169" t="s">
        <v>1104</v>
      </c>
      <c r="K1720" s="169" t="s">
        <v>1093</v>
      </c>
      <c r="L1720" s="169" t="s">
        <v>1048</v>
      </c>
      <c r="M1720" s="169" t="s">
        <v>281</v>
      </c>
      <c r="N1720" s="178">
        <v>9604167</v>
      </c>
      <c r="O1720" s="169" t="s">
        <v>1105</v>
      </c>
      <c r="P1720" s="169" t="s">
        <v>283</v>
      </c>
      <c r="Q1720" s="169" t="s">
        <v>284</v>
      </c>
      <c r="R1720" s="169" t="s">
        <v>283</v>
      </c>
      <c r="S1720" s="169" t="s">
        <v>283</v>
      </c>
      <c r="T1720" s="169">
        <v>0</v>
      </c>
    </row>
    <row r="1721" spans="1:20" x14ac:dyDescent="0.2">
      <c r="A1721" s="169" t="str">
        <f t="shared" si="5"/>
        <v>642</v>
      </c>
      <c r="B1721" s="167" t="str">
        <f>_xlfn.XLOOKUP(I1721,Mapping!D:D,Mapping!E:E)</f>
        <v>Văn Phòng Giám Đốc</v>
      </c>
      <c r="C1721" s="167" t="str">
        <f>_xlfn.XLOOKUP(F1721,Mapping!A:A,Mapping!F:F)</f>
        <v>Thưởng</v>
      </c>
      <c r="D1721" s="173">
        <v>45930</v>
      </c>
      <c r="E1721" s="169" t="s">
        <v>1103</v>
      </c>
      <c r="F1721" s="169" t="s">
        <v>292</v>
      </c>
      <c r="G1721" s="169" t="s">
        <v>77</v>
      </c>
      <c r="H1721" s="169" t="s">
        <v>320</v>
      </c>
      <c r="I1721" s="169" t="s">
        <v>321</v>
      </c>
      <c r="J1721" s="169" t="s">
        <v>1106</v>
      </c>
      <c r="K1721" s="169" t="s">
        <v>1093</v>
      </c>
      <c r="L1721" s="169" t="s">
        <v>1048</v>
      </c>
      <c r="M1721" s="169" t="s">
        <v>281</v>
      </c>
      <c r="N1721" s="178">
        <v>8835757</v>
      </c>
      <c r="O1721" s="169" t="s">
        <v>1105</v>
      </c>
      <c r="P1721" s="169" t="s">
        <v>283</v>
      </c>
      <c r="Q1721" s="169" t="s">
        <v>284</v>
      </c>
      <c r="R1721" s="169" t="s">
        <v>283</v>
      </c>
      <c r="S1721" s="169" t="s">
        <v>283</v>
      </c>
      <c r="T1721" s="169">
        <v>0</v>
      </c>
    </row>
    <row r="1722" spans="1:20" x14ac:dyDescent="0.2">
      <c r="A1722" s="169" t="str">
        <f t="shared" si="5"/>
        <v>642</v>
      </c>
      <c r="B1722" s="167" t="str">
        <f>_xlfn.XLOOKUP(I1722,Mapping!D:D,Mapping!E:E)</f>
        <v>Hành Chánh Nhân Sự</v>
      </c>
      <c r="C1722" s="167" t="str">
        <f>_xlfn.XLOOKUP(F1722,Mapping!A:A,Mapping!F:F)</f>
        <v>Lương Chính +T13</v>
      </c>
      <c r="D1722" s="173">
        <v>45930</v>
      </c>
      <c r="E1722" s="169" t="s">
        <v>1103</v>
      </c>
      <c r="F1722" s="169" t="s">
        <v>285</v>
      </c>
      <c r="G1722" s="169" t="s">
        <v>286</v>
      </c>
      <c r="H1722" s="169" t="s">
        <v>301</v>
      </c>
      <c r="I1722" s="169" t="s">
        <v>302</v>
      </c>
      <c r="J1722" s="169" t="s">
        <v>1104</v>
      </c>
      <c r="K1722" s="169" t="s">
        <v>1093</v>
      </c>
      <c r="L1722" s="169" t="s">
        <v>1048</v>
      </c>
      <c r="M1722" s="169" t="s">
        <v>281</v>
      </c>
      <c r="N1722" s="178">
        <v>41371426</v>
      </c>
      <c r="O1722" s="169" t="s">
        <v>1105</v>
      </c>
      <c r="P1722" s="169" t="s">
        <v>283</v>
      </c>
      <c r="Q1722" s="169" t="s">
        <v>284</v>
      </c>
      <c r="R1722" s="169" t="s">
        <v>283</v>
      </c>
      <c r="S1722" s="169" t="s">
        <v>283</v>
      </c>
      <c r="T1722" s="169">
        <v>0</v>
      </c>
    </row>
    <row r="1723" spans="1:20" x14ac:dyDescent="0.2">
      <c r="A1723" s="169" t="str">
        <f t="shared" si="5"/>
        <v>642</v>
      </c>
      <c r="B1723" s="167" t="str">
        <f>_xlfn.XLOOKUP(I1723,Mapping!D:D,Mapping!E:E)</f>
        <v>Hành Chánh Nhân Sự</v>
      </c>
      <c r="C1723" s="167" t="str">
        <f>_xlfn.XLOOKUP(F1723,Mapping!A:A,Mapping!F:F)</f>
        <v>Thưởng</v>
      </c>
      <c r="D1723" s="173">
        <v>45930</v>
      </c>
      <c r="E1723" s="169" t="s">
        <v>1103</v>
      </c>
      <c r="F1723" s="169" t="s">
        <v>292</v>
      </c>
      <c r="G1723" s="169" t="s">
        <v>77</v>
      </c>
      <c r="H1723" s="169" t="s">
        <v>301</v>
      </c>
      <c r="I1723" s="169" t="s">
        <v>302</v>
      </c>
      <c r="J1723" s="169" t="s">
        <v>1106</v>
      </c>
      <c r="K1723" s="169" t="s">
        <v>1093</v>
      </c>
      <c r="L1723" s="169" t="s">
        <v>1048</v>
      </c>
      <c r="M1723" s="169" t="s">
        <v>281</v>
      </c>
      <c r="N1723" s="178">
        <v>33041238</v>
      </c>
      <c r="O1723" s="169" t="s">
        <v>1105</v>
      </c>
      <c r="P1723" s="169" t="s">
        <v>283</v>
      </c>
      <c r="Q1723" s="169" t="s">
        <v>284</v>
      </c>
      <c r="R1723" s="169" t="s">
        <v>283</v>
      </c>
      <c r="S1723" s="169" t="s">
        <v>283</v>
      </c>
      <c r="T1723" s="169">
        <v>0</v>
      </c>
    </row>
    <row r="1724" spans="1:20" x14ac:dyDescent="0.2">
      <c r="A1724" s="169" t="str">
        <f t="shared" si="5"/>
        <v>642</v>
      </c>
      <c r="B1724" s="167" t="str">
        <f>_xlfn.XLOOKUP(I1724,Mapping!D:D,Mapping!E:E)</f>
        <v>Kế Toán</v>
      </c>
      <c r="C1724" s="167" t="str">
        <f>_xlfn.XLOOKUP(F1724,Mapping!A:A,Mapping!F:F)</f>
        <v>Lương Chính +T13</v>
      </c>
      <c r="D1724" s="173">
        <v>45930</v>
      </c>
      <c r="E1724" s="169" t="s">
        <v>1103</v>
      </c>
      <c r="F1724" s="169" t="s">
        <v>285</v>
      </c>
      <c r="G1724" s="169" t="s">
        <v>286</v>
      </c>
      <c r="H1724" s="169" t="s">
        <v>356</v>
      </c>
      <c r="I1724" s="169" t="s">
        <v>357</v>
      </c>
      <c r="J1724" s="169" t="s">
        <v>1104</v>
      </c>
      <c r="K1724" s="169" t="s">
        <v>1093</v>
      </c>
      <c r="L1724" s="169" t="s">
        <v>1048</v>
      </c>
      <c r="M1724" s="169" t="s">
        <v>281</v>
      </c>
      <c r="N1724" s="178">
        <v>44222096</v>
      </c>
      <c r="O1724" s="169" t="s">
        <v>1105</v>
      </c>
      <c r="P1724" s="169" t="s">
        <v>283</v>
      </c>
      <c r="Q1724" s="169" t="s">
        <v>284</v>
      </c>
      <c r="R1724" s="169" t="s">
        <v>283</v>
      </c>
      <c r="S1724" s="169" t="s">
        <v>283</v>
      </c>
      <c r="T1724" s="169">
        <v>0</v>
      </c>
    </row>
    <row r="1725" spans="1:20" x14ac:dyDescent="0.2">
      <c r="A1725" s="169" t="str">
        <f t="shared" si="5"/>
        <v>642</v>
      </c>
      <c r="B1725" s="167" t="str">
        <f>_xlfn.XLOOKUP(I1725,Mapping!D:D,Mapping!E:E)</f>
        <v>Kế Toán</v>
      </c>
      <c r="C1725" s="167" t="str">
        <f>_xlfn.XLOOKUP(F1725,Mapping!A:A,Mapping!F:F)</f>
        <v>Thưởng</v>
      </c>
      <c r="D1725" s="173">
        <v>45930</v>
      </c>
      <c r="E1725" s="169" t="s">
        <v>1103</v>
      </c>
      <c r="F1725" s="169" t="s">
        <v>292</v>
      </c>
      <c r="G1725" s="169" t="s">
        <v>77</v>
      </c>
      <c r="H1725" s="169" t="s">
        <v>356</v>
      </c>
      <c r="I1725" s="169" t="s">
        <v>357</v>
      </c>
      <c r="J1725" s="169" t="s">
        <v>1106</v>
      </c>
      <c r="K1725" s="169" t="s">
        <v>1093</v>
      </c>
      <c r="L1725" s="169" t="s">
        <v>1048</v>
      </c>
      <c r="M1725" s="169" t="s">
        <v>281</v>
      </c>
      <c r="N1725" s="178">
        <v>40240527</v>
      </c>
      <c r="O1725" s="169" t="s">
        <v>1105</v>
      </c>
      <c r="P1725" s="169" t="s">
        <v>283</v>
      </c>
      <c r="Q1725" s="169" t="s">
        <v>284</v>
      </c>
      <c r="R1725" s="169" t="s">
        <v>283</v>
      </c>
      <c r="S1725" s="169" t="s">
        <v>283</v>
      </c>
      <c r="T1725" s="169">
        <v>0</v>
      </c>
    </row>
    <row r="1726" spans="1:20" x14ac:dyDescent="0.2">
      <c r="A1726" s="169" t="str">
        <f t="shared" si="5"/>
        <v>641</v>
      </c>
      <c r="B1726" s="167" t="str">
        <f>_xlfn.XLOOKUP(I1726,Mapping!D:D,Mapping!E:E)</f>
        <v>Kinh doanh</v>
      </c>
      <c r="C1726" s="167" t="str">
        <f>_xlfn.XLOOKUP(F1726,Mapping!A:A,Mapping!F:F)</f>
        <v>Lương Chính +T13</v>
      </c>
      <c r="D1726" s="173">
        <v>45930</v>
      </c>
      <c r="E1726" s="169" t="s">
        <v>1103</v>
      </c>
      <c r="F1726" s="169" t="s">
        <v>384</v>
      </c>
      <c r="G1726" s="169" t="s">
        <v>286</v>
      </c>
      <c r="H1726" s="169" t="s">
        <v>366</v>
      </c>
      <c r="I1726" s="169" t="s">
        <v>1</v>
      </c>
      <c r="J1726" s="169" t="s">
        <v>1104</v>
      </c>
      <c r="K1726" s="169" t="s">
        <v>1093</v>
      </c>
      <c r="L1726" s="169" t="s">
        <v>1048</v>
      </c>
      <c r="M1726" s="169" t="s">
        <v>281</v>
      </c>
      <c r="N1726" s="178">
        <v>25338500</v>
      </c>
      <c r="O1726" s="169" t="s">
        <v>1105</v>
      </c>
      <c r="P1726" s="169" t="s">
        <v>283</v>
      </c>
      <c r="Q1726" s="169" t="s">
        <v>284</v>
      </c>
      <c r="R1726" s="169" t="s">
        <v>283</v>
      </c>
      <c r="S1726" s="169" t="s">
        <v>283</v>
      </c>
      <c r="T1726" s="169">
        <v>0</v>
      </c>
    </row>
    <row r="1727" spans="1:20" x14ac:dyDescent="0.2">
      <c r="A1727" s="169" t="str">
        <f t="shared" si="5"/>
        <v>641</v>
      </c>
      <c r="B1727" s="167" t="str">
        <f>_xlfn.XLOOKUP(I1727,Mapping!D:D,Mapping!E:E)</f>
        <v>Kinh doanh</v>
      </c>
      <c r="C1727" s="167" t="str">
        <f>_xlfn.XLOOKUP(F1727,Mapping!A:A,Mapping!F:F)</f>
        <v>Thưởng</v>
      </c>
      <c r="D1727" s="173">
        <v>45930</v>
      </c>
      <c r="E1727" s="169" t="s">
        <v>1103</v>
      </c>
      <c r="F1727" s="169" t="s">
        <v>394</v>
      </c>
      <c r="G1727" s="169" t="s">
        <v>77</v>
      </c>
      <c r="H1727" s="169" t="s">
        <v>366</v>
      </c>
      <c r="I1727" s="169" t="s">
        <v>1</v>
      </c>
      <c r="J1727" s="169" t="s">
        <v>1106</v>
      </c>
      <c r="K1727" s="169" t="s">
        <v>1093</v>
      </c>
      <c r="L1727" s="169" t="s">
        <v>1048</v>
      </c>
      <c r="M1727" s="169" t="s">
        <v>281</v>
      </c>
      <c r="N1727" s="178">
        <v>23311217</v>
      </c>
      <c r="O1727" s="169" t="s">
        <v>1105</v>
      </c>
      <c r="P1727" s="169" t="s">
        <v>283</v>
      </c>
      <c r="Q1727" s="169" t="s">
        <v>284</v>
      </c>
      <c r="R1727" s="169" t="s">
        <v>283</v>
      </c>
      <c r="S1727" s="169" t="s">
        <v>283</v>
      </c>
      <c r="T1727" s="169">
        <v>0</v>
      </c>
    </row>
    <row r="1728" spans="1:20" x14ac:dyDescent="0.2">
      <c r="A1728" s="169" t="str">
        <f t="shared" si="5"/>
        <v>642</v>
      </c>
      <c r="B1728" s="167" t="str">
        <f>_xlfn.XLOOKUP(I1728,Mapping!D:D,Mapping!E:E)</f>
        <v>Cung Ứng</v>
      </c>
      <c r="C1728" s="167" t="str">
        <f>_xlfn.XLOOKUP(F1728,Mapping!A:A,Mapping!F:F)</f>
        <v>Lương Chính +T13</v>
      </c>
      <c r="D1728" s="173">
        <v>45930</v>
      </c>
      <c r="E1728" s="169" t="s">
        <v>1103</v>
      </c>
      <c r="F1728" s="169" t="s">
        <v>285</v>
      </c>
      <c r="G1728" s="169" t="s">
        <v>286</v>
      </c>
      <c r="H1728" s="169" t="s">
        <v>380</v>
      </c>
      <c r="I1728" s="169" t="s">
        <v>381</v>
      </c>
      <c r="J1728" s="169" t="s">
        <v>1104</v>
      </c>
      <c r="K1728" s="169" t="s">
        <v>1093</v>
      </c>
      <c r="L1728" s="169" t="s">
        <v>1048</v>
      </c>
      <c r="M1728" s="169" t="s">
        <v>281</v>
      </c>
      <c r="N1728" s="178">
        <v>43677418</v>
      </c>
      <c r="O1728" s="169" t="s">
        <v>1105</v>
      </c>
      <c r="P1728" s="169" t="s">
        <v>283</v>
      </c>
      <c r="Q1728" s="169" t="s">
        <v>284</v>
      </c>
      <c r="R1728" s="169" t="s">
        <v>283</v>
      </c>
      <c r="S1728" s="169" t="s">
        <v>283</v>
      </c>
      <c r="T1728" s="169">
        <v>0</v>
      </c>
    </row>
    <row r="1729" spans="1:20" x14ac:dyDescent="0.2">
      <c r="A1729" s="169" t="str">
        <f t="shared" si="5"/>
        <v>642</v>
      </c>
      <c r="B1729" s="167" t="str">
        <f>_xlfn.XLOOKUP(I1729,Mapping!D:D,Mapping!E:E)</f>
        <v>Cung Ứng</v>
      </c>
      <c r="C1729" s="167" t="str">
        <f>_xlfn.XLOOKUP(F1729,Mapping!A:A,Mapping!F:F)</f>
        <v>Thưởng</v>
      </c>
      <c r="D1729" s="173">
        <v>45930</v>
      </c>
      <c r="E1729" s="169" t="s">
        <v>1103</v>
      </c>
      <c r="F1729" s="169" t="s">
        <v>292</v>
      </c>
      <c r="G1729" s="169" t="s">
        <v>77</v>
      </c>
      <c r="H1729" s="169" t="s">
        <v>380</v>
      </c>
      <c r="I1729" s="169" t="s">
        <v>381</v>
      </c>
      <c r="J1729" s="169" t="s">
        <v>1106</v>
      </c>
      <c r="K1729" s="169" t="s">
        <v>1093</v>
      </c>
      <c r="L1729" s="169" t="s">
        <v>1048</v>
      </c>
      <c r="M1729" s="169" t="s">
        <v>281</v>
      </c>
      <c r="N1729" s="178">
        <v>38329694</v>
      </c>
      <c r="O1729" s="169" t="s">
        <v>1105</v>
      </c>
      <c r="P1729" s="169" t="s">
        <v>283</v>
      </c>
      <c r="Q1729" s="169" t="s">
        <v>284</v>
      </c>
      <c r="R1729" s="169" t="s">
        <v>283</v>
      </c>
      <c r="S1729" s="169" t="s">
        <v>283</v>
      </c>
      <c r="T1729" s="169">
        <v>0</v>
      </c>
    </row>
    <row r="1730" spans="1:20" x14ac:dyDescent="0.2">
      <c r="A1730" s="169" t="str">
        <f t="shared" si="5"/>
        <v>642</v>
      </c>
      <c r="B1730" s="167" t="str">
        <f>_xlfn.XLOOKUP(I1730,Mapping!D:D,Mapping!E:E)</f>
        <v>Mua Hàng &amp; XNK</v>
      </c>
      <c r="C1730" s="167" t="str">
        <f>_xlfn.XLOOKUP(F1730,Mapping!A:A,Mapping!F:F)</f>
        <v>Lương Chính +T13</v>
      </c>
      <c r="D1730" s="173">
        <v>45930</v>
      </c>
      <c r="E1730" s="169" t="s">
        <v>1103</v>
      </c>
      <c r="F1730" s="169" t="s">
        <v>285</v>
      </c>
      <c r="G1730" s="169" t="s">
        <v>286</v>
      </c>
      <c r="H1730" s="169" t="s">
        <v>378</v>
      </c>
      <c r="I1730" s="169" t="s">
        <v>379</v>
      </c>
      <c r="J1730" s="169" t="s">
        <v>1104</v>
      </c>
      <c r="K1730" s="169" t="s">
        <v>1093</v>
      </c>
      <c r="L1730" s="169" t="s">
        <v>1048</v>
      </c>
      <c r="M1730" s="169" t="s">
        <v>281</v>
      </c>
      <c r="N1730" s="178">
        <v>11544417</v>
      </c>
      <c r="O1730" s="169" t="s">
        <v>1105</v>
      </c>
      <c r="P1730" s="169" t="s">
        <v>283</v>
      </c>
      <c r="Q1730" s="169" t="s">
        <v>284</v>
      </c>
      <c r="R1730" s="169" t="s">
        <v>283</v>
      </c>
      <c r="S1730" s="169" t="s">
        <v>283</v>
      </c>
      <c r="T1730" s="169">
        <v>0</v>
      </c>
    </row>
    <row r="1731" spans="1:20" x14ac:dyDescent="0.2">
      <c r="A1731" s="169" t="str">
        <f t="shared" si="5"/>
        <v>642</v>
      </c>
      <c r="B1731" s="167" t="str">
        <f>_xlfn.XLOOKUP(I1731,Mapping!D:D,Mapping!E:E)</f>
        <v>Mua Hàng &amp; XNK</v>
      </c>
      <c r="C1731" s="167" t="str">
        <f>_xlfn.XLOOKUP(F1731,Mapping!A:A,Mapping!F:F)</f>
        <v>Thưởng</v>
      </c>
      <c r="D1731" s="173">
        <v>45930</v>
      </c>
      <c r="E1731" s="169" t="s">
        <v>1103</v>
      </c>
      <c r="F1731" s="169" t="s">
        <v>292</v>
      </c>
      <c r="G1731" s="169" t="s">
        <v>77</v>
      </c>
      <c r="H1731" s="169" t="s">
        <v>378</v>
      </c>
      <c r="I1731" s="169" t="s">
        <v>379</v>
      </c>
      <c r="J1731" s="169" t="s">
        <v>1106</v>
      </c>
      <c r="K1731" s="169" t="s">
        <v>1093</v>
      </c>
      <c r="L1731" s="169" t="s">
        <v>1048</v>
      </c>
      <c r="M1731" s="169" t="s">
        <v>281</v>
      </c>
      <c r="N1731" s="178">
        <v>10620771</v>
      </c>
      <c r="O1731" s="169" t="s">
        <v>1105</v>
      </c>
      <c r="P1731" s="169" t="s">
        <v>283</v>
      </c>
      <c r="Q1731" s="169" t="s">
        <v>284</v>
      </c>
      <c r="R1731" s="169" t="s">
        <v>283</v>
      </c>
      <c r="S1731" s="169" t="s">
        <v>283</v>
      </c>
      <c r="T1731" s="169">
        <v>0</v>
      </c>
    </row>
    <row r="1732" spans="1:20" x14ac:dyDescent="0.2">
      <c r="A1732" s="169" t="str">
        <f t="shared" si="5"/>
        <v>627</v>
      </c>
      <c r="B1732" s="167" t="str">
        <f>_xlfn.XLOOKUP(I1732,Mapping!D:D,Mapping!E:E)</f>
        <v>Kỹ Thuật</v>
      </c>
      <c r="C1732" s="167" t="str">
        <f>_xlfn.XLOOKUP(F1732,Mapping!A:A,Mapping!F:F)</f>
        <v>Lương Chính +T13</v>
      </c>
      <c r="D1732" s="173">
        <v>45930</v>
      </c>
      <c r="E1732" s="169" t="s">
        <v>1103</v>
      </c>
      <c r="F1732" s="169" t="s">
        <v>388</v>
      </c>
      <c r="G1732" s="169" t="s">
        <v>286</v>
      </c>
      <c r="H1732" s="169" t="s">
        <v>376</v>
      </c>
      <c r="I1732" s="169" t="s">
        <v>377</v>
      </c>
      <c r="J1732" s="169" t="s">
        <v>1104</v>
      </c>
      <c r="K1732" s="169" t="s">
        <v>1093</v>
      </c>
      <c r="L1732" s="169" t="s">
        <v>1048</v>
      </c>
      <c r="M1732" s="169" t="s">
        <v>281</v>
      </c>
      <c r="N1732" s="178">
        <v>88727917</v>
      </c>
      <c r="O1732" s="169" t="s">
        <v>1105</v>
      </c>
      <c r="P1732" s="169" t="s">
        <v>283</v>
      </c>
      <c r="Q1732" s="169" t="s">
        <v>284</v>
      </c>
      <c r="R1732" s="169" t="s">
        <v>283</v>
      </c>
      <c r="S1732" s="169" t="s">
        <v>283</v>
      </c>
      <c r="T1732" s="169">
        <v>0</v>
      </c>
    </row>
    <row r="1733" spans="1:20" x14ac:dyDescent="0.2">
      <c r="A1733" s="169" t="str">
        <f t="shared" si="5"/>
        <v>627</v>
      </c>
      <c r="B1733" s="167" t="str">
        <f>_xlfn.XLOOKUP(I1733,Mapping!D:D,Mapping!E:E)</f>
        <v>Kỹ Thuật</v>
      </c>
      <c r="C1733" s="167" t="str">
        <f>_xlfn.XLOOKUP(F1733,Mapping!A:A,Mapping!F:F)</f>
        <v>Thưởng</v>
      </c>
      <c r="D1733" s="173">
        <v>45930</v>
      </c>
      <c r="E1733" s="169" t="s">
        <v>1103</v>
      </c>
      <c r="F1733" s="169" t="s">
        <v>395</v>
      </c>
      <c r="G1733" s="169" t="s">
        <v>77</v>
      </c>
      <c r="H1733" s="169" t="s">
        <v>376</v>
      </c>
      <c r="I1733" s="169" t="s">
        <v>377</v>
      </c>
      <c r="J1733" s="169" t="s">
        <v>1106</v>
      </c>
      <c r="K1733" s="169" t="s">
        <v>1093</v>
      </c>
      <c r="L1733" s="169" t="s">
        <v>1048</v>
      </c>
      <c r="M1733" s="169" t="s">
        <v>281</v>
      </c>
      <c r="N1733" s="178">
        <v>81628974</v>
      </c>
      <c r="O1733" s="169" t="s">
        <v>1105</v>
      </c>
      <c r="P1733" s="169" t="s">
        <v>283</v>
      </c>
      <c r="Q1733" s="169" t="s">
        <v>284</v>
      </c>
      <c r="R1733" s="169" t="s">
        <v>283</v>
      </c>
      <c r="S1733" s="169" t="s">
        <v>283</v>
      </c>
      <c r="T1733" s="169">
        <v>0</v>
      </c>
    </row>
    <row r="1734" spans="1:20" x14ac:dyDescent="0.2">
      <c r="A1734" s="169" t="str">
        <f t="shared" si="5"/>
        <v>627</v>
      </c>
      <c r="B1734" s="167" t="str">
        <f>_xlfn.XLOOKUP(I1734,Mapping!D:D,Mapping!E:E)</f>
        <v>Kiểm Soát Chất Lượng</v>
      </c>
      <c r="C1734" s="167" t="str">
        <f>_xlfn.XLOOKUP(F1734,Mapping!A:A,Mapping!F:F)</f>
        <v>Lương Chính +T13</v>
      </c>
      <c r="D1734" s="173">
        <v>45930</v>
      </c>
      <c r="E1734" s="169" t="s">
        <v>1103</v>
      </c>
      <c r="F1734" s="169" t="s">
        <v>388</v>
      </c>
      <c r="G1734" s="169" t="s">
        <v>286</v>
      </c>
      <c r="H1734" s="169" t="s">
        <v>411</v>
      </c>
      <c r="I1734" s="169" t="s">
        <v>412</v>
      </c>
      <c r="J1734" s="169" t="s">
        <v>1104</v>
      </c>
      <c r="K1734" s="169" t="s">
        <v>1093</v>
      </c>
      <c r="L1734" s="169" t="s">
        <v>1048</v>
      </c>
      <c r="M1734" s="169" t="s">
        <v>281</v>
      </c>
      <c r="N1734" s="178">
        <v>38509417</v>
      </c>
      <c r="O1734" s="169" t="s">
        <v>1105</v>
      </c>
      <c r="P1734" s="169" t="s">
        <v>283</v>
      </c>
      <c r="Q1734" s="169" t="s">
        <v>284</v>
      </c>
      <c r="R1734" s="169" t="s">
        <v>283</v>
      </c>
      <c r="S1734" s="169" t="s">
        <v>283</v>
      </c>
      <c r="T1734" s="169">
        <v>0</v>
      </c>
    </row>
    <row r="1735" spans="1:20" x14ac:dyDescent="0.2">
      <c r="A1735" s="169" t="str">
        <f t="shared" si="5"/>
        <v>627</v>
      </c>
      <c r="B1735" s="167" t="str">
        <f>_xlfn.XLOOKUP(I1735,Mapping!D:D,Mapping!E:E)</f>
        <v>Kiểm Soát Chất Lượng</v>
      </c>
      <c r="C1735" s="167" t="str">
        <f>_xlfn.XLOOKUP(F1735,Mapping!A:A,Mapping!F:F)</f>
        <v>Thưởng</v>
      </c>
      <c r="D1735" s="173">
        <v>45930</v>
      </c>
      <c r="E1735" s="169" t="s">
        <v>1103</v>
      </c>
      <c r="F1735" s="169" t="s">
        <v>395</v>
      </c>
      <c r="G1735" s="169" t="s">
        <v>77</v>
      </c>
      <c r="H1735" s="169" t="s">
        <v>411</v>
      </c>
      <c r="I1735" s="169" t="s">
        <v>412</v>
      </c>
      <c r="J1735" s="169" t="s">
        <v>1106</v>
      </c>
      <c r="K1735" s="169" t="s">
        <v>1093</v>
      </c>
      <c r="L1735" s="169" t="s">
        <v>1048</v>
      </c>
      <c r="M1735" s="169" t="s">
        <v>281</v>
      </c>
      <c r="N1735" s="178">
        <v>35428355</v>
      </c>
      <c r="O1735" s="169" t="s">
        <v>1105</v>
      </c>
      <c r="P1735" s="169" t="s">
        <v>283</v>
      </c>
      <c r="Q1735" s="169" t="s">
        <v>284</v>
      </c>
      <c r="R1735" s="169" t="s">
        <v>283</v>
      </c>
      <c r="S1735" s="169" t="s">
        <v>283</v>
      </c>
      <c r="T1735" s="169">
        <v>0</v>
      </c>
    </row>
    <row r="1736" spans="1:20" x14ac:dyDescent="0.2">
      <c r="A1736" s="169" t="str">
        <f t="shared" si="5"/>
        <v>627</v>
      </c>
      <c r="B1736" s="167" t="str">
        <f>_xlfn.XLOOKUP(I1736,Mapping!D:D,Mapping!E:E)</f>
        <v>Nghiên Cứu &amp; Phát Triển</v>
      </c>
      <c r="C1736" s="167" t="str">
        <f>_xlfn.XLOOKUP(F1736,Mapping!A:A,Mapping!F:F)</f>
        <v>Lương Chính +T13</v>
      </c>
      <c r="D1736" s="173">
        <v>45930</v>
      </c>
      <c r="E1736" s="169" t="s">
        <v>1103</v>
      </c>
      <c r="F1736" s="169" t="s">
        <v>388</v>
      </c>
      <c r="G1736" s="169" t="s">
        <v>286</v>
      </c>
      <c r="H1736" s="169" t="s">
        <v>418</v>
      </c>
      <c r="I1736" s="169" t="s">
        <v>419</v>
      </c>
      <c r="J1736" s="169" t="s">
        <v>1104</v>
      </c>
      <c r="K1736" s="169" t="s">
        <v>1093</v>
      </c>
      <c r="L1736" s="169" t="s">
        <v>1048</v>
      </c>
      <c r="M1736" s="169" t="s">
        <v>281</v>
      </c>
      <c r="N1736" s="178">
        <v>14000000</v>
      </c>
      <c r="O1736" s="169" t="s">
        <v>1105</v>
      </c>
      <c r="P1736" s="169" t="s">
        <v>283</v>
      </c>
      <c r="Q1736" s="169" t="s">
        <v>284</v>
      </c>
      <c r="R1736" s="169" t="s">
        <v>283</v>
      </c>
      <c r="S1736" s="169" t="s">
        <v>283</v>
      </c>
      <c r="T1736" s="169">
        <v>0</v>
      </c>
    </row>
    <row r="1737" spans="1:20" x14ac:dyDescent="0.2">
      <c r="A1737" s="169" t="str">
        <f t="shared" si="5"/>
        <v>627</v>
      </c>
      <c r="B1737" s="167" t="str">
        <f>_xlfn.XLOOKUP(I1737,Mapping!D:D,Mapping!E:E)</f>
        <v>Nghiên Cứu &amp; Phát Triển</v>
      </c>
      <c r="C1737" s="167" t="str">
        <f>_xlfn.XLOOKUP(F1737,Mapping!A:A,Mapping!F:F)</f>
        <v>Thưởng</v>
      </c>
      <c r="D1737" s="173">
        <v>45930</v>
      </c>
      <c r="E1737" s="169" t="s">
        <v>1103</v>
      </c>
      <c r="F1737" s="169" t="s">
        <v>395</v>
      </c>
      <c r="G1737" s="169" t="s">
        <v>77</v>
      </c>
      <c r="H1737" s="169" t="s">
        <v>418</v>
      </c>
      <c r="I1737" s="169" t="s">
        <v>419</v>
      </c>
      <c r="J1737" s="169" t="s">
        <v>1106</v>
      </c>
      <c r="K1737" s="169" t="s">
        <v>1093</v>
      </c>
      <c r="L1737" s="169" t="s">
        <v>1048</v>
      </c>
      <c r="M1737" s="169" t="s">
        <v>281</v>
      </c>
      <c r="N1737" s="178">
        <v>12879888</v>
      </c>
      <c r="O1737" s="169" t="s">
        <v>1105</v>
      </c>
      <c r="P1737" s="169" t="s">
        <v>283</v>
      </c>
      <c r="Q1737" s="169" t="s">
        <v>284</v>
      </c>
      <c r="R1737" s="169" t="s">
        <v>283</v>
      </c>
      <c r="S1737" s="169" t="s">
        <v>283</v>
      </c>
      <c r="T1737" s="169">
        <v>0</v>
      </c>
    </row>
    <row r="1738" spans="1:20" x14ac:dyDescent="0.2">
      <c r="A1738" s="169" t="str">
        <f t="shared" si="5"/>
        <v>627</v>
      </c>
      <c r="B1738" s="167" t="str">
        <f>_xlfn.XLOOKUP(I1738,Mapping!D:D,Mapping!E:E)</f>
        <v>Xưởng Sản Xuất</v>
      </c>
      <c r="C1738" s="167" t="str">
        <f>_xlfn.XLOOKUP(F1738,Mapping!A:A,Mapping!F:F)</f>
        <v>Lương Chính +T13</v>
      </c>
      <c r="D1738" s="173">
        <v>45930</v>
      </c>
      <c r="E1738" s="169" t="s">
        <v>1103</v>
      </c>
      <c r="F1738" s="169" t="s">
        <v>388</v>
      </c>
      <c r="G1738" s="169" t="s">
        <v>286</v>
      </c>
      <c r="H1738" s="169" t="s">
        <v>402</v>
      </c>
      <c r="I1738" s="169" t="s">
        <v>403</v>
      </c>
      <c r="J1738" s="169" t="s">
        <v>1104</v>
      </c>
      <c r="K1738" s="169" t="s">
        <v>1093</v>
      </c>
      <c r="L1738" s="169" t="s">
        <v>1048</v>
      </c>
      <c r="M1738" s="169" t="s">
        <v>281</v>
      </c>
      <c r="N1738" s="178">
        <v>36277837</v>
      </c>
      <c r="O1738" s="169" t="s">
        <v>1105</v>
      </c>
      <c r="P1738" s="169" t="s">
        <v>283</v>
      </c>
      <c r="Q1738" s="169" t="s">
        <v>284</v>
      </c>
      <c r="R1738" s="169" t="s">
        <v>283</v>
      </c>
      <c r="S1738" s="169" t="s">
        <v>283</v>
      </c>
      <c r="T1738" s="169">
        <v>0</v>
      </c>
    </row>
    <row r="1739" spans="1:20" x14ac:dyDescent="0.2">
      <c r="A1739" s="169" t="str">
        <f t="shared" si="5"/>
        <v>622</v>
      </c>
      <c r="B1739" s="167" t="str">
        <f>_xlfn.XLOOKUP(I1739,Mapping!D:D,Mapping!E:E)</f>
        <v>Xưởng Sản Xuất</v>
      </c>
      <c r="C1739" s="167" t="str">
        <f>_xlfn.XLOOKUP(F1739,Mapping!A:A,Mapping!F:F)</f>
        <v>Lương Chính +T13</v>
      </c>
      <c r="D1739" s="173">
        <v>45930</v>
      </c>
      <c r="E1739" s="169" t="s">
        <v>1103</v>
      </c>
      <c r="F1739" s="169" t="s">
        <v>420</v>
      </c>
      <c r="G1739" s="169" t="s">
        <v>286</v>
      </c>
      <c r="H1739" s="169" t="s">
        <v>402</v>
      </c>
      <c r="I1739" s="169" t="s">
        <v>403</v>
      </c>
      <c r="J1739" s="169" t="s">
        <v>1104</v>
      </c>
      <c r="K1739" s="169" t="s">
        <v>1093</v>
      </c>
      <c r="L1739" s="169" t="s">
        <v>1048</v>
      </c>
      <c r="M1739" s="169" t="s">
        <v>281</v>
      </c>
      <c r="N1739" s="178">
        <v>118661574</v>
      </c>
      <c r="O1739" s="169" t="s">
        <v>1105</v>
      </c>
      <c r="P1739" s="169" t="s">
        <v>283</v>
      </c>
      <c r="Q1739" s="169" t="s">
        <v>284</v>
      </c>
      <c r="R1739" s="169" t="s">
        <v>283</v>
      </c>
      <c r="S1739" s="169" t="s">
        <v>283</v>
      </c>
      <c r="T1739" s="169">
        <v>0</v>
      </c>
    </row>
    <row r="1740" spans="1:20" x14ac:dyDescent="0.2">
      <c r="A1740" s="169" t="str">
        <f t="shared" si="5"/>
        <v>627</v>
      </c>
      <c r="B1740" s="167" t="str">
        <f>_xlfn.XLOOKUP(I1740,Mapping!D:D,Mapping!E:E)</f>
        <v>Xưởng Sản Xuất</v>
      </c>
      <c r="C1740" s="167" t="str">
        <f>_xlfn.XLOOKUP(F1740,Mapping!A:A,Mapping!F:F)</f>
        <v>Thưởng</v>
      </c>
      <c r="D1740" s="173">
        <v>45930</v>
      </c>
      <c r="E1740" s="169" t="s">
        <v>1103</v>
      </c>
      <c r="F1740" s="169" t="s">
        <v>395</v>
      </c>
      <c r="G1740" s="169" t="s">
        <v>77</v>
      </c>
      <c r="H1740" s="169" t="s">
        <v>402</v>
      </c>
      <c r="I1740" s="169" t="s">
        <v>403</v>
      </c>
      <c r="J1740" s="169" t="s">
        <v>1106</v>
      </c>
      <c r="K1740" s="169" t="s">
        <v>1093</v>
      </c>
      <c r="L1740" s="169" t="s">
        <v>1048</v>
      </c>
      <c r="M1740" s="169" t="s">
        <v>281</v>
      </c>
      <c r="N1740" s="178">
        <v>32751792</v>
      </c>
      <c r="O1740" s="169" t="s">
        <v>1105</v>
      </c>
      <c r="P1740" s="169" t="s">
        <v>283</v>
      </c>
      <c r="Q1740" s="169" t="s">
        <v>284</v>
      </c>
      <c r="R1740" s="169" t="s">
        <v>283</v>
      </c>
      <c r="S1740" s="169" t="s">
        <v>283</v>
      </c>
      <c r="T1740" s="169">
        <v>0</v>
      </c>
    </row>
    <row r="1741" spans="1:20" x14ac:dyDescent="0.2">
      <c r="A1741" s="169" t="str">
        <f t="shared" si="5"/>
        <v>622</v>
      </c>
      <c r="B1741" s="167" t="str">
        <f>_xlfn.XLOOKUP(I1741,Mapping!D:D,Mapping!E:E)</f>
        <v>Xưởng Sản Xuất</v>
      </c>
      <c r="C1741" s="167" t="str">
        <f>_xlfn.XLOOKUP(F1741,Mapping!A:A,Mapping!F:F)</f>
        <v>Thưởng</v>
      </c>
      <c r="D1741" s="173">
        <v>45930</v>
      </c>
      <c r="E1741" s="169" t="s">
        <v>1103</v>
      </c>
      <c r="F1741" s="169" t="s">
        <v>426</v>
      </c>
      <c r="G1741" s="169" t="s">
        <v>77</v>
      </c>
      <c r="H1741" s="169" t="s">
        <v>402</v>
      </c>
      <c r="I1741" s="169" t="s">
        <v>403</v>
      </c>
      <c r="J1741" s="169" t="s">
        <v>1106</v>
      </c>
      <c r="K1741" s="169" t="s">
        <v>1093</v>
      </c>
      <c r="L1741" s="169" t="s">
        <v>1048</v>
      </c>
      <c r="M1741" s="169" t="s">
        <v>281</v>
      </c>
      <c r="N1741" s="178">
        <v>27027251</v>
      </c>
      <c r="O1741" s="169" t="s">
        <v>1105</v>
      </c>
      <c r="P1741" s="169" t="s">
        <v>283</v>
      </c>
      <c r="Q1741" s="169" t="s">
        <v>284</v>
      </c>
      <c r="R1741" s="169" t="s">
        <v>283</v>
      </c>
      <c r="S1741" s="169" t="s">
        <v>283</v>
      </c>
      <c r="T1741" s="169">
        <v>0</v>
      </c>
    </row>
    <row r="1742" spans="1:20" x14ac:dyDescent="0.2">
      <c r="A1742" s="169" t="str">
        <f t="shared" si="5"/>
        <v>627</v>
      </c>
      <c r="B1742" s="167" t="str">
        <f>_xlfn.XLOOKUP(I1742,Mapping!D:D,Mapping!E:E)</f>
        <v>Xưởng Sản Xuất</v>
      </c>
      <c r="C1742" s="167" t="str">
        <f>_xlfn.XLOOKUP(F1742,Mapping!A:A,Mapping!F:F)</f>
        <v>Lương Chính +T13</v>
      </c>
      <c r="D1742" s="173">
        <v>45930</v>
      </c>
      <c r="E1742" s="169" t="s">
        <v>1103</v>
      </c>
      <c r="F1742" s="169" t="s">
        <v>388</v>
      </c>
      <c r="G1742" s="169" t="s">
        <v>286</v>
      </c>
      <c r="H1742" s="169" t="s">
        <v>430</v>
      </c>
      <c r="I1742" s="169" t="s">
        <v>431</v>
      </c>
      <c r="J1742" s="169" t="s">
        <v>1104</v>
      </c>
      <c r="K1742" s="169" t="s">
        <v>1093</v>
      </c>
      <c r="L1742" s="169" t="s">
        <v>1048</v>
      </c>
      <c r="M1742" s="169" t="s">
        <v>281</v>
      </c>
      <c r="N1742" s="178">
        <v>11805449</v>
      </c>
      <c r="O1742" s="169" t="s">
        <v>1105</v>
      </c>
      <c r="P1742" s="169" t="s">
        <v>283</v>
      </c>
      <c r="Q1742" s="169" t="s">
        <v>284</v>
      </c>
      <c r="R1742" s="169" t="s">
        <v>283</v>
      </c>
      <c r="S1742" s="169" t="s">
        <v>283</v>
      </c>
      <c r="T1742" s="169">
        <v>0</v>
      </c>
    </row>
    <row r="1743" spans="1:20" x14ac:dyDescent="0.2">
      <c r="A1743" s="169" t="str">
        <f t="shared" si="5"/>
        <v>622</v>
      </c>
      <c r="B1743" s="167" t="str">
        <f>_xlfn.XLOOKUP(I1743,Mapping!D:D,Mapping!E:E)</f>
        <v>Xưởng Sản Xuất</v>
      </c>
      <c r="C1743" s="167" t="str">
        <f>_xlfn.XLOOKUP(F1743,Mapping!A:A,Mapping!F:F)</f>
        <v>Lương Chính +T13</v>
      </c>
      <c r="D1743" s="173">
        <v>45930</v>
      </c>
      <c r="E1743" s="169" t="s">
        <v>1103</v>
      </c>
      <c r="F1743" s="169" t="s">
        <v>420</v>
      </c>
      <c r="G1743" s="169" t="s">
        <v>286</v>
      </c>
      <c r="H1743" s="169" t="s">
        <v>430</v>
      </c>
      <c r="I1743" s="169" t="s">
        <v>431</v>
      </c>
      <c r="J1743" s="169" t="s">
        <v>1104</v>
      </c>
      <c r="K1743" s="169" t="s">
        <v>1093</v>
      </c>
      <c r="L1743" s="169" t="s">
        <v>1048</v>
      </c>
      <c r="M1743" s="169" t="s">
        <v>281</v>
      </c>
      <c r="N1743" s="178">
        <v>20638116</v>
      </c>
      <c r="O1743" s="169" t="s">
        <v>1105</v>
      </c>
      <c r="P1743" s="169" t="s">
        <v>283</v>
      </c>
      <c r="Q1743" s="169" t="s">
        <v>284</v>
      </c>
      <c r="R1743" s="169" t="s">
        <v>283</v>
      </c>
      <c r="S1743" s="169" t="s">
        <v>283</v>
      </c>
      <c r="T1743" s="169">
        <v>0</v>
      </c>
    </row>
    <row r="1744" spans="1:20" x14ac:dyDescent="0.2">
      <c r="A1744" s="169" t="str">
        <f t="shared" si="5"/>
        <v>627</v>
      </c>
      <c r="B1744" s="167" t="str">
        <f>_xlfn.XLOOKUP(I1744,Mapping!D:D,Mapping!E:E)</f>
        <v>Xưởng Sản Xuất</v>
      </c>
      <c r="C1744" s="167" t="str">
        <f>_xlfn.XLOOKUP(F1744,Mapping!A:A,Mapping!F:F)</f>
        <v>Thưởng</v>
      </c>
      <c r="D1744" s="173">
        <v>45930</v>
      </c>
      <c r="E1744" s="169" t="s">
        <v>1103</v>
      </c>
      <c r="F1744" s="169" t="s">
        <v>395</v>
      </c>
      <c r="G1744" s="169" t="s">
        <v>77</v>
      </c>
      <c r="H1744" s="169" t="s">
        <v>430</v>
      </c>
      <c r="I1744" s="169" t="s">
        <v>431</v>
      </c>
      <c r="J1744" s="169" t="s">
        <v>1106</v>
      </c>
      <c r="K1744" s="169" t="s">
        <v>1093</v>
      </c>
      <c r="L1744" s="169" t="s">
        <v>1048</v>
      </c>
      <c r="M1744" s="169" t="s">
        <v>281</v>
      </c>
      <c r="N1744" s="178">
        <v>10433629</v>
      </c>
      <c r="O1744" s="169" t="s">
        <v>1105</v>
      </c>
      <c r="P1744" s="169" t="s">
        <v>283</v>
      </c>
      <c r="Q1744" s="169" t="s">
        <v>284</v>
      </c>
      <c r="R1744" s="169" t="s">
        <v>283</v>
      </c>
      <c r="S1744" s="169" t="s">
        <v>283</v>
      </c>
      <c r="T1744" s="169">
        <v>0</v>
      </c>
    </row>
    <row r="1745" spans="1:20" x14ac:dyDescent="0.2">
      <c r="A1745" s="169" t="str">
        <f t="shared" si="5"/>
        <v>622</v>
      </c>
      <c r="B1745" s="167" t="str">
        <f>_xlfn.XLOOKUP(I1745,Mapping!D:D,Mapping!E:E)</f>
        <v>Xưởng Sản Xuất</v>
      </c>
      <c r="C1745" s="167" t="str">
        <f>_xlfn.XLOOKUP(F1745,Mapping!A:A,Mapping!F:F)</f>
        <v>Thưởng</v>
      </c>
      <c r="D1745" s="173">
        <v>45930</v>
      </c>
      <c r="E1745" s="169" t="s">
        <v>1103</v>
      </c>
      <c r="F1745" s="169" t="s">
        <v>426</v>
      </c>
      <c r="G1745" s="169" t="s">
        <v>77</v>
      </c>
      <c r="H1745" s="169" t="s">
        <v>430</v>
      </c>
      <c r="I1745" s="169" t="s">
        <v>431</v>
      </c>
      <c r="J1745" s="169" t="s">
        <v>1106</v>
      </c>
      <c r="K1745" s="169" t="s">
        <v>1093</v>
      </c>
      <c r="L1745" s="169" t="s">
        <v>1048</v>
      </c>
      <c r="M1745" s="169" t="s">
        <v>281</v>
      </c>
      <c r="N1745" s="178">
        <v>5184001</v>
      </c>
      <c r="O1745" s="169" t="s">
        <v>1105</v>
      </c>
      <c r="P1745" s="169" t="s">
        <v>283</v>
      </c>
      <c r="Q1745" s="169" t="s">
        <v>284</v>
      </c>
      <c r="R1745" s="169" t="s">
        <v>283</v>
      </c>
      <c r="S1745" s="169" t="s">
        <v>283</v>
      </c>
      <c r="T1745" s="169">
        <v>0</v>
      </c>
    </row>
    <row r="1746" spans="1:20" x14ac:dyDescent="0.2">
      <c r="A1746" s="169" t="str">
        <f t="shared" si="5"/>
        <v>627</v>
      </c>
      <c r="B1746" s="167" t="str">
        <f>_xlfn.XLOOKUP(I1746,Mapping!D:D,Mapping!E:E)</f>
        <v>Xưởng Sản Xuất</v>
      </c>
      <c r="C1746" s="167" t="str">
        <f>_xlfn.XLOOKUP(F1746,Mapping!A:A,Mapping!F:F)</f>
        <v>Lương Chính +T13</v>
      </c>
      <c r="D1746" s="173">
        <v>45930</v>
      </c>
      <c r="E1746" s="169" t="s">
        <v>1103</v>
      </c>
      <c r="F1746" s="169" t="s">
        <v>388</v>
      </c>
      <c r="G1746" s="169" t="s">
        <v>286</v>
      </c>
      <c r="H1746" s="169" t="s">
        <v>436</v>
      </c>
      <c r="I1746" s="169" t="s">
        <v>437</v>
      </c>
      <c r="J1746" s="169" t="s">
        <v>1104</v>
      </c>
      <c r="K1746" s="169" t="s">
        <v>1093</v>
      </c>
      <c r="L1746" s="169" t="s">
        <v>1048</v>
      </c>
      <c r="M1746" s="169" t="s">
        <v>281</v>
      </c>
      <c r="N1746" s="178">
        <v>28019073</v>
      </c>
      <c r="O1746" s="169" t="s">
        <v>1105</v>
      </c>
      <c r="P1746" s="169" t="s">
        <v>283</v>
      </c>
      <c r="Q1746" s="169" t="s">
        <v>284</v>
      </c>
      <c r="R1746" s="169" t="s">
        <v>283</v>
      </c>
      <c r="S1746" s="169" t="s">
        <v>283</v>
      </c>
      <c r="T1746" s="169">
        <v>0</v>
      </c>
    </row>
    <row r="1747" spans="1:20" x14ac:dyDescent="0.2">
      <c r="A1747" s="169" t="str">
        <f t="shared" si="5"/>
        <v>627</v>
      </c>
      <c r="B1747" s="167" t="str">
        <f>_xlfn.XLOOKUP(I1747,Mapping!D:D,Mapping!E:E)</f>
        <v>Xưởng Sản Xuất</v>
      </c>
      <c r="C1747" s="167" t="str">
        <f>_xlfn.XLOOKUP(F1747,Mapping!A:A,Mapping!F:F)</f>
        <v>Thưởng</v>
      </c>
      <c r="D1747" s="173">
        <v>45930</v>
      </c>
      <c r="E1747" s="169" t="s">
        <v>1103</v>
      </c>
      <c r="F1747" s="169" t="s">
        <v>395</v>
      </c>
      <c r="G1747" s="169" t="s">
        <v>77</v>
      </c>
      <c r="H1747" s="169" t="s">
        <v>436</v>
      </c>
      <c r="I1747" s="169" t="s">
        <v>437</v>
      </c>
      <c r="J1747" s="169" t="s">
        <v>1106</v>
      </c>
      <c r="K1747" s="169" t="s">
        <v>1093</v>
      </c>
      <c r="L1747" s="169" t="s">
        <v>1048</v>
      </c>
      <c r="M1747" s="169" t="s">
        <v>281</v>
      </c>
      <c r="N1747" s="178">
        <v>17898507</v>
      </c>
      <c r="O1747" s="169" t="s">
        <v>1105</v>
      </c>
      <c r="P1747" s="169" t="s">
        <v>283</v>
      </c>
      <c r="Q1747" s="169" t="s">
        <v>284</v>
      </c>
      <c r="R1747" s="169" t="s">
        <v>283</v>
      </c>
      <c r="S1747" s="169" t="s">
        <v>283</v>
      </c>
      <c r="T1747" s="169">
        <v>0</v>
      </c>
    </row>
    <row r="1748" spans="1:20" x14ac:dyDescent="0.2">
      <c r="A1748" s="169" t="str">
        <f t="shared" si="5"/>
        <v>642</v>
      </c>
      <c r="B1748" s="167" t="str">
        <f>_xlfn.XLOOKUP(I1748,Mapping!D:D,Mapping!E:E)</f>
        <v>Hành Chánh Nhân Sự</v>
      </c>
      <c r="C1748" s="167" t="str">
        <f>_xlfn.XLOOKUP(F1748,Mapping!A:A,Mapping!F:F)</f>
        <v>Lương Chính +T13</v>
      </c>
      <c r="D1748" s="173">
        <v>45930</v>
      </c>
      <c r="E1748" s="169" t="s">
        <v>1103</v>
      </c>
      <c r="F1748" s="169" t="s">
        <v>285</v>
      </c>
      <c r="G1748" s="169" t="s">
        <v>286</v>
      </c>
      <c r="H1748" s="169" t="s">
        <v>382</v>
      </c>
      <c r="I1748" s="169" t="s">
        <v>200</v>
      </c>
      <c r="J1748" s="169" t="s">
        <v>1104</v>
      </c>
      <c r="K1748" s="169" t="s">
        <v>1093</v>
      </c>
      <c r="L1748" s="169" t="s">
        <v>1048</v>
      </c>
      <c r="M1748" s="169" t="s">
        <v>281</v>
      </c>
      <c r="N1748" s="178">
        <v>6194250</v>
      </c>
      <c r="O1748" s="169" t="s">
        <v>1105</v>
      </c>
      <c r="P1748" s="169" t="s">
        <v>283</v>
      </c>
      <c r="Q1748" s="169" t="s">
        <v>284</v>
      </c>
      <c r="R1748" s="169" t="s">
        <v>283</v>
      </c>
      <c r="S1748" s="169" t="s">
        <v>283</v>
      </c>
      <c r="T1748" s="169">
        <v>0</v>
      </c>
    </row>
    <row r="1749" spans="1:20" x14ac:dyDescent="0.2">
      <c r="A1749" s="169" t="str">
        <f t="shared" si="5"/>
        <v>642</v>
      </c>
      <c r="B1749" s="167" t="str">
        <f>_xlfn.XLOOKUP(I1749,Mapping!D:D,Mapping!E:E)</f>
        <v>Hành Chánh Nhân Sự</v>
      </c>
      <c r="C1749" s="167" t="str">
        <f>_xlfn.XLOOKUP(F1749,Mapping!A:A,Mapping!F:F)</f>
        <v>Thưởng</v>
      </c>
      <c r="D1749" s="173">
        <v>45930</v>
      </c>
      <c r="E1749" s="169" t="s">
        <v>1103</v>
      </c>
      <c r="F1749" s="169" t="s">
        <v>292</v>
      </c>
      <c r="G1749" s="169" t="s">
        <v>77</v>
      </c>
      <c r="H1749" s="169" t="s">
        <v>382</v>
      </c>
      <c r="I1749" s="169" t="s">
        <v>200</v>
      </c>
      <c r="J1749" s="169" t="s">
        <v>1106</v>
      </c>
      <c r="K1749" s="169" t="s">
        <v>1093</v>
      </c>
      <c r="L1749" s="169" t="s">
        <v>1048</v>
      </c>
      <c r="M1749" s="169" t="s">
        <v>281</v>
      </c>
      <c r="N1749" s="178">
        <v>5698660</v>
      </c>
      <c r="O1749" s="169" t="s">
        <v>1105</v>
      </c>
      <c r="P1749" s="169" t="s">
        <v>283</v>
      </c>
      <c r="Q1749" s="169" t="s">
        <v>284</v>
      </c>
      <c r="R1749" s="169" t="s">
        <v>283</v>
      </c>
      <c r="S1749" s="169" t="s">
        <v>283</v>
      </c>
      <c r="T1749" s="169">
        <v>0</v>
      </c>
    </row>
    <row r="1750" spans="1:20" x14ac:dyDescent="0.2">
      <c r="A1750" s="169" t="str">
        <f t="shared" si="5"/>
        <v>642</v>
      </c>
      <c r="B1750" s="167" t="str">
        <f>_xlfn.XLOOKUP(I1750,Mapping!D:D,Mapping!E:E)</f>
        <v>Hành Chánh Nhân Sự</v>
      </c>
      <c r="C1750" s="167" t="str">
        <f>_xlfn.XLOOKUP(F1750,Mapping!A:A,Mapping!F:F)</f>
        <v>Lương Chính +T13</v>
      </c>
      <c r="D1750" s="173">
        <v>45930</v>
      </c>
      <c r="E1750" s="169" t="s">
        <v>1103</v>
      </c>
      <c r="F1750" s="169" t="s">
        <v>285</v>
      </c>
      <c r="G1750" s="169" t="s">
        <v>286</v>
      </c>
      <c r="H1750" s="169" t="s">
        <v>358</v>
      </c>
      <c r="I1750" s="169" t="s">
        <v>359</v>
      </c>
      <c r="J1750" s="169" t="s">
        <v>1104</v>
      </c>
      <c r="K1750" s="169" t="s">
        <v>1093</v>
      </c>
      <c r="L1750" s="169" t="s">
        <v>1048</v>
      </c>
      <c r="M1750" s="169" t="s">
        <v>281</v>
      </c>
      <c r="N1750" s="178">
        <v>8468167</v>
      </c>
      <c r="O1750" s="169" t="s">
        <v>1105</v>
      </c>
      <c r="P1750" s="169" t="s">
        <v>283</v>
      </c>
      <c r="Q1750" s="169" t="s">
        <v>284</v>
      </c>
      <c r="R1750" s="169" t="s">
        <v>283</v>
      </c>
      <c r="S1750" s="169" t="s">
        <v>283</v>
      </c>
      <c r="T1750" s="169">
        <v>0</v>
      </c>
    </row>
    <row r="1751" spans="1:20" x14ac:dyDescent="0.2">
      <c r="A1751" s="169" t="str">
        <f t="shared" si="5"/>
        <v>642</v>
      </c>
      <c r="B1751" s="167" t="str">
        <f>_xlfn.XLOOKUP(I1751,Mapping!D:D,Mapping!E:E)</f>
        <v>Hành Chánh Nhân Sự</v>
      </c>
      <c r="C1751" s="167" t="str">
        <f>_xlfn.XLOOKUP(F1751,Mapping!A:A,Mapping!F:F)</f>
        <v>Thưởng</v>
      </c>
      <c r="D1751" s="173">
        <v>45930</v>
      </c>
      <c r="E1751" s="169" t="s">
        <v>1103</v>
      </c>
      <c r="F1751" s="169" t="s">
        <v>292</v>
      </c>
      <c r="G1751" s="169" t="s">
        <v>77</v>
      </c>
      <c r="H1751" s="169" t="s">
        <v>358</v>
      </c>
      <c r="I1751" s="169" t="s">
        <v>359</v>
      </c>
      <c r="J1751" s="169" t="s">
        <v>1106</v>
      </c>
      <c r="K1751" s="169" t="s">
        <v>1093</v>
      </c>
      <c r="L1751" s="169" t="s">
        <v>1048</v>
      </c>
      <c r="M1751" s="169" t="s">
        <v>281</v>
      </c>
      <c r="N1751" s="178">
        <v>7790646</v>
      </c>
      <c r="O1751" s="169" t="s">
        <v>1105</v>
      </c>
      <c r="P1751" s="169" t="s">
        <v>283</v>
      </c>
      <c r="Q1751" s="169" t="s">
        <v>284</v>
      </c>
      <c r="R1751" s="169" t="s">
        <v>283</v>
      </c>
      <c r="S1751" s="169" t="s">
        <v>283</v>
      </c>
      <c r="T1751" s="169">
        <v>0</v>
      </c>
    </row>
    <row r="1752" spans="1:20" x14ac:dyDescent="0.2">
      <c r="A1752" s="169" t="str">
        <f t="shared" si="5"/>
        <v>622</v>
      </c>
      <c r="B1752" s="167" t="str">
        <f>_xlfn.XLOOKUP(I1752,Mapping!D:D,Mapping!E:E)</f>
        <v>Xưởng Sản Xuất</v>
      </c>
      <c r="C1752" s="167" t="str">
        <f>_xlfn.XLOOKUP(F1752,Mapping!A:A,Mapping!F:F)</f>
        <v>Lương Chính +T13</v>
      </c>
      <c r="D1752" s="173">
        <v>45930</v>
      </c>
      <c r="E1752" s="169" t="s">
        <v>1103</v>
      </c>
      <c r="F1752" s="169" t="s">
        <v>420</v>
      </c>
      <c r="G1752" s="169" t="s">
        <v>286</v>
      </c>
      <c r="H1752" s="169" t="s">
        <v>441</v>
      </c>
      <c r="I1752" s="169" t="s">
        <v>442</v>
      </c>
      <c r="J1752" s="169" t="s">
        <v>1104</v>
      </c>
      <c r="K1752" s="169" t="s">
        <v>1093</v>
      </c>
      <c r="L1752" s="169" t="s">
        <v>1048</v>
      </c>
      <c r="M1752" s="169" t="s">
        <v>281</v>
      </c>
      <c r="N1752" s="178">
        <v>531385</v>
      </c>
      <c r="O1752" s="169" t="s">
        <v>1105</v>
      </c>
      <c r="P1752" s="169" t="s">
        <v>283</v>
      </c>
      <c r="Q1752" s="169" t="s">
        <v>284</v>
      </c>
      <c r="R1752" s="169" t="s">
        <v>283</v>
      </c>
      <c r="S1752" s="169" t="s">
        <v>283</v>
      </c>
      <c r="T1752" s="169">
        <v>0</v>
      </c>
    </row>
    <row r="1753" spans="1:20" x14ac:dyDescent="0.2">
      <c r="A1753" s="169" t="str">
        <f t="shared" si="5"/>
        <v>622</v>
      </c>
      <c r="B1753" s="167" t="str">
        <f>_xlfn.XLOOKUP(I1753,Mapping!D:D,Mapping!E:E)</f>
        <v>Xưởng Sản Xuất</v>
      </c>
      <c r="C1753" s="167" t="str">
        <f>_xlfn.XLOOKUP(F1753,Mapping!A:A,Mapping!F:F)</f>
        <v>Thưởng</v>
      </c>
      <c r="D1753" s="173">
        <v>45930</v>
      </c>
      <c r="E1753" s="169" t="s">
        <v>1103</v>
      </c>
      <c r="F1753" s="169" t="s">
        <v>426</v>
      </c>
      <c r="G1753" s="169" t="s">
        <v>77</v>
      </c>
      <c r="H1753" s="169" t="s">
        <v>441</v>
      </c>
      <c r="I1753" s="169" t="s">
        <v>442</v>
      </c>
      <c r="J1753" s="169" t="s">
        <v>1106</v>
      </c>
      <c r="K1753" s="169" t="s">
        <v>1093</v>
      </c>
      <c r="L1753" s="169" t="s">
        <v>1048</v>
      </c>
      <c r="M1753" s="169" t="s">
        <v>281</v>
      </c>
      <c r="N1753" s="178">
        <v>78876</v>
      </c>
      <c r="O1753" s="169" t="s">
        <v>1105</v>
      </c>
      <c r="P1753" s="169" t="s">
        <v>283</v>
      </c>
      <c r="Q1753" s="169" t="s">
        <v>284</v>
      </c>
      <c r="R1753" s="169" t="s">
        <v>283</v>
      </c>
      <c r="S1753" s="169" t="s">
        <v>283</v>
      </c>
      <c r="T1753" s="169">
        <v>0</v>
      </c>
    </row>
    <row r="1754" spans="1:20" x14ac:dyDescent="0.2">
      <c r="A1754" s="169" t="str">
        <f t="shared" si="5"/>
        <v>642</v>
      </c>
      <c r="B1754" s="167" t="str">
        <f>_xlfn.XLOOKUP(I1754,Mapping!D:D,Mapping!E:E)</f>
        <v>Ban Giám Đốc</v>
      </c>
      <c r="C1754" s="167" t="str">
        <f>_xlfn.XLOOKUP(F1754,Mapping!A:A,Mapping!F:F)</f>
        <v>BHXH, BHYT, KPCĐ</v>
      </c>
      <c r="D1754" s="173">
        <v>45930</v>
      </c>
      <c r="E1754" s="169" t="s">
        <v>1107</v>
      </c>
      <c r="F1754" s="169" t="s">
        <v>295</v>
      </c>
      <c r="G1754" s="169" t="s">
        <v>296</v>
      </c>
      <c r="H1754" s="169" t="s">
        <v>276</v>
      </c>
      <c r="I1754" s="169" t="s">
        <v>277</v>
      </c>
      <c r="J1754" s="169" t="s">
        <v>1108</v>
      </c>
      <c r="K1754" s="169" t="s">
        <v>1093</v>
      </c>
      <c r="L1754" s="169" t="s">
        <v>1048</v>
      </c>
      <c r="M1754" s="169" t="s">
        <v>281</v>
      </c>
      <c r="N1754" s="178">
        <v>124851950</v>
      </c>
      <c r="O1754" s="169" t="s">
        <v>1109</v>
      </c>
      <c r="P1754" s="169" t="s">
        <v>283</v>
      </c>
      <c r="Q1754" s="169" t="s">
        <v>284</v>
      </c>
      <c r="R1754" s="169" t="s">
        <v>283</v>
      </c>
      <c r="S1754" s="169" t="s">
        <v>283</v>
      </c>
      <c r="T1754" s="169">
        <v>0</v>
      </c>
    </row>
    <row r="1755" spans="1:20" x14ac:dyDescent="0.2">
      <c r="A1755" s="169" t="str">
        <f t="shared" si="5"/>
        <v>642</v>
      </c>
      <c r="B1755" s="167" t="str">
        <f>_xlfn.XLOOKUP(I1755,Mapping!D:D,Mapping!E:E)</f>
        <v>Văn Phòng Giám Đốc</v>
      </c>
      <c r="C1755" s="167" t="str">
        <f>_xlfn.XLOOKUP(F1755,Mapping!A:A,Mapping!F:F)</f>
        <v>BHXH, BHYT, KPCĐ</v>
      </c>
      <c r="D1755" s="173">
        <v>45930</v>
      </c>
      <c r="E1755" s="169" t="s">
        <v>1107</v>
      </c>
      <c r="F1755" s="169" t="s">
        <v>295</v>
      </c>
      <c r="G1755" s="169" t="s">
        <v>296</v>
      </c>
      <c r="H1755" s="169" t="s">
        <v>320</v>
      </c>
      <c r="I1755" s="169" t="s">
        <v>321</v>
      </c>
      <c r="J1755" s="169" t="s">
        <v>1108</v>
      </c>
      <c r="K1755" s="169" t="s">
        <v>1093</v>
      </c>
      <c r="L1755" s="169" t="s">
        <v>1048</v>
      </c>
      <c r="M1755" s="169" t="s">
        <v>281</v>
      </c>
      <c r="N1755" s="178">
        <v>25643750</v>
      </c>
      <c r="O1755" s="169" t="s">
        <v>1109</v>
      </c>
      <c r="P1755" s="169" t="s">
        <v>283</v>
      </c>
      <c r="Q1755" s="169" t="s">
        <v>284</v>
      </c>
      <c r="R1755" s="169" t="s">
        <v>283</v>
      </c>
      <c r="S1755" s="169" t="s">
        <v>283</v>
      </c>
      <c r="T1755" s="169">
        <v>0</v>
      </c>
    </row>
    <row r="1756" spans="1:20" x14ac:dyDescent="0.2">
      <c r="A1756" s="169" t="str">
        <f t="shared" si="5"/>
        <v>642</v>
      </c>
      <c r="B1756" s="167" t="str">
        <f>_xlfn.XLOOKUP(I1756,Mapping!D:D,Mapping!E:E)</f>
        <v>Hành Chánh Nhân Sự</v>
      </c>
      <c r="C1756" s="167" t="str">
        <f>_xlfn.XLOOKUP(F1756,Mapping!A:A,Mapping!F:F)</f>
        <v>BHXH, BHYT, KPCĐ</v>
      </c>
      <c r="D1756" s="173">
        <v>45930</v>
      </c>
      <c r="E1756" s="169" t="s">
        <v>1107</v>
      </c>
      <c r="F1756" s="169" t="s">
        <v>295</v>
      </c>
      <c r="G1756" s="169" t="s">
        <v>296</v>
      </c>
      <c r="H1756" s="169" t="s">
        <v>301</v>
      </c>
      <c r="I1756" s="169" t="s">
        <v>302</v>
      </c>
      <c r="J1756" s="169" t="s">
        <v>1108</v>
      </c>
      <c r="K1756" s="169" t="s">
        <v>1093</v>
      </c>
      <c r="L1756" s="169" t="s">
        <v>1048</v>
      </c>
      <c r="M1756" s="169" t="s">
        <v>281</v>
      </c>
      <c r="N1756" s="178">
        <v>106296035</v>
      </c>
      <c r="O1756" s="169" t="s">
        <v>1109</v>
      </c>
      <c r="P1756" s="169" t="s">
        <v>283</v>
      </c>
      <c r="Q1756" s="169" t="s">
        <v>284</v>
      </c>
      <c r="R1756" s="169" t="s">
        <v>283</v>
      </c>
      <c r="S1756" s="169" t="s">
        <v>283</v>
      </c>
      <c r="T1756" s="169">
        <v>0</v>
      </c>
    </row>
    <row r="1757" spans="1:20" x14ac:dyDescent="0.2">
      <c r="A1757" s="169" t="str">
        <f t="shared" si="5"/>
        <v>642</v>
      </c>
      <c r="B1757" s="167" t="str">
        <f>_xlfn.XLOOKUP(I1757,Mapping!D:D,Mapping!E:E)</f>
        <v>Kế Toán</v>
      </c>
      <c r="C1757" s="167" t="str">
        <f>_xlfn.XLOOKUP(F1757,Mapping!A:A,Mapping!F:F)</f>
        <v>BHXH, BHYT, KPCĐ</v>
      </c>
      <c r="D1757" s="173">
        <v>45930</v>
      </c>
      <c r="E1757" s="169" t="s">
        <v>1107</v>
      </c>
      <c r="F1757" s="169" t="s">
        <v>295</v>
      </c>
      <c r="G1757" s="169" t="s">
        <v>296</v>
      </c>
      <c r="H1757" s="169" t="s">
        <v>356</v>
      </c>
      <c r="I1757" s="169" t="s">
        <v>357</v>
      </c>
      <c r="J1757" s="169" t="s">
        <v>1108</v>
      </c>
      <c r="K1757" s="169" t="s">
        <v>1093</v>
      </c>
      <c r="L1757" s="169" t="s">
        <v>1048</v>
      </c>
      <c r="M1757" s="169" t="s">
        <v>281</v>
      </c>
      <c r="N1757" s="178">
        <v>108135035</v>
      </c>
      <c r="O1757" s="169" t="s">
        <v>1109</v>
      </c>
      <c r="P1757" s="169" t="s">
        <v>283</v>
      </c>
      <c r="Q1757" s="169" t="s">
        <v>284</v>
      </c>
      <c r="R1757" s="169" t="s">
        <v>283</v>
      </c>
      <c r="S1757" s="169" t="s">
        <v>283</v>
      </c>
      <c r="T1757" s="169">
        <v>0</v>
      </c>
    </row>
    <row r="1758" spans="1:20" x14ac:dyDescent="0.2">
      <c r="A1758" s="169" t="str">
        <f t="shared" si="5"/>
        <v>641</v>
      </c>
      <c r="B1758" s="167" t="str">
        <f>_xlfn.XLOOKUP(I1758,Mapping!D:D,Mapping!E:E)</f>
        <v>Kinh doanh</v>
      </c>
      <c r="C1758" s="167" t="str">
        <f>_xlfn.XLOOKUP(F1758,Mapping!A:A,Mapping!F:F)</f>
        <v>BHXH, BHYT, KPCĐ</v>
      </c>
      <c r="D1758" s="173">
        <v>45930</v>
      </c>
      <c r="E1758" s="169" t="s">
        <v>1107</v>
      </c>
      <c r="F1758" s="169" t="s">
        <v>392</v>
      </c>
      <c r="G1758" s="169" t="s">
        <v>296</v>
      </c>
      <c r="H1758" s="169" t="s">
        <v>366</v>
      </c>
      <c r="I1758" s="169" t="s">
        <v>1</v>
      </c>
      <c r="J1758" s="169" t="s">
        <v>1108</v>
      </c>
      <c r="K1758" s="169" t="s">
        <v>1093</v>
      </c>
      <c r="L1758" s="169" t="s">
        <v>1048</v>
      </c>
      <c r="M1758" s="169" t="s">
        <v>281</v>
      </c>
      <c r="N1758" s="178">
        <v>59197445</v>
      </c>
      <c r="O1758" s="169" t="s">
        <v>1109</v>
      </c>
      <c r="P1758" s="169" t="s">
        <v>283</v>
      </c>
      <c r="Q1758" s="169" t="s">
        <v>284</v>
      </c>
      <c r="R1758" s="169" t="s">
        <v>283</v>
      </c>
      <c r="S1758" s="169" t="s">
        <v>283</v>
      </c>
      <c r="T1758" s="169">
        <v>0</v>
      </c>
    </row>
    <row r="1759" spans="1:20" x14ac:dyDescent="0.2">
      <c r="A1759" s="169" t="str">
        <f t="shared" si="5"/>
        <v>642</v>
      </c>
      <c r="B1759" s="167" t="str">
        <f>_xlfn.XLOOKUP(I1759,Mapping!D:D,Mapping!E:E)</f>
        <v>Cung Ứng</v>
      </c>
      <c r="C1759" s="167" t="str">
        <f>_xlfn.XLOOKUP(F1759,Mapping!A:A,Mapping!F:F)</f>
        <v>BHXH, BHYT, KPCĐ</v>
      </c>
      <c r="D1759" s="173">
        <v>45930</v>
      </c>
      <c r="E1759" s="169" t="s">
        <v>1107</v>
      </c>
      <c r="F1759" s="169" t="s">
        <v>295</v>
      </c>
      <c r="G1759" s="169" t="s">
        <v>296</v>
      </c>
      <c r="H1759" s="169" t="s">
        <v>380</v>
      </c>
      <c r="I1759" s="169" t="s">
        <v>381</v>
      </c>
      <c r="J1759" s="169" t="s">
        <v>1108</v>
      </c>
      <c r="K1759" s="169" t="s">
        <v>1093</v>
      </c>
      <c r="L1759" s="169" t="s">
        <v>1048</v>
      </c>
      <c r="M1759" s="169" t="s">
        <v>281</v>
      </c>
      <c r="N1759" s="178">
        <v>111458385</v>
      </c>
      <c r="O1759" s="169" t="s">
        <v>1109</v>
      </c>
      <c r="P1759" s="169" t="s">
        <v>283</v>
      </c>
      <c r="Q1759" s="169" t="s">
        <v>284</v>
      </c>
      <c r="R1759" s="169" t="s">
        <v>283</v>
      </c>
      <c r="S1759" s="169" t="s">
        <v>283</v>
      </c>
      <c r="T1759" s="169">
        <v>0</v>
      </c>
    </row>
    <row r="1760" spans="1:20" x14ac:dyDescent="0.2">
      <c r="A1760" s="169" t="str">
        <f t="shared" si="5"/>
        <v>642</v>
      </c>
      <c r="B1760" s="167" t="str">
        <f>_xlfn.XLOOKUP(I1760,Mapping!D:D,Mapping!E:E)</f>
        <v>Mua Hàng &amp; XNK</v>
      </c>
      <c r="C1760" s="167" t="str">
        <f>_xlfn.XLOOKUP(F1760,Mapping!A:A,Mapping!F:F)</f>
        <v>BHXH, BHYT, KPCĐ</v>
      </c>
      <c r="D1760" s="173">
        <v>45930</v>
      </c>
      <c r="E1760" s="169" t="s">
        <v>1107</v>
      </c>
      <c r="F1760" s="169" t="s">
        <v>295</v>
      </c>
      <c r="G1760" s="169" t="s">
        <v>296</v>
      </c>
      <c r="H1760" s="169" t="s">
        <v>378</v>
      </c>
      <c r="I1760" s="169" t="s">
        <v>379</v>
      </c>
      <c r="J1760" s="169" t="s">
        <v>1108</v>
      </c>
      <c r="K1760" s="169" t="s">
        <v>1093</v>
      </c>
      <c r="L1760" s="169" t="s">
        <v>1048</v>
      </c>
      <c r="M1760" s="169" t="s">
        <v>281</v>
      </c>
      <c r="N1760" s="178">
        <v>30675255</v>
      </c>
      <c r="O1760" s="169" t="s">
        <v>1109</v>
      </c>
      <c r="P1760" s="169" t="s">
        <v>283</v>
      </c>
      <c r="Q1760" s="169" t="s">
        <v>284</v>
      </c>
      <c r="R1760" s="169" t="s">
        <v>283</v>
      </c>
      <c r="S1760" s="169" t="s">
        <v>283</v>
      </c>
      <c r="T1760" s="169">
        <v>0</v>
      </c>
    </row>
    <row r="1761" spans="1:20" x14ac:dyDescent="0.2">
      <c r="A1761" s="169" t="str">
        <f t="shared" si="5"/>
        <v>627</v>
      </c>
      <c r="B1761" s="167" t="str">
        <f>_xlfn.XLOOKUP(I1761,Mapping!D:D,Mapping!E:E)</f>
        <v>Kỹ Thuật</v>
      </c>
      <c r="C1761" s="167" t="str">
        <f>_xlfn.XLOOKUP(F1761,Mapping!A:A,Mapping!F:F)</f>
        <v>BHXH, BHYT, KPCĐ</v>
      </c>
      <c r="D1761" s="173">
        <v>45930</v>
      </c>
      <c r="E1761" s="169" t="s">
        <v>1107</v>
      </c>
      <c r="F1761" s="169" t="s">
        <v>393</v>
      </c>
      <c r="G1761" s="169" t="s">
        <v>296</v>
      </c>
      <c r="H1761" s="169" t="s">
        <v>376</v>
      </c>
      <c r="I1761" s="169" t="s">
        <v>377</v>
      </c>
      <c r="J1761" s="169" t="s">
        <v>1108</v>
      </c>
      <c r="K1761" s="169" t="s">
        <v>1093</v>
      </c>
      <c r="L1761" s="169" t="s">
        <v>1048</v>
      </c>
      <c r="M1761" s="169" t="s">
        <v>281</v>
      </c>
      <c r="N1761" s="178">
        <v>240342725</v>
      </c>
      <c r="O1761" s="169" t="s">
        <v>1109</v>
      </c>
      <c r="P1761" s="169" t="s">
        <v>283</v>
      </c>
      <c r="Q1761" s="169" t="s">
        <v>284</v>
      </c>
      <c r="R1761" s="169" t="s">
        <v>283</v>
      </c>
      <c r="S1761" s="169" t="s">
        <v>283</v>
      </c>
      <c r="T1761" s="169">
        <v>0</v>
      </c>
    </row>
    <row r="1762" spans="1:20" x14ac:dyDescent="0.2">
      <c r="A1762" s="169" t="str">
        <f t="shared" si="5"/>
        <v>627</v>
      </c>
      <c r="B1762" s="167" t="str">
        <f>_xlfn.XLOOKUP(I1762,Mapping!D:D,Mapping!E:E)</f>
        <v>Kiểm Soát Chất Lượng</v>
      </c>
      <c r="C1762" s="167" t="str">
        <f>_xlfn.XLOOKUP(F1762,Mapping!A:A,Mapping!F:F)</f>
        <v>BHXH, BHYT, KPCĐ</v>
      </c>
      <c r="D1762" s="173">
        <v>45930</v>
      </c>
      <c r="E1762" s="169" t="s">
        <v>1107</v>
      </c>
      <c r="F1762" s="169" t="s">
        <v>393</v>
      </c>
      <c r="G1762" s="169" t="s">
        <v>296</v>
      </c>
      <c r="H1762" s="169" t="s">
        <v>411</v>
      </c>
      <c r="I1762" s="169" t="s">
        <v>412</v>
      </c>
      <c r="J1762" s="169" t="s">
        <v>1108</v>
      </c>
      <c r="K1762" s="169" t="s">
        <v>1093</v>
      </c>
      <c r="L1762" s="169" t="s">
        <v>1048</v>
      </c>
      <c r="M1762" s="169" t="s">
        <v>281</v>
      </c>
      <c r="N1762" s="178">
        <v>107006545</v>
      </c>
      <c r="O1762" s="169" t="s">
        <v>1109</v>
      </c>
      <c r="P1762" s="169" t="s">
        <v>283</v>
      </c>
      <c r="Q1762" s="169" t="s">
        <v>284</v>
      </c>
      <c r="R1762" s="169" t="s">
        <v>283</v>
      </c>
      <c r="S1762" s="169" t="s">
        <v>283</v>
      </c>
      <c r="T1762" s="169">
        <v>0</v>
      </c>
    </row>
    <row r="1763" spans="1:20" x14ac:dyDescent="0.2">
      <c r="A1763" s="169" t="str">
        <f t="shared" si="5"/>
        <v>627</v>
      </c>
      <c r="B1763" s="167" t="str">
        <f>_xlfn.XLOOKUP(I1763,Mapping!D:D,Mapping!E:E)</f>
        <v>Nghiên Cứu &amp; Phát Triển</v>
      </c>
      <c r="C1763" s="167" t="str">
        <f>_xlfn.XLOOKUP(F1763,Mapping!A:A,Mapping!F:F)</f>
        <v>BHXH, BHYT, KPCĐ</v>
      </c>
      <c r="D1763" s="173">
        <v>45930</v>
      </c>
      <c r="E1763" s="169" t="s">
        <v>1107</v>
      </c>
      <c r="F1763" s="169" t="s">
        <v>393</v>
      </c>
      <c r="G1763" s="169" t="s">
        <v>296</v>
      </c>
      <c r="H1763" s="169" t="s">
        <v>418</v>
      </c>
      <c r="I1763" s="169" t="s">
        <v>419</v>
      </c>
      <c r="J1763" s="169" t="s">
        <v>1108</v>
      </c>
      <c r="K1763" s="169" t="s">
        <v>1093</v>
      </c>
      <c r="L1763" s="169" t="s">
        <v>1048</v>
      </c>
      <c r="M1763" s="169" t="s">
        <v>281</v>
      </c>
      <c r="N1763" s="178">
        <v>30210000</v>
      </c>
      <c r="O1763" s="169" t="s">
        <v>1109</v>
      </c>
      <c r="P1763" s="169" t="s">
        <v>283</v>
      </c>
      <c r="Q1763" s="169" t="s">
        <v>284</v>
      </c>
      <c r="R1763" s="169" t="s">
        <v>283</v>
      </c>
      <c r="S1763" s="169" t="s">
        <v>283</v>
      </c>
      <c r="T1763" s="169">
        <v>0</v>
      </c>
    </row>
    <row r="1764" spans="1:20" x14ac:dyDescent="0.2">
      <c r="A1764" s="169" t="str">
        <f t="shared" si="5"/>
        <v>622</v>
      </c>
      <c r="B1764" s="167" t="str">
        <f>_xlfn.XLOOKUP(I1764,Mapping!D:D,Mapping!E:E)</f>
        <v>Xưởng Sản Xuất</v>
      </c>
      <c r="C1764" s="167" t="str">
        <f>_xlfn.XLOOKUP(F1764,Mapping!A:A,Mapping!F:F)</f>
        <v>BHXH, BHYT, KPCĐ</v>
      </c>
      <c r="D1764" s="173">
        <v>45930</v>
      </c>
      <c r="E1764" s="169" t="s">
        <v>1107</v>
      </c>
      <c r="F1764" s="169" t="s">
        <v>425</v>
      </c>
      <c r="G1764" s="169" t="s">
        <v>296</v>
      </c>
      <c r="H1764" s="169" t="s">
        <v>402</v>
      </c>
      <c r="I1764" s="169" t="s">
        <v>403</v>
      </c>
      <c r="J1764" s="169" t="s">
        <v>1108</v>
      </c>
      <c r="K1764" s="169" t="s">
        <v>1093</v>
      </c>
      <c r="L1764" s="169" t="s">
        <v>1048</v>
      </c>
      <c r="M1764" s="169" t="s">
        <v>281</v>
      </c>
      <c r="N1764" s="178">
        <v>285634725</v>
      </c>
      <c r="O1764" s="169" t="s">
        <v>1109</v>
      </c>
      <c r="P1764" s="169" t="s">
        <v>283</v>
      </c>
      <c r="Q1764" s="169" t="s">
        <v>284</v>
      </c>
      <c r="R1764" s="169" t="s">
        <v>283</v>
      </c>
      <c r="S1764" s="169" t="s">
        <v>283</v>
      </c>
      <c r="T1764" s="169">
        <v>0</v>
      </c>
    </row>
    <row r="1765" spans="1:20" x14ac:dyDescent="0.2">
      <c r="A1765" s="169" t="str">
        <f t="shared" si="5"/>
        <v>627</v>
      </c>
      <c r="B1765" s="167" t="str">
        <f>_xlfn.XLOOKUP(I1765,Mapping!D:D,Mapping!E:E)</f>
        <v>Xưởng Sản Xuất</v>
      </c>
      <c r="C1765" s="167" t="str">
        <f>_xlfn.XLOOKUP(F1765,Mapping!A:A,Mapping!F:F)</f>
        <v>BHXH, BHYT, KPCĐ</v>
      </c>
      <c r="D1765" s="173">
        <v>45930</v>
      </c>
      <c r="E1765" s="169" t="s">
        <v>1107</v>
      </c>
      <c r="F1765" s="169" t="s">
        <v>393</v>
      </c>
      <c r="G1765" s="169" t="s">
        <v>296</v>
      </c>
      <c r="H1765" s="169" t="s">
        <v>402</v>
      </c>
      <c r="I1765" s="169" t="s">
        <v>403</v>
      </c>
      <c r="J1765" s="169" t="s">
        <v>1108</v>
      </c>
      <c r="K1765" s="169" t="s">
        <v>1093</v>
      </c>
      <c r="L1765" s="169" t="s">
        <v>1048</v>
      </c>
      <c r="M1765" s="169" t="s">
        <v>281</v>
      </c>
      <c r="N1765" s="178">
        <v>88728985</v>
      </c>
      <c r="O1765" s="169" t="s">
        <v>1109</v>
      </c>
      <c r="P1765" s="169" t="s">
        <v>283</v>
      </c>
      <c r="Q1765" s="169" t="s">
        <v>284</v>
      </c>
      <c r="R1765" s="169" t="s">
        <v>283</v>
      </c>
      <c r="S1765" s="169" t="s">
        <v>283</v>
      </c>
      <c r="T1765" s="169">
        <v>0</v>
      </c>
    </row>
    <row r="1766" spans="1:20" x14ac:dyDescent="0.2">
      <c r="A1766" s="169" t="str">
        <f t="shared" si="5"/>
        <v>622</v>
      </c>
      <c r="B1766" s="167" t="str">
        <f>_xlfn.XLOOKUP(I1766,Mapping!D:D,Mapping!E:E)</f>
        <v>Xưởng Sản Xuất</v>
      </c>
      <c r="C1766" s="167" t="str">
        <f>_xlfn.XLOOKUP(F1766,Mapping!A:A,Mapping!F:F)</f>
        <v>BHXH, BHYT, KPCĐ</v>
      </c>
      <c r="D1766" s="173">
        <v>45930</v>
      </c>
      <c r="E1766" s="169" t="s">
        <v>1107</v>
      </c>
      <c r="F1766" s="169" t="s">
        <v>425</v>
      </c>
      <c r="G1766" s="169" t="s">
        <v>296</v>
      </c>
      <c r="H1766" s="169" t="s">
        <v>430</v>
      </c>
      <c r="I1766" s="169" t="s">
        <v>431</v>
      </c>
      <c r="J1766" s="169" t="s">
        <v>1108</v>
      </c>
      <c r="K1766" s="169" t="s">
        <v>1093</v>
      </c>
      <c r="L1766" s="169" t="s">
        <v>1048</v>
      </c>
      <c r="M1766" s="169" t="s">
        <v>281</v>
      </c>
      <c r="N1766" s="178">
        <v>49320845</v>
      </c>
      <c r="O1766" s="169" t="s">
        <v>1109</v>
      </c>
      <c r="P1766" s="169" t="s">
        <v>283</v>
      </c>
      <c r="Q1766" s="169" t="s">
        <v>284</v>
      </c>
      <c r="R1766" s="169" t="s">
        <v>283</v>
      </c>
      <c r="S1766" s="169" t="s">
        <v>283</v>
      </c>
      <c r="T1766" s="169">
        <v>0</v>
      </c>
    </row>
    <row r="1767" spans="1:20" x14ac:dyDescent="0.2">
      <c r="A1767" s="169" t="str">
        <f t="shared" si="5"/>
        <v>627</v>
      </c>
      <c r="B1767" s="167" t="str">
        <f>_xlfn.XLOOKUP(I1767,Mapping!D:D,Mapping!E:E)</f>
        <v>Xưởng Sản Xuất</v>
      </c>
      <c r="C1767" s="167" t="str">
        <f>_xlfn.XLOOKUP(F1767,Mapping!A:A,Mapping!F:F)</f>
        <v>BHXH, BHYT, KPCĐ</v>
      </c>
      <c r="D1767" s="173">
        <v>45930</v>
      </c>
      <c r="E1767" s="169" t="s">
        <v>1107</v>
      </c>
      <c r="F1767" s="169" t="s">
        <v>393</v>
      </c>
      <c r="G1767" s="169" t="s">
        <v>296</v>
      </c>
      <c r="H1767" s="169" t="s">
        <v>430</v>
      </c>
      <c r="I1767" s="169" t="s">
        <v>431</v>
      </c>
      <c r="J1767" s="169" t="s">
        <v>1108</v>
      </c>
      <c r="K1767" s="169" t="s">
        <v>1093</v>
      </c>
      <c r="L1767" s="169" t="s">
        <v>1048</v>
      </c>
      <c r="M1767" s="169" t="s">
        <v>281</v>
      </c>
      <c r="N1767" s="178">
        <v>29226495</v>
      </c>
      <c r="O1767" s="169" t="s">
        <v>1109</v>
      </c>
      <c r="P1767" s="169" t="s">
        <v>283</v>
      </c>
      <c r="Q1767" s="169" t="s">
        <v>284</v>
      </c>
      <c r="R1767" s="169" t="s">
        <v>283</v>
      </c>
      <c r="S1767" s="169" t="s">
        <v>283</v>
      </c>
      <c r="T1767" s="169">
        <v>0</v>
      </c>
    </row>
    <row r="1768" spans="1:20" x14ac:dyDescent="0.2">
      <c r="A1768" s="169" t="str">
        <f t="shared" si="5"/>
        <v>627</v>
      </c>
      <c r="B1768" s="167" t="str">
        <f>_xlfn.XLOOKUP(I1768,Mapping!D:D,Mapping!E:E)</f>
        <v>Xưởng Sản Xuất</v>
      </c>
      <c r="C1768" s="167" t="str">
        <f>_xlfn.XLOOKUP(F1768,Mapping!A:A,Mapping!F:F)</f>
        <v>BHXH, BHYT, KPCĐ</v>
      </c>
      <c r="D1768" s="173">
        <v>45930</v>
      </c>
      <c r="E1768" s="169" t="s">
        <v>1107</v>
      </c>
      <c r="F1768" s="169" t="s">
        <v>393</v>
      </c>
      <c r="G1768" s="169" t="s">
        <v>296</v>
      </c>
      <c r="H1768" s="169" t="s">
        <v>436</v>
      </c>
      <c r="I1768" s="169" t="s">
        <v>437</v>
      </c>
      <c r="J1768" s="169" t="s">
        <v>1108</v>
      </c>
      <c r="K1768" s="169" t="s">
        <v>1093</v>
      </c>
      <c r="L1768" s="169" t="s">
        <v>1048</v>
      </c>
      <c r="M1768" s="169" t="s">
        <v>281</v>
      </c>
      <c r="N1768" s="178">
        <v>61807360</v>
      </c>
      <c r="O1768" s="169" t="s">
        <v>1109</v>
      </c>
      <c r="P1768" s="169" t="s">
        <v>283</v>
      </c>
      <c r="Q1768" s="169" t="s">
        <v>284</v>
      </c>
      <c r="R1768" s="169" t="s">
        <v>283</v>
      </c>
      <c r="S1768" s="169" t="s">
        <v>283</v>
      </c>
      <c r="T1768" s="169">
        <v>0</v>
      </c>
    </row>
    <row r="1769" spans="1:20" x14ac:dyDescent="0.2">
      <c r="A1769" s="169" t="str">
        <f t="shared" si="5"/>
        <v>642</v>
      </c>
      <c r="B1769" s="167" t="str">
        <f>_xlfn.XLOOKUP(I1769,Mapping!D:D,Mapping!E:E)</f>
        <v>Hành Chánh Nhân Sự</v>
      </c>
      <c r="C1769" s="167" t="str">
        <f>_xlfn.XLOOKUP(F1769,Mapping!A:A,Mapping!F:F)</f>
        <v>BHXH, BHYT, KPCĐ</v>
      </c>
      <c r="D1769" s="173">
        <v>45930</v>
      </c>
      <c r="E1769" s="169" t="s">
        <v>1107</v>
      </c>
      <c r="F1769" s="169" t="s">
        <v>295</v>
      </c>
      <c r="G1769" s="169" t="s">
        <v>296</v>
      </c>
      <c r="H1769" s="169" t="s">
        <v>382</v>
      </c>
      <c r="I1769" s="169" t="s">
        <v>200</v>
      </c>
      <c r="J1769" s="169" t="s">
        <v>1108</v>
      </c>
      <c r="K1769" s="169" t="s">
        <v>1093</v>
      </c>
      <c r="L1769" s="169" t="s">
        <v>1048</v>
      </c>
      <c r="M1769" s="169" t="s">
        <v>281</v>
      </c>
      <c r="N1769" s="178">
        <v>17467785</v>
      </c>
      <c r="O1769" s="169" t="s">
        <v>1109</v>
      </c>
      <c r="P1769" s="169" t="s">
        <v>283</v>
      </c>
      <c r="Q1769" s="169" t="s">
        <v>284</v>
      </c>
      <c r="R1769" s="169" t="s">
        <v>283</v>
      </c>
      <c r="S1769" s="169" t="s">
        <v>283</v>
      </c>
      <c r="T1769" s="169">
        <v>0</v>
      </c>
    </row>
    <row r="1770" spans="1:20" x14ac:dyDescent="0.2">
      <c r="A1770" s="169" t="str">
        <f t="shared" ref="A1770:A1791" si="6">LEFT(F1770,3)</f>
        <v>642</v>
      </c>
      <c r="B1770" s="167" t="str">
        <f>_xlfn.XLOOKUP(I1770,Mapping!D:D,Mapping!E:E)</f>
        <v>Hành Chánh Nhân Sự</v>
      </c>
      <c r="C1770" s="167" t="str">
        <f>_xlfn.XLOOKUP(F1770,Mapping!A:A,Mapping!F:F)</f>
        <v>BHXH, BHYT, KPCĐ</v>
      </c>
      <c r="D1770" s="173">
        <v>45930</v>
      </c>
      <c r="E1770" s="169" t="s">
        <v>1107</v>
      </c>
      <c r="F1770" s="169" t="s">
        <v>295</v>
      </c>
      <c r="G1770" s="169" t="s">
        <v>296</v>
      </c>
      <c r="H1770" s="169" t="s">
        <v>358</v>
      </c>
      <c r="I1770" s="169" t="s">
        <v>359</v>
      </c>
      <c r="J1770" s="169" t="s">
        <v>1108</v>
      </c>
      <c r="K1770" s="169" t="s">
        <v>1093</v>
      </c>
      <c r="L1770" s="169" t="s">
        <v>1048</v>
      </c>
      <c r="M1770" s="169" t="s">
        <v>281</v>
      </c>
      <c r="N1770" s="178">
        <v>23880230</v>
      </c>
      <c r="O1770" s="169" t="s">
        <v>1109</v>
      </c>
      <c r="P1770" s="169" t="s">
        <v>283</v>
      </c>
      <c r="Q1770" s="169" t="s">
        <v>284</v>
      </c>
      <c r="R1770" s="169" t="s">
        <v>283</v>
      </c>
      <c r="S1770" s="169" t="s">
        <v>283</v>
      </c>
      <c r="T1770" s="169">
        <v>0</v>
      </c>
    </row>
    <row r="1771" spans="1:20" x14ac:dyDescent="0.2">
      <c r="A1771" s="169" t="str">
        <f t="shared" si="6"/>
        <v>622</v>
      </c>
      <c r="B1771" s="167" t="str">
        <f>_xlfn.XLOOKUP(I1771,Mapping!D:D,Mapping!E:E)</f>
        <v>Xưởng Sản Xuất</v>
      </c>
      <c r="C1771" s="167" t="str">
        <f>_xlfn.XLOOKUP(F1771,Mapping!A:A,Mapping!F:F)</f>
        <v>BHXH, BHYT, KPCĐ</v>
      </c>
      <c r="D1771" s="173">
        <v>45930</v>
      </c>
      <c r="E1771" s="169" t="s">
        <v>1107</v>
      </c>
      <c r="F1771" s="169" t="s">
        <v>425</v>
      </c>
      <c r="G1771" s="169" t="s">
        <v>296</v>
      </c>
      <c r="H1771" s="169" t="s">
        <v>441</v>
      </c>
      <c r="I1771" s="169" t="s">
        <v>442</v>
      </c>
      <c r="J1771" s="169" t="s">
        <v>1108</v>
      </c>
      <c r="K1771" s="169" t="s">
        <v>1093</v>
      </c>
      <c r="L1771" s="169" t="s">
        <v>1048</v>
      </c>
      <c r="M1771" s="169" t="s">
        <v>281</v>
      </c>
      <c r="N1771" s="178">
        <v>1308480</v>
      </c>
      <c r="O1771" s="169" t="s">
        <v>1109</v>
      </c>
      <c r="P1771" s="169" t="s">
        <v>283</v>
      </c>
      <c r="Q1771" s="169" t="s">
        <v>284</v>
      </c>
      <c r="R1771" s="169" t="s">
        <v>283</v>
      </c>
      <c r="S1771" s="169" t="s">
        <v>283</v>
      </c>
      <c r="T1771" s="169">
        <v>0</v>
      </c>
    </row>
    <row r="1772" spans="1:20" x14ac:dyDescent="0.2">
      <c r="A1772" s="169" t="str">
        <f t="shared" si="6"/>
        <v>642</v>
      </c>
      <c r="B1772" s="167" t="str">
        <f>_xlfn.XLOOKUP(I1772,Mapping!D:D,Mapping!E:E)</f>
        <v>Cung Ứng</v>
      </c>
      <c r="C1772" s="167" t="str">
        <f>_xlfn.XLOOKUP(F1772,Mapping!A:A,Mapping!F:F)</f>
        <v>Lương Chính +T13</v>
      </c>
      <c r="D1772" s="173">
        <v>45930</v>
      </c>
      <c r="E1772" s="169" t="s">
        <v>1110</v>
      </c>
      <c r="F1772" s="169" t="s">
        <v>274</v>
      </c>
      <c r="G1772" s="169" t="s">
        <v>275</v>
      </c>
      <c r="H1772" s="169" t="s">
        <v>380</v>
      </c>
      <c r="I1772" s="169" t="s">
        <v>381</v>
      </c>
      <c r="J1772" s="169" t="s">
        <v>1111</v>
      </c>
      <c r="K1772" s="169" t="s">
        <v>1093</v>
      </c>
      <c r="L1772" s="169" t="s">
        <v>1048</v>
      </c>
      <c r="M1772" s="169" t="s">
        <v>281</v>
      </c>
      <c r="N1772" s="178">
        <v>-276497</v>
      </c>
      <c r="O1772" s="169" t="s">
        <v>1112</v>
      </c>
      <c r="P1772" s="169" t="s">
        <v>283</v>
      </c>
      <c r="Q1772" s="169" t="s">
        <v>284</v>
      </c>
      <c r="R1772" s="169" t="s">
        <v>283</v>
      </c>
      <c r="S1772" s="169" t="s">
        <v>283</v>
      </c>
      <c r="T1772" s="169">
        <v>0</v>
      </c>
    </row>
    <row r="1773" spans="1:20" x14ac:dyDescent="0.2">
      <c r="A1773" s="169" t="str">
        <f t="shared" si="6"/>
        <v>642</v>
      </c>
      <c r="B1773" s="167" t="str">
        <f>_xlfn.XLOOKUP(I1773,Mapping!D:D,Mapping!E:E)</f>
        <v>Hành Chánh Nhân Sự</v>
      </c>
      <c r="C1773" s="167" t="str">
        <f>_xlfn.XLOOKUP(F1773,Mapping!A:A,Mapping!F:F)</f>
        <v>Khen thưởng BD khác</v>
      </c>
      <c r="D1773" s="173">
        <v>45930</v>
      </c>
      <c r="E1773" s="169" t="s">
        <v>1113</v>
      </c>
      <c r="F1773" s="169" t="s">
        <v>300</v>
      </c>
      <c r="G1773" s="169" t="s">
        <v>222</v>
      </c>
      <c r="H1773" s="169" t="s">
        <v>358</v>
      </c>
      <c r="I1773" s="169" t="s">
        <v>359</v>
      </c>
      <c r="J1773" s="169" t="s">
        <v>1092</v>
      </c>
      <c r="K1773" s="169" t="s">
        <v>1093</v>
      </c>
      <c r="L1773" s="169" t="s">
        <v>1048</v>
      </c>
      <c r="M1773" s="169" t="s">
        <v>281</v>
      </c>
      <c r="N1773" s="178">
        <v>2400000</v>
      </c>
      <c r="O1773" s="169" t="s">
        <v>1114</v>
      </c>
      <c r="P1773" s="169" t="s">
        <v>283</v>
      </c>
      <c r="Q1773" s="169" t="s">
        <v>284</v>
      </c>
      <c r="R1773" s="169" t="s">
        <v>283</v>
      </c>
      <c r="S1773" s="169" t="s">
        <v>283</v>
      </c>
      <c r="T1773" s="169">
        <v>0</v>
      </c>
    </row>
    <row r="1774" spans="1:20" x14ac:dyDescent="0.2">
      <c r="A1774" s="169" t="str">
        <f t="shared" si="6"/>
        <v>627</v>
      </c>
      <c r="B1774" s="167" t="str">
        <f>_xlfn.XLOOKUP(I1774,Mapping!D:D,Mapping!E:E)</f>
        <v>Kiểm Soát Chất Lượng</v>
      </c>
      <c r="C1774" s="167" t="str">
        <f>_xlfn.XLOOKUP(F1774,Mapping!A:A,Mapping!F:F)</f>
        <v>BHXH, BHYT, KPCĐ</v>
      </c>
      <c r="D1774" s="173">
        <v>45930</v>
      </c>
      <c r="E1774" s="169" t="s">
        <v>1115</v>
      </c>
      <c r="F1774" s="169" t="s">
        <v>393</v>
      </c>
      <c r="G1774" s="169" t="s">
        <v>296</v>
      </c>
      <c r="H1774" s="169" t="s">
        <v>411</v>
      </c>
      <c r="I1774" s="169" t="s">
        <v>412</v>
      </c>
      <c r="J1774" s="169" t="s">
        <v>1108</v>
      </c>
      <c r="K1774" s="169" t="s">
        <v>1093</v>
      </c>
      <c r="L1774" s="169" t="s">
        <v>1048</v>
      </c>
      <c r="M1774" s="169" t="s">
        <v>281</v>
      </c>
      <c r="N1774" s="178">
        <v>2998600</v>
      </c>
      <c r="O1774" s="169" t="s">
        <v>1116</v>
      </c>
      <c r="P1774" s="169" t="s">
        <v>283</v>
      </c>
      <c r="Q1774" s="169" t="s">
        <v>284</v>
      </c>
      <c r="R1774" s="169" t="s">
        <v>283</v>
      </c>
      <c r="S1774" s="169" t="s">
        <v>283</v>
      </c>
      <c r="T1774" s="169">
        <v>0</v>
      </c>
    </row>
    <row r="1775" spans="1:20" x14ac:dyDescent="0.2">
      <c r="A1775" s="169" t="str">
        <f t="shared" si="6"/>
        <v>622</v>
      </c>
      <c r="B1775" s="167" t="str">
        <f>_xlfn.XLOOKUP(I1775,Mapping!D:D,Mapping!E:E)</f>
        <v>Xưởng Sản Xuất</v>
      </c>
      <c r="C1775" s="167" t="str">
        <f>_xlfn.XLOOKUP(F1775,Mapping!A:A,Mapping!F:F)</f>
        <v>BHXH, BHYT, KPCĐ</v>
      </c>
      <c r="D1775" s="173">
        <v>45930</v>
      </c>
      <c r="E1775" s="169" t="s">
        <v>1115</v>
      </c>
      <c r="F1775" s="169" t="s">
        <v>425</v>
      </c>
      <c r="G1775" s="169" t="s">
        <v>296</v>
      </c>
      <c r="H1775" s="169" t="s">
        <v>402</v>
      </c>
      <c r="I1775" s="169" t="s">
        <v>403</v>
      </c>
      <c r="J1775" s="169" t="s">
        <v>1108</v>
      </c>
      <c r="K1775" s="169" t="s">
        <v>1093</v>
      </c>
      <c r="L1775" s="169" t="s">
        <v>1048</v>
      </c>
      <c r="M1775" s="169" t="s">
        <v>281</v>
      </c>
      <c r="N1775" s="178">
        <v>3595500</v>
      </c>
      <c r="O1775" s="169" t="s">
        <v>1116</v>
      </c>
      <c r="P1775" s="169" t="s">
        <v>283</v>
      </c>
      <c r="Q1775" s="169" t="s">
        <v>284</v>
      </c>
      <c r="R1775" s="169" t="s">
        <v>283</v>
      </c>
      <c r="S1775" s="169" t="s">
        <v>283</v>
      </c>
      <c r="T1775" s="169">
        <v>0</v>
      </c>
    </row>
    <row r="1776" spans="1:20" x14ac:dyDescent="0.2">
      <c r="A1776" s="169" t="str">
        <f t="shared" si="6"/>
        <v>642</v>
      </c>
      <c r="B1776" s="167" t="str">
        <f>_xlfn.XLOOKUP(I1776,Mapping!D:D,Mapping!E:E)</f>
        <v>Kế Toán</v>
      </c>
      <c r="C1776" s="167" t="str">
        <f>_xlfn.XLOOKUP(F1776,Mapping!A:A,Mapping!F:F)</f>
        <v>BHXH, BHYT, KPCĐ</v>
      </c>
      <c r="D1776" s="173">
        <v>45930</v>
      </c>
      <c r="E1776" s="169" t="s">
        <v>1115</v>
      </c>
      <c r="F1776" s="169" t="s">
        <v>295</v>
      </c>
      <c r="G1776" s="169" t="s">
        <v>296</v>
      </c>
      <c r="H1776" s="169" t="s">
        <v>356</v>
      </c>
      <c r="I1776" s="169" t="s">
        <v>357</v>
      </c>
      <c r="J1776" s="169" t="s">
        <v>1108</v>
      </c>
      <c r="K1776" s="169" t="s">
        <v>1093</v>
      </c>
      <c r="L1776" s="169" t="s">
        <v>1048</v>
      </c>
      <c r="M1776" s="169" t="s">
        <v>281</v>
      </c>
      <c r="N1776" s="178">
        <v>1527500</v>
      </c>
      <c r="O1776" s="169" t="s">
        <v>1116</v>
      </c>
      <c r="P1776" s="169" t="s">
        <v>283</v>
      </c>
      <c r="Q1776" s="169" t="s">
        <v>284</v>
      </c>
      <c r="R1776" s="169" t="s">
        <v>283</v>
      </c>
      <c r="S1776" s="169" t="s">
        <v>283</v>
      </c>
      <c r="T1776" s="169">
        <v>0</v>
      </c>
    </row>
    <row r="1777" spans="1:20" x14ac:dyDescent="0.2">
      <c r="A1777" s="169" t="str">
        <f t="shared" si="6"/>
        <v>642</v>
      </c>
      <c r="B1777" s="167" t="str">
        <f>_xlfn.XLOOKUP(I1777,Mapping!D:D,Mapping!E:E)</f>
        <v>Hành Chánh Nhân Sự</v>
      </c>
      <c r="C1777" s="167" t="str">
        <f>_xlfn.XLOOKUP(F1777,Mapping!A:A,Mapping!F:F)</f>
        <v>BHXH, BHYT, KPCĐ</v>
      </c>
      <c r="D1777" s="173">
        <v>45930</v>
      </c>
      <c r="E1777" s="169" t="s">
        <v>1117</v>
      </c>
      <c r="F1777" s="169" t="s">
        <v>295</v>
      </c>
      <c r="G1777" s="169" t="s">
        <v>296</v>
      </c>
      <c r="H1777" s="169" t="s">
        <v>301</v>
      </c>
      <c r="I1777" s="169" t="s">
        <v>302</v>
      </c>
      <c r="J1777" s="169" t="s">
        <v>1118</v>
      </c>
      <c r="K1777" s="169" t="s">
        <v>1093</v>
      </c>
      <c r="L1777" s="169" t="s">
        <v>1048</v>
      </c>
      <c r="M1777" s="169" t="s">
        <v>281</v>
      </c>
      <c r="N1777" s="178">
        <v>259965</v>
      </c>
      <c r="O1777" s="169" t="s">
        <v>1119</v>
      </c>
      <c r="P1777" s="169" t="s">
        <v>283</v>
      </c>
      <c r="Q1777" s="169" t="s">
        <v>284</v>
      </c>
      <c r="R1777" s="169" t="s">
        <v>283</v>
      </c>
      <c r="S1777" s="169" t="s">
        <v>283</v>
      </c>
      <c r="T1777" s="169">
        <v>0</v>
      </c>
    </row>
    <row r="1778" spans="1:20" x14ac:dyDescent="0.2">
      <c r="A1778" s="169" t="str">
        <f t="shared" si="6"/>
        <v>622</v>
      </c>
      <c r="B1778" s="167" t="str">
        <f>_xlfn.XLOOKUP(I1778,Mapping!D:D,Mapping!E:E)</f>
        <v>Xưởng Sản Xuất</v>
      </c>
      <c r="C1778" s="167" t="str">
        <f>_xlfn.XLOOKUP(F1778,Mapping!A:A,Mapping!F:F)</f>
        <v>BHXH, BHYT, KPCĐ</v>
      </c>
      <c r="D1778" s="173">
        <v>45930</v>
      </c>
      <c r="E1778" s="169" t="s">
        <v>1117</v>
      </c>
      <c r="F1778" s="169" t="s">
        <v>425</v>
      </c>
      <c r="G1778" s="169" t="s">
        <v>296</v>
      </c>
      <c r="H1778" s="169" t="s">
        <v>402</v>
      </c>
      <c r="I1778" s="169" t="s">
        <v>403</v>
      </c>
      <c r="J1778" s="169" t="s">
        <v>1118</v>
      </c>
      <c r="K1778" s="169" t="s">
        <v>1093</v>
      </c>
      <c r="L1778" s="169" t="s">
        <v>1048</v>
      </c>
      <c r="M1778" s="169" t="s">
        <v>281</v>
      </c>
      <c r="N1778" s="178">
        <v>-1953650</v>
      </c>
      <c r="O1778" s="169" t="s">
        <v>1119</v>
      </c>
      <c r="P1778" s="169" t="s">
        <v>283</v>
      </c>
      <c r="Q1778" s="169" t="s">
        <v>284</v>
      </c>
      <c r="R1778" s="169" t="s">
        <v>283</v>
      </c>
      <c r="S1778" s="169" t="s">
        <v>283</v>
      </c>
      <c r="T1778" s="169">
        <v>0</v>
      </c>
    </row>
    <row r="1779" spans="1:20" x14ac:dyDescent="0.2">
      <c r="A1779" s="169" t="str">
        <f t="shared" si="6"/>
        <v>627</v>
      </c>
      <c r="B1779" s="167" t="str">
        <f>_xlfn.XLOOKUP(I1779,Mapping!D:D,Mapping!E:E)</f>
        <v>Kỹ Thuật</v>
      </c>
      <c r="C1779" s="167" t="str">
        <f>_xlfn.XLOOKUP(F1779,Mapping!A:A,Mapping!F:F)</f>
        <v>BHXH, BHYT, KPCĐ</v>
      </c>
      <c r="D1779" s="173">
        <v>45930</v>
      </c>
      <c r="E1779" s="169" t="s">
        <v>1117</v>
      </c>
      <c r="F1779" s="169" t="s">
        <v>393</v>
      </c>
      <c r="G1779" s="169" t="s">
        <v>296</v>
      </c>
      <c r="H1779" s="169" t="s">
        <v>376</v>
      </c>
      <c r="I1779" s="169" t="s">
        <v>377</v>
      </c>
      <c r="J1779" s="169" t="s">
        <v>1118</v>
      </c>
      <c r="K1779" s="169" t="s">
        <v>1093</v>
      </c>
      <c r="L1779" s="169" t="s">
        <v>1048</v>
      </c>
      <c r="M1779" s="169" t="s">
        <v>281</v>
      </c>
      <c r="N1779" s="178">
        <v>2234815</v>
      </c>
      <c r="O1779" s="169" t="s">
        <v>1119</v>
      </c>
      <c r="P1779" s="169" t="s">
        <v>283</v>
      </c>
      <c r="Q1779" s="169" t="s">
        <v>284</v>
      </c>
      <c r="R1779" s="169" t="s">
        <v>283</v>
      </c>
      <c r="S1779" s="169" t="s">
        <v>283</v>
      </c>
      <c r="T1779" s="169">
        <v>0</v>
      </c>
    </row>
    <row r="1780" spans="1:20" x14ac:dyDescent="0.2">
      <c r="A1780" s="169" t="str">
        <f t="shared" si="6"/>
        <v>642</v>
      </c>
      <c r="B1780" s="167" t="str">
        <f>_xlfn.XLOOKUP(I1780,Mapping!D:D,Mapping!E:E)</f>
        <v>Kế Toán</v>
      </c>
      <c r="C1780" s="167" t="str">
        <f>_xlfn.XLOOKUP(F1780,Mapping!A:A,Mapping!F:F)</f>
        <v>BHXH, BHYT, KPCĐ</v>
      </c>
      <c r="D1780" s="173">
        <v>45930</v>
      </c>
      <c r="E1780" s="169" t="s">
        <v>1117</v>
      </c>
      <c r="F1780" s="169" t="s">
        <v>295</v>
      </c>
      <c r="G1780" s="169" t="s">
        <v>296</v>
      </c>
      <c r="H1780" s="169" t="s">
        <v>356</v>
      </c>
      <c r="I1780" s="169" t="s">
        <v>357</v>
      </c>
      <c r="J1780" s="169" t="s">
        <v>1118</v>
      </c>
      <c r="K1780" s="169" t="s">
        <v>1093</v>
      </c>
      <c r="L1780" s="169" t="s">
        <v>1048</v>
      </c>
      <c r="M1780" s="169" t="s">
        <v>281</v>
      </c>
      <c r="N1780" s="178">
        <v>960000</v>
      </c>
      <c r="O1780" s="169" t="s">
        <v>1119</v>
      </c>
      <c r="P1780" s="169" t="s">
        <v>283</v>
      </c>
      <c r="Q1780" s="169" t="s">
        <v>284</v>
      </c>
      <c r="R1780" s="169" t="s">
        <v>283</v>
      </c>
      <c r="S1780" s="169" t="s">
        <v>283</v>
      </c>
      <c r="T1780" s="169">
        <v>0</v>
      </c>
    </row>
    <row r="1781" spans="1:20" x14ac:dyDescent="0.2">
      <c r="A1781" s="169" t="str">
        <f t="shared" si="6"/>
        <v>622</v>
      </c>
      <c r="B1781" s="167" t="str">
        <f>_xlfn.XLOOKUP(I1781,Mapping!D:D,Mapping!E:E)</f>
        <v>Xưởng Sản Xuất</v>
      </c>
      <c r="C1781" s="167" t="str">
        <f>_xlfn.XLOOKUP(F1781,Mapping!A:A,Mapping!F:F)</f>
        <v>Phụ Cấp</v>
      </c>
      <c r="D1781" s="173">
        <v>45930</v>
      </c>
      <c r="E1781" s="169" t="s">
        <v>1120</v>
      </c>
      <c r="F1781" s="169" t="s">
        <v>414</v>
      </c>
      <c r="G1781" s="169" t="s">
        <v>415</v>
      </c>
      <c r="H1781" s="169" t="s">
        <v>441</v>
      </c>
      <c r="I1781" s="169" t="s">
        <v>442</v>
      </c>
      <c r="J1781" s="169" t="s">
        <v>416</v>
      </c>
      <c r="K1781" s="169" t="s">
        <v>416</v>
      </c>
      <c r="L1781" s="169" t="s">
        <v>1048</v>
      </c>
      <c r="M1781" s="169" t="s">
        <v>281</v>
      </c>
      <c r="N1781" s="178">
        <v>425000</v>
      </c>
      <c r="O1781" s="169" t="s">
        <v>1121</v>
      </c>
      <c r="P1781" s="169" t="s">
        <v>283</v>
      </c>
      <c r="Q1781" s="169" t="s">
        <v>348</v>
      </c>
      <c r="R1781" s="169" t="s">
        <v>283</v>
      </c>
      <c r="S1781" s="169" t="s">
        <v>283</v>
      </c>
      <c r="T1781" s="169">
        <v>0</v>
      </c>
    </row>
    <row r="1782" spans="1:20" x14ac:dyDescent="0.2">
      <c r="A1782" s="169" t="str">
        <f t="shared" si="6"/>
        <v>627</v>
      </c>
      <c r="B1782" s="167" t="str">
        <f>_xlfn.XLOOKUP(I1782,Mapping!D:D,Mapping!E:E)</f>
        <v>Xưởng Sản Xuất</v>
      </c>
      <c r="C1782" s="167" t="str">
        <f>_xlfn.XLOOKUP(F1782,Mapping!A:A,Mapping!F:F)</f>
        <v>Phụ Cấp</v>
      </c>
      <c r="D1782" s="173">
        <v>45930</v>
      </c>
      <c r="E1782" s="169" t="s">
        <v>1120</v>
      </c>
      <c r="F1782" s="169" t="s">
        <v>375</v>
      </c>
      <c r="G1782" s="169" t="s">
        <v>336</v>
      </c>
      <c r="H1782" s="169" t="s">
        <v>441</v>
      </c>
      <c r="I1782" s="169" t="s">
        <v>442</v>
      </c>
      <c r="J1782" s="169" t="s">
        <v>416</v>
      </c>
      <c r="K1782" s="169" t="s">
        <v>416</v>
      </c>
      <c r="L1782" s="169" t="s">
        <v>1048</v>
      </c>
      <c r="M1782" s="169" t="s">
        <v>281</v>
      </c>
      <c r="N1782" s="178">
        <v>-425000</v>
      </c>
      <c r="O1782" s="169" t="s">
        <v>1121</v>
      </c>
      <c r="P1782" s="169" t="s">
        <v>283</v>
      </c>
      <c r="Q1782" s="169" t="s">
        <v>348</v>
      </c>
      <c r="R1782" s="169" t="s">
        <v>283</v>
      </c>
      <c r="S1782" s="169" t="s">
        <v>283</v>
      </c>
      <c r="T1782" s="169">
        <v>0</v>
      </c>
    </row>
    <row r="1783" spans="1:20" x14ac:dyDescent="0.2">
      <c r="A1783" s="169" t="str">
        <f t="shared" si="6"/>
        <v>622</v>
      </c>
      <c r="B1783" s="167" t="str">
        <f>_xlfn.XLOOKUP(I1783,Mapping!D:D,Mapping!E:E)</f>
        <v>Xưởng Sản Xuất</v>
      </c>
      <c r="C1783" s="167" t="str">
        <f>_xlfn.XLOOKUP(F1783,Mapping!A:A,Mapping!F:F)</f>
        <v>Phụ Cấp</v>
      </c>
      <c r="D1783" s="173">
        <v>45930</v>
      </c>
      <c r="E1783" s="169" t="s">
        <v>1120</v>
      </c>
      <c r="F1783" s="169" t="s">
        <v>414</v>
      </c>
      <c r="G1783" s="169" t="s">
        <v>415</v>
      </c>
      <c r="H1783" s="169" t="s">
        <v>430</v>
      </c>
      <c r="I1783" s="169" t="s">
        <v>431</v>
      </c>
      <c r="J1783" s="169" t="s">
        <v>416</v>
      </c>
      <c r="K1783" s="169" t="s">
        <v>416</v>
      </c>
      <c r="L1783" s="169" t="s">
        <v>1048</v>
      </c>
      <c r="M1783" s="169" t="s">
        <v>281</v>
      </c>
      <c r="N1783" s="178">
        <v>20400000</v>
      </c>
      <c r="O1783" s="169" t="s">
        <v>1121</v>
      </c>
      <c r="P1783" s="169" t="s">
        <v>283</v>
      </c>
      <c r="Q1783" s="169" t="s">
        <v>348</v>
      </c>
      <c r="R1783" s="169" t="s">
        <v>283</v>
      </c>
      <c r="S1783" s="169" t="s">
        <v>283</v>
      </c>
      <c r="T1783" s="169">
        <v>0</v>
      </c>
    </row>
    <row r="1784" spans="1:20" x14ac:dyDescent="0.2">
      <c r="A1784" s="169" t="str">
        <f t="shared" si="6"/>
        <v>627</v>
      </c>
      <c r="B1784" s="167" t="str">
        <f>_xlfn.XLOOKUP(I1784,Mapping!D:D,Mapping!E:E)</f>
        <v>Xưởng Sản Xuất</v>
      </c>
      <c r="C1784" s="167" t="str">
        <f>_xlfn.XLOOKUP(F1784,Mapping!A:A,Mapping!F:F)</f>
        <v>Phụ Cấp</v>
      </c>
      <c r="D1784" s="173">
        <v>45930</v>
      </c>
      <c r="E1784" s="169" t="s">
        <v>1120</v>
      </c>
      <c r="F1784" s="169" t="s">
        <v>375</v>
      </c>
      <c r="G1784" s="169" t="s">
        <v>336</v>
      </c>
      <c r="H1784" s="169" t="s">
        <v>430</v>
      </c>
      <c r="I1784" s="169" t="s">
        <v>431</v>
      </c>
      <c r="J1784" s="169" t="s">
        <v>416</v>
      </c>
      <c r="K1784" s="169" t="s">
        <v>416</v>
      </c>
      <c r="L1784" s="169" t="s">
        <v>1048</v>
      </c>
      <c r="M1784" s="169" t="s">
        <v>281</v>
      </c>
      <c r="N1784" s="178">
        <v>-20400000</v>
      </c>
      <c r="O1784" s="169" t="s">
        <v>1121</v>
      </c>
      <c r="P1784" s="169" t="s">
        <v>283</v>
      </c>
      <c r="Q1784" s="169" t="s">
        <v>348</v>
      </c>
      <c r="R1784" s="169" t="s">
        <v>283</v>
      </c>
      <c r="S1784" s="169" t="s">
        <v>283</v>
      </c>
      <c r="T1784" s="169">
        <v>0</v>
      </c>
    </row>
    <row r="1785" spans="1:20" x14ac:dyDescent="0.2">
      <c r="A1785" s="169" t="str">
        <f t="shared" si="6"/>
        <v>622</v>
      </c>
      <c r="B1785" s="167" t="str">
        <f>_xlfn.XLOOKUP(I1785,Mapping!D:D,Mapping!E:E)</f>
        <v>Xưởng Sản Xuất</v>
      </c>
      <c r="C1785" s="167" t="str">
        <f>_xlfn.XLOOKUP(F1785,Mapping!A:A,Mapping!F:F)</f>
        <v>Phụ Cấp</v>
      </c>
      <c r="D1785" s="173">
        <v>45930</v>
      </c>
      <c r="E1785" s="169" t="s">
        <v>1120</v>
      </c>
      <c r="F1785" s="169" t="s">
        <v>414</v>
      </c>
      <c r="G1785" s="169" t="s">
        <v>415</v>
      </c>
      <c r="H1785" s="169" t="s">
        <v>441</v>
      </c>
      <c r="I1785" s="169" t="s">
        <v>442</v>
      </c>
      <c r="J1785" s="169" t="s">
        <v>416</v>
      </c>
      <c r="K1785" s="169" t="s">
        <v>416</v>
      </c>
      <c r="L1785" s="169" t="s">
        <v>1048</v>
      </c>
      <c r="M1785" s="169" t="s">
        <v>281</v>
      </c>
      <c r="N1785" s="178">
        <v>25000</v>
      </c>
      <c r="O1785" s="169" t="s">
        <v>1121</v>
      </c>
      <c r="P1785" s="169" t="s">
        <v>283</v>
      </c>
      <c r="Q1785" s="169" t="s">
        <v>348</v>
      </c>
      <c r="R1785" s="169" t="s">
        <v>283</v>
      </c>
      <c r="S1785" s="169" t="s">
        <v>283</v>
      </c>
      <c r="T1785" s="169">
        <v>0</v>
      </c>
    </row>
    <row r="1786" spans="1:20" x14ac:dyDescent="0.2">
      <c r="A1786" s="169" t="str">
        <f t="shared" si="6"/>
        <v>627</v>
      </c>
      <c r="B1786" s="167" t="str">
        <f>_xlfn.XLOOKUP(I1786,Mapping!D:D,Mapping!E:E)</f>
        <v>Xưởng Sản Xuất</v>
      </c>
      <c r="C1786" s="167" t="str">
        <f>_xlfn.XLOOKUP(F1786,Mapping!A:A,Mapping!F:F)</f>
        <v>Phụ Cấp</v>
      </c>
      <c r="D1786" s="173">
        <v>45930</v>
      </c>
      <c r="E1786" s="169" t="s">
        <v>1120</v>
      </c>
      <c r="F1786" s="169" t="s">
        <v>375</v>
      </c>
      <c r="G1786" s="169" t="s">
        <v>336</v>
      </c>
      <c r="H1786" s="169" t="s">
        <v>430</v>
      </c>
      <c r="I1786" s="169" t="s">
        <v>431</v>
      </c>
      <c r="J1786" s="169" t="s">
        <v>416</v>
      </c>
      <c r="K1786" s="169" t="s">
        <v>416</v>
      </c>
      <c r="L1786" s="169" t="s">
        <v>1048</v>
      </c>
      <c r="M1786" s="169" t="s">
        <v>281</v>
      </c>
      <c r="N1786" s="178">
        <v>-25000</v>
      </c>
      <c r="O1786" s="169" t="s">
        <v>1121</v>
      </c>
      <c r="P1786" s="169" t="s">
        <v>283</v>
      </c>
      <c r="Q1786" s="169" t="s">
        <v>348</v>
      </c>
      <c r="R1786" s="169" t="s">
        <v>283</v>
      </c>
      <c r="S1786" s="169" t="s">
        <v>283</v>
      </c>
      <c r="T1786" s="169">
        <v>0</v>
      </c>
    </row>
    <row r="1787" spans="1:20" x14ac:dyDescent="0.2">
      <c r="A1787" s="169" t="str">
        <f t="shared" si="6"/>
        <v>622</v>
      </c>
      <c r="B1787" s="167" t="str">
        <f>_xlfn.XLOOKUP(I1787,Mapping!D:D,Mapping!E:E)</f>
        <v>Xưởng Sản Xuất</v>
      </c>
      <c r="C1787" s="167" t="str">
        <f>_xlfn.XLOOKUP(F1787,Mapping!A:A,Mapping!F:F)</f>
        <v>Phụ Cấp</v>
      </c>
      <c r="D1787" s="173">
        <v>45930</v>
      </c>
      <c r="E1787" s="169" t="s">
        <v>1120</v>
      </c>
      <c r="F1787" s="169" t="s">
        <v>414</v>
      </c>
      <c r="G1787" s="169" t="s">
        <v>415</v>
      </c>
      <c r="H1787" s="169" t="s">
        <v>402</v>
      </c>
      <c r="I1787" s="169" t="s">
        <v>403</v>
      </c>
      <c r="J1787" s="169" t="s">
        <v>416</v>
      </c>
      <c r="K1787" s="169" t="s">
        <v>416</v>
      </c>
      <c r="L1787" s="169" t="s">
        <v>1048</v>
      </c>
      <c r="M1787" s="169" t="s">
        <v>281</v>
      </c>
      <c r="N1787" s="178">
        <v>138300000</v>
      </c>
      <c r="O1787" s="169" t="s">
        <v>1121</v>
      </c>
      <c r="P1787" s="169" t="s">
        <v>283</v>
      </c>
      <c r="Q1787" s="169" t="s">
        <v>348</v>
      </c>
      <c r="R1787" s="169" t="s">
        <v>283</v>
      </c>
      <c r="S1787" s="169" t="s">
        <v>283</v>
      </c>
      <c r="T1787" s="169">
        <v>0</v>
      </c>
    </row>
    <row r="1788" spans="1:20" x14ac:dyDescent="0.2">
      <c r="A1788" s="169" t="str">
        <f t="shared" si="6"/>
        <v>627</v>
      </c>
      <c r="B1788" s="167" t="str">
        <f>_xlfn.XLOOKUP(I1788,Mapping!D:D,Mapping!E:E)</f>
        <v>Xưởng Sản Xuất</v>
      </c>
      <c r="C1788" s="167" t="str">
        <f>_xlfn.XLOOKUP(F1788,Mapping!A:A,Mapping!F:F)</f>
        <v>Phụ Cấp</v>
      </c>
      <c r="D1788" s="173">
        <v>45930</v>
      </c>
      <c r="E1788" s="169" t="s">
        <v>1120</v>
      </c>
      <c r="F1788" s="169" t="s">
        <v>375</v>
      </c>
      <c r="G1788" s="169" t="s">
        <v>336</v>
      </c>
      <c r="H1788" s="169" t="s">
        <v>402</v>
      </c>
      <c r="I1788" s="169" t="s">
        <v>403</v>
      </c>
      <c r="J1788" s="169" t="s">
        <v>416</v>
      </c>
      <c r="K1788" s="169" t="s">
        <v>416</v>
      </c>
      <c r="L1788" s="169" t="s">
        <v>1048</v>
      </c>
      <c r="M1788" s="169" t="s">
        <v>281</v>
      </c>
      <c r="N1788" s="178">
        <v>-138300000</v>
      </c>
      <c r="O1788" s="169" t="s">
        <v>1121</v>
      </c>
      <c r="P1788" s="169" t="s">
        <v>283</v>
      </c>
      <c r="Q1788" s="169" t="s">
        <v>348</v>
      </c>
      <c r="R1788" s="169" t="s">
        <v>283</v>
      </c>
      <c r="S1788" s="169" t="s">
        <v>283</v>
      </c>
      <c r="T1788" s="169">
        <v>0</v>
      </c>
    </row>
    <row r="1789" spans="1:20" x14ac:dyDescent="0.2">
      <c r="A1789" s="169" t="str">
        <f t="shared" si="6"/>
        <v>642</v>
      </c>
      <c r="B1789" s="167" t="str">
        <f>_xlfn.XLOOKUP(I1789,Mapping!D:D,Mapping!E:E)</f>
        <v>Cung Ứng</v>
      </c>
      <c r="C1789" s="167" t="str">
        <f>_xlfn.XLOOKUP(F1789,Mapping!A:A,Mapping!F:F)</f>
        <v>Thưởng</v>
      </c>
      <c r="D1789" s="173">
        <v>45930</v>
      </c>
      <c r="E1789" s="169" t="s">
        <v>1122</v>
      </c>
      <c r="F1789" s="169" t="s">
        <v>290</v>
      </c>
      <c r="G1789" s="169" t="s">
        <v>291</v>
      </c>
      <c r="H1789" s="169" t="s">
        <v>380</v>
      </c>
      <c r="I1789" s="169" t="s">
        <v>381</v>
      </c>
      <c r="J1789" s="169" t="s">
        <v>1123</v>
      </c>
      <c r="K1789" s="169" t="s">
        <v>1124</v>
      </c>
      <c r="L1789" s="169" t="s">
        <v>1048</v>
      </c>
      <c r="M1789" s="169" t="s">
        <v>281</v>
      </c>
      <c r="N1789" s="178">
        <v>140000000</v>
      </c>
      <c r="O1789" s="169" t="s">
        <v>1125</v>
      </c>
      <c r="P1789" s="169" t="s">
        <v>283</v>
      </c>
      <c r="Q1789" s="169" t="s">
        <v>325</v>
      </c>
      <c r="R1789" s="169" t="s">
        <v>283</v>
      </c>
      <c r="S1789" s="169" t="s">
        <v>283</v>
      </c>
      <c r="T1789" s="169">
        <v>0</v>
      </c>
    </row>
    <row r="1790" spans="1:20" x14ac:dyDescent="0.2">
      <c r="A1790" s="169" t="str">
        <f t="shared" si="6"/>
        <v>642</v>
      </c>
      <c r="B1790" s="167" t="str">
        <f>_xlfn.XLOOKUP(I1790,Mapping!D:D,Mapping!E:E)</f>
        <v>Cung Ứng</v>
      </c>
      <c r="C1790" s="167" t="str">
        <f>_xlfn.XLOOKUP(F1790,Mapping!A:A,Mapping!F:F)</f>
        <v>Thưởng</v>
      </c>
      <c r="D1790" s="173">
        <v>45930</v>
      </c>
      <c r="E1790" s="169" t="s">
        <v>1126</v>
      </c>
      <c r="F1790" s="169" t="s">
        <v>290</v>
      </c>
      <c r="G1790" s="169" t="s">
        <v>291</v>
      </c>
      <c r="H1790" s="169" t="s">
        <v>380</v>
      </c>
      <c r="I1790" s="169" t="s">
        <v>381</v>
      </c>
      <c r="J1790" s="169" t="s">
        <v>1123</v>
      </c>
      <c r="K1790" s="169" t="s">
        <v>1124</v>
      </c>
      <c r="L1790" s="169" t="s">
        <v>1048</v>
      </c>
      <c r="M1790" s="169" t="s">
        <v>281</v>
      </c>
      <c r="N1790" s="178">
        <v>-140000000</v>
      </c>
      <c r="O1790" s="169" t="s">
        <v>1127</v>
      </c>
      <c r="P1790" s="169" t="s">
        <v>447</v>
      </c>
      <c r="Q1790" s="169" t="s">
        <v>284</v>
      </c>
      <c r="R1790" s="169" t="s">
        <v>283</v>
      </c>
      <c r="S1790" s="169" t="s">
        <v>283</v>
      </c>
      <c r="T1790" s="169">
        <v>0</v>
      </c>
    </row>
    <row r="1791" spans="1:20" x14ac:dyDescent="0.2">
      <c r="A1791" s="169" t="str">
        <f t="shared" si="6"/>
        <v>642</v>
      </c>
      <c r="B1791" s="167" t="str">
        <f>_xlfn.XLOOKUP(I1791,Mapping!D:D,Mapping!E:E)</f>
        <v>Cung Ứng</v>
      </c>
      <c r="C1791" s="167" t="str">
        <f>_xlfn.XLOOKUP(F1791,Mapping!A:A,Mapping!F:F)</f>
        <v>Thưởng</v>
      </c>
      <c r="D1791" s="173">
        <v>45930</v>
      </c>
      <c r="E1791" s="169" t="s">
        <v>1128</v>
      </c>
      <c r="F1791" s="169" t="s">
        <v>290</v>
      </c>
      <c r="G1791" s="169" t="s">
        <v>291</v>
      </c>
      <c r="H1791" s="169" t="s">
        <v>380</v>
      </c>
      <c r="I1791" s="169" t="s">
        <v>381</v>
      </c>
      <c r="J1791" s="169" t="s">
        <v>1123</v>
      </c>
      <c r="K1791" s="169" t="s">
        <v>1124</v>
      </c>
      <c r="L1791" s="169" t="s">
        <v>1048</v>
      </c>
      <c r="M1791" s="169" t="s">
        <v>281</v>
      </c>
      <c r="N1791" s="178">
        <v>140000000</v>
      </c>
      <c r="O1791" s="169" t="s">
        <v>1129</v>
      </c>
      <c r="P1791" s="169" t="s">
        <v>283</v>
      </c>
      <c r="Q1791" s="169" t="s">
        <v>325</v>
      </c>
      <c r="R1791" s="169" t="s">
        <v>283</v>
      </c>
      <c r="S1791" s="169" t="s">
        <v>283</v>
      </c>
      <c r="T1791" s="169">
        <v>0</v>
      </c>
    </row>
    <row r="1792" spans="1:20" x14ac:dyDescent="0.2">
      <c r="A1792" s="169" t="str">
        <f t="shared" ref="A1792:A1855" si="7">LEFT(F1792,3)</f>
        <v>642</v>
      </c>
      <c r="B1792" s="167" t="str">
        <f>_xlfn.XLOOKUP(I1792,Mapping!D:D,Mapping!E:E)</f>
        <v>Ban Giám Đốc</v>
      </c>
      <c r="C1792" s="167" t="str">
        <f>_xlfn.XLOOKUP(F1792,Mapping!A:A,Mapping!F:F)</f>
        <v>Lương Chính +T13</v>
      </c>
      <c r="D1792" s="173">
        <v>45961</v>
      </c>
      <c r="E1792" s="169" t="s">
        <v>1130</v>
      </c>
      <c r="F1792" s="169" t="s">
        <v>274</v>
      </c>
      <c r="G1792" s="169" t="s">
        <v>275</v>
      </c>
      <c r="H1792" s="169" t="s">
        <v>276</v>
      </c>
      <c r="I1792" s="169" t="s">
        <v>277</v>
      </c>
      <c r="J1792" s="169" t="s">
        <v>1131</v>
      </c>
      <c r="K1792" s="169" t="s">
        <v>1132</v>
      </c>
      <c r="L1792" s="169" t="s">
        <v>1133</v>
      </c>
      <c r="M1792" s="169" t="s">
        <v>281</v>
      </c>
      <c r="N1792" s="178">
        <v>1487828639</v>
      </c>
      <c r="O1792" s="169" t="s">
        <v>1134</v>
      </c>
      <c r="P1792" s="169" t="s">
        <v>283</v>
      </c>
      <c r="Q1792" s="169" t="s">
        <v>284</v>
      </c>
      <c r="R1792" s="169" t="s">
        <v>283</v>
      </c>
      <c r="S1792" s="169" t="s">
        <v>283</v>
      </c>
      <c r="T1792" s="169">
        <v>0</v>
      </c>
    </row>
    <row r="1793" spans="1:20" x14ac:dyDescent="0.2">
      <c r="A1793" s="169" t="str">
        <f t="shared" si="7"/>
        <v>642</v>
      </c>
      <c r="B1793" s="167" t="str">
        <f>_xlfn.XLOOKUP(I1793,Mapping!D:D,Mapping!E:E)</f>
        <v>Ban Giám Đốc</v>
      </c>
      <c r="C1793" s="167" t="str">
        <f>_xlfn.XLOOKUP(F1793,Mapping!A:A,Mapping!F:F)</f>
        <v>Lương Chính +T13</v>
      </c>
      <c r="D1793" s="173">
        <v>45961</v>
      </c>
      <c r="E1793" s="169" t="s">
        <v>1130</v>
      </c>
      <c r="F1793" s="169" t="s">
        <v>285</v>
      </c>
      <c r="G1793" s="169" t="s">
        <v>286</v>
      </c>
      <c r="H1793" s="169" t="s">
        <v>276</v>
      </c>
      <c r="I1793" s="169" t="s">
        <v>277</v>
      </c>
      <c r="J1793" s="169" t="s">
        <v>1131</v>
      </c>
      <c r="K1793" s="169" t="s">
        <v>1132</v>
      </c>
      <c r="L1793" s="169" t="s">
        <v>1133</v>
      </c>
      <c r="M1793" s="169" t="s">
        <v>281</v>
      </c>
      <c r="N1793" s="178">
        <v>19540909</v>
      </c>
      <c r="O1793" s="169" t="s">
        <v>1134</v>
      </c>
      <c r="P1793" s="169" t="s">
        <v>283</v>
      </c>
      <c r="Q1793" s="169" t="s">
        <v>284</v>
      </c>
      <c r="R1793" s="169" t="s">
        <v>283</v>
      </c>
      <c r="S1793" s="169" t="s">
        <v>283</v>
      </c>
      <c r="T1793" s="169">
        <v>0</v>
      </c>
    </row>
    <row r="1794" spans="1:20" x14ac:dyDescent="0.2">
      <c r="A1794" s="169" t="str">
        <f t="shared" si="7"/>
        <v>642</v>
      </c>
      <c r="B1794" s="167" t="str">
        <f>_xlfn.XLOOKUP(I1794,Mapping!D:D,Mapping!E:E)</f>
        <v>Ban Giám Đốc</v>
      </c>
      <c r="C1794" s="167" t="str">
        <f>_xlfn.XLOOKUP(F1794,Mapping!A:A,Mapping!F:F)</f>
        <v>Lương Chính +T13</v>
      </c>
      <c r="D1794" s="173">
        <v>45961</v>
      </c>
      <c r="E1794" s="169" t="s">
        <v>1135</v>
      </c>
      <c r="F1794" s="169" t="s">
        <v>285</v>
      </c>
      <c r="G1794" s="169" t="s">
        <v>286</v>
      </c>
      <c r="H1794" s="169" t="s">
        <v>276</v>
      </c>
      <c r="I1794" s="169" t="s">
        <v>277</v>
      </c>
      <c r="J1794" s="169" t="s">
        <v>1136</v>
      </c>
      <c r="K1794" s="169" t="s">
        <v>1132</v>
      </c>
      <c r="L1794" s="169" t="s">
        <v>1133</v>
      </c>
      <c r="M1794" s="169" t="s">
        <v>281</v>
      </c>
      <c r="N1794" s="178">
        <v>117657917</v>
      </c>
      <c r="O1794" s="169" t="s">
        <v>1137</v>
      </c>
      <c r="P1794" s="169" t="s">
        <v>283</v>
      </c>
      <c r="Q1794" s="169" t="s">
        <v>284</v>
      </c>
      <c r="R1794" s="169" t="s">
        <v>283</v>
      </c>
      <c r="S1794" s="169" t="s">
        <v>283</v>
      </c>
      <c r="T1794" s="169">
        <v>0</v>
      </c>
    </row>
    <row r="1795" spans="1:20" x14ac:dyDescent="0.2">
      <c r="A1795" s="169" t="str">
        <f t="shared" si="7"/>
        <v>642</v>
      </c>
      <c r="B1795" s="167" t="str">
        <f>_xlfn.XLOOKUP(I1795,Mapping!D:D,Mapping!E:E)</f>
        <v>Ban Giám Đốc</v>
      </c>
      <c r="C1795" s="167" t="str">
        <f>_xlfn.XLOOKUP(F1795,Mapping!A:A,Mapping!F:F)</f>
        <v>Thưởng</v>
      </c>
      <c r="D1795" s="173">
        <v>45961</v>
      </c>
      <c r="E1795" s="169" t="s">
        <v>1135</v>
      </c>
      <c r="F1795" s="169" t="s">
        <v>292</v>
      </c>
      <c r="G1795" s="169" t="s">
        <v>77</v>
      </c>
      <c r="H1795" s="169" t="s">
        <v>276</v>
      </c>
      <c r="I1795" s="169" t="s">
        <v>277</v>
      </c>
      <c r="J1795" s="169" t="s">
        <v>1138</v>
      </c>
      <c r="K1795" s="169" t="s">
        <v>1132</v>
      </c>
      <c r="L1795" s="169" t="s">
        <v>1133</v>
      </c>
      <c r="M1795" s="169" t="s">
        <v>281</v>
      </c>
      <c r="N1795" s="178">
        <v>108244342</v>
      </c>
      <c r="O1795" s="169" t="s">
        <v>1137</v>
      </c>
      <c r="P1795" s="169" t="s">
        <v>283</v>
      </c>
      <c r="Q1795" s="169" t="s">
        <v>284</v>
      </c>
      <c r="R1795" s="169" t="s">
        <v>283</v>
      </c>
      <c r="S1795" s="169" t="s">
        <v>283</v>
      </c>
      <c r="T1795" s="169">
        <v>0</v>
      </c>
    </row>
    <row r="1796" spans="1:20" x14ac:dyDescent="0.2">
      <c r="A1796" s="169" t="str">
        <f t="shared" si="7"/>
        <v>642</v>
      </c>
      <c r="B1796" s="167" t="str">
        <f>_xlfn.XLOOKUP(I1796,Mapping!D:D,Mapping!E:E)</f>
        <v>Ban Giám Đốc</v>
      </c>
      <c r="C1796" s="167" t="str">
        <f>_xlfn.XLOOKUP(F1796,Mapping!A:A,Mapping!F:F)</f>
        <v>BHXH, BHYT, KPCĐ</v>
      </c>
      <c r="D1796" s="173">
        <v>45961</v>
      </c>
      <c r="E1796" s="169" t="s">
        <v>1139</v>
      </c>
      <c r="F1796" s="169" t="s">
        <v>295</v>
      </c>
      <c r="G1796" s="169" t="s">
        <v>296</v>
      </c>
      <c r="H1796" s="169" t="s">
        <v>276</v>
      </c>
      <c r="I1796" s="169" t="s">
        <v>277</v>
      </c>
      <c r="J1796" s="169" t="s">
        <v>1140</v>
      </c>
      <c r="K1796" s="169" t="s">
        <v>1132</v>
      </c>
      <c r="L1796" s="169" t="s">
        <v>1133</v>
      </c>
      <c r="M1796" s="169" t="s">
        <v>281</v>
      </c>
      <c r="N1796" s="178">
        <v>126066950</v>
      </c>
      <c r="O1796" s="169" t="s">
        <v>1141</v>
      </c>
      <c r="P1796" s="169" t="s">
        <v>283</v>
      </c>
      <c r="Q1796" s="169" t="s">
        <v>284</v>
      </c>
      <c r="R1796" s="169" t="s">
        <v>283</v>
      </c>
      <c r="S1796" s="169" t="s">
        <v>283</v>
      </c>
      <c r="T1796" s="169">
        <v>0</v>
      </c>
    </row>
    <row r="1797" spans="1:20" x14ac:dyDescent="0.2">
      <c r="A1797" s="169" t="str">
        <f t="shared" si="7"/>
        <v>642</v>
      </c>
      <c r="B1797" s="167" t="str">
        <f>_xlfn.XLOOKUP(I1797,Mapping!D:D,Mapping!E:E)</f>
        <v>Văn Phòng Giám Đốc</v>
      </c>
      <c r="C1797" s="167" t="str">
        <f>_xlfn.XLOOKUP(F1797,Mapping!A:A,Mapping!F:F)</f>
        <v>Lương Chính +T13</v>
      </c>
      <c r="D1797" s="173">
        <v>45961</v>
      </c>
      <c r="E1797" s="169" t="s">
        <v>1130</v>
      </c>
      <c r="F1797" s="169" t="s">
        <v>274</v>
      </c>
      <c r="G1797" s="169" t="s">
        <v>275</v>
      </c>
      <c r="H1797" s="169" t="s">
        <v>320</v>
      </c>
      <c r="I1797" s="169" t="s">
        <v>321</v>
      </c>
      <c r="J1797" s="169" t="s">
        <v>1131</v>
      </c>
      <c r="K1797" s="169" t="s">
        <v>1132</v>
      </c>
      <c r="L1797" s="169" t="s">
        <v>1133</v>
      </c>
      <c r="M1797" s="169" t="s">
        <v>281</v>
      </c>
      <c r="N1797" s="178">
        <v>104858823</v>
      </c>
      <c r="O1797" s="169" t="s">
        <v>1134</v>
      </c>
      <c r="P1797" s="169" t="s">
        <v>283</v>
      </c>
      <c r="Q1797" s="169" t="s">
        <v>284</v>
      </c>
      <c r="R1797" s="169" t="s">
        <v>283</v>
      </c>
      <c r="S1797" s="169" t="s">
        <v>283</v>
      </c>
      <c r="T1797" s="169">
        <v>0</v>
      </c>
    </row>
    <row r="1798" spans="1:20" x14ac:dyDescent="0.2">
      <c r="A1798" s="169" t="str">
        <f t="shared" si="7"/>
        <v>642</v>
      </c>
      <c r="B1798" s="167" t="str">
        <f>_xlfn.XLOOKUP(I1798,Mapping!D:D,Mapping!E:E)</f>
        <v>Văn Phòng Giám Đốc</v>
      </c>
      <c r="C1798" s="167" t="str">
        <f>_xlfn.XLOOKUP(F1798,Mapping!A:A,Mapping!F:F)</f>
        <v>Lương Chính +T13</v>
      </c>
      <c r="D1798" s="173">
        <v>45961</v>
      </c>
      <c r="E1798" s="169" t="s">
        <v>1130</v>
      </c>
      <c r="F1798" s="169" t="s">
        <v>285</v>
      </c>
      <c r="G1798" s="169" t="s">
        <v>286</v>
      </c>
      <c r="H1798" s="169" t="s">
        <v>320</v>
      </c>
      <c r="I1798" s="169" t="s">
        <v>321</v>
      </c>
      <c r="J1798" s="169" t="s">
        <v>1131</v>
      </c>
      <c r="K1798" s="169" t="s">
        <v>1132</v>
      </c>
      <c r="L1798" s="169" t="s">
        <v>1133</v>
      </c>
      <c r="M1798" s="169" t="s">
        <v>281</v>
      </c>
      <c r="N1798" s="178">
        <v>7348076</v>
      </c>
      <c r="O1798" s="169" t="s">
        <v>1134</v>
      </c>
      <c r="P1798" s="169" t="s">
        <v>283</v>
      </c>
      <c r="Q1798" s="169" t="s">
        <v>284</v>
      </c>
      <c r="R1798" s="169" t="s">
        <v>283</v>
      </c>
      <c r="S1798" s="169" t="s">
        <v>283</v>
      </c>
      <c r="T1798" s="169">
        <v>0</v>
      </c>
    </row>
    <row r="1799" spans="1:20" x14ac:dyDescent="0.2">
      <c r="A1799" s="169" t="str">
        <f t="shared" si="7"/>
        <v>642</v>
      </c>
      <c r="B1799" s="167" t="str">
        <f>_xlfn.XLOOKUP(I1799,Mapping!D:D,Mapping!E:E)</f>
        <v>Văn Phòng Giám Đốc</v>
      </c>
      <c r="C1799" s="167" t="str">
        <f>_xlfn.XLOOKUP(F1799,Mapping!A:A,Mapping!F:F)</f>
        <v>Lương Chính +T13</v>
      </c>
      <c r="D1799" s="173">
        <v>45961</v>
      </c>
      <c r="E1799" s="169" t="s">
        <v>1135</v>
      </c>
      <c r="F1799" s="169" t="s">
        <v>285</v>
      </c>
      <c r="G1799" s="169" t="s">
        <v>286</v>
      </c>
      <c r="H1799" s="169" t="s">
        <v>320</v>
      </c>
      <c r="I1799" s="169" t="s">
        <v>321</v>
      </c>
      <c r="J1799" s="169" t="s">
        <v>1136</v>
      </c>
      <c r="K1799" s="169" t="s">
        <v>1132</v>
      </c>
      <c r="L1799" s="169" t="s">
        <v>1133</v>
      </c>
      <c r="M1799" s="169" t="s">
        <v>281</v>
      </c>
      <c r="N1799" s="178">
        <v>9604167</v>
      </c>
      <c r="O1799" s="169" t="s">
        <v>1137</v>
      </c>
      <c r="P1799" s="169" t="s">
        <v>283</v>
      </c>
      <c r="Q1799" s="169" t="s">
        <v>284</v>
      </c>
      <c r="R1799" s="169" t="s">
        <v>283</v>
      </c>
      <c r="S1799" s="169" t="s">
        <v>283</v>
      </c>
      <c r="T1799" s="169">
        <v>0</v>
      </c>
    </row>
    <row r="1800" spans="1:20" x14ac:dyDescent="0.2">
      <c r="A1800" s="169" t="str">
        <f t="shared" si="7"/>
        <v>642</v>
      </c>
      <c r="B1800" s="167" t="str">
        <f>_xlfn.XLOOKUP(I1800,Mapping!D:D,Mapping!E:E)</f>
        <v>Văn Phòng Giám Đốc</v>
      </c>
      <c r="C1800" s="167" t="str">
        <f>_xlfn.XLOOKUP(F1800,Mapping!A:A,Mapping!F:F)</f>
        <v>Thưởng</v>
      </c>
      <c r="D1800" s="173">
        <v>45961</v>
      </c>
      <c r="E1800" s="169" t="s">
        <v>1135</v>
      </c>
      <c r="F1800" s="169" t="s">
        <v>292</v>
      </c>
      <c r="G1800" s="169" t="s">
        <v>77</v>
      </c>
      <c r="H1800" s="169" t="s">
        <v>320</v>
      </c>
      <c r="I1800" s="169" t="s">
        <v>321</v>
      </c>
      <c r="J1800" s="169" t="s">
        <v>1138</v>
      </c>
      <c r="K1800" s="169" t="s">
        <v>1132</v>
      </c>
      <c r="L1800" s="169" t="s">
        <v>1133</v>
      </c>
      <c r="M1800" s="169" t="s">
        <v>281</v>
      </c>
      <c r="N1800" s="178">
        <v>8835757</v>
      </c>
      <c r="O1800" s="169" t="s">
        <v>1137</v>
      </c>
      <c r="P1800" s="169" t="s">
        <v>283</v>
      </c>
      <c r="Q1800" s="169" t="s">
        <v>284</v>
      </c>
      <c r="R1800" s="169" t="s">
        <v>283</v>
      </c>
      <c r="S1800" s="169" t="s">
        <v>283</v>
      </c>
      <c r="T1800" s="169">
        <v>0</v>
      </c>
    </row>
    <row r="1801" spans="1:20" x14ac:dyDescent="0.2">
      <c r="A1801" s="169" t="str">
        <f t="shared" si="7"/>
        <v>642</v>
      </c>
      <c r="B1801" s="167" t="str">
        <f>_xlfn.XLOOKUP(I1801,Mapping!D:D,Mapping!E:E)</f>
        <v>Văn Phòng Giám Đốc</v>
      </c>
      <c r="C1801" s="167" t="str">
        <f>_xlfn.XLOOKUP(F1801,Mapping!A:A,Mapping!F:F)</f>
        <v>Phụ Cấp</v>
      </c>
      <c r="D1801" s="173">
        <v>45958</v>
      </c>
      <c r="E1801" s="169" t="s">
        <v>1142</v>
      </c>
      <c r="F1801" s="169" t="s">
        <v>335</v>
      </c>
      <c r="G1801" s="169" t="s">
        <v>336</v>
      </c>
      <c r="H1801" s="169" t="s">
        <v>320</v>
      </c>
      <c r="I1801" s="169" t="s">
        <v>321</v>
      </c>
      <c r="J1801" s="169" t="s">
        <v>1143</v>
      </c>
      <c r="K1801" s="169" t="s">
        <v>992</v>
      </c>
      <c r="L1801" s="169" t="s">
        <v>1133</v>
      </c>
      <c r="M1801" s="169" t="s">
        <v>281</v>
      </c>
      <c r="N1801" s="178">
        <v>1975000</v>
      </c>
      <c r="O1801" s="169" t="s">
        <v>1144</v>
      </c>
      <c r="P1801" s="169" t="s">
        <v>283</v>
      </c>
      <c r="Q1801" s="169" t="s">
        <v>306</v>
      </c>
      <c r="R1801" s="169" t="s">
        <v>283</v>
      </c>
      <c r="S1801" s="169" t="s">
        <v>283</v>
      </c>
      <c r="T1801" s="169">
        <v>0</v>
      </c>
    </row>
    <row r="1802" spans="1:20" x14ac:dyDescent="0.2">
      <c r="A1802" s="169" t="str">
        <f t="shared" si="7"/>
        <v>642</v>
      </c>
      <c r="B1802" s="167" t="str">
        <f>_xlfn.XLOOKUP(I1802,Mapping!D:D,Mapping!E:E)</f>
        <v>Văn Phòng Giám Đốc</v>
      </c>
      <c r="C1802" s="167" t="str">
        <f>_xlfn.XLOOKUP(F1802,Mapping!A:A,Mapping!F:F)</f>
        <v>BHXH, BHYT, KPCĐ</v>
      </c>
      <c r="D1802" s="173">
        <v>45961</v>
      </c>
      <c r="E1802" s="169" t="s">
        <v>1139</v>
      </c>
      <c r="F1802" s="169" t="s">
        <v>295</v>
      </c>
      <c r="G1802" s="169" t="s">
        <v>296</v>
      </c>
      <c r="H1802" s="169" t="s">
        <v>320</v>
      </c>
      <c r="I1802" s="169" t="s">
        <v>321</v>
      </c>
      <c r="J1802" s="169" t="s">
        <v>1140</v>
      </c>
      <c r="K1802" s="169" t="s">
        <v>1132</v>
      </c>
      <c r="L1802" s="169" t="s">
        <v>1133</v>
      </c>
      <c r="M1802" s="169" t="s">
        <v>281</v>
      </c>
      <c r="N1802" s="178">
        <v>34958750</v>
      </c>
      <c r="O1802" s="169" t="s">
        <v>1141</v>
      </c>
      <c r="P1802" s="169" t="s">
        <v>283</v>
      </c>
      <c r="Q1802" s="169" t="s">
        <v>284</v>
      </c>
      <c r="R1802" s="169" t="s">
        <v>283</v>
      </c>
      <c r="S1802" s="169" t="s">
        <v>283</v>
      </c>
      <c r="T1802" s="169">
        <v>0</v>
      </c>
    </row>
    <row r="1803" spans="1:20" x14ac:dyDescent="0.2">
      <c r="A1803" s="169" t="str">
        <f t="shared" si="7"/>
        <v>642</v>
      </c>
      <c r="B1803" s="167" t="str">
        <f>_xlfn.XLOOKUP(I1803,Mapping!D:D,Mapping!E:E)</f>
        <v>Hành Chánh Nhân Sự</v>
      </c>
      <c r="C1803" s="167" t="str">
        <f>_xlfn.XLOOKUP(F1803,Mapping!A:A,Mapping!F:F)</f>
        <v>Phụ Cấp</v>
      </c>
      <c r="D1803" s="173">
        <v>45961</v>
      </c>
      <c r="E1803" s="169" t="s">
        <v>1130</v>
      </c>
      <c r="F1803" s="169" t="s">
        <v>340</v>
      </c>
      <c r="G1803" s="169" t="s">
        <v>341</v>
      </c>
      <c r="H1803" s="169" t="s">
        <v>301</v>
      </c>
      <c r="I1803" s="169" t="s">
        <v>302</v>
      </c>
      <c r="J1803" s="169" t="s">
        <v>1131</v>
      </c>
      <c r="K1803" s="169" t="s">
        <v>1132</v>
      </c>
      <c r="L1803" s="169" t="s">
        <v>1133</v>
      </c>
      <c r="M1803" s="169" t="s">
        <v>281</v>
      </c>
      <c r="N1803" s="178">
        <v>6535049</v>
      </c>
      <c r="O1803" s="169" t="s">
        <v>1134</v>
      </c>
      <c r="P1803" s="169" t="s">
        <v>283</v>
      </c>
      <c r="Q1803" s="169" t="s">
        <v>284</v>
      </c>
      <c r="R1803" s="169" t="s">
        <v>283</v>
      </c>
      <c r="S1803" s="169" t="s">
        <v>283</v>
      </c>
      <c r="T1803" s="169">
        <v>0</v>
      </c>
    </row>
    <row r="1804" spans="1:20" x14ac:dyDescent="0.2">
      <c r="A1804" s="169" t="str">
        <f t="shared" si="7"/>
        <v>642</v>
      </c>
      <c r="B1804" s="167" t="str">
        <f>_xlfn.XLOOKUP(I1804,Mapping!D:D,Mapping!E:E)</f>
        <v>Hành Chánh Nhân Sự</v>
      </c>
      <c r="C1804" s="167" t="str">
        <f>_xlfn.XLOOKUP(F1804,Mapping!A:A,Mapping!F:F)</f>
        <v>Lương Chính +T13</v>
      </c>
      <c r="D1804" s="173">
        <v>45961</v>
      </c>
      <c r="E1804" s="169" t="s">
        <v>1130</v>
      </c>
      <c r="F1804" s="169" t="s">
        <v>274</v>
      </c>
      <c r="G1804" s="169" t="s">
        <v>275</v>
      </c>
      <c r="H1804" s="169" t="s">
        <v>301</v>
      </c>
      <c r="I1804" s="169" t="s">
        <v>302</v>
      </c>
      <c r="J1804" s="169" t="s">
        <v>1131</v>
      </c>
      <c r="K1804" s="169" t="s">
        <v>1132</v>
      </c>
      <c r="L1804" s="169" t="s">
        <v>1133</v>
      </c>
      <c r="M1804" s="169" t="s">
        <v>281</v>
      </c>
      <c r="N1804" s="178">
        <v>448770683</v>
      </c>
      <c r="O1804" s="169" t="s">
        <v>1134</v>
      </c>
      <c r="P1804" s="169" t="s">
        <v>283</v>
      </c>
      <c r="Q1804" s="169" t="s">
        <v>284</v>
      </c>
      <c r="R1804" s="169" t="s">
        <v>283</v>
      </c>
      <c r="S1804" s="169" t="s">
        <v>283</v>
      </c>
      <c r="T1804" s="169">
        <v>0</v>
      </c>
    </row>
    <row r="1805" spans="1:20" x14ac:dyDescent="0.2">
      <c r="A1805" s="169" t="str">
        <f t="shared" si="7"/>
        <v>642</v>
      </c>
      <c r="B1805" s="167" t="str">
        <f>_xlfn.XLOOKUP(I1805,Mapping!D:D,Mapping!E:E)</f>
        <v>Hành Chánh Nhân Sự</v>
      </c>
      <c r="C1805" s="167" t="str">
        <f>_xlfn.XLOOKUP(F1805,Mapping!A:A,Mapping!F:F)</f>
        <v>Lương Chính +T13</v>
      </c>
      <c r="D1805" s="173">
        <v>45958</v>
      </c>
      <c r="E1805" s="169" t="s">
        <v>1145</v>
      </c>
      <c r="F1805" s="169" t="s">
        <v>274</v>
      </c>
      <c r="G1805" s="169" t="s">
        <v>275</v>
      </c>
      <c r="H1805" s="169" t="s">
        <v>301</v>
      </c>
      <c r="I1805" s="169" t="s">
        <v>302</v>
      </c>
      <c r="J1805" s="169" t="s">
        <v>1146</v>
      </c>
      <c r="K1805" s="169" t="s">
        <v>405</v>
      </c>
      <c r="L1805" s="169" t="s">
        <v>1133</v>
      </c>
      <c r="M1805" s="169" t="s">
        <v>281</v>
      </c>
      <c r="N1805" s="178">
        <v>3902261</v>
      </c>
      <c r="O1805" s="169" t="s">
        <v>1147</v>
      </c>
      <c r="P1805" s="169" t="s">
        <v>283</v>
      </c>
      <c r="Q1805" s="169" t="s">
        <v>306</v>
      </c>
      <c r="R1805" s="169" t="s">
        <v>283</v>
      </c>
      <c r="S1805" s="169" t="s">
        <v>283</v>
      </c>
      <c r="T1805" s="169">
        <v>0</v>
      </c>
    </row>
    <row r="1806" spans="1:20" x14ac:dyDescent="0.2">
      <c r="A1806" s="169" t="str">
        <f t="shared" si="7"/>
        <v>642</v>
      </c>
      <c r="B1806" s="167" t="str">
        <f>_xlfn.XLOOKUP(I1806,Mapping!D:D,Mapping!E:E)</f>
        <v>Hành Chánh Nhân Sự</v>
      </c>
      <c r="C1806" s="167" t="str">
        <f>_xlfn.XLOOKUP(F1806,Mapping!A:A,Mapping!F:F)</f>
        <v>Lương Chính +T13</v>
      </c>
      <c r="D1806" s="173">
        <v>45961</v>
      </c>
      <c r="E1806" s="169" t="s">
        <v>1148</v>
      </c>
      <c r="F1806" s="169" t="s">
        <v>274</v>
      </c>
      <c r="G1806" s="169" t="s">
        <v>275</v>
      </c>
      <c r="H1806" s="169" t="s">
        <v>301</v>
      </c>
      <c r="I1806" s="169" t="s">
        <v>302</v>
      </c>
      <c r="J1806" s="169" t="s">
        <v>1149</v>
      </c>
      <c r="K1806" s="169" t="s">
        <v>328</v>
      </c>
      <c r="L1806" s="169" t="s">
        <v>1133</v>
      </c>
      <c r="M1806" s="169" t="s">
        <v>281</v>
      </c>
      <c r="N1806" s="178">
        <v>92500000</v>
      </c>
      <c r="O1806" s="169" t="s">
        <v>1150</v>
      </c>
      <c r="P1806" s="169" t="s">
        <v>283</v>
      </c>
      <c r="Q1806" s="169" t="s">
        <v>306</v>
      </c>
      <c r="R1806" s="169" t="s">
        <v>283</v>
      </c>
      <c r="S1806" s="169" t="s">
        <v>283</v>
      </c>
      <c r="T1806" s="169">
        <v>0</v>
      </c>
    </row>
    <row r="1807" spans="1:20" x14ac:dyDescent="0.2">
      <c r="A1807" s="169" t="str">
        <f t="shared" si="7"/>
        <v>642</v>
      </c>
      <c r="B1807" s="167" t="str">
        <f>_xlfn.XLOOKUP(I1807,Mapping!D:D,Mapping!E:E)</f>
        <v>Hành Chánh Nhân Sự</v>
      </c>
      <c r="C1807" s="167" t="str">
        <f>_xlfn.XLOOKUP(F1807,Mapping!A:A,Mapping!F:F)</f>
        <v>Lương Chính +T13</v>
      </c>
      <c r="D1807" s="173">
        <v>45961</v>
      </c>
      <c r="E1807" s="169" t="s">
        <v>1130</v>
      </c>
      <c r="F1807" s="169" t="s">
        <v>285</v>
      </c>
      <c r="G1807" s="169" t="s">
        <v>286</v>
      </c>
      <c r="H1807" s="169" t="s">
        <v>301</v>
      </c>
      <c r="I1807" s="169" t="s">
        <v>302</v>
      </c>
      <c r="J1807" s="169" t="s">
        <v>1131</v>
      </c>
      <c r="K1807" s="169" t="s">
        <v>1132</v>
      </c>
      <c r="L1807" s="169" t="s">
        <v>1133</v>
      </c>
      <c r="M1807" s="169" t="s">
        <v>281</v>
      </c>
      <c r="N1807" s="178">
        <v>18945674</v>
      </c>
      <c r="O1807" s="169" t="s">
        <v>1134</v>
      </c>
      <c r="P1807" s="169" t="s">
        <v>283</v>
      </c>
      <c r="Q1807" s="169" t="s">
        <v>284</v>
      </c>
      <c r="R1807" s="169" t="s">
        <v>283</v>
      </c>
      <c r="S1807" s="169" t="s">
        <v>283</v>
      </c>
      <c r="T1807" s="169">
        <v>0</v>
      </c>
    </row>
    <row r="1808" spans="1:20" x14ac:dyDescent="0.2">
      <c r="A1808" s="169" t="str">
        <f t="shared" si="7"/>
        <v>642</v>
      </c>
      <c r="B1808" s="167" t="str">
        <f>_xlfn.XLOOKUP(I1808,Mapping!D:D,Mapping!E:E)</f>
        <v>Hành Chánh Nhân Sự</v>
      </c>
      <c r="C1808" s="167" t="str">
        <f>_xlfn.XLOOKUP(F1808,Mapping!A:A,Mapping!F:F)</f>
        <v>Lương Chính +T13</v>
      </c>
      <c r="D1808" s="173">
        <v>45961</v>
      </c>
      <c r="E1808" s="169" t="s">
        <v>1135</v>
      </c>
      <c r="F1808" s="169" t="s">
        <v>285</v>
      </c>
      <c r="G1808" s="169" t="s">
        <v>286</v>
      </c>
      <c r="H1808" s="169" t="s">
        <v>301</v>
      </c>
      <c r="I1808" s="169" t="s">
        <v>302</v>
      </c>
      <c r="J1808" s="169" t="s">
        <v>1136</v>
      </c>
      <c r="K1808" s="169" t="s">
        <v>1132</v>
      </c>
      <c r="L1808" s="169" t="s">
        <v>1133</v>
      </c>
      <c r="M1808" s="169" t="s">
        <v>281</v>
      </c>
      <c r="N1808" s="178">
        <v>41796426</v>
      </c>
      <c r="O1808" s="169" t="s">
        <v>1137</v>
      </c>
      <c r="P1808" s="169" t="s">
        <v>283</v>
      </c>
      <c r="Q1808" s="169" t="s">
        <v>284</v>
      </c>
      <c r="R1808" s="169" t="s">
        <v>283</v>
      </c>
      <c r="S1808" s="169" t="s">
        <v>283</v>
      </c>
      <c r="T1808" s="169">
        <v>0</v>
      </c>
    </row>
    <row r="1809" spans="1:20" x14ac:dyDescent="0.2">
      <c r="A1809" s="169" t="str">
        <f t="shared" si="7"/>
        <v>642</v>
      </c>
      <c r="B1809" s="167" t="str">
        <f>_xlfn.XLOOKUP(I1809,Mapping!D:D,Mapping!E:E)</f>
        <v>Hành Chánh Nhân Sự</v>
      </c>
      <c r="C1809" s="167" t="str">
        <f>_xlfn.XLOOKUP(F1809,Mapping!A:A,Mapping!F:F)</f>
        <v>Lương Ngoài giờ</v>
      </c>
      <c r="D1809" s="173">
        <v>45961</v>
      </c>
      <c r="E1809" s="169" t="s">
        <v>1130</v>
      </c>
      <c r="F1809" s="169" t="s">
        <v>342</v>
      </c>
      <c r="G1809" s="169" t="s">
        <v>343</v>
      </c>
      <c r="H1809" s="169" t="s">
        <v>301</v>
      </c>
      <c r="I1809" s="169" t="s">
        <v>302</v>
      </c>
      <c r="J1809" s="169" t="s">
        <v>1131</v>
      </c>
      <c r="K1809" s="169" t="s">
        <v>1132</v>
      </c>
      <c r="L1809" s="169" t="s">
        <v>1133</v>
      </c>
      <c r="M1809" s="169" t="s">
        <v>281</v>
      </c>
      <c r="N1809" s="178">
        <v>81483867</v>
      </c>
      <c r="O1809" s="169" t="s">
        <v>1134</v>
      </c>
      <c r="P1809" s="169" t="s">
        <v>283</v>
      </c>
      <c r="Q1809" s="169" t="s">
        <v>284</v>
      </c>
      <c r="R1809" s="169" t="s">
        <v>283</v>
      </c>
      <c r="S1809" s="169" t="s">
        <v>283</v>
      </c>
      <c r="T1809" s="169">
        <v>0</v>
      </c>
    </row>
    <row r="1810" spans="1:20" x14ac:dyDescent="0.2">
      <c r="A1810" s="169" t="str">
        <f t="shared" si="7"/>
        <v>642</v>
      </c>
      <c r="B1810" s="167" t="str">
        <f>_xlfn.XLOOKUP(I1810,Mapping!D:D,Mapping!E:E)</f>
        <v>Hành Chánh Nhân Sự</v>
      </c>
      <c r="C1810" s="167" t="str">
        <f>_xlfn.XLOOKUP(F1810,Mapping!A:A,Mapping!F:F)</f>
        <v>Thưởng</v>
      </c>
      <c r="D1810" s="173">
        <v>45961</v>
      </c>
      <c r="E1810" s="169" t="s">
        <v>1135</v>
      </c>
      <c r="F1810" s="169" t="s">
        <v>292</v>
      </c>
      <c r="G1810" s="169" t="s">
        <v>77</v>
      </c>
      <c r="H1810" s="169" t="s">
        <v>301</v>
      </c>
      <c r="I1810" s="169" t="s">
        <v>302</v>
      </c>
      <c r="J1810" s="169" t="s">
        <v>1138</v>
      </c>
      <c r="K1810" s="169" t="s">
        <v>1132</v>
      </c>
      <c r="L1810" s="169" t="s">
        <v>1133</v>
      </c>
      <c r="M1810" s="169" t="s">
        <v>281</v>
      </c>
      <c r="N1810" s="178">
        <v>33113485</v>
      </c>
      <c r="O1810" s="169" t="s">
        <v>1137</v>
      </c>
      <c r="P1810" s="169" t="s">
        <v>283</v>
      </c>
      <c r="Q1810" s="169" t="s">
        <v>284</v>
      </c>
      <c r="R1810" s="169" t="s">
        <v>283</v>
      </c>
      <c r="S1810" s="169" t="s">
        <v>283</v>
      </c>
      <c r="T1810" s="169">
        <v>0</v>
      </c>
    </row>
    <row r="1811" spans="1:20" x14ac:dyDescent="0.2">
      <c r="A1811" s="169" t="str">
        <f t="shared" si="7"/>
        <v>642</v>
      </c>
      <c r="B1811" s="167" t="str">
        <f>_xlfn.XLOOKUP(I1811,Mapping!D:D,Mapping!E:E)</f>
        <v>Hành Chánh Nhân Sự</v>
      </c>
      <c r="C1811" s="167" t="str">
        <f>_xlfn.XLOOKUP(F1811,Mapping!A:A,Mapping!F:F)</f>
        <v>Phụ Cấp</v>
      </c>
      <c r="D1811" s="173">
        <v>45961</v>
      </c>
      <c r="E1811" s="169" t="s">
        <v>1130</v>
      </c>
      <c r="F1811" s="169" t="s">
        <v>335</v>
      </c>
      <c r="G1811" s="169" t="s">
        <v>336</v>
      </c>
      <c r="H1811" s="169" t="s">
        <v>301</v>
      </c>
      <c r="I1811" s="169" t="s">
        <v>302</v>
      </c>
      <c r="J1811" s="169" t="s">
        <v>1131</v>
      </c>
      <c r="K1811" s="169" t="s">
        <v>1132</v>
      </c>
      <c r="L1811" s="169" t="s">
        <v>1133</v>
      </c>
      <c r="M1811" s="169" t="s">
        <v>281</v>
      </c>
      <c r="N1811" s="178">
        <v>5280000</v>
      </c>
      <c r="O1811" s="169" t="s">
        <v>1134</v>
      </c>
      <c r="P1811" s="169" t="s">
        <v>283</v>
      </c>
      <c r="Q1811" s="169" t="s">
        <v>284</v>
      </c>
      <c r="R1811" s="169" t="s">
        <v>283</v>
      </c>
      <c r="S1811" s="169" t="s">
        <v>283</v>
      </c>
      <c r="T1811" s="169">
        <v>0</v>
      </c>
    </row>
    <row r="1812" spans="1:20" x14ac:dyDescent="0.2">
      <c r="A1812" s="169" t="str">
        <f t="shared" si="7"/>
        <v>642</v>
      </c>
      <c r="B1812" s="167" t="str">
        <f>_xlfn.XLOOKUP(I1812,Mapping!D:D,Mapping!E:E)</f>
        <v>Hành Chánh Nhân Sự</v>
      </c>
      <c r="C1812" s="167" t="str">
        <f>_xlfn.XLOOKUP(F1812,Mapping!A:A,Mapping!F:F)</f>
        <v>Phụ Cấp</v>
      </c>
      <c r="D1812" s="173">
        <v>45958</v>
      </c>
      <c r="E1812" s="169" t="s">
        <v>1142</v>
      </c>
      <c r="F1812" s="169" t="s">
        <v>335</v>
      </c>
      <c r="G1812" s="169" t="s">
        <v>336</v>
      </c>
      <c r="H1812" s="169" t="s">
        <v>301</v>
      </c>
      <c r="I1812" s="169" t="s">
        <v>302</v>
      </c>
      <c r="J1812" s="169" t="s">
        <v>1143</v>
      </c>
      <c r="K1812" s="169" t="s">
        <v>992</v>
      </c>
      <c r="L1812" s="169" t="s">
        <v>1133</v>
      </c>
      <c r="M1812" s="169" t="s">
        <v>281</v>
      </c>
      <c r="N1812" s="178">
        <v>26300000</v>
      </c>
      <c r="O1812" s="169" t="s">
        <v>1144</v>
      </c>
      <c r="P1812" s="169" t="s">
        <v>283</v>
      </c>
      <c r="Q1812" s="169" t="s">
        <v>306</v>
      </c>
      <c r="R1812" s="169" t="s">
        <v>283</v>
      </c>
      <c r="S1812" s="169" t="s">
        <v>283</v>
      </c>
      <c r="T1812" s="169">
        <v>0</v>
      </c>
    </row>
    <row r="1813" spans="1:20" x14ac:dyDescent="0.2">
      <c r="A1813" s="169" t="str">
        <f t="shared" si="7"/>
        <v>642</v>
      </c>
      <c r="B1813" s="167" t="str">
        <f>_xlfn.XLOOKUP(I1813,Mapping!D:D,Mapping!E:E)</f>
        <v>Hành Chánh Nhân Sự</v>
      </c>
      <c r="C1813" s="167" t="str">
        <f>_xlfn.XLOOKUP(F1813,Mapping!A:A,Mapping!F:F)</f>
        <v>Phụ Cấp</v>
      </c>
      <c r="D1813" s="173">
        <v>45961</v>
      </c>
      <c r="E1813" s="169" t="s">
        <v>1151</v>
      </c>
      <c r="F1813" s="169" t="s">
        <v>335</v>
      </c>
      <c r="G1813" s="169" t="s">
        <v>336</v>
      </c>
      <c r="H1813" s="169" t="s">
        <v>301</v>
      </c>
      <c r="I1813" s="169" t="s">
        <v>302</v>
      </c>
      <c r="J1813" s="169" t="s">
        <v>1152</v>
      </c>
      <c r="K1813" s="169" t="s">
        <v>1153</v>
      </c>
      <c r="L1813" s="169" t="s">
        <v>1133</v>
      </c>
      <c r="M1813" s="169" t="s">
        <v>281</v>
      </c>
      <c r="N1813" s="178">
        <v>1417000</v>
      </c>
      <c r="O1813" s="169" t="s">
        <v>1154</v>
      </c>
      <c r="P1813" s="169" t="s">
        <v>283</v>
      </c>
      <c r="Q1813" s="169" t="s">
        <v>306</v>
      </c>
      <c r="R1813" s="169" t="s">
        <v>283</v>
      </c>
      <c r="S1813" s="169" t="s">
        <v>283</v>
      </c>
      <c r="T1813" s="169">
        <v>0</v>
      </c>
    </row>
    <row r="1814" spans="1:20" x14ac:dyDescent="0.2">
      <c r="A1814" s="169" t="str">
        <f t="shared" si="7"/>
        <v>642</v>
      </c>
      <c r="B1814" s="167" t="str">
        <f>_xlfn.XLOOKUP(I1814,Mapping!D:D,Mapping!E:E)</f>
        <v>Hành Chánh Nhân Sự</v>
      </c>
      <c r="C1814" s="167" t="str">
        <f>_xlfn.XLOOKUP(F1814,Mapping!A:A,Mapping!F:F)</f>
        <v>BHXH, BHYT, KPCĐ</v>
      </c>
      <c r="D1814" s="173">
        <v>45961</v>
      </c>
      <c r="E1814" s="169" t="s">
        <v>1139</v>
      </c>
      <c r="F1814" s="169" t="s">
        <v>295</v>
      </c>
      <c r="G1814" s="169" t="s">
        <v>296</v>
      </c>
      <c r="H1814" s="169" t="s">
        <v>301</v>
      </c>
      <c r="I1814" s="169" t="s">
        <v>302</v>
      </c>
      <c r="J1814" s="169" t="s">
        <v>1140</v>
      </c>
      <c r="K1814" s="169" t="s">
        <v>1132</v>
      </c>
      <c r="L1814" s="169" t="s">
        <v>1133</v>
      </c>
      <c r="M1814" s="169" t="s">
        <v>281</v>
      </c>
      <c r="N1814" s="178">
        <v>112883030</v>
      </c>
      <c r="O1814" s="169" t="s">
        <v>1141</v>
      </c>
      <c r="P1814" s="169" t="s">
        <v>283</v>
      </c>
      <c r="Q1814" s="169" t="s">
        <v>284</v>
      </c>
      <c r="R1814" s="169" t="s">
        <v>283</v>
      </c>
      <c r="S1814" s="169" t="s">
        <v>283</v>
      </c>
      <c r="T1814" s="169">
        <v>0</v>
      </c>
    </row>
    <row r="1815" spans="1:20" x14ac:dyDescent="0.2">
      <c r="A1815" s="169" t="str">
        <f t="shared" si="7"/>
        <v>642</v>
      </c>
      <c r="B1815" s="167" t="str">
        <f>_xlfn.XLOOKUP(I1815,Mapping!D:D,Mapping!E:E)</f>
        <v>Hành Chánh Nhân Sự</v>
      </c>
      <c r="C1815" s="167" t="str">
        <f>_xlfn.XLOOKUP(F1815,Mapping!A:A,Mapping!F:F)</f>
        <v>Khen thưởng BD khác</v>
      </c>
      <c r="D1815" s="173">
        <v>45961</v>
      </c>
      <c r="E1815" s="169" t="s">
        <v>1155</v>
      </c>
      <c r="F1815" s="169" t="s">
        <v>300</v>
      </c>
      <c r="G1815" s="169" t="s">
        <v>222</v>
      </c>
      <c r="H1815" s="169" t="s">
        <v>301</v>
      </c>
      <c r="I1815" s="169" t="s">
        <v>302</v>
      </c>
      <c r="J1815" s="169" t="s">
        <v>1156</v>
      </c>
      <c r="K1815" s="169" t="s">
        <v>1157</v>
      </c>
      <c r="L1815" s="169" t="s">
        <v>1133</v>
      </c>
      <c r="M1815" s="169" t="s">
        <v>281</v>
      </c>
      <c r="N1815" s="178">
        <v>6000000</v>
      </c>
      <c r="O1815" s="169" t="s">
        <v>1158</v>
      </c>
      <c r="P1815" s="169" t="s">
        <v>283</v>
      </c>
      <c r="Q1815" s="169" t="s">
        <v>306</v>
      </c>
      <c r="R1815" s="169" t="s">
        <v>283</v>
      </c>
      <c r="S1815" s="169" t="s">
        <v>283</v>
      </c>
      <c r="T1815" s="169">
        <v>0</v>
      </c>
    </row>
    <row r="1816" spans="1:20" x14ac:dyDescent="0.2">
      <c r="A1816" s="169" t="str">
        <f t="shared" si="7"/>
        <v>642</v>
      </c>
      <c r="B1816" s="167" t="str">
        <f>_xlfn.XLOOKUP(I1816,Mapping!D:D,Mapping!E:E)</f>
        <v>Kế Toán</v>
      </c>
      <c r="C1816" s="167" t="str">
        <f>_xlfn.XLOOKUP(F1816,Mapping!A:A,Mapping!F:F)</f>
        <v>Lương Chính +T13</v>
      </c>
      <c r="D1816" s="173">
        <v>45961</v>
      </c>
      <c r="E1816" s="169" t="s">
        <v>1130</v>
      </c>
      <c r="F1816" s="169" t="s">
        <v>274</v>
      </c>
      <c r="G1816" s="169" t="s">
        <v>275</v>
      </c>
      <c r="H1816" s="169" t="s">
        <v>356</v>
      </c>
      <c r="I1816" s="169" t="s">
        <v>357</v>
      </c>
      <c r="J1816" s="169" t="s">
        <v>1131</v>
      </c>
      <c r="K1816" s="169" t="s">
        <v>1132</v>
      </c>
      <c r="L1816" s="169" t="s">
        <v>1133</v>
      </c>
      <c r="M1816" s="169" t="s">
        <v>281</v>
      </c>
      <c r="N1816" s="178">
        <v>520219272</v>
      </c>
      <c r="O1816" s="169" t="s">
        <v>1134</v>
      </c>
      <c r="P1816" s="169" t="s">
        <v>283</v>
      </c>
      <c r="Q1816" s="169" t="s">
        <v>284</v>
      </c>
      <c r="R1816" s="169" t="s">
        <v>283</v>
      </c>
      <c r="S1816" s="169" t="s">
        <v>283</v>
      </c>
      <c r="T1816" s="169">
        <v>0</v>
      </c>
    </row>
    <row r="1817" spans="1:20" x14ac:dyDescent="0.2">
      <c r="A1817" s="169" t="str">
        <f t="shared" si="7"/>
        <v>642</v>
      </c>
      <c r="B1817" s="167" t="str">
        <f>_xlfn.XLOOKUP(I1817,Mapping!D:D,Mapping!E:E)</f>
        <v>Kế Toán</v>
      </c>
      <c r="C1817" s="167" t="str">
        <f>_xlfn.XLOOKUP(F1817,Mapping!A:A,Mapping!F:F)</f>
        <v>Lương Chính +T13</v>
      </c>
      <c r="D1817" s="173">
        <v>45961</v>
      </c>
      <c r="E1817" s="169" t="s">
        <v>1130</v>
      </c>
      <c r="F1817" s="169" t="s">
        <v>285</v>
      </c>
      <c r="G1817" s="169" t="s">
        <v>286</v>
      </c>
      <c r="H1817" s="169" t="s">
        <v>356</v>
      </c>
      <c r="I1817" s="169" t="s">
        <v>357</v>
      </c>
      <c r="J1817" s="169" t="s">
        <v>1131</v>
      </c>
      <c r="K1817" s="169" t="s">
        <v>1132</v>
      </c>
      <c r="L1817" s="169" t="s">
        <v>1133</v>
      </c>
      <c r="M1817" s="169" t="s">
        <v>281</v>
      </c>
      <c r="N1817" s="178">
        <v>21847179</v>
      </c>
      <c r="O1817" s="169" t="s">
        <v>1134</v>
      </c>
      <c r="P1817" s="169" t="s">
        <v>283</v>
      </c>
      <c r="Q1817" s="169" t="s">
        <v>284</v>
      </c>
      <c r="R1817" s="169" t="s">
        <v>283</v>
      </c>
      <c r="S1817" s="169" t="s">
        <v>283</v>
      </c>
      <c r="T1817" s="169">
        <v>0</v>
      </c>
    </row>
    <row r="1818" spans="1:20" x14ac:dyDescent="0.2">
      <c r="A1818" s="169" t="str">
        <f t="shared" si="7"/>
        <v>642</v>
      </c>
      <c r="B1818" s="167" t="str">
        <f>_xlfn.XLOOKUP(I1818,Mapping!D:D,Mapping!E:E)</f>
        <v>Kế Toán</v>
      </c>
      <c r="C1818" s="167" t="str">
        <f>_xlfn.XLOOKUP(F1818,Mapping!A:A,Mapping!F:F)</f>
        <v>Lương Ngoài giờ</v>
      </c>
      <c r="D1818" s="173">
        <v>45961</v>
      </c>
      <c r="E1818" s="169" t="s">
        <v>1130</v>
      </c>
      <c r="F1818" s="169" t="s">
        <v>342</v>
      </c>
      <c r="G1818" s="169" t="s">
        <v>343</v>
      </c>
      <c r="H1818" s="169" t="s">
        <v>356</v>
      </c>
      <c r="I1818" s="169" t="s">
        <v>357</v>
      </c>
      <c r="J1818" s="169" t="s">
        <v>1131</v>
      </c>
      <c r="K1818" s="169" t="s">
        <v>1132</v>
      </c>
      <c r="L1818" s="169" t="s">
        <v>1133</v>
      </c>
      <c r="M1818" s="169" t="s">
        <v>281</v>
      </c>
      <c r="N1818" s="178">
        <v>47228200</v>
      </c>
      <c r="O1818" s="169" t="s">
        <v>1134</v>
      </c>
      <c r="P1818" s="169" t="s">
        <v>283</v>
      </c>
      <c r="Q1818" s="169" t="s">
        <v>284</v>
      </c>
      <c r="R1818" s="169" t="s">
        <v>283</v>
      </c>
      <c r="S1818" s="169" t="s">
        <v>283</v>
      </c>
      <c r="T1818" s="169">
        <v>0</v>
      </c>
    </row>
    <row r="1819" spans="1:20" x14ac:dyDescent="0.2">
      <c r="A1819" s="169" t="str">
        <f t="shared" si="7"/>
        <v>642</v>
      </c>
      <c r="B1819" s="167" t="str">
        <f>_xlfn.XLOOKUP(I1819,Mapping!D:D,Mapping!E:E)</f>
        <v>Kế Toán</v>
      </c>
      <c r="C1819" s="167" t="str">
        <f>_xlfn.XLOOKUP(F1819,Mapping!A:A,Mapping!F:F)</f>
        <v>Phụ Cấp</v>
      </c>
      <c r="D1819" s="173">
        <v>45961</v>
      </c>
      <c r="E1819" s="169" t="s">
        <v>1130</v>
      </c>
      <c r="F1819" s="169" t="s">
        <v>335</v>
      </c>
      <c r="G1819" s="169" t="s">
        <v>336</v>
      </c>
      <c r="H1819" s="169" t="s">
        <v>356</v>
      </c>
      <c r="I1819" s="169" t="s">
        <v>357</v>
      </c>
      <c r="J1819" s="169" t="s">
        <v>1131</v>
      </c>
      <c r="K1819" s="169" t="s">
        <v>1132</v>
      </c>
      <c r="L1819" s="169" t="s">
        <v>1133</v>
      </c>
      <c r="M1819" s="169" t="s">
        <v>281</v>
      </c>
      <c r="N1819" s="178">
        <v>2260000</v>
      </c>
      <c r="O1819" s="169" t="s">
        <v>1134</v>
      </c>
      <c r="P1819" s="169" t="s">
        <v>283</v>
      </c>
      <c r="Q1819" s="169" t="s">
        <v>284</v>
      </c>
      <c r="R1819" s="169" t="s">
        <v>283</v>
      </c>
      <c r="S1819" s="169" t="s">
        <v>283</v>
      </c>
      <c r="T1819" s="169">
        <v>0</v>
      </c>
    </row>
    <row r="1820" spans="1:20" x14ac:dyDescent="0.2">
      <c r="A1820" s="169" t="str">
        <f t="shared" si="7"/>
        <v>642</v>
      </c>
      <c r="B1820" s="167" t="str">
        <f>_xlfn.XLOOKUP(I1820,Mapping!D:D,Mapping!E:E)</f>
        <v>Hành Chánh Nhân Sự</v>
      </c>
      <c r="C1820" s="167" t="str">
        <f>_xlfn.XLOOKUP(F1820,Mapping!A:A,Mapping!F:F)</f>
        <v>Lương Chính +T13</v>
      </c>
      <c r="D1820" s="173">
        <v>45961</v>
      </c>
      <c r="E1820" s="169" t="s">
        <v>1130</v>
      </c>
      <c r="F1820" s="169" t="s">
        <v>274</v>
      </c>
      <c r="G1820" s="169" t="s">
        <v>275</v>
      </c>
      <c r="H1820" s="169" t="s">
        <v>358</v>
      </c>
      <c r="I1820" s="169" t="s">
        <v>359</v>
      </c>
      <c r="J1820" s="169" t="s">
        <v>1131</v>
      </c>
      <c r="K1820" s="169" t="s">
        <v>1132</v>
      </c>
      <c r="L1820" s="169" t="s">
        <v>1133</v>
      </c>
      <c r="M1820" s="169" t="s">
        <v>281</v>
      </c>
      <c r="N1820" s="178">
        <v>99960011</v>
      </c>
      <c r="O1820" s="169" t="s">
        <v>1134</v>
      </c>
      <c r="P1820" s="169" t="s">
        <v>283</v>
      </c>
      <c r="Q1820" s="169" t="s">
        <v>284</v>
      </c>
      <c r="R1820" s="169" t="s">
        <v>283</v>
      </c>
      <c r="S1820" s="169" t="s">
        <v>283</v>
      </c>
      <c r="T1820" s="169">
        <v>0</v>
      </c>
    </row>
    <row r="1821" spans="1:20" x14ac:dyDescent="0.2">
      <c r="A1821" s="169" t="str">
        <f t="shared" si="7"/>
        <v>642</v>
      </c>
      <c r="B1821" s="167" t="str">
        <f>_xlfn.XLOOKUP(I1821,Mapping!D:D,Mapping!E:E)</f>
        <v>Hành Chánh Nhân Sự</v>
      </c>
      <c r="C1821" s="167" t="str">
        <f>_xlfn.XLOOKUP(F1821,Mapping!A:A,Mapping!F:F)</f>
        <v>Lương Chính +T13</v>
      </c>
      <c r="D1821" s="173">
        <v>45961</v>
      </c>
      <c r="E1821" s="169" t="s">
        <v>1130</v>
      </c>
      <c r="F1821" s="169" t="s">
        <v>285</v>
      </c>
      <c r="G1821" s="169" t="s">
        <v>286</v>
      </c>
      <c r="H1821" s="169" t="s">
        <v>358</v>
      </c>
      <c r="I1821" s="169" t="s">
        <v>359</v>
      </c>
      <c r="J1821" s="169" t="s">
        <v>1131</v>
      </c>
      <c r="K1821" s="169" t="s">
        <v>1132</v>
      </c>
      <c r="L1821" s="169" t="s">
        <v>1133</v>
      </c>
      <c r="M1821" s="169" t="s">
        <v>281</v>
      </c>
      <c r="N1821" s="178">
        <v>3046153</v>
      </c>
      <c r="O1821" s="169" t="s">
        <v>1134</v>
      </c>
      <c r="P1821" s="169" t="s">
        <v>283</v>
      </c>
      <c r="Q1821" s="169" t="s">
        <v>284</v>
      </c>
      <c r="R1821" s="169" t="s">
        <v>283</v>
      </c>
      <c r="S1821" s="169" t="s">
        <v>283</v>
      </c>
      <c r="T1821" s="169">
        <v>0</v>
      </c>
    </row>
    <row r="1822" spans="1:20" x14ac:dyDescent="0.2">
      <c r="A1822" s="169" t="str">
        <f t="shared" si="7"/>
        <v>642</v>
      </c>
      <c r="B1822" s="167" t="str">
        <f>_xlfn.XLOOKUP(I1822,Mapping!D:D,Mapping!E:E)</f>
        <v>Kế Toán</v>
      </c>
      <c r="C1822" s="167" t="str">
        <f>_xlfn.XLOOKUP(F1822,Mapping!A:A,Mapping!F:F)</f>
        <v>Lương Chính +T13</v>
      </c>
      <c r="D1822" s="173">
        <v>45961</v>
      </c>
      <c r="E1822" s="169" t="s">
        <v>1135</v>
      </c>
      <c r="F1822" s="169" t="s">
        <v>285</v>
      </c>
      <c r="G1822" s="169" t="s">
        <v>286</v>
      </c>
      <c r="H1822" s="169" t="s">
        <v>356</v>
      </c>
      <c r="I1822" s="169" t="s">
        <v>357</v>
      </c>
      <c r="J1822" s="169" t="s">
        <v>1136</v>
      </c>
      <c r="K1822" s="169" t="s">
        <v>1132</v>
      </c>
      <c r="L1822" s="169" t="s">
        <v>1133</v>
      </c>
      <c r="M1822" s="169" t="s">
        <v>281</v>
      </c>
      <c r="N1822" s="178">
        <v>44763763</v>
      </c>
      <c r="O1822" s="169" t="s">
        <v>1137</v>
      </c>
      <c r="P1822" s="169" t="s">
        <v>283</v>
      </c>
      <c r="Q1822" s="169" t="s">
        <v>284</v>
      </c>
      <c r="R1822" s="169" t="s">
        <v>283</v>
      </c>
      <c r="S1822" s="169" t="s">
        <v>283</v>
      </c>
      <c r="T1822" s="169">
        <v>0</v>
      </c>
    </row>
    <row r="1823" spans="1:20" x14ac:dyDescent="0.2">
      <c r="A1823" s="169" t="str">
        <f t="shared" si="7"/>
        <v>642</v>
      </c>
      <c r="B1823" s="167" t="str">
        <f>_xlfn.XLOOKUP(I1823,Mapping!D:D,Mapping!E:E)</f>
        <v>Kế Toán</v>
      </c>
      <c r="C1823" s="167" t="str">
        <f>_xlfn.XLOOKUP(F1823,Mapping!A:A,Mapping!F:F)</f>
        <v>Thưởng</v>
      </c>
      <c r="D1823" s="173">
        <v>45961</v>
      </c>
      <c r="E1823" s="169" t="s">
        <v>1135</v>
      </c>
      <c r="F1823" s="169" t="s">
        <v>292</v>
      </c>
      <c r="G1823" s="169" t="s">
        <v>77</v>
      </c>
      <c r="H1823" s="169" t="s">
        <v>356</v>
      </c>
      <c r="I1823" s="169" t="s">
        <v>357</v>
      </c>
      <c r="J1823" s="169" t="s">
        <v>1138</v>
      </c>
      <c r="K1823" s="169" t="s">
        <v>1132</v>
      </c>
      <c r="L1823" s="169" t="s">
        <v>1133</v>
      </c>
      <c r="M1823" s="169" t="s">
        <v>281</v>
      </c>
      <c r="N1823" s="178">
        <v>40738856</v>
      </c>
      <c r="O1823" s="169" t="s">
        <v>1137</v>
      </c>
      <c r="P1823" s="169" t="s">
        <v>283</v>
      </c>
      <c r="Q1823" s="169" t="s">
        <v>284</v>
      </c>
      <c r="R1823" s="169" t="s">
        <v>283</v>
      </c>
      <c r="S1823" s="169" t="s">
        <v>283</v>
      </c>
      <c r="T1823" s="169">
        <v>0</v>
      </c>
    </row>
    <row r="1824" spans="1:20" x14ac:dyDescent="0.2">
      <c r="A1824" s="169" t="str">
        <f t="shared" si="7"/>
        <v>642</v>
      </c>
      <c r="B1824" s="167" t="str">
        <f>_xlfn.XLOOKUP(I1824,Mapping!D:D,Mapping!E:E)</f>
        <v>Hành Chánh Nhân Sự</v>
      </c>
      <c r="C1824" s="167" t="str">
        <f>_xlfn.XLOOKUP(F1824,Mapping!A:A,Mapping!F:F)</f>
        <v>Lương Chính +T13</v>
      </c>
      <c r="D1824" s="173">
        <v>45961</v>
      </c>
      <c r="E1824" s="169" t="s">
        <v>1135</v>
      </c>
      <c r="F1824" s="169" t="s">
        <v>285</v>
      </c>
      <c r="G1824" s="169" t="s">
        <v>286</v>
      </c>
      <c r="H1824" s="169" t="s">
        <v>358</v>
      </c>
      <c r="I1824" s="169" t="s">
        <v>359</v>
      </c>
      <c r="J1824" s="169" t="s">
        <v>1136</v>
      </c>
      <c r="K1824" s="169" t="s">
        <v>1132</v>
      </c>
      <c r="L1824" s="169" t="s">
        <v>1133</v>
      </c>
      <c r="M1824" s="169" t="s">
        <v>281</v>
      </c>
      <c r="N1824" s="178">
        <v>8468167</v>
      </c>
      <c r="O1824" s="169" t="s">
        <v>1137</v>
      </c>
      <c r="P1824" s="169" t="s">
        <v>283</v>
      </c>
      <c r="Q1824" s="169" t="s">
        <v>284</v>
      </c>
      <c r="R1824" s="169" t="s">
        <v>283</v>
      </c>
      <c r="S1824" s="169" t="s">
        <v>283</v>
      </c>
      <c r="T1824" s="169">
        <v>0</v>
      </c>
    </row>
    <row r="1825" spans="1:20" x14ac:dyDescent="0.2">
      <c r="A1825" s="169" t="str">
        <f t="shared" si="7"/>
        <v>642</v>
      </c>
      <c r="B1825" s="167" t="str">
        <f>_xlfn.XLOOKUP(I1825,Mapping!D:D,Mapping!E:E)</f>
        <v>Hành Chánh Nhân Sự</v>
      </c>
      <c r="C1825" s="167" t="str">
        <f>_xlfn.XLOOKUP(F1825,Mapping!A:A,Mapping!F:F)</f>
        <v>Thưởng</v>
      </c>
      <c r="D1825" s="173">
        <v>45961</v>
      </c>
      <c r="E1825" s="169" t="s">
        <v>1135</v>
      </c>
      <c r="F1825" s="169" t="s">
        <v>292</v>
      </c>
      <c r="G1825" s="169" t="s">
        <v>77</v>
      </c>
      <c r="H1825" s="169" t="s">
        <v>358</v>
      </c>
      <c r="I1825" s="169" t="s">
        <v>359</v>
      </c>
      <c r="J1825" s="169" t="s">
        <v>1138</v>
      </c>
      <c r="K1825" s="169" t="s">
        <v>1132</v>
      </c>
      <c r="L1825" s="169" t="s">
        <v>1133</v>
      </c>
      <c r="M1825" s="169" t="s">
        <v>281</v>
      </c>
      <c r="N1825" s="178">
        <v>7790646</v>
      </c>
      <c r="O1825" s="169" t="s">
        <v>1137</v>
      </c>
      <c r="P1825" s="169" t="s">
        <v>283</v>
      </c>
      <c r="Q1825" s="169" t="s">
        <v>284</v>
      </c>
      <c r="R1825" s="169" t="s">
        <v>283</v>
      </c>
      <c r="S1825" s="169" t="s">
        <v>283</v>
      </c>
      <c r="T1825" s="169">
        <v>0</v>
      </c>
    </row>
    <row r="1826" spans="1:20" x14ac:dyDescent="0.2">
      <c r="A1826" s="169" t="str">
        <f t="shared" si="7"/>
        <v>642</v>
      </c>
      <c r="B1826" s="167" t="str">
        <f>_xlfn.XLOOKUP(I1826,Mapping!D:D,Mapping!E:E)</f>
        <v>Kế Toán</v>
      </c>
      <c r="C1826" s="167" t="str">
        <f>_xlfn.XLOOKUP(F1826,Mapping!A:A,Mapping!F:F)</f>
        <v>BHXH, BHYT, KPCĐ</v>
      </c>
      <c r="D1826" s="173">
        <v>45961</v>
      </c>
      <c r="E1826" s="169" t="s">
        <v>1139</v>
      </c>
      <c r="F1826" s="169" t="s">
        <v>295</v>
      </c>
      <c r="G1826" s="169" t="s">
        <v>296</v>
      </c>
      <c r="H1826" s="169" t="s">
        <v>356</v>
      </c>
      <c r="I1826" s="169" t="s">
        <v>357</v>
      </c>
      <c r="J1826" s="169" t="s">
        <v>1140</v>
      </c>
      <c r="K1826" s="169" t="s">
        <v>1132</v>
      </c>
      <c r="L1826" s="169" t="s">
        <v>1133</v>
      </c>
      <c r="M1826" s="169" t="s">
        <v>281</v>
      </c>
      <c r="N1826" s="178">
        <v>113305035</v>
      </c>
      <c r="O1826" s="169" t="s">
        <v>1141</v>
      </c>
      <c r="P1826" s="169" t="s">
        <v>283</v>
      </c>
      <c r="Q1826" s="169" t="s">
        <v>284</v>
      </c>
      <c r="R1826" s="169" t="s">
        <v>283</v>
      </c>
      <c r="S1826" s="169" t="s">
        <v>283</v>
      </c>
      <c r="T1826" s="169">
        <v>0</v>
      </c>
    </row>
    <row r="1827" spans="1:20" x14ac:dyDescent="0.2">
      <c r="A1827" s="169" t="str">
        <f t="shared" si="7"/>
        <v>642</v>
      </c>
      <c r="B1827" s="167" t="str">
        <f>_xlfn.XLOOKUP(I1827,Mapping!D:D,Mapping!E:E)</f>
        <v>Hành Chánh Nhân Sự</v>
      </c>
      <c r="C1827" s="167" t="str">
        <f>_xlfn.XLOOKUP(F1827,Mapping!A:A,Mapping!F:F)</f>
        <v>BHXH, BHYT, KPCĐ</v>
      </c>
      <c r="D1827" s="173">
        <v>45961</v>
      </c>
      <c r="E1827" s="169" t="s">
        <v>1139</v>
      </c>
      <c r="F1827" s="169" t="s">
        <v>295</v>
      </c>
      <c r="G1827" s="169" t="s">
        <v>296</v>
      </c>
      <c r="H1827" s="169" t="s">
        <v>358</v>
      </c>
      <c r="I1827" s="169" t="s">
        <v>359</v>
      </c>
      <c r="J1827" s="169" t="s">
        <v>1140</v>
      </c>
      <c r="K1827" s="169" t="s">
        <v>1132</v>
      </c>
      <c r="L1827" s="169" t="s">
        <v>1133</v>
      </c>
      <c r="M1827" s="169" t="s">
        <v>281</v>
      </c>
      <c r="N1827" s="178">
        <v>23880230</v>
      </c>
      <c r="O1827" s="169" t="s">
        <v>1141</v>
      </c>
      <c r="P1827" s="169" t="s">
        <v>283</v>
      </c>
      <c r="Q1827" s="169" t="s">
        <v>284</v>
      </c>
      <c r="R1827" s="169" t="s">
        <v>283</v>
      </c>
      <c r="S1827" s="169" t="s">
        <v>283</v>
      </c>
      <c r="T1827" s="169">
        <v>0</v>
      </c>
    </row>
    <row r="1828" spans="1:20" x14ac:dyDescent="0.2">
      <c r="A1828" s="169" t="str">
        <f t="shared" si="7"/>
        <v>642</v>
      </c>
      <c r="B1828" s="167" t="str">
        <f>_xlfn.XLOOKUP(I1828,Mapping!D:D,Mapping!E:E)</f>
        <v>Kế Toán</v>
      </c>
      <c r="C1828" s="167" t="str">
        <f>_xlfn.XLOOKUP(F1828,Mapping!A:A,Mapping!F:F)</f>
        <v>Phụ Cấp</v>
      </c>
      <c r="D1828" s="173">
        <v>45958</v>
      </c>
      <c r="E1828" s="169" t="s">
        <v>1142</v>
      </c>
      <c r="F1828" s="169" t="s">
        <v>335</v>
      </c>
      <c r="G1828" s="169" t="s">
        <v>336</v>
      </c>
      <c r="H1828" s="169" t="s">
        <v>356</v>
      </c>
      <c r="I1828" s="169" t="s">
        <v>357</v>
      </c>
      <c r="J1828" s="169" t="s">
        <v>1143</v>
      </c>
      <c r="K1828" s="169" t="s">
        <v>992</v>
      </c>
      <c r="L1828" s="169" t="s">
        <v>1133</v>
      </c>
      <c r="M1828" s="169" t="s">
        <v>281</v>
      </c>
      <c r="N1828" s="178">
        <v>18200000</v>
      </c>
      <c r="O1828" s="169" t="s">
        <v>1144</v>
      </c>
      <c r="P1828" s="169" t="s">
        <v>283</v>
      </c>
      <c r="Q1828" s="169" t="s">
        <v>306</v>
      </c>
      <c r="R1828" s="169" t="s">
        <v>283</v>
      </c>
      <c r="S1828" s="169" t="s">
        <v>283</v>
      </c>
      <c r="T1828" s="169">
        <v>0</v>
      </c>
    </row>
    <row r="1829" spans="1:20" x14ac:dyDescent="0.2">
      <c r="A1829" s="169" t="str">
        <f t="shared" si="7"/>
        <v>642</v>
      </c>
      <c r="B1829" s="167" t="str">
        <f>_xlfn.XLOOKUP(I1829,Mapping!D:D,Mapping!E:E)</f>
        <v>Hành Chánh Nhân Sự</v>
      </c>
      <c r="C1829" s="167" t="str">
        <f>_xlfn.XLOOKUP(F1829,Mapping!A:A,Mapping!F:F)</f>
        <v>Phụ Cấp</v>
      </c>
      <c r="D1829" s="173">
        <v>45958</v>
      </c>
      <c r="E1829" s="169" t="s">
        <v>1142</v>
      </c>
      <c r="F1829" s="169" t="s">
        <v>335</v>
      </c>
      <c r="G1829" s="169" t="s">
        <v>336</v>
      </c>
      <c r="H1829" s="169" t="s">
        <v>358</v>
      </c>
      <c r="I1829" s="169" t="s">
        <v>359</v>
      </c>
      <c r="J1829" s="169" t="s">
        <v>1143</v>
      </c>
      <c r="K1829" s="169" t="s">
        <v>992</v>
      </c>
      <c r="L1829" s="169" t="s">
        <v>1133</v>
      </c>
      <c r="M1829" s="169" t="s">
        <v>281</v>
      </c>
      <c r="N1829" s="178">
        <v>3150000</v>
      </c>
      <c r="O1829" s="169" t="s">
        <v>1144</v>
      </c>
      <c r="P1829" s="169" t="s">
        <v>283</v>
      </c>
      <c r="Q1829" s="169" t="s">
        <v>306</v>
      </c>
      <c r="R1829" s="169" t="s">
        <v>283</v>
      </c>
      <c r="S1829" s="169" t="s">
        <v>283</v>
      </c>
      <c r="T1829" s="169">
        <v>0</v>
      </c>
    </row>
    <row r="1830" spans="1:20" x14ac:dyDescent="0.2">
      <c r="A1830" s="169" t="str">
        <f t="shared" si="7"/>
        <v>641</v>
      </c>
      <c r="B1830" s="167" t="str">
        <f>_xlfn.XLOOKUP(I1830,Mapping!D:D,Mapping!E:E)</f>
        <v>Kinh doanh</v>
      </c>
      <c r="C1830" s="167" t="str">
        <f>_xlfn.XLOOKUP(F1830,Mapping!A:A,Mapping!F:F)</f>
        <v>Phụ Cấp</v>
      </c>
      <c r="D1830" s="173">
        <v>45931</v>
      </c>
      <c r="E1830" s="169" t="s">
        <v>1159</v>
      </c>
      <c r="F1830" s="169" t="s">
        <v>385</v>
      </c>
      <c r="G1830" s="169" t="s">
        <v>336</v>
      </c>
      <c r="H1830" s="169" t="s">
        <v>366</v>
      </c>
      <c r="I1830" s="169" t="s">
        <v>1</v>
      </c>
      <c r="J1830" s="169" t="s">
        <v>1160</v>
      </c>
      <c r="K1830" s="169" t="s">
        <v>581</v>
      </c>
      <c r="L1830" s="169" t="s">
        <v>1133</v>
      </c>
      <c r="M1830" s="169" t="s">
        <v>281</v>
      </c>
      <c r="N1830" s="178">
        <v>7224000</v>
      </c>
      <c r="O1830" s="169" t="s">
        <v>1161</v>
      </c>
      <c r="P1830" s="169" t="s">
        <v>283</v>
      </c>
      <c r="Q1830" s="169" t="s">
        <v>306</v>
      </c>
      <c r="R1830" s="169" t="s">
        <v>283</v>
      </c>
      <c r="S1830" s="169" t="s">
        <v>283</v>
      </c>
      <c r="T1830" s="169">
        <v>0</v>
      </c>
    </row>
    <row r="1831" spans="1:20" x14ac:dyDescent="0.2">
      <c r="A1831" s="169" t="str">
        <f t="shared" si="7"/>
        <v>641</v>
      </c>
      <c r="B1831" s="167" t="str">
        <f>_xlfn.XLOOKUP(I1831,Mapping!D:D,Mapping!E:E)</f>
        <v>Kinh doanh</v>
      </c>
      <c r="C1831" s="167" t="str">
        <f>_xlfn.XLOOKUP(F1831,Mapping!A:A,Mapping!F:F)</f>
        <v>Thưởng</v>
      </c>
      <c r="D1831" s="173">
        <v>45959</v>
      </c>
      <c r="E1831" s="169" t="s">
        <v>1162</v>
      </c>
      <c r="F1831" s="169" t="s">
        <v>365</v>
      </c>
      <c r="G1831" s="169" t="s">
        <v>291</v>
      </c>
      <c r="H1831" s="169" t="s">
        <v>366</v>
      </c>
      <c r="I1831" s="169" t="s">
        <v>1</v>
      </c>
      <c r="J1831" s="169" t="s">
        <v>1163</v>
      </c>
      <c r="K1831" s="169" t="s">
        <v>1164</v>
      </c>
      <c r="L1831" s="169" t="s">
        <v>1133</v>
      </c>
      <c r="M1831" s="169" t="s">
        <v>281</v>
      </c>
      <c r="N1831" s="178">
        <v>7039732</v>
      </c>
      <c r="O1831" s="169" t="s">
        <v>1165</v>
      </c>
      <c r="P1831" s="169" t="s">
        <v>283</v>
      </c>
      <c r="Q1831" s="169" t="s">
        <v>370</v>
      </c>
      <c r="R1831" s="169" t="s">
        <v>283</v>
      </c>
      <c r="S1831" s="169" t="s">
        <v>283</v>
      </c>
      <c r="T1831" s="169">
        <v>0</v>
      </c>
    </row>
    <row r="1832" spans="1:20" x14ac:dyDescent="0.2">
      <c r="A1832" s="169" t="str">
        <f t="shared" si="7"/>
        <v>642</v>
      </c>
      <c r="B1832" s="167" t="str">
        <f>_xlfn.XLOOKUP(I1832,Mapping!D:D,Mapping!E:E)</f>
        <v>Hành Chánh Nhân Sự</v>
      </c>
      <c r="C1832" s="167" t="str">
        <f>_xlfn.XLOOKUP(F1832,Mapping!A:A,Mapping!F:F)</f>
        <v>Khen thưởng BD khác</v>
      </c>
      <c r="D1832" s="173">
        <v>45946</v>
      </c>
      <c r="E1832" s="169" t="s">
        <v>1166</v>
      </c>
      <c r="F1832" s="169" t="s">
        <v>300</v>
      </c>
      <c r="G1832" s="169" t="s">
        <v>222</v>
      </c>
      <c r="H1832" s="169" t="s">
        <v>382</v>
      </c>
      <c r="I1832" s="169" t="s">
        <v>200</v>
      </c>
      <c r="J1832" s="169" t="s">
        <v>1167</v>
      </c>
      <c r="K1832" s="169" t="s">
        <v>1168</v>
      </c>
      <c r="L1832" s="169" t="s">
        <v>1133</v>
      </c>
      <c r="M1832" s="169" t="s">
        <v>281</v>
      </c>
      <c r="N1832" s="178">
        <v>2000000</v>
      </c>
      <c r="O1832" s="169" t="s">
        <v>1169</v>
      </c>
      <c r="P1832" s="169" t="s">
        <v>283</v>
      </c>
      <c r="Q1832" s="169" t="s">
        <v>306</v>
      </c>
      <c r="R1832" s="169" t="s">
        <v>283</v>
      </c>
      <c r="S1832" s="169" t="s">
        <v>283</v>
      </c>
      <c r="T1832" s="169">
        <v>0</v>
      </c>
    </row>
    <row r="1833" spans="1:20" x14ac:dyDescent="0.2">
      <c r="A1833" s="169" t="str">
        <f t="shared" si="7"/>
        <v>642</v>
      </c>
      <c r="B1833" s="167" t="str">
        <f>_xlfn.XLOOKUP(I1833,Mapping!D:D,Mapping!E:E)</f>
        <v>Hành Chánh Nhân Sự</v>
      </c>
      <c r="C1833" s="167" t="str">
        <f>_xlfn.XLOOKUP(F1833,Mapping!A:A,Mapping!F:F)</f>
        <v>Khen thưởng BD khác</v>
      </c>
      <c r="D1833" s="173">
        <v>45961</v>
      </c>
      <c r="E1833" s="169" t="s">
        <v>1170</v>
      </c>
      <c r="F1833" s="169" t="s">
        <v>300</v>
      </c>
      <c r="G1833" s="169" t="s">
        <v>222</v>
      </c>
      <c r="H1833" s="169" t="s">
        <v>358</v>
      </c>
      <c r="I1833" s="169" t="s">
        <v>359</v>
      </c>
      <c r="J1833" s="169" t="s">
        <v>1171</v>
      </c>
      <c r="K1833" s="169" t="s">
        <v>1172</v>
      </c>
      <c r="L1833" s="169" t="s">
        <v>1133</v>
      </c>
      <c r="M1833" s="169" t="s">
        <v>281</v>
      </c>
      <c r="N1833" s="178">
        <v>1500000</v>
      </c>
      <c r="O1833" s="169" t="s">
        <v>1173</v>
      </c>
      <c r="P1833" s="169" t="s">
        <v>283</v>
      </c>
      <c r="Q1833" s="169" t="s">
        <v>764</v>
      </c>
      <c r="R1833" s="169" t="s">
        <v>283</v>
      </c>
      <c r="S1833" s="169" t="s">
        <v>283</v>
      </c>
      <c r="T1833" s="169">
        <v>0</v>
      </c>
    </row>
    <row r="1834" spans="1:20" x14ac:dyDescent="0.2">
      <c r="A1834" s="169" t="str">
        <f t="shared" si="7"/>
        <v>641</v>
      </c>
      <c r="B1834" s="167" t="str">
        <f>_xlfn.XLOOKUP(I1834,Mapping!D:D,Mapping!E:E)</f>
        <v>Kinh doanh</v>
      </c>
      <c r="C1834" s="167" t="str">
        <f>_xlfn.XLOOKUP(F1834,Mapping!A:A,Mapping!F:F)</f>
        <v>Lương Chính +T13</v>
      </c>
      <c r="D1834" s="173">
        <v>45961</v>
      </c>
      <c r="E1834" s="169" t="s">
        <v>1130</v>
      </c>
      <c r="F1834" s="169" t="s">
        <v>383</v>
      </c>
      <c r="G1834" s="169" t="s">
        <v>275</v>
      </c>
      <c r="H1834" s="169" t="s">
        <v>366</v>
      </c>
      <c r="I1834" s="169" t="s">
        <v>1</v>
      </c>
      <c r="J1834" s="169" t="s">
        <v>1131</v>
      </c>
      <c r="K1834" s="169" t="s">
        <v>1132</v>
      </c>
      <c r="L1834" s="169" t="s">
        <v>1133</v>
      </c>
      <c r="M1834" s="169" t="s">
        <v>281</v>
      </c>
      <c r="N1834" s="178">
        <v>234421927</v>
      </c>
      <c r="O1834" s="169" t="s">
        <v>1134</v>
      </c>
      <c r="P1834" s="169" t="s">
        <v>283</v>
      </c>
      <c r="Q1834" s="169" t="s">
        <v>284</v>
      </c>
      <c r="R1834" s="169" t="s">
        <v>283</v>
      </c>
      <c r="S1834" s="169" t="s">
        <v>283</v>
      </c>
      <c r="T1834" s="169">
        <v>0</v>
      </c>
    </row>
    <row r="1835" spans="1:20" x14ac:dyDescent="0.2">
      <c r="A1835" s="169" t="str">
        <f t="shared" si="7"/>
        <v>641</v>
      </c>
      <c r="B1835" s="167" t="str">
        <f>_xlfn.XLOOKUP(I1835,Mapping!D:D,Mapping!E:E)</f>
        <v>Kinh doanh</v>
      </c>
      <c r="C1835" s="167" t="str">
        <f>_xlfn.XLOOKUP(F1835,Mapping!A:A,Mapping!F:F)</f>
        <v>Lương Chính +T13</v>
      </c>
      <c r="D1835" s="173">
        <v>45961</v>
      </c>
      <c r="E1835" s="169" t="s">
        <v>1130</v>
      </c>
      <c r="F1835" s="169" t="s">
        <v>384</v>
      </c>
      <c r="G1835" s="169" t="s">
        <v>286</v>
      </c>
      <c r="H1835" s="169" t="s">
        <v>366</v>
      </c>
      <c r="I1835" s="169" t="s">
        <v>1</v>
      </c>
      <c r="J1835" s="169" t="s">
        <v>1131</v>
      </c>
      <c r="K1835" s="169" t="s">
        <v>1132</v>
      </c>
      <c r="L1835" s="169" t="s">
        <v>1133</v>
      </c>
      <c r="M1835" s="169" t="s">
        <v>281</v>
      </c>
      <c r="N1835" s="178">
        <v>10147539</v>
      </c>
      <c r="O1835" s="169" t="s">
        <v>1134</v>
      </c>
      <c r="P1835" s="169" t="s">
        <v>283</v>
      </c>
      <c r="Q1835" s="169" t="s">
        <v>284</v>
      </c>
      <c r="R1835" s="169" t="s">
        <v>283</v>
      </c>
      <c r="S1835" s="169" t="s">
        <v>283</v>
      </c>
      <c r="T1835" s="169">
        <v>0</v>
      </c>
    </row>
    <row r="1836" spans="1:20" x14ac:dyDescent="0.2">
      <c r="A1836" s="169" t="str">
        <f t="shared" si="7"/>
        <v>641</v>
      </c>
      <c r="B1836" s="167" t="str">
        <f>_xlfn.XLOOKUP(I1836,Mapping!D:D,Mapping!E:E)</f>
        <v>Kinh doanh</v>
      </c>
      <c r="C1836" s="167" t="str">
        <f>_xlfn.XLOOKUP(F1836,Mapping!A:A,Mapping!F:F)</f>
        <v>Thưởng</v>
      </c>
      <c r="D1836" s="173">
        <v>45961</v>
      </c>
      <c r="E1836" s="169" t="s">
        <v>1130</v>
      </c>
      <c r="F1836" s="169" t="s">
        <v>365</v>
      </c>
      <c r="G1836" s="169" t="s">
        <v>291</v>
      </c>
      <c r="H1836" s="169" t="s">
        <v>366</v>
      </c>
      <c r="I1836" s="169" t="s">
        <v>1</v>
      </c>
      <c r="J1836" s="169" t="s">
        <v>1131</v>
      </c>
      <c r="K1836" s="169" t="s">
        <v>1132</v>
      </c>
      <c r="L1836" s="169" t="s">
        <v>1133</v>
      </c>
      <c r="M1836" s="169" t="s">
        <v>281</v>
      </c>
      <c r="N1836" s="178">
        <v>116240510</v>
      </c>
      <c r="O1836" s="169" t="s">
        <v>1134</v>
      </c>
      <c r="P1836" s="169" t="s">
        <v>283</v>
      </c>
      <c r="Q1836" s="169" t="s">
        <v>284</v>
      </c>
      <c r="R1836" s="169" t="s">
        <v>283</v>
      </c>
      <c r="S1836" s="169" t="s">
        <v>283</v>
      </c>
      <c r="T1836" s="169">
        <v>0</v>
      </c>
    </row>
    <row r="1837" spans="1:20" x14ac:dyDescent="0.2">
      <c r="A1837" s="169" t="str">
        <f t="shared" si="7"/>
        <v>642</v>
      </c>
      <c r="B1837" s="167" t="str">
        <f>_xlfn.XLOOKUP(I1837,Mapping!D:D,Mapping!E:E)</f>
        <v>Cung Ứng</v>
      </c>
      <c r="C1837" s="167" t="str">
        <f>_xlfn.XLOOKUP(F1837,Mapping!A:A,Mapping!F:F)</f>
        <v>Lương Chính +T13</v>
      </c>
      <c r="D1837" s="173">
        <v>45961</v>
      </c>
      <c r="E1837" s="169" t="s">
        <v>1130</v>
      </c>
      <c r="F1837" s="169" t="s">
        <v>274</v>
      </c>
      <c r="G1837" s="169" t="s">
        <v>275</v>
      </c>
      <c r="H1837" s="169" t="s">
        <v>380</v>
      </c>
      <c r="I1837" s="169" t="s">
        <v>381</v>
      </c>
      <c r="J1837" s="169" t="s">
        <v>1131</v>
      </c>
      <c r="K1837" s="169" t="s">
        <v>1132</v>
      </c>
      <c r="L1837" s="169" t="s">
        <v>1133</v>
      </c>
      <c r="M1837" s="169" t="s">
        <v>281</v>
      </c>
      <c r="N1837" s="178">
        <v>545750977</v>
      </c>
      <c r="O1837" s="169" t="s">
        <v>1134</v>
      </c>
      <c r="P1837" s="169" t="s">
        <v>283</v>
      </c>
      <c r="Q1837" s="169" t="s">
        <v>284</v>
      </c>
      <c r="R1837" s="169" t="s">
        <v>283</v>
      </c>
      <c r="S1837" s="169" t="s">
        <v>283</v>
      </c>
      <c r="T1837" s="169">
        <v>0</v>
      </c>
    </row>
    <row r="1838" spans="1:20" x14ac:dyDescent="0.2">
      <c r="A1838" s="169" t="str">
        <f t="shared" si="7"/>
        <v>642</v>
      </c>
      <c r="B1838" s="167" t="str">
        <f>_xlfn.XLOOKUP(I1838,Mapping!D:D,Mapping!E:E)</f>
        <v>Cung Ứng</v>
      </c>
      <c r="C1838" s="167" t="str">
        <f>_xlfn.XLOOKUP(F1838,Mapping!A:A,Mapping!F:F)</f>
        <v>Lương Chính +T13</v>
      </c>
      <c r="D1838" s="173">
        <v>45961</v>
      </c>
      <c r="E1838" s="169" t="s">
        <v>1130</v>
      </c>
      <c r="F1838" s="169" t="s">
        <v>285</v>
      </c>
      <c r="G1838" s="169" t="s">
        <v>286</v>
      </c>
      <c r="H1838" s="169" t="s">
        <v>380</v>
      </c>
      <c r="I1838" s="169" t="s">
        <v>381</v>
      </c>
      <c r="J1838" s="169" t="s">
        <v>1131</v>
      </c>
      <c r="K1838" s="169" t="s">
        <v>1132</v>
      </c>
      <c r="L1838" s="169" t="s">
        <v>1133</v>
      </c>
      <c r="M1838" s="169" t="s">
        <v>281</v>
      </c>
      <c r="N1838" s="178">
        <v>14117848</v>
      </c>
      <c r="O1838" s="169" t="s">
        <v>1134</v>
      </c>
      <c r="P1838" s="169" t="s">
        <v>283</v>
      </c>
      <c r="Q1838" s="169" t="s">
        <v>284</v>
      </c>
      <c r="R1838" s="169" t="s">
        <v>283</v>
      </c>
      <c r="S1838" s="169" t="s">
        <v>283</v>
      </c>
      <c r="T1838" s="169">
        <v>0</v>
      </c>
    </row>
    <row r="1839" spans="1:20" x14ac:dyDescent="0.2">
      <c r="A1839" s="169" t="str">
        <f t="shared" si="7"/>
        <v>642</v>
      </c>
      <c r="B1839" s="167" t="str">
        <f>_xlfn.XLOOKUP(I1839,Mapping!D:D,Mapping!E:E)</f>
        <v>Cung Ứng</v>
      </c>
      <c r="C1839" s="167" t="str">
        <f>_xlfn.XLOOKUP(F1839,Mapping!A:A,Mapping!F:F)</f>
        <v>Thưởng</v>
      </c>
      <c r="D1839" s="173">
        <v>45961</v>
      </c>
      <c r="E1839" s="169" t="s">
        <v>1130</v>
      </c>
      <c r="F1839" s="169" t="s">
        <v>290</v>
      </c>
      <c r="G1839" s="169" t="s">
        <v>291</v>
      </c>
      <c r="H1839" s="169" t="s">
        <v>380</v>
      </c>
      <c r="I1839" s="169" t="s">
        <v>381</v>
      </c>
      <c r="J1839" s="169" t="s">
        <v>1131</v>
      </c>
      <c r="K1839" s="169" t="s">
        <v>1132</v>
      </c>
      <c r="L1839" s="169" t="s">
        <v>1133</v>
      </c>
      <c r="M1839" s="169" t="s">
        <v>281</v>
      </c>
      <c r="N1839" s="178">
        <v>479656731</v>
      </c>
      <c r="O1839" s="169" t="s">
        <v>1134</v>
      </c>
      <c r="P1839" s="169" t="s">
        <v>283</v>
      </c>
      <c r="Q1839" s="169" t="s">
        <v>284</v>
      </c>
      <c r="R1839" s="169" t="s">
        <v>283</v>
      </c>
      <c r="S1839" s="169" t="s">
        <v>283</v>
      </c>
      <c r="T1839" s="169">
        <v>0</v>
      </c>
    </row>
    <row r="1840" spans="1:20" x14ac:dyDescent="0.2">
      <c r="A1840" s="169" t="str">
        <f t="shared" si="7"/>
        <v>642</v>
      </c>
      <c r="B1840" s="167" t="str">
        <f>_xlfn.XLOOKUP(I1840,Mapping!D:D,Mapping!E:E)</f>
        <v>Cung Ứng</v>
      </c>
      <c r="C1840" s="167" t="str">
        <f>_xlfn.XLOOKUP(F1840,Mapping!A:A,Mapping!F:F)</f>
        <v>Phụ Cấp</v>
      </c>
      <c r="D1840" s="173">
        <v>45961</v>
      </c>
      <c r="E1840" s="169" t="s">
        <v>1130</v>
      </c>
      <c r="F1840" s="169" t="s">
        <v>335</v>
      </c>
      <c r="G1840" s="169" t="s">
        <v>336</v>
      </c>
      <c r="H1840" s="169" t="s">
        <v>380</v>
      </c>
      <c r="I1840" s="169" t="s">
        <v>381</v>
      </c>
      <c r="J1840" s="169" t="s">
        <v>1131</v>
      </c>
      <c r="K1840" s="169" t="s">
        <v>1132</v>
      </c>
      <c r="L1840" s="169" t="s">
        <v>1133</v>
      </c>
      <c r="M1840" s="169" t="s">
        <v>281</v>
      </c>
      <c r="N1840" s="178">
        <v>13120000</v>
      </c>
      <c r="O1840" s="169" t="s">
        <v>1134</v>
      </c>
      <c r="P1840" s="169" t="s">
        <v>283</v>
      </c>
      <c r="Q1840" s="169" t="s">
        <v>284</v>
      </c>
      <c r="R1840" s="169" t="s">
        <v>283</v>
      </c>
      <c r="S1840" s="169" t="s">
        <v>283</v>
      </c>
      <c r="T1840" s="169">
        <v>0</v>
      </c>
    </row>
    <row r="1841" spans="1:20" x14ac:dyDescent="0.2">
      <c r="A1841" s="169" t="str">
        <f t="shared" si="7"/>
        <v>642</v>
      </c>
      <c r="B1841" s="167" t="str">
        <f>_xlfn.XLOOKUP(I1841,Mapping!D:D,Mapping!E:E)</f>
        <v>Mua Hàng &amp; XNK</v>
      </c>
      <c r="C1841" s="167" t="str">
        <f>_xlfn.XLOOKUP(F1841,Mapping!A:A,Mapping!F:F)</f>
        <v>Lương Chính +T13</v>
      </c>
      <c r="D1841" s="173">
        <v>45961</v>
      </c>
      <c r="E1841" s="169" t="s">
        <v>1130</v>
      </c>
      <c r="F1841" s="169" t="s">
        <v>274</v>
      </c>
      <c r="G1841" s="169" t="s">
        <v>275</v>
      </c>
      <c r="H1841" s="169" t="s">
        <v>378</v>
      </c>
      <c r="I1841" s="169" t="s">
        <v>379</v>
      </c>
      <c r="J1841" s="169" t="s">
        <v>1131</v>
      </c>
      <c r="K1841" s="169" t="s">
        <v>1132</v>
      </c>
      <c r="L1841" s="169" t="s">
        <v>1133</v>
      </c>
      <c r="M1841" s="169" t="s">
        <v>281</v>
      </c>
      <c r="N1841" s="178">
        <v>127435219</v>
      </c>
      <c r="O1841" s="169" t="s">
        <v>1134</v>
      </c>
      <c r="P1841" s="169" t="s">
        <v>283</v>
      </c>
      <c r="Q1841" s="169" t="s">
        <v>284</v>
      </c>
      <c r="R1841" s="169" t="s">
        <v>283</v>
      </c>
      <c r="S1841" s="169" t="s">
        <v>283</v>
      </c>
      <c r="T1841" s="169">
        <v>0</v>
      </c>
    </row>
    <row r="1842" spans="1:20" x14ac:dyDescent="0.2">
      <c r="A1842" s="169" t="str">
        <f t="shared" si="7"/>
        <v>642</v>
      </c>
      <c r="B1842" s="167" t="str">
        <f>_xlfn.XLOOKUP(I1842,Mapping!D:D,Mapping!E:E)</f>
        <v>Mua Hàng &amp; XNK</v>
      </c>
      <c r="C1842" s="167" t="str">
        <f>_xlfn.XLOOKUP(F1842,Mapping!A:A,Mapping!F:F)</f>
        <v>Lương Chính +T13</v>
      </c>
      <c r="D1842" s="173">
        <v>45961</v>
      </c>
      <c r="E1842" s="169" t="s">
        <v>1130</v>
      </c>
      <c r="F1842" s="169" t="s">
        <v>285</v>
      </c>
      <c r="G1842" s="169" t="s">
        <v>286</v>
      </c>
      <c r="H1842" s="169" t="s">
        <v>378</v>
      </c>
      <c r="I1842" s="169" t="s">
        <v>379</v>
      </c>
      <c r="J1842" s="169" t="s">
        <v>1131</v>
      </c>
      <c r="K1842" s="169" t="s">
        <v>1132</v>
      </c>
      <c r="L1842" s="169" t="s">
        <v>1133</v>
      </c>
      <c r="M1842" s="169" t="s">
        <v>281</v>
      </c>
      <c r="N1842" s="178">
        <v>4750288</v>
      </c>
      <c r="O1842" s="169" t="s">
        <v>1134</v>
      </c>
      <c r="P1842" s="169" t="s">
        <v>283</v>
      </c>
      <c r="Q1842" s="169" t="s">
        <v>284</v>
      </c>
      <c r="R1842" s="169" t="s">
        <v>283</v>
      </c>
      <c r="S1842" s="169" t="s">
        <v>283</v>
      </c>
      <c r="T1842" s="169">
        <v>0</v>
      </c>
    </row>
    <row r="1843" spans="1:20" x14ac:dyDescent="0.2">
      <c r="A1843" s="169" t="str">
        <f t="shared" si="7"/>
        <v>642</v>
      </c>
      <c r="B1843" s="167" t="str">
        <f>_xlfn.XLOOKUP(I1843,Mapping!D:D,Mapping!E:E)</f>
        <v>Mua Hàng &amp; XNK</v>
      </c>
      <c r="C1843" s="167" t="str">
        <f>_xlfn.XLOOKUP(F1843,Mapping!A:A,Mapping!F:F)</f>
        <v>Phụ Cấp</v>
      </c>
      <c r="D1843" s="173">
        <v>45961</v>
      </c>
      <c r="E1843" s="169" t="s">
        <v>1130</v>
      </c>
      <c r="F1843" s="169" t="s">
        <v>335</v>
      </c>
      <c r="G1843" s="169" t="s">
        <v>336</v>
      </c>
      <c r="H1843" s="169" t="s">
        <v>378</v>
      </c>
      <c r="I1843" s="169" t="s">
        <v>379</v>
      </c>
      <c r="J1843" s="169" t="s">
        <v>1131</v>
      </c>
      <c r="K1843" s="169" t="s">
        <v>1132</v>
      </c>
      <c r="L1843" s="169" t="s">
        <v>1133</v>
      </c>
      <c r="M1843" s="169" t="s">
        <v>281</v>
      </c>
      <c r="N1843" s="178">
        <v>950000</v>
      </c>
      <c r="O1843" s="169" t="s">
        <v>1134</v>
      </c>
      <c r="P1843" s="169" t="s">
        <v>283</v>
      </c>
      <c r="Q1843" s="169" t="s">
        <v>284</v>
      </c>
      <c r="R1843" s="169" t="s">
        <v>283</v>
      </c>
      <c r="S1843" s="169" t="s">
        <v>283</v>
      </c>
      <c r="T1843" s="169">
        <v>0</v>
      </c>
    </row>
    <row r="1844" spans="1:20" x14ac:dyDescent="0.2">
      <c r="A1844" s="169" t="str">
        <f t="shared" si="7"/>
        <v>627</v>
      </c>
      <c r="B1844" s="167" t="str">
        <f>_xlfn.XLOOKUP(I1844,Mapping!D:D,Mapping!E:E)</f>
        <v>Kỹ Thuật</v>
      </c>
      <c r="C1844" s="167" t="str">
        <f>_xlfn.XLOOKUP(F1844,Mapping!A:A,Mapping!F:F)</f>
        <v>Phụ Cấp</v>
      </c>
      <c r="D1844" s="173">
        <v>45961</v>
      </c>
      <c r="E1844" s="169" t="s">
        <v>1130</v>
      </c>
      <c r="F1844" s="169" t="s">
        <v>386</v>
      </c>
      <c r="G1844" s="169" t="s">
        <v>341</v>
      </c>
      <c r="H1844" s="169" t="s">
        <v>376</v>
      </c>
      <c r="I1844" s="169" t="s">
        <v>377</v>
      </c>
      <c r="J1844" s="169" t="s">
        <v>1131</v>
      </c>
      <c r="K1844" s="169" t="s">
        <v>1132</v>
      </c>
      <c r="L1844" s="169" t="s">
        <v>1133</v>
      </c>
      <c r="M1844" s="169" t="s">
        <v>281</v>
      </c>
      <c r="N1844" s="178">
        <v>49306719</v>
      </c>
      <c r="O1844" s="169" t="s">
        <v>1134</v>
      </c>
      <c r="P1844" s="169" t="s">
        <v>283</v>
      </c>
      <c r="Q1844" s="169" t="s">
        <v>284</v>
      </c>
      <c r="R1844" s="169" t="s">
        <v>283</v>
      </c>
      <c r="S1844" s="169" t="s">
        <v>283</v>
      </c>
      <c r="T1844" s="169">
        <v>0</v>
      </c>
    </row>
    <row r="1845" spans="1:20" x14ac:dyDescent="0.2">
      <c r="A1845" s="169" t="str">
        <f t="shared" si="7"/>
        <v>627</v>
      </c>
      <c r="B1845" s="167" t="str">
        <f>_xlfn.XLOOKUP(I1845,Mapping!D:D,Mapping!E:E)</f>
        <v>Kỹ Thuật</v>
      </c>
      <c r="C1845" s="167" t="str">
        <f>_xlfn.XLOOKUP(F1845,Mapping!A:A,Mapping!F:F)</f>
        <v>Lương Chính +T13</v>
      </c>
      <c r="D1845" s="173">
        <v>45961</v>
      </c>
      <c r="E1845" s="169" t="s">
        <v>1130</v>
      </c>
      <c r="F1845" s="169" t="s">
        <v>387</v>
      </c>
      <c r="G1845" s="169" t="s">
        <v>275</v>
      </c>
      <c r="H1845" s="169" t="s">
        <v>376</v>
      </c>
      <c r="I1845" s="169" t="s">
        <v>377</v>
      </c>
      <c r="J1845" s="169" t="s">
        <v>1131</v>
      </c>
      <c r="K1845" s="169" t="s">
        <v>1132</v>
      </c>
      <c r="L1845" s="169" t="s">
        <v>1133</v>
      </c>
      <c r="M1845" s="169" t="s">
        <v>281</v>
      </c>
      <c r="N1845" s="178">
        <v>1096139798</v>
      </c>
      <c r="O1845" s="169" t="s">
        <v>1134</v>
      </c>
      <c r="P1845" s="169" t="s">
        <v>283</v>
      </c>
      <c r="Q1845" s="169" t="s">
        <v>284</v>
      </c>
      <c r="R1845" s="169" t="s">
        <v>283</v>
      </c>
      <c r="S1845" s="169" t="s">
        <v>283</v>
      </c>
      <c r="T1845" s="169">
        <v>0</v>
      </c>
    </row>
    <row r="1846" spans="1:20" x14ac:dyDescent="0.2">
      <c r="A1846" s="169" t="str">
        <f t="shared" si="7"/>
        <v>627</v>
      </c>
      <c r="B1846" s="167" t="str">
        <f>_xlfn.XLOOKUP(I1846,Mapping!D:D,Mapping!E:E)</f>
        <v>Kỹ Thuật</v>
      </c>
      <c r="C1846" s="167" t="str">
        <f>_xlfn.XLOOKUP(F1846,Mapping!A:A,Mapping!F:F)</f>
        <v>Lương Chính +T13</v>
      </c>
      <c r="D1846" s="173">
        <v>45961</v>
      </c>
      <c r="E1846" s="169" t="s">
        <v>1130</v>
      </c>
      <c r="F1846" s="169" t="s">
        <v>388</v>
      </c>
      <c r="G1846" s="169" t="s">
        <v>286</v>
      </c>
      <c r="H1846" s="169" t="s">
        <v>376</v>
      </c>
      <c r="I1846" s="169" t="s">
        <v>377</v>
      </c>
      <c r="J1846" s="169" t="s">
        <v>1131</v>
      </c>
      <c r="K1846" s="169" t="s">
        <v>1132</v>
      </c>
      <c r="L1846" s="169" t="s">
        <v>1133</v>
      </c>
      <c r="M1846" s="169" t="s">
        <v>281</v>
      </c>
      <c r="N1846" s="178">
        <v>29629734</v>
      </c>
      <c r="O1846" s="169" t="s">
        <v>1134</v>
      </c>
      <c r="P1846" s="169" t="s">
        <v>283</v>
      </c>
      <c r="Q1846" s="169" t="s">
        <v>284</v>
      </c>
      <c r="R1846" s="169" t="s">
        <v>283</v>
      </c>
      <c r="S1846" s="169" t="s">
        <v>283</v>
      </c>
      <c r="T1846" s="169">
        <v>0</v>
      </c>
    </row>
    <row r="1847" spans="1:20" x14ac:dyDescent="0.2">
      <c r="A1847" s="169" t="str">
        <f t="shared" si="7"/>
        <v>627</v>
      </c>
      <c r="B1847" s="167" t="str">
        <f>_xlfn.XLOOKUP(I1847,Mapping!D:D,Mapping!E:E)</f>
        <v>Kỹ Thuật</v>
      </c>
      <c r="C1847" s="167" t="str">
        <f>_xlfn.XLOOKUP(F1847,Mapping!A:A,Mapping!F:F)</f>
        <v>Lương Ngoài giờ</v>
      </c>
      <c r="D1847" s="173">
        <v>45961</v>
      </c>
      <c r="E1847" s="169" t="s">
        <v>1130</v>
      </c>
      <c r="F1847" s="169" t="s">
        <v>389</v>
      </c>
      <c r="G1847" s="169" t="s">
        <v>390</v>
      </c>
      <c r="H1847" s="169" t="s">
        <v>376</v>
      </c>
      <c r="I1847" s="169" t="s">
        <v>377</v>
      </c>
      <c r="J1847" s="169" t="s">
        <v>1131</v>
      </c>
      <c r="K1847" s="169" t="s">
        <v>1132</v>
      </c>
      <c r="L1847" s="169" t="s">
        <v>1133</v>
      </c>
      <c r="M1847" s="169" t="s">
        <v>281</v>
      </c>
      <c r="N1847" s="178">
        <v>330753556</v>
      </c>
      <c r="O1847" s="169" t="s">
        <v>1134</v>
      </c>
      <c r="P1847" s="169" t="s">
        <v>283</v>
      </c>
      <c r="Q1847" s="169" t="s">
        <v>284</v>
      </c>
      <c r="R1847" s="169" t="s">
        <v>283</v>
      </c>
      <c r="S1847" s="169" t="s">
        <v>283</v>
      </c>
      <c r="T1847" s="169">
        <v>0</v>
      </c>
    </row>
    <row r="1848" spans="1:20" x14ac:dyDescent="0.2">
      <c r="A1848" s="169" t="str">
        <f t="shared" si="7"/>
        <v>627</v>
      </c>
      <c r="B1848" s="167" t="str">
        <f>_xlfn.XLOOKUP(I1848,Mapping!D:D,Mapping!E:E)</f>
        <v>Kỹ Thuật</v>
      </c>
      <c r="C1848" s="167" t="str">
        <f>_xlfn.XLOOKUP(F1848,Mapping!A:A,Mapping!F:F)</f>
        <v>Phụ Cấp</v>
      </c>
      <c r="D1848" s="173">
        <v>45961</v>
      </c>
      <c r="E1848" s="169" t="s">
        <v>1130</v>
      </c>
      <c r="F1848" s="169" t="s">
        <v>375</v>
      </c>
      <c r="G1848" s="169" t="s">
        <v>336</v>
      </c>
      <c r="H1848" s="169" t="s">
        <v>376</v>
      </c>
      <c r="I1848" s="169" t="s">
        <v>377</v>
      </c>
      <c r="J1848" s="169" t="s">
        <v>1131</v>
      </c>
      <c r="K1848" s="169" t="s">
        <v>1132</v>
      </c>
      <c r="L1848" s="169" t="s">
        <v>1133</v>
      </c>
      <c r="M1848" s="169" t="s">
        <v>281</v>
      </c>
      <c r="N1848" s="178">
        <v>8835000</v>
      </c>
      <c r="O1848" s="169" t="s">
        <v>1134</v>
      </c>
      <c r="P1848" s="169" t="s">
        <v>283</v>
      </c>
      <c r="Q1848" s="169" t="s">
        <v>284</v>
      </c>
      <c r="R1848" s="169" t="s">
        <v>283</v>
      </c>
      <c r="S1848" s="169" t="s">
        <v>283</v>
      </c>
      <c r="T1848" s="169">
        <v>0</v>
      </c>
    </row>
    <row r="1849" spans="1:20" x14ac:dyDescent="0.2">
      <c r="A1849" s="169" t="str">
        <f t="shared" si="7"/>
        <v>642</v>
      </c>
      <c r="B1849" s="167" t="str">
        <f>_xlfn.XLOOKUP(I1849,Mapping!D:D,Mapping!E:E)</f>
        <v>Hành Chánh Nhân Sự</v>
      </c>
      <c r="C1849" s="167" t="str">
        <f>_xlfn.XLOOKUP(F1849,Mapping!A:A,Mapping!F:F)</f>
        <v>Lương Chính +T13</v>
      </c>
      <c r="D1849" s="173">
        <v>45961</v>
      </c>
      <c r="E1849" s="169" t="s">
        <v>1130</v>
      </c>
      <c r="F1849" s="169" t="s">
        <v>274</v>
      </c>
      <c r="G1849" s="169" t="s">
        <v>275</v>
      </c>
      <c r="H1849" s="169" t="s">
        <v>382</v>
      </c>
      <c r="I1849" s="169" t="s">
        <v>200</v>
      </c>
      <c r="J1849" s="169" t="s">
        <v>1131</v>
      </c>
      <c r="K1849" s="169" t="s">
        <v>1132</v>
      </c>
      <c r="L1849" s="169" t="s">
        <v>1133</v>
      </c>
      <c r="M1849" s="169" t="s">
        <v>281</v>
      </c>
      <c r="N1849" s="178">
        <v>62716024</v>
      </c>
      <c r="O1849" s="169" t="s">
        <v>1134</v>
      </c>
      <c r="P1849" s="169" t="s">
        <v>283</v>
      </c>
      <c r="Q1849" s="169" t="s">
        <v>284</v>
      </c>
      <c r="R1849" s="169" t="s">
        <v>283</v>
      </c>
      <c r="S1849" s="169" t="s">
        <v>283</v>
      </c>
      <c r="T1849" s="169">
        <v>0</v>
      </c>
    </row>
    <row r="1850" spans="1:20" x14ac:dyDescent="0.2">
      <c r="A1850" s="169" t="str">
        <f t="shared" si="7"/>
        <v>642</v>
      </c>
      <c r="B1850" s="167" t="str">
        <f>_xlfn.XLOOKUP(I1850,Mapping!D:D,Mapping!E:E)</f>
        <v>Hành Chánh Nhân Sự</v>
      </c>
      <c r="C1850" s="167" t="str">
        <f>_xlfn.XLOOKUP(F1850,Mapping!A:A,Mapping!F:F)</f>
        <v>Lương Chính +T13</v>
      </c>
      <c r="D1850" s="173">
        <v>45961</v>
      </c>
      <c r="E1850" s="169" t="s">
        <v>1130</v>
      </c>
      <c r="F1850" s="169" t="s">
        <v>285</v>
      </c>
      <c r="G1850" s="169" t="s">
        <v>286</v>
      </c>
      <c r="H1850" s="169" t="s">
        <v>382</v>
      </c>
      <c r="I1850" s="169" t="s">
        <v>200</v>
      </c>
      <c r="J1850" s="169" t="s">
        <v>1131</v>
      </c>
      <c r="K1850" s="169" t="s">
        <v>1132</v>
      </c>
      <c r="L1850" s="169" t="s">
        <v>1133</v>
      </c>
      <c r="M1850" s="169" t="s">
        <v>281</v>
      </c>
      <c r="N1850" s="178">
        <v>1406385</v>
      </c>
      <c r="O1850" s="169" t="s">
        <v>1134</v>
      </c>
      <c r="P1850" s="169" t="s">
        <v>283</v>
      </c>
      <c r="Q1850" s="169" t="s">
        <v>284</v>
      </c>
      <c r="R1850" s="169" t="s">
        <v>283</v>
      </c>
      <c r="S1850" s="169" t="s">
        <v>283</v>
      </c>
      <c r="T1850" s="169">
        <v>0</v>
      </c>
    </row>
    <row r="1851" spans="1:20" x14ac:dyDescent="0.2">
      <c r="A1851" s="169" t="str">
        <f t="shared" si="7"/>
        <v>641</v>
      </c>
      <c r="B1851" s="167" t="str">
        <f>_xlfn.XLOOKUP(I1851,Mapping!D:D,Mapping!E:E)</f>
        <v>Kinh doanh</v>
      </c>
      <c r="C1851" s="167" t="str">
        <f>_xlfn.XLOOKUP(F1851,Mapping!A:A,Mapping!F:F)</f>
        <v>Lương Chính +T13</v>
      </c>
      <c r="D1851" s="173">
        <v>45961</v>
      </c>
      <c r="E1851" s="169" t="s">
        <v>1135</v>
      </c>
      <c r="F1851" s="169" t="s">
        <v>384</v>
      </c>
      <c r="G1851" s="169" t="s">
        <v>286</v>
      </c>
      <c r="H1851" s="169" t="s">
        <v>366</v>
      </c>
      <c r="I1851" s="169" t="s">
        <v>1</v>
      </c>
      <c r="J1851" s="169" t="s">
        <v>1136</v>
      </c>
      <c r="K1851" s="169" t="s">
        <v>1132</v>
      </c>
      <c r="L1851" s="169" t="s">
        <v>1133</v>
      </c>
      <c r="M1851" s="169" t="s">
        <v>281</v>
      </c>
      <c r="N1851" s="178">
        <v>25338500</v>
      </c>
      <c r="O1851" s="169" t="s">
        <v>1137</v>
      </c>
      <c r="P1851" s="169" t="s">
        <v>283</v>
      </c>
      <c r="Q1851" s="169" t="s">
        <v>284</v>
      </c>
      <c r="R1851" s="169" t="s">
        <v>283</v>
      </c>
      <c r="S1851" s="169" t="s">
        <v>283</v>
      </c>
      <c r="T1851" s="169">
        <v>0</v>
      </c>
    </row>
    <row r="1852" spans="1:20" x14ac:dyDescent="0.2">
      <c r="A1852" s="169" t="str">
        <f t="shared" si="7"/>
        <v>641</v>
      </c>
      <c r="B1852" s="167" t="str">
        <f>_xlfn.XLOOKUP(I1852,Mapping!D:D,Mapping!E:E)</f>
        <v>Kinh doanh</v>
      </c>
      <c r="C1852" s="167" t="str">
        <f>_xlfn.XLOOKUP(F1852,Mapping!A:A,Mapping!F:F)</f>
        <v>Thưởng</v>
      </c>
      <c r="D1852" s="173">
        <v>45961</v>
      </c>
      <c r="E1852" s="169" t="s">
        <v>1135</v>
      </c>
      <c r="F1852" s="169" t="s">
        <v>394</v>
      </c>
      <c r="G1852" s="169" t="s">
        <v>77</v>
      </c>
      <c r="H1852" s="169" t="s">
        <v>366</v>
      </c>
      <c r="I1852" s="169" t="s">
        <v>1</v>
      </c>
      <c r="J1852" s="169" t="s">
        <v>1138</v>
      </c>
      <c r="K1852" s="169" t="s">
        <v>1132</v>
      </c>
      <c r="L1852" s="169" t="s">
        <v>1133</v>
      </c>
      <c r="M1852" s="169" t="s">
        <v>281</v>
      </c>
      <c r="N1852" s="178">
        <v>23311217</v>
      </c>
      <c r="O1852" s="169" t="s">
        <v>1137</v>
      </c>
      <c r="P1852" s="169" t="s">
        <v>283</v>
      </c>
      <c r="Q1852" s="169" t="s">
        <v>284</v>
      </c>
      <c r="R1852" s="169" t="s">
        <v>283</v>
      </c>
      <c r="S1852" s="169" t="s">
        <v>283</v>
      </c>
      <c r="T1852" s="169">
        <v>0</v>
      </c>
    </row>
    <row r="1853" spans="1:20" x14ac:dyDescent="0.2">
      <c r="A1853" s="169" t="str">
        <f t="shared" si="7"/>
        <v>642</v>
      </c>
      <c r="B1853" s="167" t="str">
        <f>_xlfn.XLOOKUP(I1853,Mapping!D:D,Mapping!E:E)</f>
        <v>Cung Ứng</v>
      </c>
      <c r="C1853" s="167" t="str">
        <f>_xlfn.XLOOKUP(F1853,Mapping!A:A,Mapping!F:F)</f>
        <v>Lương Chính +T13</v>
      </c>
      <c r="D1853" s="173">
        <v>45961</v>
      </c>
      <c r="E1853" s="169" t="s">
        <v>1135</v>
      </c>
      <c r="F1853" s="169" t="s">
        <v>285</v>
      </c>
      <c r="G1853" s="169" t="s">
        <v>286</v>
      </c>
      <c r="H1853" s="169" t="s">
        <v>380</v>
      </c>
      <c r="I1853" s="169" t="s">
        <v>381</v>
      </c>
      <c r="J1853" s="169" t="s">
        <v>1136</v>
      </c>
      <c r="K1853" s="169" t="s">
        <v>1132</v>
      </c>
      <c r="L1853" s="169" t="s">
        <v>1133</v>
      </c>
      <c r="M1853" s="169" t="s">
        <v>281</v>
      </c>
      <c r="N1853" s="178">
        <v>41910752</v>
      </c>
      <c r="O1853" s="169" t="s">
        <v>1137</v>
      </c>
      <c r="P1853" s="169" t="s">
        <v>283</v>
      </c>
      <c r="Q1853" s="169" t="s">
        <v>284</v>
      </c>
      <c r="R1853" s="169" t="s">
        <v>283</v>
      </c>
      <c r="S1853" s="169" t="s">
        <v>283</v>
      </c>
      <c r="T1853" s="169">
        <v>0</v>
      </c>
    </row>
    <row r="1854" spans="1:20" x14ac:dyDescent="0.2">
      <c r="A1854" s="169" t="str">
        <f t="shared" si="7"/>
        <v>642</v>
      </c>
      <c r="B1854" s="167" t="str">
        <f>_xlfn.XLOOKUP(I1854,Mapping!D:D,Mapping!E:E)</f>
        <v>Cung Ứng</v>
      </c>
      <c r="C1854" s="167" t="str">
        <f>_xlfn.XLOOKUP(F1854,Mapping!A:A,Mapping!F:F)</f>
        <v>Thưởng</v>
      </c>
      <c r="D1854" s="173">
        <v>45961</v>
      </c>
      <c r="E1854" s="169" t="s">
        <v>1135</v>
      </c>
      <c r="F1854" s="169" t="s">
        <v>292</v>
      </c>
      <c r="G1854" s="169" t="s">
        <v>77</v>
      </c>
      <c r="H1854" s="169" t="s">
        <v>380</v>
      </c>
      <c r="I1854" s="169" t="s">
        <v>381</v>
      </c>
      <c r="J1854" s="169" t="s">
        <v>1138</v>
      </c>
      <c r="K1854" s="169" t="s">
        <v>1132</v>
      </c>
      <c r="L1854" s="169" t="s">
        <v>1133</v>
      </c>
      <c r="M1854" s="169" t="s">
        <v>281</v>
      </c>
      <c r="N1854" s="178">
        <v>36704375</v>
      </c>
      <c r="O1854" s="169" t="s">
        <v>1137</v>
      </c>
      <c r="P1854" s="169" t="s">
        <v>283</v>
      </c>
      <c r="Q1854" s="169" t="s">
        <v>284</v>
      </c>
      <c r="R1854" s="169" t="s">
        <v>283</v>
      </c>
      <c r="S1854" s="169" t="s">
        <v>283</v>
      </c>
      <c r="T1854" s="169">
        <v>0</v>
      </c>
    </row>
    <row r="1855" spans="1:20" x14ac:dyDescent="0.2">
      <c r="A1855" s="169" t="str">
        <f t="shared" si="7"/>
        <v>642</v>
      </c>
      <c r="B1855" s="167" t="str">
        <f>_xlfn.XLOOKUP(I1855,Mapping!D:D,Mapping!E:E)</f>
        <v>Mua Hàng &amp; XNK</v>
      </c>
      <c r="C1855" s="167" t="str">
        <f>_xlfn.XLOOKUP(F1855,Mapping!A:A,Mapping!F:F)</f>
        <v>Lương Chính +T13</v>
      </c>
      <c r="D1855" s="173">
        <v>45961</v>
      </c>
      <c r="E1855" s="169" t="s">
        <v>1135</v>
      </c>
      <c r="F1855" s="169" t="s">
        <v>285</v>
      </c>
      <c r="G1855" s="169" t="s">
        <v>286</v>
      </c>
      <c r="H1855" s="169" t="s">
        <v>378</v>
      </c>
      <c r="I1855" s="169" t="s">
        <v>379</v>
      </c>
      <c r="J1855" s="169" t="s">
        <v>1136</v>
      </c>
      <c r="K1855" s="169" t="s">
        <v>1132</v>
      </c>
      <c r="L1855" s="169" t="s">
        <v>1133</v>
      </c>
      <c r="M1855" s="169" t="s">
        <v>281</v>
      </c>
      <c r="N1855" s="178">
        <v>11544417</v>
      </c>
      <c r="O1855" s="169" t="s">
        <v>1137</v>
      </c>
      <c r="P1855" s="169" t="s">
        <v>283</v>
      </c>
      <c r="Q1855" s="169" t="s">
        <v>284</v>
      </c>
      <c r="R1855" s="169" t="s">
        <v>283</v>
      </c>
      <c r="S1855" s="169" t="s">
        <v>283</v>
      </c>
      <c r="T1855" s="169">
        <v>0</v>
      </c>
    </row>
    <row r="1856" spans="1:20" x14ac:dyDescent="0.2">
      <c r="A1856" s="169" t="str">
        <f t="shared" ref="A1856:A1919" si="8">LEFT(F1856,3)</f>
        <v>642</v>
      </c>
      <c r="B1856" s="167" t="str">
        <f>_xlfn.XLOOKUP(I1856,Mapping!D:D,Mapping!E:E)</f>
        <v>Mua Hàng &amp; XNK</v>
      </c>
      <c r="C1856" s="167" t="str">
        <f>_xlfn.XLOOKUP(F1856,Mapping!A:A,Mapping!F:F)</f>
        <v>Thưởng</v>
      </c>
      <c r="D1856" s="173">
        <v>45961</v>
      </c>
      <c r="E1856" s="169" t="s">
        <v>1135</v>
      </c>
      <c r="F1856" s="169" t="s">
        <v>292</v>
      </c>
      <c r="G1856" s="169" t="s">
        <v>77</v>
      </c>
      <c r="H1856" s="169" t="s">
        <v>378</v>
      </c>
      <c r="I1856" s="169" t="s">
        <v>379</v>
      </c>
      <c r="J1856" s="169" t="s">
        <v>1138</v>
      </c>
      <c r="K1856" s="169" t="s">
        <v>1132</v>
      </c>
      <c r="L1856" s="169" t="s">
        <v>1133</v>
      </c>
      <c r="M1856" s="169" t="s">
        <v>281</v>
      </c>
      <c r="N1856" s="178">
        <v>10620771</v>
      </c>
      <c r="O1856" s="169" t="s">
        <v>1137</v>
      </c>
      <c r="P1856" s="169" t="s">
        <v>283</v>
      </c>
      <c r="Q1856" s="169" t="s">
        <v>284</v>
      </c>
      <c r="R1856" s="169" t="s">
        <v>283</v>
      </c>
      <c r="S1856" s="169" t="s">
        <v>283</v>
      </c>
      <c r="T1856" s="169">
        <v>0</v>
      </c>
    </row>
    <row r="1857" spans="1:20" x14ac:dyDescent="0.2">
      <c r="A1857" s="169" t="str">
        <f t="shared" si="8"/>
        <v>627</v>
      </c>
      <c r="B1857" s="167" t="str">
        <f>_xlfn.XLOOKUP(I1857,Mapping!D:D,Mapping!E:E)</f>
        <v>Kỹ Thuật</v>
      </c>
      <c r="C1857" s="167" t="str">
        <f>_xlfn.XLOOKUP(F1857,Mapping!A:A,Mapping!F:F)</f>
        <v>Lương Chính +T13</v>
      </c>
      <c r="D1857" s="173">
        <v>45961</v>
      </c>
      <c r="E1857" s="169" t="s">
        <v>1135</v>
      </c>
      <c r="F1857" s="169" t="s">
        <v>388</v>
      </c>
      <c r="G1857" s="169" t="s">
        <v>286</v>
      </c>
      <c r="H1857" s="169" t="s">
        <v>376</v>
      </c>
      <c r="I1857" s="169" t="s">
        <v>377</v>
      </c>
      <c r="J1857" s="169" t="s">
        <v>1136</v>
      </c>
      <c r="K1857" s="169" t="s">
        <v>1132</v>
      </c>
      <c r="L1857" s="169" t="s">
        <v>1133</v>
      </c>
      <c r="M1857" s="169" t="s">
        <v>281</v>
      </c>
      <c r="N1857" s="178">
        <v>88852917</v>
      </c>
      <c r="O1857" s="169" t="s">
        <v>1137</v>
      </c>
      <c r="P1857" s="169" t="s">
        <v>283</v>
      </c>
      <c r="Q1857" s="169" t="s">
        <v>284</v>
      </c>
      <c r="R1857" s="169" t="s">
        <v>283</v>
      </c>
      <c r="S1857" s="169" t="s">
        <v>283</v>
      </c>
      <c r="T1857" s="169">
        <v>0</v>
      </c>
    </row>
    <row r="1858" spans="1:20" x14ac:dyDescent="0.2">
      <c r="A1858" s="169" t="str">
        <f t="shared" si="8"/>
        <v>627</v>
      </c>
      <c r="B1858" s="167" t="str">
        <f>_xlfn.XLOOKUP(I1858,Mapping!D:D,Mapping!E:E)</f>
        <v>Kỹ Thuật</v>
      </c>
      <c r="C1858" s="167" t="str">
        <f>_xlfn.XLOOKUP(F1858,Mapping!A:A,Mapping!F:F)</f>
        <v>Thưởng</v>
      </c>
      <c r="D1858" s="173">
        <v>45961</v>
      </c>
      <c r="E1858" s="169" t="s">
        <v>1135</v>
      </c>
      <c r="F1858" s="169" t="s">
        <v>395</v>
      </c>
      <c r="G1858" s="169" t="s">
        <v>77</v>
      </c>
      <c r="H1858" s="169" t="s">
        <v>376</v>
      </c>
      <c r="I1858" s="169" t="s">
        <v>377</v>
      </c>
      <c r="J1858" s="169" t="s">
        <v>1138</v>
      </c>
      <c r="K1858" s="169" t="s">
        <v>1132</v>
      </c>
      <c r="L1858" s="169" t="s">
        <v>1133</v>
      </c>
      <c r="M1858" s="169" t="s">
        <v>281</v>
      </c>
      <c r="N1858" s="178">
        <v>81743973</v>
      </c>
      <c r="O1858" s="169" t="s">
        <v>1137</v>
      </c>
      <c r="P1858" s="169" t="s">
        <v>283</v>
      </c>
      <c r="Q1858" s="169" t="s">
        <v>284</v>
      </c>
      <c r="R1858" s="169" t="s">
        <v>283</v>
      </c>
      <c r="S1858" s="169" t="s">
        <v>283</v>
      </c>
      <c r="T1858" s="169">
        <v>0</v>
      </c>
    </row>
    <row r="1859" spans="1:20" x14ac:dyDescent="0.2">
      <c r="A1859" s="169" t="str">
        <f t="shared" si="8"/>
        <v>642</v>
      </c>
      <c r="B1859" s="167" t="str">
        <f>_xlfn.XLOOKUP(I1859,Mapping!D:D,Mapping!E:E)</f>
        <v>Hành Chánh Nhân Sự</v>
      </c>
      <c r="C1859" s="167" t="str">
        <f>_xlfn.XLOOKUP(F1859,Mapping!A:A,Mapping!F:F)</f>
        <v>Lương Chính +T13</v>
      </c>
      <c r="D1859" s="173">
        <v>45961</v>
      </c>
      <c r="E1859" s="169" t="s">
        <v>1135</v>
      </c>
      <c r="F1859" s="169" t="s">
        <v>285</v>
      </c>
      <c r="G1859" s="169" t="s">
        <v>286</v>
      </c>
      <c r="H1859" s="169" t="s">
        <v>382</v>
      </c>
      <c r="I1859" s="169" t="s">
        <v>200</v>
      </c>
      <c r="J1859" s="169" t="s">
        <v>1136</v>
      </c>
      <c r="K1859" s="169" t="s">
        <v>1132</v>
      </c>
      <c r="L1859" s="169" t="s">
        <v>1133</v>
      </c>
      <c r="M1859" s="169" t="s">
        <v>281</v>
      </c>
      <c r="N1859" s="178">
        <v>6194250</v>
      </c>
      <c r="O1859" s="169" t="s">
        <v>1137</v>
      </c>
      <c r="P1859" s="169" t="s">
        <v>283</v>
      </c>
      <c r="Q1859" s="169" t="s">
        <v>284</v>
      </c>
      <c r="R1859" s="169" t="s">
        <v>283</v>
      </c>
      <c r="S1859" s="169" t="s">
        <v>283</v>
      </c>
      <c r="T1859" s="169">
        <v>0</v>
      </c>
    </row>
    <row r="1860" spans="1:20" x14ac:dyDescent="0.2">
      <c r="A1860" s="169" t="str">
        <f t="shared" si="8"/>
        <v>642</v>
      </c>
      <c r="B1860" s="167" t="str">
        <f>_xlfn.XLOOKUP(I1860,Mapping!D:D,Mapping!E:E)</f>
        <v>Hành Chánh Nhân Sự</v>
      </c>
      <c r="C1860" s="167" t="str">
        <f>_xlfn.XLOOKUP(F1860,Mapping!A:A,Mapping!F:F)</f>
        <v>Thưởng</v>
      </c>
      <c r="D1860" s="173">
        <v>45961</v>
      </c>
      <c r="E1860" s="169" t="s">
        <v>1135</v>
      </c>
      <c r="F1860" s="169" t="s">
        <v>292</v>
      </c>
      <c r="G1860" s="169" t="s">
        <v>77</v>
      </c>
      <c r="H1860" s="169" t="s">
        <v>382</v>
      </c>
      <c r="I1860" s="169" t="s">
        <v>200</v>
      </c>
      <c r="J1860" s="169" t="s">
        <v>1138</v>
      </c>
      <c r="K1860" s="169" t="s">
        <v>1132</v>
      </c>
      <c r="L1860" s="169" t="s">
        <v>1133</v>
      </c>
      <c r="M1860" s="169" t="s">
        <v>281</v>
      </c>
      <c r="N1860" s="178">
        <v>5698660</v>
      </c>
      <c r="O1860" s="169" t="s">
        <v>1137</v>
      </c>
      <c r="P1860" s="169" t="s">
        <v>283</v>
      </c>
      <c r="Q1860" s="169" t="s">
        <v>284</v>
      </c>
      <c r="R1860" s="169" t="s">
        <v>283</v>
      </c>
      <c r="S1860" s="169" t="s">
        <v>283</v>
      </c>
      <c r="T1860" s="169">
        <v>0</v>
      </c>
    </row>
    <row r="1861" spans="1:20" x14ac:dyDescent="0.2">
      <c r="A1861" s="169" t="str">
        <f t="shared" si="8"/>
        <v>641</v>
      </c>
      <c r="B1861" s="167" t="str">
        <f>_xlfn.XLOOKUP(I1861,Mapping!D:D,Mapping!E:E)</f>
        <v>Kinh doanh</v>
      </c>
      <c r="C1861" s="167" t="str">
        <f>_xlfn.XLOOKUP(F1861,Mapping!A:A,Mapping!F:F)</f>
        <v>BHXH, BHYT, KPCĐ</v>
      </c>
      <c r="D1861" s="173">
        <v>45961</v>
      </c>
      <c r="E1861" s="169" t="s">
        <v>1139</v>
      </c>
      <c r="F1861" s="169" t="s">
        <v>392</v>
      </c>
      <c r="G1861" s="169" t="s">
        <v>296</v>
      </c>
      <c r="H1861" s="169" t="s">
        <v>366</v>
      </c>
      <c r="I1861" s="169" t="s">
        <v>1</v>
      </c>
      <c r="J1861" s="169" t="s">
        <v>1140</v>
      </c>
      <c r="K1861" s="169" t="s">
        <v>1132</v>
      </c>
      <c r="L1861" s="169" t="s">
        <v>1133</v>
      </c>
      <c r="M1861" s="169" t="s">
        <v>281</v>
      </c>
      <c r="N1861" s="178">
        <v>59197445</v>
      </c>
      <c r="O1861" s="169" t="s">
        <v>1141</v>
      </c>
      <c r="P1861" s="169" t="s">
        <v>283</v>
      </c>
      <c r="Q1861" s="169" t="s">
        <v>284</v>
      </c>
      <c r="R1861" s="169" t="s">
        <v>283</v>
      </c>
      <c r="S1861" s="169" t="s">
        <v>283</v>
      </c>
      <c r="T1861" s="169">
        <v>0</v>
      </c>
    </row>
    <row r="1862" spans="1:20" x14ac:dyDescent="0.2">
      <c r="A1862" s="169" t="str">
        <f t="shared" si="8"/>
        <v>642</v>
      </c>
      <c r="B1862" s="167" t="str">
        <f>_xlfn.XLOOKUP(I1862,Mapping!D:D,Mapping!E:E)</f>
        <v>Cung Ứng</v>
      </c>
      <c r="C1862" s="167" t="str">
        <f>_xlfn.XLOOKUP(F1862,Mapping!A:A,Mapping!F:F)</f>
        <v>BHXH, BHYT, KPCĐ</v>
      </c>
      <c r="D1862" s="173">
        <v>45961</v>
      </c>
      <c r="E1862" s="169" t="s">
        <v>1139</v>
      </c>
      <c r="F1862" s="169" t="s">
        <v>295</v>
      </c>
      <c r="G1862" s="169" t="s">
        <v>296</v>
      </c>
      <c r="H1862" s="169" t="s">
        <v>380</v>
      </c>
      <c r="I1862" s="169" t="s">
        <v>381</v>
      </c>
      <c r="J1862" s="169" t="s">
        <v>1140</v>
      </c>
      <c r="K1862" s="169" t="s">
        <v>1132</v>
      </c>
      <c r="L1862" s="169" t="s">
        <v>1133</v>
      </c>
      <c r="M1862" s="169" t="s">
        <v>281</v>
      </c>
      <c r="N1862" s="178">
        <v>113291385</v>
      </c>
      <c r="O1862" s="169" t="s">
        <v>1141</v>
      </c>
      <c r="P1862" s="169" t="s">
        <v>283</v>
      </c>
      <c r="Q1862" s="169" t="s">
        <v>284</v>
      </c>
      <c r="R1862" s="169" t="s">
        <v>283</v>
      </c>
      <c r="S1862" s="169" t="s">
        <v>283</v>
      </c>
      <c r="T1862" s="169">
        <v>0</v>
      </c>
    </row>
    <row r="1863" spans="1:20" x14ac:dyDescent="0.2">
      <c r="A1863" s="169" t="str">
        <f t="shared" si="8"/>
        <v>642</v>
      </c>
      <c r="B1863" s="167" t="str">
        <f>_xlfn.XLOOKUP(I1863,Mapping!D:D,Mapping!E:E)</f>
        <v>Mua Hàng &amp; XNK</v>
      </c>
      <c r="C1863" s="167" t="str">
        <f>_xlfn.XLOOKUP(F1863,Mapping!A:A,Mapping!F:F)</f>
        <v>BHXH, BHYT, KPCĐ</v>
      </c>
      <c r="D1863" s="173">
        <v>45961</v>
      </c>
      <c r="E1863" s="169" t="s">
        <v>1139</v>
      </c>
      <c r="F1863" s="169" t="s">
        <v>295</v>
      </c>
      <c r="G1863" s="169" t="s">
        <v>296</v>
      </c>
      <c r="H1863" s="169" t="s">
        <v>378</v>
      </c>
      <c r="I1863" s="169" t="s">
        <v>379</v>
      </c>
      <c r="J1863" s="169" t="s">
        <v>1140</v>
      </c>
      <c r="K1863" s="169" t="s">
        <v>1132</v>
      </c>
      <c r="L1863" s="169" t="s">
        <v>1133</v>
      </c>
      <c r="M1863" s="169" t="s">
        <v>281</v>
      </c>
      <c r="N1863" s="178">
        <v>32555255</v>
      </c>
      <c r="O1863" s="169" t="s">
        <v>1141</v>
      </c>
      <c r="P1863" s="169" t="s">
        <v>283</v>
      </c>
      <c r="Q1863" s="169" t="s">
        <v>284</v>
      </c>
      <c r="R1863" s="169" t="s">
        <v>283</v>
      </c>
      <c r="S1863" s="169" t="s">
        <v>283</v>
      </c>
      <c r="T1863" s="169">
        <v>0</v>
      </c>
    </row>
    <row r="1864" spans="1:20" x14ac:dyDescent="0.2">
      <c r="A1864" s="169" t="str">
        <f t="shared" si="8"/>
        <v>627</v>
      </c>
      <c r="B1864" s="167" t="str">
        <f>_xlfn.XLOOKUP(I1864,Mapping!D:D,Mapping!E:E)</f>
        <v>Kỹ Thuật</v>
      </c>
      <c r="C1864" s="167" t="str">
        <f>_xlfn.XLOOKUP(F1864,Mapping!A:A,Mapping!F:F)</f>
        <v>BHXH, BHYT, KPCĐ</v>
      </c>
      <c r="D1864" s="173">
        <v>45961</v>
      </c>
      <c r="E1864" s="169" t="s">
        <v>1139</v>
      </c>
      <c r="F1864" s="169" t="s">
        <v>393</v>
      </c>
      <c r="G1864" s="169" t="s">
        <v>296</v>
      </c>
      <c r="H1864" s="169" t="s">
        <v>376</v>
      </c>
      <c r="I1864" s="169" t="s">
        <v>377</v>
      </c>
      <c r="J1864" s="169" t="s">
        <v>1140</v>
      </c>
      <c r="K1864" s="169" t="s">
        <v>1132</v>
      </c>
      <c r="L1864" s="169" t="s">
        <v>1133</v>
      </c>
      <c r="M1864" s="169" t="s">
        <v>281</v>
      </c>
      <c r="N1864" s="178">
        <v>243985225</v>
      </c>
      <c r="O1864" s="169" t="s">
        <v>1141</v>
      </c>
      <c r="P1864" s="169" t="s">
        <v>283</v>
      </c>
      <c r="Q1864" s="169" t="s">
        <v>284</v>
      </c>
      <c r="R1864" s="169" t="s">
        <v>283</v>
      </c>
      <c r="S1864" s="169" t="s">
        <v>283</v>
      </c>
      <c r="T1864" s="169">
        <v>0</v>
      </c>
    </row>
    <row r="1865" spans="1:20" x14ac:dyDescent="0.2">
      <c r="A1865" s="169" t="str">
        <f t="shared" si="8"/>
        <v>642</v>
      </c>
      <c r="B1865" s="167" t="str">
        <f>_xlfn.XLOOKUP(I1865,Mapping!D:D,Mapping!E:E)</f>
        <v>Hành Chánh Nhân Sự</v>
      </c>
      <c r="C1865" s="167" t="str">
        <f>_xlfn.XLOOKUP(F1865,Mapping!A:A,Mapping!F:F)</f>
        <v>BHXH, BHYT, KPCĐ</v>
      </c>
      <c r="D1865" s="173">
        <v>45961</v>
      </c>
      <c r="E1865" s="169" t="s">
        <v>1139</v>
      </c>
      <c r="F1865" s="169" t="s">
        <v>295</v>
      </c>
      <c r="G1865" s="169" t="s">
        <v>296</v>
      </c>
      <c r="H1865" s="169" t="s">
        <v>382</v>
      </c>
      <c r="I1865" s="169" t="s">
        <v>200</v>
      </c>
      <c r="J1865" s="169" t="s">
        <v>1140</v>
      </c>
      <c r="K1865" s="169" t="s">
        <v>1132</v>
      </c>
      <c r="L1865" s="169" t="s">
        <v>1133</v>
      </c>
      <c r="M1865" s="169" t="s">
        <v>281</v>
      </c>
      <c r="N1865" s="178">
        <v>17467785</v>
      </c>
      <c r="O1865" s="169" t="s">
        <v>1141</v>
      </c>
      <c r="P1865" s="169" t="s">
        <v>283</v>
      </c>
      <c r="Q1865" s="169" t="s">
        <v>284</v>
      </c>
      <c r="R1865" s="169" t="s">
        <v>283</v>
      </c>
      <c r="S1865" s="169" t="s">
        <v>283</v>
      </c>
      <c r="T1865" s="169">
        <v>0</v>
      </c>
    </row>
    <row r="1866" spans="1:20" x14ac:dyDescent="0.2">
      <c r="A1866" s="169" t="str">
        <f t="shared" si="8"/>
        <v>642</v>
      </c>
      <c r="B1866" s="167" t="str">
        <f>_xlfn.XLOOKUP(I1866,Mapping!D:D,Mapping!E:E)</f>
        <v>Cung Ứng</v>
      </c>
      <c r="C1866" s="167" t="str">
        <f>_xlfn.XLOOKUP(F1866,Mapping!A:A,Mapping!F:F)</f>
        <v>Lương Chính +T13</v>
      </c>
      <c r="D1866" s="173">
        <v>45961</v>
      </c>
      <c r="E1866" s="169" t="s">
        <v>1174</v>
      </c>
      <c r="F1866" s="169" t="s">
        <v>274</v>
      </c>
      <c r="G1866" s="169" t="s">
        <v>275</v>
      </c>
      <c r="H1866" s="169" t="s">
        <v>380</v>
      </c>
      <c r="I1866" s="169" t="s">
        <v>381</v>
      </c>
      <c r="J1866" s="169" t="s">
        <v>1175</v>
      </c>
      <c r="K1866" s="169" t="s">
        <v>1132</v>
      </c>
      <c r="L1866" s="169" t="s">
        <v>1133</v>
      </c>
      <c r="M1866" s="169" t="s">
        <v>281</v>
      </c>
      <c r="N1866" s="178">
        <v>-259909</v>
      </c>
      <c r="O1866" s="169" t="s">
        <v>1176</v>
      </c>
      <c r="P1866" s="169" t="s">
        <v>283</v>
      </c>
      <c r="Q1866" s="169" t="s">
        <v>284</v>
      </c>
      <c r="R1866" s="169" t="s">
        <v>283</v>
      </c>
      <c r="S1866" s="169" t="s">
        <v>283</v>
      </c>
      <c r="T1866" s="169">
        <v>0</v>
      </c>
    </row>
    <row r="1867" spans="1:20" x14ac:dyDescent="0.2">
      <c r="A1867" s="169" t="str">
        <f t="shared" si="8"/>
        <v>641</v>
      </c>
      <c r="B1867" s="167" t="str">
        <f>_xlfn.XLOOKUP(I1867,Mapping!D:D,Mapping!E:E)</f>
        <v>Kinh doanh</v>
      </c>
      <c r="C1867" s="167" t="str">
        <f>_xlfn.XLOOKUP(F1867,Mapping!A:A,Mapping!F:F)</f>
        <v>Thưởng</v>
      </c>
      <c r="D1867" s="173">
        <v>45931</v>
      </c>
      <c r="E1867" s="169" t="s">
        <v>1177</v>
      </c>
      <c r="F1867" s="169" t="s">
        <v>365</v>
      </c>
      <c r="G1867" s="169" t="s">
        <v>291</v>
      </c>
      <c r="H1867" s="169" t="s">
        <v>366</v>
      </c>
      <c r="I1867" s="169" t="s">
        <v>1</v>
      </c>
      <c r="J1867" s="169" t="s">
        <v>1101</v>
      </c>
      <c r="K1867" s="169" t="s">
        <v>670</v>
      </c>
      <c r="L1867" s="169" t="s">
        <v>1133</v>
      </c>
      <c r="M1867" s="169" t="s">
        <v>281</v>
      </c>
      <c r="N1867" s="178">
        <v>-101478655</v>
      </c>
      <c r="O1867" s="169" t="s">
        <v>1178</v>
      </c>
      <c r="P1867" s="169" t="s">
        <v>447</v>
      </c>
      <c r="Q1867" s="169" t="s">
        <v>284</v>
      </c>
      <c r="R1867" s="169" t="s">
        <v>283</v>
      </c>
      <c r="S1867" s="169" t="s">
        <v>283</v>
      </c>
      <c r="T1867" s="169">
        <v>0</v>
      </c>
    </row>
    <row r="1868" spans="1:20" x14ac:dyDescent="0.2">
      <c r="A1868" s="169" t="str">
        <f t="shared" si="8"/>
        <v>641</v>
      </c>
      <c r="B1868" s="167" t="str">
        <f>_xlfn.XLOOKUP(I1868,Mapping!D:D,Mapping!E:E)</f>
        <v>Kinh doanh</v>
      </c>
      <c r="C1868" s="167" t="str">
        <f>_xlfn.XLOOKUP(F1868,Mapping!A:A,Mapping!F:F)</f>
        <v>Thưởng</v>
      </c>
      <c r="D1868" s="173">
        <v>45961</v>
      </c>
      <c r="E1868" s="169" t="s">
        <v>1179</v>
      </c>
      <c r="F1868" s="169" t="s">
        <v>365</v>
      </c>
      <c r="G1868" s="169" t="s">
        <v>291</v>
      </c>
      <c r="H1868" s="169" t="s">
        <v>366</v>
      </c>
      <c r="I1868" s="169" t="s">
        <v>1</v>
      </c>
      <c r="J1868" s="169" t="s">
        <v>1180</v>
      </c>
      <c r="K1868" s="169" t="s">
        <v>670</v>
      </c>
      <c r="L1868" s="169" t="s">
        <v>1133</v>
      </c>
      <c r="M1868" s="169" t="s">
        <v>281</v>
      </c>
      <c r="N1868" s="178">
        <v>18423547</v>
      </c>
      <c r="O1868" s="169" t="s">
        <v>1181</v>
      </c>
      <c r="P1868" s="169" t="s">
        <v>283</v>
      </c>
      <c r="Q1868" s="169" t="s">
        <v>370</v>
      </c>
      <c r="R1868" s="169" t="s">
        <v>283</v>
      </c>
      <c r="S1868" s="169" t="s">
        <v>283</v>
      </c>
      <c r="T1868" s="169">
        <v>0</v>
      </c>
    </row>
    <row r="1869" spans="1:20" x14ac:dyDescent="0.2">
      <c r="A1869" s="169" t="str">
        <f t="shared" si="8"/>
        <v>641</v>
      </c>
      <c r="B1869" s="167" t="str">
        <f>_xlfn.XLOOKUP(I1869,Mapping!D:D,Mapping!E:E)</f>
        <v>Kinh doanh</v>
      </c>
      <c r="C1869" s="167" t="str">
        <f>_xlfn.XLOOKUP(F1869,Mapping!A:A,Mapping!F:F)</f>
        <v>Thưởng</v>
      </c>
      <c r="D1869" s="173">
        <v>45961</v>
      </c>
      <c r="E1869" s="169" t="s">
        <v>1182</v>
      </c>
      <c r="F1869" s="169" t="s">
        <v>365</v>
      </c>
      <c r="G1869" s="169" t="s">
        <v>291</v>
      </c>
      <c r="H1869" s="169" t="s">
        <v>366</v>
      </c>
      <c r="I1869" s="169" t="s">
        <v>1</v>
      </c>
      <c r="J1869" s="169" t="s">
        <v>1183</v>
      </c>
      <c r="K1869" s="169" t="s">
        <v>670</v>
      </c>
      <c r="L1869" s="169" t="s">
        <v>1133</v>
      </c>
      <c r="M1869" s="169" t="s">
        <v>281</v>
      </c>
      <c r="N1869" s="178">
        <v>123235604</v>
      </c>
      <c r="O1869" s="169" t="s">
        <v>1184</v>
      </c>
      <c r="P1869" s="169" t="s">
        <v>283</v>
      </c>
      <c r="Q1869" s="169" t="s">
        <v>370</v>
      </c>
      <c r="R1869" s="169" t="s">
        <v>283</v>
      </c>
      <c r="S1869" s="169" t="s">
        <v>283</v>
      </c>
      <c r="T1869" s="169">
        <v>0</v>
      </c>
    </row>
    <row r="1870" spans="1:20" x14ac:dyDescent="0.2">
      <c r="A1870" s="169" t="str">
        <f t="shared" si="8"/>
        <v>627</v>
      </c>
      <c r="B1870" s="167" t="str">
        <f>_xlfn.XLOOKUP(I1870,Mapping!D:D,Mapping!E:E)</f>
        <v>Kỹ Thuật</v>
      </c>
      <c r="C1870" s="167" t="str">
        <f>_xlfn.XLOOKUP(F1870,Mapping!A:A,Mapping!F:F)</f>
        <v>Phụ Cấp</v>
      </c>
      <c r="D1870" s="173">
        <v>45958</v>
      </c>
      <c r="E1870" s="169" t="s">
        <v>1142</v>
      </c>
      <c r="F1870" s="169" t="s">
        <v>375</v>
      </c>
      <c r="G1870" s="169" t="s">
        <v>336</v>
      </c>
      <c r="H1870" s="169" t="s">
        <v>376</v>
      </c>
      <c r="I1870" s="169" t="s">
        <v>377</v>
      </c>
      <c r="J1870" s="169" t="s">
        <v>1143</v>
      </c>
      <c r="K1870" s="169" t="s">
        <v>992</v>
      </c>
      <c r="L1870" s="169" t="s">
        <v>1133</v>
      </c>
      <c r="M1870" s="169" t="s">
        <v>281</v>
      </c>
      <c r="N1870" s="178">
        <v>50625000</v>
      </c>
      <c r="O1870" s="169" t="s">
        <v>1144</v>
      </c>
      <c r="P1870" s="169" t="s">
        <v>283</v>
      </c>
      <c r="Q1870" s="169" t="s">
        <v>306</v>
      </c>
      <c r="R1870" s="169" t="s">
        <v>283</v>
      </c>
      <c r="S1870" s="169" t="s">
        <v>283</v>
      </c>
      <c r="T1870" s="169">
        <v>0</v>
      </c>
    </row>
    <row r="1871" spans="1:20" x14ac:dyDescent="0.2">
      <c r="A1871" s="169" t="str">
        <f t="shared" si="8"/>
        <v>642</v>
      </c>
      <c r="B1871" s="167" t="str">
        <f>_xlfn.XLOOKUP(I1871,Mapping!D:D,Mapping!E:E)</f>
        <v>Mua Hàng &amp; XNK</v>
      </c>
      <c r="C1871" s="167" t="str">
        <f>_xlfn.XLOOKUP(F1871,Mapping!A:A,Mapping!F:F)</f>
        <v>Phụ Cấp</v>
      </c>
      <c r="D1871" s="173">
        <v>45958</v>
      </c>
      <c r="E1871" s="169" t="s">
        <v>1142</v>
      </c>
      <c r="F1871" s="169" t="s">
        <v>335</v>
      </c>
      <c r="G1871" s="169" t="s">
        <v>336</v>
      </c>
      <c r="H1871" s="169" t="s">
        <v>378</v>
      </c>
      <c r="I1871" s="169" t="s">
        <v>379</v>
      </c>
      <c r="J1871" s="169" t="s">
        <v>1143</v>
      </c>
      <c r="K1871" s="169" t="s">
        <v>992</v>
      </c>
      <c r="L1871" s="169" t="s">
        <v>1133</v>
      </c>
      <c r="M1871" s="169" t="s">
        <v>281</v>
      </c>
      <c r="N1871" s="178">
        <v>4750000</v>
      </c>
      <c r="O1871" s="169" t="s">
        <v>1144</v>
      </c>
      <c r="P1871" s="169" t="s">
        <v>283</v>
      </c>
      <c r="Q1871" s="169" t="s">
        <v>306</v>
      </c>
      <c r="R1871" s="169" t="s">
        <v>283</v>
      </c>
      <c r="S1871" s="169" t="s">
        <v>283</v>
      </c>
      <c r="T1871" s="169">
        <v>0</v>
      </c>
    </row>
    <row r="1872" spans="1:20" x14ac:dyDescent="0.2">
      <c r="A1872" s="169" t="str">
        <f t="shared" si="8"/>
        <v>642</v>
      </c>
      <c r="B1872" s="167" t="str">
        <f>_xlfn.XLOOKUP(I1872,Mapping!D:D,Mapping!E:E)</f>
        <v>Cung Ứng</v>
      </c>
      <c r="C1872" s="167" t="str">
        <f>_xlfn.XLOOKUP(F1872,Mapping!A:A,Mapping!F:F)</f>
        <v>Phụ Cấp</v>
      </c>
      <c r="D1872" s="173">
        <v>45958</v>
      </c>
      <c r="E1872" s="169" t="s">
        <v>1142</v>
      </c>
      <c r="F1872" s="169" t="s">
        <v>335</v>
      </c>
      <c r="G1872" s="169" t="s">
        <v>336</v>
      </c>
      <c r="H1872" s="169" t="s">
        <v>380</v>
      </c>
      <c r="I1872" s="169" t="s">
        <v>381</v>
      </c>
      <c r="J1872" s="169" t="s">
        <v>1143</v>
      </c>
      <c r="K1872" s="169" t="s">
        <v>992</v>
      </c>
      <c r="L1872" s="169" t="s">
        <v>1133</v>
      </c>
      <c r="M1872" s="169" t="s">
        <v>281</v>
      </c>
      <c r="N1872" s="178">
        <v>3100000</v>
      </c>
      <c r="O1872" s="169" t="s">
        <v>1144</v>
      </c>
      <c r="P1872" s="169" t="s">
        <v>283</v>
      </c>
      <c r="Q1872" s="169" t="s">
        <v>306</v>
      </c>
      <c r="R1872" s="169" t="s">
        <v>283</v>
      </c>
      <c r="S1872" s="169" t="s">
        <v>283</v>
      </c>
      <c r="T1872" s="169">
        <v>0</v>
      </c>
    </row>
    <row r="1873" spans="1:20" x14ac:dyDescent="0.2">
      <c r="A1873" s="169" t="str">
        <f t="shared" si="8"/>
        <v>642</v>
      </c>
      <c r="B1873" s="167" t="str">
        <f>_xlfn.XLOOKUP(I1873,Mapping!D:D,Mapping!E:E)</f>
        <v>Hành Chánh Nhân Sự</v>
      </c>
      <c r="C1873" s="167" t="str">
        <f>_xlfn.XLOOKUP(F1873,Mapping!A:A,Mapping!F:F)</f>
        <v>Phụ Cấp</v>
      </c>
      <c r="D1873" s="173">
        <v>45958</v>
      </c>
      <c r="E1873" s="169" t="s">
        <v>1142</v>
      </c>
      <c r="F1873" s="169" t="s">
        <v>335</v>
      </c>
      <c r="G1873" s="169" t="s">
        <v>336</v>
      </c>
      <c r="H1873" s="169" t="s">
        <v>382</v>
      </c>
      <c r="I1873" s="169" t="s">
        <v>200</v>
      </c>
      <c r="J1873" s="169" t="s">
        <v>1143</v>
      </c>
      <c r="K1873" s="169" t="s">
        <v>992</v>
      </c>
      <c r="L1873" s="169" t="s">
        <v>1133</v>
      </c>
      <c r="M1873" s="169" t="s">
        <v>281</v>
      </c>
      <c r="N1873" s="178">
        <v>1750000</v>
      </c>
      <c r="O1873" s="169" t="s">
        <v>1144</v>
      </c>
      <c r="P1873" s="169" t="s">
        <v>283</v>
      </c>
      <c r="Q1873" s="169" t="s">
        <v>306</v>
      </c>
      <c r="R1873" s="169" t="s">
        <v>283</v>
      </c>
      <c r="S1873" s="169" t="s">
        <v>283</v>
      </c>
      <c r="T1873" s="169">
        <v>0</v>
      </c>
    </row>
    <row r="1874" spans="1:20" x14ac:dyDescent="0.2">
      <c r="A1874" s="169" t="str">
        <f t="shared" si="8"/>
        <v>627</v>
      </c>
      <c r="B1874" s="167" t="str">
        <f>_xlfn.XLOOKUP(I1874,Mapping!D:D,Mapping!E:E)</f>
        <v>Kỹ Thuật</v>
      </c>
      <c r="C1874" s="167" t="str">
        <f>_xlfn.XLOOKUP(F1874,Mapping!A:A,Mapping!F:F)</f>
        <v>Phụ Cấp</v>
      </c>
      <c r="D1874" s="173">
        <v>45961</v>
      </c>
      <c r="E1874" s="169" t="s">
        <v>1151</v>
      </c>
      <c r="F1874" s="169" t="s">
        <v>375</v>
      </c>
      <c r="G1874" s="169" t="s">
        <v>336</v>
      </c>
      <c r="H1874" s="169" t="s">
        <v>376</v>
      </c>
      <c r="I1874" s="169" t="s">
        <v>377</v>
      </c>
      <c r="J1874" s="169" t="s">
        <v>1185</v>
      </c>
      <c r="K1874" s="169" t="s">
        <v>1153</v>
      </c>
      <c r="L1874" s="169" t="s">
        <v>1133</v>
      </c>
      <c r="M1874" s="169" t="s">
        <v>281</v>
      </c>
      <c r="N1874" s="178">
        <v>8502000</v>
      </c>
      <c r="O1874" s="169" t="s">
        <v>1154</v>
      </c>
      <c r="P1874" s="169" t="s">
        <v>283</v>
      </c>
      <c r="Q1874" s="169" t="s">
        <v>306</v>
      </c>
      <c r="R1874" s="169" t="s">
        <v>283</v>
      </c>
      <c r="S1874" s="169" t="s">
        <v>283</v>
      </c>
      <c r="T1874" s="169">
        <v>0</v>
      </c>
    </row>
    <row r="1875" spans="1:20" x14ac:dyDescent="0.2">
      <c r="A1875" s="169" t="str">
        <f t="shared" si="8"/>
        <v>642</v>
      </c>
      <c r="B1875" s="167" t="str">
        <f>_xlfn.XLOOKUP(I1875,Mapping!D:D,Mapping!E:E)</f>
        <v>Cung Ứng</v>
      </c>
      <c r="C1875" s="167" t="str">
        <f>_xlfn.XLOOKUP(F1875,Mapping!A:A,Mapping!F:F)</f>
        <v>Thưởng</v>
      </c>
      <c r="D1875" s="173">
        <v>45931</v>
      </c>
      <c r="E1875" s="169" t="s">
        <v>1186</v>
      </c>
      <c r="F1875" s="169" t="s">
        <v>290</v>
      </c>
      <c r="G1875" s="169" t="s">
        <v>291</v>
      </c>
      <c r="H1875" s="169" t="s">
        <v>380</v>
      </c>
      <c r="I1875" s="169" t="s">
        <v>381</v>
      </c>
      <c r="J1875" s="169" t="s">
        <v>1123</v>
      </c>
      <c r="K1875" s="169" t="s">
        <v>1124</v>
      </c>
      <c r="L1875" s="169" t="s">
        <v>1133</v>
      </c>
      <c r="M1875" s="169" t="s">
        <v>281</v>
      </c>
      <c r="N1875" s="178">
        <v>-140000000</v>
      </c>
      <c r="O1875" s="169" t="s">
        <v>1187</v>
      </c>
      <c r="P1875" s="169" t="s">
        <v>447</v>
      </c>
      <c r="Q1875" s="169" t="s">
        <v>284</v>
      </c>
      <c r="R1875" s="169" t="s">
        <v>283</v>
      </c>
      <c r="S1875" s="169" t="s">
        <v>283</v>
      </c>
      <c r="T1875" s="169">
        <v>0</v>
      </c>
    </row>
    <row r="1876" spans="1:20" x14ac:dyDescent="0.2">
      <c r="A1876" s="169" t="str">
        <f t="shared" si="8"/>
        <v>627</v>
      </c>
      <c r="B1876" s="167" t="str">
        <f>_xlfn.XLOOKUP(I1876,Mapping!D:D,Mapping!E:E)</f>
        <v>Nghiên Cứu &amp; Phát Triển</v>
      </c>
      <c r="C1876" s="167" t="str">
        <f>_xlfn.XLOOKUP(F1876,Mapping!A:A,Mapping!F:F)</f>
        <v>Khen thưởng BD khác</v>
      </c>
      <c r="D1876" s="173">
        <v>45936</v>
      </c>
      <c r="E1876" s="169" t="s">
        <v>1188</v>
      </c>
      <c r="F1876" s="169" t="s">
        <v>435</v>
      </c>
      <c r="G1876" s="169" t="s">
        <v>222</v>
      </c>
      <c r="H1876" s="169" t="s">
        <v>418</v>
      </c>
      <c r="I1876" s="169" t="s">
        <v>419</v>
      </c>
      <c r="J1876" s="169" t="s">
        <v>1189</v>
      </c>
      <c r="K1876" s="169" t="s">
        <v>1190</v>
      </c>
      <c r="L1876" s="169" t="s">
        <v>1133</v>
      </c>
      <c r="M1876" s="169" t="s">
        <v>281</v>
      </c>
      <c r="N1876" s="178">
        <v>4200000</v>
      </c>
      <c r="O1876" s="169" t="s">
        <v>1191</v>
      </c>
      <c r="P1876" s="169" t="s">
        <v>283</v>
      </c>
      <c r="Q1876" s="169" t="s">
        <v>306</v>
      </c>
      <c r="R1876" s="169" t="s">
        <v>283</v>
      </c>
      <c r="S1876" s="169" t="s">
        <v>283</v>
      </c>
      <c r="T1876" s="169">
        <v>0</v>
      </c>
    </row>
    <row r="1877" spans="1:20" x14ac:dyDescent="0.2">
      <c r="A1877" s="169" t="str">
        <f t="shared" si="8"/>
        <v>627</v>
      </c>
      <c r="B1877" s="167" t="str">
        <f>_xlfn.XLOOKUP(I1877,Mapping!D:D,Mapping!E:E)</f>
        <v>Nghiên Cứu &amp; Phát Triển</v>
      </c>
      <c r="C1877" s="167" t="str">
        <f>_xlfn.XLOOKUP(F1877,Mapping!A:A,Mapping!F:F)</f>
        <v>Khen thưởng BD khác</v>
      </c>
      <c r="D1877" s="173">
        <v>45936</v>
      </c>
      <c r="E1877" s="169" t="s">
        <v>1188</v>
      </c>
      <c r="F1877" s="169" t="s">
        <v>435</v>
      </c>
      <c r="G1877" s="169" t="s">
        <v>222</v>
      </c>
      <c r="H1877" s="169" t="s">
        <v>418</v>
      </c>
      <c r="I1877" s="169" t="s">
        <v>419</v>
      </c>
      <c r="J1877" s="169" t="s">
        <v>1192</v>
      </c>
      <c r="K1877" s="169" t="s">
        <v>1190</v>
      </c>
      <c r="L1877" s="169" t="s">
        <v>1133</v>
      </c>
      <c r="M1877" s="169" t="s">
        <v>281</v>
      </c>
      <c r="N1877" s="178">
        <v>4400000</v>
      </c>
      <c r="O1877" s="169" t="s">
        <v>1191</v>
      </c>
      <c r="P1877" s="169" t="s">
        <v>283</v>
      </c>
      <c r="Q1877" s="169" t="s">
        <v>306</v>
      </c>
      <c r="R1877" s="169" t="s">
        <v>283</v>
      </c>
      <c r="S1877" s="169" t="s">
        <v>283</v>
      </c>
      <c r="T1877" s="169">
        <v>0</v>
      </c>
    </row>
    <row r="1878" spans="1:20" x14ac:dyDescent="0.2">
      <c r="A1878" s="169" t="str">
        <f t="shared" si="8"/>
        <v>627</v>
      </c>
      <c r="B1878" s="167" t="str">
        <f>_xlfn.XLOOKUP(I1878,Mapping!D:D,Mapping!E:E)</f>
        <v>Kiểm Soát Chất Lượng</v>
      </c>
      <c r="C1878" s="167" t="str">
        <f>_xlfn.XLOOKUP(F1878,Mapping!A:A,Mapping!F:F)</f>
        <v>Khen thưởng BD khác</v>
      </c>
      <c r="D1878" s="173">
        <v>45936</v>
      </c>
      <c r="E1878" s="169" t="s">
        <v>1188</v>
      </c>
      <c r="F1878" s="169" t="s">
        <v>435</v>
      </c>
      <c r="G1878" s="169" t="s">
        <v>222</v>
      </c>
      <c r="H1878" s="169" t="s">
        <v>411</v>
      </c>
      <c r="I1878" s="169" t="s">
        <v>412</v>
      </c>
      <c r="J1878" s="169" t="s">
        <v>1193</v>
      </c>
      <c r="K1878" s="169" t="s">
        <v>1190</v>
      </c>
      <c r="L1878" s="169" t="s">
        <v>1133</v>
      </c>
      <c r="M1878" s="169" t="s">
        <v>281</v>
      </c>
      <c r="N1878" s="178">
        <v>3600000</v>
      </c>
      <c r="O1878" s="169" t="s">
        <v>1191</v>
      </c>
      <c r="P1878" s="169" t="s">
        <v>283</v>
      </c>
      <c r="Q1878" s="169" t="s">
        <v>306</v>
      </c>
      <c r="R1878" s="169" t="s">
        <v>283</v>
      </c>
      <c r="S1878" s="169" t="s">
        <v>283</v>
      </c>
      <c r="T1878" s="169">
        <v>0</v>
      </c>
    </row>
    <row r="1879" spans="1:20" x14ac:dyDescent="0.2">
      <c r="A1879" s="169" t="str">
        <f t="shared" si="8"/>
        <v>627</v>
      </c>
      <c r="B1879" s="167" t="str">
        <f>_xlfn.XLOOKUP(I1879,Mapping!D:D,Mapping!E:E)</f>
        <v>Kiểm Soát Chất Lượng</v>
      </c>
      <c r="C1879" s="167" t="str">
        <f>_xlfn.XLOOKUP(F1879,Mapping!A:A,Mapping!F:F)</f>
        <v>Phụ Cấp</v>
      </c>
      <c r="D1879" s="173">
        <v>45961</v>
      </c>
      <c r="E1879" s="169" t="s">
        <v>1130</v>
      </c>
      <c r="F1879" s="169" t="s">
        <v>386</v>
      </c>
      <c r="G1879" s="169" t="s">
        <v>341</v>
      </c>
      <c r="H1879" s="169" t="s">
        <v>411</v>
      </c>
      <c r="I1879" s="169" t="s">
        <v>412</v>
      </c>
      <c r="J1879" s="169" t="s">
        <v>1131</v>
      </c>
      <c r="K1879" s="169" t="s">
        <v>1132</v>
      </c>
      <c r="L1879" s="169" t="s">
        <v>1133</v>
      </c>
      <c r="M1879" s="169" t="s">
        <v>281</v>
      </c>
      <c r="N1879" s="178">
        <v>26387828</v>
      </c>
      <c r="O1879" s="169" t="s">
        <v>1134</v>
      </c>
      <c r="P1879" s="169" t="s">
        <v>283</v>
      </c>
      <c r="Q1879" s="169" t="s">
        <v>284</v>
      </c>
      <c r="R1879" s="169" t="s">
        <v>283</v>
      </c>
      <c r="S1879" s="169" t="s">
        <v>283</v>
      </c>
      <c r="T1879" s="169">
        <v>0</v>
      </c>
    </row>
    <row r="1880" spans="1:20" x14ac:dyDescent="0.2">
      <c r="A1880" s="169" t="str">
        <f t="shared" si="8"/>
        <v>627</v>
      </c>
      <c r="B1880" s="167" t="str">
        <f>_xlfn.XLOOKUP(I1880,Mapping!D:D,Mapping!E:E)</f>
        <v>Kiểm Soát Chất Lượng</v>
      </c>
      <c r="C1880" s="167" t="str">
        <f>_xlfn.XLOOKUP(F1880,Mapping!A:A,Mapping!F:F)</f>
        <v>Lương Chính +T13</v>
      </c>
      <c r="D1880" s="173">
        <v>45961</v>
      </c>
      <c r="E1880" s="169" t="s">
        <v>1130</v>
      </c>
      <c r="F1880" s="169" t="s">
        <v>387</v>
      </c>
      <c r="G1880" s="169" t="s">
        <v>275</v>
      </c>
      <c r="H1880" s="169" t="s">
        <v>411</v>
      </c>
      <c r="I1880" s="169" t="s">
        <v>412</v>
      </c>
      <c r="J1880" s="169" t="s">
        <v>1131</v>
      </c>
      <c r="K1880" s="169" t="s">
        <v>1132</v>
      </c>
      <c r="L1880" s="169" t="s">
        <v>1133</v>
      </c>
      <c r="M1880" s="169" t="s">
        <v>281</v>
      </c>
      <c r="N1880" s="178">
        <v>490512884</v>
      </c>
      <c r="O1880" s="169" t="s">
        <v>1134</v>
      </c>
      <c r="P1880" s="169" t="s">
        <v>283</v>
      </c>
      <c r="Q1880" s="169" t="s">
        <v>284</v>
      </c>
      <c r="R1880" s="169" t="s">
        <v>283</v>
      </c>
      <c r="S1880" s="169" t="s">
        <v>283</v>
      </c>
      <c r="T1880" s="169">
        <v>0</v>
      </c>
    </row>
    <row r="1881" spans="1:20" x14ac:dyDescent="0.2">
      <c r="A1881" s="169" t="str">
        <f t="shared" si="8"/>
        <v>627</v>
      </c>
      <c r="B1881" s="167" t="str">
        <f>_xlfn.XLOOKUP(I1881,Mapping!D:D,Mapping!E:E)</f>
        <v>Kiểm Soát Chất Lượng</v>
      </c>
      <c r="C1881" s="167" t="str">
        <f>_xlfn.XLOOKUP(F1881,Mapping!A:A,Mapping!F:F)</f>
        <v>Lương Chính +T13</v>
      </c>
      <c r="D1881" s="173">
        <v>45961</v>
      </c>
      <c r="E1881" s="169" t="s">
        <v>1130</v>
      </c>
      <c r="F1881" s="169" t="s">
        <v>388</v>
      </c>
      <c r="G1881" s="169" t="s">
        <v>286</v>
      </c>
      <c r="H1881" s="169" t="s">
        <v>411</v>
      </c>
      <c r="I1881" s="169" t="s">
        <v>412</v>
      </c>
      <c r="J1881" s="169" t="s">
        <v>1131</v>
      </c>
      <c r="K1881" s="169" t="s">
        <v>1132</v>
      </c>
      <c r="L1881" s="169" t="s">
        <v>1133</v>
      </c>
      <c r="M1881" s="169" t="s">
        <v>281</v>
      </c>
      <c r="N1881" s="178">
        <v>14481656</v>
      </c>
      <c r="O1881" s="169" t="s">
        <v>1134</v>
      </c>
      <c r="P1881" s="169" t="s">
        <v>283</v>
      </c>
      <c r="Q1881" s="169" t="s">
        <v>284</v>
      </c>
      <c r="R1881" s="169" t="s">
        <v>283</v>
      </c>
      <c r="S1881" s="169" t="s">
        <v>283</v>
      </c>
      <c r="T1881" s="169">
        <v>0</v>
      </c>
    </row>
    <row r="1882" spans="1:20" x14ac:dyDescent="0.2">
      <c r="A1882" s="169" t="str">
        <f t="shared" si="8"/>
        <v>627</v>
      </c>
      <c r="B1882" s="167" t="str">
        <f>_xlfn.XLOOKUP(I1882,Mapping!D:D,Mapping!E:E)</f>
        <v>Kiểm Soát Chất Lượng</v>
      </c>
      <c r="C1882" s="167" t="str">
        <f>_xlfn.XLOOKUP(F1882,Mapping!A:A,Mapping!F:F)</f>
        <v>Lương Ngoài giờ</v>
      </c>
      <c r="D1882" s="173">
        <v>45961</v>
      </c>
      <c r="E1882" s="169" t="s">
        <v>1130</v>
      </c>
      <c r="F1882" s="169" t="s">
        <v>389</v>
      </c>
      <c r="G1882" s="169" t="s">
        <v>390</v>
      </c>
      <c r="H1882" s="169" t="s">
        <v>411</v>
      </c>
      <c r="I1882" s="169" t="s">
        <v>412</v>
      </c>
      <c r="J1882" s="169" t="s">
        <v>1131</v>
      </c>
      <c r="K1882" s="169" t="s">
        <v>1132</v>
      </c>
      <c r="L1882" s="169" t="s">
        <v>1133</v>
      </c>
      <c r="M1882" s="169" t="s">
        <v>281</v>
      </c>
      <c r="N1882" s="178">
        <v>174387546</v>
      </c>
      <c r="O1882" s="169" t="s">
        <v>1134</v>
      </c>
      <c r="P1882" s="169" t="s">
        <v>283</v>
      </c>
      <c r="Q1882" s="169" t="s">
        <v>284</v>
      </c>
      <c r="R1882" s="169" t="s">
        <v>283</v>
      </c>
      <c r="S1882" s="169" t="s">
        <v>283</v>
      </c>
      <c r="T1882" s="169">
        <v>0</v>
      </c>
    </row>
    <row r="1883" spans="1:20" x14ac:dyDescent="0.2">
      <c r="A1883" s="169" t="str">
        <f t="shared" si="8"/>
        <v>627</v>
      </c>
      <c r="B1883" s="167" t="str">
        <f>_xlfn.XLOOKUP(I1883,Mapping!D:D,Mapping!E:E)</f>
        <v>Kiểm Soát Chất Lượng</v>
      </c>
      <c r="C1883" s="167" t="str">
        <f>_xlfn.XLOOKUP(F1883,Mapping!A:A,Mapping!F:F)</f>
        <v>Phụ Cấp</v>
      </c>
      <c r="D1883" s="173">
        <v>45961</v>
      </c>
      <c r="E1883" s="169" t="s">
        <v>1130</v>
      </c>
      <c r="F1883" s="169" t="s">
        <v>375</v>
      </c>
      <c r="G1883" s="169" t="s">
        <v>336</v>
      </c>
      <c r="H1883" s="169" t="s">
        <v>411</v>
      </c>
      <c r="I1883" s="169" t="s">
        <v>412</v>
      </c>
      <c r="J1883" s="169" t="s">
        <v>1131</v>
      </c>
      <c r="K1883" s="169" t="s">
        <v>1132</v>
      </c>
      <c r="L1883" s="169" t="s">
        <v>1133</v>
      </c>
      <c r="M1883" s="169" t="s">
        <v>281</v>
      </c>
      <c r="N1883" s="178">
        <v>6470000</v>
      </c>
      <c r="O1883" s="169" t="s">
        <v>1134</v>
      </c>
      <c r="P1883" s="169" t="s">
        <v>283</v>
      </c>
      <c r="Q1883" s="169" t="s">
        <v>284</v>
      </c>
      <c r="R1883" s="169" t="s">
        <v>283</v>
      </c>
      <c r="S1883" s="169" t="s">
        <v>283</v>
      </c>
      <c r="T1883" s="169">
        <v>0</v>
      </c>
    </row>
    <row r="1884" spans="1:20" x14ac:dyDescent="0.2">
      <c r="A1884" s="169" t="str">
        <f t="shared" si="8"/>
        <v>627</v>
      </c>
      <c r="B1884" s="167" t="str">
        <f>_xlfn.XLOOKUP(I1884,Mapping!D:D,Mapping!E:E)</f>
        <v>Nghiên Cứu &amp; Phát Triển</v>
      </c>
      <c r="C1884" s="167" t="str">
        <f>_xlfn.XLOOKUP(F1884,Mapping!A:A,Mapping!F:F)</f>
        <v>Lương Chính +T13</v>
      </c>
      <c r="D1884" s="173">
        <v>45961</v>
      </c>
      <c r="E1884" s="169" t="s">
        <v>1130</v>
      </c>
      <c r="F1884" s="169" t="s">
        <v>387</v>
      </c>
      <c r="G1884" s="169" t="s">
        <v>275</v>
      </c>
      <c r="H1884" s="169" t="s">
        <v>418</v>
      </c>
      <c r="I1884" s="169" t="s">
        <v>419</v>
      </c>
      <c r="J1884" s="169" t="s">
        <v>1131</v>
      </c>
      <c r="K1884" s="169" t="s">
        <v>1132</v>
      </c>
      <c r="L1884" s="169" t="s">
        <v>1133</v>
      </c>
      <c r="M1884" s="169" t="s">
        <v>281</v>
      </c>
      <c r="N1884" s="178">
        <v>188987356</v>
      </c>
      <c r="O1884" s="169" t="s">
        <v>1134</v>
      </c>
      <c r="P1884" s="169" t="s">
        <v>283</v>
      </c>
      <c r="Q1884" s="169" t="s">
        <v>284</v>
      </c>
      <c r="R1884" s="169" t="s">
        <v>283</v>
      </c>
      <c r="S1884" s="169" t="s">
        <v>283</v>
      </c>
      <c r="T1884" s="169">
        <v>0</v>
      </c>
    </row>
    <row r="1885" spans="1:20" x14ac:dyDescent="0.2">
      <c r="A1885" s="169" t="str">
        <f t="shared" si="8"/>
        <v>627</v>
      </c>
      <c r="B1885" s="167" t="str">
        <f>_xlfn.XLOOKUP(I1885,Mapping!D:D,Mapping!E:E)</f>
        <v>Nghiên Cứu &amp; Phát Triển</v>
      </c>
      <c r="C1885" s="167" t="str">
        <f>_xlfn.XLOOKUP(F1885,Mapping!A:A,Mapping!F:F)</f>
        <v>Lương Chính +T13</v>
      </c>
      <c r="D1885" s="173">
        <v>45961</v>
      </c>
      <c r="E1885" s="169" t="s">
        <v>1130</v>
      </c>
      <c r="F1885" s="169" t="s">
        <v>388</v>
      </c>
      <c r="G1885" s="169" t="s">
        <v>286</v>
      </c>
      <c r="H1885" s="169" t="s">
        <v>418</v>
      </c>
      <c r="I1885" s="169" t="s">
        <v>419</v>
      </c>
      <c r="J1885" s="169" t="s">
        <v>1131</v>
      </c>
      <c r="K1885" s="169" t="s">
        <v>1132</v>
      </c>
      <c r="L1885" s="169" t="s">
        <v>1133</v>
      </c>
      <c r="M1885" s="169" t="s">
        <v>281</v>
      </c>
      <c r="N1885" s="178">
        <v>13096155</v>
      </c>
      <c r="O1885" s="169" t="s">
        <v>1134</v>
      </c>
      <c r="P1885" s="169" t="s">
        <v>283</v>
      </c>
      <c r="Q1885" s="169" t="s">
        <v>284</v>
      </c>
      <c r="R1885" s="169" t="s">
        <v>283</v>
      </c>
      <c r="S1885" s="169" t="s">
        <v>283</v>
      </c>
      <c r="T1885" s="169">
        <v>0</v>
      </c>
    </row>
    <row r="1886" spans="1:20" x14ac:dyDescent="0.2">
      <c r="A1886" s="169" t="str">
        <f t="shared" si="8"/>
        <v>627</v>
      </c>
      <c r="B1886" s="167" t="str">
        <f>_xlfn.XLOOKUP(I1886,Mapping!D:D,Mapping!E:E)</f>
        <v>Nghiên Cứu &amp; Phát Triển</v>
      </c>
      <c r="C1886" s="167" t="str">
        <f>_xlfn.XLOOKUP(F1886,Mapping!A:A,Mapping!F:F)</f>
        <v>Phụ Cấp</v>
      </c>
      <c r="D1886" s="173">
        <v>45961</v>
      </c>
      <c r="E1886" s="169" t="s">
        <v>1130</v>
      </c>
      <c r="F1886" s="169" t="s">
        <v>375</v>
      </c>
      <c r="G1886" s="169" t="s">
        <v>336</v>
      </c>
      <c r="H1886" s="169" t="s">
        <v>418</v>
      </c>
      <c r="I1886" s="169" t="s">
        <v>419</v>
      </c>
      <c r="J1886" s="169" t="s">
        <v>1131</v>
      </c>
      <c r="K1886" s="169" t="s">
        <v>1132</v>
      </c>
      <c r="L1886" s="169" t="s">
        <v>1133</v>
      </c>
      <c r="M1886" s="169" t="s">
        <v>281</v>
      </c>
      <c r="N1886" s="178">
        <v>900000</v>
      </c>
      <c r="O1886" s="169" t="s">
        <v>1134</v>
      </c>
      <c r="P1886" s="169" t="s">
        <v>283</v>
      </c>
      <c r="Q1886" s="169" t="s">
        <v>284</v>
      </c>
      <c r="R1886" s="169" t="s">
        <v>283</v>
      </c>
      <c r="S1886" s="169" t="s">
        <v>283</v>
      </c>
      <c r="T1886" s="169">
        <v>0</v>
      </c>
    </row>
    <row r="1887" spans="1:20" x14ac:dyDescent="0.2">
      <c r="A1887" s="169" t="str">
        <f t="shared" si="8"/>
        <v>622</v>
      </c>
      <c r="B1887" s="167" t="str">
        <f>_xlfn.XLOOKUP(I1887,Mapping!D:D,Mapping!E:E)</f>
        <v>Xưởng Sản Xuất</v>
      </c>
      <c r="C1887" s="167" t="str">
        <f>_xlfn.XLOOKUP(F1887,Mapping!A:A,Mapping!F:F)</f>
        <v>Lương Chính +T13</v>
      </c>
      <c r="D1887" s="173">
        <v>45961</v>
      </c>
      <c r="E1887" s="169" t="s">
        <v>1130</v>
      </c>
      <c r="F1887" s="169" t="s">
        <v>400</v>
      </c>
      <c r="G1887" s="169" t="s">
        <v>401</v>
      </c>
      <c r="H1887" s="169" t="s">
        <v>402</v>
      </c>
      <c r="I1887" s="169" t="s">
        <v>403</v>
      </c>
      <c r="J1887" s="169" t="s">
        <v>1131</v>
      </c>
      <c r="K1887" s="169" t="s">
        <v>1132</v>
      </c>
      <c r="L1887" s="169" t="s">
        <v>1133</v>
      </c>
      <c r="M1887" s="169" t="s">
        <v>281</v>
      </c>
      <c r="N1887" s="178">
        <v>1878689852</v>
      </c>
      <c r="O1887" s="169" t="s">
        <v>1134</v>
      </c>
      <c r="P1887" s="169" t="s">
        <v>283</v>
      </c>
      <c r="Q1887" s="169" t="s">
        <v>284</v>
      </c>
      <c r="R1887" s="169" t="s">
        <v>283</v>
      </c>
      <c r="S1887" s="169" t="s">
        <v>283</v>
      </c>
      <c r="T1887" s="169">
        <v>0</v>
      </c>
    </row>
    <row r="1888" spans="1:20" x14ac:dyDescent="0.2">
      <c r="A1888" s="169" t="str">
        <f t="shared" si="8"/>
        <v>622</v>
      </c>
      <c r="B1888" s="167" t="str">
        <f>_xlfn.XLOOKUP(I1888,Mapping!D:D,Mapping!E:E)</f>
        <v>Xưởng Sản Xuất</v>
      </c>
      <c r="C1888" s="167" t="str">
        <f>_xlfn.XLOOKUP(F1888,Mapping!A:A,Mapping!F:F)</f>
        <v>Lương Chính +T13</v>
      </c>
      <c r="D1888" s="173">
        <v>45961</v>
      </c>
      <c r="E1888" s="169" t="s">
        <v>1130</v>
      </c>
      <c r="F1888" s="169" t="s">
        <v>420</v>
      </c>
      <c r="G1888" s="169" t="s">
        <v>286</v>
      </c>
      <c r="H1888" s="169" t="s">
        <v>402</v>
      </c>
      <c r="I1888" s="169" t="s">
        <v>403</v>
      </c>
      <c r="J1888" s="169" t="s">
        <v>1131</v>
      </c>
      <c r="K1888" s="169" t="s">
        <v>1132</v>
      </c>
      <c r="L1888" s="169" t="s">
        <v>1133</v>
      </c>
      <c r="M1888" s="169" t="s">
        <v>281</v>
      </c>
      <c r="N1888" s="178">
        <v>39354961</v>
      </c>
      <c r="O1888" s="169" t="s">
        <v>1134</v>
      </c>
      <c r="P1888" s="169" t="s">
        <v>283</v>
      </c>
      <c r="Q1888" s="169" t="s">
        <v>284</v>
      </c>
      <c r="R1888" s="169" t="s">
        <v>283</v>
      </c>
      <c r="S1888" s="169" t="s">
        <v>283</v>
      </c>
      <c r="T1888" s="169">
        <v>0</v>
      </c>
    </row>
    <row r="1889" spans="1:20" x14ac:dyDescent="0.2">
      <c r="A1889" s="169" t="str">
        <f t="shared" si="8"/>
        <v>622</v>
      </c>
      <c r="B1889" s="167" t="str">
        <f>_xlfn.XLOOKUP(I1889,Mapping!D:D,Mapping!E:E)</f>
        <v>Xưởng Sản Xuất</v>
      </c>
      <c r="C1889" s="167" t="str">
        <f>_xlfn.XLOOKUP(F1889,Mapping!A:A,Mapping!F:F)</f>
        <v>Phụ Cấp</v>
      </c>
      <c r="D1889" s="173">
        <v>45961</v>
      </c>
      <c r="E1889" s="169" t="s">
        <v>1130</v>
      </c>
      <c r="F1889" s="169" t="s">
        <v>421</v>
      </c>
      <c r="G1889" s="169" t="s">
        <v>341</v>
      </c>
      <c r="H1889" s="169" t="s">
        <v>402</v>
      </c>
      <c r="I1889" s="169" t="s">
        <v>403</v>
      </c>
      <c r="J1889" s="169" t="s">
        <v>1131</v>
      </c>
      <c r="K1889" s="169" t="s">
        <v>1132</v>
      </c>
      <c r="L1889" s="169" t="s">
        <v>1133</v>
      </c>
      <c r="M1889" s="169" t="s">
        <v>281</v>
      </c>
      <c r="N1889" s="178">
        <v>154449182</v>
      </c>
      <c r="O1889" s="169" t="s">
        <v>1134</v>
      </c>
      <c r="P1889" s="169" t="s">
        <v>283</v>
      </c>
      <c r="Q1889" s="169" t="s">
        <v>284</v>
      </c>
      <c r="R1889" s="169" t="s">
        <v>283</v>
      </c>
      <c r="S1889" s="169" t="s">
        <v>283</v>
      </c>
      <c r="T1889" s="169">
        <v>0</v>
      </c>
    </row>
    <row r="1890" spans="1:20" x14ac:dyDescent="0.2">
      <c r="A1890" s="169" t="str">
        <f t="shared" si="8"/>
        <v>622</v>
      </c>
      <c r="B1890" s="167" t="str">
        <f>_xlfn.XLOOKUP(I1890,Mapping!D:D,Mapping!E:E)</f>
        <v>Xưởng Sản Xuất</v>
      </c>
      <c r="C1890" s="167" t="str">
        <f>_xlfn.XLOOKUP(F1890,Mapping!A:A,Mapping!F:F)</f>
        <v>Lương Ngoài giờ</v>
      </c>
      <c r="D1890" s="173">
        <v>45961</v>
      </c>
      <c r="E1890" s="169" t="s">
        <v>1130</v>
      </c>
      <c r="F1890" s="169" t="s">
        <v>422</v>
      </c>
      <c r="G1890" s="169" t="s">
        <v>423</v>
      </c>
      <c r="H1890" s="169" t="s">
        <v>402</v>
      </c>
      <c r="I1890" s="169" t="s">
        <v>403</v>
      </c>
      <c r="J1890" s="169" t="s">
        <v>1131</v>
      </c>
      <c r="K1890" s="169" t="s">
        <v>1132</v>
      </c>
      <c r="L1890" s="169" t="s">
        <v>1133</v>
      </c>
      <c r="M1890" s="169" t="s">
        <v>281</v>
      </c>
      <c r="N1890" s="178">
        <v>378771654</v>
      </c>
      <c r="O1890" s="169" t="s">
        <v>1134</v>
      </c>
      <c r="P1890" s="169" t="s">
        <v>283</v>
      </c>
      <c r="Q1890" s="169" t="s">
        <v>284</v>
      </c>
      <c r="R1890" s="169" t="s">
        <v>283</v>
      </c>
      <c r="S1890" s="169" t="s">
        <v>283</v>
      </c>
      <c r="T1890" s="169">
        <v>0</v>
      </c>
    </row>
    <row r="1891" spans="1:20" x14ac:dyDescent="0.2">
      <c r="A1891" s="169" t="str">
        <f t="shared" si="8"/>
        <v>622</v>
      </c>
      <c r="B1891" s="167" t="str">
        <f>_xlfn.XLOOKUP(I1891,Mapping!D:D,Mapping!E:E)</f>
        <v>Xưởng Sản Xuất</v>
      </c>
      <c r="C1891" s="167" t="str">
        <f>_xlfn.XLOOKUP(F1891,Mapping!A:A,Mapping!F:F)</f>
        <v>Phụ Cấp</v>
      </c>
      <c r="D1891" s="173">
        <v>45961</v>
      </c>
      <c r="E1891" s="169" t="s">
        <v>1130</v>
      </c>
      <c r="F1891" s="169" t="s">
        <v>414</v>
      </c>
      <c r="G1891" s="169" t="s">
        <v>415</v>
      </c>
      <c r="H1891" s="169" t="s">
        <v>402</v>
      </c>
      <c r="I1891" s="169" t="s">
        <v>403</v>
      </c>
      <c r="J1891" s="169" t="s">
        <v>1131</v>
      </c>
      <c r="K1891" s="169" t="s">
        <v>1132</v>
      </c>
      <c r="L1891" s="169" t="s">
        <v>1133</v>
      </c>
      <c r="M1891" s="169" t="s">
        <v>281</v>
      </c>
      <c r="N1891" s="178">
        <v>32690000</v>
      </c>
      <c r="O1891" s="169" t="s">
        <v>1134</v>
      </c>
      <c r="P1891" s="169" t="s">
        <v>283</v>
      </c>
      <c r="Q1891" s="169" t="s">
        <v>284</v>
      </c>
      <c r="R1891" s="169" t="s">
        <v>283</v>
      </c>
      <c r="S1891" s="169" t="s">
        <v>283</v>
      </c>
      <c r="T1891" s="169">
        <v>0</v>
      </c>
    </row>
    <row r="1892" spans="1:20" x14ac:dyDescent="0.2">
      <c r="A1892" s="169" t="str">
        <f t="shared" si="8"/>
        <v>627</v>
      </c>
      <c r="B1892" s="167" t="str">
        <f>_xlfn.XLOOKUP(I1892,Mapping!D:D,Mapping!E:E)</f>
        <v>Xưởng Sản Xuất</v>
      </c>
      <c r="C1892" s="167" t="str">
        <f>_xlfn.XLOOKUP(F1892,Mapping!A:A,Mapping!F:F)</f>
        <v>Phụ Cấp</v>
      </c>
      <c r="D1892" s="173">
        <v>45961</v>
      </c>
      <c r="E1892" s="169" t="s">
        <v>1130</v>
      </c>
      <c r="F1892" s="169" t="s">
        <v>386</v>
      </c>
      <c r="G1892" s="169" t="s">
        <v>341</v>
      </c>
      <c r="H1892" s="169" t="s">
        <v>402</v>
      </c>
      <c r="I1892" s="169" t="s">
        <v>403</v>
      </c>
      <c r="J1892" s="169" t="s">
        <v>1131</v>
      </c>
      <c r="K1892" s="169" t="s">
        <v>1132</v>
      </c>
      <c r="L1892" s="169" t="s">
        <v>1133</v>
      </c>
      <c r="M1892" s="169" t="s">
        <v>281</v>
      </c>
      <c r="N1892" s="178">
        <v>13613950</v>
      </c>
      <c r="O1892" s="169" t="s">
        <v>1134</v>
      </c>
      <c r="P1892" s="169" t="s">
        <v>283</v>
      </c>
      <c r="Q1892" s="169" t="s">
        <v>284</v>
      </c>
      <c r="R1892" s="169" t="s">
        <v>283</v>
      </c>
      <c r="S1892" s="169" t="s">
        <v>283</v>
      </c>
      <c r="T1892" s="169">
        <v>0</v>
      </c>
    </row>
    <row r="1893" spans="1:20" x14ac:dyDescent="0.2">
      <c r="A1893" s="169" t="str">
        <f t="shared" si="8"/>
        <v>627</v>
      </c>
      <c r="B1893" s="167" t="str">
        <f>_xlfn.XLOOKUP(I1893,Mapping!D:D,Mapping!E:E)</f>
        <v>Xưởng Sản Xuất</v>
      </c>
      <c r="C1893" s="167" t="str">
        <f>_xlfn.XLOOKUP(F1893,Mapping!A:A,Mapping!F:F)</f>
        <v>Lương Chính +T13</v>
      </c>
      <c r="D1893" s="173">
        <v>45961</v>
      </c>
      <c r="E1893" s="169" t="s">
        <v>1130</v>
      </c>
      <c r="F1893" s="169" t="s">
        <v>387</v>
      </c>
      <c r="G1893" s="169" t="s">
        <v>275</v>
      </c>
      <c r="H1893" s="169" t="s">
        <v>402</v>
      </c>
      <c r="I1893" s="169" t="s">
        <v>403</v>
      </c>
      <c r="J1893" s="169" t="s">
        <v>1131</v>
      </c>
      <c r="K1893" s="169" t="s">
        <v>1132</v>
      </c>
      <c r="L1893" s="169" t="s">
        <v>1133</v>
      </c>
      <c r="M1893" s="169" t="s">
        <v>281</v>
      </c>
      <c r="N1893" s="178">
        <v>459375592</v>
      </c>
      <c r="O1893" s="169" t="s">
        <v>1134</v>
      </c>
      <c r="P1893" s="169" t="s">
        <v>283</v>
      </c>
      <c r="Q1893" s="169" t="s">
        <v>284</v>
      </c>
      <c r="R1893" s="169" t="s">
        <v>283</v>
      </c>
      <c r="S1893" s="169" t="s">
        <v>283</v>
      </c>
      <c r="T1893" s="169">
        <v>0</v>
      </c>
    </row>
    <row r="1894" spans="1:20" x14ac:dyDescent="0.2">
      <c r="A1894" s="169" t="str">
        <f t="shared" si="8"/>
        <v>627</v>
      </c>
      <c r="B1894" s="167" t="str">
        <f>_xlfn.XLOOKUP(I1894,Mapping!D:D,Mapping!E:E)</f>
        <v>Xưởng Sản Xuất</v>
      </c>
      <c r="C1894" s="167" t="str">
        <f>_xlfn.XLOOKUP(F1894,Mapping!A:A,Mapping!F:F)</f>
        <v>Lương Chính +T13</v>
      </c>
      <c r="D1894" s="173">
        <v>45961</v>
      </c>
      <c r="E1894" s="169" t="s">
        <v>1130</v>
      </c>
      <c r="F1894" s="169" t="s">
        <v>388</v>
      </c>
      <c r="G1894" s="169" t="s">
        <v>286</v>
      </c>
      <c r="H1894" s="169" t="s">
        <v>402</v>
      </c>
      <c r="I1894" s="169" t="s">
        <v>403</v>
      </c>
      <c r="J1894" s="169" t="s">
        <v>1131</v>
      </c>
      <c r="K1894" s="169" t="s">
        <v>1132</v>
      </c>
      <c r="L1894" s="169" t="s">
        <v>1133</v>
      </c>
      <c r="M1894" s="169" t="s">
        <v>281</v>
      </c>
      <c r="N1894" s="178">
        <v>15327347</v>
      </c>
      <c r="O1894" s="169" t="s">
        <v>1134</v>
      </c>
      <c r="P1894" s="169" t="s">
        <v>283</v>
      </c>
      <c r="Q1894" s="169" t="s">
        <v>284</v>
      </c>
      <c r="R1894" s="169" t="s">
        <v>283</v>
      </c>
      <c r="S1894" s="169" t="s">
        <v>283</v>
      </c>
      <c r="T1894" s="169">
        <v>0</v>
      </c>
    </row>
    <row r="1895" spans="1:20" x14ac:dyDescent="0.2">
      <c r="A1895" s="169" t="str">
        <f t="shared" si="8"/>
        <v>627</v>
      </c>
      <c r="B1895" s="167" t="str">
        <f>_xlfn.XLOOKUP(I1895,Mapping!D:D,Mapping!E:E)</f>
        <v>Xưởng Sản Xuất</v>
      </c>
      <c r="C1895" s="167" t="str">
        <f>_xlfn.XLOOKUP(F1895,Mapping!A:A,Mapping!F:F)</f>
        <v>Lương Ngoài giờ</v>
      </c>
      <c r="D1895" s="173">
        <v>45961</v>
      </c>
      <c r="E1895" s="169" t="s">
        <v>1130</v>
      </c>
      <c r="F1895" s="169" t="s">
        <v>389</v>
      </c>
      <c r="G1895" s="169" t="s">
        <v>390</v>
      </c>
      <c r="H1895" s="169" t="s">
        <v>402</v>
      </c>
      <c r="I1895" s="169" t="s">
        <v>403</v>
      </c>
      <c r="J1895" s="169" t="s">
        <v>1131</v>
      </c>
      <c r="K1895" s="169" t="s">
        <v>1132</v>
      </c>
      <c r="L1895" s="169" t="s">
        <v>1133</v>
      </c>
      <c r="M1895" s="169" t="s">
        <v>281</v>
      </c>
      <c r="N1895" s="178">
        <v>47622279</v>
      </c>
      <c r="O1895" s="169" t="s">
        <v>1134</v>
      </c>
      <c r="P1895" s="169" t="s">
        <v>283</v>
      </c>
      <c r="Q1895" s="169" t="s">
        <v>284</v>
      </c>
      <c r="R1895" s="169" t="s">
        <v>283</v>
      </c>
      <c r="S1895" s="169" t="s">
        <v>283</v>
      </c>
      <c r="T1895" s="169">
        <v>0</v>
      </c>
    </row>
    <row r="1896" spans="1:20" x14ac:dyDescent="0.2">
      <c r="A1896" s="169" t="str">
        <f t="shared" si="8"/>
        <v>627</v>
      </c>
      <c r="B1896" s="167" t="str">
        <f>_xlfn.XLOOKUP(I1896,Mapping!D:D,Mapping!E:E)</f>
        <v>Xưởng Sản Xuất</v>
      </c>
      <c r="C1896" s="167" t="str">
        <f>_xlfn.XLOOKUP(F1896,Mapping!A:A,Mapping!F:F)</f>
        <v>Phụ Cấp</v>
      </c>
      <c r="D1896" s="173">
        <v>45961</v>
      </c>
      <c r="E1896" s="169" t="s">
        <v>1130</v>
      </c>
      <c r="F1896" s="169" t="s">
        <v>375</v>
      </c>
      <c r="G1896" s="169" t="s">
        <v>336</v>
      </c>
      <c r="H1896" s="169" t="s">
        <v>402</v>
      </c>
      <c r="I1896" s="169" t="s">
        <v>403</v>
      </c>
      <c r="J1896" s="169" t="s">
        <v>1131</v>
      </c>
      <c r="K1896" s="169" t="s">
        <v>1132</v>
      </c>
      <c r="L1896" s="169" t="s">
        <v>1133</v>
      </c>
      <c r="M1896" s="169" t="s">
        <v>281</v>
      </c>
      <c r="N1896" s="178">
        <v>2820000</v>
      </c>
      <c r="O1896" s="169" t="s">
        <v>1134</v>
      </c>
      <c r="P1896" s="169" t="s">
        <v>283</v>
      </c>
      <c r="Q1896" s="169" t="s">
        <v>284</v>
      </c>
      <c r="R1896" s="169" t="s">
        <v>283</v>
      </c>
      <c r="S1896" s="169" t="s">
        <v>283</v>
      </c>
      <c r="T1896" s="169">
        <v>0</v>
      </c>
    </row>
    <row r="1897" spans="1:20" x14ac:dyDescent="0.2">
      <c r="A1897" s="169" t="str">
        <f t="shared" si="8"/>
        <v>627</v>
      </c>
      <c r="B1897" s="167" t="str">
        <f>_xlfn.XLOOKUP(I1897,Mapping!D:D,Mapping!E:E)</f>
        <v>Kiểm Soát Chất Lượng</v>
      </c>
      <c r="C1897" s="167" t="str">
        <f>_xlfn.XLOOKUP(F1897,Mapping!A:A,Mapping!F:F)</f>
        <v>Lương Chính +T13</v>
      </c>
      <c r="D1897" s="173">
        <v>45961</v>
      </c>
      <c r="E1897" s="169" t="s">
        <v>1135</v>
      </c>
      <c r="F1897" s="169" t="s">
        <v>388</v>
      </c>
      <c r="G1897" s="169" t="s">
        <v>286</v>
      </c>
      <c r="H1897" s="169" t="s">
        <v>411</v>
      </c>
      <c r="I1897" s="169" t="s">
        <v>412</v>
      </c>
      <c r="J1897" s="169" t="s">
        <v>1136</v>
      </c>
      <c r="K1897" s="169" t="s">
        <v>1132</v>
      </c>
      <c r="L1897" s="169" t="s">
        <v>1133</v>
      </c>
      <c r="M1897" s="169" t="s">
        <v>281</v>
      </c>
      <c r="N1897" s="178">
        <v>38540750</v>
      </c>
      <c r="O1897" s="169" t="s">
        <v>1137</v>
      </c>
      <c r="P1897" s="169" t="s">
        <v>283</v>
      </c>
      <c r="Q1897" s="169" t="s">
        <v>284</v>
      </c>
      <c r="R1897" s="169" t="s">
        <v>283</v>
      </c>
      <c r="S1897" s="169" t="s">
        <v>283</v>
      </c>
      <c r="T1897" s="169">
        <v>0</v>
      </c>
    </row>
    <row r="1898" spans="1:20" x14ac:dyDescent="0.2">
      <c r="A1898" s="169" t="str">
        <f t="shared" si="8"/>
        <v>627</v>
      </c>
      <c r="B1898" s="167" t="str">
        <f>_xlfn.XLOOKUP(I1898,Mapping!D:D,Mapping!E:E)</f>
        <v>Kiểm Soát Chất Lượng</v>
      </c>
      <c r="C1898" s="167" t="str">
        <f>_xlfn.XLOOKUP(F1898,Mapping!A:A,Mapping!F:F)</f>
        <v>Thưởng</v>
      </c>
      <c r="D1898" s="173">
        <v>45961</v>
      </c>
      <c r="E1898" s="169" t="s">
        <v>1135</v>
      </c>
      <c r="F1898" s="169" t="s">
        <v>395</v>
      </c>
      <c r="G1898" s="169" t="s">
        <v>77</v>
      </c>
      <c r="H1898" s="169" t="s">
        <v>411</v>
      </c>
      <c r="I1898" s="169" t="s">
        <v>412</v>
      </c>
      <c r="J1898" s="169" t="s">
        <v>1138</v>
      </c>
      <c r="K1898" s="169" t="s">
        <v>1132</v>
      </c>
      <c r="L1898" s="169" t="s">
        <v>1133</v>
      </c>
      <c r="M1898" s="169" t="s">
        <v>281</v>
      </c>
      <c r="N1898" s="178">
        <v>35457182</v>
      </c>
      <c r="O1898" s="169" t="s">
        <v>1137</v>
      </c>
      <c r="P1898" s="169" t="s">
        <v>283</v>
      </c>
      <c r="Q1898" s="169" t="s">
        <v>284</v>
      </c>
      <c r="R1898" s="169" t="s">
        <v>283</v>
      </c>
      <c r="S1898" s="169" t="s">
        <v>283</v>
      </c>
      <c r="T1898" s="169">
        <v>0</v>
      </c>
    </row>
    <row r="1899" spans="1:20" x14ac:dyDescent="0.2">
      <c r="A1899" s="169" t="str">
        <f t="shared" si="8"/>
        <v>627</v>
      </c>
      <c r="B1899" s="167" t="str">
        <f>_xlfn.XLOOKUP(I1899,Mapping!D:D,Mapping!E:E)</f>
        <v>Nghiên Cứu &amp; Phát Triển</v>
      </c>
      <c r="C1899" s="167" t="str">
        <f>_xlfn.XLOOKUP(F1899,Mapping!A:A,Mapping!F:F)</f>
        <v>Lương Chính +T13</v>
      </c>
      <c r="D1899" s="173">
        <v>45961</v>
      </c>
      <c r="E1899" s="169" t="s">
        <v>1135</v>
      </c>
      <c r="F1899" s="169" t="s">
        <v>388</v>
      </c>
      <c r="G1899" s="169" t="s">
        <v>286</v>
      </c>
      <c r="H1899" s="169" t="s">
        <v>418</v>
      </c>
      <c r="I1899" s="169" t="s">
        <v>419</v>
      </c>
      <c r="J1899" s="169" t="s">
        <v>1136</v>
      </c>
      <c r="K1899" s="169" t="s">
        <v>1132</v>
      </c>
      <c r="L1899" s="169" t="s">
        <v>1133</v>
      </c>
      <c r="M1899" s="169" t="s">
        <v>281</v>
      </c>
      <c r="N1899" s="178">
        <v>16916667</v>
      </c>
      <c r="O1899" s="169" t="s">
        <v>1137</v>
      </c>
      <c r="P1899" s="169" t="s">
        <v>283</v>
      </c>
      <c r="Q1899" s="169" t="s">
        <v>284</v>
      </c>
      <c r="R1899" s="169" t="s">
        <v>283</v>
      </c>
      <c r="S1899" s="169" t="s">
        <v>283</v>
      </c>
      <c r="T1899" s="169">
        <v>0</v>
      </c>
    </row>
    <row r="1900" spans="1:20" x14ac:dyDescent="0.2">
      <c r="A1900" s="169" t="str">
        <f t="shared" si="8"/>
        <v>627</v>
      </c>
      <c r="B1900" s="167" t="str">
        <f>_xlfn.XLOOKUP(I1900,Mapping!D:D,Mapping!E:E)</f>
        <v>Nghiên Cứu &amp; Phát Triển</v>
      </c>
      <c r="C1900" s="167" t="str">
        <f>_xlfn.XLOOKUP(F1900,Mapping!A:A,Mapping!F:F)</f>
        <v>Thưởng</v>
      </c>
      <c r="D1900" s="173">
        <v>45961</v>
      </c>
      <c r="E1900" s="169" t="s">
        <v>1135</v>
      </c>
      <c r="F1900" s="169" t="s">
        <v>395</v>
      </c>
      <c r="G1900" s="169" t="s">
        <v>77</v>
      </c>
      <c r="H1900" s="169" t="s">
        <v>418</v>
      </c>
      <c r="I1900" s="169" t="s">
        <v>419</v>
      </c>
      <c r="J1900" s="169" t="s">
        <v>1138</v>
      </c>
      <c r="K1900" s="169" t="s">
        <v>1132</v>
      </c>
      <c r="L1900" s="169" t="s">
        <v>1133</v>
      </c>
      <c r="M1900" s="169" t="s">
        <v>281</v>
      </c>
      <c r="N1900" s="178">
        <v>15563198</v>
      </c>
      <c r="O1900" s="169" t="s">
        <v>1137</v>
      </c>
      <c r="P1900" s="169" t="s">
        <v>283</v>
      </c>
      <c r="Q1900" s="169" t="s">
        <v>284</v>
      </c>
      <c r="R1900" s="169" t="s">
        <v>283</v>
      </c>
      <c r="S1900" s="169" t="s">
        <v>283</v>
      </c>
      <c r="T1900" s="169">
        <v>0</v>
      </c>
    </row>
    <row r="1901" spans="1:20" x14ac:dyDescent="0.2">
      <c r="A1901" s="169" t="str">
        <f t="shared" si="8"/>
        <v>627</v>
      </c>
      <c r="B1901" s="167" t="str">
        <f>_xlfn.XLOOKUP(I1901,Mapping!D:D,Mapping!E:E)</f>
        <v>Xưởng Sản Xuất</v>
      </c>
      <c r="C1901" s="167" t="str">
        <f>_xlfn.XLOOKUP(F1901,Mapping!A:A,Mapping!F:F)</f>
        <v>Lương Chính +T13</v>
      </c>
      <c r="D1901" s="173">
        <v>45961</v>
      </c>
      <c r="E1901" s="169" t="s">
        <v>1135</v>
      </c>
      <c r="F1901" s="169" t="s">
        <v>388</v>
      </c>
      <c r="G1901" s="169" t="s">
        <v>286</v>
      </c>
      <c r="H1901" s="169" t="s">
        <v>402</v>
      </c>
      <c r="I1901" s="169" t="s">
        <v>403</v>
      </c>
      <c r="J1901" s="169" t="s">
        <v>1136</v>
      </c>
      <c r="K1901" s="169" t="s">
        <v>1132</v>
      </c>
      <c r="L1901" s="169" t="s">
        <v>1133</v>
      </c>
      <c r="M1901" s="169" t="s">
        <v>281</v>
      </c>
      <c r="N1901" s="178">
        <v>39247542</v>
      </c>
      <c r="O1901" s="169" t="s">
        <v>1137</v>
      </c>
      <c r="P1901" s="169" t="s">
        <v>283</v>
      </c>
      <c r="Q1901" s="169" t="s">
        <v>284</v>
      </c>
      <c r="R1901" s="169" t="s">
        <v>283</v>
      </c>
      <c r="S1901" s="169" t="s">
        <v>283</v>
      </c>
      <c r="T1901" s="169">
        <v>0</v>
      </c>
    </row>
    <row r="1902" spans="1:20" x14ac:dyDescent="0.2">
      <c r="A1902" s="169" t="str">
        <f t="shared" si="8"/>
        <v>622</v>
      </c>
      <c r="B1902" s="167" t="str">
        <f>_xlfn.XLOOKUP(I1902,Mapping!D:D,Mapping!E:E)</f>
        <v>Xưởng Sản Xuất</v>
      </c>
      <c r="C1902" s="167" t="str">
        <f>_xlfn.XLOOKUP(F1902,Mapping!A:A,Mapping!F:F)</f>
        <v>Lương Chính +T13</v>
      </c>
      <c r="D1902" s="173">
        <v>45961</v>
      </c>
      <c r="E1902" s="169" t="s">
        <v>1135</v>
      </c>
      <c r="F1902" s="169" t="s">
        <v>420</v>
      </c>
      <c r="G1902" s="169" t="s">
        <v>286</v>
      </c>
      <c r="H1902" s="169" t="s">
        <v>402</v>
      </c>
      <c r="I1902" s="169" t="s">
        <v>403</v>
      </c>
      <c r="J1902" s="169" t="s">
        <v>1136</v>
      </c>
      <c r="K1902" s="169" t="s">
        <v>1132</v>
      </c>
      <c r="L1902" s="169" t="s">
        <v>1133</v>
      </c>
      <c r="M1902" s="169" t="s">
        <v>281</v>
      </c>
      <c r="N1902" s="178">
        <v>110743595</v>
      </c>
      <c r="O1902" s="169" t="s">
        <v>1137</v>
      </c>
      <c r="P1902" s="169" t="s">
        <v>283</v>
      </c>
      <c r="Q1902" s="169" t="s">
        <v>284</v>
      </c>
      <c r="R1902" s="169" t="s">
        <v>283</v>
      </c>
      <c r="S1902" s="169" t="s">
        <v>283</v>
      </c>
      <c r="T1902" s="169">
        <v>0</v>
      </c>
    </row>
    <row r="1903" spans="1:20" x14ac:dyDescent="0.2">
      <c r="A1903" s="169" t="str">
        <f t="shared" si="8"/>
        <v>627</v>
      </c>
      <c r="B1903" s="167" t="str">
        <f>_xlfn.XLOOKUP(I1903,Mapping!D:D,Mapping!E:E)</f>
        <v>Xưởng Sản Xuất</v>
      </c>
      <c r="C1903" s="167" t="str">
        <f>_xlfn.XLOOKUP(F1903,Mapping!A:A,Mapping!F:F)</f>
        <v>Thưởng</v>
      </c>
      <c r="D1903" s="173">
        <v>45961</v>
      </c>
      <c r="E1903" s="169" t="s">
        <v>1135</v>
      </c>
      <c r="F1903" s="169" t="s">
        <v>395</v>
      </c>
      <c r="G1903" s="169" t="s">
        <v>77</v>
      </c>
      <c r="H1903" s="169" t="s">
        <v>402</v>
      </c>
      <c r="I1903" s="169" t="s">
        <v>403</v>
      </c>
      <c r="J1903" s="169" t="s">
        <v>1138</v>
      </c>
      <c r="K1903" s="169" t="s">
        <v>1132</v>
      </c>
      <c r="L1903" s="169" t="s">
        <v>1133</v>
      </c>
      <c r="M1903" s="169" t="s">
        <v>281</v>
      </c>
      <c r="N1903" s="178">
        <v>35567581</v>
      </c>
      <c r="O1903" s="169" t="s">
        <v>1137</v>
      </c>
      <c r="P1903" s="169" t="s">
        <v>283</v>
      </c>
      <c r="Q1903" s="169" t="s">
        <v>284</v>
      </c>
      <c r="R1903" s="169" t="s">
        <v>283</v>
      </c>
      <c r="S1903" s="169" t="s">
        <v>283</v>
      </c>
      <c r="T1903" s="169">
        <v>0</v>
      </c>
    </row>
    <row r="1904" spans="1:20" x14ac:dyDescent="0.2">
      <c r="A1904" s="169" t="str">
        <f t="shared" si="8"/>
        <v>622</v>
      </c>
      <c r="B1904" s="167" t="str">
        <f>_xlfn.XLOOKUP(I1904,Mapping!D:D,Mapping!E:E)</f>
        <v>Xưởng Sản Xuất</v>
      </c>
      <c r="C1904" s="167" t="str">
        <f>_xlfn.XLOOKUP(F1904,Mapping!A:A,Mapping!F:F)</f>
        <v>Thưởng</v>
      </c>
      <c r="D1904" s="173">
        <v>45961</v>
      </c>
      <c r="E1904" s="169" t="s">
        <v>1135</v>
      </c>
      <c r="F1904" s="169" t="s">
        <v>426</v>
      </c>
      <c r="G1904" s="169" t="s">
        <v>77</v>
      </c>
      <c r="H1904" s="169" t="s">
        <v>402</v>
      </c>
      <c r="I1904" s="169" t="s">
        <v>403</v>
      </c>
      <c r="J1904" s="169" t="s">
        <v>1138</v>
      </c>
      <c r="K1904" s="169" t="s">
        <v>1132</v>
      </c>
      <c r="L1904" s="169" t="s">
        <v>1133</v>
      </c>
      <c r="M1904" s="169" t="s">
        <v>281</v>
      </c>
      <c r="N1904" s="178">
        <v>25715975</v>
      </c>
      <c r="O1904" s="169" t="s">
        <v>1137</v>
      </c>
      <c r="P1904" s="169" t="s">
        <v>283</v>
      </c>
      <c r="Q1904" s="169" t="s">
        <v>284</v>
      </c>
      <c r="R1904" s="169" t="s">
        <v>283</v>
      </c>
      <c r="S1904" s="169" t="s">
        <v>283</v>
      </c>
      <c r="T1904" s="169">
        <v>0</v>
      </c>
    </row>
    <row r="1905" spans="1:20" x14ac:dyDescent="0.2">
      <c r="A1905" s="169" t="str">
        <f t="shared" si="8"/>
        <v>627</v>
      </c>
      <c r="B1905" s="167" t="str">
        <f>_xlfn.XLOOKUP(I1905,Mapping!D:D,Mapping!E:E)</f>
        <v>Kiểm Soát Chất Lượng</v>
      </c>
      <c r="C1905" s="167" t="str">
        <f>_xlfn.XLOOKUP(F1905,Mapping!A:A,Mapping!F:F)</f>
        <v>BHXH, BHYT, KPCĐ</v>
      </c>
      <c r="D1905" s="173">
        <v>45961</v>
      </c>
      <c r="E1905" s="169" t="s">
        <v>1139</v>
      </c>
      <c r="F1905" s="169" t="s">
        <v>393</v>
      </c>
      <c r="G1905" s="169" t="s">
        <v>296</v>
      </c>
      <c r="H1905" s="169" t="s">
        <v>411</v>
      </c>
      <c r="I1905" s="169" t="s">
        <v>412</v>
      </c>
      <c r="J1905" s="169" t="s">
        <v>1140</v>
      </c>
      <c r="K1905" s="169" t="s">
        <v>1132</v>
      </c>
      <c r="L1905" s="169" t="s">
        <v>1133</v>
      </c>
      <c r="M1905" s="169" t="s">
        <v>281</v>
      </c>
      <c r="N1905" s="178">
        <v>105802405</v>
      </c>
      <c r="O1905" s="169" t="s">
        <v>1141</v>
      </c>
      <c r="P1905" s="169" t="s">
        <v>283</v>
      </c>
      <c r="Q1905" s="169" t="s">
        <v>284</v>
      </c>
      <c r="R1905" s="169" t="s">
        <v>283</v>
      </c>
      <c r="S1905" s="169" t="s">
        <v>283</v>
      </c>
      <c r="T1905" s="169">
        <v>0</v>
      </c>
    </row>
    <row r="1906" spans="1:20" x14ac:dyDescent="0.2">
      <c r="A1906" s="169" t="str">
        <f t="shared" si="8"/>
        <v>627</v>
      </c>
      <c r="B1906" s="167" t="str">
        <f>_xlfn.XLOOKUP(I1906,Mapping!D:D,Mapping!E:E)</f>
        <v>Nghiên Cứu &amp; Phát Triển</v>
      </c>
      <c r="C1906" s="167" t="str">
        <f>_xlfn.XLOOKUP(F1906,Mapping!A:A,Mapping!F:F)</f>
        <v>BHXH, BHYT, KPCĐ</v>
      </c>
      <c r="D1906" s="173">
        <v>45961</v>
      </c>
      <c r="E1906" s="169" t="s">
        <v>1139</v>
      </c>
      <c r="F1906" s="169" t="s">
        <v>393</v>
      </c>
      <c r="G1906" s="169" t="s">
        <v>296</v>
      </c>
      <c r="H1906" s="169" t="s">
        <v>418</v>
      </c>
      <c r="I1906" s="169" t="s">
        <v>419</v>
      </c>
      <c r="J1906" s="169" t="s">
        <v>1140</v>
      </c>
      <c r="K1906" s="169" t="s">
        <v>1132</v>
      </c>
      <c r="L1906" s="169" t="s">
        <v>1133</v>
      </c>
      <c r="M1906" s="169" t="s">
        <v>281</v>
      </c>
      <c r="N1906" s="178">
        <v>38435000</v>
      </c>
      <c r="O1906" s="169" t="s">
        <v>1141</v>
      </c>
      <c r="P1906" s="169" t="s">
        <v>283</v>
      </c>
      <c r="Q1906" s="169" t="s">
        <v>284</v>
      </c>
      <c r="R1906" s="169" t="s">
        <v>283</v>
      </c>
      <c r="S1906" s="169" t="s">
        <v>283</v>
      </c>
      <c r="T1906" s="169">
        <v>0</v>
      </c>
    </row>
    <row r="1907" spans="1:20" x14ac:dyDescent="0.2">
      <c r="A1907" s="169" t="str">
        <f t="shared" si="8"/>
        <v>622</v>
      </c>
      <c r="B1907" s="167" t="str">
        <f>_xlfn.XLOOKUP(I1907,Mapping!D:D,Mapping!E:E)</f>
        <v>Xưởng Sản Xuất</v>
      </c>
      <c r="C1907" s="167" t="str">
        <f>_xlfn.XLOOKUP(F1907,Mapping!A:A,Mapping!F:F)</f>
        <v>BHXH, BHYT, KPCĐ</v>
      </c>
      <c r="D1907" s="173">
        <v>45961</v>
      </c>
      <c r="E1907" s="169" t="s">
        <v>1139</v>
      </c>
      <c r="F1907" s="169" t="s">
        <v>425</v>
      </c>
      <c r="G1907" s="169" t="s">
        <v>296</v>
      </c>
      <c r="H1907" s="169" t="s">
        <v>402</v>
      </c>
      <c r="I1907" s="169" t="s">
        <v>403</v>
      </c>
      <c r="J1907" s="169" t="s">
        <v>1140</v>
      </c>
      <c r="K1907" s="169" t="s">
        <v>1132</v>
      </c>
      <c r="L1907" s="169" t="s">
        <v>1133</v>
      </c>
      <c r="M1907" s="169" t="s">
        <v>281</v>
      </c>
      <c r="N1907" s="178">
        <v>313434005</v>
      </c>
      <c r="O1907" s="169" t="s">
        <v>1141</v>
      </c>
      <c r="P1907" s="169" t="s">
        <v>283</v>
      </c>
      <c r="Q1907" s="169" t="s">
        <v>284</v>
      </c>
      <c r="R1907" s="169" t="s">
        <v>283</v>
      </c>
      <c r="S1907" s="169" t="s">
        <v>283</v>
      </c>
      <c r="T1907" s="169">
        <v>0</v>
      </c>
    </row>
    <row r="1908" spans="1:20" x14ac:dyDescent="0.2">
      <c r="A1908" s="169" t="str">
        <f t="shared" si="8"/>
        <v>627</v>
      </c>
      <c r="B1908" s="167" t="str">
        <f>_xlfn.XLOOKUP(I1908,Mapping!D:D,Mapping!E:E)</f>
        <v>Xưởng Sản Xuất</v>
      </c>
      <c r="C1908" s="167" t="str">
        <f>_xlfn.XLOOKUP(F1908,Mapping!A:A,Mapping!F:F)</f>
        <v>BHXH, BHYT, KPCĐ</v>
      </c>
      <c r="D1908" s="173">
        <v>45961</v>
      </c>
      <c r="E1908" s="169" t="s">
        <v>1139</v>
      </c>
      <c r="F1908" s="169" t="s">
        <v>393</v>
      </c>
      <c r="G1908" s="169" t="s">
        <v>296</v>
      </c>
      <c r="H1908" s="169" t="s">
        <v>402</v>
      </c>
      <c r="I1908" s="169" t="s">
        <v>403</v>
      </c>
      <c r="J1908" s="169" t="s">
        <v>1140</v>
      </c>
      <c r="K1908" s="169" t="s">
        <v>1132</v>
      </c>
      <c r="L1908" s="169" t="s">
        <v>1133</v>
      </c>
      <c r="M1908" s="169" t="s">
        <v>281</v>
      </c>
      <c r="N1908" s="178">
        <v>87458765</v>
      </c>
      <c r="O1908" s="169" t="s">
        <v>1141</v>
      </c>
      <c r="P1908" s="169" t="s">
        <v>283</v>
      </c>
      <c r="Q1908" s="169" t="s">
        <v>284</v>
      </c>
      <c r="R1908" s="169" t="s">
        <v>283</v>
      </c>
      <c r="S1908" s="169" t="s">
        <v>283</v>
      </c>
      <c r="T1908" s="169">
        <v>0</v>
      </c>
    </row>
    <row r="1909" spans="1:20" x14ac:dyDescent="0.2">
      <c r="A1909" s="169" t="str">
        <f t="shared" si="8"/>
        <v>627</v>
      </c>
      <c r="B1909" s="167" t="str">
        <f>_xlfn.XLOOKUP(I1909,Mapping!D:D,Mapping!E:E)</f>
        <v>Kiểm Soát Chất Lượng</v>
      </c>
      <c r="C1909" s="167" t="str">
        <f>_xlfn.XLOOKUP(F1909,Mapping!A:A,Mapping!F:F)</f>
        <v>BHXH, BHYT, KPCĐ</v>
      </c>
      <c r="D1909" s="173">
        <v>45961</v>
      </c>
      <c r="E1909" s="169" t="s">
        <v>1194</v>
      </c>
      <c r="F1909" s="169" t="s">
        <v>393</v>
      </c>
      <c r="G1909" s="169" t="s">
        <v>296</v>
      </c>
      <c r="H1909" s="169" t="s">
        <v>411</v>
      </c>
      <c r="I1909" s="169" t="s">
        <v>412</v>
      </c>
      <c r="J1909" s="169" t="s">
        <v>1140</v>
      </c>
      <c r="K1909" s="169" t="s">
        <v>1132</v>
      </c>
      <c r="L1909" s="169" t="s">
        <v>1133</v>
      </c>
      <c r="M1909" s="169" t="s">
        <v>281</v>
      </c>
      <c r="N1909" s="178">
        <v>2731640</v>
      </c>
      <c r="O1909" s="169" t="s">
        <v>1195</v>
      </c>
      <c r="P1909" s="169" t="s">
        <v>283</v>
      </c>
      <c r="Q1909" s="169" t="s">
        <v>284</v>
      </c>
      <c r="R1909" s="169" t="s">
        <v>283</v>
      </c>
      <c r="S1909" s="169" t="s">
        <v>283</v>
      </c>
      <c r="T1909" s="169">
        <v>0</v>
      </c>
    </row>
    <row r="1910" spans="1:20" x14ac:dyDescent="0.2">
      <c r="A1910" s="169" t="str">
        <f t="shared" si="8"/>
        <v>622</v>
      </c>
      <c r="B1910" s="167" t="str">
        <f>_xlfn.XLOOKUP(I1910,Mapping!D:D,Mapping!E:E)</f>
        <v>Xưởng Sản Xuất</v>
      </c>
      <c r="C1910" s="167" t="str">
        <f>_xlfn.XLOOKUP(F1910,Mapping!A:A,Mapping!F:F)</f>
        <v>BHXH, BHYT, KPCĐ</v>
      </c>
      <c r="D1910" s="173">
        <v>45961</v>
      </c>
      <c r="E1910" s="169" t="s">
        <v>1194</v>
      </c>
      <c r="F1910" s="169" t="s">
        <v>425</v>
      </c>
      <c r="G1910" s="169" t="s">
        <v>296</v>
      </c>
      <c r="H1910" s="169" t="s">
        <v>402</v>
      </c>
      <c r="I1910" s="169" t="s">
        <v>403</v>
      </c>
      <c r="J1910" s="169" t="s">
        <v>1140</v>
      </c>
      <c r="K1910" s="169" t="s">
        <v>1132</v>
      </c>
      <c r="L1910" s="169" t="s">
        <v>1133</v>
      </c>
      <c r="M1910" s="169" t="s">
        <v>281</v>
      </c>
      <c r="N1910" s="178">
        <v>1234455</v>
      </c>
      <c r="O1910" s="169" t="s">
        <v>1195</v>
      </c>
      <c r="P1910" s="169" t="s">
        <v>283</v>
      </c>
      <c r="Q1910" s="169" t="s">
        <v>284</v>
      </c>
      <c r="R1910" s="169" t="s">
        <v>283</v>
      </c>
      <c r="S1910" s="169" t="s">
        <v>283</v>
      </c>
      <c r="T1910" s="169">
        <v>0</v>
      </c>
    </row>
    <row r="1911" spans="1:20" x14ac:dyDescent="0.2">
      <c r="A1911" s="169" t="str">
        <f t="shared" si="8"/>
        <v>622</v>
      </c>
      <c r="B1911" s="167" t="str">
        <f>_xlfn.XLOOKUP(I1911,Mapping!D:D,Mapping!E:E)</f>
        <v>Xưởng Sản Xuất</v>
      </c>
      <c r="C1911" s="167" t="str">
        <f>_xlfn.XLOOKUP(F1911,Mapping!A:A,Mapping!F:F)</f>
        <v>BHXH, BHYT, KPCĐ</v>
      </c>
      <c r="D1911" s="173">
        <v>45961</v>
      </c>
      <c r="E1911" s="169" t="s">
        <v>1194</v>
      </c>
      <c r="F1911" s="169" t="s">
        <v>425</v>
      </c>
      <c r="G1911" s="169" t="s">
        <v>296</v>
      </c>
      <c r="H1911" s="169" t="s">
        <v>402</v>
      </c>
      <c r="I1911" s="169" t="s">
        <v>403</v>
      </c>
      <c r="J1911" s="169" t="s">
        <v>1140</v>
      </c>
      <c r="K1911" s="169" t="s">
        <v>1132</v>
      </c>
      <c r="L1911" s="169" t="s">
        <v>1133</v>
      </c>
      <c r="M1911" s="169" t="s">
        <v>281</v>
      </c>
      <c r="N1911" s="178">
        <v>4839825</v>
      </c>
      <c r="O1911" s="169" t="s">
        <v>1195</v>
      </c>
      <c r="P1911" s="169" t="s">
        <v>283</v>
      </c>
      <c r="Q1911" s="169" t="s">
        <v>284</v>
      </c>
      <c r="R1911" s="169" t="s">
        <v>283</v>
      </c>
      <c r="S1911" s="169" t="s">
        <v>283</v>
      </c>
      <c r="T1911" s="169">
        <v>0</v>
      </c>
    </row>
    <row r="1912" spans="1:20" x14ac:dyDescent="0.2">
      <c r="A1912" s="169" t="str">
        <f t="shared" si="8"/>
        <v>622</v>
      </c>
      <c r="B1912" s="167" t="str">
        <f>_xlfn.XLOOKUP(I1912,Mapping!D:D,Mapping!E:E)</f>
        <v>Xưởng Sản Xuất</v>
      </c>
      <c r="C1912" s="167" t="str">
        <f>_xlfn.XLOOKUP(F1912,Mapping!A:A,Mapping!F:F)</f>
        <v>BHXH, BHYT, KPCĐ</v>
      </c>
      <c r="D1912" s="173">
        <v>45961</v>
      </c>
      <c r="E1912" s="169" t="s">
        <v>1196</v>
      </c>
      <c r="F1912" s="169" t="s">
        <v>425</v>
      </c>
      <c r="G1912" s="169" t="s">
        <v>296</v>
      </c>
      <c r="H1912" s="169" t="s">
        <v>402</v>
      </c>
      <c r="I1912" s="169" t="s">
        <v>403</v>
      </c>
      <c r="J1912" s="169" t="s">
        <v>1197</v>
      </c>
      <c r="K1912" s="169" t="s">
        <v>1132</v>
      </c>
      <c r="L1912" s="169" t="s">
        <v>1133</v>
      </c>
      <c r="M1912" s="169" t="s">
        <v>281</v>
      </c>
      <c r="N1912" s="178">
        <v>13234500</v>
      </c>
      <c r="O1912" s="169" t="s">
        <v>1198</v>
      </c>
      <c r="P1912" s="169" t="s">
        <v>283</v>
      </c>
      <c r="Q1912" s="169" t="s">
        <v>284</v>
      </c>
      <c r="R1912" s="169" t="s">
        <v>283</v>
      </c>
      <c r="S1912" s="169" t="s">
        <v>283</v>
      </c>
      <c r="T1912" s="169">
        <v>0</v>
      </c>
    </row>
    <row r="1913" spans="1:20" x14ac:dyDescent="0.2">
      <c r="A1913" s="169" t="str">
        <f t="shared" si="8"/>
        <v>622</v>
      </c>
      <c r="B1913" s="167" t="str">
        <f>_xlfn.XLOOKUP(I1913,Mapping!D:D,Mapping!E:E)</f>
        <v>Xưởng Sản Xuất</v>
      </c>
      <c r="C1913" s="167" t="str">
        <f>_xlfn.XLOOKUP(F1913,Mapping!A:A,Mapping!F:F)</f>
        <v>BHXH, BHYT, KPCĐ</v>
      </c>
      <c r="D1913" s="173">
        <v>45961</v>
      </c>
      <c r="E1913" s="169" t="s">
        <v>1196</v>
      </c>
      <c r="F1913" s="169" t="s">
        <v>425</v>
      </c>
      <c r="G1913" s="169" t="s">
        <v>296</v>
      </c>
      <c r="H1913" s="169" t="s">
        <v>402</v>
      </c>
      <c r="I1913" s="169" t="s">
        <v>403</v>
      </c>
      <c r="J1913" s="169" t="s">
        <v>1197</v>
      </c>
      <c r="K1913" s="169" t="s">
        <v>1132</v>
      </c>
      <c r="L1913" s="169" t="s">
        <v>1133</v>
      </c>
      <c r="M1913" s="169" t="s">
        <v>281</v>
      </c>
      <c r="N1913" s="178">
        <v>6096960</v>
      </c>
      <c r="O1913" s="169" t="s">
        <v>1198</v>
      </c>
      <c r="P1913" s="169" t="s">
        <v>283</v>
      </c>
      <c r="Q1913" s="169" t="s">
        <v>284</v>
      </c>
      <c r="R1913" s="169" t="s">
        <v>283</v>
      </c>
      <c r="S1913" s="169" t="s">
        <v>283</v>
      </c>
      <c r="T1913" s="169">
        <v>0</v>
      </c>
    </row>
    <row r="1914" spans="1:20" x14ac:dyDescent="0.2">
      <c r="A1914" s="169" t="str">
        <f t="shared" si="8"/>
        <v>622</v>
      </c>
      <c r="B1914" s="167" t="str">
        <f>_xlfn.XLOOKUP(I1914,Mapping!D:D,Mapping!E:E)</f>
        <v>Xưởng Sản Xuất</v>
      </c>
      <c r="C1914" s="167" t="str">
        <f>_xlfn.XLOOKUP(F1914,Mapping!A:A,Mapping!F:F)</f>
        <v>BHXH, BHYT, KPCĐ</v>
      </c>
      <c r="D1914" s="173">
        <v>45961</v>
      </c>
      <c r="E1914" s="169" t="s">
        <v>1196</v>
      </c>
      <c r="F1914" s="169" t="s">
        <v>425</v>
      </c>
      <c r="G1914" s="169" t="s">
        <v>296</v>
      </c>
      <c r="H1914" s="169" t="s">
        <v>402</v>
      </c>
      <c r="I1914" s="169" t="s">
        <v>403</v>
      </c>
      <c r="J1914" s="169" t="s">
        <v>1197</v>
      </c>
      <c r="K1914" s="169" t="s">
        <v>1132</v>
      </c>
      <c r="L1914" s="169" t="s">
        <v>1133</v>
      </c>
      <c r="M1914" s="169" t="s">
        <v>281</v>
      </c>
      <c r="N1914" s="178">
        <v>2086000</v>
      </c>
      <c r="O1914" s="169" t="s">
        <v>1198</v>
      </c>
      <c r="P1914" s="169" t="s">
        <v>283</v>
      </c>
      <c r="Q1914" s="169" t="s">
        <v>284</v>
      </c>
      <c r="R1914" s="169" t="s">
        <v>283</v>
      </c>
      <c r="S1914" s="169" t="s">
        <v>283</v>
      </c>
      <c r="T1914" s="169">
        <v>0</v>
      </c>
    </row>
    <row r="1915" spans="1:20" x14ac:dyDescent="0.2">
      <c r="A1915" s="169" t="str">
        <f t="shared" si="8"/>
        <v>622</v>
      </c>
      <c r="B1915" s="167" t="str">
        <f>_xlfn.XLOOKUP(I1915,Mapping!D:D,Mapping!E:E)</f>
        <v>Xưởng Sản Xuất</v>
      </c>
      <c r="C1915" s="167" t="str">
        <f>_xlfn.XLOOKUP(F1915,Mapping!A:A,Mapping!F:F)</f>
        <v>Lương Chính +T13</v>
      </c>
      <c r="D1915" s="173">
        <v>45958</v>
      </c>
      <c r="E1915" s="169" t="s">
        <v>1145</v>
      </c>
      <c r="F1915" s="169" t="s">
        <v>400</v>
      </c>
      <c r="G1915" s="169" t="s">
        <v>401</v>
      </c>
      <c r="H1915" s="169" t="s">
        <v>402</v>
      </c>
      <c r="I1915" s="169" t="s">
        <v>403</v>
      </c>
      <c r="J1915" s="169" t="s">
        <v>1146</v>
      </c>
      <c r="K1915" s="169" t="s">
        <v>405</v>
      </c>
      <c r="L1915" s="169" t="s">
        <v>1133</v>
      </c>
      <c r="M1915" s="169" t="s">
        <v>281</v>
      </c>
      <c r="N1915" s="178">
        <v>131163172</v>
      </c>
      <c r="O1915" s="169" t="s">
        <v>1147</v>
      </c>
      <c r="P1915" s="169" t="s">
        <v>283</v>
      </c>
      <c r="Q1915" s="169" t="s">
        <v>306</v>
      </c>
      <c r="R1915" s="169" t="s">
        <v>283</v>
      </c>
      <c r="S1915" s="169" t="s">
        <v>283</v>
      </c>
      <c r="T1915" s="169">
        <v>0</v>
      </c>
    </row>
    <row r="1916" spans="1:20" x14ac:dyDescent="0.2">
      <c r="A1916" s="169" t="str">
        <f t="shared" si="8"/>
        <v>622</v>
      </c>
      <c r="B1916" s="167" t="str">
        <f>_xlfn.XLOOKUP(I1916,Mapping!D:D,Mapping!E:E)</f>
        <v>Xưởng Sản Xuất</v>
      </c>
      <c r="C1916" s="167" t="str">
        <f>_xlfn.XLOOKUP(F1916,Mapping!A:A,Mapping!F:F)</f>
        <v>Lương Chính +T13</v>
      </c>
      <c r="D1916" s="173">
        <v>45958</v>
      </c>
      <c r="E1916" s="169" t="s">
        <v>1199</v>
      </c>
      <c r="F1916" s="169" t="s">
        <v>400</v>
      </c>
      <c r="G1916" s="169" t="s">
        <v>401</v>
      </c>
      <c r="H1916" s="169" t="s">
        <v>402</v>
      </c>
      <c r="I1916" s="169" t="s">
        <v>403</v>
      </c>
      <c r="J1916" s="169" t="s">
        <v>1200</v>
      </c>
      <c r="K1916" s="169" t="s">
        <v>405</v>
      </c>
      <c r="L1916" s="169" t="s">
        <v>1133</v>
      </c>
      <c r="M1916" s="169" t="s">
        <v>281</v>
      </c>
      <c r="N1916" s="178">
        <v>85260834</v>
      </c>
      <c r="O1916" s="169" t="s">
        <v>1201</v>
      </c>
      <c r="P1916" s="169" t="s">
        <v>283</v>
      </c>
      <c r="Q1916" s="169" t="s">
        <v>306</v>
      </c>
      <c r="R1916" s="169" t="s">
        <v>283</v>
      </c>
      <c r="S1916" s="169" t="s">
        <v>283</v>
      </c>
      <c r="T1916" s="169">
        <v>0</v>
      </c>
    </row>
    <row r="1917" spans="1:20" x14ac:dyDescent="0.2">
      <c r="A1917" s="169" t="str">
        <f t="shared" si="8"/>
        <v>627</v>
      </c>
      <c r="B1917" s="167" t="str">
        <f>_xlfn.XLOOKUP(I1917,Mapping!D:D,Mapping!E:E)</f>
        <v>Xưởng Sản Xuất</v>
      </c>
      <c r="C1917" s="167" t="str">
        <f>_xlfn.XLOOKUP(F1917,Mapping!A:A,Mapping!F:F)</f>
        <v>Phụ Cấp</v>
      </c>
      <c r="D1917" s="173">
        <v>45958</v>
      </c>
      <c r="E1917" s="169" t="s">
        <v>1142</v>
      </c>
      <c r="F1917" s="169" t="s">
        <v>375</v>
      </c>
      <c r="G1917" s="169" t="s">
        <v>336</v>
      </c>
      <c r="H1917" s="169" t="s">
        <v>402</v>
      </c>
      <c r="I1917" s="169" t="s">
        <v>403</v>
      </c>
      <c r="J1917" s="169" t="s">
        <v>1143</v>
      </c>
      <c r="K1917" s="169" t="s">
        <v>992</v>
      </c>
      <c r="L1917" s="169" t="s">
        <v>1133</v>
      </c>
      <c r="M1917" s="169" t="s">
        <v>281</v>
      </c>
      <c r="N1917" s="178">
        <v>148775000</v>
      </c>
      <c r="O1917" s="169" t="s">
        <v>1144</v>
      </c>
      <c r="P1917" s="169" t="s">
        <v>283</v>
      </c>
      <c r="Q1917" s="169" t="s">
        <v>306</v>
      </c>
      <c r="R1917" s="169" t="s">
        <v>283</v>
      </c>
      <c r="S1917" s="169" t="s">
        <v>283</v>
      </c>
      <c r="T1917" s="169">
        <v>0</v>
      </c>
    </row>
    <row r="1918" spans="1:20" x14ac:dyDescent="0.2">
      <c r="A1918" s="169" t="str">
        <f t="shared" si="8"/>
        <v>627</v>
      </c>
      <c r="B1918" s="167" t="str">
        <f>_xlfn.XLOOKUP(I1918,Mapping!D:D,Mapping!E:E)</f>
        <v>Kiểm Soát Chất Lượng</v>
      </c>
      <c r="C1918" s="167" t="str">
        <f>_xlfn.XLOOKUP(F1918,Mapping!A:A,Mapping!F:F)</f>
        <v>Phụ Cấp</v>
      </c>
      <c r="D1918" s="173">
        <v>45958</v>
      </c>
      <c r="E1918" s="169" t="s">
        <v>1142</v>
      </c>
      <c r="F1918" s="169" t="s">
        <v>375</v>
      </c>
      <c r="G1918" s="169" t="s">
        <v>336</v>
      </c>
      <c r="H1918" s="169" t="s">
        <v>411</v>
      </c>
      <c r="I1918" s="169" t="s">
        <v>412</v>
      </c>
      <c r="J1918" s="169" t="s">
        <v>1143</v>
      </c>
      <c r="K1918" s="169" t="s">
        <v>992</v>
      </c>
      <c r="L1918" s="169" t="s">
        <v>1133</v>
      </c>
      <c r="M1918" s="169" t="s">
        <v>281</v>
      </c>
      <c r="N1918" s="178">
        <v>31675000</v>
      </c>
      <c r="O1918" s="169" t="s">
        <v>1144</v>
      </c>
      <c r="P1918" s="169" t="s">
        <v>283</v>
      </c>
      <c r="Q1918" s="169" t="s">
        <v>306</v>
      </c>
      <c r="R1918" s="169" t="s">
        <v>283</v>
      </c>
      <c r="S1918" s="169" t="s">
        <v>283</v>
      </c>
      <c r="T1918" s="169">
        <v>0</v>
      </c>
    </row>
    <row r="1919" spans="1:20" x14ac:dyDescent="0.2">
      <c r="A1919" s="169" t="str">
        <f t="shared" si="8"/>
        <v>622</v>
      </c>
      <c r="B1919" s="167" t="str">
        <f>_xlfn.XLOOKUP(I1919,Mapping!D:D,Mapping!E:E)</f>
        <v>Xưởng Sản Xuất</v>
      </c>
      <c r="C1919" s="167" t="str">
        <f>_xlfn.XLOOKUP(F1919,Mapping!A:A,Mapping!F:F)</f>
        <v>Phụ Cấp</v>
      </c>
      <c r="D1919" s="173">
        <v>45961</v>
      </c>
      <c r="E1919" s="169" t="s">
        <v>1151</v>
      </c>
      <c r="F1919" s="169" t="s">
        <v>414</v>
      </c>
      <c r="G1919" s="169" t="s">
        <v>415</v>
      </c>
      <c r="H1919" s="169" t="s">
        <v>402</v>
      </c>
      <c r="I1919" s="169" t="s">
        <v>403</v>
      </c>
      <c r="J1919" s="169" t="s">
        <v>1202</v>
      </c>
      <c r="K1919" s="169" t="s">
        <v>1153</v>
      </c>
      <c r="L1919" s="169" t="s">
        <v>1133</v>
      </c>
      <c r="M1919" s="169" t="s">
        <v>281</v>
      </c>
      <c r="N1919" s="178">
        <v>27521000</v>
      </c>
      <c r="O1919" s="169" t="s">
        <v>1154</v>
      </c>
      <c r="P1919" s="169" t="s">
        <v>283</v>
      </c>
      <c r="Q1919" s="169" t="s">
        <v>306</v>
      </c>
      <c r="R1919" s="169" t="s">
        <v>283</v>
      </c>
      <c r="S1919" s="169" t="s">
        <v>283</v>
      </c>
      <c r="T1919" s="169">
        <v>0</v>
      </c>
    </row>
    <row r="1920" spans="1:20" x14ac:dyDescent="0.2">
      <c r="A1920" s="169" t="str">
        <f t="shared" ref="A1920:A1967" si="9">LEFT(F1920,3)</f>
        <v>627</v>
      </c>
      <c r="B1920" s="167" t="str">
        <f>_xlfn.XLOOKUP(I1920,Mapping!D:D,Mapping!E:E)</f>
        <v>Kiểm Soát Chất Lượng</v>
      </c>
      <c r="C1920" s="167" t="str">
        <f>_xlfn.XLOOKUP(F1920,Mapping!A:A,Mapping!F:F)</f>
        <v>Phụ Cấp</v>
      </c>
      <c r="D1920" s="173">
        <v>45961</v>
      </c>
      <c r="E1920" s="169" t="s">
        <v>1151</v>
      </c>
      <c r="F1920" s="169" t="s">
        <v>375</v>
      </c>
      <c r="G1920" s="169" t="s">
        <v>336</v>
      </c>
      <c r="H1920" s="169" t="s">
        <v>411</v>
      </c>
      <c r="I1920" s="169" t="s">
        <v>412</v>
      </c>
      <c r="J1920" s="169" t="s">
        <v>1203</v>
      </c>
      <c r="K1920" s="169" t="s">
        <v>1153</v>
      </c>
      <c r="L1920" s="169" t="s">
        <v>1133</v>
      </c>
      <c r="M1920" s="169" t="s">
        <v>281</v>
      </c>
      <c r="N1920" s="178">
        <v>4537000</v>
      </c>
      <c r="O1920" s="169" t="s">
        <v>1154</v>
      </c>
      <c r="P1920" s="169" t="s">
        <v>283</v>
      </c>
      <c r="Q1920" s="169" t="s">
        <v>306</v>
      </c>
      <c r="R1920" s="169" t="s">
        <v>283</v>
      </c>
      <c r="S1920" s="169" t="s">
        <v>283</v>
      </c>
      <c r="T1920" s="169">
        <v>0</v>
      </c>
    </row>
    <row r="1921" spans="1:20" x14ac:dyDescent="0.2">
      <c r="A1921" s="169" t="str">
        <f t="shared" si="9"/>
        <v>622</v>
      </c>
      <c r="B1921" s="167" t="str">
        <f>_xlfn.XLOOKUP(I1921,Mapping!D:D,Mapping!E:E)</f>
        <v>Xưởng Sản Xuất</v>
      </c>
      <c r="C1921" s="167" t="str">
        <f>_xlfn.XLOOKUP(F1921,Mapping!A:A,Mapping!F:F)</f>
        <v>Phụ Cấp</v>
      </c>
      <c r="D1921" s="173">
        <v>45960</v>
      </c>
      <c r="E1921" s="169" t="s">
        <v>1204</v>
      </c>
      <c r="F1921" s="169" t="s">
        <v>414</v>
      </c>
      <c r="G1921" s="169" t="s">
        <v>415</v>
      </c>
      <c r="H1921" s="169" t="s">
        <v>402</v>
      </c>
      <c r="I1921" s="169" t="s">
        <v>403</v>
      </c>
      <c r="J1921" s="169" t="s">
        <v>416</v>
      </c>
      <c r="K1921" s="169" t="s">
        <v>416</v>
      </c>
      <c r="L1921" s="169" t="s">
        <v>1133</v>
      </c>
      <c r="M1921" s="169" t="s">
        <v>281</v>
      </c>
      <c r="N1921" s="178">
        <v>126650000</v>
      </c>
      <c r="O1921" s="169" t="s">
        <v>1205</v>
      </c>
      <c r="P1921" s="169" t="s">
        <v>283</v>
      </c>
      <c r="Q1921" s="169" t="s">
        <v>348</v>
      </c>
      <c r="R1921" s="169" t="s">
        <v>283</v>
      </c>
      <c r="S1921" s="169" t="s">
        <v>283</v>
      </c>
      <c r="T1921" s="169">
        <v>0</v>
      </c>
    </row>
    <row r="1922" spans="1:20" x14ac:dyDescent="0.2">
      <c r="A1922" s="169" t="str">
        <f t="shared" si="9"/>
        <v>627</v>
      </c>
      <c r="B1922" s="167" t="str">
        <f>_xlfn.XLOOKUP(I1922,Mapping!D:D,Mapping!E:E)</f>
        <v>Xưởng Sản Xuất</v>
      </c>
      <c r="C1922" s="167" t="str">
        <f>_xlfn.XLOOKUP(F1922,Mapping!A:A,Mapping!F:F)</f>
        <v>Phụ Cấp</v>
      </c>
      <c r="D1922" s="173">
        <v>45960</v>
      </c>
      <c r="E1922" s="169" t="s">
        <v>1204</v>
      </c>
      <c r="F1922" s="169" t="s">
        <v>375</v>
      </c>
      <c r="G1922" s="169" t="s">
        <v>336</v>
      </c>
      <c r="H1922" s="169" t="s">
        <v>402</v>
      </c>
      <c r="I1922" s="169" t="s">
        <v>403</v>
      </c>
      <c r="J1922" s="169" t="s">
        <v>416</v>
      </c>
      <c r="K1922" s="169" t="s">
        <v>416</v>
      </c>
      <c r="L1922" s="169" t="s">
        <v>1133</v>
      </c>
      <c r="M1922" s="169" t="s">
        <v>281</v>
      </c>
      <c r="N1922" s="178">
        <v>-126650000</v>
      </c>
      <c r="O1922" s="169" t="s">
        <v>1205</v>
      </c>
      <c r="P1922" s="169" t="s">
        <v>283</v>
      </c>
      <c r="Q1922" s="169" t="s">
        <v>348</v>
      </c>
      <c r="R1922" s="169" t="s">
        <v>283</v>
      </c>
      <c r="S1922" s="169" t="s">
        <v>283</v>
      </c>
      <c r="T1922" s="169">
        <v>0</v>
      </c>
    </row>
    <row r="1923" spans="1:20" x14ac:dyDescent="0.2">
      <c r="A1923" s="169" t="str">
        <f t="shared" si="9"/>
        <v>622</v>
      </c>
      <c r="B1923" s="167" t="str">
        <f>_xlfn.XLOOKUP(I1923,Mapping!D:D,Mapping!E:E)</f>
        <v>Xưởng Sản Xuất</v>
      </c>
      <c r="C1923" s="167" t="str">
        <f>_xlfn.XLOOKUP(F1923,Mapping!A:A,Mapping!F:F)</f>
        <v>Lương Chính +T13</v>
      </c>
      <c r="D1923" s="173">
        <v>45961</v>
      </c>
      <c r="E1923" s="169" t="s">
        <v>1130</v>
      </c>
      <c r="F1923" s="169" t="s">
        <v>400</v>
      </c>
      <c r="G1923" s="169" t="s">
        <v>401</v>
      </c>
      <c r="H1923" s="169" t="s">
        <v>430</v>
      </c>
      <c r="I1923" s="169" t="s">
        <v>431</v>
      </c>
      <c r="J1923" s="169" t="s">
        <v>1131</v>
      </c>
      <c r="K1923" s="169" t="s">
        <v>1132</v>
      </c>
      <c r="L1923" s="169" t="s">
        <v>1133</v>
      </c>
      <c r="M1923" s="169" t="s">
        <v>281</v>
      </c>
      <c r="N1923" s="178">
        <v>304036176</v>
      </c>
      <c r="O1923" s="169" t="s">
        <v>1134</v>
      </c>
      <c r="P1923" s="169" t="s">
        <v>283</v>
      </c>
      <c r="Q1923" s="169" t="s">
        <v>284</v>
      </c>
      <c r="R1923" s="169" t="s">
        <v>283</v>
      </c>
      <c r="S1923" s="169" t="s">
        <v>283</v>
      </c>
      <c r="T1923" s="169">
        <v>0</v>
      </c>
    </row>
    <row r="1924" spans="1:20" x14ac:dyDescent="0.2">
      <c r="A1924" s="169" t="str">
        <f t="shared" si="9"/>
        <v>622</v>
      </c>
      <c r="B1924" s="167" t="str">
        <f>_xlfn.XLOOKUP(I1924,Mapping!D:D,Mapping!E:E)</f>
        <v>Xưởng Sản Xuất</v>
      </c>
      <c r="C1924" s="167" t="str">
        <f>_xlfn.XLOOKUP(F1924,Mapping!A:A,Mapping!F:F)</f>
        <v>Lương Chính +T13</v>
      </c>
      <c r="D1924" s="173">
        <v>45961</v>
      </c>
      <c r="E1924" s="169" t="s">
        <v>1130</v>
      </c>
      <c r="F1924" s="169" t="s">
        <v>420</v>
      </c>
      <c r="G1924" s="169" t="s">
        <v>286</v>
      </c>
      <c r="H1924" s="169" t="s">
        <v>430</v>
      </c>
      <c r="I1924" s="169" t="s">
        <v>431</v>
      </c>
      <c r="J1924" s="169" t="s">
        <v>1131</v>
      </c>
      <c r="K1924" s="169" t="s">
        <v>1132</v>
      </c>
      <c r="L1924" s="169" t="s">
        <v>1133</v>
      </c>
      <c r="M1924" s="169" t="s">
        <v>281</v>
      </c>
      <c r="N1924" s="178">
        <v>7655463</v>
      </c>
      <c r="O1924" s="169" t="s">
        <v>1134</v>
      </c>
      <c r="P1924" s="169" t="s">
        <v>283</v>
      </c>
      <c r="Q1924" s="169" t="s">
        <v>284</v>
      </c>
      <c r="R1924" s="169" t="s">
        <v>283</v>
      </c>
      <c r="S1924" s="169" t="s">
        <v>283</v>
      </c>
      <c r="T1924" s="169">
        <v>0</v>
      </c>
    </row>
    <row r="1925" spans="1:20" x14ac:dyDescent="0.2">
      <c r="A1925" s="169" t="str">
        <f t="shared" si="9"/>
        <v>622</v>
      </c>
      <c r="B1925" s="167" t="str">
        <f>_xlfn.XLOOKUP(I1925,Mapping!D:D,Mapping!E:E)</f>
        <v>Xưởng Sản Xuất</v>
      </c>
      <c r="C1925" s="167" t="str">
        <f>_xlfn.XLOOKUP(F1925,Mapping!A:A,Mapping!F:F)</f>
        <v>Phụ Cấp</v>
      </c>
      <c r="D1925" s="173">
        <v>45961</v>
      </c>
      <c r="E1925" s="169" t="s">
        <v>1130</v>
      </c>
      <c r="F1925" s="169" t="s">
        <v>421</v>
      </c>
      <c r="G1925" s="169" t="s">
        <v>341</v>
      </c>
      <c r="H1925" s="169" t="s">
        <v>430</v>
      </c>
      <c r="I1925" s="169" t="s">
        <v>431</v>
      </c>
      <c r="J1925" s="169" t="s">
        <v>1131</v>
      </c>
      <c r="K1925" s="169" t="s">
        <v>1132</v>
      </c>
      <c r="L1925" s="169" t="s">
        <v>1133</v>
      </c>
      <c r="M1925" s="169" t="s">
        <v>281</v>
      </c>
      <c r="N1925" s="178">
        <v>27139892</v>
      </c>
      <c r="O1925" s="169" t="s">
        <v>1134</v>
      </c>
      <c r="P1925" s="169" t="s">
        <v>283</v>
      </c>
      <c r="Q1925" s="169" t="s">
        <v>284</v>
      </c>
      <c r="R1925" s="169" t="s">
        <v>283</v>
      </c>
      <c r="S1925" s="169" t="s">
        <v>283</v>
      </c>
      <c r="T1925" s="169">
        <v>0</v>
      </c>
    </row>
    <row r="1926" spans="1:20" x14ac:dyDescent="0.2">
      <c r="A1926" s="169" t="str">
        <f t="shared" si="9"/>
        <v>622</v>
      </c>
      <c r="B1926" s="167" t="str">
        <f>_xlfn.XLOOKUP(I1926,Mapping!D:D,Mapping!E:E)</f>
        <v>Xưởng Sản Xuất</v>
      </c>
      <c r="C1926" s="167" t="str">
        <f>_xlfn.XLOOKUP(F1926,Mapping!A:A,Mapping!F:F)</f>
        <v>Lương Ngoài giờ</v>
      </c>
      <c r="D1926" s="173">
        <v>45961</v>
      </c>
      <c r="E1926" s="169" t="s">
        <v>1130</v>
      </c>
      <c r="F1926" s="169" t="s">
        <v>422</v>
      </c>
      <c r="G1926" s="169" t="s">
        <v>423</v>
      </c>
      <c r="H1926" s="169" t="s">
        <v>430</v>
      </c>
      <c r="I1926" s="169" t="s">
        <v>431</v>
      </c>
      <c r="J1926" s="169" t="s">
        <v>1131</v>
      </c>
      <c r="K1926" s="169" t="s">
        <v>1132</v>
      </c>
      <c r="L1926" s="169" t="s">
        <v>1133</v>
      </c>
      <c r="M1926" s="169" t="s">
        <v>281</v>
      </c>
      <c r="N1926" s="178">
        <v>54453471</v>
      </c>
      <c r="O1926" s="169" t="s">
        <v>1134</v>
      </c>
      <c r="P1926" s="169" t="s">
        <v>283</v>
      </c>
      <c r="Q1926" s="169" t="s">
        <v>284</v>
      </c>
      <c r="R1926" s="169" t="s">
        <v>283</v>
      </c>
      <c r="S1926" s="169" t="s">
        <v>283</v>
      </c>
      <c r="T1926" s="169">
        <v>0</v>
      </c>
    </row>
    <row r="1927" spans="1:20" x14ac:dyDescent="0.2">
      <c r="A1927" s="169" t="str">
        <f t="shared" si="9"/>
        <v>622</v>
      </c>
      <c r="B1927" s="167" t="str">
        <f>_xlfn.XLOOKUP(I1927,Mapping!D:D,Mapping!E:E)</f>
        <v>Xưởng Sản Xuất</v>
      </c>
      <c r="C1927" s="167" t="str">
        <f>_xlfn.XLOOKUP(F1927,Mapping!A:A,Mapping!F:F)</f>
        <v>Phụ Cấp</v>
      </c>
      <c r="D1927" s="173">
        <v>45961</v>
      </c>
      <c r="E1927" s="169" t="s">
        <v>1130</v>
      </c>
      <c r="F1927" s="169" t="s">
        <v>414</v>
      </c>
      <c r="G1927" s="169" t="s">
        <v>415</v>
      </c>
      <c r="H1927" s="169" t="s">
        <v>430</v>
      </c>
      <c r="I1927" s="169" t="s">
        <v>431</v>
      </c>
      <c r="J1927" s="169" t="s">
        <v>1131</v>
      </c>
      <c r="K1927" s="169" t="s">
        <v>1132</v>
      </c>
      <c r="L1927" s="169" t="s">
        <v>1133</v>
      </c>
      <c r="M1927" s="169" t="s">
        <v>281</v>
      </c>
      <c r="N1927" s="178">
        <v>4650000</v>
      </c>
      <c r="O1927" s="169" t="s">
        <v>1134</v>
      </c>
      <c r="P1927" s="169" t="s">
        <v>283</v>
      </c>
      <c r="Q1927" s="169" t="s">
        <v>284</v>
      </c>
      <c r="R1927" s="169" t="s">
        <v>283</v>
      </c>
      <c r="S1927" s="169" t="s">
        <v>283</v>
      </c>
      <c r="T1927" s="169">
        <v>0</v>
      </c>
    </row>
    <row r="1928" spans="1:20" x14ac:dyDescent="0.2">
      <c r="A1928" s="169" t="str">
        <f t="shared" si="9"/>
        <v>627</v>
      </c>
      <c r="B1928" s="167" t="str">
        <f>_xlfn.XLOOKUP(I1928,Mapping!D:D,Mapping!E:E)</f>
        <v>Xưởng Sản Xuất</v>
      </c>
      <c r="C1928" s="167" t="str">
        <f>_xlfn.XLOOKUP(F1928,Mapping!A:A,Mapping!F:F)</f>
        <v>Phụ Cấp</v>
      </c>
      <c r="D1928" s="173">
        <v>45961</v>
      </c>
      <c r="E1928" s="169" t="s">
        <v>1130</v>
      </c>
      <c r="F1928" s="169" t="s">
        <v>386</v>
      </c>
      <c r="G1928" s="169" t="s">
        <v>341</v>
      </c>
      <c r="H1928" s="169" t="s">
        <v>430</v>
      </c>
      <c r="I1928" s="169" t="s">
        <v>431</v>
      </c>
      <c r="J1928" s="169" t="s">
        <v>1131</v>
      </c>
      <c r="K1928" s="169" t="s">
        <v>1132</v>
      </c>
      <c r="L1928" s="169" t="s">
        <v>1133</v>
      </c>
      <c r="M1928" s="169" t="s">
        <v>281</v>
      </c>
      <c r="N1928" s="178">
        <v>7908693</v>
      </c>
      <c r="O1928" s="169" t="s">
        <v>1134</v>
      </c>
      <c r="P1928" s="169" t="s">
        <v>283</v>
      </c>
      <c r="Q1928" s="169" t="s">
        <v>284</v>
      </c>
      <c r="R1928" s="169" t="s">
        <v>283</v>
      </c>
      <c r="S1928" s="169" t="s">
        <v>283</v>
      </c>
      <c r="T1928" s="169">
        <v>0</v>
      </c>
    </row>
    <row r="1929" spans="1:20" x14ac:dyDescent="0.2">
      <c r="A1929" s="169" t="str">
        <f t="shared" si="9"/>
        <v>627</v>
      </c>
      <c r="B1929" s="167" t="str">
        <f>_xlfn.XLOOKUP(I1929,Mapping!D:D,Mapping!E:E)</f>
        <v>Xưởng Sản Xuất</v>
      </c>
      <c r="C1929" s="167" t="str">
        <f>_xlfn.XLOOKUP(F1929,Mapping!A:A,Mapping!F:F)</f>
        <v>Lương Chính +T13</v>
      </c>
      <c r="D1929" s="173">
        <v>45961</v>
      </c>
      <c r="E1929" s="169" t="s">
        <v>1130</v>
      </c>
      <c r="F1929" s="169" t="s">
        <v>387</v>
      </c>
      <c r="G1929" s="169" t="s">
        <v>275</v>
      </c>
      <c r="H1929" s="169" t="s">
        <v>430</v>
      </c>
      <c r="I1929" s="169" t="s">
        <v>431</v>
      </c>
      <c r="J1929" s="169" t="s">
        <v>1131</v>
      </c>
      <c r="K1929" s="169" t="s">
        <v>1132</v>
      </c>
      <c r="L1929" s="169" t="s">
        <v>1133</v>
      </c>
      <c r="M1929" s="169" t="s">
        <v>281</v>
      </c>
      <c r="N1929" s="178">
        <v>153016371</v>
      </c>
      <c r="O1929" s="169" t="s">
        <v>1134</v>
      </c>
      <c r="P1929" s="169" t="s">
        <v>283</v>
      </c>
      <c r="Q1929" s="169" t="s">
        <v>284</v>
      </c>
      <c r="R1929" s="169" t="s">
        <v>283</v>
      </c>
      <c r="S1929" s="169" t="s">
        <v>283</v>
      </c>
      <c r="T1929" s="169">
        <v>0</v>
      </c>
    </row>
    <row r="1930" spans="1:20" x14ac:dyDescent="0.2">
      <c r="A1930" s="169" t="str">
        <f t="shared" si="9"/>
        <v>627</v>
      </c>
      <c r="B1930" s="167" t="str">
        <f>_xlfn.XLOOKUP(I1930,Mapping!D:D,Mapping!E:E)</f>
        <v>Xưởng Sản Xuất</v>
      </c>
      <c r="C1930" s="167" t="str">
        <f>_xlfn.XLOOKUP(F1930,Mapping!A:A,Mapping!F:F)</f>
        <v>Lương Chính +T13</v>
      </c>
      <c r="D1930" s="173">
        <v>45961</v>
      </c>
      <c r="E1930" s="169" t="s">
        <v>1130</v>
      </c>
      <c r="F1930" s="169" t="s">
        <v>388</v>
      </c>
      <c r="G1930" s="169" t="s">
        <v>286</v>
      </c>
      <c r="H1930" s="169" t="s">
        <v>430</v>
      </c>
      <c r="I1930" s="169" t="s">
        <v>431</v>
      </c>
      <c r="J1930" s="169" t="s">
        <v>1131</v>
      </c>
      <c r="K1930" s="169" t="s">
        <v>1132</v>
      </c>
      <c r="L1930" s="169" t="s">
        <v>1133</v>
      </c>
      <c r="M1930" s="169" t="s">
        <v>281</v>
      </c>
      <c r="N1930" s="178">
        <v>6459077</v>
      </c>
      <c r="O1930" s="169" t="s">
        <v>1134</v>
      </c>
      <c r="P1930" s="169" t="s">
        <v>283</v>
      </c>
      <c r="Q1930" s="169" t="s">
        <v>284</v>
      </c>
      <c r="R1930" s="169" t="s">
        <v>283</v>
      </c>
      <c r="S1930" s="169" t="s">
        <v>283</v>
      </c>
      <c r="T1930" s="169">
        <v>0</v>
      </c>
    </row>
    <row r="1931" spans="1:20" x14ac:dyDescent="0.2">
      <c r="A1931" s="169" t="str">
        <f t="shared" si="9"/>
        <v>627</v>
      </c>
      <c r="B1931" s="167" t="str">
        <f>_xlfn.XLOOKUP(I1931,Mapping!D:D,Mapping!E:E)</f>
        <v>Xưởng Sản Xuất</v>
      </c>
      <c r="C1931" s="167" t="str">
        <f>_xlfn.XLOOKUP(F1931,Mapping!A:A,Mapping!F:F)</f>
        <v>Lương Ngoài giờ</v>
      </c>
      <c r="D1931" s="173">
        <v>45961</v>
      </c>
      <c r="E1931" s="169" t="s">
        <v>1130</v>
      </c>
      <c r="F1931" s="169" t="s">
        <v>389</v>
      </c>
      <c r="G1931" s="169" t="s">
        <v>390</v>
      </c>
      <c r="H1931" s="169" t="s">
        <v>430</v>
      </c>
      <c r="I1931" s="169" t="s">
        <v>431</v>
      </c>
      <c r="J1931" s="169" t="s">
        <v>1131</v>
      </c>
      <c r="K1931" s="169" t="s">
        <v>1132</v>
      </c>
      <c r="L1931" s="169" t="s">
        <v>1133</v>
      </c>
      <c r="M1931" s="169" t="s">
        <v>281</v>
      </c>
      <c r="N1931" s="178">
        <v>16286463</v>
      </c>
      <c r="O1931" s="169" t="s">
        <v>1134</v>
      </c>
      <c r="P1931" s="169" t="s">
        <v>283</v>
      </c>
      <c r="Q1931" s="169" t="s">
        <v>284</v>
      </c>
      <c r="R1931" s="169" t="s">
        <v>283</v>
      </c>
      <c r="S1931" s="169" t="s">
        <v>283</v>
      </c>
      <c r="T1931" s="169">
        <v>0</v>
      </c>
    </row>
    <row r="1932" spans="1:20" x14ac:dyDescent="0.2">
      <c r="A1932" s="169" t="str">
        <f t="shared" si="9"/>
        <v>627</v>
      </c>
      <c r="B1932" s="167" t="str">
        <f>_xlfn.XLOOKUP(I1932,Mapping!D:D,Mapping!E:E)</f>
        <v>Xưởng Sản Xuất</v>
      </c>
      <c r="C1932" s="167" t="str">
        <f>_xlfn.XLOOKUP(F1932,Mapping!A:A,Mapping!F:F)</f>
        <v>Phụ Cấp</v>
      </c>
      <c r="D1932" s="173">
        <v>45961</v>
      </c>
      <c r="E1932" s="169" t="s">
        <v>1130</v>
      </c>
      <c r="F1932" s="169" t="s">
        <v>375</v>
      </c>
      <c r="G1932" s="169" t="s">
        <v>336</v>
      </c>
      <c r="H1932" s="169" t="s">
        <v>430</v>
      </c>
      <c r="I1932" s="169" t="s">
        <v>431</v>
      </c>
      <c r="J1932" s="169" t="s">
        <v>1131</v>
      </c>
      <c r="K1932" s="169" t="s">
        <v>1132</v>
      </c>
      <c r="L1932" s="169" t="s">
        <v>1133</v>
      </c>
      <c r="M1932" s="169" t="s">
        <v>281</v>
      </c>
      <c r="N1932" s="178">
        <v>980000</v>
      </c>
      <c r="O1932" s="169" t="s">
        <v>1134</v>
      </c>
      <c r="P1932" s="169" t="s">
        <v>283</v>
      </c>
      <c r="Q1932" s="169" t="s">
        <v>284</v>
      </c>
      <c r="R1932" s="169" t="s">
        <v>283</v>
      </c>
      <c r="S1932" s="169" t="s">
        <v>283</v>
      </c>
      <c r="T1932" s="169">
        <v>0</v>
      </c>
    </row>
    <row r="1933" spans="1:20" x14ac:dyDescent="0.2">
      <c r="A1933" s="169" t="str">
        <f t="shared" si="9"/>
        <v>627</v>
      </c>
      <c r="B1933" s="167" t="str">
        <f>_xlfn.XLOOKUP(I1933,Mapping!D:D,Mapping!E:E)</f>
        <v>Xưởng Sản Xuất</v>
      </c>
      <c r="C1933" s="167" t="str">
        <f>_xlfn.XLOOKUP(F1933,Mapping!A:A,Mapping!F:F)</f>
        <v>Lương Chính +T13</v>
      </c>
      <c r="D1933" s="173">
        <v>45961</v>
      </c>
      <c r="E1933" s="169" t="s">
        <v>1135</v>
      </c>
      <c r="F1933" s="169" t="s">
        <v>388</v>
      </c>
      <c r="G1933" s="169" t="s">
        <v>286</v>
      </c>
      <c r="H1933" s="169" t="s">
        <v>430</v>
      </c>
      <c r="I1933" s="169" t="s">
        <v>431</v>
      </c>
      <c r="J1933" s="169" t="s">
        <v>1136</v>
      </c>
      <c r="K1933" s="169" t="s">
        <v>1132</v>
      </c>
      <c r="L1933" s="169" t="s">
        <v>1133</v>
      </c>
      <c r="M1933" s="169" t="s">
        <v>281</v>
      </c>
      <c r="N1933" s="178">
        <v>11805449</v>
      </c>
      <c r="O1933" s="169" t="s">
        <v>1137</v>
      </c>
      <c r="P1933" s="169" t="s">
        <v>283</v>
      </c>
      <c r="Q1933" s="169" t="s">
        <v>284</v>
      </c>
      <c r="R1933" s="169" t="s">
        <v>283</v>
      </c>
      <c r="S1933" s="169" t="s">
        <v>283</v>
      </c>
      <c r="T1933" s="169">
        <v>0</v>
      </c>
    </row>
    <row r="1934" spans="1:20" x14ac:dyDescent="0.2">
      <c r="A1934" s="169" t="str">
        <f t="shared" si="9"/>
        <v>622</v>
      </c>
      <c r="B1934" s="167" t="str">
        <f>_xlfn.XLOOKUP(I1934,Mapping!D:D,Mapping!E:E)</f>
        <v>Xưởng Sản Xuất</v>
      </c>
      <c r="C1934" s="167" t="str">
        <f>_xlfn.XLOOKUP(F1934,Mapping!A:A,Mapping!F:F)</f>
        <v>Lương Chính +T13</v>
      </c>
      <c r="D1934" s="173">
        <v>45961</v>
      </c>
      <c r="E1934" s="169" t="s">
        <v>1135</v>
      </c>
      <c r="F1934" s="169" t="s">
        <v>420</v>
      </c>
      <c r="G1934" s="169" t="s">
        <v>286</v>
      </c>
      <c r="H1934" s="169" t="s">
        <v>430</v>
      </c>
      <c r="I1934" s="169" t="s">
        <v>431</v>
      </c>
      <c r="J1934" s="169" t="s">
        <v>1136</v>
      </c>
      <c r="K1934" s="169" t="s">
        <v>1132</v>
      </c>
      <c r="L1934" s="169" t="s">
        <v>1133</v>
      </c>
      <c r="M1934" s="169" t="s">
        <v>281</v>
      </c>
      <c r="N1934" s="178">
        <v>19410224</v>
      </c>
      <c r="O1934" s="169" t="s">
        <v>1137</v>
      </c>
      <c r="P1934" s="169" t="s">
        <v>283</v>
      </c>
      <c r="Q1934" s="169" t="s">
        <v>284</v>
      </c>
      <c r="R1934" s="169" t="s">
        <v>283</v>
      </c>
      <c r="S1934" s="169" t="s">
        <v>283</v>
      </c>
      <c r="T1934" s="169">
        <v>0</v>
      </c>
    </row>
    <row r="1935" spans="1:20" x14ac:dyDescent="0.2">
      <c r="A1935" s="169" t="str">
        <f t="shared" si="9"/>
        <v>627</v>
      </c>
      <c r="B1935" s="167" t="str">
        <f>_xlfn.XLOOKUP(I1935,Mapping!D:D,Mapping!E:E)</f>
        <v>Xưởng Sản Xuất</v>
      </c>
      <c r="C1935" s="167" t="str">
        <f>_xlfn.XLOOKUP(F1935,Mapping!A:A,Mapping!F:F)</f>
        <v>Thưởng</v>
      </c>
      <c r="D1935" s="173">
        <v>45961</v>
      </c>
      <c r="E1935" s="169" t="s">
        <v>1135</v>
      </c>
      <c r="F1935" s="169" t="s">
        <v>395</v>
      </c>
      <c r="G1935" s="169" t="s">
        <v>77</v>
      </c>
      <c r="H1935" s="169" t="s">
        <v>430</v>
      </c>
      <c r="I1935" s="169" t="s">
        <v>431</v>
      </c>
      <c r="J1935" s="169" t="s">
        <v>1138</v>
      </c>
      <c r="K1935" s="169" t="s">
        <v>1132</v>
      </c>
      <c r="L1935" s="169" t="s">
        <v>1133</v>
      </c>
      <c r="M1935" s="169" t="s">
        <v>281</v>
      </c>
      <c r="N1935" s="178">
        <v>10433629</v>
      </c>
      <c r="O1935" s="169" t="s">
        <v>1137</v>
      </c>
      <c r="P1935" s="169" t="s">
        <v>283</v>
      </c>
      <c r="Q1935" s="169" t="s">
        <v>284</v>
      </c>
      <c r="R1935" s="169" t="s">
        <v>283</v>
      </c>
      <c r="S1935" s="169" t="s">
        <v>283</v>
      </c>
      <c r="T1935" s="169">
        <v>0</v>
      </c>
    </row>
    <row r="1936" spans="1:20" x14ac:dyDescent="0.2">
      <c r="A1936" s="169" t="str">
        <f t="shared" si="9"/>
        <v>622</v>
      </c>
      <c r="B1936" s="167" t="str">
        <f>_xlfn.XLOOKUP(I1936,Mapping!D:D,Mapping!E:E)</f>
        <v>Xưởng Sản Xuất</v>
      </c>
      <c r="C1936" s="167" t="str">
        <f>_xlfn.XLOOKUP(F1936,Mapping!A:A,Mapping!F:F)</f>
        <v>Thưởng</v>
      </c>
      <c r="D1936" s="173">
        <v>45961</v>
      </c>
      <c r="E1936" s="169" t="s">
        <v>1135</v>
      </c>
      <c r="F1936" s="169" t="s">
        <v>426</v>
      </c>
      <c r="G1936" s="169" t="s">
        <v>77</v>
      </c>
      <c r="H1936" s="169" t="s">
        <v>430</v>
      </c>
      <c r="I1936" s="169" t="s">
        <v>431</v>
      </c>
      <c r="J1936" s="169" t="s">
        <v>1138</v>
      </c>
      <c r="K1936" s="169" t="s">
        <v>1132</v>
      </c>
      <c r="L1936" s="169" t="s">
        <v>1133</v>
      </c>
      <c r="M1936" s="169" t="s">
        <v>281</v>
      </c>
      <c r="N1936" s="178">
        <v>4969712</v>
      </c>
      <c r="O1936" s="169" t="s">
        <v>1137</v>
      </c>
      <c r="P1936" s="169" t="s">
        <v>283</v>
      </c>
      <c r="Q1936" s="169" t="s">
        <v>284</v>
      </c>
      <c r="R1936" s="169" t="s">
        <v>283</v>
      </c>
      <c r="S1936" s="169" t="s">
        <v>283</v>
      </c>
      <c r="T1936" s="169">
        <v>0</v>
      </c>
    </row>
    <row r="1937" spans="1:20" x14ac:dyDescent="0.2">
      <c r="A1937" s="169" t="str">
        <f t="shared" si="9"/>
        <v>622</v>
      </c>
      <c r="B1937" s="167" t="str">
        <f>_xlfn.XLOOKUP(I1937,Mapping!D:D,Mapping!E:E)</f>
        <v>Xưởng Sản Xuất</v>
      </c>
      <c r="C1937" s="167" t="str">
        <f>_xlfn.XLOOKUP(F1937,Mapping!A:A,Mapping!F:F)</f>
        <v>BHXH, BHYT, KPCĐ</v>
      </c>
      <c r="D1937" s="173">
        <v>45961</v>
      </c>
      <c r="E1937" s="169" t="s">
        <v>1139</v>
      </c>
      <c r="F1937" s="169" t="s">
        <v>425</v>
      </c>
      <c r="G1937" s="169" t="s">
        <v>296</v>
      </c>
      <c r="H1937" s="169" t="s">
        <v>430</v>
      </c>
      <c r="I1937" s="169" t="s">
        <v>431</v>
      </c>
      <c r="J1937" s="169" t="s">
        <v>1140</v>
      </c>
      <c r="K1937" s="169" t="s">
        <v>1132</v>
      </c>
      <c r="L1937" s="169" t="s">
        <v>1133</v>
      </c>
      <c r="M1937" s="169" t="s">
        <v>281</v>
      </c>
      <c r="N1937" s="178">
        <v>52871575</v>
      </c>
      <c r="O1937" s="169" t="s">
        <v>1141</v>
      </c>
      <c r="P1937" s="169" t="s">
        <v>283</v>
      </c>
      <c r="Q1937" s="169" t="s">
        <v>284</v>
      </c>
      <c r="R1937" s="169" t="s">
        <v>283</v>
      </c>
      <c r="S1937" s="169" t="s">
        <v>283</v>
      </c>
      <c r="T1937" s="169">
        <v>0</v>
      </c>
    </row>
    <row r="1938" spans="1:20" x14ac:dyDescent="0.2">
      <c r="A1938" s="169" t="str">
        <f t="shared" si="9"/>
        <v>627</v>
      </c>
      <c r="B1938" s="167" t="str">
        <f>_xlfn.XLOOKUP(I1938,Mapping!D:D,Mapping!E:E)</f>
        <v>Xưởng Sản Xuất</v>
      </c>
      <c r="C1938" s="167" t="str">
        <f>_xlfn.XLOOKUP(F1938,Mapping!A:A,Mapping!F:F)</f>
        <v>BHXH, BHYT, KPCĐ</v>
      </c>
      <c r="D1938" s="173">
        <v>45961</v>
      </c>
      <c r="E1938" s="169" t="s">
        <v>1139</v>
      </c>
      <c r="F1938" s="169" t="s">
        <v>393</v>
      </c>
      <c r="G1938" s="169" t="s">
        <v>296</v>
      </c>
      <c r="H1938" s="169" t="s">
        <v>430</v>
      </c>
      <c r="I1938" s="169" t="s">
        <v>431</v>
      </c>
      <c r="J1938" s="169" t="s">
        <v>1140</v>
      </c>
      <c r="K1938" s="169" t="s">
        <v>1132</v>
      </c>
      <c r="L1938" s="169" t="s">
        <v>1133</v>
      </c>
      <c r="M1938" s="169" t="s">
        <v>281</v>
      </c>
      <c r="N1938" s="178">
        <v>28078995</v>
      </c>
      <c r="O1938" s="169" t="s">
        <v>1141</v>
      </c>
      <c r="P1938" s="169" t="s">
        <v>283</v>
      </c>
      <c r="Q1938" s="169" t="s">
        <v>284</v>
      </c>
      <c r="R1938" s="169" t="s">
        <v>283</v>
      </c>
      <c r="S1938" s="169" t="s">
        <v>283</v>
      </c>
      <c r="T1938" s="169">
        <v>0</v>
      </c>
    </row>
    <row r="1939" spans="1:20" x14ac:dyDescent="0.2">
      <c r="A1939" s="169" t="str">
        <f t="shared" si="9"/>
        <v>622</v>
      </c>
      <c r="B1939" s="167" t="str">
        <f>_xlfn.XLOOKUP(I1939,Mapping!D:D,Mapping!E:E)</f>
        <v>Xưởng Sản Xuất</v>
      </c>
      <c r="C1939" s="167" t="str">
        <f>_xlfn.XLOOKUP(F1939,Mapping!A:A,Mapping!F:F)</f>
        <v>Lương Chính +T13</v>
      </c>
      <c r="D1939" s="173">
        <v>45958</v>
      </c>
      <c r="E1939" s="169" t="s">
        <v>1199</v>
      </c>
      <c r="F1939" s="169" t="s">
        <v>400</v>
      </c>
      <c r="G1939" s="169" t="s">
        <v>401</v>
      </c>
      <c r="H1939" s="169" t="s">
        <v>430</v>
      </c>
      <c r="I1939" s="169" t="s">
        <v>431</v>
      </c>
      <c r="J1939" s="169" t="s">
        <v>1200</v>
      </c>
      <c r="K1939" s="169" t="s">
        <v>405</v>
      </c>
      <c r="L1939" s="169" t="s">
        <v>1133</v>
      </c>
      <c r="M1939" s="169" t="s">
        <v>281</v>
      </c>
      <c r="N1939" s="178">
        <v>7203333</v>
      </c>
      <c r="O1939" s="169" t="s">
        <v>1201</v>
      </c>
      <c r="P1939" s="169" t="s">
        <v>283</v>
      </c>
      <c r="Q1939" s="169" t="s">
        <v>306</v>
      </c>
      <c r="R1939" s="169" t="s">
        <v>283</v>
      </c>
      <c r="S1939" s="169" t="s">
        <v>283</v>
      </c>
      <c r="T1939" s="169">
        <v>0</v>
      </c>
    </row>
    <row r="1940" spans="1:20" x14ac:dyDescent="0.2">
      <c r="A1940" s="169" t="str">
        <f t="shared" si="9"/>
        <v>627</v>
      </c>
      <c r="B1940" s="167" t="str">
        <f>_xlfn.XLOOKUP(I1940,Mapping!D:D,Mapping!E:E)</f>
        <v>Xưởng Sản Xuất</v>
      </c>
      <c r="C1940" s="167" t="str">
        <f>_xlfn.XLOOKUP(F1940,Mapping!A:A,Mapping!F:F)</f>
        <v>Phụ Cấp</v>
      </c>
      <c r="D1940" s="173">
        <v>45958</v>
      </c>
      <c r="E1940" s="169" t="s">
        <v>1142</v>
      </c>
      <c r="F1940" s="169" t="s">
        <v>375</v>
      </c>
      <c r="G1940" s="169" t="s">
        <v>336</v>
      </c>
      <c r="H1940" s="169" t="s">
        <v>430</v>
      </c>
      <c r="I1940" s="169" t="s">
        <v>431</v>
      </c>
      <c r="J1940" s="169" t="s">
        <v>1143</v>
      </c>
      <c r="K1940" s="169" t="s">
        <v>992</v>
      </c>
      <c r="L1940" s="169" t="s">
        <v>1133</v>
      </c>
      <c r="M1940" s="169" t="s">
        <v>281</v>
      </c>
      <c r="N1940" s="178">
        <v>27200000</v>
      </c>
      <c r="O1940" s="169" t="s">
        <v>1144</v>
      </c>
      <c r="P1940" s="169" t="s">
        <v>283</v>
      </c>
      <c r="Q1940" s="169" t="s">
        <v>306</v>
      </c>
      <c r="R1940" s="169" t="s">
        <v>283</v>
      </c>
      <c r="S1940" s="169" t="s">
        <v>283</v>
      </c>
      <c r="T1940" s="169">
        <v>0</v>
      </c>
    </row>
    <row r="1941" spans="1:20" x14ac:dyDescent="0.2">
      <c r="A1941" s="169" t="str">
        <f t="shared" si="9"/>
        <v>622</v>
      </c>
      <c r="B1941" s="167" t="str">
        <f>_xlfn.XLOOKUP(I1941,Mapping!D:D,Mapping!E:E)</f>
        <v>Xưởng Sản Xuất</v>
      </c>
      <c r="C1941" s="167" t="str">
        <f>_xlfn.XLOOKUP(F1941,Mapping!A:A,Mapping!F:F)</f>
        <v>Phụ Cấp</v>
      </c>
      <c r="D1941" s="173">
        <v>45961</v>
      </c>
      <c r="E1941" s="169" t="s">
        <v>1151</v>
      </c>
      <c r="F1941" s="169" t="s">
        <v>414</v>
      </c>
      <c r="G1941" s="169" t="s">
        <v>415</v>
      </c>
      <c r="H1941" s="169" t="s">
        <v>430</v>
      </c>
      <c r="I1941" s="169" t="s">
        <v>431</v>
      </c>
      <c r="J1941" s="169" t="s">
        <v>1206</v>
      </c>
      <c r="K1941" s="169" t="s">
        <v>1153</v>
      </c>
      <c r="L1941" s="169" t="s">
        <v>1133</v>
      </c>
      <c r="M1941" s="169" t="s">
        <v>281</v>
      </c>
      <c r="N1941" s="178">
        <v>5200000</v>
      </c>
      <c r="O1941" s="169" t="s">
        <v>1154</v>
      </c>
      <c r="P1941" s="169" t="s">
        <v>283</v>
      </c>
      <c r="Q1941" s="169" t="s">
        <v>306</v>
      </c>
      <c r="R1941" s="169" t="s">
        <v>283</v>
      </c>
      <c r="S1941" s="169" t="s">
        <v>283</v>
      </c>
      <c r="T1941" s="169">
        <v>0</v>
      </c>
    </row>
    <row r="1942" spans="1:20" x14ac:dyDescent="0.2">
      <c r="A1942" s="169" t="str">
        <f t="shared" si="9"/>
        <v>622</v>
      </c>
      <c r="B1942" s="167" t="str">
        <f>_xlfn.XLOOKUP(I1942,Mapping!D:D,Mapping!E:E)</f>
        <v>Xưởng Sản Xuất</v>
      </c>
      <c r="C1942" s="167" t="str">
        <f>_xlfn.XLOOKUP(F1942,Mapping!A:A,Mapping!F:F)</f>
        <v>Phụ Cấp</v>
      </c>
      <c r="D1942" s="173">
        <v>45960</v>
      </c>
      <c r="E1942" s="169" t="s">
        <v>1204</v>
      </c>
      <c r="F1942" s="169" t="s">
        <v>414</v>
      </c>
      <c r="G1942" s="169" t="s">
        <v>415</v>
      </c>
      <c r="H1942" s="169" t="s">
        <v>430</v>
      </c>
      <c r="I1942" s="169" t="s">
        <v>431</v>
      </c>
      <c r="J1942" s="169" t="s">
        <v>416</v>
      </c>
      <c r="K1942" s="169" t="s">
        <v>416</v>
      </c>
      <c r="L1942" s="169" t="s">
        <v>1133</v>
      </c>
      <c r="M1942" s="169" t="s">
        <v>281</v>
      </c>
      <c r="N1942" s="178">
        <v>20100000</v>
      </c>
      <c r="O1942" s="169" t="s">
        <v>1205</v>
      </c>
      <c r="P1942" s="169" t="s">
        <v>283</v>
      </c>
      <c r="Q1942" s="169" t="s">
        <v>348</v>
      </c>
      <c r="R1942" s="169" t="s">
        <v>283</v>
      </c>
      <c r="S1942" s="169" t="s">
        <v>283</v>
      </c>
      <c r="T1942" s="169">
        <v>0</v>
      </c>
    </row>
    <row r="1943" spans="1:20" x14ac:dyDescent="0.2">
      <c r="A1943" s="169" t="str">
        <f t="shared" si="9"/>
        <v>627</v>
      </c>
      <c r="B1943" s="167" t="str">
        <f>_xlfn.XLOOKUP(I1943,Mapping!D:D,Mapping!E:E)</f>
        <v>Xưởng Sản Xuất</v>
      </c>
      <c r="C1943" s="167" t="str">
        <f>_xlfn.XLOOKUP(F1943,Mapping!A:A,Mapping!F:F)</f>
        <v>Phụ Cấp</v>
      </c>
      <c r="D1943" s="173">
        <v>45960</v>
      </c>
      <c r="E1943" s="169" t="s">
        <v>1204</v>
      </c>
      <c r="F1943" s="169" t="s">
        <v>375</v>
      </c>
      <c r="G1943" s="169" t="s">
        <v>336</v>
      </c>
      <c r="H1943" s="169" t="s">
        <v>430</v>
      </c>
      <c r="I1943" s="169" t="s">
        <v>431</v>
      </c>
      <c r="J1943" s="169" t="s">
        <v>416</v>
      </c>
      <c r="K1943" s="169" t="s">
        <v>416</v>
      </c>
      <c r="L1943" s="169" t="s">
        <v>1133</v>
      </c>
      <c r="M1943" s="169" t="s">
        <v>281</v>
      </c>
      <c r="N1943" s="178">
        <v>-20100000</v>
      </c>
      <c r="O1943" s="169" t="s">
        <v>1205</v>
      </c>
      <c r="P1943" s="169" t="s">
        <v>283</v>
      </c>
      <c r="Q1943" s="169" t="s">
        <v>348</v>
      </c>
      <c r="R1943" s="169" t="s">
        <v>283</v>
      </c>
      <c r="S1943" s="169" t="s">
        <v>283</v>
      </c>
      <c r="T1943" s="169">
        <v>0</v>
      </c>
    </row>
    <row r="1944" spans="1:20" x14ac:dyDescent="0.2">
      <c r="A1944" s="169" t="str">
        <f t="shared" si="9"/>
        <v>627</v>
      </c>
      <c r="B1944" s="167" t="str">
        <f>_xlfn.XLOOKUP(I1944,Mapping!D:D,Mapping!E:E)</f>
        <v>Xưởng Sản Xuất</v>
      </c>
      <c r="C1944" s="167" t="str">
        <f>_xlfn.XLOOKUP(F1944,Mapping!A:A,Mapping!F:F)</f>
        <v>Khen thưởng BD khác</v>
      </c>
      <c r="D1944" s="173">
        <v>45954</v>
      </c>
      <c r="E1944" s="169" t="s">
        <v>1207</v>
      </c>
      <c r="F1944" s="169" t="s">
        <v>435</v>
      </c>
      <c r="G1944" s="169" t="s">
        <v>222</v>
      </c>
      <c r="H1944" s="169" t="s">
        <v>436</v>
      </c>
      <c r="I1944" s="169" t="s">
        <v>437</v>
      </c>
      <c r="J1944" s="169" t="s">
        <v>1208</v>
      </c>
      <c r="K1944" s="169" t="s">
        <v>1052</v>
      </c>
      <c r="L1944" s="169" t="s">
        <v>1133</v>
      </c>
      <c r="M1944" s="169" t="s">
        <v>281</v>
      </c>
      <c r="N1944" s="178">
        <v>4900000</v>
      </c>
      <c r="O1944" s="169" t="s">
        <v>1209</v>
      </c>
      <c r="P1944" s="169" t="s">
        <v>283</v>
      </c>
      <c r="Q1944" s="169" t="s">
        <v>964</v>
      </c>
      <c r="R1944" s="169" t="s">
        <v>283</v>
      </c>
      <c r="S1944" s="169" t="s">
        <v>283</v>
      </c>
      <c r="T1944" s="169">
        <v>0</v>
      </c>
    </row>
    <row r="1945" spans="1:20" x14ac:dyDescent="0.2">
      <c r="A1945" s="169" t="str">
        <f t="shared" si="9"/>
        <v>627</v>
      </c>
      <c r="B1945" s="167" t="str">
        <f>_xlfn.XLOOKUP(I1945,Mapping!D:D,Mapping!E:E)</f>
        <v>Xưởng Sản Xuất</v>
      </c>
      <c r="C1945" s="167" t="str">
        <f>_xlfn.XLOOKUP(F1945,Mapping!A:A,Mapping!F:F)</f>
        <v>Phụ Cấp</v>
      </c>
      <c r="D1945" s="173">
        <v>45961</v>
      </c>
      <c r="E1945" s="169" t="s">
        <v>1130</v>
      </c>
      <c r="F1945" s="169" t="s">
        <v>386</v>
      </c>
      <c r="G1945" s="169" t="s">
        <v>341</v>
      </c>
      <c r="H1945" s="169" t="s">
        <v>436</v>
      </c>
      <c r="I1945" s="169" t="s">
        <v>437</v>
      </c>
      <c r="J1945" s="169" t="s">
        <v>1131</v>
      </c>
      <c r="K1945" s="169" t="s">
        <v>1132</v>
      </c>
      <c r="L1945" s="169" t="s">
        <v>1133</v>
      </c>
      <c r="M1945" s="169" t="s">
        <v>281</v>
      </c>
      <c r="N1945" s="178">
        <v>7905173</v>
      </c>
      <c r="O1945" s="169" t="s">
        <v>1134</v>
      </c>
      <c r="P1945" s="169" t="s">
        <v>283</v>
      </c>
      <c r="Q1945" s="169" t="s">
        <v>284</v>
      </c>
      <c r="R1945" s="169" t="s">
        <v>283</v>
      </c>
      <c r="S1945" s="169" t="s">
        <v>283</v>
      </c>
      <c r="T1945" s="169">
        <v>0</v>
      </c>
    </row>
    <row r="1946" spans="1:20" x14ac:dyDescent="0.2">
      <c r="A1946" s="169" t="str">
        <f t="shared" si="9"/>
        <v>627</v>
      </c>
      <c r="B1946" s="167" t="str">
        <f>_xlfn.XLOOKUP(I1946,Mapping!D:D,Mapping!E:E)</f>
        <v>Xưởng Sản Xuất</v>
      </c>
      <c r="C1946" s="167" t="str">
        <f>_xlfn.XLOOKUP(F1946,Mapping!A:A,Mapping!F:F)</f>
        <v>Lương Chính +T13</v>
      </c>
      <c r="D1946" s="173">
        <v>45961</v>
      </c>
      <c r="E1946" s="169" t="s">
        <v>1130</v>
      </c>
      <c r="F1946" s="169" t="s">
        <v>387</v>
      </c>
      <c r="G1946" s="169" t="s">
        <v>275</v>
      </c>
      <c r="H1946" s="169" t="s">
        <v>436</v>
      </c>
      <c r="I1946" s="169" t="s">
        <v>437</v>
      </c>
      <c r="J1946" s="169" t="s">
        <v>1131</v>
      </c>
      <c r="K1946" s="169" t="s">
        <v>1132</v>
      </c>
      <c r="L1946" s="169" t="s">
        <v>1133</v>
      </c>
      <c r="M1946" s="169" t="s">
        <v>281</v>
      </c>
      <c r="N1946" s="178">
        <v>413151995</v>
      </c>
      <c r="O1946" s="169" t="s">
        <v>1134</v>
      </c>
      <c r="P1946" s="169" t="s">
        <v>283</v>
      </c>
      <c r="Q1946" s="169" t="s">
        <v>284</v>
      </c>
      <c r="R1946" s="169" t="s">
        <v>283</v>
      </c>
      <c r="S1946" s="169" t="s">
        <v>283</v>
      </c>
      <c r="T1946" s="169">
        <v>0</v>
      </c>
    </row>
    <row r="1947" spans="1:20" x14ac:dyDescent="0.2">
      <c r="A1947" s="169" t="str">
        <f t="shared" si="9"/>
        <v>627</v>
      </c>
      <c r="B1947" s="167" t="str">
        <f>_xlfn.XLOOKUP(I1947,Mapping!D:D,Mapping!E:E)</f>
        <v>Xưởng Sản Xuất</v>
      </c>
      <c r="C1947" s="167" t="str">
        <f>_xlfn.XLOOKUP(F1947,Mapping!A:A,Mapping!F:F)</f>
        <v>Lương Chính +T13</v>
      </c>
      <c r="D1947" s="173">
        <v>45961</v>
      </c>
      <c r="E1947" s="169" t="s">
        <v>1130</v>
      </c>
      <c r="F1947" s="169" t="s">
        <v>388</v>
      </c>
      <c r="G1947" s="169" t="s">
        <v>286</v>
      </c>
      <c r="H1947" s="169" t="s">
        <v>436</v>
      </c>
      <c r="I1947" s="169" t="s">
        <v>437</v>
      </c>
      <c r="J1947" s="169" t="s">
        <v>1131</v>
      </c>
      <c r="K1947" s="169" t="s">
        <v>1132</v>
      </c>
      <c r="L1947" s="169" t="s">
        <v>1133</v>
      </c>
      <c r="M1947" s="169" t="s">
        <v>281</v>
      </c>
      <c r="N1947" s="178">
        <v>10419406</v>
      </c>
      <c r="O1947" s="169" t="s">
        <v>1134</v>
      </c>
      <c r="P1947" s="169" t="s">
        <v>283</v>
      </c>
      <c r="Q1947" s="169" t="s">
        <v>284</v>
      </c>
      <c r="R1947" s="169" t="s">
        <v>283</v>
      </c>
      <c r="S1947" s="169" t="s">
        <v>283</v>
      </c>
      <c r="T1947" s="169">
        <v>0</v>
      </c>
    </row>
    <row r="1948" spans="1:20" x14ac:dyDescent="0.2">
      <c r="A1948" s="169" t="str">
        <f t="shared" si="9"/>
        <v>627</v>
      </c>
      <c r="B1948" s="167" t="str">
        <f>_xlfn.XLOOKUP(I1948,Mapping!D:D,Mapping!E:E)</f>
        <v>Xưởng Sản Xuất</v>
      </c>
      <c r="C1948" s="167" t="str">
        <f>_xlfn.XLOOKUP(F1948,Mapping!A:A,Mapping!F:F)</f>
        <v>Lương Ngoài giờ</v>
      </c>
      <c r="D1948" s="173">
        <v>45961</v>
      </c>
      <c r="E1948" s="169" t="s">
        <v>1130</v>
      </c>
      <c r="F1948" s="169" t="s">
        <v>389</v>
      </c>
      <c r="G1948" s="169" t="s">
        <v>390</v>
      </c>
      <c r="H1948" s="169" t="s">
        <v>436</v>
      </c>
      <c r="I1948" s="169" t="s">
        <v>437</v>
      </c>
      <c r="J1948" s="169" t="s">
        <v>1131</v>
      </c>
      <c r="K1948" s="169" t="s">
        <v>1132</v>
      </c>
      <c r="L1948" s="169" t="s">
        <v>1133</v>
      </c>
      <c r="M1948" s="169" t="s">
        <v>281</v>
      </c>
      <c r="N1948" s="178">
        <v>45231254</v>
      </c>
      <c r="O1948" s="169" t="s">
        <v>1134</v>
      </c>
      <c r="P1948" s="169" t="s">
        <v>283</v>
      </c>
      <c r="Q1948" s="169" t="s">
        <v>284</v>
      </c>
      <c r="R1948" s="169" t="s">
        <v>283</v>
      </c>
      <c r="S1948" s="169" t="s">
        <v>283</v>
      </c>
      <c r="T1948" s="169">
        <v>0</v>
      </c>
    </row>
    <row r="1949" spans="1:20" x14ac:dyDescent="0.2">
      <c r="A1949" s="169" t="str">
        <f t="shared" si="9"/>
        <v>627</v>
      </c>
      <c r="B1949" s="167" t="str">
        <f>_xlfn.XLOOKUP(I1949,Mapping!D:D,Mapping!E:E)</f>
        <v>Xưởng Sản Xuất</v>
      </c>
      <c r="C1949" s="167" t="str">
        <f>_xlfn.XLOOKUP(F1949,Mapping!A:A,Mapping!F:F)</f>
        <v>Phụ Cấp</v>
      </c>
      <c r="D1949" s="173">
        <v>45961</v>
      </c>
      <c r="E1949" s="169" t="s">
        <v>1130</v>
      </c>
      <c r="F1949" s="169" t="s">
        <v>375</v>
      </c>
      <c r="G1949" s="169" t="s">
        <v>336</v>
      </c>
      <c r="H1949" s="169" t="s">
        <v>436</v>
      </c>
      <c r="I1949" s="169" t="s">
        <v>437</v>
      </c>
      <c r="J1949" s="169" t="s">
        <v>1131</v>
      </c>
      <c r="K1949" s="169" t="s">
        <v>1132</v>
      </c>
      <c r="L1949" s="169" t="s">
        <v>1133</v>
      </c>
      <c r="M1949" s="169" t="s">
        <v>281</v>
      </c>
      <c r="N1949" s="178">
        <v>3195000</v>
      </c>
      <c r="O1949" s="169" t="s">
        <v>1134</v>
      </c>
      <c r="P1949" s="169" t="s">
        <v>283</v>
      </c>
      <c r="Q1949" s="169" t="s">
        <v>284</v>
      </c>
      <c r="R1949" s="169" t="s">
        <v>283</v>
      </c>
      <c r="S1949" s="169" t="s">
        <v>283</v>
      </c>
      <c r="T1949" s="169">
        <v>0</v>
      </c>
    </row>
    <row r="1950" spans="1:20" x14ac:dyDescent="0.2">
      <c r="A1950" s="169" t="str">
        <f t="shared" si="9"/>
        <v>642</v>
      </c>
      <c r="B1950" s="167" t="str">
        <f>_xlfn.XLOOKUP(I1950,Mapping!D:D,Mapping!E:E)</f>
        <v>Tư vấn dịch vụ</v>
      </c>
      <c r="C1950" s="167" t="str">
        <f>_xlfn.XLOOKUP(F1950,Mapping!A:A,Mapping!F:F)</f>
        <v>Lương Chính +T13</v>
      </c>
      <c r="D1950" s="173">
        <v>45961</v>
      </c>
      <c r="E1950" s="169" t="s">
        <v>1130</v>
      </c>
      <c r="F1950" s="169" t="s">
        <v>274</v>
      </c>
      <c r="G1950" s="169" t="s">
        <v>275</v>
      </c>
      <c r="H1950" s="169" t="s">
        <v>443</v>
      </c>
      <c r="I1950" s="169" t="s">
        <v>444</v>
      </c>
      <c r="J1950" s="169" t="s">
        <v>1131</v>
      </c>
      <c r="K1950" s="169" t="s">
        <v>1132</v>
      </c>
      <c r="L1950" s="169" t="s">
        <v>1133</v>
      </c>
      <c r="M1950" s="169" t="s">
        <v>281</v>
      </c>
      <c r="N1950" s="178">
        <v>70504808</v>
      </c>
      <c r="O1950" s="169" t="s">
        <v>1134</v>
      </c>
      <c r="P1950" s="169" t="s">
        <v>283</v>
      </c>
      <c r="Q1950" s="169" t="s">
        <v>284</v>
      </c>
      <c r="R1950" s="169" t="s">
        <v>283</v>
      </c>
      <c r="S1950" s="169" t="s">
        <v>283</v>
      </c>
      <c r="T1950" s="169">
        <v>0</v>
      </c>
    </row>
    <row r="1951" spans="1:20" x14ac:dyDescent="0.2">
      <c r="A1951" s="169" t="str">
        <f t="shared" si="9"/>
        <v>622</v>
      </c>
      <c r="B1951" s="167" t="str">
        <f>_xlfn.XLOOKUP(I1951,Mapping!D:D,Mapping!E:E)</f>
        <v>Xưởng Sản Xuất</v>
      </c>
      <c r="C1951" s="167" t="str">
        <f>_xlfn.XLOOKUP(F1951,Mapping!A:A,Mapping!F:F)</f>
        <v>Lương Chính +T13</v>
      </c>
      <c r="D1951" s="173">
        <v>45961</v>
      </c>
      <c r="E1951" s="169" t="s">
        <v>1130</v>
      </c>
      <c r="F1951" s="169" t="s">
        <v>400</v>
      </c>
      <c r="G1951" s="169" t="s">
        <v>401</v>
      </c>
      <c r="H1951" s="169" t="s">
        <v>441</v>
      </c>
      <c r="I1951" s="169" t="s">
        <v>442</v>
      </c>
      <c r="J1951" s="169" t="s">
        <v>1131</v>
      </c>
      <c r="K1951" s="169" t="s">
        <v>1132</v>
      </c>
      <c r="L1951" s="169" t="s">
        <v>1133</v>
      </c>
      <c r="M1951" s="169" t="s">
        <v>281</v>
      </c>
      <c r="N1951" s="178">
        <v>8267865</v>
      </c>
      <c r="O1951" s="169" t="s">
        <v>1134</v>
      </c>
      <c r="P1951" s="169" t="s">
        <v>283</v>
      </c>
      <c r="Q1951" s="169" t="s">
        <v>284</v>
      </c>
      <c r="R1951" s="169" t="s">
        <v>283</v>
      </c>
      <c r="S1951" s="169" t="s">
        <v>283</v>
      </c>
      <c r="T1951" s="169">
        <v>0</v>
      </c>
    </row>
    <row r="1952" spans="1:20" x14ac:dyDescent="0.2">
      <c r="A1952" s="169" t="str">
        <f t="shared" si="9"/>
        <v>622</v>
      </c>
      <c r="B1952" s="167" t="str">
        <f>_xlfn.XLOOKUP(I1952,Mapping!D:D,Mapping!E:E)</f>
        <v>Xưởng Sản Xuất</v>
      </c>
      <c r="C1952" s="167" t="str">
        <f>_xlfn.XLOOKUP(F1952,Mapping!A:A,Mapping!F:F)</f>
        <v>Phụ Cấp</v>
      </c>
      <c r="D1952" s="173">
        <v>45961</v>
      </c>
      <c r="E1952" s="169" t="s">
        <v>1130</v>
      </c>
      <c r="F1952" s="169" t="s">
        <v>421</v>
      </c>
      <c r="G1952" s="169" t="s">
        <v>341</v>
      </c>
      <c r="H1952" s="169" t="s">
        <v>441</v>
      </c>
      <c r="I1952" s="169" t="s">
        <v>442</v>
      </c>
      <c r="J1952" s="169" t="s">
        <v>1131</v>
      </c>
      <c r="K1952" s="169" t="s">
        <v>1132</v>
      </c>
      <c r="L1952" s="169" t="s">
        <v>1133</v>
      </c>
      <c r="M1952" s="169" t="s">
        <v>281</v>
      </c>
      <c r="N1952" s="178">
        <v>787015</v>
      </c>
      <c r="O1952" s="169" t="s">
        <v>1134</v>
      </c>
      <c r="P1952" s="169" t="s">
        <v>283</v>
      </c>
      <c r="Q1952" s="169" t="s">
        <v>284</v>
      </c>
      <c r="R1952" s="169" t="s">
        <v>283</v>
      </c>
      <c r="S1952" s="169" t="s">
        <v>283</v>
      </c>
      <c r="T1952" s="169">
        <v>0</v>
      </c>
    </row>
    <row r="1953" spans="1:20" x14ac:dyDescent="0.2">
      <c r="A1953" s="169" t="str">
        <f t="shared" si="9"/>
        <v>622</v>
      </c>
      <c r="B1953" s="167" t="str">
        <f>_xlfn.XLOOKUP(I1953,Mapping!D:D,Mapping!E:E)</f>
        <v>Xưởng Sản Xuất</v>
      </c>
      <c r="C1953" s="167" t="str">
        <f>_xlfn.XLOOKUP(F1953,Mapping!A:A,Mapping!F:F)</f>
        <v>Lương Ngoài giờ</v>
      </c>
      <c r="D1953" s="173">
        <v>45961</v>
      </c>
      <c r="E1953" s="169" t="s">
        <v>1130</v>
      </c>
      <c r="F1953" s="169" t="s">
        <v>422</v>
      </c>
      <c r="G1953" s="169" t="s">
        <v>423</v>
      </c>
      <c r="H1953" s="169" t="s">
        <v>441</v>
      </c>
      <c r="I1953" s="169" t="s">
        <v>442</v>
      </c>
      <c r="J1953" s="169" t="s">
        <v>1131</v>
      </c>
      <c r="K1953" s="169" t="s">
        <v>1132</v>
      </c>
      <c r="L1953" s="169" t="s">
        <v>1133</v>
      </c>
      <c r="M1953" s="169" t="s">
        <v>281</v>
      </c>
      <c r="N1953" s="178">
        <v>1288436</v>
      </c>
      <c r="O1953" s="169" t="s">
        <v>1134</v>
      </c>
      <c r="P1953" s="169" t="s">
        <v>283</v>
      </c>
      <c r="Q1953" s="169" t="s">
        <v>284</v>
      </c>
      <c r="R1953" s="169" t="s">
        <v>283</v>
      </c>
      <c r="S1953" s="169" t="s">
        <v>283</v>
      </c>
      <c r="T1953" s="169">
        <v>0</v>
      </c>
    </row>
    <row r="1954" spans="1:20" x14ac:dyDescent="0.2">
      <c r="A1954" s="169" t="str">
        <f t="shared" si="9"/>
        <v>622</v>
      </c>
      <c r="B1954" s="167" t="str">
        <f>_xlfn.XLOOKUP(I1954,Mapping!D:D,Mapping!E:E)</f>
        <v>Xưởng Sản Xuất</v>
      </c>
      <c r="C1954" s="167" t="str">
        <f>_xlfn.XLOOKUP(F1954,Mapping!A:A,Mapping!F:F)</f>
        <v>Phụ Cấp</v>
      </c>
      <c r="D1954" s="173">
        <v>45961</v>
      </c>
      <c r="E1954" s="169" t="s">
        <v>1130</v>
      </c>
      <c r="F1954" s="169" t="s">
        <v>414</v>
      </c>
      <c r="G1954" s="169" t="s">
        <v>415</v>
      </c>
      <c r="H1954" s="169" t="s">
        <v>441</v>
      </c>
      <c r="I1954" s="169" t="s">
        <v>442</v>
      </c>
      <c r="J1954" s="169" t="s">
        <v>1131</v>
      </c>
      <c r="K1954" s="169" t="s">
        <v>1132</v>
      </c>
      <c r="L1954" s="169" t="s">
        <v>1133</v>
      </c>
      <c r="M1954" s="169" t="s">
        <v>281</v>
      </c>
      <c r="N1954" s="178">
        <v>120000</v>
      </c>
      <c r="O1954" s="169" t="s">
        <v>1134</v>
      </c>
      <c r="P1954" s="169" t="s">
        <v>283</v>
      </c>
      <c r="Q1954" s="169" t="s">
        <v>284</v>
      </c>
      <c r="R1954" s="169" t="s">
        <v>283</v>
      </c>
      <c r="S1954" s="169" t="s">
        <v>283</v>
      </c>
      <c r="T1954" s="169">
        <v>0</v>
      </c>
    </row>
    <row r="1955" spans="1:20" x14ac:dyDescent="0.2">
      <c r="A1955" s="169" t="str">
        <f t="shared" si="9"/>
        <v>627</v>
      </c>
      <c r="B1955" s="167" t="str">
        <f>_xlfn.XLOOKUP(I1955,Mapping!D:D,Mapping!E:E)</f>
        <v>Xưởng Sản Xuất</v>
      </c>
      <c r="C1955" s="167" t="str">
        <f>_xlfn.XLOOKUP(F1955,Mapping!A:A,Mapping!F:F)</f>
        <v>Lương Chính +T13</v>
      </c>
      <c r="D1955" s="173">
        <v>45961</v>
      </c>
      <c r="E1955" s="169" t="s">
        <v>1135</v>
      </c>
      <c r="F1955" s="169" t="s">
        <v>388</v>
      </c>
      <c r="G1955" s="169" t="s">
        <v>286</v>
      </c>
      <c r="H1955" s="169" t="s">
        <v>436</v>
      </c>
      <c r="I1955" s="169" t="s">
        <v>437</v>
      </c>
      <c r="J1955" s="169" t="s">
        <v>1136</v>
      </c>
      <c r="K1955" s="169" t="s">
        <v>1132</v>
      </c>
      <c r="L1955" s="169" t="s">
        <v>1133</v>
      </c>
      <c r="M1955" s="169" t="s">
        <v>281</v>
      </c>
      <c r="N1955" s="178">
        <v>26903881</v>
      </c>
      <c r="O1955" s="169" t="s">
        <v>1137</v>
      </c>
      <c r="P1955" s="169" t="s">
        <v>283</v>
      </c>
      <c r="Q1955" s="169" t="s">
        <v>284</v>
      </c>
      <c r="R1955" s="169" t="s">
        <v>283</v>
      </c>
      <c r="S1955" s="169" t="s">
        <v>283</v>
      </c>
      <c r="T1955" s="169">
        <v>0</v>
      </c>
    </row>
    <row r="1956" spans="1:20" x14ac:dyDescent="0.2">
      <c r="A1956" s="169" t="str">
        <f t="shared" si="9"/>
        <v>627</v>
      </c>
      <c r="B1956" s="167" t="str">
        <f>_xlfn.XLOOKUP(I1956,Mapping!D:D,Mapping!E:E)</f>
        <v>Xưởng Sản Xuất</v>
      </c>
      <c r="C1956" s="167" t="str">
        <f>_xlfn.XLOOKUP(F1956,Mapping!A:A,Mapping!F:F)</f>
        <v>Thưởng</v>
      </c>
      <c r="D1956" s="173">
        <v>45961</v>
      </c>
      <c r="E1956" s="169" t="s">
        <v>1135</v>
      </c>
      <c r="F1956" s="169" t="s">
        <v>395</v>
      </c>
      <c r="G1956" s="169" t="s">
        <v>77</v>
      </c>
      <c r="H1956" s="169" t="s">
        <v>436</v>
      </c>
      <c r="I1956" s="169" t="s">
        <v>437</v>
      </c>
      <c r="J1956" s="169" t="s">
        <v>1138</v>
      </c>
      <c r="K1956" s="169" t="s">
        <v>1132</v>
      </c>
      <c r="L1956" s="169" t="s">
        <v>1133</v>
      </c>
      <c r="M1956" s="169" t="s">
        <v>281</v>
      </c>
      <c r="N1956" s="178">
        <v>17988833</v>
      </c>
      <c r="O1956" s="169" t="s">
        <v>1137</v>
      </c>
      <c r="P1956" s="169" t="s">
        <v>283</v>
      </c>
      <c r="Q1956" s="169" t="s">
        <v>284</v>
      </c>
      <c r="R1956" s="169" t="s">
        <v>283</v>
      </c>
      <c r="S1956" s="169" t="s">
        <v>283</v>
      </c>
      <c r="T1956" s="169">
        <v>0</v>
      </c>
    </row>
    <row r="1957" spans="1:20" x14ac:dyDescent="0.2">
      <c r="A1957" s="169" t="str">
        <f t="shared" si="9"/>
        <v>622</v>
      </c>
      <c r="B1957" s="167" t="str">
        <f>_xlfn.XLOOKUP(I1957,Mapping!D:D,Mapping!E:E)</f>
        <v>Xưởng Sản Xuất</v>
      </c>
      <c r="C1957" s="167" t="str">
        <f>_xlfn.XLOOKUP(F1957,Mapping!A:A,Mapping!F:F)</f>
        <v>Lương Chính +T13</v>
      </c>
      <c r="D1957" s="173">
        <v>45961</v>
      </c>
      <c r="E1957" s="169" t="s">
        <v>1135</v>
      </c>
      <c r="F1957" s="169" t="s">
        <v>420</v>
      </c>
      <c r="G1957" s="169" t="s">
        <v>286</v>
      </c>
      <c r="H1957" s="169" t="s">
        <v>441</v>
      </c>
      <c r="I1957" s="169" t="s">
        <v>442</v>
      </c>
      <c r="J1957" s="169" t="s">
        <v>1136</v>
      </c>
      <c r="K1957" s="169" t="s">
        <v>1132</v>
      </c>
      <c r="L1957" s="169" t="s">
        <v>1133</v>
      </c>
      <c r="M1957" s="169" t="s">
        <v>281</v>
      </c>
      <c r="N1957" s="178">
        <v>531385</v>
      </c>
      <c r="O1957" s="169" t="s">
        <v>1137</v>
      </c>
      <c r="P1957" s="169" t="s">
        <v>283</v>
      </c>
      <c r="Q1957" s="169" t="s">
        <v>284</v>
      </c>
      <c r="R1957" s="169" t="s">
        <v>283</v>
      </c>
      <c r="S1957" s="169" t="s">
        <v>283</v>
      </c>
      <c r="T1957" s="169">
        <v>0</v>
      </c>
    </row>
    <row r="1958" spans="1:20" x14ac:dyDescent="0.2">
      <c r="A1958" s="169" t="str">
        <f t="shared" si="9"/>
        <v>622</v>
      </c>
      <c r="B1958" s="167" t="str">
        <f>_xlfn.XLOOKUP(I1958,Mapping!D:D,Mapping!E:E)</f>
        <v>Xưởng Sản Xuất</v>
      </c>
      <c r="C1958" s="167" t="str">
        <f>_xlfn.XLOOKUP(F1958,Mapping!A:A,Mapping!F:F)</f>
        <v>Thưởng</v>
      </c>
      <c r="D1958" s="173">
        <v>45961</v>
      </c>
      <c r="E1958" s="169" t="s">
        <v>1135</v>
      </c>
      <c r="F1958" s="169" t="s">
        <v>426</v>
      </c>
      <c r="G1958" s="169" t="s">
        <v>77</v>
      </c>
      <c r="H1958" s="169" t="s">
        <v>441</v>
      </c>
      <c r="I1958" s="169" t="s">
        <v>442</v>
      </c>
      <c r="J1958" s="169" t="s">
        <v>1138</v>
      </c>
      <c r="K1958" s="169" t="s">
        <v>1132</v>
      </c>
      <c r="L1958" s="169" t="s">
        <v>1133</v>
      </c>
      <c r="M1958" s="169" t="s">
        <v>281</v>
      </c>
      <c r="N1958" s="178">
        <v>78876</v>
      </c>
      <c r="O1958" s="169" t="s">
        <v>1137</v>
      </c>
      <c r="P1958" s="169" t="s">
        <v>283</v>
      </c>
      <c r="Q1958" s="169" t="s">
        <v>284</v>
      </c>
      <c r="R1958" s="169" t="s">
        <v>283</v>
      </c>
      <c r="S1958" s="169" t="s">
        <v>283</v>
      </c>
      <c r="T1958" s="169">
        <v>0</v>
      </c>
    </row>
    <row r="1959" spans="1:20" x14ac:dyDescent="0.2">
      <c r="A1959" s="169" t="str">
        <f t="shared" si="9"/>
        <v>627</v>
      </c>
      <c r="B1959" s="167" t="str">
        <f>_xlfn.XLOOKUP(I1959,Mapping!D:D,Mapping!E:E)</f>
        <v>Xưởng Sản Xuất</v>
      </c>
      <c r="C1959" s="167" t="str">
        <f>_xlfn.XLOOKUP(F1959,Mapping!A:A,Mapping!F:F)</f>
        <v>BHXH, BHYT, KPCĐ</v>
      </c>
      <c r="D1959" s="173">
        <v>45961</v>
      </c>
      <c r="E1959" s="169" t="s">
        <v>1139</v>
      </c>
      <c r="F1959" s="169" t="s">
        <v>393</v>
      </c>
      <c r="G1959" s="169" t="s">
        <v>296</v>
      </c>
      <c r="H1959" s="169" t="s">
        <v>436</v>
      </c>
      <c r="I1959" s="169" t="s">
        <v>437</v>
      </c>
      <c r="J1959" s="169" t="s">
        <v>1140</v>
      </c>
      <c r="K1959" s="169" t="s">
        <v>1132</v>
      </c>
      <c r="L1959" s="169" t="s">
        <v>1133</v>
      </c>
      <c r="M1959" s="169" t="s">
        <v>281</v>
      </c>
      <c r="N1959" s="178">
        <v>65126170</v>
      </c>
      <c r="O1959" s="169" t="s">
        <v>1141</v>
      </c>
      <c r="P1959" s="169" t="s">
        <v>283</v>
      </c>
      <c r="Q1959" s="169" t="s">
        <v>284</v>
      </c>
      <c r="R1959" s="169" t="s">
        <v>283</v>
      </c>
      <c r="S1959" s="169" t="s">
        <v>283</v>
      </c>
      <c r="T1959" s="169">
        <v>0</v>
      </c>
    </row>
    <row r="1960" spans="1:20" x14ac:dyDescent="0.2">
      <c r="A1960" s="169" t="str">
        <f t="shared" si="9"/>
        <v>622</v>
      </c>
      <c r="B1960" s="167" t="str">
        <f>_xlfn.XLOOKUP(I1960,Mapping!D:D,Mapping!E:E)</f>
        <v>Xưởng Sản Xuất</v>
      </c>
      <c r="C1960" s="167" t="str">
        <f>_xlfn.XLOOKUP(F1960,Mapping!A:A,Mapping!F:F)</f>
        <v>BHXH, BHYT, KPCĐ</v>
      </c>
      <c r="D1960" s="173">
        <v>45961</v>
      </c>
      <c r="E1960" s="169" t="s">
        <v>1139</v>
      </c>
      <c r="F1960" s="169" t="s">
        <v>425</v>
      </c>
      <c r="G1960" s="169" t="s">
        <v>296</v>
      </c>
      <c r="H1960" s="169" t="s">
        <v>441</v>
      </c>
      <c r="I1960" s="169" t="s">
        <v>442</v>
      </c>
      <c r="J1960" s="169" t="s">
        <v>1140</v>
      </c>
      <c r="K1960" s="169" t="s">
        <v>1132</v>
      </c>
      <c r="L1960" s="169" t="s">
        <v>1133</v>
      </c>
      <c r="M1960" s="169" t="s">
        <v>281</v>
      </c>
      <c r="N1960" s="178">
        <v>1308480</v>
      </c>
      <c r="O1960" s="169" t="s">
        <v>1141</v>
      </c>
      <c r="P1960" s="169" t="s">
        <v>283</v>
      </c>
      <c r="Q1960" s="169" t="s">
        <v>284</v>
      </c>
      <c r="R1960" s="169" t="s">
        <v>283</v>
      </c>
      <c r="S1960" s="169" t="s">
        <v>283</v>
      </c>
      <c r="T1960" s="169">
        <v>0</v>
      </c>
    </row>
    <row r="1961" spans="1:20" x14ac:dyDescent="0.2">
      <c r="A1961" s="169" t="str">
        <f t="shared" si="9"/>
        <v>627</v>
      </c>
      <c r="B1961" s="167" t="str">
        <f>_xlfn.XLOOKUP(I1961,Mapping!D:D,Mapping!E:E)</f>
        <v>Xưởng Sản Xuất</v>
      </c>
      <c r="C1961" s="167" t="str">
        <f>_xlfn.XLOOKUP(F1961,Mapping!A:A,Mapping!F:F)</f>
        <v>BHXH, BHYT, KPCĐ</v>
      </c>
      <c r="D1961" s="173">
        <v>45961</v>
      </c>
      <c r="E1961" s="169" t="s">
        <v>1194</v>
      </c>
      <c r="F1961" s="169" t="s">
        <v>393</v>
      </c>
      <c r="G1961" s="169" t="s">
        <v>296</v>
      </c>
      <c r="H1961" s="169" t="s">
        <v>436</v>
      </c>
      <c r="I1961" s="169" t="s">
        <v>437</v>
      </c>
      <c r="J1961" s="169" t="s">
        <v>1140</v>
      </c>
      <c r="K1961" s="169" t="s">
        <v>1132</v>
      </c>
      <c r="L1961" s="169" t="s">
        <v>1133</v>
      </c>
      <c r="M1961" s="169" t="s">
        <v>281</v>
      </c>
      <c r="N1961" s="178">
        <v>1198500</v>
      </c>
      <c r="O1961" s="169" t="s">
        <v>1195</v>
      </c>
      <c r="P1961" s="169" t="s">
        <v>283</v>
      </c>
      <c r="Q1961" s="169" t="s">
        <v>284</v>
      </c>
      <c r="R1961" s="169" t="s">
        <v>283</v>
      </c>
      <c r="S1961" s="169" t="s">
        <v>283</v>
      </c>
      <c r="T1961" s="169">
        <v>0</v>
      </c>
    </row>
    <row r="1962" spans="1:20" x14ac:dyDescent="0.2">
      <c r="A1962" s="169" t="str">
        <f t="shared" si="9"/>
        <v>627</v>
      </c>
      <c r="B1962" s="167" t="str">
        <f>_xlfn.XLOOKUP(I1962,Mapping!D:D,Mapping!E:E)</f>
        <v>Xưởng Sản Xuất</v>
      </c>
      <c r="C1962" s="167" t="str">
        <f>_xlfn.XLOOKUP(F1962,Mapping!A:A,Mapping!F:F)</f>
        <v>Lương Chính +T13</v>
      </c>
      <c r="D1962" s="173">
        <v>45958</v>
      </c>
      <c r="E1962" s="169" t="s">
        <v>1145</v>
      </c>
      <c r="F1962" s="169" t="s">
        <v>387</v>
      </c>
      <c r="G1962" s="169" t="s">
        <v>275</v>
      </c>
      <c r="H1962" s="169" t="s">
        <v>436</v>
      </c>
      <c r="I1962" s="169" t="s">
        <v>437</v>
      </c>
      <c r="J1962" s="169" t="s">
        <v>1146</v>
      </c>
      <c r="K1962" s="169" t="s">
        <v>405</v>
      </c>
      <c r="L1962" s="169" t="s">
        <v>1133</v>
      </c>
      <c r="M1962" s="169" t="s">
        <v>281</v>
      </c>
      <c r="N1962" s="178">
        <v>363559</v>
      </c>
      <c r="O1962" s="169" t="s">
        <v>1147</v>
      </c>
      <c r="P1962" s="169" t="s">
        <v>283</v>
      </c>
      <c r="Q1962" s="169" t="s">
        <v>306</v>
      </c>
      <c r="R1962" s="169" t="s">
        <v>283</v>
      </c>
      <c r="S1962" s="169" t="s">
        <v>283</v>
      </c>
      <c r="T1962" s="169">
        <v>0</v>
      </c>
    </row>
    <row r="1963" spans="1:20" x14ac:dyDescent="0.2">
      <c r="A1963" s="169" t="str">
        <f t="shared" si="9"/>
        <v>627</v>
      </c>
      <c r="B1963" s="167" t="str">
        <f>_xlfn.XLOOKUP(I1963,Mapping!D:D,Mapping!E:E)</f>
        <v>Xưởng Sản Xuất</v>
      </c>
      <c r="C1963" s="167" t="str">
        <f>_xlfn.XLOOKUP(F1963,Mapping!A:A,Mapping!F:F)</f>
        <v>Phụ Cấp</v>
      </c>
      <c r="D1963" s="173">
        <v>45958</v>
      </c>
      <c r="E1963" s="169" t="s">
        <v>1142</v>
      </c>
      <c r="F1963" s="169" t="s">
        <v>375</v>
      </c>
      <c r="G1963" s="169" t="s">
        <v>336</v>
      </c>
      <c r="H1963" s="169" t="s">
        <v>441</v>
      </c>
      <c r="I1963" s="169" t="s">
        <v>442</v>
      </c>
      <c r="J1963" s="169" t="s">
        <v>1143</v>
      </c>
      <c r="K1963" s="169" t="s">
        <v>992</v>
      </c>
      <c r="L1963" s="169" t="s">
        <v>1133</v>
      </c>
      <c r="M1963" s="169" t="s">
        <v>281</v>
      </c>
      <c r="N1963" s="178">
        <v>525000</v>
      </c>
      <c r="O1963" s="169" t="s">
        <v>1144</v>
      </c>
      <c r="P1963" s="169" t="s">
        <v>283</v>
      </c>
      <c r="Q1963" s="169" t="s">
        <v>306</v>
      </c>
      <c r="R1963" s="169" t="s">
        <v>283</v>
      </c>
      <c r="S1963" s="169" t="s">
        <v>283</v>
      </c>
      <c r="T1963" s="169">
        <v>0</v>
      </c>
    </row>
    <row r="1964" spans="1:20" x14ac:dyDescent="0.2">
      <c r="A1964" s="169" t="str">
        <f t="shared" si="9"/>
        <v>627</v>
      </c>
      <c r="B1964" s="167" t="str">
        <f>_xlfn.XLOOKUP(I1964,Mapping!D:D,Mapping!E:E)</f>
        <v>Xưởng Sản Xuất</v>
      </c>
      <c r="C1964" s="167" t="str">
        <f>_xlfn.XLOOKUP(F1964,Mapping!A:A,Mapping!F:F)</f>
        <v>Phụ Cấp</v>
      </c>
      <c r="D1964" s="173">
        <v>45958</v>
      </c>
      <c r="E1964" s="169" t="s">
        <v>1142</v>
      </c>
      <c r="F1964" s="169" t="s">
        <v>375</v>
      </c>
      <c r="G1964" s="169" t="s">
        <v>336</v>
      </c>
      <c r="H1964" s="169" t="s">
        <v>436</v>
      </c>
      <c r="I1964" s="169" t="s">
        <v>437</v>
      </c>
      <c r="J1964" s="169" t="s">
        <v>1143</v>
      </c>
      <c r="K1964" s="169" t="s">
        <v>992</v>
      </c>
      <c r="L1964" s="169" t="s">
        <v>1133</v>
      </c>
      <c r="M1964" s="169" t="s">
        <v>281</v>
      </c>
      <c r="N1964" s="178">
        <v>27475000</v>
      </c>
      <c r="O1964" s="169" t="s">
        <v>1144</v>
      </c>
      <c r="P1964" s="169" t="s">
        <v>283</v>
      </c>
      <c r="Q1964" s="169" t="s">
        <v>306</v>
      </c>
      <c r="R1964" s="169" t="s">
        <v>283</v>
      </c>
      <c r="S1964" s="169" t="s">
        <v>283</v>
      </c>
      <c r="T1964" s="169">
        <v>0</v>
      </c>
    </row>
    <row r="1965" spans="1:20" x14ac:dyDescent="0.2">
      <c r="A1965" s="169" t="str">
        <f t="shared" si="9"/>
        <v>627</v>
      </c>
      <c r="B1965" s="167" t="str">
        <f>_xlfn.XLOOKUP(I1965,Mapping!D:D,Mapping!E:E)</f>
        <v>Xưởng Sản Xuất</v>
      </c>
      <c r="C1965" s="167" t="str">
        <f>_xlfn.XLOOKUP(F1965,Mapping!A:A,Mapping!F:F)</f>
        <v>Phụ Cấp</v>
      </c>
      <c r="D1965" s="173">
        <v>45961</v>
      </c>
      <c r="E1965" s="169" t="s">
        <v>1151</v>
      </c>
      <c r="F1965" s="169" t="s">
        <v>375</v>
      </c>
      <c r="G1965" s="169" t="s">
        <v>336</v>
      </c>
      <c r="H1965" s="169" t="s">
        <v>436</v>
      </c>
      <c r="I1965" s="169" t="s">
        <v>437</v>
      </c>
      <c r="J1965" s="169" t="s">
        <v>1210</v>
      </c>
      <c r="K1965" s="169" t="s">
        <v>1153</v>
      </c>
      <c r="L1965" s="169" t="s">
        <v>1133</v>
      </c>
      <c r="M1965" s="169" t="s">
        <v>281</v>
      </c>
      <c r="N1965" s="178">
        <v>5096000</v>
      </c>
      <c r="O1965" s="169" t="s">
        <v>1154</v>
      </c>
      <c r="P1965" s="169" t="s">
        <v>283</v>
      </c>
      <c r="Q1965" s="169" t="s">
        <v>306</v>
      </c>
      <c r="R1965" s="169" t="s">
        <v>283</v>
      </c>
      <c r="S1965" s="169" t="s">
        <v>283</v>
      </c>
      <c r="T1965" s="169">
        <v>0</v>
      </c>
    </row>
    <row r="1966" spans="1:20" x14ac:dyDescent="0.2">
      <c r="A1966" s="169" t="str">
        <f t="shared" si="9"/>
        <v>622</v>
      </c>
      <c r="B1966" s="167" t="str">
        <f>_xlfn.XLOOKUP(I1966,Mapping!D:D,Mapping!E:E)</f>
        <v>Xưởng Sản Xuất</v>
      </c>
      <c r="C1966" s="167" t="str">
        <f>_xlfn.XLOOKUP(F1966,Mapping!A:A,Mapping!F:F)</f>
        <v>Phụ Cấp</v>
      </c>
      <c r="D1966" s="173">
        <v>45960</v>
      </c>
      <c r="E1966" s="169" t="s">
        <v>1204</v>
      </c>
      <c r="F1966" s="169" t="s">
        <v>414</v>
      </c>
      <c r="G1966" s="169" t="s">
        <v>415</v>
      </c>
      <c r="H1966" s="169" t="s">
        <v>441</v>
      </c>
      <c r="I1966" s="169" t="s">
        <v>442</v>
      </c>
      <c r="J1966" s="169" t="s">
        <v>416</v>
      </c>
      <c r="K1966" s="169" t="s">
        <v>416</v>
      </c>
      <c r="L1966" s="169" t="s">
        <v>1133</v>
      </c>
      <c r="M1966" s="169" t="s">
        <v>281</v>
      </c>
      <c r="N1966" s="178">
        <v>500000</v>
      </c>
      <c r="O1966" s="169" t="s">
        <v>1205</v>
      </c>
      <c r="P1966" s="169" t="s">
        <v>283</v>
      </c>
      <c r="Q1966" s="169" t="s">
        <v>348</v>
      </c>
      <c r="R1966" s="169" t="s">
        <v>283</v>
      </c>
      <c r="S1966" s="169" t="s">
        <v>283</v>
      </c>
      <c r="T1966" s="169">
        <v>0</v>
      </c>
    </row>
    <row r="1967" spans="1:20" x14ac:dyDescent="0.2">
      <c r="A1967" s="169" t="str">
        <f t="shared" si="9"/>
        <v>627</v>
      </c>
      <c r="B1967" s="167" t="str">
        <f>_xlfn.XLOOKUP(I1967,Mapping!D:D,Mapping!E:E)</f>
        <v>Xưởng Sản Xuất</v>
      </c>
      <c r="C1967" s="167" t="str">
        <f>_xlfn.XLOOKUP(F1967,Mapping!A:A,Mapping!F:F)</f>
        <v>Phụ Cấp</v>
      </c>
      <c r="D1967" s="173">
        <v>45960</v>
      </c>
      <c r="E1967" s="169" t="s">
        <v>1204</v>
      </c>
      <c r="F1967" s="169" t="s">
        <v>375</v>
      </c>
      <c r="G1967" s="169" t="s">
        <v>336</v>
      </c>
      <c r="H1967" s="169" t="s">
        <v>441</v>
      </c>
      <c r="I1967" s="169" t="s">
        <v>442</v>
      </c>
      <c r="J1967" s="169" t="s">
        <v>416</v>
      </c>
      <c r="K1967" s="169" t="s">
        <v>416</v>
      </c>
      <c r="L1967" s="169" t="s">
        <v>1133</v>
      </c>
      <c r="M1967" s="169" t="s">
        <v>281</v>
      </c>
      <c r="N1967" s="178">
        <v>-500000</v>
      </c>
      <c r="O1967" s="169" t="s">
        <v>1205</v>
      </c>
      <c r="P1967" s="169" t="s">
        <v>283</v>
      </c>
      <c r="Q1967" s="169" t="s">
        <v>348</v>
      </c>
      <c r="R1967" s="169" t="s">
        <v>283</v>
      </c>
      <c r="S1967" s="169" t="s">
        <v>283</v>
      </c>
      <c r="T1967" s="169">
        <v>0</v>
      </c>
    </row>
    <row r="1968" spans="1:20" x14ac:dyDescent="0.2">
      <c r="A1968" s="169" t="str">
        <f t="shared" ref="A1968:A2031" si="10">LEFT(F1968,3)</f>
        <v>641</v>
      </c>
      <c r="B1968" s="167" t="str">
        <f>_xlfn.XLOOKUP(I1968,Mapping!D:D,Mapping!E:E)</f>
        <v>Kinh doanh</v>
      </c>
      <c r="C1968" s="167" t="str">
        <f>_xlfn.XLOOKUP(F1968,Mapping!A:A,Mapping!F:F)</f>
        <v>Lương Chính +T13</v>
      </c>
      <c r="D1968" s="173">
        <v>45965</v>
      </c>
      <c r="E1968" s="169" t="s">
        <v>1211</v>
      </c>
      <c r="F1968" s="169" t="s">
        <v>383</v>
      </c>
      <c r="G1968" s="169" t="s">
        <v>275</v>
      </c>
      <c r="H1968" s="169" t="s">
        <v>366</v>
      </c>
      <c r="I1968" s="169" t="s">
        <v>1</v>
      </c>
      <c r="J1968" s="169" t="s">
        <v>1212</v>
      </c>
      <c r="K1968" s="169" t="s">
        <v>1070</v>
      </c>
      <c r="L1968" s="169" t="s">
        <v>1213</v>
      </c>
      <c r="M1968" s="169" t="s">
        <v>281</v>
      </c>
      <c r="N1968" s="178">
        <v>105388000</v>
      </c>
      <c r="O1968" s="169" t="s">
        <v>1214</v>
      </c>
      <c r="P1968" s="169" t="s">
        <v>283</v>
      </c>
      <c r="Q1968" s="169" t="s">
        <v>973</v>
      </c>
      <c r="R1968" s="169" t="s">
        <v>283</v>
      </c>
      <c r="S1968" s="169" t="s">
        <v>283</v>
      </c>
      <c r="T1968" s="169">
        <v>0</v>
      </c>
    </row>
    <row r="1969" spans="1:20" x14ac:dyDescent="0.2">
      <c r="A1969" s="169" t="str">
        <f t="shared" si="10"/>
        <v>641</v>
      </c>
      <c r="B1969" s="167" t="str">
        <f>_xlfn.XLOOKUP(I1969,Mapping!D:D,Mapping!E:E)</f>
        <v>Kinh doanh</v>
      </c>
      <c r="C1969" s="167" t="str">
        <f>_xlfn.XLOOKUP(F1969,Mapping!A:A,Mapping!F:F)</f>
        <v>Phụ Cấp</v>
      </c>
      <c r="D1969" s="173">
        <v>45962</v>
      </c>
      <c r="E1969" s="169" t="s">
        <v>1215</v>
      </c>
      <c r="F1969" s="169" t="s">
        <v>385</v>
      </c>
      <c r="G1969" s="169" t="s">
        <v>336</v>
      </c>
      <c r="H1969" s="169" t="s">
        <v>366</v>
      </c>
      <c r="I1969" s="169" t="s">
        <v>1</v>
      </c>
      <c r="J1969" s="169" t="s">
        <v>1216</v>
      </c>
      <c r="K1969" s="169" t="s">
        <v>581</v>
      </c>
      <c r="L1969" s="169" t="s">
        <v>1213</v>
      </c>
      <c r="M1969" s="169" t="s">
        <v>281</v>
      </c>
      <c r="N1969" s="178">
        <v>6412000</v>
      </c>
      <c r="O1969" s="169" t="s">
        <v>1217</v>
      </c>
      <c r="P1969" s="169" t="s">
        <v>283</v>
      </c>
      <c r="Q1969" s="169" t="s">
        <v>306</v>
      </c>
      <c r="R1969" s="169" t="s">
        <v>283</v>
      </c>
      <c r="S1969" s="169" t="s">
        <v>283</v>
      </c>
      <c r="T1969" s="169">
        <v>0</v>
      </c>
    </row>
    <row r="1970" spans="1:20" x14ac:dyDescent="0.2">
      <c r="A1970" s="169" t="str">
        <f t="shared" si="10"/>
        <v>627</v>
      </c>
      <c r="B1970" s="167" t="str">
        <f>_xlfn.XLOOKUP(I1970,Mapping!D:D,Mapping!E:E)</f>
        <v>Xưởng Sản Xuất</v>
      </c>
      <c r="C1970" s="167" t="str">
        <f>_xlfn.XLOOKUP(F1970,Mapping!A:A,Mapping!F:F)</f>
        <v>Khen thưởng BD khác</v>
      </c>
      <c r="D1970" s="173">
        <v>45988</v>
      </c>
      <c r="E1970" s="169" t="s">
        <v>1218</v>
      </c>
      <c r="F1970" s="169" t="s">
        <v>435</v>
      </c>
      <c r="G1970" s="169" t="s">
        <v>222</v>
      </c>
      <c r="H1970" s="169" t="s">
        <v>436</v>
      </c>
      <c r="I1970" s="169" t="s">
        <v>437</v>
      </c>
      <c r="J1970" s="169" t="s">
        <v>1219</v>
      </c>
      <c r="K1970" s="169" t="s">
        <v>1052</v>
      </c>
      <c r="L1970" s="169" t="s">
        <v>1213</v>
      </c>
      <c r="M1970" s="169" t="s">
        <v>281</v>
      </c>
      <c r="N1970" s="178">
        <v>5000000</v>
      </c>
      <c r="O1970" s="169" t="s">
        <v>1220</v>
      </c>
      <c r="P1970" s="169" t="s">
        <v>283</v>
      </c>
      <c r="Q1970" s="169" t="s">
        <v>964</v>
      </c>
      <c r="R1970" s="169" t="s">
        <v>283</v>
      </c>
      <c r="S1970" s="169" t="s">
        <v>283</v>
      </c>
      <c r="T1970" s="169">
        <v>0</v>
      </c>
    </row>
    <row r="1971" spans="1:20" x14ac:dyDescent="0.2">
      <c r="A1971" s="169" t="str">
        <f t="shared" si="10"/>
        <v>641</v>
      </c>
      <c r="B1971" s="167" t="str">
        <f>_xlfn.XLOOKUP(I1971,Mapping!D:D,Mapping!E:E)</f>
        <v>Kinh doanh</v>
      </c>
      <c r="C1971" s="167" t="str">
        <f>_xlfn.XLOOKUP(F1971,Mapping!A:A,Mapping!F:F)</f>
        <v>Thưởng</v>
      </c>
      <c r="D1971" s="173">
        <v>45990</v>
      </c>
      <c r="E1971" s="169" t="s">
        <v>1221</v>
      </c>
      <c r="F1971" s="169" t="s">
        <v>365</v>
      </c>
      <c r="G1971" s="169" t="s">
        <v>291</v>
      </c>
      <c r="H1971" s="169" t="s">
        <v>366</v>
      </c>
      <c r="I1971" s="169" t="s">
        <v>1</v>
      </c>
      <c r="J1971" s="169" t="s">
        <v>1222</v>
      </c>
      <c r="K1971" s="169" t="s">
        <v>1223</v>
      </c>
      <c r="L1971" s="169" t="s">
        <v>1213</v>
      </c>
      <c r="M1971" s="169" t="s">
        <v>281</v>
      </c>
      <c r="N1971" s="178">
        <v>-3492428</v>
      </c>
      <c r="O1971" s="169" t="s">
        <v>1224</v>
      </c>
      <c r="P1971" s="169" t="s">
        <v>283</v>
      </c>
      <c r="Q1971" s="169" t="s">
        <v>370</v>
      </c>
      <c r="R1971" s="169" t="s">
        <v>283</v>
      </c>
      <c r="S1971" s="169" t="s">
        <v>283</v>
      </c>
      <c r="T1971" s="169">
        <v>0</v>
      </c>
    </row>
    <row r="1972" spans="1:20" x14ac:dyDescent="0.2">
      <c r="A1972" s="169" t="str">
        <f t="shared" si="10"/>
        <v>627</v>
      </c>
      <c r="B1972" s="167" t="str">
        <f>_xlfn.XLOOKUP(I1972,Mapping!D:D,Mapping!E:E)</f>
        <v>Xưởng Sản Xuất</v>
      </c>
      <c r="C1972" s="167" t="str">
        <f>_xlfn.XLOOKUP(F1972,Mapping!A:A,Mapping!F:F)</f>
        <v>Khen thưởng BD khác</v>
      </c>
      <c r="D1972" s="173">
        <v>45988</v>
      </c>
      <c r="E1972" s="169" t="s">
        <v>1225</v>
      </c>
      <c r="F1972" s="169" t="s">
        <v>435</v>
      </c>
      <c r="G1972" s="169" t="s">
        <v>222</v>
      </c>
      <c r="H1972" s="169" t="s">
        <v>436</v>
      </c>
      <c r="I1972" s="169" t="s">
        <v>437</v>
      </c>
      <c r="J1972" s="169" t="s">
        <v>1226</v>
      </c>
      <c r="K1972" s="169" t="s">
        <v>1052</v>
      </c>
      <c r="L1972" s="169" t="s">
        <v>1213</v>
      </c>
      <c r="M1972" s="169" t="s">
        <v>281</v>
      </c>
      <c r="N1972" s="178">
        <v>-5000000</v>
      </c>
      <c r="O1972" s="169" t="s">
        <v>1227</v>
      </c>
      <c r="P1972" s="169" t="s">
        <v>447</v>
      </c>
      <c r="Q1972" s="169" t="s">
        <v>284</v>
      </c>
      <c r="R1972" s="169" t="s">
        <v>283</v>
      </c>
      <c r="S1972" s="169" t="s">
        <v>283</v>
      </c>
      <c r="T1972" s="169">
        <v>0</v>
      </c>
    </row>
    <row r="1973" spans="1:20" x14ac:dyDescent="0.2">
      <c r="A1973" s="169" t="str">
        <f t="shared" si="10"/>
        <v>642</v>
      </c>
      <c r="B1973" s="167" t="str">
        <f>_xlfn.XLOOKUP(I1973,Mapping!D:D,Mapping!E:E)</f>
        <v>Hành Chánh Nhân Sự</v>
      </c>
      <c r="C1973" s="167" t="str">
        <f>_xlfn.XLOOKUP(F1973,Mapping!A:A,Mapping!F:F)</f>
        <v>Khen thưởng BD khác</v>
      </c>
      <c r="D1973" s="173">
        <v>45991</v>
      </c>
      <c r="E1973" s="169" t="s">
        <v>1228</v>
      </c>
      <c r="F1973" s="169" t="s">
        <v>300</v>
      </c>
      <c r="G1973" s="169" t="s">
        <v>222</v>
      </c>
      <c r="H1973" s="169" t="s">
        <v>358</v>
      </c>
      <c r="I1973" s="169" t="s">
        <v>359</v>
      </c>
      <c r="J1973" s="169" t="s">
        <v>1229</v>
      </c>
      <c r="K1973" s="169" t="s">
        <v>1230</v>
      </c>
      <c r="L1973" s="169" t="s">
        <v>1213</v>
      </c>
      <c r="M1973" s="169" t="s">
        <v>281</v>
      </c>
      <c r="N1973" s="178">
        <v>5000000</v>
      </c>
      <c r="O1973" s="169" t="s">
        <v>1231</v>
      </c>
      <c r="P1973" s="169" t="s">
        <v>283</v>
      </c>
      <c r="Q1973" s="169" t="s">
        <v>964</v>
      </c>
      <c r="R1973" s="169" t="s">
        <v>283</v>
      </c>
      <c r="S1973" s="169" t="s">
        <v>283</v>
      </c>
      <c r="T1973" s="169">
        <v>0</v>
      </c>
    </row>
    <row r="1974" spans="1:20" x14ac:dyDescent="0.2">
      <c r="A1974" s="169" t="str">
        <f t="shared" si="10"/>
        <v>642</v>
      </c>
      <c r="B1974" s="167" t="str">
        <f>_xlfn.XLOOKUP(I1974,Mapping!D:D,Mapping!E:E)</f>
        <v>Hành Chánh Nhân Sự</v>
      </c>
      <c r="C1974" s="167" t="str">
        <f>_xlfn.XLOOKUP(F1974,Mapping!A:A,Mapping!F:F)</f>
        <v>Khen thưởng BD khác</v>
      </c>
      <c r="D1974" s="173">
        <v>45991</v>
      </c>
      <c r="E1974" s="169" t="s">
        <v>1232</v>
      </c>
      <c r="F1974" s="169" t="s">
        <v>300</v>
      </c>
      <c r="G1974" s="169" t="s">
        <v>222</v>
      </c>
      <c r="H1974" s="169" t="s">
        <v>358</v>
      </c>
      <c r="I1974" s="169" t="s">
        <v>359</v>
      </c>
      <c r="J1974" s="169" t="s">
        <v>1233</v>
      </c>
      <c r="K1974" s="169" t="s">
        <v>1233</v>
      </c>
      <c r="L1974" s="169" t="s">
        <v>1213</v>
      </c>
      <c r="M1974" s="169" t="s">
        <v>281</v>
      </c>
      <c r="N1974" s="178">
        <v>1500000</v>
      </c>
      <c r="O1974" s="169" t="s">
        <v>1234</v>
      </c>
      <c r="P1974" s="169" t="s">
        <v>283</v>
      </c>
      <c r="Q1974" s="169" t="s">
        <v>964</v>
      </c>
      <c r="R1974" s="169" t="s">
        <v>283</v>
      </c>
      <c r="S1974" s="169" t="s">
        <v>283</v>
      </c>
      <c r="T1974" s="169">
        <v>0</v>
      </c>
    </row>
    <row r="1975" spans="1:20" x14ac:dyDescent="0.2">
      <c r="A1975" s="169" t="str">
        <f t="shared" si="10"/>
        <v>627</v>
      </c>
      <c r="B1975" s="167" t="str">
        <f>_xlfn.XLOOKUP(I1975,Mapping!D:D,Mapping!E:E)</f>
        <v>Xưởng Sản Xuất</v>
      </c>
      <c r="C1975" s="167" t="str">
        <f>_xlfn.XLOOKUP(F1975,Mapping!A:A,Mapping!F:F)</f>
        <v>Phụ Cấp</v>
      </c>
      <c r="D1975" s="173">
        <v>45989</v>
      </c>
      <c r="E1975" s="169" t="s">
        <v>1235</v>
      </c>
      <c r="F1975" s="169" t="s">
        <v>375</v>
      </c>
      <c r="G1975" s="169" t="s">
        <v>336</v>
      </c>
      <c r="H1975" s="169" t="s">
        <v>402</v>
      </c>
      <c r="I1975" s="169" t="s">
        <v>403</v>
      </c>
      <c r="J1975" s="169" t="s">
        <v>1236</v>
      </c>
      <c r="K1975" s="169" t="s">
        <v>992</v>
      </c>
      <c r="L1975" s="169" t="s">
        <v>1213</v>
      </c>
      <c r="M1975" s="169" t="s">
        <v>281</v>
      </c>
      <c r="N1975" s="178">
        <v>130175000</v>
      </c>
      <c r="O1975" s="169" t="s">
        <v>1237</v>
      </c>
      <c r="P1975" s="169" t="s">
        <v>283</v>
      </c>
      <c r="Q1975" s="169" t="s">
        <v>306</v>
      </c>
      <c r="R1975" s="169" t="s">
        <v>283</v>
      </c>
      <c r="S1975" s="169" t="s">
        <v>283</v>
      </c>
      <c r="T1975" s="169">
        <v>0</v>
      </c>
    </row>
    <row r="1976" spans="1:20" x14ac:dyDescent="0.2">
      <c r="A1976" s="169" t="str">
        <f t="shared" si="10"/>
        <v>642</v>
      </c>
      <c r="B1976" s="167" t="str">
        <f>_xlfn.XLOOKUP(I1976,Mapping!D:D,Mapping!E:E)</f>
        <v>Hành Chánh Nhân Sự</v>
      </c>
      <c r="C1976" s="167" t="str">
        <f>_xlfn.XLOOKUP(F1976,Mapping!A:A,Mapping!F:F)</f>
        <v>Phụ Cấp</v>
      </c>
      <c r="D1976" s="173">
        <v>45989</v>
      </c>
      <c r="E1976" s="169" t="s">
        <v>1235</v>
      </c>
      <c r="F1976" s="169" t="s">
        <v>335</v>
      </c>
      <c r="G1976" s="169" t="s">
        <v>336</v>
      </c>
      <c r="H1976" s="169" t="s">
        <v>301</v>
      </c>
      <c r="I1976" s="169" t="s">
        <v>302</v>
      </c>
      <c r="J1976" s="169" t="s">
        <v>1236</v>
      </c>
      <c r="K1976" s="169" t="s">
        <v>992</v>
      </c>
      <c r="L1976" s="169" t="s">
        <v>1213</v>
      </c>
      <c r="M1976" s="169" t="s">
        <v>281</v>
      </c>
      <c r="N1976" s="178">
        <v>25900000</v>
      </c>
      <c r="O1976" s="169" t="s">
        <v>1237</v>
      </c>
      <c r="P1976" s="169" t="s">
        <v>283</v>
      </c>
      <c r="Q1976" s="169" t="s">
        <v>306</v>
      </c>
      <c r="R1976" s="169" t="s">
        <v>283</v>
      </c>
      <c r="S1976" s="169" t="s">
        <v>283</v>
      </c>
      <c r="T1976" s="169">
        <v>0</v>
      </c>
    </row>
    <row r="1977" spans="1:20" x14ac:dyDescent="0.2">
      <c r="A1977" s="169" t="str">
        <f t="shared" si="10"/>
        <v>642</v>
      </c>
      <c r="B1977" s="167" t="str">
        <f>_xlfn.XLOOKUP(I1977,Mapping!D:D,Mapping!E:E)</f>
        <v>Kế Toán</v>
      </c>
      <c r="C1977" s="167" t="str">
        <f>_xlfn.XLOOKUP(F1977,Mapping!A:A,Mapping!F:F)</f>
        <v>Phụ Cấp</v>
      </c>
      <c r="D1977" s="173">
        <v>45989</v>
      </c>
      <c r="E1977" s="169" t="s">
        <v>1235</v>
      </c>
      <c r="F1977" s="169" t="s">
        <v>335</v>
      </c>
      <c r="G1977" s="169" t="s">
        <v>336</v>
      </c>
      <c r="H1977" s="169" t="s">
        <v>356</v>
      </c>
      <c r="I1977" s="169" t="s">
        <v>357</v>
      </c>
      <c r="J1977" s="169" t="s">
        <v>1236</v>
      </c>
      <c r="K1977" s="169" t="s">
        <v>992</v>
      </c>
      <c r="L1977" s="169" t="s">
        <v>1213</v>
      </c>
      <c r="M1977" s="169" t="s">
        <v>281</v>
      </c>
      <c r="N1977" s="178">
        <v>17025000</v>
      </c>
      <c r="O1977" s="169" t="s">
        <v>1237</v>
      </c>
      <c r="P1977" s="169" t="s">
        <v>283</v>
      </c>
      <c r="Q1977" s="169" t="s">
        <v>306</v>
      </c>
      <c r="R1977" s="169" t="s">
        <v>283</v>
      </c>
      <c r="S1977" s="169" t="s">
        <v>283</v>
      </c>
      <c r="T1977" s="169">
        <v>0</v>
      </c>
    </row>
    <row r="1978" spans="1:20" x14ac:dyDescent="0.2">
      <c r="A1978" s="169" t="str">
        <f t="shared" si="10"/>
        <v>642</v>
      </c>
      <c r="B1978" s="167" t="str">
        <f>_xlfn.XLOOKUP(I1978,Mapping!D:D,Mapping!E:E)</f>
        <v>Văn Phòng Giám Đốc</v>
      </c>
      <c r="C1978" s="167" t="str">
        <f>_xlfn.XLOOKUP(F1978,Mapping!A:A,Mapping!F:F)</f>
        <v>Phụ Cấp</v>
      </c>
      <c r="D1978" s="173">
        <v>45989</v>
      </c>
      <c r="E1978" s="169" t="s">
        <v>1235</v>
      </c>
      <c r="F1978" s="169" t="s">
        <v>335</v>
      </c>
      <c r="G1978" s="169" t="s">
        <v>336</v>
      </c>
      <c r="H1978" s="169" t="s">
        <v>320</v>
      </c>
      <c r="I1978" s="169" t="s">
        <v>321</v>
      </c>
      <c r="J1978" s="169" t="s">
        <v>1236</v>
      </c>
      <c r="K1978" s="169" t="s">
        <v>992</v>
      </c>
      <c r="L1978" s="169" t="s">
        <v>1213</v>
      </c>
      <c r="M1978" s="169" t="s">
        <v>281</v>
      </c>
      <c r="N1978" s="178">
        <v>2025000</v>
      </c>
      <c r="O1978" s="169" t="s">
        <v>1237</v>
      </c>
      <c r="P1978" s="169" t="s">
        <v>283</v>
      </c>
      <c r="Q1978" s="169" t="s">
        <v>306</v>
      </c>
      <c r="R1978" s="169" t="s">
        <v>283</v>
      </c>
      <c r="S1978" s="169" t="s">
        <v>283</v>
      </c>
      <c r="T1978" s="169">
        <v>0</v>
      </c>
    </row>
    <row r="1979" spans="1:20" x14ac:dyDescent="0.2">
      <c r="A1979" s="169" t="str">
        <f t="shared" si="10"/>
        <v>627</v>
      </c>
      <c r="B1979" s="167" t="str">
        <f>_xlfn.XLOOKUP(I1979,Mapping!D:D,Mapping!E:E)</f>
        <v>Kỹ Thuật</v>
      </c>
      <c r="C1979" s="167" t="str">
        <f>_xlfn.XLOOKUP(F1979,Mapping!A:A,Mapping!F:F)</f>
        <v>Phụ Cấp</v>
      </c>
      <c r="D1979" s="173">
        <v>45989</v>
      </c>
      <c r="E1979" s="169" t="s">
        <v>1235</v>
      </c>
      <c r="F1979" s="169" t="s">
        <v>375</v>
      </c>
      <c r="G1979" s="169" t="s">
        <v>336</v>
      </c>
      <c r="H1979" s="169" t="s">
        <v>376</v>
      </c>
      <c r="I1979" s="169" t="s">
        <v>377</v>
      </c>
      <c r="J1979" s="169" t="s">
        <v>1236</v>
      </c>
      <c r="K1979" s="169" t="s">
        <v>992</v>
      </c>
      <c r="L1979" s="169" t="s">
        <v>1213</v>
      </c>
      <c r="M1979" s="169" t="s">
        <v>281</v>
      </c>
      <c r="N1979" s="178">
        <v>49650000</v>
      </c>
      <c r="O1979" s="169" t="s">
        <v>1237</v>
      </c>
      <c r="P1979" s="169" t="s">
        <v>283</v>
      </c>
      <c r="Q1979" s="169" t="s">
        <v>306</v>
      </c>
      <c r="R1979" s="169" t="s">
        <v>283</v>
      </c>
      <c r="S1979" s="169" t="s">
        <v>283</v>
      </c>
      <c r="T1979" s="169">
        <v>0</v>
      </c>
    </row>
    <row r="1980" spans="1:20" x14ac:dyDescent="0.2">
      <c r="A1980" s="169" t="str">
        <f t="shared" si="10"/>
        <v>627</v>
      </c>
      <c r="B1980" s="167" t="str">
        <f>_xlfn.XLOOKUP(I1980,Mapping!D:D,Mapping!E:E)</f>
        <v>Kiểm Soát Chất Lượng</v>
      </c>
      <c r="C1980" s="167" t="str">
        <f>_xlfn.XLOOKUP(F1980,Mapping!A:A,Mapping!F:F)</f>
        <v>Phụ Cấp</v>
      </c>
      <c r="D1980" s="173">
        <v>45989</v>
      </c>
      <c r="E1980" s="169" t="s">
        <v>1235</v>
      </c>
      <c r="F1980" s="169" t="s">
        <v>375</v>
      </c>
      <c r="G1980" s="169" t="s">
        <v>336</v>
      </c>
      <c r="H1980" s="169" t="s">
        <v>411</v>
      </c>
      <c r="I1980" s="169" t="s">
        <v>412</v>
      </c>
      <c r="J1980" s="169" t="s">
        <v>1236</v>
      </c>
      <c r="K1980" s="169" t="s">
        <v>992</v>
      </c>
      <c r="L1980" s="169" t="s">
        <v>1213</v>
      </c>
      <c r="M1980" s="169" t="s">
        <v>281</v>
      </c>
      <c r="N1980" s="178">
        <v>33150000</v>
      </c>
      <c r="O1980" s="169" t="s">
        <v>1237</v>
      </c>
      <c r="P1980" s="169" t="s">
        <v>283</v>
      </c>
      <c r="Q1980" s="169" t="s">
        <v>306</v>
      </c>
      <c r="R1980" s="169" t="s">
        <v>283</v>
      </c>
      <c r="S1980" s="169" t="s">
        <v>283</v>
      </c>
      <c r="T1980" s="169">
        <v>0</v>
      </c>
    </row>
    <row r="1981" spans="1:20" x14ac:dyDescent="0.2">
      <c r="A1981" s="169" t="str">
        <f t="shared" si="10"/>
        <v>627</v>
      </c>
      <c r="B1981" s="167" t="str">
        <f>_xlfn.XLOOKUP(I1981,Mapping!D:D,Mapping!E:E)</f>
        <v>Xưởng Sản Xuất</v>
      </c>
      <c r="C1981" s="167" t="str">
        <f>_xlfn.XLOOKUP(F1981,Mapping!A:A,Mapping!F:F)</f>
        <v>Phụ Cấp</v>
      </c>
      <c r="D1981" s="173">
        <v>45989</v>
      </c>
      <c r="E1981" s="169" t="s">
        <v>1235</v>
      </c>
      <c r="F1981" s="169" t="s">
        <v>375</v>
      </c>
      <c r="G1981" s="169" t="s">
        <v>336</v>
      </c>
      <c r="H1981" s="169" t="s">
        <v>441</v>
      </c>
      <c r="I1981" s="169" t="s">
        <v>442</v>
      </c>
      <c r="J1981" s="169" t="s">
        <v>1236</v>
      </c>
      <c r="K1981" s="169" t="s">
        <v>992</v>
      </c>
      <c r="L1981" s="169" t="s">
        <v>1213</v>
      </c>
      <c r="M1981" s="169" t="s">
        <v>281</v>
      </c>
      <c r="N1981" s="178">
        <v>400000</v>
      </c>
      <c r="O1981" s="169" t="s">
        <v>1237</v>
      </c>
      <c r="P1981" s="169" t="s">
        <v>283</v>
      </c>
      <c r="Q1981" s="169" t="s">
        <v>306</v>
      </c>
      <c r="R1981" s="169" t="s">
        <v>283</v>
      </c>
      <c r="S1981" s="169" t="s">
        <v>283</v>
      </c>
      <c r="T1981" s="169">
        <v>0</v>
      </c>
    </row>
    <row r="1982" spans="1:20" x14ac:dyDescent="0.2">
      <c r="A1982" s="169" t="str">
        <f t="shared" si="10"/>
        <v>627</v>
      </c>
      <c r="B1982" s="167" t="str">
        <f>_xlfn.XLOOKUP(I1982,Mapping!D:D,Mapping!E:E)</f>
        <v>Xưởng Sản Xuất</v>
      </c>
      <c r="C1982" s="167" t="str">
        <f>_xlfn.XLOOKUP(F1982,Mapping!A:A,Mapping!F:F)</f>
        <v>Phụ Cấp</v>
      </c>
      <c r="D1982" s="173">
        <v>45989</v>
      </c>
      <c r="E1982" s="169" t="s">
        <v>1235</v>
      </c>
      <c r="F1982" s="169" t="s">
        <v>375</v>
      </c>
      <c r="G1982" s="169" t="s">
        <v>336</v>
      </c>
      <c r="H1982" s="169" t="s">
        <v>430</v>
      </c>
      <c r="I1982" s="169" t="s">
        <v>431</v>
      </c>
      <c r="J1982" s="169" t="s">
        <v>1236</v>
      </c>
      <c r="K1982" s="169" t="s">
        <v>992</v>
      </c>
      <c r="L1982" s="169" t="s">
        <v>1213</v>
      </c>
      <c r="M1982" s="169" t="s">
        <v>281</v>
      </c>
      <c r="N1982" s="178">
        <v>25025000</v>
      </c>
      <c r="O1982" s="169" t="s">
        <v>1237</v>
      </c>
      <c r="P1982" s="169" t="s">
        <v>283</v>
      </c>
      <c r="Q1982" s="169" t="s">
        <v>306</v>
      </c>
      <c r="R1982" s="169" t="s">
        <v>283</v>
      </c>
      <c r="S1982" s="169" t="s">
        <v>283</v>
      </c>
      <c r="T1982" s="169">
        <v>0</v>
      </c>
    </row>
    <row r="1983" spans="1:20" x14ac:dyDescent="0.2">
      <c r="A1983" s="169" t="str">
        <f t="shared" si="10"/>
        <v>627</v>
      </c>
      <c r="B1983" s="167" t="str">
        <f>_xlfn.XLOOKUP(I1983,Mapping!D:D,Mapping!E:E)</f>
        <v>Xưởng Sản Xuất</v>
      </c>
      <c r="C1983" s="167" t="str">
        <f>_xlfn.XLOOKUP(F1983,Mapping!A:A,Mapping!F:F)</f>
        <v>Phụ Cấp</v>
      </c>
      <c r="D1983" s="173">
        <v>45989</v>
      </c>
      <c r="E1983" s="169" t="s">
        <v>1235</v>
      </c>
      <c r="F1983" s="169" t="s">
        <v>375</v>
      </c>
      <c r="G1983" s="169" t="s">
        <v>336</v>
      </c>
      <c r="H1983" s="169" t="s">
        <v>436</v>
      </c>
      <c r="I1983" s="169" t="s">
        <v>437</v>
      </c>
      <c r="J1983" s="169" t="s">
        <v>1236</v>
      </c>
      <c r="K1983" s="169" t="s">
        <v>992</v>
      </c>
      <c r="L1983" s="169" t="s">
        <v>1213</v>
      </c>
      <c r="M1983" s="169" t="s">
        <v>281</v>
      </c>
      <c r="N1983" s="178">
        <v>25700000</v>
      </c>
      <c r="O1983" s="169" t="s">
        <v>1237</v>
      </c>
      <c r="P1983" s="169" t="s">
        <v>283</v>
      </c>
      <c r="Q1983" s="169" t="s">
        <v>306</v>
      </c>
      <c r="R1983" s="169" t="s">
        <v>283</v>
      </c>
      <c r="S1983" s="169" t="s">
        <v>283</v>
      </c>
      <c r="T1983" s="169">
        <v>0</v>
      </c>
    </row>
    <row r="1984" spans="1:20" x14ac:dyDescent="0.2">
      <c r="A1984" s="169" t="str">
        <f t="shared" si="10"/>
        <v>642</v>
      </c>
      <c r="B1984" s="167" t="str">
        <f>_xlfn.XLOOKUP(I1984,Mapping!D:D,Mapping!E:E)</f>
        <v>Mua Hàng &amp; XNK</v>
      </c>
      <c r="C1984" s="167" t="str">
        <f>_xlfn.XLOOKUP(F1984,Mapping!A:A,Mapping!F:F)</f>
        <v>Phụ Cấp</v>
      </c>
      <c r="D1984" s="173">
        <v>45989</v>
      </c>
      <c r="E1984" s="169" t="s">
        <v>1235</v>
      </c>
      <c r="F1984" s="169" t="s">
        <v>335</v>
      </c>
      <c r="G1984" s="169" t="s">
        <v>336</v>
      </c>
      <c r="H1984" s="169" t="s">
        <v>378</v>
      </c>
      <c r="I1984" s="169" t="s">
        <v>379</v>
      </c>
      <c r="J1984" s="169" t="s">
        <v>1236</v>
      </c>
      <c r="K1984" s="169" t="s">
        <v>992</v>
      </c>
      <c r="L1984" s="169" t="s">
        <v>1213</v>
      </c>
      <c r="M1984" s="169" t="s">
        <v>281</v>
      </c>
      <c r="N1984" s="178">
        <v>4750000</v>
      </c>
      <c r="O1984" s="169" t="s">
        <v>1237</v>
      </c>
      <c r="P1984" s="169" t="s">
        <v>283</v>
      </c>
      <c r="Q1984" s="169" t="s">
        <v>306</v>
      </c>
      <c r="R1984" s="169" t="s">
        <v>283</v>
      </c>
      <c r="S1984" s="169" t="s">
        <v>283</v>
      </c>
      <c r="T1984" s="169">
        <v>0</v>
      </c>
    </row>
    <row r="1985" spans="1:20" x14ac:dyDescent="0.2">
      <c r="A1985" s="169" t="str">
        <f t="shared" si="10"/>
        <v>642</v>
      </c>
      <c r="B1985" s="167" t="str">
        <f>_xlfn.XLOOKUP(I1985,Mapping!D:D,Mapping!E:E)</f>
        <v>Cung Ứng</v>
      </c>
      <c r="C1985" s="167" t="str">
        <f>_xlfn.XLOOKUP(F1985,Mapping!A:A,Mapping!F:F)</f>
        <v>Phụ Cấp</v>
      </c>
      <c r="D1985" s="173">
        <v>45989</v>
      </c>
      <c r="E1985" s="169" t="s">
        <v>1235</v>
      </c>
      <c r="F1985" s="169" t="s">
        <v>335</v>
      </c>
      <c r="G1985" s="169" t="s">
        <v>336</v>
      </c>
      <c r="H1985" s="169" t="s">
        <v>380</v>
      </c>
      <c r="I1985" s="169" t="s">
        <v>381</v>
      </c>
      <c r="J1985" s="169" t="s">
        <v>1236</v>
      </c>
      <c r="K1985" s="169" t="s">
        <v>992</v>
      </c>
      <c r="L1985" s="169" t="s">
        <v>1213</v>
      </c>
      <c r="M1985" s="169" t="s">
        <v>281</v>
      </c>
      <c r="N1985" s="178">
        <v>2450000</v>
      </c>
      <c r="O1985" s="169" t="s">
        <v>1237</v>
      </c>
      <c r="P1985" s="169" t="s">
        <v>283</v>
      </c>
      <c r="Q1985" s="169" t="s">
        <v>306</v>
      </c>
      <c r="R1985" s="169" t="s">
        <v>283</v>
      </c>
      <c r="S1985" s="169" t="s">
        <v>283</v>
      </c>
      <c r="T1985" s="169">
        <v>0</v>
      </c>
    </row>
    <row r="1986" spans="1:20" x14ac:dyDescent="0.2">
      <c r="A1986" s="169" t="str">
        <f t="shared" si="10"/>
        <v>642</v>
      </c>
      <c r="B1986" s="167" t="str">
        <f>_xlfn.XLOOKUP(I1986,Mapping!D:D,Mapping!E:E)</f>
        <v>Hành Chánh Nhân Sự</v>
      </c>
      <c r="C1986" s="167" t="str">
        <f>_xlfn.XLOOKUP(F1986,Mapping!A:A,Mapping!F:F)</f>
        <v>Phụ Cấp</v>
      </c>
      <c r="D1986" s="173">
        <v>45989</v>
      </c>
      <c r="E1986" s="169" t="s">
        <v>1235</v>
      </c>
      <c r="F1986" s="169" t="s">
        <v>335</v>
      </c>
      <c r="G1986" s="169" t="s">
        <v>336</v>
      </c>
      <c r="H1986" s="169" t="s">
        <v>382</v>
      </c>
      <c r="I1986" s="169" t="s">
        <v>200</v>
      </c>
      <c r="J1986" s="169" t="s">
        <v>1236</v>
      </c>
      <c r="K1986" s="169" t="s">
        <v>992</v>
      </c>
      <c r="L1986" s="169" t="s">
        <v>1213</v>
      </c>
      <c r="M1986" s="169" t="s">
        <v>281</v>
      </c>
      <c r="N1986" s="178">
        <v>1750000</v>
      </c>
      <c r="O1986" s="169" t="s">
        <v>1237</v>
      </c>
      <c r="P1986" s="169" t="s">
        <v>283</v>
      </c>
      <c r="Q1986" s="169" t="s">
        <v>306</v>
      </c>
      <c r="R1986" s="169" t="s">
        <v>283</v>
      </c>
      <c r="S1986" s="169" t="s">
        <v>283</v>
      </c>
      <c r="T1986" s="169">
        <v>0</v>
      </c>
    </row>
    <row r="1987" spans="1:20" x14ac:dyDescent="0.2">
      <c r="A1987" s="169" t="str">
        <f t="shared" si="10"/>
        <v>642</v>
      </c>
      <c r="B1987" s="167" t="str">
        <f>_xlfn.XLOOKUP(I1987,Mapping!D:D,Mapping!E:E)</f>
        <v>Hành Chánh Nhân Sự</v>
      </c>
      <c r="C1987" s="167" t="str">
        <f>_xlfn.XLOOKUP(F1987,Mapping!A:A,Mapping!F:F)</f>
        <v>Phụ Cấp</v>
      </c>
      <c r="D1987" s="173">
        <v>45989</v>
      </c>
      <c r="E1987" s="169" t="s">
        <v>1235</v>
      </c>
      <c r="F1987" s="169" t="s">
        <v>335</v>
      </c>
      <c r="G1987" s="169" t="s">
        <v>336</v>
      </c>
      <c r="H1987" s="169" t="s">
        <v>358</v>
      </c>
      <c r="I1987" s="169" t="s">
        <v>359</v>
      </c>
      <c r="J1987" s="169" t="s">
        <v>1236</v>
      </c>
      <c r="K1987" s="169" t="s">
        <v>992</v>
      </c>
      <c r="L1987" s="169" t="s">
        <v>1213</v>
      </c>
      <c r="M1987" s="169" t="s">
        <v>281</v>
      </c>
      <c r="N1987" s="178">
        <v>2975000</v>
      </c>
      <c r="O1987" s="169" t="s">
        <v>1237</v>
      </c>
      <c r="P1987" s="169" t="s">
        <v>283</v>
      </c>
      <c r="Q1987" s="169" t="s">
        <v>306</v>
      </c>
      <c r="R1987" s="169" t="s">
        <v>283</v>
      </c>
      <c r="S1987" s="169" t="s">
        <v>283</v>
      </c>
      <c r="T1987" s="169">
        <v>0</v>
      </c>
    </row>
    <row r="1988" spans="1:20" x14ac:dyDescent="0.2">
      <c r="A1988" s="169" t="str">
        <f t="shared" si="10"/>
        <v>642</v>
      </c>
      <c r="B1988" s="167" t="str">
        <f>_xlfn.XLOOKUP(I1988,Mapping!D:D,Mapping!E:E)</f>
        <v>Ban Giám Đốc</v>
      </c>
      <c r="C1988" s="167" t="str">
        <f>_xlfn.XLOOKUP(F1988,Mapping!A:A,Mapping!F:F)</f>
        <v>Lương Chính +T13</v>
      </c>
      <c r="D1988" s="173">
        <v>45991</v>
      </c>
      <c r="E1988" s="169" t="s">
        <v>1238</v>
      </c>
      <c r="F1988" s="169" t="s">
        <v>274</v>
      </c>
      <c r="G1988" s="169" t="s">
        <v>275</v>
      </c>
      <c r="H1988" s="169" t="s">
        <v>276</v>
      </c>
      <c r="I1988" s="169" t="s">
        <v>277</v>
      </c>
      <c r="J1988" s="169" t="s">
        <v>1239</v>
      </c>
      <c r="K1988" s="169" t="s">
        <v>1240</v>
      </c>
      <c r="L1988" s="169" t="s">
        <v>1213</v>
      </c>
      <c r="M1988" s="169" t="s">
        <v>281</v>
      </c>
      <c r="N1988" s="178">
        <v>1510044424</v>
      </c>
      <c r="O1988" s="169" t="s">
        <v>1241</v>
      </c>
      <c r="P1988" s="169" t="s">
        <v>283</v>
      </c>
      <c r="Q1988" s="169" t="s">
        <v>284</v>
      </c>
      <c r="R1988" s="169" t="s">
        <v>283</v>
      </c>
      <c r="S1988" s="169" t="s">
        <v>283</v>
      </c>
      <c r="T1988" s="169">
        <v>0</v>
      </c>
    </row>
    <row r="1989" spans="1:20" x14ac:dyDescent="0.2">
      <c r="A1989" s="169" t="str">
        <f t="shared" si="10"/>
        <v>642</v>
      </c>
      <c r="B1989" s="167" t="str">
        <f>_xlfn.XLOOKUP(I1989,Mapping!D:D,Mapping!E:E)</f>
        <v>Ban Giám Đốc</v>
      </c>
      <c r="C1989" s="167" t="str">
        <f>_xlfn.XLOOKUP(F1989,Mapping!A:A,Mapping!F:F)</f>
        <v>Lương Chính +T13</v>
      </c>
      <c r="D1989" s="173">
        <v>45991</v>
      </c>
      <c r="E1989" s="169" t="s">
        <v>1238</v>
      </c>
      <c r="F1989" s="169" t="s">
        <v>285</v>
      </c>
      <c r="G1989" s="169" t="s">
        <v>286</v>
      </c>
      <c r="H1989" s="169" t="s">
        <v>276</v>
      </c>
      <c r="I1989" s="169" t="s">
        <v>277</v>
      </c>
      <c r="J1989" s="169" t="s">
        <v>1239</v>
      </c>
      <c r="K1989" s="169" t="s">
        <v>1240</v>
      </c>
      <c r="L1989" s="169" t="s">
        <v>1213</v>
      </c>
      <c r="M1989" s="169" t="s">
        <v>281</v>
      </c>
      <c r="N1989" s="178">
        <v>30613637</v>
      </c>
      <c r="O1989" s="169" t="s">
        <v>1241</v>
      </c>
      <c r="P1989" s="169" t="s">
        <v>283</v>
      </c>
      <c r="Q1989" s="169" t="s">
        <v>284</v>
      </c>
      <c r="R1989" s="169" t="s">
        <v>283</v>
      </c>
      <c r="S1989" s="169" t="s">
        <v>283</v>
      </c>
      <c r="T1989" s="169">
        <v>0</v>
      </c>
    </row>
    <row r="1990" spans="1:20" x14ac:dyDescent="0.2">
      <c r="A1990" s="169" t="str">
        <f t="shared" si="10"/>
        <v>642</v>
      </c>
      <c r="B1990" s="167" t="str">
        <f>_xlfn.XLOOKUP(I1990,Mapping!D:D,Mapping!E:E)</f>
        <v>Văn Phòng Giám Đốc</v>
      </c>
      <c r="C1990" s="167" t="str">
        <f>_xlfn.XLOOKUP(F1990,Mapping!A:A,Mapping!F:F)</f>
        <v>Lương Chính +T13</v>
      </c>
      <c r="D1990" s="173">
        <v>45991</v>
      </c>
      <c r="E1990" s="169" t="s">
        <v>1238</v>
      </c>
      <c r="F1990" s="169" t="s">
        <v>274</v>
      </c>
      <c r="G1990" s="169" t="s">
        <v>275</v>
      </c>
      <c r="H1990" s="169" t="s">
        <v>320</v>
      </c>
      <c r="I1990" s="169" t="s">
        <v>321</v>
      </c>
      <c r="J1990" s="169" t="s">
        <v>1239</v>
      </c>
      <c r="K1990" s="169" t="s">
        <v>1240</v>
      </c>
      <c r="L1990" s="169" t="s">
        <v>1213</v>
      </c>
      <c r="M1990" s="169" t="s">
        <v>281</v>
      </c>
      <c r="N1990" s="178">
        <v>108959592</v>
      </c>
      <c r="O1990" s="169" t="s">
        <v>1241</v>
      </c>
      <c r="P1990" s="169" t="s">
        <v>283</v>
      </c>
      <c r="Q1990" s="169" t="s">
        <v>284</v>
      </c>
      <c r="R1990" s="169" t="s">
        <v>283</v>
      </c>
      <c r="S1990" s="169" t="s">
        <v>283</v>
      </c>
      <c r="T1990" s="169">
        <v>0</v>
      </c>
    </row>
    <row r="1991" spans="1:20" x14ac:dyDescent="0.2">
      <c r="A1991" s="169" t="str">
        <f t="shared" si="10"/>
        <v>642</v>
      </c>
      <c r="B1991" s="167" t="str">
        <f>_xlfn.XLOOKUP(I1991,Mapping!D:D,Mapping!E:E)</f>
        <v>Văn Phòng Giám Đốc</v>
      </c>
      <c r="C1991" s="167" t="str">
        <f>_xlfn.XLOOKUP(F1991,Mapping!A:A,Mapping!F:F)</f>
        <v>Lương Chính +T13</v>
      </c>
      <c r="D1991" s="173">
        <v>45991</v>
      </c>
      <c r="E1991" s="169" t="s">
        <v>1238</v>
      </c>
      <c r="F1991" s="169" t="s">
        <v>285</v>
      </c>
      <c r="G1991" s="169" t="s">
        <v>286</v>
      </c>
      <c r="H1991" s="169" t="s">
        <v>320</v>
      </c>
      <c r="I1991" s="169" t="s">
        <v>321</v>
      </c>
      <c r="J1991" s="169" t="s">
        <v>1239</v>
      </c>
      <c r="K1991" s="169" t="s">
        <v>1240</v>
      </c>
      <c r="L1991" s="169" t="s">
        <v>1213</v>
      </c>
      <c r="M1991" s="169" t="s">
        <v>281</v>
      </c>
      <c r="N1991" s="178">
        <v>4432692</v>
      </c>
      <c r="O1991" s="169" t="s">
        <v>1241</v>
      </c>
      <c r="P1991" s="169" t="s">
        <v>283</v>
      </c>
      <c r="Q1991" s="169" t="s">
        <v>284</v>
      </c>
      <c r="R1991" s="169" t="s">
        <v>283</v>
      </c>
      <c r="S1991" s="169" t="s">
        <v>283</v>
      </c>
      <c r="T1991" s="169">
        <v>0</v>
      </c>
    </row>
    <row r="1992" spans="1:20" x14ac:dyDescent="0.2">
      <c r="A1992" s="169" t="str">
        <f t="shared" si="10"/>
        <v>642</v>
      </c>
      <c r="B1992" s="167" t="str">
        <f>_xlfn.XLOOKUP(I1992,Mapping!D:D,Mapping!E:E)</f>
        <v>Hành Chánh Nhân Sự</v>
      </c>
      <c r="C1992" s="167" t="str">
        <f>_xlfn.XLOOKUP(F1992,Mapping!A:A,Mapping!F:F)</f>
        <v>Phụ Cấp</v>
      </c>
      <c r="D1992" s="173">
        <v>45991</v>
      </c>
      <c r="E1992" s="169" t="s">
        <v>1238</v>
      </c>
      <c r="F1992" s="169" t="s">
        <v>340</v>
      </c>
      <c r="G1992" s="169" t="s">
        <v>341</v>
      </c>
      <c r="H1992" s="169" t="s">
        <v>301</v>
      </c>
      <c r="I1992" s="169" t="s">
        <v>302</v>
      </c>
      <c r="J1992" s="169" t="s">
        <v>1239</v>
      </c>
      <c r="K1992" s="169" t="s">
        <v>1240</v>
      </c>
      <c r="L1992" s="169" t="s">
        <v>1213</v>
      </c>
      <c r="M1992" s="169" t="s">
        <v>281</v>
      </c>
      <c r="N1992" s="178">
        <v>6883812</v>
      </c>
      <c r="O1992" s="169" t="s">
        <v>1241</v>
      </c>
      <c r="P1992" s="169" t="s">
        <v>283</v>
      </c>
      <c r="Q1992" s="169" t="s">
        <v>284</v>
      </c>
      <c r="R1992" s="169" t="s">
        <v>283</v>
      </c>
      <c r="S1992" s="169" t="s">
        <v>283</v>
      </c>
      <c r="T1992" s="169">
        <v>0</v>
      </c>
    </row>
    <row r="1993" spans="1:20" x14ac:dyDescent="0.2">
      <c r="A1993" s="169" t="str">
        <f t="shared" si="10"/>
        <v>642</v>
      </c>
      <c r="B1993" s="167" t="str">
        <f>_xlfn.XLOOKUP(I1993,Mapping!D:D,Mapping!E:E)</f>
        <v>Hành Chánh Nhân Sự</v>
      </c>
      <c r="C1993" s="167" t="str">
        <f>_xlfn.XLOOKUP(F1993,Mapping!A:A,Mapping!F:F)</f>
        <v>Lương Chính +T13</v>
      </c>
      <c r="D1993" s="173">
        <v>45991</v>
      </c>
      <c r="E1993" s="169" t="s">
        <v>1238</v>
      </c>
      <c r="F1993" s="169" t="s">
        <v>274</v>
      </c>
      <c r="G1993" s="169" t="s">
        <v>275</v>
      </c>
      <c r="H1993" s="169" t="s">
        <v>301</v>
      </c>
      <c r="I1993" s="169" t="s">
        <v>302</v>
      </c>
      <c r="J1993" s="169" t="s">
        <v>1239</v>
      </c>
      <c r="K1993" s="169" t="s">
        <v>1240</v>
      </c>
      <c r="L1993" s="169" t="s">
        <v>1213</v>
      </c>
      <c r="M1993" s="169" t="s">
        <v>281</v>
      </c>
      <c r="N1993" s="178">
        <v>468316605</v>
      </c>
      <c r="O1993" s="169" t="s">
        <v>1241</v>
      </c>
      <c r="P1993" s="169" t="s">
        <v>283</v>
      </c>
      <c r="Q1993" s="169" t="s">
        <v>284</v>
      </c>
      <c r="R1993" s="169" t="s">
        <v>283</v>
      </c>
      <c r="S1993" s="169" t="s">
        <v>283</v>
      </c>
      <c r="T1993" s="169">
        <v>0</v>
      </c>
    </row>
    <row r="1994" spans="1:20" x14ac:dyDescent="0.2">
      <c r="A1994" s="169" t="str">
        <f t="shared" si="10"/>
        <v>642</v>
      </c>
      <c r="B1994" s="167" t="str">
        <f>_xlfn.XLOOKUP(I1994,Mapping!D:D,Mapping!E:E)</f>
        <v>Hành Chánh Nhân Sự</v>
      </c>
      <c r="C1994" s="167" t="str">
        <f>_xlfn.XLOOKUP(F1994,Mapping!A:A,Mapping!F:F)</f>
        <v>Lương Chính +T13</v>
      </c>
      <c r="D1994" s="173">
        <v>45991</v>
      </c>
      <c r="E1994" s="169" t="s">
        <v>1238</v>
      </c>
      <c r="F1994" s="169" t="s">
        <v>285</v>
      </c>
      <c r="G1994" s="169" t="s">
        <v>286</v>
      </c>
      <c r="H1994" s="169" t="s">
        <v>301</v>
      </c>
      <c r="I1994" s="169" t="s">
        <v>302</v>
      </c>
      <c r="J1994" s="169" t="s">
        <v>1239</v>
      </c>
      <c r="K1994" s="169" t="s">
        <v>1240</v>
      </c>
      <c r="L1994" s="169" t="s">
        <v>1213</v>
      </c>
      <c r="M1994" s="169" t="s">
        <v>281</v>
      </c>
      <c r="N1994" s="178">
        <v>18676173</v>
      </c>
      <c r="O1994" s="169" t="s">
        <v>1241</v>
      </c>
      <c r="P1994" s="169" t="s">
        <v>283</v>
      </c>
      <c r="Q1994" s="169" t="s">
        <v>284</v>
      </c>
      <c r="R1994" s="169" t="s">
        <v>283</v>
      </c>
      <c r="S1994" s="169" t="s">
        <v>283</v>
      </c>
      <c r="T1994" s="169">
        <v>0</v>
      </c>
    </row>
    <row r="1995" spans="1:20" x14ac:dyDescent="0.2">
      <c r="A1995" s="169" t="str">
        <f t="shared" si="10"/>
        <v>642</v>
      </c>
      <c r="B1995" s="167" t="str">
        <f>_xlfn.XLOOKUP(I1995,Mapping!D:D,Mapping!E:E)</f>
        <v>Hành Chánh Nhân Sự</v>
      </c>
      <c r="C1995" s="167" t="str">
        <f>_xlfn.XLOOKUP(F1995,Mapping!A:A,Mapping!F:F)</f>
        <v>Lương Ngoài giờ</v>
      </c>
      <c r="D1995" s="173">
        <v>45991</v>
      </c>
      <c r="E1995" s="169" t="s">
        <v>1238</v>
      </c>
      <c r="F1995" s="169" t="s">
        <v>342</v>
      </c>
      <c r="G1995" s="169" t="s">
        <v>343</v>
      </c>
      <c r="H1995" s="169" t="s">
        <v>301</v>
      </c>
      <c r="I1995" s="169" t="s">
        <v>302</v>
      </c>
      <c r="J1995" s="169" t="s">
        <v>1239</v>
      </c>
      <c r="K1995" s="169" t="s">
        <v>1240</v>
      </c>
      <c r="L1995" s="169" t="s">
        <v>1213</v>
      </c>
      <c r="M1995" s="169" t="s">
        <v>281</v>
      </c>
      <c r="N1995" s="178">
        <v>81374538</v>
      </c>
      <c r="O1995" s="169" t="s">
        <v>1241</v>
      </c>
      <c r="P1995" s="169" t="s">
        <v>283</v>
      </c>
      <c r="Q1995" s="169" t="s">
        <v>284</v>
      </c>
      <c r="R1995" s="169" t="s">
        <v>283</v>
      </c>
      <c r="S1995" s="169" t="s">
        <v>283</v>
      </c>
      <c r="T1995" s="169">
        <v>0</v>
      </c>
    </row>
    <row r="1996" spans="1:20" x14ac:dyDescent="0.2">
      <c r="A1996" s="169" t="str">
        <f t="shared" si="10"/>
        <v>642</v>
      </c>
      <c r="B1996" s="167" t="str">
        <f>_xlfn.XLOOKUP(I1996,Mapping!D:D,Mapping!E:E)</f>
        <v>Hành Chánh Nhân Sự</v>
      </c>
      <c r="C1996" s="167" t="str">
        <f>_xlfn.XLOOKUP(F1996,Mapping!A:A,Mapping!F:F)</f>
        <v>Phụ Cấp</v>
      </c>
      <c r="D1996" s="173">
        <v>45991</v>
      </c>
      <c r="E1996" s="169" t="s">
        <v>1238</v>
      </c>
      <c r="F1996" s="169" t="s">
        <v>335</v>
      </c>
      <c r="G1996" s="169" t="s">
        <v>336</v>
      </c>
      <c r="H1996" s="169" t="s">
        <v>301</v>
      </c>
      <c r="I1996" s="169" t="s">
        <v>302</v>
      </c>
      <c r="J1996" s="169" t="s">
        <v>1239</v>
      </c>
      <c r="K1996" s="169" t="s">
        <v>1240</v>
      </c>
      <c r="L1996" s="169" t="s">
        <v>1213</v>
      </c>
      <c r="M1996" s="169" t="s">
        <v>281</v>
      </c>
      <c r="N1996" s="178">
        <v>4205000</v>
      </c>
      <c r="O1996" s="169" t="s">
        <v>1241</v>
      </c>
      <c r="P1996" s="169" t="s">
        <v>283</v>
      </c>
      <c r="Q1996" s="169" t="s">
        <v>284</v>
      </c>
      <c r="R1996" s="169" t="s">
        <v>283</v>
      </c>
      <c r="S1996" s="169" t="s">
        <v>283</v>
      </c>
      <c r="T1996" s="169">
        <v>0</v>
      </c>
    </row>
    <row r="1997" spans="1:20" x14ac:dyDescent="0.2">
      <c r="A1997" s="169" t="str">
        <f t="shared" si="10"/>
        <v>642</v>
      </c>
      <c r="B1997" s="167" t="str">
        <f>_xlfn.XLOOKUP(I1997,Mapping!D:D,Mapping!E:E)</f>
        <v>Kế Toán</v>
      </c>
      <c r="C1997" s="167" t="str">
        <f>_xlfn.XLOOKUP(F1997,Mapping!A:A,Mapping!F:F)</f>
        <v>Lương Chính +T13</v>
      </c>
      <c r="D1997" s="173">
        <v>45991</v>
      </c>
      <c r="E1997" s="169" t="s">
        <v>1238</v>
      </c>
      <c r="F1997" s="169" t="s">
        <v>274</v>
      </c>
      <c r="G1997" s="169" t="s">
        <v>275</v>
      </c>
      <c r="H1997" s="169" t="s">
        <v>356</v>
      </c>
      <c r="I1997" s="169" t="s">
        <v>357</v>
      </c>
      <c r="J1997" s="169" t="s">
        <v>1239</v>
      </c>
      <c r="K1997" s="169" t="s">
        <v>1240</v>
      </c>
      <c r="L1997" s="169" t="s">
        <v>1213</v>
      </c>
      <c r="M1997" s="169" t="s">
        <v>281</v>
      </c>
      <c r="N1997" s="178">
        <v>518698094</v>
      </c>
      <c r="O1997" s="169" t="s">
        <v>1241</v>
      </c>
      <c r="P1997" s="169" t="s">
        <v>283</v>
      </c>
      <c r="Q1997" s="169" t="s">
        <v>284</v>
      </c>
      <c r="R1997" s="169" t="s">
        <v>283</v>
      </c>
      <c r="S1997" s="169" t="s">
        <v>283</v>
      </c>
      <c r="T1997" s="169">
        <v>0</v>
      </c>
    </row>
    <row r="1998" spans="1:20" x14ac:dyDescent="0.2">
      <c r="A1998" s="169" t="str">
        <f t="shared" si="10"/>
        <v>642</v>
      </c>
      <c r="B1998" s="167" t="str">
        <f>_xlfn.XLOOKUP(I1998,Mapping!D:D,Mapping!E:E)</f>
        <v>Kế Toán</v>
      </c>
      <c r="C1998" s="167" t="str">
        <f>_xlfn.XLOOKUP(F1998,Mapping!A:A,Mapping!F:F)</f>
        <v>Lương Chính +T13</v>
      </c>
      <c r="D1998" s="173">
        <v>45991</v>
      </c>
      <c r="E1998" s="169" t="s">
        <v>1238</v>
      </c>
      <c r="F1998" s="169" t="s">
        <v>285</v>
      </c>
      <c r="G1998" s="169" t="s">
        <v>286</v>
      </c>
      <c r="H1998" s="169" t="s">
        <v>356</v>
      </c>
      <c r="I1998" s="169" t="s">
        <v>357</v>
      </c>
      <c r="J1998" s="169" t="s">
        <v>1239</v>
      </c>
      <c r="K1998" s="169" t="s">
        <v>1240</v>
      </c>
      <c r="L1998" s="169" t="s">
        <v>1213</v>
      </c>
      <c r="M1998" s="169" t="s">
        <v>281</v>
      </c>
      <c r="N1998" s="178">
        <v>12801433</v>
      </c>
      <c r="O1998" s="169" t="s">
        <v>1241</v>
      </c>
      <c r="P1998" s="169" t="s">
        <v>283</v>
      </c>
      <c r="Q1998" s="169" t="s">
        <v>284</v>
      </c>
      <c r="R1998" s="169" t="s">
        <v>283</v>
      </c>
      <c r="S1998" s="169" t="s">
        <v>283</v>
      </c>
      <c r="T1998" s="169">
        <v>0</v>
      </c>
    </row>
    <row r="1999" spans="1:20" x14ac:dyDescent="0.2">
      <c r="A1999" s="169" t="str">
        <f t="shared" si="10"/>
        <v>642</v>
      </c>
      <c r="B1999" s="167" t="str">
        <f>_xlfn.XLOOKUP(I1999,Mapping!D:D,Mapping!E:E)</f>
        <v>Kế Toán</v>
      </c>
      <c r="C1999" s="167" t="str">
        <f>_xlfn.XLOOKUP(F1999,Mapping!A:A,Mapping!F:F)</f>
        <v>Lương Ngoài giờ</v>
      </c>
      <c r="D1999" s="173">
        <v>45991</v>
      </c>
      <c r="E1999" s="169" t="s">
        <v>1238</v>
      </c>
      <c r="F1999" s="169" t="s">
        <v>342</v>
      </c>
      <c r="G1999" s="169" t="s">
        <v>343</v>
      </c>
      <c r="H1999" s="169" t="s">
        <v>356</v>
      </c>
      <c r="I1999" s="169" t="s">
        <v>357</v>
      </c>
      <c r="J1999" s="169" t="s">
        <v>1239</v>
      </c>
      <c r="K1999" s="169" t="s">
        <v>1240</v>
      </c>
      <c r="L1999" s="169" t="s">
        <v>1213</v>
      </c>
      <c r="M1999" s="169" t="s">
        <v>281</v>
      </c>
      <c r="N1999" s="178">
        <v>51796508</v>
      </c>
      <c r="O1999" s="169" t="s">
        <v>1241</v>
      </c>
      <c r="P1999" s="169" t="s">
        <v>283</v>
      </c>
      <c r="Q1999" s="169" t="s">
        <v>284</v>
      </c>
      <c r="R1999" s="169" t="s">
        <v>283</v>
      </c>
      <c r="S1999" s="169" t="s">
        <v>283</v>
      </c>
      <c r="T1999" s="169">
        <v>0</v>
      </c>
    </row>
    <row r="2000" spans="1:20" x14ac:dyDescent="0.2">
      <c r="A2000" s="169" t="str">
        <f t="shared" si="10"/>
        <v>642</v>
      </c>
      <c r="B2000" s="167" t="str">
        <f>_xlfn.XLOOKUP(I2000,Mapping!D:D,Mapping!E:E)</f>
        <v>Kế Toán</v>
      </c>
      <c r="C2000" s="167" t="str">
        <f>_xlfn.XLOOKUP(F2000,Mapping!A:A,Mapping!F:F)</f>
        <v>Phụ Cấp</v>
      </c>
      <c r="D2000" s="173">
        <v>45991</v>
      </c>
      <c r="E2000" s="169" t="s">
        <v>1238</v>
      </c>
      <c r="F2000" s="169" t="s">
        <v>335</v>
      </c>
      <c r="G2000" s="169" t="s">
        <v>336</v>
      </c>
      <c r="H2000" s="169" t="s">
        <v>356</v>
      </c>
      <c r="I2000" s="169" t="s">
        <v>357</v>
      </c>
      <c r="J2000" s="169" t="s">
        <v>1239</v>
      </c>
      <c r="K2000" s="169" t="s">
        <v>1240</v>
      </c>
      <c r="L2000" s="169" t="s">
        <v>1213</v>
      </c>
      <c r="M2000" s="169" t="s">
        <v>281</v>
      </c>
      <c r="N2000" s="178">
        <v>2430000</v>
      </c>
      <c r="O2000" s="169" t="s">
        <v>1241</v>
      </c>
      <c r="P2000" s="169" t="s">
        <v>283</v>
      </c>
      <c r="Q2000" s="169" t="s">
        <v>284</v>
      </c>
      <c r="R2000" s="169" t="s">
        <v>283</v>
      </c>
      <c r="S2000" s="169" t="s">
        <v>283</v>
      </c>
      <c r="T2000" s="169">
        <v>0</v>
      </c>
    </row>
    <row r="2001" spans="1:20" x14ac:dyDescent="0.2">
      <c r="A2001" s="169" t="str">
        <f t="shared" si="10"/>
        <v>641</v>
      </c>
      <c r="B2001" s="167" t="str">
        <f>_xlfn.XLOOKUP(I2001,Mapping!D:D,Mapping!E:E)</f>
        <v>Kinh doanh</v>
      </c>
      <c r="C2001" s="167" t="str">
        <f>_xlfn.XLOOKUP(F2001,Mapping!A:A,Mapping!F:F)</f>
        <v>Lương Chính +T13</v>
      </c>
      <c r="D2001" s="173">
        <v>45991</v>
      </c>
      <c r="E2001" s="169" t="s">
        <v>1238</v>
      </c>
      <c r="F2001" s="169" t="s">
        <v>383</v>
      </c>
      <c r="G2001" s="169" t="s">
        <v>275</v>
      </c>
      <c r="H2001" s="169" t="s">
        <v>366</v>
      </c>
      <c r="I2001" s="169" t="s">
        <v>1</v>
      </c>
      <c r="J2001" s="169" t="s">
        <v>1239</v>
      </c>
      <c r="K2001" s="169" t="s">
        <v>1240</v>
      </c>
      <c r="L2001" s="169" t="s">
        <v>1213</v>
      </c>
      <c r="M2001" s="169" t="s">
        <v>281</v>
      </c>
      <c r="N2001" s="178">
        <v>262578198</v>
      </c>
      <c r="O2001" s="169" t="s">
        <v>1241</v>
      </c>
      <c r="P2001" s="169" t="s">
        <v>283</v>
      </c>
      <c r="Q2001" s="169" t="s">
        <v>284</v>
      </c>
      <c r="R2001" s="169" t="s">
        <v>283</v>
      </c>
      <c r="S2001" s="169" t="s">
        <v>283</v>
      </c>
      <c r="T2001" s="169">
        <v>0</v>
      </c>
    </row>
    <row r="2002" spans="1:20" x14ac:dyDescent="0.2">
      <c r="A2002" s="169" t="str">
        <f t="shared" si="10"/>
        <v>641</v>
      </c>
      <c r="B2002" s="167" t="str">
        <f>_xlfn.XLOOKUP(I2002,Mapping!D:D,Mapping!E:E)</f>
        <v>Kinh doanh</v>
      </c>
      <c r="C2002" s="167" t="str">
        <f>_xlfn.XLOOKUP(F2002,Mapping!A:A,Mapping!F:F)</f>
        <v>Lương Chính +T13</v>
      </c>
      <c r="D2002" s="173">
        <v>45991</v>
      </c>
      <c r="E2002" s="169" t="s">
        <v>1238</v>
      </c>
      <c r="F2002" s="169" t="s">
        <v>384</v>
      </c>
      <c r="G2002" s="169" t="s">
        <v>286</v>
      </c>
      <c r="H2002" s="169" t="s">
        <v>366</v>
      </c>
      <c r="I2002" s="169" t="s">
        <v>1</v>
      </c>
      <c r="J2002" s="169" t="s">
        <v>1239</v>
      </c>
      <c r="K2002" s="169" t="s">
        <v>1240</v>
      </c>
      <c r="L2002" s="169" t="s">
        <v>1213</v>
      </c>
      <c r="M2002" s="169" t="s">
        <v>281</v>
      </c>
      <c r="N2002" s="178">
        <v>5652885</v>
      </c>
      <c r="O2002" s="169" t="s">
        <v>1241</v>
      </c>
      <c r="P2002" s="169" t="s">
        <v>283</v>
      </c>
      <c r="Q2002" s="169" t="s">
        <v>284</v>
      </c>
      <c r="R2002" s="169" t="s">
        <v>283</v>
      </c>
      <c r="S2002" s="169" t="s">
        <v>283</v>
      </c>
      <c r="T2002" s="169">
        <v>0</v>
      </c>
    </row>
    <row r="2003" spans="1:20" x14ac:dyDescent="0.2">
      <c r="A2003" s="169" t="str">
        <f t="shared" si="10"/>
        <v>641</v>
      </c>
      <c r="B2003" s="167" t="str">
        <f>_xlfn.XLOOKUP(I2003,Mapping!D:D,Mapping!E:E)</f>
        <v>Kinh doanh</v>
      </c>
      <c r="C2003" s="167" t="str">
        <f>_xlfn.XLOOKUP(F2003,Mapping!A:A,Mapping!F:F)</f>
        <v>Thưởng</v>
      </c>
      <c r="D2003" s="173">
        <v>45991</v>
      </c>
      <c r="E2003" s="169" t="s">
        <v>1238</v>
      </c>
      <c r="F2003" s="169" t="s">
        <v>365</v>
      </c>
      <c r="G2003" s="169" t="s">
        <v>291</v>
      </c>
      <c r="H2003" s="169" t="s">
        <v>366</v>
      </c>
      <c r="I2003" s="169" t="s">
        <v>1</v>
      </c>
      <c r="J2003" s="169" t="s">
        <v>1239</v>
      </c>
      <c r="K2003" s="169" t="s">
        <v>1240</v>
      </c>
      <c r="L2003" s="169" t="s">
        <v>1213</v>
      </c>
      <c r="M2003" s="169" t="s">
        <v>281</v>
      </c>
      <c r="N2003" s="178">
        <v>134708119</v>
      </c>
      <c r="O2003" s="169" t="s">
        <v>1241</v>
      </c>
      <c r="P2003" s="169" t="s">
        <v>283</v>
      </c>
      <c r="Q2003" s="169" t="s">
        <v>284</v>
      </c>
      <c r="R2003" s="169" t="s">
        <v>283</v>
      </c>
      <c r="S2003" s="169" t="s">
        <v>283</v>
      </c>
      <c r="T2003" s="169">
        <v>0</v>
      </c>
    </row>
    <row r="2004" spans="1:20" x14ac:dyDescent="0.2">
      <c r="A2004" s="169" t="str">
        <f t="shared" si="10"/>
        <v>641</v>
      </c>
      <c r="B2004" s="167" t="str">
        <f>_xlfn.XLOOKUP(I2004,Mapping!D:D,Mapping!E:E)</f>
        <v>Kinh doanh</v>
      </c>
      <c r="C2004" s="167" t="str">
        <f>_xlfn.XLOOKUP(F2004,Mapping!A:A,Mapping!F:F)</f>
        <v>Phụ Cấp</v>
      </c>
      <c r="D2004" s="173">
        <v>45991</v>
      </c>
      <c r="E2004" s="169" t="s">
        <v>1238</v>
      </c>
      <c r="F2004" s="169" t="s">
        <v>385</v>
      </c>
      <c r="G2004" s="169" t="s">
        <v>336</v>
      </c>
      <c r="H2004" s="169" t="s">
        <v>366</v>
      </c>
      <c r="I2004" s="169" t="s">
        <v>1</v>
      </c>
      <c r="J2004" s="169" t="s">
        <v>1239</v>
      </c>
      <c r="K2004" s="169" t="s">
        <v>1240</v>
      </c>
      <c r="L2004" s="169" t="s">
        <v>1213</v>
      </c>
      <c r="M2004" s="169" t="s">
        <v>281</v>
      </c>
      <c r="N2004" s="178">
        <v>100000</v>
      </c>
      <c r="O2004" s="169" t="s">
        <v>1241</v>
      </c>
      <c r="P2004" s="169" t="s">
        <v>283</v>
      </c>
      <c r="Q2004" s="169" t="s">
        <v>284</v>
      </c>
      <c r="R2004" s="169" t="s">
        <v>283</v>
      </c>
      <c r="S2004" s="169" t="s">
        <v>283</v>
      </c>
      <c r="T2004" s="169">
        <v>0</v>
      </c>
    </row>
    <row r="2005" spans="1:20" x14ac:dyDescent="0.2">
      <c r="A2005" s="169" t="str">
        <f t="shared" si="10"/>
        <v>642</v>
      </c>
      <c r="B2005" s="167" t="str">
        <f>_xlfn.XLOOKUP(I2005,Mapping!D:D,Mapping!E:E)</f>
        <v>Cung Ứng</v>
      </c>
      <c r="C2005" s="167" t="str">
        <f>_xlfn.XLOOKUP(F2005,Mapping!A:A,Mapping!F:F)</f>
        <v>Lương Chính +T13</v>
      </c>
      <c r="D2005" s="173">
        <v>45991</v>
      </c>
      <c r="E2005" s="169" t="s">
        <v>1238</v>
      </c>
      <c r="F2005" s="169" t="s">
        <v>274</v>
      </c>
      <c r="G2005" s="169" t="s">
        <v>275</v>
      </c>
      <c r="H2005" s="169" t="s">
        <v>380</v>
      </c>
      <c r="I2005" s="169" t="s">
        <v>381</v>
      </c>
      <c r="J2005" s="169" t="s">
        <v>1239</v>
      </c>
      <c r="K2005" s="169" t="s">
        <v>1240</v>
      </c>
      <c r="L2005" s="169" t="s">
        <v>1213</v>
      </c>
      <c r="M2005" s="169" t="s">
        <v>281</v>
      </c>
      <c r="N2005" s="178">
        <v>551878790</v>
      </c>
      <c r="O2005" s="169" t="s">
        <v>1241</v>
      </c>
      <c r="P2005" s="169" t="s">
        <v>283</v>
      </c>
      <c r="Q2005" s="169" t="s">
        <v>284</v>
      </c>
      <c r="R2005" s="169" t="s">
        <v>283</v>
      </c>
      <c r="S2005" s="169" t="s">
        <v>283</v>
      </c>
      <c r="T2005" s="169">
        <v>0</v>
      </c>
    </row>
    <row r="2006" spans="1:20" x14ac:dyDescent="0.2">
      <c r="A2006" s="169" t="str">
        <f t="shared" si="10"/>
        <v>642</v>
      </c>
      <c r="B2006" s="167" t="str">
        <f>_xlfn.XLOOKUP(I2006,Mapping!D:D,Mapping!E:E)</f>
        <v>Cung Ứng</v>
      </c>
      <c r="C2006" s="167" t="str">
        <f>_xlfn.XLOOKUP(F2006,Mapping!A:A,Mapping!F:F)</f>
        <v>Lương Chính +T13</v>
      </c>
      <c r="D2006" s="173">
        <v>45991</v>
      </c>
      <c r="E2006" s="169" t="s">
        <v>1238</v>
      </c>
      <c r="F2006" s="169" t="s">
        <v>285</v>
      </c>
      <c r="G2006" s="169" t="s">
        <v>286</v>
      </c>
      <c r="H2006" s="169" t="s">
        <v>380</v>
      </c>
      <c r="I2006" s="169" t="s">
        <v>381</v>
      </c>
      <c r="J2006" s="169" t="s">
        <v>1239</v>
      </c>
      <c r="K2006" s="169" t="s">
        <v>1240</v>
      </c>
      <c r="L2006" s="169" t="s">
        <v>1213</v>
      </c>
      <c r="M2006" s="169" t="s">
        <v>281</v>
      </c>
      <c r="N2006" s="178">
        <v>7227616</v>
      </c>
      <c r="O2006" s="169" t="s">
        <v>1241</v>
      </c>
      <c r="P2006" s="169" t="s">
        <v>283</v>
      </c>
      <c r="Q2006" s="169" t="s">
        <v>284</v>
      </c>
      <c r="R2006" s="169" t="s">
        <v>283</v>
      </c>
      <c r="S2006" s="169" t="s">
        <v>283</v>
      </c>
      <c r="T2006" s="169">
        <v>0</v>
      </c>
    </row>
    <row r="2007" spans="1:20" x14ac:dyDescent="0.2">
      <c r="A2007" s="169" t="str">
        <f t="shared" si="10"/>
        <v>642</v>
      </c>
      <c r="B2007" s="167" t="str">
        <f>_xlfn.XLOOKUP(I2007,Mapping!D:D,Mapping!E:E)</f>
        <v>Cung Ứng</v>
      </c>
      <c r="C2007" s="167" t="str">
        <f>_xlfn.XLOOKUP(F2007,Mapping!A:A,Mapping!F:F)</f>
        <v>Thưởng</v>
      </c>
      <c r="D2007" s="173">
        <v>45991</v>
      </c>
      <c r="E2007" s="169" t="s">
        <v>1238</v>
      </c>
      <c r="F2007" s="169" t="s">
        <v>290</v>
      </c>
      <c r="G2007" s="169" t="s">
        <v>291</v>
      </c>
      <c r="H2007" s="169" t="s">
        <v>380</v>
      </c>
      <c r="I2007" s="169" t="s">
        <v>381</v>
      </c>
      <c r="J2007" s="169" t="s">
        <v>1239</v>
      </c>
      <c r="K2007" s="169" t="s">
        <v>1240</v>
      </c>
      <c r="L2007" s="169" t="s">
        <v>1213</v>
      </c>
      <c r="M2007" s="169" t="s">
        <v>281</v>
      </c>
      <c r="N2007" s="178">
        <v>326907079</v>
      </c>
      <c r="O2007" s="169" t="s">
        <v>1241</v>
      </c>
      <c r="P2007" s="169" t="s">
        <v>283</v>
      </c>
      <c r="Q2007" s="169" t="s">
        <v>284</v>
      </c>
      <c r="R2007" s="169" t="s">
        <v>283</v>
      </c>
      <c r="S2007" s="169" t="s">
        <v>283</v>
      </c>
      <c r="T2007" s="169">
        <v>0</v>
      </c>
    </row>
    <row r="2008" spans="1:20" x14ac:dyDescent="0.2">
      <c r="A2008" s="169" t="str">
        <f t="shared" si="10"/>
        <v>642</v>
      </c>
      <c r="B2008" s="167" t="str">
        <f>_xlfn.XLOOKUP(I2008,Mapping!D:D,Mapping!E:E)</f>
        <v>Cung Ứng</v>
      </c>
      <c r="C2008" s="167" t="str">
        <f>_xlfn.XLOOKUP(F2008,Mapping!A:A,Mapping!F:F)</f>
        <v>Phụ Cấp</v>
      </c>
      <c r="D2008" s="173">
        <v>45991</v>
      </c>
      <c r="E2008" s="169" t="s">
        <v>1238</v>
      </c>
      <c r="F2008" s="169" t="s">
        <v>335</v>
      </c>
      <c r="G2008" s="169" t="s">
        <v>336</v>
      </c>
      <c r="H2008" s="169" t="s">
        <v>380</v>
      </c>
      <c r="I2008" s="169" t="s">
        <v>381</v>
      </c>
      <c r="J2008" s="169" t="s">
        <v>1239</v>
      </c>
      <c r="K2008" s="169" t="s">
        <v>1240</v>
      </c>
      <c r="L2008" s="169" t="s">
        <v>1213</v>
      </c>
      <c r="M2008" s="169" t="s">
        <v>281</v>
      </c>
      <c r="N2008" s="178">
        <v>11240000</v>
      </c>
      <c r="O2008" s="169" t="s">
        <v>1241</v>
      </c>
      <c r="P2008" s="169" t="s">
        <v>283</v>
      </c>
      <c r="Q2008" s="169" t="s">
        <v>284</v>
      </c>
      <c r="R2008" s="169" t="s">
        <v>283</v>
      </c>
      <c r="S2008" s="169" t="s">
        <v>283</v>
      </c>
      <c r="T2008" s="169">
        <v>0</v>
      </c>
    </row>
    <row r="2009" spans="1:20" x14ac:dyDescent="0.2">
      <c r="A2009" s="169" t="str">
        <f t="shared" si="10"/>
        <v>642</v>
      </c>
      <c r="B2009" s="167" t="str">
        <f>_xlfn.XLOOKUP(I2009,Mapping!D:D,Mapping!E:E)</f>
        <v>Mua Hàng &amp; XNK</v>
      </c>
      <c r="C2009" s="167" t="str">
        <f>_xlfn.XLOOKUP(F2009,Mapping!A:A,Mapping!F:F)</f>
        <v>Lương Chính +T13</v>
      </c>
      <c r="D2009" s="173">
        <v>45991</v>
      </c>
      <c r="E2009" s="169" t="s">
        <v>1238</v>
      </c>
      <c r="F2009" s="169" t="s">
        <v>274</v>
      </c>
      <c r="G2009" s="169" t="s">
        <v>275</v>
      </c>
      <c r="H2009" s="169" t="s">
        <v>378</v>
      </c>
      <c r="I2009" s="169" t="s">
        <v>379</v>
      </c>
      <c r="J2009" s="169" t="s">
        <v>1239</v>
      </c>
      <c r="K2009" s="169" t="s">
        <v>1240</v>
      </c>
      <c r="L2009" s="169" t="s">
        <v>1213</v>
      </c>
      <c r="M2009" s="169" t="s">
        <v>281</v>
      </c>
      <c r="N2009" s="178">
        <v>169079468</v>
      </c>
      <c r="O2009" s="169" t="s">
        <v>1241</v>
      </c>
      <c r="P2009" s="169" t="s">
        <v>283</v>
      </c>
      <c r="Q2009" s="169" t="s">
        <v>284</v>
      </c>
      <c r="R2009" s="169" t="s">
        <v>283</v>
      </c>
      <c r="S2009" s="169" t="s">
        <v>283</v>
      </c>
      <c r="T2009" s="169">
        <v>0</v>
      </c>
    </row>
    <row r="2010" spans="1:20" x14ac:dyDescent="0.2">
      <c r="A2010" s="169" t="str">
        <f t="shared" si="10"/>
        <v>642</v>
      </c>
      <c r="B2010" s="167" t="str">
        <f>_xlfn.XLOOKUP(I2010,Mapping!D:D,Mapping!E:E)</f>
        <v>Mua Hàng &amp; XNK</v>
      </c>
      <c r="C2010" s="167" t="str">
        <f>_xlfn.XLOOKUP(F2010,Mapping!A:A,Mapping!F:F)</f>
        <v>Lương Chính +T13</v>
      </c>
      <c r="D2010" s="173">
        <v>45991</v>
      </c>
      <c r="E2010" s="169" t="s">
        <v>1238</v>
      </c>
      <c r="F2010" s="169" t="s">
        <v>285</v>
      </c>
      <c r="G2010" s="169" t="s">
        <v>286</v>
      </c>
      <c r="H2010" s="169" t="s">
        <v>378</v>
      </c>
      <c r="I2010" s="169" t="s">
        <v>379</v>
      </c>
      <c r="J2010" s="169" t="s">
        <v>1239</v>
      </c>
      <c r="K2010" s="169" t="s">
        <v>1240</v>
      </c>
      <c r="L2010" s="169" t="s">
        <v>1213</v>
      </c>
      <c r="M2010" s="169" t="s">
        <v>281</v>
      </c>
      <c r="N2010" s="178">
        <v>7811923</v>
      </c>
      <c r="O2010" s="169" t="s">
        <v>1241</v>
      </c>
      <c r="P2010" s="169" t="s">
        <v>283</v>
      </c>
      <c r="Q2010" s="169" t="s">
        <v>284</v>
      </c>
      <c r="R2010" s="169" t="s">
        <v>283</v>
      </c>
      <c r="S2010" s="169" t="s">
        <v>283</v>
      </c>
      <c r="T2010" s="169">
        <v>0</v>
      </c>
    </row>
    <row r="2011" spans="1:20" x14ac:dyDescent="0.2">
      <c r="A2011" s="169" t="str">
        <f t="shared" si="10"/>
        <v>642</v>
      </c>
      <c r="B2011" s="167" t="str">
        <f>_xlfn.XLOOKUP(I2011,Mapping!D:D,Mapping!E:E)</f>
        <v>Mua Hàng &amp; XNK</v>
      </c>
      <c r="C2011" s="167" t="str">
        <f>_xlfn.XLOOKUP(F2011,Mapping!A:A,Mapping!F:F)</f>
        <v>Phụ Cấp</v>
      </c>
      <c r="D2011" s="173">
        <v>45991</v>
      </c>
      <c r="E2011" s="169" t="s">
        <v>1238</v>
      </c>
      <c r="F2011" s="169" t="s">
        <v>335</v>
      </c>
      <c r="G2011" s="169" t="s">
        <v>336</v>
      </c>
      <c r="H2011" s="169" t="s">
        <v>378</v>
      </c>
      <c r="I2011" s="169" t="s">
        <v>379</v>
      </c>
      <c r="J2011" s="169" t="s">
        <v>1239</v>
      </c>
      <c r="K2011" s="169" t="s">
        <v>1240</v>
      </c>
      <c r="L2011" s="169" t="s">
        <v>1213</v>
      </c>
      <c r="M2011" s="169" t="s">
        <v>281</v>
      </c>
      <c r="N2011" s="178">
        <v>500000</v>
      </c>
      <c r="O2011" s="169" t="s">
        <v>1241</v>
      </c>
      <c r="P2011" s="169" t="s">
        <v>283</v>
      </c>
      <c r="Q2011" s="169" t="s">
        <v>284</v>
      </c>
      <c r="R2011" s="169" t="s">
        <v>283</v>
      </c>
      <c r="S2011" s="169" t="s">
        <v>283</v>
      </c>
      <c r="T2011" s="169">
        <v>0</v>
      </c>
    </row>
    <row r="2012" spans="1:20" x14ac:dyDescent="0.2">
      <c r="A2012" s="169" t="str">
        <f t="shared" si="10"/>
        <v>627</v>
      </c>
      <c r="B2012" s="167" t="str">
        <f>_xlfn.XLOOKUP(I2012,Mapping!D:D,Mapping!E:E)</f>
        <v>Kỹ Thuật</v>
      </c>
      <c r="C2012" s="167" t="str">
        <f>_xlfn.XLOOKUP(F2012,Mapping!A:A,Mapping!F:F)</f>
        <v>Phụ Cấp</v>
      </c>
      <c r="D2012" s="173">
        <v>45991</v>
      </c>
      <c r="E2012" s="169" t="s">
        <v>1238</v>
      </c>
      <c r="F2012" s="169" t="s">
        <v>386</v>
      </c>
      <c r="G2012" s="169" t="s">
        <v>341</v>
      </c>
      <c r="H2012" s="169" t="s">
        <v>376</v>
      </c>
      <c r="I2012" s="169" t="s">
        <v>377</v>
      </c>
      <c r="J2012" s="169" t="s">
        <v>1239</v>
      </c>
      <c r="K2012" s="169" t="s">
        <v>1240</v>
      </c>
      <c r="L2012" s="169" t="s">
        <v>1213</v>
      </c>
      <c r="M2012" s="169" t="s">
        <v>281</v>
      </c>
      <c r="N2012" s="178">
        <v>44779857</v>
      </c>
      <c r="O2012" s="169" t="s">
        <v>1241</v>
      </c>
      <c r="P2012" s="169" t="s">
        <v>283</v>
      </c>
      <c r="Q2012" s="169" t="s">
        <v>284</v>
      </c>
      <c r="R2012" s="169" t="s">
        <v>283</v>
      </c>
      <c r="S2012" s="169" t="s">
        <v>283</v>
      </c>
      <c r="T2012" s="169">
        <v>0</v>
      </c>
    </row>
    <row r="2013" spans="1:20" x14ac:dyDescent="0.2">
      <c r="A2013" s="169" t="str">
        <f t="shared" si="10"/>
        <v>627</v>
      </c>
      <c r="B2013" s="167" t="str">
        <f>_xlfn.XLOOKUP(I2013,Mapping!D:D,Mapping!E:E)</f>
        <v>Kỹ Thuật</v>
      </c>
      <c r="C2013" s="167" t="str">
        <f>_xlfn.XLOOKUP(F2013,Mapping!A:A,Mapping!F:F)</f>
        <v>Lương Chính +T13</v>
      </c>
      <c r="D2013" s="173">
        <v>45991</v>
      </c>
      <c r="E2013" s="169" t="s">
        <v>1238</v>
      </c>
      <c r="F2013" s="169" t="s">
        <v>387</v>
      </c>
      <c r="G2013" s="169" t="s">
        <v>275</v>
      </c>
      <c r="H2013" s="169" t="s">
        <v>376</v>
      </c>
      <c r="I2013" s="169" t="s">
        <v>377</v>
      </c>
      <c r="J2013" s="169" t="s">
        <v>1239</v>
      </c>
      <c r="K2013" s="169" t="s">
        <v>1240</v>
      </c>
      <c r="L2013" s="169" t="s">
        <v>1213</v>
      </c>
      <c r="M2013" s="169" t="s">
        <v>281</v>
      </c>
      <c r="N2013" s="178">
        <v>1088094565</v>
      </c>
      <c r="O2013" s="169" t="s">
        <v>1241</v>
      </c>
      <c r="P2013" s="169" t="s">
        <v>283</v>
      </c>
      <c r="Q2013" s="169" t="s">
        <v>284</v>
      </c>
      <c r="R2013" s="169" t="s">
        <v>283</v>
      </c>
      <c r="S2013" s="169" t="s">
        <v>283</v>
      </c>
      <c r="T2013" s="169">
        <v>0</v>
      </c>
    </row>
    <row r="2014" spans="1:20" x14ac:dyDescent="0.2">
      <c r="A2014" s="169" t="str">
        <f t="shared" si="10"/>
        <v>627</v>
      </c>
      <c r="B2014" s="167" t="str">
        <f>_xlfn.XLOOKUP(I2014,Mapping!D:D,Mapping!E:E)</f>
        <v>Kỹ Thuật</v>
      </c>
      <c r="C2014" s="167" t="str">
        <f>_xlfn.XLOOKUP(F2014,Mapping!A:A,Mapping!F:F)</f>
        <v>Lương Chính +T13</v>
      </c>
      <c r="D2014" s="173">
        <v>45991</v>
      </c>
      <c r="E2014" s="169" t="s">
        <v>1238</v>
      </c>
      <c r="F2014" s="169" t="s">
        <v>388</v>
      </c>
      <c r="G2014" s="169" t="s">
        <v>286</v>
      </c>
      <c r="H2014" s="169" t="s">
        <v>376</v>
      </c>
      <c r="I2014" s="169" t="s">
        <v>377</v>
      </c>
      <c r="J2014" s="169" t="s">
        <v>1239</v>
      </c>
      <c r="K2014" s="169" t="s">
        <v>1240</v>
      </c>
      <c r="L2014" s="169" t="s">
        <v>1213</v>
      </c>
      <c r="M2014" s="169" t="s">
        <v>281</v>
      </c>
      <c r="N2014" s="178">
        <v>56746504</v>
      </c>
      <c r="O2014" s="169" t="s">
        <v>1241</v>
      </c>
      <c r="P2014" s="169" t="s">
        <v>283</v>
      </c>
      <c r="Q2014" s="169" t="s">
        <v>284</v>
      </c>
      <c r="R2014" s="169" t="s">
        <v>283</v>
      </c>
      <c r="S2014" s="169" t="s">
        <v>283</v>
      </c>
      <c r="T2014" s="169">
        <v>0</v>
      </c>
    </row>
    <row r="2015" spans="1:20" x14ac:dyDescent="0.2">
      <c r="A2015" s="169" t="str">
        <f t="shared" si="10"/>
        <v>627</v>
      </c>
      <c r="B2015" s="167" t="str">
        <f>_xlfn.XLOOKUP(I2015,Mapping!D:D,Mapping!E:E)</f>
        <v>Kỹ Thuật</v>
      </c>
      <c r="C2015" s="167" t="str">
        <f>_xlfn.XLOOKUP(F2015,Mapping!A:A,Mapping!F:F)</f>
        <v>Lương Ngoài giờ</v>
      </c>
      <c r="D2015" s="173">
        <v>45991</v>
      </c>
      <c r="E2015" s="169" t="s">
        <v>1238</v>
      </c>
      <c r="F2015" s="169" t="s">
        <v>389</v>
      </c>
      <c r="G2015" s="169" t="s">
        <v>390</v>
      </c>
      <c r="H2015" s="169" t="s">
        <v>376</v>
      </c>
      <c r="I2015" s="169" t="s">
        <v>377</v>
      </c>
      <c r="J2015" s="169" t="s">
        <v>1239</v>
      </c>
      <c r="K2015" s="169" t="s">
        <v>1240</v>
      </c>
      <c r="L2015" s="169" t="s">
        <v>1213</v>
      </c>
      <c r="M2015" s="169" t="s">
        <v>281</v>
      </c>
      <c r="N2015" s="178">
        <v>275445780</v>
      </c>
      <c r="O2015" s="169" t="s">
        <v>1241</v>
      </c>
      <c r="P2015" s="169" t="s">
        <v>283</v>
      </c>
      <c r="Q2015" s="169" t="s">
        <v>284</v>
      </c>
      <c r="R2015" s="169" t="s">
        <v>283</v>
      </c>
      <c r="S2015" s="169" t="s">
        <v>283</v>
      </c>
      <c r="T2015" s="169">
        <v>0</v>
      </c>
    </row>
    <row r="2016" spans="1:20" x14ac:dyDescent="0.2">
      <c r="A2016" s="169" t="str">
        <f t="shared" si="10"/>
        <v>627</v>
      </c>
      <c r="B2016" s="167" t="str">
        <f>_xlfn.XLOOKUP(I2016,Mapping!D:D,Mapping!E:E)</f>
        <v>Kỹ Thuật</v>
      </c>
      <c r="C2016" s="167" t="str">
        <f>_xlfn.XLOOKUP(F2016,Mapping!A:A,Mapping!F:F)</f>
        <v>Phụ Cấp</v>
      </c>
      <c r="D2016" s="173">
        <v>45991</v>
      </c>
      <c r="E2016" s="169" t="s">
        <v>1238</v>
      </c>
      <c r="F2016" s="169" t="s">
        <v>375</v>
      </c>
      <c r="G2016" s="169" t="s">
        <v>336</v>
      </c>
      <c r="H2016" s="169" t="s">
        <v>376</v>
      </c>
      <c r="I2016" s="169" t="s">
        <v>377</v>
      </c>
      <c r="J2016" s="169" t="s">
        <v>1239</v>
      </c>
      <c r="K2016" s="169" t="s">
        <v>1240</v>
      </c>
      <c r="L2016" s="169" t="s">
        <v>1213</v>
      </c>
      <c r="M2016" s="169" t="s">
        <v>281</v>
      </c>
      <c r="N2016" s="178">
        <v>275000</v>
      </c>
      <c r="O2016" s="169" t="s">
        <v>1241</v>
      </c>
      <c r="P2016" s="169" t="s">
        <v>283</v>
      </c>
      <c r="Q2016" s="169" t="s">
        <v>284</v>
      </c>
      <c r="R2016" s="169" t="s">
        <v>283</v>
      </c>
      <c r="S2016" s="169" t="s">
        <v>283</v>
      </c>
      <c r="T2016" s="169">
        <v>0</v>
      </c>
    </row>
    <row r="2017" spans="1:20" x14ac:dyDescent="0.2">
      <c r="A2017" s="169" t="str">
        <f t="shared" si="10"/>
        <v>627</v>
      </c>
      <c r="B2017" s="167" t="str">
        <f>_xlfn.XLOOKUP(I2017,Mapping!D:D,Mapping!E:E)</f>
        <v>Kiểm Soát Chất Lượng</v>
      </c>
      <c r="C2017" s="167" t="str">
        <f>_xlfn.XLOOKUP(F2017,Mapping!A:A,Mapping!F:F)</f>
        <v>Phụ Cấp</v>
      </c>
      <c r="D2017" s="173">
        <v>45991</v>
      </c>
      <c r="E2017" s="169" t="s">
        <v>1238</v>
      </c>
      <c r="F2017" s="169" t="s">
        <v>386</v>
      </c>
      <c r="G2017" s="169" t="s">
        <v>341</v>
      </c>
      <c r="H2017" s="169" t="s">
        <v>411</v>
      </c>
      <c r="I2017" s="169" t="s">
        <v>412</v>
      </c>
      <c r="J2017" s="169" t="s">
        <v>1239</v>
      </c>
      <c r="K2017" s="169" t="s">
        <v>1240</v>
      </c>
      <c r="L2017" s="169" t="s">
        <v>1213</v>
      </c>
      <c r="M2017" s="169" t="s">
        <v>281</v>
      </c>
      <c r="N2017" s="178">
        <v>26352312</v>
      </c>
      <c r="O2017" s="169" t="s">
        <v>1241</v>
      </c>
      <c r="P2017" s="169" t="s">
        <v>283</v>
      </c>
      <c r="Q2017" s="169" t="s">
        <v>284</v>
      </c>
      <c r="R2017" s="169" t="s">
        <v>283</v>
      </c>
      <c r="S2017" s="169" t="s">
        <v>283</v>
      </c>
      <c r="T2017" s="169">
        <v>0</v>
      </c>
    </row>
    <row r="2018" spans="1:20" x14ac:dyDescent="0.2">
      <c r="A2018" s="169" t="str">
        <f t="shared" si="10"/>
        <v>627</v>
      </c>
      <c r="B2018" s="167" t="str">
        <f>_xlfn.XLOOKUP(I2018,Mapping!D:D,Mapping!E:E)</f>
        <v>Kiểm Soát Chất Lượng</v>
      </c>
      <c r="C2018" s="167" t="str">
        <f>_xlfn.XLOOKUP(F2018,Mapping!A:A,Mapping!F:F)</f>
        <v>Lương Chính +T13</v>
      </c>
      <c r="D2018" s="173">
        <v>45991</v>
      </c>
      <c r="E2018" s="169" t="s">
        <v>1238</v>
      </c>
      <c r="F2018" s="169" t="s">
        <v>387</v>
      </c>
      <c r="G2018" s="169" t="s">
        <v>275</v>
      </c>
      <c r="H2018" s="169" t="s">
        <v>411</v>
      </c>
      <c r="I2018" s="169" t="s">
        <v>412</v>
      </c>
      <c r="J2018" s="169" t="s">
        <v>1239</v>
      </c>
      <c r="K2018" s="169" t="s">
        <v>1240</v>
      </c>
      <c r="L2018" s="169" t="s">
        <v>1213</v>
      </c>
      <c r="M2018" s="169" t="s">
        <v>281</v>
      </c>
      <c r="N2018" s="178">
        <v>498475148</v>
      </c>
      <c r="O2018" s="169" t="s">
        <v>1241</v>
      </c>
      <c r="P2018" s="169" t="s">
        <v>283</v>
      </c>
      <c r="Q2018" s="169" t="s">
        <v>284</v>
      </c>
      <c r="R2018" s="169" t="s">
        <v>283</v>
      </c>
      <c r="S2018" s="169" t="s">
        <v>283</v>
      </c>
      <c r="T2018" s="169">
        <v>0</v>
      </c>
    </row>
    <row r="2019" spans="1:20" x14ac:dyDescent="0.2">
      <c r="A2019" s="169" t="str">
        <f t="shared" si="10"/>
        <v>627</v>
      </c>
      <c r="B2019" s="167" t="str">
        <f>_xlfn.XLOOKUP(I2019,Mapping!D:D,Mapping!E:E)</f>
        <v>Kiểm Soát Chất Lượng</v>
      </c>
      <c r="C2019" s="167" t="str">
        <f>_xlfn.XLOOKUP(F2019,Mapping!A:A,Mapping!F:F)</f>
        <v>Lương Chính +T13</v>
      </c>
      <c r="D2019" s="173">
        <v>45991</v>
      </c>
      <c r="E2019" s="169" t="s">
        <v>1238</v>
      </c>
      <c r="F2019" s="169" t="s">
        <v>388</v>
      </c>
      <c r="G2019" s="169" t="s">
        <v>286</v>
      </c>
      <c r="H2019" s="169" t="s">
        <v>411</v>
      </c>
      <c r="I2019" s="169" t="s">
        <v>412</v>
      </c>
      <c r="J2019" s="169" t="s">
        <v>1239</v>
      </c>
      <c r="K2019" s="169" t="s">
        <v>1240</v>
      </c>
      <c r="L2019" s="169" t="s">
        <v>1213</v>
      </c>
      <c r="M2019" s="169" t="s">
        <v>281</v>
      </c>
      <c r="N2019" s="178">
        <v>17819594</v>
      </c>
      <c r="O2019" s="169" t="s">
        <v>1241</v>
      </c>
      <c r="P2019" s="169" t="s">
        <v>283</v>
      </c>
      <c r="Q2019" s="169" t="s">
        <v>284</v>
      </c>
      <c r="R2019" s="169" t="s">
        <v>283</v>
      </c>
      <c r="S2019" s="169" t="s">
        <v>283</v>
      </c>
      <c r="T2019" s="169">
        <v>0</v>
      </c>
    </row>
    <row r="2020" spans="1:20" x14ac:dyDescent="0.2">
      <c r="A2020" s="169" t="str">
        <f t="shared" si="10"/>
        <v>627</v>
      </c>
      <c r="B2020" s="167" t="str">
        <f>_xlfn.XLOOKUP(I2020,Mapping!D:D,Mapping!E:E)</f>
        <v>Kiểm Soát Chất Lượng</v>
      </c>
      <c r="C2020" s="167" t="str">
        <f>_xlfn.XLOOKUP(F2020,Mapping!A:A,Mapping!F:F)</f>
        <v>Lương Ngoài giờ</v>
      </c>
      <c r="D2020" s="173">
        <v>45991</v>
      </c>
      <c r="E2020" s="169" t="s">
        <v>1238</v>
      </c>
      <c r="F2020" s="169" t="s">
        <v>389</v>
      </c>
      <c r="G2020" s="169" t="s">
        <v>390</v>
      </c>
      <c r="H2020" s="169" t="s">
        <v>411</v>
      </c>
      <c r="I2020" s="169" t="s">
        <v>412</v>
      </c>
      <c r="J2020" s="169" t="s">
        <v>1239</v>
      </c>
      <c r="K2020" s="169" t="s">
        <v>1240</v>
      </c>
      <c r="L2020" s="169" t="s">
        <v>1213</v>
      </c>
      <c r="M2020" s="169" t="s">
        <v>281</v>
      </c>
      <c r="N2020" s="178">
        <v>151663660</v>
      </c>
      <c r="O2020" s="169" t="s">
        <v>1241</v>
      </c>
      <c r="P2020" s="169" t="s">
        <v>283</v>
      </c>
      <c r="Q2020" s="169" t="s">
        <v>284</v>
      </c>
      <c r="R2020" s="169" t="s">
        <v>283</v>
      </c>
      <c r="S2020" s="169" t="s">
        <v>283</v>
      </c>
      <c r="T2020" s="169">
        <v>0</v>
      </c>
    </row>
    <row r="2021" spans="1:20" x14ac:dyDescent="0.2">
      <c r="A2021" s="169" t="str">
        <f t="shared" si="10"/>
        <v>627</v>
      </c>
      <c r="B2021" s="167" t="str">
        <f>_xlfn.XLOOKUP(I2021,Mapping!D:D,Mapping!E:E)</f>
        <v>Kiểm Soát Chất Lượng</v>
      </c>
      <c r="C2021" s="167" t="str">
        <f>_xlfn.XLOOKUP(F2021,Mapping!A:A,Mapping!F:F)</f>
        <v>Phụ Cấp</v>
      </c>
      <c r="D2021" s="173">
        <v>45991</v>
      </c>
      <c r="E2021" s="169" t="s">
        <v>1238</v>
      </c>
      <c r="F2021" s="169" t="s">
        <v>375</v>
      </c>
      <c r="G2021" s="169" t="s">
        <v>336</v>
      </c>
      <c r="H2021" s="169" t="s">
        <v>411</v>
      </c>
      <c r="I2021" s="169" t="s">
        <v>412</v>
      </c>
      <c r="J2021" s="169" t="s">
        <v>1239</v>
      </c>
      <c r="K2021" s="169" t="s">
        <v>1240</v>
      </c>
      <c r="L2021" s="169" t="s">
        <v>1213</v>
      </c>
      <c r="M2021" s="169" t="s">
        <v>281</v>
      </c>
      <c r="N2021" s="178">
        <v>500000</v>
      </c>
      <c r="O2021" s="169" t="s">
        <v>1241</v>
      </c>
      <c r="P2021" s="169" t="s">
        <v>283</v>
      </c>
      <c r="Q2021" s="169" t="s">
        <v>284</v>
      </c>
      <c r="R2021" s="169" t="s">
        <v>283</v>
      </c>
      <c r="S2021" s="169" t="s">
        <v>283</v>
      </c>
      <c r="T2021" s="169">
        <v>0</v>
      </c>
    </row>
    <row r="2022" spans="1:20" x14ac:dyDescent="0.2">
      <c r="A2022" s="169" t="str">
        <f t="shared" si="10"/>
        <v>627</v>
      </c>
      <c r="B2022" s="167" t="str">
        <f>_xlfn.XLOOKUP(I2022,Mapping!D:D,Mapping!E:E)</f>
        <v>Nghiên Cứu &amp; Phát Triển</v>
      </c>
      <c r="C2022" s="167" t="str">
        <f>_xlfn.XLOOKUP(F2022,Mapping!A:A,Mapping!F:F)</f>
        <v>Lương Chính +T13</v>
      </c>
      <c r="D2022" s="173">
        <v>45991</v>
      </c>
      <c r="E2022" s="169" t="s">
        <v>1238</v>
      </c>
      <c r="F2022" s="169" t="s">
        <v>387</v>
      </c>
      <c r="G2022" s="169" t="s">
        <v>275</v>
      </c>
      <c r="H2022" s="169" t="s">
        <v>418</v>
      </c>
      <c r="I2022" s="169" t="s">
        <v>419</v>
      </c>
      <c r="J2022" s="169" t="s">
        <v>1239</v>
      </c>
      <c r="K2022" s="169" t="s">
        <v>1240</v>
      </c>
      <c r="L2022" s="169" t="s">
        <v>1213</v>
      </c>
      <c r="M2022" s="169" t="s">
        <v>281</v>
      </c>
      <c r="N2022" s="178">
        <v>182451396</v>
      </c>
      <c r="O2022" s="169" t="s">
        <v>1241</v>
      </c>
      <c r="P2022" s="169" t="s">
        <v>283</v>
      </c>
      <c r="Q2022" s="169" t="s">
        <v>284</v>
      </c>
      <c r="R2022" s="169" t="s">
        <v>283</v>
      </c>
      <c r="S2022" s="169" t="s">
        <v>283</v>
      </c>
      <c r="T2022" s="169">
        <v>0</v>
      </c>
    </row>
    <row r="2023" spans="1:20" x14ac:dyDescent="0.2">
      <c r="A2023" s="169" t="str">
        <f t="shared" si="10"/>
        <v>627</v>
      </c>
      <c r="B2023" s="167" t="str">
        <f>_xlfn.XLOOKUP(I2023,Mapping!D:D,Mapping!E:E)</f>
        <v>Nghiên Cứu &amp; Phát Triển</v>
      </c>
      <c r="C2023" s="167" t="str">
        <f>_xlfn.XLOOKUP(F2023,Mapping!A:A,Mapping!F:F)</f>
        <v>Lương Chính +T13</v>
      </c>
      <c r="D2023" s="173">
        <v>45991</v>
      </c>
      <c r="E2023" s="169" t="s">
        <v>1238</v>
      </c>
      <c r="F2023" s="169" t="s">
        <v>388</v>
      </c>
      <c r="G2023" s="169" t="s">
        <v>286</v>
      </c>
      <c r="H2023" s="169" t="s">
        <v>418</v>
      </c>
      <c r="I2023" s="169" t="s">
        <v>419</v>
      </c>
      <c r="J2023" s="169" t="s">
        <v>1239</v>
      </c>
      <c r="K2023" s="169" t="s">
        <v>1240</v>
      </c>
      <c r="L2023" s="169" t="s">
        <v>1213</v>
      </c>
      <c r="M2023" s="169" t="s">
        <v>281</v>
      </c>
      <c r="N2023" s="178">
        <v>12076922</v>
      </c>
      <c r="O2023" s="169" t="s">
        <v>1241</v>
      </c>
      <c r="P2023" s="169" t="s">
        <v>283</v>
      </c>
      <c r="Q2023" s="169" t="s">
        <v>284</v>
      </c>
      <c r="R2023" s="169" t="s">
        <v>283</v>
      </c>
      <c r="S2023" s="169" t="s">
        <v>283</v>
      </c>
      <c r="T2023" s="169">
        <v>0</v>
      </c>
    </row>
    <row r="2024" spans="1:20" x14ac:dyDescent="0.2">
      <c r="A2024" s="169" t="str">
        <f t="shared" si="10"/>
        <v>627</v>
      </c>
      <c r="B2024" s="167" t="str">
        <f>_xlfn.XLOOKUP(I2024,Mapping!D:D,Mapping!E:E)</f>
        <v>Nghiên Cứu &amp; Phát Triển</v>
      </c>
      <c r="C2024" s="167" t="str">
        <f>_xlfn.XLOOKUP(F2024,Mapping!A:A,Mapping!F:F)</f>
        <v>Phụ Cấp</v>
      </c>
      <c r="D2024" s="173">
        <v>45991</v>
      </c>
      <c r="E2024" s="169" t="s">
        <v>1238</v>
      </c>
      <c r="F2024" s="169" t="s">
        <v>375</v>
      </c>
      <c r="G2024" s="169" t="s">
        <v>336</v>
      </c>
      <c r="H2024" s="169" t="s">
        <v>418</v>
      </c>
      <c r="I2024" s="169" t="s">
        <v>419</v>
      </c>
      <c r="J2024" s="169" t="s">
        <v>1239</v>
      </c>
      <c r="K2024" s="169" t="s">
        <v>1240</v>
      </c>
      <c r="L2024" s="169" t="s">
        <v>1213</v>
      </c>
      <c r="M2024" s="169" t="s">
        <v>281</v>
      </c>
      <c r="N2024" s="178">
        <v>800000</v>
      </c>
      <c r="O2024" s="169" t="s">
        <v>1241</v>
      </c>
      <c r="P2024" s="169" t="s">
        <v>283</v>
      </c>
      <c r="Q2024" s="169" t="s">
        <v>284</v>
      </c>
      <c r="R2024" s="169" t="s">
        <v>283</v>
      </c>
      <c r="S2024" s="169" t="s">
        <v>283</v>
      </c>
      <c r="T2024" s="169">
        <v>0</v>
      </c>
    </row>
    <row r="2025" spans="1:20" x14ac:dyDescent="0.2">
      <c r="A2025" s="169" t="str">
        <f t="shared" si="10"/>
        <v>622</v>
      </c>
      <c r="B2025" s="167" t="str">
        <f>_xlfn.XLOOKUP(I2025,Mapping!D:D,Mapping!E:E)</f>
        <v>Xưởng Sản Xuất</v>
      </c>
      <c r="C2025" s="167" t="str">
        <f>_xlfn.XLOOKUP(F2025,Mapping!A:A,Mapping!F:F)</f>
        <v>Lương Chính +T13</v>
      </c>
      <c r="D2025" s="173">
        <v>45991</v>
      </c>
      <c r="E2025" s="169" t="s">
        <v>1238</v>
      </c>
      <c r="F2025" s="169" t="s">
        <v>400</v>
      </c>
      <c r="G2025" s="169" t="s">
        <v>401</v>
      </c>
      <c r="H2025" s="169" t="s">
        <v>402</v>
      </c>
      <c r="I2025" s="169" t="s">
        <v>403</v>
      </c>
      <c r="J2025" s="169" t="s">
        <v>1239</v>
      </c>
      <c r="K2025" s="169" t="s">
        <v>1240</v>
      </c>
      <c r="L2025" s="169" t="s">
        <v>1213</v>
      </c>
      <c r="M2025" s="169" t="s">
        <v>281</v>
      </c>
      <c r="N2025" s="178">
        <v>1712520007</v>
      </c>
      <c r="O2025" s="169" t="s">
        <v>1241</v>
      </c>
      <c r="P2025" s="169" t="s">
        <v>283</v>
      </c>
      <c r="Q2025" s="169" t="s">
        <v>284</v>
      </c>
      <c r="R2025" s="169" t="s">
        <v>283</v>
      </c>
      <c r="S2025" s="169" t="s">
        <v>283</v>
      </c>
      <c r="T2025" s="169">
        <v>0</v>
      </c>
    </row>
    <row r="2026" spans="1:20" x14ac:dyDescent="0.2">
      <c r="A2026" s="169" t="str">
        <f t="shared" si="10"/>
        <v>622</v>
      </c>
      <c r="B2026" s="167" t="str">
        <f>_xlfn.XLOOKUP(I2026,Mapping!D:D,Mapping!E:E)</f>
        <v>Xưởng Sản Xuất</v>
      </c>
      <c r="C2026" s="167" t="str">
        <f>_xlfn.XLOOKUP(F2026,Mapping!A:A,Mapping!F:F)</f>
        <v>Lương Chính +T13</v>
      </c>
      <c r="D2026" s="173">
        <v>45991</v>
      </c>
      <c r="E2026" s="169" t="s">
        <v>1238</v>
      </c>
      <c r="F2026" s="169" t="s">
        <v>420</v>
      </c>
      <c r="G2026" s="169" t="s">
        <v>286</v>
      </c>
      <c r="H2026" s="169" t="s">
        <v>402</v>
      </c>
      <c r="I2026" s="169" t="s">
        <v>403</v>
      </c>
      <c r="J2026" s="169" t="s">
        <v>1239</v>
      </c>
      <c r="K2026" s="169" t="s">
        <v>1240</v>
      </c>
      <c r="L2026" s="169" t="s">
        <v>1213</v>
      </c>
      <c r="M2026" s="169" t="s">
        <v>281</v>
      </c>
      <c r="N2026" s="178">
        <v>61182322</v>
      </c>
      <c r="O2026" s="169" t="s">
        <v>1241</v>
      </c>
      <c r="P2026" s="169" t="s">
        <v>283</v>
      </c>
      <c r="Q2026" s="169" t="s">
        <v>284</v>
      </c>
      <c r="R2026" s="169" t="s">
        <v>283</v>
      </c>
      <c r="S2026" s="169" t="s">
        <v>283</v>
      </c>
      <c r="T2026" s="169">
        <v>0</v>
      </c>
    </row>
    <row r="2027" spans="1:20" x14ac:dyDescent="0.2">
      <c r="A2027" s="169" t="str">
        <f t="shared" si="10"/>
        <v>622</v>
      </c>
      <c r="B2027" s="167" t="str">
        <f>_xlfn.XLOOKUP(I2027,Mapping!D:D,Mapping!E:E)</f>
        <v>Xưởng Sản Xuất</v>
      </c>
      <c r="C2027" s="167" t="str">
        <f>_xlfn.XLOOKUP(F2027,Mapping!A:A,Mapping!F:F)</f>
        <v>Phụ Cấp</v>
      </c>
      <c r="D2027" s="173">
        <v>45991</v>
      </c>
      <c r="E2027" s="169" t="s">
        <v>1238</v>
      </c>
      <c r="F2027" s="169" t="s">
        <v>421</v>
      </c>
      <c r="G2027" s="169" t="s">
        <v>341</v>
      </c>
      <c r="H2027" s="169" t="s">
        <v>402</v>
      </c>
      <c r="I2027" s="169" t="s">
        <v>403</v>
      </c>
      <c r="J2027" s="169" t="s">
        <v>1239</v>
      </c>
      <c r="K2027" s="169" t="s">
        <v>1240</v>
      </c>
      <c r="L2027" s="169" t="s">
        <v>1213</v>
      </c>
      <c r="M2027" s="169" t="s">
        <v>281</v>
      </c>
      <c r="N2027" s="178">
        <v>141034499</v>
      </c>
      <c r="O2027" s="169" t="s">
        <v>1241</v>
      </c>
      <c r="P2027" s="169" t="s">
        <v>283</v>
      </c>
      <c r="Q2027" s="169" t="s">
        <v>284</v>
      </c>
      <c r="R2027" s="169" t="s">
        <v>283</v>
      </c>
      <c r="S2027" s="169" t="s">
        <v>283</v>
      </c>
      <c r="T2027" s="169">
        <v>0</v>
      </c>
    </row>
    <row r="2028" spans="1:20" x14ac:dyDescent="0.2">
      <c r="A2028" s="169" t="str">
        <f t="shared" si="10"/>
        <v>622</v>
      </c>
      <c r="B2028" s="167" t="str">
        <f>_xlfn.XLOOKUP(I2028,Mapping!D:D,Mapping!E:E)</f>
        <v>Xưởng Sản Xuất</v>
      </c>
      <c r="C2028" s="167" t="str">
        <f>_xlfn.XLOOKUP(F2028,Mapping!A:A,Mapping!F:F)</f>
        <v>Lương Ngoài giờ</v>
      </c>
      <c r="D2028" s="173">
        <v>45991</v>
      </c>
      <c r="E2028" s="169" t="s">
        <v>1238</v>
      </c>
      <c r="F2028" s="169" t="s">
        <v>422</v>
      </c>
      <c r="G2028" s="169" t="s">
        <v>423</v>
      </c>
      <c r="H2028" s="169" t="s">
        <v>402</v>
      </c>
      <c r="I2028" s="169" t="s">
        <v>403</v>
      </c>
      <c r="J2028" s="169" t="s">
        <v>1239</v>
      </c>
      <c r="K2028" s="169" t="s">
        <v>1240</v>
      </c>
      <c r="L2028" s="169" t="s">
        <v>1213</v>
      </c>
      <c r="M2028" s="169" t="s">
        <v>281</v>
      </c>
      <c r="N2028" s="178">
        <v>309548280</v>
      </c>
      <c r="O2028" s="169" t="s">
        <v>1241</v>
      </c>
      <c r="P2028" s="169" t="s">
        <v>283</v>
      </c>
      <c r="Q2028" s="169" t="s">
        <v>284</v>
      </c>
      <c r="R2028" s="169" t="s">
        <v>283</v>
      </c>
      <c r="S2028" s="169" t="s">
        <v>283</v>
      </c>
      <c r="T2028" s="169">
        <v>0</v>
      </c>
    </row>
    <row r="2029" spans="1:20" x14ac:dyDescent="0.2">
      <c r="A2029" s="169" t="str">
        <f t="shared" si="10"/>
        <v>622</v>
      </c>
      <c r="B2029" s="167" t="str">
        <f>_xlfn.XLOOKUP(I2029,Mapping!D:D,Mapping!E:E)</f>
        <v>Xưởng Sản Xuất</v>
      </c>
      <c r="C2029" s="167" t="str">
        <f>_xlfn.XLOOKUP(F2029,Mapping!A:A,Mapping!F:F)</f>
        <v>Phụ Cấp</v>
      </c>
      <c r="D2029" s="173">
        <v>45991</v>
      </c>
      <c r="E2029" s="169" t="s">
        <v>1238</v>
      </c>
      <c r="F2029" s="169" t="s">
        <v>414</v>
      </c>
      <c r="G2029" s="169" t="s">
        <v>415</v>
      </c>
      <c r="H2029" s="169" t="s">
        <v>402</v>
      </c>
      <c r="I2029" s="169" t="s">
        <v>403</v>
      </c>
      <c r="J2029" s="169" t="s">
        <v>1239</v>
      </c>
      <c r="K2029" s="169" t="s">
        <v>1240</v>
      </c>
      <c r="L2029" s="169" t="s">
        <v>1213</v>
      </c>
      <c r="M2029" s="169" t="s">
        <v>281</v>
      </c>
      <c r="N2029" s="178">
        <v>70000</v>
      </c>
      <c r="O2029" s="169" t="s">
        <v>1241</v>
      </c>
      <c r="P2029" s="169" t="s">
        <v>283</v>
      </c>
      <c r="Q2029" s="169" t="s">
        <v>284</v>
      </c>
      <c r="R2029" s="169" t="s">
        <v>283</v>
      </c>
      <c r="S2029" s="169" t="s">
        <v>283</v>
      </c>
      <c r="T2029" s="169">
        <v>0</v>
      </c>
    </row>
    <row r="2030" spans="1:20" x14ac:dyDescent="0.2">
      <c r="A2030" s="169" t="str">
        <f t="shared" si="10"/>
        <v>627</v>
      </c>
      <c r="B2030" s="167" t="str">
        <f>_xlfn.XLOOKUP(I2030,Mapping!D:D,Mapping!E:E)</f>
        <v>Xưởng Sản Xuất</v>
      </c>
      <c r="C2030" s="167" t="str">
        <f>_xlfn.XLOOKUP(F2030,Mapping!A:A,Mapping!F:F)</f>
        <v>Phụ Cấp</v>
      </c>
      <c r="D2030" s="173">
        <v>45991</v>
      </c>
      <c r="E2030" s="169" t="s">
        <v>1238</v>
      </c>
      <c r="F2030" s="169" t="s">
        <v>386</v>
      </c>
      <c r="G2030" s="169" t="s">
        <v>341</v>
      </c>
      <c r="H2030" s="169" t="s">
        <v>402</v>
      </c>
      <c r="I2030" s="169" t="s">
        <v>403</v>
      </c>
      <c r="J2030" s="169" t="s">
        <v>1239</v>
      </c>
      <c r="K2030" s="169" t="s">
        <v>1240</v>
      </c>
      <c r="L2030" s="169" t="s">
        <v>1213</v>
      </c>
      <c r="M2030" s="169" t="s">
        <v>281</v>
      </c>
      <c r="N2030" s="178">
        <v>11340623</v>
      </c>
      <c r="O2030" s="169" t="s">
        <v>1241</v>
      </c>
      <c r="P2030" s="169" t="s">
        <v>283</v>
      </c>
      <c r="Q2030" s="169" t="s">
        <v>284</v>
      </c>
      <c r="R2030" s="169" t="s">
        <v>283</v>
      </c>
      <c r="S2030" s="169" t="s">
        <v>283</v>
      </c>
      <c r="T2030" s="169">
        <v>0</v>
      </c>
    </row>
    <row r="2031" spans="1:20" x14ac:dyDescent="0.2">
      <c r="A2031" s="169" t="str">
        <f t="shared" si="10"/>
        <v>627</v>
      </c>
      <c r="B2031" s="167" t="str">
        <f>_xlfn.XLOOKUP(I2031,Mapping!D:D,Mapping!E:E)</f>
        <v>Xưởng Sản Xuất</v>
      </c>
      <c r="C2031" s="167" t="str">
        <f>_xlfn.XLOOKUP(F2031,Mapping!A:A,Mapping!F:F)</f>
        <v>Lương Chính +T13</v>
      </c>
      <c r="D2031" s="173">
        <v>45991</v>
      </c>
      <c r="E2031" s="169" t="s">
        <v>1238</v>
      </c>
      <c r="F2031" s="169" t="s">
        <v>387</v>
      </c>
      <c r="G2031" s="169" t="s">
        <v>275</v>
      </c>
      <c r="H2031" s="169" t="s">
        <v>402</v>
      </c>
      <c r="I2031" s="169" t="s">
        <v>403</v>
      </c>
      <c r="J2031" s="169" t="s">
        <v>1239</v>
      </c>
      <c r="K2031" s="169" t="s">
        <v>1240</v>
      </c>
      <c r="L2031" s="169" t="s">
        <v>1213</v>
      </c>
      <c r="M2031" s="169" t="s">
        <v>281</v>
      </c>
      <c r="N2031" s="178">
        <v>408030574</v>
      </c>
      <c r="O2031" s="169" t="s">
        <v>1241</v>
      </c>
      <c r="P2031" s="169" t="s">
        <v>283</v>
      </c>
      <c r="Q2031" s="169" t="s">
        <v>284</v>
      </c>
      <c r="R2031" s="169" t="s">
        <v>283</v>
      </c>
      <c r="S2031" s="169" t="s">
        <v>283</v>
      </c>
      <c r="T2031" s="169">
        <v>0</v>
      </c>
    </row>
    <row r="2032" spans="1:20" x14ac:dyDescent="0.2">
      <c r="A2032" s="169" t="str">
        <f t="shared" ref="A2032:A2095" si="11">LEFT(F2032,3)</f>
        <v>627</v>
      </c>
      <c r="B2032" s="167" t="str">
        <f>_xlfn.XLOOKUP(I2032,Mapping!D:D,Mapping!E:E)</f>
        <v>Xưởng Sản Xuất</v>
      </c>
      <c r="C2032" s="167" t="str">
        <f>_xlfn.XLOOKUP(F2032,Mapping!A:A,Mapping!F:F)</f>
        <v>Lương Chính +T13</v>
      </c>
      <c r="D2032" s="173">
        <v>45991</v>
      </c>
      <c r="E2032" s="169" t="s">
        <v>1238</v>
      </c>
      <c r="F2032" s="169" t="s">
        <v>388</v>
      </c>
      <c r="G2032" s="169" t="s">
        <v>286</v>
      </c>
      <c r="H2032" s="169" t="s">
        <v>402</v>
      </c>
      <c r="I2032" s="169" t="s">
        <v>403</v>
      </c>
      <c r="J2032" s="169" t="s">
        <v>1239</v>
      </c>
      <c r="K2032" s="169" t="s">
        <v>1240</v>
      </c>
      <c r="L2032" s="169" t="s">
        <v>1213</v>
      </c>
      <c r="M2032" s="169" t="s">
        <v>281</v>
      </c>
      <c r="N2032" s="178">
        <v>18417520</v>
      </c>
      <c r="O2032" s="169" t="s">
        <v>1241</v>
      </c>
      <c r="P2032" s="169" t="s">
        <v>283</v>
      </c>
      <c r="Q2032" s="169" t="s">
        <v>284</v>
      </c>
      <c r="R2032" s="169" t="s">
        <v>283</v>
      </c>
      <c r="S2032" s="169" t="s">
        <v>283</v>
      </c>
      <c r="T2032" s="169">
        <v>0</v>
      </c>
    </row>
    <row r="2033" spans="1:20" x14ac:dyDescent="0.2">
      <c r="A2033" s="169" t="str">
        <f t="shared" si="11"/>
        <v>627</v>
      </c>
      <c r="B2033" s="167" t="str">
        <f>_xlfn.XLOOKUP(I2033,Mapping!D:D,Mapping!E:E)</f>
        <v>Xưởng Sản Xuất</v>
      </c>
      <c r="C2033" s="167" t="str">
        <f>_xlfn.XLOOKUP(F2033,Mapping!A:A,Mapping!F:F)</f>
        <v>Lương Ngoài giờ</v>
      </c>
      <c r="D2033" s="173">
        <v>45991</v>
      </c>
      <c r="E2033" s="169" t="s">
        <v>1238</v>
      </c>
      <c r="F2033" s="169" t="s">
        <v>389</v>
      </c>
      <c r="G2033" s="169" t="s">
        <v>390</v>
      </c>
      <c r="H2033" s="169" t="s">
        <v>402</v>
      </c>
      <c r="I2033" s="169" t="s">
        <v>403</v>
      </c>
      <c r="J2033" s="169" t="s">
        <v>1239</v>
      </c>
      <c r="K2033" s="169" t="s">
        <v>1240</v>
      </c>
      <c r="L2033" s="169" t="s">
        <v>1213</v>
      </c>
      <c r="M2033" s="169" t="s">
        <v>281</v>
      </c>
      <c r="N2033" s="178">
        <v>41479091</v>
      </c>
      <c r="O2033" s="169" t="s">
        <v>1241</v>
      </c>
      <c r="P2033" s="169" t="s">
        <v>283</v>
      </c>
      <c r="Q2033" s="169" t="s">
        <v>284</v>
      </c>
      <c r="R2033" s="169" t="s">
        <v>283</v>
      </c>
      <c r="S2033" s="169" t="s">
        <v>283</v>
      </c>
      <c r="T2033" s="169">
        <v>0</v>
      </c>
    </row>
    <row r="2034" spans="1:20" x14ac:dyDescent="0.2">
      <c r="A2034" s="169" t="str">
        <f t="shared" si="11"/>
        <v>627</v>
      </c>
      <c r="B2034" s="167" t="str">
        <f>_xlfn.XLOOKUP(I2034,Mapping!D:D,Mapping!E:E)</f>
        <v>Xưởng Sản Xuất</v>
      </c>
      <c r="C2034" s="167" t="str">
        <f>_xlfn.XLOOKUP(F2034,Mapping!A:A,Mapping!F:F)</f>
        <v>Phụ Cấp</v>
      </c>
      <c r="D2034" s="173">
        <v>45991</v>
      </c>
      <c r="E2034" s="169" t="s">
        <v>1238</v>
      </c>
      <c r="F2034" s="169" t="s">
        <v>375</v>
      </c>
      <c r="G2034" s="169" t="s">
        <v>336</v>
      </c>
      <c r="H2034" s="169" t="s">
        <v>402</v>
      </c>
      <c r="I2034" s="169" t="s">
        <v>403</v>
      </c>
      <c r="J2034" s="169" t="s">
        <v>1239</v>
      </c>
      <c r="K2034" s="169" t="s">
        <v>1240</v>
      </c>
      <c r="L2034" s="169" t="s">
        <v>1213</v>
      </c>
      <c r="M2034" s="169" t="s">
        <v>281</v>
      </c>
      <c r="N2034" s="178">
        <v>520000</v>
      </c>
      <c r="O2034" s="169" t="s">
        <v>1241</v>
      </c>
      <c r="P2034" s="169" t="s">
        <v>283</v>
      </c>
      <c r="Q2034" s="169" t="s">
        <v>284</v>
      </c>
      <c r="R2034" s="169" t="s">
        <v>283</v>
      </c>
      <c r="S2034" s="169" t="s">
        <v>283</v>
      </c>
      <c r="T2034" s="169">
        <v>0</v>
      </c>
    </row>
    <row r="2035" spans="1:20" x14ac:dyDescent="0.2">
      <c r="A2035" s="169" t="str">
        <f t="shared" si="11"/>
        <v>622</v>
      </c>
      <c r="B2035" s="167" t="str">
        <f>_xlfn.XLOOKUP(I2035,Mapping!D:D,Mapping!E:E)</f>
        <v>Xưởng Sản Xuất</v>
      </c>
      <c r="C2035" s="167" t="str">
        <f>_xlfn.XLOOKUP(F2035,Mapping!A:A,Mapping!F:F)</f>
        <v>Lương Chính +T13</v>
      </c>
      <c r="D2035" s="173">
        <v>45991</v>
      </c>
      <c r="E2035" s="169" t="s">
        <v>1238</v>
      </c>
      <c r="F2035" s="169" t="s">
        <v>400</v>
      </c>
      <c r="G2035" s="169" t="s">
        <v>401</v>
      </c>
      <c r="H2035" s="169" t="s">
        <v>430</v>
      </c>
      <c r="I2035" s="169" t="s">
        <v>431</v>
      </c>
      <c r="J2035" s="169" t="s">
        <v>1239</v>
      </c>
      <c r="K2035" s="169" t="s">
        <v>1240</v>
      </c>
      <c r="L2035" s="169" t="s">
        <v>1213</v>
      </c>
      <c r="M2035" s="169" t="s">
        <v>281</v>
      </c>
      <c r="N2035" s="178">
        <v>291472917</v>
      </c>
      <c r="O2035" s="169" t="s">
        <v>1241</v>
      </c>
      <c r="P2035" s="169" t="s">
        <v>283</v>
      </c>
      <c r="Q2035" s="169" t="s">
        <v>284</v>
      </c>
      <c r="R2035" s="169" t="s">
        <v>283</v>
      </c>
      <c r="S2035" s="169" t="s">
        <v>283</v>
      </c>
      <c r="T2035" s="169">
        <v>0</v>
      </c>
    </row>
    <row r="2036" spans="1:20" x14ac:dyDescent="0.2">
      <c r="A2036" s="169" t="str">
        <f t="shared" si="11"/>
        <v>622</v>
      </c>
      <c r="B2036" s="167" t="str">
        <f>_xlfn.XLOOKUP(I2036,Mapping!D:D,Mapping!E:E)</f>
        <v>Xưởng Sản Xuất</v>
      </c>
      <c r="C2036" s="167" t="str">
        <f>_xlfn.XLOOKUP(F2036,Mapping!A:A,Mapping!F:F)</f>
        <v>Lương Chính +T13</v>
      </c>
      <c r="D2036" s="173">
        <v>45991</v>
      </c>
      <c r="E2036" s="169" t="s">
        <v>1238</v>
      </c>
      <c r="F2036" s="169" t="s">
        <v>420</v>
      </c>
      <c r="G2036" s="169" t="s">
        <v>286</v>
      </c>
      <c r="H2036" s="169" t="s">
        <v>430</v>
      </c>
      <c r="I2036" s="169" t="s">
        <v>431</v>
      </c>
      <c r="J2036" s="169" t="s">
        <v>1239</v>
      </c>
      <c r="K2036" s="169" t="s">
        <v>1240</v>
      </c>
      <c r="L2036" s="169" t="s">
        <v>1213</v>
      </c>
      <c r="M2036" s="169" t="s">
        <v>281</v>
      </c>
      <c r="N2036" s="178">
        <v>9163390</v>
      </c>
      <c r="O2036" s="169" t="s">
        <v>1241</v>
      </c>
      <c r="P2036" s="169" t="s">
        <v>283</v>
      </c>
      <c r="Q2036" s="169" t="s">
        <v>284</v>
      </c>
      <c r="R2036" s="169" t="s">
        <v>283</v>
      </c>
      <c r="S2036" s="169" t="s">
        <v>283</v>
      </c>
      <c r="T2036" s="169">
        <v>0</v>
      </c>
    </row>
    <row r="2037" spans="1:20" x14ac:dyDescent="0.2">
      <c r="A2037" s="169" t="str">
        <f t="shared" si="11"/>
        <v>622</v>
      </c>
      <c r="B2037" s="167" t="str">
        <f>_xlfn.XLOOKUP(I2037,Mapping!D:D,Mapping!E:E)</f>
        <v>Xưởng Sản Xuất</v>
      </c>
      <c r="C2037" s="167" t="str">
        <f>_xlfn.XLOOKUP(F2037,Mapping!A:A,Mapping!F:F)</f>
        <v>Phụ Cấp</v>
      </c>
      <c r="D2037" s="173">
        <v>45991</v>
      </c>
      <c r="E2037" s="169" t="s">
        <v>1238</v>
      </c>
      <c r="F2037" s="169" t="s">
        <v>421</v>
      </c>
      <c r="G2037" s="169" t="s">
        <v>341</v>
      </c>
      <c r="H2037" s="169" t="s">
        <v>430</v>
      </c>
      <c r="I2037" s="169" t="s">
        <v>431</v>
      </c>
      <c r="J2037" s="169" t="s">
        <v>1239</v>
      </c>
      <c r="K2037" s="169" t="s">
        <v>1240</v>
      </c>
      <c r="L2037" s="169" t="s">
        <v>1213</v>
      </c>
      <c r="M2037" s="169" t="s">
        <v>281</v>
      </c>
      <c r="N2037" s="178">
        <v>25530774</v>
      </c>
      <c r="O2037" s="169" t="s">
        <v>1241</v>
      </c>
      <c r="P2037" s="169" t="s">
        <v>283</v>
      </c>
      <c r="Q2037" s="169" t="s">
        <v>284</v>
      </c>
      <c r="R2037" s="169" t="s">
        <v>283</v>
      </c>
      <c r="S2037" s="169" t="s">
        <v>283</v>
      </c>
      <c r="T2037" s="169">
        <v>0</v>
      </c>
    </row>
    <row r="2038" spans="1:20" x14ac:dyDescent="0.2">
      <c r="A2038" s="169" t="str">
        <f t="shared" si="11"/>
        <v>622</v>
      </c>
      <c r="B2038" s="167" t="str">
        <f>_xlfn.XLOOKUP(I2038,Mapping!D:D,Mapping!E:E)</f>
        <v>Xưởng Sản Xuất</v>
      </c>
      <c r="C2038" s="167" t="str">
        <f>_xlfn.XLOOKUP(F2038,Mapping!A:A,Mapping!F:F)</f>
        <v>Lương Ngoài giờ</v>
      </c>
      <c r="D2038" s="173">
        <v>45991</v>
      </c>
      <c r="E2038" s="169" t="s">
        <v>1238</v>
      </c>
      <c r="F2038" s="169" t="s">
        <v>422</v>
      </c>
      <c r="G2038" s="169" t="s">
        <v>423</v>
      </c>
      <c r="H2038" s="169" t="s">
        <v>430</v>
      </c>
      <c r="I2038" s="169" t="s">
        <v>431</v>
      </c>
      <c r="J2038" s="169" t="s">
        <v>1239</v>
      </c>
      <c r="K2038" s="169" t="s">
        <v>1240</v>
      </c>
      <c r="L2038" s="169" t="s">
        <v>1213</v>
      </c>
      <c r="M2038" s="169" t="s">
        <v>281</v>
      </c>
      <c r="N2038" s="178">
        <v>48317817</v>
      </c>
      <c r="O2038" s="169" t="s">
        <v>1241</v>
      </c>
      <c r="P2038" s="169" t="s">
        <v>283</v>
      </c>
      <c r="Q2038" s="169" t="s">
        <v>284</v>
      </c>
      <c r="R2038" s="169" t="s">
        <v>283</v>
      </c>
      <c r="S2038" s="169" t="s">
        <v>283</v>
      </c>
      <c r="T2038" s="169">
        <v>0</v>
      </c>
    </row>
    <row r="2039" spans="1:20" x14ac:dyDescent="0.2">
      <c r="A2039" s="169" t="str">
        <f t="shared" si="11"/>
        <v>622</v>
      </c>
      <c r="B2039" s="167" t="str">
        <f>_xlfn.XLOOKUP(I2039,Mapping!D:D,Mapping!E:E)</f>
        <v>Xưởng Sản Xuất</v>
      </c>
      <c r="C2039" s="167" t="str">
        <f>_xlfn.XLOOKUP(F2039,Mapping!A:A,Mapping!F:F)</f>
        <v>Phụ Cấp</v>
      </c>
      <c r="D2039" s="173">
        <v>45991</v>
      </c>
      <c r="E2039" s="169" t="s">
        <v>1238</v>
      </c>
      <c r="F2039" s="169" t="s">
        <v>414</v>
      </c>
      <c r="G2039" s="169" t="s">
        <v>415</v>
      </c>
      <c r="H2039" s="169" t="s">
        <v>430</v>
      </c>
      <c r="I2039" s="169" t="s">
        <v>431</v>
      </c>
      <c r="J2039" s="169" t="s">
        <v>1239</v>
      </c>
      <c r="K2039" s="169" t="s">
        <v>1240</v>
      </c>
      <c r="L2039" s="169" t="s">
        <v>1213</v>
      </c>
      <c r="M2039" s="169" t="s">
        <v>281</v>
      </c>
      <c r="N2039" s="178">
        <v>90000</v>
      </c>
      <c r="O2039" s="169" t="s">
        <v>1241</v>
      </c>
      <c r="P2039" s="169" t="s">
        <v>283</v>
      </c>
      <c r="Q2039" s="169" t="s">
        <v>284</v>
      </c>
      <c r="R2039" s="169" t="s">
        <v>283</v>
      </c>
      <c r="S2039" s="169" t="s">
        <v>283</v>
      </c>
      <c r="T2039" s="169">
        <v>0</v>
      </c>
    </row>
    <row r="2040" spans="1:20" x14ac:dyDescent="0.2">
      <c r="A2040" s="169" t="str">
        <f t="shared" si="11"/>
        <v>627</v>
      </c>
      <c r="B2040" s="167" t="str">
        <f>_xlfn.XLOOKUP(I2040,Mapping!D:D,Mapping!E:E)</f>
        <v>Xưởng Sản Xuất</v>
      </c>
      <c r="C2040" s="167" t="str">
        <f>_xlfn.XLOOKUP(F2040,Mapping!A:A,Mapping!F:F)</f>
        <v>Phụ Cấp</v>
      </c>
      <c r="D2040" s="173">
        <v>45991</v>
      </c>
      <c r="E2040" s="169" t="s">
        <v>1238</v>
      </c>
      <c r="F2040" s="169" t="s">
        <v>386</v>
      </c>
      <c r="G2040" s="169" t="s">
        <v>341</v>
      </c>
      <c r="H2040" s="169" t="s">
        <v>430</v>
      </c>
      <c r="I2040" s="169" t="s">
        <v>431</v>
      </c>
      <c r="J2040" s="169" t="s">
        <v>1239</v>
      </c>
      <c r="K2040" s="169" t="s">
        <v>1240</v>
      </c>
      <c r="L2040" s="169" t="s">
        <v>1213</v>
      </c>
      <c r="M2040" s="169" t="s">
        <v>281</v>
      </c>
      <c r="N2040" s="178">
        <v>7884029</v>
      </c>
      <c r="O2040" s="169" t="s">
        <v>1241</v>
      </c>
      <c r="P2040" s="169" t="s">
        <v>283</v>
      </c>
      <c r="Q2040" s="169" t="s">
        <v>284</v>
      </c>
      <c r="R2040" s="169" t="s">
        <v>283</v>
      </c>
      <c r="S2040" s="169" t="s">
        <v>283</v>
      </c>
      <c r="T2040" s="169">
        <v>0</v>
      </c>
    </row>
    <row r="2041" spans="1:20" x14ac:dyDescent="0.2">
      <c r="A2041" s="169" t="str">
        <f t="shared" si="11"/>
        <v>627</v>
      </c>
      <c r="B2041" s="167" t="str">
        <f>_xlfn.XLOOKUP(I2041,Mapping!D:D,Mapping!E:E)</f>
        <v>Xưởng Sản Xuất</v>
      </c>
      <c r="C2041" s="167" t="str">
        <f>_xlfn.XLOOKUP(F2041,Mapping!A:A,Mapping!F:F)</f>
        <v>Lương Chính +T13</v>
      </c>
      <c r="D2041" s="173">
        <v>45991</v>
      </c>
      <c r="E2041" s="169" t="s">
        <v>1238</v>
      </c>
      <c r="F2041" s="169" t="s">
        <v>387</v>
      </c>
      <c r="G2041" s="169" t="s">
        <v>275</v>
      </c>
      <c r="H2041" s="169" t="s">
        <v>430</v>
      </c>
      <c r="I2041" s="169" t="s">
        <v>431</v>
      </c>
      <c r="J2041" s="169" t="s">
        <v>1239</v>
      </c>
      <c r="K2041" s="169" t="s">
        <v>1240</v>
      </c>
      <c r="L2041" s="169" t="s">
        <v>1213</v>
      </c>
      <c r="M2041" s="169" t="s">
        <v>281</v>
      </c>
      <c r="N2041" s="178">
        <v>152188537</v>
      </c>
      <c r="O2041" s="169" t="s">
        <v>1241</v>
      </c>
      <c r="P2041" s="169" t="s">
        <v>283</v>
      </c>
      <c r="Q2041" s="169" t="s">
        <v>284</v>
      </c>
      <c r="R2041" s="169" t="s">
        <v>283</v>
      </c>
      <c r="S2041" s="169" t="s">
        <v>283</v>
      </c>
      <c r="T2041" s="169">
        <v>0</v>
      </c>
    </row>
    <row r="2042" spans="1:20" x14ac:dyDescent="0.2">
      <c r="A2042" s="169" t="str">
        <f t="shared" si="11"/>
        <v>627</v>
      </c>
      <c r="B2042" s="167" t="str">
        <f>_xlfn.XLOOKUP(I2042,Mapping!D:D,Mapping!E:E)</f>
        <v>Xưởng Sản Xuất</v>
      </c>
      <c r="C2042" s="167" t="str">
        <f>_xlfn.XLOOKUP(F2042,Mapping!A:A,Mapping!F:F)</f>
        <v>Lương Chính +T13</v>
      </c>
      <c r="D2042" s="173">
        <v>45991</v>
      </c>
      <c r="E2042" s="169" t="s">
        <v>1238</v>
      </c>
      <c r="F2042" s="169" t="s">
        <v>388</v>
      </c>
      <c r="G2042" s="169" t="s">
        <v>286</v>
      </c>
      <c r="H2042" s="169" t="s">
        <v>430</v>
      </c>
      <c r="I2042" s="169" t="s">
        <v>431</v>
      </c>
      <c r="J2042" s="169" t="s">
        <v>1239</v>
      </c>
      <c r="K2042" s="169" t="s">
        <v>1240</v>
      </c>
      <c r="L2042" s="169" t="s">
        <v>1213</v>
      </c>
      <c r="M2042" s="169" t="s">
        <v>281</v>
      </c>
      <c r="N2042" s="178">
        <v>3964270</v>
      </c>
      <c r="O2042" s="169" t="s">
        <v>1241</v>
      </c>
      <c r="P2042" s="169" t="s">
        <v>283</v>
      </c>
      <c r="Q2042" s="169" t="s">
        <v>284</v>
      </c>
      <c r="R2042" s="169" t="s">
        <v>283</v>
      </c>
      <c r="S2042" s="169" t="s">
        <v>283</v>
      </c>
      <c r="T2042" s="169">
        <v>0</v>
      </c>
    </row>
    <row r="2043" spans="1:20" x14ac:dyDescent="0.2">
      <c r="A2043" s="169" t="str">
        <f t="shared" si="11"/>
        <v>627</v>
      </c>
      <c r="B2043" s="167" t="str">
        <f>_xlfn.XLOOKUP(I2043,Mapping!D:D,Mapping!E:E)</f>
        <v>Xưởng Sản Xuất</v>
      </c>
      <c r="C2043" s="167" t="str">
        <f>_xlfn.XLOOKUP(F2043,Mapping!A:A,Mapping!F:F)</f>
        <v>Lương Ngoài giờ</v>
      </c>
      <c r="D2043" s="173">
        <v>45991</v>
      </c>
      <c r="E2043" s="169" t="s">
        <v>1238</v>
      </c>
      <c r="F2043" s="169" t="s">
        <v>389</v>
      </c>
      <c r="G2043" s="169" t="s">
        <v>390</v>
      </c>
      <c r="H2043" s="169" t="s">
        <v>430</v>
      </c>
      <c r="I2043" s="169" t="s">
        <v>431</v>
      </c>
      <c r="J2043" s="169" t="s">
        <v>1239</v>
      </c>
      <c r="K2043" s="169" t="s">
        <v>1240</v>
      </c>
      <c r="L2043" s="169" t="s">
        <v>1213</v>
      </c>
      <c r="M2043" s="169" t="s">
        <v>281</v>
      </c>
      <c r="N2043" s="178">
        <v>15360117</v>
      </c>
      <c r="O2043" s="169" t="s">
        <v>1241</v>
      </c>
      <c r="P2043" s="169" t="s">
        <v>283</v>
      </c>
      <c r="Q2043" s="169" t="s">
        <v>284</v>
      </c>
      <c r="R2043" s="169" t="s">
        <v>283</v>
      </c>
      <c r="S2043" s="169" t="s">
        <v>283</v>
      </c>
      <c r="T2043" s="169">
        <v>0</v>
      </c>
    </row>
    <row r="2044" spans="1:20" x14ac:dyDescent="0.2">
      <c r="A2044" s="169" t="str">
        <f t="shared" si="11"/>
        <v>627</v>
      </c>
      <c r="B2044" s="167" t="str">
        <f>_xlfn.XLOOKUP(I2044,Mapping!D:D,Mapping!E:E)</f>
        <v>Xưởng Sản Xuất</v>
      </c>
      <c r="C2044" s="167" t="str">
        <f>_xlfn.XLOOKUP(F2044,Mapping!A:A,Mapping!F:F)</f>
        <v>Phụ Cấp</v>
      </c>
      <c r="D2044" s="173">
        <v>45991</v>
      </c>
      <c r="E2044" s="169" t="s">
        <v>1238</v>
      </c>
      <c r="F2044" s="169" t="s">
        <v>386</v>
      </c>
      <c r="G2044" s="169" t="s">
        <v>341</v>
      </c>
      <c r="H2044" s="169" t="s">
        <v>436</v>
      </c>
      <c r="I2044" s="169" t="s">
        <v>437</v>
      </c>
      <c r="J2044" s="169" t="s">
        <v>1239</v>
      </c>
      <c r="K2044" s="169" t="s">
        <v>1240</v>
      </c>
      <c r="L2044" s="169" t="s">
        <v>1213</v>
      </c>
      <c r="M2044" s="169" t="s">
        <v>281</v>
      </c>
      <c r="N2044" s="178">
        <v>7749877</v>
      </c>
      <c r="O2044" s="169" t="s">
        <v>1241</v>
      </c>
      <c r="P2044" s="169" t="s">
        <v>283</v>
      </c>
      <c r="Q2044" s="169" t="s">
        <v>284</v>
      </c>
      <c r="R2044" s="169" t="s">
        <v>283</v>
      </c>
      <c r="S2044" s="169" t="s">
        <v>283</v>
      </c>
      <c r="T2044" s="169">
        <v>0</v>
      </c>
    </row>
    <row r="2045" spans="1:20" x14ac:dyDescent="0.2">
      <c r="A2045" s="169" t="str">
        <f t="shared" si="11"/>
        <v>627</v>
      </c>
      <c r="B2045" s="167" t="str">
        <f>_xlfn.XLOOKUP(I2045,Mapping!D:D,Mapping!E:E)</f>
        <v>Xưởng Sản Xuất</v>
      </c>
      <c r="C2045" s="167" t="str">
        <f>_xlfn.XLOOKUP(F2045,Mapping!A:A,Mapping!F:F)</f>
        <v>Lương Chính +T13</v>
      </c>
      <c r="D2045" s="173">
        <v>45991</v>
      </c>
      <c r="E2045" s="169" t="s">
        <v>1238</v>
      </c>
      <c r="F2045" s="169" t="s">
        <v>387</v>
      </c>
      <c r="G2045" s="169" t="s">
        <v>275</v>
      </c>
      <c r="H2045" s="169" t="s">
        <v>436</v>
      </c>
      <c r="I2045" s="169" t="s">
        <v>437</v>
      </c>
      <c r="J2045" s="169" t="s">
        <v>1239</v>
      </c>
      <c r="K2045" s="169" t="s">
        <v>1240</v>
      </c>
      <c r="L2045" s="169" t="s">
        <v>1213</v>
      </c>
      <c r="M2045" s="169" t="s">
        <v>281</v>
      </c>
      <c r="N2045" s="178">
        <v>381800224</v>
      </c>
      <c r="O2045" s="169" t="s">
        <v>1241</v>
      </c>
      <c r="P2045" s="169" t="s">
        <v>283</v>
      </c>
      <c r="Q2045" s="169" t="s">
        <v>284</v>
      </c>
      <c r="R2045" s="169" t="s">
        <v>283</v>
      </c>
      <c r="S2045" s="169" t="s">
        <v>283</v>
      </c>
      <c r="T2045" s="169">
        <v>0</v>
      </c>
    </row>
    <row r="2046" spans="1:20" x14ac:dyDescent="0.2">
      <c r="A2046" s="169" t="str">
        <f t="shared" si="11"/>
        <v>627</v>
      </c>
      <c r="B2046" s="167" t="str">
        <f>_xlfn.XLOOKUP(I2046,Mapping!D:D,Mapping!E:E)</f>
        <v>Xưởng Sản Xuất</v>
      </c>
      <c r="C2046" s="167" t="str">
        <f>_xlfn.XLOOKUP(F2046,Mapping!A:A,Mapping!F:F)</f>
        <v>Lương Chính +T13</v>
      </c>
      <c r="D2046" s="173">
        <v>45991</v>
      </c>
      <c r="E2046" s="169" t="s">
        <v>1238</v>
      </c>
      <c r="F2046" s="169" t="s">
        <v>388</v>
      </c>
      <c r="G2046" s="169" t="s">
        <v>286</v>
      </c>
      <c r="H2046" s="169" t="s">
        <v>436</v>
      </c>
      <c r="I2046" s="169" t="s">
        <v>437</v>
      </c>
      <c r="J2046" s="169" t="s">
        <v>1239</v>
      </c>
      <c r="K2046" s="169" t="s">
        <v>1240</v>
      </c>
      <c r="L2046" s="169" t="s">
        <v>1213</v>
      </c>
      <c r="M2046" s="169" t="s">
        <v>281</v>
      </c>
      <c r="N2046" s="178">
        <v>13895869</v>
      </c>
      <c r="O2046" s="169" t="s">
        <v>1241</v>
      </c>
      <c r="P2046" s="169" t="s">
        <v>283</v>
      </c>
      <c r="Q2046" s="169" t="s">
        <v>284</v>
      </c>
      <c r="R2046" s="169" t="s">
        <v>283</v>
      </c>
      <c r="S2046" s="169" t="s">
        <v>283</v>
      </c>
      <c r="T2046" s="169">
        <v>0</v>
      </c>
    </row>
    <row r="2047" spans="1:20" x14ac:dyDescent="0.2">
      <c r="A2047" s="169" t="str">
        <f t="shared" si="11"/>
        <v>627</v>
      </c>
      <c r="B2047" s="167" t="str">
        <f>_xlfn.XLOOKUP(I2047,Mapping!D:D,Mapping!E:E)</f>
        <v>Xưởng Sản Xuất</v>
      </c>
      <c r="C2047" s="167" t="str">
        <f>_xlfn.XLOOKUP(F2047,Mapping!A:A,Mapping!F:F)</f>
        <v>Lương Ngoài giờ</v>
      </c>
      <c r="D2047" s="173">
        <v>45991</v>
      </c>
      <c r="E2047" s="169" t="s">
        <v>1238</v>
      </c>
      <c r="F2047" s="169" t="s">
        <v>389</v>
      </c>
      <c r="G2047" s="169" t="s">
        <v>390</v>
      </c>
      <c r="H2047" s="169" t="s">
        <v>436</v>
      </c>
      <c r="I2047" s="169" t="s">
        <v>437</v>
      </c>
      <c r="J2047" s="169" t="s">
        <v>1239</v>
      </c>
      <c r="K2047" s="169" t="s">
        <v>1240</v>
      </c>
      <c r="L2047" s="169" t="s">
        <v>1213</v>
      </c>
      <c r="M2047" s="169" t="s">
        <v>281</v>
      </c>
      <c r="N2047" s="178">
        <v>36729146</v>
      </c>
      <c r="O2047" s="169" t="s">
        <v>1241</v>
      </c>
      <c r="P2047" s="169" t="s">
        <v>283</v>
      </c>
      <c r="Q2047" s="169" t="s">
        <v>284</v>
      </c>
      <c r="R2047" s="169" t="s">
        <v>283</v>
      </c>
      <c r="S2047" s="169" t="s">
        <v>283</v>
      </c>
      <c r="T2047" s="169">
        <v>0</v>
      </c>
    </row>
    <row r="2048" spans="1:20" x14ac:dyDescent="0.2">
      <c r="A2048" s="169" t="str">
        <f t="shared" si="11"/>
        <v>627</v>
      </c>
      <c r="B2048" s="167" t="str">
        <f>_xlfn.XLOOKUP(I2048,Mapping!D:D,Mapping!E:E)</f>
        <v>Xưởng Sản Xuất</v>
      </c>
      <c r="C2048" s="167" t="str">
        <f>_xlfn.XLOOKUP(F2048,Mapping!A:A,Mapping!F:F)</f>
        <v>Phụ Cấp</v>
      </c>
      <c r="D2048" s="173">
        <v>45991</v>
      </c>
      <c r="E2048" s="169" t="s">
        <v>1238</v>
      </c>
      <c r="F2048" s="169" t="s">
        <v>375</v>
      </c>
      <c r="G2048" s="169" t="s">
        <v>336</v>
      </c>
      <c r="H2048" s="169" t="s">
        <v>436</v>
      </c>
      <c r="I2048" s="169" t="s">
        <v>437</v>
      </c>
      <c r="J2048" s="169" t="s">
        <v>1239</v>
      </c>
      <c r="K2048" s="169" t="s">
        <v>1240</v>
      </c>
      <c r="L2048" s="169" t="s">
        <v>1213</v>
      </c>
      <c r="M2048" s="169" t="s">
        <v>281</v>
      </c>
      <c r="N2048" s="178">
        <v>250000</v>
      </c>
      <c r="O2048" s="169" t="s">
        <v>1241</v>
      </c>
      <c r="P2048" s="169" t="s">
        <v>283</v>
      </c>
      <c r="Q2048" s="169" t="s">
        <v>284</v>
      </c>
      <c r="R2048" s="169" t="s">
        <v>283</v>
      </c>
      <c r="S2048" s="169" t="s">
        <v>283</v>
      </c>
      <c r="T2048" s="169">
        <v>0</v>
      </c>
    </row>
    <row r="2049" spans="1:20" x14ac:dyDescent="0.2">
      <c r="A2049" s="169" t="str">
        <f t="shared" si="11"/>
        <v>642</v>
      </c>
      <c r="B2049" s="167" t="str">
        <f>_xlfn.XLOOKUP(I2049,Mapping!D:D,Mapping!E:E)</f>
        <v>Hành Chánh Nhân Sự</v>
      </c>
      <c r="C2049" s="167" t="str">
        <f>_xlfn.XLOOKUP(F2049,Mapping!A:A,Mapping!F:F)</f>
        <v>Lương Chính +T13</v>
      </c>
      <c r="D2049" s="173">
        <v>45991</v>
      </c>
      <c r="E2049" s="169" t="s">
        <v>1238</v>
      </c>
      <c r="F2049" s="169" t="s">
        <v>274</v>
      </c>
      <c r="G2049" s="169" t="s">
        <v>275</v>
      </c>
      <c r="H2049" s="169" t="s">
        <v>382</v>
      </c>
      <c r="I2049" s="169" t="s">
        <v>200</v>
      </c>
      <c r="J2049" s="169" t="s">
        <v>1239</v>
      </c>
      <c r="K2049" s="169" t="s">
        <v>1240</v>
      </c>
      <c r="L2049" s="169" t="s">
        <v>1213</v>
      </c>
      <c r="M2049" s="169" t="s">
        <v>281</v>
      </c>
      <c r="N2049" s="178">
        <v>65842235</v>
      </c>
      <c r="O2049" s="169" t="s">
        <v>1241</v>
      </c>
      <c r="P2049" s="169" t="s">
        <v>283</v>
      </c>
      <c r="Q2049" s="169" t="s">
        <v>284</v>
      </c>
      <c r="R2049" s="169" t="s">
        <v>283</v>
      </c>
      <c r="S2049" s="169" t="s">
        <v>283</v>
      </c>
      <c r="T2049" s="169">
        <v>0</v>
      </c>
    </row>
    <row r="2050" spans="1:20" x14ac:dyDescent="0.2">
      <c r="A2050" s="169" t="str">
        <f t="shared" si="11"/>
        <v>642</v>
      </c>
      <c r="B2050" s="167" t="str">
        <f>_xlfn.XLOOKUP(I2050,Mapping!D:D,Mapping!E:E)</f>
        <v>Hành Chánh Nhân Sự</v>
      </c>
      <c r="C2050" s="167" t="str">
        <f>_xlfn.XLOOKUP(F2050,Mapping!A:A,Mapping!F:F)</f>
        <v>Lương Chính +T13</v>
      </c>
      <c r="D2050" s="173">
        <v>45991</v>
      </c>
      <c r="E2050" s="169" t="s">
        <v>1238</v>
      </c>
      <c r="F2050" s="169" t="s">
        <v>285</v>
      </c>
      <c r="G2050" s="169" t="s">
        <v>286</v>
      </c>
      <c r="H2050" s="169" t="s">
        <v>382</v>
      </c>
      <c r="I2050" s="169" t="s">
        <v>200</v>
      </c>
      <c r="J2050" s="169" t="s">
        <v>1239</v>
      </c>
      <c r="K2050" s="169" t="s">
        <v>1240</v>
      </c>
      <c r="L2050" s="169" t="s">
        <v>1213</v>
      </c>
      <c r="M2050" s="169" t="s">
        <v>281</v>
      </c>
      <c r="N2050" s="178">
        <v>1386461</v>
      </c>
      <c r="O2050" s="169" t="s">
        <v>1241</v>
      </c>
      <c r="P2050" s="169" t="s">
        <v>283</v>
      </c>
      <c r="Q2050" s="169" t="s">
        <v>284</v>
      </c>
      <c r="R2050" s="169" t="s">
        <v>283</v>
      </c>
      <c r="S2050" s="169" t="s">
        <v>283</v>
      </c>
      <c r="T2050" s="169">
        <v>0</v>
      </c>
    </row>
    <row r="2051" spans="1:20" x14ac:dyDescent="0.2">
      <c r="A2051" s="169" t="str">
        <f t="shared" si="11"/>
        <v>642</v>
      </c>
      <c r="B2051" s="167" t="str">
        <f>_xlfn.XLOOKUP(I2051,Mapping!D:D,Mapping!E:E)</f>
        <v>Hành Chánh Nhân Sự</v>
      </c>
      <c r="C2051" s="167" t="str">
        <f>_xlfn.XLOOKUP(F2051,Mapping!A:A,Mapping!F:F)</f>
        <v>Lương Chính +T13</v>
      </c>
      <c r="D2051" s="173">
        <v>45991</v>
      </c>
      <c r="E2051" s="169" t="s">
        <v>1238</v>
      </c>
      <c r="F2051" s="169" t="s">
        <v>274</v>
      </c>
      <c r="G2051" s="169" t="s">
        <v>275</v>
      </c>
      <c r="H2051" s="169" t="s">
        <v>358</v>
      </c>
      <c r="I2051" s="169" t="s">
        <v>359</v>
      </c>
      <c r="J2051" s="169" t="s">
        <v>1239</v>
      </c>
      <c r="K2051" s="169" t="s">
        <v>1240</v>
      </c>
      <c r="L2051" s="169" t="s">
        <v>1213</v>
      </c>
      <c r="M2051" s="169" t="s">
        <v>281</v>
      </c>
      <c r="N2051" s="178">
        <v>97243165</v>
      </c>
      <c r="O2051" s="169" t="s">
        <v>1241</v>
      </c>
      <c r="P2051" s="169" t="s">
        <v>283</v>
      </c>
      <c r="Q2051" s="169" t="s">
        <v>284</v>
      </c>
      <c r="R2051" s="169" t="s">
        <v>283</v>
      </c>
      <c r="S2051" s="169" t="s">
        <v>283</v>
      </c>
      <c r="T2051" s="169">
        <v>0</v>
      </c>
    </row>
    <row r="2052" spans="1:20" x14ac:dyDescent="0.2">
      <c r="A2052" s="169" t="str">
        <f t="shared" si="11"/>
        <v>642</v>
      </c>
      <c r="B2052" s="167" t="str">
        <f>_xlfn.XLOOKUP(I2052,Mapping!D:D,Mapping!E:E)</f>
        <v>Hành Chánh Nhân Sự</v>
      </c>
      <c r="C2052" s="167" t="str">
        <f>_xlfn.XLOOKUP(F2052,Mapping!A:A,Mapping!F:F)</f>
        <v>Lương Chính +T13</v>
      </c>
      <c r="D2052" s="173">
        <v>45991</v>
      </c>
      <c r="E2052" s="169" t="s">
        <v>1238</v>
      </c>
      <c r="F2052" s="169" t="s">
        <v>285</v>
      </c>
      <c r="G2052" s="169" t="s">
        <v>286</v>
      </c>
      <c r="H2052" s="169" t="s">
        <v>358</v>
      </c>
      <c r="I2052" s="169" t="s">
        <v>359</v>
      </c>
      <c r="J2052" s="169" t="s">
        <v>1239</v>
      </c>
      <c r="K2052" s="169" t="s">
        <v>1240</v>
      </c>
      <c r="L2052" s="169" t="s">
        <v>1213</v>
      </c>
      <c r="M2052" s="169" t="s">
        <v>281</v>
      </c>
      <c r="N2052" s="178">
        <v>3823769</v>
      </c>
      <c r="O2052" s="169" t="s">
        <v>1241</v>
      </c>
      <c r="P2052" s="169" t="s">
        <v>283</v>
      </c>
      <c r="Q2052" s="169" t="s">
        <v>284</v>
      </c>
      <c r="R2052" s="169" t="s">
        <v>283</v>
      </c>
      <c r="S2052" s="169" t="s">
        <v>283</v>
      </c>
      <c r="T2052" s="169">
        <v>0</v>
      </c>
    </row>
    <row r="2053" spans="1:20" x14ac:dyDescent="0.2">
      <c r="A2053" s="169" t="str">
        <f t="shared" si="11"/>
        <v>642</v>
      </c>
      <c r="B2053" s="167" t="str">
        <f>_xlfn.XLOOKUP(I2053,Mapping!D:D,Mapping!E:E)</f>
        <v>Hành Chánh Nhân Sự</v>
      </c>
      <c r="C2053" s="167" t="str">
        <f>_xlfn.XLOOKUP(F2053,Mapping!A:A,Mapping!F:F)</f>
        <v>Phụ Cấp</v>
      </c>
      <c r="D2053" s="173">
        <v>45991</v>
      </c>
      <c r="E2053" s="169" t="s">
        <v>1238</v>
      </c>
      <c r="F2053" s="169" t="s">
        <v>335</v>
      </c>
      <c r="G2053" s="169" t="s">
        <v>336</v>
      </c>
      <c r="H2053" s="169" t="s">
        <v>358</v>
      </c>
      <c r="I2053" s="169" t="s">
        <v>359</v>
      </c>
      <c r="J2053" s="169" t="s">
        <v>1239</v>
      </c>
      <c r="K2053" s="169" t="s">
        <v>1240</v>
      </c>
      <c r="L2053" s="169" t="s">
        <v>1213</v>
      </c>
      <c r="M2053" s="169" t="s">
        <v>281</v>
      </c>
      <c r="N2053" s="178">
        <v>300000</v>
      </c>
      <c r="O2053" s="169" t="s">
        <v>1241</v>
      </c>
      <c r="P2053" s="169" t="s">
        <v>283</v>
      </c>
      <c r="Q2053" s="169" t="s">
        <v>284</v>
      </c>
      <c r="R2053" s="169" t="s">
        <v>283</v>
      </c>
      <c r="S2053" s="169" t="s">
        <v>283</v>
      </c>
      <c r="T2053" s="169">
        <v>0</v>
      </c>
    </row>
    <row r="2054" spans="1:20" x14ac:dyDescent="0.2">
      <c r="A2054" s="169" t="str">
        <f t="shared" si="11"/>
        <v>642</v>
      </c>
      <c r="B2054" s="167" t="str">
        <f>_xlfn.XLOOKUP(I2054,Mapping!D:D,Mapping!E:E)</f>
        <v>Tư vấn dịch vụ</v>
      </c>
      <c r="C2054" s="167" t="str">
        <f>_xlfn.XLOOKUP(F2054,Mapping!A:A,Mapping!F:F)</f>
        <v>Lương Chính +T13</v>
      </c>
      <c r="D2054" s="173">
        <v>45991</v>
      </c>
      <c r="E2054" s="169" t="s">
        <v>1238</v>
      </c>
      <c r="F2054" s="169" t="s">
        <v>274</v>
      </c>
      <c r="G2054" s="169" t="s">
        <v>275</v>
      </c>
      <c r="H2054" s="169" t="s">
        <v>443</v>
      </c>
      <c r="I2054" s="169" t="s">
        <v>444</v>
      </c>
      <c r="J2054" s="169" t="s">
        <v>1239</v>
      </c>
      <c r="K2054" s="169" t="s">
        <v>1240</v>
      </c>
      <c r="L2054" s="169" t="s">
        <v>1213</v>
      </c>
      <c r="M2054" s="169" t="s">
        <v>281</v>
      </c>
      <c r="N2054" s="178">
        <v>70504808</v>
      </c>
      <c r="O2054" s="169" t="s">
        <v>1241</v>
      </c>
      <c r="P2054" s="169" t="s">
        <v>283</v>
      </c>
      <c r="Q2054" s="169" t="s">
        <v>284</v>
      </c>
      <c r="R2054" s="169" t="s">
        <v>283</v>
      </c>
      <c r="S2054" s="169" t="s">
        <v>283</v>
      </c>
      <c r="T2054" s="169">
        <v>0</v>
      </c>
    </row>
    <row r="2055" spans="1:20" x14ac:dyDescent="0.2">
      <c r="A2055" s="169" t="str">
        <f t="shared" si="11"/>
        <v>622</v>
      </c>
      <c r="B2055" s="167" t="str">
        <f>_xlfn.XLOOKUP(I2055,Mapping!D:D,Mapping!E:E)</f>
        <v>Xưởng Sản Xuất</v>
      </c>
      <c r="C2055" s="167" t="str">
        <f>_xlfn.XLOOKUP(F2055,Mapping!A:A,Mapping!F:F)</f>
        <v>Lương Chính +T13</v>
      </c>
      <c r="D2055" s="173">
        <v>45991</v>
      </c>
      <c r="E2055" s="169" t="s">
        <v>1238</v>
      </c>
      <c r="F2055" s="169" t="s">
        <v>400</v>
      </c>
      <c r="G2055" s="169" t="s">
        <v>401</v>
      </c>
      <c r="H2055" s="169" t="s">
        <v>441</v>
      </c>
      <c r="I2055" s="169" t="s">
        <v>442</v>
      </c>
      <c r="J2055" s="169" t="s">
        <v>1239</v>
      </c>
      <c r="K2055" s="169" t="s">
        <v>1240</v>
      </c>
      <c r="L2055" s="169" t="s">
        <v>1213</v>
      </c>
      <c r="M2055" s="169" t="s">
        <v>281</v>
      </c>
      <c r="N2055" s="178">
        <v>7886577</v>
      </c>
      <c r="O2055" s="169" t="s">
        <v>1241</v>
      </c>
      <c r="P2055" s="169" t="s">
        <v>283</v>
      </c>
      <c r="Q2055" s="169" t="s">
        <v>284</v>
      </c>
      <c r="R2055" s="169" t="s">
        <v>283</v>
      </c>
      <c r="S2055" s="169" t="s">
        <v>283</v>
      </c>
      <c r="T2055" s="169">
        <v>0</v>
      </c>
    </row>
    <row r="2056" spans="1:20" x14ac:dyDescent="0.2">
      <c r="A2056" s="169" t="str">
        <f t="shared" si="11"/>
        <v>622</v>
      </c>
      <c r="B2056" s="167" t="str">
        <f>_xlfn.XLOOKUP(I2056,Mapping!D:D,Mapping!E:E)</f>
        <v>Xưởng Sản Xuất</v>
      </c>
      <c r="C2056" s="167" t="str">
        <f>_xlfn.XLOOKUP(F2056,Mapping!A:A,Mapping!F:F)</f>
        <v>Phụ Cấp</v>
      </c>
      <c r="D2056" s="173">
        <v>45991</v>
      </c>
      <c r="E2056" s="169" t="s">
        <v>1238</v>
      </c>
      <c r="F2056" s="169" t="s">
        <v>421</v>
      </c>
      <c r="G2056" s="169" t="s">
        <v>341</v>
      </c>
      <c r="H2056" s="169" t="s">
        <v>441</v>
      </c>
      <c r="I2056" s="169" t="s">
        <v>442</v>
      </c>
      <c r="J2056" s="169" t="s">
        <v>1239</v>
      </c>
      <c r="K2056" s="169" t="s">
        <v>1240</v>
      </c>
      <c r="L2056" s="169" t="s">
        <v>1213</v>
      </c>
      <c r="M2056" s="169" t="s">
        <v>281</v>
      </c>
      <c r="N2056" s="178">
        <v>851262</v>
      </c>
      <c r="O2056" s="169" t="s">
        <v>1241</v>
      </c>
      <c r="P2056" s="169" t="s">
        <v>283</v>
      </c>
      <c r="Q2056" s="169" t="s">
        <v>284</v>
      </c>
      <c r="R2056" s="169" t="s">
        <v>283</v>
      </c>
      <c r="S2056" s="169" t="s">
        <v>283</v>
      </c>
      <c r="T2056" s="169">
        <v>0</v>
      </c>
    </row>
    <row r="2057" spans="1:20" x14ac:dyDescent="0.2">
      <c r="A2057" s="169" t="str">
        <f t="shared" si="11"/>
        <v>622</v>
      </c>
      <c r="B2057" s="167" t="str">
        <f>_xlfn.XLOOKUP(I2057,Mapping!D:D,Mapping!E:E)</f>
        <v>Xưởng Sản Xuất</v>
      </c>
      <c r="C2057" s="167" t="str">
        <f>_xlfn.XLOOKUP(F2057,Mapping!A:A,Mapping!F:F)</f>
        <v>Lương Ngoài giờ</v>
      </c>
      <c r="D2057" s="173">
        <v>45991</v>
      </c>
      <c r="E2057" s="169" t="s">
        <v>1238</v>
      </c>
      <c r="F2057" s="169" t="s">
        <v>422</v>
      </c>
      <c r="G2057" s="169" t="s">
        <v>423</v>
      </c>
      <c r="H2057" s="169" t="s">
        <v>441</v>
      </c>
      <c r="I2057" s="169" t="s">
        <v>442</v>
      </c>
      <c r="J2057" s="169" t="s">
        <v>1239</v>
      </c>
      <c r="K2057" s="169" t="s">
        <v>1240</v>
      </c>
      <c r="L2057" s="169" t="s">
        <v>1213</v>
      </c>
      <c r="M2057" s="169" t="s">
        <v>281</v>
      </c>
      <c r="N2057" s="178">
        <v>1434373</v>
      </c>
      <c r="O2057" s="169" t="s">
        <v>1241</v>
      </c>
      <c r="P2057" s="169" t="s">
        <v>283</v>
      </c>
      <c r="Q2057" s="169" t="s">
        <v>284</v>
      </c>
      <c r="R2057" s="169" t="s">
        <v>283</v>
      </c>
      <c r="S2057" s="169" t="s">
        <v>283</v>
      </c>
      <c r="T2057" s="169">
        <v>0</v>
      </c>
    </row>
    <row r="2058" spans="1:20" x14ac:dyDescent="0.2">
      <c r="A2058" s="169" t="str">
        <f t="shared" si="11"/>
        <v>642</v>
      </c>
      <c r="B2058" s="167" t="str">
        <f>_xlfn.XLOOKUP(I2058,Mapping!D:D,Mapping!E:E)</f>
        <v>Ban Giám Đốc</v>
      </c>
      <c r="C2058" s="167" t="str">
        <f>_xlfn.XLOOKUP(F2058,Mapping!A:A,Mapping!F:F)</f>
        <v>Lương Chính +T13</v>
      </c>
      <c r="D2058" s="173">
        <v>45991</v>
      </c>
      <c r="E2058" s="169" t="s">
        <v>1242</v>
      </c>
      <c r="F2058" s="169" t="s">
        <v>285</v>
      </c>
      <c r="G2058" s="169" t="s">
        <v>286</v>
      </c>
      <c r="H2058" s="169" t="s">
        <v>276</v>
      </c>
      <c r="I2058" s="169" t="s">
        <v>277</v>
      </c>
      <c r="J2058" s="169" t="s">
        <v>1243</v>
      </c>
      <c r="K2058" s="169" t="s">
        <v>1240</v>
      </c>
      <c r="L2058" s="169" t="s">
        <v>1213</v>
      </c>
      <c r="M2058" s="169" t="s">
        <v>281</v>
      </c>
      <c r="N2058" s="178">
        <v>125991250</v>
      </c>
      <c r="O2058" s="169" t="s">
        <v>1244</v>
      </c>
      <c r="P2058" s="169" t="s">
        <v>283</v>
      </c>
      <c r="Q2058" s="169" t="s">
        <v>284</v>
      </c>
      <c r="R2058" s="169" t="s">
        <v>283</v>
      </c>
      <c r="S2058" s="169" t="s">
        <v>283</v>
      </c>
      <c r="T2058" s="169">
        <v>0</v>
      </c>
    </row>
    <row r="2059" spans="1:20" x14ac:dyDescent="0.2">
      <c r="A2059" s="169" t="str">
        <f t="shared" si="11"/>
        <v>642</v>
      </c>
      <c r="B2059" s="167" t="str">
        <f>_xlfn.XLOOKUP(I2059,Mapping!D:D,Mapping!E:E)</f>
        <v>Ban Giám Đốc</v>
      </c>
      <c r="C2059" s="167" t="str">
        <f>_xlfn.XLOOKUP(F2059,Mapping!A:A,Mapping!F:F)</f>
        <v>Thưởng</v>
      </c>
      <c r="D2059" s="173">
        <v>45991</v>
      </c>
      <c r="E2059" s="169" t="s">
        <v>1242</v>
      </c>
      <c r="F2059" s="169" t="s">
        <v>292</v>
      </c>
      <c r="G2059" s="169" t="s">
        <v>77</v>
      </c>
      <c r="H2059" s="169" t="s">
        <v>276</v>
      </c>
      <c r="I2059" s="169" t="s">
        <v>277</v>
      </c>
      <c r="J2059" s="169" t="s">
        <v>1245</v>
      </c>
      <c r="K2059" s="169" t="s">
        <v>1240</v>
      </c>
      <c r="L2059" s="169" t="s">
        <v>1213</v>
      </c>
      <c r="M2059" s="169" t="s">
        <v>281</v>
      </c>
      <c r="N2059" s="178">
        <v>115910942</v>
      </c>
      <c r="O2059" s="169" t="s">
        <v>1244</v>
      </c>
      <c r="P2059" s="169" t="s">
        <v>283</v>
      </c>
      <c r="Q2059" s="169" t="s">
        <v>284</v>
      </c>
      <c r="R2059" s="169" t="s">
        <v>283</v>
      </c>
      <c r="S2059" s="169" t="s">
        <v>283</v>
      </c>
      <c r="T2059" s="169">
        <v>0</v>
      </c>
    </row>
    <row r="2060" spans="1:20" x14ac:dyDescent="0.2">
      <c r="A2060" s="169" t="str">
        <f t="shared" si="11"/>
        <v>642</v>
      </c>
      <c r="B2060" s="167" t="str">
        <f>_xlfn.XLOOKUP(I2060,Mapping!D:D,Mapping!E:E)</f>
        <v>Văn Phòng Giám Đốc</v>
      </c>
      <c r="C2060" s="167" t="str">
        <f>_xlfn.XLOOKUP(F2060,Mapping!A:A,Mapping!F:F)</f>
        <v>Lương Chính +T13</v>
      </c>
      <c r="D2060" s="173">
        <v>45991</v>
      </c>
      <c r="E2060" s="169" t="s">
        <v>1242</v>
      </c>
      <c r="F2060" s="169" t="s">
        <v>285</v>
      </c>
      <c r="G2060" s="169" t="s">
        <v>286</v>
      </c>
      <c r="H2060" s="169" t="s">
        <v>320</v>
      </c>
      <c r="I2060" s="169" t="s">
        <v>321</v>
      </c>
      <c r="J2060" s="169" t="s">
        <v>1243</v>
      </c>
      <c r="K2060" s="169" t="s">
        <v>1240</v>
      </c>
      <c r="L2060" s="169" t="s">
        <v>1213</v>
      </c>
      <c r="M2060" s="169" t="s">
        <v>281</v>
      </c>
      <c r="N2060" s="178">
        <v>9604167</v>
      </c>
      <c r="O2060" s="169" t="s">
        <v>1244</v>
      </c>
      <c r="P2060" s="169" t="s">
        <v>283</v>
      </c>
      <c r="Q2060" s="169" t="s">
        <v>284</v>
      </c>
      <c r="R2060" s="169" t="s">
        <v>283</v>
      </c>
      <c r="S2060" s="169" t="s">
        <v>283</v>
      </c>
      <c r="T2060" s="169">
        <v>0</v>
      </c>
    </row>
    <row r="2061" spans="1:20" x14ac:dyDescent="0.2">
      <c r="A2061" s="169" t="str">
        <f t="shared" si="11"/>
        <v>642</v>
      </c>
      <c r="B2061" s="167" t="str">
        <f>_xlfn.XLOOKUP(I2061,Mapping!D:D,Mapping!E:E)</f>
        <v>Văn Phòng Giám Đốc</v>
      </c>
      <c r="C2061" s="167" t="str">
        <f>_xlfn.XLOOKUP(F2061,Mapping!A:A,Mapping!F:F)</f>
        <v>Thưởng</v>
      </c>
      <c r="D2061" s="173">
        <v>45991</v>
      </c>
      <c r="E2061" s="169" t="s">
        <v>1242</v>
      </c>
      <c r="F2061" s="169" t="s">
        <v>292</v>
      </c>
      <c r="G2061" s="169" t="s">
        <v>77</v>
      </c>
      <c r="H2061" s="169" t="s">
        <v>320</v>
      </c>
      <c r="I2061" s="169" t="s">
        <v>321</v>
      </c>
      <c r="J2061" s="169" t="s">
        <v>1245</v>
      </c>
      <c r="K2061" s="169" t="s">
        <v>1240</v>
      </c>
      <c r="L2061" s="169" t="s">
        <v>1213</v>
      </c>
      <c r="M2061" s="169" t="s">
        <v>281</v>
      </c>
      <c r="N2061" s="178">
        <v>8835757</v>
      </c>
      <c r="O2061" s="169" t="s">
        <v>1244</v>
      </c>
      <c r="P2061" s="169" t="s">
        <v>283</v>
      </c>
      <c r="Q2061" s="169" t="s">
        <v>284</v>
      </c>
      <c r="R2061" s="169" t="s">
        <v>283</v>
      </c>
      <c r="S2061" s="169" t="s">
        <v>283</v>
      </c>
      <c r="T2061" s="169">
        <v>0</v>
      </c>
    </row>
    <row r="2062" spans="1:20" x14ac:dyDescent="0.2">
      <c r="A2062" s="169" t="str">
        <f t="shared" si="11"/>
        <v>642</v>
      </c>
      <c r="B2062" s="167" t="str">
        <f>_xlfn.XLOOKUP(I2062,Mapping!D:D,Mapping!E:E)</f>
        <v>Hành Chánh Nhân Sự</v>
      </c>
      <c r="C2062" s="167" t="str">
        <f>_xlfn.XLOOKUP(F2062,Mapping!A:A,Mapping!F:F)</f>
        <v>Lương Chính +T13</v>
      </c>
      <c r="D2062" s="173">
        <v>45991</v>
      </c>
      <c r="E2062" s="169" t="s">
        <v>1242</v>
      </c>
      <c r="F2062" s="169" t="s">
        <v>285</v>
      </c>
      <c r="G2062" s="169" t="s">
        <v>286</v>
      </c>
      <c r="H2062" s="169" t="s">
        <v>301</v>
      </c>
      <c r="I2062" s="169" t="s">
        <v>302</v>
      </c>
      <c r="J2062" s="169" t="s">
        <v>1243</v>
      </c>
      <c r="K2062" s="169" t="s">
        <v>1240</v>
      </c>
      <c r="L2062" s="169" t="s">
        <v>1213</v>
      </c>
      <c r="M2062" s="169" t="s">
        <v>281</v>
      </c>
      <c r="N2062" s="178">
        <v>41796426</v>
      </c>
      <c r="O2062" s="169" t="s">
        <v>1244</v>
      </c>
      <c r="P2062" s="169" t="s">
        <v>283</v>
      </c>
      <c r="Q2062" s="169" t="s">
        <v>284</v>
      </c>
      <c r="R2062" s="169" t="s">
        <v>283</v>
      </c>
      <c r="S2062" s="169" t="s">
        <v>283</v>
      </c>
      <c r="T2062" s="169">
        <v>0</v>
      </c>
    </row>
    <row r="2063" spans="1:20" x14ac:dyDescent="0.2">
      <c r="A2063" s="169" t="str">
        <f t="shared" si="11"/>
        <v>642</v>
      </c>
      <c r="B2063" s="167" t="str">
        <f>_xlfn.XLOOKUP(I2063,Mapping!D:D,Mapping!E:E)</f>
        <v>Hành Chánh Nhân Sự</v>
      </c>
      <c r="C2063" s="167" t="str">
        <f>_xlfn.XLOOKUP(F2063,Mapping!A:A,Mapping!F:F)</f>
        <v>Thưởng</v>
      </c>
      <c r="D2063" s="173">
        <v>45991</v>
      </c>
      <c r="E2063" s="169" t="s">
        <v>1242</v>
      </c>
      <c r="F2063" s="169" t="s">
        <v>292</v>
      </c>
      <c r="G2063" s="169" t="s">
        <v>77</v>
      </c>
      <c r="H2063" s="169" t="s">
        <v>301</v>
      </c>
      <c r="I2063" s="169" t="s">
        <v>302</v>
      </c>
      <c r="J2063" s="169" t="s">
        <v>1245</v>
      </c>
      <c r="K2063" s="169" t="s">
        <v>1240</v>
      </c>
      <c r="L2063" s="169" t="s">
        <v>1213</v>
      </c>
      <c r="M2063" s="169" t="s">
        <v>281</v>
      </c>
      <c r="N2063" s="178">
        <v>33113485</v>
      </c>
      <c r="O2063" s="169" t="s">
        <v>1244</v>
      </c>
      <c r="P2063" s="169" t="s">
        <v>283</v>
      </c>
      <c r="Q2063" s="169" t="s">
        <v>284</v>
      </c>
      <c r="R2063" s="169" t="s">
        <v>283</v>
      </c>
      <c r="S2063" s="169" t="s">
        <v>283</v>
      </c>
      <c r="T2063" s="169">
        <v>0</v>
      </c>
    </row>
    <row r="2064" spans="1:20" x14ac:dyDescent="0.2">
      <c r="A2064" s="169" t="str">
        <f t="shared" si="11"/>
        <v>642</v>
      </c>
      <c r="B2064" s="167" t="str">
        <f>_xlfn.XLOOKUP(I2064,Mapping!D:D,Mapping!E:E)</f>
        <v>Kế Toán</v>
      </c>
      <c r="C2064" s="167" t="str">
        <f>_xlfn.XLOOKUP(F2064,Mapping!A:A,Mapping!F:F)</f>
        <v>Lương Chính +T13</v>
      </c>
      <c r="D2064" s="173">
        <v>45991</v>
      </c>
      <c r="E2064" s="169" t="s">
        <v>1242</v>
      </c>
      <c r="F2064" s="169" t="s">
        <v>285</v>
      </c>
      <c r="G2064" s="169" t="s">
        <v>286</v>
      </c>
      <c r="H2064" s="169" t="s">
        <v>356</v>
      </c>
      <c r="I2064" s="169" t="s">
        <v>357</v>
      </c>
      <c r="J2064" s="169" t="s">
        <v>1243</v>
      </c>
      <c r="K2064" s="169" t="s">
        <v>1240</v>
      </c>
      <c r="L2064" s="169" t="s">
        <v>1213</v>
      </c>
      <c r="M2064" s="169" t="s">
        <v>281</v>
      </c>
      <c r="N2064" s="178">
        <v>43430430</v>
      </c>
      <c r="O2064" s="169" t="s">
        <v>1244</v>
      </c>
      <c r="P2064" s="169" t="s">
        <v>283</v>
      </c>
      <c r="Q2064" s="169" t="s">
        <v>284</v>
      </c>
      <c r="R2064" s="169" t="s">
        <v>283</v>
      </c>
      <c r="S2064" s="169" t="s">
        <v>283</v>
      </c>
      <c r="T2064" s="169">
        <v>0</v>
      </c>
    </row>
    <row r="2065" spans="1:20" x14ac:dyDescent="0.2">
      <c r="A2065" s="169" t="str">
        <f t="shared" si="11"/>
        <v>642</v>
      </c>
      <c r="B2065" s="167" t="str">
        <f>_xlfn.XLOOKUP(I2065,Mapping!D:D,Mapping!E:E)</f>
        <v>Kế Toán</v>
      </c>
      <c r="C2065" s="167" t="str">
        <f>_xlfn.XLOOKUP(F2065,Mapping!A:A,Mapping!F:F)</f>
        <v>Thưởng</v>
      </c>
      <c r="D2065" s="173">
        <v>45991</v>
      </c>
      <c r="E2065" s="169" t="s">
        <v>1242</v>
      </c>
      <c r="F2065" s="169" t="s">
        <v>292</v>
      </c>
      <c r="G2065" s="169" t="s">
        <v>77</v>
      </c>
      <c r="H2065" s="169" t="s">
        <v>356</v>
      </c>
      <c r="I2065" s="169" t="s">
        <v>357</v>
      </c>
      <c r="J2065" s="169" t="s">
        <v>1245</v>
      </c>
      <c r="K2065" s="169" t="s">
        <v>1240</v>
      </c>
      <c r="L2065" s="169" t="s">
        <v>1213</v>
      </c>
      <c r="M2065" s="169" t="s">
        <v>281</v>
      </c>
      <c r="N2065" s="178">
        <v>39512200</v>
      </c>
      <c r="O2065" s="169" t="s">
        <v>1244</v>
      </c>
      <c r="P2065" s="169" t="s">
        <v>283</v>
      </c>
      <c r="Q2065" s="169" t="s">
        <v>284</v>
      </c>
      <c r="R2065" s="169" t="s">
        <v>283</v>
      </c>
      <c r="S2065" s="169" t="s">
        <v>283</v>
      </c>
      <c r="T2065" s="169">
        <v>0</v>
      </c>
    </row>
    <row r="2066" spans="1:20" x14ac:dyDescent="0.2">
      <c r="A2066" s="169" t="str">
        <f t="shared" si="11"/>
        <v>641</v>
      </c>
      <c r="B2066" s="167" t="str">
        <f>_xlfn.XLOOKUP(I2066,Mapping!D:D,Mapping!E:E)</f>
        <v>Kinh doanh</v>
      </c>
      <c r="C2066" s="167" t="str">
        <f>_xlfn.XLOOKUP(F2066,Mapping!A:A,Mapping!F:F)</f>
        <v>Lương Chính +T13</v>
      </c>
      <c r="D2066" s="173">
        <v>45991</v>
      </c>
      <c r="E2066" s="169" t="s">
        <v>1242</v>
      </c>
      <c r="F2066" s="169" t="s">
        <v>384</v>
      </c>
      <c r="G2066" s="169" t="s">
        <v>286</v>
      </c>
      <c r="H2066" s="169" t="s">
        <v>366</v>
      </c>
      <c r="I2066" s="169" t="s">
        <v>1</v>
      </c>
      <c r="J2066" s="169" t="s">
        <v>1243</v>
      </c>
      <c r="K2066" s="169" t="s">
        <v>1240</v>
      </c>
      <c r="L2066" s="169" t="s">
        <v>1213</v>
      </c>
      <c r="M2066" s="169" t="s">
        <v>281</v>
      </c>
      <c r="N2066" s="178">
        <v>25338500</v>
      </c>
      <c r="O2066" s="169" t="s">
        <v>1244</v>
      </c>
      <c r="P2066" s="169" t="s">
        <v>283</v>
      </c>
      <c r="Q2066" s="169" t="s">
        <v>284</v>
      </c>
      <c r="R2066" s="169" t="s">
        <v>283</v>
      </c>
      <c r="S2066" s="169" t="s">
        <v>283</v>
      </c>
      <c r="T2066" s="169">
        <v>0</v>
      </c>
    </row>
    <row r="2067" spans="1:20" x14ac:dyDescent="0.2">
      <c r="A2067" s="169" t="str">
        <f t="shared" si="11"/>
        <v>641</v>
      </c>
      <c r="B2067" s="167" t="str">
        <f>_xlfn.XLOOKUP(I2067,Mapping!D:D,Mapping!E:E)</f>
        <v>Kinh doanh</v>
      </c>
      <c r="C2067" s="167" t="str">
        <f>_xlfn.XLOOKUP(F2067,Mapping!A:A,Mapping!F:F)</f>
        <v>Thưởng</v>
      </c>
      <c r="D2067" s="173">
        <v>45991</v>
      </c>
      <c r="E2067" s="169" t="s">
        <v>1242</v>
      </c>
      <c r="F2067" s="169" t="s">
        <v>394</v>
      </c>
      <c r="G2067" s="169" t="s">
        <v>77</v>
      </c>
      <c r="H2067" s="169" t="s">
        <v>366</v>
      </c>
      <c r="I2067" s="169" t="s">
        <v>1</v>
      </c>
      <c r="J2067" s="169" t="s">
        <v>1245</v>
      </c>
      <c r="K2067" s="169" t="s">
        <v>1240</v>
      </c>
      <c r="L2067" s="169" t="s">
        <v>1213</v>
      </c>
      <c r="M2067" s="169" t="s">
        <v>281</v>
      </c>
      <c r="N2067" s="178">
        <v>23311217</v>
      </c>
      <c r="O2067" s="169" t="s">
        <v>1244</v>
      </c>
      <c r="P2067" s="169" t="s">
        <v>283</v>
      </c>
      <c r="Q2067" s="169" t="s">
        <v>284</v>
      </c>
      <c r="R2067" s="169" t="s">
        <v>283</v>
      </c>
      <c r="S2067" s="169" t="s">
        <v>283</v>
      </c>
      <c r="T2067" s="169">
        <v>0</v>
      </c>
    </row>
    <row r="2068" spans="1:20" x14ac:dyDescent="0.2">
      <c r="A2068" s="169" t="str">
        <f t="shared" si="11"/>
        <v>642</v>
      </c>
      <c r="B2068" s="167" t="str">
        <f>_xlfn.XLOOKUP(I2068,Mapping!D:D,Mapping!E:E)</f>
        <v>Cung Ứng</v>
      </c>
      <c r="C2068" s="167" t="str">
        <f>_xlfn.XLOOKUP(F2068,Mapping!A:A,Mapping!F:F)</f>
        <v>Lương Chính +T13</v>
      </c>
      <c r="D2068" s="173">
        <v>45991</v>
      </c>
      <c r="E2068" s="169" t="s">
        <v>1242</v>
      </c>
      <c r="F2068" s="169" t="s">
        <v>285</v>
      </c>
      <c r="G2068" s="169" t="s">
        <v>286</v>
      </c>
      <c r="H2068" s="169" t="s">
        <v>380</v>
      </c>
      <c r="I2068" s="169" t="s">
        <v>381</v>
      </c>
      <c r="J2068" s="169" t="s">
        <v>1243</v>
      </c>
      <c r="K2068" s="169" t="s">
        <v>1240</v>
      </c>
      <c r="L2068" s="169" t="s">
        <v>1213</v>
      </c>
      <c r="M2068" s="169" t="s">
        <v>281</v>
      </c>
      <c r="N2068" s="178">
        <v>41719637</v>
      </c>
      <c r="O2068" s="169" t="s">
        <v>1244</v>
      </c>
      <c r="P2068" s="169" t="s">
        <v>283</v>
      </c>
      <c r="Q2068" s="169" t="s">
        <v>284</v>
      </c>
      <c r="R2068" s="169" t="s">
        <v>283</v>
      </c>
      <c r="S2068" s="169" t="s">
        <v>283</v>
      </c>
      <c r="T2068" s="169">
        <v>0</v>
      </c>
    </row>
    <row r="2069" spans="1:20" x14ac:dyDescent="0.2">
      <c r="A2069" s="169" t="str">
        <f t="shared" si="11"/>
        <v>642</v>
      </c>
      <c r="B2069" s="167" t="str">
        <f>_xlfn.XLOOKUP(I2069,Mapping!D:D,Mapping!E:E)</f>
        <v>Cung Ứng</v>
      </c>
      <c r="C2069" s="167" t="str">
        <f>_xlfn.XLOOKUP(F2069,Mapping!A:A,Mapping!F:F)</f>
        <v>Thưởng</v>
      </c>
      <c r="D2069" s="173">
        <v>45991</v>
      </c>
      <c r="E2069" s="169" t="s">
        <v>1242</v>
      </c>
      <c r="F2069" s="169" t="s">
        <v>292</v>
      </c>
      <c r="G2069" s="169" t="s">
        <v>77</v>
      </c>
      <c r="H2069" s="169" t="s">
        <v>380</v>
      </c>
      <c r="I2069" s="169" t="s">
        <v>381</v>
      </c>
      <c r="J2069" s="169" t="s">
        <v>1245</v>
      </c>
      <c r="K2069" s="169" t="s">
        <v>1240</v>
      </c>
      <c r="L2069" s="169" t="s">
        <v>1213</v>
      </c>
      <c r="M2069" s="169" t="s">
        <v>281</v>
      </c>
      <c r="N2069" s="178">
        <v>36656075</v>
      </c>
      <c r="O2069" s="169" t="s">
        <v>1244</v>
      </c>
      <c r="P2069" s="169" t="s">
        <v>283</v>
      </c>
      <c r="Q2069" s="169" t="s">
        <v>284</v>
      </c>
      <c r="R2069" s="169" t="s">
        <v>283</v>
      </c>
      <c r="S2069" s="169" t="s">
        <v>283</v>
      </c>
      <c r="T2069" s="169">
        <v>0</v>
      </c>
    </row>
    <row r="2070" spans="1:20" x14ac:dyDescent="0.2">
      <c r="A2070" s="169" t="str">
        <f t="shared" si="11"/>
        <v>642</v>
      </c>
      <c r="B2070" s="167" t="str">
        <f>_xlfn.XLOOKUP(I2070,Mapping!D:D,Mapping!E:E)</f>
        <v>Mua Hàng &amp; XNK</v>
      </c>
      <c r="C2070" s="167" t="str">
        <f>_xlfn.XLOOKUP(F2070,Mapping!A:A,Mapping!F:F)</f>
        <v>Lương Chính +T13</v>
      </c>
      <c r="D2070" s="173">
        <v>45991</v>
      </c>
      <c r="E2070" s="169" t="s">
        <v>1242</v>
      </c>
      <c r="F2070" s="169" t="s">
        <v>285</v>
      </c>
      <c r="G2070" s="169" t="s">
        <v>286</v>
      </c>
      <c r="H2070" s="169" t="s">
        <v>378</v>
      </c>
      <c r="I2070" s="169" t="s">
        <v>379</v>
      </c>
      <c r="J2070" s="169" t="s">
        <v>1243</v>
      </c>
      <c r="K2070" s="169" t="s">
        <v>1240</v>
      </c>
      <c r="L2070" s="169" t="s">
        <v>1213</v>
      </c>
      <c r="M2070" s="169" t="s">
        <v>281</v>
      </c>
      <c r="N2070" s="178">
        <v>16127750</v>
      </c>
      <c r="O2070" s="169" t="s">
        <v>1244</v>
      </c>
      <c r="P2070" s="169" t="s">
        <v>283</v>
      </c>
      <c r="Q2070" s="169" t="s">
        <v>284</v>
      </c>
      <c r="R2070" s="169" t="s">
        <v>283</v>
      </c>
      <c r="S2070" s="169" t="s">
        <v>283</v>
      </c>
      <c r="T2070" s="169">
        <v>0</v>
      </c>
    </row>
    <row r="2071" spans="1:20" x14ac:dyDescent="0.2">
      <c r="A2071" s="169" t="str">
        <f t="shared" si="11"/>
        <v>642</v>
      </c>
      <c r="B2071" s="167" t="str">
        <f>_xlfn.XLOOKUP(I2071,Mapping!D:D,Mapping!E:E)</f>
        <v>Mua Hàng &amp; XNK</v>
      </c>
      <c r="C2071" s="167" t="str">
        <f>_xlfn.XLOOKUP(F2071,Mapping!A:A,Mapping!F:F)</f>
        <v>Thưởng</v>
      </c>
      <c r="D2071" s="173">
        <v>45991</v>
      </c>
      <c r="E2071" s="169" t="s">
        <v>1242</v>
      </c>
      <c r="F2071" s="169" t="s">
        <v>292</v>
      </c>
      <c r="G2071" s="169" t="s">
        <v>77</v>
      </c>
      <c r="H2071" s="169" t="s">
        <v>378</v>
      </c>
      <c r="I2071" s="169" t="s">
        <v>379</v>
      </c>
      <c r="J2071" s="169" t="s">
        <v>1245</v>
      </c>
      <c r="K2071" s="169" t="s">
        <v>1240</v>
      </c>
      <c r="L2071" s="169" t="s">
        <v>1213</v>
      </c>
      <c r="M2071" s="169" t="s">
        <v>281</v>
      </c>
      <c r="N2071" s="178">
        <v>14837401</v>
      </c>
      <c r="O2071" s="169" t="s">
        <v>1244</v>
      </c>
      <c r="P2071" s="169" t="s">
        <v>283</v>
      </c>
      <c r="Q2071" s="169" t="s">
        <v>284</v>
      </c>
      <c r="R2071" s="169" t="s">
        <v>283</v>
      </c>
      <c r="S2071" s="169" t="s">
        <v>283</v>
      </c>
      <c r="T2071" s="169">
        <v>0</v>
      </c>
    </row>
    <row r="2072" spans="1:20" x14ac:dyDescent="0.2">
      <c r="A2072" s="169" t="str">
        <f t="shared" si="11"/>
        <v>627</v>
      </c>
      <c r="B2072" s="167" t="str">
        <f>_xlfn.XLOOKUP(I2072,Mapping!D:D,Mapping!E:E)</f>
        <v>Kỹ Thuật</v>
      </c>
      <c r="C2072" s="167" t="str">
        <f>_xlfn.XLOOKUP(F2072,Mapping!A:A,Mapping!F:F)</f>
        <v>Lương Chính +T13</v>
      </c>
      <c r="D2072" s="173">
        <v>45991</v>
      </c>
      <c r="E2072" s="169" t="s">
        <v>1242</v>
      </c>
      <c r="F2072" s="169" t="s">
        <v>388</v>
      </c>
      <c r="G2072" s="169" t="s">
        <v>286</v>
      </c>
      <c r="H2072" s="169" t="s">
        <v>376</v>
      </c>
      <c r="I2072" s="169" t="s">
        <v>377</v>
      </c>
      <c r="J2072" s="169" t="s">
        <v>1243</v>
      </c>
      <c r="K2072" s="169" t="s">
        <v>1240</v>
      </c>
      <c r="L2072" s="169" t="s">
        <v>1213</v>
      </c>
      <c r="M2072" s="169" t="s">
        <v>281</v>
      </c>
      <c r="N2072" s="178">
        <v>88852917</v>
      </c>
      <c r="O2072" s="169" t="s">
        <v>1244</v>
      </c>
      <c r="P2072" s="169" t="s">
        <v>283</v>
      </c>
      <c r="Q2072" s="169" t="s">
        <v>284</v>
      </c>
      <c r="R2072" s="169" t="s">
        <v>283</v>
      </c>
      <c r="S2072" s="169" t="s">
        <v>283</v>
      </c>
      <c r="T2072" s="169">
        <v>0</v>
      </c>
    </row>
    <row r="2073" spans="1:20" x14ac:dyDescent="0.2">
      <c r="A2073" s="169" t="str">
        <f t="shared" si="11"/>
        <v>627</v>
      </c>
      <c r="B2073" s="167" t="str">
        <f>_xlfn.XLOOKUP(I2073,Mapping!D:D,Mapping!E:E)</f>
        <v>Kỹ Thuật</v>
      </c>
      <c r="C2073" s="167" t="str">
        <f>_xlfn.XLOOKUP(F2073,Mapping!A:A,Mapping!F:F)</f>
        <v>Thưởng</v>
      </c>
      <c r="D2073" s="173">
        <v>45991</v>
      </c>
      <c r="E2073" s="169" t="s">
        <v>1242</v>
      </c>
      <c r="F2073" s="169" t="s">
        <v>395</v>
      </c>
      <c r="G2073" s="169" t="s">
        <v>77</v>
      </c>
      <c r="H2073" s="169" t="s">
        <v>376</v>
      </c>
      <c r="I2073" s="169" t="s">
        <v>377</v>
      </c>
      <c r="J2073" s="169" t="s">
        <v>1245</v>
      </c>
      <c r="K2073" s="169" t="s">
        <v>1240</v>
      </c>
      <c r="L2073" s="169" t="s">
        <v>1213</v>
      </c>
      <c r="M2073" s="169" t="s">
        <v>281</v>
      </c>
      <c r="N2073" s="178">
        <v>81743973</v>
      </c>
      <c r="O2073" s="169" t="s">
        <v>1244</v>
      </c>
      <c r="P2073" s="169" t="s">
        <v>283</v>
      </c>
      <c r="Q2073" s="169" t="s">
        <v>284</v>
      </c>
      <c r="R2073" s="169" t="s">
        <v>283</v>
      </c>
      <c r="S2073" s="169" t="s">
        <v>283</v>
      </c>
      <c r="T2073" s="169">
        <v>0</v>
      </c>
    </row>
    <row r="2074" spans="1:20" x14ac:dyDescent="0.2">
      <c r="A2074" s="169" t="str">
        <f t="shared" si="11"/>
        <v>627</v>
      </c>
      <c r="B2074" s="167" t="str">
        <f>_xlfn.XLOOKUP(I2074,Mapping!D:D,Mapping!E:E)</f>
        <v>Kiểm Soát Chất Lượng</v>
      </c>
      <c r="C2074" s="167" t="str">
        <f>_xlfn.XLOOKUP(F2074,Mapping!A:A,Mapping!F:F)</f>
        <v>Lương Chính +T13</v>
      </c>
      <c r="D2074" s="173">
        <v>45991</v>
      </c>
      <c r="E2074" s="169" t="s">
        <v>1242</v>
      </c>
      <c r="F2074" s="169" t="s">
        <v>388</v>
      </c>
      <c r="G2074" s="169" t="s">
        <v>286</v>
      </c>
      <c r="H2074" s="169" t="s">
        <v>411</v>
      </c>
      <c r="I2074" s="169" t="s">
        <v>412</v>
      </c>
      <c r="J2074" s="169" t="s">
        <v>1243</v>
      </c>
      <c r="K2074" s="169" t="s">
        <v>1240</v>
      </c>
      <c r="L2074" s="169" t="s">
        <v>1213</v>
      </c>
      <c r="M2074" s="169" t="s">
        <v>281</v>
      </c>
      <c r="N2074" s="178">
        <v>38540750</v>
      </c>
      <c r="O2074" s="169" t="s">
        <v>1244</v>
      </c>
      <c r="P2074" s="169" t="s">
        <v>283</v>
      </c>
      <c r="Q2074" s="169" t="s">
        <v>284</v>
      </c>
      <c r="R2074" s="169" t="s">
        <v>283</v>
      </c>
      <c r="S2074" s="169" t="s">
        <v>283</v>
      </c>
      <c r="T2074" s="169">
        <v>0</v>
      </c>
    </row>
    <row r="2075" spans="1:20" x14ac:dyDescent="0.2">
      <c r="A2075" s="169" t="str">
        <f t="shared" si="11"/>
        <v>627</v>
      </c>
      <c r="B2075" s="167" t="str">
        <f>_xlfn.XLOOKUP(I2075,Mapping!D:D,Mapping!E:E)</f>
        <v>Kiểm Soát Chất Lượng</v>
      </c>
      <c r="C2075" s="167" t="str">
        <f>_xlfn.XLOOKUP(F2075,Mapping!A:A,Mapping!F:F)</f>
        <v>Thưởng</v>
      </c>
      <c r="D2075" s="173">
        <v>45991</v>
      </c>
      <c r="E2075" s="169" t="s">
        <v>1242</v>
      </c>
      <c r="F2075" s="169" t="s">
        <v>395</v>
      </c>
      <c r="G2075" s="169" t="s">
        <v>77</v>
      </c>
      <c r="H2075" s="169" t="s">
        <v>411</v>
      </c>
      <c r="I2075" s="169" t="s">
        <v>412</v>
      </c>
      <c r="J2075" s="169" t="s">
        <v>1245</v>
      </c>
      <c r="K2075" s="169" t="s">
        <v>1240</v>
      </c>
      <c r="L2075" s="169" t="s">
        <v>1213</v>
      </c>
      <c r="M2075" s="169" t="s">
        <v>281</v>
      </c>
      <c r="N2075" s="178">
        <v>35457182</v>
      </c>
      <c r="O2075" s="169" t="s">
        <v>1244</v>
      </c>
      <c r="P2075" s="169" t="s">
        <v>283</v>
      </c>
      <c r="Q2075" s="169" t="s">
        <v>284</v>
      </c>
      <c r="R2075" s="169" t="s">
        <v>283</v>
      </c>
      <c r="S2075" s="169" t="s">
        <v>283</v>
      </c>
      <c r="T2075" s="169">
        <v>0</v>
      </c>
    </row>
    <row r="2076" spans="1:20" x14ac:dyDescent="0.2">
      <c r="A2076" s="169" t="str">
        <f t="shared" si="11"/>
        <v>627</v>
      </c>
      <c r="B2076" s="167" t="str">
        <f>_xlfn.XLOOKUP(I2076,Mapping!D:D,Mapping!E:E)</f>
        <v>Nghiên Cứu &amp; Phát Triển</v>
      </c>
      <c r="C2076" s="167" t="str">
        <f>_xlfn.XLOOKUP(F2076,Mapping!A:A,Mapping!F:F)</f>
        <v>Lương Chính +T13</v>
      </c>
      <c r="D2076" s="173">
        <v>45991</v>
      </c>
      <c r="E2076" s="169" t="s">
        <v>1242</v>
      </c>
      <c r="F2076" s="169" t="s">
        <v>388</v>
      </c>
      <c r="G2076" s="169" t="s">
        <v>286</v>
      </c>
      <c r="H2076" s="169" t="s">
        <v>418</v>
      </c>
      <c r="I2076" s="169" t="s">
        <v>419</v>
      </c>
      <c r="J2076" s="169" t="s">
        <v>1243</v>
      </c>
      <c r="K2076" s="169" t="s">
        <v>1240</v>
      </c>
      <c r="L2076" s="169" t="s">
        <v>1213</v>
      </c>
      <c r="M2076" s="169" t="s">
        <v>281</v>
      </c>
      <c r="N2076" s="178">
        <v>16916667</v>
      </c>
      <c r="O2076" s="169" t="s">
        <v>1244</v>
      </c>
      <c r="P2076" s="169" t="s">
        <v>283</v>
      </c>
      <c r="Q2076" s="169" t="s">
        <v>284</v>
      </c>
      <c r="R2076" s="169" t="s">
        <v>283</v>
      </c>
      <c r="S2076" s="169" t="s">
        <v>283</v>
      </c>
      <c r="T2076" s="169">
        <v>0</v>
      </c>
    </row>
    <row r="2077" spans="1:20" x14ac:dyDescent="0.2">
      <c r="A2077" s="169" t="str">
        <f t="shared" si="11"/>
        <v>627</v>
      </c>
      <c r="B2077" s="167" t="str">
        <f>_xlfn.XLOOKUP(I2077,Mapping!D:D,Mapping!E:E)</f>
        <v>Nghiên Cứu &amp; Phát Triển</v>
      </c>
      <c r="C2077" s="167" t="str">
        <f>_xlfn.XLOOKUP(F2077,Mapping!A:A,Mapping!F:F)</f>
        <v>Thưởng</v>
      </c>
      <c r="D2077" s="173">
        <v>45991</v>
      </c>
      <c r="E2077" s="169" t="s">
        <v>1242</v>
      </c>
      <c r="F2077" s="169" t="s">
        <v>395</v>
      </c>
      <c r="G2077" s="169" t="s">
        <v>77</v>
      </c>
      <c r="H2077" s="169" t="s">
        <v>418</v>
      </c>
      <c r="I2077" s="169" t="s">
        <v>419</v>
      </c>
      <c r="J2077" s="169" t="s">
        <v>1245</v>
      </c>
      <c r="K2077" s="169" t="s">
        <v>1240</v>
      </c>
      <c r="L2077" s="169" t="s">
        <v>1213</v>
      </c>
      <c r="M2077" s="169" t="s">
        <v>281</v>
      </c>
      <c r="N2077" s="178">
        <v>15563198</v>
      </c>
      <c r="O2077" s="169" t="s">
        <v>1244</v>
      </c>
      <c r="P2077" s="169" t="s">
        <v>283</v>
      </c>
      <c r="Q2077" s="169" t="s">
        <v>284</v>
      </c>
      <c r="R2077" s="169" t="s">
        <v>283</v>
      </c>
      <c r="S2077" s="169" t="s">
        <v>283</v>
      </c>
      <c r="T2077" s="169">
        <v>0</v>
      </c>
    </row>
    <row r="2078" spans="1:20" x14ac:dyDescent="0.2">
      <c r="A2078" s="169" t="str">
        <f t="shared" si="11"/>
        <v>627</v>
      </c>
      <c r="B2078" s="167" t="str">
        <f>_xlfn.XLOOKUP(I2078,Mapping!D:D,Mapping!E:E)</f>
        <v>Xưởng Sản Xuất</v>
      </c>
      <c r="C2078" s="167" t="str">
        <f>_xlfn.XLOOKUP(F2078,Mapping!A:A,Mapping!F:F)</f>
        <v>Lương Chính +T13</v>
      </c>
      <c r="D2078" s="173">
        <v>45991</v>
      </c>
      <c r="E2078" s="169" t="s">
        <v>1242</v>
      </c>
      <c r="F2078" s="169" t="s">
        <v>388</v>
      </c>
      <c r="G2078" s="169" t="s">
        <v>286</v>
      </c>
      <c r="H2078" s="169" t="s">
        <v>402</v>
      </c>
      <c r="I2078" s="169" t="s">
        <v>403</v>
      </c>
      <c r="J2078" s="169" t="s">
        <v>1243</v>
      </c>
      <c r="K2078" s="169" t="s">
        <v>1240</v>
      </c>
      <c r="L2078" s="169" t="s">
        <v>1213</v>
      </c>
      <c r="M2078" s="169" t="s">
        <v>281</v>
      </c>
      <c r="N2078" s="178">
        <v>34131170</v>
      </c>
      <c r="O2078" s="169" t="s">
        <v>1244</v>
      </c>
      <c r="P2078" s="169" t="s">
        <v>283</v>
      </c>
      <c r="Q2078" s="169" t="s">
        <v>284</v>
      </c>
      <c r="R2078" s="169" t="s">
        <v>283</v>
      </c>
      <c r="S2078" s="169" t="s">
        <v>283</v>
      </c>
      <c r="T2078" s="169">
        <v>0</v>
      </c>
    </row>
    <row r="2079" spans="1:20" x14ac:dyDescent="0.2">
      <c r="A2079" s="169" t="str">
        <f t="shared" si="11"/>
        <v>622</v>
      </c>
      <c r="B2079" s="167" t="str">
        <f>_xlfn.XLOOKUP(I2079,Mapping!D:D,Mapping!E:E)</f>
        <v>Xưởng Sản Xuất</v>
      </c>
      <c r="C2079" s="167" t="str">
        <f>_xlfn.XLOOKUP(F2079,Mapping!A:A,Mapping!F:F)</f>
        <v>Lương Chính +T13</v>
      </c>
      <c r="D2079" s="173">
        <v>45991</v>
      </c>
      <c r="E2079" s="169" t="s">
        <v>1242</v>
      </c>
      <c r="F2079" s="169" t="s">
        <v>420</v>
      </c>
      <c r="G2079" s="169" t="s">
        <v>286</v>
      </c>
      <c r="H2079" s="169" t="s">
        <v>402</v>
      </c>
      <c r="I2079" s="169" t="s">
        <v>403</v>
      </c>
      <c r="J2079" s="169" t="s">
        <v>1243</v>
      </c>
      <c r="K2079" s="169" t="s">
        <v>1240</v>
      </c>
      <c r="L2079" s="169" t="s">
        <v>1213</v>
      </c>
      <c r="M2079" s="169" t="s">
        <v>281</v>
      </c>
      <c r="N2079" s="178">
        <v>105711883</v>
      </c>
      <c r="O2079" s="169" t="s">
        <v>1244</v>
      </c>
      <c r="P2079" s="169" t="s">
        <v>283</v>
      </c>
      <c r="Q2079" s="169" t="s">
        <v>284</v>
      </c>
      <c r="R2079" s="169" t="s">
        <v>283</v>
      </c>
      <c r="S2079" s="169" t="s">
        <v>283</v>
      </c>
      <c r="T2079" s="169">
        <v>0</v>
      </c>
    </row>
    <row r="2080" spans="1:20" x14ac:dyDescent="0.2">
      <c r="A2080" s="169" t="str">
        <f t="shared" si="11"/>
        <v>627</v>
      </c>
      <c r="B2080" s="167" t="str">
        <f>_xlfn.XLOOKUP(I2080,Mapping!D:D,Mapping!E:E)</f>
        <v>Xưởng Sản Xuất</v>
      </c>
      <c r="C2080" s="167" t="str">
        <f>_xlfn.XLOOKUP(F2080,Mapping!A:A,Mapping!F:F)</f>
        <v>Thưởng</v>
      </c>
      <c r="D2080" s="173">
        <v>45991</v>
      </c>
      <c r="E2080" s="169" t="s">
        <v>1242</v>
      </c>
      <c r="F2080" s="169" t="s">
        <v>395</v>
      </c>
      <c r="G2080" s="169" t="s">
        <v>77</v>
      </c>
      <c r="H2080" s="169" t="s">
        <v>402</v>
      </c>
      <c r="I2080" s="169" t="s">
        <v>403</v>
      </c>
      <c r="J2080" s="169" t="s">
        <v>1245</v>
      </c>
      <c r="K2080" s="169" t="s">
        <v>1240</v>
      </c>
      <c r="L2080" s="169" t="s">
        <v>1213</v>
      </c>
      <c r="M2080" s="169" t="s">
        <v>281</v>
      </c>
      <c r="N2080" s="178">
        <v>30905675</v>
      </c>
      <c r="O2080" s="169" t="s">
        <v>1244</v>
      </c>
      <c r="P2080" s="169" t="s">
        <v>283</v>
      </c>
      <c r="Q2080" s="169" t="s">
        <v>284</v>
      </c>
      <c r="R2080" s="169" t="s">
        <v>283</v>
      </c>
      <c r="S2080" s="169" t="s">
        <v>283</v>
      </c>
      <c r="T2080" s="169">
        <v>0</v>
      </c>
    </row>
    <row r="2081" spans="1:20" x14ac:dyDescent="0.2">
      <c r="A2081" s="169" t="str">
        <f t="shared" si="11"/>
        <v>622</v>
      </c>
      <c r="B2081" s="167" t="str">
        <f>_xlfn.XLOOKUP(I2081,Mapping!D:D,Mapping!E:E)</f>
        <v>Xưởng Sản Xuất</v>
      </c>
      <c r="C2081" s="167" t="str">
        <f>_xlfn.XLOOKUP(F2081,Mapping!A:A,Mapping!F:F)</f>
        <v>Thưởng</v>
      </c>
      <c r="D2081" s="173">
        <v>45991</v>
      </c>
      <c r="E2081" s="169" t="s">
        <v>1242</v>
      </c>
      <c r="F2081" s="169" t="s">
        <v>426</v>
      </c>
      <c r="G2081" s="169" t="s">
        <v>77</v>
      </c>
      <c r="H2081" s="169" t="s">
        <v>402</v>
      </c>
      <c r="I2081" s="169" t="s">
        <v>403</v>
      </c>
      <c r="J2081" s="169" t="s">
        <v>1245</v>
      </c>
      <c r="K2081" s="169" t="s">
        <v>1240</v>
      </c>
      <c r="L2081" s="169" t="s">
        <v>1213</v>
      </c>
      <c r="M2081" s="169" t="s">
        <v>281</v>
      </c>
      <c r="N2081" s="178">
        <v>24270687</v>
      </c>
      <c r="O2081" s="169" t="s">
        <v>1244</v>
      </c>
      <c r="P2081" s="169" t="s">
        <v>283</v>
      </c>
      <c r="Q2081" s="169" t="s">
        <v>284</v>
      </c>
      <c r="R2081" s="169" t="s">
        <v>283</v>
      </c>
      <c r="S2081" s="169" t="s">
        <v>283</v>
      </c>
      <c r="T2081" s="169">
        <v>0</v>
      </c>
    </row>
    <row r="2082" spans="1:20" x14ac:dyDescent="0.2">
      <c r="A2082" s="169" t="str">
        <f t="shared" si="11"/>
        <v>627</v>
      </c>
      <c r="B2082" s="167" t="str">
        <f>_xlfn.XLOOKUP(I2082,Mapping!D:D,Mapping!E:E)</f>
        <v>Xưởng Sản Xuất</v>
      </c>
      <c r="C2082" s="167" t="str">
        <f>_xlfn.XLOOKUP(F2082,Mapping!A:A,Mapping!F:F)</f>
        <v>Lương Chính +T13</v>
      </c>
      <c r="D2082" s="173">
        <v>45991</v>
      </c>
      <c r="E2082" s="169" t="s">
        <v>1242</v>
      </c>
      <c r="F2082" s="169" t="s">
        <v>388</v>
      </c>
      <c r="G2082" s="169" t="s">
        <v>286</v>
      </c>
      <c r="H2082" s="169" t="s">
        <v>430</v>
      </c>
      <c r="I2082" s="169" t="s">
        <v>431</v>
      </c>
      <c r="J2082" s="169" t="s">
        <v>1243</v>
      </c>
      <c r="K2082" s="169" t="s">
        <v>1240</v>
      </c>
      <c r="L2082" s="169" t="s">
        <v>1213</v>
      </c>
      <c r="M2082" s="169" t="s">
        <v>281</v>
      </c>
      <c r="N2082" s="178">
        <v>11805449</v>
      </c>
      <c r="O2082" s="169" t="s">
        <v>1244</v>
      </c>
      <c r="P2082" s="169" t="s">
        <v>283</v>
      </c>
      <c r="Q2082" s="169" t="s">
        <v>284</v>
      </c>
      <c r="R2082" s="169" t="s">
        <v>283</v>
      </c>
      <c r="S2082" s="169" t="s">
        <v>283</v>
      </c>
      <c r="T2082" s="169">
        <v>0</v>
      </c>
    </row>
    <row r="2083" spans="1:20" x14ac:dyDescent="0.2">
      <c r="A2083" s="169" t="str">
        <f t="shared" si="11"/>
        <v>622</v>
      </c>
      <c r="B2083" s="167" t="str">
        <f>_xlfn.XLOOKUP(I2083,Mapping!D:D,Mapping!E:E)</f>
        <v>Xưởng Sản Xuất</v>
      </c>
      <c r="C2083" s="167" t="str">
        <f>_xlfn.XLOOKUP(F2083,Mapping!A:A,Mapping!F:F)</f>
        <v>Lương Chính +T13</v>
      </c>
      <c r="D2083" s="173">
        <v>45991</v>
      </c>
      <c r="E2083" s="169" t="s">
        <v>1242</v>
      </c>
      <c r="F2083" s="169" t="s">
        <v>420</v>
      </c>
      <c r="G2083" s="169" t="s">
        <v>286</v>
      </c>
      <c r="H2083" s="169" t="s">
        <v>430</v>
      </c>
      <c r="I2083" s="169" t="s">
        <v>431</v>
      </c>
      <c r="J2083" s="169" t="s">
        <v>1243</v>
      </c>
      <c r="K2083" s="169" t="s">
        <v>1240</v>
      </c>
      <c r="L2083" s="169" t="s">
        <v>1213</v>
      </c>
      <c r="M2083" s="169" t="s">
        <v>281</v>
      </c>
      <c r="N2083" s="178">
        <v>18135224</v>
      </c>
      <c r="O2083" s="169" t="s">
        <v>1244</v>
      </c>
      <c r="P2083" s="169" t="s">
        <v>283</v>
      </c>
      <c r="Q2083" s="169" t="s">
        <v>284</v>
      </c>
      <c r="R2083" s="169" t="s">
        <v>283</v>
      </c>
      <c r="S2083" s="169" t="s">
        <v>283</v>
      </c>
      <c r="T2083" s="169">
        <v>0</v>
      </c>
    </row>
    <row r="2084" spans="1:20" x14ac:dyDescent="0.2">
      <c r="A2084" s="169" t="str">
        <f t="shared" si="11"/>
        <v>627</v>
      </c>
      <c r="B2084" s="167" t="str">
        <f>_xlfn.XLOOKUP(I2084,Mapping!D:D,Mapping!E:E)</f>
        <v>Xưởng Sản Xuất</v>
      </c>
      <c r="C2084" s="167" t="str">
        <f>_xlfn.XLOOKUP(F2084,Mapping!A:A,Mapping!F:F)</f>
        <v>Thưởng</v>
      </c>
      <c r="D2084" s="173">
        <v>45991</v>
      </c>
      <c r="E2084" s="169" t="s">
        <v>1242</v>
      </c>
      <c r="F2084" s="169" t="s">
        <v>395</v>
      </c>
      <c r="G2084" s="169" t="s">
        <v>77</v>
      </c>
      <c r="H2084" s="169" t="s">
        <v>430</v>
      </c>
      <c r="I2084" s="169" t="s">
        <v>431</v>
      </c>
      <c r="J2084" s="169" t="s">
        <v>1245</v>
      </c>
      <c r="K2084" s="169" t="s">
        <v>1240</v>
      </c>
      <c r="L2084" s="169" t="s">
        <v>1213</v>
      </c>
      <c r="M2084" s="169" t="s">
        <v>281</v>
      </c>
      <c r="N2084" s="178">
        <v>10433629</v>
      </c>
      <c r="O2084" s="169" t="s">
        <v>1244</v>
      </c>
      <c r="P2084" s="169" t="s">
        <v>283</v>
      </c>
      <c r="Q2084" s="169" t="s">
        <v>284</v>
      </c>
      <c r="R2084" s="169" t="s">
        <v>283</v>
      </c>
      <c r="S2084" s="169" t="s">
        <v>283</v>
      </c>
      <c r="T2084" s="169">
        <v>0</v>
      </c>
    </row>
    <row r="2085" spans="1:20" x14ac:dyDescent="0.2">
      <c r="A2085" s="169" t="str">
        <f t="shared" si="11"/>
        <v>622</v>
      </c>
      <c r="B2085" s="167" t="str">
        <f>_xlfn.XLOOKUP(I2085,Mapping!D:D,Mapping!E:E)</f>
        <v>Xưởng Sản Xuất</v>
      </c>
      <c r="C2085" s="167" t="str">
        <f>_xlfn.XLOOKUP(F2085,Mapping!A:A,Mapping!F:F)</f>
        <v>Thưởng</v>
      </c>
      <c r="D2085" s="173">
        <v>45991</v>
      </c>
      <c r="E2085" s="169" t="s">
        <v>1242</v>
      </c>
      <c r="F2085" s="169" t="s">
        <v>426</v>
      </c>
      <c r="G2085" s="169" t="s">
        <v>77</v>
      </c>
      <c r="H2085" s="169" t="s">
        <v>430</v>
      </c>
      <c r="I2085" s="169" t="s">
        <v>431</v>
      </c>
      <c r="J2085" s="169" t="s">
        <v>1245</v>
      </c>
      <c r="K2085" s="169" t="s">
        <v>1240</v>
      </c>
      <c r="L2085" s="169" t="s">
        <v>1213</v>
      </c>
      <c r="M2085" s="169" t="s">
        <v>281</v>
      </c>
      <c r="N2085" s="178">
        <v>4752972</v>
      </c>
      <c r="O2085" s="169" t="s">
        <v>1244</v>
      </c>
      <c r="P2085" s="169" t="s">
        <v>283</v>
      </c>
      <c r="Q2085" s="169" t="s">
        <v>284</v>
      </c>
      <c r="R2085" s="169" t="s">
        <v>283</v>
      </c>
      <c r="S2085" s="169" t="s">
        <v>283</v>
      </c>
      <c r="T2085" s="169">
        <v>0</v>
      </c>
    </row>
    <row r="2086" spans="1:20" x14ac:dyDescent="0.2">
      <c r="A2086" s="169" t="str">
        <f t="shared" si="11"/>
        <v>627</v>
      </c>
      <c r="B2086" s="167" t="str">
        <f>_xlfn.XLOOKUP(I2086,Mapping!D:D,Mapping!E:E)</f>
        <v>Xưởng Sản Xuất</v>
      </c>
      <c r="C2086" s="167" t="str">
        <f>_xlfn.XLOOKUP(F2086,Mapping!A:A,Mapping!F:F)</f>
        <v>Lương Chính +T13</v>
      </c>
      <c r="D2086" s="173">
        <v>45991</v>
      </c>
      <c r="E2086" s="169" t="s">
        <v>1242</v>
      </c>
      <c r="F2086" s="169" t="s">
        <v>388</v>
      </c>
      <c r="G2086" s="169" t="s">
        <v>286</v>
      </c>
      <c r="H2086" s="169" t="s">
        <v>436</v>
      </c>
      <c r="I2086" s="169" t="s">
        <v>437</v>
      </c>
      <c r="J2086" s="169" t="s">
        <v>1243</v>
      </c>
      <c r="K2086" s="169" t="s">
        <v>1240</v>
      </c>
      <c r="L2086" s="169" t="s">
        <v>1213</v>
      </c>
      <c r="M2086" s="169" t="s">
        <v>281</v>
      </c>
      <c r="N2086" s="178">
        <v>25228881</v>
      </c>
      <c r="O2086" s="169" t="s">
        <v>1244</v>
      </c>
      <c r="P2086" s="169" t="s">
        <v>283</v>
      </c>
      <c r="Q2086" s="169" t="s">
        <v>284</v>
      </c>
      <c r="R2086" s="169" t="s">
        <v>283</v>
      </c>
      <c r="S2086" s="169" t="s">
        <v>283</v>
      </c>
      <c r="T2086" s="169">
        <v>0</v>
      </c>
    </row>
    <row r="2087" spans="1:20" x14ac:dyDescent="0.2">
      <c r="A2087" s="169" t="str">
        <f t="shared" si="11"/>
        <v>627</v>
      </c>
      <c r="B2087" s="167" t="str">
        <f>_xlfn.XLOOKUP(I2087,Mapping!D:D,Mapping!E:E)</f>
        <v>Xưởng Sản Xuất</v>
      </c>
      <c r="C2087" s="167" t="str">
        <f>_xlfn.XLOOKUP(F2087,Mapping!A:A,Mapping!F:F)</f>
        <v>Thưởng</v>
      </c>
      <c r="D2087" s="173">
        <v>45991</v>
      </c>
      <c r="E2087" s="169" t="s">
        <v>1242</v>
      </c>
      <c r="F2087" s="169" t="s">
        <v>395</v>
      </c>
      <c r="G2087" s="169" t="s">
        <v>77</v>
      </c>
      <c r="H2087" s="169" t="s">
        <v>436</v>
      </c>
      <c r="I2087" s="169" t="s">
        <v>437</v>
      </c>
      <c r="J2087" s="169" t="s">
        <v>1245</v>
      </c>
      <c r="K2087" s="169" t="s">
        <v>1240</v>
      </c>
      <c r="L2087" s="169" t="s">
        <v>1213</v>
      </c>
      <c r="M2087" s="169" t="s">
        <v>281</v>
      </c>
      <c r="N2087" s="178">
        <v>16779597</v>
      </c>
      <c r="O2087" s="169" t="s">
        <v>1244</v>
      </c>
      <c r="P2087" s="169" t="s">
        <v>283</v>
      </c>
      <c r="Q2087" s="169" t="s">
        <v>284</v>
      </c>
      <c r="R2087" s="169" t="s">
        <v>283</v>
      </c>
      <c r="S2087" s="169" t="s">
        <v>283</v>
      </c>
      <c r="T2087" s="169">
        <v>0</v>
      </c>
    </row>
    <row r="2088" spans="1:20" x14ac:dyDescent="0.2">
      <c r="A2088" s="169" t="str">
        <f t="shared" si="11"/>
        <v>642</v>
      </c>
      <c r="B2088" s="167" t="str">
        <f>_xlfn.XLOOKUP(I2088,Mapping!D:D,Mapping!E:E)</f>
        <v>Hành Chánh Nhân Sự</v>
      </c>
      <c r="C2088" s="167" t="str">
        <f>_xlfn.XLOOKUP(F2088,Mapping!A:A,Mapping!F:F)</f>
        <v>Lương Chính +T13</v>
      </c>
      <c r="D2088" s="173">
        <v>45991</v>
      </c>
      <c r="E2088" s="169" t="s">
        <v>1242</v>
      </c>
      <c r="F2088" s="169" t="s">
        <v>285</v>
      </c>
      <c r="G2088" s="169" t="s">
        <v>286</v>
      </c>
      <c r="H2088" s="169" t="s">
        <v>382</v>
      </c>
      <c r="I2088" s="169" t="s">
        <v>200</v>
      </c>
      <c r="J2088" s="169" t="s">
        <v>1243</v>
      </c>
      <c r="K2088" s="169" t="s">
        <v>1240</v>
      </c>
      <c r="L2088" s="169" t="s">
        <v>1213</v>
      </c>
      <c r="M2088" s="169" t="s">
        <v>281</v>
      </c>
      <c r="N2088" s="178">
        <v>6194250</v>
      </c>
      <c r="O2088" s="169" t="s">
        <v>1244</v>
      </c>
      <c r="P2088" s="169" t="s">
        <v>283</v>
      </c>
      <c r="Q2088" s="169" t="s">
        <v>284</v>
      </c>
      <c r="R2088" s="169" t="s">
        <v>283</v>
      </c>
      <c r="S2088" s="169" t="s">
        <v>283</v>
      </c>
      <c r="T2088" s="169">
        <v>0</v>
      </c>
    </row>
    <row r="2089" spans="1:20" x14ac:dyDescent="0.2">
      <c r="A2089" s="169" t="str">
        <f t="shared" si="11"/>
        <v>642</v>
      </c>
      <c r="B2089" s="167" t="str">
        <f>_xlfn.XLOOKUP(I2089,Mapping!D:D,Mapping!E:E)</f>
        <v>Hành Chánh Nhân Sự</v>
      </c>
      <c r="C2089" s="167" t="str">
        <f>_xlfn.XLOOKUP(F2089,Mapping!A:A,Mapping!F:F)</f>
        <v>Thưởng</v>
      </c>
      <c r="D2089" s="173">
        <v>45991</v>
      </c>
      <c r="E2089" s="169" t="s">
        <v>1242</v>
      </c>
      <c r="F2089" s="169" t="s">
        <v>292</v>
      </c>
      <c r="G2089" s="169" t="s">
        <v>77</v>
      </c>
      <c r="H2089" s="169" t="s">
        <v>382</v>
      </c>
      <c r="I2089" s="169" t="s">
        <v>200</v>
      </c>
      <c r="J2089" s="169" t="s">
        <v>1245</v>
      </c>
      <c r="K2089" s="169" t="s">
        <v>1240</v>
      </c>
      <c r="L2089" s="169" t="s">
        <v>1213</v>
      </c>
      <c r="M2089" s="169" t="s">
        <v>281</v>
      </c>
      <c r="N2089" s="178">
        <v>5698660</v>
      </c>
      <c r="O2089" s="169" t="s">
        <v>1244</v>
      </c>
      <c r="P2089" s="169" t="s">
        <v>283</v>
      </c>
      <c r="Q2089" s="169" t="s">
        <v>284</v>
      </c>
      <c r="R2089" s="169" t="s">
        <v>283</v>
      </c>
      <c r="S2089" s="169" t="s">
        <v>283</v>
      </c>
      <c r="T2089" s="169">
        <v>0</v>
      </c>
    </row>
    <row r="2090" spans="1:20" x14ac:dyDescent="0.2">
      <c r="A2090" s="169" t="str">
        <f t="shared" si="11"/>
        <v>642</v>
      </c>
      <c r="B2090" s="167" t="str">
        <f>_xlfn.XLOOKUP(I2090,Mapping!D:D,Mapping!E:E)</f>
        <v>Hành Chánh Nhân Sự</v>
      </c>
      <c r="C2090" s="167" t="str">
        <f>_xlfn.XLOOKUP(F2090,Mapping!A:A,Mapping!F:F)</f>
        <v>Lương Chính +T13</v>
      </c>
      <c r="D2090" s="173">
        <v>45991</v>
      </c>
      <c r="E2090" s="169" t="s">
        <v>1242</v>
      </c>
      <c r="F2090" s="169" t="s">
        <v>285</v>
      </c>
      <c r="G2090" s="169" t="s">
        <v>286</v>
      </c>
      <c r="H2090" s="169" t="s">
        <v>358</v>
      </c>
      <c r="I2090" s="169" t="s">
        <v>359</v>
      </c>
      <c r="J2090" s="169" t="s">
        <v>1243</v>
      </c>
      <c r="K2090" s="169" t="s">
        <v>1240</v>
      </c>
      <c r="L2090" s="169" t="s">
        <v>1213</v>
      </c>
      <c r="M2090" s="169" t="s">
        <v>281</v>
      </c>
      <c r="N2090" s="178">
        <v>8468167</v>
      </c>
      <c r="O2090" s="169" t="s">
        <v>1244</v>
      </c>
      <c r="P2090" s="169" t="s">
        <v>283</v>
      </c>
      <c r="Q2090" s="169" t="s">
        <v>284</v>
      </c>
      <c r="R2090" s="169" t="s">
        <v>283</v>
      </c>
      <c r="S2090" s="169" t="s">
        <v>283</v>
      </c>
      <c r="T2090" s="169">
        <v>0</v>
      </c>
    </row>
    <row r="2091" spans="1:20" x14ac:dyDescent="0.2">
      <c r="A2091" s="169" t="str">
        <f t="shared" si="11"/>
        <v>642</v>
      </c>
      <c r="B2091" s="167" t="str">
        <f>_xlfn.XLOOKUP(I2091,Mapping!D:D,Mapping!E:E)</f>
        <v>Hành Chánh Nhân Sự</v>
      </c>
      <c r="C2091" s="167" t="str">
        <f>_xlfn.XLOOKUP(F2091,Mapping!A:A,Mapping!F:F)</f>
        <v>Thưởng</v>
      </c>
      <c r="D2091" s="173">
        <v>45991</v>
      </c>
      <c r="E2091" s="169" t="s">
        <v>1242</v>
      </c>
      <c r="F2091" s="169" t="s">
        <v>292</v>
      </c>
      <c r="G2091" s="169" t="s">
        <v>77</v>
      </c>
      <c r="H2091" s="169" t="s">
        <v>358</v>
      </c>
      <c r="I2091" s="169" t="s">
        <v>359</v>
      </c>
      <c r="J2091" s="169" t="s">
        <v>1245</v>
      </c>
      <c r="K2091" s="169" t="s">
        <v>1240</v>
      </c>
      <c r="L2091" s="169" t="s">
        <v>1213</v>
      </c>
      <c r="M2091" s="169" t="s">
        <v>281</v>
      </c>
      <c r="N2091" s="178">
        <v>7790646</v>
      </c>
      <c r="O2091" s="169" t="s">
        <v>1244</v>
      </c>
      <c r="P2091" s="169" t="s">
        <v>283</v>
      </c>
      <c r="Q2091" s="169" t="s">
        <v>284</v>
      </c>
      <c r="R2091" s="169" t="s">
        <v>283</v>
      </c>
      <c r="S2091" s="169" t="s">
        <v>283</v>
      </c>
      <c r="T2091" s="169">
        <v>0</v>
      </c>
    </row>
    <row r="2092" spans="1:20" x14ac:dyDescent="0.2">
      <c r="A2092" s="169" t="str">
        <f t="shared" si="11"/>
        <v>622</v>
      </c>
      <c r="B2092" s="167" t="str">
        <f>_xlfn.XLOOKUP(I2092,Mapping!D:D,Mapping!E:E)</f>
        <v>Xưởng Sản Xuất</v>
      </c>
      <c r="C2092" s="167" t="str">
        <f>_xlfn.XLOOKUP(F2092,Mapping!A:A,Mapping!F:F)</f>
        <v>Lương Chính +T13</v>
      </c>
      <c r="D2092" s="173">
        <v>45991</v>
      </c>
      <c r="E2092" s="169" t="s">
        <v>1242</v>
      </c>
      <c r="F2092" s="169" t="s">
        <v>420</v>
      </c>
      <c r="G2092" s="169" t="s">
        <v>286</v>
      </c>
      <c r="H2092" s="169" t="s">
        <v>441</v>
      </c>
      <c r="I2092" s="169" t="s">
        <v>442</v>
      </c>
      <c r="J2092" s="169" t="s">
        <v>1243</v>
      </c>
      <c r="K2092" s="169" t="s">
        <v>1240</v>
      </c>
      <c r="L2092" s="169" t="s">
        <v>1213</v>
      </c>
      <c r="M2092" s="169" t="s">
        <v>281</v>
      </c>
      <c r="N2092" s="178">
        <v>531385</v>
      </c>
      <c r="O2092" s="169" t="s">
        <v>1244</v>
      </c>
      <c r="P2092" s="169" t="s">
        <v>283</v>
      </c>
      <c r="Q2092" s="169" t="s">
        <v>284</v>
      </c>
      <c r="R2092" s="169" t="s">
        <v>283</v>
      </c>
      <c r="S2092" s="169" t="s">
        <v>283</v>
      </c>
      <c r="T2092" s="169">
        <v>0</v>
      </c>
    </row>
    <row r="2093" spans="1:20" x14ac:dyDescent="0.2">
      <c r="A2093" s="169" t="str">
        <f t="shared" si="11"/>
        <v>622</v>
      </c>
      <c r="B2093" s="167" t="str">
        <f>_xlfn.XLOOKUP(I2093,Mapping!D:D,Mapping!E:E)</f>
        <v>Xưởng Sản Xuất</v>
      </c>
      <c r="C2093" s="167" t="str">
        <f>_xlfn.XLOOKUP(F2093,Mapping!A:A,Mapping!F:F)</f>
        <v>Thưởng</v>
      </c>
      <c r="D2093" s="173">
        <v>45991</v>
      </c>
      <c r="E2093" s="169" t="s">
        <v>1242</v>
      </c>
      <c r="F2093" s="169" t="s">
        <v>426</v>
      </c>
      <c r="G2093" s="169" t="s">
        <v>77</v>
      </c>
      <c r="H2093" s="169" t="s">
        <v>441</v>
      </c>
      <c r="I2093" s="169" t="s">
        <v>442</v>
      </c>
      <c r="J2093" s="169" t="s">
        <v>1245</v>
      </c>
      <c r="K2093" s="169" t="s">
        <v>1240</v>
      </c>
      <c r="L2093" s="169" t="s">
        <v>1213</v>
      </c>
      <c r="M2093" s="169" t="s">
        <v>281</v>
      </c>
      <c r="N2093" s="178">
        <v>78876</v>
      </c>
      <c r="O2093" s="169" t="s">
        <v>1244</v>
      </c>
      <c r="P2093" s="169" t="s">
        <v>283</v>
      </c>
      <c r="Q2093" s="169" t="s">
        <v>284</v>
      </c>
      <c r="R2093" s="169" t="s">
        <v>283</v>
      </c>
      <c r="S2093" s="169" t="s">
        <v>283</v>
      </c>
      <c r="T2093" s="169">
        <v>0</v>
      </c>
    </row>
    <row r="2094" spans="1:20" x14ac:dyDescent="0.2">
      <c r="A2094" s="169" t="str">
        <f t="shared" si="11"/>
        <v>642</v>
      </c>
      <c r="B2094" s="167" t="str">
        <f>_xlfn.XLOOKUP(I2094,Mapping!D:D,Mapping!E:E)</f>
        <v>Ban Giám Đốc</v>
      </c>
      <c r="C2094" s="167" t="str">
        <f>_xlfn.XLOOKUP(F2094,Mapping!A:A,Mapping!F:F)</f>
        <v>BHXH, BHYT, KPCĐ</v>
      </c>
      <c r="D2094" s="173">
        <v>45991</v>
      </c>
      <c r="E2094" s="169" t="s">
        <v>1246</v>
      </c>
      <c r="F2094" s="169" t="s">
        <v>295</v>
      </c>
      <c r="G2094" s="169" t="s">
        <v>296</v>
      </c>
      <c r="H2094" s="169" t="s">
        <v>276</v>
      </c>
      <c r="I2094" s="169" t="s">
        <v>277</v>
      </c>
      <c r="J2094" s="169" t="s">
        <v>1247</v>
      </c>
      <c r="K2094" s="169" t="s">
        <v>1240</v>
      </c>
      <c r="L2094" s="169" t="s">
        <v>1213</v>
      </c>
      <c r="M2094" s="169" t="s">
        <v>281</v>
      </c>
      <c r="N2094" s="178">
        <v>126066950</v>
      </c>
      <c r="O2094" s="169" t="s">
        <v>1248</v>
      </c>
      <c r="P2094" s="169" t="s">
        <v>283</v>
      </c>
      <c r="Q2094" s="169" t="s">
        <v>284</v>
      </c>
      <c r="R2094" s="169" t="s">
        <v>283</v>
      </c>
      <c r="S2094" s="169" t="s">
        <v>283</v>
      </c>
      <c r="T2094" s="169">
        <v>0</v>
      </c>
    </row>
    <row r="2095" spans="1:20" x14ac:dyDescent="0.2">
      <c r="A2095" s="169" t="str">
        <f t="shared" si="11"/>
        <v>642</v>
      </c>
      <c r="B2095" s="167" t="str">
        <f>_xlfn.XLOOKUP(I2095,Mapping!D:D,Mapping!E:E)</f>
        <v>Văn Phòng Giám Đốc</v>
      </c>
      <c r="C2095" s="167" t="str">
        <f>_xlfn.XLOOKUP(F2095,Mapping!A:A,Mapping!F:F)</f>
        <v>BHXH, BHYT, KPCĐ</v>
      </c>
      <c r="D2095" s="173">
        <v>45991</v>
      </c>
      <c r="E2095" s="169" t="s">
        <v>1246</v>
      </c>
      <c r="F2095" s="169" t="s">
        <v>295</v>
      </c>
      <c r="G2095" s="169" t="s">
        <v>296</v>
      </c>
      <c r="H2095" s="169" t="s">
        <v>320</v>
      </c>
      <c r="I2095" s="169" t="s">
        <v>321</v>
      </c>
      <c r="J2095" s="169" t="s">
        <v>1247</v>
      </c>
      <c r="K2095" s="169" t="s">
        <v>1240</v>
      </c>
      <c r="L2095" s="169" t="s">
        <v>1213</v>
      </c>
      <c r="M2095" s="169" t="s">
        <v>281</v>
      </c>
      <c r="N2095" s="178">
        <v>34958750</v>
      </c>
      <c r="O2095" s="169" t="s">
        <v>1248</v>
      </c>
      <c r="P2095" s="169" t="s">
        <v>283</v>
      </c>
      <c r="Q2095" s="169" t="s">
        <v>284</v>
      </c>
      <c r="R2095" s="169" t="s">
        <v>283</v>
      </c>
      <c r="S2095" s="169" t="s">
        <v>283</v>
      </c>
      <c r="T2095" s="169">
        <v>0</v>
      </c>
    </row>
    <row r="2096" spans="1:20" x14ac:dyDescent="0.2">
      <c r="A2096" s="169" t="str">
        <f t="shared" ref="A2096:A2159" si="12">LEFT(F2096,3)</f>
        <v>642</v>
      </c>
      <c r="B2096" s="167" t="str">
        <f>_xlfn.XLOOKUP(I2096,Mapping!D:D,Mapping!E:E)</f>
        <v>Hành Chánh Nhân Sự</v>
      </c>
      <c r="C2096" s="167" t="str">
        <f>_xlfn.XLOOKUP(F2096,Mapping!A:A,Mapping!F:F)</f>
        <v>BHXH, BHYT, KPCĐ</v>
      </c>
      <c r="D2096" s="173">
        <v>45991</v>
      </c>
      <c r="E2096" s="169" t="s">
        <v>1246</v>
      </c>
      <c r="F2096" s="169" t="s">
        <v>295</v>
      </c>
      <c r="G2096" s="169" t="s">
        <v>296</v>
      </c>
      <c r="H2096" s="169" t="s">
        <v>301</v>
      </c>
      <c r="I2096" s="169" t="s">
        <v>302</v>
      </c>
      <c r="J2096" s="169" t="s">
        <v>1247</v>
      </c>
      <c r="K2096" s="169" t="s">
        <v>1240</v>
      </c>
      <c r="L2096" s="169" t="s">
        <v>1213</v>
      </c>
      <c r="M2096" s="169" t="s">
        <v>281</v>
      </c>
      <c r="N2096" s="178">
        <v>112460165</v>
      </c>
      <c r="O2096" s="169" t="s">
        <v>1248</v>
      </c>
      <c r="P2096" s="169" t="s">
        <v>283</v>
      </c>
      <c r="Q2096" s="169" t="s">
        <v>284</v>
      </c>
      <c r="R2096" s="169" t="s">
        <v>283</v>
      </c>
      <c r="S2096" s="169" t="s">
        <v>283</v>
      </c>
      <c r="T2096" s="169">
        <v>0</v>
      </c>
    </row>
    <row r="2097" spans="1:20" x14ac:dyDescent="0.2">
      <c r="A2097" s="169" t="str">
        <f t="shared" si="12"/>
        <v>642</v>
      </c>
      <c r="B2097" s="167" t="str">
        <f>_xlfn.XLOOKUP(I2097,Mapping!D:D,Mapping!E:E)</f>
        <v>Kế Toán</v>
      </c>
      <c r="C2097" s="167" t="str">
        <f>_xlfn.XLOOKUP(F2097,Mapping!A:A,Mapping!F:F)</f>
        <v>BHXH, BHYT, KPCĐ</v>
      </c>
      <c r="D2097" s="173">
        <v>45991</v>
      </c>
      <c r="E2097" s="169" t="s">
        <v>1246</v>
      </c>
      <c r="F2097" s="169" t="s">
        <v>295</v>
      </c>
      <c r="G2097" s="169" t="s">
        <v>296</v>
      </c>
      <c r="H2097" s="169" t="s">
        <v>356</v>
      </c>
      <c r="I2097" s="169" t="s">
        <v>357</v>
      </c>
      <c r="J2097" s="169" t="s">
        <v>1247</v>
      </c>
      <c r="K2097" s="169" t="s">
        <v>1240</v>
      </c>
      <c r="L2097" s="169" t="s">
        <v>1213</v>
      </c>
      <c r="M2097" s="169" t="s">
        <v>281</v>
      </c>
      <c r="N2097" s="178">
        <v>113305035</v>
      </c>
      <c r="O2097" s="169" t="s">
        <v>1248</v>
      </c>
      <c r="P2097" s="169" t="s">
        <v>283</v>
      </c>
      <c r="Q2097" s="169" t="s">
        <v>284</v>
      </c>
      <c r="R2097" s="169" t="s">
        <v>283</v>
      </c>
      <c r="S2097" s="169" t="s">
        <v>283</v>
      </c>
      <c r="T2097" s="169">
        <v>0</v>
      </c>
    </row>
    <row r="2098" spans="1:20" x14ac:dyDescent="0.2">
      <c r="A2098" s="169" t="str">
        <f t="shared" si="12"/>
        <v>641</v>
      </c>
      <c r="B2098" s="167" t="str">
        <f>_xlfn.XLOOKUP(I2098,Mapping!D:D,Mapping!E:E)</f>
        <v>Kinh doanh</v>
      </c>
      <c r="C2098" s="167" t="str">
        <f>_xlfn.XLOOKUP(F2098,Mapping!A:A,Mapping!F:F)</f>
        <v>BHXH, BHYT, KPCĐ</v>
      </c>
      <c r="D2098" s="173">
        <v>45991</v>
      </c>
      <c r="E2098" s="169" t="s">
        <v>1246</v>
      </c>
      <c r="F2098" s="169" t="s">
        <v>392</v>
      </c>
      <c r="G2098" s="169" t="s">
        <v>296</v>
      </c>
      <c r="H2098" s="169" t="s">
        <v>366</v>
      </c>
      <c r="I2098" s="169" t="s">
        <v>1</v>
      </c>
      <c r="J2098" s="169" t="s">
        <v>1247</v>
      </c>
      <c r="K2098" s="169" t="s">
        <v>1240</v>
      </c>
      <c r="L2098" s="169" t="s">
        <v>1213</v>
      </c>
      <c r="M2098" s="169" t="s">
        <v>281</v>
      </c>
      <c r="N2098" s="178">
        <v>65072445</v>
      </c>
      <c r="O2098" s="169" t="s">
        <v>1248</v>
      </c>
      <c r="P2098" s="169" t="s">
        <v>283</v>
      </c>
      <c r="Q2098" s="169" t="s">
        <v>284</v>
      </c>
      <c r="R2098" s="169" t="s">
        <v>283</v>
      </c>
      <c r="S2098" s="169" t="s">
        <v>283</v>
      </c>
      <c r="T2098" s="169">
        <v>0</v>
      </c>
    </row>
    <row r="2099" spans="1:20" x14ac:dyDescent="0.2">
      <c r="A2099" s="169" t="str">
        <f t="shared" si="12"/>
        <v>642</v>
      </c>
      <c r="B2099" s="167" t="str">
        <f>_xlfn.XLOOKUP(I2099,Mapping!D:D,Mapping!E:E)</f>
        <v>Cung Ứng</v>
      </c>
      <c r="C2099" s="167" t="str">
        <f>_xlfn.XLOOKUP(F2099,Mapping!A:A,Mapping!F:F)</f>
        <v>BHXH, BHYT, KPCĐ</v>
      </c>
      <c r="D2099" s="173">
        <v>45991</v>
      </c>
      <c r="E2099" s="169" t="s">
        <v>1246</v>
      </c>
      <c r="F2099" s="169" t="s">
        <v>295</v>
      </c>
      <c r="G2099" s="169" t="s">
        <v>296</v>
      </c>
      <c r="H2099" s="169" t="s">
        <v>380</v>
      </c>
      <c r="I2099" s="169" t="s">
        <v>381</v>
      </c>
      <c r="J2099" s="169" t="s">
        <v>1247</v>
      </c>
      <c r="K2099" s="169" t="s">
        <v>1240</v>
      </c>
      <c r="L2099" s="169" t="s">
        <v>1213</v>
      </c>
      <c r="M2099" s="169" t="s">
        <v>281</v>
      </c>
      <c r="N2099" s="178">
        <v>115375835</v>
      </c>
      <c r="O2099" s="169" t="s">
        <v>1248</v>
      </c>
      <c r="P2099" s="169" t="s">
        <v>283</v>
      </c>
      <c r="Q2099" s="169" t="s">
        <v>284</v>
      </c>
      <c r="R2099" s="169" t="s">
        <v>283</v>
      </c>
      <c r="S2099" s="169" t="s">
        <v>283</v>
      </c>
      <c r="T2099" s="169">
        <v>0</v>
      </c>
    </row>
    <row r="2100" spans="1:20" x14ac:dyDescent="0.2">
      <c r="A2100" s="169" t="str">
        <f t="shared" si="12"/>
        <v>642</v>
      </c>
      <c r="B2100" s="167" t="str">
        <f>_xlfn.XLOOKUP(I2100,Mapping!D:D,Mapping!E:E)</f>
        <v>Mua Hàng &amp; XNK</v>
      </c>
      <c r="C2100" s="167" t="str">
        <f>_xlfn.XLOOKUP(F2100,Mapping!A:A,Mapping!F:F)</f>
        <v>BHXH, BHYT, KPCĐ</v>
      </c>
      <c r="D2100" s="173">
        <v>45991</v>
      </c>
      <c r="E2100" s="169" t="s">
        <v>1246</v>
      </c>
      <c r="F2100" s="169" t="s">
        <v>295</v>
      </c>
      <c r="G2100" s="169" t="s">
        <v>296</v>
      </c>
      <c r="H2100" s="169" t="s">
        <v>378</v>
      </c>
      <c r="I2100" s="169" t="s">
        <v>379</v>
      </c>
      <c r="J2100" s="169" t="s">
        <v>1247</v>
      </c>
      <c r="K2100" s="169" t="s">
        <v>1240</v>
      </c>
      <c r="L2100" s="169" t="s">
        <v>1213</v>
      </c>
      <c r="M2100" s="169" t="s">
        <v>281</v>
      </c>
      <c r="N2100" s="178">
        <v>32555255</v>
      </c>
      <c r="O2100" s="169" t="s">
        <v>1248</v>
      </c>
      <c r="P2100" s="169" t="s">
        <v>283</v>
      </c>
      <c r="Q2100" s="169" t="s">
        <v>284</v>
      </c>
      <c r="R2100" s="169" t="s">
        <v>283</v>
      </c>
      <c r="S2100" s="169" t="s">
        <v>283</v>
      </c>
      <c r="T2100" s="169">
        <v>0</v>
      </c>
    </row>
    <row r="2101" spans="1:20" x14ac:dyDescent="0.2">
      <c r="A2101" s="169" t="str">
        <f t="shared" si="12"/>
        <v>627</v>
      </c>
      <c r="B2101" s="167" t="str">
        <f>_xlfn.XLOOKUP(I2101,Mapping!D:D,Mapping!E:E)</f>
        <v>Kỹ Thuật</v>
      </c>
      <c r="C2101" s="167" t="str">
        <f>_xlfn.XLOOKUP(F2101,Mapping!A:A,Mapping!F:F)</f>
        <v>BHXH, BHYT, KPCĐ</v>
      </c>
      <c r="D2101" s="173">
        <v>45991</v>
      </c>
      <c r="E2101" s="169" t="s">
        <v>1246</v>
      </c>
      <c r="F2101" s="169" t="s">
        <v>393</v>
      </c>
      <c r="G2101" s="169" t="s">
        <v>296</v>
      </c>
      <c r="H2101" s="169" t="s">
        <v>376</v>
      </c>
      <c r="I2101" s="169" t="s">
        <v>377</v>
      </c>
      <c r="J2101" s="169" t="s">
        <v>1247</v>
      </c>
      <c r="K2101" s="169" t="s">
        <v>1240</v>
      </c>
      <c r="L2101" s="169" t="s">
        <v>1213</v>
      </c>
      <c r="M2101" s="169" t="s">
        <v>281</v>
      </c>
      <c r="N2101" s="178">
        <v>250565225</v>
      </c>
      <c r="O2101" s="169" t="s">
        <v>1248</v>
      </c>
      <c r="P2101" s="169" t="s">
        <v>283</v>
      </c>
      <c r="Q2101" s="169" t="s">
        <v>284</v>
      </c>
      <c r="R2101" s="169" t="s">
        <v>283</v>
      </c>
      <c r="S2101" s="169" t="s">
        <v>283</v>
      </c>
      <c r="T2101" s="169">
        <v>0</v>
      </c>
    </row>
    <row r="2102" spans="1:20" x14ac:dyDescent="0.2">
      <c r="A2102" s="169" t="str">
        <f t="shared" si="12"/>
        <v>627</v>
      </c>
      <c r="B2102" s="167" t="str">
        <f>_xlfn.XLOOKUP(I2102,Mapping!D:D,Mapping!E:E)</f>
        <v>Kỹ Thuật</v>
      </c>
      <c r="C2102" s="167" t="str">
        <f>_xlfn.XLOOKUP(F2102,Mapping!A:A,Mapping!F:F)</f>
        <v>BHXH, BHYT, KPCĐ</v>
      </c>
      <c r="D2102" s="173">
        <v>45991</v>
      </c>
      <c r="E2102" s="169" t="s">
        <v>1246</v>
      </c>
      <c r="F2102" s="169" t="s">
        <v>393</v>
      </c>
      <c r="G2102" s="169" t="s">
        <v>296</v>
      </c>
      <c r="H2102" s="169" t="s">
        <v>376</v>
      </c>
      <c r="I2102" s="169" t="s">
        <v>377</v>
      </c>
      <c r="J2102" s="169" t="s">
        <v>1247</v>
      </c>
      <c r="K2102" s="169" t="s">
        <v>1240</v>
      </c>
      <c r="L2102" s="169" t="s">
        <v>1213</v>
      </c>
      <c r="M2102" s="169" t="s">
        <v>281</v>
      </c>
      <c r="N2102" s="178">
        <v>105864915</v>
      </c>
      <c r="O2102" s="169" t="s">
        <v>1248</v>
      </c>
      <c r="P2102" s="169" t="s">
        <v>283</v>
      </c>
      <c r="Q2102" s="169" t="s">
        <v>284</v>
      </c>
      <c r="R2102" s="169" t="s">
        <v>283</v>
      </c>
      <c r="S2102" s="169" t="s">
        <v>283</v>
      </c>
      <c r="T2102" s="169">
        <v>0</v>
      </c>
    </row>
    <row r="2103" spans="1:20" x14ac:dyDescent="0.2">
      <c r="A2103" s="169" t="str">
        <f t="shared" si="12"/>
        <v>627</v>
      </c>
      <c r="B2103" s="167" t="str">
        <f>_xlfn.XLOOKUP(I2103,Mapping!D:D,Mapping!E:E)</f>
        <v>Kỹ Thuật</v>
      </c>
      <c r="C2103" s="167" t="str">
        <f>_xlfn.XLOOKUP(F2103,Mapping!A:A,Mapping!F:F)</f>
        <v>BHXH, BHYT, KPCĐ</v>
      </c>
      <c r="D2103" s="173">
        <v>45991</v>
      </c>
      <c r="E2103" s="169" t="s">
        <v>1246</v>
      </c>
      <c r="F2103" s="169" t="s">
        <v>393</v>
      </c>
      <c r="G2103" s="169" t="s">
        <v>296</v>
      </c>
      <c r="H2103" s="169" t="s">
        <v>376</v>
      </c>
      <c r="I2103" s="169" t="s">
        <v>377</v>
      </c>
      <c r="J2103" s="169" t="s">
        <v>1247</v>
      </c>
      <c r="K2103" s="169" t="s">
        <v>1240</v>
      </c>
      <c r="L2103" s="169" t="s">
        <v>1213</v>
      </c>
      <c r="M2103" s="169" t="s">
        <v>281</v>
      </c>
      <c r="N2103" s="178">
        <v>38435000</v>
      </c>
      <c r="O2103" s="169" t="s">
        <v>1248</v>
      </c>
      <c r="P2103" s="169" t="s">
        <v>283</v>
      </c>
      <c r="Q2103" s="169" t="s">
        <v>284</v>
      </c>
      <c r="R2103" s="169" t="s">
        <v>283</v>
      </c>
      <c r="S2103" s="169" t="s">
        <v>283</v>
      </c>
      <c r="T2103" s="169">
        <v>0</v>
      </c>
    </row>
    <row r="2104" spans="1:20" x14ac:dyDescent="0.2">
      <c r="A2104" s="169" t="str">
        <f t="shared" si="12"/>
        <v>622</v>
      </c>
      <c r="B2104" s="167" t="str">
        <f>_xlfn.XLOOKUP(I2104,Mapping!D:D,Mapping!E:E)</f>
        <v>Xưởng Sản Xuất</v>
      </c>
      <c r="C2104" s="167" t="str">
        <f>_xlfn.XLOOKUP(F2104,Mapping!A:A,Mapping!F:F)</f>
        <v>BHXH, BHYT, KPCĐ</v>
      </c>
      <c r="D2104" s="173">
        <v>45991</v>
      </c>
      <c r="E2104" s="169" t="s">
        <v>1246</v>
      </c>
      <c r="F2104" s="169" t="s">
        <v>425</v>
      </c>
      <c r="G2104" s="169" t="s">
        <v>296</v>
      </c>
      <c r="H2104" s="169" t="s">
        <v>402</v>
      </c>
      <c r="I2104" s="169" t="s">
        <v>403</v>
      </c>
      <c r="J2104" s="169" t="s">
        <v>1247</v>
      </c>
      <c r="K2104" s="169" t="s">
        <v>1240</v>
      </c>
      <c r="L2104" s="169" t="s">
        <v>1213</v>
      </c>
      <c r="M2104" s="169" t="s">
        <v>281</v>
      </c>
      <c r="N2104" s="178">
        <v>295584300</v>
      </c>
      <c r="O2104" s="169" t="s">
        <v>1248</v>
      </c>
      <c r="P2104" s="169" t="s">
        <v>283</v>
      </c>
      <c r="Q2104" s="169" t="s">
        <v>284</v>
      </c>
      <c r="R2104" s="169" t="s">
        <v>283</v>
      </c>
      <c r="S2104" s="169" t="s">
        <v>283</v>
      </c>
      <c r="T2104" s="169">
        <v>0</v>
      </c>
    </row>
    <row r="2105" spans="1:20" x14ac:dyDescent="0.2">
      <c r="A2105" s="169" t="str">
        <f t="shared" si="12"/>
        <v>627</v>
      </c>
      <c r="B2105" s="167" t="str">
        <f>_xlfn.XLOOKUP(I2105,Mapping!D:D,Mapping!E:E)</f>
        <v>Xưởng Sản Xuất</v>
      </c>
      <c r="C2105" s="167" t="str">
        <f>_xlfn.XLOOKUP(F2105,Mapping!A:A,Mapping!F:F)</f>
        <v>BHXH, BHYT, KPCĐ</v>
      </c>
      <c r="D2105" s="173">
        <v>45991</v>
      </c>
      <c r="E2105" s="169" t="s">
        <v>1246</v>
      </c>
      <c r="F2105" s="169" t="s">
        <v>393</v>
      </c>
      <c r="G2105" s="169" t="s">
        <v>296</v>
      </c>
      <c r="H2105" s="169" t="s">
        <v>402</v>
      </c>
      <c r="I2105" s="169" t="s">
        <v>403</v>
      </c>
      <c r="J2105" s="169" t="s">
        <v>1247</v>
      </c>
      <c r="K2105" s="169" t="s">
        <v>1240</v>
      </c>
      <c r="L2105" s="169" t="s">
        <v>1213</v>
      </c>
      <c r="M2105" s="169" t="s">
        <v>281</v>
      </c>
      <c r="N2105" s="178">
        <v>87230015</v>
      </c>
      <c r="O2105" s="169" t="s">
        <v>1248</v>
      </c>
      <c r="P2105" s="169" t="s">
        <v>283</v>
      </c>
      <c r="Q2105" s="169" t="s">
        <v>284</v>
      </c>
      <c r="R2105" s="169" t="s">
        <v>283</v>
      </c>
      <c r="S2105" s="169" t="s">
        <v>283</v>
      </c>
      <c r="T2105" s="169">
        <v>0</v>
      </c>
    </row>
    <row r="2106" spans="1:20" x14ac:dyDescent="0.2">
      <c r="A2106" s="169" t="str">
        <f t="shared" si="12"/>
        <v>622</v>
      </c>
      <c r="B2106" s="167" t="str">
        <f>_xlfn.XLOOKUP(I2106,Mapping!D:D,Mapping!E:E)</f>
        <v>Xưởng Sản Xuất</v>
      </c>
      <c r="C2106" s="167" t="str">
        <f>_xlfn.XLOOKUP(F2106,Mapping!A:A,Mapping!F:F)</f>
        <v>BHXH, BHYT, KPCĐ</v>
      </c>
      <c r="D2106" s="173">
        <v>45991</v>
      </c>
      <c r="E2106" s="169" t="s">
        <v>1246</v>
      </c>
      <c r="F2106" s="169" t="s">
        <v>425</v>
      </c>
      <c r="G2106" s="169" t="s">
        <v>296</v>
      </c>
      <c r="H2106" s="169" t="s">
        <v>430</v>
      </c>
      <c r="I2106" s="169" t="s">
        <v>431</v>
      </c>
      <c r="J2106" s="169" t="s">
        <v>1247</v>
      </c>
      <c r="K2106" s="169" t="s">
        <v>1240</v>
      </c>
      <c r="L2106" s="169" t="s">
        <v>1213</v>
      </c>
      <c r="M2106" s="169" t="s">
        <v>281</v>
      </c>
      <c r="N2106" s="178">
        <v>51656500</v>
      </c>
      <c r="O2106" s="169" t="s">
        <v>1248</v>
      </c>
      <c r="P2106" s="169" t="s">
        <v>283</v>
      </c>
      <c r="Q2106" s="169" t="s">
        <v>284</v>
      </c>
      <c r="R2106" s="169" t="s">
        <v>283</v>
      </c>
      <c r="S2106" s="169" t="s">
        <v>283</v>
      </c>
      <c r="T2106" s="169">
        <v>0</v>
      </c>
    </row>
    <row r="2107" spans="1:20" x14ac:dyDescent="0.2">
      <c r="A2107" s="169" t="str">
        <f t="shared" si="12"/>
        <v>627</v>
      </c>
      <c r="B2107" s="167" t="str">
        <f>_xlfn.XLOOKUP(I2107,Mapping!D:D,Mapping!E:E)</f>
        <v>Xưởng Sản Xuất</v>
      </c>
      <c r="C2107" s="167" t="str">
        <f>_xlfn.XLOOKUP(F2107,Mapping!A:A,Mapping!F:F)</f>
        <v>BHXH, BHYT, KPCĐ</v>
      </c>
      <c r="D2107" s="173">
        <v>45991</v>
      </c>
      <c r="E2107" s="169" t="s">
        <v>1246</v>
      </c>
      <c r="F2107" s="169" t="s">
        <v>393</v>
      </c>
      <c r="G2107" s="169" t="s">
        <v>296</v>
      </c>
      <c r="H2107" s="169" t="s">
        <v>430</v>
      </c>
      <c r="I2107" s="169" t="s">
        <v>431</v>
      </c>
      <c r="J2107" s="169" t="s">
        <v>1247</v>
      </c>
      <c r="K2107" s="169" t="s">
        <v>1240</v>
      </c>
      <c r="L2107" s="169" t="s">
        <v>1213</v>
      </c>
      <c r="M2107" s="169" t="s">
        <v>281</v>
      </c>
      <c r="N2107" s="178">
        <v>26931495</v>
      </c>
      <c r="O2107" s="169" t="s">
        <v>1248</v>
      </c>
      <c r="P2107" s="169" t="s">
        <v>283</v>
      </c>
      <c r="Q2107" s="169" t="s">
        <v>284</v>
      </c>
      <c r="R2107" s="169" t="s">
        <v>283</v>
      </c>
      <c r="S2107" s="169" t="s">
        <v>283</v>
      </c>
      <c r="T2107" s="169">
        <v>0</v>
      </c>
    </row>
    <row r="2108" spans="1:20" x14ac:dyDescent="0.2">
      <c r="A2108" s="169" t="str">
        <f t="shared" si="12"/>
        <v>627</v>
      </c>
      <c r="B2108" s="167" t="str">
        <f>_xlfn.XLOOKUP(I2108,Mapping!D:D,Mapping!E:E)</f>
        <v>Xưởng Sản Xuất</v>
      </c>
      <c r="C2108" s="167" t="str">
        <f>_xlfn.XLOOKUP(F2108,Mapping!A:A,Mapping!F:F)</f>
        <v>BHXH, BHYT, KPCĐ</v>
      </c>
      <c r="D2108" s="173">
        <v>45991</v>
      </c>
      <c r="E2108" s="169" t="s">
        <v>1246</v>
      </c>
      <c r="F2108" s="169" t="s">
        <v>393</v>
      </c>
      <c r="G2108" s="169" t="s">
        <v>296</v>
      </c>
      <c r="H2108" s="169" t="s">
        <v>436</v>
      </c>
      <c r="I2108" s="169" t="s">
        <v>437</v>
      </c>
      <c r="J2108" s="169" t="s">
        <v>1247</v>
      </c>
      <c r="K2108" s="169" t="s">
        <v>1240</v>
      </c>
      <c r="L2108" s="169" t="s">
        <v>1213</v>
      </c>
      <c r="M2108" s="169" t="s">
        <v>281</v>
      </c>
      <c r="N2108" s="178">
        <v>63128670</v>
      </c>
      <c r="O2108" s="169" t="s">
        <v>1248</v>
      </c>
      <c r="P2108" s="169" t="s">
        <v>283</v>
      </c>
      <c r="Q2108" s="169" t="s">
        <v>284</v>
      </c>
      <c r="R2108" s="169" t="s">
        <v>283</v>
      </c>
      <c r="S2108" s="169" t="s">
        <v>283</v>
      </c>
      <c r="T2108" s="169">
        <v>0</v>
      </c>
    </row>
    <row r="2109" spans="1:20" x14ac:dyDescent="0.2">
      <c r="A2109" s="169" t="str">
        <f t="shared" si="12"/>
        <v>642</v>
      </c>
      <c r="B2109" s="167" t="str">
        <f>_xlfn.XLOOKUP(I2109,Mapping!D:D,Mapping!E:E)</f>
        <v>Hành Chánh Nhân Sự</v>
      </c>
      <c r="C2109" s="167" t="str">
        <f>_xlfn.XLOOKUP(F2109,Mapping!A:A,Mapping!F:F)</f>
        <v>BHXH, BHYT, KPCĐ</v>
      </c>
      <c r="D2109" s="173">
        <v>45991</v>
      </c>
      <c r="E2109" s="169" t="s">
        <v>1246</v>
      </c>
      <c r="F2109" s="169" t="s">
        <v>295</v>
      </c>
      <c r="G2109" s="169" t="s">
        <v>296</v>
      </c>
      <c r="H2109" s="169" t="s">
        <v>382</v>
      </c>
      <c r="I2109" s="169" t="s">
        <v>200</v>
      </c>
      <c r="J2109" s="169" t="s">
        <v>1247</v>
      </c>
      <c r="K2109" s="169" t="s">
        <v>1240</v>
      </c>
      <c r="L2109" s="169" t="s">
        <v>1213</v>
      </c>
      <c r="M2109" s="169" t="s">
        <v>281</v>
      </c>
      <c r="N2109" s="178">
        <v>17467785</v>
      </c>
      <c r="O2109" s="169" t="s">
        <v>1248</v>
      </c>
      <c r="P2109" s="169" t="s">
        <v>283</v>
      </c>
      <c r="Q2109" s="169" t="s">
        <v>284</v>
      </c>
      <c r="R2109" s="169" t="s">
        <v>283</v>
      </c>
      <c r="S2109" s="169" t="s">
        <v>283</v>
      </c>
      <c r="T2109" s="169">
        <v>0</v>
      </c>
    </row>
    <row r="2110" spans="1:20" x14ac:dyDescent="0.2">
      <c r="A2110" s="169" t="str">
        <f t="shared" si="12"/>
        <v>642</v>
      </c>
      <c r="B2110" s="167" t="str">
        <f>_xlfn.XLOOKUP(I2110,Mapping!D:D,Mapping!E:E)</f>
        <v>Hành Chánh Nhân Sự</v>
      </c>
      <c r="C2110" s="167" t="str">
        <f>_xlfn.XLOOKUP(F2110,Mapping!A:A,Mapping!F:F)</f>
        <v>BHXH, BHYT, KPCĐ</v>
      </c>
      <c r="D2110" s="173">
        <v>45991</v>
      </c>
      <c r="E2110" s="169" t="s">
        <v>1246</v>
      </c>
      <c r="F2110" s="169" t="s">
        <v>295</v>
      </c>
      <c r="G2110" s="169" t="s">
        <v>296</v>
      </c>
      <c r="H2110" s="169" t="s">
        <v>358</v>
      </c>
      <c r="I2110" s="169" t="s">
        <v>359</v>
      </c>
      <c r="J2110" s="169" t="s">
        <v>1247</v>
      </c>
      <c r="K2110" s="169" t="s">
        <v>1240</v>
      </c>
      <c r="L2110" s="169" t="s">
        <v>1213</v>
      </c>
      <c r="M2110" s="169" t="s">
        <v>281</v>
      </c>
      <c r="N2110" s="178">
        <v>23880230</v>
      </c>
      <c r="O2110" s="169" t="s">
        <v>1248</v>
      </c>
      <c r="P2110" s="169" t="s">
        <v>283</v>
      </c>
      <c r="Q2110" s="169" t="s">
        <v>284</v>
      </c>
      <c r="R2110" s="169" t="s">
        <v>283</v>
      </c>
      <c r="S2110" s="169" t="s">
        <v>283</v>
      </c>
      <c r="T2110" s="169">
        <v>0</v>
      </c>
    </row>
    <row r="2111" spans="1:20" x14ac:dyDescent="0.2">
      <c r="A2111" s="169" t="str">
        <f t="shared" si="12"/>
        <v>622</v>
      </c>
      <c r="B2111" s="167" t="str">
        <f>_xlfn.XLOOKUP(I2111,Mapping!D:D,Mapping!E:E)</f>
        <v>Xưởng Sản Xuất</v>
      </c>
      <c r="C2111" s="167" t="str">
        <f>_xlfn.XLOOKUP(F2111,Mapping!A:A,Mapping!F:F)</f>
        <v>BHXH, BHYT, KPCĐ</v>
      </c>
      <c r="D2111" s="173">
        <v>45991</v>
      </c>
      <c r="E2111" s="169" t="s">
        <v>1246</v>
      </c>
      <c r="F2111" s="169" t="s">
        <v>425</v>
      </c>
      <c r="G2111" s="169" t="s">
        <v>296</v>
      </c>
      <c r="H2111" s="169" t="s">
        <v>441</v>
      </c>
      <c r="I2111" s="169" t="s">
        <v>442</v>
      </c>
      <c r="J2111" s="169" t="s">
        <v>1247</v>
      </c>
      <c r="K2111" s="169" t="s">
        <v>1240</v>
      </c>
      <c r="L2111" s="169" t="s">
        <v>1213</v>
      </c>
      <c r="M2111" s="169" t="s">
        <v>281</v>
      </c>
      <c r="N2111" s="178">
        <v>1308480</v>
      </c>
      <c r="O2111" s="169" t="s">
        <v>1248</v>
      </c>
      <c r="P2111" s="169" t="s">
        <v>283</v>
      </c>
      <c r="Q2111" s="169" t="s">
        <v>284</v>
      </c>
      <c r="R2111" s="169" t="s">
        <v>283</v>
      </c>
      <c r="S2111" s="169" t="s">
        <v>283</v>
      </c>
      <c r="T2111" s="169">
        <v>0</v>
      </c>
    </row>
    <row r="2112" spans="1:20" x14ac:dyDescent="0.2">
      <c r="A2112" s="169" t="str">
        <f t="shared" si="12"/>
        <v>627</v>
      </c>
      <c r="B2112" s="167" t="str">
        <f>_xlfn.XLOOKUP(I2112,Mapping!D:D,Mapping!E:E)</f>
        <v>Xưởng Sản Xuất</v>
      </c>
      <c r="C2112" s="167" t="str">
        <f>_xlfn.XLOOKUP(F2112,Mapping!A:A,Mapping!F:F)</f>
        <v>BHXH, BHYT, KPCĐ</v>
      </c>
      <c r="D2112" s="173">
        <v>45991</v>
      </c>
      <c r="E2112" s="169" t="s">
        <v>1249</v>
      </c>
      <c r="F2112" s="169" t="s">
        <v>393</v>
      </c>
      <c r="G2112" s="169" t="s">
        <v>296</v>
      </c>
      <c r="H2112" s="169" t="s">
        <v>436</v>
      </c>
      <c r="I2112" s="169" t="s">
        <v>437</v>
      </c>
      <c r="J2112" s="169" t="s">
        <v>1247</v>
      </c>
      <c r="K2112" s="169" t="s">
        <v>1240</v>
      </c>
      <c r="L2112" s="169" t="s">
        <v>1213</v>
      </c>
      <c r="M2112" s="169" t="s">
        <v>281</v>
      </c>
      <c r="N2112" s="178">
        <v>2755000</v>
      </c>
      <c r="O2112" s="169" t="s">
        <v>1250</v>
      </c>
      <c r="P2112" s="169" t="s">
        <v>283</v>
      </c>
      <c r="Q2112" s="169" t="s">
        <v>284</v>
      </c>
      <c r="R2112" s="169" t="s">
        <v>283</v>
      </c>
      <c r="S2112" s="169" t="s">
        <v>283</v>
      </c>
      <c r="T2112" s="169">
        <v>0</v>
      </c>
    </row>
    <row r="2113" spans="1:20" x14ac:dyDescent="0.2">
      <c r="A2113" s="169" t="str">
        <f t="shared" si="12"/>
        <v>622</v>
      </c>
      <c r="B2113" s="167" t="str">
        <f>_xlfn.XLOOKUP(I2113,Mapping!D:D,Mapping!E:E)</f>
        <v>Xưởng Sản Xuất</v>
      </c>
      <c r="C2113" s="167" t="str">
        <f>_xlfn.XLOOKUP(F2113,Mapping!A:A,Mapping!F:F)</f>
        <v>BHXH, BHYT, KPCĐ</v>
      </c>
      <c r="D2113" s="173">
        <v>45991</v>
      </c>
      <c r="E2113" s="169" t="s">
        <v>1249</v>
      </c>
      <c r="F2113" s="169" t="s">
        <v>425</v>
      </c>
      <c r="G2113" s="169" t="s">
        <v>296</v>
      </c>
      <c r="H2113" s="169" t="s">
        <v>430</v>
      </c>
      <c r="I2113" s="169" t="s">
        <v>431</v>
      </c>
      <c r="J2113" s="169" t="s">
        <v>1247</v>
      </c>
      <c r="K2113" s="169" t="s">
        <v>1240</v>
      </c>
      <c r="L2113" s="169" t="s">
        <v>1213</v>
      </c>
      <c r="M2113" s="169" t="s">
        <v>281</v>
      </c>
      <c r="N2113" s="178">
        <v>688500</v>
      </c>
      <c r="O2113" s="169" t="s">
        <v>1250</v>
      </c>
      <c r="P2113" s="169" t="s">
        <v>283</v>
      </c>
      <c r="Q2113" s="169" t="s">
        <v>284</v>
      </c>
      <c r="R2113" s="169" t="s">
        <v>283</v>
      </c>
      <c r="S2113" s="169" t="s">
        <v>283</v>
      </c>
      <c r="T2113" s="169">
        <v>0</v>
      </c>
    </row>
    <row r="2114" spans="1:20" x14ac:dyDescent="0.2">
      <c r="A2114" s="169" t="str">
        <f t="shared" si="12"/>
        <v>622</v>
      </c>
      <c r="B2114" s="167" t="str">
        <f>_xlfn.XLOOKUP(I2114,Mapping!D:D,Mapping!E:E)</f>
        <v>Xưởng Sản Xuất</v>
      </c>
      <c r="C2114" s="167" t="str">
        <f>_xlfn.XLOOKUP(F2114,Mapping!A:A,Mapping!F:F)</f>
        <v>BHXH, BHYT, KPCĐ</v>
      </c>
      <c r="D2114" s="173">
        <v>45991</v>
      </c>
      <c r="E2114" s="169" t="s">
        <v>1249</v>
      </c>
      <c r="F2114" s="169" t="s">
        <v>425</v>
      </c>
      <c r="G2114" s="169" t="s">
        <v>296</v>
      </c>
      <c r="H2114" s="169" t="s">
        <v>402</v>
      </c>
      <c r="I2114" s="169" t="s">
        <v>403</v>
      </c>
      <c r="J2114" s="169" t="s">
        <v>1247</v>
      </c>
      <c r="K2114" s="169" t="s">
        <v>1240</v>
      </c>
      <c r="L2114" s="169" t="s">
        <v>1213</v>
      </c>
      <c r="M2114" s="169" t="s">
        <v>281</v>
      </c>
      <c r="N2114" s="178">
        <v>-8184090</v>
      </c>
      <c r="O2114" s="169" t="s">
        <v>1250</v>
      </c>
      <c r="P2114" s="169" t="s">
        <v>283</v>
      </c>
      <c r="Q2114" s="169" t="s">
        <v>284</v>
      </c>
      <c r="R2114" s="169" t="s">
        <v>283</v>
      </c>
      <c r="S2114" s="169" t="s">
        <v>283</v>
      </c>
      <c r="T2114" s="169">
        <v>0</v>
      </c>
    </row>
    <row r="2115" spans="1:20" x14ac:dyDescent="0.2">
      <c r="A2115" s="169" t="str">
        <f t="shared" si="12"/>
        <v>642</v>
      </c>
      <c r="B2115" s="167" t="str">
        <f>_xlfn.XLOOKUP(I2115,Mapping!D:D,Mapping!E:E)</f>
        <v>Hành Chánh Nhân Sự</v>
      </c>
      <c r="C2115" s="167" t="str">
        <f>_xlfn.XLOOKUP(F2115,Mapping!A:A,Mapping!F:F)</f>
        <v>Lương Chính +T13</v>
      </c>
      <c r="D2115" s="173">
        <v>45991</v>
      </c>
      <c r="E2115" s="169" t="s">
        <v>1251</v>
      </c>
      <c r="F2115" s="169" t="s">
        <v>274</v>
      </c>
      <c r="G2115" s="169" t="s">
        <v>275</v>
      </c>
      <c r="H2115" s="169" t="s">
        <v>301</v>
      </c>
      <c r="I2115" s="169" t="s">
        <v>302</v>
      </c>
      <c r="J2115" s="169" t="s">
        <v>1252</v>
      </c>
      <c r="K2115" s="169" t="s">
        <v>328</v>
      </c>
      <c r="L2115" s="169" t="s">
        <v>1213</v>
      </c>
      <c r="M2115" s="169" t="s">
        <v>281</v>
      </c>
      <c r="N2115" s="178">
        <v>90958333</v>
      </c>
      <c r="O2115" s="169" t="s">
        <v>1253</v>
      </c>
      <c r="P2115" s="169" t="s">
        <v>283</v>
      </c>
      <c r="Q2115" s="169" t="s">
        <v>306</v>
      </c>
      <c r="R2115" s="169" t="s">
        <v>283</v>
      </c>
      <c r="S2115" s="169" t="s">
        <v>283</v>
      </c>
      <c r="T2115" s="169">
        <v>0</v>
      </c>
    </row>
    <row r="2116" spans="1:20" x14ac:dyDescent="0.2">
      <c r="A2116" s="169" t="str">
        <f t="shared" si="12"/>
        <v>642</v>
      </c>
      <c r="B2116" s="167" t="str">
        <f>_xlfn.XLOOKUP(I2116,Mapping!D:D,Mapping!E:E)</f>
        <v>Hành Chánh Nhân Sự</v>
      </c>
      <c r="C2116" s="167" t="str">
        <f>_xlfn.XLOOKUP(F2116,Mapping!A:A,Mapping!F:F)</f>
        <v>Khen thưởng BD khác</v>
      </c>
      <c r="D2116" s="173">
        <v>45991</v>
      </c>
      <c r="E2116" s="169" t="s">
        <v>1254</v>
      </c>
      <c r="F2116" s="169" t="s">
        <v>300</v>
      </c>
      <c r="G2116" s="169" t="s">
        <v>222</v>
      </c>
      <c r="H2116" s="169" t="s">
        <v>358</v>
      </c>
      <c r="I2116" s="169" t="s">
        <v>359</v>
      </c>
      <c r="J2116" s="169" t="s">
        <v>1255</v>
      </c>
      <c r="K2116" s="169" t="s">
        <v>1240</v>
      </c>
      <c r="L2116" s="169" t="s">
        <v>1213</v>
      </c>
      <c r="M2116" s="169" t="s">
        <v>281</v>
      </c>
      <c r="N2116" s="178">
        <v>5000000</v>
      </c>
      <c r="O2116" s="169" t="s">
        <v>1256</v>
      </c>
      <c r="P2116" s="169" t="s">
        <v>283</v>
      </c>
      <c r="Q2116" s="169" t="s">
        <v>284</v>
      </c>
      <c r="R2116" s="169" t="s">
        <v>283</v>
      </c>
      <c r="S2116" s="169" t="s">
        <v>283</v>
      </c>
      <c r="T2116" s="169">
        <v>0</v>
      </c>
    </row>
    <row r="2117" spans="1:20" x14ac:dyDescent="0.2">
      <c r="A2117" s="169" t="str">
        <f t="shared" si="12"/>
        <v>642</v>
      </c>
      <c r="B2117" s="167" t="str">
        <f>_xlfn.XLOOKUP(I2117,Mapping!D:D,Mapping!E:E)</f>
        <v>Hành Chánh Nhân Sự</v>
      </c>
      <c r="C2117" s="167" t="str">
        <f>_xlfn.XLOOKUP(F2117,Mapping!A:A,Mapping!F:F)</f>
        <v>Khen thưởng BD khác</v>
      </c>
      <c r="D2117" s="173">
        <v>45991</v>
      </c>
      <c r="E2117" s="169" t="s">
        <v>1257</v>
      </c>
      <c r="F2117" s="169" t="s">
        <v>300</v>
      </c>
      <c r="G2117" s="169" t="s">
        <v>222</v>
      </c>
      <c r="H2117" s="169" t="s">
        <v>301</v>
      </c>
      <c r="I2117" s="169" t="s">
        <v>302</v>
      </c>
      <c r="J2117" s="169" t="s">
        <v>1258</v>
      </c>
      <c r="K2117" s="169" t="s">
        <v>1259</v>
      </c>
      <c r="L2117" s="169" t="s">
        <v>1213</v>
      </c>
      <c r="M2117" s="169" t="s">
        <v>281</v>
      </c>
      <c r="N2117" s="178">
        <v>6000000</v>
      </c>
      <c r="O2117" s="169" t="s">
        <v>1260</v>
      </c>
      <c r="P2117" s="169" t="s">
        <v>283</v>
      </c>
      <c r="Q2117" s="169" t="s">
        <v>306</v>
      </c>
      <c r="R2117" s="169" t="s">
        <v>283</v>
      </c>
      <c r="S2117" s="169" t="s">
        <v>283</v>
      </c>
      <c r="T2117" s="169">
        <v>0</v>
      </c>
    </row>
    <row r="2118" spans="1:20" x14ac:dyDescent="0.2">
      <c r="A2118" s="169" t="str">
        <f t="shared" si="12"/>
        <v>641</v>
      </c>
      <c r="B2118" s="167" t="str">
        <f>_xlfn.XLOOKUP(I2118,Mapping!D:D,Mapping!E:E)</f>
        <v>Kinh doanh</v>
      </c>
      <c r="C2118" s="167" t="str">
        <f>_xlfn.XLOOKUP(F2118,Mapping!A:A,Mapping!F:F)</f>
        <v>Thưởng</v>
      </c>
      <c r="D2118" s="173">
        <v>45962</v>
      </c>
      <c r="E2118" s="169" t="s">
        <v>1261</v>
      </c>
      <c r="F2118" s="169" t="s">
        <v>365</v>
      </c>
      <c r="G2118" s="169" t="s">
        <v>291</v>
      </c>
      <c r="H2118" s="169" t="s">
        <v>366</v>
      </c>
      <c r="I2118" s="169" t="s">
        <v>1</v>
      </c>
      <c r="J2118" s="169" t="s">
        <v>1183</v>
      </c>
      <c r="K2118" s="169" t="s">
        <v>670</v>
      </c>
      <c r="L2118" s="169" t="s">
        <v>1213</v>
      </c>
      <c r="M2118" s="169" t="s">
        <v>281</v>
      </c>
      <c r="N2118" s="178">
        <v>-123235604</v>
      </c>
      <c r="O2118" s="169" t="s">
        <v>1262</v>
      </c>
      <c r="P2118" s="169" t="s">
        <v>447</v>
      </c>
      <c r="Q2118" s="169" t="s">
        <v>284</v>
      </c>
      <c r="R2118" s="169" t="s">
        <v>283</v>
      </c>
      <c r="S2118" s="169" t="s">
        <v>283</v>
      </c>
      <c r="T2118" s="169">
        <v>0</v>
      </c>
    </row>
    <row r="2119" spans="1:20" x14ac:dyDescent="0.2">
      <c r="A2119" s="169" t="str">
        <f t="shared" si="12"/>
        <v>641</v>
      </c>
      <c r="B2119" s="167" t="str">
        <f>_xlfn.XLOOKUP(I2119,Mapping!D:D,Mapping!E:E)</f>
        <v>Kinh doanh</v>
      </c>
      <c r="C2119" s="167" t="str">
        <f>_xlfn.XLOOKUP(F2119,Mapping!A:A,Mapping!F:F)</f>
        <v>Thưởng</v>
      </c>
      <c r="D2119" s="173">
        <v>45991</v>
      </c>
      <c r="E2119" s="169" t="s">
        <v>1263</v>
      </c>
      <c r="F2119" s="169" t="s">
        <v>365</v>
      </c>
      <c r="G2119" s="169" t="s">
        <v>291</v>
      </c>
      <c r="H2119" s="169" t="s">
        <v>366</v>
      </c>
      <c r="I2119" s="169" t="s">
        <v>1</v>
      </c>
      <c r="J2119" s="169" t="s">
        <v>1264</v>
      </c>
      <c r="K2119" s="169" t="s">
        <v>670</v>
      </c>
      <c r="L2119" s="169" t="s">
        <v>1213</v>
      </c>
      <c r="M2119" s="169" t="s">
        <v>281</v>
      </c>
      <c r="N2119" s="178">
        <v>127947294</v>
      </c>
      <c r="O2119" s="169" t="s">
        <v>1265</v>
      </c>
      <c r="P2119" s="169" t="s">
        <v>283</v>
      </c>
      <c r="Q2119" s="169" t="s">
        <v>370</v>
      </c>
      <c r="R2119" s="169" t="s">
        <v>283</v>
      </c>
      <c r="S2119" s="169" t="s">
        <v>283</v>
      </c>
      <c r="T2119" s="169">
        <v>0</v>
      </c>
    </row>
    <row r="2120" spans="1:20" x14ac:dyDescent="0.2">
      <c r="A2120" s="169" t="str">
        <f t="shared" si="12"/>
        <v>641</v>
      </c>
      <c r="B2120" s="167" t="str">
        <f>_xlfn.XLOOKUP(I2120,Mapping!D:D,Mapping!E:E)</f>
        <v>Kinh doanh</v>
      </c>
      <c r="C2120" s="167" t="str">
        <f>_xlfn.XLOOKUP(F2120,Mapping!A:A,Mapping!F:F)</f>
        <v>Thưởng</v>
      </c>
      <c r="D2120" s="173">
        <v>45991</v>
      </c>
      <c r="E2120" s="169" t="s">
        <v>1266</v>
      </c>
      <c r="F2120" s="169" t="s">
        <v>365</v>
      </c>
      <c r="G2120" s="169" t="s">
        <v>291</v>
      </c>
      <c r="H2120" s="169" t="s">
        <v>366</v>
      </c>
      <c r="I2120" s="169" t="s">
        <v>1</v>
      </c>
      <c r="J2120" s="169" t="s">
        <v>1267</v>
      </c>
      <c r="K2120" s="169" t="s">
        <v>670</v>
      </c>
      <c r="L2120" s="169" t="s">
        <v>1213</v>
      </c>
      <c r="M2120" s="169" t="s">
        <v>281</v>
      </c>
      <c r="N2120" s="178">
        <v>14344366</v>
      </c>
      <c r="O2120" s="169" t="s">
        <v>1268</v>
      </c>
      <c r="P2120" s="169" t="s">
        <v>283</v>
      </c>
      <c r="Q2120" s="169" t="s">
        <v>370</v>
      </c>
      <c r="R2120" s="169" t="s">
        <v>283</v>
      </c>
      <c r="S2120" s="169" t="s">
        <v>283</v>
      </c>
      <c r="T2120" s="169">
        <v>0</v>
      </c>
    </row>
    <row r="2121" spans="1:20" x14ac:dyDescent="0.2">
      <c r="A2121" s="169" t="str">
        <f t="shared" si="12"/>
        <v>622</v>
      </c>
      <c r="B2121" s="167" t="str">
        <f>_xlfn.XLOOKUP(I2121,Mapping!D:D,Mapping!E:E)</f>
        <v>Xưởng Sản Xuất</v>
      </c>
      <c r="C2121" s="167" t="str">
        <f>_xlfn.XLOOKUP(F2121,Mapping!A:A,Mapping!F:F)</f>
        <v>Lương Chính +T13</v>
      </c>
      <c r="D2121" s="173">
        <v>45991</v>
      </c>
      <c r="E2121" s="169" t="s">
        <v>1269</v>
      </c>
      <c r="F2121" s="169" t="s">
        <v>400</v>
      </c>
      <c r="G2121" s="169" t="s">
        <v>401</v>
      </c>
      <c r="H2121" s="169" t="s">
        <v>402</v>
      </c>
      <c r="I2121" s="169" t="s">
        <v>403</v>
      </c>
      <c r="J2121" s="169" t="s">
        <v>1270</v>
      </c>
      <c r="K2121" s="169" t="s">
        <v>405</v>
      </c>
      <c r="L2121" s="169" t="s">
        <v>1213</v>
      </c>
      <c r="M2121" s="169" t="s">
        <v>281</v>
      </c>
      <c r="N2121" s="178">
        <v>83728953</v>
      </c>
      <c r="O2121" s="169" t="s">
        <v>1271</v>
      </c>
      <c r="P2121" s="169" t="s">
        <v>283</v>
      </c>
      <c r="Q2121" s="169" t="s">
        <v>306</v>
      </c>
      <c r="R2121" s="169" t="s">
        <v>283</v>
      </c>
      <c r="S2121" s="169" t="s">
        <v>283</v>
      </c>
      <c r="T2121" s="169">
        <v>0</v>
      </c>
    </row>
    <row r="2122" spans="1:20" x14ac:dyDescent="0.2">
      <c r="A2122" s="169" t="str">
        <f t="shared" si="12"/>
        <v>642</v>
      </c>
      <c r="B2122" s="167" t="str">
        <f>_xlfn.XLOOKUP(I2122,Mapping!D:D,Mapping!E:E)</f>
        <v>Hành Chánh Nhân Sự</v>
      </c>
      <c r="C2122" s="167" t="str">
        <f>_xlfn.XLOOKUP(F2122,Mapping!A:A,Mapping!F:F)</f>
        <v>Lương Chính +T13</v>
      </c>
      <c r="D2122" s="173">
        <v>45991</v>
      </c>
      <c r="E2122" s="169" t="s">
        <v>1269</v>
      </c>
      <c r="F2122" s="169" t="s">
        <v>274</v>
      </c>
      <c r="G2122" s="169" t="s">
        <v>275</v>
      </c>
      <c r="H2122" s="169" t="s">
        <v>301</v>
      </c>
      <c r="I2122" s="169" t="s">
        <v>302</v>
      </c>
      <c r="J2122" s="169" t="s">
        <v>1270</v>
      </c>
      <c r="K2122" s="169" t="s">
        <v>405</v>
      </c>
      <c r="L2122" s="169" t="s">
        <v>1213</v>
      </c>
      <c r="M2122" s="169" t="s">
        <v>281</v>
      </c>
      <c r="N2122" s="178">
        <v>5601172</v>
      </c>
      <c r="O2122" s="169" t="s">
        <v>1271</v>
      </c>
      <c r="P2122" s="169" t="s">
        <v>283</v>
      </c>
      <c r="Q2122" s="169" t="s">
        <v>306</v>
      </c>
      <c r="R2122" s="169" t="s">
        <v>283</v>
      </c>
      <c r="S2122" s="169" t="s">
        <v>283</v>
      </c>
      <c r="T2122" s="169">
        <v>0</v>
      </c>
    </row>
    <row r="2123" spans="1:20" x14ac:dyDescent="0.2">
      <c r="A2123" s="169" t="str">
        <f t="shared" si="12"/>
        <v>622</v>
      </c>
      <c r="B2123" s="167" t="str">
        <f>_xlfn.XLOOKUP(I2123,Mapping!D:D,Mapping!E:E)</f>
        <v>Xưởng Sản Xuất</v>
      </c>
      <c r="C2123" s="167" t="str">
        <f>_xlfn.XLOOKUP(F2123,Mapping!A:A,Mapping!F:F)</f>
        <v>Phụ Cấp</v>
      </c>
      <c r="D2123" s="173">
        <v>45991</v>
      </c>
      <c r="E2123" s="169" t="s">
        <v>1272</v>
      </c>
      <c r="F2123" s="169" t="s">
        <v>414</v>
      </c>
      <c r="G2123" s="169" t="s">
        <v>415</v>
      </c>
      <c r="H2123" s="169" t="s">
        <v>441</v>
      </c>
      <c r="I2123" s="169" t="s">
        <v>442</v>
      </c>
      <c r="J2123" s="169" t="s">
        <v>416</v>
      </c>
      <c r="K2123" s="169" t="s">
        <v>416</v>
      </c>
      <c r="L2123" s="169" t="s">
        <v>1213</v>
      </c>
      <c r="M2123" s="169" t="s">
        <v>281</v>
      </c>
      <c r="N2123" s="178">
        <v>400000</v>
      </c>
      <c r="O2123" s="169" t="s">
        <v>1273</v>
      </c>
      <c r="P2123" s="169" t="s">
        <v>283</v>
      </c>
      <c r="Q2123" s="169" t="s">
        <v>348</v>
      </c>
      <c r="R2123" s="169" t="s">
        <v>283</v>
      </c>
      <c r="S2123" s="169" t="s">
        <v>283</v>
      </c>
      <c r="T2123" s="169">
        <v>0</v>
      </c>
    </row>
    <row r="2124" spans="1:20" x14ac:dyDescent="0.2">
      <c r="A2124" s="169" t="str">
        <f t="shared" si="12"/>
        <v>627</v>
      </c>
      <c r="B2124" s="167" t="str">
        <f>_xlfn.XLOOKUP(I2124,Mapping!D:D,Mapping!E:E)</f>
        <v>Xưởng Sản Xuất</v>
      </c>
      <c r="C2124" s="167" t="str">
        <f>_xlfn.XLOOKUP(F2124,Mapping!A:A,Mapping!F:F)</f>
        <v>Phụ Cấp</v>
      </c>
      <c r="D2124" s="173">
        <v>45991</v>
      </c>
      <c r="E2124" s="169" t="s">
        <v>1272</v>
      </c>
      <c r="F2124" s="169" t="s">
        <v>375</v>
      </c>
      <c r="G2124" s="169" t="s">
        <v>336</v>
      </c>
      <c r="H2124" s="169" t="s">
        <v>441</v>
      </c>
      <c r="I2124" s="169" t="s">
        <v>442</v>
      </c>
      <c r="J2124" s="169" t="s">
        <v>416</v>
      </c>
      <c r="K2124" s="169" t="s">
        <v>416</v>
      </c>
      <c r="L2124" s="169" t="s">
        <v>1213</v>
      </c>
      <c r="M2124" s="169" t="s">
        <v>281</v>
      </c>
      <c r="N2124" s="178">
        <v>-400000</v>
      </c>
      <c r="O2124" s="169" t="s">
        <v>1273</v>
      </c>
      <c r="P2124" s="169" t="s">
        <v>283</v>
      </c>
      <c r="Q2124" s="169" t="s">
        <v>348</v>
      </c>
      <c r="R2124" s="169" t="s">
        <v>283</v>
      </c>
      <c r="S2124" s="169" t="s">
        <v>283</v>
      </c>
      <c r="T2124" s="169">
        <v>0</v>
      </c>
    </row>
    <row r="2125" spans="1:20" x14ac:dyDescent="0.2">
      <c r="A2125" s="169" t="str">
        <f t="shared" si="12"/>
        <v>622</v>
      </c>
      <c r="B2125" s="167" t="str">
        <f>_xlfn.XLOOKUP(I2125,Mapping!D:D,Mapping!E:E)</f>
        <v>Xưởng Sản Xuất</v>
      </c>
      <c r="C2125" s="167" t="str">
        <f>_xlfn.XLOOKUP(F2125,Mapping!A:A,Mapping!F:F)</f>
        <v>Phụ Cấp</v>
      </c>
      <c r="D2125" s="173">
        <v>45991</v>
      </c>
      <c r="E2125" s="169" t="s">
        <v>1272</v>
      </c>
      <c r="F2125" s="169" t="s">
        <v>414</v>
      </c>
      <c r="G2125" s="169" t="s">
        <v>415</v>
      </c>
      <c r="H2125" s="169" t="s">
        <v>441</v>
      </c>
      <c r="I2125" s="169" t="s">
        <v>442</v>
      </c>
      <c r="J2125" s="169" t="s">
        <v>416</v>
      </c>
      <c r="K2125" s="169" t="s">
        <v>416</v>
      </c>
      <c r="L2125" s="169" t="s">
        <v>1213</v>
      </c>
      <c r="M2125" s="169" t="s">
        <v>281</v>
      </c>
      <c r="N2125" s="178">
        <v>75000</v>
      </c>
      <c r="O2125" s="169" t="s">
        <v>1273</v>
      </c>
      <c r="P2125" s="169" t="s">
        <v>283</v>
      </c>
      <c r="Q2125" s="169" t="s">
        <v>348</v>
      </c>
      <c r="R2125" s="169" t="s">
        <v>283</v>
      </c>
      <c r="S2125" s="169" t="s">
        <v>283</v>
      </c>
      <c r="T2125" s="169">
        <v>0</v>
      </c>
    </row>
    <row r="2126" spans="1:20" x14ac:dyDescent="0.2">
      <c r="A2126" s="169" t="str">
        <f t="shared" si="12"/>
        <v>627</v>
      </c>
      <c r="B2126" s="167" t="str">
        <f>_xlfn.XLOOKUP(I2126,Mapping!D:D,Mapping!E:E)</f>
        <v>Xưởng Sản Xuất</v>
      </c>
      <c r="C2126" s="167" t="str">
        <f>_xlfn.XLOOKUP(F2126,Mapping!A:A,Mapping!F:F)</f>
        <v>Phụ Cấp</v>
      </c>
      <c r="D2126" s="173">
        <v>45991</v>
      </c>
      <c r="E2126" s="169" t="s">
        <v>1272</v>
      </c>
      <c r="F2126" s="169" t="s">
        <v>375</v>
      </c>
      <c r="G2126" s="169" t="s">
        <v>336</v>
      </c>
      <c r="H2126" s="169" t="s">
        <v>430</v>
      </c>
      <c r="I2126" s="169" t="s">
        <v>431</v>
      </c>
      <c r="J2126" s="169" t="s">
        <v>416</v>
      </c>
      <c r="K2126" s="169" t="s">
        <v>416</v>
      </c>
      <c r="L2126" s="169" t="s">
        <v>1213</v>
      </c>
      <c r="M2126" s="169" t="s">
        <v>281</v>
      </c>
      <c r="N2126" s="178">
        <v>-75000</v>
      </c>
      <c r="O2126" s="169" t="s">
        <v>1273</v>
      </c>
      <c r="P2126" s="169" t="s">
        <v>283</v>
      </c>
      <c r="Q2126" s="169" t="s">
        <v>348</v>
      </c>
      <c r="R2126" s="169" t="s">
        <v>283</v>
      </c>
      <c r="S2126" s="169" t="s">
        <v>283</v>
      </c>
      <c r="T2126" s="169">
        <v>0</v>
      </c>
    </row>
    <row r="2127" spans="1:20" x14ac:dyDescent="0.2">
      <c r="A2127" s="169" t="str">
        <f t="shared" si="12"/>
        <v>622</v>
      </c>
      <c r="B2127" s="167" t="str">
        <f>_xlfn.XLOOKUP(I2127,Mapping!D:D,Mapping!E:E)</f>
        <v>Xưởng Sản Xuất</v>
      </c>
      <c r="C2127" s="167" t="str">
        <f>_xlfn.XLOOKUP(F2127,Mapping!A:A,Mapping!F:F)</f>
        <v>Phụ Cấp</v>
      </c>
      <c r="D2127" s="173">
        <v>45991</v>
      </c>
      <c r="E2127" s="169" t="s">
        <v>1272</v>
      </c>
      <c r="F2127" s="169" t="s">
        <v>414</v>
      </c>
      <c r="G2127" s="169" t="s">
        <v>415</v>
      </c>
      <c r="H2127" s="169" t="s">
        <v>430</v>
      </c>
      <c r="I2127" s="169" t="s">
        <v>431</v>
      </c>
      <c r="J2127" s="169" t="s">
        <v>416</v>
      </c>
      <c r="K2127" s="169" t="s">
        <v>416</v>
      </c>
      <c r="L2127" s="169" t="s">
        <v>1213</v>
      </c>
      <c r="M2127" s="169" t="s">
        <v>281</v>
      </c>
      <c r="N2127" s="178">
        <v>18800000</v>
      </c>
      <c r="O2127" s="169" t="s">
        <v>1273</v>
      </c>
      <c r="P2127" s="169" t="s">
        <v>283</v>
      </c>
      <c r="Q2127" s="169" t="s">
        <v>348</v>
      </c>
      <c r="R2127" s="169" t="s">
        <v>283</v>
      </c>
      <c r="S2127" s="169" t="s">
        <v>283</v>
      </c>
      <c r="T2127" s="169">
        <v>0</v>
      </c>
    </row>
    <row r="2128" spans="1:20" x14ac:dyDescent="0.2">
      <c r="A2128" s="169" t="str">
        <f t="shared" si="12"/>
        <v>627</v>
      </c>
      <c r="B2128" s="167" t="str">
        <f>_xlfn.XLOOKUP(I2128,Mapping!D:D,Mapping!E:E)</f>
        <v>Xưởng Sản Xuất</v>
      </c>
      <c r="C2128" s="167" t="str">
        <f>_xlfn.XLOOKUP(F2128,Mapping!A:A,Mapping!F:F)</f>
        <v>Phụ Cấp</v>
      </c>
      <c r="D2128" s="173">
        <v>45991</v>
      </c>
      <c r="E2128" s="169" t="s">
        <v>1272</v>
      </c>
      <c r="F2128" s="169" t="s">
        <v>375</v>
      </c>
      <c r="G2128" s="169" t="s">
        <v>336</v>
      </c>
      <c r="H2128" s="169" t="s">
        <v>430</v>
      </c>
      <c r="I2128" s="169" t="s">
        <v>431</v>
      </c>
      <c r="J2128" s="169" t="s">
        <v>416</v>
      </c>
      <c r="K2128" s="169" t="s">
        <v>416</v>
      </c>
      <c r="L2128" s="169" t="s">
        <v>1213</v>
      </c>
      <c r="M2128" s="169" t="s">
        <v>281</v>
      </c>
      <c r="N2128" s="178">
        <v>-18800000</v>
      </c>
      <c r="O2128" s="169" t="s">
        <v>1273</v>
      </c>
      <c r="P2128" s="169" t="s">
        <v>283</v>
      </c>
      <c r="Q2128" s="169" t="s">
        <v>348</v>
      </c>
      <c r="R2128" s="169" t="s">
        <v>283</v>
      </c>
      <c r="S2128" s="169" t="s">
        <v>283</v>
      </c>
      <c r="T2128" s="169">
        <v>0</v>
      </c>
    </row>
    <row r="2129" spans="1:20" x14ac:dyDescent="0.2">
      <c r="A2129" s="169" t="str">
        <f t="shared" si="12"/>
        <v>622</v>
      </c>
      <c r="B2129" s="167" t="str">
        <f>_xlfn.XLOOKUP(I2129,Mapping!D:D,Mapping!E:E)</f>
        <v>Xưởng Sản Xuất</v>
      </c>
      <c r="C2129" s="167" t="str">
        <f>_xlfn.XLOOKUP(F2129,Mapping!A:A,Mapping!F:F)</f>
        <v>Phụ Cấp</v>
      </c>
      <c r="D2129" s="173">
        <v>45991</v>
      </c>
      <c r="E2129" s="169" t="s">
        <v>1272</v>
      </c>
      <c r="F2129" s="169" t="s">
        <v>414</v>
      </c>
      <c r="G2129" s="169" t="s">
        <v>415</v>
      </c>
      <c r="H2129" s="169" t="s">
        <v>402</v>
      </c>
      <c r="I2129" s="169" t="s">
        <v>403</v>
      </c>
      <c r="J2129" s="169" t="s">
        <v>416</v>
      </c>
      <c r="K2129" s="169" t="s">
        <v>416</v>
      </c>
      <c r="L2129" s="169" t="s">
        <v>1213</v>
      </c>
      <c r="M2129" s="169" t="s">
        <v>281</v>
      </c>
      <c r="N2129" s="178">
        <v>112650000</v>
      </c>
      <c r="O2129" s="169" t="s">
        <v>1273</v>
      </c>
      <c r="P2129" s="169" t="s">
        <v>283</v>
      </c>
      <c r="Q2129" s="169" t="s">
        <v>348</v>
      </c>
      <c r="R2129" s="169" t="s">
        <v>283</v>
      </c>
      <c r="S2129" s="169" t="s">
        <v>283</v>
      </c>
      <c r="T2129" s="169">
        <v>0</v>
      </c>
    </row>
    <row r="2130" spans="1:20" x14ac:dyDescent="0.2">
      <c r="A2130" s="169" t="str">
        <f t="shared" si="12"/>
        <v>627</v>
      </c>
      <c r="B2130" s="167" t="str">
        <f>_xlfn.XLOOKUP(I2130,Mapping!D:D,Mapping!E:E)</f>
        <v>Xưởng Sản Xuất</v>
      </c>
      <c r="C2130" s="167" t="str">
        <f>_xlfn.XLOOKUP(F2130,Mapping!A:A,Mapping!F:F)</f>
        <v>Phụ Cấp</v>
      </c>
      <c r="D2130" s="173">
        <v>45991</v>
      </c>
      <c r="E2130" s="169" t="s">
        <v>1272</v>
      </c>
      <c r="F2130" s="169" t="s">
        <v>375</v>
      </c>
      <c r="G2130" s="169" t="s">
        <v>336</v>
      </c>
      <c r="H2130" s="169" t="s">
        <v>402</v>
      </c>
      <c r="I2130" s="169" t="s">
        <v>403</v>
      </c>
      <c r="J2130" s="169" t="s">
        <v>416</v>
      </c>
      <c r="K2130" s="169" t="s">
        <v>416</v>
      </c>
      <c r="L2130" s="169" t="s">
        <v>1213</v>
      </c>
      <c r="M2130" s="169" t="s">
        <v>281</v>
      </c>
      <c r="N2130" s="178">
        <v>-112650000</v>
      </c>
      <c r="O2130" s="169" t="s">
        <v>1273</v>
      </c>
      <c r="P2130" s="169" t="s">
        <v>283</v>
      </c>
      <c r="Q2130" s="169" t="s">
        <v>348</v>
      </c>
      <c r="R2130" s="169" t="s">
        <v>283</v>
      </c>
      <c r="S2130" s="169" t="s">
        <v>283</v>
      </c>
      <c r="T2130" s="169">
        <v>0</v>
      </c>
    </row>
    <row r="2131" spans="1:20" x14ac:dyDescent="0.2">
      <c r="A2131" s="169" t="str">
        <f t="shared" si="12"/>
        <v>622</v>
      </c>
      <c r="B2131" s="167" t="str">
        <f>_xlfn.XLOOKUP(I2131,Mapping!D:D,Mapping!E:E)</f>
        <v>Xưởng Sản Xuất</v>
      </c>
      <c r="C2131" s="167" t="str">
        <f>_xlfn.XLOOKUP(F2131,Mapping!A:A,Mapping!F:F)</f>
        <v>Phụ Cấp</v>
      </c>
      <c r="D2131" s="173">
        <v>45991</v>
      </c>
      <c r="E2131" s="169" t="s">
        <v>1274</v>
      </c>
      <c r="F2131" s="169" t="s">
        <v>414</v>
      </c>
      <c r="G2131" s="169" t="s">
        <v>415</v>
      </c>
      <c r="H2131" s="169" t="s">
        <v>402</v>
      </c>
      <c r="I2131" s="169" t="s">
        <v>403</v>
      </c>
      <c r="J2131" s="169" t="s">
        <v>1275</v>
      </c>
      <c r="K2131" s="169" t="s">
        <v>1276</v>
      </c>
      <c r="L2131" s="169" t="s">
        <v>1213</v>
      </c>
      <c r="M2131" s="169" t="s">
        <v>281</v>
      </c>
      <c r="N2131" s="178">
        <v>63011000</v>
      </c>
      <c r="O2131" s="169" t="s">
        <v>1277</v>
      </c>
      <c r="P2131" s="169" t="s">
        <v>283</v>
      </c>
      <c r="Q2131" s="169" t="s">
        <v>306</v>
      </c>
      <c r="R2131" s="169" t="s">
        <v>283</v>
      </c>
      <c r="S2131" s="169" t="s">
        <v>283</v>
      </c>
      <c r="T2131" s="169">
        <v>0</v>
      </c>
    </row>
    <row r="2132" spans="1:20" x14ac:dyDescent="0.2">
      <c r="A2132" s="169" t="str">
        <f t="shared" si="12"/>
        <v>622</v>
      </c>
      <c r="B2132" s="167" t="str">
        <f>_xlfn.XLOOKUP(I2132,Mapping!D:D,Mapping!E:E)</f>
        <v>Xưởng Sản Xuất</v>
      </c>
      <c r="C2132" s="167" t="str">
        <f>_xlfn.XLOOKUP(F2132,Mapping!A:A,Mapping!F:F)</f>
        <v>Phụ Cấp</v>
      </c>
      <c r="D2132" s="173">
        <v>45991</v>
      </c>
      <c r="E2132" s="169" t="s">
        <v>1274</v>
      </c>
      <c r="F2132" s="169" t="s">
        <v>414</v>
      </c>
      <c r="G2132" s="169" t="s">
        <v>415</v>
      </c>
      <c r="H2132" s="169" t="s">
        <v>430</v>
      </c>
      <c r="I2132" s="169" t="s">
        <v>431</v>
      </c>
      <c r="J2132" s="169" t="s">
        <v>1278</v>
      </c>
      <c r="K2132" s="169" t="s">
        <v>1276</v>
      </c>
      <c r="L2132" s="169" t="s">
        <v>1213</v>
      </c>
      <c r="M2132" s="169" t="s">
        <v>281</v>
      </c>
      <c r="N2132" s="178">
        <v>11973000</v>
      </c>
      <c r="O2132" s="169" t="s">
        <v>1277</v>
      </c>
      <c r="P2132" s="169" t="s">
        <v>283</v>
      </c>
      <c r="Q2132" s="169" t="s">
        <v>306</v>
      </c>
      <c r="R2132" s="169" t="s">
        <v>283</v>
      </c>
      <c r="S2132" s="169" t="s">
        <v>283</v>
      </c>
      <c r="T2132" s="169">
        <v>0</v>
      </c>
    </row>
    <row r="2133" spans="1:20" x14ac:dyDescent="0.2">
      <c r="A2133" s="169" t="str">
        <f t="shared" si="12"/>
        <v>627</v>
      </c>
      <c r="B2133" s="167" t="str">
        <f>_xlfn.XLOOKUP(I2133,Mapping!D:D,Mapping!E:E)</f>
        <v>Kỹ Thuật</v>
      </c>
      <c r="C2133" s="167" t="str">
        <f>_xlfn.XLOOKUP(F2133,Mapping!A:A,Mapping!F:F)</f>
        <v>Phụ Cấp</v>
      </c>
      <c r="D2133" s="173">
        <v>45991</v>
      </c>
      <c r="E2133" s="169" t="s">
        <v>1274</v>
      </c>
      <c r="F2133" s="169" t="s">
        <v>375</v>
      </c>
      <c r="G2133" s="169" t="s">
        <v>336</v>
      </c>
      <c r="H2133" s="169" t="s">
        <v>376</v>
      </c>
      <c r="I2133" s="169" t="s">
        <v>377</v>
      </c>
      <c r="J2133" s="169" t="s">
        <v>1279</v>
      </c>
      <c r="K2133" s="169" t="s">
        <v>1276</v>
      </c>
      <c r="L2133" s="169" t="s">
        <v>1213</v>
      </c>
      <c r="M2133" s="169" t="s">
        <v>281</v>
      </c>
      <c r="N2133" s="178">
        <v>20358000</v>
      </c>
      <c r="O2133" s="169" t="s">
        <v>1277</v>
      </c>
      <c r="P2133" s="169" t="s">
        <v>283</v>
      </c>
      <c r="Q2133" s="169" t="s">
        <v>306</v>
      </c>
      <c r="R2133" s="169" t="s">
        <v>283</v>
      </c>
      <c r="S2133" s="169" t="s">
        <v>283</v>
      </c>
      <c r="T2133" s="169">
        <v>0</v>
      </c>
    </row>
    <row r="2134" spans="1:20" x14ac:dyDescent="0.2">
      <c r="A2134" s="169" t="str">
        <f t="shared" si="12"/>
        <v>627</v>
      </c>
      <c r="B2134" s="167" t="str">
        <f>_xlfn.XLOOKUP(I2134,Mapping!D:D,Mapping!E:E)</f>
        <v>Xưởng Sản Xuất</v>
      </c>
      <c r="C2134" s="167" t="str">
        <f>_xlfn.XLOOKUP(F2134,Mapping!A:A,Mapping!F:F)</f>
        <v>Phụ Cấp</v>
      </c>
      <c r="D2134" s="173">
        <v>45991</v>
      </c>
      <c r="E2134" s="169" t="s">
        <v>1274</v>
      </c>
      <c r="F2134" s="169" t="s">
        <v>375</v>
      </c>
      <c r="G2134" s="169" t="s">
        <v>336</v>
      </c>
      <c r="H2134" s="169" t="s">
        <v>436</v>
      </c>
      <c r="I2134" s="169" t="s">
        <v>437</v>
      </c>
      <c r="J2134" s="169" t="s">
        <v>1280</v>
      </c>
      <c r="K2134" s="169" t="s">
        <v>1276</v>
      </c>
      <c r="L2134" s="169" t="s">
        <v>1213</v>
      </c>
      <c r="M2134" s="169" t="s">
        <v>281</v>
      </c>
      <c r="N2134" s="178">
        <v>11778000</v>
      </c>
      <c r="O2134" s="169" t="s">
        <v>1277</v>
      </c>
      <c r="P2134" s="169" t="s">
        <v>283</v>
      </c>
      <c r="Q2134" s="169" t="s">
        <v>306</v>
      </c>
      <c r="R2134" s="169" t="s">
        <v>283</v>
      </c>
      <c r="S2134" s="169" t="s">
        <v>283</v>
      </c>
      <c r="T2134" s="169">
        <v>0</v>
      </c>
    </row>
    <row r="2135" spans="1:20" x14ac:dyDescent="0.2">
      <c r="A2135" s="169" t="str">
        <f t="shared" si="12"/>
        <v>627</v>
      </c>
      <c r="B2135" s="167" t="str">
        <f>_xlfn.XLOOKUP(I2135,Mapping!D:D,Mapping!E:E)</f>
        <v>Kiểm Soát Chất Lượng</v>
      </c>
      <c r="C2135" s="167" t="str">
        <f>_xlfn.XLOOKUP(F2135,Mapping!A:A,Mapping!F:F)</f>
        <v>Phụ Cấp</v>
      </c>
      <c r="D2135" s="173">
        <v>45991</v>
      </c>
      <c r="E2135" s="169" t="s">
        <v>1274</v>
      </c>
      <c r="F2135" s="169" t="s">
        <v>375</v>
      </c>
      <c r="G2135" s="169" t="s">
        <v>336</v>
      </c>
      <c r="H2135" s="169" t="s">
        <v>411</v>
      </c>
      <c r="I2135" s="169" t="s">
        <v>412</v>
      </c>
      <c r="J2135" s="169" t="s">
        <v>1281</v>
      </c>
      <c r="K2135" s="169" t="s">
        <v>1276</v>
      </c>
      <c r="L2135" s="169" t="s">
        <v>1213</v>
      </c>
      <c r="M2135" s="169" t="s">
        <v>281</v>
      </c>
      <c r="N2135" s="178">
        <v>11102000</v>
      </c>
      <c r="O2135" s="169" t="s">
        <v>1277</v>
      </c>
      <c r="P2135" s="169" t="s">
        <v>283</v>
      </c>
      <c r="Q2135" s="169" t="s">
        <v>306</v>
      </c>
      <c r="R2135" s="169" t="s">
        <v>283</v>
      </c>
      <c r="S2135" s="169" t="s">
        <v>283</v>
      </c>
      <c r="T2135" s="169">
        <v>0</v>
      </c>
    </row>
    <row r="2136" spans="1:20" x14ac:dyDescent="0.2">
      <c r="A2136" s="169" t="str">
        <f t="shared" si="12"/>
        <v>642</v>
      </c>
      <c r="B2136" s="167" t="str">
        <f>_xlfn.XLOOKUP(I2136,Mapping!D:D,Mapping!E:E)</f>
        <v>Hành Chánh Nhân Sự</v>
      </c>
      <c r="C2136" s="167" t="str">
        <f>_xlfn.XLOOKUP(F2136,Mapping!A:A,Mapping!F:F)</f>
        <v>Phụ Cấp</v>
      </c>
      <c r="D2136" s="173">
        <v>45991</v>
      </c>
      <c r="E2136" s="169" t="s">
        <v>1274</v>
      </c>
      <c r="F2136" s="169" t="s">
        <v>335</v>
      </c>
      <c r="G2136" s="169" t="s">
        <v>336</v>
      </c>
      <c r="H2136" s="169" t="s">
        <v>301</v>
      </c>
      <c r="I2136" s="169" t="s">
        <v>302</v>
      </c>
      <c r="J2136" s="169" t="s">
        <v>1282</v>
      </c>
      <c r="K2136" s="169" t="s">
        <v>1276</v>
      </c>
      <c r="L2136" s="169" t="s">
        <v>1213</v>
      </c>
      <c r="M2136" s="169" t="s">
        <v>281</v>
      </c>
      <c r="N2136" s="178">
        <v>3484000</v>
      </c>
      <c r="O2136" s="169" t="s">
        <v>1277</v>
      </c>
      <c r="P2136" s="169" t="s">
        <v>283</v>
      </c>
      <c r="Q2136" s="169" t="s">
        <v>306</v>
      </c>
      <c r="R2136" s="169" t="s">
        <v>283</v>
      </c>
      <c r="S2136" s="169" t="s">
        <v>283</v>
      </c>
      <c r="T2136" s="169">
        <v>0</v>
      </c>
    </row>
    <row r="2137" spans="1:20" x14ac:dyDescent="0.2">
      <c r="A2137" s="169" t="str">
        <f t="shared" si="12"/>
        <v>642</v>
      </c>
      <c r="B2137" s="167" t="str">
        <f>_xlfn.XLOOKUP(I2137,Mapping!D:D,Mapping!E:E)</f>
        <v>Ban Giám Đốc</v>
      </c>
      <c r="C2137" s="167" t="str">
        <f>_xlfn.XLOOKUP(F2137,Mapping!A:A,Mapping!F:F)</f>
        <v>BHXH, BHYT, KPCĐ</v>
      </c>
      <c r="D2137" s="173">
        <v>45991</v>
      </c>
      <c r="E2137" s="169" t="s">
        <v>1283</v>
      </c>
      <c r="F2137" s="169" t="s">
        <v>295</v>
      </c>
      <c r="G2137" s="169" t="s">
        <v>296</v>
      </c>
      <c r="H2137" s="169" t="s">
        <v>276</v>
      </c>
      <c r="I2137" s="169" t="s">
        <v>277</v>
      </c>
      <c r="J2137" s="169" t="s">
        <v>1247</v>
      </c>
      <c r="K2137" s="169" t="s">
        <v>1240</v>
      </c>
      <c r="L2137" s="169" t="s">
        <v>1213</v>
      </c>
      <c r="M2137" s="169" t="s">
        <v>281</v>
      </c>
      <c r="N2137" s="178">
        <v>-126066950</v>
      </c>
      <c r="O2137" s="169" t="s">
        <v>1284</v>
      </c>
      <c r="P2137" s="169" t="s">
        <v>447</v>
      </c>
      <c r="Q2137" s="169" t="s">
        <v>284</v>
      </c>
      <c r="R2137" s="169" t="s">
        <v>283</v>
      </c>
      <c r="S2137" s="169" t="s">
        <v>283</v>
      </c>
      <c r="T2137" s="169">
        <v>0</v>
      </c>
    </row>
    <row r="2138" spans="1:20" x14ac:dyDescent="0.2">
      <c r="A2138" s="169" t="str">
        <f t="shared" si="12"/>
        <v>642</v>
      </c>
      <c r="B2138" s="167" t="str">
        <f>_xlfn.XLOOKUP(I2138,Mapping!D:D,Mapping!E:E)</f>
        <v>Văn Phòng Giám Đốc</v>
      </c>
      <c r="C2138" s="167" t="str">
        <f>_xlfn.XLOOKUP(F2138,Mapping!A:A,Mapping!F:F)</f>
        <v>BHXH, BHYT, KPCĐ</v>
      </c>
      <c r="D2138" s="173">
        <v>45991</v>
      </c>
      <c r="E2138" s="169" t="s">
        <v>1283</v>
      </c>
      <c r="F2138" s="169" t="s">
        <v>295</v>
      </c>
      <c r="G2138" s="169" t="s">
        <v>296</v>
      </c>
      <c r="H2138" s="169" t="s">
        <v>320</v>
      </c>
      <c r="I2138" s="169" t="s">
        <v>321</v>
      </c>
      <c r="J2138" s="169" t="s">
        <v>1247</v>
      </c>
      <c r="K2138" s="169" t="s">
        <v>1240</v>
      </c>
      <c r="L2138" s="169" t="s">
        <v>1213</v>
      </c>
      <c r="M2138" s="169" t="s">
        <v>281</v>
      </c>
      <c r="N2138" s="178">
        <v>-34958750</v>
      </c>
      <c r="O2138" s="169" t="s">
        <v>1284</v>
      </c>
      <c r="P2138" s="169" t="s">
        <v>447</v>
      </c>
      <c r="Q2138" s="169" t="s">
        <v>284</v>
      </c>
      <c r="R2138" s="169" t="s">
        <v>283</v>
      </c>
      <c r="S2138" s="169" t="s">
        <v>283</v>
      </c>
      <c r="T2138" s="169">
        <v>0</v>
      </c>
    </row>
    <row r="2139" spans="1:20" x14ac:dyDescent="0.2">
      <c r="A2139" s="169" t="str">
        <f t="shared" si="12"/>
        <v>642</v>
      </c>
      <c r="B2139" s="167" t="str">
        <f>_xlfn.XLOOKUP(I2139,Mapping!D:D,Mapping!E:E)</f>
        <v>Hành Chánh Nhân Sự</v>
      </c>
      <c r="C2139" s="167" t="str">
        <f>_xlfn.XLOOKUP(F2139,Mapping!A:A,Mapping!F:F)</f>
        <v>BHXH, BHYT, KPCĐ</v>
      </c>
      <c r="D2139" s="173">
        <v>45991</v>
      </c>
      <c r="E2139" s="169" t="s">
        <v>1283</v>
      </c>
      <c r="F2139" s="169" t="s">
        <v>295</v>
      </c>
      <c r="G2139" s="169" t="s">
        <v>296</v>
      </c>
      <c r="H2139" s="169" t="s">
        <v>301</v>
      </c>
      <c r="I2139" s="169" t="s">
        <v>302</v>
      </c>
      <c r="J2139" s="169" t="s">
        <v>1247</v>
      </c>
      <c r="K2139" s="169" t="s">
        <v>1240</v>
      </c>
      <c r="L2139" s="169" t="s">
        <v>1213</v>
      </c>
      <c r="M2139" s="169" t="s">
        <v>281</v>
      </c>
      <c r="N2139" s="178">
        <v>-112460165</v>
      </c>
      <c r="O2139" s="169" t="s">
        <v>1284</v>
      </c>
      <c r="P2139" s="169" t="s">
        <v>447</v>
      </c>
      <c r="Q2139" s="169" t="s">
        <v>284</v>
      </c>
      <c r="R2139" s="169" t="s">
        <v>283</v>
      </c>
      <c r="S2139" s="169" t="s">
        <v>283</v>
      </c>
      <c r="T2139" s="169">
        <v>0</v>
      </c>
    </row>
    <row r="2140" spans="1:20" x14ac:dyDescent="0.2">
      <c r="A2140" s="169" t="str">
        <f t="shared" si="12"/>
        <v>642</v>
      </c>
      <c r="B2140" s="167" t="str">
        <f>_xlfn.XLOOKUP(I2140,Mapping!D:D,Mapping!E:E)</f>
        <v>Kế Toán</v>
      </c>
      <c r="C2140" s="167" t="str">
        <f>_xlfn.XLOOKUP(F2140,Mapping!A:A,Mapping!F:F)</f>
        <v>BHXH, BHYT, KPCĐ</v>
      </c>
      <c r="D2140" s="173">
        <v>45991</v>
      </c>
      <c r="E2140" s="169" t="s">
        <v>1283</v>
      </c>
      <c r="F2140" s="169" t="s">
        <v>295</v>
      </c>
      <c r="G2140" s="169" t="s">
        <v>296</v>
      </c>
      <c r="H2140" s="169" t="s">
        <v>356</v>
      </c>
      <c r="I2140" s="169" t="s">
        <v>357</v>
      </c>
      <c r="J2140" s="169" t="s">
        <v>1247</v>
      </c>
      <c r="K2140" s="169" t="s">
        <v>1240</v>
      </c>
      <c r="L2140" s="169" t="s">
        <v>1213</v>
      </c>
      <c r="M2140" s="169" t="s">
        <v>281</v>
      </c>
      <c r="N2140" s="178">
        <v>-113305035</v>
      </c>
      <c r="O2140" s="169" t="s">
        <v>1284</v>
      </c>
      <c r="P2140" s="169" t="s">
        <v>447</v>
      </c>
      <c r="Q2140" s="169" t="s">
        <v>284</v>
      </c>
      <c r="R2140" s="169" t="s">
        <v>283</v>
      </c>
      <c r="S2140" s="169" t="s">
        <v>283</v>
      </c>
      <c r="T2140" s="169">
        <v>0</v>
      </c>
    </row>
    <row r="2141" spans="1:20" x14ac:dyDescent="0.2">
      <c r="A2141" s="169" t="str">
        <f t="shared" si="12"/>
        <v>641</v>
      </c>
      <c r="B2141" s="167" t="str">
        <f>_xlfn.XLOOKUP(I2141,Mapping!D:D,Mapping!E:E)</f>
        <v>Kinh doanh</v>
      </c>
      <c r="C2141" s="167" t="str">
        <f>_xlfn.XLOOKUP(F2141,Mapping!A:A,Mapping!F:F)</f>
        <v>BHXH, BHYT, KPCĐ</v>
      </c>
      <c r="D2141" s="173">
        <v>45991</v>
      </c>
      <c r="E2141" s="169" t="s">
        <v>1283</v>
      </c>
      <c r="F2141" s="169" t="s">
        <v>392</v>
      </c>
      <c r="G2141" s="169" t="s">
        <v>296</v>
      </c>
      <c r="H2141" s="169" t="s">
        <v>366</v>
      </c>
      <c r="I2141" s="169" t="s">
        <v>1</v>
      </c>
      <c r="J2141" s="169" t="s">
        <v>1247</v>
      </c>
      <c r="K2141" s="169" t="s">
        <v>1240</v>
      </c>
      <c r="L2141" s="169" t="s">
        <v>1213</v>
      </c>
      <c r="M2141" s="169" t="s">
        <v>281</v>
      </c>
      <c r="N2141" s="178">
        <v>-65072445</v>
      </c>
      <c r="O2141" s="169" t="s">
        <v>1284</v>
      </c>
      <c r="P2141" s="169" t="s">
        <v>447</v>
      </c>
      <c r="Q2141" s="169" t="s">
        <v>284</v>
      </c>
      <c r="R2141" s="169" t="s">
        <v>283</v>
      </c>
      <c r="S2141" s="169" t="s">
        <v>283</v>
      </c>
      <c r="T2141" s="169">
        <v>0</v>
      </c>
    </row>
    <row r="2142" spans="1:20" x14ac:dyDescent="0.2">
      <c r="A2142" s="169" t="str">
        <f t="shared" si="12"/>
        <v>642</v>
      </c>
      <c r="B2142" s="167" t="str">
        <f>_xlfn.XLOOKUP(I2142,Mapping!D:D,Mapping!E:E)</f>
        <v>Cung Ứng</v>
      </c>
      <c r="C2142" s="167" t="str">
        <f>_xlfn.XLOOKUP(F2142,Mapping!A:A,Mapping!F:F)</f>
        <v>BHXH, BHYT, KPCĐ</v>
      </c>
      <c r="D2142" s="173">
        <v>45991</v>
      </c>
      <c r="E2142" s="169" t="s">
        <v>1283</v>
      </c>
      <c r="F2142" s="169" t="s">
        <v>295</v>
      </c>
      <c r="G2142" s="169" t="s">
        <v>296</v>
      </c>
      <c r="H2142" s="169" t="s">
        <v>380</v>
      </c>
      <c r="I2142" s="169" t="s">
        <v>381</v>
      </c>
      <c r="J2142" s="169" t="s">
        <v>1247</v>
      </c>
      <c r="K2142" s="169" t="s">
        <v>1240</v>
      </c>
      <c r="L2142" s="169" t="s">
        <v>1213</v>
      </c>
      <c r="M2142" s="169" t="s">
        <v>281</v>
      </c>
      <c r="N2142" s="178">
        <v>-115375835</v>
      </c>
      <c r="O2142" s="169" t="s">
        <v>1284</v>
      </c>
      <c r="P2142" s="169" t="s">
        <v>447</v>
      </c>
      <c r="Q2142" s="169" t="s">
        <v>284</v>
      </c>
      <c r="R2142" s="169" t="s">
        <v>283</v>
      </c>
      <c r="S2142" s="169" t="s">
        <v>283</v>
      </c>
      <c r="T2142" s="169">
        <v>0</v>
      </c>
    </row>
    <row r="2143" spans="1:20" x14ac:dyDescent="0.2">
      <c r="A2143" s="169" t="str">
        <f t="shared" si="12"/>
        <v>642</v>
      </c>
      <c r="B2143" s="167" t="str">
        <f>_xlfn.XLOOKUP(I2143,Mapping!D:D,Mapping!E:E)</f>
        <v>Mua Hàng &amp; XNK</v>
      </c>
      <c r="C2143" s="167" t="str">
        <f>_xlfn.XLOOKUP(F2143,Mapping!A:A,Mapping!F:F)</f>
        <v>BHXH, BHYT, KPCĐ</v>
      </c>
      <c r="D2143" s="173">
        <v>45991</v>
      </c>
      <c r="E2143" s="169" t="s">
        <v>1283</v>
      </c>
      <c r="F2143" s="169" t="s">
        <v>295</v>
      </c>
      <c r="G2143" s="169" t="s">
        <v>296</v>
      </c>
      <c r="H2143" s="169" t="s">
        <v>378</v>
      </c>
      <c r="I2143" s="169" t="s">
        <v>379</v>
      </c>
      <c r="J2143" s="169" t="s">
        <v>1247</v>
      </c>
      <c r="K2143" s="169" t="s">
        <v>1240</v>
      </c>
      <c r="L2143" s="169" t="s">
        <v>1213</v>
      </c>
      <c r="M2143" s="169" t="s">
        <v>281</v>
      </c>
      <c r="N2143" s="178">
        <v>-32555255</v>
      </c>
      <c r="O2143" s="169" t="s">
        <v>1284</v>
      </c>
      <c r="P2143" s="169" t="s">
        <v>447</v>
      </c>
      <c r="Q2143" s="169" t="s">
        <v>284</v>
      </c>
      <c r="R2143" s="169" t="s">
        <v>283</v>
      </c>
      <c r="S2143" s="169" t="s">
        <v>283</v>
      </c>
      <c r="T2143" s="169">
        <v>0</v>
      </c>
    </row>
    <row r="2144" spans="1:20" x14ac:dyDescent="0.2">
      <c r="A2144" s="169" t="str">
        <f t="shared" si="12"/>
        <v>627</v>
      </c>
      <c r="B2144" s="167" t="str">
        <f>_xlfn.XLOOKUP(I2144,Mapping!D:D,Mapping!E:E)</f>
        <v>Kỹ Thuật</v>
      </c>
      <c r="C2144" s="167" t="str">
        <f>_xlfn.XLOOKUP(F2144,Mapping!A:A,Mapping!F:F)</f>
        <v>BHXH, BHYT, KPCĐ</v>
      </c>
      <c r="D2144" s="173">
        <v>45991</v>
      </c>
      <c r="E2144" s="169" t="s">
        <v>1283</v>
      </c>
      <c r="F2144" s="169" t="s">
        <v>393</v>
      </c>
      <c r="G2144" s="169" t="s">
        <v>296</v>
      </c>
      <c r="H2144" s="169" t="s">
        <v>376</v>
      </c>
      <c r="I2144" s="169" t="s">
        <v>377</v>
      </c>
      <c r="J2144" s="169" t="s">
        <v>1247</v>
      </c>
      <c r="K2144" s="169" t="s">
        <v>1240</v>
      </c>
      <c r="L2144" s="169" t="s">
        <v>1213</v>
      </c>
      <c r="M2144" s="169" t="s">
        <v>281</v>
      </c>
      <c r="N2144" s="178">
        <v>-250565225</v>
      </c>
      <c r="O2144" s="169" t="s">
        <v>1284</v>
      </c>
      <c r="P2144" s="169" t="s">
        <v>447</v>
      </c>
      <c r="Q2144" s="169" t="s">
        <v>284</v>
      </c>
      <c r="R2144" s="169" t="s">
        <v>283</v>
      </c>
      <c r="S2144" s="169" t="s">
        <v>283</v>
      </c>
      <c r="T2144" s="169">
        <v>0</v>
      </c>
    </row>
    <row r="2145" spans="1:20" x14ac:dyDescent="0.2">
      <c r="A2145" s="169" t="str">
        <f t="shared" si="12"/>
        <v>627</v>
      </c>
      <c r="B2145" s="167" t="str">
        <f>_xlfn.XLOOKUP(I2145,Mapping!D:D,Mapping!E:E)</f>
        <v>Kỹ Thuật</v>
      </c>
      <c r="C2145" s="167" t="str">
        <f>_xlfn.XLOOKUP(F2145,Mapping!A:A,Mapping!F:F)</f>
        <v>BHXH, BHYT, KPCĐ</v>
      </c>
      <c r="D2145" s="173">
        <v>45991</v>
      </c>
      <c r="E2145" s="169" t="s">
        <v>1283</v>
      </c>
      <c r="F2145" s="169" t="s">
        <v>393</v>
      </c>
      <c r="G2145" s="169" t="s">
        <v>296</v>
      </c>
      <c r="H2145" s="169" t="s">
        <v>376</v>
      </c>
      <c r="I2145" s="169" t="s">
        <v>377</v>
      </c>
      <c r="J2145" s="169" t="s">
        <v>1247</v>
      </c>
      <c r="K2145" s="169" t="s">
        <v>1240</v>
      </c>
      <c r="L2145" s="169" t="s">
        <v>1213</v>
      </c>
      <c r="M2145" s="169" t="s">
        <v>281</v>
      </c>
      <c r="N2145" s="178">
        <v>-105864915</v>
      </c>
      <c r="O2145" s="169" t="s">
        <v>1284</v>
      </c>
      <c r="P2145" s="169" t="s">
        <v>447</v>
      </c>
      <c r="Q2145" s="169" t="s">
        <v>284</v>
      </c>
      <c r="R2145" s="169" t="s">
        <v>283</v>
      </c>
      <c r="S2145" s="169" t="s">
        <v>283</v>
      </c>
      <c r="T2145" s="169">
        <v>0</v>
      </c>
    </row>
    <row r="2146" spans="1:20" x14ac:dyDescent="0.2">
      <c r="A2146" s="169" t="str">
        <f t="shared" si="12"/>
        <v>627</v>
      </c>
      <c r="B2146" s="167" t="str">
        <f>_xlfn.XLOOKUP(I2146,Mapping!D:D,Mapping!E:E)</f>
        <v>Kỹ Thuật</v>
      </c>
      <c r="C2146" s="167" t="str">
        <f>_xlfn.XLOOKUP(F2146,Mapping!A:A,Mapping!F:F)</f>
        <v>BHXH, BHYT, KPCĐ</v>
      </c>
      <c r="D2146" s="173">
        <v>45991</v>
      </c>
      <c r="E2146" s="169" t="s">
        <v>1283</v>
      </c>
      <c r="F2146" s="169" t="s">
        <v>393</v>
      </c>
      <c r="G2146" s="169" t="s">
        <v>296</v>
      </c>
      <c r="H2146" s="169" t="s">
        <v>376</v>
      </c>
      <c r="I2146" s="169" t="s">
        <v>377</v>
      </c>
      <c r="J2146" s="169" t="s">
        <v>1247</v>
      </c>
      <c r="K2146" s="169" t="s">
        <v>1240</v>
      </c>
      <c r="L2146" s="169" t="s">
        <v>1213</v>
      </c>
      <c r="M2146" s="169" t="s">
        <v>281</v>
      </c>
      <c r="N2146" s="178">
        <v>-38435000</v>
      </c>
      <c r="O2146" s="169" t="s">
        <v>1284</v>
      </c>
      <c r="P2146" s="169" t="s">
        <v>447</v>
      </c>
      <c r="Q2146" s="169" t="s">
        <v>284</v>
      </c>
      <c r="R2146" s="169" t="s">
        <v>283</v>
      </c>
      <c r="S2146" s="169" t="s">
        <v>283</v>
      </c>
      <c r="T2146" s="169">
        <v>0</v>
      </c>
    </row>
    <row r="2147" spans="1:20" x14ac:dyDescent="0.2">
      <c r="A2147" s="169" t="str">
        <f t="shared" si="12"/>
        <v>622</v>
      </c>
      <c r="B2147" s="167" t="str">
        <f>_xlfn.XLOOKUP(I2147,Mapping!D:D,Mapping!E:E)</f>
        <v>Xưởng Sản Xuất</v>
      </c>
      <c r="C2147" s="167" t="str">
        <f>_xlfn.XLOOKUP(F2147,Mapping!A:A,Mapping!F:F)</f>
        <v>BHXH, BHYT, KPCĐ</v>
      </c>
      <c r="D2147" s="173">
        <v>45991</v>
      </c>
      <c r="E2147" s="169" t="s">
        <v>1283</v>
      </c>
      <c r="F2147" s="169" t="s">
        <v>425</v>
      </c>
      <c r="G2147" s="169" t="s">
        <v>296</v>
      </c>
      <c r="H2147" s="169" t="s">
        <v>402</v>
      </c>
      <c r="I2147" s="169" t="s">
        <v>403</v>
      </c>
      <c r="J2147" s="169" t="s">
        <v>1247</v>
      </c>
      <c r="K2147" s="169" t="s">
        <v>1240</v>
      </c>
      <c r="L2147" s="169" t="s">
        <v>1213</v>
      </c>
      <c r="M2147" s="169" t="s">
        <v>281</v>
      </c>
      <c r="N2147" s="178">
        <v>-295584300</v>
      </c>
      <c r="O2147" s="169" t="s">
        <v>1284</v>
      </c>
      <c r="P2147" s="169" t="s">
        <v>447</v>
      </c>
      <c r="Q2147" s="169" t="s">
        <v>284</v>
      </c>
      <c r="R2147" s="169" t="s">
        <v>283</v>
      </c>
      <c r="S2147" s="169" t="s">
        <v>283</v>
      </c>
      <c r="T2147" s="169">
        <v>0</v>
      </c>
    </row>
    <row r="2148" spans="1:20" x14ac:dyDescent="0.2">
      <c r="A2148" s="169" t="str">
        <f t="shared" si="12"/>
        <v>627</v>
      </c>
      <c r="B2148" s="167" t="str">
        <f>_xlfn.XLOOKUP(I2148,Mapping!D:D,Mapping!E:E)</f>
        <v>Xưởng Sản Xuất</v>
      </c>
      <c r="C2148" s="167" t="str">
        <f>_xlfn.XLOOKUP(F2148,Mapping!A:A,Mapping!F:F)</f>
        <v>BHXH, BHYT, KPCĐ</v>
      </c>
      <c r="D2148" s="173">
        <v>45991</v>
      </c>
      <c r="E2148" s="169" t="s">
        <v>1283</v>
      </c>
      <c r="F2148" s="169" t="s">
        <v>393</v>
      </c>
      <c r="G2148" s="169" t="s">
        <v>296</v>
      </c>
      <c r="H2148" s="169" t="s">
        <v>402</v>
      </c>
      <c r="I2148" s="169" t="s">
        <v>403</v>
      </c>
      <c r="J2148" s="169" t="s">
        <v>1247</v>
      </c>
      <c r="K2148" s="169" t="s">
        <v>1240</v>
      </c>
      <c r="L2148" s="169" t="s">
        <v>1213</v>
      </c>
      <c r="M2148" s="169" t="s">
        <v>281</v>
      </c>
      <c r="N2148" s="178">
        <v>-87230015</v>
      </c>
      <c r="O2148" s="169" t="s">
        <v>1284</v>
      </c>
      <c r="P2148" s="169" t="s">
        <v>447</v>
      </c>
      <c r="Q2148" s="169" t="s">
        <v>284</v>
      </c>
      <c r="R2148" s="169" t="s">
        <v>283</v>
      </c>
      <c r="S2148" s="169" t="s">
        <v>283</v>
      </c>
      <c r="T2148" s="169">
        <v>0</v>
      </c>
    </row>
    <row r="2149" spans="1:20" x14ac:dyDescent="0.2">
      <c r="A2149" s="169" t="str">
        <f t="shared" si="12"/>
        <v>622</v>
      </c>
      <c r="B2149" s="167" t="str">
        <f>_xlfn.XLOOKUP(I2149,Mapping!D:D,Mapping!E:E)</f>
        <v>Xưởng Sản Xuất</v>
      </c>
      <c r="C2149" s="167" t="str">
        <f>_xlfn.XLOOKUP(F2149,Mapping!A:A,Mapping!F:F)</f>
        <v>BHXH, BHYT, KPCĐ</v>
      </c>
      <c r="D2149" s="173">
        <v>45991</v>
      </c>
      <c r="E2149" s="169" t="s">
        <v>1283</v>
      </c>
      <c r="F2149" s="169" t="s">
        <v>425</v>
      </c>
      <c r="G2149" s="169" t="s">
        <v>296</v>
      </c>
      <c r="H2149" s="169" t="s">
        <v>430</v>
      </c>
      <c r="I2149" s="169" t="s">
        <v>431</v>
      </c>
      <c r="J2149" s="169" t="s">
        <v>1247</v>
      </c>
      <c r="K2149" s="169" t="s">
        <v>1240</v>
      </c>
      <c r="L2149" s="169" t="s">
        <v>1213</v>
      </c>
      <c r="M2149" s="169" t="s">
        <v>281</v>
      </c>
      <c r="N2149" s="178">
        <v>-51656500</v>
      </c>
      <c r="O2149" s="169" t="s">
        <v>1284</v>
      </c>
      <c r="P2149" s="169" t="s">
        <v>447</v>
      </c>
      <c r="Q2149" s="169" t="s">
        <v>284</v>
      </c>
      <c r="R2149" s="169" t="s">
        <v>283</v>
      </c>
      <c r="S2149" s="169" t="s">
        <v>283</v>
      </c>
      <c r="T2149" s="169">
        <v>0</v>
      </c>
    </row>
    <row r="2150" spans="1:20" x14ac:dyDescent="0.2">
      <c r="A2150" s="169" t="str">
        <f t="shared" si="12"/>
        <v>627</v>
      </c>
      <c r="B2150" s="167" t="str">
        <f>_xlfn.XLOOKUP(I2150,Mapping!D:D,Mapping!E:E)</f>
        <v>Xưởng Sản Xuất</v>
      </c>
      <c r="C2150" s="167" t="str">
        <f>_xlfn.XLOOKUP(F2150,Mapping!A:A,Mapping!F:F)</f>
        <v>BHXH, BHYT, KPCĐ</v>
      </c>
      <c r="D2150" s="173">
        <v>45991</v>
      </c>
      <c r="E2150" s="169" t="s">
        <v>1283</v>
      </c>
      <c r="F2150" s="169" t="s">
        <v>393</v>
      </c>
      <c r="G2150" s="169" t="s">
        <v>296</v>
      </c>
      <c r="H2150" s="169" t="s">
        <v>430</v>
      </c>
      <c r="I2150" s="169" t="s">
        <v>431</v>
      </c>
      <c r="J2150" s="169" t="s">
        <v>1247</v>
      </c>
      <c r="K2150" s="169" t="s">
        <v>1240</v>
      </c>
      <c r="L2150" s="169" t="s">
        <v>1213</v>
      </c>
      <c r="M2150" s="169" t="s">
        <v>281</v>
      </c>
      <c r="N2150" s="178">
        <v>-26931495</v>
      </c>
      <c r="O2150" s="169" t="s">
        <v>1284</v>
      </c>
      <c r="P2150" s="169" t="s">
        <v>447</v>
      </c>
      <c r="Q2150" s="169" t="s">
        <v>284</v>
      </c>
      <c r="R2150" s="169" t="s">
        <v>283</v>
      </c>
      <c r="S2150" s="169" t="s">
        <v>283</v>
      </c>
      <c r="T2150" s="169">
        <v>0</v>
      </c>
    </row>
    <row r="2151" spans="1:20" x14ac:dyDescent="0.2">
      <c r="A2151" s="169" t="str">
        <f t="shared" si="12"/>
        <v>627</v>
      </c>
      <c r="B2151" s="167" t="str">
        <f>_xlfn.XLOOKUP(I2151,Mapping!D:D,Mapping!E:E)</f>
        <v>Xưởng Sản Xuất</v>
      </c>
      <c r="C2151" s="167" t="str">
        <f>_xlfn.XLOOKUP(F2151,Mapping!A:A,Mapping!F:F)</f>
        <v>BHXH, BHYT, KPCĐ</v>
      </c>
      <c r="D2151" s="173">
        <v>45991</v>
      </c>
      <c r="E2151" s="169" t="s">
        <v>1283</v>
      </c>
      <c r="F2151" s="169" t="s">
        <v>393</v>
      </c>
      <c r="G2151" s="169" t="s">
        <v>296</v>
      </c>
      <c r="H2151" s="169" t="s">
        <v>436</v>
      </c>
      <c r="I2151" s="169" t="s">
        <v>437</v>
      </c>
      <c r="J2151" s="169" t="s">
        <v>1247</v>
      </c>
      <c r="K2151" s="169" t="s">
        <v>1240</v>
      </c>
      <c r="L2151" s="169" t="s">
        <v>1213</v>
      </c>
      <c r="M2151" s="169" t="s">
        <v>281</v>
      </c>
      <c r="N2151" s="178">
        <v>-63128670</v>
      </c>
      <c r="O2151" s="169" t="s">
        <v>1284</v>
      </c>
      <c r="P2151" s="169" t="s">
        <v>447</v>
      </c>
      <c r="Q2151" s="169" t="s">
        <v>284</v>
      </c>
      <c r="R2151" s="169" t="s">
        <v>283</v>
      </c>
      <c r="S2151" s="169" t="s">
        <v>283</v>
      </c>
      <c r="T2151" s="169">
        <v>0</v>
      </c>
    </row>
    <row r="2152" spans="1:20" x14ac:dyDescent="0.2">
      <c r="A2152" s="169" t="str">
        <f t="shared" si="12"/>
        <v>642</v>
      </c>
      <c r="B2152" s="167" t="str">
        <f>_xlfn.XLOOKUP(I2152,Mapping!D:D,Mapping!E:E)</f>
        <v>Hành Chánh Nhân Sự</v>
      </c>
      <c r="C2152" s="167" t="str">
        <f>_xlfn.XLOOKUP(F2152,Mapping!A:A,Mapping!F:F)</f>
        <v>BHXH, BHYT, KPCĐ</v>
      </c>
      <c r="D2152" s="173">
        <v>45991</v>
      </c>
      <c r="E2152" s="169" t="s">
        <v>1283</v>
      </c>
      <c r="F2152" s="169" t="s">
        <v>295</v>
      </c>
      <c r="G2152" s="169" t="s">
        <v>296</v>
      </c>
      <c r="H2152" s="169" t="s">
        <v>382</v>
      </c>
      <c r="I2152" s="169" t="s">
        <v>200</v>
      </c>
      <c r="J2152" s="169" t="s">
        <v>1247</v>
      </c>
      <c r="K2152" s="169" t="s">
        <v>1240</v>
      </c>
      <c r="L2152" s="169" t="s">
        <v>1213</v>
      </c>
      <c r="M2152" s="169" t="s">
        <v>281</v>
      </c>
      <c r="N2152" s="178">
        <v>-17467785</v>
      </c>
      <c r="O2152" s="169" t="s">
        <v>1284</v>
      </c>
      <c r="P2152" s="169" t="s">
        <v>447</v>
      </c>
      <c r="Q2152" s="169" t="s">
        <v>284</v>
      </c>
      <c r="R2152" s="169" t="s">
        <v>283</v>
      </c>
      <c r="S2152" s="169" t="s">
        <v>283</v>
      </c>
      <c r="T2152" s="169">
        <v>0</v>
      </c>
    </row>
    <row r="2153" spans="1:20" x14ac:dyDescent="0.2">
      <c r="A2153" s="169" t="str">
        <f t="shared" si="12"/>
        <v>642</v>
      </c>
      <c r="B2153" s="167" t="str">
        <f>_xlfn.XLOOKUP(I2153,Mapping!D:D,Mapping!E:E)</f>
        <v>Hành Chánh Nhân Sự</v>
      </c>
      <c r="C2153" s="167" t="str">
        <f>_xlfn.XLOOKUP(F2153,Mapping!A:A,Mapping!F:F)</f>
        <v>BHXH, BHYT, KPCĐ</v>
      </c>
      <c r="D2153" s="173">
        <v>45991</v>
      </c>
      <c r="E2153" s="169" t="s">
        <v>1283</v>
      </c>
      <c r="F2153" s="169" t="s">
        <v>295</v>
      </c>
      <c r="G2153" s="169" t="s">
        <v>296</v>
      </c>
      <c r="H2153" s="169" t="s">
        <v>358</v>
      </c>
      <c r="I2153" s="169" t="s">
        <v>359</v>
      </c>
      <c r="J2153" s="169" t="s">
        <v>1247</v>
      </c>
      <c r="K2153" s="169" t="s">
        <v>1240</v>
      </c>
      <c r="L2153" s="169" t="s">
        <v>1213</v>
      </c>
      <c r="M2153" s="169" t="s">
        <v>281</v>
      </c>
      <c r="N2153" s="178">
        <v>-23880230</v>
      </c>
      <c r="O2153" s="169" t="s">
        <v>1284</v>
      </c>
      <c r="P2153" s="169" t="s">
        <v>447</v>
      </c>
      <c r="Q2153" s="169" t="s">
        <v>284</v>
      </c>
      <c r="R2153" s="169" t="s">
        <v>283</v>
      </c>
      <c r="S2153" s="169" t="s">
        <v>283</v>
      </c>
      <c r="T2153" s="169">
        <v>0</v>
      </c>
    </row>
    <row r="2154" spans="1:20" x14ac:dyDescent="0.2">
      <c r="A2154" s="169" t="str">
        <f t="shared" si="12"/>
        <v>622</v>
      </c>
      <c r="B2154" s="167" t="str">
        <f>_xlfn.XLOOKUP(I2154,Mapping!D:D,Mapping!E:E)</f>
        <v>Xưởng Sản Xuất</v>
      </c>
      <c r="C2154" s="167" t="str">
        <f>_xlfn.XLOOKUP(F2154,Mapping!A:A,Mapping!F:F)</f>
        <v>BHXH, BHYT, KPCĐ</v>
      </c>
      <c r="D2154" s="173">
        <v>45991</v>
      </c>
      <c r="E2154" s="169" t="s">
        <v>1283</v>
      </c>
      <c r="F2154" s="169" t="s">
        <v>425</v>
      </c>
      <c r="G2154" s="169" t="s">
        <v>296</v>
      </c>
      <c r="H2154" s="169" t="s">
        <v>441</v>
      </c>
      <c r="I2154" s="169" t="s">
        <v>442</v>
      </c>
      <c r="J2154" s="169" t="s">
        <v>1247</v>
      </c>
      <c r="K2154" s="169" t="s">
        <v>1240</v>
      </c>
      <c r="L2154" s="169" t="s">
        <v>1213</v>
      </c>
      <c r="M2154" s="169" t="s">
        <v>281</v>
      </c>
      <c r="N2154" s="178">
        <v>-1308480</v>
      </c>
      <c r="O2154" s="169" t="s">
        <v>1284</v>
      </c>
      <c r="P2154" s="169" t="s">
        <v>447</v>
      </c>
      <c r="Q2154" s="169" t="s">
        <v>284</v>
      </c>
      <c r="R2154" s="169" t="s">
        <v>283</v>
      </c>
      <c r="S2154" s="169" t="s">
        <v>283</v>
      </c>
      <c r="T2154" s="169">
        <v>0</v>
      </c>
    </row>
    <row r="2155" spans="1:20" x14ac:dyDescent="0.2">
      <c r="A2155" s="169" t="str">
        <f t="shared" si="12"/>
        <v>642</v>
      </c>
      <c r="B2155" s="167" t="str">
        <f>_xlfn.XLOOKUP(I2155,Mapping!D:D,Mapping!E:E)</f>
        <v>Ban Giám Đốc</v>
      </c>
      <c r="C2155" s="167" t="str">
        <f>_xlfn.XLOOKUP(F2155,Mapping!A:A,Mapping!F:F)</f>
        <v>BHXH, BHYT, KPCĐ</v>
      </c>
      <c r="D2155" s="173">
        <v>45991</v>
      </c>
      <c r="E2155" s="169" t="s">
        <v>1285</v>
      </c>
      <c r="F2155" s="169" t="s">
        <v>295</v>
      </c>
      <c r="G2155" s="169" t="s">
        <v>296</v>
      </c>
      <c r="H2155" s="169" t="s">
        <v>276</v>
      </c>
      <c r="I2155" s="169" t="s">
        <v>277</v>
      </c>
      <c r="J2155" s="169" t="s">
        <v>1247</v>
      </c>
      <c r="K2155" s="169" t="s">
        <v>1240</v>
      </c>
      <c r="L2155" s="169" t="s">
        <v>1213</v>
      </c>
      <c r="M2155" s="169" t="s">
        <v>281</v>
      </c>
      <c r="N2155" s="178">
        <v>126066950</v>
      </c>
      <c r="O2155" s="169" t="s">
        <v>1286</v>
      </c>
      <c r="P2155" s="169" t="s">
        <v>283</v>
      </c>
      <c r="Q2155" s="169" t="s">
        <v>284</v>
      </c>
      <c r="R2155" s="169" t="s">
        <v>283</v>
      </c>
      <c r="S2155" s="169" t="s">
        <v>283</v>
      </c>
      <c r="T2155" s="169">
        <v>0</v>
      </c>
    </row>
    <row r="2156" spans="1:20" x14ac:dyDescent="0.2">
      <c r="A2156" s="169" t="str">
        <f t="shared" si="12"/>
        <v>642</v>
      </c>
      <c r="B2156" s="167" t="str">
        <f>_xlfn.XLOOKUP(I2156,Mapping!D:D,Mapping!E:E)</f>
        <v>Văn Phòng Giám Đốc</v>
      </c>
      <c r="C2156" s="167" t="str">
        <f>_xlfn.XLOOKUP(F2156,Mapping!A:A,Mapping!F:F)</f>
        <v>BHXH, BHYT, KPCĐ</v>
      </c>
      <c r="D2156" s="173">
        <v>45991</v>
      </c>
      <c r="E2156" s="169" t="s">
        <v>1285</v>
      </c>
      <c r="F2156" s="169" t="s">
        <v>295</v>
      </c>
      <c r="G2156" s="169" t="s">
        <v>296</v>
      </c>
      <c r="H2156" s="169" t="s">
        <v>320</v>
      </c>
      <c r="I2156" s="169" t="s">
        <v>321</v>
      </c>
      <c r="J2156" s="169" t="s">
        <v>1247</v>
      </c>
      <c r="K2156" s="169" t="s">
        <v>1240</v>
      </c>
      <c r="L2156" s="169" t="s">
        <v>1213</v>
      </c>
      <c r="M2156" s="169" t="s">
        <v>281</v>
      </c>
      <c r="N2156" s="178">
        <v>34958750</v>
      </c>
      <c r="O2156" s="169" t="s">
        <v>1286</v>
      </c>
      <c r="P2156" s="169" t="s">
        <v>283</v>
      </c>
      <c r="Q2156" s="169" t="s">
        <v>284</v>
      </c>
      <c r="R2156" s="169" t="s">
        <v>283</v>
      </c>
      <c r="S2156" s="169" t="s">
        <v>283</v>
      </c>
      <c r="T2156" s="169">
        <v>0</v>
      </c>
    </row>
    <row r="2157" spans="1:20" x14ac:dyDescent="0.2">
      <c r="A2157" s="169" t="str">
        <f t="shared" si="12"/>
        <v>642</v>
      </c>
      <c r="B2157" s="167" t="str">
        <f>_xlfn.XLOOKUP(I2157,Mapping!D:D,Mapping!E:E)</f>
        <v>Hành Chánh Nhân Sự</v>
      </c>
      <c r="C2157" s="167" t="str">
        <f>_xlfn.XLOOKUP(F2157,Mapping!A:A,Mapping!F:F)</f>
        <v>BHXH, BHYT, KPCĐ</v>
      </c>
      <c r="D2157" s="173">
        <v>45991</v>
      </c>
      <c r="E2157" s="169" t="s">
        <v>1285</v>
      </c>
      <c r="F2157" s="169" t="s">
        <v>295</v>
      </c>
      <c r="G2157" s="169" t="s">
        <v>296</v>
      </c>
      <c r="H2157" s="169" t="s">
        <v>301</v>
      </c>
      <c r="I2157" s="169" t="s">
        <v>302</v>
      </c>
      <c r="J2157" s="169" t="s">
        <v>1247</v>
      </c>
      <c r="K2157" s="169" t="s">
        <v>1240</v>
      </c>
      <c r="L2157" s="169" t="s">
        <v>1213</v>
      </c>
      <c r="M2157" s="169" t="s">
        <v>281</v>
      </c>
      <c r="N2157" s="178">
        <v>112460165</v>
      </c>
      <c r="O2157" s="169" t="s">
        <v>1286</v>
      </c>
      <c r="P2157" s="169" t="s">
        <v>283</v>
      </c>
      <c r="Q2157" s="169" t="s">
        <v>284</v>
      </c>
      <c r="R2157" s="169" t="s">
        <v>283</v>
      </c>
      <c r="S2157" s="169" t="s">
        <v>283</v>
      </c>
      <c r="T2157" s="169">
        <v>0</v>
      </c>
    </row>
    <row r="2158" spans="1:20" x14ac:dyDescent="0.2">
      <c r="A2158" s="169" t="str">
        <f t="shared" si="12"/>
        <v>642</v>
      </c>
      <c r="B2158" s="167" t="str">
        <f>_xlfn.XLOOKUP(I2158,Mapping!D:D,Mapping!E:E)</f>
        <v>Kế Toán</v>
      </c>
      <c r="C2158" s="167" t="str">
        <f>_xlfn.XLOOKUP(F2158,Mapping!A:A,Mapping!F:F)</f>
        <v>BHXH, BHYT, KPCĐ</v>
      </c>
      <c r="D2158" s="173">
        <v>45991</v>
      </c>
      <c r="E2158" s="169" t="s">
        <v>1285</v>
      </c>
      <c r="F2158" s="169" t="s">
        <v>295</v>
      </c>
      <c r="G2158" s="169" t="s">
        <v>296</v>
      </c>
      <c r="H2158" s="169" t="s">
        <v>356</v>
      </c>
      <c r="I2158" s="169" t="s">
        <v>357</v>
      </c>
      <c r="J2158" s="169" t="s">
        <v>1247</v>
      </c>
      <c r="K2158" s="169" t="s">
        <v>1240</v>
      </c>
      <c r="L2158" s="169" t="s">
        <v>1213</v>
      </c>
      <c r="M2158" s="169" t="s">
        <v>281</v>
      </c>
      <c r="N2158" s="178">
        <v>113305035</v>
      </c>
      <c r="O2158" s="169" t="s">
        <v>1286</v>
      </c>
      <c r="P2158" s="169" t="s">
        <v>283</v>
      </c>
      <c r="Q2158" s="169" t="s">
        <v>284</v>
      </c>
      <c r="R2158" s="169" t="s">
        <v>283</v>
      </c>
      <c r="S2158" s="169" t="s">
        <v>283</v>
      </c>
      <c r="T2158" s="169">
        <v>0</v>
      </c>
    </row>
    <row r="2159" spans="1:20" x14ac:dyDescent="0.2">
      <c r="A2159" s="169" t="str">
        <f t="shared" si="12"/>
        <v>641</v>
      </c>
      <c r="B2159" s="167" t="str">
        <f>_xlfn.XLOOKUP(I2159,Mapping!D:D,Mapping!E:E)</f>
        <v>Kinh doanh</v>
      </c>
      <c r="C2159" s="167" t="str">
        <f>_xlfn.XLOOKUP(F2159,Mapping!A:A,Mapping!F:F)</f>
        <v>BHXH, BHYT, KPCĐ</v>
      </c>
      <c r="D2159" s="173">
        <v>45991</v>
      </c>
      <c r="E2159" s="169" t="s">
        <v>1285</v>
      </c>
      <c r="F2159" s="169" t="s">
        <v>392</v>
      </c>
      <c r="G2159" s="169" t="s">
        <v>296</v>
      </c>
      <c r="H2159" s="169" t="s">
        <v>366</v>
      </c>
      <c r="I2159" s="169" t="s">
        <v>1</v>
      </c>
      <c r="J2159" s="169" t="s">
        <v>1247</v>
      </c>
      <c r="K2159" s="169" t="s">
        <v>1240</v>
      </c>
      <c r="L2159" s="169" t="s">
        <v>1213</v>
      </c>
      <c r="M2159" s="169" t="s">
        <v>281</v>
      </c>
      <c r="N2159" s="178">
        <v>65072445</v>
      </c>
      <c r="O2159" s="169" t="s">
        <v>1286</v>
      </c>
      <c r="P2159" s="169" t="s">
        <v>283</v>
      </c>
      <c r="Q2159" s="169" t="s">
        <v>284</v>
      </c>
      <c r="R2159" s="169" t="s">
        <v>283</v>
      </c>
      <c r="S2159" s="169" t="s">
        <v>283</v>
      </c>
      <c r="T2159" s="169">
        <v>0</v>
      </c>
    </row>
    <row r="2160" spans="1:20" x14ac:dyDescent="0.2">
      <c r="A2160" s="169" t="str">
        <f t="shared" ref="A2160:A2174" si="13">LEFT(F2160,3)</f>
        <v>642</v>
      </c>
      <c r="B2160" s="167" t="str">
        <f>_xlfn.XLOOKUP(I2160,Mapping!D:D,Mapping!E:E)</f>
        <v>Cung Ứng</v>
      </c>
      <c r="C2160" s="167" t="str">
        <f>_xlfn.XLOOKUP(F2160,Mapping!A:A,Mapping!F:F)</f>
        <v>BHXH, BHYT, KPCĐ</v>
      </c>
      <c r="D2160" s="173">
        <v>45991</v>
      </c>
      <c r="E2160" s="169" t="s">
        <v>1285</v>
      </c>
      <c r="F2160" s="169" t="s">
        <v>295</v>
      </c>
      <c r="G2160" s="169" t="s">
        <v>296</v>
      </c>
      <c r="H2160" s="169" t="s">
        <v>380</v>
      </c>
      <c r="I2160" s="169" t="s">
        <v>381</v>
      </c>
      <c r="J2160" s="169" t="s">
        <v>1247</v>
      </c>
      <c r="K2160" s="169" t="s">
        <v>1240</v>
      </c>
      <c r="L2160" s="169" t="s">
        <v>1213</v>
      </c>
      <c r="M2160" s="169" t="s">
        <v>281</v>
      </c>
      <c r="N2160" s="178">
        <v>115375835</v>
      </c>
      <c r="O2160" s="169" t="s">
        <v>1286</v>
      </c>
      <c r="P2160" s="169" t="s">
        <v>283</v>
      </c>
      <c r="Q2160" s="169" t="s">
        <v>284</v>
      </c>
      <c r="R2160" s="169" t="s">
        <v>283</v>
      </c>
      <c r="S2160" s="169" t="s">
        <v>283</v>
      </c>
      <c r="T2160" s="169">
        <v>0</v>
      </c>
    </row>
    <row r="2161" spans="1:20" x14ac:dyDescent="0.2">
      <c r="A2161" s="169" t="str">
        <f t="shared" si="13"/>
        <v>642</v>
      </c>
      <c r="B2161" s="167" t="str">
        <f>_xlfn.XLOOKUP(I2161,Mapping!D:D,Mapping!E:E)</f>
        <v>Mua Hàng &amp; XNK</v>
      </c>
      <c r="C2161" s="167" t="str">
        <f>_xlfn.XLOOKUP(F2161,Mapping!A:A,Mapping!F:F)</f>
        <v>BHXH, BHYT, KPCĐ</v>
      </c>
      <c r="D2161" s="173">
        <v>45991</v>
      </c>
      <c r="E2161" s="169" t="s">
        <v>1285</v>
      </c>
      <c r="F2161" s="169" t="s">
        <v>295</v>
      </c>
      <c r="G2161" s="169" t="s">
        <v>296</v>
      </c>
      <c r="H2161" s="169" t="s">
        <v>378</v>
      </c>
      <c r="I2161" s="169" t="s">
        <v>379</v>
      </c>
      <c r="J2161" s="169" t="s">
        <v>1247</v>
      </c>
      <c r="K2161" s="169" t="s">
        <v>1240</v>
      </c>
      <c r="L2161" s="169" t="s">
        <v>1213</v>
      </c>
      <c r="M2161" s="169" t="s">
        <v>281</v>
      </c>
      <c r="N2161" s="178">
        <v>32555255</v>
      </c>
      <c r="O2161" s="169" t="s">
        <v>1286</v>
      </c>
      <c r="P2161" s="169" t="s">
        <v>283</v>
      </c>
      <c r="Q2161" s="169" t="s">
        <v>284</v>
      </c>
      <c r="R2161" s="169" t="s">
        <v>283</v>
      </c>
      <c r="S2161" s="169" t="s">
        <v>283</v>
      </c>
      <c r="T2161" s="169">
        <v>0</v>
      </c>
    </row>
    <row r="2162" spans="1:20" x14ac:dyDescent="0.2">
      <c r="A2162" s="169" t="str">
        <f t="shared" si="13"/>
        <v>627</v>
      </c>
      <c r="B2162" s="167" t="str">
        <f>_xlfn.XLOOKUP(I2162,Mapping!D:D,Mapping!E:E)</f>
        <v>Kỹ Thuật</v>
      </c>
      <c r="C2162" s="167" t="str">
        <f>_xlfn.XLOOKUP(F2162,Mapping!A:A,Mapping!F:F)</f>
        <v>BHXH, BHYT, KPCĐ</v>
      </c>
      <c r="D2162" s="173">
        <v>45991</v>
      </c>
      <c r="E2162" s="169" t="s">
        <v>1285</v>
      </c>
      <c r="F2162" s="169" t="s">
        <v>393</v>
      </c>
      <c r="G2162" s="169" t="s">
        <v>296</v>
      </c>
      <c r="H2162" s="169" t="s">
        <v>376</v>
      </c>
      <c r="I2162" s="169" t="s">
        <v>377</v>
      </c>
      <c r="J2162" s="169" t="s">
        <v>1247</v>
      </c>
      <c r="K2162" s="169" t="s">
        <v>1240</v>
      </c>
      <c r="L2162" s="169" t="s">
        <v>1213</v>
      </c>
      <c r="M2162" s="169" t="s">
        <v>281</v>
      </c>
      <c r="N2162" s="178">
        <v>250565225</v>
      </c>
      <c r="O2162" s="169" t="s">
        <v>1286</v>
      </c>
      <c r="P2162" s="169" t="s">
        <v>283</v>
      </c>
      <c r="Q2162" s="169" t="s">
        <v>284</v>
      </c>
      <c r="R2162" s="169" t="s">
        <v>283</v>
      </c>
      <c r="S2162" s="169" t="s">
        <v>283</v>
      </c>
      <c r="T2162" s="169">
        <v>0</v>
      </c>
    </row>
    <row r="2163" spans="1:20" x14ac:dyDescent="0.2">
      <c r="A2163" s="169" t="str">
        <f t="shared" si="13"/>
        <v>627</v>
      </c>
      <c r="B2163" s="167" t="str">
        <f>_xlfn.XLOOKUP(I2163,Mapping!D:D,Mapping!E:E)</f>
        <v>Kiểm Soát Chất Lượng</v>
      </c>
      <c r="C2163" s="167" t="str">
        <f>_xlfn.XLOOKUP(F2163,Mapping!A:A,Mapping!F:F)</f>
        <v>BHXH, BHYT, KPCĐ</v>
      </c>
      <c r="D2163" s="173">
        <v>45991</v>
      </c>
      <c r="E2163" s="169" t="s">
        <v>1285</v>
      </c>
      <c r="F2163" s="169" t="s">
        <v>393</v>
      </c>
      <c r="G2163" s="169" t="s">
        <v>296</v>
      </c>
      <c r="H2163" s="169" t="s">
        <v>411</v>
      </c>
      <c r="I2163" s="169" t="s">
        <v>412</v>
      </c>
      <c r="J2163" s="169" t="s">
        <v>1247</v>
      </c>
      <c r="K2163" s="169" t="s">
        <v>1240</v>
      </c>
      <c r="L2163" s="169" t="s">
        <v>1213</v>
      </c>
      <c r="M2163" s="169" t="s">
        <v>281</v>
      </c>
      <c r="N2163" s="178">
        <v>105864915</v>
      </c>
      <c r="O2163" s="169" t="s">
        <v>1286</v>
      </c>
      <c r="P2163" s="169" t="s">
        <v>283</v>
      </c>
      <c r="Q2163" s="169" t="s">
        <v>284</v>
      </c>
      <c r="R2163" s="169" t="s">
        <v>283</v>
      </c>
      <c r="S2163" s="169" t="s">
        <v>283</v>
      </c>
      <c r="T2163" s="169">
        <v>0</v>
      </c>
    </row>
    <row r="2164" spans="1:20" x14ac:dyDescent="0.2">
      <c r="A2164" s="169" t="str">
        <f t="shared" si="13"/>
        <v>627</v>
      </c>
      <c r="B2164" s="167" t="str">
        <f>_xlfn.XLOOKUP(I2164,Mapping!D:D,Mapping!E:E)</f>
        <v>Nghiên Cứu &amp; Phát Triển</v>
      </c>
      <c r="C2164" s="167" t="str">
        <f>_xlfn.XLOOKUP(F2164,Mapping!A:A,Mapping!F:F)</f>
        <v>BHXH, BHYT, KPCĐ</v>
      </c>
      <c r="D2164" s="173">
        <v>45991</v>
      </c>
      <c r="E2164" s="169" t="s">
        <v>1285</v>
      </c>
      <c r="F2164" s="169" t="s">
        <v>393</v>
      </c>
      <c r="G2164" s="169" t="s">
        <v>296</v>
      </c>
      <c r="H2164" s="169" t="s">
        <v>418</v>
      </c>
      <c r="I2164" s="169" t="s">
        <v>419</v>
      </c>
      <c r="J2164" s="169" t="s">
        <v>1247</v>
      </c>
      <c r="K2164" s="169" t="s">
        <v>1240</v>
      </c>
      <c r="L2164" s="169" t="s">
        <v>1213</v>
      </c>
      <c r="M2164" s="169" t="s">
        <v>281</v>
      </c>
      <c r="N2164" s="178">
        <v>38435000</v>
      </c>
      <c r="O2164" s="169" t="s">
        <v>1286</v>
      </c>
      <c r="P2164" s="169" t="s">
        <v>283</v>
      </c>
      <c r="Q2164" s="169" t="s">
        <v>284</v>
      </c>
      <c r="R2164" s="169" t="s">
        <v>283</v>
      </c>
      <c r="S2164" s="169" t="s">
        <v>283</v>
      </c>
      <c r="T2164" s="169">
        <v>0</v>
      </c>
    </row>
    <row r="2165" spans="1:20" x14ac:dyDescent="0.2">
      <c r="A2165" s="169" t="str">
        <f t="shared" si="13"/>
        <v>622</v>
      </c>
      <c r="B2165" s="167" t="str">
        <f>_xlfn.XLOOKUP(I2165,Mapping!D:D,Mapping!E:E)</f>
        <v>Xưởng Sản Xuất</v>
      </c>
      <c r="C2165" s="167" t="str">
        <f>_xlfn.XLOOKUP(F2165,Mapping!A:A,Mapping!F:F)</f>
        <v>BHXH, BHYT, KPCĐ</v>
      </c>
      <c r="D2165" s="173">
        <v>45991</v>
      </c>
      <c r="E2165" s="169" t="s">
        <v>1285</v>
      </c>
      <c r="F2165" s="169" t="s">
        <v>425</v>
      </c>
      <c r="G2165" s="169" t="s">
        <v>296</v>
      </c>
      <c r="H2165" s="169" t="s">
        <v>402</v>
      </c>
      <c r="I2165" s="169" t="s">
        <v>403</v>
      </c>
      <c r="J2165" s="169" t="s">
        <v>1247</v>
      </c>
      <c r="K2165" s="169" t="s">
        <v>1240</v>
      </c>
      <c r="L2165" s="169" t="s">
        <v>1213</v>
      </c>
      <c r="M2165" s="169" t="s">
        <v>281</v>
      </c>
      <c r="N2165" s="178">
        <v>295584300</v>
      </c>
      <c r="O2165" s="169" t="s">
        <v>1286</v>
      </c>
      <c r="P2165" s="169" t="s">
        <v>283</v>
      </c>
      <c r="Q2165" s="169" t="s">
        <v>284</v>
      </c>
      <c r="R2165" s="169" t="s">
        <v>283</v>
      </c>
      <c r="S2165" s="169" t="s">
        <v>283</v>
      </c>
      <c r="T2165" s="169">
        <v>0</v>
      </c>
    </row>
    <row r="2166" spans="1:20" x14ac:dyDescent="0.2">
      <c r="A2166" s="169" t="str">
        <f t="shared" si="13"/>
        <v>627</v>
      </c>
      <c r="B2166" s="167" t="str">
        <f>_xlfn.XLOOKUP(I2166,Mapping!D:D,Mapping!E:E)</f>
        <v>Xưởng Sản Xuất</v>
      </c>
      <c r="C2166" s="167" t="str">
        <f>_xlfn.XLOOKUP(F2166,Mapping!A:A,Mapping!F:F)</f>
        <v>BHXH, BHYT, KPCĐ</v>
      </c>
      <c r="D2166" s="173">
        <v>45991</v>
      </c>
      <c r="E2166" s="169" t="s">
        <v>1285</v>
      </c>
      <c r="F2166" s="169" t="s">
        <v>393</v>
      </c>
      <c r="G2166" s="169" t="s">
        <v>296</v>
      </c>
      <c r="H2166" s="169" t="s">
        <v>402</v>
      </c>
      <c r="I2166" s="169" t="s">
        <v>403</v>
      </c>
      <c r="J2166" s="169" t="s">
        <v>1247</v>
      </c>
      <c r="K2166" s="169" t="s">
        <v>1240</v>
      </c>
      <c r="L2166" s="169" t="s">
        <v>1213</v>
      </c>
      <c r="M2166" s="169" t="s">
        <v>281</v>
      </c>
      <c r="N2166" s="178">
        <v>87230015</v>
      </c>
      <c r="O2166" s="169" t="s">
        <v>1286</v>
      </c>
      <c r="P2166" s="169" t="s">
        <v>283</v>
      </c>
      <c r="Q2166" s="169" t="s">
        <v>284</v>
      </c>
      <c r="R2166" s="169" t="s">
        <v>283</v>
      </c>
      <c r="S2166" s="169" t="s">
        <v>283</v>
      </c>
      <c r="T2166" s="169">
        <v>0</v>
      </c>
    </row>
    <row r="2167" spans="1:20" x14ac:dyDescent="0.2">
      <c r="A2167" s="169" t="str">
        <f t="shared" si="13"/>
        <v>622</v>
      </c>
      <c r="B2167" s="167" t="str">
        <f>_xlfn.XLOOKUP(I2167,Mapping!D:D,Mapping!E:E)</f>
        <v>Xưởng Sản Xuất</v>
      </c>
      <c r="C2167" s="167" t="str">
        <f>_xlfn.XLOOKUP(F2167,Mapping!A:A,Mapping!F:F)</f>
        <v>BHXH, BHYT, KPCĐ</v>
      </c>
      <c r="D2167" s="173">
        <v>45991</v>
      </c>
      <c r="E2167" s="169" t="s">
        <v>1285</v>
      </c>
      <c r="F2167" s="169" t="s">
        <v>425</v>
      </c>
      <c r="G2167" s="169" t="s">
        <v>296</v>
      </c>
      <c r="H2167" s="169" t="s">
        <v>430</v>
      </c>
      <c r="I2167" s="169" t="s">
        <v>431</v>
      </c>
      <c r="J2167" s="169" t="s">
        <v>1247</v>
      </c>
      <c r="K2167" s="169" t="s">
        <v>1240</v>
      </c>
      <c r="L2167" s="169" t="s">
        <v>1213</v>
      </c>
      <c r="M2167" s="169" t="s">
        <v>281</v>
      </c>
      <c r="N2167" s="178">
        <v>51656500</v>
      </c>
      <c r="O2167" s="169" t="s">
        <v>1286</v>
      </c>
      <c r="P2167" s="169" t="s">
        <v>283</v>
      </c>
      <c r="Q2167" s="169" t="s">
        <v>284</v>
      </c>
      <c r="R2167" s="169" t="s">
        <v>283</v>
      </c>
      <c r="S2167" s="169" t="s">
        <v>283</v>
      </c>
      <c r="T2167" s="169">
        <v>0</v>
      </c>
    </row>
    <row r="2168" spans="1:20" x14ac:dyDescent="0.2">
      <c r="A2168" s="169" t="str">
        <f t="shared" si="13"/>
        <v>627</v>
      </c>
      <c r="B2168" s="167" t="str">
        <f>_xlfn.XLOOKUP(I2168,Mapping!D:D,Mapping!E:E)</f>
        <v>Xưởng Sản Xuất</v>
      </c>
      <c r="C2168" s="167" t="str">
        <f>_xlfn.XLOOKUP(F2168,Mapping!A:A,Mapping!F:F)</f>
        <v>BHXH, BHYT, KPCĐ</v>
      </c>
      <c r="D2168" s="173">
        <v>45991</v>
      </c>
      <c r="E2168" s="169" t="s">
        <v>1285</v>
      </c>
      <c r="F2168" s="169" t="s">
        <v>393</v>
      </c>
      <c r="G2168" s="169" t="s">
        <v>296</v>
      </c>
      <c r="H2168" s="169" t="s">
        <v>430</v>
      </c>
      <c r="I2168" s="169" t="s">
        <v>431</v>
      </c>
      <c r="J2168" s="169" t="s">
        <v>1247</v>
      </c>
      <c r="K2168" s="169" t="s">
        <v>1240</v>
      </c>
      <c r="L2168" s="169" t="s">
        <v>1213</v>
      </c>
      <c r="M2168" s="169" t="s">
        <v>281</v>
      </c>
      <c r="N2168" s="178">
        <v>26931495</v>
      </c>
      <c r="O2168" s="169" t="s">
        <v>1286</v>
      </c>
      <c r="P2168" s="169" t="s">
        <v>283</v>
      </c>
      <c r="Q2168" s="169" t="s">
        <v>284</v>
      </c>
      <c r="R2168" s="169" t="s">
        <v>283</v>
      </c>
      <c r="S2168" s="169" t="s">
        <v>283</v>
      </c>
      <c r="T2168" s="169">
        <v>0</v>
      </c>
    </row>
    <row r="2169" spans="1:20" x14ac:dyDescent="0.2">
      <c r="A2169" s="169" t="str">
        <f t="shared" si="13"/>
        <v>627</v>
      </c>
      <c r="B2169" s="167" t="str">
        <f>_xlfn.XLOOKUP(I2169,Mapping!D:D,Mapping!E:E)</f>
        <v>Xưởng Sản Xuất</v>
      </c>
      <c r="C2169" s="167" t="str">
        <f>_xlfn.XLOOKUP(F2169,Mapping!A:A,Mapping!F:F)</f>
        <v>BHXH, BHYT, KPCĐ</v>
      </c>
      <c r="D2169" s="173">
        <v>45991</v>
      </c>
      <c r="E2169" s="169" t="s">
        <v>1285</v>
      </c>
      <c r="F2169" s="169" t="s">
        <v>393</v>
      </c>
      <c r="G2169" s="169" t="s">
        <v>296</v>
      </c>
      <c r="H2169" s="169" t="s">
        <v>436</v>
      </c>
      <c r="I2169" s="169" t="s">
        <v>437</v>
      </c>
      <c r="J2169" s="169" t="s">
        <v>1247</v>
      </c>
      <c r="K2169" s="169" t="s">
        <v>1240</v>
      </c>
      <c r="L2169" s="169" t="s">
        <v>1213</v>
      </c>
      <c r="M2169" s="169" t="s">
        <v>281</v>
      </c>
      <c r="N2169" s="178">
        <v>63128670</v>
      </c>
      <c r="O2169" s="169" t="s">
        <v>1286</v>
      </c>
      <c r="P2169" s="169" t="s">
        <v>283</v>
      </c>
      <c r="Q2169" s="169" t="s">
        <v>284</v>
      </c>
      <c r="R2169" s="169" t="s">
        <v>283</v>
      </c>
      <c r="S2169" s="169" t="s">
        <v>283</v>
      </c>
      <c r="T2169" s="169">
        <v>0</v>
      </c>
    </row>
    <row r="2170" spans="1:20" x14ac:dyDescent="0.2">
      <c r="A2170" s="169" t="str">
        <f t="shared" si="13"/>
        <v>642</v>
      </c>
      <c r="B2170" s="167" t="str">
        <f>_xlfn.XLOOKUP(I2170,Mapping!D:D,Mapping!E:E)</f>
        <v>Hành Chánh Nhân Sự</v>
      </c>
      <c r="C2170" s="167" t="str">
        <f>_xlfn.XLOOKUP(F2170,Mapping!A:A,Mapping!F:F)</f>
        <v>BHXH, BHYT, KPCĐ</v>
      </c>
      <c r="D2170" s="173">
        <v>45991</v>
      </c>
      <c r="E2170" s="169" t="s">
        <v>1285</v>
      </c>
      <c r="F2170" s="169" t="s">
        <v>295</v>
      </c>
      <c r="G2170" s="169" t="s">
        <v>296</v>
      </c>
      <c r="H2170" s="169" t="s">
        <v>382</v>
      </c>
      <c r="I2170" s="169" t="s">
        <v>200</v>
      </c>
      <c r="J2170" s="169" t="s">
        <v>1247</v>
      </c>
      <c r="K2170" s="169" t="s">
        <v>1240</v>
      </c>
      <c r="L2170" s="169" t="s">
        <v>1213</v>
      </c>
      <c r="M2170" s="169" t="s">
        <v>281</v>
      </c>
      <c r="N2170" s="178">
        <v>17467785</v>
      </c>
      <c r="O2170" s="169" t="s">
        <v>1286</v>
      </c>
      <c r="P2170" s="169" t="s">
        <v>283</v>
      </c>
      <c r="Q2170" s="169" t="s">
        <v>284</v>
      </c>
      <c r="R2170" s="169" t="s">
        <v>283</v>
      </c>
      <c r="S2170" s="169" t="s">
        <v>283</v>
      </c>
      <c r="T2170" s="169">
        <v>0</v>
      </c>
    </row>
    <row r="2171" spans="1:20" x14ac:dyDescent="0.2">
      <c r="A2171" s="169" t="str">
        <f t="shared" si="13"/>
        <v>642</v>
      </c>
      <c r="B2171" s="167" t="str">
        <f>_xlfn.XLOOKUP(I2171,Mapping!D:D,Mapping!E:E)</f>
        <v>Hành Chánh Nhân Sự</v>
      </c>
      <c r="C2171" s="167" t="str">
        <f>_xlfn.XLOOKUP(F2171,Mapping!A:A,Mapping!F:F)</f>
        <v>BHXH, BHYT, KPCĐ</v>
      </c>
      <c r="D2171" s="173">
        <v>45991</v>
      </c>
      <c r="E2171" s="169" t="s">
        <v>1285</v>
      </c>
      <c r="F2171" s="169" t="s">
        <v>295</v>
      </c>
      <c r="G2171" s="169" t="s">
        <v>296</v>
      </c>
      <c r="H2171" s="169" t="s">
        <v>358</v>
      </c>
      <c r="I2171" s="169" t="s">
        <v>359</v>
      </c>
      <c r="J2171" s="169" t="s">
        <v>1247</v>
      </c>
      <c r="K2171" s="169" t="s">
        <v>1240</v>
      </c>
      <c r="L2171" s="169" t="s">
        <v>1213</v>
      </c>
      <c r="M2171" s="169" t="s">
        <v>281</v>
      </c>
      <c r="N2171" s="178">
        <v>23880230</v>
      </c>
      <c r="O2171" s="169" t="s">
        <v>1286</v>
      </c>
      <c r="P2171" s="169" t="s">
        <v>283</v>
      </c>
      <c r="Q2171" s="169" t="s">
        <v>284</v>
      </c>
      <c r="R2171" s="169" t="s">
        <v>283</v>
      </c>
      <c r="S2171" s="169" t="s">
        <v>283</v>
      </c>
      <c r="T2171" s="169">
        <v>0</v>
      </c>
    </row>
    <row r="2172" spans="1:20" x14ac:dyDescent="0.2">
      <c r="A2172" s="169" t="str">
        <f t="shared" si="13"/>
        <v>622</v>
      </c>
      <c r="B2172" s="167" t="str">
        <f>_xlfn.XLOOKUP(I2172,Mapping!D:D,Mapping!E:E)</f>
        <v>Xưởng Sản Xuất</v>
      </c>
      <c r="C2172" s="167" t="str">
        <f>_xlfn.XLOOKUP(F2172,Mapping!A:A,Mapping!F:F)</f>
        <v>BHXH, BHYT, KPCĐ</v>
      </c>
      <c r="D2172" s="173">
        <v>45991</v>
      </c>
      <c r="E2172" s="169" t="s">
        <v>1285</v>
      </c>
      <c r="F2172" s="169" t="s">
        <v>425</v>
      </c>
      <c r="G2172" s="169" t="s">
        <v>296</v>
      </c>
      <c r="H2172" s="169" t="s">
        <v>441</v>
      </c>
      <c r="I2172" s="169" t="s">
        <v>442</v>
      </c>
      <c r="J2172" s="169" t="s">
        <v>1247</v>
      </c>
      <c r="K2172" s="169" t="s">
        <v>1240</v>
      </c>
      <c r="L2172" s="169" t="s">
        <v>1213</v>
      </c>
      <c r="M2172" s="169" t="s">
        <v>281</v>
      </c>
      <c r="N2172" s="178">
        <v>1308480</v>
      </c>
      <c r="O2172" s="169" t="s">
        <v>1286</v>
      </c>
      <c r="P2172" s="169" t="s">
        <v>283</v>
      </c>
      <c r="Q2172" s="169" t="s">
        <v>284</v>
      </c>
      <c r="R2172" s="169" t="s">
        <v>283</v>
      </c>
      <c r="S2172" s="169" t="s">
        <v>283</v>
      </c>
      <c r="T2172" s="169">
        <v>0</v>
      </c>
    </row>
    <row r="2173" spans="1:20" x14ac:dyDescent="0.2">
      <c r="A2173" s="169" t="str">
        <f t="shared" si="13"/>
        <v>642</v>
      </c>
      <c r="B2173" s="167" t="str">
        <f>_xlfn.XLOOKUP(I2173,Mapping!D:D,Mapping!E:E)</f>
        <v>Hành Chánh Nhân Sự</v>
      </c>
      <c r="C2173" s="167" t="str">
        <f>_xlfn.XLOOKUP(F2173,Mapping!A:A,Mapping!F:F)</f>
        <v>Khen thưởng BD khác</v>
      </c>
      <c r="D2173" s="173">
        <v>45991</v>
      </c>
      <c r="E2173" s="169" t="s">
        <v>1287</v>
      </c>
      <c r="F2173" s="169" t="s">
        <v>300</v>
      </c>
      <c r="G2173" s="169" t="s">
        <v>222</v>
      </c>
      <c r="H2173" s="169" t="s">
        <v>358</v>
      </c>
      <c r="I2173" s="169" t="s">
        <v>359</v>
      </c>
      <c r="J2173" s="169" t="s">
        <v>1229</v>
      </c>
      <c r="K2173" s="169" t="s">
        <v>1230</v>
      </c>
      <c r="L2173" s="169" t="s">
        <v>1213</v>
      </c>
      <c r="M2173" s="169" t="s">
        <v>281</v>
      </c>
      <c r="N2173" s="178">
        <v>-5000000</v>
      </c>
      <c r="O2173" s="169" t="s">
        <v>1288</v>
      </c>
      <c r="P2173" s="169" t="s">
        <v>447</v>
      </c>
      <c r="Q2173" s="169" t="s">
        <v>284</v>
      </c>
      <c r="R2173" s="169" t="s">
        <v>283</v>
      </c>
      <c r="S2173" s="169" t="s">
        <v>283</v>
      </c>
      <c r="T2173" s="169">
        <v>0</v>
      </c>
    </row>
    <row r="2174" spans="1:20" x14ac:dyDescent="0.2">
      <c r="A2174" s="169" t="str">
        <f t="shared" si="13"/>
        <v>627</v>
      </c>
      <c r="B2174" s="167" t="str">
        <f>_xlfn.XLOOKUP(I2174,Mapping!D:D,Mapping!E:E)</f>
        <v>Xưởng Sản Xuất</v>
      </c>
      <c r="C2174" s="167" t="str">
        <f>_xlfn.XLOOKUP(F2174,Mapping!A:A,Mapping!F:F)</f>
        <v>Khen thưởng BD khác</v>
      </c>
      <c r="D2174" s="173">
        <v>45991</v>
      </c>
      <c r="E2174" s="169" t="s">
        <v>1289</v>
      </c>
      <c r="F2174" s="169" t="s">
        <v>435</v>
      </c>
      <c r="G2174" s="169" t="s">
        <v>222</v>
      </c>
      <c r="H2174" s="169" t="s">
        <v>436</v>
      </c>
      <c r="I2174" s="169" t="s">
        <v>437</v>
      </c>
      <c r="J2174" s="169" t="s">
        <v>1229</v>
      </c>
      <c r="K2174" s="169" t="s">
        <v>1290</v>
      </c>
      <c r="L2174" s="169" t="s">
        <v>1213</v>
      </c>
      <c r="M2174" s="169" t="s">
        <v>281</v>
      </c>
      <c r="N2174" s="178">
        <v>5000000</v>
      </c>
      <c r="O2174" s="169" t="s">
        <v>1291</v>
      </c>
      <c r="P2174" s="169" t="s">
        <v>283</v>
      </c>
      <c r="Q2174" s="169" t="s">
        <v>964</v>
      </c>
      <c r="R2174" s="169" t="s">
        <v>283</v>
      </c>
      <c r="S2174" s="169" t="s">
        <v>283</v>
      </c>
      <c r="T2174" s="169">
        <v>0</v>
      </c>
    </row>
    <row r="2175" spans="1:20" x14ac:dyDescent="0.2">
      <c r="A2175" s="169" t="str">
        <f t="shared" ref="A2175:A2238" si="14">LEFT(F2175,3)</f>
        <v>641</v>
      </c>
      <c r="B2175" s="167" t="str">
        <f>_xlfn.XLOOKUP(I2175,Mapping!D:D,Mapping!E:E)</f>
        <v>Kinh doanh</v>
      </c>
      <c r="C2175" s="167" t="str">
        <f>_xlfn.XLOOKUP(F2175,Mapping!A:A,Mapping!F:F)</f>
        <v>Phụ Cấp</v>
      </c>
      <c r="D2175" s="173">
        <v>45992</v>
      </c>
      <c r="E2175" s="169" t="s">
        <v>1336</v>
      </c>
      <c r="F2175" s="169" t="s">
        <v>385</v>
      </c>
      <c r="G2175" s="169" t="s">
        <v>336</v>
      </c>
      <c r="H2175" s="169" t="s">
        <v>366</v>
      </c>
      <c r="I2175" s="169" t="s">
        <v>1</v>
      </c>
      <c r="J2175" s="169" t="s">
        <v>1337</v>
      </c>
      <c r="K2175" s="169" t="s">
        <v>581</v>
      </c>
      <c r="L2175" s="169" t="s">
        <v>1338</v>
      </c>
      <c r="M2175" s="169" t="s">
        <v>281</v>
      </c>
      <c r="N2175" s="178">
        <v>6384000</v>
      </c>
      <c r="O2175" s="169" t="s">
        <v>1339</v>
      </c>
      <c r="P2175" s="169" t="s">
        <v>283</v>
      </c>
      <c r="Q2175" s="169" t="s">
        <v>306</v>
      </c>
      <c r="R2175" s="169" t="s">
        <v>283</v>
      </c>
      <c r="S2175" s="169" t="s">
        <v>283</v>
      </c>
      <c r="T2175" s="169">
        <v>0</v>
      </c>
    </row>
    <row r="2176" spans="1:20" x14ac:dyDescent="0.2">
      <c r="A2176" s="169" t="str">
        <f t="shared" si="14"/>
        <v>642</v>
      </c>
      <c r="B2176" s="167" t="str">
        <f>_xlfn.XLOOKUP(I2176,Mapping!D:D,Mapping!E:E)</f>
        <v>Hành Chánh Nhân Sự</v>
      </c>
      <c r="C2176" s="167" t="str">
        <f>_xlfn.XLOOKUP(F2176,Mapping!A:A,Mapping!F:F)</f>
        <v>Khen thưởng BD khác</v>
      </c>
      <c r="D2176" s="173">
        <v>46011</v>
      </c>
      <c r="E2176" s="169" t="s">
        <v>1340</v>
      </c>
      <c r="F2176" s="169" t="s">
        <v>300</v>
      </c>
      <c r="G2176" s="169" t="s">
        <v>222</v>
      </c>
      <c r="H2176" s="169" t="s">
        <v>382</v>
      </c>
      <c r="I2176" s="169" t="s">
        <v>200</v>
      </c>
      <c r="J2176" s="169" t="s">
        <v>1341</v>
      </c>
      <c r="K2176" s="169" t="s">
        <v>1342</v>
      </c>
      <c r="L2176" s="169" t="s">
        <v>1338</v>
      </c>
      <c r="M2176" s="169" t="s">
        <v>281</v>
      </c>
      <c r="N2176" s="178">
        <v>3500000</v>
      </c>
      <c r="O2176" s="169" t="s">
        <v>1343</v>
      </c>
      <c r="P2176" s="169" t="s">
        <v>283</v>
      </c>
      <c r="Q2176" s="169" t="s">
        <v>1344</v>
      </c>
      <c r="R2176" s="169" t="s">
        <v>283</v>
      </c>
      <c r="S2176" s="169" t="s">
        <v>283</v>
      </c>
      <c r="T2176" s="169">
        <v>0</v>
      </c>
    </row>
    <row r="2177" spans="1:20" x14ac:dyDescent="0.2">
      <c r="A2177" s="169" t="str">
        <f t="shared" si="14"/>
        <v>641</v>
      </c>
      <c r="B2177" s="167" t="str">
        <f>_xlfn.XLOOKUP(I2177,Mapping!D:D,Mapping!E:E)</f>
        <v>Kinh doanh</v>
      </c>
      <c r="C2177" s="167" t="str">
        <f>_xlfn.XLOOKUP(F2177,Mapping!A:A,Mapping!F:F)</f>
        <v>Lương Chính +T13</v>
      </c>
      <c r="D2177" s="173">
        <v>46016</v>
      </c>
      <c r="E2177" s="169" t="s">
        <v>1345</v>
      </c>
      <c r="F2177" s="169" t="s">
        <v>383</v>
      </c>
      <c r="G2177" s="169" t="s">
        <v>275</v>
      </c>
      <c r="H2177" s="169" t="s">
        <v>366</v>
      </c>
      <c r="I2177" s="169" t="s">
        <v>1</v>
      </c>
      <c r="J2177" s="169" t="s">
        <v>1346</v>
      </c>
      <c r="K2177" s="169" t="s">
        <v>1347</v>
      </c>
      <c r="L2177" s="169" t="s">
        <v>1338</v>
      </c>
      <c r="M2177" s="169" t="s">
        <v>281</v>
      </c>
      <c r="N2177" s="178">
        <v>105612000</v>
      </c>
      <c r="O2177" s="169" t="s">
        <v>1348</v>
      </c>
      <c r="P2177" s="169" t="s">
        <v>283</v>
      </c>
      <c r="Q2177" s="169" t="s">
        <v>973</v>
      </c>
      <c r="R2177" s="169" t="s">
        <v>283</v>
      </c>
      <c r="S2177" s="169" t="s">
        <v>283</v>
      </c>
      <c r="T2177" s="169">
        <v>0</v>
      </c>
    </row>
    <row r="2178" spans="1:20" x14ac:dyDescent="0.2">
      <c r="A2178" s="169" t="str">
        <f t="shared" si="14"/>
        <v>641</v>
      </c>
      <c r="B2178" s="167" t="str">
        <f>_xlfn.XLOOKUP(I2178,Mapping!D:D,Mapping!E:E)</f>
        <v>Kinh doanh</v>
      </c>
      <c r="C2178" s="167" t="str">
        <f>_xlfn.XLOOKUP(F2178,Mapping!A:A,Mapping!F:F)</f>
        <v>Lương Chính +T13</v>
      </c>
      <c r="D2178" s="173">
        <v>46016</v>
      </c>
      <c r="E2178" s="169" t="s">
        <v>1349</v>
      </c>
      <c r="F2178" s="169" t="s">
        <v>383</v>
      </c>
      <c r="G2178" s="169" t="s">
        <v>275</v>
      </c>
      <c r="H2178" s="169" t="s">
        <v>366</v>
      </c>
      <c r="I2178" s="169" t="s">
        <v>1</v>
      </c>
      <c r="J2178" s="169" t="s">
        <v>1350</v>
      </c>
      <c r="K2178" s="169" t="s">
        <v>1347</v>
      </c>
      <c r="L2178" s="169" t="s">
        <v>1338</v>
      </c>
      <c r="M2178" s="169" t="s">
        <v>281</v>
      </c>
      <c r="N2178" s="178">
        <v>105612000</v>
      </c>
      <c r="O2178" s="169" t="s">
        <v>1351</v>
      </c>
      <c r="P2178" s="169" t="s">
        <v>283</v>
      </c>
      <c r="Q2178" s="169" t="s">
        <v>973</v>
      </c>
      <c r="R2178" s="169" t="s">
        <v>283</v>
      </c>
      <c r="S2178" s="169" t="s">
        <v>283</v>
      </c>
      <c r="T2178" s="169">
        <v>0</v>
      </c>
    </row>
    <row r="2179" spans="1:20" x14ac:dyDescent="0.2">
      <c r="A2179" s="169" t="str">
        <f t="shared" si="14"/>
        <v>641</v>
      </c>
      <c r="B2179" s="167" t="str">
        <f>_xlfn.XLOOKUP(I2179,Mapping!D:D,Mapping!E:E)</f>
        <v>Kinh doanh</v>
      </c>
      <c r="C2179" s="167" t="str">
        <f>_xlfn.XLOOKUP(F2179,Mapping!A:A,Mapping!F:F)</f>
        <v>Thưởng</v>
      </c>
      <c r="D2179" s="173">
        <v>46022</v>
      </c>
      <c r="E2179" s="169" t="s">
        <v>1352</v>
      </c>
      <c r="F2179" s="169" t="s">
        <v>365</v>
      </c>
      <c r="G2179" s="169" t="s">
        <v>291</v>
      </c>
      <c r="H2179" s="169" t="s">
        <v>366</v>
      </c>
      <c r="I2179" s="169" t="s">
        <v>1</v>
      </c>
      <c r="J2179" s="169" t="s">
        <v>1353</v>
      </c>
      <c r="K2179" s="169" t="s">
        <v>1354</v>
      </c>
      <c r="L2179" s="169" t="s">
        <v>1338</v>
      </c>
      <c r="M2179" s="169" t="s">
        <v>281</v>
      </c>
      <c r="N2179" s="178">
        <v>-360087</v>
      </c>
      <c r="O2179" s="169" t="s">
        <v>1355</v>
      </c>
      <c r="P2179" s="169" t="s">
        <v>283</v>
      </c>
      <c r="Q2179" s="169" t="s">
        <v>370</v>
      </c>
      <c r="R2179" s="169" t="s">
        <v>283</v>
      </c>
      <c r="S2179" s="169" t="s">
        <v>283</v>
      </c>
      <c r="T2179" s="169">
        <v>0</v>
      </c>
    </row>
    <row r="2180" spans="1:20" x14ac:dyDescent="0.2">
      <c r="A2180" s="169" t="str">
        <f t="shared" si="14"/>
        <v>642</v>
      </c>
      <c r="B2180" s="167" t="str">
        <f>_xlfn.XLOOKUP(I2180,Mapping!D:D,Mapping!E:E)</f>
        <v>Ban Giám Đốc</v>
      </c>
      <c r="C2180" s="167" t="str">
        <f>_xlfn.XLOOKUP(F2180,Mapping!A:A,Mapping!F:F)</f>
        <v>Lương Chính +T13</v>
      </c>
      <c r="D2180" s="173">
        <v>46022</v>
      </c>
      <c r="E2180" s="169" t="s">
        <v>1356</v>
      </c>
      <c r="F2180" s="169" t="s">
        <v>274</v>
      </c>
      <c r="G2180" s="169" t="s">
        <v>275</v>
      </c>
      <c r="H2180" s="169" t="s">
        <v>276</v>
      </c>
      <c r="I2180" s="169" t="s">
        <v>277</v>
      </c>
      <c r="J2180" s="169" t="s">
        <v>1357</v>
      </c>
      <c r="K2180" s="169" t="s">
        <v>1358</v>
      </c>
      <c r="L2180" s="169" t="s">
        <v>1338</v>
      </c>
      <c r="M2180" s="169" t="s">
        <v>281</v>
      </c>
      <c r="N2180" s="178">
        <v>1548796818</v>
      </c>
      <c r="O2180" s="169" t="s">
        <v>1359</v>
      </c>
      <c r="P2180" s="169" t="s">
        <v>283</v>
      </c>
      <c r="Q2180" s="169" t="s">
        <v>284</v>
      </c>
      <c r="R2180" s="169" t="s">
        <v>283</v>
      </c>
      <c r="S2180" s="169" t="s">
        <v>283</v>
      </c>
      <c r="T2180" s="169">
        <v>0</v>
      </c>
    </row>
    <row r="2181" spans="1:20" x14ac:dyDescent="0.2">
      <c r="A2181" s="169" t="str">
        <f t="shared" si="14"/>
        <v>642</v>
      </c>
      <c r="B2181" s="167" t="str">
        <f>_xlfn.XLOOKUP(I2181,Mapping!D:D,Mapping!E:E)</f>
        <v>Ban Giám Đốc</v>
      </c>
      <c r="C2181" s="167" t="str">
        <f>_xlfn.XLOOKUP(F2181,Mapping!A:A,Mapping!F:F)</f>
        <v>Lương Chính +T13</v>
      </c>
      <c r="D2181" s="173">
        <v>46022</v>
      </c>
      <c r="E2181" s="169" t="s">
        <v>1356</v>
      </c>
      <c r="F2181" s="169" t="s">
        <v>285</v>
      </c>
      <c r="G2181" s="169" t="s">
        <v>286</v>
      </c>
      <c r="H2181" s="169" t="s">
        <v>276</v>
      </c>
      <c r="I2181" s="169" t="s">
        <v>277</v>
      </c>
      <c r="J2181" s="169" t="s">
        <v>1357</v>
      </c>
      <c r="K2181" s="169" t="s">
        <v>1358</v>
      </c>
      <c r="L2181" s="169" t="s">
        <v>1338</v>
      </c>
      <c r="M2181" s="169" t="s">
        <v>281</v>
      </c>
      <c r="N2181" s="178">
        <v>64815797</v>
      </c>
      <c r="O2181" s="169" t="s">
        <v>1359</v>
      </c>
      <c r="P2181" s="169" t="s">
        <v>283</v>
      </c>
      <c r="Q2181" s="169" t="s">
        <v>284</v>
      </c>
      <c r="R2181" s="169" t="s">
        <v>283</v>
      </c>
      <c r="S2181" s="169" t="s">
        <v>283</v>
      </c>
      <c r="T2181" s="169">
        <v>0</v>
      </c>
    </row>
    <row r="2182" spans="1:20" x14ac:dyDescent="0.2">
      <c r="A2182" s="169" t="str">
        <f t="shared" si="14"/>
        <v>642</v>
      </c>
      <c r="B2182" s="167" t="str">
        <f>_xlfn.XLOOKUP(I2182,Mapping!D:D,Mapping!E:E)</f>
        <v>Ban Giám Đốc</v>
      </c>
      <c r="C2182" s="167" t="str">
        <f>_xlfn.XLOOKUP(F2182,Mapping!A:A,Mapping!F:F)</f>
        <v>Phụ Cấp</v>
      </c>
      <c r="D2182" s="173">
        <v>46022</v>
      </c>
      <c r="E2182" s="169" t="s">
        <v>1356</v>
      </c>
      <c r="F2182" s="169" t="s">
        <v>335</v>
      </c>
      <c r="G2182" s="169" t="s">
        <v>336</v>
      </c>
      <c r="H2182" s="169" t="s">
        <v>276</v>
      </c>
      <c r="I2182" s="169" t="s">
        <v>277</v>
      </c>
      <c r="J2182" s="169" t="s">
        <v>1357</v>
      </c>
      <c r="K2182" s="169" t="s">
        <v>1358</v>
      </c>
      <c r="L2182" s="169" t="s">
        <v>1338</v>
      </c>
      <c r="M2182" s="169" t="s">
        <v>281</v>
      </c>
      <c r="N2182" s="178">
        <v>150000</v>
      </c>
      <c r="O2182" s="169" t="s">
        <v>1359</v>
      </c>
      <c r="P2182" s="169" t="s">
        <v>283</v>
      </c>
      <c r="Q2182" s="169" t="s">
        <v>284</v>
      </c>
      <c r="R2182" s="169" t="s">
        <v>283</v>
      </c>
      <c r="S2182" s="169" t="s">
        <v>283</v>
      </c>
      <c r="T2182" s="169">
        <v>0</v>
      </c>
    </row>
    <row r="2183" spans="1:20" x14ac:dyDescent="0.2">
      <c r="A2183" s="169" t="str">
        <f t="shared" si="14"/>
        <v>642</v>
      </c>
      <c r="B2183" s="167" t="str">
        <f>_xlfn.XLOOKUP(I2183,Mapping!D:D,Mapping!E:E)</f>
        <v>Văn Phòng Giám Đốc</v>
      </c>
      <c r="C2183" s="167" t="str">
        <f>_xlfn.XLOOKUP(F2183,Mapping!A:A,Mapping!F:F)</f>
        <v>Lương Chính +T13</v>
      </c>
      <c r="D2183" s="173">
        <v>46022</v>
      </c>
      <c r="E2183" s="169" t="s">
        <v>1356</v>
      </c>
      <c r="F2183" s="169" t="s">
        <v>274</v>
      </c>
      <c r="G2183" s="169" t="s">
        <v>275</v>
      </c>
      <c r="H2183" s="169" t="s">
        <v>320</v>
      </c>
      <c r="I2183" s="169" t="s">
        <v>321</v>
      </c>
      <c r="J2183" s="169" t="s">
        <v>1357</v>
      </c>
      <c r="K2183" s="169" t="s">
        <v>1358</v>
      </c>
      <c r="L2183" s="169" t="s">
        <v>1338</v>
      </c>
      <c r="M2183" s="169" t="s">
        <v>281</v>
      </c>
      <c r="N2183" s="178">
        <v>108017669</v>
      </c>
      <c r="O2183" s="169" t="s">
        <v>1359</v>
      </c>
      <c r="P2183" s="169" t="s">
        <v>283</v>
      </c>
      <c r="Q2183" s="169" t="s">
        <v>284</v>
      </c>
      <c r="R2183" s="169" t="s">
        <v>283</v>
      </c>
      <c r="S2183" s="169" t="s">
        <v>283</v>
      </c>
      <c r="T2183" s="169">
        <v>0</v>
      </c>
    </row>
    <row r="2184" spans="1:20" x14ac:dyDescent="0.2">
      <c r="A2184" s="169" t="str">
        <f t="shared" si="14"/>
        <v>642</v>
      </c>
      <c r="B2184" s="167" t="str">
        <f>_xlfn.XLOOKUP(I2184,Mapping!D:D,Mapping!E:E)</f>
        <v>Văn Phòng Giám Đốc</v>
      </c>
      <c r="C2184" s="167" t="str">
        <f>_xlfn.XLOOKUP(F2184,Mapping!A:A,Mapping!F:F)</f>
        <v>Lương Chính +T13</v>
      </c>
      <c r="D2184" s="173">
        <v>46022</v>
      </c>
      <c r="E2184" s="169" t="s">
        <v>1356</v>
      </c>
      <c r="F2184" s="169" t="s">
        <v>285</v>
      </c>
      <c r="G2184" s="169" t="s">
        <v>286</v>
      </c>
      <c r="H2184" s="169" t="s">
        <v>320</v>
      </c>
      <c r="I2184" s="169" t="s">
        <v>321</v>
      </c>
      <c r="J2184" s="169" t="s">
        <v>1357</v>
      </c>
      <c r="K2184" s="169" t="s">
        <v>1358</v>
      </c>
      <c r="L2184" s="169" t="s">
        <v>1338</v>
      </c>
      <c r="M2184" s="169" t="s">
        <v>281</v>
      </c>
      <c r="N2184" s="178">
        <v>8303846</v>
      </c>
      <c r="O2184" s="169" t="s">
        <v>1359</v>
      </c>
      <c r="P2184" s="169" t="s">
        <v>283</v>
      </c>
      <c r="Q2184" s="169" t="s">
        <v>284</v>
      </c>
      <c r="R2184" s="169" t="s">
        <v>283</v>
      </c>
      <c r="S2184" s="169" t="s">
        <v>283</v>
      </c>
      <c r="T2184" s="169">
        <v>0</v>
      </c>
    </row>
    <row r="2185" spans="1:20" x14ac:dyDescent="0.2">
      <c r="A2185" s="169" t="str">
        <f t="shared" si="14"/>
        <v>642</v>
      </c>
      <c r="B2185" s="167" t="str">
        <f>_xlfn.XLOOKUP(I2185,Mapping!D:D,Mapping!E:E)</f>
        <v>Hành Chánh Nhân Sự</v>
      </c>
      <c r="C2185" s="167" t="str">
        <f>_xlfn.XLOOKUP(F2185,Mapping!A:A,Mapping!F:F)</f>
        <v>Phụ Cấp</v>
      </c>
      <c r="D2185" s="173">
        <v>46022</v>
      </c>
      <c r="E2185" s="169" t="s">
        <v>1356</v>
      </c>
      <c r="F2185" s="169" t="s">
        <v>340</v>
      </c>
      <c r="G2185" s="169" t="s">
        <v>341</v>
      </c>
      <c r="H2185" s="169" t="s">
        <v>301</v>
      </c>
      <c r="I2185" s="169" t="s">
        <v>302</v>
      </c>
      <c r="J2185" s="169" t="s">
        <v>1357</v>
      </c>
      <c r="K2185" s="169" t="s">
        <v>1358</v>
      </c>
      <c r="L2185" s="169" t="s">
        <v>1338</v>
      </c>
      <c r="M2185" s="169" t="s">
        <v>281</v>
      </c>
      <c r="N2185" s="178">
        <v>6563053</v>
      </c>
      <c r="O2185" s="169" t="s">
        <v>1359</v>
      </c>
      <c r="P2185" s="169" t="s">
        <v>283</v>
      </c>
      <c r="Q2185" s="169" t="s">
        <v>284</v>
      </c>
      <c r="R2185" s="169" t="s">
        <v>283</v>
      </c>
      <c r="S2185" s="169" t="s">
        <v>283</v>
      </c>
      <c r="T2185" s="169">
        <v>0</v>
      </c>
    </row>
    <row r="2186" spans="1:20" x14ac:dyDescent="0.2">
      <c r="A2186" s="169" t="str">
        <f t="shared" si="14"/>
        <v>642</v>
      </c>
      <c r="B2186" s="167" t="str">
        <f>_xlfn.XLOOKUP(I2186,Mapping!D:D,Mapping!E:E)</f>
        <v>Hành Chánh Nhân Sự</v>
      </c>
      <c r="C2186" s="167" t="str">
        <f>_xlfn.XLOOKUP(F2186,Mapping!A:A,Mapping!F:F)</f>
        <v>Lương Chính +T13</v>
      </c>
      <c r="D2186" s="173">
        <v>46022</v>
      </c>
      <c r="E2186" s="169" t="s">
        <v>1356</v>
      </c>
      <c r="F2186" s="169" t="s">
        <v>274</v>
      </c>
      <c r="G2186" s="169" t="s">
        <v>275</v>
      </c>
      <c r="H2186" s="169" t="s">
        <v>301</v>
      </c>
      <c r="I2186" s="169" t="s">
        <v>302</v>
      </c>
      <c r="J2186" s="169" t="s">
        <v>1357</v>
      </c>
      <c r="K2186" s="169" t="s">
        <v>1358</v>
      </c>
      <c r="L2186" s="169" t="s">
        <v>1338</v>
      </c>
      <c r="M2186" s="169" t="s">
        <v>281</v>
      </c>
      <c r="N2186" s="178">
        <v>462176030</v>
      </c>
      <c r="O2186" s="169" t="s">
        <v>1359</v>
      </c>
      <c r="P2186" s="169" t="s">
        <v>283</v>
      </c>
      <c r="Q2186" s="169" t="s">
        <v>284</v>
      </c>
      <c r="R2186" s="169" t="s">
        <v>283</v>
      </c>
      <c r="S2186" s="169" t="s">
        <v>283</v>
      </c>
      <c r="T2186" s="169">
        <v>0</v>
      </c>
    </row>
    <row r="2187" spans="1:20" x14ac:dyDescent="0.2">
      <c r="A2187" s="169" t="str">
        <f t="shared" si="14"/>
        <v>642</v>
      </c>
      <c r="B2187" s="167" t="str">
        <f>_xlfn.XLOOKUP(I2187,Mapping!D:D,Mapping!E:E)</f>
        <v>Hành Chánh Nhân Sự</v>
      </c>
      <c r="C2187" s="167" t="str">
        <f>_xlfn.XLOOKUP(F2187,Mapping!A:A,Mapping!F:F)</f>
        <v>Lương Chính +T13</v>
      </c>
      <c r="D2187" s="173">
        <v>46022</v>
      </c>
      <c r="E2187" s="169" t="s">
        <v>1356</v>
      </c>
      <c r="F2187" s="169" t="s">
        <v>285</v>
      </c>
      <c r="G2187" s="169" t="s">
        <v>286</v>
      </c>
      <c r="H2187" s="169" t="s">
        <v>301</v>
      </c>
      <c r="I2187" s="169" t="s">
        <v>302</v>
      </c>
      <c r="J2187" s="169" t="s">
        <v>1357</v>
      </c>
      <c r="K2187" s="169" t="s">
        <v>1358</v>
      </c>
      <c r="L2187" s="169" t="s">
        <v>1338</v>
      </c>
      <c r="M2187" s="169" t="s">
        <v>281</v>
      </c>
      <c r="N2187" s="178">
        <v>15884518</v>
      </c>
      <c r="O2187" s="169" t="s">
        <v>1359</v>
      </c>
      <c r="P2187" s="169" t="s">
        <v>283</v>
      </c>
      <c r="Q2187" s="169" t="s">
        <v>284</v>
      </c>
      <c r="R2187" s="169" t="s">
        <v>283</v>
      </c>
      <c r="S2187" s="169" t="s">
        <v>283</v>
      </c>
      <c r="T2187" s="169">
        <v>0</v>
      </c>
    </row>
    <row r="2188" spans="1:20" x14ac:dyDescent="0.2">
      <c r="A2188" s="169" t="str">
        <f t="shared" si="14"/>
        <v>642</v>
      </c>
      <c r="B2188" s="167" t="str">
        <f>_xlfn.XLOOKUP(I2188,Mapping!D:D,Mapping!E:E)</f>
        <v>Hành Chánh Nhân Sự</v>
      </c>
      <c r="C2188" s="167" t="str">
        <f>_xlfn.XLOOKUP(F2188,Mapping!A:A,Mapping!F:F)</f>
        <v>Lương Ngoài giờ</v>
      </c>
      <c r="D2188" s="173">
        <v>46022</v>
      </c>
      <c r="E2188" s="169" t="s">
        <v>1356</v>
      </c>
      <c r="F2188" s="169" t="s">
        <v>342</v>
      </c>
      <c r="G2188" s="169" t="s">
        <v>343</v>
      </c>
      <c r="H2188" s="169" t="s">
        <v>301</v>
      </c>
      <c r="I2188" s="169" t="s">
        <v>302</v>
      </c>
      <c r="J2188" s="169" t="s">
        <v>1357</v>
      </c>
      <c r="K2188" s="169" t="s">
        <v>1358</v>
      </c>
      <c r="L2188" s="169" t="s">
        <v>1338</v>
      </c>
      <c r="M2188" s="169" t="s">
        <v>281</v>
      </c>
      <c r="N2188" s="178">
        <v>74783511</v>
      </c>
      <c r="O2188" s="169" t="s">
        <v>1359</v>
      </c>
      <c r="P2188" s="169" t="s">
        <v>283</v>
      </c>
      <c r="Q2188" s="169" t="s">
        <v>284</v>
      </c>
      <c r="R2188" s="169" t="s">
        <v>283</v>
      </c>
      <c r="S2188" s="169" t="s">
        <v>283</v>
      </c>
      <c r="T2188" s="169">
        <v>0</v>
      </c>
    </row>
    <row r="2189" spans="1:20" x14ac:dyDescent="0.2">
      <c r="A2189" s="169" t="str">
        <f t="shared" si="14"/>
        <v>642</v>
      </c>
      <c r="B2189" s="167" t="str">
        <f>_xlfn.XLOOKUP(I2189,Mapping!D:D,Mapping!E:E)</f>
        <v>Hành Chánh Nhân Sự</v>
      </c>
      <c r="C2189" s="167" t="str">
        <f>_xlfn.XLOOKUP(F2189,Mapping!A:A,Mapping!F:F)</f>
        <v>Phụ Cấp</v>
      </c>
      <c r="D2189" s="173">
        <v>46022</v>
      </c>
      <c r="E2189" s="169" t="s">
        <v>1356</v>
      </c>
      <c r="F2189" s="169" t="s">
        <v>335</v>
      </c>
      <c r="G2189" s="169" t="s">
        <v>336</v>
      </c>
      <c r="H2189" s="169" t="s">
        <v>301</v>
      </c>
      <c r="I2189" s="169" t="s">
        <v>302</v>
      </c>
      <c r="J2189" s="169" t="s">
        <v>1357</v>
      </c>
      <c r="K2189" s="169" t="s">
        <v>1358</v>
      </c>
      <c r="L2189" s="169" t="s">
        <v>1338</v>
      </c>
      <c r="M2189" s="169" t="s">
        <v>281</v>
      </c>
      <c r="N2189" s="178">
        <v>3340000</v>
      </c>
      <c r="O2189" s="169" t="s">
        <v>1359</v>
      </c>
      <c r="P2189" s="169" t="s">
        <v>283</v>
      </c>
      <c r="Q2189" s="169" t="s">
        <v>284</v>
      </c>
      <c r="R2189" s="169" t="s">
        <v>283</v>
      </c>
      <c r="S2189" s="169" t="s">
        <v>283</v>
      </c>
      <c r="T2189" s="169">
        <v>0</v>
      </c>
    </row>
    <row r="2190" spans="1:20" x14ac:dyDescent="0.2">
      <c r="A2190" s="169" t="str">
        <f t="shared" si="14"/>
        <v>642</v>
      </c>
      <c r="B2190" s="167" t="str">
        <f>_xlfn.XLOOKUP(I2190,Mapping!D:D,Mapping!E:E)</f>
        <v>Kế Toán</v>
      </c>
      <c r="C2190" s="167" t="str">
        <f>_xlfn.XLOOKUP(F2190,Mapping!A:A,Mapping!F:F)</f>
        <v>Lương Chính +T13</v>
      </c>
      <c r="D2190" s="173">
        <v>46022</v>
      </c>
      <c r="E2190" s="169" t="s">
        <v>1356</v>
      </c>
      <c r="F2190" s="169" t="s">
        <v>274</v>
      </c>
      <c r="G2190" s="169" t="s">
        <v>275</v>
      </c>
      <c r="H2190" s="169" t="s">
        <v>356</v>
      </c>
      <c r="I2190" s="169" t="s">
        <v>357</v>
      </c>
      <c r="J2190" s="169" t="s">
        <v>1357</v>
      </c>
      <c r="K2190" s="169" t="s">
        <v>1358</v>
      </c>
      <c r="L2190" s="169" t="s">
        <v>1338</v>
      </c>
      <c r="M2190" s="169" t="s">
        <v>281</v>
      </c>
      <c r="N2190" s="178">
        <v>521475106</v>
      </c>
      <c r="O2190" s="169" t="s">
        <v>1359</v>
      </c>
      <c r="P2190" s="169" t="s">
        <v>283</v>
      </c>
      <c r="Q2190" s="169" t="s">
        <v>284</v>
      </c>
      <c r="R2190" s="169" t="s">
        <v>283</v>
      </c>
      <c r="S2190" s="169" t="s">
        <v>283</v>
      </c>
      <c r="T2190" s="169">
        <v>0</v>
      </c>
    </row>
    <row r="2191" spans="1:20" x14ac:dyDescent="0.2">
      <c r="A2191" s="169" t="str">
        <f t="shared" si="14"/>
        <v>642</v>
      </c>
      <c r="B2191" s="167" t="str">
        <f>_xlfn.XLOOKUP(I2191,Mapping!D:D,Mapping!E:E)</f>
        <v>Kế Toán</v>
      </c>
      <c r="C2191" s="167" t="str">
        <f>_xlfn.XLOOKUP(F2191,Mapping!A:A,Mapping!F:F)</f>
        <v>Lương Chính +T13</v>
      </c>
      <c r="D2191" s="173">
        <v>46022</v>
      </c>
      <c r="E2191" s="169" t="s">
        <v>1356</v>
      </c>
      <c r="F2191" s="169" t="s">
        <v>285</v>
      </c>
      <c r="G2191" s="169" t="s">
        <v>286</v>
      </c>
      <c r="H2191" s="169" t="s">
        <v>356</v>
      </c>
      <c r="I2191" s="169" t="s">
        <v>357</v>
      </c>
      <c r="J2191" s="169" t="s">
        <v>1357</v>
      </c>
      <c r="K2191" s="169" t="s">
        <v>1358</v>
      </c>
      <c r="L2191" s="169" t="s">
        <v>1338</v>
      </c>
      <c r="M2191" s="169" t="s">
        <v>281</v>
      </c>
      <c r="N2191" s="178">
        <v>11374366</v>
      </c>
      <c r="O2191" s="169" t="s">
        <v>1359</v>
      </c>
      <c r="P2191" s="169" t="s">
        <v>283</v>
      </c>
      <c r="Q2191" s="169" t="s">
        <v>284</v>
      </c>
      <c r="R2191" s="169" t="s">
        <v>283</v>
      </c>
      <c r="S2191" s="169" t="s">
        <v>283</v>
      </c>
      <c r="T2191" s="169">
        <v>0</v>
      </c>
    </row>
    <row r="2192" spans="1:20" x14ac:dyDescent="0.2">
      <c r="A2192" s="169" t="str">
        <f t="shared" si="14"/>
        <v>642</v>
      </c>
      <c r="B2192" s="167" t="str">
        <f>_xlfn.XLOOKUP(I2192,Mapping!D:D,Mapping!E:E)</f>
        <v>Kế Toán</v>
      </c>
      <c r="C2192" s="167" t="str">
        <f>_xlfn.XLOOKUP(F2192,Mapping!A:A,Mapping!F:F)</f>
        <v>Lương Ngoài giờ</v>
      </c>
      <c r="D2192" s="173">
        <v>46022</v>
      </c>
      <c r="E2192" s="169" t="s">
        <v>1356</v>
      </c>
      <c r="F2192" s="169" t="s">
        <v>342</v>
      </c>
      <c r="G2192" s="169" t="s">
        <v>343</v>
      </c>
      <c r="H2192" s="169" t="s">
        <v>356</v>
      </c>
      <c r="I2192" s="169" t="s">
        <v>357</v>
      </c>
      <c r="J2192" s="169" t="s">
        <v>1357</v>
      </c>
      <c r="K2192" s="169" t="s">
        <v>1358</v>
      </c>
      <c r="L2192" s="169" t="s">
        <v>1338</v>
      </c>
      <c r="M2192" s="169" t="s">
        <v>281</v>
      </c>
      <c r="N2192" s="178">
        <v>51263863</v>
      </c>
      <c r="O2192" s="169" t="s">
        <v>1359</v>
      </c>
      <c r="P2192" s="169" t="s">
        <v>283</v>
      </c>
      <c r="Q2192" s="169" t="s">
        <v>284</v>
      </c>
      <c r="R2192" s="169" t="s">
        <v>283</v>
      </c>
      <c r="S2192" s="169" t="s">
        <v>283</v>
      </c>
      <c r="T2192" s="169">
        <v>0</v>
      </c>
    </row>
    <row r="2193" spans="1:20" x14ac:dyDescent="0.2">
      <c r="A2193" s="169" t="str">
        <f t="shared" si="14"/>
        <v>642</v>
      </c>
      <c r="B2193" s="167" t="str">
        <f>_xlfn.XLOOKUP(I2193,Mapping!D:D,Mapping!E:E)</f>
        <v>Kế Toán</v>
      </c>
      <c r="C2193" s="167" t="str">
        <f>_xlfn.XLOOKUP(F2193,Mapping!A:A,Mapping!F:F)</f>
        <v>Phụ Cấp</v>
      </c>
      <c r="D2193" s="173">
        <v>46022</v>
      </c>
      <c r="E2193" s="169" t="s">
        <v>1356</v>
      </c>
      <c r="F2193" s="169" t="s">
        <v>335</v>
      </c>
      <c r="G2193" s="169" t="s">
        <v>336</v>
      </c>
      <c r="H2193" s="169" t="s">
        <v>356</v>
      </c>
      <c r="I2193" s="169" t="s">
        <v>357</v>
      </c>
      <c r="J2193" s="169" t="s">
        <v>1357</v>
      </c>
      <c r="K2193" s="169" t="s">
        <v>1358</v>
      </c>
      <c r="L2193" s="169" t="s">
        <v>1338</v>
      </c>
      <c r="M2193" s="169" t="s">
        <v>281</v>
      </c>
      <c r="N2193" s="178">
        <v>2605000</v>
      </c>
      <c r="O2193" s="169" t="s">
        <v>1359</v>
      </c>
      <c r="P2193" s="169" t="s">
        <v>283</v>
      </c>
      <c r="Q2193" s="169" t="s">
        <v>284</v>
      </c>
      <c r="R2193" s="169" t="s">
        <v>283</v>
      </c>
      <c r="S2193" s="169" t="s">
        <v>283</v>
      </c>
      <c r="T2193" s="169">
        <v>0</v>
      </c>
    </row>
    <row r="2194" spans="1:20" x14ac:dyDescent="0.2">
      <c r="A2194" s="169" t="str">
        <f t="shared" si="14"/>
        <v>641</v>
      </c>
      <c r="B2194" s="167" t="str">
        <f>_xlfn.XLOOKUP(I2194,Mapping!D:D,Mapping!E:E)</f>
        <v>Kinh doanh</v>
      </c>
      <c r="C2194" s="167" t="str">
        <f>_xlfn.XLOOKUP(F2194,Mapping!A:A,Mapping!F:F)</f>
        <v>Lương Chính +T13</v>
      </c>
      <c r="D2194" s="173">
        <v>46022</v>
      </c>
      <c r="E2194" s="169" t="s">
        <v>1356</v>
      </c>
      <c r="F2194" s="169" t="s">
        <v>383</v>
      </c>
      <c r="G2194" s="169" t="s">
        <v>275</v>
      </c>
      <c r="H2194" s="169" t="s">
        <v>366</v>
      </c>
      <c r="I2194" s="169" t="s">
        <v>1</v>
      </c>
      <c r="J2194" s="169" t="s">
        <v>1357</v>
      </c>
      <c r="K2194" s="169" t="s">
        <v>1358</v>
      </c>
      <c r="L2194" s="169" t="s">
        <v>1338</v>
      </c>
      <c r="M2194" s="169" t="s">
        <v>281</v>
      </c>
      <c r="N2194" s="178">
        <v>253835697</v>
      </c>
      <c r="O2194" s="169" t="s">
        <v>1359</v>
      </c>
      <c r="P2194" s="169" t="s">
        <v>283</v>
      </c>
      <c r="Q2194" s="169" t="s">
        <v>284</v>
      </c>
      <c r="R2194" s="169" t="s">
        <v>283</v>
      </c>
      <c r="S2194" s="169" t="s">
        <v>283</v>
      </c>
      <c r="T2194" s="169">
        <v>0</v>
      </c>
    </row>
    <row r="2195" spans="1:20" x14ac:dyDescent="0.2">
      <c r="A2195" s="169" t="str">
        <f t="shared" si="14"/>
        <v>641</v>
      </c>
      <c r="B2195" s="167" t="str">
        <f>_xlfn.XLOOKUP(I2195,Mapping!D:D,Mapping!E:E)</f>
        <v>Kinh doanh</v>
      </c>
      <c r="C2195" s="167" t="str">
        <f>_xlfn.XLOOKUP(F2195,Mapping!A:A,Mapping!F:F)</f>
        <v>Lương Chính +T13</v>
      </c>
      <c r="D2195" s="173">
        <v>46022</v>
      </c>
      <c r="E2195" s="169" t="s">
        <v>1356</v>
      </c>
      <c r="F2195" s="169" t="s">
        <v>384</v>
      </c>
      <c r="G2195" s="169" t="s">
        <v>286</v>
      </c>
      <c r="H2195" s="169" t="s">
        <v>366</v>
      </c>
      <c r="I2195" s="169" t="s">
        <v>1</v>
      </c>
      <c r="J2195" s="169" t="s">
        <v>1357</v>
      </c>
      <c r="K2195" s="169" t="s">
        <v>1358</v>
      </c>
      <c r="L2195" s="169" t="s">
        <v>1338</v>
      </c>
      <c r="M2195" s="169" t="s">
        <v>281</v>
      </c>
      <c r="N2195" s="178">
        <v>5857308</v>
      </c>
      <c r="O2195" s="169" t="s">
        <v>1359</v>
      </c>
      <c r="P2195" s="169" t="s">
        <v>283</v>
      </c>
      <c r="Q2195" s="169" t="s">
        <v>284</v>
      </c>
      <c r="R2195" s="169" t="s">
        <v>283</v>
      </c>
      <c r="S2195" s="169" t="s">
        <v>283</v>
      </c>
      <c r="T2195" s="169">
        <v>0</v>
      </c>
    </row>
    <row r="2196" spans="1:20" x14ac:dyDescent="0.2">
      <c r="A2196" s="169" t="str">
        <f t="shared" si="14"/>
        <v>641</v>
      </c>
      <c r="B2196" s="167" t="str">
        <f>_xlfn.XLOOKUP(I2196,Mapping!D:D,Mapping!E:E)</f>
        <v>Kinh doanh</v>
      </c>
      <c r="C2196" s="167" t="str">
        <f>_xlfn.XLOOKUP(F2196,Mapping!A:A,Mapping!F:F)</f>
        <v>Thưởng</v>
      </c>
      <c r="D2196" s="173">
        <v>46022</v>
      </c>
      <c r="E2196" s="169" t="s">
        <v>1356</v>
      </c>
      <c r="F2196" s="169" t="s">
        <v>365</v>
      </c>
      <c r="G2196" s="169" t="s">
        <v>291</v>
      </c>
      <c r="H2196" s="169" t="s">
        <v>366</v>
      </c>
      <c r="I2196" s="169" t="s">
        <v>1</v>
      </c>
      <c r="J2196" s="169" t="s">
        <v>1357</v>
      </c>
      <c r="K2196" s="169" t="s">
        <v>1358</v>
      </c>
      <c r="L2196" s="169" t="s">
        <v>1338</v>
      </c>
      <c r="M2196" s="169" t="s">
        <v>281</v>
      </c>
      <c r="N2196" s="178">
        <v>124706515</v>
      </c>
      <c r="O2196" s="169" t="s">
        <v>1359</v>
      </c>
      <c r="P2196" s="169" t="s">
        <v>283</v>
      </c>
      <c r="Q2196" s="169" t="s">
        <v>284</v>
      </c>
      <c r="R2196" s="169" t="s">
        <v>283</v>
      </c>
      <c r="S2196" s="169" t="s">
        <v>283</v>
      </c>
      <c r="T2196" s="169">
        <v>0</v>
      </c>
    </row>
    <row r="2197" spans="1:20" x14ac:dyDescent="0.2">
      <c r="A2197" s="169" t="str">
        <f t="shared" si="14"/>
        <v>641</v>
      </c>
      <c r="B2197" s="167" t="str">
        <f>_xlfn.XLOOKUP(I2197,Mapping!D:D,Mapping!E:E)</f>
        <v>Kinh doanh</v>
      </c>
      <c r="C2197" s="167" t="str">
        <f>_xlfn.XLOOKUP(F2197,Mapping!A:A,Mapping!F:F)</f>
        <v>Phụ Cấp</v>
      </c>
      <c r="D2197" s="173">
        <v>46022</v>
      </c>
      <c r="E2197" s="169" t="s">
        <v>1356</v>
      </c>
      <c r="F2197" s="169" t="s">
        <v>385</v>
      </c>
      <c r="G2197" s="169" t="s">
        <v>336</v>
      </c>
      <c r="H2197" s="169" t="s">
        <v>366</v>
      </c>
      <c r="I2197" s="169" t="s">
        <v>1</v>
      </c>
      <c r="J2197" s="169" t="s">
        <v>1357</v>
      </c>
      <c r="K2197" s="169" t="s">
        <v>1358</v>
      </c>
      <c r="L2197" s="169" t="s">
        <v>1338</v>
      </c>
      <c r="M2197" s="169" t="s">
        <v>281</v>
      </c>
      <c r="N2197" s="178">
        <v>75000</v>
      </c>
      <c r="O2197" s="169" t="s">
        <v>1359</v>
      </c>
      <c r="P2197" s="169" t="s">
        <v>283</v>
      </c>
      <c r="Q2197" s="169" t="s">
        <v>284</v>
      </c>
      <c r="R2197" s="169" t="s">
        <v>283</v>
      </c>
      <c r="S2197" s="169" t="s">
        <v>283</v>
      </c>
      <c r="T2197" s="169">
        <v>0</v>
      </c>
    </row>
    <row r="2198" spans="1:20" x14ac:dyDescent="0.2">
      <c r="A2198" s="169" t="str">
        <f t="shared" si="14"/>
        <v>642</v>
      </c>
      <c r="B2198" s="167" t="str">
        <f>_xlfn.XLOOKUP(I2198,Mapping!D:D,Mapping!E:E)</f>
        <v>Cung Ứng</v>
      </c>
      <c r="C2198" s="167" t="str">
        <f>_xlfn.XLOOKUP(F2198,Mapping!A:A,Mapping!F:F)</f>
        <v>Lương Chính +T13</v>
      </c>
      <c r="D2198" s="173">
        <v>46022</v>
      </c>
      <c r="E2198" s="169" t="s">
        <v>1356</v>
      </c>
      <c r="F2198" s="169" t="s">
        <v>274</v>
      </c>
      <c r="G2198" s="169" t="s">
        <v>275</v>
      </c>
      <c r="H2198" s="169" t="s">
        <v>380</v>
      </c>
      <c r="I2198" s="169" t="s">
        <v>381</v>
      </c>
      <c r="J2198" s="169" t="s">
        <v>1357</v>
      </c>
      <c r="K2198" s="169" t="s">
        <v>1358</v>
      </c>
      <c r="L2198" s="169" t="s">
        <v>1338</v>
      </c>
      <c r="M2198" s="169" t="s">
        <v>281</v>
      </c>
      <c r="N2198" s="178">
        <v>545870650</v>
      </c>
      <c r="O2198" s="169" t="s">
        <v>1359</v>
      </c>
      <c r="P2198" s="169" t="s">
        <v>283</v>
      </c>
      <c r="Q2198" s="169" t="s">
        <v>284</v>
      </c>
      <c r="R2198" s="169" t="s">
        <v>283</v>
      </c>
      <c r="S2198" s="169" t="s">
        <v>283</v>
      </c>
      <c r="T2198" s="169">
        <v>0</v>
      </c>
    </row>
    <row r="2199" spans="1:20" x14ac:dyDescent="0.2">
      <c r="A2199" s="169" t="str">
        <f t="shared" si="14"/>
        <v>642</v>
      </c>
      <c r="B2199" s="167" t="str">
        <f>_xlfn.XLOOKUP(I2199,Mapping!D:D,Mapping!E:E)</f>
        <v>Cung Ứng</v>
      </c>
      <c r="C2199" s="167" t="str">
        <f>_xlfn.XLOOKUP(F2199,Mapping!A:A,Mapping!F:F)</f>
        <v>Lương Chính +T13</v>
      </c>
      <c r="D2199" s="173">
        <v>46022</v>
      </c>
      <c r="E2199" s="169" t="s">
        <v>1356</v>
      </c>
      <c r="F2199" s="169" t="s">
        <v>285</v>
      </c>
      <c r="G2199" s="169" t="s">
        <v>286</v>
      </c>
      <c r="H2199" s="169" t="s">
        <v>380</v>
      </c>
      <c r="I2199" s="169" t="s">
        <v>381</v>
      </c>
      <c r="J2199" s="169" t="s">
        <v>1357</v>
      </c>
      <c r="K2199" s="169" t="s">
        <v>1358</v>
      </c>
      <c r="L2199" s="169" t="s">
        <v>1338</v>
      </c>
      <c r="M2199" s="169" t="s">
        <v>281</v>
      </c>
      <c r="N2199" s="178">
        <v>15892272</v>
      </c>
      <c r="O2199" s="169" t="s">
        <v>1359</v>
      </c>
      <c r="P2199" s="169" t="s">
        <v>283</v>
      </c>
      <c r="Q2199" s="169" t="s">
        <v>284</v>
      </c>
      <c r="R2199" s="169" t="s">
        <v>283</v>
      </c>
      <c r="S2199" s="169" t="s">
        <v>283</v>
      </c>
      <c r="T2199" s="169">
        <v>0</v>
      </c>
    </row>
    <row r="2200" spans="1:20" x14ac:dyDescent="0.2">
      <c r="A2200" s="169" t="str">
        <f t="shared" si="14"/>
        <v>642</v>
      </c>
      <c r="B2200" s="167" t="str">
        <f>_xlfn.XLOOKUP(I2200,Mapping!D:D,Mapping!E:E)</f>
        <v>Cung Ứng</v>
      </c>
      <c r="C2200" s="167" t="str">
        <f>_xlfn.XLOOKUP(F2200,Mapping!A:A,Mapping!F:F)</f>
        <v>Thưởng</v>
      </c>
      <c r="D2200" s="173">
        <v>46022</v>
      </c>
      <c r="E2200" s="169" t="s">
        <v>1356</v>
      </c>
      <c r="F2200" s="169" t="s">
        <v>290</v>
      </c>
      <c r="G2200" s="169" t="s">
        <v>291</v>
      </c>
      <c r="H2200" s="169" t="s">
        <v>380</v>
      </c>
      <c r="I2200" s="169" t="s">
        <v>381</v>
      </c>
      <c r="J2200" s="169" t="s">
        <v>1357</v>
      </c>
      <c r="K2200" s="169" t="s">
        <v>1358</v>
      </c>
      <c r="L2200" s="169" t="s">
        <v>1338</v>
      </c>
      <c r="M2200" s="169" t="s">
        <v>281</v>
      </c>
      <c r="N2200" s="178">
        <v>354463413</v>
      </c>
      <c r="O2200" s="169" t="s">
        <v>1359</v>
      </c>
      <c r="P2200" s="169" t="s">
        <v>283</v>
      </c>
      <c r="Q2200" s="169" t="s">
        <v>284</v>
      </c>
      <c r="R2200" s="169" t="s">
        <v>283</v>
      </c>
      <c r="S2200" s="169" t="s">
        <v>283</v>
      </c>
      <c r="T2200" s="169">
        <v>0</v>
      </c>
    </row>
    <row r="2201" spans="1:20" x14ac:dyDescent="0.2">
      <c r="A2201" s="169" t="str">
        <f t="shared" si="14"/>
        <v>642</v>
      </c>
      <c r="B2201" s="167" t="str">
        <f>_xlfn.XLOOKUP(I2201,Mapping!D:D,Mapping!E:E)</f>
        <v>Cung Ứng</v>
      </c>
      <c r="C2201" s="167" t="str">
        <f>_xlfn.XLOOKUP(F2201,Mapping!A:A,Mapping!F:F)</f>
        <v>Phụ Cấp</v>
      </c>
      <c r="D2201" s="173">
        <v>46022</v>
      </c>
      <c r="E2201" s="169" t="s">
        <v>1356</v>
      </c>
      <c r="F2201" s="169" t="s">
        <v>335</v>
      </c>
      <c r="G2201" s="169" t="s">
        <v>336</v>
      </c>
      <c r="H2201" s="169" t="s">
        <v>380</v>
      </c>
      <c r="I2201" s="169" t="s">
        <v>381</v>
      </c>
      <c r="J2201" s="169" t="s">
        <v>1357</v>
      </c>
      <c r="K2201" s="169" t="s">
        <v>1358</v>
      </c>
      <c r="L2201" s="169" t="s">
        <v>1338</v>
      </c>
      <c r="M2201" s="169" t="s">
        <v>281</v>
      </c>
      <c r="N2201" s="178">
        <v>11235000</v>
      </c>
      <c r="O2201" s="169" t="s">
        <v>1359</v>
      </c>
      <c r="P2201" s="169" t="s">
        <v>283</v>
      </c>
      <c r="Q2201" s="169" t="s">
        <v>284</v>
      </c>
      <c r="R2201" s="169" t="s">
        <v>283</v>
      </c>
      <c r="S2201" s="169" t="s">
        <v>283</v>
      </c>
      <c r="T2201" s="169">
        <v>0</v>
      </c>
    </row>
    <row r="2202" spans="1:20" x14ac:dyDescent="0.2">
      <c r="A2202" s="169" t="str">
        <f t="shared" si="14"/>
        <v>642</v>
      </c>
      <c r="B2202" s="167" t="str">
        <f>_xlfn.XLOOKUP(I2202,Mapping!D:D,Mapping!E:E)</f>
        <v>Mua Hàng &amp; XNK</v>
      </c>
      <c r="C2202" s="167" t="str">
        <f>_xlfn.XLOOKUP(F2202,Mapping!A:A,Mapping!F:F)</f>
        <v>Lương Chính +T13</v>
      </c>
      <c r="D2202" s="173">
        <v>46022</v>
      </c>
      <c r="E2202" s="169" t="s">
        <v>1356</v>
      </c>
      <c r="F2202" s="169" t="s">
        <v>274</v>
      </c>
      <c r="G2202" s="169" t="s">
        <v>275</v>
      </c>
      <c r="H2202" s="169" t="s">
        <v>378</v>
      </c>
      <c r="I2202" s="169" t="s">
        <v>379</v>
      </c>
      <c r="J2202" s="169" t="s">
        <v>1357</v>
      </c>
      <c r="K2202" s="169" t="s">
        <v>1358</v>
      </c>
      <c r="L2202" s="169" t="s">
        <v>1338</v>
      </c>
      <c r="M2202" s="169" t="s">
        <v>281</v>
      </c>
      <c r="N2202" s="178">
        <v>166908467</v>
      </c>
      <c r="O2202" s="169" t="s">
        <v>1359</v>
      </c>
      <c r="P2202" s="169" t="s">
        <v>283</v>
      </c>
      <c r="Q2202" s="169" t="s">
        <v>284</v>
      </c>
      <c r="R2202" s="169" t="s">
        <v>283</v>
      </c>
      <c r="S2202" s="169" t="s">
        <v>283</v>
      </c>
      <c r="T2202" s="169">
        <v>0</v>
      </c>
    </row>
    <row r="2203" spans="1:20" x14ac:dyDescent="0.2">
      <c r="A2203" s="169" t="str">
        <f t="shared" si="14"/>
        <v>642</v>
      </c>
      <c r="B2203" s="167" t="str">
        <f>_xlfn.XLOOKUP(I2203,Mapping!D:D,Mapping!E:E)</f>
        <v>Mua Hàng &amp; XNK</v>
      </c>
      <c r="C2203" s="167" t="str">
        <f>_xlfn.XLOOKUP(F2203,Mapping!A:A,Mapping!F:F)</f>
        <v>Lương Chính +T13</v>
      </c>
      <c r="D2203" s="173">
        <v>46022</v>
      </c>
      <c r="E2203" s="169" t="s">
        <v>1356</v>
      </c>
      <c r="F2203" s="169" t="s">
        <v>285</v>
      </c>
      <c r="G2203" s="169" t="s">
        <v>286</v>
      </c>
      <c r="H2203" s="169" t="s">
        <v>378</v>
      </c>
      <c r="I2203" s="169" t="s">
        <v>379</v>
      </c>
      <c r="J2203" s="169" t="s">
        <v>1357</v>
      </c>
      <c r="K2203" s="169" t="s">
        <v>1358</v>
      </c>
      <c r="L2203" s="169" t="s">
        <v>1338</v>
      </c>
      <c r="M2203" s="169" t="s">
        <v>281</v>
      </c>
      <c r="N2203" s="178">
        <v>8428538</v>
      </c>
      <c r="O2203" s="169" t="s">
        <v>1359</v>
      </c>
      <c r="P2203" s="169" t="s">
        <v>283</v>
      </c>
      <c r="Q2203" s="169" t="s">
        <v>284</v>
      </c>
      <c r="R2203" s="169" t="s">
        <v>283</v>
      </c>
      <c r="S2203" s="169" t="s">
        <v>283</v>
      </c>
      <c r="T2203" s="169">
        <v>0</v>
      </c>
    </row>
    <row r="2204" spans="1:20" x14ac:dyDescent="0.2">
      <c r="A2204" s="169" t="str">
        <f t="shared" si="14"/>
        <v>642</v>
      </c>
      <c r="B2204" s="167" t="str">
        <f>_xlfn.XLOOKUP(I2204,Mapping!D:D,Mapping!E:E)</f>
        <v>Mua Hàng &amp; XNK</v>
      </c>
      <c r="C2204" s="167" t="str">
        <f>_xlfn.XLOOKUP(F2204,Mapping!A:A,Mapping!F:F)</f>
        <v>Phụ Cấp</v>
      </c>
      <c r="D2204" s="173">
        <v>46022</v>
      </c>
      <c r="E2204" s="169" t="s">
        <v>1356</v>
      </c>
      <c r="F2204" s="169" t="s">
        <v>335</v>
      </c>
      <c r="G2204" s="169" t="s">
        <v>336</v>
      </c>
      <c r="H2204" s="169" t="s">
        <v>378</v>
      </c>
      <c r="I2204" s="169" t="s">
        <v>379</v>
      </c>
      <c r="J2204" s="169" t="s">
        <v>1357</v>
      </c>
      <c r="K2204" s="169" t="s">
        <v>1358</v>
      </c>
      <c r="L2204" s="169" t="s">
        <v>1338</v>
      </c>
      <c r="M2204" s="169" t="s">
        <v>281</v>
      </c>
      <c r="N2204" s="178">
        <v>1250000</v>
      </c>
      <c r="O2204" s="169" t="s">
        <v>1359</v>
      </c>
      <c r="P2204" s="169" t="s">
        <v>283</v>
      </c>
      <c r="Q2204" s="169" t="s">
        <v>284</v>
      </c>
      <c r="R2204" s="169" t="s">
        <v>283</v>
      </c>
      <c r="S2204" s="169" t="s">
        <v>283</v>
      </c>
      <c r="T2204" s="169">
        <v>0</v>
      </c>
    </row>
    <row r="2205" spans="1:20" x14ac:dyDescent="0.2">
      <c r="A2205" s="169" t="str">
        <f t="shared" si="14"/>
        <v>627</v>
      </c>
      <c r="B2205" s="167" t="str">
        <f>_xlfn.XLOOKUP(I2205,Mapping!D:D,Mapping!E:E)</f>
        <v>Kỹ Thuật</v>
      </c>
      <c r="C2205" s="167" t="str">
        <f>_xlfn.XLOOKUP(F2205,Mapping!A:A,Mapping!F:F)</f>
        <v>Phụ Cấp</v>
      </c>
      <c r="D2205" s="173">
        <v>46022</v>
      </c>
      <c r="E2205" s="169" t="s">
        <v>1356</v>
      </c>
      <c r="F2205" s="169" t="s">
        <v>386</v>
      </c>
      <c r="G2205" s="169" t="s">
        <v>341</v>
      </c>
      <c r="H2205" s="169" t="s">
        <v>376</v>
      </c>
      <c r="I2205" s="169" t="s">
        <v>377</v>
      </c>
      <c r="J2205" s="169" t="s">
        <v>1357</v>
      </c>
      <c r="K2205" s="169" t="s">
        <v>1358</v>
      </c>
      <c r="L2205" s="169" t="s">
        <v>1338</v>
      </c>
      <c r="M2205" s="169" t="s">
        <v>281</v>
      </c>
      <c r="N2205" s="178">
        <v>45918625</v>
      </c>
      <c r="O2205" s="169" t="s">
        <v>1359</v>
      </c>
      <c r="P2205" s="169" t="s">
        <v>283</v>
      </c>
      <c r="Q2205" s="169" t="s">
        <v>284</v>
      </c>
      <c r="R2205" s="169" t="s">
        <v>283</v>
      </c>
      <c r="S2205" s="169" t="s">
        <v>283</v>
      </c>
      <c r="T2205" s="169">
        <v>0</v>
      </c>
    </row>
    <row r="2206" spans="1:20" x14ac:dyDescent="0.2">
      <c r="A2206" s="169" t="str">
        <f t="shared" si="14"/>
        <v>627</v>
      </c>
      <c r="B2206" s="167" t="str">
        <f>_xlfn.XLOOKUP(I2206,Mapping!D:D,Mapping!E:E)</f>
        <v>Kỹ Thuật</v>
      </c>
      <c r="C2206" s="167" t="str">
        <f>_xlfn.XLOOKUP(F2206,Mapping!A:A,Mapping!F:F)</f>
        <v>Lương Chính +T13</v>
      </c>
      <c r="D2206" s="173">
        <v>46022</v>
      </c>
      <c r="E2206" s="169" t="s">
        <v>1356</v>
      </c>
      <c r="F2206" s="169" t="s">
        <v>387</v>
      </c>
      <c r="G2206" s="169" t="s">
        <v>275</v>
      </c>
      <c r="H2206" s="169" t="s">
        <v>376</v>
      </c>
      <c r="I2206" s="169" t="s">
        <v>377</v>
      </c>
      <c r="J2206" s="169" t="s">
        <v>1357</v>
      </c>
      <c r="K2206" s="169" t="s">
        <v>1358</v>
      </c>
      <c r="L2206" s="169" t="s">
        <v>1338</v>
      </c>
      <c r="M2206" s="169" t="s">
        <v>281</v>
      </c>
      <c r="N2206" s="178">
        <v>1147018991</v>
      </c>
      <c r="O2206" s="169" t="s">
        <v>1359</v>
      </c>
      <c r="P2206" s="169" t="s">
        <v>283</v>
      </c>
      <c r="Q2206" s="169" t="s">
        <v>284</v>
      </c>
      <c r="R2206" s="169" t="s">
        <v>283</v>
      </c>
      <c r="S2206" s="169" t="s">
        <v>283</v>
      </c>
      <c r="T2206" s="169">
        <v>0</v>
      </c>
    </row>
    <row r="2207" spans="1:20" x14ac:dyDescent="0.2">
      <c r="A2207" s="169" t="str">
        <f t="shared" si="14"/>
        <v>627</v>
      </c>
      <c r="B2207" s="167" t="str">
        <f>_xlfn.XLOOKUP(I2207,Mapping!D:D,Mapping!E:E)</f>
        <v>Kỹ Thuật</v>
      </c>
      <c r="C2207" s="167" t="str">
        <f>_xlfn.XLOOKUP(F2207,Mapping!A:A,Mapping!F:F)</f>
        <v>Lương Chính +T13</v>
      </c>
      <c r="D2207" s="173">
        <v>46022</v>
      </c>
      <c r="E2207" s="169" t="s">
        <v>1356</v>
      </c>
      <c r="F2207" s="169" t="s">
        <v>388</v>
      </c>
      <c r="G2207" s="169" t="s">
        <v>286</v>
      </c>
      <c r="H2207" s="169" t="s">
        <v>376</v>
      </c>
      <c r="I2207" s="169" t="s">
        <v>377</v>
      </c>
      <c r="J2207" s="169" t="s">
        <v>1357</v>
      </c>
      <c r="K2207" s="169" t="s">
        <v>1358</v>
      </c>
      <c r="L2207" s="169" t="s">
        <v>1338</v>
      </c>
      <c r="M2207" s="169" t="s">
        <v>281</v>
      </c>
      <c r="N2207" s="178">
        <v>37455731</v>
      </c>
      <c r="O2207" s="169" t="s">
        <v>1359</v>
      </c>
      <c r="P2207" s="169" t="s">
        <v>283</v>
      </c>
      <c r="Q2207" s="169" t="s">
        <v>284</v>
      </c>
      <c r="R2207" s="169" t="s">
        <v>283</v>
      </c>
      <c r="S2207" s="169" t="s">
        <v>283</v>
      </c>
      <c r="T2207" s="169">
        <v>0</v>
      </c>
    </row>
    <row r="2208" spans="1:20" x14ac:dyDescent="0.2">
      <c r="A2208" s="169" t="str">
        <f t="shared" si="14"/>
        <v>627</v>
      </c>
      <c r="B2208" s="167" t="str">
        <f>_xlfn.XLOOKUP(I2208,Mapping!D:D,Mapping!E:E)</f>
        <v>Kỹ Thuật</v>
      </c>
      <c r="C2208" s="167" t="str">
        <f>_xlfn.XLOOKUP(F2208,Mapping!A:A,Mapping!F:F)</f>
        <v>Lương Ngoài giờ</v>
      </c>
      <c r="D2208" s="173">
        <v>46022</v>
      </c>
      <c r="E2208" s="169" t="s">
        <v>1356</v>
      </c>
      <c r="F2208" s="169" t="s">
        <v>389</v>
      </c>
      <c r="G2208" s="169" t="s">
        <v>390</v>
      </c>
      <c r="H2208" s="169" t="s">
        <v>376</v>
      </c>
      <c r="I2208" s="169" t="s">
        <v>377</v>
      </c>
      <c r="J2208" s="169" t="s">
        <v>1357</v>
      </c>
      <c r="K2208" s="169" t="s">
        <v>1358</v>
      </c>
      <c r="L2208" s="169" t="s">
        <v>1338</v>
      </c>
      <c r="M2208" s="169" t="s">
        <v>281</v>
      </c>
      <c r="N2208" s="178">
        <v>297663882</v>
      </c>
      <c r="O2208" s="169" t="s">
        <v>1359</v>
      </c>
      <c r="P2208" s="169" t="s">
        <v>283</v>
      </c>
      <c r="Q2208" s="169" t="s">
        <v>284</v>
      </c>
      <c r="R2208" s="169" t="s">
        <v>283</v>
      </c>
      <c r="S2208" s="169" t="s">
        <v>283</v>
      </c>
      <c r="T2208" s="169">
        <v>0</v>
      </c>
    </row>
    <row r="2209" spans="1:20" x14ac:dyDescent="0.2">
      <c r="A2209" s="169" t="str">
        <f t="shared" si="14"/>
        <v>627</v>
      </c>
      <c r="B2209" s="167" t="str">
        <f>_xlfn.XLOOKUP(I2209,Mapping!D:D,Mapping!E:E)</f>
        <v>Kỹ Thuật</v>
      </c>
      <c r="C2209" s="167" t="str">
        <f>_xlfn.XLOOKUP(F2209,Mapping!A:A,Mapping!F:F)</f>
        <v>Phụ Cấp</v>
      </c>
      <c r="D2209" s="173">
        <v>46022</v>
      </c>
      <c r="E2209" s="169" t="s">
        <v>1356</v>
      </c>
      <c r="F2209" s="169" t="s">
        <v>375</v>
      </c>
      <c r="G2209" s="169" t="s">
        <v>336</v>
      </c>
      <c r="H2209" s="169" t="s">
        <v>376</v>
      </c>
      <c r="I2209" s="169" t="s">
        <v>377</v>
      </c>
      <c r="J2209" s="169" t="s">
        <v>1357</v>
      </c>
      <c r="K2209" s="169" t="s">
        <v>1358</v>
      </c>
      <c r="L2209" s="169" t="s">
        <v>1338</v>
      </c>
      <c r="M2209" s="169" t="s">
        <v>281</v>
      </c>
      <c r="N2209" s="178">
        <v>325000</v>
      </c>
      <c r="O2209" s="169" t="s">
        <v>1359</v>
      </c>
      <c r="P2209" s="169" t="s">
        <v>283</v>
      </c>
      <c r="Q2209" s="169" t="s">
        <v>284</v>
      </c>
      <c r="R2209" s="169" t="s">
        <v>283</v>
      </c>
      <c r="S2209" s="169" t="s">
        <v>283</v>
      </c>
      <c r="T2209" s="169">
        <v>0</v>
      </c>
    </row>
    <row r="2210" spans="1:20" x14ac:dyDescent="0.2">
      <c r="A2210" s="169" t="str">
        <f t="shared" si="14"/>
        <v>627</v>
      </c>
      <c r="B2210" s="167" t="str">
        <f>_xlfn.XLOOKUP(I2210,Mapping!D:D,Mapping!E:E)</f>
        <v>Kiểm Soát Chất Lượng</v>
      </c>
      <c r="C2210" s="167" t="str">
        <f>_xlfn.XLOOKUP(F2210,Mapping!A:A,Mapping!F:F)</f>
        <v>Phụ Cấp</v>
      </c>
      <c r="D2210" s="173">
        <v>46022</v>
      </c>
      <c r="E2210" s="169" t="s">
        <v>1356</v>
      </c>
      <c r="F2210" s="169" t="s">
        <v>386</v>
      </c>
      <c r="G2210" s="169" t="s">
        <v>341</v>
      </c>
      <c r="H2210" s="169" t="s">
        <v>411</v>
      </c>
      <c r="I2210" s="169" t="s">
        <v>412</v>
      </c>
      <c r="J2210" s="169" t="s">
        <v>1357</v>
      </c>
      <c r="K2210" s="169" t="s">
        <v>1358</v>
      </c>
      <c r="L2210" s="169" t="s">
        <v>1338</v>
      </c>
      <c r="M2210" s="169" t="s">
        <v>281</v>
      </c>
      <c r="N2210" s="178">
        <v>25912395</v>
      </c>
      <c r="O2210" s="169" t="s">
        <v>1359</v>
      </c>
      <c r="P2210" s="169" t="s">
        <v>283</v>
      </c>
      <c r="Q2210" s="169" t="s">
        <v>284</v>
      </c>
      <c r="R2210" s="169" t="s">
        <v>283</v>
      </c>
      <c r="S2210" s="169" t="s">
        <v>283</v>
      </c>
      <c r="T2210" s="169">
        <v>0</v>
      </c>
    </row>
    <row r="2211" spans="1:20" x14ac:dyDescent="0.2">
      <c r="A2211" s="169" t="str">
        <f t="shared" si="14"/>
        <v>627</v>
      </c>
      <c r="B2211" s="167" t="str">
        <f>_xlfn.XLOOKUP(I2211,Mapping!D:D,Mapping!E:E)</f>
        <v>Kiểm Soát Chất Lượng</v>
      </c>
      <c r="C2211" s="167" t="str">
        <f>_xlfn.XLOOKUP(F2211,Mapping!A:A,Mapping!F:F)</f>
        <v>Lương Chính +T13</v>
      </c>
      <c r="D2211" s="173">
        <v>46022</v>
      </c>
      <c r="E2211" s="169" t="s">
        <v>1356</v>
      </c>
      <c r="F2211" s="169" t="s">
        <v>387</v>
      </c>
      <c r="G2211" s="169" t="s">
        <v>275</v>
      </c>
      <c r="H2211" s="169" t="s">
        <v>411</v>
      </c>
      <c r="I2211" s="169" t="s">
        <v>412</v>
      </c>
      <c r="J2211" s="169" t="s">
        <v>1357</v>
      </c>
      <c r="K2211" s="169" t="s">
        <v>1358</v>
      </c>
      <c r="L2211" s="169" t="s">
        <v>1338</v>
      </c>
      <c r="M2211" s="169" t="s">
        <v>281</v>
      </c>
      <c r="N2211" s="178">
        <v>496597160</v>
      </c>
      <c r="O2211" s="169" t="s">
        <v>1359</v>
      </c>
      <c r="P2211" s="169" t="s">
        <v>283</v>
      </c>
      <c r="Q2211" s="169" t="s">
        <v>284</v>
      </c>
      <c r="R2211" s="169" t="s">
        <v>283</v>
      </c>
      <c r="S2211" s="169" t="s">
        <v>283</v>
      </c>
      <c r="T2211" s="169">
        <v>0</v>
      </c>
    </row>
    <row r="2212" spans="1:20" x14ac:dyDescent="0.2">
      <c r="A2212" s="169" t="str">
        <f t="shared" si="14"/>
        <v>627</v>
      </c>
      <c r="B2212" s="167" t="str">
        <f>_xlfn.XLOOKUP(I2212,Mapping!D:D,Mapping!E:E)</f>
        <v>Kiểm Soát Chất Lượng</v>
      </c>
      <c r="C2212" s="167" t="str">
        <f>_xlfn.XLOOKUP(F2212,Mapping!A:A,Mapping!F:F)</f>
        <v>Lương Chính +T13</v>
      </c>
      <c r="D2212" s="173">
        <v>46022</v>
      </c>
      <c r="E2212" s="169" t="s">
        <v>1356</v>
      </c>
      <c r="F2212" s="169" t="s">
        <v>388</v>
      </c>
      <c r="G2212" s="169" t="s">
        <v>286</v>
      </c>
      <c r="H2212" s="169" t="s">
        <v>411</v>
      </c>
      <c r="I2212" s="169" t="s">
        <v>412</v>
      </c>
      <c r="J2212" s="169" t="s">
        <v>1357</v>
      </c>
      <c r="K2212" s="169" t="s">
        <v>1358</v>
      </c>
      <c r="L2212" s="169" t="s">
        <v>1338</v>
      </c>
      <c r="M2212" s="169" t="s">
        <v>281</v>
      </c>
      <c r="N2212" s="178">
        <v>18214443</v>
      </c>
      <c r="O2212" s="169" t="s">
        <v>1359</v>
      </c>
      <c r="P2212" s="169" t="s">
        <v>283</v>
      </c>
      <c r="Q2212" s="169" t="s">
        <v>284</v>
      </c>
      <c r="R2212" s="169" t="s">
        <v>283</v>
      </c>
      <c r="S2212" s="169" t="s">
        <v>283</v>
      </c>
      <c r="T2212" s="169">
        <v>0</v>
      </c>
    </row>
    <row r="2213" spans="1:20" x14ac:dyDescent="0.2">
      <c r="A2213" s="169" t="str">
        <f t="shared" si="14"/>
        <v>627</v>
      </c>
      <c r="B2213" s="167" t="str">
        <f>_xlfn.XLOOKUP(I2213,Mapping!D:D,Mapping!E:E)</f>
        <v>Kiểm Soát Chất Lượng</v>
      </c>
      <c r="C2213" s="167" t="str">
        <f>_xlfn.XLOOKUP(F2213,Mapping!A:A,Mapping!F:F)</f>
        <v>Lương Ngoài giờ</v>
      </c>
      <c r="D2213" s="173">
        <v>46022</v>
      </c>
      <c r="E2213" s="169" t="s">
        <v>1356</v>
      </c>
      <c r="F2213" s="169" t="s">
        <v>389</v>
      </c>
      <c r="G2213" s="169" t="s">
        <v>390</v>
      </c>
      <c r="H2213" s="169" t="s">
        <v>411</v>
      </c>
      <c r="I2213" s="169" t="s">
        <v>412</v>
      </c>
      <c r="J2213" s="169" t="s">
        <v>1357</v>
      </c>
      <c r="K2213" s="169" t="s">
        <v>1358</v>
      </c>
      <c r="L2213" s="169" t="s">
        <v>1338</v>
      </c>
      <c r="M2213" s="169" t="s">
        <v>281</v>
      </c>
      <c r="N2213" s="178">
        <v>154590071</v>
      </c>
      <c r="O2213" s="169" t="s">
        <v>1359</v>
      </c>
      <c r="P2213" s="169" t="s">
        <v>283</v>
      </c>
      <c r="Q2213" s="169" t="s">
        <v>284</v>
      </c>
      <c r="R2213" s="169" t="s">
        <v>283</v>
      </c>
      <c r="S2213" s="169" t="s">
        <v>283</v>
      </c>
      <c r="T2213" s="169">
        <v>0</v>
      </c>
    </row>
    <row r="2214" spans="1:20" x14ac:dyDescent="0.2">
      <c r="A2214" s="169" t="str">
        <f t="shared" si="14"/>
        <v>627</v>
      </c>
      <c r="B2214" s="167" t="str">
        <f>_xlfn.XLOOKUP(I2214,Mapping!D:D,Mapping!E:E)</f>
        <v>Kiểm Soát Chất Lượng</v>
      </c>
      <c r="C2214" s="167" t="str">
        <f>_xlfn.XLOOKUP(F2214,Mapping!A:A,Mapping!F:F)</f>
        <v>Phụ Cấp</v>
      </c>
      <c r="D2214" s="173">
        <v>46022</v>
      </c>
      <c r="E2214" s="169" t="s">
        <v>1356</v>
      </c>
      <c r="F2214" s="169" t="s">
        <v>375</v>
      </c>
      <c r="G2214" s="169" t="s">
        <v>336</v>
      </c>
      <c r="H2214" s="169" t="s">
        <v>411</v>
      </c>
      <c r="I2214" s="169" t="s">
        <v>412</v>
      </c>
      <c r="J2214" s="169" t="s">
        <v>1357</v>
      </c>
      <c r="K2214" s="169" t="s">
        <v>1358</v>
      </c>
      <c r="L2214" s="169" t="s">
        <v>1338</v>
      </c>
      <c r="M2214" s="169" t="s">
        <v>281</v>
      </c>
      <c r="N2214" s="178">
        <v>375000</v>
      </c>
      <c r="O2214" s="169" t="s">
        <v>1359</v>
      </c>
      <c r="P2214" s="169" t="s">
        <v>283</v>
      </c>
      <c r="Q2214" s="169" t="s">
        <v>284</v>
      </c>
      <c r="R2214" s="169" t="s">
        <v>283</v>
      </c>
      <c r="S2214" s="169" t="s">
        <v>283</v>
      </c>
      <c r="T2214" s="169">
        <v>0</v>
      </c>
    </row>
    <row r="2215" spans="1:20" x14ac:dyDescent="0.2">
      <c r="A2215" s="169" t="str">
        <f t="shared" si="14"/>
        <v>627</v>
      </c>
      <c r="B2215" s="167" t="str">
        <f>_xlfn.XLOOKUP(I2215,Mapping!D:D,Mapping!E:E)</f>
        <v>Nghiên Cứu &amp; Phát Triển</v>
      </c>
      <c r="C2215" s="167" t="str">
        <f>_xlfn.XLOOKUP(F2215,Mapping!A:A,Mapping!F:F)</f>
        <v>Lương Chính +T13</v>
      </c>
      <c r="D2215" s="173">
        <v>46022</v>
      </c>
      <c r="E2215" s="169" t="s">
        <v>1356</v>
      </c>
      <c r="F2215" s="169" t="s">
        <v>387</v>
      </c>
      <c r="G2215" s="169" t="s">
        <v>275</v>
      </c>
      <c r="H2215" s="169" t="s">
        <v>418</v>
      </c>
      <c r="I2215" s="169" t="s">
        <v>419</v>
      </c>
      <c r="J2215" s="169" t="s">
        <v>1357</v>
      </c>
      <c r="K2215" s="169" t="s">
        <v>1358</v>
      </c>
      <c r="L2215" s="169" t="s">
        <v>1338</v>
      </c>
      <c r="M2215" s="169" t="s">
        <v>281</v>
      </c>
      <c r="N2215" s="178">
        <v>180214858</v>
      </c>
      <c r="O2215" s="169" t="s">
        <v>1359</v>
      </c>
      <c r="P2215" s="169" t="s">
        <v>283</v>
      </c>
      <c r="Q2215" s="169" t="s">
        <v>284</v>
      </c>
      <c r="R2215" s="169" t="s">
        <v>283</v>
      </c>
      <c r="S2215" s="169" t="s">
        <v>283</v>
      </c>
      <c r="T2215" s="169">
        <v>0</v>
      </c>
    </row>
    <row r="2216" spans="1:20" x14ac:dyDescent="0.2">
      <c r="A2216" s="169" t="str">
        <f t="shared" si="14"/>
        <v>627</v>
      </c>
      <c r="B2216" s="167" t="str">
        <f>_xlfn.XLOOKUP(I2216,Mapping!D:D,Mapping!E:E)</f>
        <v>Nghiên Cứu &amp; Phát Triển</v>
      </c>
      <c r="C2216" s="167" t="str">
        <f>_xlfn.XLOOKUP(F2216,Mapping!A:A,Mapping!F:F)</f>
        <v>Lương Chính +T13</v>
      </c>
      <c r="D2216" s="173">
        <v>46022</v>
      </c>
      <c r="E2216" s="169" t="s">
        <v>1356</v>
      </c>
      <c r="F2216" s="169" t="s">
        <v>388</v>
      </c>
      <c r="G2216" s="169" t="s">
        <v>286</v>
      </c>
      <c r="H2216" s="169" t="s">
        <v>418</v>
      </c>
      <c r="I2216" s="169" t="s">
        <v>419</v>
      </c>
      <c r="J2216" s="169" t="s">
        <v>1357</v>
      </c>
      <c r="K2216" s="169" t="s">
        <v>1358</v>
      </c>
      <c r="L2216" s="169" t="s">
        <v>1338</v>
      </c>
      <c r="M2216" s="169" t="s">
        <v>281</v>
      </c>
      <c r="N2216" s="178">
        <v>14500000</v>
      </c>
      <c r="O2216" s="169" t="s">
        <v>1359</v>
      </c>
      <c r="P2216" s="169" t="s">
        <v>283</v>
      </c>
      <c r="Q2216" s="169" t="s">
        <v>284</v>
      </c>
      <c r="R2216" s="169" t="s">
        <v>283</v>
      </c>
      <c r="S2216" s="169" t="s">
        <v>283</v>
      </c>
      <c r="T2216" s="169">
        <v>0</v>
      </c>
    </row>
    <row r="2217" spans="1:20" x14ac:dyDescent="0.2">
      <c r="A2217" s="169" t="str">
        <f t="shared" si="14"/>
        <v>627</v>
      </c>
      <c r="B2217" s="167" t="str">
        <f>_xlfn.XLOOKUP(I2217,Mapping!D:D,Mapping!E:E)</f>
        <v>Nghiên Cứu &amp; Phát Triển</v>
      </c>
      <c r="C2217" s="167" t="str">
        <f>_xlfn.XLOOKUP(F2217,Mapping!A:A,Mapping!F:F)</f>
        <v>Phụ Cấp</v>
      </c>
      <c r="D2217" s="173">
        <v>46022</v>
      </c>
      <c r="E2217" s="169" t="s">
        <v>1356</v>
      </c>
      <c r="F2217" s="169" t="s">
        <v>375</v>
      </c>
      <c r="G2217" s="169" t="s">
        <v>336</v>
      </c>
      <c r="H2217" s="169" t="s">
        <v>418</v>
      </c>
      <c r="I2217" s="169" t="s">
        <v>419</v>
      </c>
      <c r="J2217" s="169" t="s">
        <v>1357</v>
      </c>
      <c r="K2217" s="169" t="s">
        <v>1358</v>
      </c>
      <c r="L2217" s="169" t="s">
        <v>1338</v>
      </c>
      <c r="M2217" s="169" t="s">
        <v>281</v>
      </c>
      <c r="N2217" s="178">
        <v>1200000</v>
      </c>
      <c r="O2217" s="169" t="s">
        <v>1359</v>
      </c>
      <c r="P2217" s="169" t="s">
        <v>283</v>
      </c>
      <c r="Q2217" s="169" t="s">
        <v>284</v>
      </c>
      <c r="R2217" s="169" t="s">
        <v>283</v>
      </c>
      <c r="S2217" s="169" t="s">
        <v>283</v>
      </c>
      <c r="T2217" s="169">
        <v>0</v>
      </c>
    </row>
    <row r="2218" spans="1:20" x14ac:dyDescent="0.2">
      <c r="A2218" s="169" t="str">
        <f t="shared" si="14"/>
        <v>622</v>
      </c>
      <c r="B2218" s="167" t="str">
        <f>_xlfn.XLOOKUP(I2218,Mapping!D:D,Mapping!E:E)</f>
        <v>Xưởng Sản Xuất</v>
      </c>
      <c r="C2218" s="167" t="str">
        <f>_xlfn.XLOOKUP(F2218,Mapping!A:A,Mapping!F:F)</f>
        <v>Lương Chính +T13</v>
      </c>
      <c r="D2218" s="173">
        <v>46022</v>
      </c>
      <c r="E2218" s="169" t="s">
        <v>1356</v>
      </c>
      <c r="F2218" s="169" t="s">
        <v>400</v>
      </c>
      <c r="G2218" s="169" t="s">
        <v>401</v>
      </c>
      <c r="H2218" s="169" t="s">
        <v>402</v>
      </c>
      <c r="I2218" s="169" t="s">
        <v>403</v>
      </c>
      <c r="J2218" s="169" t="s">
        <v>1357</v>
      </c>
      <c r="K2218" s="169" t="s">
        <v>1358</v>
      </c>
      <c r="L2218" s="169" t="s">
        <v>1338</v>
      </c>
      <c r="M2218" s="169" t="s">
        <v>281</v>
      </c>
      <c r="N2218" s="178">
        <v>1637624055</v>
      </c>
      <c r="O2218" s="169" t="s">
        <v>1359</v>
      </c>
      <c r="P2218" s="169" t="s">
        <v>283</v>
      </c>
      <c r="Q2218" s="169" t="s">
        <v>284</v>
      </c>
      <c r="R2218" s="169" t="s">
        <v>283</v>
      </c>
      <c r="S2218" s="169" t="s">
        <v>283</v>
      </c>
      <c r="T2218" s="169">
        <v>0</v>
      </c>
    </row>
    <row r="2219" spans="1:20" x14ac:dyDescent="0.2">
      <c r="A2219" s="169" t="str">
        <f t="shared" si="14"/>
        <v>622</v>
      </c>
      <c r="B2219" s="167" t="str">
        <f>_xlfn.XLOOKUP(I2219,Mapping!D:D,Mapping!E:E)</f>
        <v>Xưởng Sản Xuất</v>
      </c>
      <c r="C2219" s="167" t="str">
        <f>_xlfn.XLOOKUP(F2219,Mapping!A:A,Mapping!F:F)</f>
        <v>Lương Chính +T13</v>
      </c>
      <c r="D2219" s="173">
        <v>46022</v>
      </c>
      <c r="E2219" s="169" t="s">
        <v>1356</v>
      </c>
      <c r="F2219" s="169" t="s">
        <v>420</v>
      </c>
      <c r="G2219" s="169" t="s">
        <v>286</v>
      </c>
      <c r="H2219" s="169" t="s">
        <v>402</v>
      </c>
      <c r="I2219" s="169" t="s">
        <v>403</v>
      </c>
      <c r="J2219" s="169" t="s">
        <v>1357</v>
      </c>
      <c r="K2219" s="169" t="s">
        <v>1358</v>
      </c>
      <c r="L2219" s="169" t="s">
        <v>1338</v>
      </c>
      <c r="M2219" s="169" t="s">
        <v>281</v>
      </c>
      <c r="N2219" s="178">
        <v>31913419</v>
      </c>
      <c r="O2219" s="169" t="s">
        <v>1359</v>
      </c>
      <c r="P2219" s="169" t="s">
        <v>283</v>
      </c>
      <c r="Q2219" s="169" t="s">
        <v>284</v>
      </c>
      <c r="R2219" s="169" t="s">
        <v>283</v>
      </c>
      <c r="S2219" s="169" t="s">
        <v>283</v>
      </c>
      <c r="T2219" s="169">
        <v>0</v>
      </c>
    </row>
    <row r="2220" spans="1:20" x14ac:dyDescent="0.2">
      <c r="A2220" s="169" t="str">
        <f t="shared" si="14"/>
        <v>622</v>
      </c>
      <c r="B2220" s="167" t="str">
        <f>_xlfn.XLOOKUP(I2220,Mapping!D:D,Mapping!E:E)</f>
        <v>Xưởng Sản Xuất</v>
      </c>
      <c r="C2220" s="167" t="str">
        <f>_xlfn.XLOOKUP(F2220,Mapping!A:A,Mapping!F:F)</f>
        <v>Phụ Cấp</v>
      </c>
      <c r="D2220" s="173">
        <v>46022</v>
      </c>
      <c r="E2220" s="169" t="s">
        <v>1356</v>
      </c>
      <c r="F2220" s="169" t="s">
        <v>421</v>
      </c>
      <c r="G2220" s="169" t="s">
        <v>341</v>
      </c>
      <c r="H2220" s="169" t="s">
        <v>402</v>
      </c>
      <c r="I2220" s="169" t="s">
        <v>403</v>
      </c>
      <c r="J2220" s="169" t="s">
        <v>1357</v>
      </c>
      <c r="K2220" s="169" t="s">
        <v>1358</v>
      </c>
      <c r="L2220" s="169" t="s">
        <v>1338</v>
      </c>
      <c r="M2220" s="169" t="s">
        <v>281</v>
      </c>
      <c r="N2220" s="178">
        <v>131232600</v>
      </c>
      <c r="O2220" s="169" t="s">
        <v>1359</v>
      </c>
      <c r="P2220" s="169" t="s">
        <v>283</v>
      </c>
      <c r="Q2220" s="169" t="s">
        <v>284</v>
      </c>
      <c r="R2220" s="169" t="s">
        <v>283</v>
      </c>
      <c r="S2220" s="169" t="s">
        <v>283</v>
      </c>
      <c r="T2220" s="169">
        <v>0</v>
      </c>
    </row>
    <row r="2221" spans="1:20" x14ac:dyDescent="0.2">
      <c r="A2221" s="169" t="str">
        <f t="shared" si="14"/>
        <v>622</v>
      </c>
      <c r="B2221" s="167" t="str">
        <f>_xlfn.XLOOKUP(I2221,Mapping!D:D,Mapping!E:E)</f>
        <v>Xưởng Sản Xuất</v>
      </c>
      <c r="C2221" s="167" t="str">
        <f>_xlfn.XLOOKUP(F2221,Mapping!A:A,Mapping!F:F)</f>
        <v>Lương Ngoài giờ</v>
      </c>
      <c r="D2221" s="173">
        <v>46022</v>
      </c>
      <c r="E2221" s="169" t="s">
        <v>1356</v>
      </c>
      <c r="F2221" s="169" t="s">
        <v>422</v>
      </c>
      <c r="G2221" s="169" t="s">
        <v>423</v>
      </c>
      <c r="H2221" s="169" t="s">
        <v>402</v>
      </c>
      <c r="I2221" s="169" t="s">
        <v>403</v>
      </c>
      <c r="J2221" s="169" t="s">
        <v>1357</v>
      </c>
      <c r="K2221" s="169" t="s">
        <v>1358</v>
      </c>
      <c r="L2221" s="169" t="s">
        <v>1338</v>
      </c>
      <c r="M2221" s="169" t="s">
        <v>281</v>
      </c>
      <c r="N2221" s="178">
        <v>323901348</v>
      </c>
      <c r="O2221" s="169" t="s">
        <v>1359</v>
      </c>
      <c r="P2221" s="169" t="s">
        <v>283</v>
      </c>
      <c r="Q2221" s="169" t="s">
        <v>284</v>
      </c>
      <c r="R2221" s="169" t="s">
        <v>283</v>
      </c>
      <c r="S2221" s="169" t="s">
        <v>283</v>
      </c>
      <c r="T2221" s="169">
        <v>0</v>
      </c>
    </row>
    <row r="2222" spans="1:20" x14ac:dyDescent="0.2">
      <c r="A2222" s="169" t="str">
        <f t="shared" si="14"/>
        <v>627</v>
      </c>
      <c r="B2222" s="167" t="str">
        <f>_xlfn.XLOOKUP(I2222,Mapping!D:D,Mapping!E:E)</f>
        <v>Xưởng Sản Xuất</v>
      </c>
      <c r="C2222" s="167" t="str">
        <f>_xlfn.XLOOKUP(F2222,Mapping!A:A,Mapping!F:F)</f>
        <v>Phụ Cấp</v>
      </c>
      <c r="D2222" s="173">
        <v>46022</v>
      </c>
      <c r="E2222" s="169" t="s">
        <v>1356</v>
      </c>
      <c r="F2222" s="169" t="s">
        <v>386</v>
      </c>
      <c r="G2222" s="169" t="s">
        <v>341</v>
      </c>
      <c r="H2222" s="169" t="s">
        <v>402</v>
      </c>
      <c r="I2222" s="169" t="s">
        <v>403</v>
      </c>
      <c r="J2222" s="169" t="s">
        <v>1357</v>
      </c>
      <c r="K2222" s="169" t="s">
        <v>1358</v>
      </c>
      <c r="L2222" s="169" t="s">
        <v>1338</v>
      </c>
      <c r="M2222" s="169" t="s">
        <v>281</v>
      </c>
      <c r="N2222" s="178">
        <v>11979043</v>
      </c>
      <c r="O2222" s="169" t="s">
        <v>1359</v>
      </c>
      <c r="P2222" s="169" t="s">
        <v>283</v>
      </c>
      <c r="Q2222" s="169" t="s">
        <v>284</v>
      </c>
      <c r="R2222" s="169" t="s">
        <v>283</v>
      </c>
      <c r="S2222" s="169" t="s">
        <v>283</v>
      </c>
      <c r="T2222" s="169">
        <v>0</v>
      </c>
    </row>
    <row r="2223" spans="1:20" x14ac:dyDescent="0.2">
      <c r="A2223" s="169" t="str">
        <f t="shared" si="14"/>
        <v>627</v>
      </c>
      <c r="B2223" s="167" t="str">
        <f>_xlfn.XLOOKUP(I2223,Mapping!D:D,Mapping!E:E)</f>
        <v>Xưởng Sản Xuất</v>
      </c>
      <c r="C2223" s="167" t="str">
        <f>_xlfn.XLOOKUP(F2223,Mapping!A:A,Mapping!F:F)</f>
        <v>Lương Chính +T13</v>
      </c>
      <c r="D2223" s="173">
        <v>46022</v>
      </c>
      <c r="E2223" s="169" t="s">
        <v>1356</v>
      </c>
      <c r="F2223" s="169" t="s">
        <v>387</v>
      </c>
      <c r="G2223" s="169" t="s">
        <v>275</v>
      </c>
      <c r="H2223" s="169" t="s">
        <v>402</v>
      </c>
      <c r="I2223" s="169" t="s">
        <v>403</v>
      </c>
      <c r="J2223" s="169" t="s">
        <v>1357</v>
      </c>
      <c r="K2223" s="169" t="s">
        <v>1358</v>
      </c>
      <c r="L2223" s="169" t="s">
        <v>1338</v>
      </c>
      <c r="M2223" s="169" t="s">
        <v>281</v>
      </c>
      <c r="N2223" s="178">
        <v>414926434</v>
      </c>
      <c r="O2223" s="169" t="s">
        <v>1359</v>
      </c>
      <c r="P2223" s="169" t="s">
        <v>283</v>
      </c>
      <c r="Q2223" s="169" t="s">
        <v>284</v>
      </c>
      <c r="R2223" s="169" t="s">
        <v>283</v>
      </c>
      <c r="S2223" s="169" t="s">
        <v>283</v>
      </c>
      <c r="T2223" s="169">
        <v>0</v>
      </c>
    </row>
    <row r="2224" spans="1:20" x14ac:dyDescent="0.2">
      <c r="A2224" s="169" t="str">
        <f t="shared" si="14"/>
        <v>627</v>
      </c>
      <c r="B2224" s="167" t="str">
        <f>_xlfn.XLOOKUP(I2224,Mapping!D:D,Mapping!E:E)</f>
        <v>Xưởng Sản Xuất</v>
      </c>
      <c r="C2224" s="167" t="str">
        <f>_xlfn.XLOOKUP(F2224,Mapping!A:A,Mapping!F:F)</f>
        <v>Lương Chính +T13</v>
      </c>
      <c r="D2224" s="173">
        <v>46022</v>
      </c>
      <c r="E2224" s="169" t="s">
        <v>1356</v>
      </c>
      <c r="F2224" s="169" t="s">
        <v>388</v>
      </c>
      <c r="G2224" s="169" t="s">
        <v>286</v>
      </c>
      <c r="H2224" s="169" t="s">
        <v>402</v>
      </c>
      <c r="I2224" s="169" t="s">
        <v>403</v>
      </c>
      <c r="J2224" s="169" t="s">
        <v>1357</v>
      </c>
      <c r="K2224" s="169" t="s">
        <v>1358</v>
      </c>
      <c r="L2224" s="169" t="s">
        <v>1338</v>
      </c>
      <c r="M2224" s="169" t="s">
        <v>281</v>
      </c>
      <c r="N2224" s="178">
        <v>18815675</v>
      </c>
      <c r="O2224" s="169" t="s">
        <v>1359</v>
      </c>
      <c r="P2224" s="169" t="s">
        <v>283</v>
      </c>
      <c r="Q2224" s="169" t="s">
        <v>284</v>
      </c>
      <c r="R2224" s="169" t="s">
        <v>283</v>
      </c>
      <c r="S2224" s="169" t="s">
        <v>283</v>
      </c>
      <c r="T2224" s="169">
        <v>0</v>
      </c>
    </row>
    <row r="2225" spans="1:20" x14ac:dyDescent="0.2">
      <c r="A2225" s="169" t="str">
        <f t="shared" si="14"/>
        <v>627</v>
      </c>
      <c r="B2225" s="167" t="str">
        <f>_xlfn.XLOOKUP(I2225,Mapping!D:D,Mapping!E:E)</f>
        <v>Xưởng Sản Xuất</v>
      </c>
      <c r="C2225" s="167" t="str">
        <f>_xlfn.XLOOKUP(F2225,Mapping!A:A,Mapping!F:F)</f>
        <v>Lương Ngoài giờ</v>
      </c>
      <c r="D2225" s="173">
        <v>46022</v>
      </c>
      <c r="E2225" s="169" t="s">
        <v>1356</v>
      </c>
      <c r="F2225" s="169" t="s">
        <v>389</v>
      </c>
      <c r="G2225" s="169" t="s">
        <v>390</v>
      </c>
      <c r="H2225" s="169" t="s">
        <v>402</v>
      </c>
      <c r="I2225" s="169" t="s">
        <v>403</v>
      </c>
      <c r="J2225" s="169" t="s">
        <v>1357</v>
      </c>
      <c r="K2225" s="169" t="s">
        <v>1358</v>
      </c>
      <c r="L2225" s="169" t="s">
        <v>1338</v>
      </c>
      <c r="M2225" s="169" t="s">
        <v>281</v>
      </c>
      <c r="N2225" s="178">
        <v>42197614</v>
      </c>
      <c r="O2225" s="169" t="s">
        <v>1359</v>
      </c>
      <c r="P2225" s="169" t="s">
        <v>283</v>
      </c>
      <c r="Q2225" s="169" t="s">
        <v>284</v>
      </c>
      <c r="R2225" s="169" t="s">
        <v>283</v>
      </c>
      <c r="S2225" s="169" t="s">
        <v>283</v>
      </c>
      <c r="T2225" s="169">
        <v>0</v>
      </c>
    </row>
    <row r="2226" spans="1:20" x14ac:dyDescent="0.2">
      <c r="A2226" s="169" t="str">
        <f t="shared" si="14"/>
        <v>627</v>
      </c>
      <c r="B2226" s="167" t="str">
        <f>_xlfn.XLOOKUP(I2226,Mapping!D:D,Mapping!E:E)</f>
        <v>Xưởng Sản Xuất</v>
      </c>
      <c r="C2226" s="167" t="str">
        <f>_xlfn.XLOOKUP(F2226,Mapping!A:A,Mapping!F:F)</f>
        <v>Phụ Cấp</v>
      </c>
      <c r="D2226" s="173">
        <v>46022</v>
      </c>
      <c r="E2226" s="169" t="s">
        <v>1356</v>
      </c>
      <c r="F2226" s="169" t="s">
        <v>375</v>
      </c>
      <c r="G2226" s="169" t="s">
        <v>336</v>
      </c>
      <c r="H2226" s="169" t="s">
        <v>402</v>
      </c>
      <c r="I2226" s="169" t="s">
        <v>403</v>
      </c>
      <c r="J2226" s="169" t="s">
        <v>1357</v>
      </c>
      <c r="K2226" s="169" t="s">
        <v>1358</v>
      </c>
      <c r="L2226" s="169" t="s">
        <v>1338</v>
      </c>
      <c r="M2226" s="169" t="s">
        <v>281</v>
      </c>
      <c r="N2226" s="178">
        <v>510000</v>
      </c>
      <c r="O2226" s="169" t="s">
        <v>1359</v>
      </c>
      <c r="P2226" s="169" t="s">
        <v>283</v>
      </c>
      <c r="Q2226" s="169" t="s">
        <v>284</v>
      </c>
      <c r="R2226" s="169" t="s">
        <v>283</v>
      </c>
      <c r="S2226" s="169" t="s">
        <v>283</v>
      </c>
      <c r="T2226" s="169">
        <v>0</v>
      </c>
    </row>
    <row r="2227" spans="1:20" x14ac:dyDescent="0.2">
      <c r="A2227" s="169" t="str">
        <f t="shared" si="14"/>
        <v>622</v>
      </c>
      <c r="B2227" s="167" t="str">
        <f>_xlfn.XLOOKUP(I2227,Mapping!D:D,Mapping!E:E)</f>
        <v>Xưởng Sản Xuất</v>
      </c>
      <c r="C2227" s="167" t="str">
        <f>_xlfn.XLOOKUP(F2227,Mapping!A:A,Mapping!F:F)</f>
        <v>Lương Chính +T13</v>
      </c>
      <c r="D2227" s="173">
        <v>46022</v>
      </c>
      <c r="E2227" s="169" t="s">
        <v>1356</v>
      </c>
      <c r="F2227" s="169" t="s">
        <v>400</v>
      </c>
      <c r="G2227" s="169" t="s">
        <v>401</v>
      </c>
      <c r="H2227" s="169" t="s">
        <v>430</v>
      </c>
      <c r="I2227" s="169" t="s">
        <v>431</v>
      </c>
      <c r="J2227" s="169" t="s">
        <v>1357</v>
      </c>
      <c r="K2227" s="169" t="s">
        <v>1358</v>
      </c>
      <c r="L2227" s="169" t="s">
        <v>1338</v>
      </c>
      <c r="M2227" s="169" t="s">
        <v>281</v>
      </c>
      <c r="N2227" s="178">
        <v>275523659</v>
      </c>
      <c r="O2227" s="169" t="s">
        <v>1359</v>
      </c>
      <c r="P2227" s="169" t="s">
        <v>283</v>
      </c>
      <c r="Q2227" s="169" t="s">
        <v>284</v>
      </c>
      <c r="R2227" s="169" t="s">
        <v>283</v>
      </c>
      <c r="S2227" s="169" t="s">
        <v>283</v>
      </c>
      <c r="T2227" s="169">
        <v>0</v>
      </c>
    </row>
    <row r="2228" spans="1:20" x14ac:dyDescent="0.2">
      <c r="A2228" s="169" t="str">
        <f t="shared" si="14"/>
        <v>622</v>
      </c>
      <c r="B2228" s="167" t="str">
        <f>_xlfn.XLOOKUP(I2228,Mapping!D:D,Mapping!E:E)</f>
        <v>Xưởng Sản Xuất</v>
      </c>
      <c r="C2228" s="167" t="str">
        <f>_xlfn.XLOOKUP(F2228,Mapping!A:A,Mapping!F:F)</f>
        <v>Lương Chính +T13</v>
      </c>
      <c r="D2228" s="173">
        <v>46022</v>
      </c>
      <c r="E2228" s="169" t="s">
        <v>1356</v>
      </c>
      <c r="F2228" s="169" t="s">
        <v>420</v>
      </c>
      <c r="G2228" s="169" t="s">
        <v>286</v>
      </c>
      <c r="H2228" s="169" t="s">
        <v>430</v>
      </c>
      <c r="I2228" s="169" t="s">
        <v>431</v>
      </c>
      <c r="J2228" s="169" t="s">
        <v>1357</v>
      </c>
      <c r="K2228" s="169" t="s">
        <v>1358</v>
      </c>
      <c r="L2228" s="169" t="s">
        <v>1338</v>
      </c>
      <c r="M2228" s="169" t="s">
        <v>281</v>
      </c>
      <c r="N2228" s="178">
        <v>5787504</v>
      </c>
      <c r="O2228" s="169" t="s">
        <v>1359</v>
      </c>
      <c r="P2228" s="169" t="s">
        <v>283</v>
      </c>
      <c r="Q2228" s="169" t="s">
        <v>284</v>
      </c>
      <c r="R2228" s="169" t="s">
        <v>283</v>
      </c>
      <c r="S2228" s="169" t="s">
        <v>283</v>
      </c>
      <c r="T2228" s="169">
        <v>0</v>
      </c>
    </row>
    <row r="2229" spans="1:20" x14ac:dyDescent="0.2">
      <c r="A2229" s="169" t="str">
        <f t="shared" si="14"/>
        <v>622</v>
      </c>
      <c r="B2229" s="167" t="str">
        <f>_xlfn.XLOOKUP(I2229,Mapping!D:D,Mapping!E:E)</f>
        <v>Xưởng Sản Xuất</v>
      </c>
      <c r="C2229" s="167" t="str">
        <f>_xlfn.XLOOKUP(F2229,Mapping!A:A,Mapping!F:F)</f>
        <v>Phụ Cấp</v>
      </c>
      <c r="D2229" s="173">
        <v>46022</v>
      </c>
      <c r="E2229" s="169" t="s">
        <v>1356</v>
      </c>
      <c r="F2229" s="169" t="s">
        <v>421</v>
      </c>
      <c r="G2229" s="169" t="s">
        <v>341</v>
      </c>
      <c r="H2229" s="169" t="s">
        <v>430</v>
      </c>
      <c r="I2229" s="169" t="s">
        <v>431</v>
      </c>
      <c r="J2229" s="169" t="s">
        <v>1357</v>
      </c>
      <c r="K2229" s="169" t="s">
        <v>1358</v>
      </c>
      <c r="L2229" s="169" t="s">
        <v>1338</v>
      </c>
      <c r="M2229" s="169" t="s">
        <v>281</v>
      </c>
      <c r="N2229" s="178">
        <v>23927427</v>
      </c>
      <c r="O2229" s="169" t="s">
        <v>1359</v>
      </c>
      <c r="P2229" s="169" t="s">
        <v>283</v>
      </c>
      <c r="Q2229" s="169" t="s">
        <v>284</v>
      </c>
      <c r="R2229" s="169" t="s">
        <v>283</v>
      </c>
      <c r="S2229" s="169" t="s">
        <v>283</v>
      </c>
      <c r="T2229" s="169">
        <v>0</v>
      </c>
    </row>
    <row r="2230" spans="1:20" x14ac:dyDescent="0.2">
      <c r="A2230" s="169" t="str">
        <f t="shared" si="14"/>
        <v>622</v>
      </c>
      <c r="B2230" s="167" t="str">
        <f>_xlfn.XLOOKUP(I2230,Mapping!D:D,Mapping!E:E)</f>
        <v>Xưởng Sản Xuất</v>
      </c>
      <c r="C2230" s="167" t="str">
        <f>_xlfn.XLOOKUP(F2230,Mapping!A:A,Mapping!F:F)</f>
        <v>Lương Ngoài giờ</v>
      </c>
      <c r="D2230" s="173">
        <v>46022</v>
      </c>
      <c r="E2230" s="169" t="s">
        <v>1356</v>
      </c>
      <c r="F2230" s="169" t="s">
        <v>422</v>
      </c>
      <c r="G2230" s="169" t="s">
        <v>423</v>
      </c>
      <c r="H2230" s="169" t="s">
        <v>430</v>
      </c>
      <c r="I2230" s="169" t="s">
        <v>431</v>
      </c>
      <c r="J2230" s="169" t="s">
        <v>1357</v>
      </c>
      <c r="K2230" s="169" t="s">
        <v>1358</v>
      </c>
      <c r="L2230" s="169" t="s">
        <v>1338</v>
      </c>
      <c r="M2230" s="169" t="s">
        <v>281</v>
      </c>
      <c r="N2230" s="178">
        <v>46350421</v>
      </c>
      <c r="O2230" s="169" t="s">
        <v>1359</v>
      </c>
      <c r="P2230" s="169" t="s">
        <v>283</v>
      </c>
      <c r="Q2230" s="169" t="s">
        <v>284</v>
      </c>
      <c r="R2230" s="169" t="s">
        <v>283</v>
      </c>
      <c r="S2230" s="169" t="s">
        <v>283</v>
      </c>
      <c r="T2230" s="169">
        <v>0</v>
      </c>
    </row>
    <row r="2231" spans="1:20" x14ac:dyDescent="0.2">
      <c r="A2231" s="169" t="str">
        <f t="shared" si="14"/>
        <v>627</v>
      </c>
      <c r="B2231" s="167" t="str">
        <f>_xlfn.XLOOKUP(I2231,Mapping!D:D,Mapping!E:E)</f>
        <v>Xưởng Sản Xuất</v>
      </c>
      <c r="C2231" s="167" t="str">
        <f>_xlfn.XLOOKUP(F2231,Mapping!A:A,Mapping!F:F)</f>
        <v>Phụ Cấp</v>
      </c>
      <c r="D2231" s="173">
        <v>46022</v>
      </c>
      <c r="E2231" s="169" t="s">
        <v>1356</v>
      </c>
      <c r="F2231" s="169" t="s">
        <v>386</v>
      </c>
      <c r="G2231" s="169" t="s">
        <v>341</v>
      </c>
      <c r="H2231" s="169" t="s">
        <v>430</v>
      </c>
      <c r="I2231" s="169" t="s">
        <v>431</v>
      </c>
      <c r="J2231" s="169" t="s">
        <v>1357</v>
      </c>
      <c r="K2231" s="169" t="s">
        <v>1358</v>
      </c>
      <c r="L2231" s="169" t="s">
        <v>1338</v>
      </c>
      <c r="M2231" s="169" t="s">
        <v>281</v>
      </c>
      <c r="N2231" s="178">
        <v>7726899</v>
      </c>
      <c r="O2231" s="169" t="s">
        <v>1359</v>
      </c>
      <c r="P2231" s="169" t="s">
        <v>283</v>
      </c>
      <c r="Q2231" s="169" t="s">
        <v>284</v>
      </c>
      <c r="R2231" s="169" t="s">
        <v>283</v>
      </c>
      <c r="S2231" s="169" t="s">
        <v>283</v>
      </c>
      <c r="T2231" s="169">
        <v>0</v>
      </c>
    </row>
    <row r="2232" spans="1:20" x14ac:dyDescent="0.2">
      <c r="A2232" s="169" t="str">
        <f t="shared" si="14"/>
        <v>627</v>
      </c>
      <c r="B2232" s="167" t="str">
        <f>_xlfn.XLOOKUP(I2232,Mapping!D:D,Mapping!E:E)</f>
        <v>Xưởng Sản Xuất</v>
      </c>
      <c r="C2232" s="167" t="str">
        <f>_xlfn.XLOOKUP(F2232,Mapping!A:A,Mapping!F:F)</f>
        <v>Lương Chính +T13</v>
      </c>
      <c r="D2232" s="173">
        <v>46022</v>
      </c>
      <c r="E2232" s="169" t="s">
        <v>1356</v>
      </c>
      <c r="F2232" s="169" t="s">
        <v>387</v>
      </c>
      <c r="G2232" s="169" t="s">
        <v>275</v>
      </c>
      <c r="H2232" s="169" t="s">
        <v>430</v>
      </c>
      <c r="I2232" s="169" t="s">
        <v>431</v>
      </c>
      <c r="J2232" s="169" t="s">
        <v>1357</v>
      </c>
      <c r="K2232" s="169" t="s">
        <v>1358</v>
      </c>
      <c r="L2232" s="169" t="s">
        <v>1338</v>
      </c>
      <c r="M2232" s="169" t="s">
        <v>281</v>
      </c>
      <c r="N2232" s="178">
        <v>153452790</v>
      </c>
      <c r="O2232" s="169" t="s">
        <v>1359</v>
      </c>
      <c r="P2232" s="169" t="s">
        <v>283</v>
      </c>
      <c r="Q2232" s="169" t="s">
        <v>284</v>
      </c>
      <c r="R2232" s="169" t="s">
        <v>283</v>
      </c>
      <c r="S2232" s="169" t="s">
        <v>283</v>
      </c>
      <c r="T2232" s="169">
        <v>0</v>
      </c>
    </row>
    <row r="2233" spans="1:20" x14ac:dyDescent="0.2">
      <c r="A2233" s="169" t="str">
        <f t="shared" si="14"/>
        <v>627</v>
      </c>
      <c r="B2233" s="167" t="str">
        <f>_xlfn.XLOOKUP(I2233,Mapping!D:D,Mapping!E:E)</f>
        <v>Xưởng Sản Xuất</v>
      </c>
      <c r="C2233" s="167" t="str">
        <f>_xlfn.XLOOKUP(F2233,Mapping!A:A,Mapping!F:F)</f>
        <v>Lương Chính +T13</v>
      </c>
      <c r="D2233" s="173">
        <v>46022</v>
      </c>
      <c r="E2233" s="169" t="s">
        <v>1356</v>
      </c>
      <c r="F2233" s="169" t="s">
        <v>388</v>
      </c>
      <c r="G2233" s="169" t="s">
        <v>286</v>
      </c>
      <c r="H2233" s="169" t="s">
        <v>430</v>
      </c>
      <c r="I2233" s="169" t="s">
        <v>431</v>
      </c>
      <c r="J2233" s="169" t="s">
        <v>1357</v>
      </c>
      <c r="K2233" s="169" t="s">
        <v>1358</v>
      </c>
      <c r="L2233" s="169" t="s">
        <v>1338</v>
      </c>
      <c r="M2233" s="169" t="s">
        <v>281</v>
      </c>
      <c r="N2233" s="178">
        <v>2573558</v>
      </c>
      <c r="O2233" s="169" t="s">
        <v>1359</v>
      </c>
      <c r="P2233" s="169" t="s">
        <v>283</v>
      </c>
      <c r="Q2233" s="169" t="s">
        <v>284</v>
      </c>
      <c r="R2233" s="169" t="s">
        <v>283</v>
      </c>
      <c r="S2233" s="169" t="s">
        <v>283</v>
      </c>
      <c r="T2233" s="169">
        <v>0</v>
      </c>
    </row>
    <row r="2234" spans="1:20" x14ac:dyDescent="0.2">
      <c r="A2234" s="169" t="str">
        <f t="shared" si="14"/>
        <v>627</v>
      </c>
      <c r="B2234" s="167" t="str">
        <f>_xlfn.XLOOKUP(I2234,Mapping!D:D,Mapping!E:E)</f>
        <v>Xưởng Sản Xuất</v>
      </c>
      <c r="C2234" s="167" t="str">
        <f>_xlfn.XLOOKUP(F2234,Mapping!A:A,Mapping!F:F)</f>
        <v>Lương Ngoài giờ</v>
      </c>
      <c r="D2234" s="173">
        <v>46022</v>
      </c>
      <c r="E2234" s="169" t="s">
        <v>1356</v>
      </c>
      <c r="F2234" s="169" t="s">
        <v>389</v>
      </c>
      <c r="G2234" s="169" t="s">
        <v>390</v>
      </c>
      <c r="H2234" s="169" t="s">
        <v>430</v>
      </c>
      <c r="I2234" s="169" t="s">
        <v>431</v>
      </c>
      <c r="J2234" s="169" t="s">
        <v>1357</v>
      </c>
      <c r="K2234" s="169" t="s">
        <v>1358</v>
      </c>
      <c r="L2234" s="169" t="s">
        <v>1338</v>
      </c>
      <c r="M2234" s="169" t="s">
        <v>281</v>
      </c>
      <c r="N2234" s="178">
        <v>16281804</v>
      </c>
      <c r="O2234" s="169" t="s">
        <v>1359</v>
      </c>
      <c r="P2234" s="169" t="s">
        <v>283</v>
      </c>
      <c r="Q2234" s="169" t="s">
        <v>284</v>
      </c>
      <c r="R2234" s="169" t="s">
        <v>283</v>
      </c>
      <c r="S2234" s="169" t="s">
        <v>283</v>
      </c>
      <c r="T2234" s="169">
        <v>0</v>
      </c>
    </row>
    <row r="2235" spans="1:20" x14ac:dyDescent="0.2">
      <c r="A2235" s="169" t="str">
        <f t="shared" si="14"/>
        <v>627</v>
      </c>
      <c r="B2235" s="167" t="str">
        <f>_xlfn.XLOOKUP(I2235,Mapping!D:D,Mapping!E:E)</f>
        <v>Xưởng Sản Xuất</v>
      </c>
      <c r="C2235" s="167" t="str">
        <f>_xlfn.XLOOKUP(F2235,Mapping!A:A,Mapping!F:F)</f>
        <v>Phụ Cấp</v>
      </c>
      <c r="D2235" s="173">
        <v>46022</v>
      </c>
      <c r="E2235" s="169" t="s">
        <v>1356</v>
      </c>
      <c r="F2235" s="169" t="s">
        <v>386</v>
      </c>
      <c r="G2235" s="169" t="s">
        <v>341</v>
      </c>
      <c r="H2235" s="169" t="s">
        <v>436</v>
      </c>
      <c r="I2235" s="169" t="s">
        <v>437</v>
      </c>
      <c r="J2235" s="169" t="s">
        <v>1357</v>
      </c>
      <c r="K2235" s="169" t="s">
        <v>1358</v>
      </c>
      <c r="L2235" s="169" t="s">
        <v>1338</v>
      </c>
      <c r="M2235" s="169" t="s">
        <v>281</v>
      </c>
      <c r="N2235" s="178">
        <v>7203034</v>
      </c>
      <c r="O2235" s="169" t="s">
        <v>1359</v>
      </c>
      <c r="P2235" s="169" t="s">
        <v>283</v>
      </c>
      <c r="Q2235" s="169" t="s">
        <v>284</v>
      </c>
      <c r="R2235" s="169" t="s">
        <v>283</v>
      </c>
      <c r="S2235" s="169" t="s">
        <v>283</v>
      </c>
      <c r="T2235" s="169">
        <v>0</v>
      </c>
    </row>
    <row r="2236" spans="1:20" x14ac:dyDescent="0.2">
      <c r="A2236" s="169" t="str">
        <f t="shared" si="14"/>
        <v>627</v>
      </c>
      <c r="B2236" s="167" t="str">
        <f>_xlfn.XLOOKUP(I2236,Mapping!D:D,Mapping!E:E)</f>
        <v>Xưởng Sản Xuất</v>
      </c>
      <c r="C2236" s="167" t="str">
        <f>_xlfn.XLOOKUP(F2236,Mapping!A:A,Mapping!F:F)</f>
        <v>Lương Chính +T13</v>
      </c>
      <c r="D2236" s="173">
        <v>46022</v>
      </c>
      <c r="E2236" s="169" t="s">
        <v>1356</v>
      </c>
      <c r="F2236" s="169" t="s">
        <v>387</v>
      </c>
      <c r="G2236" s="169" t="s">
        <v>275</v>
      </c>
      <c r="H2236" s="169" t="s">
        <v>436</v>
      </c>
      <c r="I2236" s="169" t="s">
        <v>437</v>
      </c>
      <c r="J2236" s="169" t="s">
        <v>1357</v>
      </c>
      <c r="K2236" s="169" t="s">
        <v>1358</v>
      </c>
      <c r="L2236" s="169" t="s">
        <v>1338</v>
      </c>
      <c r="M2236" s="169" t="s">
        <v>281</v>
      </c>
      <c r="N2236" s="178">
        <v>358734943</v>
      </c>
      <c r="O2236" s="169" t="s">
        <v>1359</v>
      </c>
      <c r="P2236" s="169" t="s">
        <v>283</v>
      </c>
      <c r="Q2236" s="169" t="s">
        <v>284</v>
      </c>
      <c r="R2236" s="169" t="s">
        <v>283</v>
      </c>
      <c r="S2236" s="169" t="s">
        <v>283</v>
      </c>
      <c r="T2236" s="169">
        <v>0</v>
      </c>
    </row>
    <row r="2237" spans="1:20" x14ac:dyDescent="0.2">
      <c r="A2237" s="169" t="str">
        <f t="shared" si="14"/>
        <v>627</v>
      </c>
      <c r="B2237" s="167" t="str">
        <f>_xlfn.XLOOKUP(I2237,Mapping!D:D,Mapping!E:E)</f>
        <v>Xưởng Sản Xuất</v>
      </c>
      <c r="C2237" s="167" t="str">
        <f>_xlfn.XLOOKUP(F2237,Mapping!A:A,Mapping!F:F)</f>
        <v>Lương Chính +T13</v>
      </c>
      <c r="D2237" s="173">
        <v>46022</v>
      </c>
      <c r="E2237" s="169" t="s">
        <v>1356</v>
      </c>
      <c r="F2237" s="169" t="s">
        <v>388</v>
      </c>
      <c r="G2237" s="169" t="s">
        <v>286</v>
      </c>
      <c r="H2237" s="169" t="s">
        <v>436</v>
      </c>
      <c r="I2237" s="169" t="s">
        <v>437</v>
      </c>
      <c r="J2237" s="169" t="s">
        <v>1357</v>
      </c>
      <c r="K2237" s="169" t="s">
        <v>1358</v>
      </c>
      <c r="L2237" s="169" t="s">
        <v>1338</v>
      </c>
      <c r="M2237" s="169" t="s">
        <v>281</v>
      </c>
      <c r="N2237" s="178">
        <v>13299810</v>
      </c>
      <c r="O2237" s="169" t="s">
        <v>1359</v>
      </c>
      <c r="P2237" s="169" t="s">
        <v>283</v>
      </c>
      <c r="Q2237" s="169" t="s">
        <v>284</v>
      </c>
      <c r="R2237" s="169" t="s">
        <v>283</v>
      </c>
      <c r="S2237" s="169" t="s">
        <v>283</v>
      </c>
      <c r="T2237" s="169">
        <v>0</v>
      </c>
    </row>
    <row r="2238" spans="1:20" x14ac:dyDescent="0.2">
      <c r="A2238" s="169" t="str">
        <f t="shared" si="14"/>
        <v>627</v>
      </c>
      <c r="B2238" s="167" t="str">
        <f>_xlfn.XLOOKUP(I2238,Mapping!D:D,Mapping!E:E)</f>
        <v>Xưởng Sản Xuất</v>
      </c>
      <c r="C2238" s="167" t="str">
        <f>_xlfn.XLOOKUP(F2238,Mapping!A:A,Mapping!F:F)</f>
        <v>Lương Ngoài giờ</v>
      </c>
      <c r="D2238" s="173">
        <v>46022</v>
      </c>
      <c r="E2238" s="169" t="s">
        <v>1356</v>
      </c>
      <c r="F2238" s="169" t="s">
        <v>389</v>
      </c>
      <c r="G2238" s="169" t="s">
        <v>390</v>
      </c>
      <c r="H2238" s="169" t="s">
        <v>436</v>
      </c>
      <c r="I2238" s="169" t="s">
        <v>437</v>
      </c>
      <c r="J2238" s="169" t="s">
        <v>1357</v>
      </c>
      <c r="K2238" s="169" t="s">
        <v>1358</v>
      </c>
      <c r="L2238" s="169" t="s">
        <v>1338</v>
      </c>
      <c r="M2238" s="169" t="s">
        <v>281</v>
      </c>
      <c r="N2238" s="178">
        <v>35413911</v>
      </c>
      <c r="O2238" s="169" t="s">
        <v>1359</v>
      </c>
      <c r="P2238" s="169" t="s">
        <v>283</v>
      </c>
      <c r="Q2238" s="169" t="s">
        <v>284</v>
      </c>
      <c r="R2238" s="169" t="s">
        <v>283</v>
      </c>
      <c r="S2238" s="169" t="s">
        <v>283</v>
      </c>
      <c r="T2238" s="169">
        <v>0</v>
      </c>
    </row>
    <row r="2239" spans="1:20" x14ac:dyDescent="0.2">
      <c r="A2239" s="169" t="str">
        <f t="shared" ref="A2239:A2302" si="15">LEFT(F2239,3)</f>
        <v>627</v>
      </c>
      <c r="B2239" s="167" t="str">
        <f>_xlfn.XLOOKUP(I2239,Mapping!D:D,Mapping!E:E)</f>
        <v>Xưởng Sản Xuất</v>
      </c>
      <c r="C2239" s="167" t="str">
        <f>_xlfn.XLOOKUP(F2239,Mapping!A:A,Mapping!F:F)</f>
        <v>Phụ Cấp</v>
      </c>
      <c r="D2239" s="173">
        <v>46022</v>
      </c>
      <c r="E2239" s="169" t="s">
        <v>1356</v>
      </c>
      <c r="F2239" s="169" t="s">
        <v>375</v>
      </c>
      <c r="G2239" s="169" t="s">
        <v>336</v>
      </c>
      <c r="H2239" s="169" t="s">
        <v>436</v>
      </c>
      <c r="I2239" s="169" t="s">
        <v>437</v>
      </c>
      <c r="J2239" s="169" t="s">
        <v>1357</v>
      </c>
      <c r="K2239" s="169" t="s">
        <v>1358</v>
      </c>
      <c r="L2239" s="169" t="s">
        <v>1338</v>
      </c>
      <c r="M2239" s="169" t="s">
        <v>281</v>
      </c>
      <c r="N2239" s="178">
        <v>725000</v>
      </c>
      <c r="O2239" s="169" t="s">
        <v>1359</v>
      </c>
      <c r="P2239" s="169" t="s">
        <v>283</v>
      </c>
      <c r="Q2239" s="169" t="s">
        <v>284</v>
      </c>
      <c r="R2239" s="169" t="s">
        <v>283</v>
      </c>
      <c r="S2239" s="169" t="s">
        <v>283</v>
      </c>
      <c r="T2239" s="169">
        <v>0</v>
      </c>
    </row>
    <row r="2240" spans="1:20" x14ac:dyDescent="0.2">
      <c r="A2240" s="169" t="str">
        <f t="shared" si="15"/>
        <v>642</v>
      </c>
      <c r="B2240" s="167" t="str">
        <f>_xlfn.XLOOKUP(I2240,Mapping!D:D,Mapping!E:E)</f>
        <v>Hành Chánh Nhân Sự</v>
      </c>
      <c r="C2240" s="167" t="str">
        <f>_xlfn.XLOOKUP(F2240,Mapping!A:A,Mapping!F:F)</f>
        <v>Lương Chính +T13</v>
      </c>
      <c r="D2240" s="173">
        <v>46022</v>
      </c>
      <c r="E2240" s="169" t="s">
        <v>1356</v>
      </c>
      <c r="F2240" s="169" t="s">
        <v>274</v>
      </c>
      <c r="G2240" s="169" t="s">
        <v>275</v>
      </c>
      <c r="H2240" s="169" t="s">
        <v>382</v>
      </c>
      <c r="I2240" s="169" t="s">
        <v>200</v>
      </c>
      <c r="J2240" s="169" t="s">
        <v>1357</v>
      </c>
      <c r="K2240" s="169" t="s">
        <v>1358</v>
      </c>
      <c r="L2240" s="169" t="s">
        <v>1338</v>
      </c>
      <c r="M2240" s="169" t="s">
        <v>281</v>
      </c>
      <c r="N2240" s="178">
        <v>62103927</v>
      </c>
      <c r="O2240" s="169" t="s">
        <v>1359</v>
      </c>
      <c r="P2240" s="169" t="s">
        <v>283</v>
      </c>
      <c r="Q2240" s="169" t="s">
        <v>284</v>
      </c>
      <c r="R2240" s="169" t="s">
        <v>283</v>
      </c>
      <c r="S2240" s="169" t="s">
        <v>283</v>
      </c>
      <c r="T2240" s="169">
        <v>0</v>
      </c>
    </row>
    <row r="2241" spans="1:20" x14ac:dyDescent="0.2">
      <c r="A2241" s="169" t="str">
        <f t="shared" si="15"/>
        <v>642</v>
      </c>
      <c r="B2241" s="167" t="str">
        <f>_xlfn.XLOOKUP(I2241,Mapping!D:D,Mapping!E:E)</f>
        <v>Hành Chánh Nhân Sự</v>
      </c>
      <c r="C2241" s="167" t="str">
        <f>_xlfn.XLOOKUP(F2241,Mapping!A:A,Mapping!F:F)</f>
        <v>Lương Chính +T13</v>
      </c>
      <c r="D2241" s="173">
        <v>46022</v>
      </c>
      <c r="E2241" s="169" t="s">
        <v>1356</v>
      </c>
      <c r="F2241" s="169" t="s">
        <v>285</v>
      </c>
      <c r="G2241" s="169" t="s">
        <v>286</v>
      </c>
      <c r="H2241" s="169" t="s">
        <v>382</v>
      </c>
      <c r="I2241" s="169" t="s">
        <v>200</v>
      </c>
      <c r="J2241" s="169" t="s">
        <v>1357</v>
      </c>
      <c r="K2241" s="169" t="s">
        <v>1358</v>
      </c>
      <c r="L2241" s="169" t="s">
        <v>1338</v>
      </c>
      <c r="M2241" s="169" t="s">
        <v>281</v>
      </c>
      <c r="N2241" s="178">
        <v>5080615</v>
      </c>
      <c r="O2241" s="169" t="s">
        <v>1359</v>
      </c>
      <c r="P2241" s="169" t="s">
        <v>283</v>
      </c>
      <c r="Q2241" s="169" t="s">
        <v>284</v>
      </c>
      <c r="R2241" s="169" t="s">
        <v>283</v>
      </c>
      <c r="S2241" s="169" t="s">
        <v>283</v>
      </c>
      <c r="T2241" s="169">
        <v>0</v>
      </c>
    </row>
    <row r="2242" spans="1:20" x14ac:dyDescent="0.2">
      <c r="A2242" s="169" t="str">
        <f t="shared" si="15"/>
        <v>642</v>
      </c>
      <c r="B2242" s="167" t="str">
        <f>_xlfn.XLOOKUP(I2242,Mapping!D:D,Mapping!E:E)</f>
        <v>Hành Chánh Nhân Sự</v>
      </c>
      <c r="C2242" s="167" t="str">
        <f>_xlfn.XLOOKUP(F2242,Mapping!A:A,Mapping!F:F)</f>
        <v>Phụ Cấp</v>
      </c>
      <c r="D2242" s="173">
        <v>46022</v>
      </c>
      <c r="E2242" s="169" t="s">
        <v>1356</v>
      </c>
      <c r="F2242" s="169" t="s">
        <v>335</v>
      </c>
      <c r="G2242" s="169" t="s">
        <v>336</v>
      </c>
      <c r="H2242" s="169" t="s">
        <v>382</v>
      </c>
      <c r="I2242" s="169" t="s">
        <v>200</v>
      </c>
      <c r="J2242" s="169" t="s">
        <v>1357</v>
      </c>
      <c r="K2242" s="169" t="s">
        <v>1358</v>
      </c>
      <c r="L2242" s="169" t="s">
        <v>1338</v>
      </c>
      <c r="M2242" s="169" t="s">
        <v>281</v>
      </c>
      <c r="N2242" s="178">
        <v>75000</v>
      </c>
      <c r="O2242" s="169" t="s">
        <v>1359</v>
      </c>
      <c r="P2242" s="169" t="s">
        <v>283</v>
      </c>
      <c r="Q2242" s="169" t="s">
        <v>284</v>
      </c>
      <c r="R2242" s="169" t="s">
        <v>283</v>
      </c>
      <c r="S2242" s="169" t="s">
        <v>283</v>
      </c>
      <c r="T2242" s="169">
        <v>0</v>
      </c>
    </row>
    <row r="2243" spans="1:20" x14ac:dyDescent="0.2">
      <c r="A2243" s="169" t="str">
        <f t="shared" si="15"/>
        <v>642</v>
      </c>
      <c r="B2243" s="167" t="str">
        <f>_xlfn.XLOOKUP(I2243,Mapping!D:D,Mapping!E:E)</f>
        <v>Hành Chánh Nhân Sự</v>
      </c>
      <c r="C2243" s="167" t="str">
        <f>_xlfn.XLOOKUP(F2243,Mapping!A:A,Mapping!F:F)</f>
        <v>Lương Chính +T13</v>
      </c>
      <c r="D2243" s="173">
        <v>46022</v>
      </c>
      <c r="E2243" s="169" t="s">
        <v>1356</v>
      </c>
      <c r="F2243" s="169" t="s">
        <v>274</v>
      </c>
      <c r="G2243" s="169" t="s">
        <v>275</v>
      </c>
      <c r="H2243" s="169" t="s">
        <v>358</v>
      </c>
      <c r="I2243" s="169" t="s">
        <v>359</v>
      </c>
      <c r="J2243" s="169" t="s">
        <v>1357</v>
      </c>
      <c r="K2243" s="169" t="s">
        <v>1358</v>
      </c>
      <c r="L2243" s="169" t="s">
        <v>1338</v>
      </c>
      <c r="M2243" s="169" t="s">
        <v>281</v>
      </c>
      <c r="N2243" s="178">
        <v>98986587</v>
      </c>
      <c r="O2243" s="169" t="s">
        <v>1359</v>
      </c>
      <c r="P2243" s="169" t="s">
        <v>283</v>
      </c>
      <c r="Q2243" s="169" t="s">
        <v>284</v>
      </c>
      <c r="R2243" s="169" t="s">
        <v>283</v>
      </c>
      <c r="S2243" s="169" t="s">
        <v>283</v>
      </c>
      <c r="T2243" s="169">
        <v>0</v>
      </c>
    </row>
    <row r="2244" spans="1:20" x14ac:dyDescent="0.2">
      <c r="A2244" s="169" t="str">
        <f t="shared" si="15"/>
        <v>642</v>
      </c>
      <c r="B2244" s="167" t="str">
        <f>_xlfn.XLOOKUP(I2244,Mapping!D:D,Mapping!E:E)</f>
        <v>Hành Chánh Nhân Sự</v>
      </c>
      <c r="C2244" s="167" t="str">
        <f>_xlfn.XLOOKUP(F2244,Mapping!A:A,Mapping!F:F)</f>
        <v>Lương Chính +T13</v>
      </c>
      <c r="D2244" s="173">
        <v>46022</v>
      </c>
      <c r="E2244" s="169" t="s">
        <v>1356</v>
      </c>
      <c r="F2244" s="169" t="s">
        <v>285</v>
      </c>
      <c r="G2244" s="169" t="s">
        <v>286</v>
      </c>
      <c r="H2244" s="169" t="s">
        <v>358</v>
      </c>
      <c r="I2244" s="169" t="s">
        <v>359</v>
      </c>
      <c r="J2244" s="169" t="s">
        <v>1357</v>
      </c>
      <c r="K2244" s="169" t="s">
        <v>1358</v>
      </c>
      <c r="L2244" s="169" t="s">
        <v>1338</v>
      </c>
      <c r="M2244" s="169" t="s">
        <v>281</v>
      </c>
      <c r="N2244" s="178">
        <v>3101500</v>
      </c>
      <c r="O2244" s="169" t="s">
        <v>1359</v>
      </c>
      <c r="P2244" s="169" t="s">
        <v>283</v>
      </c>
      <c r="Q2244" s="169" t="s">
        <v>284</v>
      </c>
      <c r="R2244" s="169" t="s">
        <v>283</v>
      </c>
      <c r="S2244" s="169" t="s">
        <v>283</v>
      </c>
      <c r="T2244" s="169">
        <v>0</v>
      </c>
    </row>
    <row r="2245" spans="1:20" x14ac:dyDescent="0.2">
      <c r="A2245" s="169" t="str">
        <f t="shared" si="15"/>
        <v>642</v>
      </c>
      <c r="B2245" s="167" t="str">
        <f>_xlfn.XLOOKUP(I2245,Mapping!D:D,Mapping!E:E)</f>
        <v>Hành Chánh Nhân Sự</v>
      </c>
      <c r="C2245" s="167" t="str">
        <f>_xlfn.XLOOKUP(F2245,Mapping!A:A,Mapping!F:F)</f>
        <v>Phụ Cấp</v>
      </c>
      <c r="D2245" s="173">
        <v>46022</v>
      </c>
      <c r="E2245" s="169" t="s">
        <v>1356</v>
      </c>
      <c r="F2245" s="169" t="s">
        <v>335</v>
      </c>
      <c r="G2245" s="169" t="s">
        <v>336</v>
      </c>
      <c r="H2245" s="169" t="s">
        <v>358</v>
      </c>
      <c r="I2245" s="169" t="s">
        <v>359</v>
      </c>
      <c r="J2245" s="169" t="s">
        <v>1357</v>
      </c>
      <c r="K2245" s="169" t="s">
        <v>1358</v>
      </c>
      <c r="L2245" s="169" t="s">
        <v>1338</v>
      </c>
      <c r="M2245" s="169" t="s">
        <v>281</v>
      </c>
      <c r="N2245" s="178">
        <v>50000</v>
      </c>
      <c r="O2245" s="169" t="s">
        <v>1359</v>
      </c>
      <c r="P2245" s="169" t="s">
        <v>283</v>
      </c>
      <c r="Q2245" s="169" t="s">
        <v>284</v>
      </c>
      <c r="R2245" s="169" t="s">
        <v>283</v>
      </c>
      <c r="S2245" s="169" t="s">
        <v>283</v>
      </c>
      <c r="T2245" s="169">
        <v>0</v>
      </c>
    </row>
    <row r="2246" spans="1:20" x14ac:dyDescent="0.2">
      <c r="A2246" s="169" t="str">
        <f t="shared" si="15"/>
        <v>642</v>
      </c>
      <c r="B2246" s="167" t="str">
        <f>_xlfn.XLOOKUP(I2246,Mapping!D:D,Mapping!E:E)</f>
        <v>Tư vấn dịch vụ</v>
      </c>
      <c r="C2246" s="167" t="str">
        <f>_xlfn.XLOOKUP(F2246,Mapping!A:A,Mapping!F:F)</f>
        <v>Lương Chính +T13</v>
      </c>
      <c r="D2246" s="173">
        <v>46022</v>
      </c>
      <c r="E2246" s="169" t="s">
        <v>1356</v>
      </c>
      <c r="F2246" s="169" t="s">
        <v>274</v>
      </c>
      <c r="G2246" s="169" t="s">
        <v>275</v>
      </c>
      <c r="H2246" s="169" t="s">
        <v>443</v>
      </c>
      <c r="I2246" s="169" t="s">
        <v>444</v>
      </c>
      <c r="J2246" s="169" t="s">
        <v>1357</v>
      </c>
      <c r="K2246" s="169" t="s">
        <v>1358</v>
      </c>
      <c r="L2246" s="169" t="s">
        <v>1338</v>
      </c>
      <c r="M2246" s="169" t="s">
        <v>281</v>
      </c>
      <c r="N2246" s="178">
        <v>70000000</v>
      </c>
      <c r="O2246" s="169" t="s">
        <v>1359</v>
      </c>
      <c r="P2246" s="169" t="s">
        <v>283</v>
      </c>
      <c r="Q2246" s="169" t="s">
        <v>284</v>
      </c>
      <c r="R2246" s="169" t="s">
        <v>283</v>
      </c>
      <c r="S2246" s="169" t="s">
        <v>283</v>
      </c>
      <c r="T2246" s="169">
        <v>0</v>
      </c>
    </row>
    <row r="2247" spans="1:20" x14ac:dyDescent="0.2">
      <c r="A2247" s="169" t="str">
        <f t="shared" si="15"/>
        <v>622</v>
      </c>
      <c r="B2247" s="167" t="str">
        <f>_xlfn.XLOOKUP(I2247,Mapping!D:D,Mapping!E:E)</f>
        <v>Xưởng Sản Xuất</v>
      </c>
      <c r="C2247" s="167" t="str">
        <f>_xlfn.XLOOKUP(F2247,Mapping!A:A,Mapping!F:F)</f>
        <v>Lương Chính +T13</v>
      </c>
      <c r="D2247" s="173">
        <v>46022</v>
      </c>
      <c r="E2247" s="169" t="s">
        <v>1356</v>
      </c>
      <c r="F2247" s="169" t="s">
        <v>400</v>
      </c>
      <c r="G2247" s="169" t="s">
        <v>401</v>
      </c>
      <c r="H2247" s="169" t="s">
        <v>441</v>
      </c>
      <c r="I2247" s="169" t="s">
        <v>442</v>
      </c>
      <c r="J2247" s="169" t="s">
        <v>1357</v>
      </c>
      <c r="K2247" s="169" t="s">
        <v>1358</v>
      </c>
      <c r="L2247" s="169" t="s">
        <v>1338</v>
      </c>
      <c r="M2247" s="169" t="s">
        <v>281</v>
      </c>
      <c r="N2247" s="178">
        <v>7886577</v>
      </c>
      <c r="O2247" s="169" t="s">
        <v>1359</v>
      </c>
      <c r="P2247" s="169" t="s">
        <v>283</v>
      </c>
      <c r="Q2247" s="169" t="s">
        <v>284</v>
      </c>
      <c r="R2247" s="169" t="s">
        <v>283</v>
      </c>
      <c r="S2247" s="169" t="s">
        <v>283</v>
      </c>
      <c r="T2247" s="169">
        <v>0</v>
      </c>
    </row>
    <row r="2248" spans="1:20" x14ac:dyDescent="0.2">
      <c r="A2248" s="169" t="str">
        <f t="shared" si="15"/>
        <v>622</v>
      </c>
      <c r="B2248" s="167" t="str">
        <f>_xlfn.XLOOKUP(I2248,Mapping!D:D,Mapping!E:E)</f>
        <v>Xưởng Sản Xuất</v>
      </c>
      <c r="C2248" s="167" t="str">
        <f>_xlfn.XLOOKUP(F2248,Mapping!A:A,Mapping!F:F)</f>
        <v>Phụ Cấp</v>
      </c>
      <c r="D2248" s="173">
        <v>46022</v>
      </c>
      <c r="E2248" s="169" t="s">
        <v>1356</v>
      </c>
      <c r="F2248" s="169" t="s">
        <v>421</v>
      </c>
      <c r="G2248" s="169" t="s">
        <v>341</v>
      </c>
      <c r="H2248" s="169" t="s">
        <v>441</v>
      </c>
      <c r="I2248" s="169" t="s">
        <v>442</v>
      </c>
      <c r="J2248" s="169" t="s">
        <v>1357</v>
      </c>
      <c r="K2248" s="169" t="s">
        <v>1358</v>
      </c>
      <c r="L2248" s="169" t="s">
        <v>1338</v>
      </c>
      <c r="M2248" s="169" t="s">
        <v>281</v>
      </c>
      <c r="N2248" s="178">
        <v>706708</v>
      </c>
      <c r="O2248" s="169" t="s">
        <v>1359</v>
      </c>
      <c r="P2248" s="169" t="s">
        <v>283</v>
      </c>
      <c r="Q2248" s="169" t="s">
        <v>284</v>
      </c>
      <c r="R2248" s="169" t="s">
        <v>283</v>
      </c>
      <c r="S2248" s="169" t="s">
        <v>283</v>
      </c>
      <c r="T2248" s="169">
        <v>0</v>
      </c>
    </row>
    <row r="2249" spans="1:20" x14ac:dyDescent="0.2">
      <c r="A2249" s="169" t="str">
        <f t="shared" si="15"/>
        <v>622</v>
      </c>
      <c r="B2249" s="167" t="str">
        <f>_xlfn.XLOOKUP(I2249,Mapping!D:D,Mapping!E:E)</f>
        <v>Xưởng Sản Xuất</v>
      </c>
      <c r="C2249" s="167" t="str">
        <f>_xlfn.XLOOKUP(F2249,Mapping!A:A,Mapping!F:F)</f>
        <v>Lương Ngoài giờ</v>
      </c>
      <c r="D2249" s="173">
        <v>46022</v>
      </c>
      <c r="E2249" s="169" t="s">
        <v>1356</v>
      </c>
      <c r="F2249" s="169" t="s">
        <v>422</v>
      </c>
      <c r="G2249" s="169" t="s">
        <v>423</v>
      </c>
      <c r="H2249" s="169" t="s">
        <v>441</v>
      </c>
      <c r="I2249" s="169" t="s">
        <v>442</v>
      </c>
      <c r="J2249" s="169" t="s">
        <v>1357</v>
      </c>
      <c r="K2249" s="169" t="s">
        <v>1358</v>
      </c>
      <c r="L2249" s="169" t="s">
        <v>1338</v>
      </c>
      <c r="M2249" s="169" t="s">
        <v>281</v>
      </c>
      <c r="N2249" s="178">
        <v>1357055</v>
      </c>
      <c r="O2249" s="169" t="s">
        <v>1359</v>
      </c>
      <c r="P2249" s="169" t="s">
        <v>283</v>
      </c>
      <c r="Q2249" s="169" t="s">
        <v>284</v>
      </c>
      <c r="R2249" s="169" t="s">
        <v>283</v>
      </c>
      <c r="S2249" s="169" t="s">
        <v>283</v>
      </c>
      <c r="T2249" s="169">
        <v>0</v>
      </c>
    </row>
    <row r="2250" spans="1:20" x14ac:dyDescent="0.2">
      <c r="A2250" s="169" t="str">
        <f t="shared" si="15"/>
        <v>642</v>
      </c>
      <c r="B2250" s="167" t="str">
        <f>_xlfn.XLOOKUP(I2250,Mapping!D:D,Mapping!E:E)</f>
        <v>Ban Giám Đốc</v>
      </c>
      <c r="C2250" s="167" t="str">
        <f>_xlfn.XLOOKUP(F2250,Mapping!A:A,Mapping!F:F)</f>
        <v>Lương Chính +T13</v>
      </c>
      <c r="D2250" s="173">
        <v>46022</v>
      </c>
      <c r="E2250" s="169" t="s">
        <v>1360</v>
      </c>
      <c r="F2250" s="169" t="s">
        <v>285</v>
      </c>
      <c r="G2250" s="169" t="s">
        <v>286</v>
      </c>
      <c r="H2250" s="169" t="s">
        <v>276</v>
      </c>
      <c r="I2250" s="169" t="s">
        <v>277</v>
      </c>
      <c r="J2250" s="169" t="s">
        <v>1361</v>
      </c>
      <c r="K2250" s="169" t="s">
        <v>1358</v>
      </c>
      <c r="L2250" s="169" t="s">
        <v>1338</v>
      </c>
      <c r="M2250" s="169" t="s">
        <v>281</v>
      </c>
      <c r="N2250" s="178">
        <v>125991250</v>
      </c>
      <c r="O2250" s="169" t="s">
        <v>1362</v>
      </c>
      <c r="P2250" s="169" t="s">
        <v>283</v>
      </c>
      <c r="Q2250" s="169" t="s">
        <v>284</v>
      </c>
      <c r="R2250" s="169" t="s">
        <v>283</v>
      </c>
      <c r="S2250" s="169" t="s">
        <v>283</v>
      </c>
      <c r="T2250" s="169">
        <v>0</v>
      </c>
    </row>
    <row r="2251" spans="1:20" x14ac:dyDescent="0.2">
      <c r="A2251" s="169" t="str">
        <f t="shared" si="15"/>
        <v>642</v>
      </c>
      <c r="B2251" s="167" t="str">
        <f>_xlfn.XLOOKUP(I2251,Mapping!D:D,Mapping!E:E)</f>
        <v>Ban Giám Đốc</v>
      </c>
      <c r="C2251" s="167" t="str">
        <f>_xlfn.XLOOKUP(F2251,Mapping!A:A,Mapping!F:F)</f>
        <v>Thưởng</v>
      </c>
      <c r="D2251" s="173">
        <v>46022</v>
      </c>
      <c r="E2251" s="169" t="s">
        <v>1360</v>
      </c>
      <c r="F2251" s="169" t="s">
        <v>292</v>
      </c>
      <c r="G2251" s="169" t="s">
        <v>77</v>
      </c>
      <c r="H2251" s="169" t="s">
        <v>276</v>
      </c>
      <c r="I2251" s="169" t="s">
        <v>277</v>
      </c>
      <c r="J2251" s="169" t="s">
        <v>1363</v>
      </c>
      <c r="K2251" s="169" t="s">
        <v>1358</v>
      </c>
      <c r="L2251" s="169" t="s">
        <v>1338</v>
      </c>
      <c r="M2251" s="169" t="s">
        <v>281</v>
      </c>
      <c r="N2251" s="178">
        <v>115910942</v>
      </c>
      <c r="O2251" s="169" t="s">
        <v>1362</v>
      </c>
      <c r="P2251" s="169" t="s">
        <v>283</v>
      </c>
      <c r="Q2251" s="169" t="s">
        <v>284</v>
      </c>
      <c r="R2251" s="169" t="s">
        <v>283</v>
      </c>
      <c r="S2251" s="169" t="s">
        <v>283</v>
      </c>
      <c r="T2251" s="169">
        <v>0</v>
      </c>
    </row>
    <row r="2252" spans="1:20" x14ac:dyDescent="0.2">
      <c r="A2252" s="169" t="str">
        <f t="shared" si="15"/>
        <v>642</v>
      </c>
      <c r="B2252" s="167" t="str">
        <f>_xlfn.XLOOKUP(I2252,Mapping!D:D,Mapping!E:E)</f>
        <v>Văn Phòng Giám Đốc</v>
      </c>
      <c r="C2252" s="167" t="str">
        <f>_xlfn.XLOOKUP(F2252,Mapping!A:A,Mapping!F:F)</f>
        <v>Lương Chính +T13</v>
      </c>
      <c r="D2252" s="173">
        <v>46022</v>
      </c>
      <c r="E2252" s="169" t="s">
        <v>1360</v>
      </c>
      <c r="F2252" s="169" t="s">
        <v>285</v>
      </c>
      <c r="G2252" s="169" t="s">
        <v>286</v>
      </c>
      <c r="H2252" s="169" t="s">
        <v>320</v>
      </c>
      <c r="I2252" s="169" t="s">
        <v>321</v>
      </c>
      <c r="J2252" s="169" t="s">
        <v>1361</v>
      </c>
      <c r="K2252" s="169" t="s">
        <v>1358</v>
      </c>
      <c r="L2252" s="169" t="s">
        <v>1338</v>
      </c>
      <c r="M2252" s="169" t="s">
        <v>281</v>
      </c>
      <c r="N2252" s="178">
        <v>9604167</v>
      </c>
      <c r="O2252" s="169" t="s">
        <v>1362</v>
      </c>
      <c r="P2252" s="169" t="s">
        <v>283</v>
      </c>
      <c r="Q2252" s="169" t="s">
        <v>284</v>
      </c>
      <c r="R2252" s="169" t="s">
        <v>283</v>
      </c>
      <c r="S2252" s="169" t="s">
        <v>283</v>
      </c>
      <c r="T2252" s="169">
        <v>0</v>
      </c>
    </row>
    <row r="2253" spans="1:20" x14ac:dyDescent="0.2">
      <c r="A2253" s="169" t="str">
        <f t="shared" si="15"/>
        <v>642</v>
      </c>
      <c r="B2253" s="167" t="str">
        <f>_xlfn.XLOOKUP(I2253,Mapping!D:D,Mapping!E:E)</f>
        <v>Văn Phòng Giám Đốc</v>
      </c>
      <c r="C2253" s="167" t="str">
        <f>_xlfn.XLOOKUP(F2253,Mapping!A:A,Mapping!F:F)</f>
        <v>Thưởng</v>
      </c>
      <c r="D2253" s="173">
        <v>46022</v>
      </c>
      <c r="E2253" s="169" t="s">
        <v>1360</v>
      </c>
      <c r="F2253" s="169" t="s">
        <v>292</v>
      </c>
      <c r="G2253" s="169" t="s">
        <v>77</v>
      </c>
      <c r="H2253" s="169" t="s">
        <v>320</v>
      </c>
      <c r="I2253" s="169" t="s">
        <v>321</v>
      </c>
      <c r="J2253" s="169" t="s">
        <v>1363</v>
      </c>
      <c r="K2253" s="169" t="s">
        <v>1358</v>
      </c>
      <c r="L2253" s="169" t="s">
        <v>1338</v>
      </c>
      <c r="M2253" s="169" t="s">
        <v>281</v>
      </c>
      <c r="N2253" s="178">
        <v>8835757</v>
      </c>
      <c r="O2253" s="169" t="s">
        <v>1362</v>
      </c>
      <c r="P2253" s="169" t="s">
        <v>283</v>
      </c>
      <c r="Q2253" s="169" t="s">
        <v>284</v>
      </c>
      <c r="R2253" s="169" t="s">
        <v>283</v>
      </c>
      <c r="S2253" s="169" t="s">
        <v>283</v>
      </c>
      <c r="T2253" s="169">
        <v>0</v>
      </c>
    </row>
    <row r="2254" spans="1:20" x14ac:dyDescent="0.2">
      <c r="A2254" s="169" t="str">
        <f t="shared" si="15"/>
        <v>642</v>
      </c>
      <c r="B2254" s="167" t="str">
        <f>_xlfn.XLOOKUP(I2254,Mapping!D:D,Mapping!E:E)</f>
        <v>Hành Chánh Nhân Sự</v>
      </c>
      <c r="C2254" s="167" t="str">
        <f>_xlfn.XLOOKUP(F2254,Mapping!A:A,Mapping!F:F)</f>
        <v>Lương Chính +T13</v>
      </c>
      <c r="D2254" s="173">
        <v>46022</v>
      </c>
      <c r="E2254" s="169" t="s">
        <v>1360</v>
      </c>
      <c r="F2254" s="169" t="s">
        <v>285</v>
      </c>
      <c r="G2254" s="169" t="s">
        <v>286</v>
      </c>
      <c r="H2254" s="169" t="s">
        <v>301</v>
      </c>
      <c r="I2254" s="169" t="s">
        <v>302</v>
      </c>
      <c r="J2254" s="169" t="s">
        <v>1361</v>
      </c>
      <c r="K2254" s="169" t="s">
        <v>1358</v>
      </c>
      <c r="L2254" s="169" t="s">
        <v>1338</v>
      </c>
      <c r="M2254" s="169" t="s">
        <v>281</v>
      </c>
      <c r="N2254" s="178">
        <v>41796426</v>
      </c>
      <c r="O2254" s="169" t="s">
        <v>1362</v>
      </c>
      <c r="P2254" s="169" t="s">
        <v>283</v>
      </c>
      <c r="Q2254" s="169" t="s">
        <v>284</v>
      </c>
      <c r="R2254" s="169" t="s">
        <v>283</v>
      </c>
      <c r="S2254" s="169" t="s">
        <v>283</v>
      </c>
      <c r="T2254" s="169">
        <v>0</v>
      </c>
    </row>
    <row r="2255" spans="1:20" x14ac:dyDescent="0.2">
      <c r="A2255" s="169" t="str">
        <f t="shared" si="15"/>
        <v>642</v>
      </c>
      <c r="B2255" s="167" t="str">
        <f>_xlfn.XLOOKUP(I2255,Mapping!D:D,Mapping!E:E)</f>
        <v>Hành Chánh Nhân Sự</v>
      </c>
      <c r="C2255" s="167" t="str">
        <f>_xlfn.XLOOKUP(F2255,Mapping!A:A,Mapping!F:F)</f>
        <v>Thưởng</v>
      </c>
      <c r="D2255" s="173">
        <v>46022</v>
      </c>
      <c r="E2255" s="169" t="s">
        <v>1360</v>
      </c>
      <c r="F2255" s="169" t="s">
        <v>292</v>
      </c>
      <c r="G2255" s="169" t="s">
        <v>77</v>
      </c>
      <c r="H2255" s="169" t="s">
        <v>301</v>
      </c>
      <c r="I2255" s="169" t="s">
        <v>302</v>
      </c>
      <c r="J2255" s="169" t="s">
        <v>1363</v>
      </c>
      <c r="K2255" s="169" t="s">
        <v>1358</v>
      </c>
      <c r="L2255" s="169" t="s">
        <v>1338</v>
      </c>
      <c r="M2255" s="169" t="s">
        <v>281</v>
      </c>
      <c r="N2255" s="178">
        <v>33113485</v>
      </c>
      <c r="O2255" s="169" t="s">
        <v>1362</v>
      </c>
      <c r="P2255" s="169" t="s">
        <v>283</v>
      </c>
      <c r="Q2255" s="169" t="s">
        <v>284</v>
      </c>
      <c r="R2255" s="169" t="s">
        <v>283</v>
      </c>
      <c r="S2255" s="169" t="s">
        <v>283</v>
      </c>
      <c r="T2255" s="169">
        <v>0</v>
      </c>
    </row>
    <row r="2256" spans="1:20" x14ac:dyDescent="0.2">
      <c r="A2256" s="169" t="str">
        <f t="shared" si="15"/>
        <v>642</v>
      </c>
      <c r="B2256" s="167" t="str">
        <f>_xlfn.XLOOKUP(I2256,Mapping!D:D,Mapping!E:E)</f>
        <v>Kế Toán</v>
      </c>
      <c r="C2256" s="167" t="str">
        <f>_xlfn.XLOOKUP(F2256,Mapping!A:A,Mapping!F:F)</f>
        <v>Lương Chính +T13</v>
      </c>
      <c r="D2256" s="173">
        <v>46022</v>
      </c>
      <c r="E2256" s="169" t="s">
        <v>1360</v>
      </c>
      <c r="F2256" s="169" t="s">
        <v>285</v>
      </c>
      <c r="G2256" s="169" t="s">
        <v>286</v>
      </c>
      <c r="H2256" s="169" t="s">
        <v>356</v>
      </c>
      <c r="I2256" s="169" t="s">
        <v>357</v>
      </c>
      <c r="J2256" s="169" t="s">
        <v>1361</v>
      </c>
      <c r="K2256" s="169" t="s">
        <v>1358</v>
      </c>
      <c r="L2256" s="169" t="s">
        <v>1338</v>
      </c>
      <c r="M2256" s="169" t="s">
        <v>281</v>
      </c>
      <c r="N2256" s="178">
        <v>43503763</v>
      </c>
      <c r="O2256" s="169" t="s">
        <v>1362</v>
      </c>
      <c r="P2256" s="169" t="s">
        <v>283</v>
      </c>
      <c r="Q2256" s="169" t="s">
        <v>284</v>
      </c>
      <c r="R2256" s="169" t="s">
        <v>283</v>
      </c>
      <c r="S2256" s="169" t="s">
        <v>283</v>
      </c>
      <c r="T2256" s="169">
        <v>0</v>
      </c>
    </row>
    <row r="2257" spans="1:20" x14ac:dyDescent="0.2">
      <c r="A2257" s="169" t="str">
        <f t="shared" si="15"/>
        <v>642</v>
      </c>
      <c r="B2257" s="167" t="str">
        <f>_xlfn.XLOOKUP(I2257,Mapping!D:D,Mapping!E:E)</f>
        <v>Kế Toán</v>
      </c>
      <c r="C2257" s="167" t="str">
        <f>_xlfn.XLOOKUP(F2257,Mapping!A:A,Mapping!F:F)</f>
        <v>Thưởng</v>
      </c>
      <c r="D2257" s="173">
        <v>46022</v>
      </c>
      <c r="E2257" s="169" t="s">
        <v>1360</v>
      </c>
      <c r="F2257" s="169" t="s">
        <v>292</v>
      </c>
      <c r="G2257" s="169" t="s">
        <v>77</v>
      </c>
      <c r="H2257" s="169" t="s">
        <v>356</v>
      </c>
      <c r="I2257" s="169" t="s">
        <v>357</v>
      </c>
      <c r="J2257" s="169" t="s">
        <v>1363</v>
      </c>
      <c r="K2257" s="169" t="s">
        <v>1358</v>
      </c>
      <c r="L2257" s="169" t="s">
        <v>1338</v>
      </c>
      <c r="M2257" s="169" t="s">
        <v>281</v>
      </c>
      <c r="N2257" s="178">
        <v>39579666</v>
      </c>
      <c r="O2257" s="169" t="s">
        <v>1362</v>
      </c>
      <c r="P2257" s="169" t="s">
        <v>283</v>
      </c>
      <c r="Q2257" s="169" t="s">
        <v>284</v>
      </c>
      <c r="R2257" s="169" t="s">
        <v>283</v>
      </c>
      <c r="S2257" s="169" t="s">
        <v>283</v>
      </c>
      <c r="T2257" s="169">
        <v>0</v>
      </c>
    </row>
    <row r="2258" spans="1:20" x14ac:dyDescent="0.2">
      <c r="A2258" s="169" t="str">
        <f t="shared" si="15"/>
        <v>641</v>
      </c>
      <c r="B2258" s="167" t="str">
        <f>_xlfn.XLOOKUP(I2258,Mapping!D:D,Mapping!E:E)</f>
        <v>Kinh doanh</v>
      </c>
      <c r="C2258" s="167" t="str">
        <f>_xlfn.XLOOKUP(F2258,Mapping!A:A,Mapping!F:F)</f>
        <v>Lương Chính +T13</v>
      </c>
      <c r="D2258" s="173">
        <v>46022</v>
      </c>
      <c r="E2258" s="169" t="s">
        <v>1360</v>
      </c>
      <c r="F2258" s="169" t="s">
        <v>384</v>
      </c>
      <c r="G2258" s="169" t="s">
        <v>286</v>
      </c>
      <c r="H2258" s="169" t="s">
        <v>366</v>
      </c>
      <c r="I2258" s="169" t="s">
        <v>1</v>
      </c>
      <c r="J2258" s="169" t="s">
        <v>1361</v>
      </c>
      <c r="K2258" s="169" t="s">
        <v>1358</v>
      </c>
      <c r="L2258" s="169" t="s">
        <v>1338</v>
      </c>
      <c r="M2258" s="169" t="s">
        <v>281</v>
      </c>
      <c r="N2258" s="178">
        <v>25338500</v>
      </c>
      <c r="O2258" s="169" t="s">
        <v>1362</v>
      </c>
      <c r="P2258" s="169" t="s">
        <v>283</v>
      </c>
      <c r="Q2258" s="169" t="s">
        <v>284</v>
      </c>
      <c r="R2258" s="169" t="s">
        <v>283</v>
      </c>
      <c r="S2258" s="169" t="s">
        <v>283</v>
      </c>
      <c r="T2258" s="169">
        <v>0</v>
      </c>
    </row>
    <row r="2259" spans="1:20" x14ac:dyDescent="0.2">
      <c r="A2259" s="169" t="str">
        <f t="shared" si="15"/>
        <v>641</v>
      </c>
      <c r="B2259" s="167" t="str">
        <f>_xlfn.XLOOKUP(I2259,Mapping!D:D,Mapping!E:E)</f>
        <v>Kinh doanh</v>
      </c>
      <c r="C2259" s="167" t="str">
        <f>_xlfn.XLOOKUP(F2259,Mapping!A:A,Mapping!F:F)</f>
        <v>Thưởng</v>
      </c>
      <c r="D2259" s="173">
        <v>46022</v>
      </c>
      <c r="E2259" s="169" t="s">
        <v>1360</v>
      </c>
      <c r="F2259" s="169" t="s">
        <v>394</v>
      </c>
      <c r="G2259" s="169" t="s">
        <v>77</v>
      </c>
      <c r="H2259" s="169" t="s">
        <v>366</v>
      </c>
      <c r="I2259" s="169" t="s">
        <v>1</v>
      </c>
      <c r="J2259" s="169" t="s">
        <v>1363</v>
      </c>
      <c r="K2259" s="169" t="s">
        <v>1358</v>
      </c>
      <c r="L2259" s="169" t="s">
        <v>1338</v>
      </c>
      <c r="M2259" s="169" t="s">
        <v>281</v>
      </c>
      <c r="N2259" s="178">
        <v>23311217</v>
      </c>
      <c r="O2259" s="169" t="s">
        <v>1362</v>
      </c>
      <c r="P2259" s="169" t="s">
        <v>283</v>
      </c>
      <c r="Q2259" s="169" t="s">
        <v>284</v>
      </c>
      <c r="R2259" s="169" t="s">
        <v>283</v>
      </c>
      <c r="S2259" s="169" t="s">
        <v>283</v>
      </c>
      <c r="T2259" s="169">
        <v>0</v>
      </c>
    </row>
    <row r="2260" spans="1:20" x14ac:dyDescent="0.2">
      <c r="A2260" s="169" t="str">
        <f t="shared" si="15"/>
        <v>642</v>
      </c>
      <c r="B2260" s="167" t="str">
        <f>_xlfn.XLOOKUP(I2260,Mapping!D:D,Mapping!E:E)</f>
        <v>Cung Ứng</v>
      </c>
      <c r="C2260" s="167" t="str">
        <f>_xlfn.XLOOKUP(F2260,Mapping!A:A,Mapping!F:F)</f>
        <v>Lương Chính +T13</v>
      </c>
      <c r="D2260" s="173">
        <v>46022</v>
      </c>
      <c r="E2260" s="169" t="s">
        <v>1360</v>
      </c>
      <c r="F2260" s="169" t="s">
        <v>285</v>
      </c>
      <c r="G2260" s="169" t="s">
        <v>286</v>
      </c>
      <c r="H2260" s="169" t="s">
        <v>380</v>
      </c>
      <c r="I2260" s="169" t="s">
        <v>381</v>
      </c>
      <c r="J2260" s="169" t="s">
        <v>1361</v>
      </c>
      <c r="K2260" s="169" t="s">
        <v>1358</v>
      </c>
      <c r="L2260" s="169" t="s">
        <v>1338</v>
      </c>
      <c r="M2260" s="169" t="s">
        <v>281</v>
      </c>
      <c r="N2260" s="178">
        <v>42636303</v>
      </c>
      <c r="O2260" s="169" t="s">
        <v>1362</v>
      </c>
      <c r="P2260" s="169" t="s">
        <v>283</v>
      </c>
      <c r="Q2260" s="169" t="s">
        <v>284</v>
      </c>
      <c r="R2260" s="169" t="s">
        <v>283</v>
      </c>
      <c r="S2260" s="169" t="s">
        <v>283</v>
      </c>
      <c r="T2260" s="169">
        <v>0</v>
      </c>
    </row>
    <row r="2261" spans="1:20" x14ac:dyDescent="0.2">
      <c r="A2261" s="169" t="str">
        <f t="shared" si="15"/>
        <v>642</v>
      </c>
      <c r="B2261" s="167" t="str">
        <f>_xlfn.XLOOKUP(I2261,Mapping!D:D,Mapping!E:E)</f>
        <v>Cung Ứng</v>
      </c>
      <c r="C2261" s="167" t="str">
        <f>_xlfn.XLOOKUP(F2261,Mapping!A:A,Mapping!F:F)</f>
        <v>Thưởng</v>
      </c>
      <c r="D2261" s="173">
        <v>46022</v>
      </c>
      <c r="E2261" s="169" t="s">
        <v>1360</v>
      </c>
      <c r="F2261" s="169" t="s">
        <v>292</v>
      </c>
      <c r="G2261" s="169" t="s">
        <v>77</v>
      </c>
      <c r="H2261" s="169" t="s">
        <v>380</v>
      </c>
      <c r="I2261" s="169" t="s">
        <v>381</v>
      </c>
      <c r="J2261" s="169" t="s">
        <v>1363</v>
      </c>
      <c r="K2261" s="169" t="s">
        <v>1358</v>
      </c>
      <c r="L2261" s="169" t="s">
        <v>1338</v>
      </c>
      <c r="M2261" s="169" t="s">
        <v>281</v>
      </c>
      <c r="N2261" s="178">
        <v>37499401</v>
      </c>
      <c r="O2261" s="169" t="s">
        <v>1362</v>
      </c>
      <c r="P2261" s="169" t="s">
        <v>283</v>
      </c>
      <c r="Q2261" s="169" t="s">
        <v>284</v>
      </c>
      <c r="R2261" s="169" t="s">
        <v>283</v>
      </c>
      <c r="S2261" s="169" t="s">
        <v>283</v>
      </c>
      <c r="T2261" s="169">
        <v>0</v>
      </c>
    </row>
    <row r="2262" spans="1:20" x14ac:dyDescent="0.2">
      <c r="A2262" s="169" t="str">
        <f t="shared" si="15"/>
        <v>642</v>
      </c>
      <c r="B2262" s="167" t="str">
        <f>_xlfn.XLOOKUP(I2262,Mapping!D:D,Mapping!E:E)</f>
        <v>Mua Hàng &amp; XNK</v>
      </c>
      <c r="C2262" s="167" t="str">
        <f>_xlfn.XLOOKUP(F2262,Mapping!A:A,Mapping!F:F)</f>
        <v>Lương Chính +T13</v>
      </c>
      <c r="D2262" s="173">
        <v>46022</v>
      </c>
      <c r="E2262" s="169" t="s">
        <v>1360</v>
      </c>
      <c r="F2262" s="169" t="s">
        <v>285</v>
      </c>
      <c r="G2262" s="169" t="s">
        <v>286</v>
      </c>
      <c r="H2262" s="169" t="s">
        <v>378</v>
      </c>
      <c r="I2262" s="169" t="s">
        <v>379</v>
      </c>
      <c r="J2262" s="169" t="s">
        <v>1361</v>
      </c>
      <c r="K2262" s="169" t="s">
        <v>1358</v>
      </c>
      <c r="L2262" s="169" t="s">
        <v>1338</v>
      </c>
      <c r="M2262" s="169" t="s">
        <v>281</v>
      </c>
      <c r="N2262" s="178">
        <v>16127750</v>
      </c>
      <c r="O2262" s="169" t="s">
        <v>1362</v>
      </c>
      <c r="P2262" s="169" t="s">
        <v>283</v>
      </c>
      <c r="Q2262" s="169" t="s">
        <v>284</v>
      </c>
      <c r="R2262" s="169" t="s">
        <v>283</v>
      </c>
      <c r="S2262" s="169" t="s">
        <v>283</v>
      </c>
      <c r="T2262" s="169">
        <v>0</v>
      </c>
    </row>
    <row r="2263" spans="1:20" x14ac:dyDescent="0.2">
      <c r="A2263" s="169" t="str">
        <f t="shared" si="15"/>
        <v>642</v>
      </c>
      <c r="B2263" s="167" t="str">
        <f>_xlfn.XLOOKUP(I2263,Mapping!D:D,Mapping!E:E)</f>
        <v>Mua Hàng &amp; XNK</v>
      </c>
      <c r="C2263" s="167" t="str">
        <f>_xlfn.XLOOKUP(F2263,Mapping!A:A,Mapping!F:F)</f>
        <v>Thưởng</v>
      </c>
      <c r="D2263" s="173">
        <v>46022</v>
      </c>
      <c r="E2263" s="169" t="s">
        <v>1360</v>
      </c>
      <c r="F2263" s="169" t="s">
        <v>292</v>
      </c>
      <c r="G2263" s="169" t="s">
        <v>77</v>
      </c>
      <c r="H2263" s="169" t="s">
        <v>378</v>
      </c>
      <c r="I2263" s="169" t="s">
        <v>379</v>
      </c>
      <c r="J2263" s="169" t="s">
        <v>1363</v>
      </c>
      <c r="K2263" s="169" t="s">
        <v>1358</v>
      </c>
      <c r="L2263" s="169" t="s">
        <v>1338</v>
      </c>
      <c r="M2263" s="169" t="s">
        <v>281</v>
      </c>
      <c r="N2263" s="178">
        <v>14837401</v>
      </c>
      <c r="O2263" s="169" t="s">
        <v>1362</v>
      </c>
      <c r="P2263" s="169" t="s">
        <v>283</v>
      </c>
      <c r="Q2263" s="169" t="s">
        <v>284</v>
      </c>
      <c r="R2263" s="169" t="s">
        <v>283</v>
      </c>
      <c r="S2263" s="169" t="s">
        <v>283</v>
      </c>
      <c r="T2263" s="169">
        <v>0</v>
      </c>
    </row>
    <row r="2264" spans="1:20" x14ac:dyDescent="0.2">
      <c r="A2264" s="169" t="str">
        <f t="shared" si="15"/>
        <v>627</v>
      </c>
      <c r="B2264" s="167" t="str">
        <f>_xlfn.XLOOKUP(I2264,Mapping!D:D,Mapping!E:E)</f>
        <v>Kỹ Thuật</v>
      </c>
      <c r="C2264" s="167" t="str">
        <f>_xlfn.XLOOKUP(F2264,Mapping!A:A,Mapping!F:F)</f>
        <v>Lương Chính +T13</v>
      </c>
      <c r="D2264" s="173">
        <v>46022</v>
      </c>
      <c r="E2264" s="169" t="s">
        <v>1360</v>
      </c>
      <c r="F2264" s="169" t="s">
        <v>388</v>
      </c>
      <c r="G2264" s="169" t="s">
        <v>286</v>
      </c>
      <c r="H2264" s="169" t="s">
        <v>376</v>
      </c>
      <c r="I2264" s="169" t="s">
        <v>377</v>
      </c>
      <c r="J2264" s="169" t="s">
        <v>1361</v>
      </c>
      <c r="K2264" s="169" t="s">
        <v>1358</v>
      </c>
      <c r="L2264" s="169" t="s">
        <v>1338</v>
      </c>
      <c r="M2264" s="169" t="s">
        <v>281</v>
      </c>
      <c r="N2264" s="178">
        <v>93436250</v>
      </c>
      <c r="O2264" s="169" t="s">
        <v>1362</v>
      </c>
      <c r="P2264" s="169" t="s">
        <v>283</v>
      </c>
      <c r="Q2264" s="169" t="s">
        <v>284</v>
      </c>
      <c r="R2264" s="169" t="s">
        <v>283</v>
      </c>
      <c r="S2264" s="169" t="s">
        <v>283</v>
      </c>
      <c r="T2264" s="169">
        <v>0</v>
      </c>
    </row>
    <row r="2265" spans="1:20" x14ac:dyDescent="0.2">
      <c r="A2265" s="169" t="str">
        <f t="shared" si="15"/>
        <v>627</v>
      </c>
      <c r="B2265" s="167" t="str">
        <f>_xlfn.XLOOKUP(I2265,Mapping!D:D,Mapping!E:E)</f>
        <v>Kỹ Thuật</v>
      </c>
      <c r="C2265" s="167" t="str">
        <f>_xlfn.XLOOKUP(F2265,Mapping!A:A,Mapping!F:F)</f>
        <v>Thưởng</v>
      </c>
      <c r="D2265" s="173">
        <v>46022</v>
      </c>
      <c r="E2265" s="169" t="s">
        <v>1360</v>
      </c>
      <c r="F2265" s="169" t="s">
        <v>395</v>
      </c>
      <c r="G2265" s="169" t="s">
        <v>77</v>
      </c>
      <c r="H2265" s="169" t="s">
        <v>376</v>
      </c>
      <c r="I2265" s="169" t="s">
        <v>377</v>
      </c>
      <c r="J2265" s="169" t="s">
        <v>1363</v>
      </c>
      <c r="K2265" s="169" t="s">
        <v>1358</v>
      </c>
      <c r="L2265" s="169" t="s">
        <v>1338</v>
      </c>
      <c r="M2265" s="169" t="s">
        <v>281</v>
      </c>
      <c r="N2265" s="178">
        <v>85960603</v>
      </c>
      <c r="O2265" s="169" t="s">
        <v>1362</v>
      </c>
      <c r="P2265" s="169" t="s">
        <v>283</v>
      </c>
      <c r="Q2265" s="169" t="s">
        <v>284</v>
      </c>
      <c r="R2265" s="169" t="s">
        <v>283</v>
      </c>
      <c r="S2265" s="169" t="s">
        <v>283</v>
      </c>
      <c r="T2265" s="169">
        <v>0</v>
      </c>
    </row>
    <row r="2266" spans="1:20" x14ac:dyDescent="0.2">
      <c r="A2266" s="169" t="str">
        <f t="shared" si="15"/>
        <v>627</v>
      </c>
      <c r="B2266" s="167" t="str">
        <f>_xlfn.XLOOKUP(I2266,Mapping!D:D,Mapping!E:E)</f>
        <v>Kiểm Soát Chất Lượng</v>
      </c>
      <c r="C2266" s="167" t="str">
        <f>_xlfn.XLOOKUP(F2266,Mapping!A:A,Mapping!F:F)</f>
        <v>Lương Chính +T13</v>
      </c>
      <c r="D2266" s="173">
        <v>46022</v>
      </c>
      <c r="E2266" s="169" t="s">
        <v>1360</v>
      </c>
      <c r="F2266" s="169" t="s">
        <v>388</v>
      </c>
      <c r="G2266" s="169" t="s">
        <v>286</v>
      </c>
      <c r="H2266" s="169" t="s">
        <v>411</v>
      </c>
      <c r="I2266" s="169" t="s">
        <v>412</v>
      </c>
      <c r="J2266" s="169" t="s">
        <v>1361</v>
      </c>
      <c r="K2266" s="169" t="s">
        <v>1358</v>
      </c>
      <c r="L2266" s="169" t="s">
        <v>1338</v>
      </c>
      <c r="M2266" s="169" t="s">
        <v>281</v>
      </c>
      <c r="N2266" s="178">
        <v>38540750</v>
      </c>
      <c r="O2266" s="169" t="s">
        <v>1362</v>
      </c>
      <c r="P2266" s="169" t="s">
        <v>283</v>
      </c>
      <c r="Q2266" s="169" t="s">
        <v>284</v>
      </c>
      <c r="R2266" s="169" t="s">
        <v>283</v>
      </c>
      <c r="S2266" s="169" t="s">
        <v>283</v>
      </c>
      <c r="T2266" s="169">
        <v>0</v>
      </c>
    </row>
    <row r="2267" spans="1:20" x14ac:dyDescent="0.2">
      <c r="A2267" s="169" t="str">
        <f t="shared" si="15"/>
        <v>627</v>
      </c>
      <c r="B2267" s="167" t="str">
        <f>_xlfn.XLOOKUP(I2267,Mapping!D:D,Mapping!E:E)</f>
        <v>Kiểm Soát Chất Lượng</v>
      </c>
      <c r="C2267" s="167" t="str">
        <f>_xlfn.XLOOKUP(F2267,Mapping!A:A,Mapping!F:F)</f>
        <v>Thưởng</v>
      </c>
      <c r="D2267" s="173">
        <v>46022</v>
      </c>
      <c r="E2267" s="169" t="s">
        <v>1360</v>
      </c>
      <c r="F2267" s="169" t="s">
        <v>395</v>
      </c>
      <c r="G2267" s="169" t="s">
        <v>77</v>
      </c>
      <c r="H2267" s="169" t="s">
        <v>411</v>
      </c>
      <c r="I2267" s="169" t="s">
        <v>412</v>
      </c>
      <c r="J2267" s="169" t="s">
        <v>1363</v>
      </c>
      <c r="K2267" s="169" t="s">
        <v>1358</v>
      </c>
      <c r="L2267" s="169" t="s">
        <v>1338</v>
      </c>
      <c r="M2267" s="169" t="s">
        <v>281</v>
      </c>
      <c r="N2267" s="178">
        <v>35457182</v>
      </c>
      <c r="O2267" s="169" t="s">
        <v>1362</v>
      </c>
      <c r="P2267" s="169" t="s">
        <v>283</v>
      </c>
      <c r="Q2267" s="169" t="s">
        <v>284</v>
      </c>
      <c r="R2267" s="169" t="s">
        <v>283</v>
      </c>
      <c r="S2267" s="169" t="s">
        <v>283</v>
      </c>
      <c r="T2267" s="169">
        <v>0</v>
      </c>
    </row>
    <row r="2268" spans="1:20" x14ac:dyDescent="0.2">
      <c r="A2268" s="169" t="str">
        <f t="shared" si="15"/>
        <v>627</v>
      </c>
      <c r="B2268" s="167" t="str">
        <f>_xlfn.XLOOKUP(I2268,Mapping!D:D,Mapping!E:E)</f>
        <v>Nghiên Cứu &amp; Phát Triển</v>
      </c>
      <c r="C2268" s="167" t="str">
        <f>_xlfn.XLOOKUP(F2268,Mapping!A:A,Mapping!F:F)</f>
        <v>Lương Chính +T13</v>
      </c>
      <c r="D2268" s="173">
        <v>46022</v>
      </c>
      <c r="E2268" s="169" t="s">
        <v>1360</v>
      </c>
      <c r="F2268" s="169" t="s">
        <v>388</v>
      </c>
      <c r="G2268" s="169" t="s">
        <v>286</v>
      </c>
      <c r="H2268" s="169" t="s">
        <v>418</v>
      </c>
      <c r="I2268" s="169" t="s">
        <v>419</v>
      </c>
      <c r="J2268" s="169" t="s">
        <v>1361</v>
      </c>
      <c r="K2268" s="169" t="s">
        <v>1358</v>
      </c>
      <c r="L2268" s="169" t="s">
        <v>1338</v>
      </c>
      <c r="M2268" s="169" t="s">
        <v>281</v>
      </c>
      <c r="N2268" s="178">
        <v>16916667</v>
      </c>
      <c r="O2268" s="169" t="s">
        <v>1362</v>
      </c>
      <c r="P2268" s="169" t="s">
        <v>283</v>
      </c>
      <c r="Q2268" s="169" t="s">
        <v>284</v>
      </c>
      <c r="R2268" s="169" t="s">
        <v>283</v>
      </c>
      <c r="S2268" s="169" t="s">
        <v>283</v>
      </c>
      <c r="T2268" s="169">
        <v>0</v>
      </c>
    </row>
    <row r="2269" spans="1:20" x14ac:dyDescent="0.2">
      <c r="A2269" s="169" t="str">
        <f t="shared" si="15"/>
        <v>627</v>
      </c>
      <c r="B2269" s="167" t="str">
        <f>_xlfn.XLOOKUP(I2269,Mapping!D:D,Mapping!E:E)</f>
        <v>Nghiên Cứu &amp; Phát Triển</v>
      </c>
      <c r="C2269" s="167" t="str">
        <f>_xlfn.XLOOKUP(F2269,Mapping!A:A,Mapping!F:F)</f>
        <v>Thưởng</v>
      </c>
      <c r="D2269" s="173">
        <v>46022</v>
      </c>
      <c r="E2269" s="169" t="s">
        <v>1360</v>
      </c>
      <c r="F2269" s="169" t="s">
        <v>395</v>
      </c>
      <c r="G2269" s="169" t="s">
        <v>77</v>
      </c>
      <c r="H2269" s="169" t="s">
        <v>418</v>
      </c>
      <c r="I2269" s="169" t="s">
        <v>419</v>
      </c>
      <c r="J2269" s="169" t="s">
        <v>1363</v>
      </c>
      <c r="K2269" s="169" t="s">
        <v>1358</v>
      </c>
      <c r="L2269" s="169" t="s">
        <v>1338</v>
      </c>
      <c r="M2269" s="169" t="s">
        <v>281</v>
      </c>
      <c r="N2269" s="178">
        <v>15563198</v>
      </c>
      <c r="O2269" s="169" t="s">
        <v>1362</v>
      </c>
      <c r="P2269" s="169" t="s">
        <v>283</v>
      </c>
      <c r="Q2269" s="169" t="s">
        <v>284</v>
      </c>
      <c r="R2269" s="169" t="s">
        <v>283</v>
      </c>
      <c r="S2269" s="169" t="s">
        <v>283</v>
      </c>
      <c r="T2269" s="169">
        <v>0</v>
      </c>
    </row>
    <row r="2270" spans="1:20" x14ac:dyDescent="0.2">
      <c r="A2270" s="169" t="str">
        <f t="shared" si="15"/>
        <v>627</v>
      </c>
      <c r="B2270" s="167" t="str">
        <f>_xlfn.XLOOKUP(I2270,Mapping!D:D,Mapping!E:E)</f>
        <v>Xưởng Sản Xuất</v>
      </c>
      <c r="C2270" s="167" t="str">
        <f>_xlfn.XLOOKUP(F2270,Mapping!A:A,Mapping!F:F)</f>
        <v>Lương Chính +T13</v>
      </c>
      <c r="D2270" s="173">
        <v>46022</v>
      </c>
      <c r="E2270" s="169" t="s">
        <v>1360</v>
      </c>
      <c r="F2270" s="169" t="s">
        <v>388</v>
      </c>
      <c r="G2270" s="169" t="s">
        <v>286</v>
      </c>
      <c r="H2270" s="169" t="s">
        <v>402</v>
      </c>
      <c r="I2270" s="169" t="s">
        <v>403</v>
      </c>
      <c r="J2270" s="169" t="s">
        <v>1361</v>
      </c>
      <c r="K2270" s="169" t="s">
        <v>1358</v>
      </c>
      <c r="L2270" s="169" t="s">
        <v>1338</v>
      </c>
      <c r="M2270" s="169" t="s">
        <v>281</v>
      </c>
      <c r="N2270" s="178">
        <v>33970618</v>
      </c>
      <c r="O2270" s="169" t="s">
        <v>1362</v>
      </c>
      <c r="P2270" s="169" t="s">
        <v>283</v>
      </c>
      <c r="Q2270" s="169" t="s">
        <v>284</v>
      </c>
      <c r="R2270" s="169" t="s">
        <v>283</v>
      </c>
      <c r="S2270" s="169" t="s">
        <v>283</v>
      </c>
      <c r="T2270" s="169">
        <v>0</v>
      </c>
    </row>
    <row r="2271" spans="1:20" x14ac:dyDescent="0.2">
      <c r="A2271" s="169" t="str">
        <f t="shared" si="15"/>
        <v>622</v>
      </c>
      <c r="B2271" s="167" t="str">
        <f>_xlfn.XLOOKUP(I2271,Mapping!D:D,Mapping!E:E)</f>
        <v>Xưởng Sản Xuất</v>
      </c>
      <c r="C2271" s="167" t="str">
        <f>_xlfn.XLOOKUP(F2271,Mapping!A:A,Mapping!F:F)</f>
        <v>Lương Chính +T13</v>
      </c>
      <c r="D2271" s="173">
        <v>46022</v>
      </c>
      <c r="E2271" s="169" t="s">
        <v>1360</v>
      </c>
      <c r="F2271" s="169" t="s">
        <v>420</v>
      </c>
      <c r="G2271" s="169" t="s">
        <v>286</v>
      </c>
      <c r="H2271" s="169" t="s">
        <v>402</v>
      </c>
      <c r="I2271" s="169" t="s">
        <v>403</v>
      </c>
      <c r="J2271" s="169" t="s">
        <v>1361</v>
      </c>
      <c r="K2271" s="169" t="s">
        <v>1358</v>
      </c>
      <c r="L2271" s="169" t="s">
        <v>1338</v>
      </c>
      <c r="M2271" s="169" t="s">
        <v>281</v>
      </c>
      <c r="N2271" s="178">
        <v>99822601</v>
      </c>
      <c r="O2271" s="169" t="s">
        <v>1362</v>
      </c>
      <c r="P2271" s="169" t="s">
        <v>283</v>
      </c>
      <c r="Q2271" s="169" t="s">
        <v>284</v>
      </c>
      <c r="R2271" s="169" t="s">
        <v>283</v>
      </c>
      <c r="S2271" s="169" t="s">
        <v>283</v>
      </c>
      <c r="T2271" s="169">
        <v>0</v>
      </c>
    </row>
    <row r="2272" spans="1:20" x14ac:dyDescent="0.2">
      <c r="A2272" s="169" t="str">
        <f t="shared" si="15"/>
        <v>627</v>
      </c>
      <c r="B2272" s="167" t="str">
        <f>_xlfn.XLOOKUP(I2272,Mapping!D:D,Mapping!E:E)</f>
        <v>Xưởng Sản Xuất</v>
      </c>
      <c r="C2272" s="167" t="str">
        <f>_xlfn.XLOOKUP(F2272,Mapping!A:A,Mapping!F:F)</f>
        <v>Thưởng</v>
      </c>
      <c r="D2272" s="173">
        <v>46022</v>
      </c>
      <c r="E2272" s="169" t="s">
        <v>1360</v>
      </c>
      <c r="F2272" s="169" t="s">
        <v>395</v>
      </c>
      <c r="G2272" s="169" t="s">
        <v>77</v>
      </c>
      <c r="H2272" s="169" t="s">
        <v>402</v>
      </c>
      <c r="I2272" s="169" t="s">
        <v>403</v>
      </c>
      <c r="J2272" s="169" t="s">
        <v>1363</v>
      </c>
      <c r="K2272" s="169" t="s">
        <v>1358</v>
      </c>
      <c r="L2272" s="169" t="s">
        <v>1338</v>
      </c>
      <c r="M2272" s="169" t="s">
        <v>281</v>
      </c>
      <c r="N2272" s="178">
        <v>30864122</v>
      </c>
      <c r="O2272" s="169" t="s">
        <v>1362</v>
      </c>
      <c r="P2272" s="169" t="s">
        <v>283</v>
      </c>
      <c r="Q2272" s="169" t="s">
        <v>284</v>
      </c>
      <c r="R2272" s="169" t="s">
        <v>283</v>
      </c>
      <c r="S2272" s="169" t="s">
        <v>283</v>
      </c>
      <c r="T2272" s="169">
        <v>0</v>
      </c>
    </row>
    <row r="2273" spans="1:20" x14ac:dyDescent="0.2">
      <c r="A2273" s="169" t="str">
        <f t="shared" si="15"/>
        <v>622</v>
      </c>
      <c r="B2273" s="167" t="str">
        <f>_xlfn.XLOOKUP(I2273,Mapping!D:D,Mapping!E:E)</f>
        <v>Xưởng Sản Xuất</v>
      </c>
      <c r="C2273" s="167" t="str">
        <f>_xlfn.XLOOKUP(F2273,Mapping!A:A,Mapping!F:F)</f>
        <v>Thưởng</v>
      </c>
      <c r="D2273" s="173">
        <v>46022</v>
      </c>
      <c r="E2273" s="169" t="s">
        <v>1360</v>
      </c>
      <c r="F2273" s="169" t="s">
        <v>426</v>
      </c>
      <c r="G2273" s="169" t="s">
        <v>77</v>
      </c>
      <c r="H2273" s="169" t="s">
        <v>402</v>
      </c>
      <c r="I2273" s="169" t="s">
        <v>403</v>
      </c>
      <c r="J2273" s="169" t="s">
        <v>1363</v>
      </c>
      <c r="K2273" s="169" t="s">
        <v>1358</v>
      </c>
      <c r="L2273" s="169" t="s">
        <v>1338</v>
      </c>
      <c r="M2273" s="169" t="s">
        <v>281</v>
      </c>
      <c r="N2273" s="178">
        <v>23258441</v>
      </c>
      <c r="O2273" s="169" t="s">
        <v>1362</v>
      </c>
      <c r="P2273" s="169" t="s">
        <v>283</v>
      </c>
      <c r="Q2273" s="169" t="s">
        <v>284</v>
      </c>
      <c r="R2273" s="169" t="s">
        <v>283</v>
      </c>
      <c r="S2273" s="169" t="s">
        <v>283</v>
      </c>
      <c r="T2273" s="169">
        <v>0</v>
      </c>
    </row>
    <row r="2274" spans="1:20" x14ac:dyDescent="0.2">
      <c r="A2274" s="169" t="str">
        <f t="shared" si="15"/>
        <v>627</v>
      </c>
      <c r="B2274" s="167" t="str">
        <f>_xlfn.XLOOKUP(I2274,Mapping!D:D,Mapping!E:E)</f>
        <v>Xưởng Sản Xuất</v>
      </c>
      <c r="C2274" s="167" t="str">
        <f>_xlfn.XLOOKUP(F2274,Mapping!A:A,Mapping!F:F)</f>
        <v>Lương Chính +T13</v>
      </c>
      <c r="D2274" s="173">
        <v>46022</v>
      </c>
      <c r="E2274" s="169" t="s">
        <v>1360</v>
      </c>
      <c r="F2274" s="169" t="s">
        <v>388</v>
      </c>
      <c r="G2274" s="169" t="s">
        <v>286</v>
      </c>
      <c r="H2274" s="169" t="s">
        <v>430</v>
      </c>
      <c r="I2274" s="169" t="s">
        <v>431</v>
      </c>
      <c r="J2274" s="169" t="s">
        <v>1361</v>
      </c>
      <c r="K2274" s="169" t="s">
        <v>1358</v>
      </c>
      <c r="L2274" s="169" t="s">
        <v>1338</v>
      </c>
      <c r="M2274" s="169" t="s">
        <v>281</v>
      </c>
      <c r="N2274" s="178">
        <v>11805449</v>
      </c>
      <c r="O2274" s="169" t="s">
        <v>1362</v>
      </c>
      <c r="P2274" s="169" t="s">
        <v>283</v>
      </c>
      <c r="Q2274" s="169" t="s">
        <v>284</v>
      </c>
      <c r="R2274" s="169" t="s">
        <v>283</v>
      </c>
      <c r="S2274" s="169" t="s">
        <v>283</v>
      </c>
      <c r="T2274" s="169">
        <v>0</v>
      </c>
    </row>
    <row r="2275" spans="1:20" x14ac:dyDescent="0.2">
      <c r="A2275" s="169" t="str">
        <f t="shared" si="15"/>
        <v>622</v>
      </c>
      <c r="B2275" s="167" t="str">
        <f>_xlfn.XLOOKUP(I2275,Mapping!D:D,Mapping!E:E)</f>
        <v>Xưởng Sản Xuất</v>
      </c>
      <c r="C2275" s="167" t="str">
        <f>_xlfn.XLOOKUP(F2275,Mapping!A:A,Mapping!F:F)</f>
        <v>Lương Chính +T13</v>
      </c>
      <c r="D2275" s="173">
        <v>46022</v>
      </c>
      <c r="E2275" s="169" t="s">
        <v>1360</v>
      </c>
      <c r="F2275" s="169" t="s">
        <v>420</v>
      </c>
      <c r="G2275" s="169" t="s">
        <v>286</v>
      </c>
      <c r="H2275" s="169" t="s">
        <v>430</v>
      </c>
      <c r="I2275" s="169" t="s">
        <v>431</v>
      </c>
      <c r="J2275" s="169" t="s">
        <v>1361</v>
      </c>
      <c r="K2275" s="169" t="s">
        <v>1358</v>
      </c>
      <c r="L2275" s="169" t="s">
        <v>1338</v>
      </c>
      <c r="M2275" s="169" t="s">
        <v>281</v>
      </c>
      <c r="N2275" s="178">
        <v>17710224</v>
      </c>
      <c r="O2275" s="169" t="s">
        <v>1362</v>
      </c>
      <c r="P2275" s="169" t="s">
        <v>283</v>
      </c>
      <c r="Q2275" s="169" t="s">
        <v>284</v>
      </c>
      <c r="R2275" s="169" t="s">
        <v>283</v>
      </c>
      <c r="S2275" s="169" t="s">
        <v>283</v>
      </c>
      <c r="T2275" s="169">
        <v>0</v>
      </c>
    </row>
    <row r="2276" spans="1:20" x14ac:dyDescent="0.2">
      <c r="A2276" s="169" t="str">
        <f t="shared" si="15"/>
        <v>627</v>
      </c>
      <c r="B2276" s="167" t="str">
        <f>_xlfn.XLOOKUP(I2276,Mapping!D:D,Mapping!E:E)</f>
        <v>Xưởng Sản Xuất</v>
      </c>
      <c r="C2276" s="167" t="str">
        <f>_xlfn.XLOOKUP(F2276,Mapping!A:A,Mapping!F:F)</f>
        <v>Thưởng</v>
      </c>
      <c r="D2276" s="173">
        <v>46022</v>
      </c>
      <c r="E2276" s="169" t="s">
        <v>1360</v>
      </c>
      <c r="F2276" s="169" t="s">
        <v>395</v>
      </c>
      <c r="G2276" s="169" t="s">
        <v>77</v>
      </c>
      <c r="H2276" s="169" t="s">
        <v>430</v>
      </c>
      <c r="I2276" s="169" t="s">
        <v>431</v>
      </c>
      <c r="J2276" s="169" t="s">
        <v>1363</v>
      </c>
      <c r="K2276" s="169" t="s">
        <v>1358</v>
      </c>
      <c r="L2276" s="169" t="s">
        <v>1338</v>
      </c>
      <c r="M2276" s="169" t="s">
        <v>281</v>
      </c>
      <c r="N2276" s="178">
        <v>10433629</v>
      </c>
      <c r="O2276" s="169" t="s">
        <v>1362</v>
      </c>
      <c r="P2276" s="169" t="s">
        <v>283</v>
      </c>
      <c r="Q2276" s="169" t="s">
        <v>284</v>
      </c>
      <c r="R2276" s="169" t="s">
        <v>283</v>
      </c>
      <c r="S2276" s="169" t="s">
        <v>283</v>
      </c>
      <c r="T2276" s="169">
        <v>0</v>
      </c>
    </row>
    <row r="2277" spans="1:20" x14ac:dyDescent="0.2">
      <c r="A2277" s="169" t="str">
        <f t="shared" si="15"/>
        <v>622</v>
      </c>
      <c r="B2277" s="167" t="str">
        <f>_xlfn.XLOOKUP(I2277,Mapping!D:D,Mapping!E:E)</f>
        <v>Xưởng Sản Xuất</v>
      </c>
      <c r="C2277" s="167" t="str">
        <f>_xlfn.XLOOKUP(F2277,Mapping!A:A,Mapping!F:F)</f>
        <v>Thưởng</v>
      </c>
      <c r="D2277" s="173">
        <v>46022</v>
      </c>
      <c r="E2277" s="169" t="s">
        <v>1360</v>
      </c>
      <c r="F2277" s="169" t="s">
        <v>426</v>
      </c>
      <c r="G2277" s="169" t="s">
        <v>77</v>
      </c>
      <c r="H2277" s="169" t="s">
        <v>430</v>
      </c>
      <c r="I2277" s="169" t="s">
        <v>431</v>
      </c>
      <c r="J2277" s="169" t="s">
        <v>1363</v>
      </c>
      <c r="K2277" s="169" t="s">
        <v>1358</v>
      </c>
      <c r="L2277" s="169" t="s">
        <v>1338</v>
      </c>
      <c r="M2277" s="169" t="s">
        <v>281</v>
      </c>
      <c r="N2277" s="178">
        <v>4680725</v>
      </c>
      <c r="O2277" s="169" t="s">
        <v>1362</v>
      </c>
      <c r="P2277" s="169" t="s">
        <v>283</v>
      </c>
      <c r="Q2277" s="169" t="s">
        <v>284</v>
      </c>
      <c r="R2277" s="169" t="s">
        <v>283</v>
      </c>
      <c r="S2277" s="169" t="s">
        <v>283</v>
      </c>
      <c r="T2277" s="169">
        <v>0</v>
      </c>
    </row>
    <row r="2278" spans="1:20" x14ac:dyDescent="0.2">
      <c r="A2278" s="169" t="str">
        <f t="shared" si="15"/>
        <v>627</v>
      </c>
      <c r="B2278" s="167" t="str">
        <f>_xlfn.XLOOKUP(I2278,Mapping!D:D,Mapping!E:E)</f>
        <v>Xưởng Sản Xuất</v>
      </c>
      <c r="C2278" s="167" t="str">
        <f>_xlfn.XLOOKUP(F2278,Mapping!A:A,Mapping!F:F)</f>
        <v>Lương Chính +T13</v>
      </c>
      <c r="D2278" s="173">
        <v>46022</v>
      </c>
      <c r="E2278" s="169" t="s">
        <v>1360</v>
      </c>
      <c r="F2278" s="169" t="s">
        <v>388</v>
      </c>
      <c r="G2278" s="169" t="s">
        <v>286</v>
      </c>
      <c r="H2278" s="169" t="s">
        <v>436</v>
      </c>
      <c r="I2278" s="169" t="s">
        <v>437</v>
      </c>
      <c r="J2278" s="169" t="s">
        <v>1361</v>
      </c>
      <c r="K2278" s="169" t="s">
        <v>1358</v>
      </c>
      <c r="L2278" s="169" t="s">
        <v>1338</v>
      </c>
      <c r="M2278" s="169" t="s">
        <v>281</v>
      </c>
      <c r="N2278" s="178">
        <v>24803881</v>
      </c>
      <c r="O2278" s="169" t="s">
        <v>1362</v>
      </c>
      <c r="P2278" s="169" t="s">
        <v>283</v>
      </c>
      <c r="Q2278" s="169" t="s">
        <v>284</v>
      </c>
      <c r="R2278" s="169" t="s">
        <v>283</v>
      </c>
      <c r="S2278" s="169" t="s">
        <v>283</v>
      </c>
      <c r="T2278" s="169">
        <v>0</v>
      </c>
    </row>
    <row r="2279" spans="1:20" x14ac:dyDescent="0.2">
      <c r="A2279" s="169" t="str">
        <f t="shared" si="15"/>
        <v>627</v>
      </c>
      <c r="B2279" s="167" t="str">
        <f>_xlfn.XLOOKUP(I2279,Mapping!D:D,Mapping!E:E)</f>
        <v>Xưởng Sản Xuất</v>
      </c>
      <c r="C2279" s="167" t="str">
        <f>_xlfn.XLOOKUP(F2279,Mapping!A:A,Mapping!F:F)</f>
        <v>Thưởng</v>
      </c>
      <c r="D2279" s="173">
        <v>46022</v>
      </c>
      <c r="E2279" s="169" t="s">
        <v>1360</v>
      </c>
      <c r="F2279" s="169" t="s">
        <v>395</v>
      </c>
      <c r="G2279" s="169" t="s">
        <v>77</v>
      </c>
      <c r="H2279" s="169" t="s">
        <v>436</v>
      </c>
      <c r="I2279" s="169" t="s">
        <v>437</v>
      </c>
      <c r="J2279" s="169" t="s">
        <v>1363</v>
      </c>
      <c r="K2279" s="169" t="s">
        <v>1358</v>
      </c>
      <c r="L2279" s="169" t="s">
        <v>1338</v>
      </c>
      <c r="M2279" s="169" t="s">
        <v>281</v>
      </c>
      <c r="N2279" s="178">
        <v>16388600</v>
      </c>
      <c r="O2279" s="169" t="s">
        <v>1362</v>
      </c>
      <c r="P2279" s="169" t="s">
        <v>283</v>
      </c>
      <c r="Q2279" s="169" t="s">
        <v>284</v>
      </c>
      <c r="R2279" s="169" t="s">
        <v>283</v>
      </c>
      <c r="S2279" s="169" t="s">
        <v>283</v>
      </c>
      <c r="T2279" s="169">
        <v>0</v>
      </c>
    </row>
    <row r="2280" spans="1:20" x14ac:dyDescent="0.2">
      <c r="A2280" s="169" t="str">
        <f t="shared" si="15"/>
        <v>642</v>
      </c>
      <c r="B2280" s="167" t="str">
        <f>_xlfn.XLOOKUP(I2280,Mapping!D:D,Mapping!E:E)</f>
        <v>Hành Chánh Nhân Sự</v>
      </c>
      <c r="C2280" s="167" t="str">
        <f>_xlfn.XLOOKUP(F2280,Mapping!A:A,Mapping!F:F)</f>
        <v>Lương Chính +T13</v>
      </c>
      <c r="D2280" s="173">
        <v>46022</v>
      </c>
      <c r="E2280" s="169" t="s">
        <v>1360</v>
      </c>
      <c r="F2280" s="169" t="s">
        <v>285</v>
      </c>
      <c r="G2280" s="169" t="s">
        <v>286</v>
      </c>
      <c r="H2280" s="169" t="s">
        <v>382</v>
      </c>
      <c r="I2280" s="169" t="s">
        <v>200</v>
      </c>
      <c r="J2280" s="169" t="s">
        <v>1361</v>
      </c>
      <c r="K2280" s="169" t="s">
        <v>1358</v>
      </c>
      <c r="L2280" s="169" t="s">
        <v>1338</v>
      </c>
      <c r="M2280" s="169" t="s">
        <v>281</v>
      </c>
      <c r="N2280" s="178">
        <v>6194250</v>
      </c>
      <c r="O2280" s="169" t="s">
        <v>1362</v>
      </c>
      <c r="P2280" s="169" t="s">
        <v>283</v>
      </c>
      <c r="Q2280" s="169" t="s">
        <v>284</v>
      </c>
      <c r="R2280" s="169" t="s">
        <v>283</v>
      </c>
      <c r="S2280" s="169" t="s">
        <v>283</v>
      </c>
      <c r="T2280" s="169">
        <v>0</v>
      </c>
    </row>
    <row r="2281" spans="1:20" x14ac:dyDescent="0.2">
      <c r="A2281" s="169" t="str">
        <f t="shared" si="15"/>
        <v>642</v>
      </c>
      <c r="B2281" s="167" t="str">
        <f>_xlfn.XLOOKUP(I2281,Mapping!D:D,Mapping!E:E)</f>
        <v>Hành Chánh Nhân Sự</v>
      </c>
      <c r="C2281" s="167" t="str">
        <f>_xlfn.XLOOKUP(F2281,Mapping!A:A,Mapping!F:F)</f>
        <v>Thưởng</v>
      </c>
      <c r="D2281" s="173">
        <v>46022</v>
      </c>
      <c r="E2281" s="169" t="s">
        <v>1360</v>
      </c>
      <c r="F2281" s="169" t="s">
        <v>292</v>
      </c>
      <c r="G2281" s="169" t="s">
        <v>77</v>
      </c>
      <c r="H2281" s="169" t="s">
        <v>382</v>
      </c>
      <c r="I2281" s="169" t="s">
        <v>200</v>
      </c>
      <c r="J2281" s="169" t="s">
        <v>1363</v>
      </c>
      <c r="K2281" s="169" t="s">
        <v>1358</v>
      </c>
      <c r="L2281" s="169" t="s">
        <v>1338</v>
      </c>
      <c r="M2281" s="169" t="s">
        <v>281</v>
      </c>
      <c r="N2281" s="178">
        <v>5698660</v>
      </c>
      <c r="O2281" s="169" t="s">
        <v>1362</v>
      </c>
      <c r="P2281" s="169" t="s">
        <v>283</v>
      </c>
      <c r="Q2281" s="169" t="s">
        <v>284</v>
      </c>
      <c r="R2281" s="169" t="s">
        <v>283</v>
      </c>
      <c r="S2281" s="169" t="s">
        <v>283</v>
      </c>
      <c r="T2281" s="169">
        <v>0</v>
      </c>
    </row>
    <row r="2282" spans="1:20" x14ac:dyDescent="0.2">
      <c r="A2282" s="169" t="str">
        <f t="shared" si="15"/>
        <v>642</v>
      </c>
      <c r="B2282" s="167" t="str">
        <f>_xlfn.XLOOKUP(I2282,Mapping!D:D,Mapping!E:E)</f>
        <v>Hành Chánh Nhân Sự</v>
      </c>
      <c r="C2282" s="167" t="str">
        <f>_xlfn.XLOOKUP(F2282,Mapping!A:A,Mapping!F:F)</f>
        <v>Lương Chính +T13</v>
      </c>
      <c r="D2282" s="173">
        <v>46022</v>
      </c>
      <c r="E2282" s="169" t="s">
        <v>1360</v>
      </c>
      <c r="F2282" s="169" t="s">
        <v>285</v>
      </c>
      <c r="G2282" s="169" t="s">
        <v>286</v>
      </c>
      <c r="H2282" s="169" t="s">
        <v>358</v>
      </c>
      <c r="I2282" s="169" t="s">
        <v>359</v>
      </c>
      <c r="J2282" s="169" t="s">
        <v>1361</v>
      </c>
      <c r="K2282" s="169" t="s">
        <v>1358</v>
      </c>
      <c r="L2282" s="169" t="s">
        <v>1338</v>
      </c>
      <c r="M2282" s="169" t="s">
        <v>281</v>
      </c>
      <c r="N2282" s="178">
        <v>8468167</v>
      </c>
      <c r="O2282" s="169" t="s">
        <v>1362</v>
      </c>
      <c r="P2282" s="169" t="s">
        <v>283</v>
      </c>
      <c r="Q2282" s="169" t="s">
        <v>284</v>
      </c>
      <c r="R2282" s="169" t="s">
        <v>283</v>
      </c>
      <c r="S2282" s="169" t="s">
        <v>283</v>
      </c>
      <c r="T2282" s="169">
        <v>0</v>
      </c>
    </row>
    <row r="2283" spans="1:20" x14ac:dyDescent="0.2">
      <c r="A2283" s="169" t="str">
        <f t="shared" si="15"/>
        <v>642</v>
      </c>
      <c r="B2283" s="167" t="str">
        <f>_xlfn.XLOOKUP(I2283,Mapping!D:D,Mapping!E:E)</f>
        <v>Hành Chánh Nhân Sự</v>
      </c>
      <c r="C2283" s="167" t="str">
        <f>_xlfn.XLOOKUP(F2283,Mapping!A:A,Mapping!F:F)</f>
        <v>Thưởng</v>
      </c>
      <c r="D2283" s="173">
        <v>46022</v>
      </c>
      <c r="E2283" s="169" t="s">
        <v>1360</v>
      </c>
      <c r="F2283" s="169" t="s">
        <v>292</v>
      </c>
      <c r="G2283" s="169" t="s">
        <v>77</v>
      </c>
      <c r="H2283" s="169" t="s">
        <v>358</v>
      </c>
      <c r="I2283" s="169" t="s">
        <v>359</v>
      </c>
      <c r="J2283" s="169" t="s">
        <v>1363</v>
      </c>
      <c r="K2283" s="169" t="s">
        <v>1358</v>
      </c>
      <c r="L2283" s="169" t="s">
        <v>1338</v>
      </c>
      <c r="M2283" s="169" t="s">
        <v>281</v>
      </c>
      <c r="N2283" s="178">
        <v>7790646</v>
      </c>
      <c r="O2283" s="169" t="s">
        <v>1362</v>
      </c>
      <c r="P2283" s="169" t="s">
        <v>283</v>
      </c>
      <c r="Q2283" s="169" t="s">
        <v>284</v>
      </c>
      <c r="R2283" s="169" t="s">
        <v>283</v>
      </c>
      <c r="S2283" s="169" t="s">
        <v>283</v>
      </c>
      <c r="T2283" s="169">
        <v>0</v>
      </c>
    </row>
    <row r="2284" spans="1:20" x14ac:dyDescent="0.2">
      <c r="A2284" s="169" t="str">
        <f t="shared" si="15"/>
        <v>642</v>
      </c>
      <c r="B2284" s="167" t="str">
        <f>_xlfn.XLOOKUP(I2284,Mapping!D:D,Mapping!E:E)</f>
        <v>Tư vấn dịch vụ</v>
      </c>
      <c r="C2284" s="167" t="str">
        <f>_xlfn.XLOOKUP(F2284,Mapping!A:A,Mapping!F:F)</f>
        <v>Lương Chính +T13</v>
      </c>
      <c r="D2284" s="173">
        <v>46022</v>
      </c>
      <c r="E2284" s="169" t="s">
        <v>1360</v>
      </c>
      <c r="F2284" s="169" t="s">
        <v>285</v>
      </c>
      <c r="G2284" s="169" t="s">
        <v>286</v>
      </c>
      <c r="H2284" s="169" t="s">
        <v>443</v>
      </c>
      <c r="I2284" s="169" t="s">
        <v>444</v>
      </c>
      <c r="J2284" s="169" t="s">
        <v>1361</v>
      </c>
      <c r="K2284" s="169" t="s">
        <v>1358</v>
      </c>
      <c r="L2284" s="169" t="s">
        <v>1338</v>
      </c>
      <c r="M2284" s="169" t="s">
        <v>281</v>
      </c>
      <c r="N2284" s="178">
        <v>5833333</v>
      </c>
      <c r="O2284" s="169" t="s">
        <v>1362</v>
      </c>
      <c r="P2284" s="169" t="s">
        <v>283</v>
      </c>
      <c r="Q2284" s="169" t="s">
        <v>284</v>
      </c>
      <c r="R2284" s="169" t="s">
        <v>283</v>
      </c>
      <c r="S2284" s="169" t="s">
        <v>283</v>
      </c>
      <c r="T2284" s="169">
        <v>0</v>
      </c>
    </row>
    <row r="2285" spans="1:20" x14ac:dyDescent="0.2">
      <c r="A2285" s="169" t="str">
        <f t="shared" si="15"/>
        <v>642</v>
      </c>
      <c r="B2285" s="167" t="str">
        <f>_xlfn.XLOOKUP(I2285,Mapping!D:D,Mapping!E:E)</f>
        <v>Tư vấn dịch vụ</v>
      </c>
      <c r="C2285" s="167" t="str">
        <f>_xlfn.XLOOKUP(F2285,Mapping!A:A,Mapping!F:F)</f>
        <v>Thưởng</v>
      </c>
      <c r="D2285" s="173">
        <v>46022</v>
      </c>
      <c r="E2285" s="169" t="s">
        <v>1360</v>
      </c>
      <c r="F2285" s="169" t="s">
        <v>292</v>
      </c>
      <c r="G2285" s="169" t="s">
        <v>77</v>
      </c>
      <c r="H2285" s="169" t="s">
        <v>443</v>
      </c>
      <c r="I2285" s="169" t="s">
        <v>444</v>
      </c>
      <c r="J2285" s="169" t="s">
        <v>1363</v>
      </c>
      <c r="K2285" s="169" t="s">
        <v>1358</v>
      </c>
      <c r="L2285" s="169" t="s">
        <v>1338</v>
      </c>
      <c r="M2285" s="169" t="s">
        <v>281</v>
      </c>
      <c r="N2285" s="178">
        <v>5366620</v>
      </c>
      <c r="O2285" s="169" t="s">
        <v>1362</v>
      </c>
      <c r="P2285" s="169" t="s">
        <v>283</v>
      </c>
      <c r="Q2285" s="169" t="s">
        <v>284</v>
      </c>
      <c r="R2285" s="169" t="s">
        <v>283</v>
      </c>
      <c r="S2285" s="169" t="s">
        <v>283</v>
      </c>
      <c r="T2285" s="169">
        <v>0</v>
      </c>
    </row>
    <row r="2286" spans="1:20" x14ac:dyDescent="0.2">
      <c r="A2286" s="169" t="str">
        <f t="shared" si="15"/>
        <v>622</v>
      </c>
      <c r="B2286" s="167" t="str">
        <f>_xlfn.XLOOKUP(I2286,Mapping!D:D,Mapping!E:E)</f>
        <v>Xưởng Sản Xuất</v>
      </c>
      <c r="C2286" s="167" t="str">
        <f>_xlfn.XLOOKUP(F2286,Mapping!A:A,Mapping!F:F)</f>
        <v>Lương Chính +T13</v>
      </c>
      <c r="D2286" s="173">
        <v>46022</v>
      </c>
      <c r="E2286" s="169" t="s">
        <v>1360</v>
      </c>
      <c r="F2286" s="169" t="s">
        <v>420</v>
      </c>
      <c r="G2286" s="169" t="s">
        <v>286</v>
      </c>
      <c r="H2286" s="169" t="s">
        <v>441</v>
      </c>
      <c r="I2286" s="169" t="s">
        <v>442</v>
      </c>
      <c r="J2286" s="169" t="s">
        <v>1361</v>
      </c>
      <c r="K2286" s="169" t="s">
        <v>1358</v>
      </c>
      <c r="L2286" s="169" t="s">
        <v>1338</v>
      </c>
      <c r="M2286" s="169" t="s">
        <v>281</v>
      </c>
      <c r="N2286" s="178">
        <v>531385</v>
      </c>
      <c r="O2286" s="169" t="s">
        <v>1362</v>
      </c>
      <c r="P2286" s="169" t="s">
        <v>283</v>
      </c>
      <c r="Q2286" s="169" t="s">
        <v>284</v>
      </c>
      <c r="R2286" s="169" t="s">
        <v>283</v>
      </c>
      <c r="S2286" s="169" t="s">
        <v>283</v>
      </c>
      <c r="T2286" s="169">
        <v>0</v>
      </c>
    </row>
    <row r="2287" spans="1:20" x14ac:dyDescent="0.2">
      <c r="A2287" s="169" t="str">
        <f t="shared" si="15"/>
        <v>622</v>
      </c>
      <c r="B2287" s="167" t="str">
        <f>_xlfn.XLOOKUP(I2287,Mapping!D:D,Mapping!E:E)</f>
        <v>Xưởng Sản Xuất</v>
      </c>
      <c r="C2287" s="167" t="str">
        <f>_xlfn.XLOOKUP(F2287,Mapping!A:A,Mapping!F:F)</f>
        <v>Thưởng</v>
      </c>
      <c r="D2287" s="173">
        <v>46022</v>
      </c>
      <c r="E2287" s="169" t="s">
        <v>1360</v>
      </c>
      <c r="F2287" s="169" t="s">
        <v>426</v>
      </c>
      <c r="G2287" s="169" t="s">
        <v>77</v>
      </c>
      <c r="H2287" s="169" t="s">
        <v>441</v>
      </c>
      <c r="I2287" s="169" t="s">
        <v>442</v>
      </c>
      <c r="J2287" s="169" t="s">
        <v>1363</v>
      </c>
      <c r="K2287" s="169" t="s">
        <v>1358</v>
      </c>
      <c r="L2287" s="169" t="s">
        <v>1338</v>
      </c>
      <c r="M2287" s="169" t="s">
        <v>281</v>
      </c>
      <c r="N2287" s="178">
        <v>78876</v>
      </c>
      <c r="O2287" s="169" t="s">
        <v>1362</v>
      </c>
      <c r="P2287" s="169" t="s">
        <v>283</v>
      </c>
      <c r="Q2287" s="169" t="s">
        <v>284</v>
      </c>
      <c r="R2287" s="169" t="s">
        <v>283</v>
      </c>
      <c r="S2287" s="169" t="s">
        <v>283</v>
      </c>
      <c r="T2287" s="169">
        <v>0</v>
      </c>
    </row>
    <row r="2288" spans="1:20" x14ac:dyDescent="0.2">
      <c r="A2288" s="169" t="str">
        <f t="shared" si="15"/>
        <v>642</v>
      </c>
      <c r="B2288" s="167" t="str">
        <f>_xlfn.XLOOKUP(I2288,Mapping!D:D,Mapping!E:E)</f>
        <v>Ban Giám Đốc</v>
      </c>
      <c r="C2288" s="167" t="str">
        <f>_xlfn.XLOOKUP(F2288,Mapping!A:A,Mapping!F:F)</f>
        <v>BHXH, BHYT, KPCĐ</v>
      </c>
      <c r="D2288" s="173">
        <v>46022</v>
      </c>
      <c r="E2288" s="169" t="s">
        <v>1364</v>
      </c>
      <c r="F2288" s="169" t="s">
        <v>295</v>
      </c>
      <c r="G2288" s="169" t="s">
        <v>296</v>
      </c>
      <c r="H2288" s="169" t="s">
        <v>276</v>
      </c>
      <c r="I2288" s="169" t="s">
        <v>277</v>
      </c>
      <c r="J2288" s="169" t="s">
        <v>1365</v>
      </c>
      <c r="K2288" s="169" t="s">
        <v>1358</v>
      </c>
      <c r="L2288" s="169" t="s">
        <v>1338</v>
      </c>
      <c r="M2288" s="169" t="s">
        <v>281</v>
      </c>
      <c r="N2288" s="178">
        <v>137066950</v>
      </c>
      <c r="O2288" s="169" t="s">
        <v>1366</v>
      </c>
      <c r="P2288" s="169" t="s">
        <v>283</v>
      </c>
      <c r="Q2288" s="169" t="s">
        <v>284</v>
      </c>
      <c r="R2288" s="169" t="s">
        <v>283</v>
      </c>
      <c r="S2288" s="169" t="s">
        <v>283</v>
      </c>
      <c r="T2288" s="169">
        <v>0</v>
      </c>
    </row>
    <row r="2289" spans="1:20" x14ac:dyDescent="0.2">
      <c r="A2289" s="169" t="str">
        <f t="shared" si="15"/>
        <v>642</v>
      </c>
      <c r="B2289" s="167" t="str">
        <f>_xlfn.XLOOKUP(I2289,Mapping!D:D,Mapping!E:E)</f>
        <v>Văn Phòng Giám Đốc</v>
      </c>
      <c r="C2289" s="167" t="str">
        <f>_xlfn.XLOOKUP(F2289,Mapping!A:A,Mapping!F:F)</f>
        <v>BHXH, BHYT, KPCĐ</v>
      </c>
      <c r="D2289" s="173">
        <v>46022</v>
      </c>
      <c r="E2289" s="169" t="s">
        <v>1364</v>
      </c>
      <c r="F2289" s="169" t="s">
        <v>295</v>
      </c>
      <c r="G2289" s="169" t="s">
        <v>296</v>
      </c>
      <c r="H2289" s="169" t="s">
        <v>320</v>
      </c>
      <c r="I2289" s="169" t="s">
        <v>321</v>
      </c>
      <c r="J2289" s="169" t="s">
        <v>1365</v>
      </c>
      <c r="K2289" s="169" t="s">
        <v>1358</v>
      </c>
      <c r="L2289" s="169" t="s">
        <v>1338</v>
      </c>
      <c r="M2289" s="169" t="s">
        <v>281</v>
      </c>
      <c r="N2289" s="178">
        <v>34958750</v>
      </c>
      <c r="O2289" s="169" t="s">
        <v>1366</v>
      </c>
      <c r="P2289" s="169" t="s">
        <v>283</v>
      </c>
      <c r="Q2289" s="169" t="s">
        <v>284</v>
      </c>
      <c r="R2289" s="169" t="s">
        <v>283</v>
      </c>
      <c r="S2289" s="169" t="s">
        <v>283</v>
      </c>
      <c r="T2289" s="169">
        <v>0</v>
      </c>
    </row>
    <row r="2290" spans="1:20" x14ac:dyDescent="0.2">
      <c r="A2290" s="169" t="str">
        <f t="shared" si="15"/>
        <v>642</v>
      </c>
      <c r="B2290" s="167" t="str">
        <f>_xlfn.XLOOKUP(I2290,Mapping!D:D,Mapping!E:E)</f>
        <v>Hành Chánh Nhân Sự</v>
      </c>
      <c r="C2290" s="167" t="str">
        <f>_xlfn.XLOOKUP(F2290,Mapping!A:A,Mapping!F:F)</f>
        <v>BHXH, BHYT, KPCĐ</v>
      </c>
      <c r="D2290" s="173">
        <v>46022</v>
      </c>
      <c r="E2290" s="169" t="s">
        <v>1364</v>
      </c>
      <c r="F2290" s="169" t="s">
        <v>295</v>
      </c>
      <c r="G2290" s="169" t="s">
        <v>296</v>
      </c>
      <c r="H2290" s="169" t="s">
        <v>301</v>
      </c>
      <c r="I2290" s="169" t="s">
        <v>302</v>
      </c>
      <c r="J2290" s="169" t="s">
        <v>1365</v>
      </c>
      <c r="K2290" s="169" t="s">
        <v>1358</v>
      </c>
      <c r="L2290" s="169" t="s">
        <v>1338</v>
      </c>
      <c r="M2290" s="169" t="s">
        <v>281</v>
      </c>
      <c r="N2290" s="178">
        <v>110171480</v>
      </c>
      <c r="O2290" s="169" t="s">
        <v>1366</v>
      </c>
      <c r="P2290" s="169" t="s">
        <v>283</v>
      </c>
      <c r="Q2290" s="169" t="s">
        <v>284</v>
      </c>
      <c r="R2290" s="169" t="s">
        <v>283</v>
      </c>
      <c r="S2290" s="169" t="s">
        <v>283</v>
      </c>
      <c r="T2290" s="169">
        <v>0</v>
      </c>
    </row>
    <row r="2291" spans="1:20" x14ac:dyDescent="0.2">
      <c r="A2291" s="169" t="str">
        <f t="shared" si="15"/>
        <v>642</v>
      </c>
      <c r="B2291" s="167" t="str">
        <f>_xlfn.XLOOKUP(I2291,Mapping!D:D,Mapping!E:E)</f>
        <v>Kế Toán</v>
      </c>
      <c r="C2291" s="167" t="str">
        <f>_xlfn.XLOOKUP(F2291,Mapping!A:A,Mapping!F:F)</f>
        <v>BHXH, BHYT, KPCĐ</v>
      </c>
      <c r="D2291" s="173">
        <v>46022</v>
      </c>
      <c r="E2291" s="169" t="s">
        <v>1364</v>
      </c>
      <c r="F2291" s="169" t="s">
        <v>295</v>
      </c>
      <c r="G2291" s="169" t="s">
        <v>296</v>
      </c>
      <c r="H2291" s="169" t="s">
        <v>356</v>
      </c>
      <c r="I2291" s="169" t="s">
        <v>357</v>
      </c>
      <c r="J2291" s="169" t="s">
        <v>1365</v>
      </c>
      <c r="K2291" s="169" t="s">
        <v>1358</v>
      </c>
      <c r="L2291" s="169" t="s">
        <v>1338</v>
      </c>
      <c r="M2291" s="169" t="s">
        <v>281</v>
      </c>
      <c r="N2291" s="178">
        <v>115039335</v>
      </c>
      <c r="O2291" s="169" t="s">
        <v>1366</v>
      </c>
      <c r="P2291" s="169" t="s">
        <v>283</v>
      </c>
      <c r="Q2291" s="169" t="s">
        <v>284</v>
      </c>
      <c r="R2291" s="169" t="s">
        <v>283</v>
      </c>
      <c r="S2291" s="169" t="s">
        <v>283</v>
      </c>
      <c r="T2291" s="169">
        <v>0</v>
      </c>
    </row>
    <row r="2292" spans="1:20" x14ac:dyDescent="0.2">
      <c r="A2292" s="169" t="str">
        <f t="shared" si="15"/>
        <v>641</v>
      </c>
      <c r="B2292" s="167" t="str">
        <f>_xlfn.XLOOKUP(I2292,Mapping!D:D,Mapping!E:E)</f>
        <v>Kinh doanh</v>
      </c>
      <c r="C2292" s="167" t="str">
        <f>_xlfn.XLOOKUP(F2292,Mapping!A:A,Mapping!F:F)</f>
        <v>BHXH, BHYT, KPCĐ</v>
      </c>
      <c r="D2292" s="173">
        <v>46022</v>
      </c>
      <c r="E2292" s="169" t="s">
        <v>1364</v>
      </c>
      <c r="F2292" s="169" t="s">
        <v>392</v>
      </c>
      <c r="G2292" s="169" t="s">
        <v>296</v>
      </c>
      <c r="H2292" s="169" t="s">
        <v>366</v>
      </c>
      <c r="I2292" s="169" t="s">
        <v>1</v>
      </c>
      <c r="J2292" s="169" t="s">
        <v>1365</v>
      </c>
      <c r="K2292" s="169" t="s">
        <v>1358</v>
      </c>
      <c r="L2292" s="169" t="s">
        <v>1338</v>
      </c>
      <c r="M2292" s="169" t="s">
        <v>281</v>
      </c>
      <c r="N2292" s="178">
        <v>65072445</v>
      </c>
      <c r="O2292" s="169" t="s">
        <v>1366</v>
      </c>
      <c r="P2292" s="169" t="s">
        <v>283</v>
      </c>
      <c r="Q2292" s="169" t="s">
        <v>284</v>
      </c>
      <c r="R2292" s="169" t="s">
        <v>283</v>
      </c>
      <c r="S2292" s="169" t="s">
        <v>283</v>
      </c>
      <c r="T2292" s="169">
        <v>0</v>
      </c>
    </row>
    <row r="2293" spans="1:20" x14ac:dyDescent="0.2">
      <c r="A2293" s="169" t="str">
        <f t="shared" si="15"/>
        <v>642</v>
      </c>
      <c r="B2293" s="167" t="str">
        <f>_xlfn.XLOOKUP(I2293,Mapping!D:D,Mapping!E:E)</f>
        <v>Cung Ứng</v>
      </c>
      <c r="C2293" s="167" t="str">
        <f>_xlfn.XLOOKUP(F2293,Mapping!A:A,Mapping!F:F)</f>
        <v>BHXH, BHYT, KPCĐ</v>
      </c>
      <c r="D2293" s="173">
        <v>46022</v>
      </c>
      <c r="E2293" s="169" t="s">
        <v>1364</v>
      </c>
      <c r="F2293" s="169" t="s">
        <v>295</v>
      </c>
      <c r="G2293" s="169" t="s">
        <v>296</v>
      </c>
      <c r="H2293" s="169" t="s">
        <v>380</v>
      </c>
      <c r="I2293" s="169" t="s">
        <v>381</v>
      </c>
      <c r="J2293" s="169" t="s">
        <v>1365</v>
      </c>
      <c r="K2293" s="169" t="s">
        <v>1358</v>
      </c>
      <c r="L2293" s="169" t="s">
        <v>1338</v>
      </c>
      <c r="M2293" s="169" t="s">
        <v>281</v>
      </c>
      <c r="N2293" s="178">
        <v>116574335</v>
      </c>
      <c r="O2293" s="169" t="s">
        <v>1366</v>
      </c>
      <c r="P2293" s="169" t="s">
        <v>283</v>
      </c>
      <c r="Q2293" s="169" t="s">
        <v>284</v>
      </c>
      <c r="R2293" s="169" t="s">
        <v>283</v>
      </c>
      <c r="S2293" s="169" t="s">
        <v>283</v>
      </c>
      <c r="T2293" s="169">
        <v>0</v>
      </c>
    </row>
    <row r="2294" spans="1:20" x14ac:dyDescent="0.2">
      <c r="A2294" s="169" t="str">
        <f t="shared" si="15"/>
        <v>642</v>
      </c>
      <c r="B2294" s="167" t="str">
        <f>_xlfn.XLOOKUP(I2294,Mapping!D:D,Mapping!E:E)</f>
        <v>Mua Hàng &amp; XNK</v>
      </c>
      <c r="C2294" s="167" t="str">
        <f>_xlfn.XLOOKUP(F2294,Mapping!A:A,Mapping!F:F)</f>
        <v>BHXH, BHYT, KPCĐ</v>
      </c>
      <c r="D2294" s="173">
        <v>46022</v>
      </c>
      <c r="E2294" s="169" t="s">
        <v>1364</v>
      </c>
      <c r="F2294" s="169" t="s">
        <v>295</v>
      </c>
      <c r="G2294" s="169" t="s">
        <v>296</v>
      </c>
      <c r="H2294" s="169" t="s">
        <v>378</v>
      </c>
      <c r="I2294" s="169" t="s">
        <v>379</v>
      </c>
      <c r="J2294" s="169" t="s">
        <v>1365</v>
      </c>
      <c r="K2294" s="169" t="s">
        <v>1358</v>
      </c>
      <c r="L2294" s="169" t="s">
        <v>1338</v>
      </c>
      <c r="M2294" s="169" t="s">
        <v>281</v>
      </c>
      <c r="N2294" s="178">
        <v>43635255</v>
      </c>
      <c r="O2294" s="169" t="s">
        <v>1366</v>
      </c>
      <c r="P2294" s="169" t="s">
        <v>283</v>
      </c>
      <c r="Q2294" s="169" t="s">
        <v>284</v>
      </c>
      <c r="R2294" s="169" t="s">
        <v>283</v>
      </c>
      <c r="S2294" s="169" t="s">
        <v>283</v>
      </c>
      <c r="T2294" s="169">
        <v>0</v>
      </c>
    </row>
    <row r="2295" spans="1:20" x14ac:dyDescent="0.2">
      <c r="A2295" s="169" t="str">
        <f t="shared" si="15"/>
        <v>627</v>
      </c>
      <c r="B2295" s="167" t="str">
        <f>_xlfn.XLOOKUP(I2295,Mapping!D:D,Mapping!E:E)</f>
        <v>Kỹ Thuật</v>
      </c>
      <c r="C2295" s="167" t="str">
        <f>_xlfn.XLOOKUP(F2295,Mapping!A:A,Mapping!F:F)</f>
        <v>BHXH, BHYT, KPCĐ</v>
      </c>
      <c r="D2295" s="173">
        <v>46022</v>
      </c>
      <c r="E2295" s="169" t="s">
        <v>1364</v>
      </c>
      <c r="F2295" s="169" t="s">
        <v>393</v>
      </c>
      <c r="G2295" s="169" t="s">
        <v>296</v>
      </c>
      <c r="H2295" s="169" t="s">
        <v>376</v>
      </c>
      <c r="I2295" s="169" t="s">
        <v>377</v>
      </c>
      <c r="J2295" s="169" t="s">
        <v>1365</v>
      </c>
      <c r="K2295" s="169" t="s">
        <v>1358</v>
      </c>
      <c r="L2295" s="169" t="s">
        <v>1338</v>
      </c>
      <c r="M2295" s="169" t="s">
        <v>281</v>
      </c>
      <c r="N2295" s="178">
        <v>261645225</v>
      </c>
      <c r="O2295" s="169" t="s">
        <v>1366</v>
      </c>
      <c r="P2295" s="169" t="s">
        <v>283</v>
      </c>
      <c r="Q2295" s="169" t="s">
        <v>284</v>
      </c>
      <c r="R2295" s="169" t="s">
        <v>283</v>
      </c>
      <c r="S2295" s="169" t="s">
        <v>283</v>
      </c>
      <c r="T2295" s="169">
        <v>0</v>
      </c>
    </row>
    <row r="2296" spans="1:20" x14ac:dyDescent="0.2">
      <c r="A2296" s="169" t="str">
        <f t="shared" si="15"/>
        <v>627</v>
      </c>
      <c r="B2296" s="167" t="str">
        <f>_xlfn.XLOOKUP(I2296,Mapping!D:D,Mapping!E:E)</f>
        <v>Kiểm Soát Chất Lượng</v>
      </c>
      <c r="C2296" s="167" t="str">
        <f>_xlfn.XLOOKUP(F2296,Mapping!A:A,Mapping!F:F)</f>
        <v>BHXH, BHYT, KPCĐ</v>
      </c>
      <c r="D2296" s="173">
        <v>46022</v>
      </c>
      <c r="E2296" s="169" t="s">
        <v>1364</v>
      </c>
      <c r="F2296" s="169" t="s">
        <v>393</v>
      </c>
      <c r="G2296" s="169" t="s">
        <v>296</v>
      </c>
      <c r="H2296" s="169" t="s">
        <v>411</v>
      </c>
      <c r="I2296" s="169" t="s">
        <v>412</v>
      </c>
      <c r="J2296" s="169" t="s">
        <v>1365</v>
      </c>
      <c r="K2296" s="169" t="s">
        <v>1358</v>
      </c>
      <c r="L2296" s="169" t="s">
        <v>1338</v>
      </c>
      <c r="M2296" s="169" t="s">
        <v>281</v>
      </c>
      <c r="N2296" s="178">
        <v>105984915</v>
      </c>
      <c r="O2296" s="169" t="s">
        <v>1366</v>
      </c>
      <c r="P2296" s="169" t="s">
        <v>283</v>
      </c>
      <c r="Q2296" s="169" t="s">
        <v>284</v>
      </c>
      <c r="R2296" s="169" t="s">
        <v>283</v>
      </c>
      <c r="S2296" s="169" t="s">
        <v>283</v>
      </c>
      <c r="T2296" s="169">
        <v>0</v>
      </c>
    </row>
    <row r="2297" spans="1:20" x14ac:dyDescent="0.2">
      <c r="A2297" s="169" t="str">
        <f t="shared" si="15"/>
        <v>627</v>
      </c>
      <c r="B2297" s="167" t="str">
        <f>_xlfn.XLOOKUP(I2297,Mapping!D:D,Mapping!E:E)</f>
        <v>Nghiên Cứu &amp; Phát Triển</v>
      </c>
      <c r="C2297" s="167" t="str">
        <f>_xlfn.XLOOKUP(F2297,Mapping!A:A,Mapping!F:F)</f>
        <v>BHXH, BHYT, KPCĐ</v>
      </c>
      <c r="D2297" s="173">
        <v>46022</v>
      </c>
      <c r="E2297" s="169" t="s">
        <v>1364</v>
      </c>
      <c r="F2297" s="169" t="s">
        <v>393</v>
      </c>
      <c r="G2297" s="169" t="s">
        <v>296</v>
      </c>
      <c r="H2297" s="169" t="s">
        <v>418</v>
      </c>
      <c r="I2297" s="169" t="s">
        <v>419</v>
      </c>
      <c r="J2297" s="169" t="s">
        <v>1365</v>
      </c>
      <c r="K2297" s="169" t="s">
        <v>1358</v>
      </c>
      <c r="L2297" s="169" t="s">
        <v>1338</v>
      </c>
      <c r="M2297" s="169" t="s">
        <v>281</v>
      </c>
      <c r="N2297" s="178">
        <v>38435000</v>
      </c>
      <c r="O2297" s="169" t="s">
        <v>1366</v>
      </c>
      <c r="P2297" s="169" t="s">
        <v>283</v>
      </c>
      <c r="Q2297" s="169" t="s">
        <v>284</v>
      </c>
      <c r="R2297" s="169" t="s">
        <v>283</v>
      </c>
      <c r="S2297" s="169" t="s">
        <v>283</v>
      </c>
      <c r="T2297" s="169">
        <v>0</v>
      </c>
    </row>
    <row r="2298" spans="1:20" x14ac:dyDescent="0.2">
      <c r="A2298" s="169" t="str">
        <f t="shared" si="15"/>
        <v>622</v>
      </c>
      <c r="B2298" s="167" t="str">
        <f>_xlfn.XLOOKUP(I2298,Mapping!D:D,Mapping!E:E)</f>
        <v>Xưởng Sản Xuất</v>
      </c>
      <c r="C2298" s="167" t="str">
        <f>_xlfn.XLOOKUP(F2298,Mapping!A:A,Mapping!F:F)</f>
        <v>BHXH, BHYT, KPCĐ</v>
      </c>
      <c r="D2298" s="173">
        <v>46022</v>
      </c>
      <c r="E2298" s="169" t="s">
        <v>1364</v>
      </c>
      <c r="F2298" s="169" t="s">
        <v>425</v>
      </c>
      <c r="G2298" s="169" t="s">
        <v>296</v>
      </c>
      <c r="H2298" s="169" t="s">
        <v>402</v>
      </c>
      <c r="I2298" s="169" t="s">
        <v>403</v>
      </c>
      <c r="J2298" s="169" t="s">
        <v>1365</v>
      </c>
      <c r="K2298" s="169" t="s">
        <v>1358</v>
      </c>
      <c r="L2298" s="169" t="s">
        <v>1338</v>
      </c>
      <c r="M2298" s="169" t="s">
        <v>281</v>
      </c>
      <c r="N2298" s="178">
        <v>277488490</v>
      </c>
      <c r="O2298" s="169" t="s">
        <v>1366</v>
      </c>
      <c r="P2298" s="169" t="s">
        <v>283</v>
      </c>
      <c r="Q2298" s="169" t="s">
        <v>284</v>
      </c>
      <c r="R2298" s="169" t="s">
        <v>283</v>
      </c>
      <c r="S2298" s="169" t="s">
        <v>283</v>
      </c>
      <c r="T2298" s="169">
        <v>0</v>
      </c>
    </row>
    <row r="2299" spans="1:20" x14ac:dyDescent="0.2">
      <c r="A2299" s="169" t="str">
        <f t="shared" si="15"/>
        <v>627</v>
      </c>
      <c r="B2299" s="167" t="str">
        <f>_xlfn.XLOOKUP(I2299,Mapping!D:D,Mapping!E:E)</f>
        <v>Xưởng Sản Xuất</v>
      </c>
      <c r="C2299" s="167" t="str">
        <f>_xlfn.XLOOKUP(F2299,Mapping!A:A,Mapping!F:F)</f>
        <v>BHXH, BHYT, KPCĐ</v>
      </c>
      <c r="D2299" s="173">
        <v>46022</v>
      </c>
      <c r="E2299" s="169" t="s">
        <v>1364</v>
      </c>
      <c r="F2299" s="169" t="s">
        <v>393</v>
      </c>
      <c r="G2299" s="169" t="s">
        <v>296</v>
      </c>
      <c r="H2299" s="169" t="s">
        <v>402</v>
      </c>
      <c r="I2299" s="169" t="s">
        <v>403</v>
      </c>
      <c r="J2299" s="169" t="s">
        <v>1365</v>
      </c>
      <c r="K2299" s="169" t="s">
        <v>1358</v>
      </c>
      <c r="L2299" s="169" t="s">
        <v>1338</v>
      </c>
      <c r="M2299" s="169" t="s">
        <v>281</v>
      </c>
      <c r="N2299" s="178">
        <v>87395265</v>
      </c>
      <c r="O2299" s="169" t="s">
        <v>1366</v>
      </c>
      <c r="P2299" s="169" t="s">
        <v>283</v>
      </c>
      <c r="Q2299" s="169" t="s">
        <v>284</v>
      </c>
      <c r="R2299" s="169" t="s">
        <v>283</v>
      </c>
      <c r="S2299" s="169" t="s">
        <v>283</v>
      </c>
      <c r="T2299" s="169">
        <v>0</v>
      </c>
    </row>
    <row r="2300" spans="1:20" x14ac:dyDescent="0.2">
      <c r="A2300" s="169" t="str">
        <f t="shared" si="15"/>
        <v>622</v>
      </c>
      <c r="B2300" s="167" t="str">
        <f>_xlfn.XLOOKUP(I2300,Mapping!D:D,Mapping!E:E)</f>
        <v>Xưởng Sản Xuất</v>
      </c>
      <c r="C2300" s="167" t="str">
        <f>_xlfn.XLOOKUP(F2300,Mapping!A:A,Mapping!F:F)</f>
        <v>BHXH, BHYT, KPCĐ</v>
      </c>
      <c r="D2300" s="173">
        <v>46022</v>
      </c>
      <c r="E2300" s="169" t="s">
        <v>1364</v>
      </c>
      <c r="F2300" s="169" t="s">
        <v>425</v>
      </c>
      <c r="G2300" s="169" t="s">
        <v>296</v>
      </c>
      <c r="H2300" s="169" t="s">
        <v>430</v>
      </c>
      <c r="I2300" s="169" t="s">
        <v>431</v>
      </c>
      <c r="J2300" s="169" t="s">
        <v>1365</v>
      </c>
      <c r="K2300" s="169" t="s">
        <v>1358</v>
      </c>
      <c r="L2300" s="169" t="s">
        <v>1338</v>
      </c>
      <c r="M2300" s="169" t="s">
        <v>281</v>
      </c>
      <c r="N2300" s="178">
        <v>50458000</v>
      </c>
      <c r="O2300" s="169" t="s">
        <v>1366</v>
      </c>
      <c r="P2300" s="169" t="s">
        <v>283</v>
      </c>
      <c r="Q2300" s="169" t="s">
        <v>284</v>
      </c>
      <c r="R2300" s="169" t="s">
        <v>283</v>
      </c>
      <c r="S2300" s="169" t="s">
        <v>283</v>
      </c>
      <c r="T2300" s="169">
        <v>0</v>
      </c>
    </row>
    <row r="2301" spans="1:20" x14ac:dyDescent="0.2">
      <c r="A2301" s="169" t="str">
        <f t="shared" si="15"/>
        <v>627</v>
      </c>
      <c r="B2301" s="167" t="str">
        <f>_xlfn.XLOOKUP(I2301,Mapping!D:D,Mapping!E:E)</f>
        <v>Xưởng Sản Xuất</v>
      </c>
      <c r="C2301" s="167" t="str">
        <f>_xlfn.XLOOKUP(F2301,Mapping!A:A,Mapping!F:F)</f>
        <v>BHXH, BHYT, KPCĐ</v>
      </c>
      <c r="D2301" s="173">
        <v>46022</v>
      </c>
      <c r="E2301" s="169" t="s">
        <v>1364</v>
      </c>
      <c r="F2301" s="169" t="s">
        <v>393</v>
      </c>
      <c r="G2301" s="169" t="s">
        <v>296</v>
      </c>
      <c r="H2301" s="169" t="s">
        <v>430</v>
      </c>
      <c r="I2301" s="169" t="s">
        <v>431</v>
      </c>
      <c r="J2301" s="169" t="s">
        <v>1365</v>
      </c>
      <c r="K2301" s="169" t="s">
        <v>1358</v>
      </c>
      <c r="L2301" s="169" t="s">
        <v>1338</v>
      </c>
      <c r="M2301" s="169" t="s">
        <v>281</v>
      </c>
      <c r="N2301" s="178">
        <v>26931495</v>
      </c>
      <c r="O2301" s="169" t="s">
        <v>1366</v>
      </c>
      <c r="P2301" s="169" t="s">
        <v>283</v>
      </c>
      <c r="Q2301" s="169" t="s">
        <v>284</v>
      </c>
      <c r="R2301" s="169" t="s">
        <v>283</v>
      </c>
      <c r="S2301" s="169" t="s">
        <v>283</v>
      </c>
      <c r="T2301" s="169">
        <v>0</v>
      </c>
    </row>
    <row r="2302" spans="1:20" x14ac:dyDescent="0.2">
      <c r="A2302" s="169" t="str">
        <f t="shared" si="15"/>
        <v>627</v>
      </c>
      <c r="B2302" s="167" t="str">
        <f>_xlfn.XLOOKUP(I2302,Mapping!D:D,Mapping!E:E)</f>
        <v>Xưởng Sản Xuất</v>
      </c>
      <c r="C2302" s="167" t="str">
        <f>_xlfn.XLOOKUP(F2302,Mapping!A:A,Mapping!F:F)</f>
        <v>BHXH, BHYT, KPCĐ</v>
      </c>
      <c r="D2302" s="173">
        <v>46022</v>
      </c>
      <c r="E2302" s="169" t="s">
        <v>1364</v>
      </c>
      <c r="F2302" s="169" t="s">
        <v>393</v>
      </c>
      <c r="G2302" s="169" t="s">
        <v>296</v>
      </c>
      <c r="H2302" s="169" t="s">
        <v>436</v>
      </c>
      <c r="I2302" s="169" t="s">
        <v>437</v>
      </c>
      <c r="J2302" s="169" t="s">
        <v>1365</v>
      </c>
      <c r="K2302" s="169" t="s">
        <v>1358</v>
      </c>
      <c r="L2302" s="169" t="s">
        <v>1338</v>
      </c>
      <c r="M2302" s="169" t="s">
        <v>281</v>
      </c>
      <c r="N2302" s="178">
        <v>59533170</v>
      </c>
      <c r="O2302" s="169" t="s">
        <v>1366</v>
      </c>
      <c r="P2302" s="169" t="s">
        <v>283</v>
      </c>
      <c r="Q2302" s="169" t="s">
        <v>284</v>
      </c>
      <c r="R2302" s="169" t="s">
        <v>283</v>
      </c>
      <c r="S2302" s="169" t="s">
        <v>283</v>
      </c>
      <c r="T2302" s="169">
        <v>0</v>
      </c>
    </row>
    <row r="2303" spans="1:20" x14ac:dyDescent="0.2">
      <c r="A2303" s="169" t="str">
        <f t="shared" ref="A2303:A2361" si="16">LEFT(F2303,3)</f>
        <v>642</v>
      </c>
      <c r="B2303" s="167" t="str">
        <f>_xlfn.XLOOKUP(I2303,Mapping!D:D,Mapping!E:E)</f>
        <v>Hành Chánh Nhân Sự</v>
      </c>
      <c r="C2303" s="167" t="str">
        <f>_xlfn.XLOOKUP(F2303,Mapping!A:A,Mapping!F:F)</f>
        <v>BHXH, BHYT, KPCĐ</v>
      </c>
      <c r="D2303" s="173">
        <v>46022</v>
      </c>
      <c r="E2303" s="169" t="s">
        <v>1364</v>
      </c>
      <c r="F2303" s="169" t="s">
        <v>295</v>
      </c>
      <c r="G2303" s="169" t="s">
        <v>296</v>
      </c>
      <c r="H2303" s="169" t="s">
        <v>382</v>
      </c>
      <c r="I2303" s="169" t="s">
        <v>200</v>
      </c>
      <c r="J2303" s="169" t="s">
        <v>1365</v>
      </c>
      <c r="K2303" s="169" t="s">
        <v>1358</v>
      </c>
      <c r="L2303" s="169" t="s">
        <v>1338</v>
      </c>
      <c r="M2303" s="169" t="s">
        <v>281</v>
      </c>
      <c r="N2303" s="178">
        <v>17467785</v>
      </c>
      <c r="O2303" s="169" t="s">
        <v>1366</v>
      </c>
      <c r="P2303" s="169" t="s">
        <v>283</v>
      </c>
      <c r="Q2303" s="169" t="s">
        <v>284</v>
      </c>
      <c r="R2303" s="169" t="s">
        <v>283</v>
      </c>
      <c r="S2303" s="169" t="s">
        <v>283</v>
      </c>
      <c r="T2303" s="169">
        <v>0</v>
      </c>
    </row>
    <row r="2304" spans="1:20" x14ac:dyDescent="0.2">
      <c r="A2304" s="169" t="str">
        <f t="shared" si="16"/>
        <v>642</v>
      </c>
      <c r="B2304" s="167" t="str">
        <f>_xlfn.XLOOKUP(I2304,Mapping!D:D,Mapping!E:E)</f>
        <v>Hành Chánh Nhân Sự</v>
      </c>
      <c r="C2304" s="167" t="str">
        <f>_xlfn.XLOOKUP(F2304,Mapping!A:A,Mapping!F:F)</f>
        <v>BHXH, BHYT, KPCĐ</v>
      </c>
      <c r="D2304" s="173">
        <v>46022</v>
      </c>
      <c r="E2304" s="169" t="s">
        <v>1364</v>
      </c>
      <c r="F2304" s="169" t="s">
        <v>295</v>
      </c>
      <c r="G2304" s="169" t="s">
        <v>296</v>
      </c>
      <c r="H2304" s="169" t="s">
        <v>358</v>
      </c>
      <c r="I2304" s="169" t="s">
        <v>359</v>
      </c>
      <c r="J2304" s="169" t="s">
        <v>1365</v>
      </c>
      <c r="K2304" s="169" t="s">
        <v>1358</v>
      </c>
      <c r="L2304" s="169" t="s">
        <v>1338</v>
      </c>
      <c r="M2304" s="169" t="s">
        <v>281</v>
      </c>
      <c r="N2304" s="178">
        <v>23880230</v>
      </c>
      <c r="O2304" s="169" t="s">
        <v>1366</v>
      </c>
      <c r="P2304" s="169" t="s">
        <v>283</v>
      </c>
      <c r="Q2304" s="169" t="s">
        <v>284</v>
      </c>
      <c r="R2304" s="169" t="s">
        <v>283</v>
      </c>
      <c r="S2304" s="169" t="s">
        <v>283</v>
      </c>
      <c r="T2304" s="169">
        <v>0</v>
      </c>
    </row>
    <row r="2305" spans="1:20" x14ac:dyDescent="0.2">
      <c r="A2305" s="169" t="str">
        <f t="shared" si="16"/>
        <v>622</v>
      </c>
      <c r="B2305" s="167" t="str">
        <f>_xlfn.XLOOKUP(I2305,Mapping!D:D,Mapping!E:E)</f>
        <v>Xưởng Sản Xuất</v>
      </c>
      <c r="C2305" s="167" t="str">
        <f>_xlfn.XLOOKUP(F2305,Mapping!A:A,Mapping!F:F)</f>
        <v>BHXH, BHYT, KPCĐ</v>
      </c>
      <c r="D2305" s="173">
        <v>46022</v>
      </c>
      <c r="E2305" s="169" t="s">
        <v>1364</v>
      </c>
      <c r="F2305" s="169" t="s">
        <v>425</v>
      </c>
      <c r="G2305" s="169" t="s">
        <v>296</v>
      </c>
      <c r="H2305" s="169" t="s">
        <v>441</v>
      </c>
      <c r="I2305" s="169" t="s">
        <v>442</v>
      </c>
      <c r="J2305" s="169" t="s">
        <v>1365</v>
      </c>
      <c r="K2305" s="169" t="s">
        <v>1358</v>
      </c>
      <c r="L2305" s="169" t="s">
        <v>1338</v>
      </c>
      <c r="M2305" s="169" t="s">
        <v>281</v>
      </c>
      <c r="N2305" s="178">
        <v>1308480</v>
      </c>
      <c r="O2305" s="169" t="s">
        <v>1366</v>
      </c>
      <c r="P2305" s="169" t="s">
        <v>283</v>
      </c>
      <c r="Q2305" s="169" t="s">
        <v>284</v>
      </c>
      <c r="R2305" s="169" t="s">
        <v>283</v>
      </c>
      <c r="S2305" s="169" t="s">
        <v>283</v>
      </c>
      <c r="T2305" s="169">
        <v>0</v>
      </c>
    </row>
    <row r="2306" spans="1:20" x14ac:dyDescent="0.2">
      <c r="A2306" s="169" t="str">
        <f t="shared" si="16"/>
        <v>642</v>
      </c>
      <c r="B2306" s="167" t="str">
        <f>_xlfn.XLOOKUP(I2306,Mapping!D:D,Mapping!E:E)</f>
        <v>Cung Ứng</v>
      </c>
      <c r="C2306" s="167" t="str">
        <f>_xlfn.XLOOKUP(F2306,Mapping!A:A,Mapping!F:F)</f>
        <v>Lương Chính +T13</v>
      </c>
      <c r="D2306" s="173">
        <v>46022</v>
      </c>
      <c r="E2306" s="169" t="s">
        <v>1367</v>
      </c>
      <c r="F2306" s="169" t="s">
        <v>274</v>
      </c>
      <c r="G2306" s="169" t="s">
        <v>275</v>
      </c>
      <c r="H2306" s="169" t="s">
        <v>380</v>
      </c>
      <c r="I2306" s="169" t="s">
        <v>381</v>
      </c>
      <c r="J2306" s="169" t="s">
        <v>1368</v>
      </c>
      <c r="K2306" s="169" t="s">
        <v>1358</v>
      </c>
      <c r="L2306" s="169" t="s">
        <v>1338</v>
      </c>
      <c r="M2306" s="169" t="s">
        <v>281</v>
      </c>
      <c r="N2306" s="178">
        <v>-98944</v>
      </c>
      <c r="O2306" s="169" t="s">
        <v>1369</v>
      </c>
      <c r="P2306" s="169" t="s">
        <v>283</v>
      </c>
      <c r="Q2306" s="169" t="s">
        <v>284</v>
      </c>
      <c r="R2306" s="169" t="s">
        <v>283</v>
      </c>
      <c r="S2306" s="169" t="s">
        <v>283</v>
      </c>
      <c r="T2306" s="169">
        <v>0</v>
      </c>
    </row>
    <row r="2307" spans="1:20" x14ac:dyDescent="0.2">
      <c r="A2307" s="169" t="str">
        <f t="shared" si="16"/>
        <v>622</v>
      </c>
      <c r="B2307" s="167" t="str">
        <f>_xlfn.XLOOKUP(I2307,Mapping!D:D,Mapping!E:E)</f>
        <v>Xưởng Sản Xuất</v>
      </c>
      <c r="C2307" s="167" t="str">
        <f>_xlfn.XLOOKUP(F2307,Mapping!A:A,Mapping!F:F)</f>
        <v>BHXH, BHYT, KPCĐ</v>
      </c>
      <c r="D2307" s="173">
        <v>46022</v>
      </c>
      <c r="E2307" s="169" t="s">
        <v>1370</v>
      </c>
      <c r="F2307" s="169" t="s">
        <v>425</v>
      </c>
      <c r="G2307" s="169" t="s">
        <v>296</v>
      </c>
      <c r="H2307" s="169" t="s">
        <v>402</v>
      </c>
      <c r="I2307" s="169" t="s">
        <v>403</v>
      </c>
      <c r="J2307" s="169" t="s">
        <v>1365</v>
      </c>
      <c r="K2307" s="169" t="s">
        <v>1358</v>
      </c>
      <c r="L2307" s="169" t="s">
        <v>1338</v>
      </c>
      <c r="M2307" s="169" t="s">
        <v>281</v>
      </c>
      <c r="N2307" s="178">
        <v>1198500</v>
      </c>
      <c r="O2307" s="169" t="s">
        <v>1371</v>
      </c>
      <c r="P2307" s="169" t="s">
        <v>283</v>
      </c>
      <c r="Q2307" s="169" t="s">
        <v>284</v>
      </c>
      <c r="R2307" s="169" t="s">
        <v>283</v>
      </c>
      <c r="S2307" s="169" t="s">
        <v>283</v>
      </c>
      <c r="T2307" s="169">
        <v>0</v>
      </c>
    </row>
    <row r="2308" spans="1:20" x14ac:dyDescent="0.2">
      <c r="A2308" s="169" t="str">
        <f t="shared" si="16"/>
        <v>642</v>
      </c>
      <c r="B2308" s="167" t="str">
        <f>_xlfn.XLOOKUP(I2308,Mapping!D:D,Mapping!E:E)</f>
        <v>Hành Chánh Nhân Sự</v>
      </c>
      <c r="C2308" s="167" t="str">
        <f>_xlfn.XLOOKUP(F2308,Mapping!A:A,Mapping!F:F)</f>
        <v>Khen thưởng BD khác</v>
      </c>
      <c r="D2308" s="173">
        <v>46022</v>
      </c>
      <c r="E2308" s="169" t="s">
        <v>1372</v>
      </c>
      <c r="F2308" s="169" t="s">
        <v>300</v>
      </c>
      <c r="G2308" s="169" t="s">
        <v>222</v>
      </c>
      <c r="H2308" s="169" t="s">
        <v>358</v>
      </c>
      <c r="I2308" s="169" t="s">
        <v>359</v>
      </c>
      <c r="J2308" s="169" t="s">
        <v>1373</v>
      </c>
      <c r="K2308" s="169" t="s">
        <v>1358</v>
      </c>
      <c r="L2308" s="169" t="s">
        <v>1338</v>
      </c>
      <c r="M2308" s="169" t="s">
        <v>281</v>
      </c>
      <c r="N2308" s="178">
        <v>5000000</v>
      </c>
      <c r="O2308" s="169" t="s">
        <v>1374</v>
      </c>
      <c r="P2308" s="169" t="s">
        <v>283</v>
      </c>
      <c r="Q2308" s="169" t="s">
        <v>284</v>
      </c>
      <c r="R2308" s="169" t="s">
        <v>283</v>
      </c>
      <c r="S2308" s="169" t="s">
        <v>283</v>
      </c>
      <c r="T2308" s="169">
        <v>0</v>
      </c>
    </row>
    <row r="2309" spans="1:20" x14ac:dyDescent="0.2">
      <c r="A2309" s="169" t="str">
        <f t="shared" si="16"/>
        <v>627</v>
      </c>
      <c r="B2309" s="167" t="str">
        <f>_xlfn.XLOOKUP(I2309,Mapping!D:D,Mapping!E:E)</f>
        <v>Kỹ Thuật</v>
      </c>
      <c r="C2309" s="167" t="str">
        <f>_xlfn.XLOOKUP(F2309,Mapping!A:A,Mapping!F:F)</f>
        <v>BHXH, BHYT, KPCĐ</v>
      </c>
      <c r="D2309" s="173">
        <v>46022</v>
      </c>
      <c r="E2309" s="169" t="s">
        <v>1375</v>
      </c>
      <c r="F2309" s="169" t="s">
        <v>393</v>
      </c>
      <c r="G2309" s="169" t="s">
        <v>296</v>
      </c>
      <c r="H2309" s="169" t="s">
        <v>376</v>
      </c>
      <c r="I2309" s="169" t="s">
        <v>377</v>
      </c>
      <c r="J2309" s="169" t="s">
        <v>283</v>
      </c>
      <c r="K2309" s="169" t="s">
        <v>1358</v>
      </c>
      <c r="L2309" s="169" t="s">
        <v>1338</v>
      </c>
      <c r="M2309" s="169" t="s">
        <v>281</v>
      </c>
      <c r="N2309" s="178">
        <v>229500</v>
      </c>
      <c r="O2309" s="169" t="s">
        <v>1376</v>
      </c>
      <c r="P2309" s="169" t="s">
        <v>283</v>
      </c>
      <c r="Q2309" s="169" t="s">
        <v>284</v>
      </c>
      <c r="R2309" s="169" t="s">
        <v>283</v>
      </c>
      <c r="S2309" s="169" t="s">
        <v>283</v>
      </c>
      <c r="T2309" s="169">
        <v>0</v>
      </c>
    </row>
    <row r="2310" spans="1:20" x14ac:dyDescent="0.2">
      <c r="A2310" s="169" t="str">
        <f t="shared" si="16"/>
        <v>627</v>
      </c>
      <c r="B2310" s="167" t="str">
        <f>_xlfn.XLOOKUP(I2310,Mapping!D:D,Mapping!E:E)</f>
        <v>Xưởng Sản Xuất</v>
      </c>
      <c r="C2310" s="167" t="str">
        <f>_xlfn.XLOOKUP(F2310,Mapping!A:A,Mapping!F:F)</f>
        <v>BHXH, BHYT, KPCĐ</v>
      </c>
      <c r="D2310" s="173">
        <v>46022</v>
      </c>
      <c r="E2310" s="169" t="s">
        <v>1375</v>
      </c>
      <c r="F2310" s="169" t="s">
        <v>393</v>
      </c>
      <c r="G2310" s="169" t="s">
        <v>296</v>
      </c>
      <c r="H2310" s="169" t="s">
        <v>402</v>
      </c>
      <c r="I2310" s="169" t="s">
        <v>403</v>
      </c>
      <c r="J2310" s="169" t="s">
        <v>1365</v>
      </c>
      <c r="K2310" s="169" t="s">
        <v>1358</v>
      </c>
      <c r="L2310" s="169" t="s">
        <v>1338</v>
      </c>
      <c r="M2310" s="169" t="s">
        <v>281</v>
      </c>
      <c r="N2310" s="178">
        <v>515250</v>
      </c>
      <c r="O2310" s="169" t="s">
        <v>1376</v>
      </c>
      <c r="P2310" s="169" t="s">
        <v>283</v>
      </c>
      <c r="Q2310" s="169" t="s">
        <v>284</v>
      </c>
      <c r="R2310" s="169" t="s">
        <v>283</v>
      </c>
      <c r="S2310" s="169" t="s">
        <v>283</v>
      </c>
      <c r="T2310" s="169">
        <v>0</v>
      </c>
    </row>
    <row r="2311" spans="1:20" x14ac:dyDescent="0.2">
      <c r="A2311" s="169" t="str">
        <f t="shared" si="16"/>
        <v>627</v>
      </c>
      <c r="B2311" s="167" t="str">
        <f>_xlfn.XLOOKUP(I2311,Mapping!D:D,Mapping!E:E)</f>
        <v>Xưởng Sản Xuất</v>
      </c>
      <c r="C2311" s="167" t="str">
        <f>_xlfn.XLOOKUP(F2311,Mapping!A:A,Mapping!F:F)</f>
        <v>BHXH, BHYT, KPCĐ</v>
      </c>
      <c r="D2311" s="173">
        <v>46022</v>
      </c>
      <c r="E2311" s="169" t="s">
        <v>1375</v>
      </c>
      <c r="F2311" s="169" t="s">
        <v>393</v>
      </c>
      <c r="G2311" s="169" t="s">
        <v>296</v>
      </c>
      <c r="H2311" s="169" t="s">
        <v>436</v>
      </c>
      <c r="I2311" s="169" t="s">
        <v>437</v>
      </c>
      <c r="J2311" s="169" t="s">
        <v>1365</v>
      </c>
      <c r="K2311" s="169" t="s">
        <v>1358</v>
      </c>
      <c r="L2311" s="169" t="s">
        <v>1338</v>
      </c>
      <c r="M2311" s="169" t="s">
        <v>281</v>
      </c>
      <c r="N2311" s="178">
        <v>935550</v>
      </c>
      <c r="O2311" s="169" t="s">
        <v>1376</v>
      </c>
      <c r="P2311" s="169" t="s">
        <v>283</v>
      </c>
      <c r="Q2311" s="169" t="s">
        <v>284</v>
      </c>
      <c r="R2311" s="169" t="s">
        <v>283</v>
      </c>
      <c r="S2311" s="169" t="s">
        <v>283</v>
      </c>
      <c r="T2311" s="169">
        <v>0</v>
      </c>
    </row>
    <row r="2312" spans="1:20" x14ac:dyDescent="0.2">
      <c r="A2312" s="169" t="str">
        <f t="shared" si="16"/>
        <v>622</v>
      </c>
      <c r="B2312" s="167" t="str">
        <f>_xlfn.XLOOKUP(I2312,Mapping!D:D,Mapping!E:E)</f>
        <v>Xưởng Sản Xuất</v>
      </c>
      <c r="C2312" s="167" t="str">
        <f>_xlfn.XLOOKUP(F2312,Mapping!A:A,Mapping!F:F)</f>
        <v>BHXH, BHYT, KPCĐ</v>
      </c>
      <c r="D2312" s="173">
        <v>46022</v>
      </c>
      <c r="E2312" s="169" t="s">
        <v>1375</v>
      </c>
      <c r="F2312" s="169" t="s">
        <v>425</v>
      </c>
      <c r="G2312" s="169" t="s">
        <v>296</v>
      </c>
      <c r="H2312" s="169" t="s">
        <v>430</v>
      </c>
      <c r="I2312" s="169" t="s">
        <v>431</v>
      </c>
      <c r="J2312" s="169" t="s">
        <v>1365</v>
      </c>
      <c r="K2312" s="169" t="s">
        <v>1358</v>
      </c>
      <c r="L2312" s="169" t="s">
        <v>1338</v>
      </c>
      <c r="M2312" s="169" t="s">
        <v>281</v>
      </c>
      <c r="N2312" s="178">
        <v>229500</v>
      </c>
      <c r="O2312" s="169" t="s">
        <v>1376</v>
      </c>
      <c r="P2312" s="169" t="s">
        <v>283</v>
      </c>
      <c r="Q2312" s="169" t="s">
        <v>284</v>
      </c>
      <c r="R2312" s="169" t="s">
        <v>283</v>
      </c>
      <c r="S2312" s="169" t="s">
        <v>283</v>
      </c>
      <c r="T2312" s="169">
        <v>0</v>
      </c>
    </row>
    <row r="2313" spans="1:20" x14ac:dyDescent="0.2">
      <c r="A2313" s="169" t="str">
        <f t="shared" si="16"/>
        <v>622</v>
      </c>
      <c r="B2313" s="167" t="str">
        <f>_xlfn.XLOOKUP(I2313,Mapping!D:D,Mapping!E:E)</f>
        <v>Xưởng Sản Xuất</v>
      </c>
      <c r="C2313" s="167" t="str">
        <f>_xlfn.XLOOKUP(F2313,Mapping!A:A,Mapping!F:F)</f>
        <v>BHXH, BHYT, KPCĐ</v>
      </c>
      <c r="D2313" s="173">
        <v>46022</v>
      </c>
      <c r="E2313" s="169" t="s">
        <v>1375</v>
      </c>
      <c r="F2313" s="169" t="s">
        <v>425</v>
      </c>
      <c r="G2313" s="169" t="s">
        <v>296</v>
      </c>
      <c r="H2313" s="169" t="s">
        <v>402</v>
      </c>
      <c r="I2313" s="169" t="s">
        <v>403</v>
      </c>
      <c r="J2313" s="169" t="s">
        <v>1365</v>
      </c>
      <c r="K2313" s="169" t="s">
        <v>1358</v>
      </c>
      <c r="L2313" s="169" t="s">
        <v>1338</v>
      </c>
      <c r="M2313" s="169" t="s">
        <v>281</v>
      </c>
      <c r="N2313" s="178">
        <v>2757915</v>
      </c>
      <c r="O2313" s="169" t="s">
        <v>1376</v>
      </c>
      <c r="P2313" s="169" t="s">
        <v>283</v>
      </c>
      <c r="Q2313" s="169" t="s">
        <v>284</v>
      </c>
      <c r="R2313" s="169" t="s">
        <v>283</v>
      </c>
      <c r="S2313" s="169" t="s">
        <v>283</v>
      </c>
      <c r="T2313" s="169">
        <v>0</v>
      </c>
    </row>
    <row r="2314" spans="1:20" x14ac:dyDescent="0.2">
      <c r="A2314" s="169" t="str">
        <f t="shared" si="16"/>
        <v>642</v>
      </c>
      <c r="B2314" s="167" t="str">
        <f>_xlfn.XLOOKUP(I2314,Mapping!D:D,Mapping!E:E)</f>
        <v>Tư vấn dịch vụ</v>
      </c>
      <c r="C2314" s="167" t="str">
        <f>_xlfn.XLOOKUP(F2314,Mapping!A:A,Mapping!F:F)</f>
        <v>Lương Chính +T13</v>
      </c>
      <c r="D2314" s="173">
        <v>46022</v>
      </c>
      <c r="E2314" s="169" t="s">
        <v>1377</v>
      </c>
      <c r="F2314" s="169" t="s">
        <v>285</v>
      </c>
      <c r="G2314" s="169" t="s">
        <v>286</v>
      </c>
      <c r="H2314" s="169" t="s">
        <v>443</v>
      </c>
      <c r="I2314" s="169" t="s">
        <v>444</v>
      </c>
      <c r="J2314" s="169" t="s">
        <v>1378</v>
      </c>
      <c r="K2314" s="169" t="s">
        <v>1358</v>
      </c>
      <c r="L2314" s="169" t="s">
        <v>1338</v>
      </c>
      <c r="M2314" s="169" t="s">
        <v>281</v>
      </c>
      <c r="N2314" s="178">
        <v>-5833333</v>
      </c>
      <c r="O2314" s="169" t="s">
        <v>1379</v>
      </c>
      <c r="P2314" s="169" t="s">
        <v>283</v>
      </c>
      <c r="Q2314" s="169" t="s">
        <v>284</v>
      </c>
      <c r="R2314" s="169" t="s">
        <v>283</v>
      </c>
      <c r="S2314" s="169" t="s">
        <v>283</v>
      </c>
      <c r="T2314" s="169">
        <v>0</v>
      </c>
    </row>
    <row r="2315" spans="1:20" x14ac:dyDescent="0.2">
      <c r="A2315" s="169" t="str">
        <f t="shared" si="16"/>
        <v>642</v>
      </c>
      <c r="B2315" s="167" t="str">
        <f>_xlfn.XLOOKUP(I2315,Mapping!D:D,Mapping!E:E)</f>
        <v>Tư vấn dịch vụ</v>
      </c>
      <c r="C2315" s="167" t="str">
        <f>_xlfn.XLOOKUP(F2315,Mapping!A:A,Mapping!F:F)</f>
        <v>Thưởng</v>
      </c>
      <c r="D2315" s="173">
        <v>46022</v>
      </c>
      <c r="E2315" s="169" t="s">
        <v>1377</v>
      </c>
      <c r="F2315" s="169" t="s">
        <v>292</v>
      </c>
      <c r="G2315" s="169" t="s">
        <v>77</v>
      </c>
      <c r="H2315" s="169" t="s">
        <v>443</v>
      </c>
      <c r="I2315" s="169" t="s">
        <v>444</v>
      </c>
      <c r="J2315" s="169" t="s">
        <v>1380</v>
      </c>
      <c r="K2315" s="169" t="s">
        <v>1358</v>
      </c>
      <c r="L2315" s="169" t="s">
        <v>1338</v>
      </c>
      <c r="M2315" s="169" t="s">
        <v>281</v>
      </c>
      <c r="N2315" s="178">
        <v>-5366620</v>
      </c>
      <c r="O2315" s="169" t="s">
        <v>1379</v>
      </c>
      <c r="P2315" s="169" t="s">
        <v>283</v>
      </c>
      <c r="Q2315" s="169" t="s">
        <v>284</v>
      </c>
      <c r="R2315" s="169" t="s">
        <v>283</v>
      </c>
      <c r="S2315" s="169" t="s">
        <v>283</v>
      </c>
      <c r="T2315" s="169">
        <v>0</v>
      </c>
    </row>
    <row r="2316" spans="1:20" x14ac:dyDescent="0.2">
      <c r="A2316" s="169" t="str">
        <f t="shared" si="16"/>
        <v>642</v>
      </c>
      <c r="B2316" s="167" t="str">
        <f>_xlfn.XLOOKUP(I2316,Mapping!D:D,Mapping!E:E)</f>
        <v>Ban Giám Đốc</v>
      </c>
      <c r="C2316" s="167" t="str">
        <f>_xlfn.XLOOKUP(F2316,Mapping!A:A,Mapping!F:F)</f>
        <v>Lương Chính +T13</v>
      </c>
      <c r="D2316" s="173">
        <v>46022</v>
      </c>
      <c r="E2316" s="169" t="s">
        <v>1381</v>
      </c>
      <c r="F2316" s="169" t="s">
        <v>285</v>
      </c>
      <c r="G2316" s="169" t="s">
        <v>286</v>
      </c>
      <c r="H2316" s="169" t="s">
        <v>276</v>
      </c>
      <c r="I2316" s="169" t="s">
        <v>277</v>
      </c>
      <c r="J2316" s="169" t="s">
        <v>1382</v>
      </c>
      <c r="K2316" s="169" t="s">
        <v>1383</v>
      </c>
      <c r="L2316" s="169" t="s">
        <v>1338</v>
      </c>
      <c r="M2316" s="169" t="s">
        <v>281</v>
      </c>
      <c r="N2316" s="178">
        <v>31329833</v>
      </c>
      <c r="O2316" s="169" t="s">
        <v>1384</v>
      </c>
      <c r="P2316" s="169" t="s">
        <v>283</v>
      </c>
      <c r="Q2316" s="169" t="s">
        <v>284</v>
      </c>
      <c r="R2316" s="169" t="s">
        <v>283</v>
      </c>
      <c r="S2316" s="169" t="s">
        <v>283</v>
      </c>
      <c r="T2316" s="169">
        <v>0</v>
      </c>
    </row>
    <row r="2317" spans="1:20" x14ac:dyDescent="0.2">
      <c r="A2317" s="169" t="str">
        <f t="shared" si="16"/>
        <v>642</v>
      </c>
      <c r="B2317" s="167" t="str">
        <f>_xlfn.XLOOKUP(I2317,Mapping!D:D,Mapping!E:E)</f>
        <v>Văn Phòng Giám Đốc</v>
      </c>
      <c r="C2317" s="167" t="str">
        <f>_xlfn.XLOOKUP(F2317,Mapping!A:A,Mapping!F:F)</f>
        <v>Lương Chính +T13</v>
      </c>
      <c r="D2317" s="173">
        <v>46022</v>
      </c>
      <c r="E2317" s="169" t="s">
        <v>1381</v>
      </c>
      <c r="F2317" s="169" t="s">
        <v>285</v>
      </c>
      <c r="G2317" s="169" t="s">
        <v>286</v>
      </c>
      <c r="H2317" s="169" t="s">
        <v>320</v>
      </c>
      <c r="I2317" s="169" t="s">
        <v>321</v>
      </c>
      <c r="J2317" s="169" t="s">
        <v>1382</v>
      </c>
      <c r="K2317" s="169" t="s">
        <v>1383</v>
      </c>
      <c r="L2317" s="169" t="s">
        <v>1338</v>
      </c>
      <c r="M2317" s="169" t="s">
        <v>281</v>
      </c>
      <c r="N2317" s="178">
        <v>9083333</v>
      </c>
      <c r="O2317" s="169" t="s">
        <v>1384</v>
      </c>
      <c r="P2317" s="169" t="s">
        <v>283</v>
      </c>
      <c r="Q2317" s="169" t="s">
        <v>284</v>
      </c>
      <c r="R2317" s="169" t="s">
        <v>283</v>
      </c>
      <c r="S2317" s="169" t="s">
        <v>283</v>
      </c>
      <c r="T2317" s="169">
        <v>0</v>
      </c>
    </row>
    <row r="2318" spans="1:20" x14ac:dyDescent="0.2">
      <c r="A2318" s="169" t="str">
        <f t="shared" si="16"/>
        <v>642</v>
      </c>
      <c r="B2318" s="167" t="str">
        <f>_xlfn.XLOOKUP(I2318,Mapping!D:D,Mapping!E:E)</f>
        <v>Hành Chánh Nhân Sự</v>
      </c>
      <c r="C2318" s="167" t="str">
        <f>_xlfn.XLOOKUP(F2318,Mapping!A:A,Mapping!F:F)</f>
        <v>Lương Chính +T13</v>
      </c>
      <c r="D2318" s="173">
        <v>46022</v>
      </c>
      <c r="E2318" s="169" t="s">
        <v>1381</v>
      </c>
      <c r="F2318" s="169" t="s">
        <v>285</v>
      </c>
      <c r="G2318" s="169" t="s">
        <v>286</v>
      </c>
      <c r="H2318" s="169" t="s">
        <v>358</v>
      </c>
      <c r="I2318" s="169" t="s">
        <v>359</v>
      </c>
      <c r="J2318" s="169" t="s">
        <v>1382</v>
      </c>
      <c r="K2318" s="169" t="s">
        <v>1383</v>
      </c>
      <c r="L2318" s="169" t="s">
        <v>1338</v>
      </c>
      <c r="M2318" s="169" t="s">
        <v>281</v>
      </c>
      <c r="N2318" s="178">
        <v>6551498</v>
      </c>
      <c r="O2318" s="169" t="s">
        <v>1384</v>
      </c>
      <c r="P2318" s="169" t="s">
        <v>283</v>
      </c>
      <c r="Q2318" s="169" t="s">
        <v>284</v>
      </c>
      <c r="R2318" s="169" t="s">
        <v>283</v>
      </c>
      <c r="S2318" s="169" t="s">
        <v>283</v>
      </c>
      <c r="T2318" s="169">
        <v>0</v>
      </c>
    </row>
    <row r="2319" spans="1:20" x14ac:dyDescent="0.2">
      <c r="A2319" s="169" t="str">
        <f t="shared" si="16"/>
        <v>642</v>
      </c>
      <c r="B2319" s="167" t="str">
        <f>_xlfn.XLOOKUP(I2319,Mapping!D:D,Mapping!E:E)</f>
        <v>Hành Chánh Nhân Sự</v>
      </c>
      <c r="C2319" s="167" t="str">
        <f>_xlfn.XLOOKUP(F2319,Mapping!A:A,Mapping!F:F)</f>
        <v>Lương Chính +T13</v>
      </c>
      <c r="D2319" s="173">
        <v>46022</v>
      </c>
      <c r="E2319" s="169" t="s">
        <v>1381</v>
      </c>
      <c r="F2319" s="169" t="s">
        <v>285</v>
      </c>
      <c r="G2319" s="169" t="s">
        <v>286</v>
      </c>
      <c r="H2319" s="169" t="s">
        <v>382</v>
      </c>
      <c r="I2319" s="169" t="s">
        <v>200</v>
      </c>
      <c r="J2319" s="169" t="s">
        <v>1382</v>
      </c>
      <c r="K2319" s="169" t="s">
        <v>1383</v>
      </c>
      <c r="L2319" s="169" t="s">
        <v>1338</v>
      </c>
      <c r="M2319" s="169" t="s">
        <v>281</v>
      </c>
      <c r="N2319" s="178">
        <v>6194250</v>
      </c>
      <c r="O2319" s="169" t="s">
        <v>1384</v>
      </c>
      <c r="P2319" s="169" t="s">
        <v>283</v>
      </c>
      <c r="Q2319" s="169" t="s">
        <v>284</v>
      </c>
      <c r="R2319" s="169" t="s">
        <v>283</v>
      </c>
      <c r="S2319" s="169" t="s">
        <v>283</v>
      </c>
      <c r="T2319" s="169">
        <v>0</v>
      </c>
    </row>
    <row r="2320" spans="1:20" x14ac:dyDescent="0.2">
      <c r="A2320" s="169" t="str">
        <f t="shared" si="16"/>
        <v>642</v>
      </c>
      <c r="B2320" s="167" t="str">
        <f>_xlfn.XLOOKUP(I2320,Mapping!D:D,Mapping!E:E)</f>
        <v>Hành Chánh Nhân Sự</v>
      </c>
      <c r="C2320" s="167" t="str">
        <f>_xlfn.XLOOKUP(F2320,Mapping!A:A,Mapping!F:F)</f>
        <v>Lương Chính +T13</v>
      </c>
      <c r="D2320" s="173">
        <v>46022</v>
      </c>
      <c r="E2320" s="169" t="s">
        <v>1381</v>
      </c>
      <c r="F2320" s="169" t="s">
        <v>285</v>
      </c>
      <c r="G2320" s="169" t="s">
        <v>286</v>
      </c>
      <c r="H2320" s="169" t="s">
        <v>301</v>
      </c>
      <c r="I2320" s="169" t="s">
        <v>302</v>
      </c>
      <c r="J2320" s="169" t="s">
        <v>1382</v>
      </c>
      <c r="K2320" s="169" t="s">
        <v>1383</v>
      </c>
      <c r="L2320" s="169" t="s">
        <v>1338</v>
      </c>
      <c r="M2320" s="169" t="s">
        <v>281</v>
      </c>
      <c r="N2320" s="178">
        <v>-43593914</v>
      </c>
      <c r="O2320" s="169" t="s">
        <v>1384</v>
      </c>
      <c r="P2320" s="169" t="s">
        <v>283</v>
      </c>
      <c r="Q2320" s="169" t="s">
        <v>284</v>
      </c>
      <c r="R2320" s="169" t="s">
        <v>283</v>
      </c>
      <c r="S2320" s="169" t="s">
        <v>283</v>
      </c>
      <c r="T2320" s="169">
        <v>0</v>
      </c>
    </row>
    <row r="2321" spans="1:20" x14ac:dyDescent="0.2">
      <c r="A2321" s="169" t="str">
        <f t="shared" si="16"/>
        <v>642</v>
      </c>
      <c r="B2321" s="167" t="str">
        <f>_xlfn.XLOOKUP(I2321,Mapping!D:D,Mapping!E:E)</f>
        <v>Kế Toán</v>
      </c>
      <c r="C2321" s="167" t="str">
        <f>_xlfn.XLOOKUP(F2321,Mapping!A:A,Mapping!F:F)</f>
        <v>Lương Chính +T13</v>
      </c>
      <c r="D2321" s="173">
        <v>46022</v>
      </c>
      <c r="E2321" s="169" t="s">
        <v>1381</v>
      </c>
      <c r="F2321" s="169" t="s">
        <v>285</v>
      </c>
      <c r="G2321" s="169" t="s">
        <v>286</v>
      </c>
      <c r="H2321" s="169" t="s">
        <v>356</v>
      </c>
      <c r="I2321" s="169" t="s">
        <v>357</v>
      </c>
      <c r="J2321" s="169" t="s">
        <v>1382</v>
      </c>
      <c r="K2321" s="169" t="s">
        <v>1383</v>
      </c>
      <c r="L2321" s="169" t="s">
        <v>1338</v>
      </c>
      <c r="M2321" s="169" t="s">
        <v>281</v>
      </c>
      <c r="N2321" s="178">
        <v>-8491574</v>
      </c>
      <c r="O2321" s="169" t="s">
        <v>1384</v>
      </c>
      <c r="P2321" s="169" t="s">
        <v>283</v>
      </c>
      <c r="Q2321" s="169" t="s">
        <v>284</v>
      </c>
      <c r="R2321" s="169" t="s">
        <v>283</v>
      </c>
      <c r="S2321" s="169" t="s">
        <v>283</v>
      </c>
      <c r="T2321" s="169">
        <v>0</v>
      </c>
    </row>
    <row r="2322" spans="1:20" x14ac:dyDescent="0.2">
      <c r="A2322" s="169" t="str">
        <f t="shared" si="16"/>
        <v>641</v>
      </c>
      <c r="B2322" s="167" t="str">
        <f>_xlfn.XLOOKUP(I2322,Mapping!D:D,Mapping!E:E)</f>
        <v>Kinh doanh</v>
      </c>
      <c r="C2322" s="167" t="str">
        <f>_xlfn.XLOOKUP(F2322,Mapping!A:A,Mapping!F:F)</f>
        <v>Lương Chính +T13</v>
      </c>
      <c r="D2322" s="173">
        <v>46022</v>
      </c>
      <c r="E2322" s="169" t="s">
        <v>1381</v>
      </c>
      <c r="F2322" s="169" t="s">
        <v>384</v>
      </c>
      <c r="G2322" s="169" t="s">
        <v>286</v>
      </c>
      <c r="H2322" s="169" t="s">
        <v>366</v>
      </c>
      <c r="I2322" s="169" t="s">
        <v>1</v>
      </c>
      <c r="J2322" s="169" t="s">
        <v>1382</v>
      </c>
      <c r="K2322" s="169" t="s">
        <v>1383</v>
      </c>
      <c r="L2322" s="169" t="s">
        <v>1338</v>
      </c>
      <c r="M2322" s="169" t="s">
        <v>281</v>
      </c>
      <c r="N2322" s="178">
        <v>-22666667</v>
      </c>
      <c r="O2322" s="169" t="s">
        <v>1384</v>
      </c>
      <c r="P2322" s="169" t="s">
        <v>283</v>
      </c>
      <c r="Q2322" s="169" t="s">
        <v>284</v>
      </c>
      <c r="R2322" s="169" t="s">
        <v>283</v>
      </c>
      <c r="S2322" s="169" t="s">
        <v>283</v>
      </c>
      <c r="T2322" s="169">
        <v>0</v>
      </c>
    </row>
    <row r="2323" spans="1:20" x14ac:dyDescent="0.2">
      <c r="A2323" s="169" t="str">
        <f t="shared" si="16"/>
        <v>642</v>
      </c>
      <c r="B2323" s="167" t="str">
        <f>_xlfn.XLOOKUP(I2323,Mapping!D:D,Mapping!E:E)</f>
        <v>Cung Ứng</v>
      </c>
      <c r="C2323" s="167" t="str">
        <f>_xlfn.XLOOKUP(F2323,Mapping!A:A,Mapping!F:F)</f>
        <v>Lương Chính +T13</v>
      </c>
      <c r="D2323" s="173">
        <v>46022</v>
      </c>
      <c r="E2323" s="169" t="s">
        <v>1381</v>
      </c>
      <c r="F2323" s="169" t="s">
        <v>285</v>
      </c>
      <c r="G2323" s="169" t="s">
        <v>286</v>
      </c>
      <c r="H2323" s="169" t="s">
        <v>380</v>
      </c>
      <c r="I2323" s="169" t="s">
        <v>381</v>
      </c>
      <c r="J2323" s="169" t="s">
        <v>1382</v>
      </c>
      <c r="K2323" s="169" t="s">
        <v>1383</v>
      </c>
      <c r="L2323" s="169" t="s">
        <v>1338</v>
      </c>
      <c r="M2323" s="169" t="s">
        <v>281</v>
      </c>
      <c r="N2323" s="178">
        <v>-37969123</v>
      </c>
      <c r="O2323" s="169" t="s">
        <v>1384</v>
      </c>
      <c r="P2323" s="169" t="s">
        <v>283</v>
      </c>
      <c r="Q2323" s="169" t="s">
        <v>284</v>
      </c>
      <c r="R2323" s="169" t="s">
        <v>283</v>
      </c>
      <c r="S2323" s="169" t="s">
        <v>283</v>
      </c>
      <c r="T2323" s="169">
        <v>0</v>
      </c>
    </row>
    <row r="2324" spans="1:20" x14ac:dyDescent="0.2">
      <c r="A2324" s="169" t="str">
        <f t="shared" si="16"/>
        <v>642</v>
      </c>
      <c r="B2324" s="167" t="str">
        <f>_xlfn.XLOOKUP(I2324,Mapping!D:D,Mapping!E:E)</f>
        <v>Mua Hàng &amp; XNK</v>
      </c>
      <c r="C2324" s="167" t="str">
        <f>_xlfn.XLOOKUP(F2324,Mapping!A:A,Mapping!F:F)</f>
        <v>Lương Chính +T13</v>
      </c>
      <c r="D2324" s="173">
        <v>46022</v>
      </c>
      <c r="E2324" s="169" t="s">
        <v>1381</v>
      </c>
      <c r="F2324" s="169" t="s">
        <v>285</v>
      </c>
      <c r="G2324" s="169" t="s">
        <v>286</v>
      </c>
      <c r="H2324" s="169" t="s">
        <v>378</v>
      </c>
      <c r="I2324" s="169" t="s">
        <v>379</v>
      </c>
      <c r="J2324" s="169" t="s">
        <v>1382</v>
      </c>
      <c r="K2324" s="169" t="s">
        <v>1383</v>
      </c>
      <c r="L2324" s="169" t="s">
        <v>1338</v>
      </c>
      <c r="M2324" s="169" t="s">
        <v>281</v>
      </c>
      <c r="N2324" s="178">
        <v>-8950002</v>
      </c>
      <c r="O2324" s="169" t="s">
        <v>1384</v>
      </c>
      <c r="P2324" s="169" t="s">
        <v>283</v>
      </c>
      <c r="Q2324" s="169" t="s">
        <v>284</v>
      </c>
      <c r="R2324" s="169" t="s">
        <v>283</v>
      </c>
      <c r="S2324" s="169" t="s">
        <v>283</v>
      </c>
      <c r="T2324" s="169">
        <v>0</v>
      </c>
    </row>
    <row r="2325" spans="1:20" x14ac:dyDescent="0.2">
      <c r="A2325" s="169" t="str">
        <f t="shared" si="16"/>
        <v>627</v>
      </c>
      <c r="B2325" s="167" t="str">
        <f>_xlfn.XLOOKUP(I2325,Mapping!D:D,Mapping!E:E)</f>
        <v>Xưởng Sản Xuất</v>
      </c>
      <c r="C2325" s="167" t="str">
        <f>_xlfn.XLOOKUP(F2325,Mapping!A:A,Mapping!F:F)</f>
        <v>Phụ Cấp</v>
      </c>
      <c r="D2325" s="173">
        <v>46021</v>
      </c>
      <c r="E2325" s="169" t="s">
        <v>1385</v>
      </c>
      <c r="F2325" s="169" t="s">
        <v>375</v>
      </c>
      <c r="G2325" s="169" t="s">
        <v>336</v>
      </c>
      <c r="H2325" s="169" t="s">
        <v>402</v>
      </c>
      <c r="I2325" s="169" t="s">
        <v>403</v>
      </c>
      <c r="J2325" s="169" t="s">
        <v>1386</v>
      </c>
      <c r="K2325" s="169" t="s">
        <v>992</v>
      </c>
      <c r="L2325" s="169" t="s">
        <v>1338</v>
      </c>
      <c r="M2325" s="169" t="s">
        <v>281</v>
      </c>
      <c r="N2325" s="178">
        <v>124600000</v>
      </c>
      <c r="O2325" s="169" t="s">
        <v>1387</v>
      </c>
      <c r="P2325" s="169" t="s">
        <v>283</v>
      </c>
      <c r="Q2325" s="169" t="s">
        <v>306</v>
      </c>
      <c r="R2325" s="169" t="s">
        <v>283</v>
      </c>
      <c r="S2325" s="169" t="s">
        <v>283</v>
      </c>
      <c r="T2325" s="169">
        <v>0</v>
      </c>
    </row>
    <row r="2326" spans="1:20" x14ac:dyDescent="0.2">
      <c r="A2326" s="169" t="str">
        <f t="shared" si="16"/>
        <v>642</v>
      </c>
      <c r="B2326" s="167" t="str">
        <f>_xlfn.XLOOKUP(I2326,Mapping!D:D,Mapping!E:E)</f>
        <v>Hành Chánh Nhân Sự</v>
      </c>
      <c r="C2326" s="167" t="str">
        <f>_xlfn.XLOOKUP(F2326,Mapping!A:A,Mapping!F:F)</f>
        <v>Phụ Cấp</v>
      </c>
      <c r="D2326" s="173">
        <v>46021</v>
      </c>
      <c r="E2326" s="169" t="s">
        <v>1385</v>
      </c>
      <c r="F2326" s="169" t="s">
        <v>335</v>
      </c>
      <c r="G2326" s="169" t="s">
        <v>336</v>
      </c>
      <c r="H2326" s="169" t="s">
        <v>301</v>
      </c>
      <c r="I2326" s="169" t="s">
        <v>302</v>
      </c>
      <c r="J2326" s="169" t="s">
        <v>1386</v>
      </c>
      <c r="K2326" s="169" t="s">
        <v>992</v>
      </c>
      <c r="L2326" s="169" t="s">
        <v>1338</v>
      </c>
      <c r="M2326" s="169" t="s">
        <v>281</v>
      </c>
      <c r="N2326" s="178">
        <v>25075000</v>
      </c>
      <c r="O2326" s="169" t="s">
        <v>1387</v>
      </c>
      <c r="P2326" s="169" t="s">
        <v>283</v>
      </c>
      <c r="Q2326" s="169" t="s">
        <v>306</v>
      </c>
      <c r="R2326" s="169" t="s">
        <v>283</v>
      </c>
      <c r="S2326" s="169" t="s">
        <v>283</v>
      </c>
      <c r="T2326" s="169">
        <v>0</v>
      </c>
    </row>
    <row r="2327" spans="1:20" x14ac:dyDescent="0.2">
      <c r="A2327" s="169" t="str">
        <f t="shared" si="16"/>
        <v>642</v>
      </c>
      <c r="B2327" s="167" t="str">
        <f>_xlfn.XLOOKUP(I2327,Mapping!D:D,Mapping!E:E)</f>
        <v>Kế Toán</v>
      </c>
      <c r="C2327" s="167" t="str">
        <f>_xlfn.XLOOKUP(F2327,Mapping!A:A,Mapping!F:F)</f>
        <v>Phụ Cấp</v>
      </c>
      <c r="D2327" s="173">
        <v>46021</v>
      </c>
      <c r="E2327" s="169" t="s">
        <v>1385</v>
      </c>
      <c r="F2327" s="169" t="s">
        <v>335</v>
      </c>
      <c r="G2327" s="169" t="s">
        <v>336</v>
      </c>
      <c r="H2327" s="169" t="s">
        <v>356</v>
      </c>
      <c r="I2327" s="169" t="s">
        <v>357</v>
      </c>
      <c r="J2327" s="169" t="s">
        <v>1386</v>
      </c>
      <c r="K2327" s="169" t="s">
        <v>992</v>
      </c>
      <c r="L2327" s="169" t="s">
        <v>1338</v>
      </c>
      <c r="M2327" s="169" t="s">
        <v>281</v>
      </c>
      <c r="N2327" s="178">
        <v>17150000</v>
      </c>
      <c r="O2327" s="169" t="s">
        <v>1387</v>
      </c>
      <c r="P2327" s="169" t="s">
        <v>283</v>
      </c>
      <c r="Q2327" s="169" t="s">
        <v>306</v>
      </c>
      <c r="R2327" s="169" t="s">
        <v>283</v>
      </c>
      <c r="S2327" s="169" t="s">
        <v>283</v>
      </c>
      <c r="T2327" s="169">
        <v>0</v>
      </c>
    </row>
    <row r="2328" spans="1:20" x14ac:dyDescent="0.2">
      <c r="A2328" s="169" t="str">
        <f t="shared" si="16"/>
        <v>642</v>
      </c>
      <c r="B2328" s="167" t="str">
        <f>_xlfn.XLOOKUP(I2328,Mapping!D:D,Mapping!E:E)</f>
        <v>Văn Phòng Giám Đốc</v>
      </c>
      <c r="C2328" s="167" t="str">
        <f>_xlfn.XLOOKUP(F2328,Mapping!A:A,Mapping!F:F)</f>
        <v>Phụ Cấp</v>
      </c>
      <c r="D2328" s="173">
        <v>46021</v>
      </c>
      <c r="E2328" s="169" t="s">
        <v>1385</v>
      </c>
      <c r="F2328" s="169" t="s">
        <v>335</v>
      </c>
      <c r="G2328" s="169" t="s">
        <v>336</v>
      </c>
      <c r="H2328" s="169" t="s">
        <v>320</v>
      </c>
      <c r="I2328" s="169" t="s">
        <v>321</v>
      </c>
      <c r="J2328" s="169" t="s">
        <v>1386</v>
      </c>
      <c r="K2328" s="169" t="s">
        <v>992</v>
      </c>
      <c r="L2328" s="169" t="s">
        <v>1338</v>
      </c>
      <c r="M2328" s="169" t="s">
        <v>281</v>
      </c>
      <c r="N2328" s="178">
        <v>2300000</v>
      </c>
      <c r="O2328" s="169" t="s">
        <v>1387</v>
      </c>
      <c r="P2328" s="169" t="s">
        <v>283</v>
      </c>
      <c r="Q2328" s="169" t="s">
        <v>306</v>
      </c>
      <c r="R2328" s="169" t="s">
        <v>283</v>
      </c>
      <c r="S2328" s="169" t="s">
        <v>283</v>
      </c>
      <c r="T2328" s="169">
        <v>0</v>
      </c>
    </row>
    <row r="2329" spans="1:20" x14ac:dyDescent="0.2">
      <c r="A2329" s="169" t="str">
        <f t="shared" si="16"/>
        <v>627</v>
      </c>
      <c r="B2329" s="167" t="str">
        <f>_xlfn.XLOOKUP(I2329,Mapping!D:D,Mapping!E:E)</f>
        <v>Kỹ Thuật</v>
      </c>
      <c r="C2329" s="167" t="str">
        <f>_xlfn.XLOOKUP(F2329,Mapping!A:A,Mapping!F:F)</f>
        <v>Phụ Cấp</v>
      </c>
      <c r="D2329" s="173">
        <v>46021</v>
      </c>
      <c r="E2329" s="169" t="s">
        <v>1385</v>
      </c>
      <c r="F2329" s="169" t="s">
        <v>375</v>
      </c>
      <c r="G2329" s="169" t="s">
        <v>336</v>
      </c>
      <c r="H2329" s="169" t="s">
        <v>376</v>
      </c>
      <c r="I2329" s="169" t="s">
        <v>377</v>
      </c>
      <c r="J2329" s="169" t="s">
        <v>1386</v>
      </c>
      <c r="K2329" s="169" t="s">
        <v>992</v>
      </c>
      <c r="L2329" s="169" t="s">
        <v>1338</v>
      </c>
      <c r="M2329" s="169" t="s">
        <v>281</v>
      </c>
      <c r="N2329" s="178">
        <v>50575000</v>
      </c>
      <c r="O2329" s="169" t="s">
        <v>1387</v>
      </c>
      <c r="P2329" s="169" t="s">
        <v>283</v>
      </c>
      <c r="Q2329" s="169" t="s">
        <v>306</v>
      </c>
      <c r="R2329" s="169" t="s">
        <v>283</v>
      </c>
      <c r="S2329" s="169" t="s">
        <v>283</v>
      </c>
      <c r="T2329" s="169">
        <v>0</v>
      </c>
    </row>
    <row r="2330" spans="1:20" x14ac:dyDescent="0.2">
      <c r="A2330" s="169" t="str">
        <f t="shared" si="16"/>
        <v>627</v>
      </c>
      <c r="B2330" s="167" t="str">
        <f>_xlfn.XLOOKUP(I2330,Mapping!D:D,Mapping!E:E)</f>
        <v>Kiểm Soát Chất Lượng</v>
      </c>
      <c r="C2330" s="167" t="str">
        <f>_xlfn.XLOOKUP(F2330,Mapping!A:A,Mapping!F:F)</f>
        <v>Phụ Cấp</v>
      </c>
      <c r="D2330" s="173">
        <v>46021</v>
      </c>
      <c r="E2330" s="169" t="s">
        <v>1385</v>
      </c>
      <c r="F2330" s="169" t="s">
        <v>375</v>
      </c>
      <c r="G2330" s="169" t="s">
        <v>336</v>
      </c>
      <c r="H2330" s="169" t="s">
        <v>411</v>
      </c>
      <c r="I2330" s="169" t="s">
        <v>412</v>
      </c>
      <c r="J2330" s="169" t="s">
        <v>1386</v>
      </c>
      <c r="K2330" s="169" t="s">
        <v>992</v>
      </c>
      <c r="L2330" s="169" t="s">
        <v>1338</v>
      </c>
      <c r="M2330" s="169" t="s">
        <v>281</v>
      </c>
      <c r="N2330" s="178">
        <v>30775000</v>
      </c>
      <c r="O2330" s="169" t="s">
        <v>1387</v>
      </c>
      <c r="P2330" s="169" t="s">
        <v>283</v>
      </c>
      <c r="Q2330" s="169" t="s">
        <v>306</v>
      </c>
      <c r="R2330" s="169" t="s">
        <v>283</v>
      </c>
      <c r="S2330" s="169" t="s">
        <v>283</v>
      </c>
      <c r="T2330" s="169">
        <v>0</v>
      </c>
    </row>
    <row r="2331" spans="1:20" x14ac:dyDescent="0.2">
      <c r="A2331" s="169" t="str">
        <f t="shared" si="16"/>
        <v>627</v>
      </c>
      <c r="B2331" s="167" t="str">
        <f>_xlfn.XLOOKUP(I2331,Mapping!D:D,Mapping!E:E)</f>
        <v>Xưởng Sản Xuất</v>
      </c>
      <c r="C2331" s="167" t="str">
        <f>_xlfn.XLOOKUP(F2331,Mapping!A:A,Mapping!F:F)</f>
        <v>Phụ Cấp</v>
      </c>
      <c r="D2331" s="173">
        <v>46021</v>
      </c>
      <c r="E2331" s="169" t="s">
        <v>1385</v>
      </c>
      <c r="F2331" s="169" t="s">
        <v>375</v>
      </c>
      <c r="G2331" s="169" t="s">
        <v>336</v>
      </c>
      <c r="H2331" s="169" t="s">
        <v>441</v>
      </c>
      <c r="I2331" s="169" t="s">
        <v>442</v>
      </c>
      <c r="J2331" s="169" t="s">
        <v>1386</v>
      </c>
      <c r="K2331" s="169" t="s">
        <v>992</v>
      </c>
      <c r="L2331" s="169" t="s">
        <v>1338</v>
      </c>
      <c r="M2331" s="169" t="s">
        <v>281</v>
      </c>
      <c r="N2331" s="178">
        <v>475000</v>
      </c>
      <c r="O2331" s="169" t="s">
        <v>1387</v>
      </c>
      <c r="P2331" s="169" t="s">
        <v>283</v>
      </c>
      <c r="Q2331" s="169" t="s">
        <v>306</v>
      </c>
      <c r="R2331" s="169" t="s">
        <v>283</v>
      </c>
      <c r="S2331" s="169" t="s">
        <v>283</v>
      </c>
      <c r="T2331" s="169">
        <v>0</v>
      </c>
    </row>
    <row r="2332" spans="1:20" x14ac:dyDescent="0.2">
      <c r="A2332" s="169" t="str">
        <f t="shared" si="16"/>
        <v>627</v>
      </c>
      <c r="B2332" s="167" t="str">
        <f>_xlfn.XLOOKUP(I2332,Mapping!D:D,Mapping!E:E)</f>
        <v>Xưởng Sản Xuất</v>
      </c>
      <c r="C2332" s="167" t="str">
        <f>_xlfn.XLOOKUP(F2332,Mapping!A:A,Mapping!F:F)</f>
        <v>Phụ Cấp</v>
      </c>
      <c r="D2332" s="173">
        <v>46021</v>
      </c>
      <c r="E2332" s="169" t="s">
        <v>1385</v>
      </c>
      <c r="F2332" s="169" t="s">
        <v>375</v>
      </c>
      <c r="G2332" s="169" t="s">
        <v>336</v>
      </c>
      <c r="H2332" s="169" t="s">
        <v>430</v>
      </c>
      <c r="I2332" s="169" t="s">
        <v>431</v>
      </c>
      <c r="J2332" s="169" t="s">
        <v>1386</v>
      </c>
      <c r="K2332" s="169" t="s">
        <v>992</v>
      </c>
      <c r="L2332" s="169" t="s">
        <v>1338</v>
      </c>
      <c r="M2332" s="169" t="s">
        <v>281</v>
      </c>
      <c r="N2332" s="178">
        <v>24425000</v>
      </c>
      <c r="O2332" s="169" t="s">
        <v>1387</v>
      </c>
      <c r="P2332" s="169" t="s">
        <v>283</v>
      </c>
      <c r="Q2332" s="169" t="s">
        <v>306</v>
      </c>
      <c r="R2332" s="169" t="s">
        <v>283</v>
      </c>
      <c r="S2332" s="169" t="s">
        <v>283</v>
      </c>
      <c r="T2332" s="169">
        <v>0</v>
      </c>
    </row>
    <row r="2333" spans="1:20" x14ac:dyDescent="0.2">
      <c r="A2333" s="169" t="str">
        <f t="shared" si="16"/>
        <v>627</v>
      </c>
      <c r="B2333" s="167" t="str">
        <f>_xlfn.XLOOKUP(I2333,Mapping!D:D,Mapping!E:E)</f>
        <v>Xưởng Sản Xuất</v>
      </c>
      <c r="C2333" s="167" t="str">
        <f>_xlfn.XLOOKUP(F2333,Mapping!A:A,Mapping!F:F)</f>
        <v>Phụ Cấp</v>
      </c>
      <c r="D2333" s="173">
        <v>46021</v>
      </c>
      <c r="E2333" s="169" t="s">
        <v>1385</v>
      </c>
      <c r="F2333" s="169" t="s">
        <v>375</v>
      </c>
      <c r="G2333" s="169" t="s">
        <v>336</v>
      </c>
      <c r="H2333" s="169" t="s">
        <v>436</v>
      </c>
      <c r="I2333" s="169" t="s">
        <v>437</v>
      </c>
      <c r="J2333" s="169" t="s">
        <v>1386</v>
      </c>
      <c r="K2333" s="169" t="s">
        <v>992</v>
      </c>
      <c r="L2333" s="169" t="s">
        <v>1338</v>
      </c>
      <c r="M2333" s="169" t="s">
        <v>281</v>
      </c>
      <c r="N2333" s="178">
        <v>22950000</v>
      </c>
      <c r="O2333" s="169" t="s">
        <v>1387</v>
      </c>
      <c r="P2333" s="169" t="s">
        <v>283</v>
      </c>
      <c r="Q2333" s="169" t="s">
        <v>306</v>
      </c>
      <c r="R2333" s="169" t="s">
        <v>283</v>
      </c>
      <c r="S2333" s="169" t="s">
        <v>283</v>
      </c>
      <c r="T2333" s="169">
        <v>0</v>
      </c>
    </row>
    <row r="2334" spans="1:20" x14ac:dyDescent="0.2">
      <c r="A2334" s="169" t="str">
        <f t="shared" si="16"/>
        <v>642</v>
      </c>
      <c r="B2334" s="167" t="str">
        <f>_xlfn.XLOOKUP(I2334,Mapping!D:D,Mapping!E:E)</f>
        <v>Mua Hàng &amp; XNK</v>
      </c>
      <c r="C2334" s="167" t="str">
        <f>_xlfn.XLOOKUP(F2334,Mapping!A:A,Mapping!F:F)</f>
        <v>Phụ Cấp</v>
      </c>
      <c r="D2334" s="173">
        <v>46021</v>
      </c>
      <c r="E2334" s="169" t="s">
        <v>1385</v>
      </c>
      <c r="F2334" s="169" t="s">
        <v>335</v>
      </c>
      <c r="G2334" s="169" t="s">
        <v>336</v>
      </c>
      <c r="H2334" s="169" t="s">
        <v>378</v>
      </c>
      <c r="I2334" s="169" t="s">
        <v>379</v>
      </c>
      <c r="J2334" s="169" t="s">
        <v>1386</v>
      </c>
      <c r="K2334" s="169" t="s">
        <v>992</v>
      </c>
      <c r="L2334" s="169" t="s">
        <v>1338</v>
      </c>
      <c r="M2334" s="169" t="s">
        <v>281</v>
      </c>
      <c r="N2334" s="178">
        <v>4750000</v>
      </c>
      <c r="O2334" s="169" t="s">
        <v>1387</v>
      </c>
      <c r="P2334" s="169" t="s">
        <v>283</v>
      </c>
      <c r="Q2334" s="169" t="s">
        <v>306</v>
      </c>
      <c r="R2334" s="169" t="s">
        <v>283</v>
      </c>
      <c r="S2334" s="169" t="s">
        <v>283</v>
      </c>
      <c r="T2334" s="169">
        <v>0</v>
      </c>
    </row>
    <row r="2335" spans="1:20" x14ac:dyDescent="0.2">
      <c r="A2335" s="169" t="str">
        <f t="shared" si="16"/>
        <v>642</v>
      </c>
      <c r="B2335" s="167" t="str">
        <f>_xlfn.XLOOKUP(I2335,Mapping!D:D,Mapping!E:E)</f>
        <v>Cung Ứng</v>
      </c>
      <c r="C2335" s="167" t="str">
        <f>_xlfn.XLOOKUP(F2335,Mapping!A:A,Mapping!F:F)</f>
        <v>Phụ Cấp</v>
      </c>
      <c r="D2335" s="173">
        <v>46021</v>
      </c>
      <c r="E2335" s="169" t="s">
        <v>1385</v>
      </c>
      <c r="F2335" s="169" t="s">
        <v>335</v>
      </c>
      <c r="G2335" s="169" t="s">
        <v>336</v>
      </c>
      <c r="H2335" s="169" t="s">
        <v>380</v>
      </c>
      <c r="I2335" s="169" t="s">
        <v>381</v>
      </c>
      <c r="J2335" s="169" t="s">
        <v>1386</v>
      </c>
      <c r="K2335" s="169" t="s">
        <v>992</v>
      </c>
      <c r="L2335" s="169" t="s">
        <v>1338</v>
      </c>
      <c r="M2335" s="169" t="s">
        <v>281</v>
      </c>
      <c r="N2335" s="178">
        <v>3850000</v>
      </c>
      <c r="O2335" s="169" t="s">
        <v>1387</v>
      </c>
      <c r="P2335" s="169" t="s">
        <v>283</v>
      </c>
      <c r="Q2335" s="169" t="s">
        <v>306</v>
      </c>
      <c r="R2335" s="169" t="s">
        <v>283</v>
      </c>
      <c r="S2335" s="169" t="s">
        <v>283</v>
      </c>
      <c r="T2335" s="169">
        <v>0</v>
      </c>
    </row>
    <row r="2336" spans="1:20" x14ac:dyDescent="0.2">
      <c r="A2336" s="169" t="str">
        <f t="shared" si="16"/>
        <v>642</v>
      </c>
      <c r="B2336" s="167" t="str">
        <f>_xlfn.XLOOKUP(I2336,Mapping!D:D,Mapping!E:E)</f>
        <v>Hành Chánh Nhân Sự</v>
      </c>
      <c r="C2336" s="167" t="str">
        <f>_xlfn.XLOOKUP(F2336,Mapping!A:A,Mapping!F:F)</f>
        <v>Phụ Cấp</v>
      </c>
      <c r="D2336" s="173">
        <v>46021</v>
      </c>
      <c r="E2336" s="169" t="s">
        <v>1385</v>
      </c>
      <c r="F2336" s="169" t="s">
        <v>335</v>
      </c>
      <c r="G2336" s="169" t="s">
        <v>336</v>
      </c>
      <c r="H2336" s="169" t="s">
        <v>382</v>
      </c>
      <c r="I2336" s="169" t="s">
        <v>200</v>
      </c>
      <c r="J2336" s="169" t="s">
        <v>1386</v>
      </c>
      <c r="K2336" s="169" t="s">
        <v>992</v>
      </c>
      <c r="L2336" s="169" t="s">
        <v>1338</v>
      </c>
      <c r="M2336" s="169" t="s">
        <v>281</v>
      </c>
      <c r="N2336" s="178">
        <v>1525000</v>
      </c>
      <c r="O2336" s="169" t="s">
        <v>1387</v>
      </c>
      <c r="P2336" s="169" t="s">
        <v>283</v>
      </c>
      <c r="Q2336" s="169" t="s">
        <v>306</v>
      </c>
      <c r="R2336" s="169" t="s">
        <v>283</v>
      </c>
      <c r="S2336" s="169" t="s">
        <v>283</v>
      </c>
      <c r="T2336" s="169">
        <v>0</v>
      </c>
    </row>
    <row r="2337" spans="1:20" x14ac:dyDescent="0.2">
      <c r="A2337" s="169" t="str">
        <f t="shared" si="16"/>
        <v>642</v>
      </c>
      <c r="B2337" s="167" t="str">
        <f>_xlfn.XLOOKUP(I2337,Mapping!D:D,Mapping!E:E)</f>
        <v>Hành Chánh Nhân Sự</v>
      </c>
      <c r="C2337" s="167" t="str">
        <f>_xlfn.XLOOKUP(F2337,Mapping!A:A,Mapping!F:F)</f>
        <v>Phụ Cấp</v>
      </c>
      <c r="D2337" s="173">
        <v>46021</v>
      </c>
      <c r="E2337" s="169" t="s">
        <v>1385</v>
      </c>
      <c r="F2337" s="169" t="s">
        <v>335</v>
      </c>
      <c r="G2337" s="169" t="s">
        <v>336</v>
      </c>
      <c r="H2337" s="169" t="s">
        <v>358</v>
      </c>
      <c r="I2337" s="169" t="s">
        <v>359</v>
      </c>
      <c r="J2337" s="169" t="s">
        <v>1386</v>
      </c>
      <c r="K2337" s="169" t="s">
        <v>992</v>
      </c>
      <c r="L2337" s="169" t="s">
        <v>1338</v>
      </c>
      <c r="M2337" s="169" t="s">
        <v>281</v>
      </c>
      <c r="N2337" s="178">
        <v>3050000</v>
      </c>
      <c r="O2337" s="169" t="s">
        <v>1387</v>
      </c>
      <c r="P2337" s="169" t="s">
        <v>283</v>
      </c>
      <c r="Q2337" s="169" t="s">
        <v>306</v>
      </c>
      <c r="R2337" s="169" t="s">
        <v>283</v>
      </c>
      <c r="S2337" s="169" t="s">
        <v>283</v>
      </c>
      <c r="T2337" s="169">
        <v>0</v>
      </c>
    </row>
    <row r="2338" spans="1:20" x14ac:dyDescent="0.2">
      <c r="A2338" s="169" t="str">
        <f t="shared" si="16"/>
        <v>642</v>
      </c>
      <c r="B2338" s="167" t="str">
        <f>_xlfn.XLOOKUP(I2338,Mapping!D:D,Mapping!E:E)</f>
        <v>Hành Chánh Nhân Sự</v>
      </c>
      <c r="C2338" s="167" t="str">
        <f>_xlfn.XLOOKUP(F2338,Mapping!A:A,Mapping!F:F)</f>
        <v>Lương Chính +T13</v>
      </c>
      <c r="D2338" s="173">
        <v>46022</v>
      </c>
      <c r="E2338" s="169" t="s">
        <v>1388</v>
      </c>
      <c r="F2338" s="169" t="s">
        <v>274</v>
      </c>
      <c r="G2338" s="169" t="s">
        <v>275</v>
      </c>
      <c r="H2338" s="169" t="s">
        <v>301</v>
      </c>
      <c r="I2338" s="169" t="s">
        <v>302</v>
      </c>
      <c r="J2338" s="169" t="s">
        <v>1389</v>
      </c>
      <c r="K2338" s="169" t="s">
        <v>328</v>
      </c>
      <c r="L2338" s="169" t="s">
        <v>1338</v>
      </c>
      <c r="M2338" s="169" t="s">
        <v>281</v>
      </c>
      <c r="N2338" s="178">
        <v>91306452</v>
      </c>
      <c r="O2338" s="169" t="s">
        <v>1390</v>
      </c>
      <c r="P2338" s="169" t="s">
        <v>283</v>
      </c>
      <c r="Q2338" s="169" t="s">
        <v>306</v>
      </c>
      <c r="R2338" s="169" t="s">
        <v>283</v>
      </c>
      <c r="S2338" s="169" t="s">
        <v>283</v>
      </c>
      <c r="T2338" s="169">
        <v>0</v>
      </c>
    </row>
    <row r="2339" spans="1:20" x14ac:dyDescent="0.2">
      <c r="A2339" s="169" t="str">
        <f t="shared" si="16"/>
        <v>642</v>
      </c>
      <c r="B2339" s="167" t="str">
        <f>_xlfn.XLOOKUP(I2339,Mapping!D:D,Mapping!E:E)</f>
        <v>Hành Chánh Nhân Sự</v>
      </c>
      <c r="C2339" s="167" t="str">
        <f>_xlfn.XLOOKUP(F2339,Mapping!A:A,Mapping!F:F)</f>
        <v>Khen thưởng BD khác</v>
      </c>
      <c r="D2339" s="173">
        <v>46022</v>
      </c>
      <c r="E2339" s="169" t="s">
        <v>1391</v>
      </c>
      <c r="F2339" s="169" t="s">
        <v>300</v>
      </c>
      <c r="G2339" s="169" t="s">
        <v>222</v>
      </c>
      <c r="H2339" s="169" t="s">
        <v>301</v>
      </c>
      <c r="I2339" s="169" t="s">
        <v>302</v>
      </c>
      <c r="J2339" s="169" t="s">
        <v>1392</v>
      </c>
      <c r="K2339" s="169" t="s">
        <v>1393</v>
      </c>
      <c r="L2339" s="169" t="s">
        <v>1338</v>
      </c>
      <c r="M2339" s="169" t="s">
        <v>281</v>
      </c>
      <c r="N2339" s="178">
        <v>6000000</v>
      </c>
      <c r="O2339" s="169" t="s">
        <v>1394</v>
      </c>
      <c r="P2339" s="169" t="s">
        <v>283</v>
      </c>
      <c r="Q2339" s="169" t="s">
        <v>306</v>
      </c>
      <c r="R2339" s="169" t="s">
        <v>283</v>
      </c>
      <c r="S2339" s="169" t="s">
        <v>283</v>
      </c>
      <c r="T2339" s="169">
        <v>0</v>
      </c>
    </row>
    <row r="2340" spans="1:20" x14ac:dyDescent="0.2">
      <c r="A2340" s="169" t="str">
        <f t="shared" si="16"/>
        <v>642</v>
      </c>
      <c r="B2340" s="167" t="str">
        <f>_xlfn.XLOOKUP(I2340,Mapping!D:D,Mapping!E:E)</f>
        <v>Hành Chánh Nhân Sự</v>
      </c>
      <c r="C2340" s="167" t="str">
        <f>_xlfn.XLOOKUP(F2340,Mapping!A:A,Mapping!F:F)</f>
        <v>Khen thưởng BD khác</v>
      </c>
      <c r="D2340" s="173">
        <v>46022</v>
      </c>
      <c r="E2340" s="169" t="s">
        <v>1391</v>
      </c>
      <c r="F2340" s="169" t="s">
        <v>300</v>
      </c>
      <c r="G2340" s="169" t="s">
        <v>222</v>
      </c>
      <c r="H2340" s="169" t="s">
        <v>301</v>
      </c>
      <c r="I2340" s="169" t="s">
        <v>302</v>
      </c>
      <c r="J2340" s="169" t="s">
        <v>1395</v>
      </c>
      <c r="K2340" s="169" t="s">
        <v>1393</v>
      </c>
      <c r="L2340" s="169" t="s">
        <v>1338</v>
      </c>
      <c r="M2340" s="169" t="s">
        <v>281</v>
      </c>
      <c r="N2340" s="178">
        <v>6000000</v>
      </c>
      <c r="O2340" s="169" t="s">
        <v>1394</v>
      </c>
      <c r="P2340" s="169" t="s">
        <v>283</v>
      </c>
      <c r="Q2340" s="169" t="s">
        <v>306</v>
      </c>
      <c r="R2340" s="169" t="s">
        <v>283</v>
      </c>
      <c r="S2340" s="169" t="s">
        <v>283</v>
      </c>
      <c r="T2340" s="169">
        <v>0</v>
      </c>
    </row>
    <row r="2341" spans="1:20" x14ac:dyDescent="0.2">
      <c r="A2341" s="169" t="str">
        <f t="shared" si="16"/>
        <v>641</v>
      </c>
      <c r="B2341" s="167" t="str">
        <f>_xlfn.XLOOKUP(I2341,Mapping!D:D,Mapping!E:E)</f>
        <v>Kinh doanh</v>
      </c>
      <c r="C2341" s="167" t="str">
        <f>_xlfn.XLOOKUP(F2341,Mapping!A:A,Mapping!F:F)</f>
        <v>Thưởng</v>
      </c>
      <c r="D2341" s="173">
        <v>46022</v>
      </c>
      <c r="E2341" s="169" t="s">
        <v>1396</v>
      </c>
      <c r="F2341" s="169" t="s">
        <v>365</v>
      </c>
      <c r="G2341" s="169" t="s">
        <v>291</v>
      </c>
      <c r="H2341" s="169" t="s">
        <v>366</v>
      </c>
      <c r="I2341" s="169" t="s">
        <v>1</v>
      </c>
      <c r="J2341" s="169" t="s">
        <v>1397</v>
      </c>
      <c r="K2341" s="169" t="s">
        <v>670</v>
      </c>
      <c r="L2341" s="169" t="s">
        <v>1338</v>
      </c>
      <c r="M2341" s="169" t="s">
        <v>281</v>
      </c>
      <c r="N2341" s="178">
        <v>12715225</v>
      </c>
      <c r="O2341" s="169" t="s">
        <v>1398</v>
      </c>
      <c r="P2341" s="169" t="s">
        <v>283</v>
      </c>
      <c r="Q2341" s="169" t="s">
        <v>370</v>
      </c>
      <c r="R2341" s="169" t="s">
        <v>283</v>
      </c>
      <c r="S2341" s="169" t="s">
        <v>283</v>
      </c>
      <c r="T2341" s="169">
        <v>0</v>
      </c>
    </row>
    <row r="2342" spans="1:20" x14ac:dyDescent="0.2">
      <c r="A2342" s="169" t="str">
        <f t="shared" si="16"/>
        <v>641</v>
      </c>
      <c r="B2342" s="167" t="str">
        <f>_xlfn.XLOOKUP(I2342,Mapping!D:D,Mapping!E:E)</f>
        <v>Kinh doanh</v>
      </c>
      <c r="C2342" s="167" t="str">
        <f>_xlfn.XLOOKUP(F2342,Mapping!A:A,Mapping!F:F)</f>
        <v>Thưởng</v>
      </c>
      <c r="D2342" s="173">
        <v>46022</v>
      </c>
      <c r="E2342" s="169" t="s">
        <v>1399</v>
      </c>
      <c r="F2342" s="169" t="s">
        <v>365</v>
      </c>
      <c r="G2342" s="169" t="s">
        <v>291</v>
      </c>
      <c r="H2342" s="169" t="s">
        <v>366</v>
      </c>
      <c r="I2342" s="169" t="s">
        <v>1</v>
      </c>
      <c r="J2342" s="169" t="s">
        <v>1397</v>
      </c>
      <c r="K2342" s="169" t="s">
        <v>670</v>
      </c>
      <c r="L2342" s="169" t="s">
        <v>1338</v>
      </c>
      <c r="M2342" s="169" t="s">
        <v>281</v>
      </c>
      <c r="N2342" s="178">
        <v>93802143</v>
      </c>
      <c r="O2342" s="169" t="s">
        <v>1400</v>
      </c>
      <c r="P2342" s="169" t="s">
        <v>283</v>
      </c>
      <c r="Q2342" s="169" t="s">
        <v>370</v>
      </c>
      <c r="R2342" s="169" t="s">
        <v>283</v>
      </c>
      <c r="S2342" s="169" t="s">
        <v>283</v>
      </c>
      <c r="T2342" s="169">
        <v>0</v>
      </c>
    </row>
    <row r="2343" spans="1:20" x14ac:dyDescent="0.2">
      <c r="A2343" s="169" t="str">
        <f t="shared" si="16"/>
        <v>641</v>
      </c>
      <c r="B2343" s="167" t="str">
        <f>_xlfn.XLOOKUP(I2343,Mapping!D:D,Mapping!E:E)</f>
        <v>Kinh doanh</v>
      </c>
      <c r="C2343" s="167" t="str">
        <f>_xlfn.XLOOKUP(F2343,Mapping!A:A,Mapping!F:F)</f>
        <v>Thưởng</v>
      </c>
      <c r="D2343" s="173">
        <v>45992</v>
      </c>
      <c r="E2343" s="169" t="s">
        <v>1401</v>
      </c>
      <c r="F2343" s="169" t="s">
        <v>365</v>
      </c>
      <c r="G2343" s="169" t="s">
        <v>291</v>
      </c>
      <c r="H2343" s="169" t="s">
        <v>366</v>
      </c>
      <c r="I2343" s="169" t="s">
        <v>1</v>
      </c>
      <c r="J2343" s="169" t="s">
        <v>1264</v>
      </c>
      <c r="K2343" s="169" t="s">
        <v>670</v>
      </c>
      <c r="L2343" s="169" t="s">
        <v>1338</v>
      </c>
      <c r="M2343" s="169" t="s">
        <v>281</v>
      </c>
      <c r="N2343" s="178">
        <v>-127947294</v>
      </c>
      <c r="O2343" s="169" t="s">
        <v>1402</v>
      </c>
      <c r="P2343" s="169" t="s">
        <v>447</v>
      </c>
      <c r="Q2343" s="169" t="s">
        <v>284</v>
      </c>
      <c r="R2343" s="169" t="s">
        <v>283</v>
      </c>
      <c r="S2343" s="169" t="s">
        <v>283</v>
      </c>
      <c r="T2343" s="169">
        <v>0</v>
      </c>
    </row>
    <row r="2344" spans="1:20" x14ac:dyDescent="0.2">
      <c r="A2344" s="169" t="str">
        <f t="shared" si="16"/>
        <v>627</v>
      </c>
      <c r="B2344" s="167" t="str">
        <f>_xlfn.XLOOKUP(I2344,Mapping!D:D,Mapping!E:E)</f>
        <v>Xưởng Sản Xuất</v>
      </c>
      <c r="C2344" s="167" t="str">
        <f>_xlfn.XLOOKUP(F2344,Mapping!A:A,Mapping!F:F)</f>
        <v>Khen thưởng BD khác</v>
      </c>
      <c r="D2344" s="173">
        <v>46022</v>
      </c>
      <c r="E2344" s="169" t="s">
        <v>1403</v>
      </c>
      <c r="F2344" s="169" t="s">
        <v>435</v>
      </c>
      <c r="G2344" s="169" t="s">
        <v>222</v>
      </c>
      <c r="H2344" s="169" t="s">
        <v>436</v>
      </c>
      <c r="I2344" s="169" t="s">
        <v>437</v>
      </c>
      <c r="J2344" s="169" t="s">
        <v>1404</v>
      </c>
      <c r="K2344" s="169" t="s">
        <v>1052</v>
      </c>
      <c r="L2344" s="169" t="s">
        <v>1338</v>
      </c>
      <c r="M2344" s="169" t="s">
        <v>281</v>
      </c>
      <c r="N2344" s="178">
        <v>4200000</v>
      </c>
      <c r="O2344" s="169" t="s">
        <v>1405</v>
      </c>
      <c r="P2344" s="169" t="s">
        <v>283</v>
      </c>
      <c r="Q2344" s="169" t="s">
        <v>964</v>
      </c>
      <c r="R2344" s="169" t="s">
        <v>283</v>
      </c>
      <c r="S2344" s="169" t="s">
        <v>283</v>
      </c>
      <c r="T2344" s="169">
        <v>0</v>
      </c>
    </row>
    <row r="2345" spans="1:20" x14ac:dyDescent="0.2">
      <c r="A2345" s="169" t="str">
        <f t="shared" si="16"/>
        <v>622</v>
      </c>
      <c r="B2345" s="167" t="str">
        <f>_xlfn.XLOOKUP(I2345,Mapping!D:D,Mapping!E:E)</f>
        <v>Xưởng Sản Xuất</v>
      </c>
      <c r="C2345" s="167" t="str">
        <f>_xlfn.XLOOKUP(F2345,Mapping!A:A,Mapping!F:F)</f>
        <v>Lương Chính +T13</v>
      </c>
      <c r="D2345" s="173">
        <v>46020</v>
      </c>
      <c r="E2345" s="169" t="s">
        <v>1406</v>
      </c>
      <c r="F2345" s="169" t="s">
        <v>400</v>
      </c>
      <c r="G2345" s="169" t="s">
        <v>401</v>
      </c>
      <c r="H2345" s="169" t="s">
        <v>402</v>
      </c>
      <c r="I2345" s="169" t="s">
        <v>403</v>
      </c>
      <c r="J2345" s="169" t="s">
        <v>1407</v>
      </c>
      <c r="K2345" s="169" t="s">
        <v>405</v>
      </c>
      <c r="L2345" s="169" t="s">
        <v>1338</v>
      </c>
      <c r="M2345" s="169" t="s">
        <v>281</v>
      </c>
      <c r="N2345" s="178">
        <v>78478616</v>
      </c>
      <c r="O2345" s="169" t="s">
        <v>1408</v>
      </c>
      <c r="P2345" s="169" t="s">
        <v>283</v>
      </c>
      <c r="Q2345" s="169" t="s">
        <v>306</v>
      </c>
      <c r="R2345" s="169" t="s">
        <v>283</v>
      </c>
      <c r="S2345" s="169" t="s">
        <v>283</v>
      </c>
      <c r="T2345" s="169">
        <v>0</v>
      </c>
    </row>
    <row r="2346" spans="1:20" x14ac:dyDescent="0.2">
      <c r="A2346" s="169" t="str">
        <f t="shared" si="16"/>
        <v>642</v>
      </c>
      <c r="B2346" s="167" t="str">
        <f>_xlfn.XLOOKUP(I2346,Mapping!D:D,Mapping!E:E)</f>
        <v>Hành Chánh Nhân Sự</v>
      </c>
      <c r="C2346" s="167" t="str">
        <f>_xlfn.XLOOKUP(F2346,Mapping!A:A,Mapping!F:F)</f>
        <v>Lương Chính +T13</v>
      </c>
      <c r="D2346" s="173">
        <v>46020</v>
      </c>
      <c r="E2346" s="169" t="s">
        <v>1406</v>
      </c>
      <c r="F2346" s="169" t="s">
        <v>274</v>
      </c>
      <c r="G2346" s="169" t="s">
        <v>275</v>
      </c>
      <c r="H2346" s="169" t="s">
        <v>301</v>
      </c>
      <c r="I2346" s="169" t="s">
        <v>302</v>
      </c>
      <c r="J2346" s="169" t="s">
        <v>1407</v>
      </c>
      <c r="K2346" s="169" t="s">
        <v>405</v>
      </c>
      <c r="L2346" s="169" t="s">
        <v>1338</v>
      </c>
      <c r="M2346" s="169" t="s">
        <v>281</v>
      </c>
      <c r="N2346" s="178">
        <v>481895</v>
      </c>
      <c r="O2346" s="169" t="s">
        <v>1408</v>
      </c>
      <c r="P2346" s="169" t="s">
        <v>283</v>
      </c>
      <c r="Q2346" s="169" t="s">
        <v>306</v>
      </c>
      <c r="R2346" s="169" t="s">
        <v>283</v>
      </c>
      <c r="S2346" s="169" t="s">
        <v>283</v>
      </c>
      <c r="T2346" s="169">
        <v>0</v>
      </c>
    </row>
    <row r="2347" spans="1:20" x14ac:dyDescent="0.2">
      <c r="A2347" s="169" t="str">
        <f t="shared" si="16"/>
        <v>642</v>
      </c>
      <c r="B2347" s="167" t="str">
        <f>_xlfn.XLOOKUP(I2347,Mapping!D:D,Mapping!E:E)</f>
        <v>Hành Chánh Nhân Sự</v>
      </c>
      <c r="C2347" s="167" t="str">
        <f>_xlfn.XLOOKUP(F2347,Mapping!A:A,Mapping!F:F)</f>
        <v>Khen thưởng BD khác</v>
      </c>
      <c r="D2347" s="173">
        <v>45994</v>
      </c>
      <c r="E2347" s="169" t="s">
        <v>1409</v>
      </c>
      <c r="F2347" s="169" t="s">
        <v>300</v>
      </c>
      <c r="G2347" s="169" t="s">
        <v>222</v>
      </c>
      <c r="H2347" s="169" t="s">
        <v>382</v>
      </c>
      <c r="I2347" s="169" t="s">
        <v>200</v>
      </c>
      <c r="J2347" s="169" t="s">
        <v>1410</v>
      </c>
      <c r="K2347" s="169" t="s">
        <v>1410</v>
      </c>
      <c r="L2347" s="169" t="s">
        <v>1338</v>
      </c>
      <c r="M2347" s="169" t="s">
        <v>281</v>
      </c>
      <c r="N2347" s="178">
        <v>3000000</v>
      </c>
      <c r="O2347" s="169" t="s">
        <v>1411</v>
      </c>
      <c r="P2347" s="169" t="s">
        <v>283</v>
      </c>
      <c r="Q2347" s="169" t="s">
        <v>306</v>
      </c>
      <c r="R2347" s="169" t="s">
        <v>283</v>
      </c>
      <c r="S2347" s="169" t="s">
        <v>283</v>
      </c>
      <c r="T2347" s="169">
        <v>0</v>
      </c>
    </row>
    <row r="2348" spans="1:20" x14ac:dyDescent="0.2">
      <c r="A2348" s="169" t="str">
        <f t="shared" si="16"/>
        <v>642</v>
      </c>
      <c r="B2348" s="167" t="str">
        <f>_xlfn.XLOOKUP(I2348,Mapping!D:D,Mapping!E:E)</f>
        <v>Hành Chánh Nhân Sự</v>
      </c>
      <c r="C2348" s="167" t="str">
        <f>_xlfn.XLOOKUP(F2348,Mapping!A:A,Mapping!F:F)</f>
        <v>Khen thưởng BD khác</v>
      </c>
      <c r="D2348" s="173">
        <v>46022</v>
      </c>
      <c r="E2348" s="169" t="s">
        <v>1412</v>
      </c>
      <c r="F2348" s="169" t="s">
        <v>300</v>
      </c>
      <c r="G2348" s="169" t="s">
        <v>222</v>
      </c>
      <c r="H2348" s="169" t="s">
        <v>358</v>
      </c>
      <c r="I2348" s="169" t="s">
        <v>359</v>
      </c>
      <c r="J2348" s="169" t="s">
        <v>1413</v>
      </c>
      <c r="K2348" s="169" t="s">
        <v>1414</v>
      </c>
      <c r="L2348" s="169" t="s">
        <v>1338</v>
      </c>
      <c r="M2348" s="169" t="s">
        <v>281</v>
      </c>
      <c r="N2348" s="178">
        <v>1500000000</v>
      </c>
      <c r="O2348" s="169" t="s">
        <v>1415</v>
      </c>
      <c r="P2348" s="169" t="s">
        <v>283</v>
      </c>
      <c r="Q2348" s="169" t="s">
        <v>306</v>
      </c>
      <c r="R2348" s="169" t="s">
        <v>283</v>
      </c>
      <c r="S2348" s="169" t="s">
        <v>283</v>
      </c>
      <c r="T2348" s="169">
        <v>0</v>
      </c>
    </row>
    <row r="2349" spans="1:20" x14ac:dyDescent="0.2">
      <c r="A2349" s="169" t="str">
        <f t="shared" si="16"/>
        <v>642</v>
      </c>
      <c r="B2349" s="167" t="str">
        <f>_xlfn.XLOOKUP(I2349,Mapping!D:D,Mapping!E:E)</f>
        <v>Hành Chánh Nhân Sự</v>
      </c>
      <c r="C2349" s="167" t="str">
        <f>_xlfn.XLOOKUP(F2349,Mapping!A:A,Mapping!F:F)</f>
        <v>BHXH, BHYT, KPCĐ</v>
      </c>
      <c r="D2349" s="173">
        <v>46022</v>
      </c>
      <c r="E2349" s="169" t="s">
        <v>1416</v>
      </c>
      <c r="F2349" s="169" t="s">
        <v>295</v>
      </c>
      <c r="G2349" s="169" t="s">
        <v>296</v>
      </c>
      <c r="H2349" s="169" t="s">
        <v>301</v>
      </c>
      <c r="I2349" s="169" t="s">
        <v>302</v>
      </c>
      <c r="J2349" s="169" t="s">
        <v>1417</v>
      </c>
      <c r="K2349" s="169" t="s">
        <v>1240</v>
      </c>
      <c r="L2349" s="169" t="s">
        <v>1338</v>
      </c>
      <c r="M2349" s="169" t="s">
        <v>281</v>
      </c>
      <c r="N2349" s="178">
        <v>1658000</v>
      </c>
      <c r="O2349" s="169" t="s">
        <v>1418</v>
      </c>
      <c r="P2349" s="169" t="s">
        <v>283</v>
      </c>
      <c r="Q2349" s="169" t="s">
        <v>284</v>
      </c>
      <c r="R2349" s="169" t="s">
        <v>283</v>
      </c>
      <c r="S2349" s="169" t="s">
        <v>283</v>
      </c>
      <c r="T2349" s="169">
        <v>0</v>
      </c>
    </row>
    <row r="2350" spans="1:20" x14ac:dyDescent="0.2">
      <c r="A2350" s="169" t="str">
        <f t="shared" si="16"/>
        <v>622</v>
      </c>
      <c r="B2350" s="167" t="str">
        <f>_xlfn.XLOOKUP(I2350,Mapping!D:D,Mapping!E:E)</f>
        <v>Xưởng Sản Xuất</v>
      </c>
      <c r="C2350" s="167" t="str">
        <f>_xlfn.XLOOKUP(F2350,Mapping!A:A,Mapping!F:F)</f>
        <v>Phụ Cấp</v>
      </c>
      <c r="D2350" s="173">
        <v>46022</v>
      </c>
      <c r="E2350" s="169" t="s">
        <v>1419</v>
      </c>
      <c r="F2350" s="169" t="s">
        <v>414</v>
      </c>
      <c r="G2350" s="169" t="s">
        <v>415</v>
      </c>
      <c r="H2350" s="169" t="s">
        <v>402</v>
      </c>
      <c r="I2350" s="169" t="s">
        <v>403</v>
      </c>
      <c r="J2350" s="169" t="s">
        <v>1420</v>
      </c>
      <c r="K2350" s="169" t="s">
        <v>1421</v>
      </c>
      <c r="L2350" s="169" t="s">
        <v>1338</v>
      </c>
      <c r="M2350" s="169" t="s">
        <v>281</v>
      </c>
      <c r="N2350" s="178">
        <v>63947000</v>
      </c>
      <c r="O2350" s="169" t="s">
        <v>1422</v>
      </c>
      <c r="P2350" s="169" t="s">
        <v>283</v>
      </c>
      <c r="Q2350" s="169" t="s">
        <v>306</v>
      </c>
      <c r="R2350" s="169" t="s">
        <v>283</v>
      </c>
      <c r="S2350" s="169" t="s">
        <v>283</v>
      </c>
      <c r="T2350" s="169">
        <v>0</v>
      </c>
    </row>
    <row r="2351" spans="1:20" x14ac:dyDescent="0.2">
      <c r="A2351" s="169" t="str">
        <f t="shared" si="16"/>
        <v>622</v>
      </c>
      <c r="B2351" s="167" t="str">
        <f>_xlfn.XLOOKUP(I2351,Mapping!D:D,Mapping!E:E)</f>
        <v>Xưởng Sản Xuất</v>
      </c>
      <c r="C2351" s="167" t="str">
        <f>_xlfn.XLOOKUP(F2351,Mapping!A:A,Mapping!F:F)</f>
        <v>Phụ Cấp</v>
      </c>
      <c r="D2351" s="173">
        <v>46022</v>
      </c>
      <c r="E2351" s="169" t="s">
        <v>1419</v>
      </c>
      <c r="F2351" s="169" t="s">
        <v>414</v>
      </c>
      <c r="G2351" s="169" t="s">
        <v>415</v>
      </c>
      <c r="H2351" s="169" t="s">
        <v>430</v>
      </c>
      <c r="I2351" s="169" t="s">
        <v>431</v>
      </c>
      <c r="J2351" s="169" t="s">
        <v>1423</v>
      </c>
      <c r="K2351" s="169" t="s">
        <v>1421</v>
      </c>
      <c r="L2351" s="169" t="s">
        <v>1338</v>
      </c>
      <c r="M2351" s="169" t="s">
        <v>281</v>
      </c>
      <c r="N2351" s="178">
        <v>12480000</v>
      </c>
      <c r="O2351" s="169" t="s">
        <v>1422</v>
      </c>
      <c r="P2351" s="169" t="s">
        <v>283</v>
      </c>
      <c r="Q2351" s="169" t="s">
        <v>306</v>
      </c>
      <c r="R2351" s="169" t="s">
        <v>283</v>
      </c>
      <c r="S2351" s="169" t="s">
        <v>283</v>
      </c>
      <c r="T2351" s="169">
        <v>0</v>
      </c>
    </row>
    <row r="2352" spans="1:20" x14ac:dyDescent="0.2">
      <c r="A2352" s="169" t="str">
        <f t="shared" si="16"/>
        <v>627</v>
      </c>
      <c r="B2352" s="167" t="str">
        <f>_xlfn.XLOOKUP(I2352,Mapping!D:D,Mapping!E:E)</f>
        <v>Kỹ Thuật</v>
      </c>
      <c r="C2352" s="167" t="str">
        <f>_xlfn.XLOOKUP(F2352,Mapping!A:A,Mapping!F:F)</f>
        <v>Phụ Cấp</v>
      </c>
      <c r="D2352" s="173">
        <v>46022</v>
      </c>
      <c r="E2352" s="169" t="s">
        <v>1419</v>
      </c>
      <c r="F2352" s="169" t="s">
        <v>375</v>
      </c>
      <c r="G2352" s="169" t="s">
        <v>336</v>
      </c>
      <c r="H2352" s="169" t="s">
        <v>376</v>
      </c>
      <c r="I2352" s="169" t="s">
        <v>377</v>
      </c>
      <c r="J2352" s="169" t="s">
        <v>1424</v>
      </c>
      <c r="K2352" s="169" t="s">
        <v>1421</v>
      </c>
      <c r="L2352" s="169" t="s">
        <v>1338</v>
      </c>
      <c r="M2352" s="169" t="s">
        <v>281</v>
      </c>
      <c r="N2352" s="178">
        <v>22061000</v>
      </c>
      <c r="O2352" s="169" t="s">
        <v>1422</v>
      </c>
      <c r="P2352" s="169" t="s">
        <v>283</v>
      </c>
      <c r="Q2352" s="169" t="s">
        <v>306</v>
      </c>
      <c r="R2352" s="169" t="s">
        <v>283</v>
      </c>
      <c r="S2352" s="169" t="s">
        <v>283</v>
      </c>
      <c r="T2352" s="169">
        <v>0</v>
      </c>
    </row>
    <row r="2353" spans="1:20" x14ac:dyDescent="0.2">
      <c r="A2353" s="169" t="str">
        <f t="shared" si="16"/>
        <v>627</v>
      </c>
      <c r="B2353" s="167" t="str">
        <f>_xlfn.XLOOKUP(I2353,Mapping!D:D,Mapping!E:E)</f>
        <v>Xưởng Sản Xuất</v>
      </c>
      <c r="C2353" s="167" t="str">
        <f>_xlfn.XLOOKUP(F2353,Mapping!A:A,Mapping!F:F)</f>
        <v>Phụ Cấp</v>
      </c>
      <c r="D2353" s="173">
        <v>46022</v>
      </c>
      <c r="E2353" s="169" t="s">
        <v>1419</v>
      </c>
      <c r="F2353" s="169" t="s">
        <v>375</v>
      </c>
      <c r="G2353" s="169" t="s">
        <v>336</v>
      </c>
      <c r="H2353" s="169" t="s">
        <v>436</v>
      </c>
      <c r="I2353" s="169" t="s">
        <v>437</v>
      </c>
      <c r="J2353" s="169" t="s">
        <v>1425</v>
      </c>
      <c r="K2353" s="169" t="s">
        <v>1421</v>
      </c>
      <c r="L2353" s="169" t="s">
        <v>1338</v>
      </c>
      <c r="M2353" s="169" t="s">
        <v>281</v>
      </c>
      <c r="N2353" s="178">
        <v>12194000</v>
      </c>
      <c r="O2353" s="169" t="s">
        <v>1422</v>
      </c>
      <c r="P2353" s="169" t="s">
        <v>283</v>
      </c>
      <c r="Q2353" s="169" t="s">
        <v>306</v>
      </c>
      <c r="R2353" s="169" t="s">
        <v>283</v>
      </c>
      <c r="S2353" s="169" t="s">
        <v>283</v>
      </c>
      <c r="T2353" s="169">
        <v>0</v>
      </c>
    </row>
    <row r="2354" spans="1:20" x14ac:dyDescent="0.2">
      <c r="A2354" s="169" t="str">
        <f t="shared" si="16"/>
        <v>627</v>
      </c>
      <c r="B2354" s="167" t="str">
        <f>_xlfn.XLOOKUP(I2354,Mapping!D:D,Mapping!E:E)</f>
        <v>Kiểm Soát Chất Lượng</v>
      </c>
      <c r="C2354" s="167" t="str">
        <f>_xlfn.XLOOKUP(F2354,Mapping!A:A,Mapping!F:F)</f>
        <v>Phụ Cấp</v>
      </c>
      <c r="D2354" s="173">
        <v>46022</v>
      </c>
      <c r="E2354" s="169" t="s">
        <v>1419</v>
      </c>
      <c r="F2354" s="169" t="s">
        <v>375</v>
      </c>
      <c r="G2354" s="169" t="s">
        <v>336</v>
      </c>
      <c r="H2354" s="169" t="s">
        <v>411</v>
      </c>
      <c r="I2354" s="169" t="s">
        <v>412</v>
      </c>
      <c r="J2354" s="169" t="s">
        <v>1426</v>
      </c>
      <c r="K2354" s="169" t="s">
        <v>1421</v>
      </c>
      <c r="L2354" s="169" t="s">
        <v>1338</v>
      </c>
      <c r="M2354" s="169" t="s">
        <v>281</v>
      </c>
      <c r="N2354" s="178">
        <v>11843000</v>
      </c>
      <c r="O2354" s="169" t="s">
        <v>1422</v>
      </c>
      <c r="P2354" s="169" t="s">
        <v>283</v>
      </c>
      <c r="Q2354" s="169" t="s">
        <v>306</v>
      </c>
      <c r="R2354" s="169" t="s">
        <v>283</v>
      </c>
      <c r="S2354" s="169" t="s">
        <v>283</v>
      </c>
      <c r="T2354" s="169">
        <v>0</v>
      </c>
    </row>
    <row r="2355" spans="1:20" x14ac:dyDescent="0.2">
      <c r="A2355" s="169" t="str">
        <f t="shared" si="16"/>
        <v>642</v>
      </c>
      <c r="B2355" s="167" t="str">
        <f>_xlfn.XLOOKUP(I2355,Mapping!D:D,Mapping!E:E)</f>
        <v>Hành Chánh Nhân Sự</v>
      </c>
      <c r="C2355" s="167" t="str">
        <f>_xlfn.XLOOKUP(F2355,Mapping!A:A,Mapping!F:F)</f>
        <v>Phụ Cấp</v>
      </c>
      <c r="D2355" s="173">
        <v>46022</v>
      </c>
      <c r="E2355" s="169" t="s">
        <v>1419</v>
      </c>
      <c r="F2355" s="169" t="s">
        <v>335</v>
      </c>
      <c r="G2355" s="169" t="s">
        <v>336</v>
      </c>
      <c r="H2355" s="169" t="s">
        <v>301</v>
      </c>
      <c r="I2355" s="169" t="s">
        <v>302</v>
      </c>
      <c r="J2355" s="169" t="s">
        <v>1427</v>
      </c>
      <c r="K2355" s="169" t="s">
        <v>1421</v>
      </c>
      <c r="L2355" s="169" t="s">
        <v>1338</v>
      </c>
      <c r="M2355" s="169" t="s">
        <v>281</v>
      </c>
      <c r="N2355" s="178">
        <v>3770000</v>
      </c>
      <c r="O2355" s="169" t="s">
        <v>1422</v>
      </c>
      <c r="P2355" s="169" t="s">
        <v>283</v>
      </c>
      <c r="Q2355" s="169" t="s">
        <v>306</v>
      </c>
      <c r="R2355" s="169" t="s">
        <v>283</v>
      </c>
      <c r="S2355" s="169" t="s">
        <v>283</v>
      </c>
      <c r="T2355" s="169">
        <v>0</v>
      </c>
    </row>
    <row r="2356" spans="1:20" x14ac:dyDescent="0.2">
      <c r="A2356" s="169" t="str">
        <f t="shared" si="16"/>
        <v>622</v>
      </c>
      <c r="B2356" s="167" t="str">
        <f>_xlfn.XLOOKUP(I2356,Mapping!D:D,Mapping!E:E)</f>
        <v>Xưởng Sản Xuất</v>
      </c>
      <c r="C2356" s="167" t="str">
        <f>_xlfn.XLOOKUP(F2356,Mapping!A:A,Mapping!F:F)</f>
        <v>Phụ Cấp</v>
      </c>
      <c r="D2356" s="173">
        <v>46022</v>
      </c>
      <c r="E2356" s="169" t="s">
        <v>1428</v>
      </c>
      <c r="F2356" s="169" t="s">
        <v>414</v>
      </c>
      <c r="G2356" s="169" t="s">
        <v>415</v>
      </c>
      <c r="H2356" s="169" t="s">
        <v>441</v>
      </c>
      <c r="I2356" s="169" t="s">
        <v>442</v>
      </c>
      <c r="J2356" s="169" t="s">
        <v>416</v>
      </c>
      <c r="K2356" s="169" t="s">
        <v>416</v>
      </c>
      <c r="L2356" s="169" t="s">
        <v>1338</v>
      </c>
      <c r="M2356" s="169" t="s">
        <v>281</v>
      </c>
      <c r="N2356" s="178">
        <v>475000</v>
      </c>
      <c r="O2356" s="169" t="s">
        <v>1429</v>
      </c>
      <c r="P2356" s="169" t="s">
        <v>283</v>
      </c>
      <c r="Q2356" s="169" t="s">
        <v>348</v>
      </c>
      <c r="R2356" s="169" t="s">
        <v>283</v>
      </c>
      <c r="S2356" s="169" t="s">
        <v>283</v>
      </c>
      <c r="T2356" s="169">
        <v>0</v>
      </c>
    </row>
    <row r="2357" spans="1:20" x14ac:dyDescent="0.2">
      <c r="A2357" s="169" t="str">
        <f t="shared" si="16"/>
        <v>627</v>
      </c>
      <c r="B2357" s="167" t="str">
        <f>_xlfn.XLOOKUP(I2357,Mapping!D:D,Mapping!E:E)</f>
        <v>Xưởng Sản Xuất</v>
      </c>
      <c r="C2357" s="167" t="str">
        <f>_xlfn.XLOOKUP(F2357,Mapping!A:A,Mapping!F:F)</f>
        <v>Phụ Cấp</v>
      </c>
      <c r="D2357" s="173">
        <v>46022</v>
      </c>
      <c r="E2357" s="169" t="s">
        <v>1428</v>
      </c>
      <c r="F2357" s="169" t="s">
        <v>375</v>
      </c>
      <c r="G2357" s="169" t="s">
        <v>336</v>
      </c>
      <c r="H2357" s="169" t="s">
        <v>441</v>
      </c>
      <c r="I2357" s="169" t="s">
        <v>442</v>
      </c>
      <c r="J2357" s="169" t="s">
        <v>416</v>
      </c>
      <c r="K2357" s="169" t="s">
        <v>416</v>
      </c>
      <c r="L2357" s="169" t="s">
        <v>1338</v>
      </c>
      <c r="M2357" s="169" t="s">
        <v>281</v>
      </c>
      <c r="N2357" s="178">
        <v>-475000</v>
      </c>
      <c r="O2357" s="169" t="s">
        <v>1429</v>
      </c>
      <c r="P2357" s="169" t="s">
        <v>283</v>
      </c>
      <c r="Q2357" s="169" t="s">
        <v>348</v>
      </c>
      <c r="R2357" s="169" t="s">
        <v>283</v>
      </c>
      <c r="S2357" s="169" t="s">
        <v>283</v>
      </c>
      <c r="T2357" s="169">
        <v>0</v>
      </c>
    </row>
    <row r="2358" spans="1:20" x14ac:dyDescent="0.2">
      <c r="A2358" s="169" t="str">
        <f t="shared" si="16"/>
        <v>622</v>
      </c>
      <c r="B2358" s="167" t="str">
        <f>_xlfn.XLOOKUP(I2358,Mapping!D:D,Mapping!E:E)</f>
        <v>Xưởng Sản Xuất</v>
      </c>
      <c r="C2358" s="167" t="str">
        <f>_xlfn.XLOOKUP(F2358,Mapping!A:A,Mapping!F:F)</f>
        <v>Phụ Cấp</v>
      </c>
      <c r="D2358" s="173">
        <v>46022</v>
      </c>
      <c r="E2358" s="169" t="s">
        <v>1428</v>
      </c>
      <c r="F2358" s="169" t="s">
        <v>414</v>
      </c>
      <c r="G2358" s="169" t="s">
        <v>415</v>
      </c>
      <c r="H2358" s="169" t="s">
        <v>430</v>
      </c>
      <c r="I2358" s="169" t="s">
        <v>431</v>
      </c>
      <c r="J2358" s="169" t="s">
        <v>416</v>
      </c>
      <c r="K2358" s="169" t="s">
        <v>416</v>
      </c>
      <c r="L2358" s="169" t="s">
        <v>1338</v>
      </c>
      <c r="M2358" s="169" t="s">
        <v>281</v>
      </c>
      <c r="N2358" s="178">
        <v>17875000</v>
      </c>
      <c r="O2358" s="169" t="s">
        <v>1429</v>
      </c>
      <c r="P2358" s="169" t="s">
        <v>283</v>
      </c>
      <c r="Q2358" s="169" t="s">
        <v>348</v>
      </c>
      <c r="R2358" s="169" t="s">
        <v>283</v>
      </c>
      <c r="S2358" s="169" t="s">
        <v>283</v>
      </c>
      <c r="T2358" s="169">
        <v>0</v>
      </c>
    </row>
    <row r="2359" spans="1:20" x14ac:dyDescent="0.2">
      <c r="A2359" s="169" t="str">
        <f t="shared" si="16"/>
        <v>627</v>
      </c>
      <c r="B2359" s="167" t="str">
        <f>_xlfn.XLOOKUP(I2359,Mapping!D:D,Mapping!E:E)</f>
        <v>Xưởng Sản Xuất</v>
      </c>
      <c r="C2359" s="167" t="str">
        <f>_xlfn.XLOOKUP(F2359,Mapping!A:A,Mapping!F:F)</f>
        <v>Phụ Cấp</v>
      </c>
      <c r="D2359" s="173">
        <v>46022</v>
      </c>
      <c r="E2359" s="169" t="s">
        <v>1428</v>
      </c>
      <c r="F2359" s="169" t="s">
        <v>375</v>
      </c>
      <c r="G2359" s="169" t="s">
        <v>336</v>
      </c>
      <c r="H2359" s="169" t="s">
        <v>430</v>
      </c>
      <c r="I2359" s="169" t="s">
        <v>431</v>
      </c>
      <c r="J2359" s="169" t="s">
        <v>416</v>
      </c>
      <c r="K2359" s="169" t="s">
        <v>416</v>
      </c>
      <c r="L2359" s="169" t="s">
        <v>1338</v>
      </c>
      <c r="M2359" s="169" t="s">
        <v>281</v>
      </c>
      <c r="N2359" s="178">
        <v>-17875000</v>
      </c>
      <c r="O2359" s="169" t="s">
        <v>1429</v>
      </c>
      <c r="P2359" s="169" t="s">
        <v>283</v>
      </c>
      <c r="Q2359" s="169" t="s">
        <v>348</v>
      </c>
      <c r="R2359" s="169" t="s">
        <v>283</v>
      </c>
      <c r="S2359" s="169" t="s">
        <v>283</v>
      </c>
      <c r="T2359" s="169">
        <v>0</v>
      </c>
    </row>
    <row r="2360" spans="1:20" x14ac:dyDescent="0.2">
      <c r="A2360" s="169" t="str">
        <f t="shared" si="16"/>
        <v>622</v>
      </c>
      <c r="B2360" s="167" t="str">
        <f>_xlfn.XLOOKUP(I2360,Mapping!D:D,Mapping!E:E)</f>
        <v>Xưởng Sản Xuất</v>
      </c>
      <c r="C2360" s="167" t="str">
        <f>_xlfn.XLOOKUP(F2360,Mapping!A:A,Mapping!F:F)</f>
        <v>Phụ Cấp</v>
      </c>
      <c r="D2360" s="173">
        <v>46022</v>
      </c>
      <c r="E2360" s="169" t="s">
        <v>1428</v>
      </c>
      <c r="F2360" s="169" t="s">
        <v>414</v>
      </c>
      <c r="G2360" s="169" t="s">
        <v>415</v>
      </c>
      <c r="H2360" s="169" t="s">
        <v>402</v>
      </c>
      <c r="I2360" s="169" t="s">
        <v>403</v>
      </c>
      <c r="J2360" s="169" t="s">
        <v>416</v>
      </c>
      <c r="K2360" s="169" t="s">
        <v>416</v>
      </c>
      <c r="L2360" s="169" t="s">
        <v>1338</v>
      </c>
      <c r="M2360" s="169" t="s">
        <v>281</v>
      </c>
      <c r="N2360" s="178">
        <v>107275000</v>
      </c>
      <c r="O2360" s="169" t="s">
        <v>1429</v>
      </c>
      <c r="P2360" s="169" t="s">
        <v>283</v>
      </c>
      <c r="Q2360" s="169" t="s">
        <v>348</v>
      </c>
      <c r="R2360" s="169" t="s">
        <v>283</v>
      </c>
      <c r="S2360" s="169" t="s">
        <v>283</v>
      </c>
      <c r="T2360" s="169">
        <v>0</v>
      </c>
    </row>
    <row r="2361" spans="1:20" x14ac:dyDescent="0.2">
      <c r="A2361" s="169" t="str">
        <f t="shared" si="16"/>
        <v>627</v>
      </c>
      <c r="B2361" s="167" t="str">
        <f>_xlfn.XLOOKUP(I2361,Mapping!D:D,Mapping!E:E)</f>
        <v>Xưởng Sản Xuất</v>
      </c>
      <c r="C2361" s="167" t="str">
        <f>_xlfn.XLOOKUP(F2361,Mapping!A:A,Mapping!F:F)</f>
        <v>Phụ Cấp</v>
      </c>
      <c r="D2361" s="173">
        <v>46022</v>
      </c>
      <c r="E2361" s="169" t="s">
        <v>1428</v>
      </c>
      <c r="F2361" s="169" t="s">
        <v>375</v>
      </c>
      <c r="G2361" s="169" t="s">
        <v>336</v>
      </c>
      <c r="H2361" s="169" t="s">
        <v>402</v>
      </c>
      <c r="I2361" s="169" t="s">
        <v>403</v>
      </c>
      <c r="J2361" s="169" t="s">
        <v>416</v>
      </c>
      <c r="K2361" s="169" t="s">
        <v>416</v>
      </c>
      <c r="L2361" s="169" t="s">
        <v>1338</v>
      </c>
      <c r="M2361" s="169" t="s">
        <v>281</v>
      </c>
      <c r="N2361" s="178">
        <v>-107275000</v>
      </c>
      <c r="O2361" s="169" t="s">
        <v>1429</v>
      </c>
      <c r="P2361" s="169" t="s">
        <v>283</v>
      </c>
      <c r="Q2361" s="169" t="s">
        <v>348</v>
      </c>
      <c r="R2361" s="169" t="s">
        <v>283</v>
      </c>
      <c r="S2361" s="169" t="s">
        <v>283</v>
      </c>
      <c r="T2361" s="169">
        <v>0</v>
      </c>
    </row>
    <row r="2362" spans="1:20" x14ac:dyDescent="0.2">
      <c r="A2362" s="169" t="str">
        <f t="shared" ref="A2362:A2376" si="17">LEFT(F2362,3)</f>
        <v>642</v>
      </c>
      <c r="B2362" s="167" t="str">
        <f>_xlfn.XLOOKUP(I2362,Mapping!D:D,Mapping!E:E)</f>
        <v>Hành Chánh Nhân Sự</v>
      </c>
      <c r="C2362" s="167" t="str">
        <f>_xlfn.XLOOKUP(F2362,Mapping!A:A,Mapping!F:F)</f>
        <v>Khen thưởng BD khác</v>
      </c>
      <c r="D2362" s="173">
        <v>46022</v>
      </c>
      <c r="E2362" s="169" t="s">
        <v>2022</v>
      </c>
      <c r="F2362" s="169" t="s">
        <v>300</v>
      </c>
      <c r="G2362" s="169" t="s">
        <v>222</v>
      </c>
      <c r="H2362" s="169" t="s">
        <v>358</v>
      </c>
      <c r="I2362" s="169" t="s">
        <v>359</v>
      </c>
      <c r="J2362" s="169" t="s">
        <v>1608</v>
      </c>
      <c r="K2362" s="169" t="s">
        <v>1609</v>
      </c>
      <c r="L2362" s="440">
        <v>12</v>
      </c>
      <c r="M2362" s="169" t="s">
        <v>281</v>
      </c>
      <c r="N2362" s="178">
        <v>-134853331</v>
      </c>
      <c r="O2362" s="169" t="s">
        <v>2023</v>
      </c>
      <c r="P2362" s="169" t="s">
        <v>283</v>
      </c>
      <c r="Q2362" s="169" t="s">
        <v>306</v>
      </c>
    </row>
    <row r="2363" spans="1:20" x14ac:dyDescent="0.2">
      <c r="A2363" s="169" t="str">
        <f t="shared" si="17"/>
        <v>642</v>
      </c>
      <c r="B2363" s="167" t="str">
        <f>_xlfn.XLOOKUP(I2363,Mapping!D:D,Mapping!E:E)</f>
        <v>Ban Giám Đốc</v>
      </c>
      <c r="C2363" s="167" t="str">
        <f>_xlfn.XLOOKUP(F2363,Mapping!A:A,Mapping!F:F)</f>
        <v>Thưởng</v>
      </c>
      <c r="D2363" s="173">
        <v>46022</v>
      </c>
      <c r="E2363" s="169" t="s">
        <v>2018</v>
      </c>
      <c r="F2363" s="169" t="s">
        <v>292</v>
      </c>
      <c r="G2363" s="169" t="s">
        <v>77</v>
      </c>
      <c r="H2363" s="169" t="s">
        <v>276</v>
      </c>
      <c r="I2363" s="169" t="s">
        <v>277</v>
      </c>
      <c r="J2363" s="169" t="s">
        <v>2008</v>
      </c>
      <c r="K2363" s="169" t="s">
        <v>2009</v>
      </c>
      <c r="L2363" s="440">
        <v>12</v>
      </c>
      <c r="M2363" s="169" t="s">
        <v>281</v>
      </c>
      <c r="N2363" s="178">
        <v>1151758025</v>
      </c>
      <c r="O2363" s="169" t="s">
        <v>2010</v>
      </c>
      <c r="P2363" s="169" t="s">
        <v>283</v>
      </c>
      <c r="Q2363" s="169" t="s">
        <v>284</v>
      </c>
    </row>
    <row r="2364" spans="1:20" x14ac:dyDescent="0.2">
      <c r="A2364" s="169" t="str">
        <f t="shared" si="17"/>
        <v>642</v>
      </c>
      <c r="B2364" s="167" t="str">
        <f>_xlfn.XLOOKUP(I2364,Mapping!D:D,Mapping!E:E)</f>
        <v>Văn Phòng Giám Đốc</v>
      </c>
      <c r="C2364" s="167" t="str">
        <f>_xlfn.XLOOKUP(F2364,Mapping!A:A,Mapping!F:F)</f>
        <v>Thưởng</v>
      </c>
      <c r="D2364" s="173">
        <v>46022</v>
      </c>
      <c r="E2364" s="169" t="s">
        <v>2018</v>
      </c>
      <c r="F2364" s="169" t="s">
        <v>292</v>
      </c>
      <c r="G2364" s="169" t="s">
        <v>77</v>
      </c>
      <c r="H2364" s="169" t="s">
        <v>320</v>
      </c>
      <c r="I2364" s="169" t="s">
        <v>321</v>
      </c>
      <c r="J2364" s="169" t="s">
        <v>2008</v>
      </c>
      <c r="K2364" s="169" t="s">
        <v>2009</v>
      </c>
      <c r="L2364" s="440">
        <v>12</v>
      </c>
      <c r="M2364" s="169" t="s">
        <v>281</v>
      </c>
      <c r="N2364" s="178">
        <v>60377511</v>
      </c>
      <c r="O2364" s="169" t="s">
        <v>2010</v>
      </c>
      <c r="P2364" s="169" t="s">
        <v>283</v>
      </c>
      <c r="Q2364" s="169" t="s">
        <v>284</v>
      </c>
    </row>
    <row r="2365" spans="1:20" x14ac:dyDescent="0.2">
      <c r="A2365" s="169" t="str">
        <f t="shared" si="17"/>
        <v>642</v>
      </c>
      <c r="B2365" s="167" t="str">
        <f>_xlfn.XLOOKUP(I2365,Mapping!D:D,Mapping!E:E)</f>
        <v>Ban Giám Đốc</v>
      </c>
      <c r="C2365" s="167" t="str">
        <f>_xlfn.XLOOKUP(F2365,Mapping!A:A,Mapping!F:F)</f>
        <v>Khen thưởng BD khác</v>
      </c>
      <c r="D2365" s="173">
        <v>46022</v>
      </c>
      <c r="E2365" s="169" t="s">
        <v>2017</v>
      </c>
      <c r="F2365" s="169" t="s">
        <v>300</v>
      </c>
      <c r="G2365" s="169" t="s">
        <v>222</v>
      </c>
      <c r="H2365" s="169" t="s">
        <v>1718</v>
      </c>
      <c r="I2365" s="169" t="s">
        <v>1719</v>
      </c>
      <c r="J2365" s="169" t="s">
        <v>2004</v>
      </c>
      <c r="K2365" s="169" t="s">
        <v>2005</v>
      </c>
      <c r="L2365" s="440">
        <v>12</v>
      </c>
      <c r="M2365" s="169" t="s">
        <v>281</v>
      </c>
      <c r="N2365" s="178">
        <v>639727492</v>
      </c>
      <c r="O2365" s="169" t="s">
        <v>2006</v>
      </c>
      <c r="P2365" s="169" t="s">
        <v>283</v>
      </c>
      <c r="Q2365" s="169" t="s">
        <v>764</v>
      </c>
    </row>
    <row r="2366" spans="1:20" x14ac:dyDescent="0.2">
      <c r="A2366" s="169" t="str">
        <f t="shared" si="17"/>
        <v>642</v>
      </c>
      <c r="B2366" s="167" t="str">
        <f>_xlfn.XLOOKUP(I2366,Mapping!D:D,Mapping!E:E)</f>
        <v>Ban Giám Đốc</v>
      </c>
      <c r="C2366" s="167" t="str">
        <f>_xlfn.XLOOKUP(F2366,Mapping!A:A,Mapping!F:F)</f>
        <v>Khen thưởng BD khác</v>
      </c>
      <c r="D2366" s="173">
        <v>46022</v>
      </c>
      <c r="E2366" s="169" t="s">
        <v>2017</v>
      </c>
      <c r="F2366" s="169" t="s">
        <v>300</v>
      </c>
      <c r="G2366" s="169" t="s">
        <v>222</v>
      </c>
      <c r="H2366" s="169" t="s">
        <v>1718</v>
      </c>
      <c r="I2366" s="169" t="s">
        <v>1719</v>
      </c>
      <c r="J2366" s="169" t="s">
        <v>2007</v>
      </c>
      <c r="K2366" s="169" t="s">
        <v>2005</v>
      </c>
      <c r="L2366" s="440">
        <v>12</v>
      </c>
      <c r="M2366" s="169" t="s">
        <v>281</v>
      </c>
      <c r="N2366" s="178">
        <v>1017145546</v>
      </c>
      <c r="O2366" s="169" t="s">
        <v>2006</v>
      </c>
      <c r="P2366" s="169" t="s">
        <v>283</v>
      </c>
      <c r="Q2366" s="169" t="s">
        <v>764</v>
      </c>
    </row>
    <row r="2367" spans="1:20" x14ac:dyDescent="0.2">
      <c r="A2367" s="169" t="str">
        <f t="shared" si="17"/>
        <v>642</v>
      </c>
      <c r="B2367" s="167" t="str">
        <f>_xlfn.XLOOKUP(I2367,Mapping!D:D,Mapping!E:E)</f>
        <v>Hành Chánh Nhân Sự</v>
      </c>
      <c r="C2367" s="167" t="str">
        <f>_xlfn.XLOOKUP(F2367,Mapping!A:A,Mapping!F:F)</f>
        <v>Thưởng</v>
      </c>
      <c r="D2367" s="173">
        <v>46022</v>
      </c>
      <c r="E2367" s="169" t="s">
        <v>2018</v>
      </c>
      <c r="F2367" s="169" t="s">
        <v>292</v>
      </c>
      <c r="G2367" s="169" t="s">
        <v>77</v>
      </c>
      <c r="H2367" s="169" t="s">
        <v>301</v>
      </c>
      <c r="I2367" s="169" t="s">
        <v>302</v>
      </c>
      <c r="J2367" s="169" t="s">
        <v>2008</v>
      </c>
      <c r="K2367" s="169" t="s">
        <v>2009</v>
      </c>
      <c r="L2367" s="440">
        <v>12</v>
      </c>
      <c r="M2367" s="169" t="s">
        <v>281</v>
      </c>
      <c r="N2367" s="178">
        <v>224051744</v>
      </c>
      <c r="O2367" s="169" t="s">
        <v>2010</v>
      </c>
      <c r="P2367" s="169" t="s">
        <v>283</v>
      </c>
      <c r="Q2367" s="169" t="s">
        <v>284</v>
      </c>
    </row>
    <row r="2368" spans="1:20" x14ac:dyDescent="0.2">
      <c r="A2368" s="169" t="str">
        <f t="shared" si="17"/>
        <v>642</v>
      </c>
      <c r="B2368" s="167" t="str">
        <f>_xlfn.XLOOKUP(I2368,Mapping!D:D,Mapping!E:E)</f>
        <v>Hành Chánh Nhân Sự</v>
      </c>
      <c r="C2368" s="167" t="str">
        <f>_xlfn.XLOOKUP(F2368,Mapping!A:A,Mapping!F:F)</f>
        <v>Lương Chính +T13</v>
      </c>
      <c r="D2368" s="173">
        <v>46022</v>
      </c>
      <c r="E2368" s="169" t="s">
        <v>2020</v>
      </c>
      <c r="F2368" s="169" t="s">
        <v>285</v>
      </c>
      <c r="G2368" s="169" t="s">
        <v>286</v>
      </c>
      <c r="H2368" s="169" t="s">
        <v>301</v>
      </c>
      <c r="I2368" s="169" t="s">
        <v>302</v>
      </c>
      <c r="J2368" s="169" t="s">
        <v>2014</v>
      </c>
      <c r="K2368" s="169" t="s">
        <v>2015</v>
      </c>
      <c r="L2368" s="440">
        <v>12</v>
      </c>
      <c r="M2368" s="169" t="s">
        <v>281</v>
      </c>
      <c r="N2368" s="178">
        <v>26607845</v>
      </c>
      <c r="O2368" s="169" t="s">
        <v>2016</v>
      </c>
      <c r="P2368" s="169" t="s">
        <v>283</v>
      </c>
      <c r="Q2368" s="169" t="s">
        <v>284</v>
      </c>
    </row>
    <row r="2369" spans="1:17" x14ac:dyDescent="0.2">
      <c r="A2369" s="169" t="str">
        <f t="shared" si="17"/>
        <v>642</v>
      </c>
      <c r="B2369" s="167" t="str">
        <f>_xlfn.XLOOKUP(I2369,Mapping!D:D,Mapping!E:E)</f>
        <v>Hành Chánh Nhân Sự</v>
      </c>
      <c r="C2369" s="167" t="str">
        <f>_xlfn.XLOOKUP(F2369,Mapping!A:A,Mapping!F:F)</f>
        <v>Khen thưởng BD khác</v>
      </c>
      <c r="D2369" s="173">
        <v>46022</v>
      </c>
      <c r="E2369" s="169" t="s">
        <v>2019</v>
      </c>
      <c r="F2369" s="169" t="s">
        <v>300</v>
      </c>
      <c r="G2369" s="169" t="s">
        <v>222</v>
      </c>
      <c r="H2369" s="169" t="s">
        <v>301</v>
      </c>
      <c r="I2369" s="169" t="s">
        <v>302</v>
      </c>
      <c r="J2369" s="169" t="s">
        <v>2011</v>
      </c>
      <c r="K2369" s="169" t="s">
        <v>2012</v>
      </c>
      <c r="L2369" s="440">
        <v>12</v>
      </c>
      <c r="M2369" s="169" t="s">
        <v>281</v>
      </c>
      <c r="N2369" s="178">
        <v>191880000</v>
      </c>
      <c r="O2369" s="169" t="s">
        <v>2013</v>
      </c>
      <c r="P2369" s="169" t="s">
        <v>283</v>
      </c>
      <c r="Q2369" s="169" t="s">
        <v>306</v>
      </c>
    </row>
    <row r="2370" spans="1:17" x14ac:dyDescent="0.2">
      <c r="A2370" s="169" t="str">
        <f t="shared" si="17"/>
        <v>642</v>
      </c>
      <c r="B2370" s="167" t="str">
        <f>_xlfn.XLOOKUP(I2370,Mapping!D:D,Mapping!E:E)</f>
        <v>Kế Toán</v>
      </c>
      <c r="C2370" s="167" t="str">
        <f>_xlfn.XLOOKUP(F2370,Mapping!A:A,Mapping!F:F)</f>
        <v>Thưởng</v>
      </c>
      <c r="D2370" s="173">
        <v>46022</v>
      </c>
      <c r="E2370" s="169" t="s">
        <v>2018</v>
      </c>
      <c r="F2370" s="169" t="s">
        <v>292</v>
      </c>
      <c r="G2370" s="169" t="s">
        <v>77</v>
      </c>
      <c r="H2370" s="169" t="s">
        <v>356</v>
      </c>
      <c r="I2370" s="169" t="s">
        <v>357</v>
      </c>
      <c r="J2370" s="169" t="s">
        <v>2008</v>
      </c>
      <c r="K2370" s="169" t="s">
        <v>2009</v>
      </c>
      <c r="L2370" s="440">
        <v>12</v>
      </c>
      <c r="M2370" s="169" t="s">
        <v>281</v>
      </c>
      <c r="N2370" s="178">
        <v>354547860</v>
      </c>
      <c r="O2370" s="169" t="s">
        <v>2010</v>
      </c>
      <c r="P2370" s="169" t="s">
        <v>283</v>
      </c>
      <c r="Q2370" s="169" t="s">
        <v>284</v>
      </c>
    </row>
    <row r="2371" spans="1:17" x14ac:dyDescent="0.2">
      <c r="A2371" s="169" t="str">
        <f t="shared" si="17"/>
        <v>642</v>
      </c>
      <c r="B2371" s="167" t="str">
        <f>_xlfn.XLOOKUP(I2371,Mapping!D:D,Mapping!E:E)</f>
        <v>Hành Chánh Nhân Sự</v>
      </c>
      <c r="C2371" s="167" t="str">
        <f>_xlfn.XLOOKUP(F2371,Mapping!A:A,Mapping!F:F)</f>
        <v>Thưởng</v>
      </c>
      <c r="D2371" s="173">
        <v>46022</v>
      </c>
      <c r="E2371" s="169" t="s">
        <v>2018</v>
      </c>
      <c r="F2371" s="169" t="s">
        <v>292</v>
      </c>
      <c r="G2371" s="169" t="s">
        <v>77</v>
      </c>
      <c r="H2371" s="169" t="s">
        <v>358</v>
      </c>
      <c r="I2371" s="169" t="s">
        <v>359</v>
      </c>
      <c r="J2371" s="169" t="s">
        <v>2008</v>
      </c>
      <c r="K2371" s="169" t="s">
        <v>2009</v>
      </c>
      <c r="L2371" s="440">
        <v>12</v>
      </c>
      <c r="M2371" s="169" t="s">
        <v>281</v>
      </c>
      <c r="N2371" s="178">
        <v>13438879</v>
      </c>
      <c r="O2371" s="169" t="s">
        <v>2010</v>
      </c>
      <c r="P2371" s="169" t="s">
        <v>283</v>
      </c>
      <c r="Q2371" s="169" t="s">
        <v>284</v>
      </c>
    </row>
    <row r="2372" spans="1:17" x14ac:dyDescent="0.2">
      <c r="A2372" s="169" t="str">
        <f t="shared" si="17"/>
        <v>642</v>
      </c>
      <c r="B2372" s="167" t="str">
        <f>_xlfn.XLOOKUP(I2372,Mapping!D:D,Mapping!E:E)</f>
        <v>Hành Chánh Nhân Sự</v>
      </c>
      <c r="C2372" s="167" t="str">
        <f>_xlfn.XLOOKUP(F2372,Mapping!A:A,Mapping!F:F)</f>
        <v>Thưởng</v>
      </c>
      <c r="D2372" s="173">
        <v>46022</v>
      </c>
      <c r="E2372" s="169" t="s">
        <v>2018</v>
      </c>
      <c r="F2372" s="169" t="s">
        <v>292</v>
      </c>
      <c r="G2372" s="169" t="s">
        <v>77</v>
      </c>
      <c r="H2372" s="169" t="s">
        <v>382</v>
      </c>
      <c r="I2372" s="169" t="s">
        <v>200</v>
      </c>
      <c r="J2372" s="169" t="s">
        <v>2008</v>
      </c>
      <c r="K2372" s="169" t="s">
        <v>2009</v>
      </c>
      <c r="L2372" s="440">
        <v>12</v>
      </c>
      <c r="M2372" s="169" t="s">
        <v>281</v>
      </c>
      <c r="N2372" s="178">
        <v>71211740</v>
      </c>
      <c r="O2372" s="169" t="s">
        <v>2010</v>
      </c>
      <c r="P2372" s="169" t="s">
        <v>283</v>
      </c>
      <c r="Q2372" s="169" t="s">
        <v>284</v>
      </c>
    </row>
    <row r="2373" spans="1:17" x14ac:dyDescent="0.2">
      <c r="A2373" s="169" t="str">
        <f t="shared" si="17"/>
        <v>641</v>
      </c>
      <c r="B2373" s="167" t="str">
        <f>_xlfn.XLOOKUP(I2373,Mapping!D:D,Mapping!E:E)</f>
        <v>Kinh doanh</v>
      </c>
      <c r="C2373" s="167" t="str">
        <f>_xlfn.XLOOKUP(F2373,Mapping!A:A,Mapping!F:F)</f>
        <v>Thưởng</v>
      </c>
      <c r="D2373" s="173">
        <v>46022</v>
      </c>
      <c r="E2373" s="169" t="s">
        <v>2018</v>
      </c>
      <c r="F2373" s="169" t="s">
        <v>394</v>
      </c>
      <c r="G2373" s="169" t="s">
        <v>77</v>
      </c>
      <c r="H2373" s="169" t="s">
        <v>366</v>
      </c>
      <c r="I2373" s="169" t="s">
        <v>1</v>
      </c>
      <c r="J2373" s="169" t="s">
        <v>2008</v>
      </c>
      <c r="K2373" s="169" t="s">
        <v>2009</v>
      </c>
      <c r="L2373" s="440">
        <v>12</v>
      </c>
      <c r="M2373" s="169" t="s">
        <v>281</v>
      </c>
      <c r="N2373" s="178">
        <v>98995312</v>
      </c>
      <c r="O2373" s="169" t="s">
        <v>2010</v>
      </c>
      <c r="P2373" s="169" t="s">
        <v>283</v>
      </c>
      <c r="Q2373" s="169" t="s">
        <v>284</v>
      </c>
    </row>
    <row r="2374" spans="1:17" x14ac:dyDescent="0.2">
      <c r="A2374" s="169" t="str">
        <f t="shared" si="17"/>
        <v>642</v>
      </c>
      <c r="B2374" s="167" t="str">
        <f>_xlfn.XLOOKUP(I2374,Mapping!D:D,Mapping!E:E)</f>
        <v>Cung Ứng</v>
      </c>
      <c r="C2374" s="167" t="str">
        <f>_xlfn.XLOOKUP(F2374,Mapping!A:A,Mapping!F:F)</f>
        <v>Thưởng</v>
      </c>
      <c r="D2374" s="173">
        <v>46022</v>
      </c>
      <c r="E2374" s="169" t="s">
        <v>2018</v>
      </c>
      <c r="F2374" s="169" t="s">
        <v>292</v>
      </c>
      <c r="G2374" s="169" t="s">
        <v>77</v>
      </c>
      <c r="H2374" s="169" t="s">
        <v>380</v>
      </c>
      <c r="I2374" s="169" t="s">
        <v>381</v>
      </c>
      <c r="J2374" s="169" t="s">
        <v>2008</v>
      </c>
      <c r="K2374" s="169" t="s">
        <v>2009</v>
      </c>
      <c r="L2374" s="440">
        <v>12</v>
      </c>
      <c r="M2374" s="169" t="s">
        <v>281</v>
      </c>
      <c r="N2374" s="178">
        <v>119437649</v>
      </c>
      <c r="O2374" s="169" t="s">
        <v>2010</v>
      </c>
      <c r="P2374" s="169" t="s">
        <v>283</v>
      </c>
      <c r="Q2374" s="169" t="s">
        <v>284</v>
      </c>
    </row>
    <row r="2375" spans="1:17" x14ac:dyDescent="0.2">
      <c r="A2375" s="169" t="str">
        <f t="shared" si="17"/>
        <v>642</v>
      </c>
      <c r="B2375" s="167" t="str">
        <f>_xlfn.XLOOKUP(I2375,Mapping!D:D,Mapping!E:E)</f>
        <v>Mua Hàng &amp; XNK</v>
      </c>
      <c r="C2375" s="167" t="str">
        <f>_xlfn.XLOOKUP(F2375,Mapping!A:A,Mapping!F:F)</f>
        <v>Thưởng</v>
      </c>
      <c r="D2375" s="173">
        <v>46022</v>
      </c>
      <c r="E2375" s="169" t="s">
        <v>2018</v>
      </c>
      <c r="F2375" s="169" t="s">
        <v>292</v>
      </c>
      <c r="G2375" s="169" t="s">
        <v>77</v>
      </c>
      <c r="H2375" s="169" t="s">
        <v>378</v>
      </c>
      <c r="I2375" s="169" t="s">
        <v>379</v>
      </c>
      <c r="J2375" s="169" t="s">
        <v>2008</v>
      </c>
      <c r="K2375" s="169" t="s">
        <v>2009</v>
      </c>
      <c r="L2375" s="440">
        <v>12</v>
      </c>
      <c r="M2375" s="169" t="s">
        <v>281</v>
      </c>
      <c r="N2375" s="178">
        <v>48434604</v>
      </c>
      <c r="O2375" s="169" t="s">
        <v>2010</v>
      </c>
      <c r="P2375" s="169" t="s">
        <v>283</v>
      </c>
      <c r="Q2375" s="169" t="s">
        <v>284</v>
      </c>
    </row>
    <row r="2376" spans="1:17" x14ac:dyDescent="0.2">
      <c r="A2376" s="169" t="str">
        <f t="shared" si="17"/>
        <v>642</v>
      </c>
      <c r="B2376" s="167" t="str">
        <f>_xlfn.XLOOKUP(I2376,Mapping!D:D,Mapping!E:E)</f>
        <v>Cung Ứng</v>
      </c>
      <c r="C2376" s="167" t="str">
        <f>_xlfn.XLOOKUP(F2376,Mapping!A:A,Mapping!F:F)</f>
        <v>Lương Chính +T13</v>
      </c>
      <c r="D2376" s="173">
        <v>46022</v>
      </c>
      <c r="E2376" s="169" t="s">
        <v>2020</v>
      </c>
      <c r="F2376" s="169" t="s">
        <v>285</v>
      </c>
      <c r="G2376" s="169" t="s">
        <v>286</v>
      </c>
      <c r="H2376" s="169" t="s">
        <v>380</v>
      </c>
      <c r="I2376" s="169" t="s">
        <v>381</v>
      </c>
      <c r="J2376" s="169" t="s">
        <v>2014</v>
      </c>
      <c r="K2376" s="169" t="s">
        <v>2015</v>
      </c>
      <c r="L2376" s="440">
        <v>12</v>
      </c>
      <c r="M2376" s="169" t="s">
        <v>281</v>
      </c>
      <c r="N2376" s="178">
        <v>4501077</v>
      </c>
      <c r="O2376" s="169" t="s">
        <v>2016</v>
      </c>
      <c r="P2376" s="169" t="s">
        <v>283</v>
      </c>
      <c r="Q2376" s="169" t="s">
        <v>284</v>
      </c>
    </row>
    <row r="2377" spans="1:17" x14ac:dyDescent="0.2">
      <c r="A2377" s="169" t="str">
        <f t="shared" ref="A2377:A2396" si="18">LEFT(F2377,3)</f>
        <v>627</v>
      </c>
      <c r="B2377" s="167" t="str">
        <f>_xlfn.XLOOKUP(I2377,Mapping!D:D,Mapping!E:E)</f>
        <v>Kỹ Thuật</v>
      </c>
      <c r="C2377" s="167" t="str">
        <f>_xlfn.XLOOKUP(F2377,Mapping!A:A,Mapping!F:F)</f>
        <v>Thưởng</v>
      </c>
      <c r="D2377" s="173">
        <v>46022</v>
      </c>
      <c r="F2377" s="169" t="s">
        <v>395</v>
      </c>
      <c r="H2377" s="169" t="s">
        <v>376</v>
      </c>
      <c r="I2377" s="169" t="s">
        <v>377</v>
      </c>
      <c r="J2377" s="169" t="s">
        <v>2008</v>
      </c>
      <c r="L2377" s="440">
        <v>12</v>
      </c>
      <c r="M2377" s="169" t="s">
        <v>281</v>
      </c>
      <c r="N2377" s="178">
        <v>545479126</v>
      </c>
      <c r="O2377" s="169">
        <v>5100012350</v>
      </c>
    </row>
    <row r="2378" spans="1:17" x14ac:dyDescent="0.2">
      <c r="A2378" s="169" t="str">
        <f t="shared" si="18"/>
        <v>627</v>
      </c>
      <c r="B2378" s="167" t="str">
        <f>_xlfn.XLOOKUP(I2378,Mapping!D:D,Mapping!E:E)</f>
        <v>Kiểm Soát Chất Lượng</v>
      </c>
      <c r="C2378" s="167" t="str">
        <f>_xlfn.XLOOKUP(F2378,Mapping!A:A,Mapping!F:F)</f>
        <v>Thưởng</v>
      </c>
      <c r="D2378" s="173">
        <v>46022</v>
      </c>
      <c r="F2378" s="169" t="s">
        <v>395</v>
      </c>
      <c r="H2378" s="169" t="s">
        <v>411</v>
      </c>
      <c r="I2378" s="169" t="s">
        <v>412</v>
      </c>
      <c r="J2378" s="169" t="s">
        <v>2008</v>
      </c>
      <c r="L2378" s="440">
        <v>12</v>
      </c>
      <c r="M2378" s="169" t="s">
        <v>281</v>
      </c>
      <c r="N2378" s="178">
        <v>219881532</v>
      </c>
      <c r="O2378" s="169">
        <v>5100012350</v>
      </c>
    </row>
    <row r="2379" spans="1:17" x14ac:dyDescent="0.2">
      <c r="A2379" s="169" t="str">
        <f t="shared" si="18"/>
        <v>627</v>
      </c>
      <c r="B2379" s="167" t="str">
        <f>_xlfn.XLOOKUP(I2379,Mapping!D:D,Mapping!E:E)</f>
        <v>Nghiên Cứu &amp; Phát Triển</v>
      </c>
      <c r="C2379" s="167" t="str">
        <f>_xlfn.XLOOKUP(F2379,Mapping!A:A,Mapping!F:F)</f>
        <v>Thưởng</v>
      </c>
      <c r="D2379" s="173">
        <v>46022</v>
      </c>
      <c r="F2379" s="169" t="s">
        <v>395</v>
      </c>
      <c r="H2379" s="169" t="s">
        <v>418</v>
      </c>
      <c r="I2379" s="169" t="s">
        <v>419</v>
      </c>
      <c r="J2379" s="169" t="s">
        <v>2008</v>
      </c>
      <c r="L2379" s="440">
        <v>12</v>
      </c>
      <c r="M2379" s="169" t="s">
        <v>281</v>
      </c>
      <c r="N2379" s="178">
        <v>56782840</v>
      </c>
      <c r="O2379" s="169">
        <v>5100012350</v>
      </c>
    </row>
    <row r="2380" spans="1:17" x14ac:dyDescent="0.2">
      <c r="A2380" s="169" t="str">
        <f t="shared" si="18"/>
        <v>627</v>
      </c>
      <c r="B2380" s="167" t="str">
        <f>_xlfn.XLOOKUP(I2380,Mapping!D:D,Mapping!E:E)</f>
        <v>Xưởng Sản Xuất</v>
      </c>
      <c r="C2380" s="167" t="str">
        <f>_xlfn.XLOOKUP(F2380,Mapping!A:A,Mapping!F:F)</f>
        <v>Thưởng</v>
      </c>
      <c r="D2380" s="173">
        <v>46022</v>
      </c>
      <c r="F2380" s="169" t="s">
        <v>395</v>
      </c>
      <c r="H2380" s="169" t="s">
        <v>402</v>
      </c>
      <c r="I2380" s="169" t="s">
        <v>403</v>
      </c>
      <c r="J2380" s="169" t="s">
        <v>2008</v>
      </c>
      <c r="L2380" s="440">
        <v>12</v>
      </c>
      <c r="M2380" s="169" t="s">
        <v>281</v>
      </c>
      <c r="N2380" s="178">
        <v>371593845</v>
      </c>
      <c r="O2380" s="169">
        <v>5100012350</v>
      </c>
    </row>
    <row r="2381" spans="1:17" x14ac:dyDescent="0.2">
      <c r="A2381" s="169" t="str">
        <f t="shared" si="18"/>
        <v>627</v>
      </c>
      <c r="B2381" s="167" t="str">
        <f>_xlfn.XLOOKUP(I2381,Mapping!D:D,Mapping!E:E)</f>
        <v>Xưởng Sản Xuất</v>
      </c>
      <c r="C2381" s="167" t="str">
        <f>_xlfn.XLOOKUP(F2381,Mapping!A:A,Mapping!F:F)</f>
        <v>Thưởng</v>
      </c>
      <c r="D2381" s="173">
        <v>46022</v>
      </c>
      <c r="F2381" s="169" t="s">
        <v>395</v>
      </c>
      <c r="H2381" s="169" t="s">
        <v>430</v>
      </c>
      <c r="I2381" s="169" t="s">
        <v>431</v>
      </c>
      <c r="J2381" s="169" t="s">
        <v>2008</v>
      </c>
      <c r="L2381" s="440">
        <v>12</v>
      </c>
      <c r="M2381" s="169" t="s">
        <v>281</v>
      </c>
      <c r="N2381" s="178">
        <v>120121383</v>
      </c>
      <c r="O2381" s="169">
        <v>5100012350</v>
      </c>
    </row>
    <row r="2382" spans="1:17" x14ac:dyDescent="0.2">
      <c r="A2382" s="169" t="str">
        <f t="shared" si="18"/>
        <v>627</v>
      </c>
      <c r="B2382" s="167" t="str">
        <f>_xlfn.XLOOKUP(I2382,Mapping!D:D,Mapping!E:E)</f>
        <v>Xưởng Sản Xuất</v>
      </c>
      <c r="C2382" s="167" t="str">
        <f>_xlfn.XLOOKUP(F2382,Mapping!A:A,Mapping!F:F)</f>
        <v>Thưởng</v>
      </c>
      <c r="D2382" s="173">
        <v>46022</v>
      </c>
      <c r="F2382" s="169" t="s">
        <v>395</v>
      </c>
      <c r="H2382" s="169" t="s">
        <v>436</v>
      </c>
      <c r="I2382" s="169" t="s">
        <v>437</v>
      </c>
      <c r="J2382" s="169" t="s">
        <v>2008</v>
      </c>
      <c r="L2382" s="440">
        <v>12</v>
      </c>
      <c r="M2382" s="169" t="s">
        <v>281</v>
      </c>
      <c r="N2382" s="178">
        <v>7035672</v>
      </c>
      <c r="O2382" s="169">
        <v>5100012350</v>
      </c>
    </row>
    <row r="2383" spans="1:17" x14ac:dyDescent="0.2">
      <c r="A2383" s="169" t="str">
        <f t="shared" si="18"/>
        <v>622</v>
      </c>
      <c r="B2383" s="167" t="str">
        <f>_xlfn.XLOOKUP(I2383,Mapping!D:D,Mapping!E:E)</f>
        <v>Xưởng Sản Xuất</v>
      </c>
      <c r="C2383" s="167" t="str">
        <f>_xlfn.XLOOKUP(F2383,Mapping!A:A,Mapping!F:F)</f>
        <v>Lương Chính +T13</v>
      </c>
      <c r="D2383" s="173">
        <v>46022</v>
      </c>
      <c r="F2383" s="169" t="s">
        <v>420</v>
      </c>
      <c r="H2383" s="169" t="s">
        <v>441</v>
      </c>
      <c r="I2383" s="169" t="s">
        <v>442</v>
      </c>
      <c r="J2383" s="169" t="s">
        <v>2008</v>
      </c>
      <c r="L2383" s="440">
        <v>12</v>
      </c>
      <c r="M2383" s="169" t="s">
        <v>281</v>
      </c>
      <c r="N2383" s="178">
        <v>1444947</v>
      </c>
      <c r="O2383" s="169">
        <v>5100012350</v>
      </c>
    </row>
    <row r="2384" spans="1:17" x14ac:dyDescent="0.2">
      <c r="A2384" s="169" t="str">
        <f t="shared" si="18"/>
        <v>622</v>
      </c>
      <c r="B2384" s="167" t="str">
        <f>_xlfn.XLOOKUP(I2384,Mapping!D:D,Mapping!E:E)</f>
        <v>Xưởng Sản Xuất</v>
      </c>
      <c r="C2384" s="167" t="str">
        <f>_xlfn.XLOOKUP(F2384,Mapping!A:A,Mapping!F:F)</f>
        <v>Lương Chính +T13</v>
      </c>
      <c r="D2384" s="173">
        <v>46022</v>
      </c>
      <c r="F2384" s="169" t="s">
        <v>420</v>
      </c>
      <c r="H2384" s="169" t="s">
        <v>402</v>
      </c>
      <c r="I2384" s="169" t="s">
        <v>403</v>
      </c>
      <c r="J2384" s="169" t="s">
        <v>2014</v>
      </c>
      <c r="L2384" s="440">
        <v>12</v>
      </c>
      <c r="M2384" s="169" t="s">
        <v>281</v>
      </c>
      <c r="N2384" s="178">
        <v>165562553</v>
      </c>
      <c r="O2384" s="169">
        <v>5100012354</v>
      </c>
    </row>
    <row r="2385" spans="1:15" x14ac:dyDescent="0.2">
      <c r="A2385" s="169" t="str">
        <f t="shared" si="18"/>
        <v>622</v>
      </c>
      <c r="B2385" s="167" t="str">
        <f>_xlfn.XLOOKUP(I2385,Mapping!D:D,Mapping!E:E)</f>
        <v>Xưởng Sản Xuất</v>
      </c>
      <c r="C2385" s="167" t="str">
        <f>_xlfn.XLOOKUP(F2385,Mapping!A:A,Mapping!F:F)</f>
        <v>Lương Chính +T13</v>
      </c>
      <c r="D2385" s="173">
        <v>46022</v>
      </c>
      <c r="F2385" s="169" t="s">
        <v>420</v>
      </c>
      <c r="H2385" s="169" t="s">
        <v>430</v>
      </c>
      <c r="I2385" s="169" t="s">
        <v>431</v>
      </c>
      <c r="J2385" s="169" t="s">
        <v>2014</v>
      </c>
      <c r="L2385" s="440">
        <v>12</v>
      </c>
      <c r="M2385" s="169" t="s">
        <v>281</v>
      </c>
      <c r="N2385" s="178">
        <v>32229735</v>
      </c>
      <c r="O2385" s="169">
        <v>5100012354</v>
      </c>
    </row>
    <row r="2386" spans="1:15" x14ac:dyDescent="0.2">
      <c r="A2386" s="169" t="str">
        <f t="shared" si="18"/>
        <v>622</v>
      </c>
      <c r="B2386" s="167" t="str">
        <f>_xlfn.XLOOKUP(I2386,Mapping!D:D,Mapping!E:E)</f>
        <v>Xưởng Sản Xuất</v>
      </c>
      <c r="C2386" s="167" t="str">
        <f>_xlfn.XLOOKUP(F2386,Mapping!A:A,Mapping!F:F)</f>
        <v>Lương Chính +T13</v>
      </c>
      <c r="D2386" s="173">
        <v>46022</v>
      </c>
      <c r="F2386" s="169" t="s">
        <v>420</v>
      </c>
      <c r="H2386" s="169" t="s">
        <v>441</v>
      </c>
      <c r="I2386" s="169" t="s">
        <v>442</v>
      </c>
      <c r="J2386" s="169" t="s">
        <v>2014</v>
      </c>
      <c r="L2386" s="440">
        <v>12</v>
      </c>
      <c r="M2386" s="169" t="s">
        <v>281</v>
      </c>
      <c r="N2386" s="178">
        <v>2462769</v>
      </c>
      <c r="O2386" s="169">
        <v>5100012354</v>
      </c>
    </row>
    <row r="2387" spans="1:15" x14ac:dyDescent="0.2">
      <c r="A2387" s="169" t="str">
        <f t="shared" si="18"/>
        <v>627</v>
      </c>
      <c r="B2387" s="167" t="str">
        <f>_xlfn.XLOOKUP(I2387,Mapping!D:D,Mapping!E:E)</f>
        <v>Xưởng Sản Xuất</v>
      </c>
      <c r="C2387" s="167" t="str">
        <f>_xlfn.XLOOKUP(F2387,Mapping!A:A,Mapping!F:F)</f>
        <v>Lương Chính +T13</v>
      </c>
      <c r="D2387" s="173">
        <v>46022</v>
      </c>
      <c r="F2387" s="169" t="s">
        <v>388</v>
      </c>
      <c r="H2387" s="169" t="s">
        <v>402</v>
      </c>
      <c r="I2387" s="169" t="s">
        <v>403</v>
      </c>
      <c r="J2387" s="169" t="s">
        <v>2014</v>
      </c>
      <c r="L2387" s="440">
        <v>12</v>
      </c>
      <c r="M2387" s="169" t="s">
        <v>281</v>
      </c>
      <c r="N2387" s="178">
        <v>12856039</v>
      </c>
      <c r="O2387" s="169">
        <v>5100012354</v>
      </c>
    </row>
    <row r="2388" spans="1:15" x14ac:dyDescent="0.2">
      <c r="A2388" s="169" t="str">
        <f t="shared" si="18"/>
        <v>627</v>
      </c>
      <c r="B2388" s="167" t="str">
        <f>_xlfn.XLOOKUP(I2388,Mapping!D:D,Mapping!E:E)</f>
        <v>Xưởng Sản Xuất</v>
      </c>
      <c r="C2388" s="167" t="str">
        <f>_xlfn.XLOOKUP(F2388,Mapping!A:A,Mapping!F:F)</f>
        <v>Lương Chính +T13</v>
      </c>
      <c r="D2388" s="173">
        <v>46022</v>
      </c>
      <c r="F2388" s="169" t="s">
        <v>388</v>
      </c>
      <c r="H2388" s="169" t="s">
        <v>430</v>
      </c>
      <c r="I2388" s="169" t="s">
        <v>431</v>
      </c>
      <c r="J2388" s="169" t="s">
        <v>2014</v>
      </c>
      <c r="L2388" s="440">
        <v>12</v>
      </c>
      <c r="M2388" s="169" t="s">
        <v>281</v>
      </c>
      <c r="N2388" s="178">
        <v>5729346</v>
      </c>
      <c r="O2388" s="169">
        <v>5100012354</v>
      </c>
    </row>
    <row r="2389" spans="1:15" x14ac:dyDescent="0.2">
      <c r="A2389" s="169" t="str">
        <f t="shared" si="18"/>
        <v>627</v>
      </c>
      <c r="B2389" s="167" t="str">
        <f>_xlfn.XLOOKUP(I2389,Mapping!D:D,Mapping!E:E)</f>
        <v>Xưởng Sản Xuất</v>
      </c>
      <c r="C2389" s="167" t="str">
        <f>_xlfn.XLOOKUP(F2389,Mapping!A:A,Mapping!F:F)</f>
        <v>Lương Chính +T13</v>
      </c>
      <c r="D2389" s="173">
        <v>46022</v>
      </c>
      <c r="F2389" s="169" t="s">
        <v>388</v>
      </c>
      <c r="H2389" s="169" t="s">
        <v>436</v>
      </c>
      <c r="I2389" s="169" t="s">
        <v>437</v>
      </c>
      <c r="J2389" s="169" t="s">
        <v>2014</v>
      </c>
      <c r="L2389" s="440">
        <v>12</v>
      </c>
      <c r="M2389" s="169" t="s">
        <v>281</v>
      </c>
      <c r="N2389" s="178">
        <v>25531482</v>
      </c>
      <c r="O2389" s="169">
        <v>5100012354</v>
      </c>
    </row>
    <row r="2390" spans="1:15" x14ac:dyDescent="0.2">
      <c r="A2390" s="169" t="str">
        <f t="shared" si="18"/>
        <v>627</v>
      </c>
      <c r="B2390" s="167" t="str">
        <f>_xlfn.XLOOKUP(I2390,Mapping!D:D,Mapping!E:E)</f>
        <v>Kỹ Thuật</v>
      </c>
      <c r="C2390" s="167" t="str">
        <f>_xlfn.XLOOKUP(F2390,Mapping!A:A,Mapping!F:F)</f>
        <v>Lương Chính +T13</v>
      </c>
      <c r="D2390" s="173">
        <v>46022</v>
      </c>
      <c r="F2390" s="169" t="s">
        <v>388</v>
      </c>
      <c r="H2390" s="169" t="s">
        <v>376</v>
      </c>
      <c r="I2390" s="169" t="s">
        <v>377</v>
      </c>
      <c r="J2390" s="169" t="s">
        <v>1382</v>
      </c>
      <c r="L2390" s="440">
        <v>12</v>
      </c>
      <c r="M2390" s="169" t="s">
        <v>281</v>
      </c>
      <c r="N2390" s="178">
        <v>16768663</v>
      </c>
      <c r="O2390" s="169">
        <v>5100011373</v>
      </c>
    </row>
    <row r="2391" spans="1:15" x14ac:dyDescent="0.2">
      <c r="A2391" s="169" t="str">
        <f t="shared" si="18"/>
        <v>627</v>
      </c>
      <c r="B2391" s="167" t="str">
        <f>_xlfn.XLOOKUP(I2391,Mapping!D:D,Mapping!E:E)</f>
        <v>Kiểm Soát Chất Lượng</v>
      </c>
      <c r="C2391" s="167" t="str">
        <f>_xlfn.XLOOKUP(F2391,Mapping!A:A,Mapping!F:F)</f>
        <v>Lương Chính +T13</v>
      </c>
      <c r="D2391" s="173">
        <v>46022</v>
      </c>
      <c r="F2391" s="169" t="s">
        <v>388</v>
      </c>
      <c r="H2391" s="169" t="s">
        <v>411</v>
      </c>
      <c r="I2391" s="169" t="s">
        <v>412</v>
      </c>
      <c r="J2391" s="169" t="s">
        <v>1382</v>
      </c>
      <c r="L2391" s="440">
        <v>12</v>
      </c>
      <c r="M2391" s="169" t="s">
        <v>281</v>
      </c>
      <c r="N2391" s="178">
        <v>-54606583</v>
      </c>
      <c r="O2391" s="169">
        <v>5100011373</v>
      </c>
    </row>
    <row r="2392" spans="1:15" x14ac:dyDescent="0.2">
      <c r="A2392" s="169" t="str">
        <f t="shared" si="18"/>
        <v>627</v>
      </c>
      <c r="B2392" s="167" t="str">
        <f>_xlfn.XLOOKUP(I2392,Mapping!D:D,Mapping!E:E)</f>
        <v>Nghiên Cứu &amp; Phát Triển</v>
      </c>
      <c r="C2392" s="167" t="str">
        <f>_xlfn.XLOOKUP(F2392,Mapping!A:A,Mapping!F:F)</f>
        <v>Lương Chính +T13</v>
      </c>
      <c r="D2392" s="173">
        <v>46022</v>
      </c>
      <c r="F2392" s="169" t="s">
        <v>388</v>
      </c>
      <c r="H2392" s="169" t="s">
        <v>418</v>
      </c>
      <c r="I2392" s="169" t="s">
        <v>419</v>
      </c>
      <c r="J2392" s="169" t="s">
        <v>1382</v>
      </c>
      <c r="L2392" s="440">
        <v>12</v>
      </c>
      <c r="M2392" s="169" t="s">
        <v>281</v>
      </c>
      <c r="N2392" s="178">
        <v>18877500</v>
      </c>
      <c r="O2392" s="169">
        <v>5100011373</v>
      </c>
    </row>
    <row r="2393" spans="1:15" x14ac:dyDescent="0.2">
      <c r="A2393" s="169" t="str">
        <f t="shared" si="18"/>
        <v>622</v>
      </c>
      <c r="B2393" s="167" t="str">
        <f>_xlfn.XLOOKUP(I2393,Mapping!D:D,Mapping!E:E)</f>
        <v>Xưởng Sản Xuất</v>
      </c>
      <c r="C2393" s="167" t="str">
        <f>_xlfn.XLOOKUP(F2393,Mapping!A:A,Mapping!F:F)</f>
        <v>Lương Chính +T13</v>
      </c>
      <c r="D2393" s="173">
        <v>46022</v>
      </c>
      <c r="F2393" s="169" t="s">
        <v>420</v>
      </c>
      <c r="H2393" s="169" t="s">
        <v>402</v>
      </c>
      <c r="I2393" s="169" t="s">
        <v>403</v>
      </c>
      <c r="J2393" s="169" t="s">
        <v>1382</v>
      </c>
      <c r="L2393" s="440">
        <v>12</v>
      </c>
      <c r="M2393" s="169" t="s">
        <v>281</v>
      </c>
      <c r="N2393" s="178">
        <v>-361768148</v>
      </c>
      <c r="O2393" s="169">
        <v>5100011373</v>
      </c>
    </row>
    <row r="2394" spans="1:15" x14ac:dyDescent="0.2">
      <c r="A2394" s="169" t="str">
        <f t="shared" si="18"/>
        <v>622</v>
      </c>
      <c r="B2394" s="167" t="str">
        <f>_xlfn.XLOOKUP(I2394,Mapping!D:D,Mapping!E:E)</f>
        <v>Xưởng Sản Xuất</v>
      </c>
      <c r="C2394" s="167" t="str">
        <f>_xlfn.XLOOKUP(F2394,Mapping!A:A,Mapping!F:F)</f>
        <v>Lương Chính +T13</v>
      </c>
      <c r="D2394" s="173">
        <v>46022</v>
      </c>
      <c r="F2394" s="169" t="s">
        <v>420</v>
      </c>
      <c r="H2394" s="169" t="s">
        <v>430</v>
      </c>
      <c r="I2394" s="169" t="s">
        <v>431</v>
      </c>
      <c r="J2394" s="169" t="s">
        <v>1382</v>
      </c>
      <c r="L2394" s="440">
        <v>12</v>
      </c>
      <c r="M2394" s="169" t="s">
        <v>281</v>
      </c>
      <c r="N2394" s="178">
        <v>-82055123</v>
      </c>
      <c r="O2394" s="169">
        <v>5100011373</v>
      </c>
    </row>
    <row r="2395" spans="1:15" x14ac:dyDescent="0.2">
      <c r="A2395" s="169" t="str">
        <f t="shared" si="18"/>
        <v>627</v>
      </c>
      <c r="B2395" s="167" t="str">
        <f>_xlfn.XLOOKUP(I2395,Mapping!D:D,Mapping!E:E)</f>
        <v>Xưởng Sản Xuất</v>
      </c>
      <c r="C2395" s="167" t="str">
        <f>_xlfn.XLOOKUP(F2395,Mapping!A:A,Mapping!F:F)</f>
        <v>Lương Chính +T13</v>
      </c>
      <c r="D2395" s="173">
        <v>46022</v>
      </c>
      <c r="F2395" s="169" t="s">
        <v>388</v>
      </c>
      <c r="H2395" s="169" t="s">
        <v>436</v>
      </c>
      <c r="I2395" s="169" t="s">
        <v>437</v>
      </c>
      <c r="J2395" s="169" t="s">
        <v>1382</v>
      </c>
      <c r="L2395" s="440">
        <v>12</v>
      </c>
      <c r="M2395" s="169" t="s">
        <v>281</v>
      </c>
      <c r="N2395" s="178">
        <v>-113748266</v>
      </c>
      <c r="O2395" s="169">
        <v>5100011373</v>
      </c>
    </row>
    <row r="2396" spans="1:15" x14ac:dyDescent="0.2">
      <c r="A2396" s="169" t="str">
        <f t="shared" si="18"/>
        <v>622</v>
      </c>
      <c r="B2396" s="167" t="str">
        <f>_xlfn.XLOOKUP(I2396,Mapping!D:D,Mapping!E:E)</f>
        <v>Xưởng Sản Xuất</v>
      </c>
      <c r="C2396" s="167" t="str">
        <f>_xlfn.XLOOKUP(F2396,Mapping!A:A,Mapping!F:F)</f>
        <v>Lương Chính +T13</v>
      </c>
      <c r="D2396" s="173">
        <v>46022</v>
      </c>
      <c r="F2396" s="169" t="s">
        <v>420</v>
      </c>
      <c r="H2396" s="169" t="s">
        <v>441</v>
      </c>
      <c r="I2396" s="169" t="s">
        <v>442</v>
      </c>
      <c r="J2396" s="169" t="s">
        <v>1382</v>
      </c>
      <c r="L2396" s="440">
        <v>12</v>
      </c>
      <c r="M2396" s="169" t="s">
        <v>281</v>
      </c>
      <c r="N2396" s="178">
        <v>-3997123</v>
      </c>
      <c r="O2396" s="169">
        <v>5100011373</v>
      </c>
    </row>
  </sheetData>
  <autoFilter ref="A2:T2376" xr:uid="{A95656F1-EBF0-45F7-8115-ADCAF8E1B5AE}"/>
  <conditionalFormatting sqref="D3:J3">
    <cfRule type="timePeriod" dxfId="6" priority="2" timePeriod="lastMonth">
      <formula>AND(MONTH(D3)=MONTH(EDATE(TODAY(),0-1)),YEAR(D3)=YEAR(EDATE(TODAY(),0-1)))</formula>
    </cfRule>
  </conditionalFormatting>
  <conditionalFormatting sqref="D211:J212">
    <cfRule type="timePeriod" dxfId="5" priority="1" timePeriod="lastMonth">
      <formula>AND(MONTH(D211)=MONTH(EDATE(TODAY(),0-1)),YEAR(D211)=YEAR(EDATE(TODAY(),0-1)))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7928-67FA-4F74-BFC1-F051E438DB96}">
  <dimension ref="A1:F631"/>
  <sheetViews>
    <sheetView workbookViewId="0">
      <pane xSplit="2" ySplit="1" topLeftCell="C131" activePane="bottomRight" state="frozen"/>
      <selection pane="topRight" activeCell="C1" sqref="C1"/>
      <selection pane="bottomLeft" activeCell="A2" sqref="A2"/>
      <selection pane="bottomRight" activeCell="E143" sqref="E143"/>
    </sheetView>
  </sheetViews>
  <sheetFormatPr defaultRowHeight="15" x14ac:dyDescent="0.25"/>
  <cols>
    <col min="1" max="1" width="11.7109375" style="169" bestFit="1" customWidth="1"/>
    <col min="2" max="2" width="19.42578125" style="169" bestFit="1" customWidth="1"/>
    <col min="3" max="3" width="10.7109375" style="169" customWidth="1"/>
    <col min="4" max="4" width="19.28515625" style="169" bestFit="1" customWidth="1"/>
    <col min="5" max="5" width="19.28515625" style="167" bestFit="1" customWidth="1"/>
    <col min="6" max="6" width="17.42578125" style="167" bestFit="1" customWidth="1"/>
  </cols>
  <sheetData>
    <row r="1" spans="1:6" x14ac:dyDescent="0.25">
      <c r="A1" s="171" t="s">
        <v>258</v>
      </c>
      <c r="B1" s="171" t="s">
        <v>259</v>
      </c>
      <c r="C1" s="171" t="s">
        <v>260</v>
      </c>
      <c r="D1" s="171" t="s">
        <v>261</v>
      </c>
      <c r="E1" s="168" t="s">
        <v>11</v>
      </c>
      <c r="F1" s="168" t="s">
        <v>628</v>
      </c>
    </row>
    <row r="2" spans="1:6" x14ac:dyDescent="0.25">
      <c r="A2" s="174" t="s">
        <v>274</v>
      </c>
      <c r="B2" s="174" t="s">
        <v>275</v>
      </c>
      <c r="C2" s="174" t="s">
        <v>276</v>
      </c>
      <c r="D2" s="174" t="s">
        <v>277</v>
      </c>
      <c r="E2" s="168" t="s">
        <v>0</v>
      </c>
      <c r="F2" s="168" t="s">
        <v>22</v>
      </c>
    </row>
    <row r="3" spans="1:6" x14ac:dyDescent="0.25">
      <c r="A3" s="174" t="s">
        <v>285</v>
      </c>
      <c r="B3" s="174" t="s">
        <v>286</v>
      </c>
      <c r="C3" s="174" t="s">
        <v>276</v>
      </c>
      <c r="D3" s="174" t="s">
        <v>277</v>
      </c>
      <c r="E3" s="168" t="s">
        <v>0</v>
      </c>
      <c r="F3" s="168" t="s">
        <v>22</v>
      </c>
    </row>
    <row r="4" spans="1:6" x14ac:dyDescent="0.25">
      <c r="A4" s="174" t="s">
        <v>290</v>
      </c>
      <c r="B4" s="174" t="s">
        <v>291</v>
      </c>
      <c r="C4" s="174" t="s">
        <v>276</v>
      </c>
      <c r="D4" s="174" t="s">
        <v>277</v>
      </c>
      <c r="E4" s="168" t="s">
        <v>0</v>
      </c>
      <c r="F4" s="168" t="s">
        <v>24</v>
      </c>
    </row>
    <row r="5" spans="1:6" x14ac:dyDescent="0.25">
      <c r="A5" s="174" t="s">
        <v>292</v>
      </c>
      <c r="B5" s="174" t="s">
        <v>77</v>
      </c>
      <c r="C5" s="174" t="s">
        <v>276</v>
      </c>
      <c r="D5" s="174" t="s">
        <v>277</v>
      </c>
      <c r="E5" s="168" t="s">
        <v>0</v>
      </c>
      <c r="F5" s="168" t="s">
        <v>24</v>
      </c>
    </row>
    <row r="6" spans="1:6" x14ac:dyDescent="0.25">
      <c r="A6" s="174" t="s">
        <v>295</v>
      </c>
      <c r="B6" s="174" t="s">
        <v>296</v>
      </c>
      <c r="C6" s="174" t="s">
        <v>276</v>
      </c>
      <c r="D6" s="174" t="s">
        <v>277</v>
      </c>
      <c r="E6" s="168" t="s">
        <v>0</v>
      </c>
      <c r="F6" s="168" t="s">
        <v>170</v>
      </c>
    </row>
    <row r="7" spans="1:6" x14ac:dyDescent="0.25">
      <c r="A7" s="174" t="s">
        <v>300</v>
      </c>
      <c r="B7" s="174" t="s">
        <v>222</v>
      </c>
      <c r="C7" s="174" t="s">
        <v>301</v>
      </c>
      <c r="D7" s="174" t="s">
        <v>302</v>
      </c>
      <c r="E7" s="168" t="s">
        <v>9</v>
      </c>
      <c r="F7" s="168" t="s">
        <v>222</v>
      </c>
    </row>
    <row r="8" spans="1:6" x14ac:dyDescent="0.25">
      <c r="A8" s="174" t="s">
        <v>300</v>
      </c>
      <c r="B8" s="174" t="s">
        <v>222</v>
      </c>
      <c r="C8" s="174" t="s">
        <v>320</v>
      </c>
      <c r="D8" s="174" t="s">
        <v>321</v>
      </c>
      <c r="E8" s="168" t="s">
        <v>5</v>
      </c>
      <c r="F8" s="168" t="s">
        <v>222</v>
      </c>
    </row>
    <row r="9" spans="1:6" x14ac:dyDescent="0.25">
      <c r="A9" s="174" t="s">
        <v>274</v>
      </c>
      <c r="B9" s="174" t="s">
        <v>275</v>
      </c>
      <c r="C9" s="174" t="s">
        <v>301</v>
      </c>
      <c r="D9" s="174" t="s">
        <v>302</v>
      </c>
      <c r="E9" s="168" t="s">
        <v>9</v>
      </c>
      <c r="F9" s="168" t="s">
        <v>22</v>
      </c>
    </row>
    <row r="10" spans="1:6" x14ac:dyDescent="0.25">
      <c r="A10" s="174" t="s">
        <v>335</v>
      </c>
      <c r="B10" s="174" t="s">
        <v>336</v>
      </c>
      <c r="C10" s="174" t="s">
        <v>301</v>
      </c>
      <c r="D10" s="174" t="s">
        <v>302</v>
      </c>
      <c r="E10" s="168" t="s">
        <v>9</v>
      </c>
      <c r="F10" s="168" t="s">
        <v>25</v>
      </c>
    </row>
    <row r="11" spans="1:6" x14ac:dyDescent="0.25">
      <c r="A11" s="174" t="s">
        <v>335</v>
      </c>
      <c r="B11" s="174" t="s">
        <v>336</v>
      </c>
      <c r="C11" s="174" t="s">
        <v>320</v>
      </c>
      <c r="D11" s="174" t="s">
        <v>321</v>
      </c>
      <c r="E11" s="168" t="s">
        <v>5</v>
      </c>
      <c r="F11" s="168" t="s">
        <v>25</v>
      </c>
    </row>
    <row r="12" spans="1:6" x14ac:dyDescent="0.25">
      <c r="A12" s="174" t="s">
        <v>274</v>
      </c>
      <c r="B12" s="174" t="s">
        <v>275</v>
      </c>
      <c r="C12" s="174" t="s">
        <v>320</v>
      </c>
      <c r="D12" s="174" t="s">
        <v>321</v>
      </c>
      <c r="E12" s="168" t="s">
        <v>5</v>
      </c>
      <c r="F12" s="168" t="s">
        <v>22</v>
      </c>
    </row>
    <row r="13" spans="1:6" x14ac:dyDescent="0.25">
      <c r="A13" s="174" t="s">
        <v>285</v>
      </c>
      <c r="B13" s="174" t="s">
        <v>286</v>
      </c>
      <c r="C13" s="174" t="s">
        <v>320</v>
      </c>
      <c r="D13" s="174" t="s">
        <v>321</v>
      </c>
      <c r="E13" s="168" t="s">
        <v>5</v>
      </c>
      <c r="F13" s="168" t="s">
        <v>22</v>
      </c>
    </row>
    <row r="14" spans="1:6" x14ac:dyDescent="0.25">
      <c r="A14" s="174" t="s">
        <v>290</v>
      </c>
      <c r="B14" s="174" t="s">
        <v>291</v>
      </c>
      <c r="C14" s="174" t="s">
        <v>320</v>
      </c>
      <c r="D14" s="174" t="s">
        <v>321</v>
      </c>
      <c r="E14" s="168" t="s">
        <v>5</v>
      </c>
      <c r="F14" s="168" t="s">
        <v>24</v>
      </c>
    </row>
    <row r="15" spans="1:6" x14ac:dyDescent="0.25">
      <c r="A15" s="174" t="s">
        <v>340</v>
      </c>
      <c r="B15" s="174" t="s">
        <v>341</v>
      </c>
      <c r="C15" s="174" t="s">
        <v>301</v>
      </c>
      <c r="D15" s="174" t="s">
        <v>302</v>
      </c>
      <c r="E15" s="168" t="s">
        <v>9</v>
      </c>
      <c r="F15" s="168" t="s">
        <v>25</v>
      </c>
    </row>
    <row r="16" spans="1:6" x14ac:dyDescent="0.25">
      <c r="A16" s="174" t="s">
        <v>285</v>
      </c>
      <c r="B16" s="174" t="s">
        <v>286</v>
      </c>
      <c r="C16" s="174" t="s">
        <v>301</v>
      </c>
      <c r="D16" s="174" t="s">
        <v>302</v>
      </c>
      <c r="E16" s="168" t="s">
        <v>9</v>
      </c>
      <c r="F16" s="168" t="s">
        <v>22</v>
      </c>
    </row>
    <row r="17" spans="1:6" x14ac:dyDescent="0.25">
      <c r="A17" s="174" t="s">
        <v>342</v>
      </c>
      <c r="B17" s="174" t="s">
        <v>343</v>
      </c>
      <c r="C17" s="174" t="s">
        <v>301</v>
      </c>
      <c r="D17" s="174" t="s">
        <v>302</v>
      </c>
      <c r="E17" s="168" t="s">
        <v>9</v>
      </c>
      <c r="F17" s="168" t="s">
        <v>23</v>
      </c>
    </row>
    <row r="18" spans="1:6" x14ac:dyDescent="0.25">
      <c r="A18" s="174" t="s">
        <v>290</v>
      </c>
      <c r="B18" s="174" t="s">
        <v>291</v>
      </c>
      <c r="C18" s="174" t="s">
        <v>301</v>
      </c>
      <c r="D18" s="174" t="s">
        <v>302</v>
      </c>
      <c r="E18" s="168" t="s">
        <v>9</v>
      </c>
      <c r="F18" s="168" t="s">
        <v>24</v>
      </c>
    </row>
    <row r="19" spans="1:6" x14ac:dyDescent="0.25">
      <c r="A19" s="174" t="s">
        <v>295</v>
      </c>
      <c r="B19" s="174" t="s">
        <v>296</v>
      </c>
      <c r="C19" s="174" t="s">
        <v>320</v>
      </c>
      <c r="D19" s="174" t="s">
        <v>321</v>
      </c>
      <c r="E19" s="168" t="s">
        <v>5</v>
      </c>
      <c r="F19" s="168" t="s">
        <v>170</v>
      </c>
    </row>
    <row r="20" spans="1:6" x14ac:dyDescent="0.25">
      <c r="A20" s="174" t="s">
        <v>295</v>
      </c>
      <c r="B20" s="174" t="s">
        <v>296</v>
      </c>
      <c r="C20" s="174" t="s">
        <v>301</v>
      </c>
      <c r="D20" s="174" t="s">
        <v>302</v>
      </c>
      <c r="E20" s="168" t="s">
        <v>9</v>
      </c>
      <c r="F20" s="168" t="s">
        <v>170</v>
      </c>
    </row>
    <row r="21" spans="1:6" x14ac:dyDescent="0.25">
      <c r="A21" s="174" t="s">
        <v>292</v>
      </c>
      <c r="B21" s="174" t="s">
        <v>77</v>
      </c>
      <c r="C21" s="174" t="s">
        <v>320</v>
      </c>
      <c r="D21" s="174" t="s">
        <v>321</v>
      </c>
      <c r="E21" s="168" t="s">
        <v>5</v>
      </c>
      <c r="F21" s="168" t="s">
        <v>24</v>
      </c>
    </row>
    <row r="22" spans="1:6" x14ac:dyDescent="0.25">
      <c r="A22" s="174" t="s">
        <v>292</v>
      </c>
      <c r="B22" s="174" t="s">
        <v>77</v>
      </c>
      <c r="C22" s="174" t="s">
        <v>301</v>
      </c>
      <c r="D22" s="174" t="s">
        <v>302</v>
      </c>
      <c r="E22" s="168" t="s">
        <v>9</v>
      </c>
      <c r="F22" s="168" t="s">
        <v>24</v>
      </c>
    </row>
    <row r="23" spans="1:6" x14ac:dyDescent="0.25">
      <c r="A23" s="174" t="s">
        <v>335</v>
      </c>
      <c r="B23" s="174" t="s">
        <v>336</v>
      </c>
      <c r="C23" s="174" t="s">
        <v>356</v>
      </c>
      <c r="D23" s="174" t="s">
        <v>357</v>
      </c>
      <c r="E23" s="168" t="s">
        <v>3</v>
      </c>
      <c r="F23" s="168" t="s">
        <v>25</v>
      </c>
    </row>
    <row r="24" spans="1:6" x14ac:dyDescent="0.25">
      <c r="A24" s="174" t="s">
        <v>335</v>
      </c>
      <c r="B24" s="174" t="s">
        <v>336</v>
      </c>
      <c r="C24" s="174" t="s">
        <v>358</v>
      </c>
      <c r="D24" s="174" t="s">
        <v>359</v>
      </c>
      <c r="E24" s="168" t="s">
        <v>9</v>
      </c>
      <c r="F24" s="168" t="s">
        <v>25</v>
      </c>
    </row>
    <row r="25" spans="1:6" x14ac:dyDescent="0.25">
      <c r="A25" s="174" t="s">
        <v>274</v>
      </c>
      <c r="B25" s="174" t="s">
        <v>275</v>
      </c>
      <c r="C25" s="174" t="s">
        <v>356</v>
      </c>
      <c r="D25" s="174" t="s">
        <v>357</v>
      </c>
      <c r="E25" s="168" t="s">
        <v>3</v>
      </c>
      <c r="F25" s="168" t="s">
        <v>22</v>
      </c>
    </row>
    <row r="26" spans="1:6" x14ac:dyDescent="0.25">
      <c r="A26" s="174" t="s">
        <v>285</v>
      </c>
      <c r="B26" s="174" t="s">
        <v>286</v>
      </c>
      <c r="C26" s="174" t="s">
        <v>356</v>
      </c>
      <c r="D26" s="174" t="s">
        <v>357</v>
      </c>
      <c r="E26" s="168" t="s">
        <v>3</v>
      </c>
      <c r="F26" s="168" t="s">
        <v>22</v>
      </c>
    </row>
    <row r="27" spans="1:6" x14ac:dyDescent="0.25">
      <c r="A27" s="174" t="s">
        <v>342</v>
      </c>
      <c r="B27" s="174" t="s">
        <v>343</v>
      </c>
      <c r="C27" s="174" t="s">
        <v>356</v>
      </c>
      <c r="D27" s="174" t="s">
        <v>357</v>
      </c>
      <c r="E27" s="168" t="s">
        <v>3</v>
      </c>
      <c r="F27" s="168" t="s">
        <v>23</v>
      </c>
    </row>
    <row r="28" spans="1:6" x14ac:dyDescent="0.25">
      <c r="A28" s="174" t="s">
        <v>290</v>
      </c>
      <c r="B28" s="174" t="s">
        <v>291</v>
      </c>
      <c r="C28" s="174" t="s">
        <v>356</v>
      </c>
      <c r="D28" s="174" t="s">
        <v>357</v>
      </c>
      <c r="E28" s="168" t="s">
        <v>3</v>
      </c>
      <c r="F28" s="168" t="s">
        <v>24</v>
      </c>
    </row>
    <row r="29" spans="1:6" x14ac:dyDescent="0.25">
      <c r="A29" s="174" t="s">
        <v>274</v>
      </c>
      <c r="B29" s="174" t="s">
        <v>275</v>
      </c>
      <c r="C29" s="174" t="s">
        <v>358</v>
      </c>
      <c r="D29" s="174" t="s">
        <v>359</v>
      </c>
      <c r="E29" s="168" t="s">
        <v>9</v>
      </c>
      <c r="F29" s="168" t="s">
        <v>22</v>
      </c>
    </row>
    <row r="30" spans="1:6" x14ac:dyDescent="0.25">
      <c r="A30" s="174" t="s">
        <v>285</v>
      </c>
      <c r="B30" s="174" t="s">
        <v>286</v>
      </c>
      <c r="C30" s="174" t="s">
        <v>358</v>
      </c>
      <c r="D30" s="174" t="s">
        <v>359</v>
      </c>
      <c r="E30" s="168" t="s">
        <v>9</v>
      </c>
      <c r="F30" s="168" t="s">
        <v>22</v>
      </c>
    </row>
    <row r="31" spans="1:6" x14ac:dyDescent="0.25">
      <c r="A31" s="174" t="s">
        <v>290</v>
      </c>
      <c r="B31" s="174" t="s">
        <v>291</v>
      </c>
      <c r="C31" s="174" t="s">
        <v>358</v>
      </c>
      <c r="D31" s="174" t="s">
        <v>359</v>
      </c>
      <c r="E31" s="168" t="s">
        <v>9</v>
      </c>
      <c r="F31" s="168" t="s">
        <v>24</v>
      </c>
    </row>
    <row r="32" spans="1:6" x14ac:dyDescent="0.25">
      <c r="A32" s="174" t="s">
        <v>295</v>
      </c>
      <c r="B32" s="174" t="s">
        <v>296</v>
      </c>
      <c r="C32" s="174" t="s">
        <v>356</v>
      </c>
      <c r="D32" s="174" t="s">
        <v>357</v>
      </c>
      <c r="E32" s="168" t="s">
        <v>3</v>
      </c>
      <c r="F32" s="168" t="s">
        <v>170</v>
      </c>
    </row>
    <row r="33" spans="1:6" x14ac:dyDescent="0.25">
      <c r="A33" s="174" t="s">
        <v>295</v>
      </c>
      <c r="B33" s="174" t="s">
        <v>296</v>
      </c>
      <c r="C33" s="174" t="s">
        <v>358</v>
      </c>
      <c r="D33" s="174" t="s">
        <v>359</v>
      </c>
      <c r="E33" s="168" t="s">
        <v>9</v>
      </c>
      <c r="F33" s="168" t="s">
        <v>170</v>
      </c>
    </row>
    <row r="34" spans="1:6" x14ac:dyDescent="0.25">
      <c r="A34" s="174" t="s">
        <v>292</v>
      </c>
      <c r="B34" s="174" t="s">
        <v>77</v>
      </c>
      <c r="C34" s="174" t="s">
        <v>356</v>
      </c>
      <c r="D34" s="174" t="s">
        <v>357</v>
      </c>
      <c r="E34" s="168" t="s">
        <v>3</v>
      </c>
      <c r="F34" s="168" t="s">
        <v>24</v>
      </c>
    </row>
    <row r="35" spans="1:6" x14ac:dyDescent="0.25">
      <c r="A35" s="174" t="s">
        <v>292</v>
      </c>
      <c r="B35" s="174" t="s">
        <v>77</v>
      </c>
      <c r="C35" s="174" t="s">
        <v>358</v>
      </c>
      <c r="D35" s="174" t="s">
        <v>359</v>
      </c>
      <c r="E35" s="168" t="s">
        <v>9</v>
      </c>
      <c r="F35" s="168" t="s">
        <v>24</v>
      </c>
    </row>
    <row r="36" spans="1:6" x14ac:dyDescent="0.25">
      <c r="A36" s="174" t="s">
        <v>300</v>
      </c>
      <c r="B36" s="174" t="s">
        <v>222</v>
      </c>
      <c r="C36" s="174" t="s">
        <v>358</v>
      </c>
      <c r="D36" s="174" t="s">
        <v>359</v>
      </c>
      <c r="E36" s="168" t="s">
        <v>9</v>
      </c>
      <c r="F36" s="168" t="s">
        <v>222</v>
      </c>
    </row>
    <row r="37" spans="1:6" x14ac:dyDescent="0.25">
      <c r="A37" s="174" t="s">
        <v>365</v>
      </c>
      <c r="B37" s="174" t="s">
        <v>291</v>
      </c>
      <c r="C37" s="174" t="s">
        <v>366</v>
      </c>
      <c r="D37" s="174" t="s">
        <v>1</v>
      </c>
      <c r="E37" s="168" t="s">
        <v>1</v>
      </c>
      <c r="F37" s="168" t="s">
        <v>24</v>
      </c>
    </row>
    <row r="38" spans="1:6" x14ac:dyDescent="0.25">
      <c r="A38" s="174" t="s">
        <v>375</v>
      </c>
      <c r="B38" s="174" t="s">
        <v>336</v>
      </c>
      <c r="C38" s="174" t="s">
        <v>376</v>
      </c>
      <c r="D38" s="174" t="s">
        <v>377</v>
      </c>
      <c r="E38" s="168" t="s">
        <v>7</v>
      </c>
      <c r="F38" s="168" t="s">
        <v>25</v>
      </c>
    </row>
    <row r="39" spans="1:6" x14ac:dyDescent="0.25">
      <c r="A39" s="174" t="s">
        <v>335</v>
      </c>
      <c r="B39" s="174" t="s">
        <v>336</v>
      </c>
      <c r="C39" s="174" t="s">
        <v>378</v>
      </c>
      <c r="D39" s="174" t="s">
        <v>379</v>
      </c>
      <c r="E39" s="168" t="s">
        <v>2</v>
      </c>
      <c r="F39" s="168" t="s">
        <v>25</v>
      </c>
    </row>
    <row r="40" spans="1:6" x14ac:dyDescent="0.25">
      <c r="A40" s="174" t="s">
        <v>335</v>
      </c>
      <c r="B40" s="174" t="s">
        <v>336</v>
      </c>
      <c r="C40" s="174" t="s">
        <v>380</v>
      </c>
      <c r="D40" s="174" t="s">
        <v>381</v>
      </c>
      <c r="E40" s="168" t="s">
        <v>10</v>
      </c>
      <c r="F40" s="168" t="s">
        <v>25</v>
      </c>
    </row>
    <row r="41" spans="1:6" x14ac:dyDescent="0.25">
      <c r="A41" s="174" t="s">
        <v>335</v>
      </c>
      <c r="B41" s="174" t="s">
        <v>336</v>
      </c>
      <c r="C41" s="174" t="s">
        <v>382</v>
      </c>
      <c r="D41" s="174" t="s">
        <v>200</v>
      </c>
      <c r="E41" s="168" t="s">
        <v>9</v>
      </c>
      <c r="F41" s="168" t="s">
        <v>25</v>
      </c>
    </row>
    <row r="42" spans="1:6" x14ac:dyDescent="0.25">
      <c r="A42" s="174" t="s">
        <v>383</v>
      </c>
      <c r="B42" s="174" t="s">
        <v>275</v>
      </c>
      <c r="C42" s="174" t="s">
        <v>366</v>
      </c>
      <c r="D42" s="174" t="s">
        <v>1</v>
      </c>
      <c r="E42" s="168" t="s">
        <v>1</v>
      </c>
      <c r="F42" s="168" t="s">
        <v>22</v>
      </c>
    </row>
    <row r="43" spans="1:6" x14ac:dyDescent="0.25">
      <c r="A43" s="174" t="s">
        <v>384</v>
      </c>
      <c r="B43" s="174" t="s">
        <v>286</v>
      </c>
      <c r="C43" s="174" t="s">
        <v>366</v>
      </c>
      <c r="D43" s="174" t="s">
        <v>1</v>
      </c>
      <c r="E43" s="168" t="s">
        <v>1</v>
      </c>
      <c r="F43" s="168" t="s">
        <v>22</v>
      </c>
    </row>
    <row r="44" spans="1:6" x14ac:dyDescent="0.25">
      <c r="A44" s="174" t="s">
        <v>385</v>
      </c>
      <c r="B44" s="174" t="s">
        <v>336</v>
      </c>
      <c r="C44" s="174" t="s">
        <v>366</v>
      </c>
      <c r="D44" s="174" t="s">
        <v>1</v>
      </c>
      <c r="E44" s="168" t="s">
        <v>1</v>
      </c>
      <c r="F44" s="168" t="s">
        <v>25</v>
      </c>
    </row>
    <row r="45" spans="1:6" x14ac:dyDescent="0.25">
      <c r="A45" s="174" t="s">
        <v>274</v>
      </c>
      <c r="B45" s="174" t="s">
        <v>275</v>
      </c>
      <c r="C45" s="174" t="s">
        <v>380</v>
      </c>
      <c r="D45" s="174" t="s">
        <v>381</v>
      </c>
      <c r="E45" s="168" t="s">
        <v>10</v>
      </c>
      <c r="F45" s="168" t="s">
        <v>22</v>
      </c>
    </row>
    <row r="46" spans="1:6" x14ac:dyDescent="0.25">
      <c r="A46" s="174" t="s">
        <v>285</v>
      </c>
      <c r="B46" s="174" t="s">
        <v>286</v>
      </c>
      <c r="C46" s="174" t="s">
        <v>380</v>
      </c>
      <c r="D46" s="174" t="s">
        <v>381</v>
      </c>
      <c r="E46" s="168" t="s">
        <v>10</v>
      </c>
      <c r="F46" s="168" t="s">
        <v>22</v>
      </c>
    </row>
    <row r="47" spans="1:6" x14ac:dyDescent="0.25">
      <c r="A47" s="174" t="s">
        <v>290</v>
      </c>
      <c r="B47" s="174" t="s">
        <v>291</v>
      </c>
      <c r="C47" s="174" t="s">
        <v>380</v>
      </c>
      <c r="D47" s="174" t="s">
        <v>381</v>
      </c>
      <c r="E47" s="168" t="s">
        <v>10</v>
      </c>
      <c r="F47" s="168" t="s">
        <v>24</v>
      </c>
    </row>
    <row r="48" spans="1:6" x14ac:dyDescent="0.25">
      <c r="A48" s="174" t="s">
        <v>274</v>
      </c>
      <c r="B48" s="174" t="s">
        <v>275</v>
      </c>
      <c r="C48" s="174" t="s">
        <v>378</v>
      </c>
      <c r="D48" s="174" t="s">
        <v>379</v>
      </c>
      <c r="E48" s="168" t="s">
        <v>2</v>
      </c>
      <c r="F48" s="168" t="s">
        <v>22</v>
      </c>
    </row>
    <row r="49" spans="1:6" x14ac:dyDescent="0.25">
      <c r="A49" s="174" t="s">
        <v>285</v>
      </c>
      <c r="B49" s="174" t="s">
        <v>286</v>
      </c>
      <c r="C49" s="174" t="s">
        <v>378</v>
      </c>
      <c r="D49" s="174" t="s">
        <v>379</v>
      </c>
      <c r="E49" s="168" t="s">
        <v>2</v>
      </c>
      <c r="F49" s="168" t="s">
        <v>22</v>
      </c>
    </row>
    <row r="50" spans="1:6" x14ac:dyDescent="0.25">
      <c r="A50" s="174" t="s">
        <v>290</v>
      </c>
      <c r="B50" s="174" t="s">
        <v>291</v>
      </c>
      <c r="C50" s="174" t="s">
        <v>378</v>
      </c>
      <c r="D50" s="174" t="s">
        <v>379</v>
      </c>
      <c r="E50" s="168" t="s">
        <v>2</v>
      </c>
      <c r="F50" s="168" t="s">
        <v>24</v>
      </c>
    </row>
    <row r="51" spans="1:6" x14ac:dyDescent="0.25">
      <c r="A51" s="174" t="s">
        <v>386</v>
      </c>
      <c r="B51" s="174" t="s">
        <v>341</v>
      </c>
      <c r="C51" s="174" t="s">
        <v>376</v>
      </c>
      <c r="D51" s="174" t="s">
        <v>377</v>
      </c>
      <c r="E51" s="168" t="s">
        <v>7</v>
      </c>
      <c r="F51" s="168" t="s">
        <v>25</v>
      </c>
    </row>
    <row r="52" spans="1:6" x14ac:dyDescent="0.25">
      <c r="A52" s="174" t="s">
        <v>387</v>
      </c>
      <c r="B52" s="174" t="s">
        <v>275</v>
      </c>
      <c r="C52" s="174" t="s">
        <v>376</v>
      </c>
      <c r="D52" s="174" t="s">
        <v>377</v>
      </c>
      <c r="E52" s="168" t="s">
        <v>7</v>
      </c>
      <c r="F52" s="168" t="s">
        <v>22</v>
      </c>
    </row>
    <row r="53" spans="1:6" x14ac:dyDescent="0.25">
      <c r="A53" s="174" t="s">
        <v>388</v>
      </c>
      <c r="B53" s="174" t="s">
        <v>286</v>
      </c>
      <c r="C53" s="174" t="s">
        <v>376</v>
      </c>
      <c r="D53" s="174" t="s">
        <v>377</v>
      </c>
      <c r="E53" s="168" t="s">
        <v>7</v>
      </c>
      <c r="F53" s="168" t="s">
        <v>22</v>
      </c>
    </row>
    <row r="54" spans="1:6" x14ac:dyDescent="0.25">
      <c r="A54" s="174" t="s">
        <v>389</v>
      </c>
      <c r="B54" s="174" t="s">
        <v>390</v>
      </c>
      <c r="C54" s="174" t="s">
        <v>376</v>
      </c>
      <c r="D54" s="174" t="s">
        <v>377</v>
      </c>
      <c r="E54" s="168" t="s">
        <v>7</v>
      </c>
      <c r="F54" s="168" t="s">
        <v>23</v>
      </c>
    </row>
    <row r="55" spans="1:6" x14ac:dyDescent="0.25">
      <c r="A55" s="174" t="s">
        <v>391</v>
      </c>
      <c r="B55" s="174" t="s">
        <v>291</v>
      </c>
      <c r="C55" s="174" t="s">
        <v>376</v>
      </c>
      <c r="D55" s="174" t="s">
        <v>377</v>
      </c>
      <c r="E55" s="168" t="s">
        <v>7</v>
      </c>
      <c r="F55" s="168" t="s">
        <v>24</v>
      </c>
    </row>
    <row r="56" spans="1:6" x14ac:dyDescent="0.25">
      <c r="A56" s="174" t="s">
        <v>274</v>
      </c>
      <c r="B56" s="174" t="s">
        <v>275</v>
      </c>
      <c r="C56" s="174" t="s">
        <v>382</v>
      </c>
      <c r="D56" s="174" t="s">
        <v>200</v>
      </c>
      <c r="E56" s="168" t="s">
        <v>9</v>
      </c>
      <c r="F56" s="168" t="s">
        <v>22</v>
      </c>
    </row>
    <row r="57" spans="1:6" x14ac:dyDescent="0.25">
      <c r="A57" s="174" t="s">
        <v>285</v>
      </c>
      <c r="B57" s="174" t="s">
        <v>286</v>
      </c>
      <c r="C57" s="174" t="s">
        <v>382</v>
      </c>
      <c r="D57" s="174" t="s">
        <v>200</v>
      </c>
      <c r="E57" s="168" t="s">
        <v>9</v>
      </c>
      <c r="F57" s="168" t="s">
        <v>22</v>
      </c>
    </row>
    <row r="58" spans="1:6" x14ac:dyDescent="0.25">
      <c r="A58" s="174" t="s">
        <v>290</v>
      </c>
      <c r="B58" s="174" t="s">
        <v>291</v>
      </c>
      <c r="C58" s="174" t="s">
        <v>382</v>
      </c>
      <c r="D58" s="174" t="s">
        <v>200</v>
      </c>
      <c r="E58" s="168" t="s">
        <v>9</v>
      </c>
      <c r="F58" s="168" t="s">
        <v>24</v>
      </c>
    </row>
    <row r="59" spans="1:6" x14ac:dyDescent="0.25">
      <c r="A59" s="174" t="s">
        <v>392</v>
      </c>
      <c r="B59" s="174" t="s">
        <v>296</v>
      </c>
      <c r="C59" s="174" t="s">
        <v>366</v>
      </c>
      <c r="D59" s="174" t="s">
        <v>1</v>
      </c>
      <c r="E59" s="168" t="s">
        <v>1</v>
      </c>
      <c r="F59" s="168" t="s">
        <v>170</v>
      </c>
    </row>
    <row r="60" spans="1:6" x14ac:dyDescent="0.25">
      <c r="A60" s="174" t="s">
        <v>295</v>
      </c>
      <c r="B60" s="174" t="s">
        <v>296</v>
      </c>
      <c r="C60" s="174" t="s">
        <v>380</v>
      </c>
      <c r="D60" s="174" t="s">
        <v>381</v>
      </c>
      <c r="E60" s="168" t="s">
        <v>10</v>
      </c>
      <c r="F60" s="168" t="s">
        <v>170</v>
      </c>
    </row>
    <row r="61" spans="1:6" x14ac:dyDescent="0.25">
      <c r="A61" s="174" t="s">
        <v>295</v>
      </c>
      <c r="B61" s="174" t="s">
        <v>296</v>
      </c>
      <c r="C61" s="174" t="s">
        <v>378</v>
      </c>
      <c r="D61" s="174" t="s">
        <v>379</v>
      </c>
      <c r="E61" s="168" t="s">
        <v>2</v>
      </c>
      <c r="F61" s="168" t="s">
        <v>170</v>
      </c>
    </row>
    <row r="62" spans="1:6" x14ac:dyDescent="0.25">
      <c r="A62" s="174" t="s">
        <v>393</v>
      </c>
      <c r="B62" s="174" t="s">
        <v>296</v>
      </c>
      <c r="C62" s="174" t="s">
        <v>376</v>
      </c>
      <c r="D62" s="174" t="s">
        <v>377</v>
      </c>
      <c r="E62" s="168" t="s">
        <v>7</v>
      </c>
      <c r="F62" s="168" t="s">
        <v>170</v>
      </c>
    </row>
    <row r="63" spans="1:6" x14ac:dyDescent="0.25">
      <c r="A63" s="174" t="s">
        <v>295</v>
      </c>
      <c r="B63" s="174" t="s">
        <v>296</v>
      </c>
      <c r="C63" s="174" t="s">
        <v>382</v>
      </c>
      <c r="D63" s="174" t="s">
        <v>200</v>
      </c>
      <c r="E63" s="168" t="s">
        <v>9</v>
      </c>
      <c r="F63" s="168" t="s">
        <v>170</v>
      </c>
    </row>
    <row r="64" spans="1:6" x14ac:dyDescent="0.25">
      <c r="A64" s="174" t="s">
        <v>394</v>
      </c>
      <c r="B64" s="174" t="s">
        <v>77</v>
      </c>
      <c r="C64" s="174" t="s">
        <v>366</v>
      </c>
      <c r="D64" s="174" t="s">
        <v>1</v>
      </c>
      <c r="E64" s="168" t="s">
        <v>1</v>
      </c>
      <c r="F64" s="168" t="s">
        <v>24</v>
      </c>
    </row>
    <row r="65" spans="1:6" x14ac:dyDescent="0.25">
      <c r="A65" s="174" t="s">
        <v>292</v>
      </c>
      <c r="B65" s="174" t="s">
        <v>77</v>
      </c>
      <c r="C65" s="174" t="s">
        <v>380</v>
      </c>
      <c r="D65" s="174" t="s">
        <v>381</v>
      </c>
      <c r="E65" s="168" t="s">
        <v>10</v>
      </c>
      <c r="F65" s="168" t="s">
        <v>24</v>
      </c>
    </row>
    <row r="66" spans="1:6" x14ac:dyDescent="0.25">
      <c r="A66" s="174" t="s">
        <v>292</v>
      </c>
      <c r="B66" s="174" t="s">
        <v>77</v>
      </c>
      <c r="C66" s="174" t="s">
        <v>378</v>
      </c>
      <c r="D66" s="174" t="s">
        <v>379</v>
      </c>
      <c r="E66" s="168" t="s">
        <v>2</v>
      </c>
      <c r="F66" s="168" t="s">
        <v>24</v>
      </c>
    </row>
    <row r="67" spans="1:6" x14ac:dyDescent="0.25">
      <c r="A67" s="174" t="s">
        <v>395</v>
      </c>
      <c r="B67" s="174" t="s">
        <v>77</v>
      </c>
      <c r="C67" s="174" t="s">
        <v>376</v>
      </c>
      <c r="D67" s="174" t="s">
        <v>377</v>
      </c>
      <c r="E67" s="168" t="s">
        <v>7</v>
      </c>
      <c r="F67" s="168" t="s">
        <v>24</v>
      </c>
    </row>
    <row r="68" spans="1:6" x14ac:dyDescent="0.25">
      <c r="A68" s="174" t="s">
        <v>292</v>
      </c>
      <c r="B68" s="174" t="s">
        <v>77</v>
      </c>
      <c r="C68" s="174" t="s">
        <v>382</v>
      </c>
      <c r="D68" s="174" t="s">
        <v>200</v>
      </c>
      <c r="E68" s="168" t="s">
        <v>9</v>
      </c>
      <c r="F68" s="168" t="s">
        <v>24</v>
      </c>
    </row>
    <row r="69" spans="1:6" x14ac:dyDescent="0.25">
      <c r="A69" s="174" t="s">
        <v>400</v>
      </c>
      <c r="B69" s="174" t="s">
        <v>401</v>
      </c>
      <c r="C69" s="174" t="s">
        <v>402</v>
      </c>
      <c r="D69" s="174" t="s">
        <v>403</v>
      </c>
      <c r="E69" s="168" t="s">
        <v>8</v>
      </c>
      <c r="F69" s="168" t="s">
        <v>22</v>
      </c>
    </row>
    <row r="70" spans="1:6" x14ac:dyDescent="0.25">
      <c r="A70" s="174" t="s">
        <v>375</v>
      </c>
      <c r="B70" s="174" t="s">
        <v>336</v>
      </c>
      <c r="C70" s="174" t="s">
        <v>411</v>
      </c>
      <c r="D70" s="174" t="s">
        <v>412</v>
      </c>
      <c r="E70" s="168" t="s">
        <v>6</v>
      </c>
      <c r="F70" s="168" t="s">
        <v>25</v>
      </c>
    </row>
    <row r="71" spans="1:6" x14ac:dyDescent="0.25">
      <c r="A71" s="174" t="s">
        <v>414</v>
      </c>
      <c r="B71" s="174" t="s">
        <v>415</v>
      </c>
      <c r="C71" s="174" t="s">
        <v>402</v>
      </c>
      <c r="D71" s="174" t="s">
        <v>403</v>
      </c>
      <c r="E71" s="168" t="s">
        <v>8</v>
      </c>
      <c r="F71" s="168" t="s">
        <v>25</v>
      </c>
    </row>
    <row r="72" spans="1:6" x14ac:dyDescent="0.25">
      <c r="A72" s="174" t="s">
        <v>386</v>
      </c>
      <c r="B72" s="174" t="s">
        <v>341</v>
      </c>
      <c r="C72" s="174" t="s">
        <v>411</v>
      </c>
      <c r="D72" s="174" t="s">
        <v>412</v>
      </c>
      <c r="E72" s="168" t="s">
        <v>6</v>
      </c>
      <c r="F72" s="168" t="s">
        <v>25</v>
      </c>
    </row>
    <row r="73" spans="1:6" x14ac:dyDescent="0.25">
      <c r="A73" s="174" t="s">
        <v>387</v>
      </c>
      <c r="B73" s="174" t="s">
        <v>275</v>
      </c>
      <c r="C73" s="174" t="s">
        <v>411</v>
      </c>
      <c r="D73" s="174" t="s">
        <v>412</v>
      </c>
      <c r="E73" s="168" t="s">
        <v>6</v>
      </c>
      <c r="F73" s="168" t="s">
        <v>22</v>
      </c>
    </row>
    <row r="74" spans="1:6" x14ac:dyDescent="0.25">
      <c r="A74" s="174" t="s">
        <v>388</v>
      </c>
      <c r="B74" s="174" t="s">
        <v>286</v>
      </c>
      <c r="C74" s="174" t="s">
        <v>411</v>
      </c>
      <c r="D74" s="174" t="s">
        <v>412</v>
      </c>
      <c r="E74" s="168" t="s">
        <v>6</v>
      </c>
      <c r="F74" s="168" t="s">
        <v>22</v>
      </c>
    </row>
    <row r="75" spans="1:6" x14ac:dyDescent="0.25">
      <c r="A75" s="174" t="s">
        <v>389</v>
      </c>
      <c r="B75" s="174" t="s">
        <v>390</v>
      </c>
      <c r="C75" s="174" t="s">
        <v>411</v>
      </c>
      <c r="D75" s="174" t="s">
        <v>412</v>
      </c>
      <c r="E75" s="168" t="s">
        <v>6</v>
      </c>
      <c r="F75" s="168" t="s">
        <v>23</v>
      </c>
    </row>
    <row r="76" spans="1:6" x14ac:dyDescent="0.25">
      <c r="A76" s="174" t="s">
        <v>391</v>
      </c>
      <c r="B76" s="174" t="s">
        <v>291</v>
      </c>
      <c r="C76" s="174" t="s">
        <v>411</v>
      </c>
      <c r="D76" s="174" t="s">
        <v>412</v>
      </c>
      <c r="E76" s="168" t="s">
        <v>6</v>
      </c>
      <c r="F76" s="168" t="s">
        <v>24</v>
      </c>
    </row>
    <row r="77" spans="1:6" x14ac:dyDescent="0.25">
      <c r="A77" s="174" t="s">
        <v>387</v>
      </c>
      <c r="B77" s="174" t="s">
        <v>275</v>
      </c>
      <c r="C77" s="174" t="s">
        <v>418</v>
      </c>
      <c r="D77" s="174" t="s">
        <v>419</v>
      </c>
      <c r="E77" s="168" t="s">
        <v>4</v>
      </c>
      <c r="F77" s="168" t="s">
        <v>22</v>
      </c>
    </row>
    <row r="78" spans="1:6" x14ac:dyDescent="0.25">
      <c r="A78" s="174" t="s">
        <v>388</v>
      </c>
      <c r="B78" s="174" t="s">
        <v>286</v>
      </c>
      <c r="C78" s="174" t="s">
        <v>418</v>
      </c>
      <c r="D78" s="174" t="s">
        <v>419</v>
      </c>
      <c r="E78" s="168" t="s">
        <v>4</v>
      </c>
      <c r="F78" s="168" t="s">
        <v>22</v>
      </c>
    </row>
    <row r="79" spans="1:6" x14ac:dyDescent="0.25">
      <c r="A79" s="174" t="s">
        <v>391</v>
      </c>
      <c r="B79" s="174" t="s">
        <v>291</v>
      </c>
      <c r="C79" s="174" t="s">
        <v>418</v>
      </c>
      <c r="D79" s="174" t="s">
        <v>419</v>
      </c>
      <c r="E79" s="168" t="s">
        <v>4</v>
      </c>
      <c r="F79" s="168" t="s">
        <v>24</v>
      </c>
    </row>
    <row r="80" spans="1:6" x14ac:dyDescent="0.25">
      <c r="A80" s="174" t="s">
        <v>420</v>
      </c>
      <c r="B80" s="174" t="s">
        <v>286</v>
      </c>
      <c r="C80" s="174" t="s">
        <v>402</v>
      </c>
      <c r="D80" s="174" t="s">
        <v>403</v>
      </c>
      <c r="E80" s="168" t="s">
        <v>8</v>
      </c>
      <c r="F80" s="168" t="s">
        <v>22</v>
      </c>
    </row>
    <row r="81" spans="1:6" x14ac:dyDescent="0.25">
      <c r="A81" s="174" t="s">
        <v>421</v>
      </c>
      <c r="B81" s="174" t="s">
        <v>341</v>
      </c>
      <c r="C81" s="174" t="s">
        <v>402</v>
      </c>
      <c r="D81" s="174" t="s">
        <v>403</v>
      </c>
      <c r="E81" s="168" t="s">
        <v>8</v>
      </c>
      <c r="F81" s="168" t="s">
        <v>25</v>
      </c>
    </row>
    <row r="82" spans="1:6" x14ac:dyDescent="0.25">
      <c r="A82" s="174" t="s">
        <v>422</v>
      </c>
      <c r="B82" s="174" t="s">
        <v>423</v>
      </c>
      <c r="C82" s="174" t="s">
        <v>402</v>
      </c>
      <c r="D82" s="174" t="s">
        <v>403</v>
      </c>
      <c r="E82" s="168" t="s">
        <v>8</v>
      </c>
      <c r="F82" s="168" t="s">
        <v>23</v>
      </c>
    </row>
    <row r="83" spans="1:6" x14ac:dyDescent="0.25">
      <c r="A83" s="174" t="s">
        <v>424</v>
      </c>
      <c r="B83" s="174" t="s">
        <v>291</v>
      </c>
      <c r="C83" s="174" t="s">
        <v>402</v>
      </c>
      <c r="D83" s="174" t="s">
        <v>403</v>
      </c>
      <c r="E83" s="168" t="s">
        <v>8</v>
      </c>
      <c r="F83" s="168" t="s">
        <v>24</v>
      </c>
    </row>
    <row r="84" spans="1:6" x14ac:dyDescent="0.25">
      <c r="A84" s="174" t="s">
        <v>386</v>
      </c>
      <c r="B84" s="174" t="s">
        <v>341</v>
      </c>
      <c r="C84" s="174" t="s">
        <v>402</v>
      </c>
      <c r="D84" s="174" t="s">
        <v>403</v>
      </c>
      <c r="E84" s="168" t="s">
        <v>8</v>
      </c>
      <c r="F84" s="168" t="s">
        <v>25</v>
      </c>
    </row>
    <row r="85" spans="1:6" x14ac:dyDescent="0.25">
      <c r="A85" s="174" t="s">
        <v>387</v>
      </c>
      <c r="B85" s="174" t="s">
        <v>275</v>
      </c>
      <c r="C85" s="174" t="s">
        <v>402</v>
      </c>
      <c r="D85" s="174" t="s">
        <v>403</v>
      </c>
      <c r="E85" s="168" t="s">
        <v>8</v>
      </c>
      <c r="F85" s="168" t="s">
        <v>22</v>
      </c>
    </row>
    <row r="86" spans="1:6" x14ac:dyDescent="0.25">
      <c r="A86" s="174" t="s">
        <v>388</v>
      </c>
      <c r="B86" s="174" t="s">
        <v>286</v>
      </c>
      <c r="C86" s="174" t="s">
        <v>402</v>
      </c>
      <c r="D86" s="174" t="s">
        <v>403</v>
      </c>
      <c r="E86" s="168" t="s">
        <v>8</v>
      </c>
      <c r="F86" s="168" t="s">
        <v>22</v>
      </c>
    </row>
    <row r="87" spans="1:6" x14ac:dyDescent="0.25">
      <c r="A87" s="174" t="s">
        <v>389</v>
      </c>
      <c r="B87" s="174" t="s">
        <v>390</v>
      </c>
      <c r="C87" s="174" t="s">
        <v>402</v>
      </c>
      <c r="D87" s="174" t="s">
        <v>403</v>
      </c>
      <c r="E87" s="168" t="s">
        <v>8</v>
      </c>
      <c r="F87" s="168" t="s">
        <v>23</v>
      </c>
    </row>
    <row r="88" spans="1:6" x14ac:dyDescent="0.25">
      <c r="A88" s="174" t="s">
        <v>391</v>
      </c>
      <c r="B88" s="174" t="s">
        <v>291</v>
      </c>
      <c r="C88" s="174" t="s">
        <v>402</v>
      </c>
      <c r="D88" s="174" t="s">
        <v>403</v>
      </c>
      <c r="E88" s="168" t="s">
        <v>8</v>
      </c>
      <c r="F88" s="168" t="s">
        <v>24</v>
      </c>
    </row>
    <row r="89" spans="1:6" x14ac:dyDescent="0.25">
      <c r="A89" s="174" t="s">
        <v>393</v>
      </c>
      <c r="B89" s="174" t="s">
        <v>296</v>
      </c>
      <c r="C89" s="174" t="s">
        <v>411</v>
      </c>
      <c r="D89" s="174" t="s">
        <v>412</v>
      </c>
      <c r="E89" s="168" t="s">
        <v>6</v>
      </c>
      <c r="F89" s="168" t="s">
        <v>170</v>
      </c>
    </row>
    <row r="90" spans="1:6" x14ac:dyDescent="0.25">
      <c r="A90" s="174" t="s">
        <v>393</v>
      </c>
      <c r="B90" s="174" t="s">
        <v>296</v>
      </c>
      <c r="C90" s="174" t="s">
        <v>418</v>
      </c>
      <c r="D90" s="174" t="s">
        <v>419</v>
      </c>
      <c r="E90" s="168" t="s">
        <v>4</v>
      </c>
      <c r="F90" s="168" t="s">
        <v>170</v>
      </c>
    </row>
    <row r="91" spans="1:6" x14ac:dyDescent="0.25">
      <c r="A91" s="174" t="s">
        <v>425</v>
      </c>
      <c r="B91" s="174" t="s">
        <v>296</v>
      </c>
      <c r="C91" s="174" t="s">
        <v>402</v>
      </c>
      <c r="D91" s="174" t="s">
        <v>403</v>
      </c>
      <c r="E91" s="168" t="s">
        <v>8</v>
      </c>
      <c r="F91" s="168" t="s">
        <v>170</v>
      </c>
    </row>
    <row r="92" spans="1:6" x14ac:dyDescent="0.25">
      <c r="A92" s="174" t="s">
        <v>395</v>
      </c>
      <c r="B92" s="174" t="s">
        <v>77</v>
      </c>
      <c r="C92" s="174" t="s">
        <v>411</v>
      </c>
      <c r="D92" s="174" t="s">
        <v>412</v>
      </c>
      <c r="E92" s="168" t="s">
        <v>6</v>
      </c>
      <c r="F92" s="168" t="s">
        <v>24</v>
      </c>
    </row>
    <row r="93" spans="1:6" x14ac:dyDescent="0.25">
      <c r="A93" s="174" t="s">
        <v>395</v>
      </c>
      <c r="B93" s="174" t="s">
        <v>77</v>
      </c>
      <c r="C93" s="174" t="s">
        <v>418</v>
      </c>
      <c r="D93" s="174" t="s">
        <v>419</v>
      </c>
      <c r="E93" s="168" t="s">
        <v>4</v>
      </c>
      <c r="F93" s="168" t="s">
        <v>24</v>
      </c>
    </row>
    <row r="94" spans="1:6" x14ac:dyDescent="0.25">
      <c r="A94" s="174" t="s">
        <v>426</v>
      </c>
      <c r="B94" s="174" t="s">
        <v>77</v>
      </c>
      <c r="C94" s="174" t="s">
        <v>402</v>
      </c>
      <c r="D94" s="174" t="s">
        <v>403</v>
      </c>
      <c r="E94" s="168" t="s">
        <v>8</v>
      </c>
      <c r="F94" s="168" t="s">
        <v>24</v>
      </c>
    </row>
    <row r="95" spans="1:6" x14ac:dyDescent="0.25">
      <c r="A95" s="174" t="s">
        <v>375</v>
      </c>
      <c r="B95" s="174" t="s">
        <v>336</v>
      </c>
      <c r="C95" s="174" t="s">
        <v>402</v>
      </c>
      <c r="D95" s="174" t="s">
        <v>403</v>
      </c>
      <c r="E95" s="168" t="s">
        <v>8</v>
      </c>
      <c r="F95" s="168" t="s">
        <v>25</v>
      </c>
    </row>
    <row r="96" spans="1:6" x14ac:dyDescent="0.25">
      <c r="A96" s="174" t="s">
        <v>393</v>
      </c>
      <c r="B96" s="174" t="s">
        <v>296</v>
      </c>
      <c r="C96" s="174" t="s">
        <v>402</v>
      </c>
      <c r="D96" s="174" t="s">
        <v>403</v>
      </c>
      <c r="E96" s="168" t="s">
        <v>8</v>
      </c>
      <c r="F96" s="168" t="s">
        <v>170</v>
      </c>
    </row>
    <row r="97" spans="1:6" x14ac:dyDescent="0.25">
      <c r="A97" s="174" t="s">
        <v>395</v>
      </c>
      <c r="B97" s="174" t="s">
        <v>77</v>
      </c>
      <c r="C97" s="174" t="s">
        <v>402</v>
      </c>
      <c r="D97" s="174" t="s">
        <v>403</v>
      </c>
      <c r="E97" s="168" t="s">
        <v>8</v>
      </c>
      <c r="F97" s="168" t="s">
        <v>24</v>
      </c>
    </row>
    <row r="98" spans="1:6" x14ac:dyDescent="0.25">
      <c r="A98" s="174" t="s">
        <v>400</v>
      </c>
      <c r="B98" s="174" t="s">
        <v>401</v>
      </c>
      <c r="C98" s="174" t="s">
        <v>430</v>
      </c>
      <c r="D98" s="174" t="s">
        <v>431</v>
      </c>
      <c r="E98" s="168" t="s">
        <v>8</v>
      </c>
      <c r="F98" s="168" t="s">
        <v>22</v>
      </c>
    </row>
    <row r="99" spans="1:6" x14ac:dyDescent="0.25">
      <c r="A99" s="174" t="s">
        <v>414</v>
      </c>
      <c r="B99" s="174" t="s">
        <v>415</v>
      </c>
      <c r="C99" s="174" t="s">
        <v>430</v>
      </c>
      <c r="D99" s="174" t="s">
        <v>431</v>
      </c>
      <c r="E99" s="168" t="s">
        <v>8</v>
      </c>
      <c r="F99" s="168" t="s">
        <v>25</v>
      </c>
    </row>
    <row r="100" spans="1:6" x14ac:dyDescent="0.25">
      <c r="A100" s="174" t="s">
        <v>420</v>
      </c>
      <c r="B100" s="174" t="s">
        <v>286</v>
      </c>
      <c r="C100" s="174" t="s">
        <v>430</v>
      </c>
      <c r="D100" s="174" t="s">
        <v>431</v>
      </c>
      <c r="E100" s="168" t="s">
        <v>8</v>
      </c>
      <c r="F100" s="168" t="s">
        <v>22</v>
      </c>
    </row>
    <row r="101" spans="1:6" x14ac:dyDescent="0.25">
      <c r="A101" s="174" t="s">
        <v>421</v>
      </c>
      <c r="B101" s="174" t="s">
        <v>341</v>
      </c>
      <c r="C101" s="174" t="s">
        <v>430</v>
      </c>
      <c r="D101" s="174" t="s">
        <v>431</v>
      </c>
      <c r="E101" s="168" t="s">
        <v>8</v>
      </c>
      <c r="F101" s="168" t="s">
        <v>25</v>
      </c>
    </row>
    <row r="102" spans="1:6" x14ac:dyDescent="0.25">
      <c r="A102" s="174" t="s">
        <v>422</v>
      </c>
      <c r="B102" s="174" t="s">
        <v>423</v>
      </c>
      <c r="C102" s="174" t="s">
        <v>430</v>
      </c>
      <c r="D102" s="174" t="s">
        <v>431</v>
      </c>
      <c r="E102" s="168" t="s">
        <v>8</v>
      </c>
      <c r="F102" s="168" t="s">
        <v>23</v>
      </c>
    </row>
    <row r="103" spans="1:6" x14ac:dyDescent="0.25">
      <c r="A103" s="174" t="s">
        <v>424</v>
      </c>
      <c r="B103" s="174" t="s">
        <v>291</v>
      </c>
      <c r="C103" s="174" t="s">
        <v>430</v>
      </c>
      <c r="D103" s="174" t="s">
        <v>431</v>
      </c>
      <c r="E103" s="168" t="s">
        <v>8</v>
      </c>
      <c r="F103" s="168" t="s">
        <v>24</v>
      </c>
    </row>
    <row r="104" spans="1:6" x14ac:dyDescent="0.25">
      <c r="A104" s="174" t="s">
        <v>425</v>
      </c>
      <c r="B104" s="174" t="s">
        <v>296</v>
      </c>
      <c r="C104" s="174" t="s">
        <v>430</v>
      </c>
      <c r="D104" s="174" t="s">
        <v>431</v>
      </c>
      <c r="E104" s="168" t="s">
        <v>8</v>
      </c>
      <c r="F104" s="168" t="s">
        <v>170</v>
      </c>
    </row>
    <row r="105" spans="1:6" x14ac:dyDescent="0.25">
      <c r="A105" s="174" t="s">
        <v>426</v>
      </c>
      <c r="B105" s="174" t="s">
        <v>77</v>
      </c>
      <c r="C105" s="174" t="s">
        <v>430</v>
      </c>
      <c r="D105" s="174" t="s">
        <v>431</v>
      </c>
      <c r="E105" s="168" t="s">
        <v>8</v>
      </c>
      <c r="F105" s="168" t="s">
        <v>24</v>
      </c>
    </row>
    <row r="106" spans="1:6" x14ac:dyDescent="0.25">
      <c r="A106" s="174" t="s">
        <v>375</v>
      </c>
      <c r="B106" s="174" t="s">
        <v>336</v>
      </c>
      <c r="C106" s="174" t="s">
        <v>430</v>
      </c>
      <c r="D106" s="174" t="s">
        <v>431</v>
      </c>
      <c r="E106" s="168" t="s">
        <v>8</v>
      </c>
      <c r="F106" s="168" t="s">
        <v>25</v>
      </c>
    </row>
    <row r="107" spans="1:6" x14ac:dyDescent="0.25">
      <c r="A107" s="174" t="s">
        <v>386</v>
      </c>
      <c r="B107" s="174" t="s">
        <v>341</v>
      </c>
      <c r="C107" s="174" t="s">
        <v>430</v>
      </c>
      <c r="D107" s="174" t="s">
        <v>431</v>
      </c>
      <c r="E107" s="168" t="s">
        <v>8</v>
      </c>
      <c r="F107" s="168" t="s">
        <v>25</v>
      </c>
    </row>
    <row r="108" spans="1:6" x14ac:dyDescent="0.25">
      <c r="A108" s="174" t="s">
        <v>387</v>
      </c>
      <c r="B108" s="174" t="s">
        <v>275</v>
      </c>
      <c r="C108" s="174" t="s">
        <v>430</v>
      </c>
      <c r="D108" s="174" t="s">
        <v>431</v>
      </c>
      <c r="E108" s="168" t="s">
        <v>8</v>
      </c>
      <c r="F108" s="168" t="s">
        <v>22</v>
      </c>
    </row>
    <row r="109" spans="1:6" x14ac:dyDescent="0.25">
      <c r="A109" s="174" t="s">
        <v>388</v>
      </c>
      <c r="B109" s="174" t="s">
        <v>286</v>
      </c>
      <c r="C109" s="174" t="s">
        <v>430</v>
      </c>
      <c r="D109" s="174" t="s">
        <v>431</v>
      </c>
      <c r="E109" s="168" t="s">
        <v>8</v>
      </c>
      <c r="F109" s="168" t="s">
        <v>22</v>
      </c>
    </row>
    <row r="110" spans="1:6" x14ac:dyDescent="0.25">
      <c r="A110" s="174" t="s">
        <v>389</v>
      </c>
      <c r="B110" s="174" t="s">
        <v>390</v>
      </c>
      <c r="C110" s="174" t="s">
        <v>430</v>
      </c>
      <c r="D110" s="174" t="s">
        <v>431</v>
      </c>
      <c r="E110" s="168" t="s">
        <v>8</v>
      </c>
      <c r="F110" s="168" t="s">
        <v>23</v>
      </c>
    </row>
    <row r="111" spans="1:6" x14ac:dyDescent="0.25">
      <c r="A111" s="174" t="s">
        <v>391</v>
      </c>
      <c r="B111" s="174" t="s">
        <v>291</v>
      </c>
      <c r="C111" s="174" t="s">
        <v>430</v>
      </c>
      <c r="D111" s="174" t="s">
        <v>431</v>
      </c>
      <c r="E111" s="168" t="s">
        <v>8</v>
      </c>
      <c r="F111" s="168" t="s">
        <v>24</v>
      </c>
    </row>
    <row r="112" spans="1:6" x14ac:dyDescent="0.25">
      <c r="A112" s="174" t="s">
        <v>393</v>
      </c>
      <c r="B112" s="174" t="s">
        <v>296</v>
      </c>
      <c r="C112" s="174" t="s">
        <v>430</v>
      </c>
      <c r="D112" s="174" t="s">
        <v>431</v>
      </c>
      <c r="E112" s="168" t="s">
        <v>8</v>
      </c>
      <c r="F112" s="168" t="s">
        <v>170</v>
      </c>
    </row>
    <row r="113" spans="1:6" x14ac:dyDescent="0.25">
      <c r="A113" s="174" t="s">
        <v>395</v>
      </c>
      <c r="B113" s="174" t="s">
        <v>77</v>
      </c>
      <c r="C113" s="174" t="s">
        <v>430</v>
      </c>
      <c r="D113" s="174" t="s">
        <v>431</v>
      </c>
      <c r="E113" s="168" t="s">
        <v>8</v>
      </c>
      <c r="F113" s="168" t="s">
        <v>24</v>
      </c>
    </row>
    <row r="114" spans="1:6" x14ac:dyDescent="0.25">
      <c r="A114" s="174" t="s">
        <v>435</v>
      </c>
      <c r="B114" s="174" t="s">
        <v>222</v>
      </c>
      <c r="C114" s="174" t="s">
        <v>436</v>
      </c>
      <c r="D114" s="174" t="s">
        <v>437</v>
      </c>
      <c r="E114" s="168" t="s">
        <v>8</v>
      </c>
      <c r="F114" s="168" t="s">
        <v>222</v>
      </c>
    </row>
    <row r="115" spans="1:6" x14ac:dyDescent="0.25">
      <c r="A115" s="174" t="s">
        <v>375</v>
      </c>
      <c r="B115" s="174" t="s">
        <v>336</v>
      </c>
      <c r="C115" s="174" t="s">
        <v>441</v>
      </c>
      <c r="D115" s="174" t="s">
        <v>442</v>
      </c>
      <c r="E115" s="168" t="s">
        <v>8</v>
      </c>
      <c r="F115" s="168" t="s">
        <v>25</v>
      </c>
    </row>
    <row r="116" spans="1:6" x14ac:dyDescent="0.25">
      <c r="A116" s="174" t="s">
        <v>375</v>
      </c>
      <c r="B116" s="174" t="s">
        <v>336</v>
      </c>
      <c r="C116" s="174" t="s">
        <v>436</v>
      </c>
      <c r="D116" s="174" t="s">
        <v>437</v>
      </c>
      <c r="E116" s="168" t="s">
        <v>8</v>
      </c>
      <c r="F116" s="168" t="s">
        <v>25</v>
      </c>
    </row>
    <row r="117" spans="1:6" x14ac:dyDescent="0.25">
      <c r="A117" s="174" t="s">
        <v>414</v>
      </c>
      <c r="B117" s="174" t="s">
        <v>415</v>
      </c>
      <c r="C117" s="174" t="s">
        <v>441</v>
      </c>
      <c r="D117" s="174" t="s">
        <v>442</v>
      </c>
      <c r="E117" s="168" t="s">
        <v>8</v>
      </c>
      <c r="F117" s="168" t="s">
        <v>25</v>
      </c>
    </row>
    <row r="118" spans="1:6" x14ac:dyDescent="0.25">
      <c r="A118" s="174" t="s">
        <v>386</v>
      </c>
      <c r="B118" s="174" t="s">
        <v>341</v>
      </c>
      <c r="C118" s="174" t="s">
        <v>436</v>
      </c>
      <c r="D118" s="174" t="s">
        <v>437</v>
      </c>
      <c r="E118" s="168" t="s">
        <v>8</v>
      </c>
      <c r="F118" s="168" t="s">
        <v>25</v>
      </c>
    </row>
    <row r="119" spans="1:6" x14ac:dyDescent="0.25">
      <c r="A119" s="174" t="s">
        <v>387</v>
      </c>
      <c r="B119" s="174" t="s">
        <v>275</v>
      </c>
      <c r="C119" s="174" t="s">
        <v>436</v>
      </c>
      <c r="D119" s="174" t="s">
        <v>437</v>
      </c>
      <c r="E119" s="168" t="s">
        <v>8</v>
      </c>
      <c r="F119" s="168" t="s">
        <v>22</v>
      </c>
    </row>
    <row r="120" spans="1:6" x14ac:dyDescent="0.25">
      <c r="A120" s="174" t="s">
        <v>388</v>
      </c>
      <c r="B120" s="174" t="s">
        <v>286</v>
      </c>
      <c r="C120" s="174" t="s">
        <v>436</v>
      </c>
      <c r="D120" s="174" t="s">
        <v>437</v>
      </c>
      <c r="E120" s="168" t="s">
        <v>8</v>
      </c>
      <c r="F120" s="168" t="s">
        <v>22</v>
      </c>
    </row>
    <row r="121" spans="1:6" x14ac:dyDescent="0.25">
      <c r="A121" s="174" t="s">
        <v>389</v>
      </c>
      <c r="B121" s="174" t="s">
        <v>390</v>
      </c>
      <c r="C121" s="174" t="s">
        <v>436</v>
      </c>
      <c r="D121" s="174" t="s">
        <v>437</v>
      </c>
      <c r="E121" s="168" t="s">
        <v>8</v>
      </c>
      <c r="F121" s="168" t="s">
        <v>23</v>
      </c>
    </row>
    <row r="122" spans="1:6" x14ac:dyDescent="0.25">
      <c r="A122" s="174" t="s">
        <v>391</v>
      </c>
      <c r="B122" s="174" t="s">
        <v>291</v>
      </c>
      <c r="C122" s="174" t="s">
        <v>436</v>
      </c>
      <c r="D122" s="174" t="s">
        <v>437</v>
      </c>
      <c r="E122" s="168" t="s">
        <v>8</v>
      </c>
      <c r="F122" s="168" t="s">
        <v>24</v>
      </c>
    </row>
    <row r="123" spans="1:6" x14ac:dyDescent="0.25">
      <c r="A123" s="174" t="s">
        <v>274</v>
      </c>
      <c r="B123" s="174" t="s">
        <v>275</v>
      </c>
      <c r="C123" s="174" t="s">
        <v>443</v>
      </c>
      <c r="D123" s="174" t="s">
        <v>444</v>
      </c>
      <c r="E123" s="168" t="s">
        <v>221</v>
      </c>
      <c r="F123" s="168" t="s">
        <v>22</v>
      </c>
    </row>
    <row r="124" spans="1:6" x14ac:dyDescent="0.25">
      <c r="A124" s="174" t="s">
        <v>400</v>
      </c>
      <c r="B124" s="174" t="s">
        <v>401</v>
      </c>
      <c r="C124" s="174" t="s">
        <v>441</v>
      </c>
      <c r="D124" s="174" t="s">
        <v>442</v>
      </c>
      <c r="E124" s="168" t="s">
        <v>8</v>
      </c>
      <c r="F124" s="168" t="s">
        <v>22</v>
      </c>
    </row>
    <row r="125" spans="1:6" x14ac:dyDescent="0.25">
      <c r="A125" s="174" t="s">
        <v>420</v>
      </c>
      <c r="B125" s="174" t="s">
        <v>286</v>
      </c>
      <c r="C125" s="174" t="s">
        <v>441</v>
      </c>
      <c r="D125" s="174" t="s">
        <v>442</v>
      </c>
      <c r="E125" s="168" t="s">
        <v>8</v>
      </c>
      <c r="F125" s="168" t="s">
        <v>22</v>
      </c>
    </row>
    <row r="126" spans="1:6" x14ac:dyDescent="0.25">
      <c r="A126" s="174" t="s">
        <v>421</v>
      </c>
      <c r="B126" s="174" t="s">
        <v>341</v>
      </c>
      <c r="C126" s="174" t="s">
        <v>441</v>
      </c>
      <c r="D126" s="174" t="s">
        <v>442</v>
      </c>
      <c r="E126" s="168" t="s">
        <v>8</v>
      </c>
      <c r="F126" s="168" t="s">
        <v>25</v>
      </c>
    </row>
    <row r="127" spans="1:6" x14ac:dyDescent="0.25">
      <c r="A127" s="174" t="s">
        <v>422</v>
      </c>
      <c r="B127" s="174" t="s">
        <v>423</v>
      </c>
      <c r="C127" s="174" t="s">
        <v>441</v>
      </c>
      <c r="D127" s="174" t="s">
        <v>442</v>
      </c>
      <c r="E127" s="168" t="s">
        <v>8</v>
      </c>
      <c r="F127" s="168" t="s">
        <v>23</v>
      </c>
    </row>
    <row r="128" spans="1:6" x14ac:dyDescent="0.25">
      <c r="A128" s="174" t="s">
        <v>424</v>
      </c>
      <c r="B128" s="174" t="s">
        <v>291</v>
      </c>
      <c r="C128" s="174" t="s">
        <v>441</v>
      </c>
      <c r="D128" s="174" t="s">
        <v>442</v>
      </c>
      <c r="E128" s="168" t="s">
        <v>8</v>
      </c>
      <c r="F128" s="168" t="s">
        <v>24</v>
      </c>
    </row>
    <row r="129" spans="1:6" x14ac:dyDescent="0.25">
      <c r="A129" s="174" t="s">
        <v>393</v>
      </c>
      <c r="B129" s="174" t="s">
        <v>296</v>
      </c>
      <c r="C129" s="174" t="s">
        <v>436</v>
      </c>
      <c r="D129" s="174" t="s">
        <v>437</v>
      </c>
      <c r="E129" s="168" t="s">
        <v>8</v>
      </c>
      <c r="F129" s="168" t="s">
        <v>170</v>
      </c>
    </row>
    <row r="130" spans="1:6" x14ac:dyDescent="0.25">
      <c r="A130" s="174" t="s">
        <v>425</v>
      </c>
      <c r="B130" s="174" t="s">
        <v>296</v>
      </c>
      <c r="C130" s="174" t="s">
        <v>441</v>
      </c>
      <c r="D130" s="174" t="s">
        <v>442</v>
      </c>
      <c r="E130" s="168" t="s">
        <v>8</v>
      </c>
      <c r="F130" s="168" t="s">
        <v>170</v>
      </c>
    </row>
    <row r="131" spans="1:6" x14ac:dyDescent="0.25">
      <c r="A131" s="174" t="s">
        <v>395</v>
      </c>
      <c r="B131" s="174" t="s">
        <v>77</v>
      </c>
      <c r="C131" s="174" t="s">
        <v>436</v>
      </c>
      <c r="D131" s="174" t="s">
        <v>437</v>
      </c>
      <c r="E131" s="168" t="s">
        <v>8</v>
      </c>
      <c r="F131" s="168" t="s">
        <v>24</v>
      </c>
    </row>
    <row r="132" spans="1:6" x14ac:dyDescent="0.25">
      <c r="A132" s="174" t="s">
        <v>285</v>
      </c>
      <c r="B132" s="174" t="s">
        <v>286</v>
      </c>
      <c r="C132" s="174" t="s">
        <v>443</v>
      </c>
      <c r="D132" s="174" t="s">
        <v>444</v>
      </c>
      <c r="E132" s="168" t="s">
        <v>221</v>
      </c>
      <c r="F132" s="168" t="s">
        <v>22</v>
      </c>
    </row>
    <row r="133" spans="1:6" x14ac:dyDescent="0.25">
      <c r="A133" s="174" t="s">
        <v>292</v>
      </c>
      <c r="B133" s="174" t="s">
        <v>77</v>
      </c>
      <c r="C133" s="174" t="s">
        <v>443</v>
      </c>
      <c r="D133" s="174" t="s">
        <v>444</v>
      </c>
      <c r="E133" s="168" t="s">
        <v>221</v>
      </c>
      <c r="F133" s="168" t="s">
        <v>24</v>
      </c>
    </row>
    <row r="134" spans="1:6" x14ac:dyDescent="0.25">
      <c r="A134" s="174" t="s">
        <v>426</v>
      </c>
      <c r="B134" s="174" t="s">
        <v>77</v>
      </c>
      <c r="C134" s="174" t="s">
        <v>441</v>
      </c>
      <c r="D134" s="174" t="s">
        <v>442</v>
      </c>
      <c r="E134" s="168" t="s">
        <v>8</v>
      </c>
      <c r="F134" s="168" t="s">
        <v>24</v>
      </c>
    </row>
    <row r="135" spans="1:6" x14ac:dyDescent="0.25">
      <c r="A135" s="174" t="s">
        <v>340</v>
      </c>
      <c r="B135" s="174" t="s">
        <v>341</v>
      </c>
      <c r="C135" s="174" t="s">
        <v>356</v>
      </c>
      <c r="D135" s="174" t="s">
        <v>357</v>
      </c>
      <c r="E135" s="168" t="s">
        <v>3</v>
      </c>
      <c r="F135" s="168" t="s">
        <v>25</v>
      </c>
    </row>
    <row r="136" spans="1:6" x14ac:dyDescent="0.25">
      <c r="A136" s="174" t="s">
        <v>504</v>
      </c>
      <c r="B136" s="174" t="s">
        <v>505</v>
      </c>
      <c r="C136" s="174" t="s">
        <v>376</v>
      </c>
      <c r="D136" s="174" t="s">
        <v>377</v>
      </c>
      <c r="E136" s="168" t="s">
        <v>7</v>
      </c>
      <c r="F136" s="168" t="s">
        <v>222</v>
      </c>
    </row>
    <row r="137" spans="1:6" x14ac:dyDescent="0.25">
      <c r="A137" s="174" t="s">
        <v>375</v>
      </c>
      <c r="B137" s="174" t="s">
        <v>336</v>
      </c>
      <c r="C137" s="174" t="s">
        <v>418</v>
      </c>
      <c r="D137" s="174" t="s">
        <v>419</v>
      </c>
      <c r="E137" s="168" t="s">
        <v>4</v>
      </c>
      <c r="F137" s="168" t="s">
        <v>25</v>
      </c>
    </row>
    <row r="138" spans="1:6" x14ac:dyDescent="0.25">
      <c r="A138" s="174" t="s">
        <v>2106</v>
      </c>
      <c r="B138" s="174" t="s">
        <v>505</v>
      </c>
      <c r="C138" s="174"/>
      <c r="D138" s="174"/>
      <c r="E138"/>
      <c r="F138" s="168" t="s">
        <v>222</v>
      </c>
    </row>
    <row r="139" spans="1:6" x14ac:dyDescent="0.25">
      <c r="A139"/>
      <c r="B139"/>
      <c r="C139" s="174" t="s">
        <v>1538</v>
      </c>
      <c r="D139" s="174" t="s">
        <v>1539</v>
      </c>
      <c r="E139" s="168" t="s">
        <v>1539</v>
      </c>
      <c r="F139"/>
    </row>
    <row r="140" spans="1:6" x14ac:dyDescent="0.25">
      <c r="A140"/>
      <c r="B140"/>
      <c r="C140" s="174" t="s">
        <v>1718</v>
      </c>
      <c r="D140" s="174" t="s">
        <v>1719</v>
      </c>
      <c r="E140" s="168" t="s">
        <v>0</v>
      </c>
      <c r="F140"/>
    </row>
    <row r="141" spans="1:6" x14ac:dyDescent="0.25">
      <c r="A141"/>
      <c r="B141"/>
      <c r="C141"/>
      <c r="D141"/>
      <c r="E141"/>
      <c r="F141"/>
    </row>
    <row r="142" spans="1:6" x14ac:dyDescent="0.25">
      <c r="A142"/>
      <c r="B142"/>
      <c r="C142"/>
      <c r="D142"/>
      <c r="E142"/>
      <c r="F142"/>
    </row>
    <row r="143" spans="1:6" x14ac:dyDescent="0.25">
      <c r="A143"/>
      <c r="B143"/>
      <c r="C143"/>
      <c r="D143"/>
      <c r="E143"/>
      <c r="F143"/>
    </row>
    <row r="144" spans="1:6" x14ac:dyDescent="0.25">
      <c r="A144"/>
      <c r="B144"/>
      <c r="C144"/>
      <c r="D144"/>
      <c r="E144"/>
      <c r="F144"/>
    </row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</sheetData>
  <autoFilter ref="A1:F137" xr:uid="{327A7928-67FA-4F74-BFC1-F051E438DB96}"/>
  <conditionalFormatting sqref="A2:F2">
    <cfRule type="timePeriod" dxfId="4" priority="2" timePeriod="lastMonth">
      <formula>AND(MONTH(A2)=MONTH(EDATE(TODAY(),0-1)),YEAR(A2)=YEAR(EDATE(TODAY(),0-1)))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D9E4-D5B6-4309-8E12-B84C31ABE294}">
  <dimension ref="A1:T2361"/>
  <sheetViews>
    <sheetView workbookViewId="0">
      <pane xSplit="9" ySplit="2" topLeftCell="K2245" activePane="bottomRight" state="frozen"/>
      <selection pane="topRight" activeCell="H1" sqref="H1"/>
      <selection pane="bottomLeft" activeCell="A2" sqref="A2"/>
      <selection pane="bottomRight" activeCell="B2256" sqref="B2256:C2256"/>
    </sheetView>
  </sheetViews>
  <sheetFormatPr defaultColWidth="8.7109375" defaultRowHeight="12.75" x14ac:dyDescent="0.2"/>
  <cols>
    <col min="1" max="1" width="4.42578125" style="169" customWidth="1"/>
    <col min="2" max="2" width="19" style="167" customWidth="1"/>
    <col min="3" max="3" width="17.42578125" style="167" bestFit="1" customWidth="1"/>
    <col min="4" max="4" width="11.28515625" style="169" bestFit="1" customWidth="1"/>
    <col min="5" max="5" width="11.7109375" style="169" hidden="1" customWidth="1"/>
    <col min="6" max="6" width="11.7109375" style="169" bestFit="1" customWidth="1"/>
    <col min="7" max="7" width="19.42578125" style="169" bestFit="1" customWidth="1"/>
    <col min="8" max="8" width="10.7109375" style="169" hidden="1" customWidth="1"/>
    <col min="9" max="9" width="19.28515625" style="169" bestFit="1" customWidth="1"/>
    <col min="10" max="10" width="35" style="169" customWidth="1"/>
    <col min="11" max="11" width="23.42578125" style="169" customWidth="1"/>
    <col min="12" max="12" width="5.7109375" style="169" customWidth="1"/>
    <col min="13" max="13" width="6.42578125" style="169" customWidth="1"/>
    <col min="14" max="14" width="15.28515625" style="178" customWidth="1"/>
    <col min="15" max="15" width="13.28515625" style="169" customWidth="1"/>
    <col min="16" max="16" width="5.28515625" style="169" customWidth="1"/>
    <col min="17" max="17" width="9.42578125" style="169" customWidth="1"/>
    <col min="18" max="16384" width="8.7109375" style="169"/>
  </cols>
  <sheetData>
    <row r="1" spans="2:20" x14ac:dyDescent="0.2">
      <c r="I1" s="375"/>
      <c r="N1" s="170">
        <f>SUBTOTAL(9,N3:N9999)</f>
        <v>168377071168</v>
      </c>
    </row>
    <row r="2" spans="2:20" ht="23.65" customHeight="1" x14ac:dyDescent="0.2">
      <c r="B2" s="168" t="s">
        <v>11</v>
      </c>
      <c r="C2" s="168" t="s">
        <v>628</v>
      </c>
      <c r="D2" s="171" t="s">
        <v>256</v>
      </c>
      <c r="E2" s="171" t="s">
        <v>257</v>
      </c>
      <c r="F2" s="171" t="s">
        <v>258</v>
      </c>
      <c r="G2" s="171" t="s">
        <v>259</v>
      </c>
      <c r="H2" s="171" t="s">
        <v>260</v>
      </c>
      <c r="I2" s="171" t="s">
        <v>261</v>
      </c>
      <c r="J2" s="171" t="s">
        <v>262</v>
      </c>
      <c r="K2" s="171" t="s">
        <v>263</v>
      </c>
      <c r="L2" s="171" t="s">
        <v>264</v>
      </c>
      <c r="M2" s="171" t="s">
        <v>265</v>
      </c>
      <c r="N2" s="176" t="s">
        <v>266</v>
      </c>
      <c r="O2" s="171" t="s">
        <v>267</v>
      </c>
      <c r="P2" s="172" t="s">
        <v>268</v>
      </c>
      <c r="Q2" s="171" t="s">
        <v>269</v>
      </c>
      <c r="R2" s="171" t="s">
        <v>270</v>
      </c>
      <c r="S2" s="171" t="s">
        <v>271</v>
      </c>
      <c r="T2" s="171" t="s">
        <v>272</v>
      </c>
    </row>
    <row r="3" spans="2:20" x14ac:dyDescent="0.2">
      <c r="B3" s="168" t="s">
        <v>0</v>
      </c>
      <c r="C3" s="168" t="s">
        <v>22</v>
      </c>
      <c r="D3" s="173">
        <v>45716</v>
      </c>
      <c r="E3" s="174" t="s">
        <v>273</v>
      </c>
      <c r="F3" s="174" t="s">
        <v>274</v>
      </c>
      <c r="G3" s="174" t="s">
        <v>275</v>
      </c>
      <c r="H3" s="174" t="s">
        <v>276</v>
      </c>
      <c r="I3" s="174" t="s">
        <v>277</v>
      </c>
      <c r="J3" s="174" t="s">
        <v>278</v>
      </c>
      <c r="K3" s="174" t="s">
        <v>279</v>
      </c>
      <c r="L3" s="174" t="s">
        <v>280</v>
      </c>
      <c r="M3" s="174" t="s">
        <v>281</v>
      </c>
      <c r="N3" s="177">
        <v>1178412592</v>
      </c>
      <c r="O3" s="174" t="s">
        <v>282</v>
      </c>
      <c r="P3" s="174" t="s">
        <v>283</v>
      </c>
      <c r="Q3" s="174" t="s">
        <v>284</v>
      </c>
      <c r="R3" s="174" t="s">
        <v>283</v>
      </c>
      <c r="S3" s="174" t="s">
        <v>283</v>
      </c>
      <c r="T3" s="175">
        <v>0</v>
      </c>
    </row>
    <row r="4" spans="2:20" x14ac:dyDescent="0.2">
      <c r="B4" s="168" t="s">
        <v>0</v>
      </c>
      <c r="C4" s="168" t="s">
        <v>22</v>
      </c>
      <c r="D4" s="173">
        <v>45716</v>
      </c>
      <c r="E4" s="174" t="s">
        <v>273</v>
      </c>
      <c r="F4" s="174" t="s">
        <v>285</v>
      </c>
      <c r="G4" s="174" t="s">
        <v>286</v>
      </c>
      <c r="H4" s="174" t="s">
        <v>276</v>
      </c>
      <c r="I4" s="174" t="s">
        <v>277</v>
      </c>
      <c r="J4" s="174" t="s">
        <v>278</v>
      </c>
      <c r="K4" s="174" t="s">
        <v>279</v>
      </c>
      <c r="L4" s="174" t="s">
        <v>280</v>
      </c>
      <c r="M4" s="174" t="s">
        <v>281</v>
      </c>
      <c r="N4" s="177">
        <v>10777046</v>
      </c>
      <c r="O4" s="174" t="s">
        <v>282</v>
      </c>
      <c r="P4" s="174" t="s">
        <v>283</v>
      </c>
      <c r="Q4" s="174" t="s">
        <v>284</v>
      </c>
      <c r="R4" s="174" t="s">
        <v>283</v>
      </c>
      <c r="S4" s="174" t="s">
        <v>283</v>
      </c>
      <c r="T4" s="175">
        <v>0</v>
      </c>
    </row>
    <row r="5" spans="2:20" x14ac:dyDescent="0.2">
      <c r="B5" s="168" t="s">
        <v>0</v>
      </c>
      <c r="C5" s="168" t="s">
        <v>22</v>
      </c>
      <c r="D5" s="173">
        <v>45716</v>
      </c>
      <c r="E5" s="174" t="s">
        <v>287</v>
      </c>
      <c r="F5" s="174" t="s">
        <v>285</v>
      </c>
      <c r="G5" s="174" t="s">
        <v>286</v>
      </c>
      <c r="H5" s="174" t="s">
        <v>276</v>
      </c>
      <c r="I5" s="174" t="s">
        <v>277</v>
      </c>
      <c r="J5" s="174" t="s">
        <v>288</v>
      </c>
      <c r="K5" s="174" t="s">
        <v>279</v>
      </c>
      <c r="L5" s="174" t="s">
        <v>280</v>
      </c>
      <c r="M5" s="174" t="s">
        <v>281</v>
      </c>
      <c r="N5" s="177">
        <v>93775083</v>
      </c>
      <c r="O5" s="174" t="s">
        <v>289</v>
      </c>
      <c r="P5" s="174" t="s">
        <v>283</v>
      </c>
      <c r="Q5" s="174" t="s">
        <v>284</v>
      </c>
      <c r="R5" s="174" t="s">
        <v>283</v>
      </c>
      <c r="S5" s="174" t="s">
        <v>283</v>
      </c>
      <c r="T5" s="175">
        <v>0</v>
      </c>
    </row>
    <row r="6" spans="2:20" x14ac:dyDescent="0.2">
      <c r="B6" s="168" t="s">
        <v>0</v>
      </c>
      <c r="C6" s="168" t="s">
        <v>24</v>
      </c>
      <c r="D6" s="173">
        <v>45716</v>
      </c>
      <c r="E6" s="174" t="s">
        <v>273</v>
      </c>
      <c r="F6" s="174" t="s">
        <v>290</v>
      </c>
      <c r="G6" s="174" t="s">
        <v>291</v>
      </c>
      <c r="H6" s="174" t="s">
        <v>276</v>
      </c>
      <c r="I6" s="174" t="s">
        <v>277</v>
      </c>
      <c r="J6" s="174" t="s">
        <v>278</v>
      </c>
      <c r="K6" s="174" t="s">
        <v>279</v>
      </c>
      <c r="L6" s="174" t="s">
        <v>280</v>
      </c>
      <c r="M6" s="174" t="s">
        <v>281</v>
      </c>
      <c r="N6" s="177">
        <v>9720000</v>
      </c>
      <c r="O6" s="174" t="s">
        <v>282</v>
      </c>
      <c r="P6" s="174" t="s">
        <v>283</v>
      </c>
      <c r="Q6" s="174" t="s">
        <v>284</v>
      </c>
      <c r="R6" s="174" t="s">
        <v>283</v>
      </c>
      <c r="S6" s="174" t="s">
        <v>283</v>
      </c>
      <c r="T6" s="175">
        <v>0</v>
      </c>
    </row>
    <row r="7" spans="2:20" x14ac:dyDescent="0.2">
      <c r="B7" s="168" t="s">
        <v>0</v>
      </c>
      <c r="C7" s="168" t="s">
        <v>24</v>
      </c>
      <c r="D7" s="173">
        <v>45716</v>
      </c>
      <c r="E7" s="174" t="s">
        <v>287</v>
      </c>
      <c r="F7" s="174" t="s">
        <v>292</v>
      </c>
      <c r="G7" s="174" t="s">
        <v>77</v>
      </c>
      <c r="H7" s="174" t="s">
        <v>276</v>
      </c>
      <c r="I7" s="174" t="s">
        <v>277</v>
      </c>
      <c r="J7" s="174" t="s">
        <v>293</v>
      </c>
      <c r="K7" s="174" t="s">
        <v>279</v>
      </c>
      <c r="L7" s="174" t="s">
        <v>280</v>
      </c>
      <c r="M7" s="174" t="s">
        <v>281</v>
      </c>
      <c r="N7" s="177">
        <v>86272326</v>
      </c>
      <c r="O7" s="174" t="s">
        <v>289</v>
      </c>
      <c r="P7" s="174" t="s">
        <v>283</v>
      </c>
      <c r="Q7" s="174" t="s">
        <v>284</v>
      </c>
      <c r="R7" s="174" t="s">
        <v>283</v>
      </c>
      <c r="S7" s="174" t="s">
        <v>283</v>
      </c>
      <c r="T7" s="175">
        <v>0</v>
      </c>
    </row>
    <row r="8" spans="2:20" x14ac:dyDescent="0.2">
      <c r="B8" s="168" t="s">
        <v>0</v>
      </c>
      <c r="C8" s="168" t="s">
        <v>170</v>
      </c>
      <c r="D8" s="173">
        <v>45716</v>
      </c>
      <c r="E8" s="174" t="s">
        <v>294</v>
      </c>
      <c r="F8" s="174" t="s">
        <v>295</v>
      </c>
      <c r="G8" s="174" t="s">
        <v>296</v>
      </c>
      <c r="H8" s="174" t="s">
        <v>276</v>
      </c>
      <c r="I8" s="174" t="s">
        <v>277</v>
      </c>
      <c r="J8" s="174" t="s">
        <v>297</v>
      </c>
      <c r="K8" s="174" t="s">
        <v>279</v>
      </c>
      <c r="L8" s="174" t="s">
        <v>280</v>
      </c>
      <c r="M8" s="174" t="s">
        <v>281</v>
      </c>
      <c r="N8" s="177">
        <v>112158010</v>
      </c>
      <c r="O8" s="174" t="s">
        <v>298</v>
      </c>
      <c r="P8" s="174" t="s">
        <v>283</v>
      </c>
      <c r="Q8" s="174" t="s">
        <v>284</v>
      </c>
      <c r="R8" s="174" t="s">
        <v>283</v>
      </c>
      <c r="S8" s="174" t="s">
        <v>283</v>
      </c>
      <c r="T8" s="175">
        <v>0</v>
      </c>
    </row>
    <row r="9" spans="2:20" x14ac:dyDescent="0.2">
      <c r="B9" s="168" t="s">
        <v>9</v>
      </c>
      <c r="C9" s="168" t="s">
        <v>222</v>
      </c>
      <c r="D9" s="173">
        <v>45694</v>
      </c>
      <c r="E9" s="174" t="s">
        <v>299</v>
      </c>
      <c r="F9" s="174" t="s">
        <v>300</v>
      </c>
      <c r="G9" s="174" t="s">
        <v>222</v>
      </c>
      <c r="H9" s="174" t="s">
        <v>301</v>
      </c>
      <c r="I9" s="174" t="s">
        <v>302</v>
      </c>
      <c r="J9" s="174" t="s">
        <v>303</v>
      </c>
      <c r="K9" s="174" t="s">
        <v>304</v>
      </c>
      <c r="L9" s="174" t="s">
        <v>280</v>
      </c>
      <c r="M9" s="174" t="s">
        <v>281</v>
      </c>
      <c r="N9" s="177">
        <v>400000</v>
      </c>
      <c r="O9" s="174" t="s">
        <v>305</v>
      </c>
      <c r="P9" s="174" t="s">
        <v>283</v>
      </c>
      <c r="Q9" s="174" t="s">
        <v>306</v>
      </c>
      <c r="R9" s="174" t="s">
        <v>283</v>
      </c>
      <c r="S9" s="174" t="s">
        <v>283</v>
      </c>
      <c r="T9" s="175">
        <v>0</v>
      </c>
    </row>
    <row r="10" spans="2:20" x14ac:dyDescent="0.2">
      <c r="B10" s="168" t="s">
        <v>9</v>
      </c>
      <c r="C10" s="168" t="s">
        <v>222</v>
      </c>
      <c r="D10" s="173">
        <v>45694</v>
      </c>
      <c r="E10" s="174" t="s">
        <v>299</v>
      </c>
      <c r="F10" s="174" t="s">
        <v>300</v>
      </c>
      <c r="G10" s="174" t="s">
        <v>222</v>
      </c>
      <c r="H10" s="174" t="s">
        <v>301</v>
      </c>
      <c r="I10" s="174" t="s">
        <v>302</v>
      </c>
      <c r="J10" s="174" t="s">
        <v>307</v>
      </c>
      <c r="K10" s="174" t="s">
        <v>304</v>
      </c>
      <c r="L10" s="174" t="s">
        <v>280</v>
      </c>
      <c r="M10" s="174" t="s">
        <v>281</v>
      </c>
      <c r="N10" s="177">
        <v>200000</v>
      </c>
      <c r="O10" s="174" t="s">
        <v>305</v>
      </c>
      <c r="P10" s="174" t="s">
        <v>283</v>
      </c>
      <c r="Q10" s="174" t="s">
        <v>306</v>
      </c>
      <c r="R10" s="174" t="s">
        <v>283</v>
      </c>
      <c r="S10" s="174" t="s">
        <v>283</v>
      </c>
      <c r="T10" s="175">
        <v>0</v>
      </c>
    </row>
    <row r="11" spans="2:20" x14ac:dyDescent="0.2">
      <c r="B11" s="168" t="s">
        <v>9</v>
      </c>
      <c r="C11" s="168" t="s">
        <v>222</v>
      </c>
      <c r="D11" s="173">
        <v>45694</v>
      </c>
      <c r="E11" s="174" t="s">
        <v>299</v>
      </c>
      <c r="F11" s="174" t="s">
        <v>300</v>
      </c>
      <c r="G11" s="174" t="s">
        <v>222</v>
      </c>
      <c r="H11" s="174" t="s">
        <v>301</v>
      </c>
      <c r="I11" s="174" t="s">
        <v>302</v>
      </c>
      <c r="J11" s="174" t="s">
        <v>308</v>
      </c>
      <c r="K11" s="174" t="s">
        <v>304</v>
      </c>
      <c r="L11" s="174" t="s">
        <v>280</v>
      </c>
      <c r="M11" s="174" t="s">
        <v>281</v>
      </c>
      <c r="N11" s="177">
        <v>200000</v>
      </c>
      <c r="O11" s="174" t="s">
        <v>305</v>
      </c>
      <c r="P11" s="174" t="s">
        <v>283</v>
      </c>
      <c r="Q11" s="174" t="s">
        <v>306</v>
      </c>
      <c r="R11" s="174" t="s">
        <v>283</v>
      </c>
      <c r="S11" s="174" t="s">
        <v>283</v>
      </c>
      <c r="T11" s="175">
        <v>0</v>
      </c>
    </row>
    <row r="12" spans="2:20" x14ac:dyDescent="0.2">
      <c r="B12" s="168" t="s">
        <v>9</v>
      </c>
      <c r="C12" s="168" t="s">
        <v>222</v>
      </c>
      <c r="D12" s="173">
        <v>45694</v>
      </c>
      <c r="E12" s="174" t="s">
        <v>299</v>
      </c>
      <c r="F12" s="174" t="s">
        <v>300</v>
      </c>
      <c r="G12" s="174" t="s">
        <v>222</v>
      </c>
      <c r="H12" s="174" t="s">
        <v>301</v>
      </c>
      <c r="I12" s="174" t="s">
        <v>302</v>
      </c>
      <c r="J12" s="174" t="s">
        <v>309</v>
      </c>
      <c r="K12" s="174" t="s">
        <v>304</v>
      </c>
      <c r="L12" s="174" t="s">
        <v>280</v>
      </c>
      <c r="M12" s="174" t="s">
        <v>281</v>
      </c>
      <c r="N12" s="177">
        <v>200000</v>
      </c>
      <c r="O12" s="174" t="s">
        <v>305</v>
      </c>
      <c r="P12" s="174" t="s">
        <v>283</v>
      </c>
      <c r="Q12" s="174" t="s">
        <v>306</v>
      </c>
      <c r="R12" s="174" t="s">
        <v>283</v>
      </c>
      <c r="S12" s="174" t="s">
        <v>283</v>
      </c>
      <c r="T12" s="175">
        <v>0</v>
      </c>
    </row>
    <row r="13" spans="2:20" x14ac:dyDescent="0.2">
      <c r="B13" s="168" t="s">
        <v>9</v>
      </c>
      <c r="C13" s="168" t="s">
        <v>222</v>
      </c>
      <c r="D13" s="173">
        <v>45694</v>
      </c>
      <c r="E13" s="174" t="s">
        <v>299</v>
      </c>
      <c r="F13" s="174" t="s">
        <v>300</v>
      </c>
      <c r="G13" s="174" t="s">
        <v>222</v>
      </c>
      <c r="H13" s="174" t="s">
        <v>301</v>
      </c>
      <c r="I13" s="174" t="s">
        <v>302</v>
      </c>
      <c r="J13" s="174" t="s">
        <v>310</v>
      </c>
      <c r="K13" s="174" t="s">
        <v>304</v>
      </c>
      <c r="L13" s="174" t="s">
        <v>280</v>
      </c>
      <c r="M13" s="174" t="s">
        <v>281</v>
      </c>
      <c r="N13" s="177">
        <v>1400000</v>
      </c>
      <c r="O13" s="174" t="s">
        <v>305</v>
      </c>
      <c r="P13" s="174" t="s">
        <v>283</v>
      </c>
      <c r="Q13" s="174" t="s">
        <v>306</v>
      </c>
      <c r="R13" s="174" t="s">
        <v>283</v>
      </c>
      <c r="S13" s="174" t="s">
        <v>283</v>
      </c>
      <c r="T13" s="175">
        <v>0</v>
      </c>
    </row>
    <row r="14" spans="2:20" x14ac:dyDescent="0.2">
      <c r="B14" s="168" t="s">
        <v>9</v>
      </c>
      <c r="C14" s="168" t="s">
        <v>222</v>
      </c>
      <c r="D14" s="173">
        <v>45694</v>
      </c>
      <c r="E14" s="174" t="s">
        <v>299</v>
      </c>
      <c r="F14" s="174" t="s">
        <v>300</v>
      </c>
      <c r="G14" s="174" t="s">
        <v>222</v>
      </c>
      <c r="H14" s="174" t="s">
        <v>301</v>
      </c>
      <c r="I14" s="174" t="s">
        <v>302</v>
      </c>
      <c r="J14" s="174" t="s">
        <v>311</v>
      </c>
      <c r="K14" s="174" t="s">
        <v>304</v>
      </c>
      <c r="L14" s="174" t="s">
        <v>280</v>
      </c>
      <c r="M14" s="174" t="s">
        <v>281</v>
      </c>
      <c r="N14" s="177">
        <v>200000</v>
      </c>
      <c r="O14" s="174" t="s">
        <v>305</v>
      </c>
      <c r="P14" s="174" t="s">
        <v>283</v>
      </c>
      <c r="Q14" s="174" t="s">
        <v>306</v>
      </c>
      <c r="R14" s="174" t="s">
        <v>283</v>
      </c>
      <c r="S14" s="174" t="s">
        <v>283</v>
      </c>
      <c r="T14" s="175">
        <v>0</v>
      </c>
    </row>
    <row r="15" spans="2:20" x14ac:dyDescent="0.2">
      <c r="B15" s="168" t="s">
        <v>9</v>
      </c>
      <c r="C15" s="168" t="s">
        <v>222</v>
      </c>
      <c r="D15" s="173">
        <v>45694</v>
      </c>
      <c r="E15" s="174" t="s">
        <v>299</v>
      </c>
      <c r="F15" s="174" t="s">
        <v>300</v>
      </c>
      <c r="G15" s="174" t="s">
        <v>222</v>
      </c>
      <c r="H15" s="174" t="s">
        <v>301</v>
      </c>
      <c r="I15" s="174" t="s">
        <v>302</v>
      </c>
      <c r="J15" s="174" t="s">
        <v>312</v>
      </c>
      <c r="K15" s="174" t="s">
        <v>304</v>
      </c>
      <c r="L15" s="174" t="s">
        <v>280</v>
      </c>
      <c r="M15" s="174" t="s">
        <v>281</v>
      </c>
      <c r="N15" s="177">
        <v>200000</v>
      </c>
      <c r="O15" s="174" t="s">
        <v>305</v>
      </c>
      <c r="P15" s="174" t="s">
        <v>283</v>
      </c>
      <c r="Q15" s="174" t="s">
        <v>306</v>
      </c>
      <c r="R15" s="174" t="s">
        <v>283</v>
      </c>
      <c r="S15" s="174" t="s">
        <v>283</v>
      </c>
      <c r="T15" s="175">
        <v>0</v>
      </c>
    </row>
    <row r="16" spans="2:20" x14ac:dyDescent="0.2">
      <c r="B16" s="168" t="s">
        <v>9</v>
      </c>
      <c r="C16" s="168" t="s">
        <v>222</v>
      </c>
      <c r="D16" s="173">
        <v>45694</v>
      </c>
      <c r="E16" s="174" t="s">
        <v>299</v>
      </c>
      <c r="F16" s="174" t="s">
        <v>300</v>
      </c>
      <c r="G16" s="174" t="s">
        <v>222</v>
      </c>
      <c r="H16" s="174" t="s">
        <v>301</v>
      </c>
      <c r="I16" s="174" t="s">
        <v>302</v>
      </c>
      <c r="J16" s="174" t="s">
        <v>313</v>
      </c>
      <c r="K16" s="174" t="s">
        <v>304</v>
      </c>
      <c r="L16" s="174" t="s">
        <v>280</v>
      </c>
      <c r="M16" s="174" t="s">
        <v>281</v>
      </c>
      <c r="N16" s="177">
        <v>200000</v>
      </c>
      <c r="O16" s="174" t="s">
        <v>305</v>
      </c>
      <c r="P16" s="174" t="s">
        <v>283</v>
      </c>
      <c r="Q16" s="174" t="s">
        <v>306</v>
      </c>
      <c r="R16" s="174" t="s">
        <v>283</v>
      </c>
      <c r="S16" s="174" t="s">
        <v>283</v>
      </c>
      <c r="T16" s="175">
        <v>0</v>
      </c>
    </row>
    <row r="17" spans="2:20" x14ac:dyDescent="0.2">
      <c r="B17" s="168" t="s">
        <v>9</v>
      </c>
      <c r="C17" s="168" t="s">
        <v>222</v>
      </c>
      <c r="D17" s="173">
        <v>45694</v>
      </c>
      <c r="E17" s="174" t="s">
        <v>299</v>
      </c>
      <c r="F17" s="174" t="s">
        <v>300</v>
      </c>
      <c r="G17" s="174" t="s">
        <v>222</v>
      </c>
      <c r="H17" s="174" t="s">
        <v>301</v>
      </c>
      <c r="I17" s="174" t="s">
        <v>302</v>
      </c>
      <c r="J17" s="174" t="s">
        <v>314</v>
      </c>
      <c r="K17" s="174" t="s">
        <v>304</v>
      </c>
      <c r="L17" s="174" t="s">
        <v>280</v>
      </c>
      <c r="M17" s="174" t="s">
        <v>281</v>
      </c>
      <c r="N17" s="177">
        <v>200000</v>
      </c>
      <c r="O17" s="174" t="s">
        <v>305</v>
      </c>
      <c r="P17" s="174" t="s">
        <v>283</v>
      </c>
      <c r="Q17" s="174" t="s">
        <v>306</v>
      </c>
      <c r="R17" s="174" t="s">
        <v>283</v>
      </c>
      <c r="S17" s="174" t="s">
        <v>283</v>
      </c>
      <c r="T17" s="175">
        <v>0</v>
      </c>
    </row>
    <row r="18" spans="2:20" x14ac:dyDescent="0.2">
      <c r="B18" s="168" t="s">
        <v>9</v>
      </c>
      <c r="C18" s="168" t="s">
        <v>222</v>
      </c>
      <c r="D18" s="173">
        <v>45694</v>
      </c>
      <c r="E18" s="174" t="s">
        <v>299</v>
      </c>
      <c r="F18" s="174" t="s">
        <v>300</v>
      </c>
      <c r="G18" s="174" t="s">
        <v>222</v>
      </c>
      <c r="H18" s="174" t="s">
        <v>301</v>
      </c>
      <c r="I18" s="174" t="s">
        <v>302</v>
      </c>
      <c r="J18" s="174" t="s">
        <v>315</v>
      </c>
      <c r="K18" s="174" t="s">
        <v>304</v>
      </c>
      <c r="L18" s="174" t="s">
        <v>280</v>
      </c>
      <c r="M18" s="174" t="s">
        <v>281</v>
      </c>
      <c r="N18" s="177">
        <v>200000</v>
      </c>
      <c r="O18" s="174" t="s">
        <v>305</v>
      </c>
      <c r="P18" s="174" t="s">
        <v>283</v>
      </c>
      <c r="Q18" s="174" t="s">
        <v>306</v>
      </c>
      <c r="R18" s="174" t="s">
        <v>283</v>
      </c>
      <c r="S18" s="174" t="s">
        <v>283</v>
      </c>
      <c r="T18" s="175">
        <v>0</v>
      </c>
    </row>
    <row r="19" spans="2:20" x14ac:dyDescent="0.2">
      <c r="B19" s="168" t="s">
        <v>9</v>
      </c>
      <c r="C19" s="168" t="s">
        <v>222</v>
      </c>
      <c r="D19" s="173">
        <v>45694</v>
      </c>
      <c r="E19" s="174" t="s">
        <v>299</v>
      </c>
      <c r="F19" s="174" t="s">
        <v>300</v>
      </c>
      <c r="G19" s="174" t="s">
        <v>222</v>
      </c>
      <c r="H19" s="174" t="s">
        <v>301</v>
      </c>
      <c r="I19" s="174" t="s">
        <v>302</v>
      </c>
      <c r="J19" s="174" t="s">
        <v>316</v>
      </c>
      <c r="K19" s="174" t="s">
        <v>304</v>
      </c>
      <c r="L19" s="174" t="s">
        <v>280</v>
      </c>
      <c r="M19" s="174" t="s">
        <v>281</v>
      </c>
      <c r="N19" s="177">
        <v>200000</v>
      </c>
      <c r="O19" s="174" t="s">
        <v>305</v>
      </c>
      <c r="P19" s="174" t="s">
        <v>283</v>
      </c>
      <c r="Q19" s="174" t="s">
        <v>306</v>
      </c>
      <c r="R19" s="174" t="s">
        <v>283</v>
      </c>
      <c r="S19" s="174" t="s">
        <v>283</v>
      </c>
      <c r="T19" s="175">
        <v>0</v>
      </c>
    </row>
    <row r="20" spans="2:20" x14ac:dyDescent="0.2">
      <c r="B20" s="168" t="s">
        <v>9</v>
      </c>
      <c r="C20" s="168" t="s">
        <v>222</v>
      </c>
      <c r="D20" s="173">
        <v>45694</v>
      </c>
      <c r="E20" s="174" t="s">
        <v>299</v>
      </c>
      <c r="F20" s="174" t="s">
        <v>300</v>
      </c>
      <c r="G20" s="174" t="s">
        <v>222</v>
      </c>
      <c r="H20" s="174" t="s">
        <v>301</v>
      </c>
      <c r="I20" s="174" t="s">
        <v>302</v>
      </c>
      <c r="J20" s="174" t="s">
        <v>317</v>
      </c>
      <c r="K20" s="174" t="s">
        <v>304</v>
      </c>
      <c r="L20" s="174" t="s">
        <v>280</v>
      </c>
      <c r="M20" s="174" t="s">
        <v>281</v>
      </c>
      <c r="N20" s="177">
        <v>200000</v>
      </c>
      <c r="O20" s="174" t="s">
        <v>305</v>
      </c>
      <c r="P20" s="174" t="s">
        <v>283</v>
      </c>
      <c r="Q20" s="174" t="s">
        <v>306</v>
      </c>
      <c r="R20" s="174" t="s">
        <v>283</v>
      </c>
      <c r="S20" s="174" t="s">
        <v>283</v>
      </c>
      <c r="T20" s="175">
        <v>0</v>
      </c>
    </row>
    <row r="21" spans="2:20" x14ac:dyDescent="0.2">
      <c r="B21" s="168" t="s">
        <v>9</v>
      </c>
      <c r="C21" s="168" t="s">
        <v>222</v>
      </c>
      <c r="D21" s="173">
        <v>45694</v>
      </c>
      <c r="E21" s="174" t="s">
        <v>299</v>
      </c>
      <c r="F21" s="174" t="s">
        <v>300</v>
      </c>
      <c r="G21" s="174" t="s">
        <v>222</v>
      </c>
      <c r="H21" s="174" t="s">
        <v>301</v>
      </c>
      <c r="I21" s="174" t="s">
        <v>302</v>
      </c>
      <c r="J21" s="174" t="s">
        <v>318</v>
      </c>
      <c r="K21" s="174" t="s">
        <v>304</v>
      </c>
      <c r="L21" s="174" t="s">
        <v>280</v>
      </c>
      <c r="M21" s="174" t="s">
        <v>281</v>
      </c>
      <c r="N21" s="177">
        <v>200000</v>
      </c>
      <c r="O21" s="174" t="s">
        <v>305</v>
      </c>
      <c r="P21" s="174" t="s">
        <v>283</v>
      </c>
      <c r="Q21" s="174" t="s">
        <v>306</v>
      </c>
      <c r="R21" s="174" t="s">
        <v>283</v>
      </c>
      <c r="S21" s="174" t="s">
        <v>283</v>
      </c>
      <c r="T21" s="175">
        <v>0</v>
      </c>
    </row>
    <row r="22" spans="2:20" x14ac:dyDescent="0.2">
      <c r="B22" s="168" t="s">
        <v>5</v>
      </c>
      <c r="C22" s="168" t="s">
        <v>222</v>
      </c>
      <c r="D22" s="173">
        <v>45707</v>
      </c>
      <c r="E22" s="174" t="s">
        <v>319</v>
      </c>
      <c r="F22" s="174" t="s">
        <v>300</v>
      </c>
      <c r="G22" s="174" t="s">
        <v>222</v>
      </c>
      <c r="H22" s="174" t="s">
        <v>320</v>
      </c>
      <c r="I22" s="174" t="s">
        <v>321</v>
      </c>
      <c r="J22" s="174" t="s">
        <v>322</v>
      </c>
      <c r="K22" s="174" t="s">
        <v>323</v>
      </c>
      <c r="L22" s="174" t="s">
        <v>280</v>
      </c>
      <c r="M22" s="174" t="s">
        <v>281</v>
      </c>
      <c r="N22" s="177">
        <v>2981191</v>
      </c>
      <c r="O22" s="174" t="s">
        <v>324</v>
      </c>
      <c r="P22" s="174" t="s">
        <v>283</v>
      </c>
      <c r="Q22" s="174" t="s">
        <v>325</v>
      </c>
      <c r="R22" s="174" t="s">
        <v>283</v>
      </c>
      <c r="S22" s="174" t="s">
        <v>283</v>
      </c>
      <c r="T22" s="175">
        <v>0</v>
      </c>
    </row>
    <row r="23" spans="2:20" x14ac:dyDescent="0.2">
      <c r="B23" s="168" t="s">
        <v>9</v>
      </c>
      <c r="C23" s="168" t="s">
        <v>22</v>
      </c>
      <c r="D23" s="173">
        <v>45715</v>
      </c>
      <c r="E23" s="174" t="s">
        <v>326</v>
      </c>
      <c r="F23" s="174" t="s">
        <v>274</v>
      </c>
      <c r="G23" s="174" t="s">
        <v>275</v>
      </c>
      <c r="H23" s="174" t="s">
        <v>301</v>
      </c>
      <c r="I23" s="174" t="s">
        <v>302</v>
      </c>
      <c r="J23" s="174" t="s">
        <v>327</v>
      </c>
      <c r="K23" s="174" t="s">
        <v>328</v>
      </c>
      <c r="L23" s="174" t="s">
        <v>280</v>
      </c>
      <c r="M23" s="174" t="s">
        <v>281</v>
      </c>
      <c r="N23" s="177">
        <v>75016430</v>
      </c>
      <c r="O23" s="174" t="s">
        <v>329</v>
      </c>
      <c r="P23" s="174" t="s">
        <v>283</v>
      </c>
      <c r="Q23" s="174" t="s">
        <v>306</v>
      </c>
      <c r="R23" s="174" t="s">
        <v>283</v>
      </c>
      <c r="S23" s="174" t="s">
        <v>283</v>
      </c>
      <c r="T23" s="175">
        <v>0</v>
      </c>
    </row>
    <row r="24" spans="2:20" x14ac:dyDescent="0.2">
      <c r="B24" s="168" t="s">
        <v>9</v>
      </c>
      <c r="C24" s="168" t="s">
        <v>222</v>
      </c>
      <c r="D24" s="173">
        <v>45715</v>
      </c>
      <c r="E24" s="174" t="s">
        <v>330</v>
      </c>
      <c r="F24" s="174" t="s">
        <v>300</v>
      </c>
      <c r="G24" s="174" t="s">
        <v>222</v>
      </c>
      <c r="H24" s="174" t="s">
        <v>301</v>
      </c>
      <c r="I24" s="174" t="s">
        <v>302</v>
      </c>
      <c r="J24" s="174" t="s">
        <v>331</v>
      </c>
      <c r="K24" s="174" t="s">
        <v>332</v>
      </c>
      <c r="L24" s="174" t="s">
        <v>280</v>
      </c>
      <c r="M24" s="174" t="s">
        <v>281</v>
      </c>
      <c r="N24" s="177">
        <v>5400000</v>
      </c>
      <c r="O24" s="174" t="s">
        <v>333</v>
      </c>
      <c r="P24" s="174" t="s">
        <v>283</v>
      </c>
      <c r="Q24" s="174" t="s">
        <v>306</v>
      </c>
      <c r="R24" s="174" t="s">
        <v>283</v>
      </c>
      <c r="S24" s="174" t="s">
        <v>283</v>
      </c>
      <c r="T24" s="175">
        <v>0</v>
      </c>
    </row>
    <row r="25" spans="2:20" x14ac:dyDescent="0.2">
      <c r="B25" s="168" t="s">
        <v>9</v>
      </c>
      <c r="C25" s="168" t="s">
        <v>25</v>
      </c>
      <c r="D25" s="173">
        <v>45715</v>
      </c>
      <c r="E25" s="174" t="s">
        <v>334</v>
      </c>
      <c r="F25" s="174" t="s">
        <v>335</v>
      </c>
      <c r="G25" s="174" t="s">
        <v>336</v>
      </c>
      <c r="H25" s="174" t="s">
        <v>301</v>
      </c>
      <c r="I25" s="174" t="s">
        <v>302</v>
      </c>
      <c r="J25" s="174" t="s">
        <v>337</v>
      </c>
      <c r="K25" s="174" t="s">
        <v>338</v>
      </c>
      <c r="L25" s="174" t="s">
        <v>280</v>
      </c>
      <c r="M25" s="174" t="s">
        <v>281</v>
      </c>
      <c r="N25" s="177">
        <v>24000000</v>
      </c>
      <c r="O25" s="174" t="s">
        <v>339</v>
      </c>
      <c r="P25" s="174" t="s">
        <v>283</v>
      </c>
      <c r="Q25" s="174" t="s">
        <v>306</v>
      </c>
      <c r="R25" s="174" t="s">
        <v>283</v>
      </c>
      <c r="S25" s="174" t="s">
        <v>283</v>
      </c>
      <c r="T25" s="175">
        <v>0</v>
      </c>
    </row>
    <row r="26" spans="2:20" x14ac:dyDescent="0.2">
      <c r="B26" s="168" t="s">
        <v>5</v>
      </c>
      <c r="C26" s="168" t="s">
        <v>25</v>
      </c>
      <c r="D26" s="173">
        <v>45715</v>
      </c>
      <c r="E26" s="174" t="s">
        <v>334</v>
      </c>
      <c r="F26" s="174" t="s">
        <v>335</v>
      </c>
      <c r="G26" s="174" t="s">
        <v>336</v>
      </c>
      <c r="H26" s="174" t="s">
        <v>320</v>
      </c>
      <c r="I26" s="174" t="s">
        <v>321</v>
      </c>
      <c r="J26" s="174" t="s">
        <v>337</v>
      </c>
      <c r="K26" s="174" t="s">
        <v>338</v>
      </c>
      <c r="L26" s="174" t="s">
        <v>280</v>
      </c>
      <c r="M26" s="174" t="s">
        <v>281</v>
      </c>
      <c r="N26" s="177">
        <v>2300000</v>
      </c>
      <c r="O26" s="174" t="s">
        <v>339</v>
      </c>
      <c r="P26" s="174" t="s">
        <v>283</v>
      </c>
      <c r="Q26" s="174" t="s">
        <v>306</v>
      </c>
      <c r="R26" s="174" t="s">
        <v>283</v>
      </c>
      <c r="S26" s="174" t="s">
        <v>283</v>
      </c>
      <c r="T26" s="175">
        <v>0</v>
      </c>
    </row>
    <row r="27" spans="2:20" x14ac:dyDescent="0.2">
      <c r="B27" s="168" t="s">
        <v>5</v>
      </c>
      <c r="C27" s="168" t="s">
        <v>22</v>
      </c>
      <c r="D27" s="173">
        <v>45716</v>
      </c>
      <c r="E27" s="174" t="s">
        <v>273</v>
      </c>
      <c r="F27" s="174" t="s">
        <v>274</v>
      </c>
      <c r="G27" s="174" t="s">
        <v>275</v>
      </c>
      <c r="H27" s="174" t="s">
        <v>320</v>
      </c>
      <c r="I27" s="174" t="s">
        <v>321</v>
      </c>
      <c r="J27" s="174" t="s">
        <v>278</v>
      </c>
      <c r="K27" s="174" t="s">
        <v>279</v>
      </c>
      <c r="L27" s="174" t="s">
        <v>280</v>
      </c>
      <c r="M27" s="174" t="s">
        <v>281</v>
      </c>
      <c r="N27" s="177">
        <v>78382572</v>
      </c>
      <c r="O27" s="174" t="s">
        <v>282</v>
      </c>
      <c r="P27" s="174" t="s">
        <v>283</v>
      </c>
      <c r="Q27" s="174" t="s">
        <v>284</v>
      </c>
      <c r="R27" s="174" t="s">
        <v>283</v>
      </c>
      <c r="S27" s="174" t="s">
        <v>283</v>
      </c>
      <c r="T27" s="175">
        <v>0</v>
      </c>
    </row>
    <row r="28" spans="2:20" x14ac:dyDescent="0.2">
      <c r="B28" s="168" t="s">
        <v>5</v>
      </c>
      <c r="C28" s="168" t="s">
        <v>22</v>
      </c>
      <c r="D28" s="173">
        <v>45716</v>
      </c>
      <c r="E28" s="174" t="s">
        <v>273</v>
      </c>
      <c r="F28" s="174" t="s">
        <v>285</v>
      </c>
      <c r="G28" s="174" t="s">
        <v>286</v>
      </c>
      <c r="H28" s="174" t="s">
        <v>320</v>
      </c>
      <c r="I28" s="174" t="s">
        <v>321</v>
      </c>
      <c r="J28" s="174" t="s">
        <v>278</v>
      </c>
      <c r="K28" s="174" t="s">
        <v>279</v>
      </c>
      <c r="L28" s="174" t="s">
        <v>280</v>
      </c>
      <c r="M28" s="174" t="s">
        <v>281</v>
      </c>
      <c r="N28" s="177">
        <v>2021153</v>
      </c>
      <c r="O28" s="174" t="s">
        <v>282</v>
      </c>
      <c r="P28" s="174" t="s">
        <v>283</v>
      </c>
      <c r="Q28" s="174" t="s">
        <v>284</v>
      </c>
      <c r="R28" s="174" t="s">
        <v>283</v>
      </c>
      <c r="S28" s="174" t="s">
        <v>283</v>
      </c>
      <c r="T28" s="175">
        <v>0</v>
      </c>
    </row>
    <row r="29" spans="2:20" x14ac:dyDescent="0.2">
      <c r="B29" s="168" t="s">
        <v>5</v>
      </c>
      <c r="C29" s="168" t="s">
        <v>24</v>
      </c>
      <c r="D29" s="173">
        <v>45716</v>
      </c>
      <c r="E29" s="174" t="s">
        <v>273</v>
      </c>
      <c r="F29" s="174" t="s">
        <v>290</v>
      </c>
      <c r="G29" s="174" t="s">
        <v>291</v>
      </c>
      <c r="H29" s="174" t="s">
        <v>320</v>
      </c>
      <c r="I29" s="174" t="s">
        <v>321</v>
      </c>
      <c r="J29" s="174" t="s">
        <v>278</v>
      </c>
      <c r="K29" s="174" t="s">
        <v>279</v>
      </c>
      <c r="L29" s="174" t="s">
        <v>280</v>
      </c>
      <c r="M29" s="174" t="s">
        <v>281</v>
      </c>
      <c r="N29" s="177">
        <v>1500000</v>
      </c>
      <c r="O29" s="174" t="s">
        <v>282</v>
      </c>
      <c r="P29" s="174" t="s">
        <v>283</v>
      </c>
      <c r="Q29" s="174" t="s">
        <v>284</v>
      </c>
      <c r="R29" s="174" t="s">
        <v>283</v>
      </c>
      <c r="S29" s="174" t="s">
        <v>283</v>
      </c>
      <c r="T29" s="175">
        <v>0</v>
      </c>
    </row>
    <row r="30" spans="2:20" x14ac:dyDescent="0.2">
      <c r="B30" s="168" t="s">
        <v>5</v>
      </c>
      <c r="C30" s="168" t="s">
        <v>25</v>
      </c>
      <c r="D30" s="173">
        <v>45716</v>
      </c>
      <c r="E30" s="174" t="s">
        <v>273</v>
      </c>
      <c r="F30" s="174" t="s">
        <v>335</v>
      </c>
      <c r="G30" s="174" t="s">
        <v>336</v>
      </c>
      <c r="H30" s="174" t="s">
        <v>320</v>
      </c>
      <c r="I30" s="174" t="s">
        <v>321</v>
      </c>
      <c r="J30" s="174" t="s">
        <v>278</v>
      </c>
      <c r="K30" s="174" t="s">
        <v>279</v>
      </c>
      <c r="L30" s="174" t="s">
        <v>280</v>
      </c>
      <c r="M30" s="174" t="s">
        <v>281</v>
      </c>
      <c r="N30" s="177">
        <v>100000</v>
      </c>
      <c r="O30" s="174" t="s">
        <v>282</v>
      </c>
      <c r="P30" s="174" t="s">
        <v>283</v>
      </c>
      <c r="Q30" s="174" t="s">
        <v>284</v>
      </c>
      <c r="R30" s="174" t="s">
        <v>283</v>
      </c>
      <c r="S30" s="174" t="s">
        <v>283</v>
      </c>
      <c r="T30" s="175">
        <v>0</v>
      </c>
    </row>
    <row r="31" spans="2:20" x14ac:dyDescent="0.2">
      <c r="B31" s="168" t="s">
        <v>9</v>
      </c>
      <c r="C31" s="168" t="s">
        <v>25</v>
      </c>
      <c r="D31" s="173">
        <v>45716</v>
      </c>
      <c r="E31" s="174" t="s">
        <v>273</v>
      </c>
      <c r="F31" s="174" t="s">
        <v>340</v>
      </c>
      <c r="G31" s="174" t="s">
        <v>341</v>
      </c>
      <c r="H31" s="174" t="s">
        <v>301</v>
      </c>
      <c r="I31" s="174" t="s">
        <v>302</v>
      </c>
      <c r="J31" s="174" t="s">
        <v>278</v>
      </c>
      <c r="K31" s="174" t="s">
        <v>279</v>
      </c>
      <c r="L31" s="174" t="s">
        <v>280</v>
      </c>
      <c r="M31" s="174" t="s">
        <v>281</v>
      </c>
      <c r="N31" s="177">
        <v>10003980</v>
      </c>
      <c r="O31" s="174" t="s">
        <v>282</v>
      </c>
      <c r="P31" s="174" t="s">
        <v>283</v>
      </c>
      <c r="Q31" s="174" t="s">
        <v>284</v>
      </c>
      <c r="R31" s="174" t="s">
        <v>283</v>
      </c>
      <c r="S31" s="174" t="s">
        <v>283</v>
      </c>
      <c r="T31" s="175">
        <v>0</v>
      </c>
    </row>
    <row r="32" spans="2:20" x14ac:dyDescent="0.2">
      <c r="B32" s="168" t="s">
        <v>9</v>
      </c>
      <c r="C32" s="168" t="s">
        <v>22</v>
      </c>
      <c r="D32" s="173">
        <v>45716</v>
      </c>
      <c r="E32" s="174" t="s">
        <v>273</v>
      </c>
      <c r="F32" s="174" t="s">
        <v>274</v>
      </c>
      <c r="G32" s="174" t="s">
        <v>275</v>
      </c>
      <c r="H32" s="174" t="s">
        <v>301</v>
      </c>
      <c r="I32" s="174" t="s">
        <v>302</v>
      </c>
      <c r="J32" s="174" t="s">
        <v>278</v>
      </c>
      <c r="K32" s="174" t="s">
        <v>279</v>
      </c>
      <c r="L32" s="174" t="s">
        <v>280</v>
      </c>
      <c r="M32" s="174" t="s">
        <v>281</v>
      </c>
      <c r="N32" s="177">
        <v>398584555</v>
      </c>
      <c r="O32" s="174" t="s">
        <v>282</v>
      </c>
      <c r="P32" s="174" t="s">
        <v>283</v>
      </c>
      <c r="Q32" s="174" t="s">
        <v>284</v>
      </c>
      <c r="R32" s="174" t="s">
        <v>283</v>
      </c>
      <c r="S32" s="174" t="s">
        <v>283</v>
      </c>
      <c r="T32" s="175">
        <v>0</v>
      </c>
    </row>
    <row r="33" spans="2:20" x14ac:dyDescent="0.2">
      <c r="B33" s="168" t="s">
        <v>9</v>
      </c>
      <c r="C33" s="168" t="s">
        <v>22</v>
      </c>
      <c r="D33" s="173">
        <v>45716</v>
      </c>
      <c r="E33" s="174" t="s">
        <v>273</v>
      </c>
      <c r="F33" s="174" t="s">
        <v>285</v>
      </c>
      <c r="G33" s="174" t="s">
        <v>286</v>
      </c>
      <c r="H33" s="174" t="s">
        <v>301</v>
      </c>
      <c r="I33" s="174" t="s">
        <v>302</v>
      </c>
      <c r="J33" s="174" t="s">
        <v>278</v>
      </c>
      <c r="K33" s="174" t="s">
        <v>279</v>
      </c>
      <c r="L33" s="174" t="s">
        <v>280</v>
      </c>
      <c r="M33" s="174" t="s">
        <v>281</v>
      </c>
      <c r="N33" s="177">
        <v>13708326</v>
      </c>
      <c r="O33" s="174" t="s">
        <v>282</v>
      </c>
      <c r="P33" s="174" t="s">
        <v>283</v>
      </c>
      <c r="Q33" s="174" t="s">
        <v>284</v>
      </c>
      <c r="R33" s="174" t="s">
        <v>283</v>
      </c>
      <c r="S33" s="174" t="s">
        <v>283</v>
      </c>
      <c r="T33" s="175">
        <v>0</v>
      </c>
    </row>
    <row r="34" spans="2:20" x14ac:dyDescent="0.2">
      <c r="B34" s="168" t="s">
        <v>9</v>
      </c>
      <c r="C34" s="168" t="s">
        <v>23</v>
      </c>
      <c r="D34" s="173">
        <v>45716</v>
      </c>
      <c r="E34" s="174" t="s">
        <v>273</v>
      </c>
      <c r="F34" s="174" t="s">
        <v>342</v>
      </c>
      <c r="G34" s="174" t="s">
        <v>343</v>
      </c>
      <c r="H34" s="174" t="s">
        <v>301</v>
      </c>
      <c r="I34" s="174" t="s">
        <v>302</v>
      </c>
      <c r="J34" s="174" t="s">
        <v>278</v>
      </c>
      <c r="K34" s="174" t="s">
        <v>279</v>
      </c>
      <c r="L34" s="174" t="s">
        <v>280</v>
      </c>
      <c r="M34" s="174" t="s">
        <v>281</v>
      </c>
      <c r="N34" s="177">
        <v>141925157</v>
      </c>
      <c r="O34" s="174" t="s">
        <v>282</v>
      </c>
      <c r="P34" s="174" t="s">
        <v>283</v>
      </c>
      <c r="Q34" s="174" t="s">
        <v>284</v>
      </c>
      <c r="R34" s="174" t="s">
        <v>283</v>
      </c>
      <c r="S34" s="174" t="s">
        <v>283</v>
      </c>
      <c r="T34" s="175">
        <v>0</v>
      </c>
    </row>
    <row r="35" spans="2:20" x14ac:dyDescent="0.2">
      <c r="B35" s="168" t="s">
        <v>9</v>
      </c>
      <c r="C35" s="168" t="s">
        <v>24</v>
      </c>
      <c r="D35" s="173">
        <v>45716</v>
      </c>
      <c r="E35" s="174" t="s">
        <v>273</v>
      </c>
      <c r="F35" s="174" t="s">
        <v>290</v>
      </c>
      <c r="G35" s="174" t="s">
        <v>291</v>
      </c>
      <c r="H35" s="174" t="s">
        <v>301</v>
      </c>
      <c r="I35" s="174" t="s">
        <v>302</v>
      </c>
      <c r="J35" s="174" t="s">
        <v>278</v>
      </c>
      <c r="K35" s="174" t="s">
        <v>279</v>
      </c>
      <c r="L35" s="174" t="s">
        <v>280</v>
      </c>
      <c r="M35" s="174" t="s">
        <v>281</v>
      </c>
      <c r="N35" s="177">
        <v>17000000</v>
      </c>
      <c r="O35" s="174" t="s">
        <v>282</v>
      </c>
      <c r="P35" s="174" t="s">
        <v>283</v>
      </c>
      <c r="Q35" s="174" t="s">
        <v>284</v>
      </c>
      <c r="R35" s="174" t="s">
        <v>283</v>
      </c>
      <c r="S35" s="174" t="s">
        <v>283</v>
      </c>
      <c r="T35" s="175">
        <v>0</v>
      </c>
    </row>
    <row r="36" spans="2:20" x14ac:dyDescent="0.2">
      <c r="B36" s="168" t="s">
        <v>9</v>
      </c>
      <c r="C36" s="168" t="s">
        <v>25</v>
      </c>
      <c r="D36" s="173">
        <v>45716</v>
      </c>
      <c r="E36" s="174" t="s">
        <v>273</v>
      </c>
      <c r="F36" s="174" t="s">
        <v>335</v>
      </c>
      <c r="G36" s="174" t="s">
        <v>336</v>
      </c>
      <c r="H36" s="174" t="s">
        <v>301</v>
      </c>
      <c r="I36" s="174" t="s">
        <v>302</v>
      </c>
      <c r="J36" s="174" t="s">
        <v>278</v>
      </c>
      <c r="K36" s="174" t="s">
        <v>279</v>
      </c>
      <c r="L36" s="174" t="s">
        <v>280</v>
      </c>
      <c r="M36" s="174" t="s">
        <v>281</v>
      </c>
      <c r="N36" s="177">
        <v>8310000</v>
      </c>
      <c r="O36" s="174" t="s">
        <v>282</v>
      </c>
      <c r="P36" s="174" t="s">
        <v>283</v>
      </c>
      <c r="Q36" s="174" t="s">
        <v>284</v>
      </c>
      <c r="R36" s="174" t="s">
        <v>283</v>
      </c>
      <c r="S36" s="174" t="s">
        <v>283</v>
      </c>
      <c r="T36" s="175">
        <v>0</v>
      </c>
    </row>
    <row r="37" spans="2:20" x14ac:dyDescent="0.2">
      <c r="B37" s="168" t="s">
        <v>5</v>
      </c>
      <c r="C37" s="168" t="s">
        <v>170</v>
      </c>
      <c r="D37" s="173">
        <v>45716</v>
      </c>
      <c r="E37" s="174" t="s">
        <v>294</v>
      </c>
      <c r="F37" s="174" t="s">
        <v>295</v>
      </c>
      <c r="G37" s="174" t="s">
        <v>296</v>
      </c>
      <c r="H37" s="174" t="s">
        <v>320</v>
      </c>
      <c r="I37" s="174" t="s">
        <v>321</v>
      </c>
      <c r="J37" s="174" t="s">
        <v>297</v>
      </c>
      <c r="K37" s="174" t="s">
        <v>279</v>
      </c>
      <c r="L37" s="174" t="s">
        <v>280</v>
      </c>
      <c r="M37" s="174" t="s">
        <v>281</v>
      </c>
      <c r="N37" s="177">
        <v>20503750</v>
      </c>
      <c r="O37" s="174" t="s">
        <v>298</v>
      </c>
      <c r="P37" s="174" t="s">
        <v>283</v>
      </c>
      <c r="Q37" s="174" t="s">
        <v>284</v>
      </c>
      <c r="R37" s="174" t="s">
        <v>283</v>
      </c>
      <c r="S37" s="174" t="s">
        <v>283</v>
      </c>
      <c r="T37" s="175">
        <v>0</v>
      </c>
    </row>
    <row r="38" spans="2:20" x14ac:dyDescent="0.2">
      <c r="B38" s="168" t="s">
        <v>9</v>
      </c>
      <c r="C38" s="168" t="s">
        <v>170</v>
      </c>
      <c r="D38" s="173">
        <v>45716</v>
      </c>
      <c r="E38" s="174" t="s">
        <v>294</v>
      </c>
      <c r="F38" s="174" t="s">
        <v>295</v>
      </c>
      <c r="G38" s="174" t="s">
        <v>296</v>
      </c>
      <c r="H38" s="174" t="s">
        <v>301</v>
      </c>
      <c r="I38" s="174" t="s">
        <v>302</v>
      </c>
      <c r="J38" s="174" t="s">
        <v>297</v>
      </c>
      <c r="K38" s="174" t="s">
        <v>279</v>
      </c>
      <c r="L38" s="174" t="s">
        <v>280</v>
      </c>
      <c r="M38" s="174" t="s">
        <v>281</v>
      </c>
      <c r="N38" s="177">
        <v>98111460</v>
      </c>
      <c r="O38" s="174" t="s">
        <v>298</v>
      </c>
      <c r="P38" s="174" t="s">
        <v>283</v>
      </c>
      <c r="Q38" s="174" t="s">
        <v>284</v>
      </c>
      <c r="R38" s="174" t="s">
        <v>283</v>
      </c>
      <c r="S38" s="174" t="s">
        <v>283</v>
      </c>
      <c r="T38" s="175">
        <v>0</v>
      </c>
    </row>
    <row r="39" spans="2:20" x14ac:dyDescent="0.2">
      <c r="B39" s="168" t="s">
        <v>5</v>
      </c>
      <c r="C39" s="168" t="s">
        <v>22</v>
      </c>
      <c r="D39" s="173">
        <v>45716</v>
      </c>
      <c r="E39" s="174" t="s">
        <v>287</v>
      </c>
      <c r="F39" s="174" t="s">
        <v>285</v>
      </c>
      <c r="G39" s="174" t="s">
        <v>286</v>
      </c>
      <c r="H39" s="174" t="s">
        <v>320</v>
      </c>
      <c r="I39" s="174" t="s">
        <v>321</v>
      </c>
      <c r="J39" s="174" t="s">
        <v>288</v>
      </c>
      <c r="K39" s="174" t="s">
        <v>279</v>
      </c>
      <c r="L39" s="174" t="s">
        <v>280</v>
      </c>
      <c r="M39" s="174" t="s">
        <v>281</v>
      </c>
      <c r="N39" s="177">
        <v>7270833</v>
      </c>
      <c r="O39" s="174" t="s">
        <v>289</v>
      </c>
      <c r="P39" s="174" t="s">
        <v>283</v>
      </c>
      <c r="Q39" s="174" t="s">
        <v>284</v>
      </c>
      <c r="R39" s="174" t="s">
        <v>283</v>
      </c>
      <c r="S39" s="174" t="s">
        <v>283</v>
      </c>
      <c r="T39" s="175">
        <v>0</v>
      </c>
    </row>
    <row r="40" spans="2:20" x14ac:dyDescent="0.2">
      <c r="B40" s="168" t="s">
        <v>5</v>
      </c>
      <c r="C40" s="168" t="s">
        <v>24</v>
      </c>
      <c r="D40" s="173">
        <v>45716</v>
      </c>
      <c r="E40" s="174" t="s">
        <v>287</v>
      </c>
      <c r="F40" s="174" t="s">
        <v>292</v>
      </c>
      <c r="G40" s="174" t="s">
        <v>77</v>
      </c>
      <c r="H40" s="174" t="s">
        <v>320</v>
      </c>
      <c r="I40" s="174" t="s">
        <v>321</v>
      </c>
      <c r="J40" s="174" t="s">
        <v>293</v>
      </c>
      <c r="K40" s="174" t="s">
        <v>279</v>
      </c>
      <c r="L40" s="174" t="s">
        <v>280</v>
      </c>
      <c r="M40" s="174" t="s">
        <v>281</v>
      </c>
      <c r="N40" s="177">
        <v>6689109</v>
      </c>
      <c r="O40" s="174" t="s">
        <v>289</v>
      </c>
      <c r="P40" s="174" t="s">
        <v>283</v>
      </c>
      <c r="Q40" s="174" t="s">
        <v>284</v>
      </c>
      <c r="R40" s="174" t="s">
        <v>283</v>
      </c>
      <c r="S40" s="174" t="s">
        <v>283</v>
      </c>
      <c r="T40" s="175">
        <v>0</v>
      </c>
    </row>
    <row r="41" spans="2:20" x14ac:dyDescent="0.2">
      <c r="B41" s="168" t="s">
        <v>9</v>
      </c>
      <c r="C41" s="168" t="s">
        <v>22</v>
      </c>
      <c r="D41" s="173">
        <v>45716</v>
      </c>
      <c r="E41" s="174" t="s">
        <v>287</v>
      </c>
      <c r="F41" s="174" t="s">
        <v>285</v>
      </c>
      <c r="G41" s="174" t="s">
        <v>286</v>
      </c>
      <c r="H41" s="174" t="s">
        <v>301</v>
      </c>
      <c r="I41" s="174" t="s">
        <v>302</v>
      </c>
      <c r="J41" s="174" t="s">
        <v>288</v>
      </c>
      <c r="K41" s="174" t="s">
        <v>279</v>
      </c>
      <c r="L41" s="174" t="s">
        <v>280</v>
      </c>
      <c r="M41" s="174" t="s">
        <v>281</v>
      </c>
      <c r="N41" s="177">
        <v>37748605</v>
      </c>
      <c r="O41" s="174" t="s">
        <v>289</v>
      </c>
      <c r="P41" s="174" t="s">
        <v>283</v>
      </c>
      <c r="Q41" s="174" t="s">
        <v>284</v>
      </c>
      <c r="R41" s="174" t="s">
        <v>283</v>
      </c>
      <c r="S41" s="174" t="s">
        <v>283</v>
      </c>
      <c r="T41" s="175">
        <v>0</v>
      </c>
    </row>
    <row r="42" spans="2:20" x14ac:dyDescent="0.2">
      <c r="B42" s="168" t="s">
        <v>9</v>
      </c>
      <c r="C42" s="168" t="s">
        <v>24</v>
      </c>
      <c r="D42" s="173">
        <v>45716</v>
      </c>
      <c r="E42" s="174" t="s">
        <v>287</v>
      </c>
      <c r="F42" s="174" t="s">
        <v>292</v>
      </c>
      <c r="G42" s="174" t="s">
        <v>77</v>
      </c>
      <c r="H42" s="174" t="s">
        <v>301</v>
      </c>
      <c r="I42" s="174" t="s">
        <v>302</v>
      </c>
      <c r="J42" s="174" t="s">
        <v>293</v>
      </c>
      <c r="K42" s="174" t="s">
        <v>279</v>
      </c>
      <c r="L42" s="174" t="s">
        <v>280</v>
      </c>
      <c r="M42" s="174" t="s">
        <v>281</v>
      </c>
      <c r="N42" s="177">
        <v>29025176</v>
      </c>
      <c r="O42" s="174" t="s">
        <v>289</v>
      </c>
      <c r="P42" s="174" t="s">
        <v>283</v>
      </c>
      <c r="Q42" s="174" t="s">
        <v>284</v>
      </c>
      <c r="R42" s="174" t="s">
        <v>283</v>
      </c>
      <c r="S42" s="174" t="s">
        <v>283</v>
      </c>
      <c r="T42" s="175">
        <v>0</v>
      </c>
    </row>
    <row r="43" spans="2:20" x14ac:dyDescent="0.2">
      <c r="B43" s="168" t="s">
        <v>9</v>
      </c>
      <c r="C43" s="168" t="s">
        <v>222</v>
      </c>
      <c r="D43" s="173">
        <v>45716</v>
      </c>
      <c r="E43" s="174" t="s">
        <v>344</v>
      </c>
      <c r="F43" s="174" t="s">
        <v>300</v>
      </c>
      <c r="G43" s="174" t="s">
        <v>222</v>
      </c>
      <c r="H43" s="174" t="s">
        <v>301</v>
      </c>
      <c r="I43" s="174" t="s">
        <v>302</v>
      </c>
      <c r="J43" s="174" t="s">
        <v>345</v>
      </c>
      <c r="K43" s="174" t="s">
        <v>346</v>
      </c>
      <c r="L43" s="174" t="s">
        <v>280</v>
      </c>
      <c r="M43" s="174" t="s">
        <v>281</v>
      </c>
      <c r="N43" s="177">
        <v>-4000000</v>
      </c>
      <c r="O43" s="174" t="s">
        <v>347</v>
      </c>
      <c r="P43" s="174" t="s">
        <v>283</v>
      </c>
      <c r="Q43" s="174" t="s">
        <v>348</v>
      </c>
      <c r="R43" s="174" t="s">
        <v>283</v>
      </c>
      <c r="S43" s="174" t="s">
        <v>283</v>
      </c>
      <c r="T43" s="175">
        <v>0</v>
      </c>
    </row>
    <row r="44" spans="2:20" x14ac:dyDescent="0.2">
      <c r="B44" s="168" t="s">
        <v>5</v>
      </c>
      <c r="C44" s="168" t="s">
        <v>222</v>
      </c>
      <c r="D44" s="173">
        <v>45716</v>
      </c>
      <c r="E44" s="174" t="s">
        <v>349</v>
      </c>
      <c r="F44" s="174" t="s">
        <v>300</v>
      </c>
      <c r="G44" s="174" t="s">
        <v>222</v>
      </c>
      <c r="H44" s="174" t="s">
        <v>320</v>
      </c>
      <c r="I44" s="174" t="s">
        <v>321</v>
      </c>
      <c r="J44" s="174" t="s">
        <v>350</v>
      </c>
      <c r="K44" s="174" t="s">
        <v>350</v>
      </c>
      <c r="L44" s="174" t="s">
        <v>280</v>
      </c>
      <c r="M44" s="174" t="s">
        <v>281</v>
      </c>
      <c r="N44" s="177">
        <v>-2981191</v>
      </c>
      <c r="O44" s="174" t="s">
        <v>351</v>
      </c>
      <c r="P44" s="174" t="s">
        <v>283</v>
      </c>
      <c r="Q44" s="174" t="s">
        <v>348</v>
      </c>
      <c r="R44" s="174" t="s">
        <v>283</v>
      </c>
      <c r="S44" s="174" t="s">
        <v>283</v>
      </c>
      <c r="T44" s="175">
        <v>0</v>
      </c>
    </row>
    <row r="45" spans="2:20" x14ac:dyDescent="0.2">
      <c r="B45" s="168" t="s">
        <v>9</v>
      </c>
      <c r="C45" s="168" t="s">
        <v>25</v>
      </c>
      <c r="D45" s="173">
        <v>45698</v>
      </c>
      <c r="E45" s="174" t="s">
        <v>352</v>
      </c>
      <c r="F45" s="174" t="s">
        <v>335</v>
      </c>
      <c r="G45" s="174" t="s">
        <v>336</v>
      </c>
      <c r="H45" s="174" t="s">
        <v>301</v>
      </c>
      <c r="I45" s="174" t="s">
        <v>302</v>
      </c>
      <c r="J45" s="174" t="s">
        <v>353</v>
      </c>
      <c r="K45" s="174" t="s">
        <v>354</v>
      </c>
      <c r="L45" s="174" t="s">
        <v>280</v>
      </c>
      <c r="M45" s="174" t="s">
        <v>281</v>
      </c>
      <c r="N45" s="177">
        <v>960000</v>
      </c>
      <c r="O45" s="174" t="s">
        <v>355</v>
      </c>
      <c r="P45" s="174" t="s">
        <v>283</v>
      </c>
      <c r="Q45" s="174" t="s">
        <v>306</v>
      </c>
      <c r="R45" s="174" t="s">
        <v>283</v>
      </c>
      <c r="S45" s="174" t="s">
        <v>283</v>
      </c>
      <c r="T45" s="175">
        <v>0</v>
      </c>
    </row>
    <row r="46" spans="2:20" x14ac:dyDescent="0.2">
      <c r="B46" s="168" t="s">
        <v>3</v>
      </c>
      <c r="C46" s="168" t="s">
        <v>25</v>
      </c>
      <c r="D46" s="173">
        <v>45715</v>
      </c>
      <c r="E46" s="174" t="s">
        <v>334</v>
      </c>
      <c r="F46" s="174" t="s">
        <v>335</v>
      </c>
      <c r="G46" s="174" t="s">
        <v>336</v>
      </c>
      <c r="H46" s="174" t="s">
        <v>356</v>
      </c>
      <c r="I46" s="174" t="s">
        <v>357</v>
      </c>
      <c r="J46" s="174" t="s">
        <v>337</v>
      </c>
      <c r="K46" s="174" t="s">
        <v>338</v>
      </c>
      <c r="L46" s="174" t="s">
        <v>280</v>
      </c>
      <c r="M46" s="174" t="s">
        <v>281</v>
      </c>
      <c r="N46" s="177">
        <v>11025000</v>
      </c>
      <c r="O46" s="174" t="s">
        <v>339</v>
      </c>
      <c r="P46" s="174" t="s">
        <v>283</v>
      </c>
      <c r="Q46" s="174" t="s">
        <v>306</v>
      </c>
      <c r="R46" s="174" t="s">
        <v>283</v>
      </c>
      <c r="S46" s="174" t="s">
        <v>283</v>
      </c>
      <c r="T46" s="175">
        <v>0</v>
      </c>
    </row>
    <row r="47" spans="2:20" x14ac:dyDescent="0.2">
      <c r="B47" s="168" t="s">
        <v>9</v>
      </c>
      <c r="C47" s="168" t="s">
        <v>25</v>
      </c>
      <c r="D47" s="173">
        <v>45715</v>
      </c>
      <c r="E47" s="174" t="s">
        <v>334</v>
      </c>
      <c r="F47" s="174" t="s">
        <v>335</v>
      </c>
      <c r="G47" s="174" t="s">
        <v>336</v>
      </c>
      <c r="H47" s="174" t="s">
        <v>358</v>
      </c>
      <c r="I47" s="174" t="s">
        <v>359</v>
      </c>
      <c r="J47" s="174" t="s">
        <v>337</v>
      </c>
      <c r="K47" s="174" t="s">
        <v>338</v>
      </c>
      <c r="L47" s="174" t="s">
        <v>280</v>
      </c>
      <c r="M47" s="174" t="s">
        <v>281</v>
      </c>
      <c r="N47" s="177">
        <v>1850000</v>
      </c>
      <c r="O47" s="174" t="s">
        <v>339</v>
      </c>
      <c r="P47" s="174" t="s">
        <v>283</v>
      </c>
      <c r="Q47" s="174" t="s">
        <v>306</v>
      </c>
      <c r="R47" s="174" t="s">
        <v>283</v>
      </c>
      <c r="S47" s="174" t="s">
        <v>283</v>
      </c>
      <c r="T47" s="175">
        <v>0</v>
      </c>
    </row>
    <row r="48" spans="2:20" x14ac:dyDescent="0.2">
      <c r="B48" s="168" t="s">
        <v>3</v>
      </c>
      <c r="C48" s="168" t="s">
        <v>22</v>
      </c>
      <c r="D48" s="173">
        <v>45716</v>
      </c>
      <c r="E48" s="174" t="s">
        <v>273</v>
      </c>
      <c r="F48" s="174" t="s">
        <v>274</v>
      </c>
      <c r="G48" s="174" t="s">
        <v>275</v>
      </c>
      <c r="H48" s="174" t="s">
        <v>356</v>
      </c>
      <c r="I48" s="174" t="s">
        <v>357</v>
      </c>
      <c r="J48" s="174" t="s">
        <v>278</v>
      </c>
      <c r="K48" s="174" t="s">
        <v>279</v>
      </c>
      <c r="L48" s="174" t="s">
        <v>280</v>
      </c>
      <c r="M48" s="174" t="s">
        <v>281</v>
      </c>
      <c r="N48" s="177">
        <v>393630939</v>
      </c>
      <c r="O48" s="174" t="s">
        <v>282</v>
      </c>
      <c r="P48" s="174" t="s">
        <v>283</v>
      </c>
      <c r="Q48" s="174" t="s">
        <v>284</v>
      </c>
      <c r="R48" s="174" t="s">
        <v>283</v>
      </c>
      <c r="S48" s="174" t="s">
        <v>283</v>
      </c>
      <c r="T48" s="175">
        <v>0</v>
      </c>
    </row>
    <row r="49" spans="2:20" x14ac:dyDescent="0.2">
      <c r="B49" s="168" t="s">
        <v>3</v>
      </c>
      <c r="C49" s="168" t="s">
        <v>22</v>
      </c>
      <c r="D49" s="173">
        <v>45716</v>
      </c>
      <c r="E49" s="174" t="s">
        <v>273</v>
      </c>
      <c r="F49" s="174" t="s">
        <v>285</v>
      </c>
      <c r="G49" s="174" t="s">
        <v>286</v>
      </c>
      <c r="H49" s="174" t="s">
        <v>356</v>
      </c>
      <c r="I49" s="174" t="s">
        <v>357</v>
      </c>
      <c r="J49" s="174" t="s">
        <v>278</v>
      </c>
      <c r="K49" s="174" t="s">
        <v>279</v>
      </c>
      <c r="L49" s="174" t="s">
        <v>280</v>
      </c>
      <c r="M49" s="174" t="s">
        <v>281</v>
      </c>
      <c r="N49" s="177">
        <v>21532769</v>
      </c>
      <c r="O49" s="174" t="s">
        <v>282</v>
      </c>
      <c r="P49" s="174" t="s">
        <v>283</v>
      </c>
      <c r="Q49" s="174" t="s">
        <v>284</v>
      </c>
      <c r="R49" s="174" t="s">
        <v>283</v>
      </c>
      <c r="S49" s="174" t="s">
        <v>283</v>
      </c>
      <c r="T49" s="175">
        <v>0</v>
      </c>
    </row>
    <row r="50" spans="2:20" x14ac:dyDescent="0.2">
      <c r="B50" s="168" t="s">
        <v>3</v>
      </c>
      <c r="C50" s="168" t="s">
        <v>23</v>
      </c>
      <c r="D50" s="173">
        <v>45716</v>
      </c>
      <c r="E50" s="174" t="s">
        <v>273</v>
      </c>
      <c r="F50" s="174" t="s">
        <v>342</v>
      </c>
      <c r="G50" s="174" t="s">
        <v>343</v>
      </c>
      <c r="H50" s="174" t="s">
        <v>356</v>
      </c>
      <c r="I50" s="174" t="s">
        <v>357</v>
      </c>
      <c r="J50" s="174" t="s">
        <v>278</v>
      </c>
      <c r="K50" s="174" t="s">
        <v>279</v>
      </c>
      <c r="L50" s="174" t="s">
        <v>280</v>
      </c>
      <c r="M50" s="174" t="s">
        <v>281</v>
      </c>
      <c r="N50" s="177">
        <v>36055040</v>
      </c>
      <c r="O50" s="174" t="s">
        <v>282</v>
      </c>
      <c r="P50" s="174" t="s">
        <v>283</v>
      </c>
      <c r="Q50" s="174" t="s">
        <v>284</v>
      </c>
      <c r="R50" s="174" t="s">
        <v>283</v>
      </c>
      <c r="S50" s="174" t="s">
        <v>283</v>
      </c>
      <c r="T50" s="175">
        <v>0</v>
      </c>
    </row>
    <row r="51" spans="2:20" x14ac:dyDescent="0.2">
      <c r="B51" s="168" t="s">
        <v>3</v>
      </c>
      <c r="C51" s="168" t="s">
        <v>24</v>
      </c>
      <c r="D51" s="173">
        <v>45716</v>
      </c>
      <c r="E51" s="174" t="s">
        <v>273</v>
      </c>
      <c r="F51" s="174" t="s">
        <v>290</v>
      </c>
      <c r="G51" s="174" t="s">
        <v>291</v>
      </c>
      <c r="H51" s="174" t="s">
        <v>356</v>
      </c>
      <c r="I51" s="174" t="s">
        <v>357</v>
      </c>
      <c r="J51" s="174" t="s">
        <v>278</v>
      </c>
      <c r="K51" s="174" t="s">
        <v>279</v>
      </c>
      <c r="L51" s="174" t="s">
        <v>280</v>
      </c>
      <c r="M51" s="174" t="s">
        <v>281</v>
      </c>
      <c r="N51" s="177">
        <v>11500000</v>
      </c>
      <c r="O51" s="174" t="s">
        <v>282</v>
      </c>
      <c r="P51" s="174" t="s">
        <v>283</v>
      </c>
      <c r="Q51" s="174" t="s">
        <v>284</v>
      </c>
      <c r="R51" s="174" t="s">
        <v>283</v>
      </c>
      <c r="S51" s="174" t="s">
        <v>283</v>
      </c>
      <c r="T51" s="175">
        <v>0</v>
      </c>
    </row>
    <row r="52" spans="2:20" x14ac:dyDescent="0.2">
      <c r="B52" s="168" t="s">
        <v>3</v>
      </c>
      <c r="C52" s="168" t="s">
        <v>25</v>
      </c>
      <c r="D52" s="173">
        <v>45716</v>
      </c>
      <c r="E52" s="174" t="s">
        <v>273</v>
      </c>
      <c r="F52" s="174" t="s">
        <v>335</v>
      </c>
      <c r="G52" s="174" t="s">
        <v>336</v>
      </c>
      <c r="H52" s="174" t="s">
        <v>356</v>
      </c>
      <c r="I52" s="174" t="s">
        <v>357</v>
      </c>
      <c r="J52" s="174" t="s">
        <v>278</v>
      </c>
      <c r="K52" s="174" t="s">
        <v>279</v>
      </c>
      <c r="L52" s="174" t="s">
        <v>280</v>
      </c>
      <c r="M52" s="174" t="s">
        <v>281</v>
      </c>
      <c r="N52" s="177">
        <v>1795000</v>
      </c>
      <c r="O52" s="174" t="s">
        <v>282</v>
      </c>
      <c r="P52" s="174" t="s">
        <v>283</v>
      </c>
      <c r="Q52" s="174" t="s">
        <v>284</v>
      </c>
      <c r="R52" s="174" t="s">
        <v>283</v>
      </c>
      <c r="S52" s="174" t="s">
        <v>283</v>
      </c>
      <c r="T52" s="175">
        <v>0</v>
      </c>
    </row>
    <row r="53" spans="2:20" x14ac:dyDescent="0.2">
      <c r="B53" s="168" t="s">
        <v>9</v>
      </c>
      <c r="C53" s="168" t="s">
        <v>22</v>
      </c>
      <c r="D53" s="173">
        <v>45716</v>
      </c>
      <c r="E53" s="174" t="s">
        <v>273</v>
      </c>
      <c r="F53" s="174" t="s">
        <v>274</v>
      </c>
      <c r="G53" s="174" t="s">
        <v>275</v>
      </c>
      <c r="H53" s="174" t="s">
        <v>358</v>
      </c>
      <c r="I53" s="174" t="s">
        <v>359</v>
      </c>
      <c r="J53" s="174" t="s">
        <v>278</v>
      </c>
      <c r="K53" s="174" t="s">
        <v>279</v>
      </c>
      <c r="L53" s="174" t="s">
        <v>280</v>
      </c>
      <c r="M53" s="174" t="s">
        <v>281</v>
      </c>
      <c r="N53" s="177">
        <v>85539076</v>
      </c>
      <c r="O53" s="174" t="s">
        <v>282</v>
      </c>
      <c r="P53" s="174" t="s">
        <v>283</v>
      </c>
      <c r="Q53" s="174" t="s">
        <v>284</v>
      </c>
      <c r="R53" s="174" t="s">
        <v>283</v>
      </c>
      <c r="S53" s="174" t="s">
        <v>283</v>
      </c>
      <c r="T53" s="175">
        <v>0</v>
      </c>
    </row>
    <row r="54" spans="2:20" x14ac:dyDescent="0.2">
      <c r="B54" s="168" t="s">
        <v>9</v>
      </c>
      <c r="C54" s="168" t="s">
        <v>22</v>
      </c>
      <c r="D54" s="173">
        <v>45716</v>
      </c>
      <c r="E54" s="174" t="s">
        <v>273</v>
      </c>
      <c r="F54" s="174" t="s">
        <v>285</v>
      </c>
      <c r="G54" s="174" t="s">
        <v>286</v>
      </c>
      <c r="H54" s="174" t="s">
        <v>358</v>
      </c>
      <c r="I54" s="174" t="s">
        <v>359</v>
      </c>
      <c r="J54" s="174" t="s">
        <v>278</v>
      </c>
      <c r="K54" s="174" t="s">
        <v>279</v>
      </c>
      <c r="L54" s="174" t="s">
        <v>280</v>
      </c>
      <c r="M54" s="174" t="s">
        <v>281</v>
      </c>
      <c r="N54" s="177">
        <v>5044384</v>
      </c>
      <c r="O54" s="174" t="s">
        <v>282</v>
      </c>
      <c r="P54" s="174" t="s">
        <v>283</v>
      </c>
      <c r="Q54" s="174" t="s">
        <v>284</v>
      </c>
      <c r="R54" s="174" t="s">
        <v>283</v>
      </c>
      <c r="S54" s="174" t="s">
        <v>283</v>
      </c>
      <c r="T54" s="175">
        <v>0</v>
      </c>
    </row>
    <row r="55" spans="2:20" x14ac:dyDescent="0.2">
      <c r="B55" s="168" t="s">
        <v>9</v>
      </c>
      <c r="C55" s="168" t="s">
        <v>24</v>
      </c>
      <c r="D55" s="173">
        <v>45716</v>
      </c>
      <c r="E55" s="174" t="s">
        <v>273</v>
      </c>
      <c r="F55" s="174" t="s">
        <v>290</v>
      </c>
      <c r="G55" s="174" t="s">
        <v>291</v>
      </c>
      <c r="H55" s="174" t="s">
        <v>358</v>
      </c>
      <c r="I55" s="174" t="s">
        <v>359</v>
      </c>
      <c r="J55" s="174" t="s">
        <v>278</v>
      </c>
      <c r="K55" s="174" t="s">
        <v>279</v>
      </c>
      <c r="L55" s="174" t="s">
        <v>280</v>
      </c>
      <c r="M55" s="174" t="s">
        <v>281</v>
      </c>
      <c r="N55" s="177">
        <v>2000000</v>
      </c>
      <c r="O55" s="174" t="s">
        <v>282</v>
      </c>
      <c r="P55" s="174" t="s">
        <v>283</v>
      </c>
      <c r="Q55" s="174" t="s">
        <v>284</v>
      </c>
      <c r="R55" s="174" t="s">
        <v>283</v>
      </c>
      <c r="S55" s="174" t="s">
        <v>283</v>
      </c>
      <c r="T55" s="175">
        <v>0</v>
      </c>
    </row>
    <row r="56" spans="2:20" x14ac:dyDescent="0.2">
      <c r="B56" s="168" t="s">
        <v>9</v>
      </c>
      <c r="C56" s="168" t="s">
        <v>25</v>
      </c>
      <c r="D56" s="173">
        <v>45716</v>
      </c>
      <c r="E56" s="174" t="s">
        <v>273</v>
      </c>
      <c r="F56" s="174" t="s">
        <v>335</v>
      </c>
      <c r="G56" s="174" t="s">
        <v>336</v>
      </c>
      <c r="H56" s="174" t="s">
        <v>358</v>
      </c>
      <c r="I56" s="174" t="s">
        <v>359</v>
      </c>
      <c r="J56" s="174" t="s">
        <v>278</v>
      </c>
      <c r="K56" s="174" t="s">
        <v>279</v>
      </c>
      <c r="L56" s="174" t="s">
        <v>280</v>
      </c>
      <c r="M56" s="174" t="s">
        <v>281</v>
      </c>
      <c r="N56" s="177">
        <v>25000</v>
      </c>
      <c r="O56" s="174" t="s">
        <v>282</v>
      </c>
      <c r="P56" s="174" t="s">
        <v>283</v>
      </c>
      <c r="Q56" s="174" t="s">
        <v>284</v>
      </c>
      <c r="R56" s="174" t="s">
        <v>283</v>
      </c>
      <c r="S56" s="174" t="s">
        <v>283</v>
      </c>
      <c r="T56" s="175">
        <v>0</v>
      </c>
    </row>
    <row r="57" spans="2:20" x14ac:dyDescent="0.2">
      <c r="B57" s="168" t="s">
        <v>3</v>
      </c>
      <c r="C57" s="168" t="s">
        <v>170</v>
      </c>
      <c r="D57" s="173">
        <v>45716</v>
      </c>
      <c r="E57" s="174" t="s">
        <v>294</v>
      </c>
      <c r="F57" s="174" t="s">
        <v>295</v>
      </c>
      <c r="G57" s="174" t="s">
        <v>296</v>
      </c>
      <c r="H57" s="174" t="s">
        <v>356</v>
      </c>
      <c r="I57" s="174" t="s">
        <v>357</v>
      </c>
      <c r="J57" s="174" t="s">
        <v>297</v>
      </c>
      <c r="K57" s="174" t="s">
        <v>279</v>
      </c>
      <c r="L57" s="174" t="s">
        <v>280</v>
      </c>
      <c r="M57" s="174" t="s">
        <v>281</v>
      </c>
      <c r="N57" s="177">
        <v>87773695</v>
      </c>
      <c r="O57" s="174" t="s">
        <v>298</v>
      </c>
      <c r="P57" s="174" t="s">
        <v>283</v>
      </c>
      <c r="Q57" s="174" t="s">
        <v>284</v>
      </c>
      <c r="R57" s="174" t="s">
        <v>283</v>
      </c>
      <c r="S57" s="174" t="s">
        <v>283</v>
      </c>
      <c r="T57" s="175">
        <v>0</v>
      </c>
    </row>
    <row r="58" spans="2:20" x14ac:dyDescent="0.2">
      <c r="B58" s="168" t="s">
        <v>9</v>
      </c>
      <c r="C58" s="168" t="s">
        <v>170</v>
      </c>
      <c r="D58" s="173">
        <v>45716</v>
      </c>
      <c r="E58" s="174" t="s">
        <v>294</v>
      </c>
      <c r="F58" s="174" t="s">
        <v>295</v>
      </c>
      <c r="G58" s="174" t="s">
        <v>296</v>
      </c>
      <c r="H58" s="174" t="s">
        <v>358</v>
      </c>
      <c r="I58" s="174" t="s">
        <v>359</v>
      </c>
      <c r="J58" s="174" t="s">
        <v>297</v>
      </c>
      <c r="K58" s="174" t="s">
        <v>279</v>
      </c>
      <c r="L58" s="174" t="s">
        <v>280</v>
      </c>
      <c r="M58" s="174" t="s">
        <v>281</v>
      </c>
      <c r="N58" s="177">
        <v>21177730</v>
      </c>
      <c r="O58" s="174" t="s">
        <v>298</v>
      </c>
      <c r="P58" s="174" t="s">
        <v>283</v>
      </c>
      <c r="Q58" s="174" t="s">
        <v>284</v>
      </c>
      <c r="R58" s="174" t="s">
        <v>283</v>
      </c>
      <c r="S58" s="174" t="s">
        <v>283</v>
      </c>
      <c r="T58" s="175">
        <v>0</v>
      </c>
    </row>
    <row r="59" spans="2:20" x14ac:dyDescent="0.2">
      <c r="B59" s="168" t="s">
        <v>3</v>
      </c>
      <c r="C59" s="168" t="s">
        <v>22</v>
      </c>
      <c r="D59" s="173">
        <v>45716</v>
      </c>
      <c r="E59" s="174" t="s">
        <v>287</v>
      </c>
      <c r="F59" s="174" t="s">
        <v>285</v>
      </c>
      <c r="G59" s="174" t="s">
        <v>286</v>
      </c>
      <c r="H59" s="174" t="s">
        <v>356</v>
      </c>
      <c r="I59" s="174" t="s">
        <v>357</v>
      </c>
      <c r="J59" s="174" t="s">
        <v>288</v>
      </c>
      <c r="K59" s="174" t="s">
        <v>279</v>
      </c>
      <c r="L59" s="174" t="s">
        <v>280</v>
      </c>
      <c r="M59" s="174" t="s">
        <v>281</v>
      </c>
      <c r="N59" s="177">
        <v>34501763</v>
      </c>
      <c r="O59" s="174" t="s">
        <v>289</v>
      </c>
      <c r="P59" s="174" t="s">
        <v>283</v>
      </c>
      <c r="Q59" s="174" t="s">
        <v>284</v>
      </c>
      <c r="R59" s="174" t="s">
        <v>283</v>
      </c>
      <c r="S59" s="174" t="s">
        <v>283</v>
      </c>
      <c r="T59" s="175">
        <v>0</v>
      </c>
    </row>
    <row r="60" spans="2:20" x14ac:dyDescent="0.2">
      <c r="B60" s="168" t="s">
        <v>3</v>
      </c>
      <c r="C60" s="168" t="s">
        <v>24</v>
      </c>
      <c r="D60" s="173">
        <v>45716</v>
      </c>
      <c r="E60" s="174" t="s">
        <v>287</v>
      </c>
      <c r="F60" s="174" t="s">
        <v>292</v>
      </c>
      <c r="G60" s="174" t="s">
        <v>77</v>
      </c>
      <c r="H60" s="174" t="s">
        <v>356</v>
      </c>
      <c r="I60" s="174" t="s">
        <v>357</v>
      </c>
      <c r="J60" s="174" t="s">
        <v>293</v>
      </c>
      <c r="K60" s="174" t="s">
        <v>279</v>
      </c>
      <c r="L60" s="174" t="s">
        <v>280</v>
      </c>
      <c r="M60" s="174" t="s">
        <v>281</v>
      </c>
      <c r="N60" s="177">
        <v>31144566</v>
      </c>
      <c r="O60" s="174" t="s">
        <v>289</v>
      </c>
      <c r="P60" s="174" t="s">
        <v>283</v>
      </c>
      <c r="Q60" s="174" t="s">
        <v>284</v>
      </c>
      <c r="R60" s="174" t="s">
        <v>283</v>
      </c>
      <c r="S60" s="174" t="s">
        <v>283</v>
      </c>
      <c r="T60" s="175">
        <v>0</v>
      </c>
    </row>
    <row r="61" spans="2:20" x14ac:dyDescent="0.2">
      <c r="B61" s="168" t="s">
        <v>9</v>
      </c>
      <c r="C61" s="168" t="s">
        <v>22</v>
      </c>
      <c r="D61" s="173">
        <v>45716</v>
      </c>
      <c r="E61" s="174" t="s">
        <v>287</v>
      </c>
      <c r="F61" s="174" t="s">
        <v>285</v>
      </c>
      <c r="G61" s="174" t="s">
        <v>286</v>
      </c>
      <c r="H61" s="174" t="s">
        <v>358</v>
      </c>
      <c r="I61" s="174" t="s">
        <v>359</v>
      </c>
      <c r="J61" s="174" t="s">
        <v>288</v>
      </c>
      <c r="K61" s="174" t="s">
        <v>279</v>
      </c>
      <c r="L61" s="174" t="s">
        <v>280</v>
      </c>
      <c r="M61" s="174" t="s">
        <v>281</v>
      </c>
      <c r="N61" s="177">
        <v>7509833</v>
      </c>
      <c r="O61" s="174" t="s">
        <v>289</v>
      </c>
      <c r="P61" s="174" t="s">
        <v>283</v>
      </c>
      <c r="Q61" s="174" t="s">
        <v>284</v>
      </c>
      <c r="R61" s="174" t="s">
        <v>283</v>
      </c>
      <c r="S61" s="174" t="s">
        <v>283</v>
      </c>
      <c r="T61" s="175">
        <v>0</v>
      </c>
    </row>
    <row r="62" spans="2:20" x14ac:dyDescent="0.2">
      <c r="B62" s="168" t="s">
        <v>9</v>
      </c>
      <c r="C62" s="168" t="s">
        <v>24</v>
      </c>
      <c r="D62" s="173">
        <v>45716</v>
      </c>
      <c r="E62" s="174" t="s">
        <v>287</v>
      </c>
      <c r="F62" s="174" t="s">
        <v>292</v>
      </c>
      <c r="G62" s="174" t="s">
        <v>77</v>
      </c>
      <c r="H62" s="174" t="s">
        <v>358</v>
      </c>
      <c r="I62" s="174" t="s">
        <v>359</v>
      </c>
      <c r="J62" s="174" t="s">
        <v>293</v>
      </c>
      <c r="K62" s="174" t="s">
        <v>279</v>
      </c>
      <c r="L62" s="174" t="s">
        <v>280</v>
      </c>
      <c r="M62" s="174" t="s">
        <v>281</v>
      </c>
      <c r="N62" s="177">
        <v>6908987</v>
      </c>
      <c r="O62" s="174" t="s">
        <v>289</v>
      </c>
      <c r="P62" s="174" t="s">
        <v>283</v>
      </c>
      <c r="Q62" s="174" t="s">
        <v>284</v>
      </c>
      <c r="R62" s="174" t="s">
        <v>283</v>
      </c>
      <c r="S62" s="174" t="s">
        <v>283</v>
      </c>
      <c r="T62" s="175">
        <v>0</v>
      </c>
    </row>
    <row r="63" spans="2:20" x14ac:dyDescent="0.2">
      <c r="B63" s="168" t="s">
        <v>9</v>
      </c>
      <c r="C63" s="168" t="s">
        <v>222</v>
      </c>
      <c r="D63" s="173">
        <v>45716</v>
      </c>
      <c r="E63" s="174" t="s">
        <v>360</v>
      </c>
      <c r="F63" s="174" t="s">
        <v>300</v>
      </c>
      <c r="G63" s="174" t="s">
        <v>222</v>
      </c>
      <c r="H63" s="174" t="s">
        <v>358</v>
      </c>
      <c r="I63" s="174" t="s">
        <v>359</v>
      </c>
      <c r="J63" s="174" t="s">
        <v>361</v>
      </c>
      <c r="K63" s="174" t="s">
        <v>362</v>
      </c>
      <c r="L63" s="174" t="s">
        <v>280</v>
      </c>
      <c r="M63" s="174" t="s">
        <v>281</v>
      </c>
      <c r="N63" s="177">
        <v>1500000</v>
      </c>
      <c r="O63" s="174" t="s">
        <v>363</v>
      </c>
      <c r="P63" s="174" t="s">
        <v>283</v>
      </c>
      <c r="Q63" s="174" t="s">
        <v>325</v>
      </c>
      <c r="R63" s="174" t="s">
        <v>283</v>
      </c>
      <c r="S63" s="174" t="s">
        <v>283</v>
      </c>
      <c r="T63" s="175">
        <v>0</v>
      </c>
    </row>
    <row r="64" spans="2:20" x14ac:dyDescent="0.2">
      <c r="B64" s="168" t="s">
        <v>1</v>
      </c>
      <c r="C64" s="168" t="s">
        <v>24</v>
      </c>
      <c r="D64" s="173">
        <v>45692</v>
      </c>
      <c r="E64" s="174" t="s">
        <v>364</v>
      </c>
      <c r="F64" s="174" t="s">
        <v>365</v>
      </c>
      <c r="G64" s="174" t="s">
        <v>291</v>
      </c>
      <c r="H64" s="174" t="s">
        <v>366</v>
      </c>
      <c r="I64" s="174" t="s">
        <v>1</v>
      </c>
      <c r="J64" s="174" t="s">
        <v>367</v>
      </c>
      <c r="K64" s="174" t="s">
        <v>368</v>
      </c>
      <c r="L64" s="174" t="s">
        <v>280</v>
      </c>
      <c r="M64" s="174" t="s">
        <v>281</v>
      </c>
      <c r="N64" s="177">
        <v>-2426510</v>
      </c>
      <c r="O64" s="174" t="s">
        <v>369</v>
      </c>
      <c r="P64" s="174" t="s">
        <v>283</v>
      </c>
      <c r="Q64" s="174" t="s">
        <v>370</v>
      </c>
      <c r="R64" s="174" t="s">
        <v>283</v>
      </c>
      <c r="S64" s="174" t="s">
        <v>283</v>
      </c>
      <c r="T64" s="175">
        <v>0</v>
      </c>
    </row>
    <row r="65" spans="2:20" x14ac:dyDescent="0.2">
      <c r="B65" s="168" t="s">
        <v>1</v>
      </c>
      <c r="C65" s="168" t="s">
        <v>24</v>
      </c>
      <c r="D65" s="173">
        <v>45713</v>
      </c>
      <c r="E65" s="174" t="s">
        <v>371</v>
      </c>
      <c r="F65" s="174" t="s">
        <v>365</v>
      </c>
      <c r="G65" s="174" t="s">
        <v>291</v>
      </c>
      <c r="H65" s="174" t="s">
        <v>366</v>
      </c>
      <c r="I65" s="174" t="s">
        <v>1</v>
      </c>
      <c r="J65" s="174" t="s">
        <v>372</v>
      </c>
      <c r="K65" s="174" t="s">
        <v>373</v>
      </c>
      <c r="L65" s="174" t="s">
        <v>280</v>
      </c>
      <c r="M65" s="174" t="s">
        <v>281</v>
      </c>
      <c r="N65" s="177">
        <v>30000000</v>
      </c>
      <c r="O65" s="174" t="s">
        <v>374</v>
      </c>
      <c r="P65" s="174" t="s">
        <v>283</v>
      </c>
      <c r="Q65" s="174" t="s">
        <v>370</v>
      </c>
      <c r="R65" s="174" t="s">
        <v>283</v>
      </c>
      <c r="S65" s="174" t="s">
        <v>283</v>
      </c>
      <c r="T65" s="175">
        <v>0</v>
      </c>
    </row>
    <row r="66" spans="2:20" x14ac:dyDescent="0.2">
      <c r="B66" s="168" t="s">
        <v>7</v>
      </c>
      <c r="C66" s="168" t="s">
        <v>25</v>
      </c>
      <c r="D66" s="173">
        <v>45715</v>
      </c>
      <c r="E66" s="174" t="s">
        <v>334</v>
      </c>
      <c r="F66" s="174" t="s">
        <v>375</v>
      </c>
      <c r="G66" s="174" t="s">
        <v>336</v>
      </c>
      <c r="H66" s="174" t="s">
        <v>376</v>
      </c>
      <c r="I66" s="174" t="s">
        <v>377</v>
      </c>
      <c r="J66" s="174" t="s">
        <v>337</v>
      </c>
      <c r="K66" s="174" t="s">
        <v>338</v>
      </c>
      <c r="L66" s="174" t="s">
        <v>280</v>
      </c>
      <c r="M66" s="174" t="s">
        <v>281</v>
      </c>
      <c r="N66" s="177">
        <v>33575000</v>
      </c>
      <c r="O66" s="174" t="s">
        <v>339</v>
      </c>
      <c r="P66" s="174" t="s">
        <v>283</v>
      </c>
      <c r="Q66" s="174" t="s">
        <v>306</v>
      </c>
      <c r="R66" s="174" t="s">
        <v>283</v>
      </c>
      <c r="S66" s="174" t="s">
        <v>283</v>
      </c>
      <c r="T66" s="175">
        <v>0</v>
      </c>
    </row>
    <row r="67" spans="2:20" x14ac:dyDescent="0.2">
      <c r="B67" s="168" t="s">
        <v>2</v>
      </c>
      <c r="C67" s="168" t="s">
        <v>25</v>
      </c>
      <c r="D67" s="173">
        <v>45715</v>
      </c>
      <c r="E67" s="174" t="s">
        <v>334</v>
      </c>
      <c r="F67" s="174" t="s">
        <v>335</v>
      </c>
      <c r="G67" s="174" t="s">
        <v>336</v>
      </c>
      <c r="H67" s="174" t="s">
        <v>378</v>
      </c>
      <c r="I67" s="174" t="s">
        <v>379</v>
      </c>
      <c r="J67" s="174" t="s">
        <v>337</v>
      </c>
      <c r="K67" s="174" t="s">
        <v>338</v>
      </c>
      <c r="L67" s="174" t="s">
        <v>280</v>
      </c>
      <c r="M67" s="174" t="s">
        <v>281</v>
      </c>
      <c r="N67" s="177">
        <v>2900000</v>
      </c>
      <c r="O67" s="174" t="s">
        <v>339</v>
      </c>
      <c r="P67" s="174" t="s">
        <v>283</v>
      </c>
      <c r="Q67" s="174" t="s">
        <v>306</v>
      </c>
      <c r="R67" s="174" t="s">
        <v>283</v>
      </c>
      <c r="S67" s="174" t="s">
        <v>283</v>
      </c>
      <c r="T67" s="175">
        <v>0</v>
      </c>
    </row>
    <row r="68" spans="2:20" x14ac:dyDescent="0.2">
      <c r="B68" s="168" t="s">
        <v>10</v>
      </c>
      <c r="C68" s="168" t="s">
        <v>25</v>
      </c>
      <c r="D68" s="173">
        <v>45715</v>
      </c>
      <c r="E68" s="174" t="s">
        <v>334</v>
      </c>
      <c r="F68" s="174" t="s">
        <v>335</v>
      </c>
      <c r="G68" s="174" t="s">
        <v>336</v>
      </c>
      <c r="H68" s="174" t="s">
        <v>380</v>
      </c>
      <c r="I68" s="174" t="s">
        <v>381</v>
      </c>
      <c r="J68" s="174" t="s">
        <v>337</v>
      </c>
      <c r="K68" s="174" t="s">
        <v>338</v>
      </c>
      <c r="L68" s="174" t="s">
        <v>280</v>
      </c>
      <c r="M68" s="174" t="s">
        <v>281</v>
      </c>
      <c r="N68" s="177">
        <v>3850000</v>
      </c>
      <c r="O68" s="174" t="s">
        <v>339</v>
      </c>
      <c r="P68" s="174" t="s">
        <v>283</v>
      </c>
      <c r="Q68" s="174" t="s">
        <v>306</v>
      </c>
      <c r="R68" s="174" t="s">
        <v>283</v>
      </c>
      <c r="S68" s="174" t="s">
        <v>283</v>
      </c>
      <c r="T68" s="175">
        <v>0</v>
      </c>
    </row>
    <row r="69" spans="2:20" x14ac:dyDescent="0.2">
      <c r="B69" s="168" t="s">
        <v>9</v>
      </c>
      <c r="C69" s="168" t="s">
        <v>25</v>
      </c>
      <c r="D69" s="173">
        <v>45715</v>
      </c>
      <c r="E69" s="174" t="s">
        <v>334</v>
      </c>
      <c r="F69" s="174" t="s">
        <v>335</v>
      </c>
      <c r="G69" s="174" t="s">
        <v>336</v>
      </c>
      <c r="H69" s="174" t="s">
        <v>382</v>
      </c>
      <c r="I69" s="174" t="s">
        <v>200</v>
      </c>
      <c r="J69" s="174" t="s">
        <v>337</v>
      </c>
      <c r="K69" s="174" t="s">
        <v>338</v>
      </c>
      <c r="L69" s="174" t="s">
        <v>280</v>
      </c>
      <c r="M69" s="174" t="s">
        <v>281</v>
      </c>
      <c r="N69" s="177">
        <v>1350000</v>
      </c>
      <c r="O69" s="174" t="s">
        <v>339</v>
      </c>
      <c r="P69" s="174" t="s">
        <v>283</v>
      </c>
      <c r="Q69" s="174" t="s">
        <v>306</v>
      </c>
      <c r="R69" s="174" t="s">
        <v>283</v>
      </c>
      <c r="S69" s="174" t="s">
        <v>283</v>
      </c>
      <c r="T69" s="175">
        <v>0</v>
      </c>
    </row>
    <row r="70" spans="2:20" x14ac:dyDescent="0.2">
      <c r="B70" s="168" t="s">
        <v>1</v>
      </c>
      <c r="C70" s="168" t="s">
        <v>22</v>
      </c>
      <c r="D70" s="173">
        <v>45716</v>
      </c>
      <c r="E70" s="174" t="s">
        <v>273</v>
      </c>
      <c r="F70" s="174" t="s">
        <v>383</v>
      </c>
      <c r="G70" s="174" t="s">
        <v>275</v>
      </c>
      <c r="H70" s="174" t="s">
        <v>366</v>
      </c>
      <c r="I70" s="174" t="s">
        <v>1</v>
      </c>
      <c r="J70" s="174" t="s">
        <v>278</v>
      </c>
      <c r="K70" s="174" t="s">
        <v>279</v>
      </c>
      <c r="L70" s="174" t="s">
        <v>280</v>
      </c>
      <c r="M70" s="174" t="s">
        <v>281</v>
      </c>
      <c r="N70" s="177">
        <v>229320216</v>
      </c>
      <c r="O70" s="174" t="s">
        <v>282</v>
      </c>
      <c r="P70" s="174" t="s">
        <v>283</v>
      </c>
      <c r="Q70" s="174" t="s">
        <v>284</v>
      </c>
      <c r="R70" s="174" t="s">
        <v>283</v>
      </c>
      <c r="S70" s="174" t="s">
        <v>283</v>
      </c>
      <c r="T70" s="175">
        <v>0</v>
      </c>
    </row>
    <row r="71" spans="2:20" x14ac:dyDescent="0.2">
      <c r="B71" s="168" t="s">
        <v>1</v>
      </c>
      <c r="C71" s="168" t="s">
        <v>22</v>
      </c>
      <c r="D71" s="173">
        <v>45716</v>
      </c>
      <c r="E71" s="174" t="s">
        <v>273</v>
      </c>
      <c r="F71" s="174" t="s">
        <v>384</v>
      </c>
      <c r="G71" s="174" t="s">
        <v>286</v>
      </c>
      <c r="H71" s="174" t="s">
        <v>366</v>
      </c>
      <c r="I71" s="174" t="s">
        <v>1</v>
      </c>
      <c r="J71" s="174" t="s">
        <v>278</v>
      </c>
      <c r="K71" s="174" t="s">
        <v>279</v>
      </c>
      <c r="L71" s="174" t="s">
        <v>280</v>
      </c>
      <c r="M71" s="174" t="s">
        <v>281</v>
      </c>
      <c r="N71" s="177">
        <v>2898077</v>
      </c>
      <c r="O71" s="174" t="s">
        <v>282</v>
      </c>
      <c r="P71" s="174" t="s">
        <v>283</v>
      </c>
      <c r="Q71" s="174" t="s">
        <v>284</v>
      </c>
      <c r="R71" s="174" t="s">
        <v>283</v>
      </c>
      <c r="S71" s="174" t="s">
        <v>283</v>
      </c>
      <c r="T71" s="175">
        <v>0</v>
      </c>
    </row>
    <row r="72" spans="2:20" x14ac:dyDescent="0.2">
      <c r="B72" s="168" t="s">
        <v>1</v>
      </c>
      <c r="C72" s="168" t="s">
        <v>24</v>
      </c>
      <c r="D72" s="173">
        <v>45716</v>
      </c>
      <c r="E72" s="174" t="s">
        <v>273</v>
      </c>
      <c r="F72" s="174" t="s">
        <v>365</v>
      </c>
      <c r="G72" s="174" t="s">
        <v>291</v>
      </c>
      <c r="H72" s="174" t="s">
        <v>366</v>
      </c>
      <c r="I72" s="174" t="s">
        <v>1</v>
      </c>
      <c r="J72" s="174" t="s">
        <v>278</v>
      </c>
      <c r="K72" s="174" t="s">
        <v>279</v>
      </c>
      <c r="L72" s="174" t="s">
        <v>280</v>
      </c>
      <c r="M72" s="174" t="s">
        <v>281</v>
      </c>
      <c r="N72" s="177">
        <v>8220000</v>
      </c>
      <c r="O72" s="174" t="s">
        <v>282</v>
      </c>
      <c r="P72" s="174" t="s">
        <v>283</v>
      </c>
      <c r="Q72" s="174" t="s">
        <v>284</v>
      </c>
      <c r="R72" s="174" t="s">
        <v>283</v>
      </c>
      <c r="S72" s="174" t="s">
        <v>283</v>
      </c>
      <c r="T72" s="175">
        <v>0</v>
      </c>
    </row>
    <row r="73" spans="2:20" x14ac:dyDescent="0.2">
      <c r="B73" s="168" t="s">
        <v>1</v>
      </c>
      <c r="C73" s="168" t="s">
        <v>25</v>
      </c>
      <c r="D73" s="173">
        <v>45716</v>
      </c>
      <c r="E73" s="174" t="s">
        <v>273</v>
      </c>
      <c r="F73" s="174" t="s">
        <v>385</v>
      </c>
      <c r="G73" s="174" t="s">
        <v>336</v>
      </c>
      <c r="H73" s="174" t="s">
        <v>366</v>
      </c>
      <c r="I73" s="174" t="s">
        <v>1</v>
      </c>
      <c r="J73" s="174" t="s">
        <v>278</v>
      </c>
      <c r="K73" s="174" t="s">
        <v>279</v>
      </c>
      <c r="L73" s="174" t="s">
        <v>280</v>
      </c>
      <c r="M73" s="174" t="s">
        <v>281</v>
      </c>
      <c r="N73" s="177">
        <v>50000</v>
      </c>
      <c r="O73" s="174" t="s">
        <v>282</v>
      </c>
      <c r="P73" s="174" t="s">
        <v>283</v>
      </c>
      <c r="Q73" s="174" t="s">
        <v>284</v>
      </c>
      <c r="R73" s="174" t="s">
        <v>283</v>
      </c>
      <c r="S73" s="174" t="s">
        <v>283</v>
      </c>
      <c r="T73" s="175">
        <v>0</v>
      </c>
    </row>
    <row r="74" spans="2:20" x14ac:dyDescent="0.2">
      <c r="B74" s="168" t="s">
        <v>10</v>
      </c>
      <c r="C74" s="168" t="s">
        <v>22</v>
      </c>
      <c r="D74" s="173">
        <v>45716</v>
      </c>
      <c r="E74" s="174" t="s">
        <v>273</v>
      </c>
      <c r="F74" s="174" t="s">
        <v>274</v>
      </c>
      <c r="G74" s="174" t="s">
        <v>275</v>
      </c>
      <c r="H74" s="174" t="s">
        <v>380</v>
      </c>
      <c r="I74" s="174" t="s">
        <v>381</v>
      </c>
      <c r="J74" s="174" t="s">
        <v>278</v>
      </c>
      <c r="K74" s="174" t="s">
        <v>279</v>
      </c>
      <c r="L74" s="174" t="s">
        <v>280</v>
      </c>
      <c r="M74" s="174" t="s">
        <v>281</v>
      </c>
      <c r="N74" s="177">
        <v>468066942</v>
      </c>
      <c r="O74" s="174" t="s">
        <v>282</v>
      </c>
      <c r="P74" s="174" t="s">
        <v>283</v>
      </c>
      <c r="Q74" s="174" t="s">
        <v>284</v>
      </c>
      <c r="R74" s="174" t="s">
        <v>283</v>
      </c>
      <c r="S74" s="174" t="s">
        <v>283</v>
      </c>
      <c r="T74" s="175">
        <v>0</v>
      </c>
    </row>
    <row r="75" spans="2:20" x14ac:dyDescent="0.2">
      <c r="B75" s="168" t="s">
        <v>10</v>
      </c>
      <c r="C75" s="168" t="s">
        <v>22</v>
      </c>
      <c r="D75" s="173">
        <v>45716</v>
      </c>
      <c r="E75" s="174" t="s">
        <v>273</v>
      </c>
      <c r="F75" s="174" t="s">
        <v>285</v>
      </c>
      <c r="G75" s="174" t="s">
        <v>286</v>
      </c>
      <c r="H75" s="174" t="s">
        <v>380</v>
      </c>
      <c r="I75" s="174" t="s">
        <v>381</v>
      </c>
      <c r="J75" s="174" t="s">
        <v>278</v>
      </c>
      <c r="K75" s="174" t="s">
        <v>279</v>
      </c>
      <c r="L75" s="174" t="s">
        <v>280</v>
      </c>
      <c r="M75" s="174" t="s">
        <v>281</v>
      </c>
      <c r="N75" s="177">
        <v>20719309</v>
      </c>
      <c r="O75" s="174" t="s">
        <v>282</v>
      </c>
      <c r="P75" s="174" t="s">
        <v>283</v>
      </c>
      <c r="Q75" s="174" t="s">
        <v>284</v>
      </c>
      <c r="R75" s="174" t="s">
        <v>283</v>
      </c>
      <c r="S75" s="174" t="s">
        <v>283</v>
      </c>
      <c r="T75" s="175">
        <v>0</v>
      </c>
    </row>
    <row r="76" spans="2:20" x14ac:dyDescent="0.2">
      <c r="B76" s="168" t="s">
        <v>10</v>
      </c>
      <c r="C76" s="168" t="s">
        <v>24</v>
      </c>
      <c r="D76" s="173">
        <v>45716</v>
      </c>
      <c r="E76" s="174" t="s">
        <v>273</v>
      </c>
      <c r="F76" s="174" t="s">
        <v>290</v>
      </c>
      <c r="G76" s="174" t="s">
        <v>291</v>
      </c>
      <c r="H76" s="174" t="s">
        <v>380</v>
      </c>
      <c r="I76" s="174" t="s">
        <v>381</v>
      </c>
      <c r="J76" s="174" t="s">
        <v>278</v>
      </c>
      <c r="K76" s="174" t="s">
        <v>279</v>
      </c>
      <c r="L76" s="174" t="s">
        <v>280</v>
      </c>
      <c r="M76" s="174" t="s">
        <v>281</v>
      </c>
      <c r="N76" s="177">
        <v>246254898</v>
      </c>
      <c r="O76" s="174" t="s">
        <v>282</v>
      </c>
      <c r="P76" s="174" t="s">
        <v>283</v>
      </c>
      <c r="Q76" s="174" t="s">
        <v>284</v>
      </c>
      <c r="R76" s="174" t="s">
        <v>283</v>
      </c>
      <c r="S76" s="174" t="s">
        <v>283</v>
      </c>
      <c r="T76" s="175">
        <v>0</v>
      </c>
    </row>
    <row r="77" spans="2:20" x14ac:dyDescent="0.2">
      <c r="B77" s="168" t="s">
        <v>10</v>
      </c>
      <c r="C77" s="168" t="s">
        <v>25</v>
      </c>
      <c r="D77" s="173">
        <v>45716</v>
      </c>
      <c r="E77" s="174" t="s">
        <v>273</v>
      </c>
      <c r="F77" s="174" t="s">
        <v>335</v>
      </c>
      <c r="G77" s="174" t="s">
        <v>336</v>
      </c>
      <c r="H77" s="174" t="s">
        <v>380</v>
      </c>
      <c r="I77" s="174" t="s">
        <v>381</v>
      </c>
      <c r="J77" s="174" t="s">
        <v>278</v>
      </c>
      <c r="K77" s="174" t="s">
        <v>279</v>
      </c>
      <c r="L77" s="174" t="s">
        <v>280</v>
      </c>
      <c r="M77" s="174" t="s">
        <v>281</v>
      </c>
      <c r="N77" s="177">
        <v>7950000</v>
      </c>
      <c r="O77" s="174" t="s">
        <v>282</v>
      </c>
      <c r="P77" s="174" t="s">
        <v>283</v>
      </c>
      <c r="Q77" s="174" t="s">
        <v>284</v>
      </c>
      <c r="R77" s="174" t="s">
        <v>283</v>
      </c>
      <c r="S77" s="174" t="s">
        <v>283</v>
      </c>
      <c r="T77" s="175">
        <v>0</v>
      </c>
    </row>
    <row r="78" spans="2:20" x14ac:dyDescent="0.2">
      <c r="B78" s="168" t="s">
        <v>2</v>
      </c>
      <c r="C78" s="168" t="s">
        <v>22</v>
      </c>
      <c r="D78" s="173">
        <v>45716</v>
      </c>
      <c r="E78" s="174" t="s">
        <v>273</v>
      </c>
      <c r="F78" s="174" t="s">
        <v>274</v>
      </c>
      <c r="G78" s="174" t="s">
        <v>275</v>
      </c>
      <c r="H78" s="174" t="s">
        <v>378</v>
      </c>
      <c r="I78" s="174" t="s">
        <v>379</v>
      </c>
      <c r="J78" s="174" t="s">
        <v>278</v>
      </c>
      <c r="K78" s="174" t="s">
        <v>279</v>
      </c>
      <c r="L78" s="174" t="s">
        <v>280</v>
      </c>
      <c r="M78" s="174" t="s">
        <v>281</v>
      </c>
      <c r="N78" s="177">
        <v>83811899</v>
      </c>
      <c r="O78" s="174" t="s">
        <v>282</v>
      </c>
      <c r="P78" s="174" t="s">
        <v>283</v>
      </c>
      <c r="Q78" s="174" t="s">
        <v>284</v>
      </c>
      <c r="R78" s="174" t="s">
        <v>283</v>
      </c>
      <c r="S78" s="174" t="s">
        <v>283</v>
      </c>
      <c r="T78" s="175">
        <v>0</v>
      </c>
    </row>
    <row r="79" spans="2:20" x14ac:dyDescent="0.2">
      <c r="B79" s="168" t="s">
        <v>2</v>
      </c>
      <c r="C79" s="168" t="s">
        <v>22</v>
      </c>
      <c r="D79" s="173">
        <v>45716</v>
      </c>
      <c r="E79" s="174" t="s">
        <v>273</v>
      </c>
      <c r="F79" s="174" t="s">
        <v>285</v>
      </c>
      <c r="G79" s="174" t="s">
        <v>286</v>
      </c>
      <c r="H79" s="174" t="s">
        <v>378</v>
      </c>
      <c r="I79" s="174" t="s">
        <v>379</v>
      </c>
      <c r="J79" s="174" t="s">
        <v>278</v>
      </c>
      <c r="K79" s="174" t="s">
        <v>279</v>
      </c>
      <c r="L79" s="174" t="s">
        <v>280</v>
      </c>
      <c r="M79" s="174" t="s">
        <v>281</v>
      </c>
      <c r="N79" s="177">
        <v>6492172</v>
      </c>
      <c r="O79" s="174" t="s">
        <v>282</v>
      </c>
      <c r="P79" s="174" t="s">
        <v>283</v>
      </c>
      <c r="Q79" s="174" t="s">
        <v>284</v>
      </c>
      <c r="R79" s="174" t="s">
        <v>283</v>
      </c>
      <c r="S79" s="174" t="s">
        <v>283</v>
      </c>
      <c r="T79" s="175">
        <v>0</v>
      </c>
    </row>
    <row r="80" spans="2:20" x14ac:dyDescent="0.2">
      <c r="B80" s="168" t="s">
        <v>2</v>
      </c>
      <c r="C80" s="168" t="s">
        <v>24</v>
      </c>
      <c r="D80" s="173">
        <v>45716</v>
      </c>
      <c r="E80" s="174" t="s">
        <v>273</v>
      </c>
      <c r="F80" s="174" t="s">
        <v>290</v>
      </c>
      <c r="G80" s="174" t="s">
        <v>291</v>
      </c>
      <c r="H80" s="174" t="s">
        <v>378</v>
      </c>
      <c r="I80" s="174" t="s">
        <v>379</v>
      </c>
      <c r="J80" s="174" t="s">
        <v>278</v>
      </c>
      <c r="K80" s="174" t="s">
        <v>279</v>
      </c>
      <c r="L80" s="174" t="s">
        <v>280</v>
      </c>
      <c r="M80" s="174" t="s">
        <v>281</v>
      </c>
      <c r="N80" s="177">
        <v>1000000</v>
      </c>
      <c r="O80" s="174" t="s">
        <v>282</v>
      </c>
      <c r="P80" s="174" t="s">
        <v>283</v>
      </c>
      <c r="Q80" s="174" t="s">
        <v>284</v>
      </c>
      <c r="R80" s="174" t="s">
        <v>283</v>
      </c>
      <c r="S80" s="174" t="s">
        <v>283</v>
      </c>
      <c r="T80" s="175">
        <v>0</v>
      </c>
    </row>
    <row r="81" spans="2:20" x14ac:dyDescent="0.2">
      <c r="B81" s="168" t="s">
        <v>7</v>
      </c>
      <c r="C81" s="168" t="s">
        <v>25</v>
      </c>
      <c r="D81" s="173">
        <v>45716</v>
      </c>
      <c r="E81" s="174" t="s">
        <v>273</v>
      </c>
      <c r="F81" s="174" t="s">
        <v>386</v>
      </c>
      <c r="G81" s="174" t="s">
        <v>341</v>
      </c>
      <c r="H81" s="174" t="s">
        <v>376</v>
      </c>
      <c r="I81" s="174" t="s">
        <v>377</v>
      </c>
      <c r="J81" s="174" t="s">
        <v>278</v>
      </c>
      <c r="K81" s="174" t="s">
        <v>279</v>
      </c>
      <c r="L81" s="174" t="s">
        <v>280</v>
      </c>
      <c r="M81" s="174" t="s">
        <v>281</v>
      </c>
      <c r="N81" s="177">
        <v>39253756</v>
      </c>
      <c r="O81" s="174" t="s">
        <v>282</v>
      </c>
      <c r="P81" s="174" t="s">
        <v>283</v>
      </c>
      <c r="Q81" s="174" t="s">
        <v>284</v>
      </c>
      <c r="R81" s="174" t="s">
        <v>283</v>
      </c>
      <c r="S81" s="174" t="s">
        <v>283</v>
      </c>
      <c r="T81" s="175">
        <v>0</v>
      </c>
    </row>
    <row r="82" spans="2:20" x14ac:dyDescent="0.2">
      <c r="B82" s="168" t="s">
        <v>7</v>
      </c>
      <c r="C82" s="168" t="s">
        <v>22</v>
      </c>
      <c r="D82" s="173">
        <v>45716</v>
      </c>
      <c r="E82" s="174" t="s">
        <v>273</v>
      </c>
      <c r="F82" s="174" t="s">
        <v>387</v>
      </c>
      <c r="G82" s="174" t="s">
        <v>275</v>
      </c>
      <c r="H82" s="174" t="s">
        <v>376</v>
      </c>
      <c r="I82" s="174" t="s">
        <v>377</v>
      </c>
      <c r="J82" s="174" t="s">
        <v>278</v>
      </c>
      <c r="K82" s="174" t="s">
        <v>279</v>
      </c>
      <c r="L82" s="174" t="s">
        <v>280</v>
      </c>
      <c r="M82" s="174" t="s">
        <v>281</v>
      </c>
      <c r="N82" s="177">
        <v>918837850</v>
      </c>
      <c r="O82" s="174" t="s">
        <v>282</v>
      </c>
      <c r="P82" s="174" t="s">
        <v>283</v>
      </c>
      <c r="Q82" s="174" t="s">
        <v>284</v>
      </c>
      <c r="R82" s="174" t="s">
        <v>283</v>
      </c>
      <c r="S82" s="174" t="s">
        <v>283</v>
      </c>
      <c r="T82" s="175">
        <v>0</v>
      </c>
    </row>
    <row r="83" spans="2:20" x14ac:dyDescent="0.2">
      <c r="B83" s="168" t="s">
        <v>7</v>
      </c>
      <c r="C83" s="168" t="s">
        <v>22</v>
      </c>
      <c r="D83" s="173">
        <v>45716</v>
      </c>
      <c r="E83" s="174" t="s">
        <v>273</v>
      </c>
      <c r="F83" s="174" t="s">
        <v>388</v>
      </c>
      <c r="G83" s="174" t="s">
        <v>286</v>
      </c>
      <c r="H83" s="174" t="s">
        <v>376</v>
      </c>
      <c r="I83" s="174" t="s">
        <v>377</v>
      </c>
      <c r="J83" s="174" t="s">
        <v>278</v>
      </c>
      <c r="K83" s="174" t="s">
        <v>279</v>
      </c>
      <c r="L83" s="174" t="s">
        <v>280</v>
      </c>
      <c r="M83" s="174" t="s">
        <v>281</v>
      </c>
      <c r="N83" s="177">
        <v>35511327</v>
      </c>
      <c r="O83" s="174" t="s">
        <v>282</v>
      </c>
      <c r="P83" s="174" t="s">
        <v>283</v>
      </c>
      <c r="Q83" s="174" t="s">
        <v>284</v>
      </c>
      <c r="R83" s="174" t="s">
        <v>283</v>
      </c>
      <c r="S83" s="174" t="s">
        <v>283</v>
      </c>
      <c r="T83" s="175">
        <v>0</v>
      </c>
    </row>
    <row r="84" spans="2:20" x14ac:dyDescent="0.2">
      <c r="B84" s="168" t="s">
        <v>7</v>
      </c>
      <c r="C84" s="168" t="s">
        <v>23</v>
      </c>
      <c r="D84" s="173">
        <v>45716</v>
      </c>
      <c r="E84" s="174" t="s">
        <v>273</v>
      </c>
      <c r="F84" s="174" t="s">
        <v>389</v>
      </c>
      <c r="G84" s="174" t="s">
        <v>390</v>
      </c>
      <c r="H84" s="174" t="s">
        <v>376</v>
      </c>
      <c r="I84" s="174" t="s">
        <v>377</v>
      </c>
      <c r="J84" s="174" t="s">
        <v>278</v>
      </c>
      <c r="K84" s="174" t="s">
        <v>279</v>
      </c>
      <c r="L84" s="174" t="s">
        <v>280</v>
      </c>
      <c r="M84" s="174" t="s">
        <v>281</v>
      </c>
      <c r="N84" s="177">
        <v>279940724</v>
      </c>
      <c r="O84" s="174" t="s">
        <v>282</v>
      </c>
      <c r="P84" s="174" t="s">
        <v>283</v>
      </c>
      <c r="Q84" s="174" t="s">
        <v>284</v>
      </c>
      <c r="R84" s="174" t="s">
        <v>283</v>
      </c>
      <c r="S84" s="174" t="s">
        <v>283</v>
      </c>
      <c r="T84" s="175">
        <v>0</v>
      </c>
    </row>
    <row r="85" spans="2:20" x14ac:dyDescent="0.2">
      <c r="B85" s="168" t="s">
        <v>7</v>
      </c>
      <c r="C85" s="168" t="s">
        <v>24</v>
      </c>
      <c r="D85" s="173">
        <v>45716</v>
      </c>
      <c r="E85" s="174" t="s">
        <v>273</v>
      </c>
      <c r="F85" s="174" t="s">
        <v>391</v>
      </c>
      <c r="G85" s="174" t="s">
        <v>291</v>
      </c>
      <c r="H85" s="174" t="s">
        <v>376</v>
      </c>
      <c r="I85" s="174" t="s">
        <v>377</v>
      </c>
      <c r="J85" s="174" t="s">
        <v>278</v>
      </c>
      <c r="K85" s="174" t="s">
        <v>279</v>
      </c>
      <c r="L85" s="174" t="s">
        <v>280</v>
      </c>
      <c r="M85" s="174" t="s">
        <v>281</v>
      </c>
      <c r="N85" s="177">
        <v>119900000</v>
      </c>
      <c r="O85" s="174" t="s">
        <v>282</v>
      </c>
      <c r="P85" s="174" t="s">
        <v>283</v>
      </c>
      <c r="Q85" s="174" t="s">
        <v>284</v>
      </c>
      <c r="R85" s="174" t="s">
        <v>283</v>
      </c>
      <c r="S85" s="174" t="s">
        <v>283</v>
      </c>
      <c r="T85" s="175">
        <v>0</v>
      </c>
    </row>
    <row r="86" spans="2:20" x14ac:dyDescent="0.2">
      <c r="B86" s="168" t="s">
        <v>7</v>
      </c>
      <c r="C86" s="168" t="s">
        <v>25</v>
      </c>
      <c r="D86" s="173">
        <v>45716</v>
      </c>
      <c r="E86" s="174" t="s">
        <v>273</v>
      </c>
      <c r="F86" s="174" t="s">
        <v>375</v>
      </c>
      <c r="G86" s="174" t="s">
        <v>336</v>
      </c>
      <c r="H86" s="174" t="s">
        <v>376</v>
      </c>
      <c r="I86" s="174" t="s">
        <v>377</v>
      </c>
      <c r="J86" s="174" t="s">
        <v>278</v>
      </c>
      <c r="K86" s="174" t="s">
        <v>279</v>
      </c>
      <c r="L86" s="174" t="s">
        <v>280</v>
      </c>
      <c r="M86" s="174" t="s">
        <v>281</v>
      </c>
      <c r="N86" s="177">
        <v>9220000</v>
      </c>
      <c r="O86" s="174" t="s">
        <v>282</v>
      </c>
      <c r="P86" s="174" t="s">
        <v>283</v>
      </c>
      <c r="Q86" s="174" t="s">
        <v>284</v>
      </c>
      <c r="R86" s="174" t="s">
        <v>283</v>
      </c>
      <c r="S86" s="174" t="s">
        <v>283</v>
      </c>
      <c r="T86" s="175">
        <v>0</v>
      </c>
    </row>
    <row r="87" spans="2:20" x14ac:dyDescent="0.2">
      <c r="B87" s="168" t="s">
        <v>9</v>
      </c>
      <c r="C87" s="168" t="s">
        <v>22</v>
      </c>
      <c r="D87" s="173">
        <v>45716</v>
      </c>
      <c r="E87" s="174" t="s">
        <v>273</v>
      </c>
      <c r="F87" s="174" t="s">
        <v>274</v>
      </c>
      <c r="G87" s="174" t="s">
        <v>275</v>
      </c>
      <c r="H87" s="174" t="s">
        <v>382</v>
      </c>
      <c r="I87" s="174" t="s">
        <v>200</v>
      </c>
      <c r="J87" s="174" t="s">
        <v>278</v>
      </c>
      <c r="K87" s="174" t="s">
        <v>279</v>
      </c>
      <c r="L87" s="174" t="s">
        <v>280</v>
      </c>
      <c r="M87" s="174" t="s">
        <v>281</v>
      </c>
      <c r="N87" s="177">
        <v>67748120</v>
      </c>
      <c r="O87" s="174" t="s">
        <v>282</v>
      </c>
      <c r="P87" s="174" t="s">
        <v>283</v>
      </c>
      <c r="Q87" s="174" t="s">
        <v>284</v>
      </c>
      <c r="R87" s="174" t="s">
        <v>283</v>
      </c>
      <c r="S87" s="174" t="s">
        <v>283</v>
      </c>
      <c r="T87" s="175">
        <v>0</v>
      </c>
    </row>
    <row r="88" spans="2:20" x14ac:dyDescent="0.2">
      <c r="B88" s="168" t="s">
        <v>9</v>
      </c>
      <c r="C88" s="168" t="s">
        <v>22</v>
      </c>
      <c r="D88" s="173">
        <v>45716</v>
      </c>
      <c r="E88" s="174" t="s">
        <v>273</v>
      </c>
      <c r="F88" s="174" t="s">
        <v>285</v>
      </c>
      <c r="G88" s="174" t="s">
        <v>286</v>
      </c>
      <c r="H88" s="174" t="s">
        <v>382</v>
      </c>
      <c r="I88" s="174" t="s">
        <v>200</v>
      </c>
      <c r="J88" s="174" t="s">
        <v>278</v>
      </c>
      <c r="K88" s="174" t="s">
        <v>279</v>
      </c>
      <c r="L88" s="174" t="s">
        <v>280</v>
      </c>
      <c r="M88" s="174" t="s">
        <v>281</v>
      </c>
      <c r="N88" s="177">
        <v>703192</v>
      </c>
      <c r="O88" s="174" t="s">
        <v>282</v>
      </c>
      <c r="P88" s="174" t="s">
        <v>283</v>
      </c>
      <c r="Q88" s="174" t="s">
        <v>284</v>
      </c>
      <c r="R88" s="174" t="s">
        <v>283</v>
      </c>
      <c r="S88" s="174" t="s">
        <v>283</v>
      </c>
      <c r="T88" s="175">
        <v>0</v>
      </c>
    </row>
    <row r="89" spans="2:20" x14ac:dyDescent="0.2">
      <c r="B89" s="168" t="s">
        <v>9</v>
      </c>
      <c r="C89" s="168" t="s">
        <v>24</v>
      </c>
      <c r="D89" s="173">
        <v>45716</v>
      </c>
      <c r="E89" s="174" t="s">
        <v>273</v>
      </c>
      <c r="F89" s="174" t="s">
        <v>290</v>
      </c>
      <c r="G89" s="174" t="s">
        <v>291</v>
      </c>
      <c r="H89" s="174" t="s">
        <v>382</v>
      </c>
      <c r="I89" s="174" t="s">
        <v>200</v>
      </c>
      <c r="J89" s="174" t="s">
        <v>278</v>
      </c>
      <c r="K89" s="174" t="s">
        <v>279</v>
      </c>
      <c r="L89" s="174" t="s">
        <v>280</v>
      </c>
      <c r="M89" s="174" t="s">
        <v>281</v>
      </c>
      <c r="N89" s="177">
        <v>1500000</v>
      </c>
      <c r="O89" s="174" t="s">
        <v>282</v>
      </c>
      <c r="P89" s="174" t="s">
        <v>283</v>
      </c>
      <c r="Q89" s="174" t="s">
        <v>284</v>
      </c>
      <c r="R89" s="174" t="s">
        <v>283</v>
      </c>
      <c r="S89" s="174" t="s">
        <v>283</v>
      </c>
      <c r="T89" s="175">
        <v>0</v>
      </c>
    </row>
    <row r="90" spans="2:20" x14ac:dyDescent="0.2">
      <c r="B90" s="168" t="s">
        <v>9</v>
      </c>
      <c r="C90" s="168" t="s">
        <v>25</v>
      </c>
      <c r="D90" s="173">
        <v>45716</v>
      </c>
      <c r="E90" s="174" t="s">
        <v>273</v>
      </c>
      <c r="F90" s="174" t="s">
        <v>335</v>
      </c>
      <c r="G90" s="174" t="s">
        <v>336</v>
      </c>
      <c r="H90" s="174" t="s">
        <v>382</v>
      </c>
      <c r="I90" s="174" t="s">
        <v>200</v>
      </c>
      <c r="J90" s="174" t="s">
        <v>278</v>
      </c>
      <c r="K90" s="174" t="s">
        <v>279</v>
      </c>
      <c r="L90" s="174" t="s">
        <v>280</v>
      </c>
      <c r="M90" s="174" t="s">
        <v>281</v>
      </c>
      <c r="N90" s="177">
        <v>75000</v>
      </c>
      <c r="O90" s="174" t="s">
        <v>282</v>
      </c>
      <c r="P90" s="174" t="s">
        <v>283</v>
      </c>
      <c r="Q90" s="174" t="s">
        <v>284</v>
      </c>
      <c r="R90" s="174" t="s">
        <v>283</v>
      </c>
      <c r="S90" s="174" t="s">
        <v>283</v>
      </c>
      <c r="T90" s="175">
        <v>0</v>
      </c>
    </row>
    <row r="91" spans="2:20" x14ac:dyDescent="0.2">
      <c r="B91" s="168" t="s">
        <v>1</v>
      </c>
      <c r="C91" s="168" t="s">
        <v>170</v>
      </c>
      <c r="D91" s="173">
        <v>45716</v>
      </c>
      <c r="E91" s="174" t="s">
        <v>294</v>
      </c>
      <c r="F91" s="174" t="s">
        <v>392</v>
      </c>
      <c r="G91" s="174" t="s">
        <v>296</v>
      </c>
      <c r="H91" s="174" t="s">
        <v>366</v>
      </c>
      <c r="I91" s="174" t="s">
        <v>1</v>
      </c>
      <c r="J91" s="174" t="s">
        <v>297</v>
      </c>
      <c r="K91" s="174" t="s">
        <v>279</v>
      </c>
      <c r="L91" s="174" t="s">
        <v>280</v>
      </c>
      <c r="M91" s="174" t="s">
        <v>281</v>
      </c>
      <c r="N91" s="177">
        <v>57199945</v>
      </c>
      <c r="O91" s="174" t="s">
        <v>298</v>
      </c>
      <c r="P91" s="174" t="s">
        <v>283</v>
      </c>
      <c r="Q91" s="174" t="s">
        <v>284</v>
      </c>
      <c r="R91" s="174" t="s">
        <v>283</v>
      </c>
      <c r="S91" s="174" t="s">
        <v>283</v>
      </c>
      <c r="T91" s="175">
        <v>0</v>
      </c>
    </row>
    <row r="92" spans="2:20" x14ac:dyDescent="0.2">
      <c r="B92" s="168" t="s">
        <v>10</v>
      </c>
      <c r="C92" s="168" t="s">
        <v>170</v>
      </c>
      <c r="D92" s="173">
        <v>45716</v>
      </c>
      <c r="E92" s="174" t="s">
        <v>294</v>
      </c>
      <c r="F92" s="174" t="s">
        <v>295</v>
      </c>
      <c r="G92" s="174" t="s">
        <v>296</v>
      </c>
      <c r="H92" s="174" t="s">
        <v>380</v>
      </c>
      <c r="I92" s="174" t="s">
        <v>381</v>
      </c>
      <c r="J92" s="174" t="s">
        <v>297</v>
      </c>
      <c r="K92" s="174" t="s">
        <v>279</v>
      </c>
      <c r="L92" s="174" t="s">
        <v>280</v>
      </c>
      <c r="M92" s="174" t="s">
        <v>281</v>
      </c>
      <c r="N92" s="177">
        <v>98662635</v>
      </c>
      <c r="O92" s="174" t="s">
        <v>298</v>
      </c>
      <c r="P92" s="174" t="s">
        <v>283</v>
      </c>
      <c r="Q92" s="174" t="s">
        <v>284</v>
      </c>
      <c r="R92" s="174" t="s">
        <v>283</v>
      </c>
      <c r="S92" s="174" t="s">
        <v>283</v>
      </c>
      <c r="T92" s="175">
        <v>0</v>
      </c>
    </row>
    <row r="93" spans="2:20" x14ac:dyDescent="0.2">
      <c r="B93" s="168" t="s">
        <v>2</v>
      </c>
      <c r="C93" s="168" t="s">
        <v>170</v>
      </c>
      <c r="D93" s="173">
        <v>45716</v>
      </c>
      <c r="E93" s="174" t="s">
        <v>294</v>
      </c>
      <c r="F93" s="174" t="s">
        <v>295</v>
      </c>
      <c r="G93" s="174" t="s">
        <v>296</v>
      </c>
      <c r="H93" s="174" t="s">
        <v>378</v>
      </c>
      <c r="I93" s="174" t="s">
        <v>379</v>
      </c>
      <c r="J93" s="174" t="s">
        <v>297</v>
      </c>
      <c r="K93" s="174" t="s">
        <v>279</v>
      </c>
      <c r="L93" s="174" t="s">
        <v>280</v>
      </c>
      <c r="M93" s="174" t="s">
        <v>281</v>
      </c>
      <c r="N93" s="177">
        <v>22638255</v>
      </c>
      <c r="O93" s="174" t="s">
        <v>298</v>
      </c>
      <c r="P93" s="174" t="s">
        <v>283</v>
      </c>
      <c r="Q93" s="174" t="s">
        <v>284</v>
      </c>
      <c r="R93" s="174" t="s">
        <v>283</v>
      </c>
      <c r="S93" s="174" t="s">
        <v>283</v>
      </c>
      <c r="T93" s="175">
        <v>0</v>
      </c>
    </row>
    <row r="94" spans="2:20" x14ac:dyDescent="0.2">
      <c r="B94" s="168" t="s">
        <v>7</v>
      </c>
      <c r="C94" s="168" t="s">
        <v>170</v>
      </c>
      <c r="D94" s="173">
        <v>45716</v>
      </c>
      <c r="E94" s="174" t="s">
        <v>294</v>
      </c>
      <c r="F94" s="174" t="s">
        <v>393</v>
      </c>
      <c r="G94" s="174" t="s">
        <v>296</v>
      </c>
      <c r="H94" s="174" t="s">
        <v>376</v>
      </c>
      <c r="I94" s="174" t="s">
        <v>377</v>
      </c>
      <c r="J94" s="174" t="s">
        <v>297</v>
      </c>
      <c r="K94" s="174" t="s">
        <v>279</v>
      </c>
      <c r="L94" s="174" t="s">
        <v>280</v>
      </c>
      <c r="M94" s="174" t="s">
        <v>281</v>
      </c>
      <c r="N94" s="177">
        <v>213996170</v>
      </c>
      <c r="O94" s="174" t="s">
        <v>298</v>
      </c>
      <c r="P94" s="174" t="s">
        <v>283</v>
      </c>
      <c r="Q94" s="174" t="s">
        <v>284</v>
      </c>
      <c r="R94" s="174" t="s">
        <v>283</v>
      </c>
      <c r="S94" s="174" t="s">
        <v>283</v>
      </c>
      <c r="T94" s="175">
        <v>0</v>
      </c>
    </row>
    <row r="95" spans="2:20" x14ac:dyDescent="0.2">
      <c r="B95" s="168" t="s">
        <v>9</v>
      </c>
      <c r="C95" s="168" t="s">
        <v>170</v>
      </c>
      <c r="D95" s="173">
        <v>45716</v>
      </c>
      <c r="E95" s="174" t="s">
        <v>294</v>
      </c>
      <c r="F95" s="174" t="s">
        <v>295</v>
      </c>
      <c r="G95" s="174" t="s">
        <v>296</v>
      </c>
      <c r="H95" s="174" t="s">
        <v>382</v>
      </c>
      <c r="I95" s="174" t="s">
        <v>200</v>
      </c>
      <c r="J95" s="174" t="s">
        <v>297</v>
      </c>
      <c r="K95" s="174" t="s">
        <v>279</v>
      </c>
      <c r="L95" s="174" t="s">
        <v>280</v>
      </c>
      <c r="M95" s="174" t="s">
        <v>281</v>
      </c>
      <c r="N95" s="177">
        <v>12767785</v>
      </c>
      <c r="O95" s="174" t="s">
        <v>298</v>
      </c>
      <c r="P95" s="174" t="s">
        <v>283</v>
      </c>
      <c r="Q95" s="174" t="s">
        <v>284</v>
      </c>
      <c r="R95" s="174" t="s">
        <v>283</v>
      </c>
      <c r="S95" s="174" t="s">
        <v>283</v>
      </c>
      <c r="T95" s="175">
        <v>0</v>
      </c>
    </row>
    <row r="96" spans="2:20" x14ac:dyDescent="0.2">
      <c r="B96" s="168" t="s">
        <v>7</v>
      </c>
      <c r="C96" s="168" t="s">
        <v>170</v>
      </c>
      <c r="D96" s="173">
        <v>45716</v>
      </c>
      <c r="E96" s="174" t="s">
        <v>294</v>
      </c>
      <c r="F96" s="174" t="s">
        <v>393</v>
      </c>
      <c r="G96" s="174" t="s">
        <v>296</v>
      </c>
      <c r="H96" s="174" t="s">
        <v>376</v>
      </c>
      <c r="I96" s="174" t="s">
        <v>377</v>
      </c>
      <c r="J96" s="174" t="s">
        <v>297</v>
      </c>
      <c r="K96" s="174" t="s">
        <v>279</v>
      </c>
      <c r="L96" s="174" t="s">
        <v>280</v>
      </c>
      <c r="M96" s="174" t="s">
        <v>281</v>
      </c>
      <c r="N96" s="177">
        <v>3153700</v>
      </c>
      <c r="O96" s="174" t="s">
        <v>298</v>
      </c>
      <c r="P96" s="174" t="s">
        <v>283</v>
      </c>
      <c r="Q96" s="174" t="s">
        <v>284</v>
      </c>
      <c r="R96" s="174" t="s">
        <v>283</v>
      </c>
      <c r="S96" s="174" t="s">
        <v>283</v>
      </c>
      <c r="T96" s="175">
        <v>0</v>
      </c>
    </row>
    <row r="97" spans="1:20" x14ac:dyDescent="0.2">
      <c r="B97" s="168" t="s">
        <v>1</v>
      </c>
      <c r="C97" s="168" t="s">
        <v>22</v>
      </c>
      <c r="D97" s="173">
        <v>45716</v>
      </c>
      <c r="E97" s="174" t="s">
        <v>287</v>
      </c>
      <c r="F97" s="174" t="s">
        <v>384</v>
      </c>
      <c r="G97" s="174" t="s">
        <v>286</v>
      </c>
      <c r="H97" s="174" t="s">
        <v>366</v>
      </c>
      <c r="I97" s="174" t="s">
        <v>1</v>
      </c>
      <c r="J97" s="174" t="s">
        <v>288</v>
      </c>
      <c r="K97" s="174" t="s">
        <v>279</v>
      </c>
      <c r="L97" s="174" t="s">
        <v>280</v>
      </c>
      <c r="M97" s="174" t="s">
        <v>281</v>
      </c>
      <c r="N97" s="177">
        <v>24380167</v>
      </c>
      <c r="O97" s="174" t="s">
        <v>289</v>
      </c>
      <c r="P97" s="174" t="s">
        <v>283</v>
      </c>
      <c r="Q97" s="174" t="s">
        <v>284</v>
      </c>
      <c r="R97" s="174" t="s">
        <v>283</v>
      </c>
      <c r="S97" s="174" t="s">
        <v>283</v>
      </c>
      <c r="T97" s="175">
        <v>0</v>
      </c>
    </row>
    <row r="98" spans="1:20" x14ac:dyDescent="0.2">
      <c r="B98" s="168" t="s">
        <v>1</v>
      </c>
      <c r="C98" s="168" t="s">
        <v>24</v>
      </c>
      <c r="D98" s="173">
        <v>45716</v>
      </c>
      <c r="E98" s="174" t="s">
        <v>287</v>
      </c>
      <c r="F98" s="174" t="s">
        <v>394</v>
      </c>
      <c r="G98" s="174" t="s">
        <v>77</v>
      </c>
      <c r="H98" s="174" t="s">
        <v>366</v>
      </c>
      <c r="I98" s="174" t="s">
        <v>1</v>
      </c>
      <c r="J98" s="174" t="s">
        <v>293</v>
      </c>
      <c r="K98" s="174" t="s">
        <v>279</v>
      </c>
      <c r="L98" s="174" t="s">
        <v>280</v>
      </c>
      <c r="M98" s="174" t="s">
        <v>281</v>
      </c>
      <c r="N98" s="177">
        <v>22429558</v>
      </c>
      <c r="O98" s="174" t="s">
        <v>289</v>
      </c>
      <c r="P98" s="174" t="s">
        <v>283</v>
      </c>
      <c r="Q98" s="174" t="s">
        <v>284</v>
      </c>
      <c r="R98" s="174" t="s">
        <v>283</v>
      </c>
      <c r="S98" s="174" t="s">
        <v>283</v>
      </c>
      <c r="T98" s="175">
        <v>0</v>
      </c>
    </row>
    <row r="99" spans="1:20" x14ac:dyDescent="0.2">
      <c r="B99" s="168" t="s">
        <v>10</v>
      </c>
      <c r="C99" s="168" t="s">
        <v>22</v>
      </c>
      <c r="D99" s="173">
        <v>45716</v>
      </c>
      <c r="E99" s="174" t="s">
        <v>287</v>
      </c>
      <c r="F99" s="174" t="s">
        <v>285</v>
      </c>
      <c r="G99" s="174" t="s">
        <v>286</v>
      </c>
      <c r="H99" s="174" t="s">
        <v>380</v>
      </c>
      <c r="I99" s="174" t="s">
        <v>381</v>
      </c>
      <c r="J99" s="174" t="s">
        <v>288</v>
      </c>
      <c r="K99" s="174" t="s">
        <v>279</v>
      </c>
      <c r="L99" s="174" t="s">
        <v>280</v>
      </c>
      <c r="M99" s="174" t="s">
        <v>281</v>
      </c>
      <c r="N99" s="177">
        <v>38964918</v>
      </c>
      <c r="O99" s="174" t="s">
        <v>289</v>
      </c>
      <c r="P99" s="174" t="s">
        <v>283</v>
      </c>
      <c r="Q99" s="174" t="s">
        <v>284</v>
      </c>
      <c r="R99" s="174" t="s">
        <v>283</v>
      </c>
      <c r="S99" s="174" t="s">
        <v>283</v>
      </c>
      <c r="T99" s="175">
        <v>0</v>
      </c>
    </row>
    <row r="100" spans="1:20" x14ac:dyDescent="0.2">
      <c r="B100" s="168" t="s">
        <v>10</v>
      </c>
      <c r="C100" s="168" t="s">
        <v>24</v>
      </c>
      <c r="D100" s="173">
        <v>45716</v>
      </c>
      <c r="E100" s="174" t="s">
        <v>287</v>
      </c>
      <c r="F100" s="174" t="s">
        <v>292</v>
      </c>
      <c r="G100" s="174" t="s">
        <v>77</v>
      </c>
      <c r="H100" s="174" t="s">
        <v>380</v>
      </c>
      <c r="I100" s="174" t="s">
        <v>381</v>
      </c>
      <c r="J100" s="174" t="s">
        <v>293</v>
      </c>
      <c r="K100" s="174" t="s">
        <v>279</v>
      </c>
      <c r="L100" s="174" t="s">
        <v>280</v>
      </c>
      <c r="M100" s="174" t="s">
        <v>281</v>
      </c>
      <c r="N100" s="177">
        <v>33994232</v>
      </c>
      <c r="O100" s="174" t="s">
        <v>289</v>
      </c>
      <c r="P100" s="174" t="s">
        <v>283</v>
      </c>
      <c r="Q100" s="174" t="s">
        <v>284</v>
      </c>
      <c r="R100" s="174" t="s">
        <v>283</v>
      </c>
      <c r="S100" s="174" t="s">
        <v>283</v>
      </c>
      <c r="T100" s="175">
        <v>0</v>
      </c>
    </row>
    <row r="101" spans="1:20" x14ac:dyDescent="0.2">
      <c r="B101" s="168" t="s">
        <v>2</v>
      </c>
      <c r="C101" s="168" t="s">
        <v>22</v>
      </c>
      <c r="D101" s="173">
        <v>45716</v>
      </c>
      <c r="E101" s="174" t="s">
        <v>287</v>
      </c>
      <c r="F101" s="174" t="s">
        <v>285</v>
      </c>
      <c r="G101" s="174" t="s">
        <v>286</v>
      </c>
      <c r="H101" s="174" t="s">
        <v>378</v>
      </c>
      <c r="I101" s="174" t="s">
        <v>379</v>
      </c>
      <c r="J101" s="174" t="s">
        <v>288</v>
      </c>
      <c r="K101" s="174" t="s">
        <v>279</v>
      </c>
      <c r="L101" s="174" t="s">
        <v>280</v>
      </c>
      <c r="M101" s="174" t="s">
        <v>281</v>
      </c>
      <c r="N101" s="177">
        <v>10694417</v>
      </c>
      <c r="O101" s="174" t="s">
        <v>289</v>
      </c>
      <c r="P101" s="174" t="s">
        <v>283</v>
      </c>
      <c r="Q101" s="174" t="s">
        <v>284</v>
      </c>
      <c r="R101" s="174" t="s">
        <v>283</v>
      </c>
      <c r="S101" s="174" t="s">
        <v>283</v>
      </c>
      <c r="T101" s="175">
        <v>0</v>
      </c>
    </row>
    <row r="102" spans="1:20" x14ac:dyDescent="0.2">
      <c r="B102" s="168" t="s">
        <v>2</v>
      </c>
      <c r="C102" s="168" t="s">
        <v>24</v>
      </c>
      <c r="D102" s="173">
        <v>45716</v>
      </c>
      <c r="E102" s="174" t="s">
        <v>287</v>
      </c>
      <c r="F102" s="174" t="s">
        <v>292</v>
      </c>
      <c r="G102" s="174" t="s">
        <v>77</v>
      </c>
      <c r="H102" s="174" t="s">
        <v>378</v>
      </c>
      <c r="I102" s="174" t="s">
        <v>379</v>
      </c>
      <c r="J102" s="174" t="s">
        <v>293</v>
      </c>
      <c r="K102" s="174" t="s">
        <v>279</v>
      </c>
      <c r="L102" s="174" t="s">
        <v>280</v>
      </c>
      <c r="M102" s="174" t="s">
        <v>281</v>
      </c>
      <c r="N102" s="177">
        <v>9838778</v>
      </c>
      <c r="O102" s="174" t="s">
        <v>289</v>
      </c>
      <c r="P102" s="174" t="s">
        <v>283</v>
      </c>
      <c r="Q102" s="174" t="s">
        <v>284</v>
      </c>
      <c r="R102" s="174" t="s">
        <v>283</v>
      </c>
      <c r="S102" s="174" t="s">
        <v>283</v>
      </c>
      <c r="T102" s="175">
        <v>0</v>
      </c>
    </row>
    <row r="103" spans="1:20" x14ac:dyDescent="0.2">
      <c r="B103" s="168" t="s">
        <v>7</v>
      </c>
      <c r="C103" s="168" t="s">
        <v>22</v>
      </c>
      <c r="D103" s="173">
        <v>45716</v>
      </c>
      <c r="E103" s="174" t="s">
        <v>287</v>
      </c>
      <c r="F103" s="174" t="s">
        <v>388</v>
      </c>
      <c r="G103" s="174" t="s">
        <v>286</v>
      </c>
      <c r="H103" s="174" t="s">
        <v>376</v>
      </c>
      <c r="I103" s="174" t="s">
        <v>377</v>
      </c>
      <c r="J103" s="174" t="s">
        <v>288</v>
      </c>
      <c r="K103" s="174" t="s">
        <v>279</v>
      </c>
      <c r="L103" s="174" t="s">
        <v>280</v>
      </c>
      <c r="M103" s="174" t="s">
        <v>281</v>
      </c>
      <c r="N103" s="177">
        <v>75885167</v>
      </c>
      <c r="O103" s="174" t="s">
        <v>289</v>
      </c>
      <c r="P103" s="174" t="s">
        <v>283</v>
      </c>
      <c r="Q103" s="174" t="s">
        <v>284</v>
      </c>
      <c r="R103" s="174" t="s">
        <v>283</v>
      </c>
      <c r="S103" s="174" t="s">
        <v>283</v>
      </c>
      <c r="T103" s="175">
        <v>0</v>
      </c>
    </row>
    <row r="104" spans="1:20" x14ac:dyDescent="0.2">
      <c r="B104" s="168" t="s">
        <v>7</v>
      </c>
      <c r="C104" s="168" t="s">
        <v>24</v>
      </c>
      <c r="D104" s="173">
        <v>45716</v>
      </c>
      <c r="E104" s="174" t="s">
        <v>287</v>
      </c>
      <c r="F104" s="174" t="s">
        <v>395</v>
      </c>
      <c r="G104" s="174" t="s">
        <v>77</v>
      </c>
      <c r="H104" s="174" t="s">
        <v>376</v>
      </c>
      <c r="I104" s="174" t="s">
        <v>377</v>
      </c>
      <c r="J104" s="174" t="s">
        <v>293</v>
      </c>
      <c r="K104" s="174" t="s">
        <v>279</v>
      </c>
      <c r="L104" s="174" t="s">
        <v>280</v>
      </c>
      <c r="M104" s="174" t="s">
        <v>281</v>
      </c>
      <c r="N104" s="177">
        <v>69813746</v>
      </c>
      <c r="O104" s="174" t="s">
        <v>289</v>
      </c>
      <c r="P104" s="174" t="s">
        <v>283</v>
      </c>
      <c r="Q104" s="174" t="s">
        <v>284</v>
      </c>
      <c r="R104" s="174" t="s">
        <v>283</v>
      </c>
      <c r="S104" s="174" t="s">
        <v>283</v>
      </c>
      <c r="T104" s="175">
        <v>0</v>
      </c>
    </row>
    <row r="105" spans="1:20" x14ac:dyDescent="0.2">
      <c r="B105" s="168" t="s">
        <v>9</v>
      </c>
      <c r="C105" s="168" t="s">
        <v>22</v>
      </c>
      <c r="D105" s="173">
        <v>45716</v>
      </c>
      <c r="E105" s="174" t="s">
        <v>287</v>
      </c>
      <c r="F105" s="174" t="s">
        <v>285</v>
      </c>
      <c r="G105" s="174" t="s">
        <v>286</v>
      </c>
      <c r="H105" s="174" t="s">
        <v>382</v>
      </c>
      <c r="I105" s="174" t="s">
        <v>200</v>
      </c>
      <c r="J105" s="174" t="s">
        <v>288</v>
      </c>
      <c r="K105" s="174" t="s">
        <v>279</v>
      </c>
      <c r="L105" s="174" t="s">
        <v>280</v>
      </c>
      <c r="M105" s="174" t="s">
        <v>281</v>
      </c>
      <c r="N105" s="177">
        <v>6194250</v>
      </c>
      <c r="O105" s="174" t="s">
        <v>289</v>
      </c>
      <c r="P105" s="174" t="s">
        <v>283</v>
      </c>
      <c r="Q105" s="174" t="s">
        <v>284</v>
      </c>
      <c r="R105" s="174" t="s">
        <v>283</v>
      </c>
      <c r="S105" s="174" t="s">
        <v>283</v>
      </c>
      <c r="T105" s="175">
        <v>0</v>
      </c>
    </row>
    <row r="106" spans="1:20" x14ac:dyDescent="0.2">
      <c r="B106" s="168" t="s">
        <v>9</v>
      </c>
      <c r="C106" s="168" t="s">
        <v>24</v>
      </c>
      <c r="D106" s="173">
        <v>45716</v>
      </c>
      <c r="E106" s="174" t="s">
        <v>287</v>
      </c>
      <c r="F106" s="174" t="s">
        <v>292</v>
      </c>
      <c r="G106" s="174" t="s">
        <v>77</v>
      </c>
      <c r="H106" s="174" t="s">
        <v>382</v>
      </c>
      <c r="I106" s="174" t="s">
        <v>200</v>
      </c>
      <c r="J106" s="174" t="s">
        <v>293</v>
      </c>
      <c r="K106" s="174" t="s">
        <v>279</v>
      </c>
      <c r="L106" s="174" t="s">
        <v>280</v>
      </c>
      <c r="M106" s="174" t="s">
        <v>281</v>
      </c>
      <c r="N106" s="177">
        <v>5698660</v>
      </c>
      <c r="O106" s="174" t="s">
        <v>289</v>
      </c>
      <c r="P106" s="174" t="s">
        <v>283</v>
      </c>
      <c r="Q106" s="174" t="s">
        <v>284</v>
      </c>
      <c r="R106" s="174" t="s">
        <v>283</v>
      </c>
      <c r="S106" s="174" t="s">
        <v>283</v>
      </c>
      <c r="T106" s="175">
        <v>0</v>
      </c>
    </row>
    <row r="107" spans="1:20" x14ac:dyDescent="0.2">
      <c r="B107" s="168" t="s">
        <v>10</v>
      </c>
      <c r="C107" s="168" t="s">
        <v>22</v>
      </c>
      <c r="D107" s="173">
        <v>45716</v>
      </c>
      <c r="E107" s="174" t="s">
        <v>396</v>
      </c>
      <c r="F107" s="174" t="s">
        <v>274</v>
      </c>
      <c r="G107" s="174" t="s">
        <v>275</v>
      </c>
      <c r="H107" s="174" t="s">
        <v>380</v>
      </c>
      <c r="I107" s="174" t="s">
        <v>381</v>
      </c>
      <c r="J107" s="174" t="s">
        <v>397</v>
      </c>
      <c r="K107" s="174" t="s">
        <v>279</v>
      </c>
      <c r="L107" s="174" t="s">
        <v>280</v>
      </c>
      <c r="M107" s="174" t="s">
        <v>281</v>
      </c>
      <c r="N107" s="177">
        <v>-197464</v>
      </c>
      <c r="O107" s="174" t="s">
        <v>398</v>
      </c>
      <c r="P107" s="174" t="s">
        <v>283</v>
      </c>
      <c r="Q107" s="174" t="s">
        <v>284</v>
      </c>
      <c r="R107" s="174" t="s">
        <v>283</v>
      </c>
      <c r="S107" s="174" t="s">
        <v>283</v>
      </c>
      <c r="T107" s="175">
        <v>0</v>
      </c>
    </row>
    <row r="108" spans="1:20" x14ac:dyDescent="0.2">
      <c r="B108" s="168" t="s">
        <v>9</v>
      </c>
      <c r="C108" s="168" t="s">
        <v>222</v>
      </c>
      <c r="D108" s="173">
        <v>45716</v>
      </c>
      <c r="E108" s="174" t="s">
        <v>344</v>
      </c>
      <c r="F108" s="174" t="s">
        <v>300</v>
      </c>
      <c r="G108" s="174" t="s">
        <v>222</v>
      </c>
      <c r="H108" s="174" t="s">
        <v>358</v>
      </c>
      <c r="I108" s="174" t="s">
        <v>359</v>
      </c>
      <c r="J108" s="174" t="s">
        <v>345</v>
      </c>
      <c r="K108" s="174" t="s">
        <v>346</v>
      </c>
      <c r="L108" s="174" t="s">
        <v>280</v>
      </c>
      <c r="M108" s="174" t="s">
        <v>281</v>
      </c>
      <c r="N108" s="177">
        <v>4000000</v>
      </c>
      <c r="O108" s="174" t="s">
        <v>347</v>
      </c>
      <c r="P108" s="174" t="s">
        <v>283</v>
      </c>
      <c r="Q108" s="174" t="s">
        <v>348</v>
      </c>
      <c r="R108" s="174" t="s">
        <v>283</v>
      </c>
      <c r="S108" s="174" t="s">
        <v>283</v>
      </c>
      <c r="T108" s="175">
        <v>0</v>
      </c>
    </row>
    <row r="109" spans="1:20" x14ac:dyDescent="0.2">
      <c r="B109" s="168" t="s">
        <v>9</v>
      </c>
      <c r="C109" s="168" t="s">
        <v>222</v>
      </c>
      <c r="D109" s="173">
        <v>45716</v>
      </c>
      <c r="E109" s="174" t="s">
        <v>349</v>
      </c>
      <c r="F109" s="174" t="s">
        <v>300</v>
      </c>
      <c r="G109" s="174" t="s">
        <v>222</v>
      </c>
      <c r="H109" s="174" t="s">
        <v>358</v>
      </c>
      <c r="I109" s="174" t="s">
        <v>359</v>
      </c>
      <c r="J109" s="174" t="s">
        <v>350</v>
      </c>
      <c r="K109" s="174" t="s">
        <v>350</v>
      </c>
      <c r="L109" s="174" t="s">
        <v>280</v>
      </c>
      <c r="M109" s="174" t="s">
        <v>281</v>
      </c>
      <c r="N109" s="177">
        <v>2981191</v>
      </c>
      <c r="O109" s="174" t="s">
        <v>351</v>
      </c>
      <c r="P109" s="174" t="s">
        <v>283</v>
      </c>
      <c r="Q109" s="174" t="s">
        <v>348</v>
      </c>
      <c r="R109" s="174" t="s">
        <v>283</v>
      </c>
      <c r="S109" s="174" t="s">
        <v>283</v>
      </c>
      <c r="T109" s="175">
        <v>0</v>
      </c>
    </row>
    <row r="110" spans="1:20" x14ac:dyDescent="0.2">
      <c r="A110" s="169">
        <v>622</v>
      </c>
      <c r="B110" s="168" t="s">
        <v>8</v>
      </c>
      <c r="C110" s="168" t="s">
        <v>22</v>
      </c>
      <c r="D110" s="173">
        <v>45695</v>
      </c>
      <c r="E110" s="174" t="s">
        <v>399</v>
      </c>
      <c r="F110" s="174" t="s">
        <v>400</v>
      </c>
      <c r="G110" s="174" t="s">
        <v>401</v>
      </c>
      <c r="H110" s="174" t="s">
        <v>402</v>
      </c>
      <c r="I110" s="174" t="s">
        <v>403</v>
      </c>
      <c r="J110" s="174" t="s">
        <v>404</v>
      </c>
      <c r="K110" s="174" t="s">
        <v>405</v>
      </c>
      <c r="L110" s="174" t="s">
        <v>280</v>
      </c>
      <c r="M110" s="174" t="s">
        <v>281</v>
      </c>
      <c r="N110" s="177">
        <v>102130449</v>
      </c>
      <c r="O110" s="174" t="s">
        <v>406</v>
      </c>
      <c r="P110" s="174" t="s">
        <v>283</v>
      </c>
      <c r="Q110" s="174" t="s">
        <v>306</v>
      </c>
      <c r="R110" s="174" t="s">
        <v>283</v>
      </c>
      <c r="S110" s="174" t="s">
        <v>283</v>
      </c>
      <c r="T110" s="175">
        <v>0</v>
      </c>
    </row>
    <row r="111" spans="1:20" x14ac:dyDescent="0.2">
      <c r="A111" s="169">
        <v>622</v>
      </c>
      <c r="B111" s="168" t="s">
        <v>8</v>
      </c>
      <c r="C111" s="168" t="s">
        <v>22</v>
      </c>
      <c r="D111" s="173">
        <v>45695</v>
      </c>
      <c r="E111" s="174" t="s">
        <v>399</v>
      </c>
      <c r="F111" s="174" t="s">
        <v>400</v>
      </c>
      <c r="G111" s="174" t="s">
        <v>401</v>
      </c>
      <c r="H111" s="174" t="s">
        <v>402</v>
      </c>
      <c r="I111" s="174" t="s">
        <v>403</v>
      </c>
      <c r="J111" s="174" t="s">
        <v>407</v>
      </c>
      <c r="K111" s="174" t="s">
        <v>405</v>
      </c>
      <c r="L111" s="174" t="s">
        <v>280</v>
      </c>
      <c r="M111" s="174" t="s">
        <v>281</v>
      </c>
      <c r="N111" s="177">
        <v>9000000</v>
      </c>
      <c r="O111" s="174" t="s">
        <v>406</v>
      </c>
      <c r="P111" s="174" t="s">
        <v>283</v>
      </c>
      <c r="Q111" s="174" t="s">
        <v>306</v>
      </c>
      <c r="R111" s="174" t="s">
        <v>283</v>
      </c>
      <c r="S111" s="174" t="s">
        <v>283</v>
      </c>
      <c r="T111" s="175">
        <v>0</v>
      </c>
    </row>
    <row r="112" spans="1:20" x14ac:dyDescent="0.2">
      <c r="A112" s="169">
        <v>622</v>
      </c>
      <c r="B112" s="168" t="s">
        <v>8</v>
      </c>
      <c r="C112" s="168" t="s">
        <v>22</v>
      </c>
      <c r="D112" s="173">
        <v>45696</v>
      </c>
      <c r="E112" s="174" t="s">
        <v>408</v>
      </c>
      <c r="F112" s="174" t="s">
        <v>400</v>
      </c>
      <c r="G112" s="174" t="s">
        <v>401</v>
      </c>
      <c r="H112" s="174" t="s">
        <v>402</v>
      </c>
      <c r="I112" s="174" t="s">
        <v>403</v>
      </c>
      <c r="J112" s="174" t="s">
        <v>409</v>
      </c>
      <c r="K112" s="174" t="s">
        <v>405</v>
      </c>
      <c r="L112" s="174" t="s">
        <v>280</v>
      </c>
      <c r="M112" s="174" t="s">
        <v>281</v>
      </c>
      <c r="N112" s="177">
        <v>8333333</v>
      </c>
      <c r="O112" s="174" t="s">
        <v>410</v>
      </c>
      <c r="P112" s="174" t="s">
        <v>283</v>
      </c>
      <c r="Q112" s="174" t="s">
        <v>306</v>
      </c>
      <c r="R112" s="174" t="s">
        <v>283</v>
      </c>
      <c r="S112" s="174" t="s">
        <v>283</v>
      </c>
      <c r="T112" s="175">
        <v>0</v>
      </c>
    </row>
    <row r="113" spans="1:20" x14ac:dyDescent="0.2">
      <c r="B113" s="168" t="s">
        <v>6</v>
      </c>
      <c r="C113" s="168" t="s">
        <v>25</v>
      </c>
      <c r="D113" s="173">
        <v>45715</v>
      </c>
      <c r="E113" s="174" t="s">
        <v>334</v>
      </c>
      <c r="F113" s="174" t="s">
        <v>375</v>
      </c>
      <c r="G113" s="174" t="s">
        <v>336</v>
      </c>
      <c r="H113" s="174" t="s">
        <v>411</v>
      </c>
      <c r="I113" s="174" t="s">
        <v>412</v>
      </c>
      <c r="J113" s="174" t="s">
        <v>337</v>
      </c>
      <c r="K113" s="174" t="s">
        <v>338</v>
      </c>
      <c r="L113" s="174" t="s">
        <v>280</v>
      </c>
      <c r="M113" s="174" t="s">
        <v>281</v>
      </c>
      <c r="N113" s="177">
        <v>24425000</v>
      </c>
      <c r="O113" s="174" t="s">
        <v>339</v>
      </c>
      <c r="P113" s="174" t="s">
        <v>283</v>
      </c>
      <c r="Q113" s="174" t="s">
        <v>306</v>
      </c>
      <c r="R113" s="174" t="s">
        <v>283</v>
      </c>
      <c r="S113" s="174" t="s">
        <v>283</v>
      </c>
      <c r="T113" s="175">
        <v>0</v>
      </c>
    </row>
    <row r="114" spans="1:20" x14ac:dyDescent="0.2">
      <c r="A114" s="169">
        <v>622</v>
      </c>
      <c r="B114" s="168" t="s">
        <v>8</v>
      </c>
      <c r="C114" s="168" t="s">
        <v>25</v>
      </c>
      <c r="D114" s="173">
        <v>45716</v>
      </c>
      <c r="E114" s="174" t="s">
        <v>413</v>
      </c>
      <c r="F114" s="174" t="s">
        <v>414</v>
      </c>
      <c r="G114" s="174" t="s">
        <v>415</v>
      </c>
      <c r="H114" s="174" t="s">
        <v>402</v>
      </c>
      <c r="I114" s="174" t="s">
        <v>403</v>
      </c>
      <c r="J114" s="174" t="s">
        <v>416</v>
      </c>
      <c r="K114" s="174" t="s">
        <v>416</v>
      </c>
      <c r="L114" s="174" t="s">
        <v>280</v>
      </c>
      <c r="M114" s="174" t="s">
        <v>281</v>
      </c>
      <c r="N114" s="177">
        <v>81650000</v>
      </c>
      <c r="O114" s="174" t="s">
        <v>417</v>
      </c>
      <c r="P114" s="174" t="s">
        <v>283</v>
      </c>
      <c r="Q114" s="174" t="s">
        <v>348</v>
      </c>
      <c r="R114" s="174" t="s">
        <v>283</v>
      </c>
      <c r="S114" s="174" t="s">
        <v>283</v>
      </c>
      <c r="T114" s="175">
        <v>0</v>
      </c>
    </row>
    <row r="115" spans="1:20" x14ac:dyDescent="0.2">
      <c r="B115" s="168" t="s">
        <v>6</v>
      </c>
      <c r="C115" s="168" t="s">
        <v>25</v>
      </c>
      <c r="D115" s="173">
        <v>45716</v>
      </c>
      <c r="E115" s="174" t="s">
        <v>273</v>
      </c>
      <c r="F115" s="174" t="s">
        <v>386</v>
      </c>
      <c r="G115" s="174" t="s">
        <v>341</v>
      </c>
      <c r="H115" s="174" t="s">
        <v>411</v>
      </c>
      <c r="I115" s="174" t="s">
        <v>412</v>
      </c>
      <c r="J115" s="174" t="s">
        <v>278</v>
      </c>
      <c r="K115" s="174" t="s">
        <v>279</v>
      </c>
      <c r="L115" s="174" t="s">
        <v>280</v>
      </c>
      <c r="M115" s="174" t="s">
        <v>281</v>
      </c>
      <c r="N115" s="177">
        <v>19448803</v>
      </c>
      <c r="O115" s="174" t="s">
        <v>282</v>
      </c>
      <c r="P115" s="174" t="s">
        <v>283</v>
      </c>
      <c r="Q115" s="174" t="s">
        <v>284</v>
      </c>
      <c r="R115" s="174" t="s">
        <v>283</v>
      </c>
      <c r="S115" s="174" t="s">
        <v>283</v>
      </c>
      <c r="T115" s="175">
        <v>0</v>
      </c>
    </row>
    <row r="116" spans="1:20" x14ac:dyDescent="0.2">
      <c r="B116" s="168" t="s">
        <v>6</v>
      </c>
      <c r="C116" s="168" t="s">
        <v>22</v>
      </c>
      <c r="D116" s="173">
        <v>45716</v>
      </c>
      <c r="E116" s="174" t="s">
        <v>273</v>
      </c>
      <c r="F116" s="174" t="s">
        <v>387</v>
      </c>
      <c r="G116" s="174" t="s">
        <v>275</v>
      </c>
      <c r="H116" s="174" t="s">
        <v>411</v>
      </c>
      <c r="I116" s="174" t="s">
        <v>412</v>
      </c>
      <c r="J116" s="174" t="s">
        <v>278</v>
      </c>
      <c r="K116" s="174" t="s">
        <v>279</v>
      </c>
      <c r="L116" s="174" t="s">
        <v>280</v>
      </c>
      <c r="M116" s="174" t="s">
        <v>281</v>
      </c>
      <c r="N116" s="177">
        <v>450069010</v>
      </c>
      <c r="O116" s="174" t="s">
        <v>282</v>
      </c>
      <c r="P116" s="174" t="s">
        <v>283</v>
      </c>
      <c r="Q116" s="174" t="s">
        <v>284</v>
      </c>
      <c r="R116" s="174" t="s">
        <v>283</v>
      </c>
      <c r="S116" s="174" t="s">
        <v>283</v>
      </c>
      <c r="T116" s="175">
        <v>0</v>
      </c>
    </row>
    <row r="117" spans="1:20" x14ac:dyDescent="0.2">
      <c r="B117" s="168" t="s">
        <v>6</v>
      </c>
      <c r="C117" s="168" t="s">
        <v>22</v>
      </c>
      <c r="D117" s="173">
        <v>45716</v>
      </c>
      <c r="E117" s="174" t="s">
        <v>273</v>
      </c>
      <c r="F117" s="174" t="s">
        <v>388</v>
      </c>
      <c r="G117" s="174" t="s">
        <v>286</v>
      </c>
      <c r="H117" s="174" t="s">
        <v>411</v>
      </c>
      <c r="I117" s="174" t="s">
        <v>412</v>
      </c>
      <c r="J117" s="174" t="s">
        <v>278</v>
      </c>
      <c r="K117" s="174" t="s">
        <v>279</v>
      </c>
      <c r="L117" s="174" t="s">
        <v>280</v>
      </c>
      <c r="M117" s="174" t="s">
        <v>281</v>
      </c>
      <c r="N117" s="177">
        <v>26400136</v>
      </c>
      <c r="O117" s="174" t="s">
        <v>282</v>
      </c>
      <c r="P117" s="174" t="s">
        <v>283</v>
      </c>
      <c r="Q117" s="174" t="s">
        <v>284</v>
      </c>
      <c r="R117" s="174" t="s">
        <v>283</v>
      </c>
      <c r="S117" s="174" t="s">
        <v>283</v>
      </c>
      <c r="T117" s="175">
        <v>0</v>
      </c>
    </row>
    <row r="118" spans="1:20" x14ac:dyDescent="0.2">
      <c r="B118" s="168" t="s">
        <v>6</v>
      </c>
      <c r="C118" s="168" t="s">
        <v>23</v>
      </c>
      <c r="D118" s="173">
        <v>45716</v>
      </c>
      <c r="E118" s="174" t="s">
        <v>273</v>
      </c>
      <c r="F118" s="174" t="s">
        <v>389</v>
      </c>
      <c r="G118" s="174" t="s">
        <v>390</v>
      </c>
      <c r="H118" s="174" t="s">
        <v>411</v>
      </c>
      <c r="I118" s="174" t="s">
        <v>412</v>
      </c>
      <c r="J118" s="174" t="s">
        <v>278</v>
      </c>
      <c r="K118" s="174" t="s">
        <v>279</v>
      </c>
      <c r="L118" s="174" t="s">
        <v>280</v>
      </c>
      <c r="M118" s="174" t="s">
        <v>281</v>
      </c>
      <c r="N118" s="177">
        <v>134337444</v>
      </c>
      <c r="O118" s="174" t="s">
        <v>282</v>
      </c>
      <c r="P118" s="174" t="s">
        <v>283</v>
      </c>
      <c r="Q118" s="174" t="s">
        <v>284</v>
      </c>
      <c r="R118" s="174" t="s">
        <v>283</v>
      </c>
      <c r="S118" s="174" t="s">
        <v>283</v>
      </c>
      <c r="T118" s="175">
        <v>0</v>
      </c>
    </row>
    <row r="119" spans="1:20" x14ac:dyDescent="0.2">
      <c r="B119" s="168" t="s">
        <v>6</v>
      </c>
      <c r="C119" s="168" t="s">
        <v>24</v>
      </c>
      <c r="D119" s="173">
        <v>45716</v>
      </c>
      <c r="E119" s="174" t="s">
        <v>273</v>
      </c>
      <c r="F119" s="174" t="s">
        <v>391</v>
      </c>
      <c r="G119" s="174" t="s">
        <v>291</v>
      </c>
      <c r="H119" s="174" t="s">
        <v>411</v>
      </c>
      <c r="I119" s="174" t="s">
        <v>412</v>
      </c>
      <c r="J119" s="174" t="s">
        <v>278</v>
      </c>
      <c r="K119" s="174" t="s">
        <v>279</v>
      </c>
      <c r="L119" s="174" t="s">
        <v>280</v>
      </c>
      <c r="M119" s="174" t="s">
        <v>281</v>
      </c>
      <c r="N119" s="177">
        <v>31440000</v>
      </c>
      <c r="O119" s="174" t="s">
        <v>282</v>
      </c>
      <c r="P119" s="174" t="s">
        <v>283</v>
      </c>
      <c r="Q119" s="174" t="s">
        <v>284</v>
      </c>
      <c r="R119" s="174" t="s">
        <v>283</v>
      </c>
      <c r="S119" s="174" t="s">
        <v>283</v>
      </c>
      <c r="T119" s="175">
        <v>0</v>
      </c>
    </row>
    <row r="120" spans="1:20" x14ac:dyDescent="0.2">
      <c r="B120" s="168" t="s">
        <v>6</v>
      </c>
      <c r="C120" s="168" t="s">
        <v>25</v>
      </c>
      <c r="D120" s="173">
        <v>45716</v>
      </c>
      <c r="E120" s="174" t="s">
        <v>273</v>
      </c>
      <c r="F120" s="174" t="s">
        <v>375</v>
      </c>
      <c r="G120" s="174" t="s">
        <v>336</v>
      </c>
      <c r="H120" s="174" t="s">
        <v>411</v>
      </c>
      <c r="I120" s="174" t="s">
        <v>412</v>
      </c>
      <c r="J120" s="174" t="s">
        <v>278</v>
      </c>
      <c r="K120" s="174" t="s">
        <v>279</v>
      </c>
      <c r="L120" s="174" t="s">
        <v>280</v>
      </c>
      <c r="M120" s="174" t="s">
        <v>281</v>
      </c>
      <c r="N120" s="177">
        <v>6400000</v>
      </c>
      <c r="O120" s="174" t="s">
        <v>282</v>
      </c>
      <c r="P120" s="174" t="s">
        <v>283</v>
      </c>
      <c r="Q120" s="174" t="s">
        <v>284</v>
      </c>
      <c r="R120" s="174" t="s">
        <v>283</v>
      </c>
      <c r="S120" s="174" t="s">
        <v>283</v>
      </c>
      <c r="T120" s="175">
        <v>0</v>
      </c>
    </row>
    <row r="121" spans="1:20" x14ac:dyDescent="0.2">
      <c r="B121" s="168" t="s">
        <v>4</v>
      </c>
      <c r="C121" s="168" t="s">
        <v>22</v>
      </c>
      <c r="D121" s="173">
        <v>45716</v>
      </c>
      <c r="E121" s="174" t="s">
        <v>273</v>
      </c>
      <c r="F121" s="174" t="s">
        <v>387</v>
      </c>
      <c r="G121" s="174" t="s">
        <v>275</v>
      </c>
      <c r="H121" s="174" t="s">
        <v>418</v>
      </c>
      <c r="I121" s="174" t="s">
        <v>419</v>
      </c>
      <c r="J121" s="174" t="s">
        <v>278</v>
      </c>
      <c r="K121" s="174" t="s">
        <v>279</v>
      </c>
      <c r="L121" s="174" t="s">
        <v>280</v>
      </c>
      <c r="M121" s="174" t="s">
        <v>281</v>
      </c>
      <c r="N121" s="177">
        <v>139172326</v>
      </c>
      <c r="O121" s="174" t="s">
        <v>282</v>
      </c>
      <c r="P121" s="174" t="s">
        <v>283</v>
      </c>
      <c r="Q121" s="174" t="s">
        <v>284</v>
      </c>
      <c r="R121" s="174" t="s">
        <v>283</v>
      </c>
      <c r="S121" s="174" t="s">
        <v>283</v>
      </c>
      <c r="T121" s="175">
        <v>0</v>
      </c>
    </row>
    <row r="122" spans="1:20" x14ac:dyDescent="0.2">
      <c r="B122" s="168" t="s">
        <v>4</v>
      </c>
      <c r="C122" s="168" t="s">
        <v>22</v>
      </c>
      <c r="D122" s="173">
        <v>45716</v>
      </c>
      <c r="E122" s="174" t="s">
        <v>273</v>
      </c>
      <c r="F122" s="174" t="s">
        <v>388</v>
      </c>
      <c r="G122" s="174" t="s">
        <v>286</v>
      </c>
      <c r="H122" s="174" t="s">
        <v>418</v>
      </c>
      <c r="I122" s="174" t="s">
        <v>419</v>
      </c>
      <c r="J122" s="174" t="s">
        <v>278</v>
      </c>
      <c r="K122" s="174" t="s">
        <v>279</v>
      </c>
      <c r="L122" s="174" t="s">
        <v>280</v>
      </c>
      <c r="M122" s="174" t="s">
        <v>281</v>
      </c>
      <c r="N122" s="177">
        <v>4664808</v>
      </c>
      <c r="O122" s="174" t="s">
        <v>282</v>
      </c>
      <c r="P122" s="174" t="s">
        <v>283</v>
      </c>
      <c r="Q122" s="174" t="s">
        <v>284</v>
      </c>
      <c r="R122" s="174" t="s">
        <v>283</v>
      </c>
      <c r="S122" s="174" t="s">
        <v>283</v>
      </c>
      <c r="T122" s="175">
        <v>0</v>
      </c>
    </row>
    <row r="123" spans="1:20" x14ac:dyDescent="0.2">
      <c r="B123" s="168" t="s">
        <v>4</v>
      </c>
      <c r="C123" s="168" t="s">
        <v>24</v>
      </c>
      <c r="D123" s="173">
        <v>45716</v>
      </c>
      <c r="E123" s="174" t="s">
        <v>273</v>
      </c>
      <c r="F123" s="174" t="s">
        <v>391</v>
      </c>
      <c r="G123" s="174" t="s">
        <v>291</v>
      </c>
      <c r="H123" s="174" t="s">
        <v>418</v>
      </c>
      <c r="I123" s="174" t="s">
        <v>419</v>
      </c>
      <c r="J123" s="174" t="s">
        <v>278</v>
      </c>
      <c r="K123" s="174" t="s">
        <v>279</v>
      </c>
      <c r="L123" s="174" t="s">
        <v>280</v>
      </c>
      <c r="M123" s="174" t="s">
        <v>281</v>
      </c>
      <c r="N123" s="177">
        <v>3000000</v>
      </c>
      <c r="O123" s="174" t="s">
        <v>282</v>
      </c>
      <c r="P123" s="174" t="s">
        <v>283</v>
      </c>
      <c r="Q123" s="174" t="s">
        <v>284</v>
      </c>
      <c r="R123" s="174" t="s">
        <v>283</v>
      </c>
      <c r="S123" s="174" t="s">
        <v>283</v>
      </c>
      <c r="T123" s="175">
        <v>0</v>
      </c>
    </row>
    <row r="124" spans="1:20" x14ac:dyDescent="0.2">
      <c r="A124" s="169">
        <v>622</v>
      </c>
      <c r="B124" s="168" t="s">
        <v>8</v>
      </c>
      <c r="C124" s="168" t="s">
        <v>22</v>
      </c>
      <c r="D124" s="173">
        <v>45716</v>
      </c>
      <c r="E124" s="174" t="s">
        <v>273</v>
      </c>
      <c r="F124" s="174" t="s">
        <v>400</v>
      </c>
      <c r="G124" s="174" t="s">
        <v>401</v>
      </c>
      <c r="H124" s="174" t="s">
        <v>402</v>
      </c>
      <c r="I124" s="174" t="s">
        <v>403</v>
      </c>
      <c r="J124" s="174" t="s">
        <v>278</v>
      </c>
      <c r="K124" s="174" t="s">
        <v>279</v>
      </c>
      <c r="L124" s="174" t="s">
        <v>280</v>
      </c>
      <c r="M124" s="174" t="s">
        <v>281</v>
      </c>
      <c r="N124" s="177">
        <v>1400002480</v>
      </c>
      <c r="O124" s="174" t="s">
        <v>282</v>
      </c>
      <c r="P124" s="174" t="s">
        <v>283</v>
      </c>
      <c r="Q124" s="174" t="s">
        <v>284</v>
      </c>
      <c r="R124" s="174" t="s">
        <v>283</v>
      </c>
      <c r="S124" s="174" t="s">
        <v>283</v>
      </c>
      <c r="T124" s="175">
        <v>0</v>
      </c>
    </row>
    <row r="125" spans="1:20" x14ac:dyDescent="0.2">
      <c r="A125" s="169">
        <v>622</v>
      </c>
      <c r="B125" s="168" t="s">
        <v>8</v>
      </c>
      <c r="C125" s="168" t="s">
        <v>22</v>
      </c>
      <c r="D125" s="173">
        <v>45716</v>
      </c>
      <c r="E125" s="174" t="s">
        <v>273</v>
      </c>
      <c r="F125" s="174" t="s">
        <v>420</v>
      </c>
      <c r="G125" s="174" t="s">
        <v>286</v>
      </c>
      <c r="H125" s="174" t="s">
        <v>402</v>
      </c>
      <c r="I125" s="174" t="s">
        <v>403</v>
      </c>
      <c r="J125" s="174" t="s">
        <v>278</v>
      </c>
      <c r="K125" s="174" t="s">
        <v>279</v>
      </c>
      <c r="L125" s="174" t="s">
        <v>280</v>
      </c>
      <c r="M125" s="174" t="s">
        <v>281</v>
      </c>
      <c r="N125" s="177">
        <v>33470186</v>
      </c>
      <c r="O125" s="174" t="s">
        <v>282</v>
      </c>
      <c r="P125" s="174" t="s">
        <v>283</v>
      </c>
      <c r="Q125" s="174" t="s">
        <v>284</v>
      </c>
      <c r="R125" s="174" t="s">
        <v>283</v>
      </c>
      <c r="S125" s="174" t="s">
        <v>283</v>
      </c>
      <c r="T125" s="175">
        <v>0</v>
      </c>
    </row>
    <row r="126" spans="1:20" x14ac:dyDescent="0.2">
      <c r="A126" s="169">
        <v>622</v>
      </c>
      <c r="B126" s="168" t="s">
        <v>8</v>
      </c>
      <c r="C126" s="168" t="s">
        <v>25</v>
      </c>
      <c r="D126" s="173">
        <v>45716</v>
      </c>
      <c r="E126" s="174" t="s">
        <v>273</v>
      </c>
      <c r="F126" s="174" t="s">
        <v>421</v>
      </c>
      <c r="G126" s="174" t="s">
        <v>341</v>
      </c>
      <c r="H126" s="174" t="s">
        <v>402</v>
      </c>
      <c r="I126" s="174" t="s">
        <v>403</v>
      </c>
      <c r="J126" s="174" t="s">
        <v>278</v>
      </c>
      <c r="K126" s="174" t="s">
        <v>279</v>
      </c>
      <c r="L126" s="174" t="s">
        <v>280</v>
      </c>
      <c r="M126" s="174" t="s">
        <v>281</v>
      </c>
      <c r="N126" s="177">
        <v>92249649</v>
      </c>
      <c r="O126" s="174" t="s">
        <v>282</v>
      </c>
      <c r="P126" s="174" t="s">
        <v>283</v>
      </c>
      <c r="Q126" s="174" t="s">
        <v>284</v>
      </c>
      <c r="R126" s="174" t="s">
        <v>283</v>
      </c>
      <c r="S126" s="174" t="s">
        <v>283</v>
      </c>
      <c r="T126" s="175">
        <v>0</v>
      </c>
    </row>
    <row r="127" spans="1:20" x14ac:dyDescent="0.2">
      <c r="A127" s="169">
        <v>622</v>
      </c>
      <c r="B127" s="168" t="s">
        <v>8</v>
      </c>
      <c r="C127" s="168" t="s">
        <v>23</v>
      </c>
      <c r="D127" s="173">
        <v>45716</v>
      </c>
      <c r="E127" s="174" t="s">
        <v>273</v>
      </c>
      <c r="F127" s="174" t="s">
        <v>422</v>
      </c>
      <c r="G127" s="174" t="s">
        <v>423</v>
      </c>
      <c r="H127" s="174" t="s">
        <v>402</v>
      </c>
      <c r="I127" s="174" t="s">
        <v>403</v>
      </c>
      <c r="J127" s="174" t="s">
        <v>278</v>
      </c>
      <c r="K127" s="174" t="s">
        <v>279</v>
      </c>
      <c r="L127" s="174" t="s">
        <v>280</v>
      </c>
      <c r="M127" s="174" t="s">
        <v>281</v>
      </c>
      <c r="N127" s="177">
        <v>259898689</v>
      </c>
      <c r="O127" s="174" t="s">
        <v>282</v>
      </c>
      <c r="P127" s="174" t="s">
        <v>283</v>
      </c>
      <c r="Q127" s="174" t="s">
        <v>284</v>
      </c>
      <c r="R127" s="174" t="s">
        <v>283</v>
      </c>
      <c r="S127" s="174" t="s">
        <v>283</v>
      </c>
      <c r="T127" s="175">
        <v>0</v>
      </c>
    </row>
    <row r="128" spans="1:20" x14ac:dyDescent="0.2">
      <c r="A128" s="169">
        <v>622</v>
      </c>
      <c r="B128" s="168" t="s">
        <v>8</v>
      </c>
      <c r="C128" s="168" t="s">
        <v>24</v>
      </c>
      <c r="D128" s="173">
        <v>45716</v>
      </c>
      <c r="E128" s="174" t="s">
        <v>273</v>
      </c>
      <c r="F128" s="174" t="s">
        <v>424</v>
      </c>
      <c r="G128" s="174" t="s">
        <v>291</v>
      </c>
      <c r="H128" s="174" t="s">
        <v>402</v>
      </c>
      <c r="I128" s="174" t="s">
        <v>403</v>
      </c>
      <c r="J128" s="174" t="s">
        <v>278</v>
      </c>
      <c r="K128" s="174" t="s">
        <v>279</v>
      </c>
      <c r="L128" s="174" t="s">
        <v>280</v>
      </c>
      <c r="M128" s="174" t="s">
        <v>281</v>
      </c>
      <c r="N128" s="177">
        <v>84500000</v>
      </c>
      <c r="O128" s="174" t="s">
        <v>282</v>
      </c>
      <c r="P128" s="174" t="s">
        <v>283</v>
      </c>
      <c r="Q128" s="174" t="s">
        <v>284</v>
      </c>
      <c r="R128" s="174" t="s">
        <v>283</v>
      </c>
      <c r="S128" s="174" t="s">
        <v>283</v>
      </c>
      <c r="T128" s="175">
        <v>0</v>
      </c>
    </row>
    <row r="129" spans="1:20" x14ac:dyDescent="0.2">
      <c r="A129" s="169">
        <v>622</v>
      </c>
      <c r="B129" s="168" t="s">
        <v>8</v>
      </c>
      <c r="C129" s="168" t="s">
        <v>25</v>
      </c>
      <c r="D129" s="173">
        <v>45716</v>
      </c>
      <c r="E129" s="174" t="s">
        <v>273</v>
      </c>
      <c r="F129" s="174" t="s">
        <v>414</v>
      </c>
      <c r="G129" s="174" t="s">
        <v>415</v>
      </c>
      <c r="H129" s="174" t="s">
        <v>402</v>
      </c>
      <c r="I129" s="174" t="s">
        <v>403</v>
      </c>
      <c r="J129" s="174" t="s">
        <v>278</v>
      </c>
      <c r="K129" s="174" t="s">
        <v>279</v>
      </c>
      <c r="L129" s="174" t="s">
        <v>280</v>
      </c>
      <c r="M129" s="174" t="s">
        <v>281</v>
      </c>
      <c r="N129" s="177">
        <v>27890000</v>
      </c>
      <c r="O129" s="174" t="s">
        <v>282</v>
      </c>
      <c r="P129" s="174" t="s">
        <v>283</v>
      </c>
      <c r="Q129" s="174" t="s">
        <v>284</v>
      </c>
      <c r="R129" s="174" t="s">
        <v>283</v>
      </c>
      <c r="S129" s="174" t="s">
        <v>283</v>
      </c>
      <c r="T129" s="175">
        <v>0</v>
      </c>
    </row>
    <row r="130" spans="1:20" x14ac:dyDescent="0.2">
      <c r="A130" s="169">
        <v>627</v>
      </c>
      <c r="B130" s="168" t="s">
        <v>8</v>
      </c>
      <c r="C130" s="168" t="s">
        <v>25</v>
      </c>
      <c r="D130" s="173">
        <v>45716</v>
      </c>
      <c r="E130" s="174" t="s">
        <v>273</v>
      </c>
      <c r="F130" s="174" t="s">
        <v>386</v>
      </c>
      <c r="G130" s="174" t="s">
        <v>341</v>
      </c>
      <c r="H130" s="174" t="s">
        <v>402</v>
      </c>
      <c r="I130" s="174" t="s">
        <v>403</v>
      </c>
      <c r="J130" s="174" t="s">
        <v>278</v>
      </c>
      <c r="K130" s="174" t="s">
        <v>279</v>
      </c>
      <c r="L130" s="174" t="s">
        <v>280</v>
      </c>
      <c r="M130" s="174" t="s">
        <v>281</v>
      </c>
      <c r="N130" s="177">
        <v>11105572</v>
      </c>
      <c r="O130" s="174" t="s">
        <v>282</v>
      </c>
      <c r="P130" s="174" t="s">
        <v>283</v>
      </c>
      <c r="Q130" s="174" t="s">
        <v>284</v>
      </c>
      <c r="R130" s="174" t="s">
        <v>283</v>
      </c>
      <c r="S130" s="174" t="s">
        <v>283</v>
      </c>
      <c r="T130" s="175">
        <v>0</v>
      </c>
    </row>
    <row r="131" spans="1:20" x14ac:dyDescent="0.2">
      <c r="A131" s="169">
        <v>627</v>
      </c>
      <c r="B131" s="168" t="s">
        <v>8</v>
      </c>
      <c r="C131" s="168" t="s">
        <v>22</v>
      </c>
      <c r="D131" s="173">
        <v>45716</v>
      </c>
      <c r="E131" s="174" t="s">
        <v>273</v>
      </c>
      <c r="F131" s="174" t="s">
        <v>387</v>
      </c>
      <c r="G131" s="174" t="s">
        <v>275</v>
      </c>
      <c r="H131" s="174" t="s">
        <v>402</v>
      </c>
      <c r="I131" s="174" t="s">
        <v>403</v>
      </c>
      <c r="J131" s="174" t="s">
        <v>278</v>
      </c>
      <c r="K131" s="174" t="s">
        <v>279</v>
      </c>
      <c r="L131" s="174" t="s">
        <v>280</v>
      </c>
      <c r="M131" s="174" t="s">
        <v>281</v>
      </c>
      <c r="N131" s="177">
        <v>411544399</v>
      </c>
      <c r="O131" s="174" t="s">
        <v>282</v>
      </c>
      <c r="P131" s="174" t="s">
        <v>283</v>
      </c>
      <c r="Q131" s="174" t="s">
        <v>284</v>
      </c>
      <c r="R131" s="174" t="s">
        <v>283</v>
      </c>
      <c r="S131" s="174" t="s">
        <v>283</v>
      </c>
      <c r="T131" s="175">
        <v>0</v>
      </c>
    </row>
    <row r="132" spans="1:20" x14ac:dyDescent="0.2">
      <c r="A132" s="169">
        <v>627</v>
      </c>
      <c r="B132" s="168" t="s">
        <v>8</v>
      </c>
      <c r="C132" s="168" t="s">
        <v>22</v>
      </c>
      <c r="D132" s="173">
        <v>45716</v>
      </c>
      <c r="E132" s="174" t="s">
        <v>273</v>
      </c>
      <c r="F132" s="174" t="s">
        <v>388</v>
      </c>
      <c r="G132" s="174" t="s">
        <v>286</v>
      </c>
      <c r="H132" s="174" t="s">
        <v>402</v>
      </c>
      <c r="I132" s="174" t="s">
        <v>403</v>
      </c>
      <c r="J132" s="174" t="s">
        <v>278</v>
      </c>
      <c r="K132" s="174" t="s">
        <v>279</v>
      </c>
      <c r="L132" s="174" t="s">
        <v>280</v>
      </c>
      <c r="M132" s="174" t="s">
        <v>281</v>
      </c>
      <c r="N132" s="177">
        <v>17666383</v>
      </c>
      <c r="O132" s="174" t="s">
        <v>282</v>
      </c>
      <c r="P132" s="174" t="s">
        <v>283</v>
      </c>
      <c r="Q132" s="174" t="s">
        <v>284</v>
      </c>
      <c r="R132" s="174" t="s">
        <v>283</v>
      </c>
      <c r="S132" s="174" t="s">
        <v>283</v>
      </c>
      <c r="T132" s="175">
        <v>0</v>
      </c>
    </row>
    <row r="133" spans="1:20" x14ac:dyDescent="0.2">
      <c r="A133" s="169">
        <v>627</v>
      </c>
      <c r="B133" s="168" t="s">
        <v>8</v>
      </c>
      <c r="C133" s="168" t="s">
        <v>23</v>
      </c>
      <c r="D133" s="173">
        <v>45716</v>
      </c>
      <c r="E133" s="174" t="s">
        <v>273</v>
      </c>
      <c r="F133" s="174" t="s">
        <v>389</v>
      </c>
      <c r="G133" s="174" t="s">
        <v>390</v>
      </c>
      <c r="H133" s="174" t="s">
        <v>402</v>
      </c>
      <c r="I133" s="174" t="s">
        <v>403</v>
      </c>
      <c r="J133" s="174" t="s">
        <v>278</v>
      </c>
      <c r="K133" s="174" t="s">
        <v>279</v>
      </c>
      <c r="L133" s="174" t="s">
        <v>280</v>
      </c>
      <c r="M133" s="174" t="s">
        <v>281</v>
      </c>
      <c r="N133" s="177">
        <v>35669591</v>
      </c>
      <c r="O133" s="174" t="s">
        <v>282</v>
      </c>
      <c r="P133" s="174" t="s">
        <v>283</v>
      </c>
      <c r="Q133" s="174" t="s">
        <v>284</v>
      </c>
      <c r="R133" s="174" t="s">
        <v>283</v>
      </c>
      <c r="S133" s="174" t="s">
        <v>283</v>
      </c>
      <c r="T133" s="175">
        <v>0</v>
      </c>
    </row>
    <row r="134" spans="1:20" x14ac:dyDescent="0.2">
      <c r="A134" s="169">
        <v>627</v>
      </c>
      <c r="B134" s="168" t="s">
        <v>8</v>
      </c>
      <c r="C134" s="168" t="s">
        <v>24</v>
      </c>
      <c r="D134" s="173">
        <v>45716</v>
      </c>
      <c r="E134" s="174" t="s">
        <v>273</v>
      </c>
      <c r="F134" s="174" t="s">
        <v>391</v>
      </c>
      <c r="G134" s="174" t="s">
        <v>291</v>
      </c>
      <c r="H134" s="174" t="s">
        <v>402</v>
      </c>
      <c r="I134" s="174" t="s">
        <v>403</v>
      </c>
      <c r="J134" s="174" t="s">
        <v>278</v>
      </c>
      <c r="K134" s="174" t="s">
        <v>279</v>
      </c>
      <c r="L134" s="174" t="s">
        <v>280</v>
      </c>
      <c r="M134" s="174" t="s">
        <v>281</v>
      </c>
      <c r="N134" s="177">
        <v>15500000</v>
      </c>
      <c r="O134" s="174" t="s">
        <v>282</v>
      </c>
      <c r="P134" s="174" t="s">
        <v>283</v>
      </c>
      <c r="Q134" s="174" t="s">
        <v>284</v>
      </c>
      <c r="R134" s="174" t="s">
        <v>283</v>
      </c>
      <c r="S134" s="174" t="s">
        <v>283</v>
      </c>
      <c r="T134" s="175">
        <v>0</v>
      </c>
    </row>
    <row r="135" spans="1:20" x14ac:dyDescent="0.2">
      <c r="B135" s="168" t="s">
        <v>6</v>
      </c>
      <c r="C135" s="168" t="s">
        <v>170</v>
      </c>
      <c r="D135" s="173">
        <v>45716</v>
      </c>
      <c r="E135" s="174" t="s">
        <v>294</v>
      </c>
      <c r="F135" s="174" t="s">
        <v>393</v>
      </c>
      <c r="G135" s="174" t="s">
        <v>296</v>
      </c>
      <c r="H135" s="174" t="s">
        <v>411</v>
      </c>
      <c r="I135" s="174" t="s">
        <v>412</v>
      </c>
      <c r="J135" s="174" t="s">
        <v>297</v>
      </c>
      <c r="K135" s="174" t="s">
        <v>279</v>
      </c>
      <c r="L135" s="174" t="s">
        <v>280</v>
      </c>
      <c r="M135" s="174" t="s">
        <v>281</v>
      </c>
      <c r="N135" s="177">
        <v>104949590</v>
      </c>
      <c r="O135" s="174" t="s">
        <v>298</v>
      </c>
      <c r="P135" s="174" t="s">
        <v>283</v>
      </c>
      <c r="Q135" s="174" t="s">
        <v>284</v>
      </c>
      <c r="R135" s="174" t="s">
        <v>283</v>
      </c>
      <c r="S135" s="174" t="s">
        <v>283</v>
      </c>
      <c r="T135" s="175">
        <v>0</v>
      </c>
    </row>
    <row r="136" spans="1:20" x14ac:dyDescent="0.2">
      <c r="B136" s="168" t="s">
        <v>4</v>
      </c>
      <c r="C136" s="168" t="s">
        <v>170</v>
      </c>
      <c r="D136" s="173">
        <v>45716</v>
      </c>
      <c r="E136" s="174" t="s">
        <v>294</v>
      </c>
      <c r="F136" s="174" t="s">
        <v>393</v>
      </c>
      <c r="G136" s="174" t="s">
        <v>296</v>
      </c>
      <c r="H136" s="174" t="s">
        <v>418</v>
      </c>
      <c r="I136" s="174" t="s">
        <v>419</v>
      </c>
      <c r="J136" s="174" t="s">
        <v>297</v>
      </c>
      <c r="K136" s="174" t="s">
        <v>279</v>
      </c>
      <c r="L136" s="174" t="s">
        <v>280</v>
      </c>
      <c r="M136" s="174" t="s">
        <v>281</v>
      </c>
      <c r="N136" s="177">
        <v>35154315</v>
      </c>
      <c r="O136" s="174" t="s">
        <v>298</v>
      </c>
      <c r="P136" s="174" t="s">
        <v>283</v>
      </c>
      <c r="Q136" s="174" t="s">
        <v>284</v>
      </c>
      <c r="R136" s="174" t="s">
        <v>283</v>
      </c>
      <c r="S136" s="174" t="s">
        <v>283</v>
      </c>
      <c r="T136" s="175">
        <v>0</v>
      </c>
    </row>
    <row r="137" spans="1:20" x14ac:dyDescent="0.2">
      <c r="A137" s="169">
        <v>622</v>
      </c>
      <c r="B137" s="168" t="s">
        <v>8</v>
      </c>
      <c r="C137" s="168" t="s">
        <v>170</v>
      </c>
      <c r="D137" s="173">
        <v>45716</v>
      </c>
      <c r="E137" s="174" t="s">
        <v>294</v>
      </c>
      <c r="F137" s="174" t="s">
        <v>425</v>
      </c>
      <c r="G137" s="174" t="s">
        <v>296</v>
      </c>
      <c r="H137" s="174" t="s">
        <v>402</v>
      </c>
      <c r="I137" s="174" t="s">
        <v>403</v>
      </c>
      <c r="J137" s="174" t="s">
        <v>297</v>
      </c>
      <c r="K137" s="174" t="s">
        <v>279</v>
      </c>
      <c r="L137" s="174" t="s">
        <v>280</v>
      </c>
      <c r="M137" s="174" t="s">
        <v>281</v>
      </c>
      <c r="N137" s="177">
        <v>237611785</v>
      </c>
      <c r="O137" s="174" t="s">
        <v>298</v>
      </c>
      <c r="P137" s="174" t="s">
        <v>283</v>
      </c>
      <c r="Q137" s="174" t="s">
        <v>284</v>
      </c>
      <c r="R137" s="174" t="s">
        <v>283</v>
      </c>
      <c r="S137" s="174" t="s">
        <v>283</v>
      </c>
      <c r="T137" s="175">
        <v>0</v>
      </c>
    </row>
    <row r="138" spans="1:20" x14ac:dyDescent="0.2">
      <c r="B138" s="168" t="s">
        <v>6</v>
      </c>
      <c r="C138" s="168" t="s">
        <v>170</v>
      </c>
      <c r="D138" s="173">
        <v>45716</v>
      </c>
      <c r="E138" s="174" t="s">
        <v>294</v>
      </c>
      <c r="F138" s="174" t="s">
        <v>393</v>
      </c>
      <c r="G138" s="174" t="s">
        <v>296</v>
      </c>
      <c r="H138" s="174" t="s">
        <v>411</v>
      </c>
      <c r="I138" s="174" t="s">
        <v>412</v>
      </c>
      <c r="J138" s="174" t="s">
        <v>297</v>
      </c>
      <c r="K138" s="174" t="s">
        <v>279</v>
      </c>
      <c r="L138" s="174" t="s">
        <v>280</v>
      </c>
      <c r="M138" s="174" t="s">
        <v>281</v>
      </c>
      <c r="N138" s="177">
        <v>1694350</v>
      </c>
      <c r="O138" s="174" t="s">
        <v>298</v>
      </c>
      <c r="P138" s="174" t="s">
        <v>283</v>
      </c>
      <c r="Q138" s="174" t="s">
        <v>284</v>
      </c>
      <c r="R138" s="174" t="s">
        <v>283</v>
      </c>
      <c r="S138" s="174" t="s">
        <v>283</v>
      </c>
      <c r="T138" s="175">
        <v>0</v>
      </c>
    </row>
    <row r="139" spans="1:20" x14ac:dyDescent="0.2">
      <c r="A139" s="169">
        <v>622</v>
      </c>
      <c r="B139" s="168" t="s">
        <v>8</v>
      </c>
      <c r="C139" s="168" t="s">
        <v>170</v>
      </c>
      <c r="D139" s="173">
        <v>45716</v>
      </c>
      <c r="E139" s="174" t="s">
        <v>294</v>
      </c>
      <c r="F139" s="174" t="s">
        <v>425</v>
      </c>
      <c r="G139" s="174" t="s">
        <v>296</v>
      </c>
      <c r="H139" s="174" t="s">
        <v>402</v>
      </c>
      <c r="I139" s="174" t="s">
        <v>403</v>
      </c>
      <c r="J139" s="174" t="s">
        <v>297</v>
      </c>
      <c r="K139" s="174" t="s">
        <v>279</v>
      </c>
      <c r="L139" s="174" t="s">
        <v>280</v>
      </c>
      <c r="M139" s="174" t="s">
        <v>281</v>
      </c>
      <c r="N139" s="177">
        <v>2573250</v>
      </c>
      <c r="O139" s="174" t="s">
        <v>298</v>
      </c>
      <c r="P139" s="174" t="s">
        <v>283</v>
      </c>
      <c r="Q139" s="174" t="s">
        <v>284</v>
      </c>
      <c r="R139" s="174" t="s">
        <v>283</v>
      </c>
      <c r="S139" s="174" t="s">
        <v>283</v>
      </c>
      <c r="T139" s="175">
        <v>0</v>
      </c>
    </row>
    <row r="140" spans="1:20" x14ac:dyDescent="0.2">
      <c r="B140" s="168" t="s">
        <v>6</v>
      </c>
      <c r="C140" s="168" t="s">
        <v>22</v>
      </c>
      <c r="D140" s="173">
        <v>45716</v>
      </c>
      <c r="E140" s="174" t="s">
        <v>287</v>
      </c>
      <c r="F140" s="174" t="s">
        <v>388</v>
      </c>
      <c r="G140" s="174" t="s">
        <v>286</v>
      </c>
      <c r="H140" s="174" t="s">
        <v>411</v>
      </c>
      <c r="I140" s="174" t="s">
        <v>412</v>
      </c>
      <c r="J140" s="174" t="s">
        <v>288</v>
      </c>
      <c r="K140" s="174" t="s">
        <v>279</v>
      </c>
      <c r="L140" s="174" t="s">
        <v>280</v>
      </c>
      <c r="M140" s="174" t="s">
        <v>281</v>
      </c>
      <c r="N140" s="177">
        <v>37799500</v>
      </c>
      <c r="O140" s="174" t="s">
        <v>289</v>
      </c>
      <c r="P140" s="174" t="s">
        <v>283</v>
      </c>
      <c r="Q140" s="174" t="s">
        <v>284</v>
      </c>
      <c r="R140" s="174" t="s">
        <v>283</v>
      </c>
      <c r="S140" s="174" t="s">
        <v>283</v>
      </c>
      <c r="T140" s="175">
        <v>0</v>
      </c>
    </row>
    <row r="141" spans="1:20" x14ac:dyDescent="0.2">
      <c r="B141" s="168" t="s">
        <v>4</v>
      </c>
      <c r="C141" s="168" t="s">
        <v>22</v>
      </c>
      <c r="D141" s="173">
        <v>45716</v>
      </c>
      <c r="E141" s="174" t="s">
        <v>287</v>
      </c>
      <c r="F141" s="174" t="s">
        <v>388</v>
      </c>
      <c r="G141" s="174" t="s">
        <v>286</v>
      </c>
      <c r="H141" s="174" t="s">
        <v>418</v>
      </c>
      <c r="I141" s="174" t="s">
        <v>419</v>
      </c>
      <c r="J141" s="174" t="s">
        <v>288</v>
      </c>
      <c r="K141" s="174" t="s">
        <v>279</v>
      </c>
      <c r="L141" s="174" t="s">
        <v>280</v>
      </c>
      <c r="M141" s="174" t="s">
        <v>281</v>
      </c>
      <c r="N141" s="177">
        <v>12960750</v>
      </c>
      <c r="O141" s="174" t="s">
        <v>289</v>
      </c>
      <c r="P141" s="174" t="s">
        <v>283</v>
      </c>
      <c r="Q141" s="174" t="s">
        <v>284</v>
      </c>
      <c r="R141" s="174" t="s">
        <v>283</v>
      </c>
      <c r="S141" s="174" t="s">
        <v>283</v>
      </c>
      <c r="T141" s="175">
        <v>0</v>
      </c>
    </row>
    <row r="142" spans="1:20" x14ac:dyDescent="0.2">
      <c r="B142" s="168" t="s">
        <v>6</v>
      </c>
      <c r="C142" s="168" t="s">
        <v>24</v>
      </c>
      <c r="D142" s="173">
        <v>45716</v>
      </c>
      <c r="E142" s="174" t="s">
        <v>287</v>
      </c>
      <c r="F142" s="174" t="s">
        <v>395</v>
      </c>
      <c r="G142" s="174" t="s">
        <v>77</v>
      </c>
      <c r="H142" s="174" t="s">
        <v>411</v>
      </c>
      <c r="I142" s="174" t="s">
        <v>412</v>
      </c>
      <c r="J142" s="174" t="s">
        <v>293</v>
      </c>
      <c r="K142" s="174" t="s">
        <v>279</v>
      </c>
      <c r="L142" s="174" t="s">
        <v>280</v>
      </c>
      <c r="M142" s="174" t="s">
        <v>281</v>
      </c>
      <c r="N142" s="177">
        <v>34775238</v>
      </c>
      <c r="O142" s="174" t="s">
        <v>289</v>
      </c>
      <c r="P142" s="174" t="s">
        <v>283</v>
      </c>
      <c r="Q142" s="174" t="s">
        <v>284</v>
      </c>
      <c r="R142" s="174" t="s">
        <v>283</v>
      </c>
      <c r="S142" s="174" t="s">
        <v>283</v>
      </c>
      <c r="T142" s="175">
        <v>0</v>
      </c>
    </row>
    <row r="143" spans="1:20" x14ac:dyDescent="0.2">
      <c r="B143" s="168" t="s">
        <v>4</v>
      </c>
      <c r="C143" s="168" t="s">
        <v>24</v>
      </c>
      <c r="D143" s="173">
        <v>45716</v>
      </c>
      <c r="E143" s="174" t="s">
        <v>287</v>
      </c>
      <c r="F143" s="174" t="s">
        <v>395</v>
      </c>
      <c r="G143" s="174" t="s">
        <v>77</v>
      </c>
      <c r="H143" s="174" t="s">
        <v>418</v>
      </c>
      <c r="I143" s="174" t="s">
        <v>419</v>
      </c>
      <c r="J143" s="174" t="s">
        <v>293</v>
      </c>
      <c r="K143" s="174" t="s">
        <v>279</v>
      </c>
      <c r="L143" s="174" t="s">
        <v>280</v>
      </c>
      <c r="M143" s="174" t="s">
        <v>281</v>
      </c>
      <c r="N143" s="177">
        <v>11923786</v>
      </c>
      <c r="O143" s="174" t="s">
        <v>289</v>
      </c>
      <c r="P143" s="174" t="s">
        <v>283</v>
      </c>
      <c r="Q143" s="174" t="s">
        <v>284</v>
      </c>
      <c r="R143" s="174" t="s">
        <v>283</v>
      </c>
      <c r="S143" s="174" t="s">
        <v>283</v>
      </c>
      <c r="T143" s="175">
        <v>0</v>
      </c>
    </row>
    <row r="144" spans="1:20" x14ac:dyDescent="0.2">
      <c r="A144" s="169">
        <v>627</v>
      </c>
      <c r="B144" s="168" t="s">
        <v>8</v>
      </c>
      <c r="C144" s="168" t="s">
        <v>22</v>
      </c>
      <c r="D144" s="173">
        <v>45716</v>
      </c>
      <c r="E144" s="174" t="s">
        <v>287</v>
      </c>
      <c r="F144" s="174" t="s">
        <v>388</v>
      </c>
      <c r="G144" s="174" t="s">
        <v>286</v>
      </c>
      <c r="H144" s="174" t="s">
        <v>402</v>
      </c>
      <c r="I144" s="174" t="s">
        <v>403</v>
      </c>
      <c r="J144" s="174" t="s">
        <v>288</v>
      </c>
      <c r="K144" s="174" t="s">
        <v>279</v>
      </c>
      <c r="L144" s="174" t="s">
        <v>280</v>
      </c>
      <c r="M144" s="174" t="s">
        <v>281</v>
      </c>
      <c r="N144" s="177">
        <v>32593741</v>
      </c>
      <c r="O144" s="174" t="s">
        <v>289</v>
      </c>
      <c r="P144" s="174" t="s">
        <v>283</v>
      </c>
      <c r="Q144" s="174" t="s">
        <v>284</v>
      </c>
      <c r="R144" s="174" t="s">
        <v>283</v>
      </c>
      <c r="S144" s="174" t="s">
        <v>283</v>
      </c>
      <c r="T144" s="175">
        <v>0</v>
      </c>
    </row>
    <row r="145" spans="1:20" x14ac:dyDescent="0.2">
      <c r="A145" s="169">
        <v>622</v>
      </c>
      <c r="B145" s="168" t="s">
        <v>8</v>
      </c>
      <c r="C145" s="168" t="s">
        <v>22</v>
      </c>
      <c r="D145" s="173">
        <v>45716</v>
      </c>
      <c r="E145" s="174" t="s">
        <v>287</v>
      </c>
      <c r="F145" s="174" t="s">
        <v>420</v>
      </c>
      <c r="G145" s="174" t="s">
        <v>286</v>
      </c>
      <c r="H145" s="174" t="s">
        <v>402</v>
      </c>
      <c r="I145" s="174" t="s">
        <v>403</v>
      </c>
      <c r="J145" s="174" t="s">
        <v>288</v>
      </c>
      <c r="K145" s="174" t="s">
        <v>279</v>
      </c>
      <c r="L145" s="174" t="s">
        <v>280</v>
      </c>
      <c r="M145" s="174" t="s">
        <v>281</v>
      </c>
      <c r="N145" s="177">
        <v>98346036</v>
      </c>
      <c r="O145" s="174" t="s">
        <v>289</v>
      </c>
      <c r="P145" s="174" t="s">
        <v>283</v>
      </c>
      <c r="Q145" s="174" t="s">
        <v>284</v>
      </c>
      <c r="R145" s="174" t="s">
        <v>283</v>
      </c>
      <c r="S145" s="174" t="s">
        <v>283</v>
      </c>
      <c r="T145" s="175">
        <v>0</v>
      </c>
    </row>
    <row r="146" spans="1:20" x14ac:dyDescent="0.2">
      <c r="A146" s="169">
        <v>622</v>
      </c>
      <c r="B146" s="168" t="s">
        <v>8</v>
      </c>
      <c r="C146" s="168" t="s">
        <v>24</v>
      </c>
      <c r="D146" s="173">
        <v>45716</v>
      </c>
      <c r="E146" s="174" t="s">
        <v>287</v>
      </c>
      <c r="F146" s="174" t="s">
        <v>426</v>
      </c>
      <c r="G146" s="174" t="s">
        <v>77</v>
      </c>
      <c r="H146" s="174" t="s">
        <v>402</v>
      </c>
      <c r="I146" s="174" t="s">
        <v>403</v>
      </c>
      <c r="J146" s="174" t="s">
        <v>293</v>
      </c>
      <c r="K146" s="174" t="s">
        <v>279</v>
      </c>
      <c r="L146" s="174" t="s">
        <v>280</v>
      </c>
      <c r="M146" s="174" t="s">
        <v>281</v>
      </c>
      <c r="N146" s="177">
        <v>24234748</v>
      </c>
      <c r="O146" s="174" t="s">
        <v>289</v>
      </c>
      <c r="P146" s="174" t="s">
        <v>283</v>
      </c>
      <c r="Q146" s="174" t="s">
        <v>284</v>
      </c>
      <c r="R146" s="174" t="s">
        <v>283</v>
      </c>
      <c r="S146" s="174" t="s">
        <v>283</v>
      </c>
      <c r="T146" s="175">
        <v>0</v>
      </c>
    </row>
    <row r="147" spans="1:20" x14ac:dyDescent="0.2">
      <c r="A147" s="169">
        <v>627</v>
      </c>
      <c r="B147" s="168" t="s">
        <v>8</v>
      </c>
      <c r="C147" s="168" t="s">
        <v>25</v>
      </c>
      <c r="D147" s="173">
        <v>45715</v>
      </c>
      <c r="E147" s="174" t="s">
        <v>334</v>
      </c>
      <c r="F147" s="174" t="s">
        <v>375</v>
      </c>
      <c r="G147" s="174" t="s">
        <v>336</v>
      </c>
      <c r="H147" s="174" t="s">
        <v>402</v>
      </c>
      <c r="I147" s="174" t="s">
        <v>403</v>
      </c>
      <c r="J147" s="174" t="s">
        <v>337</v>
      </c>
      <c r="K147" s="174" t="s">
        <v>338</v>
      </c>
      <c r="L147" s="174" t="s">
        <v>280</v>
      </c>
      <c r="M147" s="174" t="s">
        <v>281</v>
      </c>
      <c r="N147" s="177">
        <v>89075000</v>
      </c>
      <c r="O147" s="174" t="s">
        <v>339</v>
      </c>
      <c r="P147" s="174" t="s">
        <v>283</v>
      </c>
      <c r="Q147" s="174" t="s">
        <v>306</v>
      </c>
      <c r="R147" s="174" t="s">
        <v>283</v>
      </c>
      <c r="S147" s="174" t="s">
        <v>283</v>
      </c>
      <c r="T147" s="175">
        <v>0</v>
      </c>
    </row>
    <row r="148" spans="1:20" x14ac:dyDescent="0.2">
      <c r="A148" s="169">
        <v>627</v>
      </c>
      <c r="B148" s="168" t="s">
        <v>8</v>
      </c>
      <c r="C148" s="168" t="s">
        <v>25</v>
      </c>
      <c r="D148" s="173">
        <v>45716</v>
      </c>
      <c r="E148" s="174" t="s">
        <v>413</v>
      </c>
      <c r="F148" s="174" t="s">
        <v>375</v>
      </c>
      <c r="G148" s="174" t="s">
        <v>336</v>
      </c>
      <c r="H148" s="174" t="s">
        <v>402</v>
      </c>
      <c r="I148" s="174" t="s">
        <v>403</v>
      </c>
      <c r="J148" s="174" t="s">
        <v>416</v>
      </c>
      <c r="K148" s="174" t="s">
        <v>416</v>
      </c>
      <c r="L148" s="174" t="s">
        <v>280</v>
      </c>
      <c r="M148" s="174" t="s">
        <v>281</v>
      </c>
      <c r="N148" s="177">
        <v>-81650000</v>
      </c>
      <c r="O148" s="174" t="s">
        <v>417</v>
      </c>
      <c r="P148" s="174" t="s">
        <v>283</v>
      </c>
      <c r="Q148" s="174" t="s">
        <v>348</v>
      </c>
      <c r="R148" s="174" t="s">
        <v>283</v>
      </c>
      <c r="S148" s="174" t="s">
        <v>283</v>
      </c>
      <c r="T148" s="175">
        <v>0</v>
      </c>
    </row>
    <row r="149" spans="1:20" x14ac:dyDescent="0.2">
      <c r="A149" s="169">
        <v>627</v>
      </c>
      <c r="B149" s="168" t="s">
        <v>8</v>
      </c>
      <c r="C149" s="168" t="s">
        <v>25</v>
      </c>
      <c r="D149" s="173">
        <v>45716</v>
      </c>
      <c r="E149" s="174" t="s">
        <v>273</v>
      </c>
      <c r="F149" s="174" t="s">
        <v>375</v>
      </c>
      <c r="G149" s="174" t="s">
        <v>336</v>
      </c>
      <c r="H149" s="174" t="s">
        <v>402</v>
      </c>
      <c r="I149" s="174" t="s">
        <v>403</v>
      </c>
      <c r="J149" s="174" t="s">
        <v>278</v>
      </c>
      <c r="K149" s="174" t="s">
        <v>279</v>
      </c>
      <c r="L149" s="174" t="s">
        <v>280</v>
      </c>
      <c r="M149" s="174" t="s">
        <v>281</v>
      </c>
      <c r="N149" s="177">
        <v>2690000</v>
      </c>
      <c r="O149" s="174" t="s">
        <v>282</v>
      </c>
      <c r="P149" s="174" t="s">
        <v>283</v>
      </c>
      <c r="Q149" s="174" t="s">
        <v>284</v>
      </c>
      <c r="R149" s="174" t="s">
        <v>283</v>
      </c>
      <c r="S149" s="174" t="s">
        <v>283</v>
      </c>
      <c r="T149" s="175">
        <v>0</v>
      </c>
    </row>
    <row r="150" spans="1:20" x14ac:dyDescent="0.2">
      <c r="A150" s="169">
        <v>627</v>
      </c>
      <c r="B150" s="168" t="s">
        <v>8</v>
      </c>
      <c r="C150" s="168" t="s">
        <v>170</v>
      </c>
      <c r="D150" s="173">
        <v>45716</v>
      </c>
      <c r="E150" s="174" t="s">
        <v>294</v>
      </c>
      <c r="F150" s="174" t="s">
        <v>393</v>
      </c>
      <c r="G150" s="174" t="s">
        <v>296</v>
      </c>
      <c r="H150" s="174" t="s">
        <v>402</v>
      </c>
      <c r="I150" s="174" t="s">
        <v>403</v>
      </c>
      <c r="J150" s="174" t="s">
        <v>297</v>
      </c>
      <c r="K150" s="174" t="s">
        <v>279</v>
      </c>
      <c r="L150" s="174" t="s">
        <v>280</v>
      </c>
      <c r="M150" s="174" t="s">
        <v>281</v>
      </c>
      <c r="N150" s="177">
        <v>79799555</v>
      </c>
      <c r="O150" s="174" t="s">
        <v>298</v>
      </c>
      <c r="P150" s="174" t="s">
        <v>283</v>
      </c>
      <c r="Q150" s="174" t="s">
        <v>284</v>
      </c>
      <c r="R150" s="174" t="s">
        <v>283</v>
      </c>
      <c r="S150" s="174" t="s">
        <v>283</v>
      </c>
      <c r="T150" s="175">
        <v>0</v>
      </c>
    </row>
    <row r="151" spans="1:20" x14ac:dyDescent="0.2">
      <c r="A151" s="169">
        <v>627</v>
      </c>
      <c r="B151" s="168" t="s">
        <v>8</v>
      </c>
      <c r="C151" s="168" t="s">
        <v>170</v>
      </c>
      <c r="D151" s="173">
        <v>45716</v>
      </c>
      <c r="E151" s="174" t="s">
        <v>294</v>
      </c>
      <c r="F151" s="174" t="s">
        <v>393</v>
      </c>
      <c r="G151" s="174" t="s">
        <v>296</v>
      </c>
      <c r="H151" s="174" t="s">
        <v>402</v>
      </c>
      <c r="I151" s="174" t="s">
        <v>403</v>
      </c>
      <c r="J151" s="174" t="s">
        <v>297</v>
      </c>
      <c r="K151" s="174" t="s">
        <v>279</v>
      </c>
      <c r="L151" s="174" t="s">
        <v>280</v>
      </c>
      <c r="M151" s="174" t="s">
        <v>281</v>
      </c>
      <c r="N151" s="177">
        <v>1452300</v>
      </c>
      <c r="O151" s="174" t="s">
        <v>298</v>
      </c>
      <c r="P151" s="174" t="s">
        <v>283</v>
      </c>
      <c r="Q151" s="174" t="s">
        <v>284</v>
      </c>
      <c r="R151" s="174" t="s">
        <v>283</v>
      </c>
      <c r="S151" s="174" t="s">
        <v>283</v>
      </c>
      <c r="T151" s="175">
        <v>0</v>
      </c>
    </row>
    <row r="152" spans="1:20" x14ac:dyDescent="0.2">
      <c r="A152" s="169">
        <v>627</v>
      </c>
      <c r="B152" s="168" t="s">
        <v>8</v>
      </c>
      <c r="C152" s="168" t="s">
        <v>24</v>
      </c>
      <c r="D152" s="173">
        <v>45716</v>
      </c>
      <c r="E152" s="174" t="s">
        <v>287</v>
      </c>
      <c r="F152" s="174" t="s">
        <v>395</v>
      </c>
      <c r="G152" s="174" t="s">
        <v>77</v>
      </c>
      <c r="H152" s="174" t="s">
        <v>402</v>
      </c>
      <c r="I152" s="174" t="s">
        <v>403</v>
      </c>
      <c r="J152" s="174" t="s">
        <v>293</v>
      </c>
      <c r="K152" s="174" t="s">
        <v>279</v>
      </c>
      <c r="L152" s="174" t="s">
        <v>280</v>
      </c>
      <c r="M152" s="174" t="s">
        <v>281</v>
      </c>
      <c r="N152" s="177">
        <v>29362158</v>
      </c>
      <c r="O152" s="174" t="s">
        <v>289</v>
      </c>
      <c r="P152" s="174" t="s">
        <v>283</v>
      </c>
      <c r="Q152" s="174" t="s">
        <v>284</v>
      </c>
      <c r="R152" s="174" t="s">
        <v>283</v>
      </c>
      <c r="S152" s="174" t="s">
        <v>283</v>
      </c>
      <c r="T152" s="175">
        <v>0</v>
      </c>
    </row>
    <row r="153" spans="1:20" x14ac:dyDescent="0.2">
      <c r="A153" s="169">
        <v>627</v>
      </c>
      <c r="B153" s="168" t="s">
        <v>8</v>
      </c>
      <c r="C153" s="168" t="s">
        <v>170</v>
      </c>
      <c r="D153" s="173">
        <v>45716</v>
      </c>
      <c r="E153" s="174" t="s">
        <v>427</v>
      </c>
      <c r="F153" s="174" t="s">
        <v>393</v>
      </c>
      <c r="G153" s="174" t="s">
        <v>296</v>
      </c>
      <c r="H153" s="174" t="s">
        <v>402</v>
      </c>
      <c r="I153" s="174" t="s">
        <v>403</v>
      </c>
      <c r="J153" s="174" t="s">
        <v>428</v>
      </c>
      <c r="K153" s="174" t="s">
        <v>279</v>
      </c>
      <c r="L153" s="174" t="s">
        <v>280</v>
      </c>
      <c r="M153" s="174" t="s">
        <v>281</v>
      </c>
      <c r="N153" s="177">
        <v>4088520</v>
      </c>
      <c r="O153" s="174" t="s">
        <v>429</v>
      </c>
      <c r="P153" s="174" t="s">
        <v>283</v>
      </c>
      <c r="Q153" s="174" t="s">
        <v>284</v>
      </c>
      <c r="R153" s="174" t="s">
        <v>283</v>
      </c>
      <c r="S153" s="174" t="s">
        <v>283</v>
      </c>
      <c r="T153" s="175">
        <v>0</v>
      </c>
    </row>
    <row r="154" spans="1:20" x14ac:dyDescent="0.2">
      <c r="A154" s="169">
        <v>622</v>
      </c>
      <c r="B154" s="168" t="s">
        <v>8</v>
      </c>
      <c r="C154" s="168" t="s">
        <v>22</v>
      </c>
      <c r="D154" s="173">
        <v>45695</v>
      </c>
      <c r="E154" s="174" t="s">
        <v>399</v>
      </c>
      <c r="F154" s="174" t="s">
        <v>400</v>
      </c>
      <c r="G154" s="174" t="s">
        <v>401</v>
      </c>
      <c r="H154" s="174" t="s">
        <v>430</v>
      </c>
      <c r="I154" s="174" t="s">
        <v>431</v>
      </c>
      <c r="J154" s="174" t="s">
        <v>432</v>
      </c>
      <c r="K154" s="174" t="s">
        <v>405</v>
      </c>
      <c r="L154" s="174" t="s">
        <v>280</v>
      </c>
      <c r="M154" s="174" t="s">
        <v>281</v>
      </c>
      <c r="N154" s="177">
        <v>87540384</v>
      </c>
      <c r="O154" s="174" t="s">
        <v>406</v>
      </c>
      <c r="P154" s="174" t="s">
        <v>283</v>
      </c>
      <c r="Q154" s="174" t="s">
        <v>306</v>
      </c>
      <c r="R154" s="174" t="s">
        <v>283</v>
      </c>
      <c r="S154" s="174" t="s">
        <v>283</v>
      </c>
      <c r="T154" s="175">
        <v>0</v>
      </c>
    </row>
    <row r="155" spans="1:20" x14ac:dyDescent="0.2">
      <c r="A155" s="169">
        <v>622</v>
      </c>
      <c r="B155" s="168" t="s">
        <v>8</v>
      </c>
      <c r="C155" s="168" t="s">
        <v>22</v>
      </c>
      <c r="D155" s="173">
        <v>45696</v>
      </c>
      <c r="E155" s="174" t="s">
        <v>408</v>
      </c>
      <c r="F155" s="174" t="s">
        <v>400</v>
      </c>
      <c r="G155" s="174" t="s">
        <v>401</v>
      </c>
      <c r="H155" s="174" t="s">
        <v>430</v>
      </c>
      <c r="I155" s="174" t="s">
        <v>431</v>
      </c>
      <c r="J155" s="174" t="s">
        <v>433</v>
      </c>
      <c r="K155" s="174" t="s">
        <v>405</v>
      </c>
      <c r="L155" s="174" t="s">
        <v>280</v>
      </c>
      <c r="M155" s="174" t="s">
        <v>281</v>
      </c>
      <c r="N155" s="177">
        <v>4166667</v>
      </c>
      <c r="O155" s="174" t="s">
        <v>410</v>
      </c>
      <c r="P155" s="174" t="s">
        <v>283</v>
      </c>
      <c r="Q155" s="174" t="s">
        <v>306</v>
      </c>
      <c r="R155" s="174" t="s">
        <v>283</v>
      </c>
      <c r="S155" s="174" t="s">
        <v>283</v>
      </c>
      <c r="T155" s="175">
        <v>0</v>
      </c>
    </row>
    <row r="156" spans="1:20" x14ac:dyDescent="0.2">
      <c r="A156" s="169">
        <v>622</v>
      </c>
      <c r="B156" s="168" t="s">
        <v>8</v>
      </c>
      <c r="C156" s="168" t="s">
        <v>25</v>
      </c>
      <c r="D156" s="173">
        <v>45716</v>
      </c>
      <c r="E156" s="174" t="s">
        <v>413</v>
      </c>
      <c r="F156" s="174" t="s">
        <v>414</v>
      </c>
      <c r="G156" s="174" t="s">
        <v>415</v>
      </c>
      <c r="H156" s="174" t="s">
        <v>430</v>
      </c>
      <c r="I156" s="174" t="s">
        <v>431</v>
      </c>
      <c r="J156" s="174" t="s">
        <v>416</v>
      </c>
      <c r="K156" s="174" t="s">
        <v>416</v>
      </c>
      <c r="L156" s="174" t="s">
        <v>280</v>
      </c>
      <c r="M156" s="174" t="s">
        <v>281</v>
      </c>
      <c r="N156" s="177">
        <v>17200000</v>
      </c>
      <c r="O156" s="174" t="s">
        <v>417</v>
      </c>
      <c r="P156" s="174" t="s">
        <v>283</v>
      </c>
      <c r="Q156" s="174" t="s">
        <v>348</v>
      </c>
      <c r="R156" s="174" t="s">
        <v>283</v>
      </c>
      <c r="S156" s="174" t="s">
        <v>283</v>
      </c>
      <c r="T156" s="175">
        <v>0</v>
      </c>
    </row>
    <row r="157" spans="1:20" x14ac:dyDescent="0.2">
      <c r="A157" s="169">
        <v>622</v>
      </c>
      <c r="B157" s="168" t="s">
        <v>8</v>
      </c>
      <c r="C157" s="168" t="s">
        <v>22</v>
      </c>
      <c r="D157" s="173">
        <v>45716</v>
      </c>
      <c r="E157" s="174" t="s">
        <v>273</v>
      </c>
      <c r="F157" s="174" t="s">
        <v>400</v>
      </c>
      <c r="G157" s="174" t="s">
        <v>401</v>
      </c>
      <c r="H157" s="174" t="s">
        <v>430</v>
      </c>
      <c r="I157" s="174" t="s">
        <v>431</v>
      </c>
      <c r="J157" s="174" t="s">
        <v>278</v>
      </c>
      <c r="K157" s="174" t="s">
        <v>279</v>
      </c>
      <c r="L157" s="174" t="s">
        <v>280</v>
      </c>
      <c r="M157" s="174" t="s">
        <v>281</v>
      </c>
      <c r="N157" s="177">
        <v>221302998</v>
      </c>
      <c r="O157" s="174" t="s">
        <v>282</v>
      </c>
      <c r="P157" s="174" t="s">
        <v>283</v>
      </c>
      <c r="Q157" s="174" t="s">
        <v>284</v>
      </c>
      <c r="R157" s="174" t="s">
        <v>283</v>
      </c>
      <c r="S157" s="174" t="s">
        <v>283</v>
      </c>
      <c r="T157" s="175">
        <v>0</v>
      </c>
    </row>
    <row r="158" spans="1:20" x14ac:dyDescent="0.2">
      <c r="A158" s="169">
        <v>622</v>
      </c>
      <c r="B158" s="168" t="s">
        <v>8</v>
      </c>
      <c r="C158" s="168" t="s">
        <v>22</v>
      </c>
      <c r="D158" s="173">
        <v>45716</v>
      </c>
      <c r="E158" s="174" t="s">
        <v>273</v>
      </c>
      <c r="F158" s="174" t="s">
        <v>420</v>
      </c>
      <c r="G158" s="174" t="s">
        <v>286</v>
      </c>
      <c r="H158" s="174" t="s">
        <v>430</v>
      </c>
      <c r="I158" s="174" t="s">
        <v>431</v>
      </c>
      <c r="J158" s="174" t="s">
        <v>278</v>
      </c>
      <c r="K158" s="174" t="s">
        <v>279</v>
      </c>
      <c r="L158" s="174" t="s">
        <v>280</v>
      </c>
      <c r="M158" s="174" t="s">
        <v>281</v>
      </c>
      <c r="N158" s="177">
        <v>5783695</v>
      </c>
      <c r="O158" s="174" t="s">
        <v>282</v>
      </c>
      <c r="P158" s="174" t="s">
        <v>283</v>
      </c>
      <c r="Q158" s="174" t="s">
        <v>284</v>
      </c>
      <c r="R158" s="174" t="s">
        <v>283</v>
      </c>
      <c r="S158" s="174" t="s">
        <v>283</v>
      </c>
      <c r="T158" s="175">
        <v>0</v>
      </c>
    </row>
    <row r="159" spans="1:20" x14ac:dyDescent="0.2">
      <c r="A159" s="169">
        <v>622</v>
      </c>
      <c r="B159" s="168" t="s">
        <v>8</v>
      </c>
      <c r="C159" s="168" t="s">
        <v>25</v>
      </c>
      <c r="D159" s="173">
        <v>45716</v>
      </c>
      <c r="E159" s="174" t="s">
        <v>273</v>
      </c>
      <c r="F159" s="174" t="s">
        <v>421</v>
      </c>
      <c r="G159" s="174" t="s">
        <v>341</v>
      </c>
      <c r="H159" s="174" t="s">
        <v>430</v>
      </c>
      <c r="I159" s="174" t="s">
        <v>431</v>
      </c>
      <c r="J159" s="174" t="s">
        <v>278</v>
      </c>
      <c r="K159" s="174" t="s">
        <v>279</v>
      </c>
      <c r="L159" s="174" t="s">
        <v>280</v>
      </c>
      <c r="M159" s="174" t="s">
        <v>281</v>
      </c>
      <c r="N159" s="177">
        <v>14889916</v>
      </c>
      <c r="O159" s="174" t="s">
        <v>282</v>
      </c>
      <c r="P159" s="174" t="s">
        <v>283</v>
      </c>
      <c r="Q159" s="174" t="s">
        <v>284</v>
      </c>
      <c r="R159" s="174" t="s">
        <v>283</v>
      </c>
      <c r="S159" s="174" t="s">
        <v>283</v>
      </c>
      <c r="T159" s="175">
        <v>0</v>
      </c>
    </row>
    <row r="160" spans="1:20" x14ac:dyDescent="0.2">
      <c r="A160" s="169">
        <v>622</v>
      </c>
      <c r="B160" s="168" t="s">
        <v>8</v>
      </c>
      <c r="C160" s="168" t="s">
        <v>23</v>
      </c>
      <c r="D160" s="173">
        <v>45716</v>
      </c>
      <c r="E160" s="174" t="s">
        <v>273</v>
      </c>
      <c r="F160" s="174" t="s">
        <v>422</v>
      </c>
      <c r="G160" s="174" t="s">
        <v>423</v>
      </c>
      <c r="H160" s="174" t="s">
        <v>430</v>
      </c>
      <c r="I160" s="174" t="s">
        <v>431</v>
      </c>
      <c r="J160" s="174" t="s">
        <v>278</v>
      </c>
      <c r="K160" s="174" t="s">
        <v>279</v>
      </c>
      <c r="L160" s="174" t="s">
        <v>280</v>
      </c>
      <c r="M160" s="174" t="s">
        <v>281</v>
      </c>
      <c r="N160" s="177">
        <v>38508816</v>
      </c>
      <c r="O160" s="174" t="s">
        <v>282</v>
      </c>
      <c r="P160" s="174" t="s">
        <v>283</v>
      </c>
      <c r="Q160" s="174" t="s">
        <v>284</v>
      </c>
      <c r="R160" s="174" t="s">
        <v>283</v>
      </c>
      <c r="S160" s="174" t="s">
        <v>283</v>
      </c>
      <c r="T160" s="175">
        <v>0</v>
      </c>
    </row>
    <row r="161" spans="1:20" x14ac:dyDescent="0.2">
      <c r="A161" s="169">
        <v>622</v>
      </c>
      <c r="B161" s="168" t="s">
        <v>8</v>
      </c>
      <c r="C161" s="168" t="s">
        <v>24</v>
      </c>
      <c r="D161" s="173">
        <v>45716</v>
      </c>
      <c r="E161" s="174" t="s">
        <v>273</v>
      </c>
      <c r="F161" s="174" t="s">
        <v>424</v>
      </c>
      <c r="G161" s="174" t="s">
        <v>291</v>
      </c>
      <c r="H161" s="174" t="s">
        <v>430</v>
      </c>
      <c r="I161" s="174" t="s">
        <v>431</v>
      </c>
      <c r="J161" s="174" t="s">
        <v>278</v>
      </c>
      <c r="K161" s="174" t="s">
        <v>279</v>
      </c>
      <c r="L161" s="174" t="s">
        <v>280</v>
      </c>
      <c r="M161" s="174" t="s">
        <v>281</v>
      </c>
      <c r="N161" s="177">
        <v>14500000</v>
      </c>
      <c r="O161" s="174" t="s">
        <v>282</v>
      </c>
      <c r="P161" s="174" t="s">
        <v>283</v>
      </c>
      <c r="Q161" s="174" t="s">
        <v>284</v>
      </c>
      <c r="R161" s="174" t="s">
        <v>283</v>
      </c>
      <c r="S161" s="174" t="s">
        <v>283</v>
      </c>
      <c r="T161" s="175">
        <v>0</v>
      </c>
    </row>
    <row r="162" spans="1:20" x14ac:dyDescent="0.2">
      <c r="A162" s="169">
        <v>622</v>
      </c>
      <c r="B162" s="168" t="s">
        <v>8</v>
      </c>
      <c r="C162" s="168" t="s">
        <v>25</v>
      </c>
      <c r="D162" s="173">
        <v>45716</v>
      </c>
      <c r="E162" s="174" t="s">
        <v>273</v>
      </c>
      <c r="F162" s="174" t="s">
        <v>414</v>
      </c>
      <c r="G162" s="174" t="s">
        <v>415</v>
      </c>
      <c r="H162" s="174" t="s">
        <v>430</v>
      </c>
      <c r="I162" s="174" t="s">
        <v>431</v>
      </c>
      <c r="J162" s="174" t="s">
        <v>278</v>
      </c>
      <c r="K162" s="174" t="s">
        <v>279</v>
      </c>
      <c r="L162" s="174" t="s">
        <v>280</v>
      </c>
      <c r="M162" s="174" t="s">
        <v>281</v>
      </c>
      <c r="N162" s="177">
        <v>4200000</v>
      </c>
      <c r="O162" s="174" t="s">
        <v>282</v>
      </c>
      <c r="P162" s="174" t="s">
        <v>283</v>
      </c>
      <c r="Q162" s="174" t="s">
        <v>284</v>
      </c>
      <c r="R162" s="174" t="s">
        <v>283</v>
      </c>
      <c r="S162" s="174" t="s">
        <v>283</v>
      </c>
      <c r="T162" s="175">
        <v>0</v>
      </c>
    </row>
    <row r="163" spans="1:20" x14ac:dyDescent="0.2">
      <c r="A163" s="169">
        <v>622</v>
      </c>
      <c r="B163" s="168" t="s">
        <v>8</v>
      </c>
      <c r="C163" s="168" t="s">
        <v>170</v>
      </c>
      <c r="D163" s="173">
        <v>45716</v>
      </c>
      <c r="E163" s="174" t="s">
        <v>294</v>
      </c>
      <c r="F163" s="174" t="s">
        <v>425</v>
      </c>
      <c r="G163" s="174" t="s">
        <v>296</v>
      </c>
      <c r="H163" s="174" t="s">
        <v>430</v>
      </c>
      <c r="I163" s="174" t="s">
        <v>431</v>
      </c>
      <c r="J163" s="174" t="s">
        <v>297</v>
      </c>
      <c r="K163" s="174" t="s">
        <v>279</v>
      </c>
      <c r="L163" s="174" t="s">
        <v>280</v>
      </c>
      <c r="M163" s="174" t="s">
        <v>281</v>
      </c>
      <c r="N163" s="177">
        <v>36155465</v>
      </c>
      <c r="O163" s="174" t="s">
        <v>298</v>
      </c>
      <c r="P163" s="174" t="s">
        <v>283</v>
      </c>
      <c r="Q163" s="174" t="s">
        <v>284</v>
      </c>
      <c r="R163" s="174" t="s">
        <v>283</v>
      </c>
      <c r="S163" s="174" t="s">
        <v>283</v>
      </c>
      <c r="T163" s="175">
        <v>0</v>
      </c>
    </row>
    <row r="164" spans="1:20" x14ac:dyDescent="0.2">
      <c r="A164" s="169">
        <v>622</v>
      </c>
      <c r="B164" s="168" t="s">
        <v>8</v>
      </c>
      <c r="C164" s="168" t="s">
        <v>170</v>
      </c>
      <c r="D164" s="173">
        <v>45716</v>
      </c>
      <c r="E164" s="174" t="s">
        <v>294</v>
      </c>
      <c r="F164" s="174" t="s">
        <v>425</v>
      </c>
      <c r="G164" s="174" t="s">
        <v>296</v>
      </c>
      <c r="H164" s="174" t="s">
        <v>430</v>
      </c>
      <c r="I164" s="174" t="s">
        <v>431</v>
      </c>
      <c r="J164" s="174" t="s">
        <v>297</v>
      </c>
      <c r="K164" s="174" t="s">
        <v>279</v>
      </c>
      <c r="L164" s="174" t="s">
        <v>280</v>
      </c>
      <c r="M164" s="174" t="s">
        <v>281</v>
      </c>
      <c r="N164" s="177">
        <v>3833555</v>
      </c>
      <c r="O164" s="174" t="s">
        <v>298</v>
      </c>
      <c r="P164" s="174" t="s">
        <v>283</v>
      </c>
      <c r="Q164" s="174" t="s">
        <v>284</v>
      </c>
      <c r="R164" s="174" t="s">
        <v>283</v>
      </c>
      <c r="S164" s="174" t="s">
        <v>283</v>
      </c>
      <c r="T164" s="175">
        <v>0</v>
      </c>
    </row>
    <row r="165" spans="1:20" x14ac:dyDescent="0.2">
      <c r="A165" s="169">
        <v>622</v>
      </c>
      <c r="B165" s="168" t="s">
        <v>8</v>
      </c>
      <c r="C165" s="168" t="s">
        <v>22</v>
      </c>
      <c r="D165" s="173">
        <v>45716</v>
      </c>
      <c r="E165" s="174" t="s">
        <v>287</v>
      </c>
      <c r="F165" s="174" t="s">
        <v>420</v>
      </c>
      <c r="G165" s="174" t="s">
        <v>286</v>
      </c>
      <c r="H165" s="174" t="s">
        <v>430</v>
      </c>
      <c r="I165" s="174" t="s">
        <v>431</v>
      </c>
      <c r="J165" s="174" t="s">
        <v>288</v>
      </c>
      <c r="K165" s="174" t="s">
        <v>279</v>
      </c>
      <c r="L165" s="174" t="s">
        <v>280</v>
      </c>
      <c r="M165" s="174" t="s">
        <v>281</v>
      </c>
      <c r="N165" s="177">
        <v>15346360</v>
      </c>
      <c r="O165" s="174" t="s">
        <v>289</v>
      </c>
      <c r="P165" s="174" t="s">
        <v>283</v>
      </c>
      <c r="Q165" s="174" t="s">
        <v>284</v>
      </c>
      <c r="R165" s="174" t="s">
        <v>283</v>
      </c>
      <c r="S165" s="174" t="s">
        <v>283</v>
      </c>
      <c r="T165" s="175">
        <v>0</v>
      </c>
    </row>
    <row r="166" spans="1:20" x14ac:dyDescent="0.2">
      <c r="A166" s="169">
        <v>622</v>
      </c>
      <c r="B166" s="168" t="s">
        <v>8</v>
      </c>
      <c r="C166" s="168" t="s">
        <v>24</v>
      </c>
      <c r="D166" s="173">
        <v>45716</v>
      </c>
      <c r="E166" s="174" t="s">
        <v>287</v>
      </c>
      <c r="F166" s="174" t="s">
        <v>426</v>
      </c>
      <c r="G166" s="174" t="s">
        <v>77</v>
      </c>
      <c r="H166" s="174" t="s">
        <v>430</v>
      </c>
      <c r="I166" s="174" t="s">
        <v>431</v>
      </c>
      <c r="J166" s="174" t="s">
        <v>293</v>
      </c>
      <c r="K166" s="174" t="s">
        <v>279</v>
      </c>
      <c r="L166" s="174" t="s">
        <v>280</v>
      </c>
      <c r="M166" s="174" t="s">
        <v>281</v>
      </c>
      <c r="N166" s="177">
        <v>4210018</v>
      </c>
      <c r="O166" s="174" t="s">
        <v>289</v>
      </c>
      <c r="P166" s="174" t="s">
        <v>283</v>
      </c>
      <c r="Q166" s="174" t="s">
        <v>284</v>
      </c>
      <c r="R166" s="174" t="s">
        <v>283</v>
      </c>
      <c r="S166" s="174" t="s">
        <v>283</v>
      </c>
      <c r="T166" s="175">
        <v>0</v>
      </c>
    </row>
    <row r="167" spans="1:20" x14ac:dyDescent="0.2">
      <c r="A167" s="169">
        <v>627</v>
      </c>
      <c r="B167" s="168" t="s">
        <v>8</v>
      </c>
      <c r="C167" s="168" t="s">
        <v>25</v>
      </c>
      <c r="D167" s="173">
        <v>45715</v>
      </c>
      <c r="E167" s="174" t="s">
        <v>334</v>
      </c>
      <c r="F167" s="174" t="s">
        <v>375</v>
      </c>
      <c r="G167" s="174" t="s">
        <v>336</v>
      </c>
      <c r="H167" s="174" t="s">
        <v>430</v>
      </c>
      <c r="I167" s="174" t="s">
        <v>431</v>
      </c>
      <c r="J167" s="174" t="s">
        <v>337</v>
      </c>
      <c r="K167" s="174" t="s">
        <v>338</v>
      </c>
      <c r="L167" s="174" t="s">
        <v>280</v>
      </c>
      <c r="M167" s="174" t="s">
        <v>281</v>
      </c>
      <c r="N167" s="177">
        <v>20525000</v>
      </c>
      <c r="O167" s="174" t="s">
        <v>339</v>
      </c>
      <c r="P167" s="174" t="s">
        <v>283</v>
      </c>
      <c r="Q167" s="174" t="s">
        <v>306</v>
      </c>
      <c r="R167" s="174" t="s">
        <v>283</v>
      </c>
      <c r="S167" s="174" t="s">
        <v>283</v>
      </c>
      <c r="T167" s="175">
        <v>0</v>
      </c>
    </row>
    <row r="168" spans="1:20" x14ac:dyDescent="0.2">
      <c r="A168" s="169">
        <v>627</v>
      </c>
      <c r="B168" s="168" t="s">
        <v>8</v>
      </c>
      <c r="C168" s="168" t="s">
        <v>25</v>
      </c>
      <c r="D168" s="173">
        <v>45716</v>
      </c>
      <c r="E168" s="174" t="s">
        <v>413</v>
      </c>
      <c r="F168" s="174" t="s">
        <v>375</v>
      </c>
      <c r="G168" s="174" t="s">
        <v>336</v>
      </c>
      <c r="H168" s="174" t="s">
        <v>430</v>
      </c>
      <c r="I168" s="174" t="s">
        <v>431</v>
      </c>
      <c r="J168" s="174" t="s">
        <v>416</v>
      </c>
      <c r="K168" s="174" t="s">
        <v>416</v>
      </c>
      <c r="L168" s="174" t="s">
        <v>280</v>
      </c>
      <c r="M168" s="174" t="s">
        <v>281</v>
      </c>
      <c r="N168" s="177">
        <v>-17200000</v>
      </c>
      <c r="O168" s="174" t="s">
        <v>417</v>
      </c>
      <c r="P168" s="174" t="s">
        <v>283</v>
      </c>
      <c r="Q168" s="174" t="s">
        <v>348</v>
      </c>
      <c r="R168" s="174" t="s">
        <v>283</v>
      </c>
      <c r="S168" s="174" t="s">
        <v>283</v>
      </c>
      <c r="T168" s="175">
        <v>0</v>
      </c>
    </row>
    <row r="169" spans="1:20" x14ac:dyDescent="0.2">
      <c r="A169" s="169">
        <v>627</v>
      </c>
      <c r="B169" s="168" t="s">
        <v>8</v>
      </c>
      <c r="C169" s="168" t="s">
        <v>25</v>
      </c>
      <c r="D169" s="173">
        <v>45716</v>
      </c>
      <c r="E169" s="174" t="s">
        <v>413</v>
      </c>
      <c r="F169" s="174" t="s">
        <v>375</v>
      </c>
      <c r="G169" s="174" t="s">
        <v>336</v>
      </c>
      <c r="H169" s="174" t="s">
        <v>430</v>
      </c>
      <c r="I169" s="174" t="s">
        <v>431</v>
      </c>
      <c r="J169" s="174" t="s">
        <v>416</v>
      </c>
      <c r="K169" s="174" t="s">
        <v>416</v>
      </c>
      <c r="L169" s="174" t="s">
        <v>280</v>
      </c>
      <c r="M169" s="174" t="s">
        <v>281</v>
      </c>
      <c r="N169" s="177">
        <v>-775000</v>
      </c>
      <c r="O169" s="174" t="s">
        <v>417</v>
      </c>
      <c r="P169" s="174" t="s">
        <v>283</v>
      </c>
      <c r="Q169" s="174" t="s">
        <v>348</v>
      </c>
      <c r="R169" s="174" t="s">
        <v>283</v>
      </c>
      <c r="S169" s="174" t="s">
        <v>283</v>
      </c>
      <c r="T169" s="175">
        <v>0</v>
      </c>
    </row>
    <row r="170" spans="1:20" x14ac:dyDescent="0.2">
      <c r="A170" s="169">
        <v>627</v>
      </c>
      <c r="B170" s="168" t="s">
        <v>8</v>
      </c>
      <c r="C170" s="168" t="s">
        <v>25</v>
      </c>
      <c r="D170" s="173">
        <v>45716</v>
      </c>
      <c r="E170" s="174" t="s">
        <v>273</v>
      </c>
      <c r="F170" s="174" t="s">
        <v>386</v>
      </c>
      <c r="G170" s="174" t="s">
        <v>341</v>
      </c>
      <c r="H170" s="174" t="s">
        <v>430</v>
      </c>
      <c r="I170" s="174" t="s">
        <v>431</v>
      </c>
      <c r="J170" s="174" t="s">
        <v>278</v>
      </c>
      <c r="K170" s="174" t="s">
        <v>279</v>
      </c>
      <c r="L170" s="174" t="s">
        <v>280</v>
      </c>
      <c r="M170" s="174" t="s">
        <v>281</v>
      </c>
      <c r="N170" s="177">
        <v>6737047</v>
      </c>
      <c r="O170" s="174" t="s">
        <v>282</v>
      </c>
      <c r="P170" s="174" t="s">
        <v>283</v>
      </c>
      <c r="Q170" s="174" t="s">
        <v>284</v>
      </c>
      <c r="R170" s="174" t="s">
        <v>283</v>
      </c>
      <c r="S170" s="174" t="s">
        <v>283</v>
      </c>
      <c r="T170" s="175">
        <v>0</v>
      </c>
    </row>
    <row r="171" spans="1:20" x14ac:dyDescent="0.2">
      <c r="A171" s="169">
        <v>627</v>
      </c>
      <c r="B171" s="168" t="s">
        <v>8</v>
      </c>
      <c r="C171" s="168" t="s">
        <v>22</v>
      </c>
      <c r="D171" s="173">
        <v>45716</v>
      </c>
      <c r="E171" s="174" t="s">
        <v>273</v>
      </c>
      <c r="F171" s="174" t="s">
        <v>387</v>
      </c>
      <c r="G171" s="174" t="s">
        <v>275</v>
      </c>
      <c r="H171" s="174" t="s">
        <v>430</v>
      </c>
      <c r="I171" s="174" t="s">
        <v>431</v>
      </c>
      <c r="J171" s="174" t="s">
        <v>278</v>
      </c>
      <c r="K171" s="174" t="s">
        <v>279</v>
      </c>
      <c r="L171" s="174" t="s">
        <v>280</v>
      </c>
      <c r="M171" s="174" t="s">
        <v>281</v>
      </c>
      <c r="N171" s="177">
        <v>157079953</v>
      </c>
      <c r="O171" s="174" t="s">
        <v>282</v>
      </c>
      <c r="P171" s="174" t="s">
        <v>283</v>
      </c>
      <c r="Q171" s="174" t="s">
        <v>284</v>
      </c>
      <c r="R171" s="174" t="s">
        <v>283</v>
      </c>
      <c r="S171" s="174" t="s">
        <v>283</v>
      </c>
      <c r="T171" s="175">
        <v>0</v>
      </c>
    </row>
    <row r="172" spans="1:20" x14ac:dyDescent="0.2">
      <c r="A172" s="169">
        <v>627</v>
      </c>
      <c r="B172" s="168" t="s">
        <v>8</v>
      </c>
      <c r="C172" s="168" t="s">
        <v>22</v>
      </c>
      <c r="D172" s="173">
        <v>45716</v>
      </c>
      <c r="E172" s="174" t="s">
        <v>273</v>
      </c>
      <c r="F172" s="174" t="s">
        <v>388</v>
      </c>
      <c r="G172" s="174" t="s">
        <v>286</v>
      </c>
      <c r="H172" s="174" t="s">
        <v>430</v>
      </c>
      <c r="I172" s="174" t="s">
        <v>431</v>
      </c>
      <c r="J172" s="174" t="s">
        <v>278</v>
      </c>
      <c r="K172" s="174" t="s">
        <v>279</v>
      </c>
      <c r="L172" s="174" t="s">
        <v>280</v>
      </c>
      <c r="M172" s="174" t="s">
        <v>281</v>
      </c>
      <c r="N172" s="177">
        <v>6945847</v>
      </c>
      <c r="O172" s="174" t="s">
        <v>282</v>
      </c>
      <c r="P172" s="174" t="s">
        <v>283</v>
      </c>
      <c r="Q172" s="174" t="s">
        <v>284</v>
      </c>
      <c r="R172" s="174" t="s">
        <v>283</v>
      </c>
      <c r="S172" s="174" t="s">
        <v>283</v>
      </c>
      <c r="T172" s="175">
        <v>0</v>
      </c>
    </row>
    <row r="173" spans="1:20" x14ac:dyDescent="0.2">
      <c r="A173" s="169">
        <v>627</v>
      </c>
      <c r="B173" s="168" t="s">
        <v>8</v>
      </c>
      <c r="C173" s="168" t="s">
        <v>23</v>
      </c>
      <c r="D173" s="173">
        <v>45716</v>
      </c>
      <c r="E173" s="174" t="s">
        <v>273</v>
      </c>
      <c r="F173" s="174" t="s">
        <v>389</v>
      </c>
      <c r="G173" s="174" t="s">
        <v>390</v>
      </c>
      <c r="H173" s="174" t="s">
        <v>430</v>
      </c>
      <c r="I173" s="174" t="s">
        <v>431</v>
      </c>
      <c r="J173" s="174" t="s">
        <v>278</v>
      </c>
      <c r="K173" s="174" t="s">
        <v>279</v>
      </c>
      <c r="L173" s="174" t="s">
        <v>280</v>
      </c>
      <c r="M173" s="174" t="s">
        <v>281</v>
      </c>
      <c r="N173" s="177">
        <v>16647943</v>
      </c>
      <c r="O173" s="174" t="s">
        <v>282</v>
      </c>
      <c r="P173" s="174" t="s">
        <v>283</v>
      </c>
      <c r="Q173" s="174" t="s">
        <v>284</v>
      </c>
      <c r="R173" s="174" t="s">
        <v>283</v>
      </c>
      <c r="S173" s="174" t="s">
        <v>283</v>
      </c>
      <c r="T173" s="175">
        <v>0</v>
      </c>
    </row>
    <row r="174" spans="1:20" x14ac:dyDescent="0.2">
      <c r="A174" s="169">
        <v>627</v>
      </c>
      <c r="B174" s="168" t="s">
        <v>8</v>
      </c>
      <c r="C174" s="168" t="s">
        <v>24</v>
      </c>
      <c r="D174" s="173">
        <v>45716</v>
      </c>
      <c r="E174" s="174" t="s">
        <v>273</v>
      </c>
      <c r="F174" s="174" t="s">
        <v>391</v>
      </c>
      <c r="G174" s="174" t="s">
        <v>291</v>
      </c>
      <c r="H174" s="174" t="s">
        <v>430</v>
      </c>
      <c r="I174" s="174" t="s">
        <v>431</v>
      </c>
      <c r="J174" s="174" t="s">
        <v>278</v>
      </c>
      <c r="K174" s="174" t="s">
        <v>279</v>
      </c>
      <c r="L174" s="174" t="s">
        <v>280</v>
      </c>
      <c r="M174" s="174" t="s">
        <v>281</v>
      </c>
      <c r="N174" s="177">
        <v>5500000</v>
      </c>
      <c r="O174" s="174" t="s">
        <v>282</v>
      </c>
      <c r="P174" s="174" t="s">
        <v>283</v>
      </c>
      <c r="Q174" s="174" t="s">
        <v>284</v>
      </c>
      <c r="R174" s="174" t="s">
        <v>283</v>
      </c>
      <c r="S174" s="174" t="s">
        <v>283</v>
      </c>
      <c r="T174" s="175">
        <v>0</v>
      </c>
    </row>
    <row r="175" spans="1:20" x14ac:dyDescent="0.2">
      <c r="A175" s="169">
        <v>627</v>
      </c>
      <c r="B175" s="168" t="s">
        <v>8</v>
      </c>
      <c r="C175" s="168" t="s">
        <v>25</v>
      </c>
      <c r="D175" s="173">
        <v>45716</v>
      </c>
      <c r="E175" s="174" t="s">
        <v>273</v>
      </c>
      <c r="F175" s="174" t="s">
        <v>375</v>
      </c>
      <c r="G175" s="174" t="s">
        <v>336</v>
      </c>
      <c r="H175" s="174" t="s">
        <v>430</v>
      </c>
      <c r="I175" s="174" t="s">
        <v>431</v>
      </c>
      <c r="J175" s="174" t="s">
        <v>278</v>
      </c>
      <c r="K175" s="174" t="s">
        <v>279</v>
      </c>
      <c r="L175" s="174" t="s">
        <v>280</v>
      </c>
      <c r="M175" s="174" t="s">
        <v>281</v>
      </c>
      <c r="N175" s="177">
        <v>1190000</v>
      </c>
      <c r="O175" s="174" t="s">
        <v>282</v>
      </c>
      <c r="P175" s="174" t="s">
        <v>283</v>
      </c>
      <c r="Q175" s="174" t="s">
        <v>284</v>
      </c>
      <c r="R175" s="174" t="s">
        <v>283</v>
      </c>
      <c r="S175" s="174" t="s">
        <v>283</v>
      </c>
      <c r="T175" s="175">
        <v>0</v>
      </c>
    </row>
    <row r="176" spans="1:20" x14ac:dyDescent="0.2">
      <c r="A176" s="169">
        <v>627</v>
      </c>
      <c r="B176" s="168" t="s">
        <v>8</v>
      </c>
      <c r="C176" s="168" t="s">
        <v>170</v>
      </c>
      <c r="D176" s="173">
        <v>45716</v>
      </c>
      <c r="E176" s="174" t="s">
        <v>294</v>
      </c>
      <c r="F176" s="174" t="s">
        <v>393</v>
      </c>
      <c r="G176" s="174" t="s">
        <v>296</v>
      </c>
      <c r="H176" s="174" t="s">
        <v>430</v>
      </c>
      <c r="I176" s="174" t="s">
        <v>431</v>
      </c>
      <c r="J176" s="174" t="s">
        <v>297</v>
      </c>
      <c r="K176" s="174" t="s">
        <v>279</v>
      </c>
      <c r="L176" s="174" t="s">
        <v>280</v>
      </c>
      <c r="M176" s="174" t="s">
        <v>281</v>
      </c>
      <c r="N176" s="177">
        <v>29859235</v>
      </c>
      <c r="O176" s="174" t="s">
        <v>298</v>
      </c>
      <c r="P176" s="174" t="s">
        <v>283</v>
      </c>
      <c r="Q176" s="174" t="s">
        <v>284</v>
      </c>
      <c r="R176" s="174" t="s">
        <v>283</v>
      </c>
      <c r="S176" s="174" t="s">
        <v>283</v>
      </c>
      <c r="T176" s="175">
        <v>0</v>
      </c>
    </row>
    <row r="177" spans="1:20" x14ac:dyDescent="0.2">
      <c r="A177" s="169">
        <v>627</v>
      </c>
      <c r="B177" s="168" t="s">
        <v>8</v>
      </c>
      <c r="C177" s="168" t="s">
        <v>22</v>
      </c>
      <c r="D177" s="173">
        <v>45716</v>
      </c>
      <c r="E177" s="174" t="s">
        <v>287</v>
      </c>
      <c r="F177" s="174" t="s">
        <v>388</v>
      </c>
      <c r="G177" s="174" t="s">
        <v>286</v>
      </c>
      <c r="H177" s="174" t="s">
        <v>430</v>
      </c>
      <c r="I177" s="174" t="s">
        <v>431</v>
      </c>
      <c r="J177" s="174" t="s">
        <v>288</v>
      </c>
      <c r="K177" s="174" t="s">
        <v>279</v>
      </c>
      <c r="L177" s="174" t="s">
        <v>280</v>
      </c>
      <c r="M177" s="174" t="s">
        <v>281</v>
      </c>
      <c r="N177" s="177">
        <v>12794512</v>
      </c>
      <c r="O177" s="174" t="s">
        <v>289</v>
      </c>
      <c r="P177" s="174" t="s">
        <v>283</v>
      </c>
      <c r="Q177" s="174" t="s">
        <v>284</v>
      </c>
      <c r="R177" s="174" t="s">
        <v>283</v>
      </c>
      <c r="S177" s="174" t="s">
        <v>283</v>
      </c>
      <c r="T177" s="175">
        <v>0</v>
      </c>
    </row>
    <row r="178" spans="1:20" x14ac:dyDescent="0.2">
      <c r="A178" s="169">
        <v>627</v>
      </c>
      <c r="B178" s="168" t="s">
        <v>8</v>
      </c>
      <c r="C178" s="168" t="s">
        <v>24</v>
      </c>
      <c r="D178" s="173">
        <v>45716</v>
      </c>
      <c r="E178" s="174" t="s">
        <v>287</v>
      </c>
      <c r="F178" s="174" t="s">
        <v>395</v>
      </c>
      <c r="G178" s="174" t="s">
        <v>77</v>
      </c>
      <c r="H178" s="174" t="s">
        <v>430</v>
      </c>
      <c r="I178" s="174" t="s">
        <v>431</v>
      </c>
      <c r="J178" s="174" t="s">
        <v>293</v>
      </c>
      <c r="K178" s="174" t="s">
        <v>279</v>
      </c>
      <c r="L178" s="174" t="s">
        <v>280</v>
      </c>
      <c r="M178" s="174" t="s">
        <v>281</v>
      </c>
      <c r="N178" s="177">
        <v>11397628</v>
      </c>
      <c r="O178" s="174" t="s">
        <v>289</v>
      </c>
      <c r="P178" s="174" t="s">
        <v>283</v>
      </c>
      <c r="Q178" s="174" t="s">
        <v>284</v>
      </c>
      <c r="R178" s="174" t="s">
        <v>283</v>
      </c>
      <c r="S178" s="174" t="s">
        <v>283</v>
      </c>
      <c r="T178" s="175">
        <v>0</v>
      </c>
    </row>
    <row r="179" spans="1:20" x14ac:dyDescent="0.2">
      <c r="A179" s="169">
        <v>627</v>
      </c>
      <c r="B179" s="168" t="s">
        <v>8</v>
      </c>
      <c r="C179" s="168" t="s">
        <v>222</v>
      </c>
      <c r="D179" s="173">
        <v>45698</v>
      </c>
      <c r="E179" s="174" t="s">
        <v>434</v>
      </c>
      <c r="F179" s="174" t="s">
        <v>435</v>
      </c>
      <c r="G179" s="174" t="s">
        <v>222</v>
      </c>
      <c r="H179" s="174" t="s">
        <v>436</v>
      </c>
      <c r="I179" s="174" t="s">
        <v>437</v>
      </c>
      <c r="J179" s="174" t="s">
        <v>438</v>
      </c>
      <c r="K179" s="174" t="s">
        <v>439</v>
      </c>
      <c r="L179" s="174" t="s">
        <v>280</v>
      </c>
      <c r="M179" s="174" t="s">
        <v>281</v>
      </c>
      <c r="N179" s="177">
        <v>7500000</v>
      </c>
      <c r="O179" s="174" t="s">
        <v>440</v>
      </c>
      <c r="P179" s="174" t="s">
        <v>283</v>
      </c>
      <c r="Q179" s="174" t="s">
        <v>325</v>
      </c>
      <c r="R179" s="174" t="s">
        <v>283</v>
      </c>
      <c r="S179" s="174" t="s">
        <v>283</v>
      </c>
      <c r="T179" s="175">
        <v>0</v>
      </c>
    </row>
    <row r="180" spans="1:20" x14ac:dyDescent="0.2">
      <c r="A180" s="169">
        <v>627</v>
      </c>
      <c r="B180" s="168" t="s">
        <v>8</v>
      </c>
      <c r="C180" s="168" t="s">
        <v>25</v>
      </c>
      <c r="D180" s="173">
        <v>45715</v>
      </c>
      <c r="E180" s="174" t="s">
        <v>334</v>
      </c>
      <c r="F180" s="174" t="s">
        <v>375</v>
      </c>
      <c r="G180" s="174" t="s">
        <v>336</v>
      </c>
      <c r="H180" s="174" t="s">
        <v>441</v>
      </c>
      <c r="I180" s="174" t="s">
        <v>442</v>
      </c>
      <c r="J180" s="174" t="s">
        <v>337</v>
      </c>
      <c r="K180" s="174" t="s">
        <v>338</v>
      </c>
      <c r="L180" s="174" t="s">
        <v>280</v>
      </c>
      <c r="M180" s="174" t="s">
        <v>281</v>
      </c>
      <c r="N180" s="177">
        <v>525000</v>
      </c>
      <c r="O180" s="174" t="s">
        <v>339</v>
      </c>
      <c r="P180" s="174" t="s">
        <v>283</v>
      </c>
      <c r="Q180" s="174" t="s">
        <v>306</v>
      </c>
      <c r="R180" s="174" t="s">
        <v>283</v>
      </c>
      <c r="S180" s="174" t="s">
        <v>283</v>
      </c>
      <c r="T180" s="175">
        <v>0</v>
      </c>
    </row>
    <row r="181" spans="1:20" x14ac:dyDescent="0.2">
      <c r="A181" s="169">
        <v>627</v>
      </c>
      <c r="B181" s="168" t="s">
        <v>8</v>
      </c>
      <c r="C181" s="168" t="s">
        <v>25</v>
      </c>
      <c r="D181" s="173">
        <v>45715</v>
      </c>
      <c r="E181" s="174" t="s">
        <v>334</v>
      </c>
      <c r="F181" s="174" t="s">
        <v>375</v>
      </c>
      <c r="G181" s="174" t="s">
        <v>336</v>
      </c>
      <c r="H181" s="174" t="s">
        <v>436</v>
      </c>
      <c r="I181" s="174" t="s">
        <v>437</v>
      </c>
      <c r="J181" s="174" t="s">
        <v>337</v>
      </c>
      <c r="K181" s="174" t="s">
        <v>338</v>
      </c>
      <c r="L181" s="174" t="s">
        <v>280</v>
      </c>
      <c r="M181" s="174" t="s">
        <v>281</v>
      </c>
      <c r="N181" s="177">
        <v>24600000</v>
      </c>
      <c r="O181" s="174" t="s">
        <v>339</v>
      </c>
      <c r="P181" s="174" t="s">
        <v>283</v>
      </c>
      <c r="Q181" s="174" t="s">
        <v>306</v>
      </c>
      <c r="R181" s="174" t="s">
        <v>283</v>
      </c>
      <c r="S181" s="174" t="s">
        <v>283</v>
      </c>
      <c r="T181" s="175">
        <v>0</v>
      </c>
    </row>
    <row r="182" spans="1:20" x14ac:dyDescent="0.2">
      <c r="A182" s="169">
        <v>622</v>
      </c>
      <c r="B182" s="168" t="s">
        <v>8</v>
      </c>
      <c r="C182" s="168" t="s">
        <v>25</v>
      </c>
      <c r="D182" s="173">
        <v>45716</v>
      </c>
      <c r="E182" s="174" t="s">
        <v>413</v>
      </c>
      <c r="F182" s="174" t="s">
        <v>414</v>
      </c>
      <c r="G182" s="174" t="s">
        <v>415</v>
      </c>
      <c r="H182" s="174" t="s">
        <v>441</v>
      </c>
      <c r="I182" s="174" t="s">
        <v>442</v>
      </c>
      <c r="J182" s="174" t="s">
        <v>416</v>
      </c>
      <c r="K182" s="174" t="s">
        <v>416</v>
      </c>
      <c r="L182" s="174" t="s">
        <v>280</v>
      </c>
      <c r="M182" s="174" t="s">
        <v>281</v>
      </c>
      <c r="N182" s="177">
        <v>525000</v>
      </c>
      <c r="O182" s="174" t="s">
        <v>417</v>
      </c>
      <c r="P182" s="174" t="s">
        <v>283</v>
      </c>
      <c r="Q182" s="174" t="s">
        <v>348</v>
      </c>
      <c r="R182" s="174" t="s">
        <v>283</v>
      </c>
      <c r="S182" s="174" t="s">
        <v>283</v>
      </c>
      <c r="T182" s="175">
        <v>0</v>
      </c>
    </row>
    <row r="183" spans="1:20" x14ac:dyDescent="0.2">
      <c r="A183" s="169">
        <v>627</v>
      </c>
      <c r="B183" s="168" t="s">
        <v>8</v>
      </c>
      <c r="C183" s="168" t="s">
        <v>25</v>
      </c>
      <c r="D183" s="173">
        <v>45716</v>
      </c>
      <c r="E183" s="174" t="s">
        <v>413</v>
      </c>
      <c r="F183" s="174" t="s">
        <v>375</v>
      </c>
      <c r="G183" s="174" t="s">
        <v>336</v>
      </c>
      <c r="H183" s="174" t="s">
        <v>441</v>
      </c>
      <c r="I183" s="174" t="s">
        <v>442</v>
      </c>
      <c r="J183" s="174" t="s">
        <v>416</v>
      </c>
      <c r="K183" s="174" t="s">
        <v>416</v>
      </c>
      <c r="L183" s="174" t="s">
        <v>280</v>
      </c>
      <c r="M183" s="174" t="s">
        <v>281</v>
      </c>
      <c r="N183" s="177">
        <v>-525000</v>
      </c>
      <c r="O183" s="174" t="s">
        <v>417</v>
      </c>
      <c r="P183" s="174" t="s">
        <v>283</v>
      </c>
      <c r="Q183" s="174" t="s">
        <v>348</v>
      </c>
      <c r="R183" s="174" t="s">
        <v>283</v>
      </c>
      <c r="S183" s="174" t="s">
        <v>283</v>
      </c>
      <c r="T183" s="175">
        <v>0</v>
      </c>
    </row>
    <row r="184" spans="1:20" x14ac:dyDescent="0.2">
      <c r="A184" s="169">
        <v>622</v>
      </c>
      <c r="B184" s="168" t="s">
        <v>8</v>
      </c>
      <c r="C184" s="168" t="s">
        <v>25</v>
      </c>
      <c r="D184" s="173">
        <v>45716</v>
      </c>
      <c r="E184" s="174" t="s">
        <v>413</v>
      </c>
      <c r="F184" s="174" t="s">
        <v>414</v>
      </c>
      <c r="G184" s="174" t="s">
        <v>415</v>
      </c>
      <c r="H184" s="174" t="s">
        <v>441</v>
      </c>
      <c r="I184" s="174" t="s">
        <v>442</v>
      </c>
      <c r="J184" s="174" t="s">
        <v>416</v>
      </c>
      <c r="K184" s="174" t="s">
        <v>416</v>
      </c>
      <c r="L184" s="174" t="s">
        <v>280</v>
      </c>
      <c r="M184" s="174" t="s">
        <v>281</v>
      </c>
      <c r="N184" s="177">
        <v>775000</v>
      </c>
      <c r="O184" s="174" t="s">
        <v>417</v>
      </c>
      <c r="P184" s="174" t="s">
        <v>283</v>
      </c>
      <c r="Q184" s="174" t="s">
        <v>348</v>
      </c>
      <c r="R184" s="174" t="s">
        <v>283</v>
      </c>
      <c r="S184" s="174" t="s">
        <v>283</v>
      </c>
      <c r="T184" s="175">
        <v>0</v>
      </c>
    </row>
    <row r="185" spans="1:20" x14ac:dyDescent="0.2">
      <c r="A185" s="169">
        <v>627</v>
      </c>
      <c r="B185" s="168" t="s">
        <v>8</v>
      </c>
      <c r="C185" s="168" t="s">
        <v>25</v>
      </c>
      <c r="D185" s="173">
        <v>45716</v>
      </c>
      <c r="E185" s="174" t="s">
        <v>273</v>
      </c>
      <c r="F185" s="174" t="s">
        <v>386</v>
      </c>
      <c r="G185" s="174" t="s">
        <v>341</v>
      </c>
      <c r="H185" s="174" t="s">
        <v>436</v>
      </c>
      <c r="I185" s="174" t="s">
        <v>437</v>
      </c>
      <c r="J185" s="174" t="s">
        <v>278</v>
      </c>
      <c r="K185" s="174" t="s">
        <v>279</v>
      </c>
      <c r="L185" s="174" t="s">
        <v>280</v>
      </c>
      <c r="M185" s="174" t="s">
        <v>281</v>
      </c>
      <c r="N185" s="177">
        <v>10251833</v>
      </c>
      <c r="O185" s="174" t="s">
        <v>282</v>
      </c>
      <c r="P185" s="174" t="s">
        <v>283</v>
      </c>
      <c r="Q185" s="174" t="s">
        <v>284</v>
      </c>
      <c r="R185" s="174" t="s">
        <v>283</v>
      </c>
      <c r="S185" s="174" t="s">
        <v>283</v>
      </c>
      <c r="T185" s="175">
        <v>0</v>
      </c>
    </row>
    <row r="186" spans="1:20" x14ac:dyDescent="0.2">
      <c r="A186" s="169">
        <v>627</v>
      </c>
      <c r="B186" s="168" t="s">
        <v>8</v>
      </c>
      <c r="C186" s="168" t="s">
        <v>22</v>
      </c>
      <c r="D186" s="173">
        <v>45716</v>
      </c>
      <c r="E186" s="174" t="s">
        <v>273</v>
      </c>
      <c r="F186" s="174" t="s">
        <v>387</v>
      </c>
      <c r="G186" s="174" t="s">
        <v>275</v>
      </c>
      <c r="H186" s="174" t="s">
        <v>436</v>
      </c>
      <c r="I186" s="174" t="s">
        <v>437</v>
      </c>
      <c r="J186" s="174" t="s">
        <v>278</v>
      </c>
      <c r="K186" s="174" t="s">
        <v>279</v>
      </c>
      <c r="L186" s="174" t="s">
        <v>280</v>
      </c>
      <c r="M186" s="174" t="s">
        <v>281</v>
      </c>
      <c r="N186" s="177">
        <v>418231042</v>
      </c>
      <c r="O186" s="174" t="s">
        <v>282</v>
      </c>
      <c r="P186" s="174" t="s">
        <v>283</v>
      </c>
      <c r="Q186" s="174" t="s">
        <v>284</v>
      </c>
      <c r="R186" s="174" t="s">
        <v>283</v>
      </c>
      <c r="S186" s="174" t="s">
        <v>283</v>
      </c>
      <c r="T186" s="175">
        <v>0</v>
      </c>
    </row>
    <row r="187" spans="1:20" x14ac:dyDescent="0.2">
      <c r="A187" s="169">
        <v>627</v>
      </c>
      <c r="B187" s="168" t="s">
        <v>8</v>
      </c>
      <c r="C187" s="168" t="s">
        <v>22</v>
      </c>
      <c r="D187" s="173">
        <v>45716</v>
      </c>
      <c r="E187" s="174" t="s">
        <v>273</v>
      </c>
      <c r="F187" s="174" t="s">
        <v>388</v>
      </c>
      <c r="G187" s="174" t="s">
        <v>286</v>
      </c>
      <c r="H187" s="174" t="s">
        <v>436</v>
      </c>
      <c r="I187" s="174" t="s">
        <v>437</v>
      </c>
      <c r="J187" s="174" t="s">
        <v>278</v>
      </c>
      <c r="K187" s="174" t="s">
        <v>279</v>
      </c>
      <c r="L187" s="174" t="s">
        <v>280</v>
      </c>
      <c r="M187" s="174" t="s">
        <v>281</v>
      </c>
      <c r="N187" s="177">
        <v>8595847</v>
      </c>
      <c r="O187" s="174" t="s">
        <v>282</v>
      </c>
      <c r="P187" s="174" t="s">
        <v>283</v>
      </c>
      <c r="Q187" s="174" t="s">
        <v>284</v>
      </c>
      <c r="R187" s="174" t="s">
        <v>283</v>
      </c>
      <c r="S187" s="174" t="s">
        <v>283</v>
      </c>
      <c r="T187" s="175">
        <v>0</v>
      </c>
    </row>
    <row r="188" spans="1:20" x14ac:dyDescent="0.2">
      <c r="A188" s="169">
        <v>627</v>
      </c>
      <c r="B188" s="168" t="s">
        <v>8</v>
      </c>
      <c r="C188" s="168" t="s">
        <v>23</v>
      </c>
      <c r="D188" s="173">
        <v>45716</v>
      </c>
      <c r="E188" s="174" t="s">
        <v>273</v>
      </c>
      <c r="F188" s="174" t="s">
        <v>389</v>
      </c>
      <c r="G188" s="174" t="s">
        <v>390</v>
      </c>
      <c r="H188" s="174" t="s">
        <v>436</v>
      </c>
      <c r="I188" s="174" t="s">
        <v>437</v>
      </c>
      <c r="J188" s="174" t="s">
        <v>278</v>
      </c>
      <c r="K188" s="174" t="s">
        <v>279</v>
      </c>
      <c r="L188" s="174" t="s">
        <v>280</v>
      </c>
      <c r="M188" s="174" t="s">
        <v>281</v>
      </c>
      <c r="N188" s="177">
        <v>66323920</v>
      </c>
      <c r="O188" s="174" t="s">
        <v>282</v>
      </c>
      <c r="P188" s="174" t="s">
        <v>283</v>
      </c>
      <c r="Q188" s="174" t="s">
        <v>284</v>
      </c>
      <c r="R188" s="174" t="s">
        <v>283</v>
      </c>
      <c r="S188" s="174" t="s">
        <v>283</v>
      </c>
      <c r="T188" s="175">
        <v>0</v>
      </c>
    </row>
    <row r="189" spans="1:20" x14ac:dyDescent="0.2">
      <c r="A189" s="169">
        <v>627</v>
      </c>
      <c r="B189" s="168" t="s">
        <v>8</v>
      </c>
      <c r="C189" s="168" t="s">
        <v>24</v>
      </c>
      <c r="D189" s="173">
        <v>45716</v>
      </c>
      <c r="E189" s="174" t="s">
        <v>273</v>
      </c>
      <c r="F189" s="174" t="s">
        <v>391</v>
      </c>
      <c r="G189" s="174" t="s">
        <v>291</v>
      </c>
      <c r="H189" s="174" t="s">
        <v>436</v>
      </c>
      <c r="I189" s="174" t="s">
        <v>437</v>
      </c>
      <c r="J189" s="174" t="s">
        <v>278</v>
      </c>
      <c r="K189" s="174" t="s">
        <v>279</v>
      </c>
      <c r="L189" s="174" t="s">
        <v>280</v>
      </c>
      <c r="M189" s="174" t="s">
        <v>281</v>
      </c>
      <c r="N189" s="177">
        <v>22000000</v>
      </c>
      <c r="O189" s="174" t="s">
        <v>282</v>
      </c>
      <c r="P189" s="174" t="s">
        <v>283</v>
      </c>
      <c r="Q189" s="174" t="s">
        <v>284</v>
      </c>
      <c r="R189" s="174" t="s">
        <v>283</v>
      </c>
      <c r="S189" s="174" t="s">
        <v>283</v>
      </c>
      <c r="T189" s="175">
        <v>0</v>
      </c>
    </row>
    <row r="190" spans="1:20" x14ac:dyDescent="0.2">
      <c r="A190" s="169">
        <v>627</v>
      </c>
      <c r="B190" s="168" t="s">
        <v>8</v>
      </c>
      <c r="C190" s="168" t="s">
        <v>25</v>
      </c>
      <c r="D190" s="173">
        <v>45716</v>
      </c>
      <c r="E190" s="174" t="s">
        <v>273</v>
      </c>
      <c r="F190" s="174" t="s">
        <v>375</v>
      </c>
      <c r="G190" s="174" t="s">
        <v>336</v>
      </c>
      <c r="H190" s="174" t="s">
        <v>436</v>
      </c>
      <c r="I190" s="174" t="s">
        <v>437</v>
      </c>
      <c r="J190" s="174" t="s">
        <v>278</v>
      </c>
      <c r="K190" s="174" t="s">
        <v>279</v>
      </c>
      <c r="L190" s="174" t="s">
        <v>280</v>
      </c>
      <c r="M190" s="174" t="s">
        <v>281</v>
      </c>
      <c r="N190" s="177">
        <v>7820000</v>
      </c>
      <c r="O190" s="174" t="s">
        <v>282</v>
      </c>
      <c r="P190" s="174" t="s">
        <v>283</v>
      </c>
      <c r="Q190" s="174" t="s">
        <v>284</v>
      </c>
      <c r="R190" s="174" t="s">
        <v>283</v>
      </c>
      <c r="S190" s="174" t="s">
        <v>283</v>
      </c>
      <c r="T190" s="175">
        <v>0</v>
      </c>
    </row>
    <row r="191" spans="1:20" x14ac:dyDescent="0.2">
      <c r="B191" s="168" t="s">
        <v>221</v>
      </c>
      <c r="C191" s="168" t="s">
        <v>22</v>
      </c>
      <c r="D191" s="173">
        <v>45716</v>
      </c>
      <c r="E191" s="174" t="s">
        <v>273</v>
      </c>
      <c r="F191" s="174" t="s">
        <v>274</v>
      </c>
      <c r="G191" s="174" t="s">
        <v>275</v>
      </c>
      <c r="H191" s="174" t="s">
        <v>443</v>
      </c>
      <c r="I191" s="174" t="s">
        <v>444</v>
      </c>
      <c r="J191" s="174" t="s">
        <v>278</v>
      </c>
      <c r="K191" s="174" t="s">
        <v>279</v>
      </c>
      <c r="L191" s="174" t="s">
        <v>280</v>
      </c>
      <c r="M191" s="174" t="s">
        <v>281</v>
      </c>
      <c r="N191" s="177">
        <v>225000000</v>
      </c>
      <c r="O191" s="174" t="s">
        <v>282</v>
      </c>
      <c r="P191" s="174" t="s">
        <v>283</v>
      </c>
      <c r="Q191" s="174" t="s">
        <v>284</v>
      </c>
      <c r="R191" s="174" t="s">
        <v>283</v>
      </c>
      <c r="S191" s="174" t="s">
        <v>283</v>
      </c>
      <c r="T191" s="175">
        <v>0</v>
      </c>
    </row>
    <row r="192" spans="1:20" x14ac:dyDescent="0.2">
      <c r="A192" s="169">
        <v>622</v>
      </c>
      <c r="B192" s="168" t="s">
        <v>8</v>
      </c>
      <c r="C192" s="168" t="s">
        <v>22</v>
      </c>
      <c r="D192" s="173">
        <v>45716</v>
      </c>
      <c r="E192" s="174" t="s">
        <v>273</v>
      </c>
      <c r="F192" s="174" t="s">
        <v>400</v>
      </c>
      <c r="G192" s="174" t="s">
        <v>401</v>
      </c>
      <c r="H192" s="174" t="s">
        <v>441</v>
      </c>
      <c r="I192" s="174" t="s">
        <v>442</v>
      </c>
      <c r="J192" s="174" t="s">
        <v>278</v>
      </c>
      <c r="K192" s="174" t="s">
        <v>279</v>
      </c>
      <c r="L192" s="174" t="s">
        <v>280</v>
      </c>
      <c r="M192" s="174" t="s">
        <v>281</v>
      </c>
      <c r="N192" s="177">
        <v>15768731</v>
      </c>
      <c r="O192" s="174" t="s">
        <v>282</v>
      </c>
      <c r="P192" s="174" t="s">
        <v>283</v>
      </c>
      <c r="Q192" s="174" t="s">
        <v>284</v>
      </c>
      <c r="R192" s="174" t="s">
        <v>283</v>
      </c>
      <c r="S192" s="174" t="s">
        <v>283</v>
      </c>
      <c r="T192" s="175">
        <v>0</v>
      </c>
    </row>
    <row r="193" spans="1:20" x14ac:dyDescent="0.2">
      <c r="A193" s="169">
        <v>622</v>
      </c>
      <c r="B193" s="168" t="s">
        <v>8</v>
      </c>
      <c r="C193" s="168" t="s">
        <v>22</v>
      </c>
      <c r="D193" s="173">
        <v>45716</v>
      </c>
      <c r="E193" s="174" t="s">
        <v>273</v>
      </c>
      <c r="F193" s="174" t="s">
        <v>420</v>
      </c>
      <c r="G193" s="174" t="s">
        <v>286</v>
      </c>
      <c r="H193" s="174" t="s">
        <v>441</v>
      </c>
      <c r="I193" s="174" t="s">
        <v>442</v>
      </c>
      <c r="J193" s="174" t="s">
        <v>278</v>
      </c>
      <c r="K193" s="174" t="s">
        <v>279</v>
      </c>
      <c r="L193" s="174" t="s">
        <v>280</v>
      </c>
      <c r="M193" s="174" t="s">
        <v>281</v>
      </c>
      <c r="N193" s="177">
        <v>214154</v>
      </c>
      <c r="O193" s="174" t="s">
        <v>282</v>
      </c>
      <c r="P193" s="174" t="s">
        <v>283</v>
      </c>
      <c r="Q193" s="174" t="s">
        <v>284</v>
      </c>
      <c r="R193" s="174" t="s">
        <v>283</v>
      </c>
      <c r="S193" s="174" t="s">
        <v>283</v>
      </c>
      <c r="T193" s="175">
        <v>0</v>
      </c>
    </row>
    <row r="194" spans="1:20" x14ac:dyDescent="0.2">
      <c r="A194" s="169">
        <v>622</v>
      </c>
      <c r="B194" s="168" t="s">
        <v>8</v>
      </c>
      <c r="C194" s="168" t="s">
        <v>25</v>
      </c>
      <c r="D194" s="173">
        <v>45716</v>
      </c>
      <c r="E194" s="174" t="s">
        <v>273</v>
      </c>
      <c r="F194" s="174" t="s">
        <v>421</v>
      </c>
      <c r="G194" s="174" t="s">
        <v>341</v>
      </c>
      <c r="H194" s="174" t="s">
        <v>441</v>
      </c>
      <c r="I194" s="174" t="s">
        <v>442</v>
      </c>
      <c r="J194" s="174" t="s">
        <v>278</v>
      </c>
      <c r="K194" s="174" t="s">
        <v>279</v>
      </c>
      <c r="L194" s="174" t="s">
        <v>280</v>
      </c>
      <c r="M194" s="174" t="s">
        <v>281</v>
      </c>
      <c r="N194" s="177">
        <v>1247100</v>
      </c>
      <c r="O194" s="174" t="s">
        <v>282</v>
      </c>
      <c r="P194" s="174" t="s">
        <v>283</v>
      </c>
      <c r="Q194" s="174" t="s">
        <v>284</v>
      </c>
      <c r="R194" s="174" t="s">
        <v>283</v>
      </c>
      <c r="S194" s="174" t="s">
        <v>283</v>
      </c>
      <c r="T194" s="175">
        <v>0</v>
      </c>
    </row>
    <row r="195" spans="1:20" x14ac:dyDescent="0.2">
      <c r="A195" s="169">
        <v>622</v>
      </c>
      <c r="B195" s="168" t="s">
        <v>8</v>
      </c>
      <c r="C195" s="168" t="s">
        <v>23</v>
      </c>
      <c r="D195" s="173">
        <v>45716</v>
      </c>
      <c r="E195" s="174" t="s">
        <v>273</v>
      </c>
      <c r="F195" s="174" t="s">
        <v>422</v>
      </c>
      <c r="G195" s="174" t="s">
        <v>423</v>
      </c>
      <c r="H195" s="174" t="s">
        <v>441</v>
      </c>
      <c r="I195" s="174" t="s">
        <v>442</v>
      </c>
      <c r="J195" s="174" t="s">
        <v>278</v>
      </c>
      <c r="K195" s="174" t="s">
        <v>279</v>
      </c>
      <c r="L195" s="174" t="s">
        <v>280</v>
      </c>
      <c r="M195" s="174" t="s">
        <v>281</v>
      </c>
      <c r="N195" s="177">
        <v>2988232</v>
      </c>
      <c r="O195" s="174" t="s">
        <v>282</v>
      </c>
      <c r="P195" s="174" t="s">
        <v>283</v>
      </c>
      <c r="Q195" s="174" t="s">
        <v>284</v>
      </c>
      <c r="R195" s="174" t="s">
        <v>283</v>
      </c>
      <c r="S195" s="174" t="s">
        <v>283</v>
      </c>
      <c r="T195" s="175">
        <v>0</v>
      </c>
    </row>
    <row r="196" spans="1:20" x14ac:dyDescent="0.2">
      <c r="A196" s="169">
        <v>622</v>
      </c>
      <c r="B196" s="168" t="s">
        <v>8</v>
      </c>
      <c r="C196" s="168" t="s">
        <v>24</v>
      </c>
      <c r="D196" s="173">
        <v>45716</v>
      </c>
      <c r="E196" s="174" t="s">
        <v>273</v>
      </c>
      <c r="F196" s="174" t="s">
        <v>424</v>
      </c>
      <c r="G196" s="174" t="s">
        <v>291</v>
      </c>
      <c r="H196" s="174" t="s">
        <v>441</v>
      </c>
      <c r="I196" s="174" t="s">
        <v>442</v>
      </c>
      <c r="J196" s="174" t="s">
        <v>278</v>
      </c>
      <c r="K196" s="174" t="s">
        <v>279</v>
      </c>
      <c r="L196" s="174" t="s">
        <v>280</v>
      </c>
      <c r="M196" s="174" t="s">
        <v>281</v>
      </c>
      <c r="N196" s="177">
        <v>1000000</v>
      </c>
      <c r="O196" s="174" t="s">
        <v>282</v>
      </c>
      <c r="P196" s="174" t="s">
        <v>283</v>
      </c>
      <c r="Q196" s="174" t="s">
        <v>284</v>
      </c>
      <c r="R196" s="174" t="s">
        <v>283</v>
      </c>
      <c r="S196" s="174" t="s">
        <v>283</v>
      </c>
      <c r="T196" s="175">
        <v>0</v>
      </c>
    </row>
    <row r="197" spans="1:20" x14ac:dyDescent="0.2">
      <c r="A197" s="169">
        <v>622</v>
      </c>
      <c r="B197" s="168" t="s">
        <v>8</v>
      </c>
      <c r="C197" s="168" t="s">
        <v>25</v>
      </c>
      <c r="D197" s="173">
        <v>45716</v>
      </c>
      <c r="E197" s="174" t="s">
        <v>273</v>
      </c>
      <c r="F197" s="174" t="s">
        <v>414</v>
      </c>
      <c r="G197" s="174" t="s">
        <v>415</v>
      </c>
      <c r="H197" s="174" t="s">
        <v>441</v>
      </c>
      <c r="I197" s="174" t="s">
        <v>442</v>
      </c>
      <c r="J197" s="174" t="s">
        <v>278</v>
      </c>
      <c r="K197" s="174" t="s">
        <v>279</v>
      </c>
      <c r="L197" s="174" t="s">
        <v>280</v>
      </c>
      <c r="M197" s="174" t="s">
        <v>281</v>
      </c>
      <c r="N197" s="177">
        <v>310000</v>
      </c>
      <c r="O197" s="174" t="s">
        <v>282</v>
      </c>
      <c r="P197" s="174" t="s">
        <v>283</v>
      </c>
      <c r="Q197" s="174" t="s">
        <v>284</v>
      </c>
      <c r="R197" s="174" t="s">
        <v>283</v>
      </c>
      <c r="S197" s="174" t="s">
        <v>283</v>
      </c>
      <c r="T197" s="175">
        <v>0</v>
      </c>
    </row>
    <row r="198" spans="1:20" x14ac:dyDescent="0.2">
      <c r="A198" s="169">
        <v>627</v>
      </c>
      <c r="B198" s="168" t="s">
        <v>8</v>
      </c>
      <c r="C198" s="168" t="s">
        <v>170</v>
      </c>
      <c r="D198" s="173">
        <v>45716</v>
      </c>
      <c r="E198" s="174" t="s">
        <v>294</v>
      </c>
      <c r="F198" s="174" t="s">
        <v>393</v>
      </c>
      <c r="G198" s="174" t="s">
        <v>296</v>
      </c>
      <c r="H198" s="174" t="s">
        <v>436</v>
      </c>
      <c r="I198" s="174" t="s">
        <v>437</v>
      </c>
      <c r="J198" s="174" t="s">
        <v>297</v>
      </c>
      <c r="K198" s="174" t="s">
        <v>279</v>
      </c>
      <c r="L198" s="174" t="s">
        <v>280</v>
      </c>
      <c r="M198" s="174" t="s">
        <v>281</v>
      </c>
      <c r="N198" s="177">
        <v>64832035</v>
      </c>
      <c r="O198" s="174" t="s">
        <v>298</v>
      </c>
      <c r="P198" s="174" t="s">
        <v>283</v>
      </c>
      <c r="Q198" s="174" t="s">
        <v>284</v>
      </c>
      <c r="R198" s="174" t="s">
        <v>283</v>
      </c>
      <c r="S198" s="174" t="s">
        <v>283</v>
      </c>
      <c r="T198" s="175">
        <v>0</v>
      </c>
    </row>
    <row r="199" spans="1:20" x14ac:dyDescent="0.2">
      <c r="A199" s="169">
        <v>622</v>
      </c>
      <c r="B199" s="168" t="s">
        <v>8</v>
      </c>
      <c r="C199" s="168" t="s">
        <v>170</v>
      </c>
      <c r="D199" s="173">
        <v>45716</v>
      </c>
      <c r="E199" s="174" t="s">
        <v>294</v>
      </c>
      <c r="F199" s="174" t="s">
        <v>425</v>
      </c>
      <c r="G199" s="174" t="s">
        <v>296</v>
      </c>
      <c r="H199" s="174" t="s">
        <v>441</v>
      </c>
      <c r="I199" s="174" t="s">
        <v>442</v>
      </c>
      <c r="J199" s="174" t="s">
        <v>297</v>
      </c>
      <c r="K199" s="174" t="s">
        <v>279</v>
      </c>
      <c r="L199" s="174" t="s">
        <v>280</v>
      </c>
      <c r="M199" s="174" t="s">
        <v>281</v>
      </c>
      <c r="N199" s="177">
        <v>2604740</v>
      </c>
      <c r="O199" s="174" t="s">
        <v>298</v>
      </c>
      <c r="P199" s="174" t="s">
        <v>283</v>
      </c>
      <c r="Q199" s="174" t="s">
        <v>284</v>
      </c>
      <c r="R199" s="174" t="s">
        <v>283</v>
      </c>
      <c r="S199" s="174" t="s">
        <v>283</v>
      </c>
      <c r="T199" s="175">
        <v>0</v>
      </c>
    </row>
    <row r="200" spans="1:20" x14ac:dyDescent="0.2">
      <c r="A200" s="169">
        <v>627</v>
      </c>
      <c r="B200" s="168" t="s">
        <v>8</v>
      </c>
      <c r="C200" s="168" t="s">
        <v>170</v>
      </c>
      <c r="D200" s="173">
        <v>45716</v>
      </c>
      <c r="E200" s="174" t="s">
        <v>294</v>
      </c>
      <c r="F200" s="174" t="s">
        <v>393</v>
      </c>
      <c r="G200" s="174" t="s">
        <v>296</v>
      </c>
      <c r="H200" s="174" t="s">
        <v>436</v>
      </c>
      <c r="I200" s="174" t="s">
        <v>437</v>
      </c>
      <c r="J200" s="174" t="s">
        <v>297</v>
      </c>
      <c r="K200" s="174" t="s">
        <v>279</v>
      </c>
      <c r="L200" s="174" t="s">
        <v>280</v>
      </c>
      <c r="M200" s="174" t="s">
        <v>281</v>
      </c>
      <c r="N200" s="177">
        <v>4000170</v>
      </c>
      <c r="O200" s="174" t="s">
        <v>298</v>
      </c>
      <c r="P200" s="174" t="s">
        <v>283</v>
      </c>
      <c r="Q200" s="174" t="s">
        <v>284</v>
      </c>
      <c r="R200" s="174" t="s">
        <v>283</v>
      </c>
      <c r="S200" s="174" t="s">
        <v>283</v>
      </c>
      <c r="T200" s="175">
        <v>0</v>
      </c>
    </row>
    <row r="201" spans="1:20" x14ac:dyDescent="0.2">
      <c r="A201" s="169">
        <v>627</v>
      </c>
      <c r="B201" s="168" t="s">
        <v>8</v>
      </c>
      <c r="C201" s="168" t="s">
        <v>22</v>
      </c>
      <c r="D201" s="173">
        <v>45716</v>
      </c>
      <c r="E201" s="174" t="s">
        <v>287</v>
      </c>
      <c r="F201" s="174" t="s">
        <v>388</v>
      </c>
      <c r="G201" s="174" t="s">
        <v>286</v>
      </c>
      <c r="H201" s="174" t="s">
        <v>436</v>
      </c>
      <c r="I201" s="174" t="s">
        <v>437</v>
      </c>
      <c r="J201" s="174" t="s">
        <v>288</v>
      </c>
      <c r="K201" s="174" t="s">
        <v>279</v>
      </c>
      <c r="L201" s="174" t="s">
        <v>280</v>
      </c>
      <c r="M201" s="174" t="s">
        <v>281</v>
      </c>
      <c r="N201" s="177">
        <v>31649112</v>
      </c>
      <c r="O201" s="174" t="s">
        <v>289</v>
      </c>
      <c r="P201" s="174" t="s">
        <v>283</v>
      </c>
      <c r="Q201" s="174" t="s">
        <v>284</v>
      </c>
      <c r="R201" s="174" t="s">
        <v>283</v>
      </c>
      <c r="S201" s="174" t="s">
        <v>283</v>
      </c>
      <c r="T201" s="175">
        <v>0</v>
      </c>
    </row>
    <row r="202" spans="1:20" x14ac:dyDescent="0.2">
      <c r="A202" s="169">
        <v>627</v>
      </c>
      <c r="B202" s="168" t="s">
        <v>8</v>
      </c>
      <c r="C202" s="168" t="s">
        <v>24</v>
      </c>
      <c r="D202" s="173">
        <v>45716</v>
      </c>
      <c r="E202" s="174" t="s">
        <v>287</v>
      </c>
      <c r="F202" s="174" t="s">
        <v>395</v>
      </c>
      <c r="G202" s="174" t="s">
        <v>77</v>
      </c>
      <c r="H202" s="174" t="s">
        <v>436</v>
      </c>
      <c r="I202" s="174" t="s">
        <v>437</v>
      </c>
      <c r="J202" s="174" t="s">
        <v>293</v>
      </c>
      <c r="K202" s="174" t="s">
        <v>279</v>
      </c>
      <c r="L202" s="174" t="s">
        <v>280</v>
      </c>
      <c r="M202" s="174" t="s">
        <v>281</v>
      </c>
      <c r="N202" s="177">
        <v>18942115</v>
      </c>
      <c r="O202" s="174" t="s">
        <v>289</v>
      </c>
      <c r="P202" s="174" t="s">
        <v>283</v>
      </c>
      <c r="Q202" s="174" t="s">
        <v>284</v>
      </c>
      <c r="R202" s="174" t="s">
        <v>283</v>
      </c>
      <c r="S202" s="174" t="s">
        <v>283</v>
      </c>
      <c r="T202" s="175">
        <v>0</v>
      </c>
    </row>
    <row r="203" spans="1:20" x14ac:dyDescent="0.2">
      <c r="B203" s="168" t="s">
        <v>221</v>
      </c>
      <c r="C203" s="168" t="s">
        <v>22</v>
      </c>
      <c r="D203" s="173">
        <v>45716</v>
      </c>
      <c r="E203" s="174" t="s">
        <v>287</v>
      </c>
      <c r="F203" s="174" t="s">
        <v>285</v>
      </c>
      <c r="G203" s="174" t="s">
        <v>286</v>
      </c>
      <c r="H203" s="174" t="s">
        <v>443</v>
      </c>
      <c r="I203" s="174" t="s">
        <v>444</v>
      </c>
      <c r="J203" s="174" t="s">
        <v>288</v>
      </c>
      <c r="K203" s="174" t="s">
        <v>279</v>
      </c>
      <c r="L203" s="174" t="s">
        <v>280</v>
      </c>
      <c r="M203" s="174" t="s">
        <v>281</v>
      </c>
      <c r="N203" s="177">
        <v>18750000</v>
      </c>
      <c r="O203" s="174" t="s">
        <v>289</v>
      </c>
      <c r="P203" s="174" t="s">
        <v>283</v>
      </c>
      <c r="Q203" s="174" t="s">
        <v>284</v>
      </c>
      <c r="R203" s="174" t="s">
        <v>283</v>
      </c>
      <c r="S203" s="174" t="s">
        <v>283</v>
      </c>
      <c r="T203" s="175">
        <v>0</v>
      </c>
    </row>
    <row r="204" spans="1:20" x14ac:dyDescent="0.2">
      <c r="B204" s="168" t="s">
        <v>221</v>
      </c>
      <c r="C204" s="168" t="s">
        <v>24</v>
      </c>
      <c r="D204" s="173">
        <v>45716</v>
      </c>
      <c r="E204" s="174" t="s">
        <v>287</v>
      </c>
      <c r="F204" s="174" t="s">
        <v>292</v>
      </c>
      <c r="G204" s="174" t="s">
        <v>77</v>
      </c>
      <c r="H204" s="174" t="s">
        <v>443</v>
      </c>
      <c r="I204" s="174" t="s">
        <v>444</v>
      </c>
      <c r="J204" s="174" t="s">
        <v>293</v>
      </c>
      <c r="K204" s="174" t="s">
        <v>279</v>
      </c>
      <c r="L204" s="174" t="s">
        <v>280</v>
      </c>
      <c r="M204" s="174" t="s">
        <v>281</v>
      </c>
      <c r="N204" s="177">
        <v>17249850</v>
      </c>
      <c r="O204" s="174" t="s">
        <v>289</v>
      </c>
      <c r="P204" s="174" t="s">
        <v>283</v>
      </c>
      <c r="Q204" s="174" t="s">
        <v>284</v>
      </c>
      <c r="R204" s="174" t="s">
        <v>283</v>
      </c>
      <c r="S204" s="174" t="s">
        <v>283</v>
      </c>
      <c r="T204" s="175">
        <v>0</v>
      </c>
    </row>
    <row r="205" spans="1:20" x14ac:dyDescent="0.2">
      <c r="A205" s="169">
        <v>622</v>
      </c>
      <c r="B205" s="168" t="s">
        <v>8</v>
      </c>
      <c r="C205" s="168" t="s">
        <v>22</v>
      </c>
      <c r="D205" s="173">
        <v>45716</v>
      </c>
      <c r="E205" s="174" t="s">
        <v>287</v>
      </c>
      <c r="F205" s="174" t="s">
        <v>420</v>
      </c>
      <c r="G205" s="174" t="s">
        <v>286</v>
      </c>
      <c r="H205" s="174" t="s">
        <v>441</v>
      </c>
      <c r="I205" s="174" t="s">
        <v>442</v>
      </c>
      <c r="J205" s="174" t="s">
        <v>288</v>
      </c>
      <c r="K205" s="174" t="s">
        <v>279</v>
      </c>
      <c r="L205" s="174" t="s">
        <v>280</v>
      </c>
      <c r="M205" s="174" t="s">
        <v>281</v>
      </c>
      <c r="N205" s="177">
        <v>1176360</v>
      </c>
      <c r="O205" s="174" t="s">
        <v>289</v>
      </c>
      <c r="P205" s="174" t="s">
        <v>283</v>
      </c>
      <c r="Q205" s="174" t="s">
        <v>284</v>
      </c>
      <c r="R205" s="174" t="s">
        <v>283</v>
      </c>
      <c r="S205" s="174" t="s">
        <v>283</v>
      </c>
      <c r="T205" s="175">
        <v>0</v>
      </c>
    </row>
    <row r="206" spans="1:20" x14ac:dyDescent="0.2">
      <c r="A206" s="169">
        <v>622</v>
      </c>
      <c r="B206" s="168" t="s">
        <v>8</v>
      </c>
      <c r="C206" s="168" t="s">
        <v>24</v>
      </c>
      <c r="D206" s="173">
        <v>45716</v>
      </c>
      <c r="E206" s="174" t="s">
        <v>287</v>
      </c>
      <c r="F206" s="174" t="s">
        <v>426</v>
      </c>
      <c r="G206" s="174" t="s">
        <v>77</v>
      </c>
      <c r="H206" s="174" t="s">
        <v>441</v>
      </c>
      <c r="I206" s="174" t="s">
        <v>442</v>
      </c>
      <c r="J206" s="174" t="s">
        <v>293</v>
      </c>
      <c r="K206" s="174" t="s">
        <v>279</v>
      </c>
      <c r="L206" s="174" t="s">
        <v>280</v>
      </c>
      <c r="M206" s="174" t="s">
        <v>281</v>
      </c>
      <c r="N206" s="177">
        <v>157016</v>
      </c>
      <c r="O206" s="174" t="s">
        <v>289</v>
      </c>
      <c r="P206" s="174" t="s">
        <v>283</v>
      </c>
      <c r="Q206" s="174" t="s">
        <v>284</v>
      </c>
      <c r="R206" s="174" t="s">
        <v>283</v>
      </c>
      <c r="S206" s="174" t="s">
        <v>283</v>
      </c>
      <c r="T206" s="175">
        <v>0</v>
      </c>
    </row>
    <row r="207" spans="1:20" x14ac:dyDescent="0.2">
      <c r="A207" s="169">
        <v>627</v>
      </c>
      <c r="B207" s="168" t="s">
        <v>8</v>
      </c>
      <c r="C207" s="168" t="s">
        <v>222</v>
      </c>
      <c r="D207" s="173">
        <v>45698</v>
      </c>
      <c r="E207" s="174" t="s">
        <v>445</v>
      </c>
      <c r="F207" s="174" t="s">
        <v>435</v>
      </c>
      <c r="G207" s="174" t="s">
        <v>222</v>
      </c>
      <c r="H207" s="174" t="s">
        <v>436</v>
      </c>
      <c r="I207" s="174" t="s">
        <v>437</v>
      </c>
      <c r="J207" s="174" t="s">
        <v>438</v>
      </c>
      <c r="K207" s="174" t="s">
        <v>439</v>
      </c>
      <c r="L207" s="174" t="s">
        <v>280</v>
      </c>
      <c r="M207" s="174" t="s">
        <v>281</v>
      </c>
      <c r="N207" s="177">
        <v>-7500000</v>
      </c>
      <c r="O207" s="174" t="s">
        <v>446</v>
      </c>
      <c r="P207" s="174" t="s">
        <v>447</v>
      </c>
      <c r="Q207" s="174" t="s">
        <v>284</v>
      </c>
      <c r="R207" s="174" t="s">
        <v>283</v>
      </c>
      <c r="S207" s="174" t="s">
        <v>283</v>
      </c>
      <c r="T207" s="175">
        <v>0</v>
      </c>
    </row>
    <row r="208" spans="1:20" x14ac:dyDescent="0.2">
      <c r="A208" s="169">
        <v>627</v>
      </c>
      <c r="B208" s="168" t="s">
        <v>8</v>
      </c>
      <c r="C208" s="168" t="s">
        <v>222</v>
      </c>
      <c r="D208" s="173">
        <v>45698</v>
      </c>
      <c r="E208" s="174" t="s">
        <v>448</v>
      </c>
      <c r="F208" s="174" t="s">
        <v>435</v>
      </c>
      <c r="G208" s="174" t="s">
        <v>222</v>
      </c>
      <c r="H208" s="174" t="s">
        <v>436</v>
      </c>
      <c r="I208" s="174" t="s">
        <v>437</v>
      </c>
      <c r="J208" s="174" t="s">
        <v>438</v>
      </c>
      <c r="K208" s="174" t="s">
        <v>449</v>
      </c>
      <c r="L208" s="174" t="s">
        <v>280</v>
      </c>
      <c r="M208" s="174" t="s">
        <v>281</v>
      </c>
      <c r="N208" s="177">
        <v>7500000</v>
      </c>
      <c r="O208" s="174" t="s">
        <v>450</v>
      </c>
      <c r="P208" s="174" t="s">
        <v>283</v>
      </c>
      <c r="Q208" s="174" t="s">
        <v>325</v>
      </c>
      <c r="R208" s="174" t="s">
        <v>283</v>
      </c>
      <c r="S208" s="174" t="s">
        <v>283</v>
      </c>
      <c r="T208" s="175">
        <v>0</v>
      </c>
    </row>
    <row r="209" spans="1:20" x14ac:dyDescent="0.2">
      <c r="A209" s="169">
        <v>627</v>
      </c>
      <c r="B209" s="168" t="s">
        <v>8</v>
      </c>
      <c r="C209" s="168" t="s">
        <v>222</v>
      </c>
      <c r="D209" s="173">
        <v>45698</v>
      </c>
      <c r="E209" s="174" t="s">
        <v>451</v>
      </c>
      <c r="F209" s="174" t="s">
        <v>435</v>
      </c>
      <c r="G209" s="174" t="s">
        <v>222</v>
      </c>
      <c r="H209" s="174" t="s">
        <v>436</v>
      </c>
      <c r="I209" s="174" t="s">
        <v>437</v>
      </c>
      <c r="J209" s="174" t="s">
        <v>438</v>
      </c>
      <c r="K209" s="174" t="s">
        <v>449</v>
      </c>
      <c r="L209" s="174" t="s">
        <v>280</v>
      </c>
      <c r="M209" s="174" t="s">
        <v>281</v>
      </c>
      <c r="N209" s="177">
        <v>-7500000</v>
      </c>
      <c r="O209" s="174" t="s">
        <v>452</v>
      </c>
      <c r="P209" s="174" t="s">
        <v>447</v>
      </c>
      <c r="Q209" s="174" t="s">
        <v>284</v>
      </c>
      <c r="R209" s="174" t="s">
        <v>283</v>
      </c>
      <c r="S209" s="174" t="s">
        <v>283</v>
      </c>
      <c r="T209" s="175">
        <v>0</v>
      </c>
    </row>
    <row r="210" spans="1:20" x14ac:dyDescent="0.2">
      <c r="A210" s="169">
        <v>627</v>
      </c>
      <c r="B210" s="168" t="s">
        <v>8</v>
      </c>
      <c r="C210" s="168" t="s">
        <v>222</v>
      </c>
      <c r="D210" s="173">
        <v>45698</v>
      </c>
      <c r="E210" s="174" t="s">
        <v>453</v>
      </c>
      <c r="F210" s="174" t="s">
        <v>435</v>
      </c>
      <c r="G210" s="174" t="s">
        <v>222</v>
      </c>
      <c r="H210" s="174" t="s">
        <v>436</v>
      </c>
      <c r="I210" s="174" t="s">
        <v>437</v>
      </c>
      <c r="J210" s="174" t="s">
        <v>438</v>
      </c>
      <c r="K210" s="174" t="s">
        <v>449</v>
      </c>
      <c r="L210" s="174" t="s">
        <v>280</v>
      </c>
      <c r="M210" s="174" t="s">
        <v>281</v>
      </c>
      <c r="N210" s="177">
        <v>7500000</v>
      </c>
      <c r="O210" s="174" t="s">
        <v>454</v>
      </c>
      <c r="P210" s="174" t="s">
        <v>283</v>
      </c>
      <c r="Q210" s="174" t="s">
        <v>325</v>
      </c>
      <c r="R210" s="174" t="s">
        <v>283</v>
      </c>
      <c r="S210" s="174" t="s">
        <v>283</v>
      </c>
      <c r="T210" s="175">
        <v>0</v>
      </c>
    </row>
    <row r="211" spans="1:20" x14ac:dyDescent="0.2">
      <c r="B211" s="168" t="s">
        <v>0</v>
      </c>
      <c r="C211" s="168" t="s">
        <v>22</v>
      </c>
      <c r="D211" s="173">
        <v>45688</v>
      </c>
      <c r="E211" s="174" t="s">
        <v>455</v>
      </c>
      <c r="F211" s="174" t="s">
        <v>274</v>
      </c>
      <c r="G211" s="174" t="s">
        <v>275</v>
      </c>
      <c r="H211" s="174" t="s">
        <v>276</v>
      </c>
      <c r="I211" s="174" t="s">
        <v>277</v>
      </c>
      <c r="J211" s="174" t="s">
        <v>456</v>
      </c>
      <c r="K211" s="174" t="s">
        <v>457</v>
      </c>
      <c r="L211" s="174" t="s">
        <v>458</v>
      </c>
      <c r="M211" s="174" t="s">
        <v>281</v>
      </c>
      <c r="N211" s="177">
        <v>1133420318</v>
      </c>
      <c r="O211" s="174" t="s">
        <v>459</v>
      </c>
      <c r="P211" s="174" t="s">
        <v>283</v>
      </c>
      <c r="Q211" s="174" t="s">
        <v>284</v>
      </c>
      <c r="R211" s="174" t="s">
        <v>283</v>
      </c>
      <c r="S211" s="174" t="s">
        <v>283</v>
      </c>
      <c r="T211" s="175">
        <v>0</v>
      </c>
    </row>
    <row r="212" spans="1:20" x14ac:dyDescent="0.2">
      <c r="B212" s="168" t="s">
        <v>0</v>
      </c>
      <c r="C212" s="168" t="s">
        <v>22</v>
      </c>
      <c r="D212" s="173">
        <v>45688</v>
      </c>
      <c r="E212" s="174" t="s">
        <v>455</v>
      </c>
      <c r="F212" s="174" t="s">
        <v>285</v>
      </c>
      <c r="G212" s="174" t="s">
        <v>286</v>
      </c>
      <c r="H212" s="174" t="s">
        <v>276</v>
      </c>
      <c r="I212" s="174" t="s">
        <v>277</v>
      </c>
      <c r="J212" s="174" t="s">
        <v>456</v>
      </c>
      <c r="K212" s="174" t="s">
        <v>457</v>
      </c>
      <c r="L212" s="174" t="s">
        <v>458</v>
      </c>
      <c r="M212" s="174" t="s">
        <v>281</v>
      </c>
      <c r="N212" s="177">
        <v>37445455</v>
      </c>
      <c r="O212" s="174" t="s">
        <v>459</v>
      </c>
      <c r="P212" s="174" t="s">
        <v>283</v>
      </c>
      <c r="Q212" s="174" t="s">
        <v>284</v>
      </c>
      <c r="R212" s="174" t="s">
        <v>283</v>
      </c>
      <c r="S212" s="174" t="s">
        <v>283</v>
      </c>
      <c r="T212" s="175">
        <v>0</v>
      </c>
    </row>
    <row r="213" spans="1:20" x14ac:dyDescent="0.2">
      <c r="B213" s="168" t="s">
        <v>0</v>
      </c>
      <c r="C213" s="168" t="s">
        <v>22</v>
      </c>
      <c r="D213" s="173">
        <v>45688</v>
      </c>
      <c r="E213" s="174" t="s">
        <v>460</v>
      </c>
      <c r="F213" s="174" t="s">
        <v>285</v>
      </c>
      <c r="G213" s="174" t="s">
        <v>286</v>
      </c>
      <c r="H213" s="174" t="s">
        <v>276</v>
      </c>
      <c r="I213" s="174" t="s">
        <v>277</v>
      </c>
      <c r="J213" s="174" t="s">
        <v>461</v>
      </c>
      <c r="K213" s="174" t="s">
        <v>457</v>
      </c>
      <c r="L213" s="174" t="s">
        <v>458</v>
      </c>
      <c r="M213" s="174" t="s">
        <v>281</v>
      </c>
      <c r="N213" s="177">
        <v>93275083</v>
      </c>
      <c r="O213" s="174" t="s">
        <v>462</v>
      </c>
      <c r="P213" s="174" t="s">
        <v>283</v>
      </c>
      <c r="Q213" s="174" t="s">
        <v>284</v>
      </c>
      <c r="R213" s="174" t="s">
        <v>283</v>
      </c>
      <c r="S213" s="174" t="s">
        <v>283</v>
      </c>
      <c r="T213" s="175">
        <v>0</v>
      </c>
    </row>
    <row r="214" spans="1:20" x14ac:dyDescent="0.2">
      <c r="B214" s="168" t="s">
        <v>0</v>
      </c>
      <c r="C214" s="168" t="s">
        <v>24</v>
      </c>
      <c r="D214" s="173">
        <v>45688</v>
      </c>
      <c r="E214" s="174" t="s">
        <v>455</v>
      </c>
      <c r="F214" s="174" t="s">
        <v>290</v>
      </c>
      <c r="G214" s="174" t="s">
        <v>291</v>
      </c>
      <c r="H214" s="174" t="s">
        <v>276</v>
      </c>
      <c r="I214" s="174" t="s">
        <v>277</v>
      </c>
      <c r="J214" s="174" t="s">
        <v>456</v>
      </c>
      <c r="K214" s="174" t="s">
        <v>457</v>
      </c>
      <c r="L214" s="174" t="s">
        <v>458</v>
      </c>
      <c r="M214" s="174" t="s">
        <v>281</v>
      </c>
      <c r="N214" s="177">
        <v>2000000</v>
      </c>
      <c r="O214" s="174" t="s">
        <v>459</v>
      </c>
      <c r="P214" s="174" t="s">
        <v>283</v>
      </c>
      <c r="Q214" s="174" t="s">
        <v>284</v>
      </c>
      <c r="R214" s="174" t="s">
        <v>283</v>
      </c>
      <c r="S214" s="174" t="s">
        <v>283</v>
      </c>
      <c r="T214" s="175">
        <v>0</v>
      </c>
    </row>
    <row r="215" spans="1:20" x14ac:dyDescent="0.2">
      <c r="B215" s="168" t="s">
        <v>0</v>
      </c>
      <c r="C215" s="168" t="s">
        <v>24</v>
      </c>
      <c r="D215" s="173">
        <v>45688</v>
      </c>
      <c r="E215" s="174" t="s">
        <v>460</v>
      </c>
      <c r="F215" s="174" t="s">
        <v>292</v>
      </c>
      <c r="G215" s="174" t="s">
        <v>77</v>
      </c>
      <c r="H215" s="174" t="s">
        <v>276</v>
      </c>
      <c r="I215" s="174" t="s">
        <v>277</v>
      </c>
      <c r="J215" s="174" t="s">
        <v>463</v>
      </c>
      <c r="K215" s="174" t="s">
        <v>457</v>
      </c>
      <c r="L215" s="174" t="s">
        <v>458</v>
      </c>
      <c r="M215" s="174" t="s">
        <v>281</v>
      </c>
      <c r="N215" s="177">
        <v>85812330</v>
      </c>
      <c r="O215" s="174" t="s">
        <v>462</v>
      </c>
      <c r="P215" s="174" t="s">
        <v>283</v>
      </c>
      <c r="Q215" s="174" t="s">
        <v>284</v>
      </c>
      <c r="R215" s="174" t="s">
        <v>283</v>
      </c>
      <c r="S215" s="174" t="s">
        <v>283</v>
      </c>
      <c r="T215" s="175">
        <v>0</v>
      </c>
    </row>
    <row r="216" spans="1:20" x14ac:dyDescent="0.2">
      <c r="B216" s="168" t="s">
        <v>0</v>
      </c>
      <c r="C216" s="168" t="s">
        <v>170</v>
      </c>
      <c r="D216" s="173">
        <v>45688</v>
      </c>
      <c r="E216" s="174" t="s">
        <v>464</v>
      </c>
      <c r="F216" s="174" t="s">
        <v>295</v>
      </c>
      <c r="G216" s="174" t="s">
        <v>296</v>
      </c>
      <c r="H216" s="174" t="s">
        <v>276</v>
      </c>
      <c r="I216" s="174" t="s">
        <v>277</v>
      </c>
      <c r="J216" s="174" t="s">
        <v>465</v>
      </c>
      <c r="K216" s="174" t="s">
        <v>457</v>
      </c>
      <c r="L216" s="174" t="s">
        <v>458</v>
      </c>
      <c r="M216" s="174" t="s">
        <v>281</v>
      </c>
      <c r="N216" s="177">
        <v>101568010</v>
      </c>
      <c r="O216" s="174" t="s">
        <v>466</v>
      </c>
      <c r="P216" s="174" t="s">
        <v>283</v>
      </c>
      <c r="Q216" s="174" t="s">
        <v>284</v>
      </c>
      <c r="R216" s="174" t="s">
        <v>283</v>
      </c>
      <c r="S216" s="174" t="s">
        <v>283</v>
      </c>
      <c r="T216" s="175">
        <v>0</v>
      </c>
    </row>
    <row r="217" spans="1:20" x14ac:dyDescent="0.2">
      <c r="B217" s="168" t="s">
        <v>0</v>
      </c>
      <c r="C217" s="168" t="s">
        <v>170</v>
      </c>
      <c r="D217" s="173">
        <v>45688</v>
      </c>
      <c r="E217" s="174" t="s">
        <v>467</v>
      </c>
      <c r="F217" s="174" t="s">
        <v>295</v>
      </c>
      <c r="G217" s="174" t="s">
        <v>296</v>
      </c>
      <c r="H217" s="174" t="s">
        <v>276</v>
      </c>
      <c r="I217" s="174" t="s">
        <v>277</v>
      </c>
      <c r="J217" s="174" t="s">
        <v>465</v>
      </c>
      <c r="K217" s="174" t="s">
        <v>457</v>
      </c>
      <c r="L217" s="174" t="s">
        <v>458</v>
      </c>
      <c r="M217" s="174" t="s">
        <v>281</v>
      </c>
      <c r="N217" s="177">
        <v>101568010</v>
      </c>
      <c r="O217" s="174" t="s">
        <v>468</v>
      </c>
      <c r="P217" s="174" t="s">
        <v>283</v>
      </c>
      <c r="Q217" s="174" t="s">
        <v>284</v>
      </c>
      <c r="R217" s="174" t="s">
        <v>283</v>
      </c>
      <c r="S217" s="174" t="s">
        <v>283</v>
      </c>
      <c r="T217" s="175">
        <v>0</v>
      </c>
    </row>
    <row r="218" spans="1:20" x14ac:dyDescent="0.2">
      <c r="B218" s="168" t="s">
        <v>0</v>
      </c>
      <c r="C218" s="168" t="s">
        <v>170</v>
      </c>
      <c r="D218" s="173">
        <v>45688</v>
      </c>
      <c r="E218" s="174" t="s">
        <v>469</v>
      </c>
      <c r="F218" s="174" t="s">
        <v>295</v>
      </c>
      <c r="G218" s="174" t="s">
        <v>296</v>
      </c>
      <c r="H218" s="174" t="s">
        <v>276</v>
      </c>
      <c r="I218" s="174" t="s">
        <v>277</v>
      </c>
      <c r="J218" s="174" t="s">
        <v>465</v>
      </c>
      <c r="K218" s="174" t="s">
        <v>457</v>
      </c>
      <c r="L218" s="174" t="s">
        <v>458</v>
      </c>
      <c r="M218" s="174" t="s">
        <v>281</v>
      </c>
      <c r="N218" s="177">
        <v>-101568010</v>
      </c>
      <c r="O218" s="174" t="s">
        <v>470</v>
      </c>
      <c r="P218" s="174" t="s">
        <v>447</v>
      </c>
      <c r="Q218" s="174" t="s">
        <v>284</v>
      </c>
      <c r="R218" s="174" t="s">
        <v>283</v>
      </c>
      <c r="S218" s="174" t="s">
        <v>283</v>
      </c>
      <c r="T218" s="175">
        <v>0</v>
      </c>
    </row>
    <row r="219" spans="1:20" x14ac:dyDescent="0.2">
      <c r="B219" s="168" t="s">
        <v>5</v>
      </c>
      <c r="C219" s="168" t="s">
        <v>222</v>
      </c>
      <c r="D219" s="173">
        <v>45678</v>
      </c>
      <c r="E219" s="174" t="s">
        <v>471</v>
      </c>
      <c r="F219" s="174" t="s">
        <v>300</v>
      </c>
      <c r="G219" s="174" t="s">
        <v>222</v>
      </c>
      <c r="H219" s="174" t="s">
        <v>320</v>
      </c>
      <c r="I219" s="174" t="s">
        <v>321</v>
      </c>
      <c r="J219" s="174" t="s">
        <v>472</v>
      </c>
      <c r="K219" s="174" t="s">
        <v>473</v>
      </c>
      <c r="L219" s="174" t="s">
        <v>458</v>
      </c>
      <c r="M219" s="174" t="s">
        <v>281</v>
      </c>
      <c r="N219" s="177">
        <v>3292753</v>
      </c>
      <c r="O219" s="174" t="s">
        <v>474</v>
      </c>
      <c r="P219" s="174" t="s">
        <v>283</v>
      </c>
      <c r="Q219" s="174" t="s">
        <v>325</v>
      </c>
      <c r="R219" s="174" t="s">
        <v>283</v>
      </c>
      <c r="S219" s="174" t="s">
        <v>283</v>
      </c>
      <c r="T219" s="175">
        <v>0</v>
      </c>
    </row>
    <row r="220" spans="1:20" x14ac:dyDescent="0.2">
      <c r="B220" s="168" t="s">
        <v>5</v>
      </c>
      <c r="C220" s="168" t="s">
        <v>222</v>
      </c>
      <c r="D220" s="173">
        <v>45680</v>
      </c>
      <c r="E220" s="174" t="s">
        <v>475</v>
      </c>
      <c r="F220" s="174" t="s">
        <v>300</v>
      </c>
      <c r="G220" s="174" t="s">
        <v>222</v>
      </c>
      <c r="H220" s="174" t="s">
        <v>320</v>
      </c>
      <c r="I220" s="174" t="s">
        <v>321</v>
      </c>
      <c r="J220" s="174" t="s">
        <v>476</v>
      </c>
      <c r="K220" s="174" t="s">
        <v>477</v>
      </c>
      <c r="L220" s="174" t="s">
        <v>458</v>
      </c>
      <c r="M220" s="174" t="s">
        <v>281</v>
      </c>
      <c r="N220" s="177">
        <v>545636253</v>
      </c>
      <c r="O220" s="174" t="s">
        <v>478</v>
      </c>
      <c r="P220" s="174" t="s">
        <v>283</v>
      </c>
      <c r="Q220" s="174" t="s">
        <v>306</v>
      </c>
      <c r="R220" s="174" t="s">
        <v>283</v>
      </c>
      <c r="S220" s="174" t="s">
        <v>283</v>
      </c>
      <c r="T220" s="175">
        <v>0</v>
      </c>
    </row>
    <row r="221" spans="1:20" x14ac:dyDescent="0.2">
      <c r="B221" s="168" t="s">
        <v>5</v>
      </c>
      <c r="C221" s="168" t="s">
        <v>222</v>
      </c>
      <c r="D221" s="173">
        <v>45688</v>
      </c>
      <c r="E221" s="174" t="s">
        <v>479</v>
      </c>
      <c r="F221" s="174" t="s">
        <v>300</v>
      </c>
      <c r="G221" s="174" t="s">
        <v>222</v>
      </c>
      <c r="H221" s="174" t="s">
        <v>320</v>
      </c>
      <c r="I221" s="174" t="s">
        <v>321</v>
      </c>
      <c r="J221" s="174" t="s">
        <v>480</v>
      </c>
      <c r="K221" s="174" t="s">
        <v>481</v>
      </c>
      <c r="L221" s="174" t="s">
        <v>458</v>
      </c>
      <c r="M221" s="174" t="s">
        <v>281</v>
      </c>
      <c r="N221" s="177">
        <v>1500000</v>
      </c>
      <c r="O221" s="174" t="s">
        <v>482</v>
      </c>
      <c r="P221" s="174" t="s">
        <v>283</v>
      </c>
      <c r="Q221" s="174" t="s">
        <v>325</v>
      </c>
      <c r="R221" s="174" t="s">
        <v>283</v>
      </c>
      <c r="S221" s="174" t="s">
        <v>283</v>
      </c>
      <c r="T221" s="175">
        <v>0</v>
      </c>
    </row>
    <row r="222" spans="1:20" x14ac:dyDescent="0.2">
      <c r="B222" s="168" t="s">
        <v>9</v>
      </c>
      <c r="C222" s="168" t="s">
        <v>22</v>
      </c>
      <c r="D222" s="173">
        <v>45688</v>
      </c>
      <c r="E222" s="174" t="s">
        <v>483</v>
      </c>
      <c r="F222" s="174" t="s">
        <v>274</v>
      </c>
      <c r="G222" s="174" t="s">
        <v>275</v>
      </c>
      <c r="H222" s="174" t="s">
        <v>301</v>
      </c>
      <c r="I222" s="174" t="s">
        <v>302</v>
      </c>
      <c r="J222" s="174" t="s">
        <v>484</v>
      </c>
      <c r="K222" s="174" t="s">
        <v>328</v>
      </c>
      <c r="L222" s="174" t="s">
        <v>458</v>
      </c>
      <c r="M222" s="174" t="s">
        <v>281</v>
      </c>
      <c r="N222" s="177">
        <v>83314193</v>
      </c>
      <c r="O222" s="174" t="s">
        <v>485</v>
      </c>
      <c r="P222" s="174" t="s">
        <v>283</v>
      </c>
      <c r="Q222" s="174" t="s">
        <v>306</v>
      </c>
      <c r="R222" s="174" t="s">
        <v>283</v>
      </c>
      <c r="S222" s="174" t="s">
        <v>283</v>
      </c>
      <c r="T222" s="175">
        <v>0</v>
      </c>
    </row>
    <row r="223" spans="1:20" x14ac:dyDescent="0.2">
      <c r="B223" s="168" t="s">
        <v>9</v>
      </c>
      <c r="C223" s="168" t="s">
        <v>222</v>
      </c>
      <c r="D223" s="173">
        <v>45688</v>
      </c>
      <c r="E223" s="174" t="s">
        <v>486</v>
      </c>
      <c r="F223" s="174" t="s">
        <v>300</v>
      </c>
      <c r="G223" s="174" t="s">
        <v>222</v>
      </c>
      <c r="H223" s="174" t="s">
        <v>301</v>
      </c>
      <c r="I223" s="174" t="s">
        <v>302</v>
      </c>
      <c r="J223" s="174" t="s">
        <v>487</v>
      </c>
      <c r="K223" s="174" t="s">
        <v>488</v>
      </c>
      <c r="L223" s="174" t="s">
        <v>458</v>
      </c>
      <c r="M223" s="174" t="s">
        <v>281</v>
      </c>
      <c r="N223" s="177">
        <v>5400000</v>
      </c>
      <c r="O223" s="174" t="s">
        <v>489</v>
      </c>
      <c r="P223" s="174" t="s">
        <v>283</v>
      </c>
      <c r="Q223" s="174" t="s">
        <v>306</v>
      </c>
      <c r="R223" s="174" t="s">
        <v>283</v>
      </c>
      <c r="S223" s="174" t="s">
        <v>283</v>
      </c>
      <c r="T223" s="175">
        <v>0</v>
      </c>
    </row>
    <row r="224" spans="1:20" x14ac:dyDescent="0.2">
      <c r="B224" s="168" t="s">
        <v>9</v>
      </c>
      <c r="C224" s="168" t="s">
        <v>25</v>
      </c>
      <c r="D224" s="173">
        <v>45682</v>
      </c>
      <c r="E224" s="174" t="s">
        <v>490</v>
      </c>
      <c r="F224" s="174" t="s">
        <v>335</v>
      </c>
      <c r="G224" s="174" t="s">
        <v>336</v>
      </c>
      <c r="H224" s="174" t="s">
        <v>301</v>
      </c>
      <c r="I224" s="174" t="s">
        <v>302</v>
      </c>
      <c r="J224" s="174" t="s">
        <v>491</v>
      </c>
      <c r="K224" s="174" t="s">
        <v>338</v>
      </c>
      <c r="L224" s="174" t="s">
        <v>458</v>
      </c>
      <c r="M224" s="174" t="s">
        <v>281</v>
      </c>
      <c r="N224" s="177">
        <v>29450000</v>
      </c>
      <c r="O224" s="174" t="s">
        <v>492</v>
      </c>
      <c r="P224" s="174" t="s">
        <v>283</v>
      </c>
      <c r="Q224" s="174" t="s">
        <v>306</v>
      </c>
      <c r="R224" s="174" t="s">
        <v>283</v>
      </c>
      <c r="S224" s="174" t="s">
        <v>283</v>
      </c>
      <c r="T224" s="175">
        <v>0</v>
      </c>
    </row>
    <row r="225" spans="2:20" x14ac:dyDescent="0.2">
      <c r="B225" s="168" t="s">
        <v>5</v>
      </c>
      <c r="C225" s="168" t="s">
        <v>25</v>
      </c>
      <c r="D225" s="173">
        <v>45682</v>
      </c>
      <c r="E225" s="174" t="s">
        <v>490</v>
      </c>
      <c r="F225" s="174" t="s">
        <v>335</v>
      </c>
      <c r="G225" s="174" t="s">
        <v>336</v>
      </c>
      <c r="H225" s="174" t="s">
        <v>320</v>
      </c>
      <c r="I225" s="174" t="s">
        <v>321</v>
      </c>
      <c r="J225" s="174" t="s">
        <v>491</v>
      </c>
      <c r="K225" s="174" t="s">
        <v>338</v>
      </c>
      <c r="L225" s="174" t="s">
        <v>458</v>
      </c>
      <c r="M225" s="174" t="s">
        <v>281</v>
      </c>
      <c r="N225" s="177">
        <v>5375000</v>
      </c>
      <c r="O225" s="174" t="s">
        <v>492</v>
      </c>
      <c r="P225" s="174" t="s">
        <v>283</v>
      </c>
      <c r="Q225" s="174" t="s">
        <v>306</v>
      </c>
      <c r="R225" s="174" t="s">
        <v>283</v>
      </c>
      <c r="S225" s="174" t="s">
        <v>283</v>
      </c>
      <c r="T225" s="175">
        <v>0</v>
      </c>
    </row>
    <row r="226" spans="2:20" x14ac:dyDescent="0.2">
      <c r="B226" s="168" t="s">
        <v>5</v>
      </c>
      <c r="C226" s="168" t="s">
        <v>222</v>
      </c>
      <c r="D226" s="173">
        <v>45680</v>
      </c>
      <c r="E226" s="174" t="s">
        <v>493</v>
      </c>
      <c r="F226" s="174" t="s">
        <v>300</v>
      </c>
      <c r="G226" s="174" t="s">
        <v>222</v>
      </c>
      <c r="H226" s="174" t="s">
        <v>320</v>
      </c>
      <c r="I226" s="174" t="s">
        <v>321</v>
      </c>
      <c r="J226" s="174" t="s">
        <v>476</v>
      </c>
      <c r="K226" s="174" t="s">
        <v>477</v>
      </c>
      <c r="L226" s="174" t="s">
        <v>458</v>
      </c>
      <c r="M226" s="174" t="s">
        <v>281</v>
      </c>
      <c r="N226" s="177">
        <v>-545636253</v>
      </c>
      <c r="O226" s="174" t="s">
        <v>494</v>
      </c>
      <c r="P226" s="174" t="s">
        <v>447</v>
      </c>
      <c r="Q226" s="174" t="s">
        <v>284</v>
      </c>
      <c r="R226" s="174" t="s">
        <v>283</v>
      </c>
      <c r="S226" s="174" t="s">
        <v>283</v>
      </c>
      <c r="T226" s="175">
        <v>0</v>
      </c>
    </row>
    <row r="227" spans="2:20" x14ac:dyDescent="0.2">
      <c r="B227" s="168" t="s">
        <v>5</v>
      </c>
      <c r="C227" s="168" t="s">
        <v>22</v>
      </c>
      <c r="D227" s="173">
        <v>45688</v>
      </c>
      <c r="E227" s="174" t="s">
        <v>455</v>
      </c>
      <c r="F227" s="174" t="s">
        <v>274</v>
      </c>
      <c r="G227" s="174" t="s">
        <v>275</v>
      </c>
      <c r="H227" s="174" t="s">
        <v>320</v>
      </c>
      <c r="I227" s="174" t="s">
        <v>321</v>
      </c>
      <c r="J227" s="174" t="s">
        <v>456</v>
      </c>
      <c r="K227" s="174" t="s">
        <v>457</v>
      </c>
      <c r="L227" s="174" t="s">
        <v>458</v>
      </c>
      <c r="M227" s="174" t="s">
        <v>281</v>
      </c>
      <c r="N227" s="177">
        <v>85653727</v>
      </c>
      <c r="O227" s="174" t="s">
        <v>459</v>
      </c>
      <c r="P227" s="174" t="s">
        <v>283</v>
      </c>
      <c r="Q227" s="174" t="s">
        <v>284</v>
      </c>
      <c r="R227" s="174" t="s">
        <v>283</v>
      </c>
      <c r="S227" s="174" t="s">
        <v>283</v>
      </c>
      <c r="T227" s="175">
        <v>0</v>
      </c>
    </row>
    <row r="228" spans="2:20" x14ac:dyDescent="0.2">
      <c r="B228" s="168" t="s">
        <v>5</v>
      </c>
      <c r="C228" s="168" t="s">
        <v>22</v>
      </c>
      <c r="D228" s="173">
        <v>45688</v>
      </c>
      <c r="E228" s="174" t="s">
        <v>455</v>
      </c>
      <c r="F228" s="174" t="s">
        <v>285</v>
      </c>
      <c r="G228" s="174" t="s">
        <v>286</v>
      </c>
      <c r="H228" s="174" t="s">
        <v>320</v>
      </c>
      <c r="I228" s="174" t="s">
        <v>321</v>
      </c>
      <c r="J228" s="174" t="s">
        <v>456</v>
      </c>
      <c r="K228" s="174" t="s">
        <v>457</v>
      </c>
      <c r="L228" s="174" t="s">
        <v>458</v>
      </c>
      <c r="M228" s="174" t="s">
        <v>281</v>
      </c>
      <c r="N228" s="177">
        <v>4863461</v>
      </c>
      <c r="O228" s="174" t="s">
        <v>459</v>
      </c>
      <c r="P228" s="174" t="s">
        <v>283</v>
      </c>
      <c r="Q228" s="174" t="s">
        <v>284</v>
      </c>
      <c r="R228" s="174" t="s">
        <v>283</v>
      </c>
      <c r="S228" s="174" t="s">
        <v>283</v>
      </c>
      <c r="T228" s="175">
        <v>0</v>
      </c>
    </row>
    <row r="229" spans="2:20" x14ac:dyDescent="0.2">
      <c r="B229" s="168" t="s">
        <v>5</v>
      </c>
      <c r="C229" s="168" t="s">
        <v>24</v>
      </c>
      <c r="D229" s="173">
        <v>45688</v>
      </c>
      <c r="E229" s="174" t="s">
        <v>455</v>
      </c>
      <c r="F229" s="174" t="s">
        <v>290</v>
      </c>
      <c r="G229" s="174" t="s">
        <v>291</v>
      </c>
      <c r="H229" s="174" t="s">
        <v>320</v>
      </c>
      <c r="I229" s="174" t="s">
        <v>321</v>
      </c>
      <c r="J229" s="174" t="s">
        <v>456</v>
      </c>
      <c r="K229" s="174" t="s">
        <v>457</v>
      </c>
      <c r="L229" s="174" t="s">
        <v>458</v>
      </c>
      <c r="M229" s="174" t="s">
        <v>281</v>
      </c>
      <c r="N229" s="177">
        <v>800000</v>
      </c>
      <c r="O229" s="174" t="s">
        <v>459</v>
      </c>
      <c r="P229" s="174" t="s">
        <v>283</v>
      </c>
      <c r="Q229" s="174" t="s">
        <v>284</v>
      </c>
      <c r="R229" s="174" t="s">
        <v>283</v>
      </c>
      <c r="S229" s="174" t="s">
        <v>283</v>
      </c>
      <c r="T229" s="175">
        <v>0</v>
      </c>
    </row>
    <row r="230" spans="2:20" x14ac:dyDescent="0.2">
      <c r="B230" s="168" t="s">
        <v>5</v>
      </c>
      <c r="C230" s="168" t="s">
        <v>25</v>
      </c>
      <c r="D230" s="173">
        <v>45688</v>
      </c>
      <c r="E230" s="174" t="s">
        <v>455</v>
      </c>
      <c r="F230" s="174" t="s">
        <v>335</v>
      </c>
      <c r="G230" s="174" t="s">
        <v>336</v>
      </c>
      <c r="H230" s="174" t="s">
        <v>320</v>
      </c>
      <c r="I230" s="174" t="s">
        <v>321</v>
      </c>
      <c r="J230" s="174" t="s">
        <v>456</v>
      </c>
      <c r="K230" s="174" t="s">
        <v>457</v>
      </c>
      <c r="L230" s="174" t="s">
        <v>458</v>
      </c>
      <c r="M230" s="174" t="s">
        <v>281</v>
      </c>
      <c r="N230" s="177">
        <v>175000</v>
      </c>
      <c r="O230" s="174" t="s">
        <v>459</v>
      </c>
      <c r="P230" s="174" t="s">
        <v>283</v>
      </c>
      <c r="Q230" s="174" t="s">
        <v>284</v>
      </c>
      <c r="R230" s="174" t="s">
        <v>283</v>
      </c>
      <c r="S230" s="174" t="s">
        <v>283</v>
      </c>
      <c r="T230" s="175">
        <v>0</v>
      </c>
    </row>
    <row r="231" spans="2:20" x14ac:dyDescent="0.2">
      <c r="B231" s="168" t="s">
        <v>9</v>
      </c>
      <c r="C231" s="168" t="s">
        <v>25</v>
      </c>
      <c r="D231" s="173">
        <v>45688</v>
      </c>
      <c r="E231" s="174" t="s">
        <v>455</v>
      </c>
      <c r="F231" s="174" t="s">
        <v>340</v>
      </c>
      <c r="G231" s="174" t="s">
        <v>341</v>
      </c>
      <c r="H231" s="174" t="s">
        <v>301</v>
      </c>
      <c r="I231" s="174" t="s">
        <v>302</v>
      </c>
      <c r="J231" s="174" t="s">
        <v>495</v>
      </c>
      <c r="K231" s="174" t="s">
        <v>457</v>
      </c>
      <c r="L231" s="174" t="s">
        <v>458</v>
      </c>
      <c r="M231" s="174" t="s">
        <v>281</v>
      </c>
      <c r="N231" s="177">
        <v>8512681</v>
      </c>
      <c r="O231" s="174" t="s">
        <v>459</v>
      </c>
      <c r="P231" s="174" t="s">
        <v>283</v>
      </c>
      <c r="Q231" s="174" t="s">
        <v>284</v>
      </c>
      <c r="R231" s="174" t="s">
        <v>283</v>
      </c>
      <c r="S231" s="174" t="s">
        <v>283</v>
      </c>
      <c r="T231" s="175">
        <v>0</v>
      </c>
    </row>
    <row r="232" spans="2:20" x14ac:dyDescent="0.2">
      <c r="B232" s="168" t="s">
        <v>9</v>
      </c>
      <c r="C232" s="168" t="s">
        <v>22</v>
      </c>
      <c r="D232" s="173">
        <v>45688</v>
      </c>
      <c r="E232" s="174" t="s">
        <v>455</v>
      </c>
      <c r="F232" s="174" t="s">
        <v>274</v>
      </c>
      <c r="G232" s="174" t="s">
        <v>275</v>
      </c>
      <c r="H232" s="174" t="s">
        <v>301</v>
      </c>
      <c r="I232" s="174" t="s">
        <v>302</v>
      </c>
      <c r="J232" s="174" t="s">
        <v>495</v>
      </c>
      <c r="K232" s="174" t="s">
        <v>457</v>
      </c>
      <c r="L232" s="174" t="s">
        <v>458</v>
      </c>
      <c r="M232" s="174" t="s">
        <v>281</v>
      </c>
      <c r="N232" s="177">
        <v>543879618</v>
      </c>
      <c r="O232" s="174" t="s">
        <v>459</v>
      </c>
      <c r="P232" s="174" t="s">
        <v>283</v>
      </c>
      <c r="Q232" s="174" t="s">
        <v>284</v>
      </c>
      <c r="R232" s="174" t="s">
        <v>283</v>
      </c>
      <c r="S232" s="174" t="s">
        <v>283</v>
      </c>
      <c r="T232" s="175">
        <v>0</v>
      </c>
    </row>
    <row r="233" spans="2:20" x14ac:dyDescent="0.2">
      <c r="B233" s="168" t="s">
        <v>9</v>
      </c>
      <c r="C233" s="168" t="s">
        <v>22</v>
      </c>
      <c r="D233" s="173">
        <v>45688</v>
      </c>
      <c r="E233" s="174" t="s">
        <v>455</v>
      </c>
      <c r="F233" s="174" t="s">
        <v>285</v>
      </c>
      <c r="G233" s="174" t="s">
        <v>286</v>
      </c>
      <c r="H233" s="174" t="s">
        <v>301</v>
      </c>
      <c r="I233" s="174" t="s">
        <v>302</v>
      </c>
      <c r="J233" s="174" t="s">
        <v>495</v>
      </c>
      <c r="K233" s="174" t="s">
        <v>457</v>
      </c>
      <c r="L233" s="174" t="s">
        <v>458</v>
      </c>
      <c r="M233" s="174" t="s">
        <v>281</v>
      </c>
      <c r="N233" s="177">
        <v>49833288</v>
      </c>
      <c r="O233" s="174" t="s">
        <v>459</v>
      </c>
      <c r="P233" s="174" t="s">
        <v>283</v>
      </c>
      <c r="Q233" s="174" t="s">
        <v>284</v>
      </c>
      <c r="R233" s="174" t="s">
        <v>283</v>
      </c>
      <c r="S233" s="174" t="s">
        <v>283</v>
      </c>
      <c r="T233" s="175">
        <v>0</v>
      </c>
    </row>
    <row r="234" spans="2:20" x14ac:dyDescent="0.2">
      <c r="B234" s="168" t="s">
        <v>9</v>
      </c>
      <c r="C234" s="168" t="s">
        <v>23</v>
      </c>
      <c r="D234" s="173">
        <v>45688</v>
      </c>
      <c r="E234" s="174" t="s">
        <v>455</v>
      </c>
      <c r="F234" s="174" t="s">
        <v>342</v>
      </c>
      <c r="G234" s="174" t="s">
        <v>343</v>
      </c>
      <c r="H234" s="174" t="s">
        <v>301</v>
      </c>
      <c r="I234" s="174" t="s">
        <v>302</v>
      </c>
      <c r="J234" s="174" t="s">
        <v>456</v>
      </c>
      <c r="K234" s="174" t="s">
        <v>457</v>
      </c>
      <c r="L234" s="174" t="s">
        <v>458</v>
      </c>
      <c r="M234" s="174" t="s">
        <v>281</v>
      </c>
      <c r="N234" s="177">
        <v>100517421</v>
      </c>
      <c r="O234" s="174" t="s">
        <v>459</v>
      </c>
      <c r="P234" s="174" t="s">
        <v>283</v>
      </c>
      <c r="Q234" s="174" t="s">
        <v>284</v>
      </c>
      <c r="R234" s="174" t="s">
        <v>283</v>
      </c>
      <c r="S234" s="174" t="s">
        <v>283</v>
      </c>
      <c r="T234" s="175">
        <v>0</v>
      </c>
    </row>
    <row r="235" spans="2:20" x14ac:dyDescent="0.2">
      <c r="B235" s="168" t="s">
        <v>9</v>
      </c>
      <c r="C235" s="168" t="s">
        <v>24</v>
      </c>
      <c r="D235" s="173">
        <v>45688</v>
      </c>
      <c r="E235" s="174" t="s">
        <v>455</v>
      </c>
      <c r="F235" s="174" t="s">
        <v>290</v>
      </c>
      <c r="G235" s="174" t="s">
        <v>291</v>
      </c>
      <c r="H235" s="174" t="s">
        <v>301</v>
      </c>
      <c r="I235" s="174" t="s">
        <v>302</v>
      </c>
      <c r="J235" s="174" t="s">
        <v>456</v>
      </c>
      <c r="K235" s="174" t="s">
        <v>457</v>
      </c>
      <c r="L235" s="174" t="s">
        <v>458</v>
      </c>
      <c r="M235" s="174" t="s">
        <v>281</v>
      </c>
      <c r="N235" s="177">
        <v>14400000</v>
      </c>
      <c r="O235" s="174" t="s">
        <v>459</v>
      </c>
      <c r="P235" s="174" t="s">
        <v>283</v>
      </c>
      <c r="Q235" s="174" t="s">
        <v>284</v>
      </c>
      <c r="R235" s="174" t="s">
        <v>283</v>
      </c>
      <c r="S235" s="174" t="s">
        <v>283</v>
      </c>
      <c r="T235" s="175">
        <v>0</v>
      </c>
    </row>
    <row r="236" spans="2:20" x14ac:dyDescent="0.2">
      <c r="B236" s="168" t="s">
        <v>9</v>
      </c>
      <c r="C236" s="168" t="s">
        <v>25</v>
      </c>
      <c r="D236" s="173">
        <v>45688</v>
      </c>
      <c r="E236" s="174" t="s">
        <v>455</v>
      </c>
      <c r="F236" s="174" t="s">
        <v>335</v>
      </c>
      <c r="G236" s="174" t="s">
        <v>336</v>
      </c>
      <c r="H236" s="174" t="s">
        <v>301</v>
      </c>
      <c r="I236" s="174" t="s">
        <v>302</v>
      </c>
      <c r="J236" s="174" t="s">
        <v>456</v>
      </c>
      <c r="K236" s="174" t="s">
        <v>457</v>
      </c>
      <c r="L236" s="174" t="s">
        <v>458</v>
      </c>
      <c r="M236" s="174" t="s">
        <v>281</v>
      </c>
      <c r="N236" s="177">
        <v>6505000</v>
      </c>
      <c r="O236" s="174" t="s">
        <v>459</v>
      </c>
      <c r="P236" s="174" t="s">
        <v>283</v>
      </c>
      <c r="Q236" s="174" t="s">
        <v>284</v>
      </c>
      <c r="R236" s="174" t="s">
        <v>283</v>
      </c>
      <c r="S236" s="174" t="s">
        <v>283</v>
      </c>
      <c r="T236" s="175">
        <v>0</v>
      </c>
    </row>
    <row r="237" spans="2:20" x14ac:dyDescent="0.2">
      <c r="B237" s="168" t="s">
        <v>5</v>
      </c>
      <c r="C237" s="168" t="s">
        <v>22</v>
      </c>
      <c r="D237" s="173">
        <v>45688</v>
      </c>
      <c r="E237" s="174" t="s">
        <v>460</v>
      </c>
      <c r="F237" s="174" t="s">
        <v>285</v>
      </c>
      <c r="G237" s="174" t="s">
        <v>286</v>
      </c>
      <c r="H237" s="174" t="s">
        <v>320</v>
      </c>
      <c r="I237" s="174" t="s">
        <v>321</v>
      </c>
      <c r="J237" s="174" t="s">
        <v>461</v>
      </c>
      <c r="K237" s="174" t="s">
        <v>457</v>
      </c>
      <c r="L237" s="174" t="s">
        <v>458</v>
      </c>
      <c r="M237" s="174" t="s">
        <v>281</v>
      </c>
      <c r="N237" s="177">
        <v>8737500</v>
      </c>
      <c r="O237" s="174" t="s">
        <v>462</v>
      </c>
      <c r="P237" s="174" t="s">
        <v>283</v>
      </c>
      <c r="Q237" s="174" t="s">
        <v>284</v>
      </c>
      <c r="R237" s="174" t="s">
        <v>283</v>
      </c>
      <c r="S237" s="174" t="s">
        <v>283</v>
      </c>
      <c r="T237" s="175">
        <v>0</v>
      </c>
    </row>
    <row r="238" spans="2:20" x14ac:dyDescent="0.2">
      <c r="B238" s="168" t="s">
        <v>5</v>
      </c>
      <c r="C238" s="168" t="s">
        <v>24</v>
      </c>
      <c r="D238" s="173">
        <v>45688</v>
      </c>
      <c r="E238" s="174" t="s">
        <v>460</v>
      </c>
      <c r="F238" s="174" t="s">
        <v>292</v>
      </c>
      <c r="G238" s="174" t="s">
        <v>77</v>
      </c>
      <c r="H238" s="174" t="s">
        <v>320</v>
      </c>
      <c r="I238" s="174" t="s">
        <v>321</v>
      </c>
      <c r="J238" s="174" t="s">
        <v>463</v>
      </c>
      <c r="K238" s="174" t="s">
        <v>457</v>
      </c>
      <c r="L238" s="174" t="s">
        <v>458</v>
      </c>
      <c r="M238" s="174" t="s">
        <v>281</v>
      </c>
      <c r="N238" s="177">
        <v>8038430</v>
      </c>
      <c r="O238" s="174" t="s">
        <v>462</v>
      </c>
      <c r="P238" s="174" t="s">
        <v>283</v>
      </c>
      <c r="Q238" s="174" t="s">
        <v>284</v>
      </c>
      <c r="R238" s="174" t="s">
        <v>283</v>
      </c>
      <c r="S238" s="174" t="s">
        <v>283</v>
      </c>
      <c r="T238" s="175">
        <v>0</v>
      </c>
    </row>
    <row r="239" spans="2:20" x14ac:dyDescent="0.2">
      <c r="B239" s="168" t="s">
        <v>9</v>
      </c>
      <c r="C239" s="168" t="s">
        <v>22</v>
      </c>
      <c r="D239" s="173">
        <v>45688</v>
      </c>
      <c r="E239" s="174" t="s">
        <v>460</v>
      </c>
      <c r="F239" s="174" t="s">
        <v>285</v>
      </c>
      <c r="G239" s="174" t="s">
        <v>286</v>
      </c>
      <c r="H239" s="174" t="s">
        <v>301</v>
      </c>
      <c r="I239" s="174" t="s">
        <v>302</v>
      </c>
      <c r="J239" s="174" t="s">
        <v>461</v>
      </c>
      <c r="K239" s="174" t="s">
        <v>457</v>
      </c>
      <c r="L239" s="174" t="s">
        <v>458</v>
      </c>
      <c r="M239" s="174" t="s">
        <v>281</v>
      </c>
      <c r="N239" s="177">
        <v>50229772</v>
      </c>
      <c r="O239" s="174" t="s">
        <v>462</v>
      </c>
      <c r="P239" s="174" t="s">
        <v>283</v>
      </c>
      <c r="Q239" s="174" t="s">
        <v>284</v>
      </c>
      <c r="R239" s="174" t="s">
        <v>283</v>
      </c>
      <c r="S239" s="174" t="s">
        <v>283</v>
      </c>
      <c r="T239" s="175">
        <v>0</v>
      </c>
    </row>
    <row r="240" spans="2:20" x14ac:dyDescent="0.2">
      <c r="B240" s="168" t="s">
        <v>9</v>
      </c>
      <c r="C240" s="168" t="s">
        <v>24</v>
      </c>
      <c r="D240" s="173">
        <v>45688</v>
      </c>
      <c r="E240" s="174" t="s">
        <v>460</v>
      </c>
      <c r="F240" s="174" t="s">
        <v>292</v>
      </c>
      <c r="G240" s="174" t="s">
        <v>77</v>
      </c>
      <c r="H240" s="174" t="s">
        <v>301</v>
      </c>
      <c r="I240" s="174" t="s">
        <v>302</v>
      </c>
      <c r="J240" s="174" t="s">
        <v>463</v>
      </c>
      <c r="K240" s="174" t="s">
        <v>457</v>
      </c>
      <c r="L240" s="174" t="s">
        <v>458</v>
      </c>
      <c r="M240" s="174" t="s">
        <v>281</v>
      </c>
      <c r="N240" s="177">
        <v>40507749</v>
      </c>
      <c r="O240" s="174" t="s">
        <v>462</v>
      </c>
      <c r="P240" s="174" t="s">
        <v>283</v>
      </c>
      <c r="Q240" s="174" t="s">
        <v>284</v>
      </c>
      <c r="R240" s="174" t="s">
        <v>283</v>
      </c>
      <c r="S240" s="174" t="s">
        <v>283</v>
      </c>
      <c r="T240" s="175">
        <v>0</v>
      </c>
    </row>
    <row r="241" spans="2:20" x14ac:dyDescent="0.2">
      <c r="B241" s="168" t="s">
        <v>5</v>
      </c>
      <c r="C241" s="168" t="s">
        <v>170</v>
      </c>
      <c r="D241" s="173">
        <v>45688</v>
      </c>
      <c r="E241" s="174" t="s">
        <v>464</v>
      </c>
      <c r="F241" s="174" t="s">
        <v>295</v>
      </c>
      <c r="G241" s="174" t="s">
        <v>296</v>
      </c>
      <c r="H241" s="174" t="s">
        <v>320</v>
      </c>
      <c r="I241" s="174" t="s">
        <v>321</v>
      </c>
      <c r="J241" s="174" t="s">
        <v>465</v>
      </c>
      <c r="K241" s="174" t="s">
        <v>457</v>
      </c>
      <c r="L241" s="174" t="s">
        <v>458</v>
      </c>
      <c r="M241" s="174" t="s">
        <v>281</v>
      </c>
      <c r="N241" s="177">
        <v>30888225</v>
      </c>
      <c r="O241" s="174" t="s">
        <v>466</v>
      </c>
      <c r="P241" s="174" t="s">
        <v>283</v>
      </c>
      <c r="Q241" s="174" t="s">
        <v>284</v>
      </c>
      <c r="R241" s="174" t="s">
        <v>283</v>
      </c>
      <c r="S241" s="174" t="s">
        <v>283</v>
      </c>
      <c r="T241" s="175">
        <v>0</v>
      </c>
    </row>
    <row r="242" spans="2:20" x14ac:dyDescent="0.2">
      <c r="B242" s="168" t="s">
        <v>9</v>
      </c>
      <c r="C242" s="168" t="s">
        <v>170</v>
      </c>
      <c r="D242" s="173">
        <v>45688</v>
      </c>
      <c r="E242" s="174" t="s">
        <v>464</v>
      </c>
      <c r="F242" s="174" t="s">
        <v>295</v>
      </c>
      <c r="G242" s="174" t="s">
        <v>296</v>
      </c>
      <c r="H242" s="174" t="s">
        <v>301</v>
      </c>
      <c r="I242" s="174" t="s">
        <v>302</v>
      </c>
      <c r="J242" s="174" t="s">
        <v>465</v>
      </c>
      <c r="K242" s="174" t="s">
        <v>457</v>
      </c>
      <c r="L242" s="174" t="s">
        <v>458</v>
      </c>
      <c r="M242" s="174" t="s">
        <v>281</v>
      </c>
      <c r="N242" s="177">
        <v>103648325</v>
      </c>
      <c r="O242" s="174" t="s">
        <v>466</v>
      </c>
      <c r="P242" s="174" t="s">
        <v>283</v>
      </c>
      <c r="Q242" s="174" t="s">
        <v>284</v>
      </c>
      <c r="R242" s="174" t="s">
        <v>283</v>
      </c>
      <c r="S242" s="174" t="s">
        <v>283</v>
      </c>
      <c r="T242" s="175">
        <v>0</v>
      </c>
    </row>
    <row r="243" spans="2:20" x14ac:dyDescent="0.2">
      <c r="B243" s="168" t="s">
        <v>5</v>
      </c>
      <c r="C243" s="168" t="s">
        <v>170</v>
      </c>
      <c r="D243" s="173">
        <v>45688</v>
      </c>
      <c r="E243" s="174" t="s">
        <v>467</v>
      </c>
      <c r="F243" s="174" t="s">
        <v>295</v>
      </c>
      <c r="G243" s="174" t="s">
        <v>296</v>
      </c>
      <c r="H243" s="174" t="s">
        <v>320</v>
      </c>
      <c r="I243" s="174" t="s">
        <v>321</v>
      </c>
      <c r="J243" s="174" t="s">
        <v>465</v>
      </c>
      <c r="K243" s="174" t="s">
        <v>457</v>
      </c>
      <c r="L243" s="174" t="s">
        <v>458</v>
      </c>
      <c r="M243" s="174" t="s">
        <v>281</v>
      </c>
      <c r="N243" s="177">
        <v>30888225</v>
      </c>
      <c r="O243" s="174" t="s">
        <v>468</v>
      </c>
      <c r="P243" s="174" t="s">
        <v>283</v>
      </c>
      <c r="Q243" s="174" t="s">
        <v>284</v>
      </c>
      <c r="R243" s="174" t="s">
        <v>283</v>
      </c>
      <c r="S243" s="174" t="s">
        <v>283</v>
      </c>
      <c r="T243" s="175">
        <v>0</v>
      </c>
    </row>
    <row r="244" spans="2:20" x14ac:dyDescent="0.2">
      <c r="B244" s="168" t="s">
        <v>9</v>
      </c>
      <c r="C244" s="168" t="s">
        <v>170</v>
      </c>
      <c r="D244" s="173">
        <v>45688</v>
      </c>
      <c r="E244" s="174" t="s">
        <v>467</v>
      </c>
      <c r="F244" s="174" t="s">
        <v>295</v>
      </c>
      <c r="G244" s="174" t="s">
        <v>296</v>
      </c>
      <c r="H244" s="174" t="s">
        <v>301</v>
      </c>
      <c r="I244" s="174" t="s">
        <v>302</v>
      </c>
      <c r="J244" s="174" t="s">
        <v>465</v>
      </c>
      <c r="K244" s="174" t="s">
        <v>457</v>
      </c>
      <c r="L244" s="174" t="s">
        <v>458</v>
      </c>
      <c r="M244" s="174" t="s">
        <v>281</v>
      </c>
      <c r="N244" s="177">
        <v>103648325</v>
      </c>
      <c r="O244" s="174" t="s">
        <v>468</v>
      </c>
      <c r="P244" s="174" t="s">
        <v>283</v>
      </c>
      <c r="Q244" s="174" t="s">
        <v>284</v>
      </c>
      <c r="R244" s="174" t="s">
        <v>283</v>
      </c>
      <c r="S244" s="174" t="s">
        <v>283</v>
      </c>
      <c r="T244" s="175">
        <v>0</v>
      </c>
    </row>
    <row r="245" spans="2:20" x14ac:dyDescent="0.2">
      <c r="B245" s="168" t="s">
        <v>5</v>
      </c>
      <c r="C245" s="168" t="s">
        <v>170</v>
      </c>
      <c r="D245" s="173">
        <v>45688</v>
      </c>
      <c r="E245" s="174" t="s">
        <v>469</v>
      </c>
      <c r="F245" s="174" t="s">
        <v>295</v>
      </c>
      <c r="G245" s="174" t="s">
        <v>296</v>
      </c>
      <c r="H245" s="174" t="s">
        <v>320</v>
      </c>
      <c r="I245" s="174" t="s">
        <v>321</v>
      </c>
      <c r="J245" s="174" t="s">
        <v>465</v>
      </c>
      <c r="K245" s="174" t="s">
        <v>457</v>
      </c>
      <c r="L245" s="174" t="s">
        <v>458</v>
      </c>
      <c r="M245" s="174" t="s">
        <v>281</v>
      </c>
      <c r="N245" s="177">
        <v>-30888225</v>
      </c>
      <c r="O245" s="174" t="s">
        <v>470</v>
      </c>
      <c r="P245" s="174" t="s">
        <v>447</v>
      </c>
      <c r="Q245" s="174" t="s">
        <v>284</v>
      </c>
      <c r="R245" s="174" t="s">
        <v>283</v>
      </c>
      <c r="S245" s="174" t="s">
        <v>283</v>
      </c>
      <c r="T245" s="175">
        <v>0</v>
      </c>
    </row>
    <row r="246" spans="2:20" x14ac:dyDescent="0.2">
      <c r="B246" s="168" t="s">
        <v>9</v>
      </c>
      <c r="C246" s="168" t="s">
        <v>170</v>
      </c>
      <c r="D246" s="173">
        <v>45688</v>
      </c>
      <c r="E246" s="174" t="s">
        <v>469</v>
      </c>
      <c r="F246" s="174" t="s">
        <v>295</v>
      </c>
      <c r="G246" s="174" t="s">
        <v>296</v>
      </c>
      <c r="H246" s="174" t="s">
        <v>301</v>
      </c>
      <c r="I246" s="174" t="s">
        <v>302</v>
      </c>
      <c r="J246" s="174" t="s">
        <v>465</v>
      </c>
      <c r="K246" s="174" t="s">
        <v>457</v>
      </c>
      <c r="L246" s="174" t="s">
        <v>458</v>
      </c>
      <c r="M246" s="174" t="s">
        <v>281</v>
      </c>
      <c r="N246" s="177">
        <v>-103648325</v>
      </c>
      <c r="O246" s="174" t="s">
        <v>470</v>
      </c>
      <c r="P246" s="174" t="s">
        <v>447</v>
      </c>
      <c r="Q246" s="174" t="s">
        <v>284</v>
      </c>
      <c r="R246" s="174" t="s">
        <v>283</v>
      </c>
      <c r="S246" s="174" t="s">
        <v>283</v>
      </c>
      <c r="T246" s="175">
        <v>0</v>
      </c>
    </row>
    <row r="247" spans="2:20" x14ac:dyDescent="0.2">
      <c r="B247" s="168" t="s">
        <v>3</v>
      </c>
      <c r="C247" s="168" t="s">
        <v>25</v>
      </c>
      <c r="D247" s="173">
        <v>45682</v>
      </c>
      <c r="E247" s="174" t="s">
        <v>490</v>
      </c>
      <c r="F247" s="174" t="s">
        <v>335</v>
      </c>
      <c r="G247" s="174" t="s">
        <v>336</v>
      </c>
      <c r="H247" s="174" t="s">
        <v>356</v>
      </c>
      <c r="I247" s="174" t="s">
        <v>357</v>
      </c>
      <c r="J247" s="174" t="s">
        <v>491</v>
      </c>
      <c r="K247" s="174" t="s">
        <v>338</v>
      </c>
      <c r="L247" s="174" t="s">
        <v>458</v>
      </c>
      <c r="M247" s="174" t="s">
        <v>281</v>
      </c>
      <c r="N247" s="177">
        <v>14000000</v>
      </c>
      <c r="O247" s="174" t="s">
        <v>492</v>
      </c>
      <c r="P247" s="174" t="s">
        <v>283</v>
      </c>
      <c r="Q247" s="174" t="s">
        <v>306</v>
      </c>
      <c r="R247" s="174" t="s">
        <v>283</v>
      </c>
      <c r="S247" s="174" t="s">
        <v>283</v>
      </c>
      <c r="T247" s="175">
        <v>0</v>
      </c>
    </row>
    <row r="248" spans="2:20" x14ac:dyDescent="0.2">
      <c r="B248" s="168" t="s">
        <v>3</v>
      </c>
      <c r="C248" s="168" t="s">
        <v>25</v>
      </c>
      <c r="D248" s="173">
        <v>45688</v>
      </c>
      <c r="E248" s="174" t="s">
        <v>455</v>
      </c>
      <c r="F248" s="174" t="s">
        <v>340</v>
      </c>
      <c r="G248" s="174" t="s">
        <v>341</v>
      </c>
      <c r="H248" s="174" t="s">
        <v>356</v>
      </c>
      <c r="I248" s="174" t="s">
        <v>357</v>
      </c>
      <c r="J248" s="174" t="s">
        <v>456</v>
      </c>
      <c r="K248" s="174" t="s">
        <v>457</v>
      </c>
      <c r="L248" s="174" t="s">
        <v>458</v>
      </c>
      <c r="M248" s="174" t="s">
        <v>281</v>
      </c>
      <c r="N248" s="177">
        <v>415385</v>
      </c>
      <c r="O248" s="174" t="s">
        <v>459</v>
      </c>
      <c r="P248" s="174" t="s">
        <v>283</v>
      </c>
      <c r="Q248" s="174" t="s">
        <v>284</v>
      </c>
      <c r="R248" s="174" t="s">
        <v>283</v>
      </c>
      <c r="S248" s="174" t="s">
        <v>283</v>
      </c>
      <c r="T248" s="175">
        <v>0</v>
      </c>
    </row>
    <row r="249" spans="2:20" x14ac:dyDescent="0.2">
      <c r="B249" s="168" t="s">
        <v>3</v>
      </c>
      <c r="C249" s="168" t="s">
        <v>22</v>
      </c>
      <c r="D249" s="173">
        <v>45688</v>
      </c>
      <c r="E249" s="174" t="s">
        <v>455</v>
      </c>
      <c r="F249" s="174" t="s">
        <v>274</v>
      </c>
      <c r="G249" s="174" t="s">
        <v>275</v>
      </c>
      <c r="H249" s="174" t="s">
        <v>356</v>
      </c>
      <c r="I249" s="174" t="s">
        <v>357</v>
      </c>
      <c r="J249" s="174" t="s">
        <v>456</v>
      </c>
      <c r="K249" s="174" t="s">
        <v>457</v>
      </c>
      <c r="L249" s="174" t="s">
        <v>458</v>
      </c>
      <c r="M249" s="174" t="s">
        <v>281</v>
      </c>
      <c r="N249" s="177">
        <v>405114551</v>
      </c>
      <c r="O249" s="174" t="s">
        <v>459</v>
      </c>
      <c r="P249" s="174" t="s">
        <v>283</v>
      </c>
      <c r="Q249" s="174" t="s">
        <v>284</v>
      </c>
      <c r="R249" s="174" t="s">
        <v>283</v>
      </c>
      <c r="S249" s="174" t="s">
        <v>283</v>
      </c>
      <c r="T249" s="175">
        <v>0</v>
      </c>
    </row>
    <row r="250" spans="2:20" x14ac:dyDescent="0.2">
      <c r="B250" s="168" t="s">
        <v>3</v>
      </c>
      <c r="C250" s="168" t="s">
        <v>22</v>
      </c>
      <c r="D250" s="173">
        <v>45688</v>
      </c>
      <c r="E250" s="174" t="s">
        <v>455</v>
      </c>
      <c r="F250" s="174" t="s">
        <v>285</v>
      </c>
      <c r="G250" s="174" t="s">
        <v>286</v>
      </c>
      <c r="H250" s="174" t="s">
        <v>356</v>
      </c>
      <c r="I250" s="174" t="s">
        <v>357</v>
      </c>
      <c r="J250" s="174" t="s">
        <v>456</v>
      </c>
      <c r="K250" s="174" t="s">
        <v>457</v>
      </c>
      <c r="L250" s="174" t="s">
        <v>458</v>
      </c>
      <c r="M250" s="174" t="s">
        <v>281</v>
      </c>
      <c r="N250" s="177">
        <v>31571083</v>
      </c>
      <c r="O250" s="174" t="s">
        <v>459</v>
      </c>
      <c r="P250" s="174" t="s">
        <v>283</v>
      </c>
      <c r="Q250" s="174" t="s">
        <v>284</v>
      </c>
      <c r="R250" s="174" t="s">
        <v>283</v>
      </c>
      <c r="S250" s="174" t="s">
        <v>283</v>
      </c>
      <c r="T250" s="175">
        <v>0</v>
      </c>
    </row>
    <row r="251" spans="2:20" x14ac:dyDescent="0.2">
      <c r="B251" s="168" t="s">
        <v>3</v>
      </c>
      <c r="C251" s="168" t="s">
        <v>23</v>
      </c>
      <c r="D251" s="173">
        <v>45688</v>
      </c>
      <c r="E251" s="174" t="s">
        <v>455</v>
      </c>
      <c r="F251" s="174" t="s">
        <v>342</v>
      </c>
      <c r="G251" s="174" t="s">
        <v>343</v>
      </c>
      <c r="H251" s="174" t="s">
        <v>356</v>
      </c>
      <c r="I251" s="174" t="s">
        <v>357</v>
      </c>
      <c r="J251" s="174" t="s">
        <v>456</v>
      </c>
      <c r="K251" s="174" t="s">
        <v>457</v>
      </c>
      <c r="L251" s="174" t="s">
        <v>458</v>
      </c>
      <c r="M251" s="174" t="s">
        <v>281</v>
      </c>
      <c r="N251" s="177">
        <v>46152955</v>
      </c>
      <c r="O251" s="174" t="s">
        <v>459</v>
      </c>
      <c r="P251" s="174" t="s">
        <v>283</v>
      </c>
      <c r="Q251" s="174" t="s">
        <v>284</v>
      </c>
      <c r="R251" s="174" t="s">
        <v>283</v>
      </c>
      <c r="S251" s="174" t="s">
        <v>283</v>
      </c>
      <c r="T251" s="175">
        <v>0</v>
      </c>
    </row>
    <row r="252" spans="2:20" x14ac:dyDescent="0.2">
      <c r="B252" s="168" t="s">
        <v>3</v>
      </c>
      <c r="C252" s="168" t="s">
        <v>24</v>
      </c>
      <c r="D252" s="173">
        <v>45688</v>
      </c>
      <c r="E252" s="174" t="s">
        <v>455</v>
      </c>
      <c r="F252" s="174" t="s">
        <v>290</v>
      </c>
      <c r="G252" s="174" t="s">
        <v>291</v>
      </c>
      <c r="H252" s="174" t="s">
        <v>356</v>
      </c>
      <c r="I252" s="174" t="s">
        <v>357</v>
      </c>
      <c r="J252" s="174" t="s">
        <v>456</v>
      </c>
      <c r="K252" s="174" t="s">
        <v>457</v>
      </c>
      <c r="L252" s="174" t="s">
        <v>458</v>
      </c>
      <c r="M252" s="174" t="s">
        <v>281</v>
      </c>
      <c r="N252" s="177">
        <v>4600000</v>
      </c>
      <c r="O252" s="174" t="s">
        <v>459</v>
      </c>
      <c r="P252" s="174" t="s">
        <v>283</v>
      </c>
      <c r="Q252" s="174" t="s">
        <v>284</v>
      </c>
      <c r="R252" s="174" t="s">
        <v>283</v>
      </c>
      <c r="S252" s="174" t="s">
        <v>283</v>
      </c>
      <c r="T252" s="175">
        <v>0</v>
      </c>
    </row>
    <row r="253" spans="2:20" x14ac:dyDescent="0.2">
      <c r="B253" s="168" t="s">
        <v>3</v>
      </c>
      <c r="C253" s="168" t="s">
        <v>25</v>
      </c>
      <c r="D253" s="173">
        <v>45688</v>
      </c>
      <c r="E253" s="174" t="s">
        <v>455</v>
      </c>
      <c r="F253" s="174" t="s">
        <v>335</v>
      </c>
      <c r="G253" s="174" t="s">
        <v>336</v>
      </c>
      <c r="H253" s="174" t="s">
        <v>356</v>
      </c>
      <c r="I253" s="174" t="s">
        <v>357</v>
      </c>
      <c r="J253" s="174" t="s">
        <v>456</v>
      </c>
      <c r="K253" s="174" t="s">
        <v>457</v>
      </c>
      <c r="L253" s="174" t="s">
        <v>458</v>
      </c>
      <c r="M253" s="174" t="s">
        <v>281</v>
      </c>
      <c r="N253" s="177">
        <v>1960000</v>
      </c>
      <c r="O253" s="174" t="s">
        <v>459</v>
      </c>
      <c r="P253" s="174" t="s">
        <v>283</v>
      </c>
      <c r="Q253" s="174" t="s">
        <v>284</v>
      </c>
      <c r="R253" s="174" t="s">
        <v>283</v>
      </c>
      <c r="S253" s="174" t="s">
        <v>283</v>
      </c>
      <c r="T253" s="175">
        <v>0</v>
      </c>
    </row>
    <row r="254" spans="2:20" x14ac:dyDescent="0.2">
      <c r="B254" s="168" t="s">
        <v>3</v>
      </c>
      <c r="C254" s="168" t="s">
        <v>22</v>
      </c>
      <c r="D254" s="173">
        <v>45688</v>
      </c>
      <c r="E254" s="174" t="s">
        <v>460</v>
      </c>
      <c r="F254" s="174" t="s">
        <v>285</v>
      </c>
      <c r="G254" s="174" t="s">
        <v>286</v>
      </c>
      <c r="H254" s="174" t="s">
        <v>356</v>
      </c>
      <c r="I254" s="174" t="s">
        <v>357</v>
      </c>
      <c r="J254" s="174" t="s">
        <v>461</v>
      </c>
      <c r="K254" s="174" t="s">
        <v>457</v>
      </c>
      <c r="L254" s="174" t="s">
        <v>458</v>
      </c>
      <c r="M254" s="174" t="s">
        <v>281</v>
      </c>
      <c r="N254" s="177">
        <v>37189763</v>
      </c>
      <c r="O254" s="174" t="s">
        <v>462</v>
      </c>
      <c r="P254" s="174" t="s">
        <v>283</v>
      </c>
      <c r="Q254" s="174" t="s">
        <v>284</v>
      </c>
      <c r="R254" s="174" t="s">
        <v>283</v>
      </c>
      <c r="S254" s="174" t="s">
        <v>283</v>
      </c>
      <c r="T254" s="175">
        <v>0</v>
      </c>
    </row>
    <row r="255" spans="2:20" x14ac:dyDescent="0.2">
      <c r="B255" s="168" t="s">
        <v>3</v>
      </c>
      <c r="C255" s="168" t="s">
        <v>24</v>
      </c>
      <c r="D255" s="173">
        <v>45688</v>
      </c>
      <c r="E255" s="174" t="s">
        <v>460</v>
      </c>
      <c r="F255" s="174" t="s">
        <v>292</v>
      </c>
      <c r="G255" s="174" t="s">
        <v>77</v>
      </c>
      <c r="H255" s="174" t="s">
        <v>356</v>
      </c>
      <c r="I255" s="174" t="s">
        <v>357</v>
      </c>
      <c r="J255" s="174" t="s">
        <v>463</v>
      </c>
      <c r="K255" s="174" t="s">
        <v>457</v>
      </c>
      <c r="L255" s="174" t="s">
        <v>458</v>
      </c>
      <c r="M255" s="174" t="s">
        <v>281</v>
      </c>
      <c r="N255" s="177">
        <v>33617504</v>
      </c>
      <c r="O255" s="174" t="s">
        <v>462</v>
      </c>
      <c r="P255" s="174" t="s">
        <v>283</v>
      </c>
      <c r="Q255" s="174" t="s">
        <v>284</v>
      </c>
      <c r="R255" s="174" t="s">
        <v>283</v>
      </c>
      <c r="S255" s="174" t="s">
        <v>283</v>
      </c>
      <c r="T255" s="175">
        <v>0</v>
      </c>
    </row>
    <row r="256" spans="2:20" x14ac:dyDescent="0.2">
      <c r="B256" s="168" t="s">
        <v>3</v>
      </c>
      <c r="C256" s="168" t="s">
        <v>170</v>
      </c>
      <c r="D256" s="173">
        <v>45688</v>
      </c>
      <c r="E256" s="174" t="s">
        <v>464</v>
      </c>
      <c r="F256" s="174" t="s">
        <v>295</v>
      </c>
      <c r="G256" s="174" t="s">
        <v>296</v>
      </c>
      <c r="H256" s="174" t="s">
        <v>356</v>
      </c>
      <c r="I256" s="174" t="s">
        <v>357</v>
      </c>
      <c r="J256" s="174" t="s">
        <v>465</v>
      </c>
      <c r="K256" s="174" t="s">
        <v>457</v>
      </c>
      <c r="L256" s="174" t="s">
        <v>458</v>
      </c>
      <c r="M256" s="174" t="s">
        <v>281</v>
      </c>
      <c r="N256" s="177">
        <v>86246195</v>
      </c>
      <c r="O256" s="174" t="s">
        <v>466</v>
      </c>
      <c r="P256" s="174" t="s">
        <v>283</v>
      </c>
      <c r="Q256" s="174" t="s">
        <v>284</v>
      </c>
      <c r="R256" s="174" t="s">
        <v>283</v>
      </c>
      <c r="S256" s="174" t="s">
        <v>283</v>
      </c>
      <c r="T256" s="175">
        <v>0</v>
      </c>
    </row>
    <row r="257" spans="2:20" x14ac:dyDescent="0.2">
      <c r="B257" s="168" t="s">
        <v>3</v>
      </c>
      <c r="C257" s="168" t="s">
        <v>170</v>
      </c>
      <c r="D257" s="173">
        <v>45688</v>
      </c>
      <c r="E257" s="174" t="s">
        <v>467</v>
      </c>
      <c r="F257" s="174" t="s">
        <v>295</v>
      </c>
      <c r="G257" s="174" t="s">
        <v>296</v>
      </c>
      <c r="H257" s="174" t="s">
        <v>356</v>
      </c>
      <c r="I257" s="174" t="s">
        <v>357</v>
      </c>
      <c r="J257" s="174" t="s">
        <v>465</v>
      </c>
      <c r="K257" s="174" t="s">
        <v>457</v>
      </c>
      <c r="L257" s="174" t="s">
        <v>458</v>
      </c>
      <c r="M257" s="174" t="s">
        <v>281</v>
      </c>
      <c r="N257" s="177">
        <v>86246195</v>
      </c>
      <c r="O257" s="174" t="s">
        <v>468</v>
      </c>
      <c r="P257" s="174" t="s">
        <v>283</v>
      </c>
      <c r="Q257" s="174" t="s">
        <v>284</v>
      </c>
      <c r="R257" s="174" t="s">
        <v>283</v>
      </c>
      <c r="S257" s="174" t="s">
        <v>283</v>
      </c>
      <c r="T257" s="175">
        <v>0</v>
      </c>
    </row>
    <row r="258" spans="2:20" x14ac:dyDescent="0.2">
      <c r="B258" s="168" t="s">
        <v>3</v>
      </c>
      <c r="C258" s="168" t="s">
        <v>170</v>
      </c>
      <c r="D258" s="173">
        <v>45688</v>
      </c>
      <c r="E258" s="174" t="s">
        <v>469</v>
      </c>
      <c r="F258" s="174" t="s">
        <v>295</v>
      </c>
      <c r="G258" s="174" t="s">
        <v>296</v>
      </c>
      <c r="H258" s="174" t="s">
        <v>356</v>
      </c>
      <c r="I258" s="174" t="s">
        <v>357</v>
      </c>
      <c r="J258" s="174" t="s">
        <v>465</v>
      </c>
      <c r="K258" s="174" t="s">
        <v>457</v>
      </c>
      <c r="L258" s="174" t="s">
        <v>458</v>
      </c>
      <c r="M258" s="174" t="s">
        <v>281</v>
      </c>
      <c r="N258" s="177">
        <v>-86246195</v>
      </c>
      <c r="O258" s="174" t="s">
        <v>470</v>
      </c>
      <c r="P258" s="174" t="s">
        <v>447</v>
      </c>
      <c r="Q258" s="174" t="s">
        <v>284</v>
      </c>
      <c r="R258" s="174" t="s">
        <v>283</v>
      </c>
      <c r="S258" s="174" t="s">
        <v>283</v>
      </c>
      <c r="T258" s="175">
        <v>0</v>
      </c>
    </row>
    <row r="259" spans="2:20" x14ac:dyDescent="0.2">
      <c r="B259" s="168" t="s">
        <v>2</v>
      </c>
      <c r="C259" s="168" t="s">
        <v>22</v>
      </c>
      <c r="D259" s="173">
        <v>45660</v>
      </c>
      <c r="E259" s="174" t="s">
        <v>496</v>
      </c>
      <c r="F259" s="174" t="s">
        <v>274</v>
      </c>
      <c r="G259" s="174" t="s">
        <v>275</v>
      </c>
      <c r="H259" s="174" t="s">
        <v>378</v>
      </c>
      <c r="I259" s="174" t="s">
        <v>379</v>
      </c>
      <c r="J259" s="174" t="s">
        <v>497</v>
      </c>
      <c r="K259" s="174" t="s">
        <v>498</v>
      </c>
      <c r="L259" s="174" t="s">
        <v>458</v>
      </c>
      <c r="M259" s="174" t="s">
        <v>281</v>
      </c>
      <c r="N259" s="177">
        <v>70000000</v>
      </c>
      <c r="O259" s="174" t="s">
        <v>499</v>
      </c>
      <c r="P259" s="174" t="s">
        <v>283</v>
      </c>
      <c r="Q259" s="174" t="s">
        <v>306</v>
      </c>
      <c r="R259" s="174" t="s">
        <v>283</v>
      </c>
      <c r="S259" s="174" t="s">
        <v>283</v>
      </c>
      <c r="T259" s="175">
        <v>0</v>
      </c>
    </row>
    <row r="260" spans="2:20" x14ac:dyDescent="0.2">
      <c r="B260" s="168" t="s">
        <v>1</v>
      </c>
      <c r="C260" s="168" t="s">
        <v>24</v>
      </c>
      <c r="D260" s="173">
        <v>45680</v>
      </c>
      <c r="E260" s="174" t="s">
        <v>500</v>
      </c>
      <c r="F260" s="174" t="s">
        <v>365</v>
      </c>
      <c r="G260" s="174" t="s">
        <v>291</v>
      </c>
      <c r="H260" s="174" t="s">
        <v>366</v>
      </c>
      <c r="I260" s="174" t="s">
        <v>1</v>
      </c>
      <c r="J260" s="174" t="s">
        <v>501</v>
      </c>
      <c r="K260" s="174" t="s">
        <v>368</v>
      </c>
      <c r="L260" s="174" t="s">
        <v>458</v>
      </c>
      <c r="M260" s="174" t="s">
        <v>281</v>
      </c>
      <c r="N260" s="177">
        <v>10000000</v>
      </c>
      <c r="O260" s="174" t="s">
        <v>502</v>
      </c>
      <c r="P260" s="174" t="s">
        <v>283</v>
      </c>
      <c r="Q260" s="174" t="s">
        <v>370</v>
      </c>
      <c r="R260" s="174" t="s">
        <v>283</v>
      </c>
      <c r="S260" s="174" t="s">
        <v>283</v>
      </c>
      <c r="T260" s="175">
        <v>0</v>
      </c>
    </row>
    <row r="261" spans="2:20" x14ac:dyDescent="0.2">
      <c r="B261" s="168" t="s">
        <v>7</v>
      </c>
      <c r="C261" s="168" t="s">
        <v>222</v>
      </c>
      <c r="D261" s="173">
        <v>45680</v>
      </c>
      <c r="E261" s="174" t="s">
        <v>503</v>
      </c>
      <c r="F261" s="174" t="s">
        <v>504</v>
      </c>
      <c r="G261" s="174" t="s">
        <v>505</v>
      </c>
      <c r="H261" s="174" t="s">
        <v>376</v>
      </c>
      <c r="I261" s="174" t="s">
        <v>377</v>
      </c>
      <c r="J261" s="174" t="s">
        <v>506</v>
      </c>
      <c r="K261" s="174" t="s">
        <v>507</v>
      </c>
      <c r="L261" s="174" t="s">
        <v>458</v>
      </c>
      <c r="M261" s="174" t="s">
        <v>281</v>
      </c>
      <c r="N261" s="177">
        <v>4500000</v>
      </c>
      <c r="O261" s="174" t="s">
        <v>508</v>
      </c>
      <c r="P261" s="174" t="s">
        <v>283</v>
      </c>
      <c r="Q261" s="174" t="s">
        <v>509</v>
      </c>
      <c r="R261" s="174" t="s">
        <v>283</v>
      </c>
      <c r="S261" s="174" t="s">
        <v>283</v>
      </c>
      <c r="T261" s="175">
        <v>0</v>
      </c>
    </row>
    <row r="262" spans="2:20" x14ac:dyDescent="0.2">
      <c r="B262" s="168" t="s">
        <v>7</v>
      </c>
      <c r="C262" s="168" t="s">
        <v>25</v>
      </c>
      <c r="D262" s="173">
        <v>45682</v>
      </c>
      <c r="E262" s="174" t="s">
        <v>490</v>
      </c>
      <c r="F262" s="174" t="s">
        <v>375</v>
      </c>
      <c r="G262" s="174" t="s">
        <v>336</v>
      </c>
      <c r="H262" s="174" t="s">
        <v>376</v>
      </c>
      <c r="I262" s="174" t="s">
        <v>377</v>
      </c>
      <c r="J262" s="174" t="s">
        <v>491</v>
      </c>
      <c r="K262" s="174" t="s">
        <v>338</v>
      </c>
      <c r="L262" s="174" t="s">
        <v>458</v>
      </c>
      <c r="M262" s="174" t="s">
        <v>281</v>
      </c>
      <c r="N262" s="177">
        <v>41650000</v>
      </c>
      <c r="O262" s="174" t="s">
        <v>492</v>
      </c>
      <c r="P262" s="174" t="s">
        <v>283</v>
      </c>
      <c r="Q262" s="174" t="s">
        <v>306</v>
      </c>
      <c r="R262" s="174" t="s">
        <v>283</v>
      </c>
      <c r="S262" s="174" t="s">
        <v>283</v>
      </c>
      <c r="T262" s="175">
        <v>0</v>
      </c>
    </row>
    <row r="263" spans="2:20" x14ac:dyDescent="0.2">
      <c r="B263" s="168" t="s">
        <v>2</v>
      </c>
      <c r="C263" s="168" t="s">
        <v>25</v>
      </c>
      <c r="D263" s="173">
        <v>45682</v>
      </c>
      <c r="E263" s="174" t="s">
        <v>490</v>
      </c>
      <c r="F263" s="174" t="s">
        <v>335</v>
      </c>
      <c r="G263" s="174" t="s">
        <v>336</v>
      </c>
      <c r="H263" s="174" t="s">
        <v>378</v>
      </c>
      <c r="I263" s="174" t="s">
        <v>379</v>
      </c>
      <c r="J263" s="174" t="s">
        <v>491</v>
      </c>
      <c r="K263" s="174" t="s">
        <v>338</v>
      </c>
      <c r="L263" s="174" t="s">
        <v>458</v>
      </c>
      <c r="M263" s="174" t="s">
        <v>281</v>
      </c>
      <c r="N263" s="177">
        <v>3750000</v>
      </c>
      <c r="O263" s="174" t="s">
        <v>492</v>
      </c>
      <c r="P263" s="174" t="s">
        <v>283</v>
      </c>
      <c r="Q263" s="174" t="s">
        <v>306</v>
      </c>
      <c r="R263" s="174" t="s">
        <v>283</v>
      </c>
      <c r="S263" s="174" t="s">
        <v>283</v>
      </c>
      <c r="T263" s="175">
        <v>0</v>
      </c>
    </row>
    <row r="264" spans="2:20" x14ac:dyDescent="0.2">
      <c r="B264" s="168" t="s">
        <v>10</v>
      </c>
      <c r="C264" s="168" t="s">
        <v>25</v>
      </c>
      <c r="D264" s="173">
        <v>45682</v>
      </c>
      <c r="E264" s="174" t="s">
        <v>490</v>
      </c>
      <c r="F264" s="174" t="s">
        <v>335</v>
      </c>
      <c r="G264" s="174" t="s">
        <v>336</v>
      </c>
      <c r="H264" s="174" t="s">
        <v>380</v>
      </c>
      <c r="I264" s="174" t="s">
        <v>381</v>
      </c>
      <c r="J264" s="174" t="s">
        <v>491</v>
      </c>
      <c r="K264" s="174" t="s">
        <v>338</v>
      </c>
      <c r="L264" s="174" t="s">
        <v>458</v>
      </c>
      <c r="M264" s="174" t="s">
        <v>281</v>
      </c>
      <c r="N264" s="177">
        <v>5125000</v>
      </c>
      <c r="O264" s="174" t="s">
        <v>492</v>
      </c>
      <c r="P264" s="174" t="s">
        <v>283</v>
      </c>
      <c r="Q264" s="174" t="s">
        <v>306</v>
      </c>
      <c r="R264" s="174" t="s">
        <v>283</v>
      </c>
      <c r="S264" s="174" t="s">
        <v>283</v>
      </c>
      <c r="T264" s="175">
        <v>0</v>
      </c>
    </row>
    <row r="265" spans="2:20" x14ac:dyDescent="0.2">
      <c r="B265" s="168" t="s">
        <v>1</v>
      </c>
      <c r="C265" s="168" t="s">
        <v>22</v>
      </c>
      <c r="D265" s="173">
        <v>45688</v>
      </c>
      <c r="E265" s="174" t="s">
        <v>455</v>
      </c>
      <c r="F265" s="174" t="s">
        <v>383</v>
      </c>
      <c r="G265" s="174" t="s">
        <v>275</v>
      </c>
      <c r="H265" s="174" t="s">
        <v>366</v>
      </c>
      <c r="I265" s="174" t="s">
        <v>1</v>
      </c>
      <c r="J265" s="174" t="s">
        <v>456</v>
      </c>
      <c r="K265" s="174" t="s">
        <v>457</v>
      </c>
      <c r="L265" s="174" t="s">
        <v>458</v>
      </c>
      <c r="M265" s="174" t="s">
        <v>281</v>
      </c>
      <c r="N265" s="177">
        <v>225301946</v>
      </c>
      <c r="O265" s="174" t="s">
        <v>459</v>
      </c>
      <c r="P265" s="174" t="s">
        <v>283</v>
      </c>
      <c r="Q265" s="174" t="s">
        <v>284</v>
      </c>
      <c r="R265" s="174" t="s">
        <v>283</v>
      </c>
      <c r="S265" s="174" t="s">
        <v>283</v>
      </c>
      <c r="T265" s="175">
        <v>0</v>
      </c>
    </row>
    <row r="266" spans="2:20" x14ac:dyDescent="0.2">
      <c r="B266" s="168" t="s">
        <v>1</v>
      </c>
      <c r="C266" s="168" t="s">
        <v>22</v>
      </c>
      <c r="D266" s="173">
        <v>45688</v>
      </c>
      <c r="E266" s="174" t="s">
        <v>455</v>
      </c>
      <c r="F266" s="174" t="s">
        <v>384</v>
      </c>
      <c r="G266" s="174" t="s">
        <v>286</v>
      </c>
      <c r="H266" s="174" t="s">
        <v>366</v>
      </c>
      <c r="I266" s="174" t="s">
        <v>1</v>
      </c>
      <c r="J266" s="174" t="s">
        <v>456</v>
      </c>
      <c r="K266" s="174" t="s">
        <v>457</v>
      </c>
      <c r="L266" s="174" t="s">
        <v>458</v>
      </c>
      <c r="M266" s="174" t="s">
        <v>281</v>
      </c>
      <c r="N266" s="177">
        <v>16683846</v>
      </c>
      <c r="O266" s="174" t="s">
        <v>459</v>
      </c>
      <c r="P266" s="174" t="s">
        <v>283</v>
      </c>
      <c r="Q266" s="174" t="s">
        <v>284</v>
      </c>
      <c r="R266" s="174" t="s">
        <v>283</v>
      </c>
      <c r="S266" s="174" t="s">
        <v>283</v>
      </c>
      <c r="T266" s="175">
        <v>0</v>
      </c>
    </row>
    <row r="267" spans="2:20" x14ac:dyDescent="0.2">
      <c r="B267" s="168" t="s">
        <v>1</v>
      </c>
      <c r="C267" s="168" t="s">
        <v>24</v>
      </c>
      <c r="D267" s="173">
        <v>45688</v>
      </c>
      <c r="E267" s="174" t="s">
        <v>455</v>
      </c>
      <c r="F267" s="174" t="s">
        <v>365</v>
      </c>
      <c r="G267" s="174" t="s">
        <v>291</v>
      </c>
      <c r="H267" s="174" t="s">
        <v>366</v>
      </c>
      <c r="I267" s="174" t="s">
        <v>1</v>
      </c>
      <c r="J267" s="174" t="s">
        <v>456</v>
      </c>
      <c r="K267" s="174" t="s">
        <v>457</v>
      </c>
      <c r="L267" s="174" t="s">
        <v>458</v>
      </c>
      <c r="M267" s="174" t="s">
        <v>281</v>
      </c>
      <c r="N267" s="177">
        <v>33785949</v>
      </c>
      <c r="O267" s="174" t="s">
        <v>459</v>
      </c>
      <c r="P267" s="174" t="s">
        <v>283</v>
      </c>
      <c r="Q267" s="174" t="s">
        <v>284</v>
      </c>
      <c r="R267" s="174" t="s">
        <v>283</v>
      </c>
      <c r="S267" s="174" t="s">
        <v>283</v>
      </c>
      <c r="T267" s="175">
        <v>0</v>
      </c>
    </row>
    <row r="268" spans="2:20" x14ac:dyDescent="0.2">
      <c r="B268" s="168" t="s">
        <v>10</v>
      </c>
      <c r="C268" s="168" t="s">
        <v>22</v>
      </c>
      <c r="D268" s="173">
        <v>45688</v>
      </c>
      <c r="E268" s="174" t="s">
        <v>455</v>
      </c>
      <c r="F268" s="174" t="s">
        <v>274</v>
      </c>
      <c r="G268" s="174" t="s">
        <v>275</v>
      </c>
      <c r="H268" s="174" t="s">
        <v>380</v>
      </c>
      <c r="I268" s="174" t="s">
        <v>381</v>
      </c>
      <c r="J268" s="174" t="s">
        <v>456</v>
      </c>
      <c r="K268" s="174" t="s">
        <v>457</v>
      </c>
      <c r="L268" s="174" t="s">
        <v>458</v>
      </c>
      <c r="M268" s="174" t="s">
        <v>281</v>
      </c>
      <c r="N268" s="177">
        <v>474164065</v>
      </c>
      <c r="O268" s="174" t="s">
        <v>459</v>
      </c>
      <c r="P268" s="174" t="s">
        <v>283</v>
      </c>
      <c r="Q268" s="174" t="s">
        <v>284</v>
      </c>
      <c r="R268" s="174" t="s">
        <v>283</v>
      </c>
      <c r="S268" s="174" t="s">
        <v>283</v>
      </c>
      <c r="T268" s="175">
        <v>0</v>
      </c>
    </row>
    <row r="269" spans="2:20" x14ac:dyDescent="0.2">
      <c r="B269" s="168" t="s">
        <v>10</v>
      </c>
      <c r="C269" s="168" t="s">
        <v>22</v>
      </c>
      <c r="D269" s="173">
        <v>45688</v>
      </c>
      <c r="E269" s="174" t="s">
        <v>455</v>
      </c>
      <c r="F269" s="174" t="s">
        <v>285</v>
      </c>
      <c r="G269" s="174" t="s">
        <v>286</v>
      </c>
      <c r="H269" s="174" t="s">
        <v>380</v>
      </c>
      <c r="I269" s="174" t="s">
        <v>381</v>
      </c>
      <c r="J269" s="174" t="s">
        <v>456</v>
      </c>
      <c r="K269" s="174" t="s">
        <v>457</v>
      </c>
      <c r="L269" s="174" t="s">
        <v>458</v>
      </c>
      <c r="M269" s="174" t="s">
        <v>281</v>
      </c>
      <c r="N269" s="177">
        <v>31871387</v>
      </c>
      <c r="O269" s="174" t="s">
        <v>459</v>
      </c>
      <c r="P269" s="174" t="s">
        <v>283</v>
      </c>
      <c r="Q269" s="174" t="s">
        <v>284</v>
      </c>
      <c r="R269" s="174" t="s">
        <v>283</v>
      </c>
      <c r="S269" s="174" t="s">
        <v>283</v>
      </c>
      <c r="T269" s="175">
        <v>0</v>
      </c>
    </row>
    <row r="270" spans="2:20" x14ac:dyDescent="0.2">
      <c r="B270" s="168" t="s">
        <v>10</v>
      </c>
      <c r="C270" s="168" t="s">
        <v>24</v>
      </c>
      <c r="D270" s="173">
        <v>45688</v>
      </c>
      <c r="E270" s="174" t="s">
        <v>455</v>
      </c>
      <c r="F270" s="174" t="s">
        <v>290</v>
      </c>
      <c r="G270" s="174" t="s">
        <v>291</v>
      </c>
      <c r="H270" s="174" t="s">
        <v>380</v>
      </c>
      <c r="I270" s="174" t="s">
        <v>381</v>
      </c>
      <c r="J270" s="174" t="s">
        <v>456</v>
      </c>
      <c r="K270" s="174" t="s">
        <v>457</v>
      </c>
      <c r="L270" s="174" t="s">
        <v>458</v>
      </c>
      <c r="M270" s="174" t="s">
        <v>281</v>
      </c>
      <c r="N270" s="177">
        <v>165688371</v>
      </c>
      <c r="O270" s="174" t="s">
        <v>459</v>
      </c>
      <c r="P270" s="174" t="s">
        <v>283</v>
      </c>
      <c r="Q270" s="174" t="s">
        <v>284</v>
      </c>
      <c r="R270" s="174" t="s">
        <v>283</v>
      </c>
      <c r="S270" s="174" t="s">
        <v>283</v>
      </c>
      <c r="T270" s="175">
        <v>0</v>
      </c>
    </row>
    <row r="271" spans="2:20" x14ac:dyDescent="0.2">
      <c r="B271" s="168" t="s">
        <v>10</v>
      </c>
      <c r="C271" s="168" t="s">
        <v>25</v>
      </c>
      <c r="D271" s="173">
        <v>45688</v>
      </c>
      <c r="E271" s="174" t="s">
        <v>455</v>
      </c>
      <c r="F271" s="174" t="s">
        <v>335</v>
      </c>
      <c r="G271" s="174" t="s">
        <v>336</v>
      </c>
      <c r="H271" s="174" t="s">
        <v>380</v>
      </c>
      <c r="I271" s="174" t="s">
        <v>381</v>
      </c>
      <c r="J271" s="174" t="s">
        <v>456</v>
      </c>
      <c r="K271" s="174" t="s">
        <v>457</v>
      </c>
      <c r="L271" s="174" t="s">
        <v>458</v>
      </c>
      <c r="M271" s="174" t="s">
        <v>281</v>
      </c>
      <c r="N271" s="177">
        <v>8845000</v>
      </c>
      <c r="O271" s="174" t="s">
        <v>459</v>
      </c>
      <c r="P271" s="174" t="s">
        <v>283</v>
      </c>
      <c r="Q271" s="174" t="s">
        <v>284</v>
      </c>
      <c r="R271" s="174" t="s">
        <v>283</v>
      </c>
      <c r="S271" s="174" t="s">
        <v>283</v>
      </c>
      <c r="T271" s="175">
        <v>0</v>
      </c>
    </row>
    <row r="272" spans="2:20" x14ac:dyDescent="0.2">
      <c r="B272" s="168" t="s">
        <v>2</v>
      </c>
      <c r="C272" s="168" t="s">
        <v>22</v>
      </c>
      <c r="D272" s="173">
        <v>45688</v>
      </c>
      <c r="E272" s="174" t="s">
        <v>455</v>
      </c>
      <c r="F272" s="174" t="s">
        <v>274</v>
      </c>
      <c r="G272" s="174" t="s">
        <v>275</v>
      </c>
      <c r="H272" s="174" t="s">
        <v>378</v>
      </c>
      <c r="I272" s="174" t="s">
        <v>379</v>
      </c>
      <c r="J272" s="174" t="s">
        <v>456</v>
      </c>
      <c r="K272" s="174" t="s">
        <v>457</v>
      </c>
      <c r="L272" s="174" t="s">
        <v>458</v>
      </c>
      <c r="M272" s="174" t="s">
        <v>281</v>
      </c>
      <c r="N272" s="177">
        <v>83593427</v>
      </c>
      <c r="O272" s="174" t="s">
        <v>459</v>
      </c>
      <c r="P272" s="174" t="s">
        <v>283</v>
      </c>
      <c r="Q272" s="174" t="s">
        <v>284</v>
      </c>
      <c r="R272" s="174" t="s">
        <v>283</v>
      </c>
      <c r="S272" s="174" t="s">
        <v>283</v>
      </c>
      <c r="T272" s="175">
        <v>0</v>
      </c>
    </row>
    <row r="273" spans="2:20" x14ac:dyDescent="0.2">
      <c r="B273" s="168" t="s">
        <v>2</v>
      </c>
      <c r="C273" s="168" t="s">
        <v>22</v>
      </c>
      <c r="D273" s="173">
        <v>45688</v>
      </c>
      <c r="E273" s="174" t="s">
        <v>455</v>
      </c>
      <c r="F273" s="174" t="s">
        <v>285</v>
      </c>
      <c r="G273" s="174" t="s">
        <v>286</v>
      </c>
      <c r="H273" s="174" t="s">
        <v>378</v>
      </c>
      <c r="I273" s="174" t="s">
        <v>379</v>
      </c>
      <c r="J273" s="174" t="s">
        <v>456</v>
      </c>
      <c r="K273" s="174" t="s">
        <v>457</v>
      </c>
      <c r="L273" s="174" t="s">
        <v>458</v>
      </c>
      <c r="M273" s="174" t="s">
        <v>281</v>
      </c>
      <c r="N273" s="177">
        <v>2898827</v>
      </c>
      <c r="O273" s="174" t="s">
        <v>459</v>
      </c>
      <c r="P273" s="174" t="s">
        <v>283</v>
      </c>
      <c r="Q273" s="174" t="s">
        <v>284</v>
      </c>
      <c r="R273" s="174" t="s">
        <v>283</v>
      </c>
      <c r="S273" s="174" t="s">
        <v>283</v>
      </c>
      <c r="T273" s="175">
        <v>0</v>
      </c>
    </row>
    <row r="274" spans="2:20" x14ac:dyDescent="0.2">
      <c r="B274" s="168" t="s">
        <v>2</v>
      </c>
      <c r="C274" s="168" t="s">
        <v>24</v>
      </c>
      <c r="D274" s="173">
        <v>45688</v>
      </c>
      <c r="E274" s="174" t="s">
        <v>455</v>
      </c>
      <c r="F274" s="174" t="s">
        <v>290</v>
      </c>
      <c r="G274" s="174" t="s">
        <v>291</v>
      </c>
      <c r="H274" s="174" t="s">
        <v>378</v>
      </c>
      <c r="I274" s="174" t="s">
        <v>379</v>
      </c>
      <c r="J274" s="174" t="s">
        <v>456</v>
      </c>
      <c r="K274" s="174" t="s">
        <v>457</v>
      </c>
      <c r="L274" s="174" t="s">
        <v>458</v>
      </c>
      <c r="M274" s="174" t="s">
        <v>281</v>
      </c>
      <c r="N274" s="177">
        <v>1200000</v>
      </c>
      <c r="O274" s="174" t="s">
        <v>459</v>
      </c>
      <c r="P274" s="174" t="s">
        <v>283</v>
      </c>
      <c r="Q274" s="174" t="s">
        <v>284</v>
      </c>
      <c r="R274" s="174" t="s">
        <v>283</v>
      </c>
      <c r="S274" s="174" t="s">
        <v>283</v>
      </c>
      <c r="T274" s="175">
        <v>0</v>
      </c>
    </row>
    <row r="275" spans="2:20" x14ac:dyDescent="0.2">
      <c r="B275" s="168" t="s">
        <v>2</v>
      </c>
      <c r="C275" s="168" t="s">
        <v>25</v>
      </c>
      <c r="D275" s="173">
        <v>45688</v>
      </c>
      <c r="E275" s="174" t="s">
        <v>455</v>
      </c>
      <c r="F275" s="174" t="s">
        <v>335</v>
      </c>
      <c r="G275" s="174" t="s">
        <v>336</v>
      </c>
      <c r="H275" s="174" t="s">
        <v>378</v>
      </c>
      <c r="I275" s="174" t="s">
        <v>379</v>
      </c>
      <c r="J275" s="174" t="s">
        <v>456</v>
      </c>
      <c r="K275" s="174" t="s">
        <v>457</v>
      </c>
      <c r="L275" s="174" t="s">
        <v>458</v>
      </c>
      <c r="M275" s="174" t="s">
        <v>281</v>
      </c>
      <c r="N275" s="177">
        <v>100000</v>
      </c>
      <c r="O275" s="174" t="s">
        <v>459</v>
      </c>
      <c r="P275" s="174" t="s">
        <v>283</v>
      </c>
      <c r="Q275" s="174" t="s">
        <v>284</v>
      </c>
      <c r="R275" s="174" t="s">
        <v>283</v>
      </c>
      <c r="S275" s="174" t="s">
        <v>283</v>
      </c>
      <c r="T275" s="175">
        <v>0</v>
      </c>
    </row>
    <row r="276" spans="2:20" x14ac:dyDescent="0.2">
      <c r="B276" s="168" t="s">
        <v>7</v>
      </c>
      <c r="C276" s="168" t="s">
        <v>25</v>
      </c>
      <c r="D276" s="173">
        <v>45688</v>
      </c>
      <c r="E276" s="174" t="s">
        <v>455</v>
      </c>
      <c r="F276" s="174" t="s">
        <v>386</v>
      </c>
      <c r="G276" s="174" t="s">
        <v>341</v>
      </c>
      <c r="H276" s="174" t="s">
        <v>376</v>
      </c>
      <c r="I276" s="174" t="s">
        <v>377</v>
      </c>
      <c r="J276" s="174" t="s">
        <v>456</v>
      </c>
      <c r="K276" s="174" t="s">
        <v>457</v>
      </c>
      <c r="L276" s="174" t="s">
        <v>458</v>
      </c>
      <c r="M276" s="174" t="s">
        <v>281</v>
      </c>
      <c r="N276" s="177">
        <v>41660134</v>
      </c>
      <c r="O276" s="174" t="s">
        <v>459</v>
      </c>
      <c r="P276" s="174" t="s">
        <v>283</v>
      </c>
      <c r="Q276" s="174" t="s">
        <v>284</v>
      </c>
      <c r="R276" s="174" t="s">
        <v>283</v>
      </c>
      <c r="S276" s="174" t="s">
        <v>283</v>
      </c>
      <c r="T276" s="175">
        <v>0</v>
      </c>
    </row>
    <row r="277" spans="2:20" x14ac:dyDescent="0.2">
      <c r="B277" s="168" t="s">
        <v>7</v>
      </c>
      <c r="C277" s="168" t="s">
        <v>22</v>
      </c>
      <c r="D277" s="173">
        <v>45688</v>
      </c>
      <c r="E277" s="174" t="s">
        <v>455</v>
      </c>
      <c r="F277" s="174" t="s">
        <v>387</v>
      </c>
      <c r="G277" s="174" t="s">
        <v>275</v>
      </c>
      <c r="H277" s="174" t="s">
        <v>376</v>
      </c>
      <c r="I277" s="174" t="s">
        <v>377</v>
      </c>
      <c r="J277" s="174" t="s">
        <v>456</v>
      </c>
      <c r="K277" s="174" t="s">
        <v>457</v>
      </c>
      <c r="L277" s="174" t="s">
        <v>458</v>
      </c>
      <c r="M277" s="174" t="s">
        <v>281</v>
      </c>
      <c r="N277" s="177">
        <v>962669955</v>
      </c>
      <c r="O277" s="174" t="s">
        <v>459</v>
      </c>
      <c r="P277" s="174" t="s">
        <v>283</v>
      </c>
      <c r="Q277" s="174" t="s">
        <v>284</v>
      </c>
      <c r="R277" s="174" t="s">
        <v>283</v>
      </c>
      <c r="S277" s="174" t="s">
        <v>283</v>
      </c>
      <c r="T277" s="175">
        <v>0</v>
      </c>
    </row>
    <row r="278" spans="2:20" x14ac:dyDescent="0.2">
      <c r="B278" s="168" t="s">
        <v>7</v>
      </c>
      <c r="C278" s="168" t="s">
        <v>22</v>
      </c>
      <c r="D278" s="173">
        <v>45688</v>
      </c>
      <c r="E278" s="174" t="s">
        <v>455</v>
      </c>
      <c r="F278" s="174" t="s">
        <v>388</v>
      </c>
      <c r="G278" s="174" t="s">
        <v>286</v>
      </c>
      <c r="H278" s="174" t="s">
        <v>376</v>
      </c>
      <c r="I278" s="174" t="s">
        <v>377</v>
      </c>
      <c r="J278" s="174" t="s">
        <v>456</v>
      </c>
      <c r="K278" s="174" t="s">
        <v>457</v>
      </c>
      <c r="L278" s="174" t="s">
        <v>458</v>
      </c>
      <c r="M278" s="174" t="s">
        <v>281</v>
      </c>
      <c r="N278" s="177">
        <v>71194446</v>
      </c>
      <c r="O278" s="174" t="s">
        <v>459</v>
      </c>
      <c r="P278" s="174" t="s">
        <v>283</v>
      </c>
      <c r="Q278" s="174" t="s">
        <v>284</v>
      </c>
      <c r="R278" s="174" t="s">
        <v>283</v>
      </c>
      <c r="S278" s="174" t="s">
        <v>283</v>
      </c>
      <c r="T278" s="175">
        <v>0</v>
      </c>
    </row>
    <row r="279" spans="2:20" x14ac:dyDescent="0.2">
      <c r="B279" s="168" t="s">
        <v>7</v>
      </c>
      <c r="C279" s="168" t="s">
        <v>23</v>
      </c>
      <c r="D279" s="173">
        <v>45688</v>
      </c>
      <c r="E279" s="174" t="s">
        <v>455</v>
      </c>
      <c r="F279" s="174" t="s">
        <v>389</v>
      </c>
      <c r="G279" s="174" t="s">
        <v>390</v>
      </c>
      <c r="H279" s="174" t="s">
        <v>376</v>
      </c>
      <c r="I279" s="174" t="s">
        <v>377</v>
      </c>
      <c r="J279" s="174" t="s">
        <v>456</v>
      </c>
      <c r="K279" s="174" t="s">
        <v>457</v>
      </c>
      <c r="L279" s="174" t="s">
        <v>458</v>
      </c>
      <c r="M279" s="174" t="s">
        <v>281</v>
      </c>
      <c r="N279" s="177">
        <v>275691629</v>
      </c>
      <c r="O279" s="174" t="s">
        <v>459</v>
      </c>
      <c r="P279" s="174" t="s">
        <v>283</v>
      </c>
      <c r="Q279" s="174" t="s">
        <v>284</v>
      </c>
      <c r="R279" s="174" t="s">
        <v>283</v>
      </c>
      <c r="S279" s="174" t="s">
        <v>283</v>
      </c>
      <c r="T279" s="175">
        <v>0</v>
      </c>
    </row>
    <row r="280" spans="2:20" x14ac:dyDescent="0.2">
      <c r="B280" s="168" t="s">
        <v>7</v>
      </c>
      <c r="C280" s="168" t="s">
        <v>24</v>
      </c>
      <c r="D280" s="173">
        <v>45688</v>
      </c>
      <c r="E280" s="174" t="s">
        <v>455</v>
      </c>
      <c r="F280" s="174" t="s">
        <v>391</v>
      </c>
      <c r="G280" s="174" t="s">
        <v>291</v>
      </c>
      <c r="H280" s="174" t="s">
        <v>376</v>
      </c>
      <c r="I280" s="174" t="s">
        <v>377</v>
      </c>
      <c r="J280" s="174" t="s">
        <v>456</v>
      </c>
      <c r="K280" s="174" t="s">
        <v>457</v>
      </c>
      <c r="L280" s="174" t="s">
        <v>458</v>
      </c>
      <c r="M280" s="174" t="s">
        <v>281</v>
      </c>
      <c r="N280" s="177">
        <v>29100000</v>
      </c>
      <c r="O280" s="174" t="s">
        <v>459</v>
      </c>
      <c r="P280" s="174" t="s">
        <v>283</v>
      </c>
      <c r="Q280" s="174" t="s">
        <v>284</v>
      </c>
      <c r="R280" s="174" t="s">
        <v>283</v>
      </c>
      <c r="S280" s="174" t="s">
        <v>283</v>
      </c>
      <c r="T280" s="175">
        <v>0</v>
      </c>
    </row>
    <row r="281" spans="2:20" x14ac:dyDescent="0.2">
      <c r="B281" s="168" t="s">
        <v>7</v>
      </c>
      <c r="C281" s="168" t="s">
        <v>25</v>
      </c>
      <c r="D281" s="173">
        <v>45688</v>
      </c>
      <c r="E281" s="174" t="s">
        <v>455</v>
      </c>
      <c r="F281" s="174" t="s">
        <v>375</v>
      </c>
      <c r="G281" s="174" t="s">
        <v>336</v>
      </c>
      <c r="H281" s="174" t="s">
        <v>376</v>
      </c>
      <c r="I281" s="174" t="s">
        <v>377</v>
      </c>
      <c r="J281" s="174" t="s">
        <v>456</v>
      </c>
      <c r="K281" s="174" t="s">
        <v>457</v>
      </c>
      <c r="L281" s="174" t="s">
        <v>458</v>
      </c>
      <c r="M281" s="174" t="s">
        <v>281</v>
      </c>
      <c r="N281" s="177">
        <v>10310000</v>
      </c>
      <c r="O281" s="174" t="s">
        <v>459</v>
      </c>
      <c r="P281" s="174" t="s">
        <v>283</v>
      </c>
      <c r="Q281" s="174" t="s">
        <v>284</v>
      </c>
      <c r="R281" s="174" t="s">
        <v>283</v>
      </c>
      <c r="S281" s="174" t="s">
        <v>283</v>
      </c>
      <c r="T281" s="175">
        <v>0</v>
      </c>
    </row>
    <row r="282" spans="2:20" x14ac:dyDescent="0.2">
      <c r="B282" s="168" t="s">
        <v>1</v>
      </c>
      <c r="C282" s="168" t="s">
        <v>22</v>
      </c>
      <c r="D282" s="173">
        <v>45688</v>
      </c>
      <c r="E282" s="174" t="s">
        <v>460</v>
      </c>
      <c r="F282" s="174" t="s">
        <v>384</v>
      </c>
      <c r="G282" s="174" t="s">
        <v>286</v>
      </c>
      <c r="H282" s="174" t="s">
        <v>366</v>
      </c>
      <c r="I282" s="174" t="s">
        <v>1</v>
      </c>
      <c r="J282" s="174" t="s">
        <v>461</v>
      </c>
      <c r="K282" s="174" t="s">
        <v>457</v>
      </c>
      <c r="L282" s="174" t="s">
        <v>458</v>
      </c>
      <c r="M282" s="174" t="s">
        <v>281</v>
      </c>
      <c r="N282" s="177">
        <v>24380167</v>
      </c>
      <c r="O282" s="174" t="s">
        <v>462</v>
      </c>
      <c r="P282" s="174" t="s">
        <v>283</v>
      </c>
      <c r="Q282" s="174" t="s">
        <v>284</v>
      </c>
      <c r="R282" s="174" t="s">
        <v>283</v>
      </c>
      <c r="S282" s="174" t="s">
        <v>283</v>
      </c>
      <c r="T282" s="175">
        <v>0</v>
      </c>
    </row>
    <row r="283" spans="2:20" x14ac:dyDescent="0.2">
      <c r="B283" s="168" t="s">
        <v>1</v>
      </c>
      <c r="C283" s="168" t="s">
        <v>24</v>
      </c>
      <c r="D283" s="173">
        <v>45688</v>
      </c>
      <c r="E283" s="174" t="s">
        <v>460</v>
      </c>
      <c r="F283" s="174" t="s">
        <v>394</v>
      </c>
      <c r="G283" s="174" t="s">
        <v>77</v>
      </c>
      <c r="H283" s="174" t="s">
        <v>366</v>
      </c>
      <c r="I283" s="174" t="s">
        <v>1</v>
      </c>
      <c r="J283" s="174" t="s">
        <v>463</v>
      </c>
      <c r="K283" s="174" t="s">
        <v>457</v>
      </c>
      <c r="L283" s="174" t="s">
        <v>458</v>
      </c>
      <c r="M283" s="174" t="s">
        <v>281</v>
      </c>
      <c r="N283" s="177">
        <v>22429558</v>
      </c>
      <c r="O283" s="174" t="s">
        <v>462</v>
      </c>
      <c r="P283" s="174" t="s">
        <v>283</v>
      </c>
      <c r="Q283" s="174" t="s">
        <v>284</v>
      </c>
      <c r="R283" s="174" t="s">
        <v>283</v>
      </c>
      <c r="S283" s="174" t="s">
        <v>283</v>
      </c>
      <c r="T283" s="175">
        <v>0</v>
      </c>
    </row>
    <row r="284" spans="2:20" x14ac:dyDescent="0.2">
      <c r="B284" s="168" t="s">
        <v>10</v>
      </c>
      <c r="C284" s="168" t="s">
        <v>22</v>
      </c>
      <c r="D284" s="173">
        <v>45688</v>
      </c>
      <c r="E284" s="174" t="s">
        <v>460</v>
      </c>
      <c r="F284" s="174" t="s">
        <v>285</v>
      </c>
      <c r="G284" s="174" t="s">
        <v>286</v>
      </c>
      <c r="H284" s="174" t="s">
        <v>380</v>
      </c>
      <c r="I284" s="174" t="s">
        <v>381</v>
      </c>
      <c r="J284" s="174" t="s">
        <v>461</v>
      </c>
      <c r="K284" s="174" t="s">
        <v>457</v>
      </c>
      <c r="L284" s="174" t="s">
        <v>458</v>
      </c>
      <c r="M284" s="174" t="s">
        <v>281</v>
      </c>
      <c r="N284" s="177">
        <v>38089918</v>
      </c>
      <c r="O284" s="174" t="s">
        <v>462</v>
      </c>
      <c r="P284" s="174" t="s">
        <v>283</v>
      </c>
      <c r="Q284" s="174" t="s">
        <v>284</v>
      </c>
      <c r="R284" s="174" t="s">
        <v>283</v>
      </c>
      <c r="S284" s="174" t="s">
        <v>283</v>
      </c>
      <c r="T284" s="175">
        <v>0</v>
      </c>
    </row>
    <row r="285" spans="2:20" x14ac:dyDescent="0.2">
      <c r="B285" s="168" t="s">
        <v>10</v>
      </c>
      <c r="C285" s="168" t="s">
        <v>24</v>
      </c>
      <c r="D285" s="173">
        <v>45688</v>
      </c>
      <c r="E285" s="174" t="s">
        <v>460</v>
      </c>
      <c r="F285" s="174" t="s">
        <v>292</v>
      </c>
      <c r="G285" s="174" t="s">
        <v>77</v>
      </c>
      <c r="H285" s="174" t="s">
        <v>380</v>
      </c>
      <c r="I285" s="174" t="s">
        <v>381</v>
      </c>
      <c r="J285" s="174" t="s">
        <v>463</v>
      </c>
      <c r="K285" s="174" t="s">
        <v>457</v>
      </c>
      <c r="L285" s="174" t="s">
        <v>458</v>
      </c>
      <c r="M285" s="174" t="s">
        <v>281</v>
      </c>
      <c r="N285" s="177">
        <v>33189239</v>
      </c>
      <c r="O285" s="174" t="s">
        <v>462</v>
      </c>
      <c r="P285" s="174" t="s">
        <v>283</v>
      </c>
      <c r="Q285" s="174" t="s">
        <v>284</v>
      </c>
      <c r="R285" s="174" t="s">
        <v>283</v>
      </c>
      <c r="S285" s="174" t="s">
        <v>283</v>
      </c>
      <c r="T285" s="175">
        <v>0</v>
      </c>
    </row>
    <row r="286" spans="2:20" x14ac:dyDescent="0.2">
      <c r="B286" s="168" t="s">
        <v>2</v>
      </c>
      <c r="C286" s="168" t="s">
        <v>22</v>
      </c>
      <c r="D286" s="173">
        <v>45688</v>
      </c>
      <c r="E286" s="174" t="s">
        <v>460</v>
      </c>
      <c r="F286" s="174" t="s">
        <v>285</v>
      </c>
      <c r="G286" s="174" t="s">
        <v>286</v>
      </c>
      <c r="H286" s="174" t="s">
        <v>378</v>
      </c>
      <c r="I286" s="174" t="s">
        <v>379</v>
      </c>
      <c r="J286" s="174" t="s">
        <v>461</v>
      </c>
      <c r="K286" s="174" t="s">
        <v>457</v>
      </c>
      <c r="L286" s="174" t="s">
        <v>458</v>
      </c>
      <c r="M286" s="174" t="s">
        <v>281</v>
      </c>
      <c r="N286" s="177">
        <v>7902750</v>
      </c>
      <c r="O286" s="174" t="s">
        <v>462</v>
      </c>
      <c r="P286" s="174" t="s">
        <v>283</v>
      </c>
      <c r="Q286" s="174" t="s">
        <v>284</v>
      </c>
      <c r="R286" s="174" t="s">
        <v>283</v>
      </c>
      <c r="S286" s="174" t="s">
        <v>283</v>
      </c>
      <c r="T286" s="175">
        <v>0</v>
      </c>
    </row>
    <row r="287" spans="2:20" x14ac:dyDescent="0.2">
      <c r="B287" s="168" t="s">
        <v>2</v>
      </c>
      <c r="C287" s="168" t="s">
        <v>24</v>
      </c>
      <c r="D287" s="173">
        <v>45688</v>
      </c>
      <c r="E287" s="174" t="s">
        <v>460</v>
      </c>
      <c r="F287" s="174" t="s">
        <v>292</v>
      </c>
      <c r="G287" s="174" t="s">
        <v>77</v>
      </c>
      <c r="H287" s="174" t="s">
        <v>378</v>
      </c>
      <c r="I287" s="174" t="s">
        <v>379</v>
      </c>
      <c r="J287" s="174" t="s">
        <v>463</v>
      </c>
      <c r="K287" s="174" t="s">
        <v>457</v>
      </c>
      <c r="L287" s="174" t="s">
        <v>458</v>
      </c>
      <c r="M287" s="174" t="s">
        <v>281</v>
      </c>
      <c r="N287" s="177">
        <v>7270467</v>
      </c>
      <c r="O287" s="174" t="s">
        <v>462</v>
      </c>
      <c r="P287" s="174" t="s">
        <v>283</v>
      </c>
      <c r="Q287" s="174" t="s">
        <v>284</v>
      </c>
      <c r="R287" s="174" t="s">
        <v>283</v>
      </c>
      <c r="S287" s="174" t="s">
        <v>283</v>
      </c>
      <c r="T287" s="175">
        <v>0</v>
      </c>
    </row>
    <row r="288" spans="2:20" x14ac:dyDescent="0.2">
      <c r="B288" s="168" t="s">
        <v>7</v>
      </c>
      <c r="C288" s="168" t="s">
        <v>22</v>
      </c>
      <c r="D288" s="173">
        <v>45688</v>
      </c>
      <c r="E288" s="174" t="s">
        <v>460</v>
      </c>
      <c r="F288" s="174" t="s">
        <v>388</v>
      </c>
      <c r="G288" s="174" t="s">
        <v>286</v>
      </c>
      <c r="H288" s="174" t="s">
        <v>376</v>
      </c>
      <c r="I288" s="174" t="s">
        <v>377</v>
      </c>
      <c r="J288" s="174" t="s">
        <v>461</v>
      </c>
      <c r="K288" s="174" t="s">
        <v>457</v>
      </c>
      <c r="L288" s="174" t="s">
        <v>458</v>
      </c>
      <c r="M288" s="174" t="s">
        <v>281</v>
      </c>
      <c r="N288" s="177">
        <v>77003500</v>
      </c>
      <c r="O288" s="174" t="s">
        <v>462</v>
      </c>
      <c r="P288" s="174" t="s">
        <v>283</v>
      </c>
      <c r="Q288" s="174" t="s">
        <v>284</v>
      </c>
      <c r="R288" s="174" t="s">
        <v>283</v>
      </c>
      <c r="S288" s="174" t="s">
        <v>283</v>
      </c>
      <c r="T288" s="175">
        <v>0</v>
      </c>
    </row>
    <row r="289" spans="1:20" x14ac:dyDescent="0.2">
      <c r="B289" s="168" t="s">
        <v>7</v>
      </c>
      <c r="C289" s="168" t="s">
        <v>24</v>
      </c>
      <c r="D289" s="173">
        <v>45688</v>
      </c>
      <c r="E289" s="174" t="s">
        <v>460</v>
      </c>
      <c r="F289" s="174" t="s">
        <v>395</v>
      </c>
      <c r="G289" s="174" t="s">
        <v>77</v>
      </c>
      <c r="H289" s="174" t="s">
        <v>376</v>
      </c>
      <c r="I289" s="174" t="s">
        <v>377</v>
      </c>
      <c r="J289" s="174" t="s">
        <v>463</v>
      </c>
      <c r="K289" s="174" t="s">
        <v>457</v>
      </c>
      <c r="L289" s="174" t="s">
        <v>458</v>
      </c>
      <c r="M289" s="174" t="s">
        <v>281</v>
      </c>
      <c r="N289" s="177">
        <v>70842604</v>
      </c>
      <c r="O289" s="174" t="s">
        <v>462</v>
      </c>
      <c r="P289" s="174" t="s">
        <v>283</v>
      </c>
      <c r="Q289" s="174" t="s">
        <v>284</v>
      </c>
      <c r="R289" s="174" t="s">
        <v>283</v>
      </c>
      <c r="S289" s="174" t="s">
        <v>283</v>
      </c>
      <c r="T289" s="175">
        <v>0</v>
      </c>
    </row>
    <row r="290" spans="1:20" x14ac:dyDescent="0.2">
      <c r="B290" s="168" t="s">
        <v>1</v>
      </c>
      <c r="C290" s="168" t="s">
        <v>170</v>
      </c>
      <c r="D290" s="173">
        <v>45688</v>
      </c>
      <c r="E290" s="174" t="s">
        <v>464</v>
      </c>
      <c r="F290" s="174" t="s">
        <v>392</v>
      </c>
      <c r="G290" s="174" t="s">
        <v>296</v>
      </c>
      <c r="H290" s="174" t="s">
        <v>366</v>
      </c>
      <c r="I290" s="174" t="s">
        <v>1</v>
      </c>
      <c r="J290" s="174" t="s">
        <v>465</v>
      </c>
      <c r="K290" s="174" t="s">
        <v>457</v>
      </c>
      <c r="L290" s="174" t="s">
        <v>458</v>
      </c>
      <c r="M290" s="174" t="s">
        <v>281</v>
      </c>
      <c r="N290" s="177">
        <v>51324945</v>
      </c>
      <c r="O290" s="174" t="s">
        <v>466</v>
      </c>
      <c r="P290" s="174" t="s">
        <v>283</v>
      </c>
      <c r="Q290" s="174" t="s">
        <v>284</v>
      </c>
      <c r="R290" s="174" t="s">
        <v>283</v>
      </c>
      <c r="S290" s="174" t="s">
        <v>283</v>
      </c>
      <c r="T290" s="175">
        <v>0</v>
      </c>
    </row>
    <row r="291" spans="1:20" x14ac:dyDescent="0.2">
      <c r="B291" s="168" t="s">
        <v>10</v>
      </c>
      <c r="C291" s="168" t="s">
        <v>170</v>
      </c>
      <c r="D291" s="173">
        <v>45688</v>
      </c>
      <c r="E291" s="174" t="s">
        <v>464</v>
      </c>
      <c r="F291" s="174" t="s">
        <v>295</v>
      </c>
      <c r="G291" s="174" t="s">
        <v>296</v>
      </c>
      <c r="H291" s="174" t="s">
        <v>380</v>
      </c>
      <c r="I291" s="174" t="s">
        <v>381</v>
      </c>
      <c r="J291" s="174" t="s">
        <v>465</v>
      </c>
      <c r="K291" s="174" t="s">
        <v>457</v>
      </c>
      <c r="L291" s="174" t="s">
        <v>458</v>
      </c>
      <c r="M291" s="174" t="s">
        <v>281</v>
      </c>
      <c r="N291" s="177">
        <v>98662635</v>
      </c>
      <c r="O291" s="174" t="s">
        <v>466</v>
      </c>
      <c r="P291" s="174" t="s">
        <v>283</v>
      </c>
      <c r="Q291" s="174" t="s">
        <v>284</v>
      </c>
      <c r="R291" s="174" t="s">
        <v>283</v>
      </c>
      <c r="S291" s="174" t="s">
        <v>283</v>
      </c>
      <c r="T291" s="175">
        <v>0</v>
      </c>
    </row>
    <row r="292" spans="1:20" x14ac:dyDescent="0.2">
      <c r="B292" s="168" t="s">
        <v>2</v>
      </c>
      <c r="C292" s="168" t="s">
        <v>170</v>
      </c>
      <c r="D292" s="173">
        <v>45688</v>
      </c>
      <c r="E292" s="174" t="s">
        <v>464</v>
      </c>
      <c r="F292" s="174" t="s">
        <v>295</v>
      </c>
      <c r="G292" s="174" t="s">
        <v>296</v>
      </c>
      <c r="H292" s="174" t="s">
        <v>378</v>
      </c>
      <c r="I292" s="174" t="s">
        <v>379</v>
      </c>
      <c r="J292" s="174" t="s">
        <v>465</v>
      </c>
      <c r="K292" s="174" t="s">
        <v>457</v>
      </c>
      <c r="L292" s="174" t="s">
        <v>458</v>
      </c>
      <c r="M292" s="174" t="s">
        <v>281</v>
      </c>
      <c r="N292" s="177">
        <v>16645755</v>
      </c>
      <c r="O292" s="174" t="s">
        <v>466</v>
      </c>
      <c r="P292" s="174" t="s">
        <v>283</v>
      </c>
      <c r="Q292" s="174" t="s">
        <v>284</v>
      </c>
      <c r="R292" s="174" t="s">
        <v>283</v>
      </c>
      <c r="S292" s="174" t="s">
        <v>283</v>
      </c>
      <c r="T292" s="175">
        <v>0</v>
      </c>
    </row>
    <row r="293" spans="1:20" x14ac:dyDescent="0.2">
      <c r="B293" s="168" t="s">
        <v>7</v>
      </c>
      <c r="C293" s="168" t="s">
        <v>170</v>
      </c>
      <c r="D293" s="173">
        <v>45688</v>
      </c>
      <c r="E293" s="174" t="s">
        <v>464</v>
      </c>
      <c r="F293" s="174" t="s">
        <v>393</v>
      </c>
      <c r="G293" s="174" t="s">
        <v>296</v>
      </c>
      <c r="H293" s="174" t="s">
        <v>376</v>
      </c>
      <c r="I293" s="174" t="s">
        <v>377</v>
      </c>
      <c r="J293" s="174" t="s">
        <v>465</v>
      </c>
      <c r="K293" s="174" t="s">
        <v>457</v>
      </c>
      <c r="L293" s="174" t="s">
        <v>458</v>
      </c>
      <c r="M293" s="174" t="s">
        <v>281</v>
      </c>
      <c r="N293" s="177">
        <v>224807370</v>
      </c>
      <c r="O293" s="174" t="s">
        <v>466</v>
      </c>
      <c r="P293" s="174" t="s">
        <v>283</v>
      </c>
      <c r="Q293" s="174" t="s">
        <v>284</v>
      </c>
      <c r="R293" s="174" t="s">
        <v>283</v>
      </c>
      <c r="S293" s="174" t="s">
        <v>283</v>
      </c>
      <c r="T293" s="175">
        <v>0</v>
      </c>
    </row>
    <row r="294" spans="1:20" x14ac:dyDescent="0.2">
      <c r="B294" s="168" t="s">
        <v>10</v>
      </c>
      <c r="C294" s="168" t="s">
        <v>22</v>
      </c>
      <c r="D294" s="173">
        <v>45688</v>
      </c>
      <c r="E294" s="174" t="s">
        <v>510</v>
      </c>
      <c r="F294" s="174" t="s">
        <v>274</v>
      </c>
      <c r="G294" s="174" t="s">
        <v>275</v>
      </c>
      <c r="H294" s="174" t="s">
        <v>380</v>
      </c>
      <c r="I294" s="174" t="s">
        <v>381</v>
      </c>
      <c r="J294" s="174" t="s">
        <v>511</v>
      </c>
      <c r="K294" s="174" t="s">
        <v>457</v>
      </c>
      <c r="L294" s="174" t="s">
        <v>458</v>
      </c>
      <c r="M294" s="174" t="s">
        <v>281</v>
      </c>
      <c r="N294" s="177">
        <v>-348151</v>
      </c>
      <c r="O294" s="174" t="s">
        <v>512</v>
      </c>
      <c r="P294" s="174" t="s">
        <v>283</v>
      </c>
      <c r="Q294" s="174" t="s">
        <v>284</v>
      </c>
      <c r="R294" s="174" t="s">
        <v>283</v>
      </c>
      <c r="S294" s="174" t="s">
        <v>283</v>
      </c>
      <c r="T294" s="175">
        <v>0</v>
      </c>
    </row>
    <row r="295" spans="1:20" x14ac:dyDescent="0.2">
      <c r="B295" s="168" t="s">
        <v>7</v>
      </c>
      <c r="C295" s="168" t="s">
        <v>170</v>
      </c>
      <c r="D295" s="173">
        <v>45688</v>
      </c>
      <c r="E295" s="174" t="s">
        <v>513</v>
      </c>
      <c r="F295" s="174" t="s">
        <v>393</v>
      </c>
      <c r="G295" s="174" t="s">
        <v>296</v>
      </c>
      <c r="H295" s="174" t="s">
        <v>376</v>
      </c>
      <c r="I295" s="174" t="s">
        <v>377</v>
      </c>
      <c r="J295" s="174" t="s">
        <v>514</v>
      </c>
      <c r="K295" s="174" t="s">
        <v>457</v>
      </c>
      <c r="L295" s="174" t="s">
        <v>458</v>
      </c>
      <c r="M295" s="174" t="s">
        <v>281</v>
      </c>
      <c r="N295" s="177">
        <v>4160000</v>
      </c>
      <c r="O295" s="174" t="s">
        <v>515</v>
      </c>
      <c r="P295" s="174" t="s">
        <v>283</v>
      </c>
      <c r="Q295" s="174" t="s">
        <v>284</v>
      </c>
      <c r="R295" s="174" t="s">
        <v>283</v>
      </c>
      <c r="S295" s="174" t="s">
        <v>283</v>
      </c>
      <c r="T295" s="175">
        <v>0</v>
      </c>
    </row>
    <row r="296" spans="1:20" x14ac:dyDescent="0.2">
      <c r="B296" s="168" t="s">
        <v>1</v>
      </c>
      <c r="C296" s="168" t="s">
        <v>170</v>
      </c>
      <c r="D296" s="173">
        <v>45688</v>
      </c>
      <c r="E296" s="174" t="s">
        <v>467</v>
      </c>
      <c r="F296" s="174" t="s">
        <v>392</v>
      </c>
      <c r="G296" s="174" t="s">
        <v>296</v>
      </c>
      <c r="H296" s="174" t="s">
        <v>366</v>
      </c>
      <c r="I296" s="174" t="s">
        <v>1</v>
      </c>
      <c r="J296" s="174" t="s">
        <v>465</v>
      </c>
      <c r="K296" s="174" t="s">
        <v>457</v>
      </c>
      <c r="L296" s="174" t="s">
        <v>458</v>
      </c>
      <c r="M296" s="174" t="s">
        <v>281</v>
      </c>
      <c r="N296" s="177">
        <v>51324945</v>
      </c>
      <c r="O296" s="174" t="s">
        <v>468</v>
      </c>
      <c r="P296" s="174" t="s">
        <v>283</v>
      </c>
      <c r="Q296" s="174" t="s">
        <v>284</v>
      </c>
      <c r="R296" s="174" t="s">
        <v>283</v>
      </c>
      <c r="S296" s="174" t="s">
        <v>283</v>
      </c>
      <c r="T296" s="175">
        <v>0</v>
      </c>
    </row>
    <row r="297" spans="1:20" x14ac:dyDescent="0.2">
      <c r="B297" s="168" t="s">
        <v>10</v>
      </c>
      <c r="C297" s="168" t="s">
        <v>170</v>
      </c>
      <c r="D297" s="173">
        <v>45688</v>
      </c>
      <c r="E297" s="174" t="s">
        <v>467</v>
      </c>
      <c r="F297" s="174" t="s">
        <v>295</v>
      </c>
      <c r="G297" s="174" t="s">
        <v>296</v>
      </c>
      <c r="H297" s="174" t="s">
        <v>380</v>
      </c>
      <c r="I297" s="174" t="s">
        <v>381</v>
      </c>
      <c r="J297" s="174" t="s">
        <v>465</v>
      </c>
      <c r="K297" s="174" t="s">
        <v>457</v>
      </c>
      <c r="L297" s="174" t="s">
        <v>458</v>
      </c>
      <c r="M297" s="174" t="s">
        <v>281</v>
      </c>
      <c r="N297" s="177">
        <v>98662635</v>
      </c>
      <c r="O297" s="174" t="s">
        <v>468</v>
      </c>
      <c r="P297" s="174" t="s">
        <v>283</v>
      </c>
      <c r="Q297" s="174" t="s">
        <v>284</v>
      </c>
      <c r="R297" s="174" t="s">
        <v>283</v>
      </c>
      <c r="S297" s="174" t="s">
        <v>283</v>
      </c>
      <c r="T297" s="175">
        <v>0</v>
      </c>
    </row>
    <row r="298" spans="1:20" x14ac:dyDescent="0.2">
      <c r="B298" s="168" t="s">
        <v>2</v>
      </c>
      <c r="C298" s="168" t="s">
        <v>170</v>
      </c>
      <c r="D298" s="173">
        <v>45688</v>
      </c>
      <c r="E298" s="174" t="s">
        <v>467</v>
      </c>
      <c r="F298" s="174" t="s">
        <v>295</v>
      </c>
      <c r="G298" s="174" t="s">
        <v>296</v>
      </c>
      <c r="H298" s="174" t="s">
        <v>378</v>
      </c>
      <c r="I298" s="174" t="s">
        <v>379</v>
      </c>
      <c r="J298" s="174" t="s">
        <v>465</v>
      </c>
      <c r="K298" s="174" t="s">
        <v>457</v>
      </c>
      <c r="L298" s="174" t="s">
        <v>458</v>
      </c>
      <c r="M298" s="174" t="s">
        <v>281</v>
      </c>
      <c r="N298" s="177">
        <v>16645755</v>
      </c>
      <c r="O298" s="174" t="s">
        <v>468</v>
      </c>
      <c r="P298" s="174" t="s">
        <v>283</v>
      </c>
      <c r="Q298" s="174" t="s">
        <v>284</v>
      </c>
      <c r="R298" s="174" t="s">
        <v>283</v>
      </c>
      <c r="S298" s="174" t="s">
        <v>283</v>
      </c>
      <c r="T298" s="175">
        <v>0</v>
      </c>
    </row>
    <row r="299" spans="1:20" x14ac:dyDescent="0.2">
      <c r="B299" s="168" t="s">
        <v>7</v>
      </c>
      <c r="C299" s="168" t="s">
        <v>170</v>
      </c>
      <c r="D299" s="173">
        <v>45688</v>
      </c>
      <c r="E299" s="174" t="s">
        <v>467</v>
      </c>
      <c r="F299" s="174" t="s">
        <v>393</v>
      </c>
      <c r="G299" s="174" t="s">
        <v>296</v>
      </c>
      <c r="H299" s="174" t="s">
        <v>376</v>
      </c>
      <c r="I299" s="174" t="s">
        <v>377</v>
      </c>
      <c r="J299" s="174" t="s">
        <v>465</v>
      </c>
      <c r="K299" s="174" t="s">
        <v>457</v>
      </c>
      <c r="L299" s="174" t="s">
        <v>458</v>
      </c>
      <c r="M299" s="174" t="s">
        <v>281</v>
      </c>
      <c r="N299" s="177">
        <v>224807370</v>
      </c>
      <c r="O299" s="174" t="s">
        <v>468</v>
      </c>
      <c r="P299" s="174" t="s">
        <v>283</v>
      </c>
      <c r="Q299" s="174" t="s">
        <v>284</v>
      </c>
      <c r="R299" s="174" t="s">
        <v>283</v>
      </c>
      <c r="S299" s="174" t="s">
        <v>283</v>
      </c>
      <c r="T299" s="175">
        <v>0</v>
      </c>
    </row>
    <row r="300" spans="1:20" x14ac:dyDescent="0.2">
      <c r="B300" s="168" t="s">
        <v>1</v>
      </c>
      <c r="C300" s="168" t="s">
        <v>170</v>
      </c>
      <c r="D300" s="173">
        <v>45688</v>
      </c>
      <c r="E300" s="174" t="s">
        <v>469</v>
      </c>
      <c r="F300" s="174" t="s">
        <v>392</v>
      </c>
      <c r="G300" s="174" t="s">
        <v>296</v>
      </c>
      <c r="H300" s="174" t="s">
        <v>366</v>
      </c>
      <c r="I300" s="174" t="s">
        <v>1</v>
      </c>
      <c r="J300" s="174" t="s">
        <v>465</v>
      </c>
      <c r="K300" s="174" t="s">
        <v>457</v>
      </c>
      <c r="L300" s="174" t="s">
        <v>458</v>
      </c>
      <c r="M300" s="174" t="s">
        <v>281</v>
      </c>
      <c r="N300" s="177">
        <v>-51324945</v>
      </c>
      <c r="O300" s="174" t="s">
        <v>470</v>
      </c>
      <c r="P300" s="174" t="s">
        <v>447</v>
      </c>
      <c r="Q300" s="174" t="s">
        <v>284</v>
      </c>
      <c r="R300" s="174" t="s">
        <v>283</v>
      </c>
      <c r="S300" s="174" t="s">
        <v>283</v>
      </c>
      <c r="T300" s="175">
        <v>0</v>
      </c>
    </row>
    <row r="301" spans="1:20" x14ac:dyDescent="0.2">
      <c r="B301" s="168" t="s">
        <v>10</v>
      </c>
      <c r="C301" s="168" t="s">
        <v>170</v>
      </c>
      <c r="D301" s="173">
        <v>45688</v>
      </c>
      <c r="E301" s="174" t="s">
        <v>469</v>
      </c>
      <c r="F301" s="174" t="s">
        <v>295</v>
      </c>
      <c r="G301" s="174" t="s">
        <v>296</v>
      </c>
      <c r="H301" s="174" t="s">
        <v>380</v>
      </c>
      <c r="I301" s="174" t="s">
        <v>381</v>
      </c>
      <c r="J301" s="174" t="s">
        <v>465</v>
      </c>
      <c r="K301" s="174" t="s">
        <v>457</v>
      </c>
      <c r="L301" s="174" t="s">
        <v>458</v>
      </c>
      <c r="M301" s="174" t="s">
        <v>281</v>
      </c>
      <c r="N301" s="177">
        <v>-98662635</v>
      </c>
      <c r="O301" s="174" t="s">
        <v>470</v>
      </c>
      <c r="P301" s="174" t="s">
        <v>447</v>
      </c>
      <c r="Q301" s="174" t="s">
        <v>284</v>
      </c>
      <c r="R301" s="174" t="s">
        <v>283</v>
      </c>
      <c r="S301" s="174" t="s">
        <v>283</v>
      </c>
      <c r="T301" s="175">
        <v>0</v>
      </c>
    </row>
    <row r="302" spans="1:20" x14ac:dyDescent="0.2">
      <c r="B302" s="168" t="s">
        <v>2</v>
      </c>
      <c r="C302" s="168" t="s">
        <v>170</v>
      </c>
      <c r="D302" s="173">
        <v>45688</v>
      </c>
      <c r="E302" s="174" t="s">
        <v>469</v>
      </c>
      <c r="F302" s="174" t="s">
        <v>295</v>
      </c>
      <c r="G302" s="174" t="s">
        <v>296</v>
      </c>
      <c r="H302" s="174" t="s">
        <v>378</v>
      </c>
      <c r="I302" s="174" t="s">
        <v>379</v>
      </c>
      <c r="J302" s="174" t="s">
        <v>465</v>
      </c>
      <c r="K302" s="174" t="s">
        <v>457</v>
      </c>
      <c r="L302" s="174" t="s">
        <v>458</v>
      </c>
      <c r="M302" s="174" t="s">
        <v>281</v>
      </c>
      <c r="N302" s="177">
        <v>-16645755</v>
      </c>
      <c r="O302" s="174" t="s">
        <v>470</v>
      </c>
      <c r="P302" s="174" t="s">
        <v>447</v>
      </c>
      <c r="Q302" s="174" t="s">
        <v>284</v>
      </c>
      <c r="R302" s="174" t="s">
        <v>283</v>
      </c>
      <c r="S302" s="174" t="s">
        <v>283</v>
      </c>
      <c r="T302" s="175">
        <v>0</v>
      </c>
    </row>
    <row r="303" spans="1:20" x14ac:dyDescent="0.2">
      <c r="B303" s="168" t="s">
        <v>7</v>
      </c>
      <c r="C303" s="168" t="s">
        <v>170</v>
      </c>
      <c r="D303" s="173">
        <v>45688</v>
      </c>
      <c r="E303" s="174" t="s">
        <v>469</v>
      </c>
      <c r="F303" s="174" t="s">
        <v>393</v>
      </c>
      <c r="G303" s="174" t="s">
        <v>296</v>
      </c>
      <c r="H303" s="174" t="s">
        <v>376</v>
      </c>
      <c r="I303" s="174" t="s">
        <v>377</v>
      </c>
      <c r="J303" s="174" t="s">
        <v>465</v>
      </c>
      <c r="K303" s="174" t="s">
        <v>457</v>
      </c>
      <c r="L303" s="174" t="s">
        <v>458</v>
      </c>
      <c r="M303" s="174" t="s">
        <v>281</v>
      </c>
      <c r="N303" s="177">
        <v>-224807370</v>
      </c>
      <c r="O303" s="174" t="s">
        <v>470</v>
      </c>
      <c r="P303" s="174" t="s">
        <v>447</v>
      </c>
      <c r="Q303" s="174" t="s">
        <v>284</v>
      </c>
      <c r="R303" s="174" t="s">
        <v>283</v>
      </c>
      <c r="S303" s="174" t="s">
        <v>283</v>
      </c>
      <c r="T303" s="175">
        <v>0</v>
      </c>
    </row>
    <row r="304" spans="1:20" x14ac:dyDescent="0.2">
      <c r="A304" s="169">
        <v>622</v>
      </c>
      <c r="B304" s="168" t="s">
        <v>8</v>
      </c>
      <c r="C304" s="168" t="s">
        <v>22</v>
      </c>
      <c r="D304" s="173">
        <v>45663</v>
      </c>
      <c r="E304" s="174" t="s">
        <v>516</v>
      </c>
      <c r="F304" s="174" t="s">
        <v>400</v>
      </c>
      <c r="G304" s="174" t="s">
        <v>401</v>
      </c>
      <c r="H304" s="174" t="s">
        <v>402</v>
      </c>
      <c r="I304" s="174" t="s">
        <v>403</v>
      </c>
      <c r="J304" s="174" t="s">
        <v>517</v>
      </c>
      <c r="K304" s="174" t="s">
        <v>518</v>
      </c>
      <c r="L304" s="174" t="s">
        <v>458</v>
      </c>
      <c r="M304" s="174" t="s">
        <v>281</v>
      </c>
      <c r="N304" s="177">
        <v>1793750</v>
      </c>
      <c r="O304" s="174" t="s">
        <v>519</v>
      </c>
      <c r="P304" s="174" t="s">
        <v>283</v>
      </c>
      <c r="Q304" s="174" t="s">
        <v>306</v>
      </c>
      <c r="R304" s="174" t="s">
        <v>283</v>
      </c>
      <c r="S304" s="174" t="s">
        <v>283</v>
      </c>
      <c r="T304" s="175">
        <v>0</v>
      </c>
    </row>
    <row r="305" spans="1:20" x14ac:dyDescent="0.2">
      <c r="B305" s="168" t="s">
        <v>6</v>
      </c>
      <c r="C305" s="168" t="s">
        <v>25</v>
      </c>
      <c r="D305" s="173">
        <v>45682</v>
      </c>
      <c r="E305" s="174" t="s">
        <v>490</v>
      </c>
      <c r="F305" s="174" t="s">
        <v>375</v>
      </c>
      <c r="G305" s="174" t="s">
        <v>336</v>
      </c>
      <c r="H305" s="174" t="s">
        <v>411</v>
      </c>
      <c r="I305" s="174" t="s">
        <v>412</v>
      </c>
      <c r="J305" s="174" t="s">
        <v>491</v>
      </c>
      <c r="K305" s="174" t="s">
        <v>338</v>
      </c>
      <c r="L305" s="174" t="s">
        <v>458</v>
      </c>
      <c r="M305" s="174" t="s">
        <v>281</v>
      </c>
      <c r="N305" s="177">
        <v>29275000</v>
      </c>
      <c r="O305" s="174" t="s">
        <v>492</v>
      </c>
      <c r="P305" s="174" t="s">
        <v>283</v>
      </c>
      <c r="Q305" s="174" t="s">
        <v>306</v>
      </c>
      <c r="R305" s="174" t="s">
        <v>283</v>
      </c>
      <c r="S305" s="174" t="s">
        <v>283</v>
      </c>
      <c r="T305" s="175">
        <v>0</v>
      </c>
    </row>
    <row r="306" spans="1:20" x14ac:dyDescent="0.2">
      <c r="A306" s="169">
        <v>622</v>
      </c>
      <c r="B306" s="168" t="s">
        <v>8</v>
      </c>
      <c r="C306" s="168" t="s">
        <v>25</v>
      </c>
      <c r="D306" s="173">
        <v>45688</v>
      </c>
      <c r="E306" s="174" t="s">
        <v>520</v>
      </c>
      <c r="F306" s="174" t="s">
        <v>414</v>
      </c>
      <c r="G306" s="174" t="s">
        <v>415</v>
      </c>
      <c r="H306" s="174" t="s">
        <v>402</v>
      </c>
      <c r="I306" s="174" t="s">
        <v>403</v>
      </c>
      <c r="J306" s="174" t="s">
        <v>416</v>
      </c>
      <c r="K306" s="174" t="s">
        <v>416</v>
      </c>
      <c r="L306" s="174" t="s">
        <v>458</v>
      </c>
      <c r="M306" s="174" t="s">
        <v>281</v>
      </c>
      <c r="N306" s="177">
        <v>81800000</v>
      </c>
      <c r="O306" s="174" t="s">
        <v>521</v>
      </c>
      <c r="P306" s="174" t="s">
        <v>283</v>
      </c>
      <c r="Q306" s="174" t="s">
        <v>348</v>
      </c>
      <c r="R306" s="174" t="s">
        <v>283</v>
      </c>
      <c r="S306" s="174" t="s">
        <v>283</v>
      </c>
      <c r="T306" s="175">
        <v>0</v>
      </c>
    </row>
    <row r="307" spans="1:20" x14ac:dyDescent="0.2">
      <c r="B307" s="168" t="s">
        <v>6</v>
      </c>
      <c r="C307" s="168" t="s">
        <v>25</v>
      </c>
      <c r="D307" s="173">
        <v>45688</v>
      </c>
      <c r="E307" s="174" t="s">
        <v>455</v>
      </c>
      <c r="F307" s="174" t="s">
        <v>386</v>
      </c>
      <c r="G307" s="174" t="s">
        <v>341</v>
      </c>
      <c r="H307" s="174" t="s">
        <v>411</v>
      </c>
      <c r="I307" s="174" t="s">
        <v>412</v>
      </c>
      <c r="J307" s="174" t="s">
        <v>456</v>
      </c>
      <c r="K307" s="174" t="s">
        <v>457</v>
      </c>
      <c r="L307" s="174" t="s">
        <v>458</v>
      </c>
      <c r="M307" s="174" t="s">
        <v>281</v>
      </c>
      <c r="N307" s="177">
        <v>22777328</v>
      </c>
      <c r="O307" s="174" t="s">
        <v>459</v>
      </c>
      <c r="P307" s="174" t="s">
        <v>283</v>
      </c>
      <c r="Q307" s="174" t="s">
        <v>284</v>
      </c>
      <c r="R307" s="174" t="s">
        <v>283</v>
      </c>
      <c r="S307" s="174" t="s">
        <v>283</v>
      </c>
      <c r="T307" s="175">
        <v>0</v>
      </c>
    </row>
    <row r="308" spans="1:20" x14ac:dyDescent="0.2">
      <c r="B308" s="168" t="s">
        <v>6</v>
      </c>
      <c r="C308" s="168" t="s">
        <v>22</v>
      </c>
      <c r="D308" s="173">
        <v>45688</v>
      </c>
      <c r="E308" s="174" t="s">
        <v>455</v>
      </c>
      <c r="F308" s="174" t="s">
        <v>387</v>
      </c>
      <c r="G308" s="174" t="s">
        <v>275</v>
      </c>
      <c r="H308" s="174" t="s">
        <v>411</v>
      </c>
      <c r="I308" s="174" t="s">
        <v>412</v>
      </c>
      <c r="J308" s="174" t="s">
        <v>456</v>
      </c>
      <c r="K308" s="174" t="s">
        <v>457</v>
      </c>
      <c r="L308" s="174" t="s">
        <v>458</v>
      </c>
      <c r="M308" s="174" t="s">
        <v>281</v>
      </c>
      <c r="N308" s="177">
        <v>467842027</v>
      </c>
      <c r="O308" s="174" t="s">
        <v>459</v>
      </c>
      <c r="P308" s="174" t="s">
        <v>283</v>
      </c>
      <c r="Q308" s="174" t="s">
        <v>284</v>
      </c>
      <c r="R308" s="174" t="s">
        <v>283</v>
      </c>
      <c r="S308" s="174" t="s">
        <v>283</v>
      </c>
      <c r="T308" s="175">
        <v>0</v>
      </c>
    </row>
    <row r="309" spans="1:20" x14ac:dyDescent="0.2">
      <c r="B309" s="168" t="s">
        <v>6</v>
      </c>
      <c r="C309" s="168" t="s">
        <v>22</v>
      </c>
      <c r="D309" s="173">
        <v>45688</v>
      </c>
      <c r="E309" s="174" t="s">
        <v>455</v>
      </c>
      <c r="F309" s="174" t="s">
        <v>388</v>
      </c>
      <c r="G309" s="174" t="s">
        <v>286</v>
      </c>
      <c r="H309" s="174" t="s">
        <v>411</v>
      </c>
      <c r="I309" s="174" t="s">
        <v>412</v>
      </c>
      <c r="J309" s="174" t="s">
        <v>456</v>
      </c>
      <c r="K309" s="174" t="s">
        <v>457</v>
      </c>
      <c r="L309" s="174" t="s">
        <v>458</v>
      </c>
      <c r="M309" s="174" t="s">
        <v>281</v>
      </c>
      <c r="N309" s="177">
        <v>27707830</v>
      </c>
      <c r="O309" s="174" t="s">
        <v>459</v>
      </c>
      <c r="P309" s="174" t="s">
        <v>283</v>
      </c>
      <c r="Q309" s="174" t="s">
        <v>284</v>
      </c>
      <c r="R309" s="174" t="s">
        <v>283</v>
      </c>
      <c r="S309" s="174" t="s">
        <v>283</v>
      </c>
      <c r="T309" s="175">
        <v>0</v>
      </c>
    </row>
    <row r="310" spans="1:20" x14ac:dyDescent="0.2">
      <c r="B310" s="168" t="s">
        <v>6</v>
      </c>
      <c r="C310" s="168" t="s">
        <v>23</v>
      </c>
      <c r="D310" s="173">
        <v>45688</v>
      </c>
      <c r="E310" s="174" t="s">
        <v>455</v>
      </c>
      <c r="F310" s="174" t="s">
        <v>389</v>
      </c>
      <c r="G310" s="174" t="s">
        <v>390</v>
      </c>
      <c r="H310" s="174" t="s">
        <v>411</v>
      </c>
      <c r="I310" s="174" t="s">
        <v>412</v>
      </c>
      <c r="J310" s="174" t="s">
        <v>456</v>
      </c>
      <c r="K310" s="174" t="s">
        <v>457</v>
      </c>
      <c r="L310" s="174" t="s">
        <v>458</v>
      </c>
      <c r="M310" s="174" t="s">
        <v>281</v>
      </c>
      <c r="N310" s="177">
        <v>158408018</v>
      </c>
      <c r="O310" s="174" t="s">
        <v>459</v>
      </c>
      <c r="P310" s="174" t="s">
        <v>283</v>
      </c>
      <c r="Q310" s="174" t="s">
        <v>284</v>
      </c>
      <c r="R310" s="174" t="s">
        <v>283</v>
      </c>
      <c r="S310" s="174" t="s">
        <v>283</v>
      </c>
      <c r="T310" s="175">
        <v>0</v>
      </c>
    </row>
    <row r="311" spans="1:20" x14ac:dyDescent="0.2">
      <c r="B311" s="168" t="s">
        <v>6</v>
      </c>
      <c r="C311" s="168" t="s">
        <v>24</v>
      </c>
      <c r="D311" s="173">
        <v>45688</v>
      </c>
      <c r="E311" s="174" t="s">
        <v>455</v>
      </c>
      <c r="F311" s="174" t="s">
        <v>391</v>
      </c>
      <c r="G311" s="174" t="s">
        <v>291</v>
      </c>
      <c r="H311" s="174" t="s">
        <v>411</v>
      </c>
      <c r="I311" s="174" t="s">
        <v>412</v>
      </c>
      <c r="J311" s="174" t="s">
        <v>456</v>
      </c>
      <c r="K311" s="174" t="s">
        <v>457</v>
      </c>
      <c r="L311" s="174" t="s">
        <v>458</v>
      </c>
      <c r="M311" s="174" t="s">
        <v>281</v>
      </c>
      <c r="N311" s="177">
        <v>17500000</v>
      </c>
      <c r="O311" s="174" t="s">
        <v>459</v>
      </c>
      <c r="P311" s="174" t="s">
        <v>283</v>
      </c>
      <c r="Q311" s="174" t="s">
        <v>284</v>
      </c>
      <c r="R311" s="174" t="s">
        <v>283</v>
      </c>
      <c r="S311" s="174" t="s">
        <v>283</v>
      </c>
      <c r="T311" s="175">
        <v>0</v>
      </c>
    </row>
    <row r="312" spans="1:20" x14ac:dyDescent="0.2">
      <c r="B312" s="168" t="s">
        <v>6</v>
      </c>
      <c r="C312" s="168" t="s">
        <v>25</v>
      </c>
      <c r="D312" s="173">
        <v>45688</v>
      </c>
      <c r="E312" s="174" t="s">
        <v>455</v>
      </c>
      <c r="F312" s="174" t="s">
        <v>375</v>
      </c>
      <c r="G312" s="174" t="s">
        <v>336</v>
      </c>
      <c r="H312" s="174" t="s">
        <v>411</v>
      </c>
      <c r="I312" s="174" t="s">
        <v>412</v>
      </c>
      <c r="J312" s="174" t="s">
        <v>456</v>
      </c>
      <c r="K312" s="174" t="s">
        <v>457</v>
      </c>
      <c r="L312" s="174" t="s">
        <v>458</v>
      </c>
      <c r="M312" s="174" t="s">
        <v>281</v>
      </c>
      <c r="N312" s="177">
        <v>7485000</v>
      </c>
      <c r="O312" s="174" t="s">
        <v>459</v>
      </c>
      <c r="P312" s="174" t="s">
        <v>283</v>
      </c>
      <c r="Q312" s="174" t="s">
        <v>284</v>
      </c>
      <c r="R312" s="174" t="s">
        <v>283</v>
      </c>
      <c r="S312" s="174" t="s">
        <v>283</v>
      </c>
      <c r="T312" s="175">
        <v>0</v>
      </c>
    </row>
    <row r="313" spans="1:20" x14ac:dyDescent="0.2">
      <c r="B313" s="168" t="s">
        <v>4</v>
      </c>
      <c r="C313" s="168" t="s">
        <v>22</v>
      </c>
      <c r="D313" s="173">
        <v>45688</v>
      </c>
      <c r="E313" s="174" t="s">
        <v>455</v>
      </c>
      <c r="F313" s="174" t="s">
        <v>387</v>
      </c>
      <c r="G313" s="174" t="s">
        <v>275</v>
      </c>
      <c r="H313" s="174" t="s">
        <v>418</v>
      </c>
      <c r="I313" s="174" t="s">
        <v>419</v>
      </c>
      <c r="J313" s="174" t="s">
        <v>456</v>
      </c>
      <c r="K313" s="174" t="s">
        <v>457</v>
      </c>
      <c r="L313" s="174" t="s">
        <v>458</v>
      </c>
      <c r="M313" s="174" t="s">
        <v>281</v>
      </c>
      <c r="N313" s="177">
        <v>135414904</v>
      </c>
      <c r="O313" s="174" t="s">
        <v>459</v>
      </c>
      <c r="P313" s="174" t="s">
        <v>283</v>
      </c>
      <c r="Q313" s="174" t="s">
        <v>284</v>
      </c>
      <c r="R313" s="174" t="s">
        <v>283</v>
      </c>
      <c r="S313" s="174" t="s">
        <v>283</v>
      </c>
      <c r="T313" s="175">
        <v>0</v>
      </c>
    </row>
    <row r="314" spans="1:20" x14ac:dyDescent="0.2">
      <c r="B314" s="168" t="s">
        <v>4</v>
      </c>
      <c r="C314" s="168" t="s">
        <v>22</v>
      </c>
      <c r="D314" s="173">
        <v>45688</v>
      </c>
      <c r="E314" s="174" t="s">
        <v>455</v>
      </c>
      <c r="F314" s="174" t="s">
        <v>388</v>
      </c>
      <c r="G314" s="174" t="s">
        <v>286</v>
      </c>
      <c r="H314" s="174" t="s">
        <v>418</v>
      </c>
      <c r="I314" s="174" t="s">
        <v>419</v>
      </c>
      <c r="J314" s="174" t="s">
        <v>456</v>
      </c>
      <c r="K314" s="174" t="s">
        <v>457</v>
      </c>
      <c r="L314" s="174" t="s">
        <v>458</v>
      </c>
      <c r="M314" s="174" t="s">
        <v>281</v>
      </c>
      <c r="N314" s="177">
        <v>10415923</v>
      </c>
      <c r="O314" s="174" t="s">
        <v>459</v>
      </c>
      <c r="P314" s="174" t="s">
        <v>283</v>
      </c>
      <c r="Q314" s="174" t="s">
        <v>284</v>
      </c>
      <c r="R314" s="174" t="s">
        <v>283</v>
      </c>
      <c r="S314" s="174" t="s">
        <v>283</v>
      </c>
      <c r="T314" s="175">
        <v>0</v>
      </c>
    </row>
    <row r="315" spans="1:20" x14ac:dyDescent="0.2">
      <c r="B315" s="168" t="s">
        <v>4</v>
      </c>
      <c r="C315" s="168" t="s">
        <v>24</v>
      </c>
      <c r="D315" s="173">
        <v>45688</v>
      </c>
      <c r="E315" s="174" t="s">
        <v>455</v>
      </c>
      <c r="F315" s="174" t="s">
        <v>391</v>
      </c>
      <c r="G315" s="174" t="s">
        <v>291</v>
      </c>
      <c r="H315" s="174" t="s">
        <v>418</v>
      </c>
      <c r="I315" s="174" t="s">
        <v>419</v>
      </c>
      <c r="J315" s="174" t="s">
        <v>456</v>
      </c>
      <c r="K315" s="174" t="s">
        <v>457</v>
      </c>
      <c r="L315" s="174" t="s">
        <v>458</v>
      </c>
      <c r="M315" s="174" t="s">
        <v>281</v>
      </c>
      <c r="N315" s="177">
        <v>1200000</v>
      </c>
      <c r="O315" s="174" t="s">
        <v>459</v>
      </c>
      <c r="P315" s="174" t="s">
        <v>283</v>
      </c>
      <c r="Q315" s="174" t="s">
        <v>284</v>
      </c>
      <c r="R315" s="174" t="s">
        <v>283</v>
      </c>
      <c r="S315" s="174" t="s">
        <v>283</v>
      </c>
      <c r="T315" s="175">
        <v>0</v>
      </c>
    </row>
    <row r="316" spans="1:20" x14ac:dyDescent="0.2">
      <c r="B316" s="168" t="s">
        <v>4</v>
      </c>
      <c r="C316" s="168" t="s">
        <v>25</v>
      </c>
      <c r="D316" s="173">
        <v>45688</v>
      </c>
      <c r="E316" s="174" t="s">
        <v>455</v>
      </c>
      <c r="F316" s="174" t="s">
        <v>375</v>
      </c>
      <c r="G316" s="174" t="s">
        <v>336</v>
      </c>
      <c r="H316" s="174" t="s">
        <v>418</v>
      </c>
      <c r="I316" s="174" t="s">
        <v>419</v>
      </c>
      <c r="J316" s="174" t="s">
        <v>456</v>
      </c>
      <c r="K316" s="174" t="s">
        <v>457</v>
      </c>
      <c r="L316" s="174" t="s">
        <v>458</v>
      </c>
      <c r="M316" s="174" t="s">
        <v>281</v>
      </c>
      <c r="N316" s="177">
        <v>50000</v>
      </c>
      <c r="O316" s="174" t="s">
        <v>459</v>
      </c>
      <c r="P316" s="174" t="s">
        <v>283</v>
      </c>
      <c r="Q316" s="174" t="s">
        <v>284</v>
      </c>
      <c r="R316" s="174" t="s">
        <v>283</v>
      </c>
      <c r="S316" s="174" t="s">
        <v>283</v>
      </c>
      <c r="T316" s="175">
        <v>0</v>
      </c>
    </row>
    <row r="317" spans="1:20" x14ac:dyDescent="0.2">
      <c r="A317" s="169">
        <v>622</v>
      </c>
      <c r="B317" s="168" t="s">
        <v>8</v>
      </c>
      <c r="C317" s="168" t="s">
        <v>22</v>
      </c>
      <c r="D317" s="173">
        <v>45688</v>
      </c>
      <c r="E317" s="174" t="s">
        <v>455</v>
      </c>
      <c r="F317" s="174" t="s">
        <v>400</v>
      </c>
      <c r="G317" s="174" t="s">
        <v>401</v>
      </c>
      <c r="H317" s="174" t="s">
        <v>402</v>
      </c>
      <c r="I317" s="174" t="s">
        <v>403</v>
      </c>
      <c r="J317" s="174" t="s">
        <v>456</v>
      </c>
      <c r="K317" s="174" t="s">
        <v>457</v>
      </c>
      <c r="L317" s="174" t="s">
        <v>458</v>
      </c>
      <c r="M317" s="174" t="s">
        <v>281</v>
      </c>
      <c r="N317" s="177">
        <v>1398935257</v>
      </c>
      <c r="O317" s="174" t="s">
        <v>459</v>
      </c>
      <c r="P317" s="174" t="s">
        <v>283</v>
      </c>
      <c r="Q317" s="174" t="s">
        <v>284</v>
      </c>
      <c r="R317" s="174" t="s">
        <v>283</v>
      </c>
      <c r="S317" s="174" t="s">
        <v>283</v>
      </c>
      <c r="T317" s="175">
        <v>0</v>
      </c>
    </row>
    <row r="318" spans="1:20" x14ac:dyDescent="0.2">
      <c r="A318" s="169">
        <v>622</v>
      </c>
      <c r="B318" s="168" t="s">
        <v>8</v>
      </c>
      <c r="C318" s="168" t="s">
        <v>22</v>
      </c>
      <c r="D318" s="173">
        <v>45688</v>
      </c>
      <c r="E318" s="174" t="s">
        <v>455</v>
      </c>
      <c r="F318" s="174" t="s">
        <v>420</v>
      </c>
      <c r="G318" s="174" t="s">
        <v>286</v>
      </c>
      <c r="H318" s="174" t="s">
        <v>402</v>
      </c>
      <c r="I318" s="174" t="s">
        <v>403</v>
      </c>
      <c r="J318" s="174" t="s">
        <v>456</v>
      </c>
      <c r="K318" s="174" t="s">
        <v>457</v>
      </c>
      <c r="L318" s="174" t="s">
        <v>458</v>
      </c>
      <c r="M318" s="174" t="s">
        <v>281</v>
      </c>
      <c r="N318" s="177">
        <v>136066273</v>
      </c>
      <c r="O318" s="174" t="s">
        <v>459</v>
      </c>
      <c r="P318" s="174" t="s">
        <v>283</v>
      </c>
      <c r="Q318" s="174" t="s">
        <v>284</v>
      </c>
      <c r="R318" s="174" t="s">
        <v>283</v>
      </c>
      <c r="S318" s="174" t="s">
        <v>283</v>
      </c>
      <c r="T318" s="175">
        <v>0</v>
      </c>
    </row>
    <row r="319" spans="1:20" x14ac:dyDescent="0.2">
      <c r="A319" s="169">
        <v>622</v>
      </c>
      <c r="B319" s="168" t="s">
        <v>8</v>
      </c>
      <c r="C319" s="168" t="s">
        <v>25</v>
      </c>
      <c r="D319" s="173">
        <v>45688</v>
      </c>
      <c r="E319" s="174" t="s">
        <v>455</v>
      </c>
      <c r="F319" s="174" t="s">
        <v>421</v>
      </c>
      <c r="G319" s="174" t="s">
        <v>341</v>
      </c>
      <c r="H319" s="174" t="s">
        <v>402</v>
      </c>
      <c r="I319" s="174" t="s">
        <v>403</v>
      </c>
      <c r="J319" s="174" t="s">
        <v>456</v>
      </c>
      <c r="K319" s="174" t="s">
        <v>457</v>
      </c>
      <c r="L319" s="174" t="s">
        <v>458</v>
      </c>
      <c r="M319" s="174" t="s">
        <v>281</v>
      </c>
      <c r="N319" s="177">
        <v>102386013</v>
      </c>
      <c r="O319" s="174" t="s">
        <v>459</v>
      </c>
      <c r="P319" s="174" t="s">
        <v>283</v>
      </c>
      <c r="Q319" s="174" t="s">
        <v>284</v>
      </c>
      <c r="R319" s="174" t="s">
        <v>283</v>
      </c>
      <c r="S319" s="174" t="s">
        <v>283</v>
      </c>
      <c r="T319" s="175">
        <v>0</v>
      </c>
    </row>
    <row r="320" spans="1:20" x14ac:dyDescent="0.2">
      <c r="A320" s="169">
        <v>622</v>
      </c>
      <c r="B320" s="168" t="s">
        <v>8</v>
      </c>
      <c r="C320" s="168" t="s">
        <v>23</v>
      </c>
      <c r="D320" s="173">
        <v>45688</v>
      </c>
      <c r="E320" s="174" t="s">
        <v>455</v>
      </c>
      <c r="F320" s="174" t="s">
        <v>422</v>
      </c>
      <c r="G320" s="174" t="s">
        <v>423</v>
      </c>
      <c r="H320" s="174" t="s">
        <v>402</v>
      </c>
      <c r="I320" s="174" t="s">
        <v>403</v>
      </c>
      <c r="J320" s="174" t="s">
        <v>456</v>
      </c>
      <c r="K320" s="174" t="s">
        <v>457</v>
      </c>
      <c r="L320" s="174" t="s">
        <v>458</v>
      </c>
      <c r="M320" s="174" t="s">
        <v>281</v>
      </c>
      <c r="N320" s="177">
        <v>273597430</v>
      </c>
      <c r="O320" s="174" t="s">
        <v>459</v>
      </c>
      <c r="P320" s="174" t="s">
        <v>283</v>
      </c>
      <c r="Q320" s="174" t="s">
        <v>284</v>
      </c>
      <c r="R320" s="174" t="s">
        <v>283</v>
      </c>
      <c r="S320" s="174" t="s">
        <v>283</v>
      </c>
      <c r="T320" s="175">
        <v>0</v>
      </c>
    </row>
    <row r="321" spans="1:20" x14ac:dyDescent="0.2">
      <c r="A321" s="169">
        <v>622</v>
      </c>
      <c r="B321" s="168" t="s">
        <v>8</v>
      </c>
      <c r="C321" s="168" t="s">
        <v>24</v>
      </c>
      <c r="D321" s="173">
        <v>45688</v>
      </c>
      <c r="E321" s="174" t="s">
        <v>455</v>
      </c>
      <c r="F321" s="174" t="s">
        <v>424</v>
      </c>
      <c r="G321" s="174" t="s">
        <v>291</v>
      </c>
      <c r="H321" s="174" t="s">
        <v>402</v>
      </c>
      <c r="I321" s="174" t="s">
        <v>403</v>
      </c>
      <c r="J321" s="174" t="s">
        <v>456</v>
      </c>
      <c r="K321" s="174" t="s">
        <v>457</v>
      </c>
      <c r="L321" s="174" t="s">
        <v>458</v>
      </c>
      <c r="M321" s="174" t="s">
        <v>281</v>
      </c>
      <c r="N321" s="177">
        <v>86800000</v>
      </c>
      <c r="O321" s="174" t="s">
        <v>459</v>
      </c>
      <c r="P321" s="174" t="s">
        <v>283</v>
      </c>
      <c r="Q321" s="174" t="s">
        <v>284</v>
      </c>
      <c r="R321" s="174" t="s">
        <v>283</v>
      </c>
      <c r="S321" s="174" t="s">
        <v>283</v>
      </c>
      <c r="T321" s="175">
        <v>0</v>
      </c>
    </row>
    <row r="322" spans="1:20" x14ac:dyDescent="0.2">
      <c r="A322" s="169">
        <v>622</v>
      </c>
      <c r="B322" s="168" t="s">
        <v>8</v>
      </c>
      <c r="C322" s="168" t="s">
        <v>25</v>
      </c>
      <c r="D322" s="173">
        <v>45688</v>
      </c>
      <c r="E322" s="174" t="s">
        <v>455</v>
      </c>
      <c r="F322" s="174" t="s">
        <v>414</v>
      </c>
      <c r="G322" s="174" t="s">
        <v>415</v>
      </c>
      <c r="H322" s="174" t="s">
        <v>402</v>
      </c>
      <c r="I322" s="174" t="s">
        <v>403</v>
      </c>
      <c r="J322" s="174" t="s">
        <v>456</v>
      </c>
      <c r="K322" s="174" t="s">
        <v>457</v>
      </c>
      <c r="L322" s="174" t="s">
        <v>458</v>
      </c>
      <c r="M322" s="174" t="s">
        <v>281</v>
      </c>
      <c r="N322" s="177">
        <v>29210000</v>
      </c>
      <c r="O322" s="174" t="s">
        <v>459</v>
      </c>
      <c r="P322" s="174" t="s">
        <v>283</v>
      </c>
      <c r="Q322" s="174" t="s">
        <v>284</v>
      </c>
      <c r="R322" s="174" t="s">
        <v>283</v>
      </c>
      <c r="S322" s="174" t="s">
        <v>283</v>
      </c>
      <c r="T322" s="175">
        <v>0</v>
      </c>
    </row>
    <row r="323" spans="1:20" x14ac:dyDescent="0.2">
      <c r="A323" s="169">
        <v>627</v>
      </c>
      <c r="B323" s="168" t="s">
        <v>8</v>
      </c>
      <c r="C323" s="168" t="s">
        <v>25</v>
      </c>
      <c r="D323" s="173">
        <v>45688</v>
      </c>
      <c r="E323" s="174" t="s">
        <v>455</v>
      </c>
      <c r="F323" s="174" t="s">
        <v>386</v>
      </c>
      <c r="G323" s="174" t="s">
        <v>341</v>
      </c>
      <c r="H323" s="174" t="s">
        <v>402</v>
      </c>
      <c r="I323" s="174" t="s">
        <v>403</v>
      </c>
      <c r="J323" s="174" t="s">
        <v>456</v>
      </c>
      <c r="K323" s="174" t="s">
        <v>457</v>
      </c>
      <c r="L323" s="174" t="s">
        <v>458</v>
      </c>
      <c r="M323" s="174" t="s">
        <v>281</v>
      </c>
      <c r="N323" s="177">
        <v>12272713</v>
      </c>
      <c r="O323" s="174" t="s">
        <v>459</v>
      </c>
      <c r="P323" s="174" t="s">
        <v>283</v>
      </c>
      <c r="Q323" s="174" t="s">
        <v>284</v>
      </c>
      <c r="R323" s="174" t="s">
        <v>283</v>
      </c>
      <c r="S323" s="174" t="s">
        <v>283</v>
      </c>
      <c r="T323" s="175">
        <v>0</v>
      </c>
    </row>
    <row r="324" spans="1:20" x14ac:dyDescent="0.2">
      <c r="A324" s="169">
        <v>627</v>
      </c>
      <c r="B324" s="168" t="s">
        <v>8</v>
      </c>
      <c r="C324" s="168" t="s">
        <v>22</v>
      </c>
      <c r="D324" s="173">
        <v>45688</v>
      </c>
      <c r="E324" s="174" t="s">
        <v>455</v>
      </c>
      <c r="F324" s="174" t="s">
        <v>387</v>
      </c>
      <c r="G324" s="174" t="s">
        <v>275</v>
      </c>
      <c r="H324" s="174" t="s">
        <v>402</v>
      </c>
      <c r="I324" s="174" t="s">
        <v>403</v>
      </c>
      <c r="J324" s="174" t="s">
        <v>456</v>
      </c>
      <c r="K324" s="174" t="s">
        <v>457</v>
      </c>
      <c r="L324" s="174" t="s">
        <v>458</v>
      </c>
      <c r="M324" s="174" t="s">
        <v>281</v>
      </c>
      <c r="N324" s="177">
        <v>418775524</v>
      </c>
      <c r="O324" s="174" t="s">
        <v>459</v>
      </c>
      <c r="P324" s="174" t="s">
        <v>283</v>
      </c>
      <c r="Q324" s="174" t="s">
        <v>284</v>
      </c>
      <c r="R324" s="174" t="s">
        <v>283</v>
      </c>
      <c r="S324" s="174" t="s">
        <v>283</v>
      </c>
      <c r="T324" s="175">
        <v>0</v>
      </c>
    </row>
    <row r="325" spans="1:20" x14ac:dyDescent="0.2">
      <c r="A325" s="169">
        <v>627</v>
      </c>
      <c r="B325" s="168" t="s">
        <v>8</v>
      </c>
      <c r="C325" s="168" t="s">
        <v>22</v>
      </c>
      <c r="D325" s="173">
        <v>45688</v>
      </c>
      <c r="E325" s="174" t="s">
        <v>455</v>
      </c>
      <c r="F325" s="174" t="s">
        <v>388</v>
      </c>
      <c r="G325" s="174" t="s">
        <v>286</v>
      </c>
      <c r="H325" s="174" t="s">
        <v>402</v>
      </c>
      <c r="I325" s="174" t="s">
        <v>403</v>
      </c>
      <c r="J325" s="174" t="s">
        <v>456</v>
      </c>
      <c r="K325" s="174" t="s">
        <v>457</v>
      </c>
      <c r="L325" s="174" t="s">
        <v>458</v>
      </c>
      <c r="M325" s="174" t="s">
        <v>281</v>
      </c>
      <c r="N325" s="177">
        <v>32100346</v>
      </c>
      <c r="O325" s="174" t="s">
        <v>459</v>
      </c>
      <c r="P325" s="174" t="s">
        <v>283</v>
      </c>
      <c r="Q325" s="174" t="s">
        <v>284</v>
      </c>
      <c r="R325" s="174" t="s">
        <v>283</v>
      </c>
      <c r="S325" s="174" t="s">
        <v>283</v>
      </c>
      <c r="T325" s="175">
        <v>0</v>
      </c>
    </row>
    <row r="326" spans="1:20" x14ac:dyDescent="0.2">
      <c r="A326" s="169">
        <v>627</v>
      </c>
      <c r="B326" s="168" t="s">
        <v>8</v>
      </c>
      <c r="C326" s="168" t="s">
        <v>23</v>
      </c>
      <c r="D326" s="173">
        <v>45688</v>
      </c>
      <c r="E326" s="174" t="s">
        <v>455</v>
      </c>
      <c r="F326" s="174" t="s">
        <v>389</v>
      </c>
      <c r="G326" s="174" t="s">
        <v>390</v>
      </c>
      <c r="H326" s="174" t="s">
        <v>402</v>
      </c>
      <c r="I326" s="174" t="s">
        <v>403</v>
      </c>
      <c r="J326" s="174" t="s">
        <v>456</v>
      </c>
      <c r="K326" s="174" t="s">
        <v>457</v>
      </c>
      <c r="L326" s="174" t="s">
        <v>458</v>
      </c>
      <c r="M326" s="174" t="s">
        <v>281</v>
      </c>
      <c r="N326" s="177">
        <v>38375580</v>
      </c>
      <c r="O326" s="174" t="s">
        <v>459</v>
      </c>
      <c r="P326" s="174" t="s">
        <v>283</v>
      </c>
      <c r="Q326" s="174" t="s">
        <v>284</v>
      </c>
      <c r="R326" s="174" t="s">
        <v>283</v>
      </c>
      <c r="S326" s="174" t="s">
        <v>283</v>
      </c>
      <c r="T326" s="175">
        <v>0</v>
      </c>
    </row>
    <row r="327" spans="1:20" x14ac:dyDescent="0.2">
      <c r="A327" s="169">
        <v>627</v>
      </c>
      <c r="B327" s="168" t="s">
        <v>8</v>
      </c>
      <c r="C327" s="168" t="s">
        <v>24</v>
      </c>
      <c r="D327" s="173">
        <v>45688</v>
      </c>
      <c r="E327" s="174" t="s">
        <v>455</v>
      </c>
      <c r="F327" s="174" t="s">
        <v>391</v>
      </c>
      <c r="G327" s="174" t="s">
        <v>291</v>
      </c>
      <c r="H327" s="174" t="s">
        <v>402</v>
      </c>
      <c r="I327" s="174" t="s">
        <v>403</v>
      </c>
      <c r="J327" s="174" t="s">
        <v>456</v>
      </c>
      <c r="K327" s="174" t="s">
        <v>457</v>
      </c>
      <c r="L327" s="174" t="s">
        <v>458</v>
      </c>
      <c r="M327" s="174" t="s">
        <v>281</v>
      </c>
      <c r="N327" s="177">
        <v>8900000</v>
      </c>
      <c r="O327" s="174" t="s">
        <v>459</v>
      </c>
      <c r="P327" s="174" t="s">
        <v>283</v>
      </c>
      <c r="Q327" s="174" t="s">
        <v>284</v>
      </c>
      <c r="R327" s="174" t="s">
        <v>283</v>
      </c>
      <c r="S327" s="174" t="s">
        <v>283</v>
      </c>
      <c r="T327" s="175">
        <v>0</v>
      </c>
    </row>
    <row r="328" spans="1:20" x14ac:dyDescent="0.2">
      <c r="B328" s="168" t="s">
        <v>6</v>
      </c>
      <c r="C328" s="168" t="s">
        <v>22</v>
      </c>
      <c r="D328" s="173">
        <v>45688</v>
      </c>
      <c r="E328" s="174" t="s">
        <v>460</v>
      </c>
      <c r="F328" s="174" t="s">
        <v>388</v>
      </c>
      <c r="G328" s="174" t="s">
        <v>286</v>
      </c>
      <c r="H328" s="174" t="s">
        <v>411</v>
      </c>
      <c r="I328" s="174" t="s">
        <v>412</v>
      </c>
      <c r="J328" s="174" t="s">
        <v>461</v>
      </c>
      <c r="K328" s="174" t="s">
        <v>457</v>
      </c>
      <c r="L328" s="174" t="s">
        <v>458</v>
      </c>
      <c r="M328" s="174" t="s">
        <v>281</v>
      </c>
      <c r="N328" s="177">
        <v>37567000</v>
      </c>
      <c r="O328" s="174" t="s">
        <v>462</v>
      </c>
      <c r="P328" s="174" t="s">
        <v>283</v>
      </c>
      <c r="Q328" s="174" t="s">
        <v>284</v>
      </c>
      <c r="R328" s="174" t="s">
        <v>283</v>
      </c>
      <c r="S328" s="174" t="s">
        <v>283</v>
      </c>
      <c r="T328" s="175">
        <v>0</v>
      </c>
    </row>
    <row r="329" spans="1:20" x14ac:dyDescent="0.2">
      <c r="B329" s="168" t="s">
        <v>6</v>
      </c>
      <c r="C329" s="168" t="s">
        <v>24</v>
      </c>
      <c r="D329" s="173">
        <v>45688</v>
      </c>
      <c r="E329" s="174" t="s">
        <v>460</v>
      </c>
      <c r="F329" s="174" t="s">
        <v>395</v>
      </c>
      <c r="G329" s="174" t="s">
        <v>77</v>
      </c>
      <c r="H329" s="174" t="s">
        <v>411</v>
      </c>
      <c r="I329" s="174" t="s">
        <v>412</v>
      </c>
      <c r="J329" s="174" t="s">
        <v>463</v>
      </c>
      <c r="K329" s="174" t="s">
        <v>457</v>
      </c>
      <c r="L329" s="174" t="s">
        <v>458</v>
      </c>
      <c r="M329" s="174" t="s">
        <v>281</v>
      </c>
      <c r="N329" s="177">
        <v>34561339</v>
      </c>
      <c r="O329" s="174" t="s">
        <v>462</v>
      </c>
      <c r="P329" s="174" t="s">
        <v>283</v>
      </c>
      <c r="Q329" s="174" t="s">
        <v>284</v>
      </c>
      <c r="R329" s="174" t="s">
        <v>283</v>
      </c>
      <c r="S329" s="174" t="s">
        <v>283</v>
      </c>
      <c r="T329" s="175">
        <v>0</v>
      </c>
    </row>
    <row r="330" spans="1:20" x14ac:dyDescent="0.2">
      <c r="B330" s="168" t="s">
        <v>4</v>
      </c>
      <c r="C330" s="168" t="s">
        <v>22</v>
      </c>
      <c r="D330" s="173">
        <v>45688</v>
      </c>
      <c r="E330" s="174" t="s">
        <v>460</v>
      </c>
      <c r="F330" s="174" t="s">
        <v>388</v>
      </c>
      <c r="G330" s="174" t="s">
        <v>286</v>
      </c>
      <c r="H330" s="174" t="s">
        <v>418</v>
      </c>
      <c r="I330" s="174" t="s">
        <v>419</v>
      </c>
      <c r="J330" s="174" t="s">
        <v>461</v>
      </c>
      <c r="K330" s="174" t="s">
        <v>457</v>
      </c>
      <c r="L330" s="174" t="s">
        <v>458</v>
      </c>
      <c r="M330" s="174" t="s">
        <v>281</v>
      </c>
      <c r="N330" s="177">
        <v>12960750</v>
      </c>
      <c r="O330" s="174" t="s">
        <v>462</v>
      </c>
      <c r="P330" s="174" t="s">
        <v>283</v>
      </c>
      <c r="Q330" s="174" t="s">
        <v>284</v>
      </c>
      <c r="R330" s="174" t="s">
        <v>283</v>
      </c>
      <c r="S330" s="174" t="s">
        <v>283</v>
      </c>
      <c r="T330" s="175">
        <v>0</v>
      </c>
    </row>
    <row r="331" spans="1:20" x14ac:dyDescent="0.2">
      <c r="B331" s="168" t="s">
        <v>4</v>
      </c>
      <c r="C331" s="168" t="s">
        <v>24</v>
      </c>
      <c r="D331" s="173">
        <v>45688</v>
      </c>
      <c r="E331" s="174" t="s">
        <v>460</v>
      </c>
      <c r="F331" s="174" t="s">
        <v>395</v>
      </c>
      <c r="G331" s="174" t="s">
        <v>77</v>
      </c>
      <c r="H331" s="174" t="s">
        <v>418</v>
      </c>
      <c r="I331" s="174" t="s">
        <v>419</v>
      </c>
      <c r="J331" s="174" t="s">
        <v>463</v>
      </c>
      <c r="K331" s="174" t="s">
        <v>457</v>
      </c>
      <c r="L331" s="174" t="s">
        <v>458</v>
      </c>
      <c r="M331" s="174" t="s">
        <v>281</v>
      </c>
      <c r="N331" s="177">
        <v>11923786</v>
      </c>
      <c r="O331" s="174" t="s">
        <v>462</v>
      </c>
      <c r="P331" s="174" t="s">
        <v>283</v>
      </c>
      <c r="Q331" s="174" t="s">
        <v>284</v>
      </c>
      <c r="R331" s="174" t="s">
        <v>283</v>
      </c>
      <c r="S331" s="174" t="s">
        <v>283</v>
      </c>
      <c r="T331" s="175">
        <v>0</v>
      </c>
    </row>
    <row r="332" spans="1:20" x14ac:dyDescent="0.2">
      <c r="A332" s="169">
        <v>627</v>
      </c>
      <c r="B332" s="168" t="s">
        <v>8</v>
      </c>
      <c r="C332" s="168" t="s">
        <v>22</v>
      </c>
      <c r="D332" s="173">
        <v>45688</v>
      </c>
      <c r="E332" s="174" t="s">
        <v>460</v>
      </c>
      <c r="F332" s="174" t="s">
        <v>388</v>
      </c>
      <c r="G332" s="174" t="s">
        <v>286</v>
      </c>
      <c r="H332" s="174" t="s">
        <v>402</v>
      </c>
      <c r="I332" s="174" t="s">
        <v>403</v>
      </c>
      <c r="J332" s="174" t="s">
        <v>461</v>
      </c>
      <c r="K332" s="174" t="s">
        <v>457</v>
      </c>
      <c r="L332" s="174" t="s">
        <v>458</v>
      </c>
      <c r="M332" s="174" t="s">
        <v>281</v>
      </c>
      <c r="N332" s="177">
        <v>32842074</v>
      </c>
      <c r="O332" s="174" t="s">
        <v>462</v>
      </c>
      <c r="P332" s="174" t="s">
        <v>283</v>
      </c>
      <c r="Q332" s="174" t="s">
        <v>284</v>
      </c>
      <c r="R332" s="174" t="s">
        <v>283</v>
      </c>
      <c r="S332" s="174" t="s">
        <v>283</v>
      </c>
      <c r="T332" s="175">
        <v>0</v>
      </c>
    </row>
    <row r="333" spans="1:20" x14ac:dyDescent="0.2">
      <c r="A333" s="169">
        <v>622</v>
      </c>
      <c r="B333" s="168" t="s">
        <v>8</v>
      </c>
      <c r="C333" s="168" t="s">
        <v>22</v>
      </c>
      <c r="D333" s="173">
        <v>45688</v>
      </c>
      <c r="E333" s="174" t="s">
        <v>460</v>
      </c>
      <c r="F333" s="174" t="s">
        <v>420</v>
      </c>
      <c r="G333" s="174" t="s">
        <v>286</v>
      </c>
      <c r="H333" s="174" t="s">
        <v>402</v>
      </c>
      <c r="I333" s="174" t="s">
        <v>403</v>
      </c>
      <c r="J333" s="174" t="s">
        <v>461</v>
      </c>
      <c r="K333" s="174" t="s">
        <v>457</v>
      </c>
      <c r="L333" s="174" t="s">
        <v>458</v>
      </c>
      <c r="M333" s="174" t="s">
        <v>281</v>
      </c>
      <c r="N333" s="177">
        <v>91295827</v>
      </c>
      <c r="O333" s="174" t="s">
        <v>462</v>
      </c>
      <c r="P333" s="174" t="s">
        <v>283</v>
      </c>
      <c r="Q333" s="174" t="s">
        <v>284</v>
      </c>
      <c r="R333" s="174" t="s">
        <v>283</v>
      </c>
      <c r="S333" s="174" t="s">
        <v>283</v>
      </c>
      <c r="T333" s="175">
        <v>0</v>
      </c>
    </row>
    <row r="334" spans="1:20" x14ac:dyDescent="0.2">
      <c r="A334" s="169">
        <v>622</v>
      </c>
      <c r="B334" s="168" t="s">
        <v>8</v>
      </c>
      <c r="C334" s="168" t="s">
        <v>24</v>
      </c>
      <c r="D334" s="173">
        <v>45688</v>
      </c>
      <c r="E334" s="174" t="s">
        <v>460</v>
      </c>
      <c r="F334" s="174" t="s">
        <v>426</v>
      </c>
      <c r="G334" s="174" t="s">
        <v>77</v>
      </c>
      <c r="H334" s="174" t="s">
        <v>402</v>
      </c>
      <c r="I334" s="174" t="s">
        <v>403</v>
      </c>
      <c r="J334" s="174" t="s">
        <v>463</v>
      </c>
      <c r="K334" s="174" t="s">
        <v>457</v>
      </c>
      <c r="L334" s="174" t="s">
        <v>458</v>
      </c>
      <c r="M334" s="174" t="s">
        <v>281</v>
      </c>
      <c r="N334" s="177">
        <v>23326475</v>
      </c>
      <c r="O334" s="174" t="s">
        <v>462</v>
      </c>
      <c r="P334" s="174" t="s">
        <v>283</v>
      </c>
      <c r="Q334" s="174" t="s">
        <v>284</v>
      </c>
      <c r="R334" s="174" t="s">
        <v>283</v>
      </c>
      <c r="S334" s="174" t="s">
        <v>283</v>
      </c>
      <c r="T334" s="175">
        <v>0</v>
      </c>
    </row>
    <row r="335" spans="1:20" x14ac:dyDescent="0.2">
      <c r="B335" s="168" t="s">
        <v>6</v>
      </c>
      <c r="C335" s="168" t="s">
        <v>170</v>
      </c>
      <c r="D335" s="173">
        <v>45688</v>
      </c>
      <c r="E335" s="174" t="s">
        <v>464</v>
      </c>
      <c r="F335" s="174" t="s">
        <v>393</v>
      </c>
      <c r="G335" s="174" t="s">
        <v>296</v>
      </c>
      <c r="H335" s="174" t="s">
        <v>411</v>
      </c>
      <c r="I335" s="174" t="s">
        <v>412</v>
      </c>
      <c r="J335" s="174" t="s">
        <v>465</v>
      </c>
      <c r="K335" s="174" t="s">
        <v>457</v>
      </c>
      <c r="L335" s="174" t="s">
        <v>458</v>
      </c>
      <c r="M335" s="174" t="s">
        <v>281</v>
      </c>
      <c r="N335" s="177">
        <v>100298940</v>
      </c>
      <c r="O335" s="174" t="s">
        <v>466</v>
      </c>
      <c r="P335" s="174" t="s">
        <v>283</v>
      </c>
      <c r="Q335" s="174" t="s">
        <v>284</v>
      </c>
      <c r="R335" s="174" t="s">
        <v>283</v>
      </c>
      <c r="S335" s="174" t="s">
        <v>283</v>
      </c>
      <c r="T335" s="175">
        <v>0</v>
      </c>
    </row>
    <row r="336" spans="1:20" x14ac:dyDescent="0.2">
      <c r="B336" s="168" t="s">
        <v>4</v>
      </c>
      <c r="C336" s="168" t="s">
        <v>170</v>
      </c>
      <c r="D336" s="173">
        <v>45688</v>
      </c>
      <c r="E336" s="174" t="s">
        <v>464</v>
      </c>
      <c r="F336" s="174" t="s">
        <v>393</v>
      </c>
      <c r="G336" s="174" t="s">
        <v>296</v>
      </c>
      <c r="H336" s="174" t="s">
        <v>418</v>
      </c>
      <c r="I336" s="174" t="s">
        <v>419</v>
      </c>
      <c r="J336" s="174" t="s">
        <v>465</v>
      </c>
      <c r="K336" s="174" t="s">
        <v>457</v>
      </c>
      <c r="L336" s="174" t="s">
        <v>458</v>
      </c>
      <c r="M336" s="174" t="s">
        <v>281</v>
      </c>
      <c r="N336" s="177">
        <v>35154315</v>
      </c>
      <c r="O336" s="174" t="s">
        <v>466</v>
      </c>
      <c r="P336" s="174" t="s">
        <v>283</v>
      </c>
      <c r="Q336" s="174" t="s">
        <v>284</v>
      </c>
      <c r="R336" s="174" t="s">
        <v>283</v>
      </c>
      <c r="S336" s="174" t="s">
        <v>283</v>
      </c>
      <c r="T336" s="175">
        <v>0</v>
      </c>
    </row>
    <row r="337" spans="1:20" x14ac:dyDescent="0.2">
      <c r="A337" s="169">
        <v>622</v>
      </c>
      <c r="B337" s="168" t="s">
        <v>8</v>
      </c>
      <c r="C337" s="168" t="s">
        <v>170</v>
      </c>
      <c r="D337" s="173">
        <v>45688</v>
      </c>
      <c r="E337" s="174" t="s">
        <v>464</v>
      </c>
      <c r="F337" s="174" t="s">
        <v>425</v>
      </c>
      <c r="G337" s="174" t="s">
        <v>296</v>
      </c>
      <c r="H337" s="174" t="s">
        <v>402</v>
      </c>
      <c r="I337" s="174" t="s">
        <v>403</v>
      </c>
      <c r="J337" s="174" t="s">
        <v>465</v>
      </c>
      <c r="K337" s="174" t="s">
        <v>457</v>
      </c>
      <c r="L337" s="174" t="s">
        <v>458</v>
      </c>
      <c r="M337" s="174" t="s">
        <v>281</v>
      </c>
      <c r="N337" s="177">
        <v>237025160</v>
      </c>
      <c r="O337" s="174" t="s">
        <v>466</v>
      </c>
      <c r="P337" s="174" t="s">
        <v>283</v>
      </c>
      <c r="Q337" s="174" t="s">
        <v>284</v>
      </c>
      <c r="R337" s="174" t="s">
        <v>283</v>
      </c>
      <c r="S337" s="174" t="s">
        <v>283</v>
      </c>
      <c r="T337" s="175">
        <v>0</v>
      </c>
    </row>
    <row r="338" spans="1:20" x14ac:dyDescent="0.2">
      <c r="B338" s="168" t="s">
        <v>6</v>
      </c>
      <c r="C338" s="168" t="s">
        <v>170</v>
      </c>
      <c r="D338" s="173">
        <v>45688</v>
      </c>
      <c r="E338" s="174" t="s">
        <v>522</v>
      </c>
      <c r="F338" s="174" t="s">
        <v>393</v>
      </c>
      <c r="G338" s="174" t="s">
        <v>296</v>
      </c>
      <c r="H338" s="174" t="s">
        <v>411</v>
      </c>
      <c r="I338" s="174" t="s">
        <v>412</v>
      </c>
      <c r="J338" s="174" t="s">
        <v>465</v>
      </c>
      <c r="K338" s="174" t="s">
        <v>457</v>
      </c>
      <c r="L338" s="174" t="s">
        <v>458</v>
      </c>
      <c r="M338" s="174" t="s">
        <v>281</v>
      </c>
      <c r="N338" s="177">
        <v>140120</v>
      </c>
      <c r="O338" s="174" t="s">
        <v>523</v>
      </c>
      <c r="P338" s="174" t="s">
        <v>283</v>
      </c>
      <c r="Q338" s="174" t="s">
        <v>284</v>
      </c>
      <c r="R338" s="174" t="s">
        <v>283</v>
      </c>
      <c r="S338" s="174" t="s">
        <v>283</v>
      </c>
      <c r="T338" s="175">
        <v>0</v>
      </c>
    </row>
    <row r="339" spans="1:20" x14ac:dyDescent="0.2">
      <c r="B339" s="168" t="s">
        <v>6</v>
      </c>
      <c r="C339" s="168" t="s">
        <v>170</v>
      </c>
      <c r="D339" s="173">
        <v>45688</v>
      </c>
      <c r="E339" s="174" t="s">
        <v>522</v>
      </c>
      <c r="F339" s="174" t="s">
        <v>393</v>
      </c>
      <c r="G339" s="174" t="s">
        <v>296</v>
      </c>
      <c r="H339" s="174" t="s">
        <v>411</v>
      </c>
      <c r="I339" s="174" t="s">
        <v>412</v>
      </c>
      <c r="J339" s="174" t="s">
        <v>465</v>
      </c>
      <c r="K339" s="174" t="s">
        <v>457</v>
      </c>
      <c r="L339" s="174" t="s">
        <v>458</v>
      </c>
      <c r="M339" s="174" t="s">
        <v>281</v>
      </c>
      <c r="N339" s="177">
        <v>1226050</v>
      </c>
      <c r="O339" s="174" t="s">
        <v>523</v>
      </c>
      <c r="P339" s="174" t="s">
        <v>283</v>
      </c>
      <c r="Q339" s="174" t="s">
        <v>284</v>
      </c>
      <c r="R339" s="174" t="s">
        <v>283</v>
      </c>
      <c r="S339" s="174" t="s">
        <v>283</v>
      </c>
      <c r="T339" s="175">
        <v>0</v>
      </c>
    </row>
    <row r="340" spans="1:20" x14ac:dyDescent="0.2">
      <c r="B340" s="168" t="s">
        <v>6</v>
      </c>
      <c r="C340" s="168" t="s">
        <v>170</v>
      </c>
      <c r="D340" s="173">
        <v>45688</v>
      </c>
      <c r="E340" s="174" t="s">
        <v>522</v>
      </c>
      <c r="F340" s="174" t="s">
        <v>393</v>
      </c>
      <c r="G340" s="174" t="s">
        <v>296</v>
      </c>
      <c r="H340" s="174" t="s">
        <v>411</v>
      </c>
      <c r="I340" s="174" t="s">
        <v>412</v>
      </c>
      <c r="J340" s="174" t="s">
        <v>465</v>
      </c>
      <c r="K340" s="174" t="s">
        <v>457</v>
      </c>
      <c r="L340" s="174" t="s">
        <v>458</v>
      </c>
      <c r="M340" s="174" t="s">
        <v>281</v>
      </c>
      <c r="N340" s="177">
        <v>210180</v>
      </c>
      <c r="O340" s="174" t="s">
        <v>523</v>
      </c>
      <c r="P340" s="174" t="s">
        <v>283</v>
      </c>
      <c r="Q340" s="174" t="s">
        <v>284</v>
      </c>
      <c r="R340" s="174" t="s">
        <v>283</v>
      </c>
      <c r="S340" s="174" t="s">
        <v>283</v>
      </c>
      <c r="T340" s="175">
        <v>0</v>
      </c>
    </row>
    <row r="341" spans="1:20" x14ac:dyDescent="0.2">
      <c r="B341" s="168" t="s">
        <v>6</v>
      </c>
      <c r="C341" s="168" t="s">
        <v>170</v>
      </c>
      <c r="D341" s="173">
        <v>45688</v>
      </c>
      <c r="E341" s="174" t="s">
        <v>522</v>
      </c>
      <c r="F341" s="174" t="s">
        <v>393</v>
      </c>
      <c r="G341" s="174" t="s">
        <v>296</v>
      </c>
      <c r="H341" s="174" t="s">
        <v>411</v>
      </c>
      <c r="I341" s="174" t="s">
        <v>412</v>
      </c>
      <c r="J341" s="174" t="s">
        <v>465</v>
      </c>
      <c r="K341" s="174" t="s">
        <v>457</v>
      </c>
      <c r="L341" s="174" t="s">
        <v>458</v>
      </c>
      <c r="M341" s="174" t="s">
        <v>281</v>
      </c>
      <c r="N341" s="177">
        <v>70060</v>
      </c>
      <c r="O341" s="174" t="s">
        <v>523</v>
      </c>
      <c r="P341" s="174" t="s">
        <v>283</v>
      </c>
      <c r="Q341" s="174" t="s">
        <v>284</v>
      </c>
      <c r="R341" s="174" t="s">
        <v>283</v>
      </c>
      <c r="S341" s="174" t="s">
        <v>283</v>
      </c>
      <c r="T341" s="175">
        <v>0</v>
      </c>
    </row>
    <row r="342" spans="1:20" x14ac:dyDescent="0.2">
      <c r="A342" s="169">
        <v>622</v>
      </c>
      <c r="B342" s="168" t="s">
        <v>8</v>
      </c>
      <c r="C342" s="168" t="s">
        <v>170</v>
      </c>
      <c r="D342" s="173">
        <v>45688</v>
      </c>
      <c r="E342" s="174" t="s">
        <v>522</v>
      </c>
      <c r="F342" s="174" t="s">
        <v>425</v>
      </c>
      <c r="G342" s="174" t="s">
        <v>296</v>
      </c>
      <c r="H342" s="174" t="s">
        <v>402</v>
      </c>
      <c r="I342" s="174" t="s">
        <v>403</v>
      </c>
      <c r="J342" s="174" t="s">
        <v>465</v>
      </c>
      <c r="K342" s="174" t="s">
        <v>457</v>
      </c>
      <c r="L342" s="174" t="s">
        <v>458</v>
      </c>
      <c r="M342" s="174" t="s">
        <v>281</v>
      </c>
      <c r="N342" s="177">
        <v>204000</v>
      </c>
      <c r="O342" s="174" t="s">
        <v>523</v>
      </c>
      <c r="P342" s="174" t="s">
        <v>283</v>
      </c>
      <c r="Q342" s="174" t="s">
        <v>284</v>
      </c>
      <c r="R342" s="174" t="s">
        <v>283</v>
      </c>
      <c r="S342" s="174" t="s">
        <v>283</v>
      </c>
      <c r="T342" s="175">
        <v>0</v>
      </c>
    </row>
    <row r="343" spans="1:20" x14ac:dyDescent="0.2">
      <c r="A343" s="169">
        <v>622</v>
      </c>
      <c r="B343" s="168" t="s">
        <v>8</v>
      </c>
      <c r="C343" s="168" t="s">
        <v>170</v>
      </c>
      <c r="D343" s="173">
        <v>45688</v>
      </c>
      <c r="E343" s="174" t="s">
        <v>522</v>
      </c>
      <c r="F343" s="174" t="s">
        <v>425</v>
      </c>
      <c r="G343" s="174" t="s">
        <v>296</v>
      </c>
      <c r="H343" s="174" t="s">
        <v>402</v>
      </c>
      <c r="I343" s="174" t="s">
        <v>403</v>
      </c>
      <c r="J343" s="174" t="s">
        <v>465</v>
      </c>
      <c r="K343" s="174" t="s">
        <v>457</v>
      </c>
      <c r="L343" s="174" t="s">
        <v>458</v>
      </c>
      <c r="M343" s="174" t="s">
        <v>281</v>
      </c>
      <c r="N343" s="177">
        <v>1785000</v>
      </c>
      <c r="O343" s="174" t="s">
        <v>523</v>
      </c>
      <c r="P343" s="174" t="s">
        <v>283</v>
      </c>
      <c r="Q343" s="174" t="s">
        <v>284</v>
      </c>
      <c r="R343" s="174" t="s">
        <v>283</v>
      </c>
      <c r="S343" s="174" t="s">
        <v>283</v>
      </c>
      <c r="T343" s="175">
        <v>0</v>
      </c>
    </row>
    <row r="344" spans="1:20" x14ac:dyDescent="0.2">
      <c r="A344" s="169">
        <v>622</v>
      </c>
      <c r="B344" s="168" t="s">
        <v>8</v>
      </c>
      <c r="C344" s="168" t="s">
        <v>170</v>
      </c>
      <c r="D344" s="173">
        <v>45688</v>
      </c>
      <c r="E344" s="174" t="s">
        <v>522</v>
      </c>
      <c r="F344" s="174" t="s">
        <v>425</v>
      </c>
      <c r="G344" s="174" t="s">
        <v>296</v>
      </c>
      <c r="H344" s="174" t="s">
        <v>402</v>
      </c>
      <c r="I344" s="174" t="s">
        <v>403</v>
      </c>
      <c r="J344" s="174" t="s">
        <v>465</v>
      </c>
      <c r="K344" s="174" t="s">
        <v>457</v>
      </c>
      <c r="L344" s="174" t="s">
        <v>458</v>
      </c>
      <c r="M344" s="174" t="s">
        <v>281</v>
      </c>
      <c r="N344" s="177">
        <v>306000</v>
      </c>
      <c r="O344" s="174" t="s">
        <v>523</v>
      </c>
      <c r="P344" s="174" t="s">
        <v>283</v>
      </c>
      <c r="Q344" s="174" t="s">
        <v>284</v>
      </c>
      <c r="R344" s="174" t="s">
        <v>283</v>
      </c>
      <c r="S344" s="174" t="s">
        <v>283</v>
      </c>
      <c r="T344" s="175">
        <v>0</v>
      </c>
    </row>
    <row r="345" spans="1:20" x14ac:dyDescent="0.2">
      <c r="A345" s="169">
        <v>622</v>
      </c>
      <c r="B345" s="168" t="s">
        <v>8</v>
      </c>
      <c r="C345" s="168" t="s">
        <v>170</v>
      </c>
      <c r="D345" s="173">
        <v>45688</v>
      </c>
      <c r="E345" s="174" t="s">
        <v>522</v>
      </c>
      <c r="F345" s="174" t="s">
        <v>425</v>
      </c>
      <c r="G345" s="174" t="s">
        <v>296</v>
      </c>
      <c r="H345" s="174" t="s">
        <v>402</v>
      </c>
      <c r="I345" s="174" t="s">
        <v>403</v>
      </c>
      <c r="J345" s="174" t="s">
        <v>465</v>
      </c>
      <c r="K345" s="174" t="s">
        <v>457</v>
      </c>
      <c r="L345" s="174" t="s">
        <v>458</v>
      </c>
      <c r="M345" s="174" t="s">
        <v>281</v>
      </c>
      <c r="N345" s="177">
        <v>102000</v>
      </c>
      <c r="O345" s="174" t="s">
        <v>523</v>
      </c>
      <c r="P345" s="174" t="s">
        <v>283</v>
      </c>
      <c r="Q345" s="174" t="s">
        <v>284</v>
      </c>
      <c r="R345" s="174" t="s">
        <v>283</v>
      </c>
      <c r="S345" s="174" t="s">
        <v>283</v>
      </c>
      <c r="T345" s="175">
        <v>0</v>
      </c>
    </row>
    <row r="346" spans="1:20" x14ac:dyDescent="0.2">
      <c r="A346" s="169">
        <v>622</v>
      </c>
      <c r="B346" s="168" t="s">
        <v>8</v>
      </c>
      <c r="C346" s="168" t="s">
        <v>170</v>
      </c>
      <c r="D346" s="173">
        <v>45688</v>
      </c>
      <c r="E346" s="174" t="s">
        <v>522</v>
      </c>
      <c r="F346" s="174" t="s">
        <v>425</v>
      </c>
      <c r="G346" s="174" t="s">
        <v>296</v>
      </c>
      <c r="H346" s="174" t="s">
        <v>402</v>
      </c>
      <c r="I346" s="174" t="s">
        <v>403</v>
      </c>
      <c r="J346" s="174" t="s">
        <v>465</v>
      </c>
      <c r="K346" s="174" t="s">
        <v>457</v>
      </c>
      <c r="L346" s="174" t="s">
        <v>458</v>
      </c>
      <c r="M346" s="174" t="s">
        <v>281</v>
      </c>
      <c r="N346" s="177">
        <v>209200</v>
      </c>
      <c r="O346" s="174" t="s">
        <v>523</v>
      </c>
      <c r="P346" s="174" t="s">
        <v>283</v>
      </c>
      <c r="Q346" s="174" t="s">
        <v>284</v>
      </c>
      <c r="R346" s="174" t="s">
        <v>283</v>
      </c>
      <c r="S346" s="174" t="s">
        <v>283</v>
      </c>
      <c r="T346" s="175">
        <v>0</v>
      </c>
    </row>
    <row r="347" spans="1:20" x14ac:dyDescent="0.2">
      <c r="A347" s="169">
        <v>622</v>
      </c>
      <c r="B347" s="168" t="s">
        <v>8</v>
      </c>
      <c r="C347" s="168" t="s">
        <v>170</v>
      </c>
      <c r="D347" s="173">
        <v>45688</v>
      </c>
      <c r="E347" s="174" t="s">
        <v>522</v>
      </c>
      <c r="F347" s="174" t="s">
        <v>425</v>
      </c>
      <c r="G347" s="174" t="s">
        <v>296</v>
      </c>
      <c r="H347" s="174" t="s">
        <v>402</v>
      </c>
      <c r="I347" s="174" t="s">
        <v>403</v>
      </c>
      <c r="J347" s="174" t="s">
        <v>465</v>
      </c>
      <c r="K347" s="174" t="s">
        <v>457</v>
      </c>
      <c r="L347" s="174" t="s">
        <v>458</v>
      </c>
      <c r="M347" s="174" t="s">
        <v>281</v>
      </c>
      <c r="N347" s="177">
        <v>1830500</v>
      </c>
      <c r="O347" s="174" t="s">
        <v>523</v>
      </c>
      <c r="P347" s="174" t="s">
        <v>283</v>
      </c>
      <c r="Q347" s="174" t="s">
        <v>284</v>
      </c>
      <c r="R347" s="174" t="s">
        <v>283</v>
      </c>
      <c r="S347" s="174" t="s">
        <v>283</v>
      </c>
      <c r="T347" s="175">
        <v>0</v>
      </c>
    </row>
    <row r="348" spans="1:20" x14ac:dyDescent="0.2">
      <c r="A348" s="169">
        <v>622</v>
      </c>
      <c r="B348" s="168" t="s">
        <v>8</v>
      </c>
      <c r="C348" s="168" t="s">
        <v>170</v>
      </c>
      <c r="D348" s="173">
        <v>45688</v>
      </c>
      <c r="E348" s="174" t="s">
        <v>522</v>
      </c>
      <c r="F348" s="174" t="s">
        <v>425</v>
      </c>
      <c r="G348" s="174" t="s">
        <v>296</v>
      </c>
      <c r="H348" s="174" t="s">
        <v>402</v>
      </c>
      <c r="I348" s="174" t="s">
        <v>403</v>
      </c>
      <c r="J348" s="174" t="s">
        <v>465</v>
      </c>
      <c r="K348" s="174" t="s">
        <v>457</v>
      </c>
      <c r="L348" s="174" t="s">
        <v>458</v>
      </c>
      <c r="M348" s="174" t="s">
        <v>281</v>
      </c>
      <c r="N348" s="177">
        <v>313800</v>
      </c>
      <c r="O348" s="174" t="s">
        <v>523</v>
      </c>
      <c r="P348" s="174" t="s">
        <v>283</v>
      </c>
      <c r="Q348" s="174" t="s">
        <v>284</v>
      </c>
      <c r="R348" s="174" t="s">
        <v>283</v>
      </c>
      <c r="S348" s="174" t="s">
        <v>283</v>
      </c>
      <c r="T348" s="175">
        <v>0</v>
      </c>
    </row>
    <row r="349" spans="1:20" x14ac:dyDescent="0.2">
      <c r="A349" s="169">
        <v>622</v>
      </c>
      <c r="B349" s="168" t="s">
        <v>8</v>
      </c>
      <c r="C349" s="168" t="s">
        <v>170</v>
      </c>
      <c r="D349" s="173">
        <v>45688</v>
      </c>
      <c r="E349" s="174" t="s">
        <v>522</v>
      </c>
      <c r="F349" s="174" t="s">
        <v>425</v>
      </c>
      <c r="G349" s="174" t="s">
        <v>296</v>
      </c>
      <c r="H349" s="174" t="s">
        <v>402</v>
      </c>
      <c r="I349" s="174" t="s">
        <v>403</v>
      </c>
      <c r="J349" s="174" t="s">
        <v>465</v>
      </c>
      <c r="K349" s="174" t="s">
        <v>457</v>
      </c>
      <c r="L349" s="174" t="s">
        <v>458</v>
      </c>
      <c r="M349" s="174" t="s">
        <v>281</v>
      </c>
      <c r="N349" s="177">
        <v>104600</v>
      </c>
      <c r="O349" s="174" t="s">
        <v>523</v>
      </c>
      <c r="P349" s="174" t="s">
        <v>283</v>
      </c>
      <c r="Q349" s="174" t="s">
        <v>284</v>
      </c>
      <c r="R349" s="174" t="s">
        <v>283</v>
      </c>
      <c r="S349" s="174" t="s">
        <v>283</v>
      </c>
      <c r="T349" s="175">
        <v>0</v>
      </c>
    </row>
    <row r="350" spans="1:20" x14ac:dyDescent="0.2">
      <c r="B350" s="168" t="s">
        <v>6</v>
      </c>
      <c r="C350" s="168" t="s">
        <v>170</v>
      </c>
      <c r="D350" s="173">
        <v>45688</v>
      </c>
      <c r="E350" s="174" t="s">
        <v>467</v>
      </c>
      <c r="F350" s="174" t="s">
        <v>393</v>
      </c>
      <c r="G350" s="174" t="s">
        <v>296</v>
      </c>
      <c r="H350" s="174" t="s">
        <v>411</v>
      </c>
      <c r="I350" s="174" t="s">
        <v>412</v>
      </c>
      <c r="J350" s="174" t="s">
        <v>465</v>
      </c>
      <c r="K350" s="174" t="s">
        <v>457</v>
      </c>
      <c r="L350" s="174" t="s">
        <v>458</v>
      </c>
      <c r="M350" s="174" t="s">
        <v>281</v>
      </c>
      <c r="N350" s="177">
        <v>100298940</v>
      </c>
      <c r="O350" s="174" t="s">
        <v>468</v>
      </c>
      <c r="P350" s="174" t="s">
        <v>283</v>
      </c>
      <c r="Q350" s="174" t="s">
        <v>284</v>
      </c>
      <c r="R350" s="174" t="s">
        <v>283</v>
      </c>
      <c r="S350" s="174" t="s">
        <v>283</v>
      </c>
      <c r="T350" s="175">
        <v>0</v>
      </c>
    </row>
    <row r="351" spans="1:20" x14ac:dyDescent="0.2">
      <c r="B351" s="168" t="s">
        <v>4</v>
      </c>
      <c r="C351" s="168" t="s">
        <v>170</v>
      </c>
      <c r="D351" s="173">
        <v>45688</v>
      </c>
      <c r="E351" s="174" t="s">
        <v>467</v>
      </c>
      <c r="F351" s="174" t="s">
        <v>393</v>
      </c>
      <c r="G351" s="174" t="s">
        <v>296</v>
      </c>
      <c r="H351" s="174" t="s">
        <v>418</v>
      </c>
      <c r="I351" s="174" t="s">
        <v>419</v>
      </c>
      <c r="J351" s="174" t="s">
        <v>465</v>
      </c>
      <c r="K351" s="174" t="s">
        <v>457</v>
      </c>
      <c r="L351" s="174" t="s">
        <v>458</v>
      </c>
      <c r="M351" s="174" t="s">
        <v>281</v>
      </c>
      <c r="N351" s="177">
        <v>35154315</v>
      </c>
      <c r="O351" s="174" t="s">
        <v>468</v>
      </c>
      <c r="P351" s="174" t="s">
        <v>283</v>
      </c>
      <c r="Q351" s="174" t="s">
        <v>284</v>
      </c>
      <c r="R351" s="174" t="s">
        <v>283</v>
      </c>
      <c r="S351" s="174" t="s">
        <v>283</v>
      </c>
      <c r="T351" s="175">
        <v>0</v>
      </c>
    </row>
    <row r="352" spans="1:20" x14ac:dyDescent="0.2">
      <c r="A352" s="169">
        <v>622</v>
      </c>
      <c r="B352" s="168" t="s">
        <v>8</v>
      </c>
      <c r="C352" s="168" t="s">
        <v>170</v>
      </c>
      <c r="D352" s="173">
        <v>45688</v>
      </c>
      <c r="E352" s="174" t="s">
        <v>467</v>
      </c>
      <c r="F352" s="174" t="s">
        <v>425</v>
      </c>
      <c r="G352" s="174" t="s">
        <v>296</v>
      </c>
      <c r="H352" s="174" t="s">
        <v>402</v>
      </c>
      <c r="I352" s="174" t="s">
        <v>403</v>
      </c>
      <c r="J352" s="174" t="s">
        <v>465</v>
      </c>
      <c r="K352" s="174" t="s">
        <v>457</v>
      </c>
      <c r="L352" s="174" t="s">
        <v>458</v>
      </c>
      <c r="M352" s="174" t="s">
        <v>281</v>
      </c>
      <c r="N352" s="177">
        <v>237025160</v>
      </c>
      <c r="O352" s="174" t="s">
        <v>468</v>
      </c>
      <c r="P352" s="174" t="s">
        <v>283</v>
      </c>
      <c r="Q352" s="174" t="s">
        <v>284</v>
      </c>
      <c r="R352" s="174" t="s">
        <v>283</v>
      </c>
      <c r="S352" s="174" t="s">
        <v>283</v>
      </c>
      <c r="T352" s="175">
        <v>0</v>
      </c>
    </row>
    <row r="353" spans="1:20" x14ac:dyDescent="0.2">
      <c r="B353" s="168" t="s">
        <v>6</v>
      </c>
      <c r="C353" s="168" t="s">
        <v>170</v>
      </c>
      <c r="D353" s="173">
        <v>45688</v>
      </c>
      <c r="E353" s="174" t="s">
        <v>469</v>
      </c>
      <c r="F353" s="174" t="s">
        <v>393</v>
      </c>
      <c r="G353" s="174" t="s">
        <v>296</v>
      </c>
      <c r="H353" s="174" t="s">
        <v>411</v>
      </c>
      <c r="I353" s="174" t="s">
        <v>412</v>
      </c>
      <c r="J353" s="174" t="s">
        <v>465</v>
      </c>
      <c r="K353" s="174" t="s">
        <v>457</v>
      </c>
      <c r="L353" s="174" t="s">
        <v>458</v>
      </c>
      <c r="M353" s="174" t="s">
        <v>281</v>
      </c>
      <c r="N353" s="177">
        <v>-100298940</v>
      </c>
      <c r="O353" s="174" t="s">
        <v>470</v>
      </c>
      <c r="P353" s="174" t="s">
        <v>447</v>
      </c>
      <c r="Q353" s="174" t="s">
        <v>284</v>
      </c>
      <c r="R353" s="174" t="s">
        <v>283</v>
      </c>
      <c r="S353" s="174" t="s">
        <v>283</v>
      </c>
      <c r="T353" s="175">
        <v>0</v>
      </c>
    </row>
    <row r="354" spans="1:20" x14ac:dyDescent="0.2">
      <c r="B354" s="168" t="s">
        <v>4</v>
      </c>
      <c r="C354" s="168" t="s">
        <v>170</v>
      </c>
      <c r="D354" s="173">
        <v>45688</v>
      </c>
      <c r="E354" s="174" t="s">
        <v>469</v>
      </c>
      <c r="F354" s="174" t="s">
        <v>393</v>
      </c>
      <c r="G354" s="174" t="s">
        <v>296</v>
      </c>
      <c r="H354" s="174" t="s">
        <v>418</v>
      </c>
      <c r="I354" s="174" t="s">
        <v>419</v>
      </c>
      <c r="J354" s="174" t="s">
        <v>465</v>
      </c>
      <c r="K354" s="174" t="s">
        <v>457</v>
      </c>
      <c r="L354" s="174" t="s">
        <v>458</v>
      </c>
      <c r="M354" s="174" t="s">
        <v>281</v>
      </c>
      <c r="N354" s="177">
        <v>-35154315</v>
      </c>
      <c r="O354" s="174" t="s">
        <v>470</v>
      </c>
      <c r="P354" s="174" t="s">
        <v>447</v>
      </c>
      <c r="Q354" s="174" t="s">
        <v>284</v>
      </c>
      <c r="R354" s="174" t="s">
        <v>283</v>
      </c>
      <c r="S354" s="174" t="s">
        <v>283</v>
      </c>
      <c r="T354" s="175">
        <v>0</v>
      </c>
    </row>
    <row r="355" spans="1:20" x14ac:dyDescent="0.2">
      <c r="A355" s="169">
        <v>622</v>
      </c>
      <c r="B355" s="168" t="s">
        <v>8</v>
      </c>
      <c r="C355" s="168" t="s">
        <v>170</v>
      </c>
      <c r="D355" s="173">
        <v>45688</v>
      </c>
      <c r="E355" s="174" t="s">
        <v>469</v>
      </c>
      <c r="F355" s="174" t="s">
        <v>425</v>
      </c>
      <c r="G355" s="174" t="s">
        <v>296</v>
      </c>
      <c r="H355" s="174" t="s">
        <v>402</v>
      </c>
      <c r="I355" s="174" t="s">
        <v>403</v>
      </c>
      <c r="J355" s="174" t="s">
        <v>465</v>
      </c>
      <c r="K355" s="174" t="s">
        <v>457</v>
      </c>
      <c r="L355" s="174" t="s">
        <v>458</v>
      </c>
      <c r="M355" s="174" t="s">
        <v>281</v>
      </c>
      <c r="N355" s="177">
        <v>-237025160</v>
      </c>
      <c r="O355" s="174" t="s">
        <v>470</v>
      </c>
      <c r="P355" s="174" t="s">
        <v>447</v>
      </c>
      <c r="Q355" s="174" t="s">
        <v>284</v>
      </c>
      <c r="R355" s="174" t="s">
        <v>283</v>
      </c>
      <c r="S355" s="174" t="s">
        <v>283</v>
      </c>
      <c r="T355" s="175">
        <v>0</v>
      </c>
    </row>
    <row r="356" spans="1:20" x14ac:dyDescent="0.2">
      <c r="B356" s="168" t="s">
        <v>6</v>
      </c>
      <c r="C356" s="168" t="s">
        <v>22</v>
      </c>
      <c r="D356" s="173">
        <v>45688</v>
      </c>
      <c r="E356" s="174" t="s">
        <v>524</v>
      </c>
      <c r="F356" s="174" t="s">
        <v>387</v>
      </c>
      <c r="G356" s="174" t="s">
        <v>275</v>
      </c>
      <c r="H356" s="174" t="s">
        <v>411</v>
      </c>
      <c r="I356" s="174" t="s">
        <v>412</v>
      </c>
      <c r="J356" s="174" t="s">
        <v>456</v>
      </c>
      <c r="K356" s="174" t="s">
        <v>457</v>
      </c>
      <c r="L356" s="174" t="s">
        <v>458</v>
      </c>
      <c r="M356" s="174" t="s">
        <v>281</v>
      </c>
      <c r="N356" s="177">
        <v>1652250</v>
      </c>
      <c r="O356" s="174" t="s">
        <v>525</v>
      </c>
      <c r="P356" s="174" t="s">
        <v>283</v>
      </c>
      <c r="Q356" s="174" t="s">
        <v>284</v>
      </c>
      <c r="R356" s="174" t="s">
        <v>283</v>
      </c>
      <c r="S356" s="174" t="s">
        <v>283</v>
      </c>
      <c r="T356" s="175">
        <v>0</v>
      </c>
    </row>
    <row r="357" spans="1:20" x14ac:dyDescent="0.2">
      <c r="A357" s="169">
        <v>627</v>
      </c>
      <c r="B357" s="168" t="s">
        <v>8</v>
      </c>
      <c r="C357" s="168" t="s">
        <v>25</v>
      </c>
      <c r="D357" s="173">
        <v>45682</v>
      </c>
      <c r="E357" s="174" t="s">
        <v>490</v>
      </c>
      <c r="F357" s="174" t="s">
        <v>375</v>
      </c>
      <c r="G357" s="174" t="s">
        <v>336</v>
      </c>
      <c r="H357" s="174" t="s">
        <v>402</v>
      </c>
      <c r="I357" s="174" t="s">
        <v>403</v>
      </c>
      <c r="J357" s="174" t="s">
        <v>491</v>
      </c>
      <c r="K357" s="174" t="s">
        <v>338</v>
      </c>
      <c r="L357" s="174" t="s">
        <v>458</v>
      </c>
      <c r="M357" s="174" t="s">
        <v>281</v>
      </c>
      <c r="N357" s="177">
        <v>109850000</v>
      </c>
      <c r="O357" s="174" t="s">
        <v>492</v>
      </c>
      <c r="P357" s="174" t="s">
        <v>283</v>
      </c>
      <c r="Q357" s="174" t="s">
        <v>306</v>
      </c>
      <c r="R357" s="174" t="s">
        <v>283</v>
      </c>
      <c r="S357" s="174" t="s">
        <v>283</v>
      </c>
      <c r="T357" s="175">
        <v>0</v>
      </c>
    </row>
    <row r="358" spans="1:20" x14ac:dyDescent="0.2">
      <c r="A358" s="169">
        <v>627</v>
      </c>
      <c r="B358" s="168" t="s">
        <v>8</v>
      </c>
      <c r="C358" s="168" t="s">
        <v>25</v>
      </c>
      <c r="D358" s="173">
        <v>45688</v>
      </c>
      <c r="E358" s="174" t="s">
        <v>520</v>
      </c>
      <c r="F358" s="174" t="s">
        <v>375</v>
      </c>
      <c r="G358" s="174" t="s">
        <v>336</v>
      </c>
      <c r="H358" s="174" t="s">
        <v>402</v>
      </c>
      <c r="I358" s="174" t="s">
        <v>403</v>
      </c>
      <c r="J358" s="174" t="s">
        <v>416</v>
      </c>
      <c r="K358" s="174" t="s">
        <v>416</v>
      </c>
      <c r="L358" s="174" t="s">
        <v>458</v>
      </c>
      <c r="M358" s="174" t="s">
        <v>281</v>
      </c>
      <c r="N358" s="177">
        <v>-81800000</v>
      </c>
      <c r="O358" s="174" t="s">
        <v>521</v>
      </c>
      <c r="P358" s="174" t="s">
        <v>283</v>
      </c>
      <c r="Q358" s="174" t="s">
        <v>348</v>
      </c>
      <c r="R358" s="174" t="s">
        <v>283</v>
      </c>
      <c r="S358" s="174" t="s">
        <v>283</v>
      </c>
      <c r="T358" s="175">
        <v>0</v>
      </c>
    </row>
    <row r="359" spans="1:20" x14ac:dyDescent="0.2">
      <c r="A359" s="169">
        <v>627</v>
      </c>
      <c r="B359" s="168" t="s">
        <v>8</v>
      </c>
      <c r="C359" s="168" t="s">
        <v>25</v>
      </c>
      <c r="D359" s="173">
        <v>45688</v>
      </c>
      <c r="E359" s="174" t="s">
        <v>455</v>
      </c>
      <c r="F359" s="174" t="s">
        <v>375</v>
      </c>
      <c r="G359" s="174" t="s">
        <v>336</v>
      </c>
      <c r="H359" s="174" t="s">
        <v>402</v>
      </c>
      <c r="I359" s="174" t="s">
        <v>403</v>
      </c>
      <c r="J359" s="174" t="s">
        <v>456</v>
      </c>
      <c r="K359" s="174" t="s">
        <v>457</v>
      </c>
      <c r="L359" s="174" t="s">
        <v>458</v>
      </c>
      <c r="M359" s="174" t="s">
        <v>281</v>
      </c>
      <c r="N359" s="177">
        <v>2900000</v>
      </c>
      <c r="O359" s="174" t="s">
        <v>459</v>
      </c>
      <c r="P359" s="174" t="s">
        <v>283</v>
      </c>
      <c r="Q359" s="174" t="s">
        <v>284</v>
      </c>
      <c r="R359" s="174" t="s">
        <v>283</v>
      </c>
      <c r="S359" s="174" t="s">
        <v>283</v>
      </c>
      <c r="T359" s="175">
        <v>0</v>
      </c>
    </row>
    <row r="360" spans="1:20" x14ac:dyDescent="0.2">
      <c r="A360" s="169">
        <v>627</v>
      </c>
      <c r="B360" s="168" t="s">
        <v>8</v>
      </c>
      <c r="C360" s="168" t="s">
        <v>24</v>
      </c>
      <c r="D360" s="173">
        <v>45688</v>
      </c>
      <c r="E360" s="174" t="s">
        <v>460</v>
      </c>
      <c r="F360" s="174" t="s">
        <v>395</v>
      </c>
      <c r="G360" s="174" t="s">
        <v>77</v>
      </c>
      <c r="H360" s="174" t="s">
        <v>402</v>
      </c>
      <c r="I360" s="174" t="s">
        <v>403</v>
      </c>
      <c r="J360" s="174" t="s">
        <v>463</v>
      </c>
      <c r="K360" s="174" t="s">
        <v>457</v>
      </c>
      <c r="L360" s="174" t="s">
        <v>458</v>
      </c>
      <c r="M360" s="174" t="s">
        <v>281</v>
      </c>
      <c r="N360" s="177">
        <v>29590623</v>
      </c>
      <c r="O360" s="174" t="s">
        <v>462</v>
      </c>
      <c r="P360" s="174" t="s">
        <v>283</v>
      </c>
      <c r="Q360" s="174" t="s">
        <v>284</v>
      </c>
      <c r="R360" s="174" t="s">
        <v>283</v>
      </c>
      <c r="S360" s="174" t="s">
        <v>283</v>
      </c>
      <c r="T360" s="175">
        <v>0</v>
      </c>
    </row>
    <row r="361" spans="1:20" x14ac:dyDescent="0.2">
      <c r="A361" s="169">
        <v>627</v>
      </c>
      <c r="B361" s="168" t="s">
        <v>8</v>
      </c>
      <c r="C361" s="168" t="s">
        <v>170</v>
      </c>
      <c r="D361" s="173">
        <v>45688</v>
      </c>
      <c r="E361" s="174" t="s">
        <v>464</v>
      </c>
      <c r="F361" s="174" t="s">
        <v>393</v>
      </c>
      <c r="G361" s="174" t="s">
        <v>296</v>
      </c>
      <c r="H361" s="174" t="s">
        <v>402</v>
      </c>
      <c r="I361" s="174" t="s">
        <v>403</v>
      </c>
      <c r="J361" s="174" t="s">
        <v>465</v>
      </c>
      <c r="K361" s="174" t="s">
        <v>457</v>
      </c>
      <c r="L361" s="174" t="s">
        <v>458</v>
      </c>
      <c r="M361" s="174" t="s">
        <v>281</v>
      </c>
      <c r="N361" s="177">
        <v>82367355</v>
      </c>
      <c r="O361" s="174" t="s">
        <v>466</v>
      </c>
      <c r="P361" s="174" t="s">
        <v>283</v>
      </c>
      <c r="Q361" s="174" t="s">
        <v>284</v>
      </c>
      <c r="R361" s="174" t="s">
        <v>283</v>
      </c>
      <c r="S361" s="174" t="s">
        <v>283</v>
      </c>
      <c r="T361" s="175">
        <v>0</v>
      </c>
    </row>
    <row r="362" spans="1:20" x14ac:dyDescent="0.2">
      <c r="A362" s="169">
        <v>627</v>
      </c>
      <c r="B362" s="168" t="s">
        <v>8</v>
      </c>
      <c r="C362" s="168" t="s">
        <v>170</v>
      </c>
      <c r="D362" s="173">
        <v>45688</v>
      </c>
      <c r="E362" s="174" t="s">
        <v>513</v>
      </c>
      <c r="F362" s="174" t="s">
        <v>393</v>
      </c>
      <c r="G362" s="174" t="s">
        <v>296</v>
      </c>
      <c r="H362" s="174" t="s">
        <v>402</v>
      </c>
      <c r="I362" s="174" t="s">
        <v>403</v>
      </c>
      <c r="J362" s="174" t="s">
        <v>514</v>
      </c>
      <c r="K362" s="174" t="s">
        <v>457</v>
      </c>
      <c r="L362" s="174" t="s">
        <v>458</v>
      </c>
      <c r="M362" s="174" t="s">
        <v>281</v>
      </c>
      <c r="N362" s="177">
        <v>254265</v>
      </c>
      <c r="O362" s="174" t="s">
        <v>515</v>
      </c>
      <c r="P362" s="174" t="s">
        <v>283</v>
      </c>
      <c r="Q362" s="174" t="s">
        <v>284</v>
      </c>
      <c r="R362" s="174" t="s">
        <v>283</v>
      </c>
      <c r="S362" s="174" t="s">
        <v>283</v>
      </c>
      <c r="T362" s="175">
        <v>0</v>
      </c>
    </row>
    <row r="363" spans="1:20" x14ac:dyDescent="0.2">
      <c r="A363" s="169">
        <v>627</v>
      </c>
      <c r="B363" s="168" t="s">
        <v>8</v>
      </c>
      <c r="C363" s="168" t="s">
        <v>170</v>
      </c>
      <c r="D363" s="173">
        <v>45688</v>
      </c>
      <c r="E363" s="174" t="s">
        <v>467</v>
      </c>
      <c r="F363" s="174" t="s">
        <v>393</v>
      </c>
      <c r="G363" s="174" t="s">
        <v>296</v>
      </c>
      <c r="H363" s="174" t="s">
        <v>402</v>
      </c>
      <c r="I363" s="174" t="s">
        <v>403</v>
      </c>
      <c r="J363" s="174" t="s">
        <v>465</v>
      </c>
      <c r="K363" s="174" t="s">
        <v>457</v>
      </c>
      <c r="L363" s="174" t="s">
        <v>458</v>
      </c>
      <c r="M363" s="174" t="s">
        <v>281</v>
      </c>
      <c r="N363" s="177">
        <v>82367355</v>
      </c>
      <c r="O363" s="174" t="s">
        <v>468</v>
      </c>
      <c r="P363" s="174" t="s">
        <v>283</v>
      </c>
      <c r="Q363" s="174" t="s">
        <v>284</v>
      </c>
      <c r="R363" s="174" t="s">
        <v>283</v>
      </c>
      <c r="S363" s="174" t="s">
        <v>283</v>
      </c>
      <c r="T363" s="175">
        <v>0</v>
      </c>
    </row>
    <row r="364" spans="1:20" x14ac:dyDescent="0.2">
      <c r="A364" s="169">
        <v>627</v>
      </c>
      <c r="B364" s="168" t="s">
        <v>8</v>
      </c>
      <c r="C364" s="168" t="s">
        <v>170</v>
      </c>
      <c r="D364" s="173">
        <v>45688</v>
      </c>
      <c r="E364" s="174" t="s">
        <v>469</v>
      </c>
      <c r="F364" s="174" t="s">
        <v>393</v>
      </c>
      <c r="G364" s="174" t="s">
        <v>296</v>
      </c>
      <c r="H364" s="174" t="s">
        <v>402</v>
      </c>
      <c r="I364" s="174" t="s">
        <v>403</v>
      </c>
      <c r="J364" s="174" t="s">
        <v>465</v>
      </c>
      <c r="K364" s="174" t="s">
        <v>457</v>
      </c>
      <c r="L364" s="174" t="s">
        <v>458</v>
      </c>
      <c r="M364" s="174" t="s">
        <v>281</v>
      </c>
      <c r="N364" s="177">
        <v>-82367355</v>
      </c>
      <c r="O364" s="174" t="s">
        <v>470</v>
      </c>
      <c r="P364" s="174" t="s">
        <v>447</v>
      </c>
      <c r="Q364" s="174" t="s">
        <v>284</v>
      </c>
      <c r="R364" s="174" t="s">
        <v>283</v>
      </c>
      <c r="S364" s="174" t="s">
        <v>283</v>
      </c>
      <c r="T364" s="175">
        <v>0</v>
      </c>
    </row>
    <row r="365" spans="1:20" x14ac:dyDescent="0.2">
      <c r="A365" s="169">
        <v>622</v>
      </c>
      <c r="B365" s="168" t="s">
        <v>8</v>
      </c>
      <c r="C365" s="168" t="s">
        <v>22</v>
      </c>
      <c r="D365" s="173">
        <v>45663</v>
      </c>
      <c r="E365" s="174" t="s">
        <v>516</v>
      </c>
      <c r="F365" s="174" t="s">
        <v>400</v>
      </c>
      <c r="G365" s="174" t="s">
        <v>401</v>
      </c>
      <c r="H365" s="174" t="s">
        <v>430</v>
      </c>
      <c r="I365" s="174" t="s">
        <v>431</v>
      </c>
      <c r="J365" s="174" t="s">
        <v>526</v>
      </c>
      <c r="K365" s="174" t="s">
        <v>518</v>
      </c>
      <c r="L365" s="174" t="s">
        <v>458</v>
      </c>
      <c r="M365" s="174" t="s">
        <v>281</v>
      </c>
      <c r="N365" s="177">
        <v>768750</v>
      </c>
      <c r="O365" s="174" t="s">
        <v>519</v>
      </c>
      <c r="P365" s="174" t="s">
        <v>283</v>
      </c>
      <c r="Q365" s="174" t="s">
        <v>306</v>
      </c>
      <c r="R365" s="174" t="s">
        <v>283</v>
      </c>
      <c r="S365" s="174" t="s">
        <v>283</v>
      </c>
      <c r="T365" s="175">
        <v>0</v>
      </c>
    </row>
    <row r="366" spans="1:20" x14ac:dyDescent="0.2">
      <c r="A366" s="169">
        <v>622</v>
      </c>
      <c r="B366" s="168" t="s">
        <v>8</v>
      </c>
      <c r="C366" s="168" t="s">
        <v>25</v>
      </c>
      <c r="D366" s="173">
        <v>45688</v>
      </c>
      <c r="E366" s="174" t="s">
        <v>520</v>
      </c>
      <c r="F366" s="174" t="s">
        <v>414</v>
      </c>
      <c r="G366" s="174" t="s">
        <v>415</v>
      </c>
      <c r="H366" s="174" t="s">
        <v>430</v>
      </c>
      <c r="I366" s="174" t="s">
        <v>431</v>
      </c>
      <c r="J366" s="174" t="s">
        <v>416</v>
      </c>
      <c r="K366" s="174" t="s">
        <v>416</v>
      </c>
      <c r="L366" s="174" t="s">
        <v>458</v>
      </c>
      <c r="M366" s="174" t="s">
        <v>281</v>
      </c>
      <c r="N366" s="177">
        <v>16000000</v>
      </c>
      <c r="O366" s="174" t="s">
        <v>521</v>
      </c>
      <c r="P366" s="174" t="s">
        <v>283</v>
      </c>
      <c r="Q366" s="174" t="s">
        <v>348</v>
      </c>
      <c r="R366" s="174" t="s">
        <v>283</v>
      </c>
      <c r="S366" s="174" t="s">
        <v>283</v>
      </c>
      <c r="T366" s="175">
        <v>0</v>
      </c>
    </row>
    <row r="367" spans="1:20" x14ac:dyDescent="0.2">
      <c r="A367" s="169">
        <v>622</v>
      </c>
      <c r="B367" s="168" t="s">
        <v>8</v>
      </c>
      <c r="C367" s="168" t="s">
        <v>22</v>
      </c>
      <c r="D367" s="173">
        <v>45688</v>
      </c>
      <c r="E367" s="174" t="s">
        <v>455</v>
      </c>
      <c r="F367" s="174" t="s">
        <v>400</v>
      </c>
      <c r="G367" s="174" t="s">
        <v>401</v>
      </c>
      <c r="H367" s="174" t="s">
        <v>430</v>
      </c>
      <c r="I367" s="174" t="s">
        <v>431</v>
      </c>
      <c r="J367" s="174" t="s">
        <v>456</v>
      </c>
      <c r="K367" s="174" t="s">
        <v>457</v>
      </c>
      <c r="L367" s="174" t="s">
        <v>458</v>
      </c>
      <c r="M367" s="174" t="s">
        <v>281</v>
      </c>
      <c r="N367" s="177">
        <v>237378299</v>
      </c>
      <c r="O367" s="174" t="s">
        <v>459</v>
      </c>
      <c r="P367" s="174" t="s">
        <v>283</v>
      </c>
      <c r="Q367" s="174" t="s">
        <v>284</v>
      </c>
      <c r="R367" s="174" t="s">
        <v>283</v>
      </c>
      <c r="S367" s="174" t="s">
        <v>283</v>
      </c>
      <c r="T367" s="175">
        <v>0</v>
      </c>
    </row>
    <row r="368" spans="1:20" x14ac:dyDescent="0.2">
      <c r="A368" s="169">
        <v>622</v>
      </c>
      <c r="B368" s="168" t="s">
        <v>8</v>
      </c>
      <c r="C368" s="168" t="s">
        <v>22</v>
      </c>
      <c r="D368" s="173">
        <v>45688</v>
      </c>
      <c r="E368" s="174" t="s">
        <v>455</v>
      </c>
      <c r="F368" s="174" t="s">
        <v>420</v>
      </c>
      <c r="G368" s="174" t="s">
        <v>286</v>
      </c>
      <c r="H368" s="174" t="s">
        <v>430</v>
      </c>
      <c r="I368" s="174" t="s">
        <v>431</v>
      </c>
      <c r="J368" s="174" t="s">
        <v>456</v>
      </c>
      <c r="K368" s="174" t="s">
        <v>457</v>
      </c>
      <c r="L368" s="174" t="s">
        <v>458</v>
      </c>
      <c r="M368" s="174" t="s">
        <v>281</v>
      </c>
      <c r="N368" s="177">
        <v>36666483</v>
      </c>
      <c r="O368" s="174" t="s">
        <v>459</v>
      </c>
      <c r="P368" s="174" t="s">
        <v>283</v>
      </c>
      <c r="Q368" s="174" t="s">
        <v>284</v>
      </c>
      <c r="R368" s="174" t="s">
        <v>283</v>
      </c>
      <c r="S368" s="174" t="s">
        <v>283</v>
      </c>
      <c r="T368" s="175">
        <v>0</v>
      </c>
    </row>
    <row r="369" spans="1:20" x14ac:dyDescent="0.2">
      <c r="A369" s="169">
        <v>622</v>
      </c>
      <c r="B369" s="168" t="s">
        <v>8</v>
      </c>
      <c r="C369" s="168" t="s">
        <v>25</v>
      </c>
      <c r="D369" s="173">
        <v>45688</v>
      </c>
      <c r="E369" s="174" t="s">
        <v>455</v>
      </c>
      <c r="F369" s="174" t="s">
        <v>421</v>
      </c>
      <c r="G369" s="174" t="s">
        <v>341</v>
      </c>
      <c r="H369" s="174" t="s">
        <v>430</v>
      </c>
      <c r="I369" s="174" t="s">
        <v>431</v>
      </c>
      <c r="J369" s="174" t="s">
        <v>456</v>
      </c>
      <c r="K369" s="174" t="s">
        <v>457</v>
      </c>
      <c r="L369" s="174" t="s">
        <v>458</v>
      </c>
      <c r="M369" s="174" t="s">
        <v>281</v>
      </c>
      <c r="N369" s="177">
        <v>20044471</v>
      </c>
      <c r="O369" s="174" t="s">
        <v>459</v>
      </c>
      <c r="P369" s="174" t="s">
        <v>283</v>
      </c>
      <c r="Q369" s="174" t="s">
        <v>284</v>
      </c>
      <c r="R369" s="174" t="s">
        <v>283</v>
      </c>
      <c r="S369" s="174" t="s">
        <v>283</v>
      </c>
      <c r="T369" s="175">
        <v>0</v>
      </c>
    </row>
    <row r="370" spans="1:20" x14ac:dyDescent="0.2">
      <c r="A370" s="169">
        <v>622</v>
      </c>
      <c r="B370" s="168" t="s">
        <v>8</v>
      </c>
      <c r="C370" s="168" t="s">
        <v>23</v>
      </c>
      <c r="D370" s="173">
        <v>45688</v>
      </c>
      <c r="E370" s="174" t="s">
        <v>455</v>
      </c>
      <c r="F370" s="174" t="s">
        <v>422</v>
      </c>
      <c r="G370" s="174" t="s">
        <v>423</v>
      </c>
      <c r="H370" s="174" t="s">
        <v>430</v>
      </c>
      <c r="I370" s="174" t="s">
        <v>431</v>
      </c>
      <c r="J370" s="174" t="s">
        <v>456</v>
      </c>
      <c r="K370" s="174" t="s">
        <v>457</v>
      </c>
      <c r="L370" s="174" t="s">
        <v>458</v>
      </c>
      <c r="M370" s="174" t="s">
        <v>281</v>
      </c>
      <c r="N370" s="177">
        <v>47959271</v>
      </c>
      <c r="O370" s="174" t="s">
        <v>459</v>
      </c>
      <c r="P370" s="174" t="s">
        <v>283</v>
      </c>
      <c r="Q370" s="174" t="s">
        <v>284</v>
      </c>
      <c r="R370" s="174" t="s">
        <v>283</v>
      </c>
      <c r="S370" s="174" t="s">
        <v>283</v>
      </c>
      <c r="T370" s="175">
        <v>0</v>
      </c>
    </row>
    <row r="371" spans="1:20" x14ac:dyDescent="0.2">
      <c r="A371" s="169">
        <v>622</v>
      </c>
      <c r="B371" s="168" t="s">
        <v>8</v>
      </c>
      <c r="C371" s="168" t="s">
        <v>24</v>
      </c>
      <c r="D371" s="173">
        <v>45688</v>
      </c>
      <c r="E371" s="174" t="s">
        <v>455</v>
      </c>
      <c r="F371" s="174" t="s">
        <v>424</v>
      </c>
      <c r="G371" s="174" t="s">
        <v>291</v>
      </c>
      <c r="H371" s="174" t="s">
        <v>430</v>
      </c>
      <c r="I371" s="174" t="s">
        <v>431</v>
      </c>
      <c r="J371" s="174" t="s">
        <v>456</v>
      </c>
      <c r="K371" s="174" t="s">
        <v>457</v>
      </c>
      <c r="L371" s="174" t="s">
        <v>458</v>
      </c>
      <c r="M371" s="174" t="s">
        <v>281</v>
      </c>
      <c r="N371" s="177">
        <v>15500000</v>
      </c>
      <c r="O371" s="174" t="s">
        <v>459</v>
      </c>
      <c r="P371" s="174" t="s">
        <v>283</v>
      </c>
      <c r="Q371" s="174" t="s">
        <v>284</v>
      </c>
      <c r="R371" s="174" t="s">
        <v>283</v>
      </c>
      <c r="S371" s="174" t="s">
        <v>283</v>
      </c>
      <c r="T371" s="175">
        <v>0</v>
      </c>
    </row>
    <row r="372" spans="1:20" x14ac:dyDescent="0.2">
      <c r="A372" s="169">
        <v>622</v>
      </c>
      <c r="B372" s="168" t="s">
        <v>8</v>
      </c>
      <c r="C372" s="168" t="s">
        <v>25</v>
      </c>
      <c r="D372" s="173">
        <v>45688</v>
      </c>
      <c r="E372" s="174" t="s">
        <v>455</v>
      </c>
      <c r="F372" s="174" t="s">
        <v>414</v>
      </c>
      <c r="G372" s="174" t="s">
        <v>415</v>
      </c>
      <c r="H372" s="174" t="s">
        <v>430</v>
      </c>
      <c r="I372" s="174" t="s">
        <v>431</v>
      </c>
      <c r="J372" s="174" t="s">
        <v>456</v>
      </c>
      <c r="K372" s="174" t="s">
        <v>457</v>
      </c>
      <c r="L372" s="174" t="s">
        <v>458</v>
      </c>
      <c r="M372" s="174" t="s">
        <v>281</v>
      </c>
      <c r="N372" s="177">
        <v>5200000</v>
      </c>
      <c r="O372" s="174" t="s">
        <v>459</v>
      </c>
      <c r="P372" s="174" t="s">
        <v>283</v>
      </c>
      <c r="Q372" s="174" t="s">
        <v>284</v>
      </c>
      <c r="R372" s="174" t="s">
        <v>283</v>
      </c>
      <c r="S372" s="174" t="s">
        <v>283</v>
      </c>
      <c r="T372" s="175">
        <v>0</v>
      </c>
    </row>
    <row r="373" spans="1:20" x14ac:dyDescent="0.2">
      <c r="A373" s="169">
        <v>622</v>
      </c>
      <c r="B373" s="168" t="s">
        <v>8</v>
      </c>
      <c r="C373" s="168" t="s">
        <v>22</v>
      </c>
      <c r="D373" s="173">
        <v>45688</v>
      </c>
      <c r="E373" s="174" t="s">
        <v>460</v>
      </c>
      <c r="F373" s="174" t="s">
        <v>420</v>
      </c>
      <c r="G373" s="174" t="s">
        <v>286</v>
      </c>
      <c r="H373" s="174" t="s">
        <v>430</v>
      </c>
      <c r="I373" s="174" t="s">
        <v>431</v>
      </c>
      <c r="J373" s="174" t="s">
        <v>461</v>
      </c>
      <c r="K373" s="174" t="s">
        <v>457</v>
      </c>
      <c r="L373" s="174" t="s">
        <v>458</v>
      </c>
      <c r="M373" s="174" t="s">
        <v>281</v>
      </c>
      <c r="N373" s="177">
        <v>16906724</v>
      </c>
      <c r="O373" s="174" t="s">
        <v>462</v>
      </c>
      <c r="P373" s="174" t="s">
        <v>283</v>
      </c>
      <c r="Q373" s="174" t="s">
        <v>284</v>
      </c>
      <c r="R373" s="174" t="s">
        <v>283</v>
      </c>
      <c r="S373" s="174" t="s">
        <v>283</v>
      </c>
      <c r="T373" s="175">
        <v>0</v>
      </c>
    </row>
    <row r="374" spans="1:20" x14ac:dyDescent="0.2">
      <c r="A374" s="169">
        <v>622</v>
      </c>
      <c r="B374" s="168" t="s">
        <v>8</v>
      </c>
      <c r="C374" s="168" t="s">
        <v>24</v>
      </c>
      <c r="D374" s="173">
        <v>45688</v>
      </c>
      <c r="E374" s="174" t="s">
        <v>460</v>
      </c>
      <c r="F374" s="174" t="s">
        <v>426</v>
      </c>
      <c r="G374" s="174" t="s">
        <v>77</v>
      </c>
      <c r="H374" s="174" t="s">
        <v>430</v>
      </c>
      <c r="I374" s="174" t="s">
        <v>431</v>
      </c>
      <c r="J374" s="174" t="s">
        <v>463</v>
      </c>
      <c r="K374" s="174" t="s">
        <v>457</v>
      </c>
      <c r="L374" s="174" t="s">
        <v>458</v>
      </c>
      <c r="M374" s="174" t="s">
        <v>281</v>
      </c>
      <c r="N374" s="177">
        <v>4374514</v>
      </c>
      <c r="O374" s="174" t="s">
        <v>462</v>
      </c>
      <c r="P374" s="174" t="s">
        <v>283</v>
      </c>
      <c r="Q374" s="174" t="s">
        <v>284</v>
      </c>
      <c r="R374" s="174" t="s">
        <v>283</v>
      </c>
      <c r="S374" s="174" t="s">
        <v>283</v>
      </c>
      <c r="T374" s="175">
        <v>0</v>
      </c>
    </row>
    <row r="375" spans="1:20" x14ac:dyDescent="0.2">
      <c r="A375" s="169">
        <v>622</v>
      </c>
      <c r="B375" s="168" t="s">
        <v>8</v>
      </c>
      <c r="C375" s="168" t="s">
        <v>170</v>
      </c>
      <c r="D375" s="173">
        <v>45688</v>
      </c>
      <c r="E375" s="174" t="s">
        <v>464</v>
      </c>
      <c r="F375" s="174" t="s">
        <v>425</v>
      </c>
      <c r="G375" s="174" t="s">
        <v>296</v>
      </c>
      <c r="H375" s="174" t="s">
        <v>430</v>
      </c>
      <c r="I375" s="174" t="s">
        <v>431</v>
      </c>
      <c r="J375" s="174" t="s">
        <v>465</v>
      </c>
      <c r="K375" s="174" t="s">
        <v>457</v>
      </c>
      <c r="L375" s="174" t="s">
        <v>458</v>
      </c>
      <c r="M375" s="174" t="s">
        <v>281</v>
      </c>
      <c r="N375" s="177">
        <v>44888025</v>
      </c>
      <c r="O375" s="174" t="s">
        <v>466</v>
      </c>
      <c r="P375" s="174" t="s">
        <v>283</v>
      </c>
      <c r="Q375" s="174" t="s">
        <v>284</v>
      </c>
      <c r="R375" s="174" t="s">
        <v>283</v>
      </c>
      <c r="S375" s="174" t="s">
        <v>283</v>
      </c>
      <c r="T375" s="175">
        <v>0</v>
      </c>
    </row>
    <row r="376" spans="1:20" x14ac:dyDescent="0.2">
      <c r="A376" s="169">
        <v>622</v>
      </c>
      <c r="B376" s="168" t="s">
        <v>8</v>
      </c>
      <c r="C376" s="168" t="s">
        <v>170</v>
      </c>
      <c r="D376" s="173">
        <v>45688</v>
      </c>
      <c r="E376" s="174" t="s">
        <v>467</v>
      </c>
      <c r="F376" s="174" t="s">
        <v>425</v>
      </c>
      <c r="G376" s="174" t="s">
        <v>296</v>
      </c>
      <c r="H376" s="174" t="s">
        <v>430</v>
      </c>
      <c r="I376" s="174" t="s">
        <v>431</v>
      </c>
      <c r="J376" s="174" t="s">
        <v>465</v>
      </c>
      <c r="K376" s="174" t="s">
        <v>457</v>
      </c>
      <c r="L376" s="174" t="s">
        <v>458</v>
      </c>
      <c r="M376" s="174" t="s">
        <v>281</v>
      </c>
      <c r="N376" s="177">
        <v>44888025</v>
      </c>
      <c r="O376" s="174" t="s">
        <v>468</v>
      </c>
      <c r="P376" s="174" t="s">
        <v>283</v>
      </c>
      <c r="Q376" s="174" t="s">
        <v>284</v>
      </c>
      <c r="R376" s="174" t="s">
        <v>283</v>
      </c>
      <c r="S376" s="174" t="s">
        <v>283</v>
      </c>
      <c r="T376" s="175">
        <v>0</v>
      </c>
    </row>
    <row r="377" spans="1:20" x14ac:dyDescent="0.2">
      <c r="A377" s="169">
        <v>622</v>
      </c>
      <c r="B377" s="168" t="s">
        <v>8</v>
      </c>
      <c r="C377" s="168" t="s">
        <v>170</v>
      </c>
      <c r="D377" s="173">
        <v>45688</v>
      </c>
      <c r="E377" s="174" t="s">
        <v>469</v>
      </c>
      <c r="F377" s="174" t="s">
        <v>425</v>
      </c>
      <c r="G377" s="174" t="s">
        <v>296</v>
      </c>
      <c r="H377" s="174" t="s">
        <v>430</v>
      </c>
      <c r="I377" s="174" t="s">
        <v>431</v>
      </c>
      <c r="J377" s="174" t="s">
        <v>465</v>
      </c>
      <c r="K377" s="174" t="s">
        <v>457</v>
      </c>
      <c r="L377" s="174" t="s">
        <v>458</v>
      </c>
      <c r="M377" s="174" t="s">
        <v>281</v>
      </c>
      <c r="N377" s="177">
        <v>-44888025</v>
      </c>
      <c r="O377" s="174" t="s">
        <v>470</v>
      </c>
      <c r="P377" s="174" t="s">
        <v>447</v>
      </c>
      <c r="Q377" s="174" t="s">
        <v>284</v>
      </c>
      <c r="R377" s="174" t="s">
        <v>283</v>
      </c>
      <c r="S377" s="174" t="s">
        <v>283</v>
      </c>
      <c r="T377" s="175">
        <v>0</v>
      </c>
    </row>
    <row r="378" spans="1:20" x14ac:dyDescent="0.2">
      <c r="A378" s="169">
        <v>622</v>
      </c>
      <c r="B378" s="168" t="s">
        <v>8</v>
      </c>
      <c r="C378" s="168" t="s">
        <v>22</v>
      </c>
      <c r="D378" s="173">
        <v>45688</v>
      </c>
      <c r="E378" s="174" t="s">
        <v>524</v>
      </c>
      <c r="F378" s="174" t="s">
        <v>400</v>
      </c>
      <c r="G378" s="174" t="s">
        <v>401</v>
      </c>
      <c r="H378" s="174" t="s">
        <v>430</v>
      </c>
      <c r="I378" s="174" t="s">
        <v>431</v>
      </c>
      <c r="J378" s="174" t="s">
        <v>456</v>
      </c>
      <c r="K378" s="174" t="s">
        <v>457</v>
      </c>
      <c r="L378" s="174" t="s">
        <v>458</v>
      </c>
      <c r="M378" s="174" t="s">
        <v>281</v>
      </c>
      <c r="N378" s="177">
        <v>1341750</v>
      </c>
      <c r="O378" s="174" t="s">
        <v>525</v>
      </c>
      <c r="P378" s="174" t="s">
        <v>283</v>
      </c>
      <c r="Q378" s="174" t="s">
        <v>284</v>
      </c>
      <c r="R378" s="174" t="s">
        <v>283</v>
      </c>
      <c r="S378" s="174" t="s">
        <v>283</v>
      </c>
      <c r="T378" s="175">
        <v>0</v>
      </c>
    </row>
    <row r="379" spans="1:20" x14ac:dyDescent="0.2">
      <c r="A379" s="169">
        <v>627</v>
      </c>
      <c r="B379" s="168" t="s">
        <v>8</v>
      </c>
      <c r="C379" s="168" t="s">
        <v>25</v>
      </c>
      <c r="D379" s="173">
        <v>45682</v>
      </c>
      <c r="E379" s="174" t="s">
        <v>490</v>
      </c>
      <c r="F379" s="174" t="s">
        <v>375</v>
      </c>
      <c r="G379" s="174" t="s">
        <v>336</v>
      </c>
      <c r="H379" s="174" t="s">
        <v>430</v>
      </c>
      <c r="I379" s="174" t="s">
        <v>431</v>
      </c>
      <c r="J379" s="174" t="s">
        <v>491</v>
      </c>
      <c r="K379" s="174" t="s">
        <v>338</v>
      </c>
      <c r="L379" s="174" t="s">
        <v>458</v>
      </c>
      <c r="M379" s="174" t="s">
        <v>281</v>
      </c>
      <c r="N379" s="177">
        <v>24125000</v>
      </c>
      <c r="O379" s="174" t="s">
        <v>492</v>
      </c>
      <c r="P379" s="174" t="s">
        <v>283</v>
      </c>
      <c r="Q379" s="174" t="s">
        <v>306</v>
      </c>
      <c r="R379" s="174" t="s">
        <v>283</v>
      </c>
      <c r="S379" s="174" t="s">
        <v>283</v>
      </c>
      <c r="T379" s="175">
        <v>0</v>
      </c>
    </row>
    <row r="380" spans="1:20" x14ac:dyDescent="0.2">
      <c r="A380" s="169">
        <v>627</v>
      </c>
      <c r="B380" s="168" t="s">
        <v>8</v>
      </c>
      <c r="C380" s="168" t="s">
        <v>25</v>
      </c>
      <c r="D380" s="173">
        <v>45688</v>
      </c>
      <c r="E380" s="174" t="s">
        <v>520</v>
      </c>
      <c r="F380" s="174" t="s">
        <v>375</v>
      </c>
      <c r="G380" s="174" t="s">
        <v>336</v>
      </c>
      <c r="H380" s="174" t="s">
        <v>430</v>
      </c>
      <c r="I380" s="174" t="s">
        <v>431</v>
      </c>
      <c r="J380" s="174" t="s">
        <v>416</v>
      </c>
      <c r="K380" s="174" t="s">
        <v>416</v>
      </c>
      <c r="L380" s="174" t="s">
        <v>458</v>
      </c>
      <c r="M380" s="174" t="s">
        <v>281</v>
      </c>
      <c r="N380" s="177">
        <v>-16000000</v>
      </c>
      <c r="O380" s="174" t="s">
        <v>521</v>
      </c>
      <c r="P380" s="174" t="s">
        <v>283</v>
      </c>
      <c r="Q380" s="174" t="s">
        <v>348</v>
      </c>
      <c r="R380" s="174" t="s">
        <v>283</v>
      </c>
      <c r="S380" s="174" t="s">
        <v>283</v>
      </c>
      <c r="T380" s="175">
        <v>0</v>
      </c>
    </row>
    <row r="381" spans="1:20" x14ac:dyDescent="0.2">
      <c r="A381" s="169">
        <v>627</v>
      </c>
      <c r="B381" s="168" t="s">
        <v>8</v>
      </c>
      <c r="C381" s="168" t="s">
        <v>25</v>
      </c>
      <c r="D381" s="173">
        <v>45688</v>
      </c>
      <c r="E381" s="174" t="s">
        <v>520</v>
      </c>
      <c r="F381" s="174" t="s">
        <v>375</v>
      </c>
      <c r="G381" s="174" t="s">
        <v>336</v>
      </c>
      <c r="H381" s="174" t="s">
        <v>430</v>
      </c>
      <c r="I381" s="174" t="s">
        <v>431</v>
      </c>
      <c r="J381" s="174" t="s">
        <v>416</v>
      </c>
      <c r="K381" s="174" t="s">
        <v>416</v>
      </c>
      <c r="L381" s="174" t="s">
        <v>458</v>
      </c>
      <c r="M381" s="174" t="s">
        <v>281</v>
      </c>
      <c r="N381" s="177">
        <v>-425000</v>
      </c>
      <c r="O381" s="174" t="s">
        <v>521</v>
      </c>
      <c r="P381" s="174" t="s">
        <v>283</v>
      </c>
      <c r="Q381" s="174" t="s">
        <v>348</v>
      </c>
      <c r="R381" s="174" t="s">
        <v>283</v>
      </c>
      <c r="S381" s="174" t="s">
        <v>283</v>
      </c>
      <c r="T381" s="175">
        <v>0</v>
      </c>
    </row>
    <row r="382" spans="1:20" x14ac:dyDescent="0.2">
      <c r="A382" s="169">
        <v>627</v>
      </c>
      <c r="B382" s="168" t="s">
        <v>8</v>
      </c>
      <c r="C382" s="168" t="s">
        <v>25</v>
      </c>
      <c r="D382" s="173">
        <v>45688</v>
      </c>
      <c r="E382" s="174" t="s">
        <v>455</v>
      </c>
      <c r="F382" s="174" t="s">
        <v>386</v>
      </c>
      <c r="G382" s="174" t="s">
        <v>341</v>
      </c>
      <c r="H382" s="174" t="s">
        <v>430</v>
      </c>
      <c r="I382" s="174" t="s">
        <v>431</v>
      </c>
      <c r="J382" s="174" t="s">
        <v>456</v>
      </c>
      <c r="K382" s="174" t="s">
        <v>457</v>
      </c>
      <c r="L382" s="174" t="s">
        <v>458</v>
      </c>
      <c r="M382" s="174" t="s">
        <v>281</v>
      </c>
      <c r="N382" s="177">
        <v>8220292</v>
      </c>
      <c r="O382" s="174" t="s">
        <v>459</v>
      </c>
      <c r="P382" s="174" t="s">
        <v>283</v>
      </c>
      <c r="Q382" s="174" t="s">
        <v>284</v>
      </c>
      <c r="R382" s="174" t="s">
        <v>283</v>
      </c>
      <c r="S382" s="174" t="s">
        <v>283</v>
      </c>
      <c r="T382" s="175">
        <v>0</v>
      </c>
    </row>
    <row r="383" spans="1:20" x14ac:dyDescent="0.2">
      <c r="A383" s="169">
        <v>627</v>
      </c>
      <c r="B383" s="168" t="s">
        <v>8</v>
      </c>
      <c r="C383" s="168" t="s">
        <v>22</v>
      </c>
      <c r="D383" s="173">
        <v>45688</v>
      </c>
      <c r="E383" s="174" t="s">
        <v>455</v>
      </c>
      <c r="F383" s="174" t="s">
        <v>387</v>
      </c>
      <c r="G383" s="174" t="s">
        <v>275</v>
      </c>
      <c r="H383" s="174" t="s">
        <v>430</v>
      </c>
      <c r="I383" s="174" t="s">
        <v>431</v>
      </c>
      <c r="J383" s="174" t="s">
        <v>456</v>
      </c>
      <c r="K383" s="174" t="s">
        <v>457</v>
      </c>
      <c r="L383" s="174" t="s">
        <v>458</v>
      </c>
      <c r="M383" s="174" t="s">
        <v>281</v>
      </c>
      <c r="N383" s="177">
        <v>161295097</v>
      </c>
      <c r="O383" s="174" t="s">
        <v>459</v>
      </c>
      <c r="P383" s="174" t="s">
        <v>283</v>
      </c>
      <c r="Q383" s="174" t="s">
        <v>284</v>
      </c>
      <c r="R383" s="174" t="s">
        <v>283</v>
      </c>
      <c r="S383" s="174" t="s">
        <v>283</v>
      </c>
      <c r="T383" s="175">
        <v>0</v>
      </c>
    </row>
    <row r="384" spans="1:20" x14ac:dyDescent="0.2">
      <c r="A384" s="169">
        <v>627</v>
      </c>
      <c r="B384" s="168" t="s">
        <v>8</v>
      </c>
      <c r="C384" s="168" t="s">
        <v>22</v>
      </c>
      <c r="D384" s="173">
        <v>45688</v>
      </c>
      <c r="E384" s="174" t="s">
        <v>455</v>
      </c>
      <c r="F384" s="174" t="s">
        <v>388</v>
      </c>
      <c r="G384" s="174" t="s">
        <v>286</v>
      </c>
      <c r="H384" s="174" t="s">
        <v>430</v>
      </c>
      <c r="I384" s="174" t="s">
        <v>431</v>
      </c>
      <c r="J384" s="174" t="s">
        <v>456</v>
      </c>
      <c r="K384" s="174" t="s">
        <v>457</v>
      </c>
      <c r="L384" s="174" t="s">
        <v>458</v>
      </c>
      <c r="M384" s="174" t="s">
        <v>281</v>
      </c>
      <c r="N384" s="177">
        <v>13740579</v>
      </c>
      <c r="O384" s="174" t="s">
        <v>459</v>
      </c>
      <c r="P384" s="174" t="s">
        <v>283</v>
      </c>
      <c r="Q384" s="174" t="s">
        <v>284</v>
      </c>
      <c r="R384" s="174" t="s">
        <v>283</v>
      </c>
      <c r="S384" s="174" t="s">
        <v>283</v>
      </c>
      <c r="T384" s="175">
        <v>0</v>
      </c>
    </row>
    <row r="385" spans="1:20" x14ac:dyDescent="0.2">
      <c r="A385" s="169">
        <v>627</v>
      </c>
      <c r="B385" s="168" t="s">
        <v>8</v>
      </c>
      <c r="C385" s="168" t="s">
        <v>23</v>
      </c>
      <c r="D385" s="173">
        <v>45688</v>
      </c>
      <c r="E385" s="174" t="s">
        <v>455</v>
      </c>
      <c r="F385" s="174" t="s">
        <v>389</v>
      </c>
      <c r="G385" s="174" t="s">
        <v>390</v>
      </c>
      <c r="H385" s="174" t="s">
        <v>430</v>
      </c>
      <c r="I385" s="174" t="s">
        <v>431</v>
      </c>
      <c r="J385" s="174" t="s">
        <v>456</v>
      </c>
      <c r="K385" s="174" t="s">
        <v>457</v>
      </c>
      <c r="L385" s="174" t="s">
        <v>458</v>
      </c>
      <c r="M385" s="174" t="s">
        <v>281</v>
      </c>
      <c r="N385" s="177">
        <v>20129499</v>
      </c>
      <c r="O385" s="174" t="s">
        <v>459</v>
      </c>
      <c r="P385" s="174" t="s">
        <v>283</v>
      </c>
      <c r="Q385" s="174" t="s">
        <v>284</v>
      </c>
      <c r="R385" s="174" t="s">
        <v>283</v>
      </c>
      <c r="S385" s="174" t="s">
        <v>283</v>
      </c>
      <c r="T385" s="175">
        <v>0</v>
      </c>
    </row>
    <row r="386" spans="1:20" x14ac:dyDescent="0.2">
      <c r="A386" s="169">
        <v>627</v>
      </c>
      <c r="B386" s="168" t="s">
        <v>8</v>
      </c>
      <c r="C386" s="168" t="s">
        <v>24</v>
      </c>
      <c r="D386" s="173">
        <v>45688</v>
      </c>
      <c r="E386" s="174" t="s">
        <v>455</v>
      </c>
      <c r="F386" s="174" t="s">
        <v>391</v>
      </c>
      <c r="G386" s="174" t="s">
        <v>291</v>
      </c>
      <c r="H386" s="174" t="s">
        <v>430</v>
      </c>
      <c r="I386" s="174" t="s">
        <v>431</v>
      </c>
      <c r="J386" s="174" t="s">
        <v>456</v>
      </c>
      <c r="K386" s="174" t="s">
        <v>457</v>
      </c>
      <c r="L386" s="174" t="s">
        <v>458</v>
      </c>
      <c r="M386" s="174" t="s">
        <v>281</v>
      </c>
      <c r="N386" s="177">
        <v>3100000</v>
      </c>
      <c r="O386" s="174" t="s">
        <v>459</v>
      </c>
      <c r="P386" s="174" t="s">
        <v>283</v>
      </c>
      <c r="Q386" s="174" t="s">
        <v>284</v>
      </c>
      <c r="R386" s="174" t="s">
        <v>283</v>
      </c>
      <c r="S386" s="174" t="s">
        <v>283</v>
      </c>
      <c r="T386" s="175">
        <v>0</v>
      </c>
    </row>
    <row r="387" spans="1:20" x14ac:dyDescent="0.2">
      <c r="A387" s="169">
        <v>627</v>
      </c>
      <c r="B387" s="168" t="s">
        <v>8</v>
      </c>
      <c r="C387" s="168" t="s">
        <v>25</v>
      </c>
      <c r="D387" s="173">
        <v>45688</v>
      </c>
      <c r="E387" s="174" t="s">
        <v>455</v>
      </c>
      <c r="F387" s="174" t="s">
        <v>375</v>
      </c>
      <c r="G387" s="174" t="s">
        <v>336</v>
      </c>
      <c r="H387" s="174" t="s">
        <v>430</v>
      </c>
      <c r="I387" s="174" t="s">
        <v>431</v>
      </c>
      <c r="J387" s="174" t="s">
        <v>456</v>
      </c>
      <c r="K387" s="174" t="s">
        <v>457</v>
      </c>
      <c r="L387" s="174" t="s">
        <v>458</v>
      </c>
      <c r="M387" s="174" t="s">
        <v>281</v>
      </c>
      <c r="N387" s="177">
        <v>1450000</v>
      </c>
      <c r="O387" s="174" t="s">
        <v>459</v>
      </c>
      <c r="P387" s="174" t="s">
        <v>283</v>
      </c>
      <c r="Q387" s="174" t="s">
        <v>284</v>
      </c>
      <c r="R387" s="174" t="s">
        <v>283</v>
      </c>
      <c r="S387" s="174" t="s">
        <v>283</v>
      </c>
      <c r="T387" s="175">
        <v>0</v>
      </c>
    </row>
    <row r="388" spans="1:20" x14ac:dyDescent="0.2">
      <c r="A388" s="169">
        <v>627</v>
      </c>
      <c r="B388" s="168" t="s">
        <v>8</v>
      </c>
      <c r="C388" s="168" t="s">
        <v>22</v>
      </c>
      <c r="D388" s="173">
        <v>45688</v>
      </c>
      <c r="E388" s="174" t="s">
        <v>460</v>
      </c>
      <c r="F388" s="174" t="s">
        <v>388</v>
      </c>
      <c r="G388" s="174" t="s">
        <v>286</v>
      </c>
      <c r="H388" s="174" t="s">
        <v>430</v>
      </c>
      <c r="I388" s="174" t="s">
        <v>431</v>
      </c>
      <c r="J388" s="174" t="s">
        <v>461</v>
      </c>
      <c r="K388" s="174" t="s">
        <v>457</v>
      </c>
      <c r="L388" s="174" t="s">
        <v>458</v>
      </c>
      <c r="M388" s="174" t="s">
        <v>281</v>
      </c>
      <c r="N388" s="177">
        <v>12294512</v>
      </c>
      <c r="O388" s="174" t="s">
        <v>462</v>
      </c>
      <c r="P388" s="174" t="s">
        <v>283</v>
      </c>
      <c r="Q388" s="174" t="s">
        <v>284</v>
      </c>
      <c r="R388" s="174" t="s">
        <v>283</v>
      </c>
      <c r="S388" s="174" t="s">
        <v>283</v>
      </c>
      <c r="T388" s="175">
        <v>0</v>
      </c>
    </row>
    <row r="389" spans="1:20" x14ac:dyDescent="0.2">
      <c r="A389" s="169">
        <v>627</v>
      </c>
      <c r="B389" s="168" t="s">
        <v>8</v>
      </c>
      <c r="C389" s="168" t="s">
        <v>24</v>
      </c>
      <c r="D389" s="173">
        <v>45688</v>
      </c>
      <c r="E389" s="174" t="s">
        <v>460</v>
      </c>
      <c r="F389" s="174" t="s">
        <v>395</v>
      </c>
      <c r="G389" s="174" t="s">
        <v>77</v>
      </c>
      <c r="H389" s="174" t="s">
        <v>430</v>
      </c>
      <c r="I389" s="174" t="s">
        <v>431</v>
      </c>
      <c r="J389" s="174" t="s">
        <v>463</v>
      </c>
      <c r="K389" s="174" t="s">
        <v>457</v>
      </c>
      <c r="L389" s="174" t="s">
        <v>458</v>
      </c>
      <c r="M389" s="174" t="s">
        <v>281</v>
      </c>
      <c r="N389" s="177">
        <v>10937632</v>
      </c>
      <c r="O389" s="174" t="s">
        <v>462</v>
      </c>
      <c r="P389" s="174" t="s">
        <v>283</v>
      </c>
      <c r="Q389" s="174" t="s">
        <v>284</v>
      </c>
      <c r="R389" s="174" t="s">
        <v>283</v>
      </c>
      <c r="S389" s="174" t="s">
        <v>283</v>
      </c>
      <c r="T389" s="175">
        <v>0</v>
      </c>
    </row>
    <row r="390" spans="1:20" x14ac:dyDescent="0.2">
      <c r="A390" s="169">
        <v>627</v>
      </c>
      <c r="B390" s="168" t="s">
        <v>8</v>
      </c>
      <c r="C390" s="168" t="s">
        <v>170</v>
      </c>
      <c r="D390" s="173">
        <v>45688</v>
      </c>
      <c r="E390" s="174" t="s">
        <v>464</v>
      </c>
      <c r="F390" s="174" t="s">
        <v>393</v>
      </c>
      <c r="G390" s="174" t="s">
        <v>296</v>
      </c>
      <c r="H390" s="174" t="s">
        <v>430</v>
      </c>
      <c r="I390" s="174" t="s">
        <v>431</v>
      </c>
      <c r="J390" s="174" t="s">
        <v>465</v>
      </c>
      <c r="K390" s="174" t="s">
        <v>457</v>
      </c>
      <c r="L390" s="174" t="s">
        <v>458</v>
      </c>
      <c r="M390" s="174" t="s">
        <v>281</v>
      </c>
      <c r="N390" s="177">
        <v>27564235</v>
      </c>
      <c r="O390" s="174" t="s">
        <v>466</v>
      </c>
      <c r="P390" s="174" t="s">
        <v>283</v>
      </c>
      <c r="Q390" s="174" t="s">
        <v>284</v>
      </c>
      <c r="R390" s="174" t="s">
        <v>283</v>
      </c>
      <c r="S390" s="174" t="s">
        <v>283</v>
      </c>
      <c r="T390" s="175">
        <v>0</v>
      </c>
    </row>
    <row r="391" spans="1:20" x14ac:dyDescent="0.2">
      <c r="A391" s="169">
        <v>627</v>
      </c>
      <c r="B391" s="168" t="s">
        <v>8</v>
      </c>
      <c r="C391" s="168" t="s">
        <v>170</v>
      </c>
      <c r="D391" s="173">
        <v>45688</v>
      </c>
      <c r="E391" s="174" t="s">
        <v>513</v>
      </c>
      <c r="F391" s="174" t="s">
        <v>393</v>
      </c>
      <c r="G391" s="174" t="s">
        <v>296</v>
      </c>
      <c r="H391" s="174" t="s">
        <v>430</v>
      </c>
      <c r="I391" s="174" t="s">
        <v>431</v>
      </c>
      <c r="J391" s="174" t="s">
        <v>514</v>
      </c>
      <c r="K391" s="174" t="s">
        <v>457</v>
      </c>
      <c r="L391" s="174" t="s">
        <v>458</v>
      </c>
      <c r="M391" s="174" t="s">
        <v>281</v>
      </c>
      <c r="N391" s="177">
        <v>241515</v>
      </c>
      <c r="O391" s="174" t="s">
        <v>515</v>
      </c>
      <c r="P391" s="174" t="s">
        <v>283</v>
      </c>
      <c r="Q391" s="174" t="s">
        <v>284</v>
      </c>
      <c r="R391" s="174" t="s">
        <v>283</v>
      </c>
      <c r="S391" s="174" t="s">
        <v>283</v>
      </c>
      <c r="T391" s="175">
        <v>0</v>
      </c>
    </row>
    <row r="392" spans="1:20" x14ac:dyDescent="0.2">
      <c r="A392" s="169">
        <v>627</v>
      </c>
      <c r="B392" s="168" t="s">
        <v>8</v>
      </c>
      <c r="C392" s="168" t="s">
        <v>170</v>
      </c>
      <c r="D392" s="173">
        <v>45688</v>
      </c>
      <c r="E392" s="174" t="s">
        <v>467</v>
      </c>
      <c r="F392" s="174" t="s">
        <v>393</v>
      </c>
      <c r="G392" s="174" t="s">
        <v>296</v>
      </c>
      <c r="H392" s="174" t="s">
        <v>430</v>
      </c>
      <c r="I392" s="174" t="s">
        <v>431</v>
      </c>
      <c r="J392" s="174" t="s">
        <v>465</v>
      </c>
      <c r="K392" s="174" t="s">
        <v>457</v>
      </c>
      <c r="L392" s="174" t="s">
        <v>458</v>
      </c>
      <c r="M392" s="174" t="s">
        <v>281</v>
      </c>
      <c r="N392" s="177">
        <v>27564235</v>
      </c>
      <c r="O392" s="174" t="s">
        <v>468</v>
      </c>
      <c r="P392" s="174" t="s">
        <v>283</v>
      </c>
      <c r="Q392" s="174" t="s">
        <v>284</v>
      </c>
      <c r="R392" s="174" t="s">
        <v>283</v>
      </c>
      <c r="S392" s="174" t="s">
        <v>283</v>
      </c>
      <c r="T392" s="175">
        <v>0</v>
      </c>
    </row>
    <row r="393" spans="1:20" x14ac:dyDescent="0.2">
      <c r="A393" s="169">
        <v>627</v>
      </c>
      <c r="B393" s="168" t="s">
        <v>8</v>
      </c>
      <c r="C393" s="168" t="s">
        <v>170</v>
      </c>
      <c r="D393" s="173">
        <v>45688</v>
      </c>
      <c r="E393" s="174" t="s">
        <v>469</v>
      </c>
      <c r="F393" s="174" t="s">
        <v>393</v>
      </c>
      <c r="G393" s="174" t="s">
        <v>296</v>
      </c>
      <c r="H393" s="174" t="s">
        <v>430</v>
      </c>
      <c r="I393" s="174" t="s">
        <v>431</v>
      </c>
      <c r="J393" s="174" t="s">
        <v>465</v>
      </c>
      <c r="K393" s="174" t="s">
        <v>457</v>
      </c>
      <c r="L393" s="174" t="s">
        <v>458</v>
      </c>
      <c r="M393" s="174" t="s">
        <v>281</v>
      </c>
      <c r="N393" s="177">
        <v>-27564235</v>
      </c>
      <c r="O393" s="174" t="s">
        <v>470</v>
      </c>
      <c r="P393" s="174" t="s">
        <v>447</v>
      </c>
      <c r="Q393" s="174" t="s">
        <v>284</v>
      </c>
      <c r="R393" s="174" t="s">
        <v>283</v>
      </c>
      <c r="S393" s="174" t="s">
        <v>283</v>
      </c>
      <c r="T393" s="175">
        <v>0</v>
      </c>
    </row>
    <row r="394" spans="1:20" x14ac:dyDescent="0.2">
      <c r="A394" s="169">
        <v>627</v>
      </c>
      <c r="B394" s="168" t="s">
        <v>8</v>
      </c>
      <c r="C394" s="168" t="s">
        <v>222</v>
      </c>
      <c r="D394" s="173">
        <v>45663</v>
      </c>
      <c r="E394" s="174" t="s">
        <v>527</v>
      </c>
      <c r="F394" s="174" t="s">
        <v>435</v>
      </c>
      <c r="G394" s="174" t="s">
        <v>222</v>
      </c>
      <c r="H394" s="174" t="s">
        <v>436</v>
      </c>
      <c r="I394" s="174" t="s">
        <v>437</v>
      </c>
      <c r="J394" s="174" t="s">
        <v>528</v>
      </c>
      <c r="K394" s="174" t="s">
        <v>529</v>
      </c>
      <c r="L394" s="174" t="s">
        <v>458</v>
      </c>
      <c r="M394" s="174" t="s">
        <v>281</v>
      </c>
      <c r="N394" s="177">
        <v>5150000</v>
      </c>
      <c r="O394" s="174" t="s">
        <v>530</v>
      </c>
      <c r="P394" s="174" t="s">
        <v>283</v>
      </c>
      <c r="Q394" s="174" t="s">
        <v>325</v>
      </c>
      <c r="R394" s="174" t="s">
        <v>283</v>
      </c>
      <c r="S394" s="174" t="s">
        <v>283</v>
      </c>
      <c r="T394" s="175">
        <v>0</v>
      </c>
    </row>
    <row r="395" spans="1:20" x14ac:dyDescent="0.2">
      <c r="A395" s="169">
        <v>627</v>
      </c>
      <c r="B395" s="168" t="s">
        <v>8</v>
      </c>
      <c r="C395" s="168" t="s">
        <v>25</v>
      </c>
      <c r="D395" s="173">
        <v>45682</v>
      </c>
      <c r="E395" s="174" t="s">
        <v>490</v>
      </c>
      <c r="F395" s="174" t="s">
        <v>375</v>
      </c>
      <c r="G395" s="174" t="s">
        <v>336</v>
      </c>
      <c r="H395" s="174" t="s">
        <v>441</v>
      </c>
      <c r="I395" s="174" t="s">
        <v>442</v>
      </c>
      <c r="J395" s="174" t="s">
        <v>491</v>
      </c>
      <c r="K395" s="174" t="s">
        <v>338</v>
      </c>
      <c r="L395" s="174" t="s">
        <v>458</v>
      </c>
      <c r="M395" s="174" t="s">
        <v>281</v>
      </c>
      <c r="N395" s="177">
        <v>750000</v>
      </c>
      <c r="O395" s="174" t="s">
        <v>492</v>
      </c>
      <c r="P395" s="174" t="s">
        <v>283</v>
      </c>
      <c r="Q395" s="174" t="s">
        <v>306</v>
      </c>
      <c r="R395" s="174" t="s">
        <v>283</v>
      </c>
      <c r="S395" s="174" t="s">
        <v>283</v>
      </c>
      <c r="T395" s="175">
        <v>0</v>
      </c>
    </row>
    <row r="396" spans="1:20" x14ac:dyDescent="0.2">
      <c r="A396" s="169">
        <v>627</v>
      </c>
      <c r="B396" s="168" t="s">
        <v>8</v>
      </c>
      <c r="C396" s="168" t="s">
        <v>25</v>
      </c>
      <c r="D396" s="173">
        <v>45682</v>
      </c>
      <c r="E396" s="174" t="s">
        <v>490</v>
      </c>
      <c r="F396" s="174" t="s">
        <v>375</v>
      </c>
      <c r="G396" s="174" t="s">
        <v>336</v>
      </c>
      <c r="H396" s="174" t="s">
        <v>436</v>
      </c>
      <c r="I396" s="174" t="s">
        <v>437</v>
      </c>
      <c r="J396" s="174" t="s">
        <v>491</v>
      </c>
      <c r="K396" s="174" t="s">
        <v>338</v>
      </c>
      <c r="L396" s="174" t="s">
        <v>458</v>
      </c>
      <c r="M396" s="174" t="s">
        <v>281</v>
      </c>
      <c r="N396" s="177">
        <v>30500000</v>
      </c>
      <c r="O396" s="174" t="s">
        <v>492</v>
      </c>
      <c r="P396" s="174" t="s">
        <v>283</v>
      </c>
      <c r="Q396" s="174" t="s">
        <v>306</v>
      </c>
      <c r="R396" s="174" t="s">
        <v>283</v>
      </c>
      <c r="S396" s="174" t="s">
        <v>283</v>
      </c>
      <c r="T396" s="175">
        <v>0</v>
      </c>
    </row>
    <row r="397" spans="1:20" x14ac:dyDescent="0.2">
      <c r="A397" s="169">
        <v>622</v>
      </c>
      <c r="B397" s="168" t="s">
        <v>8</v>
      </c>
      <c r="C397" s="168" t="s">
        <v>25</v>
      </c>
      <c r="D397" s="173">
        <v>45688</v>
      </c>
      <c r="E397" s="174" t="s">
        <v>520</v>
      </c>
      <c r="F397" s="174" t="s">
        <v>414</v>
      </c>
      <c r="G397" s="174" t="s">
        <v>415</v>
      </c>
      <c r="H397" s="174" t="s">
        <v>441</v>
      </c>
      <c r="I397" s="174" t="s">
        <v>442</v>
      </c>
      <c r="J397" s="174" t="s">
        <v>416</v>
      </c>
      <c r="K397" s="174" t="s">
        <v>416</v>
      </c>
      <c r="L397" s="174" t="s">
        <v>458</v>
      </c>
      <c r="M397" s="174" t="s">
        <v>281</v>
      </c>
      <c r="N397" s="177">
        <v>750000</v>
      </c>
      <c r="O397" s="174" t="s">
        <v>521</v>
      </c>
      <c r="P397" s="174" t="s">
        <v>283</v>
      </c>
      <c r="Q397" s="174" t="s">
        <v>348</v>
      </c>
      <c r="R397" s="174" t="s">
        <v>283</v>
      </c>
      <c r="S397" s="174" t="s">
        <v>283</v>
      </c>
      <c r="T397" s="175">
        <v>0</v>
      </c>
    </row>
    <row r="398" spans="1:20" x14ac:dyDescent="0.2">
      <c r="A398" s="169">
        <v>627</v>
      </c>
      <c r="B398" s="168" t="s">
        <v>8</v>
      </c>
      <c r="C398" s="168" t="s">
        <v>25</v>
      </c>
      <c r="D398" s="173">
        <v>45688</v>
      </c>
      <c r="E398" s="174" t="s">
        <v>520</v>
      </c>
      <c r="F398" s="174" t="s">
        <v>375</v>
      </c>
      <c r="G398" s="174" t="s">
        <v>336</v>
      </c>
      <c r="H398" s="174" t="s">
        <v>441</v>
      </c>
      <c r="I398" s="174" t="s">
        <v>442</v>
      </c>
      <c r="J398" s="174" t="s">
        <v>416</v>
      </c>
      <c r="K398" s="174" t="s">
        <v>416</v>
      </c>
      <c r="L398" s="174" t="s">
        <v>458</v>
      </c>
      <c r="M398" s="174" t="s">
        <v>281</v>
      </c>
      <c r="N398" s="177">
        <v>-750000</v>
      </c>
      <c r="O398" s="174" t="s">
        <v>521</v>
      </c>
      <c r="P398" s="174" t="s">
        <v>283</v>
      </c>
      <c r="Q398" s="174" t="s">
        <v>348</v>
      </c>
      <c r="R398" s="174" t="s">
        <v>283</v>
      </c>
      <c r="S398" s="174" t="s">
        <v>283</v>
      </c>
      <c r="T398" s="175">
        <v>0</v>
      </c>
    </row>
    <row r="399" spans="1:20" x14ac:dyDescent="0.2">
      <c r="A399" s="169">
        <v>622</v>
      </c>
      <c r="B399" s="168" t="s">
        <v>8</v>
      </c>
      <c r="C399" s="168" t="s">
        <v>25</v>
      </c>
      <c r="D399" s="173">
        <v>45688</v>
      </c>
      <c r="E399" s="174" t="s">
        <v>520</v>
      </c>
      <c r="F399" s="174" t="s">
        <v>414</v>
      </c>
      <c r="G399" s="174" t="s">
        <v>415</v>
      </c>
      <c r="H399" s="174" t="s">
        <v>441</v>
      </c>
      <c r="I399" s="174" t="s">
        <v>442</v>
      </c>
      <c r="J399" s="174" t="s">
        <v>416</v>
      </c>
      <c r="K399" s="174" t="s">
        <v>416</v>
      </c>
      <c r="L399" s="174" t="s">
        <v>458</v>
      </c>
      <c r="M399" s="174" t="s">
        <v>281</v>
      </c>
      <c r="N399" s="177">
        <v>425000</v>
      </c>
      <c r="O399" s="174" t="s">
        <v>521</v>
      </c>
      <c r="P399" s="174" t="s">
        <v>283</v>
      </c>
      <c r="Q399" s="174" t="s">
        <v>348</v>
      </c>
      <c r="R399" s="174" t="s">
        <v>283</v>
      </c>
      <c r="S399" s="174" t="s">
        <v>283</v>
      </c>
      <c r="T399" s="175">
        <v>0</v>
      </c>
    </row>
    <row r="400" spans="1:20" x14ac:dyDescent="0.2">
      <c r="A400" s="169">
        <v>627</v>
      </c>
      <c r="B400" s="168" t="s">
        <v>8</v>
      </c>
      <c r="C400" s="168" t="s">
        <v>25</v>
      </c>
      <c r="D400" s="173">
        <v>45688</v>
      </c>
      <c r="E400" s="174" t="s">
        <v>455</v>
      </c>
      <c r="F400" s="174" t="s">
        <v>386</v>
      </c>
      <c r="G400" s="174" t="s">
        <v>341</v>
      </c>
      <c r="H400" s="174" t="s">
        <v>436</v>
      </c>
      <c r="I400" s="174" t="s">
        <v>437</v>
      </c>
      <c r="J400" s="174" t="s">
        <v>456</v>
      </c>
      <c r="K400" s="174" t="s">
        <v>457</v>
      </c>
      <c r="L400" s="174" t="s">
        <v>458</v>
      </c>
      <c r="M400" s="174" t="s">
        <v>281</v>
      </c>
      <c r="N400" s="177">
        <v>9812309</v>
      </c>
      <c r="O400" s="174" t="s">
        <v>459</v>
      </c>
      <c r="P400" s="174" t="s">
        <v>283</v>
      </c>
      <c r="Q400" s="174" t="s">
        <v>284</v>
      </c>
      <c r="R400" s="174" t="s">
        <v>283</v>
      </c>
      <c r="S400" s="174" t="s">
        <v>283</v>
      </c>
      <c r="T400" s="175">
        <v>0</v>
      </c>
    </row>
    <row r="401" spans="1:20" x14ac:dyDescent="0.2">
      <c r="A401" s="169">
        <v>627</v>
      </c>
      <c r="B401" s="168" t="s">
        <v>8</v>
      </c>
      <c r="C401" s="168" t="s">
        <v>22</v>
      </c>
      <c r="D401" s="173">
        <v>45688</v>
      </c>
      <c r="E401" s="174" t="s">
        <v>455</v>
      </c>
      <c r="F401" s="174" t="s">
        <v>387</v>
      </c>
      <c r="G401" s="174" t="s">
        <v>275</v>
      </c>
      <c r="H401" s="174" t="s">
        <v>436</v>
      </c>
      <c r="I401" s="174" t="s">
        <v>437</v>
      </c>
      <c r="J401" s="174" t="s">
        <v>456</v>
      </c>
      <c r="K401" s="174" t="s">
        <v>457</v>
      </c>
      <c r="L401" s="174" t="s">
        <v>458</v>
      </c>
      <c r="M401" s="174" t="s">
        <v>281</v>
      </c>
      <c r="N401" s="177">
        <v>450994892</v>
      </c>
      <c r="O401" s="174" t="s">
        <v>459</v>
      </c>
      <c r="P401" s="174" t="s">
        <v>283</v>
      </c>
      <c r="Q401" s="174" t="s">
        <v>284</v>
      </c>
      <c r="R401" s="174" t="s">
        <v>283</v>
      </c>
      <c r="S401" s="174" t="s">
        <v>283</v>
      </c>
      <c r="T401" s="175">
        <v>0</v>
      </c>
    </row>
    <row r="402" spans="1:20" x14ac:dyDescent="0.2">
      <c r="A402" s="169">
        <v>627</v>
      </c>
      <c r="B402" s="168" t="s">
        <v>8</v>
      </c>
      <c r="C402" s="168" t="s">
        <v>22</v>
      </c>
      <c r="D402" s="173">
        <v>45688</v>
      </c>
      <c r="E402" s="174" t="s">
        <v>455</v>
      </c>
      <c r="F402" s="174" t="s">
        <v>388</v>
      </c>
      <c r="G402" s="174" t="s">
        <v>286</v>
      </c>
      <c r="H402" s="174" t="s">
        <v>436</v>
      </c>
      <c r="I402" s="174" t="s">
        <v>437</v>
      </c>
      <c r="J402" s="174" t="s">
        <v>456</v>
      </c>
      <c r="K402" s="174" t="s">
        <v>457</v>
      </c>
      <c r="L402" s="174" t="s">
        <v>458</v>
      </c>
      <c r="M402" s="174" t="s">
        <v>281</v>
      </c>
      <c r="N402" s="177">
        <v>76337218</v>
      </c>
      <c r="O402" s="174" t="s">
        <v>459</v>
      </c>
      <c r="P402" s="174" t="s">
        <v>283</v>
      </c>
      <c r="Q402" s="174" t="s">
        <v>284</v>
      </c>
      <c r="R402" s="174" t="s">
        <v>283</v>
      </c>
      <c r="S402" s="174" t="s">
        <v>283</v>
      </c>
      <c r="T402" s="175">
        <v>0</v>
      </c>
    </row>
    <row r="403" spans="1:20" x14ac:dyDescent="0.2">
      <c r="A403" s="169">
        <v>627</v>
      </c>
      <c r="B403" s="168" t="s">
        <v>8</v>
      </c>
      <c r="C403" s="168" t="s">
        <v>23</v>
      </c>
      <c r="D403" s="173">
        <v>45688</v>
      </c>
      <c r="E403" s="174" t="s">
        <v>455</v>
      </c>
      <c r="F403" s="174" t="s">
        <v>389</v>
      </c>
      <c r="G403" s="174" t="s">
        <v>390</v>
      </c>
      <c r="H403" s="174" t="s">
        <v>436</v>
      </c>
      <c r="I403" s="174" t="s">
        <v>437</v>
      </c>
      <c r="J403" s="174" t="s">
        <v>456</v>
      </c>
      <c r="K403" s="174" t="s">
        <v>457</v>
      </c>
      <c r="L403" s="174" t="s">
        <v>458</v>
      </c>
      <c r="M403" s="174" t="s">
        <v>281</v>
      </c>
      <c r="N403" s="177">
        <v>62563224</v>
      </c>
      <c r="O403" s="174" t="s">
        <v>459</v>
      </c>
      <c r="P403" s="174" t="s">
        <v>283</v>
      </c>
      <c r="Q403" s="174" t="s">
        <v>284</v>
      </c>
      <c r="R403" s="174" t="s">
        <v>283</v>
      </c>
      <c r="S403" s="174" t="s">
        <v>283</v>
      </c>
      <c r="T403" s="175">
        <v>0</v>
      </c>
    </row>
    <row r="404" spans="1:20" x14ac:dyDescent="0.2">
      <c r="A404" s="169">
        <v>627</v>
      </c>
      <c r="B404" s="168" t="s">
        <v>8</v>
      </c>
      <c r="C404" s="168" t="s">
        <v>24</v>
      </c>
      <c r="D404" s="173">
        <v>45688</v>
      </c>
      <c r="E404" s="174" t="s">
        <v>455</v>
      </c>
      <c r="F404" s="174" t="s">
        <v>391</v>
      </c>
      <c r="G404" s="174" t="s">
        <v>291</v>
      </c>
      <c r="H404" s="174" t="s">
        <v>436</v>
      </c>
      <c r="I404" s="174" t="s">
        <v>437</v>
      </c>
      <c r="J404" s="174" t="s">
        <v>456</v>
      </c>
      <c r="K404" s="174" t="s">
        <v>457</v>
      </c>
      <c r="L404" s="174" t="s">
        <v>458</v>
      </c>
      <c r="M404" s="174" t="s">
        <v>281</v>
      </c>
      <c r="N404" s="177">
        <v>20900000</v>
      </c>
      <c r="O404" s="174" t="s">
        <v>459</v>
      </c>
      <c r="P404" s="174" t="s">
        <v>283</v>
      </c>
      <c r="Q404" s="174" t="s">
        <v>284</v>
      </c>
      <c r="R404" s="174" t="s">
        <v>283</v>
      </c>
      <c r="S404" s="174" t="s">
        <v>283</v>
      </c>
      <c r="T404" s="175">
        <v>0</v>
      </c>
    </row>
    <row r="405" spans="1:20" x14ac:dyDescent="0.2">
      <c r="A405" s="169">
        <v>627</v>
      </c>
      <c r="B405" s="168" t="s">
        <v>8</v>
      </c>
      <c r="C405" s="168" t="s">
        <v>25</v>
      </c>
      <c r="D405" s="173">
        <v>45688</v>
      </c>
      <c r="E405" s="174" t="s">
        <v>455</v>
      </c>
      <c r="F405" s="174" t="s">
        <v>375</v>
      </c>
      <c r="G405" s="174" t="s">
        <v>336</v>
      </c>
      <c r="H405" s="174" t="s">
        <v>436</v>
      </c>
      <c r="I405" s="174" t="s">
        <v>437</v>
      </c>
      <c r="J405" s="174" t="s">
        <v>456</v>
      </c>
      <c r="K405" s="174" t="s">
        <v>457</v>
      </c>
      <c r="L405" s="174" t="s">
        <v>458</v>
      </c>
      <c r="M405" s="174" t="s">
        <v>281</v>
      </c>
      <c r="N405" s="177">
        <v>6335000</v>
      </c>
      <c r="O405" s="174" t="s">
        <v>459</v>
      </c>
      <c r="P405" s="174" t="s">
        <v>283</v>
      </c>
      <c r="Q405" s="174" t="s">
        <v>284</v>
      </c>
      <c r="R405" s="174" t="s">
        <v>283</v>
      </c>
      <c r="S405" s="174" t="s">
        <v>283</v>
      </c>
      <c r="T405" s="175">
        <v>0</v>
      </c>
    </row>
    <row r="406" spans="1:20" x14ac:dyDescent="0.2">
      <c r="B406" s="168" t="s">
        <v>221</v>
      </c>
      <c r="C406" s="168" t="s">
        <v>22</v>
      </c>
      <c r="D406" s="173">
        <v>45688</v>
      </c>
      <c r="E406" s="174" t="s">
        <v>455</v>
      </c>
      <c r="F406" s="174" t="s">
        <v>274</v>
      </c>
      <c r="G406" s="174" t="s">
        <v>275</v>
      </c>
      <c r="H406" s="174" t="s">
        <v>443</v>
      </c>
      <c r="I406" s="174" t="s">
        <v>444</v>
      </c>
      <c r="J406" s="174" t="s">
        <v>456</v>
      </c>
      <c r="K406" s="174" t="s">
        <v>457</v>
      </c>
      <c r="L406" s="174" t="s">
        <v>458</v>
      </c>
      <c r="M406" s="174" t="s">
        <v>281</v>
      </c>
      <c r="N406" s="177">
        <v>105000000</v>
      </c>
      <c r="O406" s="174" t="s">
        <v>459</v>
      </c>
      <c r="P406" s="174" t="s">
        <v>283</v>
      </c>
      <c r="Q406" s="174" t="s">
        <v>284</v>
      </c>
      <c r="R406" s="174" t="s">
        <v>283</v>
      </c>
      <c r="S406" s="174" t="s">
        <v>283</v>
      </c>
      <c r="T406" s="175">
        <v>0</v>
      </c>
    </row>
    <row r="407" spans="1:20" x14ac:dyDescent="0.2">
      <c r="A407" s="169">
        <v>622</v>
      </c>
      <c r="B407" s="168" t="s">
        <v>8</v>
      </c>
      <c r="C407" s="168" t="s">
        <v>22</v>
      </c>
      <c r="D407" s="173">
        <v>45688</v>
      </c>
      <c r="E407" s="174" t="s">
        <v>455</v>
      </c>
      <c r="F407" s="174" t="s">
        <v>400</v>
      </c>
      <c r="G407" s="174" t="s">
        <v>401</v>
      </c>
      <c r="H407" s="174" t="s">
        <v>441</v>
      </c>
      <c r="I407" s="174" t="s">
        <v>442</v>
      </c>
      <c r="J407" s="174" t="s">
        <v>456</v>
      </c>
      <c r="K407" s="174" t="s">
        <v>457</v>
      </c>
      <c r="L407" s="174" t="s">
        <v>458</v>
      </c>
      <c r="M407" s="174" t="s">
        <v>281</v>
      </c>
      <c r="N407" s="177">
        <v>22537033</v>
      </c>
      <c r="O407" s="174" t="s">
        <v>459</v>
      </c>
      <c r="P407" s="174" t="s">
        <v>283</v>
      </c>
      <c r="Q407" s="174" t="s">
        <v>284</v>
      </c>
      <c r="R407" s="174" t="s">
        <v>283</v>
      </c>
      <c r="S407" s="174" t="s">
        <v>283</v>
      </c>
      <c r="T407" s="175">
        <v>0</v>
      </c>
    </row>
    <row r="408" spans="1:20" x14ac:dyDescent="0.2">
      <c r="A408" s="169">
        <v>622</v>
      </c>
      <c r="B408" s="168" t="s">
        <v>8</v>
      </c>
      <c r="C408" s="168" t="s">
        <v>22</v>
      </c>
      <c r="D408" s="173">
        <v>45688</v>
      </c>
      <c r="E408" s="174" t="s">
        <v>455</v>
      </c>
      <c r="F408" s="174" t="s">
        <v>420</v>
      </c>
      <c r="G408" s="174" t="s">
        <v>286</v>
      </c>
      <c r="H408" s="174" t="s">
        <v>441</v>
      </c>
      <c r="I408" s="174" t="s">
        <v>442</v>
      </c>
      <c r="J408" s="174" t="s">
        <v>456</v>
      </c>
      <c r="K408" s="174" t="s">
        <v>457</v>
      </c>
      <c r="L408" s="174" t="s">
        <v>458</v>
      </c>
      <c r="M408" s="174" t="s">
        <v>281</v>
      </c>
      <c r="N408" s="177">
        <v>4906692</v>
      </c>
      <c r="O408" s="174" t="s">
        <v>459</v>
      </c>
      <c r="P408" s="174" t="s">
        <v>283</v>
      </c>
      <c r="Q408" s="174" t="s">
        <v>284</v>
      </c>
      <c r="R408" s="174" t="s">
        <v>283</v>
      </c>
      <c r="S408" s="174" t="s">
        <v>283</v>
      </c>
      <c r="T408" s="175">
        <v>0</v>
      </c>
    </row>
    <row r="409" spans="1:20" x14ac:dyDescent="0.2">
      <c r="A409" s="169">
        <v>622</v>
      </c>
      <c r="B409" s="168" t="s">
        <v>8</v>
      </c>
      <c r="C409" s="168" t="s">
        <v>25</v>
      </c>
      <c r="D409" s="173">
        <v>45688</v>
      </c>
      <c r="E409" s="174" t="s">
        <v>455</v>
      </c>
      <c r="F409" s="174" t="s">
        <v>421</v>
      </c>
      <c r="G409" s="174" t="s">
        <v>341</v>
      </c>
      <c r="H409" s="174" t="s">
        <v>441</v>
      </c>
      <c r="I409" s="174" t="s">
        <v>442</v>
      </c>
      <c r="J409" s="174" t="s">
        <v>456</v>
      </c>
      <c r="K409" s="174" t="s">
        <v>457</v>
      </c>
      <c r="L409" s="174" t="s">
        <v>458</v>
      </c>
      <c r="M409" s="174" t="s">
        <v>281</v>
      </c>
      <c r="N409" s="177">
        <v>2090849</v>
      </c>
      <c r="O409" s="174" t="s">
        <v>459</v>
      </c>
      <c r="P409" s="174" t="s">
        <v>283</v>
      </c>
      <c r="Q409" s="174" t="s">
        <v>284</v>
      </c>
      <c r="R409" s="174" t="s">
        <v>283</v>
      </c>
      <c r="S409" s="174" t="s">
        <v>283</v>
      </c>
      <c r="T409" s="175">
        <v>0</v>
      </c>
    </row>
    <row r="410" spans="1:20" x14ac:dyDescent="0.2">
      <c r="A410" s="169">
        <v>622</v>
      </c>
      <c r="B410" s="168" t="s">
        <v>8</v>
      </c>
      <c r="C410" s="168" t="s">
        <v>23</v>
      </c>
      <c r="D410" s="173">
        <v>45688</v>
      </c>
      <c r="E410" s="174" t="s">
        <v>455</v>
      </c>
      <c r="F410" s="174" t="s">
        <v>422</v>
      </c>
      <c r="G410" s="174" t="s">
        <v>423</v>
      </c>
      <c r="H410" s="174" t="s">
        <v>441</v>
      </c>
      <c r="I410" s="174" t="s">
        <v>442</v>
      </c>
      <c r="J410" s="174" t="s">
        <v>456</v>
      </c>
      <c r="K410" s="174" t="s">
        <v>457</v>
      </c>
      <c r="L410" s="174" t="s">
        <v>458</v>
      </c>
      <c r="M410" s="174" t="s">
        <v>281</v>
      </c>
      <c r="N410" s="177">
        <v>4969258</v>
      </c>
      <c r="O410" s="174" t="s">
        <v>459</v>
      </c>
      <c r="P410" s="174" t="s">
        <v>283</v>
      </c>
      <c r="Q410" s="174" t="s">
        <v>284</v>
      </c>
      <c r="R410" s="174" t="s">
        <v>283</v>
      </c>
      <c r="S410" s="174" t="s">
        <v>283</v>
      </c>
      <c r="T410" s="175">
        <v>0</v>
      </c>
    </row>
    <row r="411" spans="1:20" x14ac:dyDescent="0.2">
      <c r="A411" s="169">
        <v>622</v>
      </c>
      <c r="B411" s="168" t="s">
        <v>8</v>
      </c>
      <c r="C411" s="168" t="s">
        <v>24</v>
      </c>
      <c r="D411" s="173">
        <v>45688</v>
      </c>
      <c r="E411" s="174" t="s">
        <v>455</v>
      </c>
      <c r="F411" s="174" t="s">
        <v>424</v>
      </c>
      <c r="G411" s="174" t="s">
        <v>291</v>
      </c>
      <c r="H411" s="174" t="s">
        <v>441</v>
      </c>
      <c r="I411" s="174" t="s">
        <v>442</v>
      </c>
      <c r="J411" s="174" t="s">
        <v>456</v>
      </c>
      <c r="K411" s="174" t="s">
        <v>457</v>
      </c>
      <c r="L411" s="174" t="s">
        <v>458</v>
      </c>
      <c r="M411" s="174" t="s">
        <v>281</v>
      </c>
      <c r="N411" s="177">
        <v>1500000</v>
      </c>
      <c r="O411" s="174" t="s">
        <v>459</v>
      </c>
      <c r="P411" s="174" t="s">
        <v>283</v>
      </c>
      <c r="Q411" s="174" t="s">
        <v>284</v>
      </c>
      <c r="R411" s="174" t="s">
        <v>283</v>
      </c>
      <c r="S411" s="174" t="s">
        <v>283</v>
      </c>
      <c r="T411" s="175">
        <v>0</v>
      </c>
    </row>
    <row r="412" spans="1:20" x14ac:dyDescent="0.2">
      <c r="A412" s="169">
        <v>622</v>
      </c>
      <c r="B412" s="168" t="s">
        <v>8</v>
      </c>
      <c r="C412" s="168" t="s">
        <v>25</v>
      </c>
      <c r="D412" s="173">
        <v>45688</v>
      </c>
      <c r="E412" s="174" t="s">
        <v>455</v>
      </c>
      <c r="F412" s="174" t="s">
        <v>414</v>
      </c>
      <c r="G412" s="174" t="s">
        <v>415</v>
      </c>
      <c r="H412" s="174" t="s">
        <v>441</v>
      </c>
      <c r="I412" s="174" t="s">
        <v>442</v>
      </c>
      <c r="J412" s="174" t="s">
        <v>456</v>
      </c>
      <c r="K412" s="174" t="s">
        <v>457</v>
      </c>
      <c r="L412" s="174" t="s">
        <v>458</v>
      </c>
      <c r="M412" s="174" t="s">
        <v>281</v>
      </c>
      <c r="N412" s="177">
        <v>500000</v>
      </c>
      <c r="O412" s="174" t="s">
        <v>459</v>
      </c>
      <c r="P412" s="174" t="s">
        <v>283</v>
      </c>
      <c r="Q412" s="174" t="s">
        <v>284</v>
      </c>
      <c r="R412" s="174" t="s">
        <v>283</v>
      </c>
      <c r="S412" s="174" t="s">
        <v>283</v>
      </c>
      <c r="T412" s="175">
        <v>0</v>
      </c>
    </row>
    <row r="413" spans="1:20" x14ac:dyDescent="0.2">
      <c r="A413" s="169">
        <v>627</v>
      </c>
      <c r="B413" s="168" t="s">
        <v>8</v>
      </c>
      <c r="C413" s="168" t="s">
        <v>22</v>
      </c>
      <c r="D413" s="173">
        <v>45688</v>
      </c>
      <c r="E413" s="174" t="s">
        <v>460</v>
      </c>
      <c r="F413" s="174" t="s">
        <v>388</v>
      </c>
      <c r="G413" s="174" t="s">
        <v>286</v>
      </c>
      <c r="H413" s="174" t="s">
        <v>436</v>
      </c>
      <c r="I413" s="174" t="s">
        <v>437</v>
      </c>
      <c r="J413" s="174" t="s">
        <v>461</v>
      </c>
      <c r="K413" s="174" t="s">
        <v>457</v>
      </c>
      <c r="L413" s="174" t="s">
        <v>458</v>
      </c>
      <c r="M413" s="174" t="s">
        <v>281</v>
      </c>
      <c r="N413" s="177">
        <v>32210129</v>
      </c>
      <c r="O413" s="174" t="s">
        <v>462</v>
      </c>
      <c r="P413" s="174" t="s">
        <v>283</v>
      </c>
      <c r="Q413" s="174" t="s">
        <v>284</v>
      </c>
      <c r="R413" s="174" t="s">
        <v>283</v>
      </c>
      <c r="S413" s="174" t="s">
        <v>283</v>
      </c>
      <c r="T413" s="175">
        <v>0</v>
      </c>
    </row>
    <row r="414" spans="1:20" x14ac:dyDescent="0.2">
      <c r="A414" s="169">
        <v>627</v>
      </c>
      <c r="B414" s="168" t="s">
        <v>8</v>
      </c>
      <c r="C414" s="168" t="s">
        <v>24</v>
      </c>
      <c r="D414" s="173">
        <v>45688</v>
      </c>
      <c r="E414" s="174" t="s">
        <v>460</v>
      </c>
      <c r="F414" s="174" t="s">
        <v>395</v>
      </c>
      <c r="G414" s="174" t="s">
        <v>77</v>
      </c>
      <c r="H414" s="174" t="s">
        <v>436</v>
      </c>
      <c r="I414" s="174" t="s">
        <v>437</v>
      </c>
      <c r="J414" s="174" t="s">
        <v>463</v>
      </c>
      <c r="K414" s="174" t="s">
        <v>457</v>
      </c>
      <c r="L414" s="174" t="s">
        <v>458</v>
      </c>
      <c r="M414" s="174" t="s">
        <v>281</v>
      </c>
      <c r="N414" s="177">
        <v>18471041</v>
      </c>
      <c r="O414" s="174" t="s">
        <v>462</v>
      </c>
      <c r="P414" s="174" t="s">
        <v>283</v>
      </c>
      <c r="Q414" s="174" t="s">
        <v>284</v>
      </c>
      <c r="R414" s="174" t="s">
        <v>283</v>
      </c>
      <c r="S414" s="174" t="s">
        <v>283</v>
      </c>
      <c r="T414" s="175">
        <v>0</v>
      </c>
    </row>
    <row r="415" spans="1:20" x14ac:dyDescent="0.2">
      <c r="B415" s="168" t="s">
        <v>221</v>
      </c>
      <c r="C415" s="168" t="s">
        <v>22</v>
      </c>
      <c r="D415" s="173">
        <v>45688</v>
      </c>
      <c r="E415" s="174" t="s">
        <v>460</v>
      </c>
      <c r="F415" s="174" t="s">
        <v>285</v>
      </c>
      <c r="G415" s="174" t="s">
        <v>286</v>
      </c>
      <c r="H415" s="174" t="s">
        <v>443</v>
      </c>
      <c r="I415" s="174" t="s">
        <v>444</v>
      </c>
      <c r="J415" s="174" t="s">
        <v>461</v>
      </c>
      <c r="K415" s="174" t="s">
        <v>457</v>
      </c>
      <c r="L415" s="174" t="s">
        <v>458</v>
      </c>
      <c r="M415" s="174" t="s">
        <v>281</v>
      </c>
      <c r="N415" s="177">
        <v>8750000</v>
      </c>
      <c r="O415" s="174" t="s">
        <v>462</v>
      </c>
      <c r="P415" s="174" t="s">
        <v>283</v>
      </c>
      <c r="Q415" s="174" t="s">
        <v>284</v>
      </c>
      <c r="R415" s="174" t="s">
        <v>283</v>
      </c>
      <c r="S415" s="174" t="s">
        <v>283</v>
      </c>
      <c r="T415" s="175">
        <v>0</v>
      </c>
    </row>
    <row r="416" spans="1:20" x14ac:dyDescent="0.2">
      <c r="B416" s="168" t="s">
        <v>221</v>
      </c>
      <c r="C416" s="168" t="s">
        <v>24</v>
      </c>
      <c r="D416" s="173">
        <v>45688</v>
      </c>
      <c r="E416" s="174" t="s">
        <v>460</v>
      </c>
      <c r="F416" s="174" t="s">
        <v>292</v>
      </c>
      <c r="G416" s="174" t="s">
        <v>77</v>
      </c>
      <c r="H416" s="174" t="s">
        <v>443</v>
      </c>
      <c r="I416" s="174" t="s">
        <v>444</v>
      </c>
      <c r="J416" s="174" t="s">
        <v>463</v>
      </c>
      <c r="K416" s="174" t="s">
        <v>457</v>
      </c>
      <c r="L416" s="174" t="s">
        <v>458</v>
      </c>
      <c r="M416" s="174" t="s">
        <v>281</v>
      </c>
      <c r="N416" s="177">
        <v>8049930</v>
      </c>
      <c r="O416" s="174" t="s">
        <v>462</v>
      </c>
      <c r="P416" s="174" t="s">
        <v>283</v>
      </c>
      <c r="Q416" s="174" t="s">
        <v>284</v>
      </c>
      <c r="R416" s="174" t="s">
        <v>283</v>
      </c>
      <c r="S416" s="174" t="s">
        <v>283</v>
      </c>
      <c r="T416" s="175">
        <v>0</v>
      </c>
    </row>
    <row r="417" spans="1:20" x14ac:dyDescent="0.2">
      <c r="A417" s="169">
        <v>622</v>
      </c>
      <c r="B417" s="168" t="s">
        <v>8</v>
      </c>
      <c r="C417" s="168" t="s">
        <v>22</v>
      </c>
      <c r="D417" s="173">
        <v>45688</v>
      </c>
      <c r="E417" s="174" t="s">
        <v>460</v>
      </c>
      <c r="F417" s="174" t="s">
        <v>420</v>
      </c>
      <c r="G417" s="174" t="s">
        <v>286</v>
      </c>
      <c r="H417" s="174" t="s">
        <v>441</v>
      </c>
      <c r="I417" s="174" t="s">
        <v>442</v>
      </c>
      <c r="J417" s="174" t="s">
        <v>461</v>
      </c>
      <c r="K417" s="174" t="s">
        <v>457</v>
      </c>
      <c r="L417" s="174" t="s">
        <v>458</v>
      </c>
      <c r="M417" s="174" t="s">
        <v>281</v>
      </c>
      <c r="N417" s="177">
        <v>1784963</v>
      </c>
      <c r="O417" s="174" t="s">
        <v>462</v>
      </c>
      <c r="P417" s="174" t="s">
        <v>283</v>
      </c>
      <c r="Q417" s="174" t="s">
        <v>284</v>
      </c>
      <c r="R417" s="174" t="s">
        <v>283</v>
      </c>
      <c r="S417" s="174" t="s">
        <v>283</v>
      </c>
      <c r="T417" s="175">
        <v>0</v>
      </c>
    </row>
    <row r="418" spans="1:20" x14ac:dyDescent="0.2">
      <c r="A418" s="169">
        <v>622</v>
      </c>
      <c r="B418" s="168" t="s">
        <v>8</v>
      </c>
      <c r="C418" s="168" t="s">
        <v>24</v>
      </c>
      <c r="D418" s="173">
        <v>45688</v>
      </c>
      <c r="E418" s="174" t="s">
        <v>460</v>
      </c>
      <c r="F418" s="174" t="s">
        <v>426</v>
      </c>
      <c r="G418" s="174" t="s">
        <v>77</v>
      </c>
      <c r="H418" s="174" t="s">
        <v>441</v>
      </c>
      <c r="I418" s="174" t="s">
        <v>442</v>
      </c>
      <c r="J418" s="174" t="s">
        <v>463</v>
      </c>
      <c r="K418" s="174" t="s">
        <v>457</v>
      </c>
      <c r="L418" s="174" t="s">
        <v>458</v>
      </c>
      <c r="M418" s="174" t="s">
        <v>281</v>
      </c>
      <c r="N418" s="177">
        <v>236997</v>
      </c>
      <c r="O418" s="174" t="s">
        <v>462</v>
      </c>
      <c r="P418" s="174" t="s">
        <v>283</v>
      </c>
      <c r="Q418" s="174" t="s">
        <v>284</v>
      </c>
      <c r="R418" s="174" t="s">
        <v>283</v>
      </c>
      <c r="S418" s="174" t="s">
        <v>283</v>
      </c>
      <c r="T418" s="175">
        <v>0</v>
      </c>
    </row>
    <row r="419" spans="1:20" x14ac:dyDescent="0.2">
      <c r="A419" s="169">
        <v>627</v>
      </c>
      <c r="B419" s="168" t="s">
        <v>8</v>
      </c>
      <c r="C419" s="168" t="s">
        <v>170</v>
      </c>
      <c r="D419" s="173">
        <v>45688</v>
      </c>
      <c r="E419" s="174" t="s">
        <v>464</v>
      </c>
      <c r="F419" s="174" t="s">
        <v>393</v>
      </c>
      <c r="G419" s="174" t="s">
        <v>296</v>
      </c>
      <c r="H419" s="174" t="s">
        <v>436</v>
      </c>
      <c r="I419" s="174" t="s">
        <v>437</v>
      </c>
      <c r="J419" s="174" t="s">
        <v>465</v>
      </c>
      <c r="K419" s="174" t="s">
        <v>457</v>
      </c>
      <c r="L419" s="174" t="s">
        <v>458</v>
      </c>
      <c r="M419" s="174" t="s">
        <v>281</v>
      </c>
      <c r="N419" s="177">
        <v>76039790</v>
      </c>
      <c r="O419" s="174" t="s">
        <v>466</v>
      </c>
      <c r="P419" s="174" t="s">
        <v>283</v>
      </c>
      <c r="Q419" s="174" t="s">
        <v>284</v>
      </c>
      <c r="R419" s="174" t="s">
        <v>283</v>
      </c>
      <c r="S419" s="174" t="s">
        <v>283</v>
      </c>
      <c r="T419" s="175">
        <v>0</v>
      </c>
    </row>
    <row r="420" spans="1:20" x14ac:dyDescent="0.2">
      <c r="A420" s="169">
        <v>622</v>
      </c>
      <c r="B420" s="168" t="s">
        <v>8</v>
      </c>
      <c r="C420" s="168" t="s">
        <v>170</v>
      </c>
      <c r="D420" s="173">
        <v>45688</v>
      </c>
      <c r="E420" s="174" t="s">
        <v>464</v>
      </c>
      <c r="F420" s="174" t="s">
        <v>425</v>
      </c>
      <c r="G420" s="174" t="s">
        <v>296</v>
      </c>
      <c r="H420" s="174" t="s">
        <v>441</v>
      </c>
      <c r="I420" s="174" t="s">
        <v>442</v>
      </c>
      <c r="J420" s="174" t="s">
        <v>465</v>
      </c>
      <c r="K420" s="174" t="s">
        <v>457</v>
      </c>
      <c r="L420" s="174" t="s">
        <v>458</v>
      </c>
      <c r="M420" s="174" t="s">
        <v>281</v>
      </c>
      <c r="N420" s="177">
        <v>3931550</v>
      </c>
      <c r="O420" s="174" t="s">
        <v>466</v>
      </c>
      <c r="P420" s="174" t="s">
        <v>283</v>
      </c>
      <c r="Q420" s="174" t="s">
        <v>284</v>
      </c>
      <c r="R420" s="174" t="s">
        <v>283</v>
      </c>
      <c r="S420" s="174" t="s">
        <v>283</v>
      </c>
      <c r="T420" s="175">
        <v>0</v>
      </c>
    </row>
    <row r="421" spans="1:20" x14ac:dyDescent="0.2">
      <c r="A421" s="169">
        <v>627</v>
      </c>
      <c r="B421" s="168" t="s">
        <v>8</v>
      </c>
      <c r="C421" s="168" t="s">
        <v>170</v>
      </c>
      <c r="D421" s="173">
        <v>45688</v>
      </c>
      <c r="E421" s="174" t="s">
        <v>513</v>
      </c>
      <c r="F421" s="174" t="s">
        <v>393</v>
      </c>
      <c r="G421" s="174" t="s">
        <v>296</v>
      </c>
      <c r="H421" s="174" t="s">
        <v>436</v>
      </c>
      <c r="I421" s="174" t="s">
        <v>437</v>
      </c>
      <c r="J421" s="174" t="s">
        <v>514</v>
      </c>
      <c r="K421" s="174" t="s">
        <v>457</v>
      </c>
      <c r="L421" s="174" t="s">
        <v>458</v>
      </c>
      <c r="M421" s="174" t="s">
        <v>281</v>
      </c>
      <c r="N421" s="177">
        <v>235620</v>
      </c>
      <c r="O421" s="174" t="s">
        <v>515</v>
      </c>
      <c r="P421" s="174" t="s">
        <v>283</v>
      </c>
      <c r="Q421" s="174" t="s">
        <v>284</v>
      </c>
      <c r="R421" s="174" t="s">
        <v>283</v>
      </c>
      <c r="S421" s="174" t="s">
        <v>283</v>
      </c>
      <c r="T421" s="175">
        <v>0</v>
      </c>
    </row>
    <row r="422" spans="1:20" x14ac:dyDescent="0.2">
      <c r="A422" s="169">
        <v>627</v>
      </c>
      <c r="B422" s="168" t="s">
        <v>8</v>
      </c>
      <c r="C422" s="168" t="s">
        <v>170</v>
      </c>
      <c r="D422" s="173">
        <v>45688</v>
      </c>
      <c r="E422" s="174" t="s">
        <v>522</v>
      </c>
      <c r="F422" s="174" t="s">
        <v>393</v>
      </c>
      <c r="G422" s="174" t="s">
        <v>296</v>
      </c>
      <c r="H422" s="174" t="s">
        <v>436</v>
      </c>
      <c r="I422" s="174" t="s">
        <v>437</v>
      </c>
      <c r="J422" s="174" t="s">
        <v>465</v>
      </c>
      <c r="K422" s="174" t="s">
        <v>457</v>
      </c>
      <c r="L422" s="174" t="s">
        <v>458</v>
      </c>
      <c r="M422" s="174" t="s">
        <v>281</v>
      </c>
      <c r="N422" s="177">
        <v>111360</v>
      </c>
      <c r="O422" s="174" t="s">
        <v>523</v>
      </c>
      <c r="P422" s="174" t="s">
        <v>283</v>
      </c>
      <c r="Q422" s="174" t="s">
        <v>284</v>
      </c>
      <c r="R422" s="174" t="s">
        <v>283</v>
      </c>
      <c r="S422" s="174" t="s">
        <v>283</v>
      </c>
      <c r="T422" s="175">
        <v>0</v>
      </c>
    </row>
    <row r="423" spans="1:20" x14ac:dyDescent="0.2">
      <c r="A423" s="169">
        <v>627</v>
      </c>
      <c r="B423" s="168" t="s">
        <v>8</v>
      </c>
      <c r="C423" s="168" t="s">
        <v>170</v>
      </c>
      <c r="D423" s="173">
        <v>45688</v>
      </c>
      <c r="E423" s="174" t="s">
        <v>522</v>
      </c>
      <c r="F423" s="174" t="s">
        <v>393</v>
      </c>
      <c r="G423" s="174" t="s">
        <v>296</v>
      </c>
      <c r="H423" s="174" t="s">
        <v>436</v>
      </c>
      <c r="I423" s="174" t="s">
        <v>437</v>
      </c>
      <c r="J423" s="174" t="s">
        <v>465</v>
      </c>
      <c r="K423" s="174" t="s">
        <v>457</v>
      </c>
      <c r="L423" s="174" t="s">
        <v>458</v>
      </c>
      <c r="M423" s="174" t="s">
        <v>281</v>
      </c>
      <c r="N423" s="177">
        <v>974400</v>
      </c>
      <c r="O423" s="174" t="s">
        <v>523</v>
      </c>
      <c r="P423" s="174" t="s">
        <v>283</v>
      </c>
      <c r="Q423" s="174" t="s">
        <v>284</v>
      </c>
      <c r="R423" s="174" t="s">
        <v>283</v>
      </c>
      <c r="S423" s="174" t="s">
        <v>283</v>
      </c>
      <c r="T423" s="175">
        <v>0</v>
      </c>
    </row>
    <row r="424" spans="1:20" x14ac:dyDescent="0.2">
      <c r="A424" s="169">
        <v>627</v>
      </c>
      <c r="B424" s="168" t="s">
        <v>8</v>
      </c>
      <c r="C424" s="168" t="s">
        <v>170</v>
      </c>
      <c r="D424" s="173">
        <v>45688</v>
      </c>
      <c r="E424" s="174" t="s">
        <v>522</v>
      </c>
      <c r="F424" s="174" t="s">
        <v>393</v>
      </c>
      <c r="G424" s="174" t="s">
        <v>296</v>
      </c>
      <c r="H424" s="174" t="s">
        <v>436</v>
      </c>
      <c r="I424" s="174" t="s">
        <v>437</v>
      </c>
      <c r="J424" s="174" t="s">
        <v>465</v>
      </c>
      <c r="K424" s="174" t="s">
        <v>457</v>
      </c>
      <c r="L424" s="174" t="s">
        <v>458</v>
      </c>
      <c r="M424" s="174" t="s">
        <v>281</v>
      </c>
      <c r="N424" s="177">
        <v>167040</v>
      </c>
      <c r="O424" s="174" t="s">
        <v>523</v>
      </c>
      <c r="P424" s="174" t="s">
        <v>283</v>
      </c>
      <c r="Q424" s="174" t="s">
        <v>284</v>
      </c>
      <c r="R424" s="174" t="s">
        <v>283</v>
      </c>
      <c r="S424" s="174" t="s">
        <v>283</v>
      </c>
      <c r="T424" s="175">
        <v>0</v>
      </c>
    </row>
    <row r="425" spans="1:20" x14ac:dyDescent="0.2">
      <c r="A425" s="169">
        <v>627</v>
      </c>
      <c r="B425" s="168" t="s">
        <v>8</v>
      </c>
      <c r="C425" s="168" t="s">
        <v>170</v>
      </c>
      <c r="D425" s="173">
        <v>45688</v>
      </c>
      <c r="E425" s="174" t="s">
        <v>522</v>
      </c>
      <c r="F425" s="174" t="s">
        <v>393</v>
      </c>
      <c r="G425" s="174" t="s">
        <v>296</v>
      </c>
      <c r="H425" s="174" t="s">
        <v>436</v>
      </c>
      <c r="I425" s="174" t="s">
        <v>437</v>
      </c>
      <c r="J425" s="174" t="s">
        <v>465</v>
      </c>
      <c r="K425" s="174" t="s">
        <v>457</v>
      </c>
      <c r="L425" s="174" t="s">
        <v>458</v>
      </c>
      <c r="M425" s="174" t="s">
        <v>281</v>
      </c>
      <c r="N425" s="177">
        <v>55680</v>
      </c>
      <c r="O425" s="174" t="s">
        <v>523</v>
      </c>
      <c r="P425" s="174" t="s">
        <v>283</v>
      </c>
      <c r="Q425" s="174" t="s">
        <v>284</v>
      </c>
      <c r="R425" s="174" t="s">
        <v>283</v>
      </c>
      <c r="S425" s="174" t="s">
        <v>283</v>
      </c>
      <c r="T425" s="175">
        <v>0</v>
      </c>
    </row>
    <row r="426" spans="1:20" x14ac:dyDescent="0.2">
      <c r="A426" s="169">
        <v>627</v>
      </c>
      <c r="B426" s="168" t="s">
        <v>8</v>
      </c>
      <c r="C426" s="168" t="s">
        <v>170</v>
      </c>
      <c r="D426" s="173">
        <v>45688</v>
      </c>
      <c r="E426" s="174" t="s">
        <v>467</v>
      </c>
      <c r="F426" s="174" t="s">
        <v>393</v>
      </c>
      <c r="G426" s="174" t="s">
        <v>296</v>
      </c>
      <c r="H426" s="174" t="s">
        <v>436</v>
      </c>
      <c r="I426" s="174" t="s">
        <v>437</v>
      </c>
      <c r="J426" s="174" t="s">
        <v>465</v>
      </c>
      <c r="K426" s="174" t="s">
        <v>457</v>
      </c>
      <c r="L426" s="174" t="s">
        <v>458</v>
      </c>
      <c r="M426" s="174" t="s">
        <v>281</v>
      </c>
      <c r="N426" s="177">
        <v>76039790</v>
      </c>
      <c r="O426" s="174" t="s">
        <v>468</v>
      </c>
      <c r="P426" s="174" t="s">
        <v>283</v>
      </c>
      <c r="Q426" s="174" t="s">
        <v>284</v>
      </c>
      <c r="R426" s="174" t="s">
        <v>283</v>
      </c>
      <c r="S426" s="174" t="s">
        <v>283</v>
      </c>
      <c r="T426" s="175">
        <v>0</v>
      </c>
    </row>
    <row r="427" spans="1:20" x14ac:dyDescent="0.2">
      <c r="A427" s="169">
        <v>622</v>
      </c>
      <c r="B427" s="168" t="s">
        <v>8</v>
      </c>
      <c r="C427" s="168" t="s">
        <v>170</v>
      </c>
      <c r="D427" s="173">
        <v>45688</v>
      </c>
      <c r="E427" s="174" t="s">
        <v>467</v>
      </c>
      <c r="F427" s="174" t="s">
        <v>425</v>
      </c>
      <c r="G427" s="174" t="s">
        <v>296</v>
      </c>
      <c r="H427" s="174" t="s">
        <v>441</v>
      </c>
      <c r="I427" s="174" t="s">
        <v>442</v>
      </c>
      <c r="J427" s="174" t="s">
        <v>465</v>
      </c>
      <c r="K427" s="174" t="s">
        <v>457</v>
      </c>
      <c r="L427" s="174" t="s">
        <v>458</v>
      </c>
      <c r="M427" s="174" t="s">
        <v>281</v>
      </c>
      <c r="N427" s="177">
        <v>3931550</v>
      </c>
      <c r="O427" s="174" t="s">
        <v>468</v>
      </c>
      <c r="P427" s="174" t="s">
        <v>283</v>
      </c>
      <c r="Q427" s="174" t="s">
        <v>284</v>
      </c>
      <c r="R427" s="174" t="s">
        <v>283</v>
      </c>
      <c r="S427" s="174" t="s">
        <v>283</v>
      </c>
      <c r="T427" s="175">
        <v>0</v>
      </c>
    </row>
    <row r="428" spans="1:20" x14ac:dyDescent="0.2">
      <c r="A428" s="169">
        <v>627</v>
      </c>
      <c r="B428" s="168" t="s">
        <v>8</v>
      </c>
      <c r="C428" s="168" t="s">
        <v>170</v>
      </c>
      <c r="D428" s="173">
        <v>45688</v>
      </c>
      <c r="E428" s="174" t="s">
        <v>469</v>
      </c>
      <c r="F428" s="174" t="s">
        <v>393</v>
      </c>
      <c r="G428" s="174" t="s">
        <v>296</v>
      </c>
      <c r="H428" s="174" t="s">
        <v>436</v>
      </c>
      <c r="I428" s="174" t="s">
        <v>437</v>
      </c>
      <c r="J428" s="174" t="s">
        <v>465</v>
      </c>
      <c r="K428" s="174" t="s">
        <v>457</v>
      </c>
      <c r="L428" s="174" t="s">
        <v>458</v>
      </c>
      <c r="M428" s="174" t="s">
        <v>281</v>
      </c>
      <c r="N428" s="177">
        <v>-76039790</v>
      </c>
      <c r="O428" s="174" t="s">
        <v>470</v>
      </c>
      <c r="P428" s="174" t="s">
        <v>447</v>
      </c>
      <c r="Q428" s="174" t="s">
        <v>284</v>
      </c>
      <c r="R428" s="174" t="s">
        <v>283</v>
      </c>
      <c r="S428" s="174" t="s">
        <v>283</v>
      </c>
      <c r="T428" s="175">
        <v>0</v>
      </c>
    </row>
    <row r="429" spans="1:20" x14ac:dyDescent="0.2">
      <c r="A429" s="169">
        <v>622</v>
      </c>
      <c r="B429" s="168" t="s">
        <v>8</v>
      </c>
      <c r="C429" s="168" t="s">
        <v>170</v>
      </c>
      <c r="D429" s="173">
        <v>45688</v>
      </c>
      <c r="E429" s="174" t="s">
        <v>469</v>
      </c>
      <c r="F429" s="174" t="s">
        <v>425</v>
      </c>
      <c r="G429" s="174" t="s">
        <v>296</v>
      </c>
      <c r="H429" s="174" t="s">
        <v>441</v>
      </c>
      <c r="I429" s="174" t="s">
        <v>442</v>
      </c>
      <c r="J429" s="174" t="s">
        <v>465</v>
      </c>
      <c r="K429" s="174" t="s">
        <v>457</v>
      </c>
      <c r="L429" s="174" t="s">
        <v>458</v>
      </c>
      <c r="M429" s="174" t="s">
        <v>281</v>
      </c>
      <c r="N429" s="177">
        <v>-3931550</v>
      </c>
      <c r="O429" s="174" t="s">
        <v>470</v>
      </c>
      <c r="P429" s="174" t="s">
        <v>447</v>
      </c>
      <c r="Q429" s="174" t="s">
        <v>284</v>
      </c>
      <c r="R429" s="174" t="s">
        <v>283</v>
      </c>
      <c r="S429" s="174" t="s">
        <v>283</v>
      </c>
      <c r="T429" s="175">
        <v>0</v>
      </c>
    </row>
    <row r="430" spans="1:20" x14ac:dyDescent="0.2">
      <c r="A430" s="169">
        <v>627</v>
      </c>
      <c r="B430" s="168" t="s">
        <v>8</v>
      </c>
      <c r="C430" s="168" t="s">
        <v>22</v>
      </c>
      <c r="D430" s="173">
        <v>45688</v>
      </c>
      <c r="E430" s="174" t="s">
        <v>524</v>
      </c>
      <c r="F430" s="174" t="s">
        <v>387</v>
      </c>
      <c r="G430" s="174" t="s">
        <v>275</v>
      </c>
      <c r="H430" s="174" t="s">
        <v>436</v>
      </c>
      <c r="I430" s="174" t="s">
        <v>437</v>
      </c>
      <c r="J430" s="174" t="s">
        <v>456</v>
      </c>
      <c r="K430" s="174" t="s">
        <v>457</v>
      </c>
      <c r="L430" s="174" t="s">
        <v>458</v>
      </c>
      <c r="M430" s="174" t="s">
        <v>281</v>
      </c>
      <c r="N430" s="177">
        <v>1313250</v>
      </c>
      <c r="O430" s="174" t="s">
        <v>525</v>
      </c>
      <c r="P430" s="174" t="s">
        <v>283</v>
      </c>
      <c r="Q430" s="174" t="s">
        <v>284</v>
      </c>
      <c r="R430" s="174" t="s">
        <v>283</v>
      </c>
      <c r="S430" s="174" t="s">
        <v>283</v>
      </c>
      <c r="T430" s="175">
        <v>0</v>
      </c>
    </row>
    <row r="431" spans="1:20" x14ac:dyDescent="0.2">
      <c r="B431" s="168" t="s">
        <v>0</v>
      </c>
      <c r="C431" s="168" t="s">
        <v>22</v>
      </c>
      <c r="D431" s="173">
        <v>45747</v>
      </c>
      <c r="E431" s="169" t="s">
        <v>531</v>
      </c>
      <c r="F431" s="169" t="s">
        <v>274</v>
      </c>
      <c r="G431" s="169" t="s">
        <v>275</v>
      </c>
      <c r="H431" s="169" t="s">
        <v>276</v>
      </c>
      <c r="I431" s="169" t="s">
        <v>277</v>
      </c>
      <c r="J431" s="169" t="s">
        <v>532</v>
      </c>
      <c r="K431" s="169" t="s">
        <v>533</v>
      </c>
      <c r="L431" s="169" t="s">
        <v>534</v>
      </c>
      <c r="M431" s="169" t="s">
        <v>281</v>
      </c>
      <c r="N431" s="178">
        <v>1116067769</v>
      </c>
      <c r="O431" s="169" t="s">
        <v>535</v>
      </c>
      <c r="P431" s="169" t="s">
        <v>283</v>
      </c>
      <c r="Q431" s="169" t="s">
        <v>284</v>
      </c>
      <c r="R431" s="169" t="s">
        <v>283</v>
      </c>
      <c r="S431" s="169" t="s">
        <v>283</v>
      </c>
      <c r="T431" s="169">
        <v>0</v>
      </c>
    </row>
    <row r="432" spans="1:20" x14ac:dyDescent="0.2">
      <c r="B432" s="168" t="s">
        <v>0</v>
      </c>
      <c r="C432" s="168" t="s">
        <v>22</v>
      </c>
      <c r="D432" s="173">
        <v>45747</v>
      </c>
      <c r="E432" s="169" t="s">
        <v>531</v>
      </c>
      <c r="F432" s="169" t="s">
        <v>285</v>
      </c>
      <c r="G432" s="169" t="s">
        <v>286</v>
      </c>
      <c r="H432" s="169" t="s">
        <v>276</v>
      </c>
      <c r="I432" s="169" t="s">
        <v>277</v>
      </c>
      <c r="J432" s="169" t="s">
        <v>532</v>
      </c>
      <c r="K432" s="169" t="s">
        <v>533</v>
      </c>
      <c r="L432" s="169" t="s">
        <v>534</v>
      </c>
      <c r="M432" s="169" t="s">
        <v>281</v>
      </c>
      <c r="N432" s="178">
        <v>80621867</v>
      </c>
      <c r="O432" s="169" t="s">
        <v>535</v>
      </c>
      <c r="P432" s="169" t="s">
        <v>283</v>
      </c>
      <c r="Q432" s="169" t="s">
        <v>284</v>
      </c>
      <c r="R432" s="169" t="s">
        <v>283</v>
      </c>
      <c r="S432" s="169" t="s">
        <v>283</v>
      </c>
      <c r="T432" s="169">
        <v>0</v>
      </c>
    </row>
    <row r="433" spans="2:20" x14ac:dyDescent="0.2">
      <c r="B433" s="168" t="s">
        <v>0</v>
      </c>
      <c r="C433" s="168" t="s">
        <v>22</v>
      </c>
      <c r="D433" s="173">
        <v>45747</v>
      </c>
      <c r="E433" s="169" t="s">
        <v>536</v>
      </c>
      <c r="F433" s="169" t="s">
        <v>285</v>
      </c>
      <c r="G433" s="169" t="s">
        <v>286</v>
      </c>
      <c r="H433" s="169" t="s">
        <v>276</v>
      </c>
      <c r="I433" s="169" t="s">
        <v>277</v>
      </c>
      <c r="J433" s="169" t="s">
        <v>537</v>
      </c>
      <c r="K433" s="169" t="s">
        <v>533</v>
      </c>
      <c r="L433" s="169" t="s">
        <v>534</v>
      </c>
      <c r="M433" s="169" t="s">
        <v>281</v>
      </c>
      <c r="N433" s="178">
        <v>93775083</v>
      </c>
      <c r="O433" s="169" t="s">
        <v>538</v>
      </c>
      <c r="P433" s="169" t="s">
        <v>283</v>
      </c>
      <c r="Q433" s="169" t="s">
        <v>284</v>
      </c>
      <c r="R433" s="169" t="s">
        <v>283</v>
      </c>
      <c r="S433" s="169" t="s">
        <v>283</v>
      </c>
      <c r="T433" s="169">
        <v>0</v>
      </c>
    </row>
    <row r="434" spans="2:20" x14ac:dyDescent="0.2">
      <c r="B434" s="168" t="s">
        <v>0</v>
      </c>
      <c r="C434" s="168" t="s">
        <v>24</v>
      </c>
      <c r="D434" s="173">
        <v>45747</v>
      </c>
      <c r="E434" s="169" t="s">
        <v>536</v>
      </c>
      <c r="F434" s="169" t="s">
        <v>292</v>
      </c>
      <c r="G434" s="169" t="s">
        <v>77</v>
      </c>
      <c r="H434" s="169" t="s">
        <v>276</v>
      </c>
      <c r="I434" s="169" t="s">
        <v>277</v>
      </c>
      <c r="J434" s="169" t="s">
        <v>539</v>
      </c>
      <c r="K434" s="169" t="s">
        <v>533</v>
      </c>
      <c r="L434" s="169" t="s">
        <v>534</v>
      </c>
      <c r="M434" s="169" t="s">
        <v>281</v>
      </c>
      <c r="N434" s="178">
        <v>86272326</v>
      </c>
      <c r="O434" s="169" t="s">
        <v>538</v>
      </c>
      <c r="P434" s="169" t="s">
        <v>283</v>
      </c>
      <c r="Q434" s="169" t="s">
        <v>284</v>
      </c>
      <c r="R434" s="169" t="s">
        <v>283</v>
      </c>
      <c r="S434" s="169" t="s">
        <v>283</v>
      </c>
      <c r="T434" s="169">
        <v>0</v>
      </c>
    </row>
    <row r="435" spans="2:20" x14ac:dyDescent="0.2">
      <c r="B435" s="168" t="s">
        <v>0</v>
      </c>
      <c r="C435" s="168" t="s">
        <v>170</v>
      </c>
      <c r="D435" s="173">
        <v>45747</v>
      </c>
      <c r="E435" s="169" t="s">
        <v>540</v>
      </c>
      <c r="F435" s="169" t="s">
        <v>295</v>
      </c>
      <c r="G435" s="169" t="s">
        <v>296</v>
      </c>
      <c r="H435" s="169" t="s">
        <v>276</v>
      </c>
      <c r="I435" s="169" t="s">
        <v>277</v>
      </c>
      <c r="J435" s="169" t="s">
        <v>541</v>
      </c>
      <c r="K435" s="169" t="s">
        <v>533</v>
      </c>
      <c r="L435" s="169" t="s">
        <v>534</v>
      </c>
      <c r="M435" s="169" t="s">
        <v>281</v>
      </c>
      <c r="N435" s="178">
        <v>123680010</v>
      </c>
      <c r="O435" s="169" t="s">
        <v>542</v>
      </c>
      <c r="P435" s="169" t="s">
        <v>283</v>
      </c>
      <c r="Q435" s="169" t="s">
        <v>284</v>
      </c>
      <c r="R435" s="169" t="s">
        <v>283</v>
      </c>
      <c r="S435" s="169" t="s">
        <v>283</v>
      </c>
      <c r="T435" s="169">
        <v>0</v>
      </c>
    </row>
    <row r="436" spans="2:20" x14ac:dyDescent="0.2">
      <c r="B436" s="168" t="s">
        <v>9</v>
      </c>
      <c r="C436" s="168" t="s">
        <v>22</v>
      </c>
      <c r="D436" s="173">
        <v>45747</v>
      </c>
      <c r="E436" s="169" t="s">
        <v>543</v>
      </c>
      <c r="F436" s="169" t="s">
        <v>274</v>
      </c>
      <c r="G436" s="169" t="s">
        <v>275</v>
      </c>
      <c r="H436" s="169" t="s">
        <v>301</v>
      </c>
      <c r="I436" s="169" t="s">
        <v>302</v>
      </c>
      <c r="J436" s="169" t="s">
        <v>544</v>
      </c>
      <c r="K436" s="169" t="s">
        <v>328</v>
      </c>
      <c r="L436" s="169" t="s">
        <v>534</v>
      </c>
      <c r="M436" s="169" t="s">
        <v>281</v>
      </c>
      <c r="N436" s="178">
        <v>74000000</v>
      </c>
      <c r="O436" s="169" t="s">
        <v>545</v>
      </c>
      <c r="P436" s="169" t="s">
        <v>283</v>
      </c>
      <c r="Q436" s="169" t="s">
        <v>306</v>
      </c>
      <c r="R436" s="169" t="s">
        <v>283</v>
      </c>
      <c r="S436" s="169" t="s">
        <v>283</v>
      </c>
      <c r="T436" s="169">
        <v>0</v>
      </c>
    </row>
    <row r="437" spans="2:20" x14ac:dyDescent="0.2">
      <c r="B437" s="168" t="s">
        <v>5</v>
      </c>
      <c r="C437" s="168" t="s">
        <v>22</v>
      </c>
      <c r="D437" s="173">
        <v>45747</v>
      </c>
      <c r="E437" s="169" t="s">
        <v>531</v>
      </c>
      <c r="F437" s="169" t="s">
        <v>274</v>
      </c>
      <c r="G437" s="169" t="s">
        <v>275</v>
      </c>
      <c r="H437" s="169" t="s">
        <v>320</v>
      </c>
      <c r="I437" s="169" t="s">
        <v>321</v>
      </c>
      <c r="J437" s="169" t="s">
        <v>532</v>
      </c>
      <c r="K437" s="169" t="s">
        <v>533</v>
      </c>
      <c r="L437" s="169" t="s">
        <v>534</v>
      </c>
      <c r="M437" s="169" t="s">
        <v>281</v>
      </c>
      <c r="N437" s="178">
        <v>73330649</v>
      </c>
      <c r="O437" s="169" t="s">
        <v>535</v>
      </c>
      <c r="P437" s="169" t="s">
        <v>283</v>
      </c>
      <c r="Q437" s="169" t="s">
        <v>284</v>
      </c>
      <c r="R437" s="169" t="s">
        <v>283</v>
      </c>
      <c r="S437" s="169" t="s">
        <v>283</v>
      </c>
      <c r="T437" s="169">
        <v>0</v>
      </c>
    </row>
    <row r="438" spans="2:20" x14ac:dyDescent="0.2">
      <c r="B438" s="168" t="s">
        <v>5</v>
      </c>
      <c r="C438" s="168" t="s">
        <v>22</v>
      </c>
      <c r="D438" s="173">
        <v>45747</v>
      </c>
      <c r="E438" s="169" t="s">
        <v>531</v>
      </c>
      <c r="F438" s="169" t="s">
        <v>285</v>
      </c>
      <c r="G438" s="169" t="s">
        <v>286</v>
      </c>
      <c r="H438" s="169" t="s">
        <v>320</v>
      </c>
      <c r="I438" s="169" t="s">
        <v>321</v>
      </c>
      <c r="J438" s="169" t="s">
        <v>532</v>
      </c>
      <c r="K438" s="169" t="s">
        <v>533</v>
      </c>
      <c r="L438" s="169" t="s">
        <v>534</v>
      </c>
      <c r="M438" s="169" t="s">
        <v>281</v>
      </c>
      <c r="N438" s="178">
        <v>4017307</v>
      </c>
      <c r="O438" s="169" t="s">
        <v>535</v>
      </c>
      <c r="P438" s="169" t="s">
        <v>283</v>
      </c>
      <c r="Q438" s="169" t="s">
        <v>284</v>
      </c>
      <c r="R438" s="169" t="s">
        <v>283</v>
      </c>
      <c r="S438" s="169" t="s">
        <v>283</v>
      </c>
      <c r="T438" s="169">
        <v>0</v>
      </c>
    </row>
    <row r="439" spans="2:20" x14ac:dyDescent="0.2">
      <c r="B439" s="168" t="s">
        <v>5</v>
      </c>
      <c r="C439" s="168" t="s">
        <v>25</v>
      </c>
      <c r="D439" s="173">
        <v>45747</v>
      </c>
      <c r="E439" s="169" t="s">
        <v>531</v>
      </c>
      <c r="F439" s="169" t="s">
        <v>335</v>
      </c>
      <c r="G439" s="169" t="s">
        <v>336</v>
      </c>
      <c r="H439" s="169" t="s">
        <v>320</v>
      </c>
      <c r="I439" s="169" t="s">
        <v>321</v>
      </c>
      <c r="J439" s="169" t="s">
        <v>532</v>
      </c>
      <c r="K439" s="169" t="s">
        <v>533</v>
      </c>
      <c r="L439" s="169" t="s">
        <v>534</v>
      </c>
      <c r="M439" s="169" t="s">
        <v>281</v>
      </c>
      <c r="N439" s="178">
        <v>50000</v>
      </c>
      <c r="O439" s="169" t="s">
        <v>535</v>
      </c>
      <c r="P439" s="169" t="s">
        <v>283</v>
      </c>
      <c r="Q439" s="169" t="s">
        <v>284</v>
      </c>
      <c r="R439" s="169" t="s">
        <v>283</v>
      </c>
      <c r="S439" s="169" t="s">
        <v>283</v>
      </c>
      <c r="T439" s="169">
        <v>0</v>
      </c>
    </row>
    <row r="440" spans="2:20" x14ac:dyDescent="0.2">
      <c r="B440" s="168" t="s">
        <v>9</v>
      </c>
      <c r="C440" s="168" t="s">
        <v>25</v>
      </c>
      <c r="D440" s="173">
        <v>45747</v>
      </c>
      <c r="E440" s="169" t="s">
        <v>531</v>
      </c>
      <c r="F440" s="169" t="s">
        <v>340</v>
      </c>
      <c r="G440" s="169" t="s">
        <v>341</v>
      </c>
      <c r="H440" s="169" t="s">
        <v>301</v>
      </c>
      <c r="I440" s="169" t="s">
        <v>302</v>
      </c>
      <c r="J440" s="169" t="s">
        <v>532</v>
      </c>
      <c r="K440" s="169" t="s">
        <v>533</v>
      </c>
      <c r="L440" s="169" t="s">
        <v>534</v>
      </c>
      <c r="M440" s="169" t="s">
        <v>281</v>
      </c>
      <c r="N440" s="178">
        <v>7843512</v>
      </c>
      <c r="O440" s="169" t="s">
        <v>535</v>
      </c>
      <c r="P440" s="169" t="s">
        <v>283</v>
      </c>
      <c r="Q440" s="169" t="s">
        <v>284</v>
      </c>
      <c r="R440" s="169" t="s">
        <v>283</v>
      </c>
      <c r="S440" s="169" t="s">
        <v>283</v>
      </c>
      <c r="T440" s="169">
        <v>0</v>
      </c>
    </row>
    <row r="441" spans="2:20" x14ac:dyDescent="0.2">
      <c r="B441" s="168" t="s">
        <v>9</v>
      </c>
      <c r="C441" s="168" t="s">
        <v>22</v>
      </c>
      <c r="D441" s="173">
        <v>45747</v>
      </c>
      <c r="E441" s="169" t="s">
        <v>531</v>
      </c>
      <c r="F441" s="169" t="s">
        <v>274</v>
      </c>
      <c r="G441" s="169" t="s">
        <v>275</v>
      </c>
      <c r="H441" s="169" t="s">
        <v>301</v>
      </c>
      <c r="I441" s="169" t="s">
        <v>302</v>
      </c>
      <c r="J441" s="169" t="s">
        <v>532</v>
      </c>
      <c r="K441" s="169" t="s">
        <v>533</v>
      </c>
      <c r="L441" s="169" t="s">
        <v>534</v>
      </c>
      <c r="M441" s="169" t="s">
        <v>281</v>
      </c>
      <c r="N441" s="178">
        <v>415299551</v>
      </c>
      <c r="O441" s="169" t="s">
        <v>535</v>
      </c>
      <c r="P441" s="169" t="s">
        <v>283</v>
      </c>
      <c r="Q441" s="169" t="s">
        <v>284</v>
      </c>
      <c r="R441" s="169" t="s">
        <v>283</v>
      </c>
      <c r="S441" s="169" t="s">
        <v>283</v>
      </c>
      <c r="T441" s="169">
        <v>0</v>
      </c>
    </row>
    <row r="442" spans="2:20" x14ac:dyDescent="0.2">
      <c r="B442" s="168" t="s">
        <v>9</v>
      </c>
      <c r="C442" s="168" t="s">
        <v>22</v>
      </c>
      <c r="D442" s="173">
        <v>45747</v>
      </c>
      <c r="E442" s="169" t="s">
        <v>531</v>
      </c>
      <c r="F442" s="169" t="s">
        <v>285</v>
      </c>
      <c r="G442" s="169" t="s">
        <v>286</v>
      </c>
      <c r="H442" s="169" t="s">
        <v>301</v>
      </c>
      <c r="I442" s="169" t="s">
        <v>302</v>
      </c>
      <c r="J442" s="169" t="s">
        <v>532</v>
      </c>
      <c r="K442" s="169" t="s">
        <v>533</v>
      </c>
      <c r="L442" s="169" t="s">
        <v>534</v>
      </c>
      <c r="M442" s="169" t="s">
        <v>281</v>
      </c>
      <c r="N442" s="178">
        <v>15275175</v>
      </c>
      <c r="O442" s="169" t="s">
        <v>535</v>
      </c>
      <c r="P442" s="169" t="s">
        <v>283</v>
      </c>
      <c r="Q442" s="169" t="s">
        <v>284</v>
      </c>
      <c r="R442" s="169" t="s">
        <v>283</v>
      </c>
      <c r="S442" s="169" t="s">
        <v>283</v>
      </c>
      <c r="T442" s="169">
        <v>0</v>
      </c>
    </row>
    <row r="443" spans="2:20" x14ac:dyDescent="0.2">
      <c r="B443" s="168" t="s">
        <v>9</v>
      </c>
      <c r="C443" s="168" t="s">
        <v>23</v>
      </c>
      <c r="D443" s="173">
        <v>45747</v>
      </c>
      <c r="E443" s="169" t="s">
        <v>531</v>
      </c>
      <c r="F443" s="169" t="s">
        <v>342</v>
      </c>
      <c r="G443" s="169" t="s">
        <v>343</v>
      </c>
      <c r="H443" s="169" t="s">
        <v>301</v>
      </c>
      <c r="I443" s="169" t="s">
        <v>302</v>
      </c>
      <c r="J443" s="169" t="s">
        <v>532</v>
      </c>
      <c r="K443" s="169" t="s">
        <v>533</v>
      </c>
      <c r="L443" s="169" t="s">
        <v>534</v>
      </c>
      <c r="M443" s="169" t="s">
        <v>281</v>
      </c>
      <c r="N443" s="178">
        <v>85045966</v>
      </c>
      <c r="O443" s="169" t="s">
        <v>535</v>
      </c>
      <c r="P443" s="169" t="s">
        <v>283</v>
      </c>
      <c r="Q443" s="169" t="s">
        <v>284</v>
      </c>
      <c r="R443" s="169" t="s">
        <v>283</v>
      </c>
      <c r="S443" s="169" t="s">
        <v>283</v>
      </c>
      <c r="T443" s="169">
        <v>0</v>
      </c>
    </row>
    <row r="444" spans="2:20" x14ac:dyDescent="0.2">
      <c r="B444" s="168" t="s">
        <v>9</v>
      </c>
      <c r="C444" s="168" t="s">
        <v>25</v>
      </c>
      <c r="D444" s="173">
        <v>45747</v>
      </c>
      <c r="E444" s="169" t="s">
        <v>531</v>
      </c>
      <c r="F444" s="169" t="s">
        <v>335</v>
      </c>
      <c r="G444" s="169" t="s">
        <v>336</v>
      </c>
      <c r="H444" s="169" t="s">
        <v>301</v>
      </c>
      <c r="I444" s="169" t="s">
        <v>302</v>
      </c>
      <c r="J444" s="169" t="s">
        <v>532</v>
      </c>
      <c r="K444" s="169" t="s">
        <v>533</v>
      </c>
      <c r="L444" s="169" t="s">
        <v>534</v>
      </c>
      <c r="M444" s="169" t="s">
        <v>281</v>
      </c>
      <c r="N444" s="178">
        <v>5565000</v>
      </c>
      <c r="O444" s="169" t="s">
        <v>535</v>
      </c>
      <c r="P444" s="169" t="s">
        <v>283</v>
      </c>
      <c r="Q444" s="169" t="s">
        <v>284</v>
      </c>
      <c r="R444" s="169" t="s">
        <v>283</v>
      </c>
      <c r="S444" s="169" t="s">
        <v>283</v>
      </c>
      <c r="T444" s="169">
        <v>0</v>
      </c>
    </row>
    <row r="445" spans="2:20" x14ac:dyDescent="0.2">
      <c r="B445" s="168" t="s">
        <v>5</v>
      </c>
      <c r="C445" s="168" t="s">
        <v>22</v>
      </c>
      <c r="D445" s="173">
        <v>45747</v>
      </c>
      <c r="E445" s="169" t="s">
        <v>536</v>
      </c>
      <c r="F445" s="169" t="s">
        <v>285</v>
      </c>
      <c r="G445" s="169" t="s">
        <v>286</v>
      </c>
      <c r="H445" s="169" t="s">
        <v>320</v>
      </c>
      <c r="I445" s="169" t="s">
        <v>321</v>
      </c>
      <c r="J445" s="169" t="s">
        <v>537</v>
      </c>
      <c r="K445" s="169" t="s">
        <v>533</v>
      </c>
      <c r="L445" s="169" t="s">
        <v>534</v>
      </c>
      <c r="M445" s="169" t="s">
        <v>281</v>
      </c>
      <c r="N445" s="178">
        <v>7270833</v>
      </c>
      <c r="O445" s="169" t="s">
        <v>538</v>
      </c>
      <c r="P445" s="169" t="s">
        <v>283</v>
      </c>
      <c r="Q445" s="169" t="s">
        <v>284</v>
      </c>
      <c r="R445" s="169" t="s">
        <v>283</v>
      </c>
      <c r="S445" s="169" t="s">
        <v>283</v>
      </c>
      <c r="T445" s="169">
        <v>0</v>
      </c>
    </row>
    <row r="446" spans="2:20" x14ac:dyDescent="0.2">
      <c r="B446" s="168" t="s">
        <v>5</v>
      </c>
      <c r="C446" s="168" t="s">
        <v>24</v>
      </c>
      <c r="D446" s="173">
        <v>45747</v>
      </c>
      <c r="E446" s="169" t="s">
        <v>536</v>
      </c>
      <c r="F446" s="169" t="s">
        <v>292</v>
      </c>
      <c r="G446" s="169" t="s">
        <v>77</v>
      </c>
      <c r="H446" s="169" t="s">
        <v>320</v>
      </c>
      <c r="I446" s="169" t="s">
        <v>321</v>
      </c>
      <c r="J446" s="169" t="s">
        <v>539</v>
      </c>
      <c r="K446" s="169" t="s">
        <v>533</v>
      </c>
      <c r="L446" s="169" t="s">
        <v>534</v>
      </c>
      <c r="M446" s="169" t="s">
        <v>281</v>
      </c>
      <c r="N446" s="178">
        <v>6689109</v>
      </c>
      <c r="O446" s="169" t="s">
        <v>538</v>
      </c>
      <c r="P446" s="169" t="s">
        <v>283</v>
      </c>
      <c r="Q446" s="169" t="s">
        <v>284</v>
      </c>
      <c r="R446" s="169" t="s">
        <v>283</v>
      </c>
      <c r="S446" s="169" t="s">
        <v>283</v>
      </c>
      <c r="T446" s="169">
        <v>0</v>
      </c>
    </row>
    <row r="447" spans="2:20" x14ac:dyDescent="0.2">
      <c r="B447" s="168" t="s">
        <v>9</v>
      </c>
      <c r="C447" s="168" t="s">
        <v>22</v>
      </c>
      <c r="D447" s="173">
        <v>45747</v>
      </c>
      <c r="E447" s="169" t="s">
        <v>536</v>
      </c>
      <c r="F447" s="169" t="s">
        <v>285</v>
      </c>
      <c r="G447" s="169" t="s">
        <v>286</v>
      </c>
      <c r="H447" s="169" t="s">
        <v>301</v>
      </c>
      <c r="I447" s="169" t="s">
        <v>302</v>
      </c>
      <c r="J447" s="169" t="s">
        <v>537</v>
      </c>
      <c r="K447" s="169" t="s">
        <v>533</v>
      </c>
      <c r="L447" s="169" t="s">
        <v>534</v>
      </c>
      <c r="M447" s="169" t="s">
        <v>281</v>
      </c>
      <c r="N447" s="178">
        <v>39757952</v>
      </c>
      <c r="O447" s="169" t="s">
        <v>538</v>
      </c>
      <c r="P447" s="169" t="s">
        <v>283</v>
      </c>
      <c r="Q447" s="169" t="s">
        <v>284</v>
      </c>
      <c r="R447" s="169" t="s">
        <v>283</v>
      </c>
      <c r="S447" s="169" t="s">
        <v>283</v>
      </c>
      <c r="T447" s="169">
        <v>0</v>
      </c>
    </row>
    <row r="448" spans="2:20" x14ac:dyDescent="0.2">
      <c r="B448" s="168" t="s">
        <v>9</v>
      </c>
      <c r="C448" s="168" t="s">
        <v>24</v>
      </c>
      <c r="D448" s="173">
        <v>45747</v>
      </c>
      <c r="E448" s="169" t="s">
        <v>536</v>
      </c>
      <c r="F448" s="169" t="s">
        <v>292</v>
      </c>
      <c r="G448" s="169" t="s">
        <v>77</v>
      </c>
      <c r="H448" s="169" t="s">
        <v>301</v>
      </c>
      <c r="I448" s="169" t="s">
        <v>302</v>
      </c>
      <c r="J448" s="169" t="s">
        <v>539</v>
      </c>
      <c r="K448" s="169" t="s">
        <v>533</v>
      </c>
      <c r="L448" s="169" t="s">
        <v>534</v>
      </c>
      <c r="M448" s="169" t="s">
        <v>281</v>
      </c>
      <c r="N448" s="178">
        <v>31005583</v>
      </c>
      <c r="O448" s="169" t="s">
        <v>538</v>
      </c>
      <c r="P448" s="169" t="s">
        <v>283</v>
      </c>
      <c r="Q448" s="169" t="s">
        <v>284</v>
      </c>
      <c r="R448" s="169" t="s">
        <v>283</v>
      </c>
      <c r="S448" s="169" t="s">
        <v>283</v>
      </c>
      <c r="T448" s="169">
        <v>0</v>
      </c>
    </row>
    <row r="449" spans="2:20" x14ac:dyDescent="0.2">
      <c r="B449" s="168" t="s">
        <v>5</v>
      </c>
      <c r="C449" s="168" t="s">
        <v>170</v>
      </c>
      <c r="D449" s="173">
        <v>45747</v>
      </c>
      <c r="E449" s="169" t="s">
        <v>540</v>
      </c>
      <c r="F449" s="169" t="s">
        <v>295</v>
      </c>
      <c r="G449" s="169" t="s">
        <v>296</v>
      </c>
      <c r="H449" s="169" t="s">
        <v>320</v>
      </c>
      <c r="I449" s="169" t="s">
        <v>321</v>
      </c>
      <c r="J449" s="169" t="s">
        <v>541</v>
      </c>
      <c r="K449" s="169" t="s">
        <v>533</v>
      </c>
      <c r="L449" s="169" t="s">
        <v>534</v>
      </c>
      <c r="M449" s="169" t="s">
        <v>281</v>
      </c>
      <c r="N449" s="178">
        <v>20503750</v>
      </c>
      <c r="O449" s="169" t="s">
        <v>542</v>
      </c>
      <c r="P449" s="169" t="s">
        <v>283</v>
      </c>
      <c r="Q449" s="169" t="s">
        <v>284</v>
      </c>
      <c r="R449" s="169" t="s">
        <v>283</v>
      </c>
      <c r="S449" s="169" t="s">
        <v>283</v>
      </c>
      <c r="T449" s="169">
        <v>0</v>
      </c>
    </row>
    <row r="450" spans="2:20" x14ac:dyDescent="0.2">
      <c r="B450" s="168" t="s">
        <v>9</v>
      </c>
      <c r="C450" s="168" t="s">
        <v>170</v>
      </c>
      <c r="D450" s="173">
        <v>45747</v>
      </c>
      <c r="E450" s="169" t="s">
        <v>540</v>
      </c>
      <c r="F450" s="169" t="s">
        <v>295</v>
      </c>
      <c r="G450" s="169" t="s">
        <v>296</v>
      </c>
      <c r="H450" s="169" t="s">
        <v>301</v>
      </c>
      <c r="I450" s="169" t="s">
        <v>302</v>
      </c>
      <c r="J450" s="169" t="s">
        <v>541</v>
      </c>
      <c r="K450" s="169" t="s">
        <v>533</v>
      </c>
      <c r="L450" s="169" t="s">
        <v>534</v>
      </c>
      <c r="M450" s="169" t="s">
        <v>281</v>
      </c>
      <c r="N450" s="178">
        <v>99720900</v>
      </c>
      <c r="O450" s="169" t="s">
        <v>542</v>
      </c>
      <c r="P450" s="169" t="s">
        <v>283</v>
      </c>
      <c r="Q450" s="169" t="s">
        <v>284</v>
      </c>
      <c r="R450" s="169" t="s">
        <v>283</v>
      </c>
      <c r="S450" s="169" t="s">
        <v>283</v>
      </c>
      <c r="T450" s="169">
        <v>0</v>
      </c>
    </row>
    <row r="451" spans="2:20" x14ac:dyDescent="0.2">
      <c r="B451" s="168" t="s">
        <v>9</v>
      </c>
      <c r="C451" s="168" t="s">
        <v>170</v>
      </c>
      <c r="D451" s="173">
        <v>45747</v>
      </c>
      <c r="E451" s="169" t="s">
        <v>540</v>
      </c>
      <c r="F451" s="169" t="s">
        <v>295</v>
      </c>
      <c r="G451" s="169" t="s">
        <v>296</v>
      </c>
      <c r="H451" s="169" t="s">
        <v>301</v>
      </c>
      <c r="I451" s="169" t="s">
        <v>302</v>
      </c>
      <c r="J451" s="169" t="s">
        <v>541</v>
      </c>
      <c r="K451" s="169" t="s">
        <v>533</v>
      </c>
      <c r="L451" s="169" t="s">
        <v>534</v>
      </c>
      <c r="M451" s="169" t="s">
        <v>281</v>
      </c>
      <c r="N451" s="178">
        <v>1374750</v>
      </c>
      <c r="O451" s="169" t="s">
        <v>542</v>
      </c>
      <c r="P451" s="169" t="s">
        <v>283</v>
      </c>
      <c r="Q451" s="169" t="s">
        <v>284</v>
      </c>
      <c r="R451" s="169" t="s">
        <v>283</v>
      </c>
      <c r="S451" s="169" t="s">
        <v>283</v>
      </c>
      <c r="T451" s="169">
        <v>0</v>
      </c>
    </row>
    <row r="452" spans="2:20" x14ac:dyDescent="0.2">
      <c r="B452" s="168" t="s">
        <v>9</v>
      </c>
      <c r="C452" s="168" t="s">
        <v>25</v>
      </c>
      <c r="D452" s="173">
        <v>45745</v>
      </c>
      <c r="E452" s="169" t="s">
        <v>546</v>
      </c>
      <c r="F452" s="169" t="s">
        <v>335</v>
      </c>
      <c r="G452" s="169" t="s">
        <v>336</v>
      </c>
      <c r="H452" s="169" t="s">
        <v>301</v>
      </c>
      <c r="I452" s="169" t="s">
        <v>302</v>
      </c>
      <c r="J452" s="169" t="s">
        <v>547</v>
      </c>
      <c r="K452" s="169" t="s">
        <v>338</v>
      </c>
      <c r="L452" s="169" t="s">
        <v>534</v>
      </c>
      <c r="M452" s="169" t="s">
        <v>281</v>
      </c>
      <c r="N452" s="178">
        <v>30725000</v>
      </c>
      <c r="O452" s="169" t="s">
        <v>548</v>
      </c>
      <c r="P452" s="169" t="s">
        <v>283</v>
      </c>
      <c r="Q452" s="169" t="s">
        <v>306</v>
      </c>
      <c r="R452" s="169" t="s">
        <v>283</v>
      </c>
      <c r="S452" s="169" t="s">
        <v>283</v>
      </c>
      <c r="T452" s="169">
        <v>0</v>
      </c>
    </row>
    <row r="453" spans="2:20" x14ac:dyDescent="0.2">
      <c r="B453" s="168" t="s">
        <v>5</v>
      </c>
      <c r="C453" s="168" t="s">
        <v>25</v>
      </c>
      <c r="D453" s="173">
        <v>45745</v>
      </c>
      <c r="E453" s="169" t="s">
        <v>546</v>
      </c>
      <c r="F453" s="169" t="s">
        <v>335</v>
      </c>
      <c r="G453" s="169" t="s">
        <v>336</v>
      </c>
      <c r="H453" s="169" t="s">
        <v>320</v>
      </c>
      <c r="I453" s="169" t="s">
        <v>321</v>
      </c>
      <c r="J453" s="169" t="s">
        <v>547</v>
      </c>
      <c r="K453" s="169" t="s">
        <v>338</v>
      </c>
      <c r="L453" s="169" t="s">
        <v>534</v>
      </c>
      <c r="M453" s="169" t="s">
        <v>281</v>
      </c>
      <c r="N453" s="178">
        <v>1700000</v>
      </c>
      <c r="O453" s="169" t="s">
        <v>548</v>
      </c>
      <c r="P453" s="169" t="s">
        <v>283</v>
      </c>
      <c r="Q453" s="169" t="s">
        <v>306</v>
      </c>
      <c r="R453" s="169" t="s">
        <v>283</v>
      </c>
      <c r="S453" s="169" t="s">
        <v>283</v>
      </c>
      <c r="T453" s="169">
        <v>0</v>
      </c>
    </row>
    <row r="454" spans="2:20" x14ac:dyDescent="0.2">
      <c r="B454" s="168" t="s">
        <v>9</v>
      </c>
      <c r="C454" s="168" t="s">
        <v>222</v>
      </c>
      <c r="D454" s="173">
        <v>45747</v>
      </c>
      <c r="E454" s="169" t="s">
        <v>549</v>
      </c>
      <c r="F454" s="169" t="s">
        <v>300</v>
      </c>
      <c r="G454" s="169" t="s">
        <v>222</v>
      </c>
      <c r="H454" s="169" t="s">
        <v>301</v>
      </c>
      <c r="I454" s="169" t="s">
        <v>302</v>
      </c>
      <c r="J454" s="169" t="s">
        <v>550</v>
      </c>
      <c r="K454" s="169" t="s">
        <v>551</v>
      </c>
      <c r="L454" s="169" t="s">
        <v>534</v>
      </c>
      <c r="M454" s="169" t="s">
        <v>281</v>
      </c>
      <c r="N454" s="178">
        <v>5400000</v>
      </c>
      <c r="O454" s="169" t="s">
        <v>552</v>
      </c>
      <c r="P454" s="169" t="s">
        <v>283</v>
      </c>
      <c r="Q454" s="169" t="s">
        <v>306</v>
      </c>
      <c r="R454" s="169" t="s">
        <v>283</v>
      </c>
      <c r="S454" s="169" t="s">
        <v>283</v>
      </c>
      <c r="T454" s="169">
        <v>0</v>
      </c>
    </row>
    <row r="455" spans="2:20" x14ac:dyDescent="0.2">
      <c r="B455" s="168" t="s">
        <v>3</v>
      </c>
      <c r="C455" s="168" t="s">
        <v>22</v>
      </c>
      <c r="D455" s="173">
        <v>45747</v>
      </c>
      <c r="E455" s="169" t="s">
        <v>531</v>
      </c>
      <c r="F455" s="169" t="s">
        <v>274</v>
      </c>
      <c r="G455" s="169" t="s">
        <v>275</v>
      </c>
      <c r="H455" s="169" t="s">
        <v>356</v>
      </c>
      <c r="I455" s="169" t="s">
        <v>357</v>
      </c>
      <c r="J455" s="169" t="s">
        <v>532</v>
      </c>
      <c r="K455" s="169" t="s">
        <v>533</v>
      </c>
      <c r="L455" s="169" t="s">
        <v>534</v>
      </c>
      <c r="M455" s="169" t="s">
        <v>281</v>
      </c>
      <c r="N455" s="178">
        <v>375203673</v>
      </c>
      <c r="O455" s="169" t="s">
        <v>535</v>
      </c>
      <c r="P455" s="169" t="s">
        <v>283</v>
      </c>
      <c r="Q455" s="169" t="s">
        <v>284</v>
      </c>
      <c r="R455" s="169" t="s">
        <v>283</v>
      </c>
      <c r="S455" s="169" t="s">
        <v>283</v>
      </c>
      <c r="T455" s="169">
        <v>0</v>
      </c>
    </row>
    <row r="456" spans="2:20" x14ac:dyDescent="0.2">
      <c r="B456" s="168" t="s">
        <v>3</v>
      </c>
      <c r="C456" s="168" t="s">
        <v>22</v>
      </c>
      <c r="D456" s="173">
        <v>45747</v>
      </c>
      <c r="E456" s="169" t="s">
        <v>531</v>
      </c>
      <c r="F456" s="169" t="s">
        <v>285</v>
      </c>
      <c r="G456" s="169" t="s">
        <v>286</v>
      </c>
      <c r="H456" s="169" t="s">
        <v>356</v>
      </c>
      <c r="I456" s="169" t="s">
        <v>357</v>
      </c>
      <c r="J456" s="169" t="s">
        <v>532</v>
      </c>
      <c r="K456" s="169" t="s">
        <v>533</v>
      </c>
      <c r="L456" s="169" t="s">
        <v>534</v>
      </c>
      <c r="M456" s="169" t="s">
        <v>281</v>
      </c>
      <c r="N456" s="178">
        <v>11438019</v>
      </c>
      <c r="O456" s="169" t="s">
        <v>535</v>
      </c>
      <c r="P456" s="169" t="s">
        <v>283</v>
      </c>
      <c r="Q456" s="169" t="s">
        <v>284</v>
      </c>
      <c r="R456" s="169" t="s">
        <v>283</v>
      </c>
      <c r="S456" s="169" t="s">
        <v>283</v>
      </c>
      <c r="T456" s="169">
        <v>0</v>
      </c>
    </row>
    <row r="457" spans="2:20" x14ac:dyDescent="0.2">
      <c r="B457" s="168" t="s">
        <v>3</v>
      </c>
      <c r="C457" s="168" t="s">
        <v>23</v>
      </c>
      <c r="D457" s="173">
        <v>45747</v>
      </c>
      <c r="E457" s="169" t="s">
        <v>531</v>
      </c>
      <c r="F457" s="169" t="s">
        <v>342</v>
      </c>
      <c r="G457" s="169" t="s">
        <v>343</v>
      </c>
      <c r="H457" s="169" t="s">
        <v>356</v>
      </c>
      <c r="I457" s="169" t="s">
        <v>357</v>
      </c>
      <c r="J457" s="169" t="s">
        <v>532</v>
      </c>
      <c r="K457" s="169" t="s">
        <v>533</v>
      </c>
      <c r="L457" s="169" t="s">
        <v>534</v>
      </c>
      <c r="M457" s="169" t="s">
        <v>281</v>
      </c>
      <c r="N457" s="178">
        <v>43454986</v>
      </c>
      <c r="O457" s="169" t="s">
        <v>535</v>
      </c>
      <c r="P457" s="169" t="s">
        <v>283</v>
      </c>
      <c r="Q457" s="169" t="s">
        <v>284</v>
      </c>
      <c r="R457" s="169" t="s">
        <v>283</v>
      </c>
      <c r="S457" s="169" t="s">
        <v>283</v>
      </c>
      <c r="T457" s="169">
        <v>0</v>
      </c>
    </row>
    <row r="458" spans="2:20" x14ac:dyDescent="0.2">
      <c r="B458" s="168" t="s">
        <v>3</v>
      </c>
      <c r="C458" s="168" t="s">
        <v>25</v>
      </c>
      <c r="D458" s="173">
        <v>45747</v>
      </c>
      <c r="E458" s="169" t="s">
        <v>531</v>
      </c>
      <c r="F458" s="169" t="s">
        <v>335</v>
      </c>
      <c r="G458" s="169" t="s">
        <v>336</v>
      </c>
      <c r="H458" s="169" t="s">
        <v>356</v>
      </c>
      <c r="I458" s="169" t="s">
        <v>357</v>
      </c>
      <c r="J458" s="169" t="s">
        <v>532</v>
      </c>
      <c r="K458" s="169" t="s">
        <v>533</v>
      </c>
      <c r="L458" s="169" t="s">
        <v>534</v>
      </c>
      <c r="M458" s="169" t="s">
        <v>281</v>
      </c>
      <c r="N458" s="178">
        <v>2430000</v>
      </c>
      <c r="O458" s="169" t="s">
        <v>535</v>
      </c>
      <c r="P458" s="169" t="s">
        <v>283</v>
      </c>
      <c r="Q458" s="169" t="s">
        <v>284</v>
      </c>
      <c r="R458" s="169" t="s">
        <v>283</v>
      </c>
      <c r="S458" s="169" t="s">
        <v>283</v>
      </c>
      <c r="T458" s="169">
        <v>0</v>
      </c>
    </row>
    <row r="459" spans="2:20" x14ac:dyDescent="0.2">
      <c r="B459" s="168" t="s">
        <v>3</v>
      </c>
      <c r="C459" s="168" t="s">
        <v>22</v>
      </c>
      <c r="D459" s="173">
        <v>45747</v>
      </c>
      <c r="E459" s="169" t="s">
        <v>536</v>
      </c>
      <c r="F459" s="169" t="s">
        <v>285</v>
      </c>
      <c r="G459" s="169" t="s">
        <v>286</v>
      </c>
      <c r="H459" s="169" t="s">
        <v>356</v>
      </c>
      <c r="I459" s="169" t="s">
        <v>357</v>
      </c>
      <c r="J459" s="169" t="s">
        <v>537</v>
      </c>
      <c r="K459" s="169" t="s">
        <v>533</v>
      </c>
      <c r="L459" s="169" t="s">
        <v>534</v>
      </c>
      <c r="M459" s="169" t="s">
        <v>281</v>
      </c>
      <c r="N459" s="178">
        <v>34335097</v>
      </c>
      <c r="O459" s="169" t="s">
        <v>538</v>
      </c>
      <c r="P459" s="169" t="s">
        <v>283</v>
      </c>
      <c r="Q459" s="169" t="s">
        <v>284</v>
      </c>
      <c r="R459" s="169" t="s">
        <v>283</v>
      </c>
      <c r="S459" s="169" t="s">
        <v>283</v>
      </c>
      <c r="T459" s="169">
        <v>0</v>
      </c>
    </row>
    <row r="460" spans="2:20" x14ac:dyDescent="0.2">
      <c r="B460" s="168" t="s">
        <v>3</v>
      </c>
      <c r="C460" s="168" t="s">
        <v>24</v>
      </c>
      <c r="D460" s="173">
        <v>45747</v>
      </c>
      <c r="E460" s="169" t="s">
        <v>536</v>
      </c>
      <c r="F460" s="169" t="s">
        <v>292</v>
      </c>
      <c r="G460" s="169" t="s">
        <v>77</v>
      </c>
      <c r="H460" s="169" t="s">
        <v>356</v>
      </c>
      <c r="I460" s="169" t="s">
        <v>357</v>
      </c>
      <c r="J460" s="169" t="s">
        <v>539</v>
      </c>
      <c r="K460" s="169" t="s">
        <v>533</v>
      </c>
      <c r="L460" s="169" t="s">
        <v>534</v>
      </c>
      <c r="M460" s="169" t="s">
        <v>281</v>
      </c>
      <c r="N460" s="178">
        <v>30991234</v>
      </c>
      <c r="O460" s="169" t="s">
        <v>538</v>
      </c>
      <c r="P460" s="169" t="s">
        <v>283</v>
      </c>
      <c r="Q460" s="169" t="s">
        <v>284</v>
      </c>
      <c r="R460" s="169" t="s">
        <v>283</v>
      </c>
      <c r="S460" s="169" t="s">
        <v>283</v>
      </c>
      <c r="T460" s="169">
        <v>0</v>
      </c>
    </row>
    <row r="461" spans="2:20" x14ac:dyDescent="0.2">
      <c r="B461" s="168" t="s">
        <v>3</v>
      </c>
      <c r="C461" s="168" t="s">
        <v>170</v>
      </c>
      <c r="D461" s="173">
        <v>45747</v>
      </c>
      <c r="E461" s="169" t="s">
        <v>540</v>
      </c>
      <c r="F461" s="169" t="s">
        <v>295</v>
      </c>
      <c r="G461" s="169" t="s">
        <v>296</v>
      </c>
      <c r="H461" s="169" t="s">
        <v>356</v>
      </c>
      <c r="I461" s="169" t="s">
        <v>357</v>
      </c>
      <c r="J461" s="169" t="s">
        <v>541</v>
      </c>
      <c r="K461" s="169" t="s">
        <v>533</v>
      </c>
      <c r="L461" s="169" t="s">
        <v>534</v>
      </c>
      <c r="M461" s="169" t="s">
        <v>281</v>
      </c>
      <c r="N461" s="178">
        <v>85188695</v>
      </c>
      <c r="O461" s="169" t="s">
        <v>542</v>
      </c>
      <c r="P461" s="169" t="s">
        <v>283</v>
      </c>
      <c r="Q461" s="169" t="s">
        <v>284</v>
      </c>
      <c r="R461" s="169" t="s">
        <v>283</v>
      </c>
      <c r="S461" s="169" t="s">
        <v>283</v>
      </c>
      <c r="T461" s="169">
        <v>0</v>
      </c>
    </row>
    <row r="462" spans="2:20" x14ac:dyDescent="0.2">
      <c r="B462" s="168" t="s">
        <v>3</v>
      </c>
      <c r="C462" s="168" t="s">
        <v>25</v>
      </c>
      <c r="D462" s="173">
        <v>45745</v>
      </c>
      <c r="E462" s="169" t="s">
        <v>546</v>
      </c>
      <c r="F462" s="169" t="s">
        <v>335</v>
      </c>
      <c r="G462" s="169" t="s">
        <v>336</v>
      </c>
      <c r="H462" s="169" t="s">
        <v>356</v>
      </c>
      <c r="I462" s="169" t="s">
        <v>357</v>
      </c>
      <c r="J462" s="169" t="s">
        <v>547</v>
      </c>
      <c r="K462" s="169" t="s">
        <v>338</v>
      </c>
      <c r="L462" s="169" t="s">
        <v>534</v>
      </c>
      <c r="M462" s="169" t="s">
        <v>281</v>
      </c>
      <c r="N462" s="178">
        <v>11300000</v>
      </c>
      <c r="O462" s="169" t="s">
        <v>548</v>
      </c>
      <c r="P462" s="169" t="s">
        <v>283</v>
      </c>
      <c r="Q462" s="169" t="s">
        <v>306</v>
      </c>
      <c r="R462" s="169" t="s">
        <v>283</v>
      </c>
      <c r="S462" s="169" t="s">
        <v>283</v>
      </c>
      <c r="T462" s="169">
        <v>0</v>
      </c>
    </row>
    <row r="463" spans="2:20" x14ac:dyDescent="0.2">
      <c r="B463" s="168" t="s">
        <v>9</v>
      </c>
      <c r="C463" s="168" t="s">
        <v>222</v>
      </c>
      <c r="D463" s="173">
        <v>45719</v>
      </c>
      <c r="E463" s="169" t="s">
        <v>553</v>
      </c>
      <c r="F463" s="169" t="s">
        <v>300</v>
      </c>
      <c r="G463" s="169" t="s">
        <v>222</v>
      </c>
      <c r="H463" s="169" t="s">
        <v>358</v>
      </c>
      <c r="I463" s="169" t="s">
        <v>359</v>
      </c>
      <c r="J463" s="169" t="s">
        <v>554</v>
      </c>
      <c r="K463" s="169" t="s">
        <v>304</v>
      </c>
      <c r="L463" s="169" t="s">
        <v>534</v>
      </c>
      <c r="M463" s="169" t="s">
        <v>281</v>
      </c>
      <c r="N463" s="178">
        <v>200000</v>
      </c>
      <c r="O463" s="169" t="s">
        <v>555</v>
      </c>
      <c r="P463" s="169" t="s">
        <v>283</v>
      </c>
      <c r="Q463" s="169" t="s">
        <v>306</v>
      </c>
      <c r="R463" s="169" t="s">
        <v>283</v>
      </c>
      <c r="S463" s="169" t="s">
        <v>283</v>
      </c>
      <c r="T463" s="169">
        <v>0</v>
      </c>
    </row>
    <row r="464" spans="2:20" x14ac:dyDescent="0.2">
      <c r="B464" s="168" t="s">
        <v>9</v>
      </c>
      <c r="C464" s="168" t="s">
        <v>222</v>
      </c>
      <c r="D464" s="173">
        <v>45719</v>
      </c>
      <c r="E464" s="169" t="s">
        <v>553</v>
      </c>
      <c r="F464" s="169" t="s">
        <v>300</v>
      </c>
      <c r="G464" s="169" t="s">
        <v>222</v>
      </c>
      <c r="H464" s="169" t="s">
        <v>358</v>
      </c>
      <c r="I464" s="169" t="s">
        <v>359</v>
      </c>
      <c r="J464" s="169" t="s">
        <v>556</v>
      </c>
      <c r="K464" s="169" t="s">
        <v>304</v>
      </c>
      <c r="L464" s="169" t="s">
        <v>534</v>
      </c>
      <c r="M464" s="169" t="s">
        <v>281</v>
      </c>
      <c r="N464" s="178">
        <v>200000</v>
      </c>
      <c r="O464" s="169" t="s">
        <v>555</v>
      </c>
      <c r="P464" s="169" t="s">
        <v>283</v>
      </c>
      <c r="Q464" s="169" t="s">
        <v>306</v>
      </c>
      <c r="R464" s="169" t="s">
        <v>283</v>
      </c>
      <c r="S464" s="169" t="s">
        <v>283</v>
      </c>
      <c r="T464" s="169">
        <v>0</v>
      </c>
    </row>
    <row r="465" spans="2:20" x14ac:dyDescent="0.2">
      <c r="B465" s="168" t="s">
        <v>9</v>
      </c>
      <c r="C465" s="168" t="s">
        <v>222</v>
      </c>
      <c r="D465" s="173">
        <v>45719</v>
      </c>
      <c r="E465" s="169" t="s">
        <v>553</v>
      </c>
      <c r="F465" s="169" t="s">
        <v>300</v>
      </c>
      <c r="G465" s="169" t="s">
        <v>222</v>
      </c>
      <c r="H465" s="169" t="s">
        <v>358</v>
      </c>
      <c r="I465" s="169" t="s">
        <v>359</v>
      </c>
      <c r="J465" s="169" t="s">
        <v>557</v>
      </c>
      <c r="K465" s="169" t="s">
        <v>304</v>
      </c>
      <c r="L465" s="169" t="s">
        <v>534</v>
      </c>
      <c r="M465" s="169" t="s">
        <v>281</v>
      </c>
      <c r="N465" s="178">
        <v>400000</v>
      </c>
      <c r="O465" s="169" t="s">
        <v>555</v>
      </c>
      <c r="P465" s="169" t="s">
        <v>283</v>
      </c>
      <c r="Q465" s="169" t="s">
        <v>306</v>
      </c>
      <c r="R465" s="169" t="s">
        <v>283</v>
      </c>
      <c r="S465" s="169" t="s">
        <v>283</v>
      </c>
      <c r="T465" s="169">
        <v>0</v>
      </c>
    </row>
    <row r="466" spans="2:20" x14ac:dyDescent="0.2">
      <c r="B466" s="168" t="s">
        <v>9</v>
      </c>
      <c r="C466" s="168" t="s">
        <v>222</v>
      </c>
      <c r="D466" s="173">
        <v>45719</v>
      </c>
      <c r="E466" s="169" t="s">
        <v>553</v>
      </c>
      <c r="F466" s="169" t="s">
        <v>300</v>
      </c>
      <c r="G466" s="169" t="s">
        <v>222</v>
      </c>
      <c r="H466" s="169" t="s">
        <v>358</v>
      </c>
      <c r="I466" s="169" t="s">
        <v>359</v>
      </c>
      <c r="J466" s="169" t="s">
        <v>558</v>
      </c>
      <c r="K466" s="169" t="s">
        <v>304</v>
      </c>
      <c r="L466" s="169" t="s">
        <v>534</v>
      </c>
      <c r="M466" s="169" t="s">
        <v>281</v>
      </c>
      <c r="N466" s="178">
        <v>400000</v>
      </c>
      <c r="O466" s="169" t="s">
        <v>555</v>
      </c>
      <c r="P466" s="169" t="s">
        <v>283</v>
      </c>
      <c r="Q466" s="169" t="s">
        <v>306</v>
      </c>
      <c r="R466" s="169" t="s">
        <v>283</v>
      </c>
      <c r="S466" s="169" t="s">
        <v>283</v>
      </c>
      <c r="T466" s="169">
        <v>0</v>
      </c>
    </row>
    <row r="467" spans="2:20" x14ac:dyDescent="0.2">
      <c r="B467" s="168" t="s">
        <v>9</v>
      </c>
      <c r="C467" s="168" t="s">
        <v>222</v>
      </c>
      <c r="D467" s="173">
        <v>45719</v>
      </c>
      <c r="E467" s="169" t="s">
        <v>553</v>
      </c>
      <c r="F467" s="169" t="s">
        <v>300</v>
      </c>
      <c r="G467" s="169" t="s">
        <v>222</v>
      </c>
      <c r="H467" s="169" t="s">
        <v>358</v>
      </c>
      <c r="I467" s="169" t="s">
        <v>359</v>
      </c>
      <c r="J467" s="169" t="s">
        <v>559</v>
      </c>
      <c r="K467" s="169" t="s">
        <v>304</v>
      </c>
      <c r="L467" s="169" t="s">
        <v>534</v>
      </c>
      <c r="M467" s="169" t="s">
        <v>281</v>
      </c>
      <c r="N467" s="178">
        <v>200000</v>
      </c>
      <c r="O467" s="169" t="s">
        <v>555</v>
      </c>
      <c r="P467" s="169" t="s">
        <v>283</v>
      </c>
      <c r="Q467" s="169" t="s">
        <v>306</v>
      </c>
      <c r="R467" s="169" t="s">
        <v>283</v>
      </c>
      <c r="S467" s="169" t="s">
        <v>283</v>
      </c>
      <c r="T467" s="169">
        <v>0</v>
      </c>
    </row>
    <row r="468" spans="2:20" x14ac:dyDescent="0.2">
      <c r="B468" s="168" t="s">
        <v>9</v>
      </c>
      <c r="C468" s="168" t="s">
        <v>222</v>
      </c>
      <c r="D468" s="173">
        <v>45719</v>
      </c>
      <c r="E468" s="169" t="s">
        <v>553</v>
      </c>
      <c r="F468" s="169" t="s">
        <v>300</v>
      </c>
      <c r="G468" s="169" t="s">
        <v>222</v>
      </c>
      <c r="H468" s="169" t="s">
        <v>358</v>
      </c>
      <c r="I468" s="169" t="s">
        <v>359</v>
      </c>
      <c r="J468" s="169" t="s">
        <v>560</v>
      </c>
      <c r="K468" s="169" t="s">
        <v>304</v>
      </c>
      <c r="L468" s="169" t="s">
        <v>534</v>
      </c>
      <c r="M468" s="169" t="s">
        <v>281</v>
      </c>
      <c r="N468" s="178">
        <v>200000</v>
      </c>
      <c r="O468" s="169" t="s">
        <v>555</v>
      </c>
      <c r="P468" s="169" t="s">
        <v>283</v>
      </c>
      <c r="Q468" s="169" t="s">
        <v>306</v>
      </c>
      <c r="R468" s="169" t="s">
        <v>283</v>
      </c>
      <c r="S468" s="169" t="s">
        <v>283</v>
      </c>
      <c r="T468" s="169">
        <v>0</v>
      </c>
    </row>
    <row r="469" spans="2:20" x14ac:dyDescent="0.2">
      <c r="B469" s="168" t="s">
        <v>9</v>
      </c>
      <c r="C469" s="168" t="s">
        <v>222</v>
      </c>
      <c r="D469" s="173">
        <v>45719</v>
      </c>
      <c r="E469" s="169" t="s">
        <v>553</v>
      </c>
      <c r="F469" s="169" t="s">
        <v>300</v>
      </c>
      <c r="G469" s="169" t="s">
        <v>222</v>
      </c>
      <c r="H469" s="169" t="s">
        <v>358</v>
      </c>
      <c r="I469" s="169" t="s">
        <v>359</v>
      </c>
      <c r="J469" s="169" t="s">
        <v>561</v>
      </c>
      <c r="K469" s="169" t="s">
        <v>304</v>
      </c>
      <c r="L469" s="169" t="s">
        <v>534</v>
      </c>
      <c r="M469" s="169" t="s">
        <v>281</v>
      </c>
      <c r="N469" s="178">
        <v>1200000</v>
      </c>
      <c r="O469" s="169" t="s">
        <v>555</v>
      </c>
      <c r="P469" s="169" t="s">
        <v>283</v>
      </c>
      <c r="Q469" s="169" t="s">
        <v>306</v>
      </c>
      <c r="R469" s="169" t="s">
        <v>283</v>
      </c>
      <c r="S469" s="169" t="s">
        <v>283</v>
      </c>
      <c r="T469" s="169">
        <v>0</v>
      </c>
    </row>
    <row r="470" spans="2:20" x14ac:dyDescent="0.2">
      <c r="B470" s="168" t="s">
        <v>9</v>
      </c>
      <c r="C470" s="168" t="s">
        <v>222</v>
      </c>
      <c r="D470" s="173">
        <v>45719</v>
      </c>
      <c r="E470" s="169" t="s">
        <v>553</v>
      </c>
      <c r="F470" s="169" t="s">
        <v>300</v>
      </c>
      <c r="G470" s="169" t="s">
        <v>222</v>
      </c>
      <c r="H470" s="169" t="s">
        <v>358</v>
      </c>
      <c r="I470" s="169" t="s">
        <v>359</v>
      </c>
      <c r="J470" s="169" t="s">
        <v>562</v>
      </c>
      <c r="K470" s="169" t="s">
        <v>304</v>
      </c>
      <c r="L470" s="169" t="s">
        <v>534</v>
      </c>
      <c r="M470" s="169" t="s">
        <v>281</v>
      </c>
      <c r="N470" s="178">
        <v>200000</v>
      </c>
      <c r="O470" s="169" t="s">
        <v>555</v>
      </c>
      <c r="P470" s="169" t="s">
        <v>283</v>
      </c>
      <c r="Q470" s="169" t="s">
        <v>306</v>
      </c>
      <c r="R470" s="169" t="s">
        <v>283</v>
      </c>
      <c r="S470" s="169" t="s">
        <v>283</v>
      </c>
      <c r="T470" s="169">
        <v>0</v>
      </c>
    </row>
    <row r="471" spans="2:20" x14ac:dyDescent="0.2">
      <c r="B471" s="168" t="s">
        <v>9</v>
      </c>
      <c r="C471" s="168" t="s">
        <v>222</v>
      </c>
      <c r="D471" s="173">
        <v>45719</v>
      </c>
      <c r="E471" s="169" t="s">
        <v>553</v>
      </c>
      <c r="F471" s="169" t="s">
        <v>300</v>
      </c>
      <c r="G471" s="169" t="s">
        <v>222</v>
      </c>
      <c r="H471" s="169" t="s">
        <v>358</v>
      </c>
      <c r="I471" s="169" t="s">
        <v>359</v>
      </c>
      <c r="J471" s="169" t="s">
        <v>563</v>
      </c>
      <c r="K471" s="169" t="s">
        <v>304</v>
      </c>
      <c r="L471" s="169" t="s">
        <v>534</v>
      </c>
      <c r="M471" s="169" t="s">
        <v>281</v>
      </c>
      <c r="N471" s="178">
        <v>200000</v>
      </c>
      <c r="O471" s="169" t="s">
        <v>555</v>
      </c>
      <c r="P471" s="169" t="s">
        <v>283</v>
      </c>
      <c r="Q471" s="169" t="s">
        <v>306</v>
      </c>
      <c r="R471" s="169" t="s">
        <v>283</v>
      </c>
      <c r="S471" s="169" t="s">
        <v>283</v>
      </c>
      <c r="T471" s="169">
        <v>0</v>
      </c>
    </row>
    <row r="472" spans="2:20" x14ac:dyDescent="0.2">
      <c r="B472" s="168" t="s">
        <v>9</v>
      </c>
      <c r="C472" s="168" t="s">
        <v>222</v>
      </c>
      <c r="D472" s="173">
        <v>45719</v>
      </c>
      <c r="E472" s="169" t="s">
        <v>553</v>
      </c>
      <c r="F472" s="169" t="s">
        <v>300</v>
      </c>
      <c r="G472" s="169" t="s">
        <v>222</v>
      </c>
      <c r="H472" s="169" t="s">
        <v>358</v>
      </c>
      <c r="I472" s="169" t="s">
        <v>359</v>
      </c>
      <c r="J472" s="169" t="s">
        <v>564</v>
      </c>
      <c r="K472" s="169" t="s">
        <v>304</v>
      </c>
      <c r="L472" s="169" t="s">
        <v>534</v>
      </c>
      <c r="M472" s="169" t="s">
        <v>281</v>
      </c>
      <c r="N472" s="178">
        <v>200000</v>
      </c>
      <c r="O472" s="169" t="s">
        <v>555</v>
      </c>
      <c r="P472" s="169" t="s">
        <v>283</v>
      </c>
      <c r="Q472" s="169" t="s">
        <v>306</v>
      </c>
      <c r="R472" s="169" t="s">
        <v>283</v>
      </c>
      <c r="S472" s="169" t="s">
        <v>283</v>
      </c>
      <c r="T472" s="169">
        <v>0</v>
      </c>
    </row>
    <row r="473" spans="2:20" x14ac:dyDescent="0.2">
      <c r="B473" s="168" t="s">
        <v>9</v>
      </c>
      <c r="C473" s="168" t="s">
        <v>222</v>
      </c>
      <c r="D473" s="173">
        <v>45719</v>
      </c>
      <c r="E473" s="169" t="s">
        <v>553</v>
      </c>
      <c r="F473" s="169" t="s">
        <v>300</v>
      </c>
      <c r="G473" s="169" t="s">
        <v>222</v>
      </c>
      <c r="H473" s="169" t="s">
        <v>358</v>
      </c>
      <c r="I473" s="169" t="s">
        <v>359</v>
      </c>
      <c r="J473" s="169" t="s">
        <v>565</v>
      </c>
      <c r="K473" s="169" t="s">
        <v>304</v>
      </c>
      <c r="L473" s="169" t="s">
        <v>534</v>
      </c>
      <c r="M473" s="169" t="s">
        <v>281</v>
      </c>
      <c r="N473" s="178">
        <v>400000</v>
      </c>
      <c r="O473" s="169" t="s">
        <v>555</v>
      </c>
      <c r="P473" s="169" t="s">
        <v>283</v>
      </c>
      <c r="Q473" s="169" t="s">
        <v>306</v>
      </c>
      <c r="R473" s="169" t="s">
        <v>283</v>
      </c>
      <c r="S473" s="169" t="s">
        <v>283</v>
      </c>
      <c r="T473" s="169">
        <v>0</v>
      </c>
    </row>
    <row r="474" spans="2:20" x14ac:dyDescent="0.2">
      <c r="B474" s="168" t="s">
        <v>9</v>
      </c>
      <c r="C474" s="168" t="s">
        <v>222</v>
      </c>
      <c r="D474" s="173">
        <v>45719</v>
      </c>
      <c r="E474" s="169" t="s">
        <v>553</v>
      </c>
      <c r="F474" s="169" t="s">
        <v>300</v>
      </c>
      <c r="G474" s="169" t="s">
        <v>222</v>
      </c>
      <c r="H474" s="169" t="s">
        <v>358</v>
      </c>
      <c r="I474" s="169" t="s">
        <v>359</v>
      </c>
      <c r="J474" s="169" t="s">
        <v>566</v>
      </c>
      <c r="K474" s="169" t="s">
        <v>304</v>
      </c>
      <c r="L474" s="169" t="s">
        <v>534</v>
      </c>
      <c r="M474" s="169" t="s">
        <v>281</v>
      </c>
      <c r="N474" s="178">
        <v>200000</v>
      </c>
      <c r="O474" s="169" t="s">
        <v>555</v>
      </c>
      <c r="P474" s="169" t="s">
        <v>283</v>
      </c>
      <c r="Q474" s="169" t="s">
        <v>306</v>
      </c>
      <c r="R474" s="169" t="s">
        <v>283</v>
      </c>
      <c r="S474" s="169" t="s">
        <v>283</v>
      </c>
      <c r="T474" s="169">
        <v>0</v>
      </c>
    </row>
    <row r="475" spans="2:20" x14ac:dyDescent="0.2">
      <c r="B475" s="168" t="s">
        <v>1</v>
      </c>
      <c r="C475" s="168" t="s">
        <v>24</v>
      </c>
      <c r="D475" s="173">
        <v>45721</v>
      </c>
      <c r="E475" s="169" t="s">
        <v>567</v>
      </c>
      <c r="F475" s="169" t="s">
        <v>365</v>
      </c>
      <c r="G475" s="169" t="s">
        <v>291</v>
      </c>
      <c r="H475" s="169" t="s">
        <v>366</v>
      </c>
      <c r="I475" s="169" t="s">
        <v>1</v>
      </c>
      <c r="J475" s="169" t="s">
        <v>568</v>
      </c>
      <c r="K475" s="169" t="s">
        <v>569</v>
      </c>
      <c r="L475" s="169" t="s">
        <v>534</v>
      </c>
      <c r="M475" s="169" t="s">
        <v>281</v>
      </c>
      <c r="N475" s="178">
        <v>4269716</v>
      </c>
      <c r="O475" s="169" t="s">
        <v>570</v>
      </c>
      <c r="P475" s="169" t="s">
        <v>283</v>
      </c>
      <c r="Q475" s="169" t="s">
        <v>370</v>
      </c>
      <c r="R475" s="169" t="s">
        <v>283</v>
      </c>
      <c r="S475" s="169" t="s">
        <v>283</v>
      </c>
      <c r="T475" s="169">
        <v>0</v>
      </c>
    </row>
    <row r="476" spans="2:20" x14ac:dyDescent="0.2">
      <c r="B476" s="168" t="s">
        <v>9</v>
      </c>
      <c r="C476" s="168" t="s">
        <v>222</v>
      </c>
      <c r="D476" s="173">
        <v>45737</v>
      </c>
      <c r="E476" s="169" t="s">
        <v>571</v>
      </c>
      <c r="F476" s="169" t="s">
        <v>300</v>
      </c>
      <c r="G476" s="169" t="s">
        <v>222</v>
      </c>
      <c r="H476" s="169" t="s">
        <v>358</v>
      </c>
      <c r="I476" s="169" t="s">
        <v>359</v>
      </c>
      <c r="J476" s="169" t="s">
        <v>572</v>
      </c>
      <c r="K476" s="169" t="s">
        <v>573</v>
      </c>
      <c r="L476" s="169" t="s">
        <v>534</v>
      </c>
      <c r="M476" s="169" t="s">
        <v>281</v>
      </c>
      <c r="N476" s="178">
        <v>3376937</v>
      </c>
      <c r="O476" s="169" t="s">
        <v>574</v>
      </c>
      <c r="P476" s="169" t="s">
        <v>283</v>
      </c>
      <c r="Q476" s="169" t="s">
        <v>325</v>
      </c>
      <c r="R476" s="169" t="s">
        <v>283</v>
      </c>
      <c r="S476" s="169" t="s">
        <v>283</v>
      </c>
      <c r="T476" s="169">
        <v>0</v>
      </c>
    </row>
    <row r="477" spans="2:20" x14ac:dyDescent="0.2">
      <c r="B477" s="168" t="s">
        <v>9</v>
      </c>
      <c r="C477" s="168" t="s">
        <v>222</v>
      </c>
      <c r="D477" s="173">
        <v>45737</v>
      </c>
      <c r="E477" s="169" t="s">
        <v>575</v>
      </c>
      <c r="F477" s="169" t="s">
        <v>300</v>
      </c>
      <c r="G477" s="169" t="s">
        <v>222</v>
      </c>
      <c r="H477" s="169" t="s">
        <v>358</v>
      </c>
      <c r="I477" s="169" t="s">
        <v>359</v>
      </c>
      <c r="J477" s="169" t="s">
        <v>576</v>
      </c>
      <c r="K477" s="169" t="s">
        <v>577</v>
      </c>
      <c r="L477" s="169" t="s">
        <v>534</v>
      </c>
      <c r="M477" s="169" t="s">
        <v>281</v>
      </c>
      <c r="N477" s="178">
        <v>1500000</v>
      </c>
      <c r="O477" s="169" t="s">
        <v>578</v>
      </c>
      <c r="P477" s="169" t="s">
        <v>283</v>
      </c>
      <c r="Q477" s="169" t="s">
        <v>325</v>
      </c>
      <c r="R477" s="169" t="s">
        <v>283</v>
      </c>
      <c r="S477" s="169" t="s">
        <v>283</v>
      </c>
      <c r="T477" s="169">
        <v>0</v>
      </c>
    </row>
    <row r="478" spans="2:20" x14ac:dyDescent="0.2">
      <c r="B478" s="168" t="s">
        <v>1</v>
      </c>
      <c r="C478" s="168" t="s">
        <v>25</v>
      </c>
      <c r="D478" s="173">
        <v>45721</v>
      </c>
      <c r="E478" s="169" t="s">
        <v>579</v>
      </c>
      <c r="F478" s="169" t="s">
        <v>385</v>
      </c>
      <c r="G478" s="169" t="s">
        <v>336</v>
      </c>
      <c r="H478" s="169" t="s">
        <v>366</v>
      </c>
      <c r="I478" s="169" t="s">
        <v>1</v>
      </c>
      <c r="J478" s="169" t="s">
        <v>580</v>
      </c>
      <c r="K478" s="169" t="s">
        <v>581</v>
      </c>
      <c r="L478" s="169" t="s">
        <v>534</v>
      </c>
      <c r="M478" s="169" t="s">
        <v>281</v>
      </c>
      <c r="N478" s="178">
        <v>5348120</v>
      </c>
      <c r="O478" s="169" t="s">
        <v>582</v>
      </c>
      <c r="P478" s="169" t="s">
        <v>283</v>
      </c>
      <c r="Q478" s="169" t="s">
        <v>306</v>
      </c>
      <c r="R478" s="169" t="s">
        <v>283</v>
      </c>
      <c r="S478" s="169" t="s">
        <v>283</v>
      </c>
      <c r="T478" s="169">
        <v>0</v>
      </c>
    </row>
    <row r="479" spans="2:20" x14ac:dyDescent="0.2">
      <c r="B479" s="168" t="s">
        <v>1</v>
      </c>
      <c r="C479" s="168" t="s">
        <v>25</v>
      </c>
      <c r="D479" s="173">
        <v>45717</v>
      </c>
      <c r="E479" s="169" t="s">
        <v>583</v>
      </c>
      <c r="F479" s="169" t="s">
        <v>385</v>
      </c>
      <c r="G479" s="169" t="s">
        <v>336</v>
      </c>
      <c r="H479" s="169" t="s">
        <v>366</v>
      </c>
      <c r="I479" s="169" t="s">
        <v>1</v>
      </c>
      <c r="J479" s="169" t="s">
        <v>584</v>
      </c>
      <c r="K479" s="169" t="s">
        <v>581</v>
      </c>
      <c r="L479" s="169" t="s">
        <v>534</v>
      </c>
      <c r="M479" s="169" t="s">
        <v>281</v>
      </c>
      <c r="N479" s="178">
        <v>4914619</v>
      </c>
      <c r="O479" s="169" t="s">
        <v>585</v>
      </c>
      <c r="P479" s="169" t="s">
        <v>283</v>
      </c>
      <c r="Q479" s="169" t="s">
        <v>306</v>
      </c>
      <c r="R479" s="169" t="s">
        <v>283</v>
      </c>
      <c r="S479" s="169" t="s">
        <v>283</v>
      </c>
      <c r="T479" s="169">
        <v>0</v>
      </c>
    </row>
    <row r="480" spans="2:20" x14ac:dyDescent="0.2">
      <c r="B480" s="168" t="s">
        <v>1</v>
      </c>
      <c r="C480" s="168" t="s">
        <v>24</v>
      </c>
      <c r="D480" s="173">
        <v>45744</v>
      </c>
      <c r="E480" s="169" t="s">
        <v>586</v>
      </c>
      <c r="F480" s="169" t="s">
        <v>365</v>
      </c>
      <c r="G480" s="169" t="s">
        <v>291</v>
      </c>
      <c r="H480" s="169" t="s">
        <v>366</v>
      </c>
      <c r="I480" s="169" t="s">
        <v>1</v>
      </c>
      <c r="J480" s="169" t="s">
        <v>587</v>
      </c>
      <c r="K480" s="169" t="s">
        <v>588</v>
      </c>
      <c r="L480" s="169" t="s">
        <v>534</v>
      </c>
      <c r="M480" s="169" t="s">
        <v>281</v>
      </c>
      <c r="N480" s="178">
        <v>30000000</v>
      </c>
      <c r="O480" s="169" t="s">
        <v>589</v>
      </c>
      <c r="P480" s="169" t="s">
        <v>283</v>
      </c>
      <c r="Q480" s="169" t="s">
        <v>370</v>
      </c>
      <c r="R480" s="169" t="s">
        <v>283</v>
      </c>
      <c r="S480" s="169" t="s">
        <v>283</v>
      </c>
      <c r="T480" s="169">
        <v>0</v>
      </c>
    </row>
    <row r="481" spans="2:20" x14ac:dyDescent="0.2">
      <c r="B481" s="168" t="s">
        <v>9</v>
      </c>
      <c r="C481" s="168" t="s">
        <v>222</v>
      </c>
      <c r="D481" s="173">
        <v>45737</v>
      </c>
      <c r="E481" s="169" t="s">
        <v>590</v>
      </c>
      <c r="F481" s="169" t="s">
        <v>300</v>
      </c>
      <c r="G481" s="169" t="s">
        <v>222</v>
      </c>
      <c r="H481" s="169" t="s">
        <v>358</v>
      </c>
      <c r="I481" s="169" t="s">
        <v>359</v>
      </c>
      <c r="J481" s="169" t="s">
        <v>572</v>
      </c>
      <c r="K481" s="169" t="s">
        <v>573</v>
      </c>
      <c r="L481" s="169" t="s">
        <v>534</v>
      </c>
      <c r="M481" s="169" t="s">
        <v>281</v>
      </c>
      <c r="N481" s="178">
        <v>-3376937</v>
      </c>
      <c r="O481" s="169" t="s">
        <v>591</v>
      </c>
      <c r="P481" s="169" t="s">
        <v>447</v>
      </c>
      <c r="Q481" s="169" t="s">
        <v>284</v>
      </c>
      <c r="R481" s="169" t="s">
        <v>283</v>
      </c>
      <c r="S481" s="169" t="s">
        <v>283</v>
      </c>
      <c r="T481" s="169">
        <v>0</v>
      </c>
    </row>
    <row r="482" spans="2:20" x14ac:dyDescent="0.2">
      <c r="B482" s="168" t="s">
        <v>9</v>
      </c>
      <c r="C482" s="168" t="s">
        <v>222</v>
      </c>
      <c r="D482" s="173">
        <v>45733</v>
      </c>
      <c r="E482" s="169" t="s">
        <v>592</v>
      </c>
      <c r="F482" s="169" t="s">
        <v>300</v>
      </c>
      <c r="G482" s="169" t="s">
        <v>222</v>
      </c>
      <c r="H482" s="169" t="s">
        <v>358</v>
      </c>
      <c r="I482" s="169" t="s">
        <v>359</v>
      </c>
      <c r="J482" s="169" t="s">
        <v>572</v>
      </c>
      <c r="K482" s="169" t="s">
        <v>593</v>
      </c>
      <c r="L482" s="169" t="s">
        <v>534</v>
      </c>
      <c r="M482" s="169" t="s">
        <v>281</v>
      </c>
      <c r="N482" s="178">
        <v>3376937</v>
      </c>
      <c r="O482" s="169" t="s">
        <v>594</v>
      </c>
      <c r="P482" s="169" t="s">
        <v>283</v>
      </c>
      <c r="Q482" s="169" t="s">
        <v>325</v>
      </c>
      <c r="R482" s="169" t="s">
        <v>283</v>
      </c>
      <c r="S482" s="169" t="s">
        <v>283</v>
      </c>
      <c r="T482" s="169">
        <v>0</v>
      </c>
    </row>
    <row r="483" spans="2:20" x14ac:dyDescent="0.2">
      <c r="B483" s="168" t="s">
        <v>1</v>
      </c>
      <c r="C483" s="168" t="s">
        <v>22</v>
      </c>
      <c r="D483" s="173">
        <v>45747</v>
      </c>
      <c r="E483" s="169" t="s">
        <v>531</v>
      </c>
      <c r="F483" s="169" t="s">
        <v>383</v>
      </c>
      <c r="G483" s="169" t="s">
        <v>275</v>
      </c>
      <c r="H483" s="169" t="s">
        <v>366</v>
      </c>
      <c r="I483" s="169" t="s">
        <v>1</v>
      </c>
      <c r="J483" s="169" t="s">
        <v>532</v>
      </c>
      <c r="K483" s="169" t="s">
        <v>533</v>
      </c>
      <c r="L483" s="169" t="s">
        <v>534</v>
      </c>
      <c r="M483" s="169" t="s">
        <v>281</v>
      </c>
      <c r="N483" s="178">
        <v>216697411</v>
      </c>
      <c r="O483" s="169" t="s">
        <v>535</v>
      </c>
      <c r="P483" s="169" t="s">
        <v>283</v>
      </c>
      <c r="Q483" s="169" t="s">
        <v>284</v>
      </c>
      <c r="R483" s="169" t="s">
        <v>283</v>
      </c>
      <c r="S483" s="169" t="s">
        <v>283</v>
      </c>
      <c r="T483" s="169">
        <v>0</v>
      </c>
    </row>
    <row r="484" spans="2:20" x14ac:dyDescent="0.2">
      <c r="B484" s="168" t="s">
        <v>1</v>
      </c>
      <c r="C484" s="168" t="s">
        <v>22</v>
      </c>
      <c r="D484" s="173">
        <v>45747</v>
      </c>
      <c r="E484" s="169" t="s">
        <v>531</v>
      </c>
      <c r="F484" s="169" t="s">
        <v>384</v>
      </c>
      <c r="G484" s="169" t="s">
        <v>286</v>
      </c>
      <c r="H484" s="169" t="s">
        <v>366</v>
      </c>
      <c r="I484" s="169" t="s">
        <v>1</v>
      </c>
      <c r="J484" s="169" t="s">
        <v>532</v>
      </c>
      <c r="K484" s="169" t="s">
        <v>533</v>
      </c>
      <c r="L484" s="169" t="s">
        <v>534</v>
      </c>
      <c r="M484" s="169" t="s">
        <v>281</v>
      </c>
      <c r="N484" s="178">
        <v>6753539</v>
      </c>
      <c r="O484" s="169" t="s">
        <v>535</v>
      </c>
      <c r="P484" s="169" t="s">
        <v>283</v>
      </c>
      <c r="Q484" s="169" t="s">
        <v>284</v>
      </c>
      <c r="R484" s="169" t="s">
        <v>283</v>
      </c>
      <c r="S484" s="169" t="s">
        <v>283</v>
      </c>
      <c r="T484" s="169">
        <v>0</v>
      </c>
    </row>
    <row r="485" spans="2:20" x14ac:dyDescent="0.2">
      <c r="B485" s="168" t="s">
        <v>1</v>
      </c>
      <c r="C485" s="168" t="s">
        <v>24</v>
      </c>
      <c r="D485" s="173">
        <v>45747</v>
      </c>
      <c r="E485" s="169" t="s">
        <v>531</v>
      </c>
      <c r="F485" s="169" t="s">
        <v>365</v>
      </c>
      <c r="G485" s="169" t="s">
        <v>291</v>
      </c>
      <c r="H485" s="169" t="s">
        <v>366</v>
      </c>
      <c r="I485" s="169" t="s">
        <v>1</v>
      </c>
      <c r="J485" s="169" t="s">
        <v>532</v>
      </c>
      <c r="K485" s="169" t="s">
        <v>533</v>
      </c>
      <c r="L485" s="169" t="s">
        <v>534</v>
      </c>
      <c r="M485" s="169" t="s">
        <v>281</v>
      </c>
      <c r="N485" s="178">
        <v>292274200</v>
      </c>
      <c r="O485" s="169" t="s">
        <v>535</v>
      </c>
      <c r="P485" s="169" t="s">
        <v>283</v>
      </c>
      <c r="Q485" s="169" t="s">
        <v>284</v>
      </c>
      <c r="R485" s="169" t="s">
        <v>283</v>
      </c>
      <c r="S485" s="169" t="s">
        <v>283</v>
      </c>
      <c r="T485" s="169">
        <v>0</v>
      </c>
    </row>
    <row r="486" spans="2:20" x14ac:dyDescent="0.2">
      <c r="B486" s="168" t="s">
        <v>10</v>
      </c>
      <c r="C486" s="168" t="s">
        <v>22</v>
      </c>
      <c r="D486" s="173">
        <v>45747</v>
      </c>
      <c r="E486" s="169" t="s">
        <v>531</v>
      </c>
      <c r="F486" s="169" t="s">
        <v>274</v>
      </c>
      <c r="G486" s="169" t="s">
        <v>275</v>
      </c>
      <c r="H486" s="169" t="s">
        <v>380</v>
      </c>
      <c r="I486" s="169" t="s">
        <v>381</v>
      </c>
      <c r="J486" s="169" t="s">
        <v>532</v>
      </c>
      <c r="K486" s="169" t="s">
        <v>533</v>
      </c>
      <c r="L486" s="169" t="s">
        <v>534</v>
      </c>
      <c r="M486" s="169" t="s">
        <v>281</v>
      </c>
      <c r="N486" s="178">
        <v>464348775</v>
      </c>
      <c r="O486" s="169" t="s">
        <v>535</v>
      </c>
      <c r="P486" s="169" t="s">
        <v>283</v>
      </c>
      <c r="Q486" s="169" t="s">
        <v>284</v>
      </c>
      <c r="R486" s="169" t="s">
        <v>283</v>
      </c>
      <c r="S486" s="169" t="s">
        <v>283</v>
      </c>
      <c r="T486" s="169">
        <v>0</v>
      </c>
    </row>
    <row r="487" spans="2:20" x14ac:dyDescent="0.2">
      <c r="B487" s="168" t="s">
        <v>10</v>
      </c>
      <c r="C487" s="168" t="s">
        <v>22</v>
      </c>
      <c r="D487" s="173">
        <v>45747</v>
      </c>
      <c r="E487" s="169" t="s">
        <v>531</v>
      </c>
      <c r="F487" s="169" t="s">
        <v>285</v>
      </c>
      <c r="G487" s="169" t="s">
        <v>286</v>
      </c>
      <c r="H487" s="169" t="s">
        <v>380</v>
      </c>
      <c r="I487" s="169" t="s">
        <v>381</v>
      </c>
      <c r="J487" s="169" t="s">
        <v>532</v>
      </c>
      <c r="K487" s="169" t="s">
        <v>533</v>
      </c>
      <c r="L487" s="169" t="s">
        <v>534</v>
      </c>
      <c r="M487" s="169" t="s">
        <v>281</v>
      </c>
      <c r="N487" s="178">
        <v>8650730</v>
      </c>
      <c r="O487" s="169" t="s">
        <v>535</v>
      </c>
      <c r="P487" s="169" t="s">
        <v>283</v>
      </c>
      <c r="Q487" s="169" t="s">
        <v>284</v>
      </c>
      <c r="R487" s="169" t="s">
        <v>283</v>
      </c>
      <c r="S487" s="169" t="s">
        <v>283</v>
      </c>
      <c r="T487" s="169">
        <v>0</v>
      </c>
    </row>
    <row r="488" spans="2:20" x14ac:dyDescent="0.2">
      <c r="B488" s="168" t="s">
        <v>10</v>
      </c>
      <c r="C488" s="168" t="s">
        <v>24</v>
      </c>
      <c r="D488" s="173">
        <v>45747</v>
      </c>
      <c r="E488" s="169" t="s">
        <v>531</v>
      </c>
      <c r="F488" s="169" t="s">
        <v>290</v>
      </c>
      <c r="G488" s="169" t="s">
        <v>291</v>
      </c>
      <c r="H488" s="169" t="s">
        <v>380</v>
      </c>
      <c r="I488" s="169" t="s">
        <v>381</v>
      </c>
      <c r="J488" s="169" t="s">
        <v>532</v>
      </c>
      <c r="K488" s="169" t="s">
        <v>533</v>
      </c>
      <c r="L488" s="169" t="s">
        <v>534</v>
      </c>
      <c r="M488" s="169" t="s">
        <v>281</v>
      </c>
      <c r="N488" s="178">
        <v>181777297</v>
      </c>
      <c r="O488" s="169" t="s">
        <v>535</v>
      </c>
      <c r="P488" s="169" t="s">
        <v>283</v>
      </c>
      <c r="Q488" s="169" t="s">
        <v>284</v>
      </c>
      <c r="R488" s="169" t="s">
        <v>283</v>
      </c>
      <c r="S488" s="169" t="s">
        <v>283</v>
      </c>
      <c r="T488" s="169">
        <v>0</v>
      </c>
    </row>
    <row r="489" spans="2:20" x14ac:dyDescent="0.2">
      <c r="B489" s="168" t="s">
        <v>10</v>
      </c>
      <c r="C489" s="168" t="s">
        <v>25</v>
      </c>
      <c r="D489" s="173">
        <v>45747</v>
      </c>
      <c r="E489" s="169" t="s">
        <v>531</v>
      </c>
      <c r="F489" s="169" t="s">
        <v>335</v>
      </c>
      <c r="G489" s="169" t="s">
        <v>336</v>
      </c>
      <c r="H489" s="169" t="s">
        <v>380</v>
      </c>
      <c r="I489" s="169" t="s">
        <v>381</v>
      </c>
      <c r="J489" s="169" t="s">
        <v>532</v>
      </c>
      <c r="K489" s="169" t="s">
        <v>533</v>
      </c>
      <c r="L489" s="169" t="s">
        <v>534</v>
      </c>
      <c r="M489" s="169" t="s">
        <v>281</v>
      </c>
      <c r="N489" s="178">
        <v>12340000</v>
      </c>
      <c r="O489" s="169" t="s">
        <v>535</v>
      </c>
      <c r="P489" s="169" t="s">
        <v>283</v>
      </c>
      <c r="Q489" s="169" t="s">
        <v>284</v>
      </c>
      <c r="R489" s="169" t="s">
        <v>283</v>
      </c>
      <c r="S489" s="169" t="s">
        <v>283</v>
      </c>
      <c r="T489" s="169">
        <v>0</v>
      </c>
    </row>
    <row r="490" spans="2:20" x14ac:dyDescent="0.2">
      <c r="B490" s="168" t="s">
        <v>2</v>
      </c>
      <c r="C490" s="168" t="s">
        <v>22</v>
      </c>
      <c r="D490" s="173">
        <v>45747</v>
      </c>
      <c r="E490" s="169" t="s">
        <v>531</v>
      </c>
      <c r="F490" s="169" t="s">
        <v>274</v>
      </c>
      <c r="G490" s="169" t="s">
        <v>275</v>
      </c>
      <c r="H490" s="169" t="s">
        <v>378</v>
      </c>
      <c r="I490" s="169" t="s">
        <v>379</v>
      </c>
      <c r="J490" s="169" t="s">
        <v>532</v>
      </c>
      <c r="K490" s="169" t="s">
        <v>533</v>
      </c>
      <c r="L490" s="169" t="s">
        <v>534</v>
      </c>
      <c r="M490" s="169" t="s">
        <v>281</v>
      </c>
      <c r="N490" s="178">
        <v>101848285</v>
      </c>
      <c r="O490" s="169" t="s">
        <v>535</v>
      </c>
      <c r="P490" s="169" t="s">
        <v>283</v>
      </c>
      <c r="Q490" s="169" t="s">
        <v>284</v>
      </c>
      <c r="R490" s="169" t="s">
        <v>283</v>
      </c>
      <c r="S490" s="169" t="s">
        <v>283</v>
      </c>
      <c r="T490" s="169">
        <v>0</v>
      </c>
    </row>
    <row r="491" spans="2:20" x14ac:dyDescent="0.2">
      <c r="B491" s="168" t="s">
        <v>2</v>
      </c>
      <c r="C491" s="168" t="s">
        <v>22</v>
      </c>
      <c r="D491" s="173">
        <v>45747</v>
      </c>
      <c r="E491" s="169" t="s">
        <v>531</v>
      </c>
      <c r="F491" s="169" t="s">
        <v>285</v>
      </c>
      <c r="G491" s="169" t="s">
        <v>286</v>
      </c>
      <c r="H491" s="169" t="s">
        <v>378</v>
      </c>
      <c r="I491" s="169" t="s">
        <v>379</v>
      </c>
      <c r="J491" s="169" t="s">
        <v>532</v>
      </c>
      <c r="K491" s="169" t="s">
        <v>533</v>
      </c>
      <c r="L491" s="169" t="s">
        <v>534</v>
      </c>
      <c r="M491" s="169" t="s">
        <v>281</v>
      </c>
      <c r="N491" s="178">
        <v>3895211</v>
      </c>
      <c r="O491" s="169" t="s">
        <v>535</v>
      </c>
      <c r="P491" s="169" t="s">
        <v>283</v>
      </c>
      <c r="Q491" s="169" t="s">
        <v>284</v>
      </c>
      <c r="R491" s="169" t="s">
        <v>283</v>
      </c>
      <c r="S491" s="169" t="s">
        <v>283</v>
      </c>
      <c r="T491" s="169">
        <v>0</v>
      </c>
    </row>
    <row r="492" spans="2:20" x14ac:dyDescent="0.2">
      <c r="B492" s="168" t="s">
        <v>2</v>
      </c>
      <c r="C492" s="168" t="s">
        <v>25</v>
      </c>
      <c r="D492" s="173">
        <v>45747</v>
      </c>
      <c r="E492" s="169" t="s">
        <v>531</v>
      </c>
      <c r="F492" s="169" t="s">
        <v>335</v>
      </c>
      <c r="G492" s="169" t="s">
        <v>336</v>
      </c>
      <c r="H492" s="169" t="s">
        <v>378</v>
      </c>
      <c r="I492" s="169" t="s">
        <v>379</v>
      </c>
      <c r="J492" s="169" t="s">
        <v>532</v>
      </c>
      <c r="K492" s="169" t="s">
        <v>533</v>
      </c>
      <c r="L492" s="169" t="s">
        <v>534</v>
      </c>
      <c r="M492" s="169" t="s">
        <v>281</v>
      </c>
      <c r="N492" s="178">
        <v>500000</v>
      </c>
      <c r="O492" s="169" t="s">
        <v>535</v>
      </c>
      <c r="P492" s="169" t="s">
        <v>283</v>
      </c>
      <c r="Q492" s="169" t="s">
        <v>284</v>
      </c>
      <c r="R492" s="169" t="s">
        <v>283</v>
      </c>
      <c r="S492" s="169" t="s">
        <v>283</v>
      </c>
      <c r="T492" s="169">
        <v>0</v>
      </c>
    </row>
    <row r="493" spans="2:20" x14ac:dyDescent="0.2">
      <c r="B493" s="168" t="s">
        <v>7</v>
      </c>
      <c r="C493" s="168" t="s">
        <v>25</v>
      </c>
      <c r="D493" s="173">
        <v>45747</v>
      </c>
      <c r="E493" s="169" t="s">
        <v>531</v>
      </c>
      <c r="F493" s="169" t="s">
        <v>386</v>
      </c>
      <c r="G493" s="169" t="s">
        <v>341</v>
      </c>
      <c r="H493" s="169" t="s">
        <v>376</v>
      </c>
      <c r="I493" s="169" t="s">
        <v>377</v>
      </c>
      <c r="J493" s="169" t="s">
        <v>532</v>
      </c>
      <c r="K493" s="169" t="s">
        <v>533</v>
      </c>
      <c r="L493" s="169" t="s">
        <v>534</v>
      </c>
      <c r="M493" s="169" t="s">
        <v>281</v>
      </c>
      <c r="N493" s="178">
        <v>42826120</v>
      </c>
      <c r="O493" s="169" t="s">
        <v>535</v>
      </c>
      <c r="P493" s="169" t="s">
        <v>283</v>
      </c>
      <c r="Q493" s="169" t="s">
        <v>284</v>
      </c>
      <c r="R493" s="169" t="s">
        <v>283</v>
      </c>
      <c r="S493" s="169" t="s">
        <v>283</v>
      </c>
      <c r="T493" s="169">
        <v>0</v>
      </c>
    </row>
    <row r="494" spans="2:20" x14ac:dyDescent="0.2">
      <c r="B494" s="168" t="s">
        <v>7</v>
      </c>
      <c r="C494" s="168" t="s">
        <v>22</v>
      </c>
      <c r="D494" s="173">
        <v>45747</v>
      </c>
      <c r="E494" s="169" t="s">
        <v>531</v>
      </c>
      <c r="F494" s="169" t="s">
        <v>387</v>
      </c>
      <c r="G494" s="169" t="s">
        <v>275</v>
      </c>
      <c r="H494" s="169" t="s">
        <v>376</v>
      </c>
      <c r="I494" s="169" t="s">
        <v>377</v>
      </c>
      <c r="J494" s="169" t="s">
        <v>532</v>
      </c>
      <c r="K494" s="169" t="s">
        <v>533</v>
      </c>
      <c r="L494" s="169" t="s">
        <v>534</v>
      </c>
      <c r="M494" s="169" t="s">
        <v>281</v>
      </c>
      <c r="N494" s="178">
        <v>876282684</v>
      </c>
      <c r="O494" s="169" t="s">
        <v>535</v>
      </c>
      <c r="P494" s="169" t="s">
        <v>283</v>
      </c>
      <c r="Q494" s="169" t="s">
        <v>284</v>
      </c>
      <c r="R494" s="169" t="s">
        <v>283</v>
      </c>
      <c r="S494" s="169" t="s">
        <v>283</v>
      </c>
      <c r="T494" s="169">
        <v>0</v>
      </c>
    </row>
    <row r="495" spans="2:20" x14ac:dyDescent="0.2">
      <c r="B495" s="168" t="s">
        <v>7</v>
      </c>
      <c r="C495" s="168" t="s">
        <v>22</v>
      </c>
      <c r="D495" s="173">
        <v>45747</v>
      </c>
      <c r="E495" s="169" t="s">
        <v>531</v>
      </c>
      <c r="F495" s="169" t="s">
        <v>388</v>
      </c>
      <c r="G495" s="169" t="s">
        <v>286</v>
      </c>
      <c r="H495" s="169" t="s">
        <v>376</v>
      </c>
      <c r="I495" s="169" t="s">
        <v>377</v>
      </c>
      <c r="J495" s="169" t="s">
        <v>532</v>
      </c>
      <c r="K495" s="169" t="s">
        <v>533</v>
      </c>
      <c r="L495" s="169" t="s">
        <v>534</v>
      </c>
      <c r="M495" s="169" t="s">
        <v>281</v>
      </c>
      <c r="N495" s="178">
        <v>29829500</v>
      </c>
      <c r="O495" s="169" t="s">
        <v>535</v>
      </c>
      <c r="P495" s="169" t="s">
        <v>283</v>
      </c>
      <c r="Q495" s="169" t="s">
        <v>284</v>
      </c>
      <c r="R495" s="169" t="s">
        <v>283</v>
      </c>
      <c r="S495" s="169" t="s">
        <v>283</v>
      </c>
      <c r="T495" s="169">
        <v>0</v>
      </c>
    </row>
    <row r="496" spans="2:20" x14ac:dyDescent="0.2">
      <c r="B496" s="168" t="s">
        <v>7</v>
      </c>
      <c r="C496" s="168" t="s">
        <v>23</v>
      </c>
      <c r="D496" s="173">
        <v>45747</v>
      </c>
      <c r="E496" s="169" t="s">
        <v>531</v>
      </c>
      <c r="F496" s="169" t="s">
        <v>389</v>
      </c>
      <c r="G496" s="169" t="s">
        <v>390</v>
      </c>
      <c r="H496" s="169" t="s">
        <v>376</v>
      </c>
      <c r="I496" s="169" t="s">
        <v>377</v>
      </c>
      <c r="J496" s="169" t="s">
        <v>532</v>
      </c>
      <c r="K496" s="169" t="s">
        <v>533</v>
      </c>
      <c r="L496" s="169" t="s">
        <v>534</v>
      </c>
      <c r="M496" s="169" t="s">
        <v>281</v>
      </c>
      <c r="N496" s="178">
        <v>291038225</v>
      </c>
      <c r="O496" s="169" t="s">
        <v>535</v>
      </c>
      <c r="P496" s="169" t="s">
        <v>283</v>
      </c>
      <c r="Q496" s="169" t="s">
        <v>284</v>
      </c>
      <c r="R496" s="169" t="s">
        <v>283</v>
      </c>
      <c r="S496" s="169" t="s">
        <v>283</v>
      </c>
      <c r="T496" s="169">
        <v>0</v>
      </c>
    </row>
    <row r="497" spans="2:20" x14ac:dyDescent="0.2">
      <c r="B497" s="168" t="s">
        <v>7</v>
      </c>
      <c r="C497" s="168" t="s">
        <v>25</v>
      </c>
      <c r="D497" s="173">
        <v>45747</v>
      </c>
      <c r="E497" s="169" t="s">
        <v>531</v>
      </c>
      <c r="F497" s="169" t="s">
        <v>375</v>
      </c>
      <c r="G497" s="169" t="s">
        <v>336</v>
      </c>
      <c r="H497" s="169" t="s">
        <v>376</v>
      </c>
      <c r="I497" s="169" t="s">
        <v>377</v>
      </c>
      <c r="J497" s="169" t="s">
        <v>532</v>
      </c>
      <c r="K497" s="169" t="s">
        <v>533</v>
      </c>
      <c r="L497" s="169" t="s">
        <v>534</v>
      </c>
      <c r="M497" s="169" t="s">
        <v>281</v>
      </c>
      <c r="N497" s="178">
        <v>9580000</v>
      </c>
      <c r="O497" s="169" t="s">
        <v>535</v>
      </c>
      <c r="P497" s="169" t="s">
        <v>283</v>
      </c>
      <c r="Q497" s="169" t="s">
        <v>284</v>
      </c>
      <c r="R497" s="169" t="s">
        <v>283</v>
      </c>
      <c r="S497" s="169" t="s">
        <v>283</v>
      </c>
      <c r="T497" s="169">
        <v>0</v>
      </c>
    </row>
    <row r="498" spans="2:20" x14ac:dyDescent="0.2">
      <c r="B498" s="168" t="s">
        <v>9</v>
      </c>
      <c r="C498" s="168" t="s">
        <v>22</v>
      </c>
      <c r="D498" s="173">
        <v>45747</v>
      </c>
      <c r="E498" s="169" t="s">
        <v>531</v>
      </c>
      <c r="F498" s="169" t="s">
        <v>274</v>
      </c>
      <c r="G498" s="169" t="s">
        <v>275</v>
      </c>
      <c r="H498" s="169" t="s">
        <v>382</v>
      </c>
      <c r="I498" s="169" t="s">
        <v>200</v>
      </c>
      <c r="J498" s="169" t="s">
        <v>532</v>
      </c>
      <c r="K498" s="169" t="s">
        <v>533</v>
      </c>
      <c r="L498" s="169" t="s">
        <v>534</v>
      </c>
      <c r="M498" s="169" t="s">
        <v>281</v>
      </c>
      <c r="N498" s="178">
        <v>63886716</v>
      </c>
      <c r="O498" s="169" t="s">
        <v>535</v>
      </c>
      <c r="P498" s="169" t="s">
        <v>283</v>
      </c>
      <c r="Q498" s="169" t="s">
        <v>284</v>
      </c>
      <c r="R498" s="169" t="s">
        <v>283</v>
      </c>
      <c r="S498" s="169" t="s">
        <v>283</v>
      </c>
      <c r="T498" s="169">
        <v>0</v>
      </c>
    </row>
    <row r="499" spans="2:20" x14ac:dyDescent="0.2">
      <c r="B499" s="168" t="s">
        <v>9</v>
      </c>
      <c r="C499" s="168" t="s">
        <v>22</v>
      </c>
      <c r="D499" s="173">
        <v>45747</v>
      </c>
      <c r="E499" s="169" t="s">
        <v>531</v>
      </c>
      <c r="F499" s="169" t="s">
        <v>285</v>
      </c>
      <c r="G499" s="169" t="s">
        <v>286</v>
      </c>
      <c r="H499" s="169" t="s">
        <v>382</v>
      </c>
      <c r="I499" s="169" t="s">
        <v>200</v>
      </c>
      <c r="J499" s="169" t="s">
        <v>532</v>
      </c>
      <c r="K499" s="169" t="s">
        <v>533</v>
      </c>
      <c r="L499" s="169" t="s">
        <v>534</v>
      </c>
      <c r="M499" s="169" t="s">
        <v>281</v>
      </c>
      <c r="N499" s="178">
        <v>683269</v>
      </c>
      <c r="O499" s="169" t="s">
        <v>535</v>
      </c>
      <c r="P499" s="169" t="s">
        <v>283</v>
      </c>
      <c r="Q499" s="169" t="s">
        <v>284</v>
      </c>
      <c r="R499" s="169" t="s">
        <v>283</v>
      </c>
      <c r="S499" s="169" t="s">
        <v>283</v>
      </c>
      <c r="T499" s="169">
        <v>0</v>
      </c>
    </row>
    <row r="500" spans="2:20" x14ac:dyDescent="0.2">
      <c r="B500" s="168" t="s">
        <v>9</v>
      </c>
      <c r="C500" s="168" t="s">
        <v>25</v>
      </c>
      <c r="D500" s="173">
        <v>45747</v>
      </c>
      <c r="E500" s="169" t="s">
        <v>531</v>
      </c>
      <c r="F500" s="169" t="s">
        <v>335</v>
      </c>
      <c r="G500" s="169" t="s">
        <v>336</v>
      </c>
      <c r="H500" s="169" t="s">
        <v>382</v>
      </c>
      <c r="I500" s="169" t="s">
        <v>200</v>
      </c>
      <c r="J500" s="169" t="s">
        <v>532</v>
      </c>
      <c r="K500" s="169" t="s">
        <v>533</v>
      </c>
      <c r="L500" s="169" t="s">
        <v>534</v>
      </c>
      <c r="M500" s="169" t="s">
        <v>281</v>
      </c>
      <c r="N500" s="178">
        <v>50000</v>
      </c>
      <c r="O500" s="169" t="s">
        <v>535</v>
      </c>
      <c r="P500" s="169" t="s">
        <v>283</v>
      </c>
      <c r="Q500" s="169" t="s">
        <v>284</v>
      </c>
      <c r="R500" s="169" t="s">
        <v>283</v>
      </c>
      <c r="S500" s="169" t="s">
        <v>283</v>
      </c>
      <c r="T500" s="169">
        <v>0</v>
      </c>
    </row>
    <row r="501" spans="2:20" x14ac:dyDescent="0.2">
      <c r="B501" s="168" t="s">
        <v>9</v>
      </c>
      <c r="C501" s="168" t="s">
        <v>22</v>
      </c>
      <c r="D501" s="173">
        <v>45747</v>
      </c>
      <c r="E501" s="169" t="s">
        <v>531</v>
      </c>
      <c r="F501" s="169" t="s">
        <v>274</v>
      </c>
      <c r="G501" s="169" t="s">
        <v>275</v>
      </c>
      <c r="H501" s="169" t="s">
        <v>358</v>
      </c>
      <c r="I501" s="169" t="s">
        <v>359</v>
      </c>
      <c r="J501" s="169" t="s">
        <v>532</v>
      </c>
      <c r="K501" s="169" t="s">
        <v>533</v>
      </c>
      <c r="L501" s="169" t="s">
        <v>534</v>
      </c>
      <c r="M501" s="169" t="s">
        <v>281</v>
      </c>
      <c r="N501" s="178">
        <v>86531770</v>
      </c>
      <c r="O501" s="169" t="s">
        <v>535</v>
      </c>
      <c r="P501" s="169" t="s">
        <v>283</v>
      </c>
      <c r="Q501" s="169" t="s">
        <v>284</v>
      </c>
      <c r="R501" s="169" t="s">
        <v>283</v>
      </c>
      <c r="S501" s="169" t="s">
        <v>283</v>
      </c>
      <c r="T501" s="169">
        <v>0</v>
      </c>
    </row>
    <row r="502" spans="2:20" x14ac:dyDescent="0.2">
      <c r="B502" s="168" t="s">
        <v>9</v>
      </c>
      <c r="C502" s="168" t="s">
        <v>22</v>
      </c>
      <c r="D502" s="173">
        <v>45747</v>
      </c>
      <c r="E502" s="169" t="s">
        <v>531</v>
      </c>
      <c r="F502" s="169" t="s">
        <v>285</v>
      </c>
      <c r="G502" s="169" t="s">
        <v>286</v>
      </c>
      <c r="H502" s="169" t="s">
        <v>358</v>
      </c>
      <c r="I502" s="169" t="s">
        <v>359</v>
      </c>
      <c r="J502" s="169" t="s">
        <v>532</v>
      </c>
      <c r="K502" s="169" t="s">
        <v>533</v>
      </c>
      <c r="L502" s="169" t="s">
        <v>534</v>
      </c>
      <c r="M502" s="169" t="s">
        <v>281</v>
      </c>
      <c r="N502" s="178">
        <v>6927692</v>
      </c>
      <c r="O502" s="169" t="s">
        <v>535</v>
      </c>
      <c r="P502" s="169" t="s">
        <v>283</v>
      </c>
      <c r="Q502" s="169" t="s">
        <v>284</v>
      </c>
      <c r="R502" s="169" t="s">
        <v>283</v>
      </c>
      <c r="S502" s="169" t="s">
        <v>283</v>
      </c>
      <c r="T502" s="169">
        <v>0</v>
      </c>
    </row>
    <row r="503" spans="2:20" x14ac:dyDescent="0.2">
      <c r="B503" s="168" t="s">
        <v>9</v>
      </c>
      <c r="C503" s="168" t="s">
        <v>25</v>
      </c>
      <c r="D503" s="173">
        <v>45747</v>
      </c>
      <c r="E503" s="169" t="s">
        <v>531</v>
      </c>
      <c r="F503" s="169" t="s">
        <v>335</v>
      </c>
      <c r="G503" s="169" t="s">
        <v>336</v>
      </c>
      <c r="H503" s="169" t="s">
        <v>358</v>
      </c>
      <c r="I503" s="169" t="s">
        <v>359</v>
      </c>
      <c r="J503" s="169" t="s">
        <v>532</v>
      </c>
      <c r="K503" s="169" t="s">
        <v>533</v>
      </c>
      <c r="L503" s="169" t="s">
        <v>534</v>
      </c>
      <c r="M503" s="169" t="s">
        <v>281</v>
      </c>
      <c r="N503" s="178">
        <v>25000</v>
      </c>
      <c r="O503" s="169" t="s">
        <v>535</v>
      </c>
      <c r="P503" s="169" t="s">
        <v>283</v>
      </c>
      <c r="Q503" s="169" t="s">
        <v>284</v>
      </c>
      <c r="R503" s="169" t="s">
        <v>283</v>
      </c>
      <c r="S503" s="169" t="s">
        <v>283</v>
      </c>
      <c r="T503" s="169">
        <v>0</v>
      </c>
    </row>
    <row r="504" spans="2:20" x14ac:dyDescent="0.2">
      <c r="B504" s="168" t="s">
        <v>1</v>
      </c>
      <c r="C504" s="168" t="s">
        <v>22</v>
      </c>
      <c r="D504" s="173">
        <v>45747</v>
      </c>
      <c r="E504" s="169" t="s">
        <v>536</v>
      </c>
      <c r="F504" s="169" t="s">
        <v>384</v>
      </c>
      <c r="G504" s="169" t="s">
        <v>286</v>
      </c>
      <c r="H504" s="169" t="s">
        <v>366</v>
      </c>
      <c r="I504" s="169" t="s">
        <v>1</v>
      </c>
      <c r="J504" s="169" t="s">
        <v>537</v>
      </c>
      <c r="K504" s="169" t="s">
        <v>533</v>
      </c>
      <c r="L504" s="169" t="s">
        <v>534</v>
      </c>
      <c r="M504" s="169" t="s">
        <v>281</v>
      </c>
      <c r="N504" s="178">
        <v>24380167</v>
      </c>
      <c r="O504" s="169" t="s">
        <v>538</v>
      </c>
      <c r="P504" s="169" t="s">
        <v>283</v>
      </c>
      <c r="Q504" s="169" t="s">
        <v>284</v>
      </c>
      <c r="R504" s="169" t="s">
        <v>283</v>
      </c>
      <c r="S504" s="169" t="s">
        <v>283</v>
      </c>
      <c r="T504" s="169">
        <v>0</v>
      </c>
    </row>
    <row r="505" spans="2:20" x14ac:dyDescent="0.2">
      <c r="B505" s="168" t="s">
        <v>1</v>
      </c>
      <c r="C505" s="168" t="s">
        <v>24</v>
      </c>
      <c r="D505" s="173">
        <v>45747</v>
      </c>
      <c r="E505" s="169" t="s">
        <v>536</v>
      </c>
      <c r="F505" s="169" t="s">
        <v>394</v>
      </c>
      <c r="G505" s="169" t="s">
        <v>77</v>
      </c>
      <c r="H505" s="169" t="s">
        <v>366</v>
      </c>
      <c r="I505" s="169" t="s">
        <v>1</v>
      </c>
      <c r="J505" s="169" t="s">
        <v>539</v>
      </c>
      <c r="K505" s="169" t="s">
        <v>533</v>
      </c>
      <c r="L505" s="169" t="s">
        <v>534</v>
      </c>
      <c r="M505" s="169" t="s">
        <v>281</v>
      </c>
      <c r="N505" s="178">
        <v>22429558</v>
      </c>
      <c r="O505" s="169" t="s">
        <v>538</v>
      </c>
      <c r="P505" s="169" t="s">
        <v>283</v>
      </c>
      <c r="Q505" s="169" t="s">
        <v>284</v>
      </c>
      <c r="R505" s="169" t="s">
        <v>283</v>
      </c>
      <c r="S505" s="169" t="s">
        <v>283</v>
      </c>
      <c r="T505" s="169">
        <v>0</v>
      </c>
    </row>
    <row r="506" spans="2:20" x14ac:dyDescent="0.2">
      <c r="B506" s="168" t="s">
        <v>10</v>
      </c>
      <c r="C506" s="168" t="s">
        <v>22</v>
      </c>
      <c r="D506" s="173">
        <v>45747</v>
      </c>
      <c r="E506" s="169" t="s">
        <v>536</v>
      </c>
      <c r="F506" s="169" t="s">
        <v>285</v>
      </c>
      <c r="G506" s="169" t="s">
        <v>286</v>
      </c>
      <c r="H506" s="169" t="s">
        <v>380</v>
      </c>
      <c r="I506" s="169" t="s">
        <v>381</v>
      </c>
      <c r="J506" s="169" t="s">
        <v>537</v>
      </c>
      <c r="K506" s="169" t="s">
        <v>533</v>
      </c>
      <c r="L506" s="169" t="s">
        <v>534</v>
      </c>
      <c r="M506" s="169" t="s">
        <v>281</v>
      </c>
      <c r="N506" s="178">
        <v>37694085</v>
      </c>
      <c r="O506" s="169" t="s">
        <v>538</v>
      </c>
      <c r="P506" s="169" t="s">
        <v>283</v>
      </c>
      <c r="Q506" s="169" t="s">
        <v>284</v>
      </c>
      <c r="R506" s="169" t="s">
        <v>283</v>
      </c>
      <c r="S506" s="169" t="s">
        <v>283</v>
      </c>
      <c r="T506" s="169">
        <v>0</v>
      </c>
    </row>
    <row r="507" spans="2:20" x14ac:dyDescent="0.2">
      <c r="B507" s="168" t="s">
        <v>10</v>
      </c>
      <c r="C507" s="168" t="s">
        <v>24</v>
      </c>
      <c r="D507" s="173">
        <v>45747</v>
      </c>
      <c r="E507" s="169" t="s">
        <v>536</v>
      </c>
      <c r="F507" s="169" t="s">
        <v>292</v>
      </c>
      <c r="G507" s="169" t="s">
        <v>77</v>
      </c>
      <c r="H507" s="169" t="s">
        <v>380</v>
      </c>
      <c r="I507" s="169" t="s">
        <v>381</v>
      </c>
      <c r="J507" s="169" t="s">
        <v>539</v>
      </c>
      <c r="K507" s="169" t="s">
        <v>533</v>
      </c>
      <c r="L507" s="169" t="s">
        <v>534</v>
      </c>
      <c r="M507" s="169" t="s">
        <v>281</v>
      </c>
      <c r="N507" s="178">
        <v>32825075</v>
      </c>
      <c r="O507" s="169" t="s">
        <v>538</v>
      </c>
      <c r="P507" s="169" t="s">
        <v>283</v>
      </c>
      <c r="Q507" s="169" t="s">
        <v>284</v>
      </c>
      <c r="R507" s="169" t="s">
        <v>283</v>
      </c>
      <c r="S507" s="169" t="s">
        <v>283</v>
      </c>
      <c r="T507" s="169">
        <v>0</v>
      </c>
    </row>
    <row r="508" spans="2:20" x14ac:dyDescent="0.2">
      <c r="B508" s="168" t="s">
        <v>2</v>
      </c>
      <c r="C508" s="168" t="s">
        <v>22</v>
      </c>
      <c r="D508" s="173">
        <v>45747</v>
      </c>
      <c r="E508" s="169" t="s">
        <v>536</v>
      </c>
      <c r="F508" s="169" t="s">
        <v>285</v>
      </c>
      <c r="G508" s="169" t="s">
        <v>286</v>
      </c>
      <c r="H508" s="169" t="s">
        <v>378</v>
      </c>
      <c r="I508" s="169" t="s">
        <v>379</v>
      </c>
      <c r="J508" s="169" t="s">
        <v>537</v>
      </c>
      <c r="K508" s="169" t="s">
        <v>533</v>
      </c>
      <c r="L508" s="169" t="s">
        <v>534</v>
      </c>
      <c r="M508" s="169" t="s">
        <v>281</v>
      </c>
      <c r="N508" s="178">
        <v>10694417</v>
      </c>
      <c r="O508" s="169" t="s">
        <v>538</v>
      </c>
      <c r="P508" s="169" t="s">
        <v>283</v>
      </c>
      <c r="Q508" s="169" t="s">
        <v>284</v>
      </c>
      <c r="R508" s="169" t="s">
        <v>283</v>
      </c>
      <c r="S508" s="169" t="s">
        <v>283</v>
      </c>
      <c r="T508" s="169">
        <v>0</v>
      </c>
    </row>
    <row r="509" spans="2:20" x14ac:dyDescent="0.2">
      <c r="B509" s="168" t="s">
        <v>2</v>
      </c>
      <c r="C509" s="168" t="s">
        <v>24</v>
      </c>
      <c r="D509" s="173">
        <v>45747</v>
      </c>
      <c r="E509" s="169" t="s">
        <v>536</v>
      </c>
      <c r="F509" s="169" t="s">
        <v>292</v>
      </c>
      <c r="G509" s="169" t="s">
        <v>77</v>
      </c>
      <c r="H509" s="169" t="s">
        <v>378</v>
      </c>
      <c r="I509" s="169" t="s">
        <v>379</v>
      </c>
      <c r="J509" s="169" t="s">
        <v>539</v>
      </c>
      <c r="K509" s="169" t="s">
        <v>533</v>
      </c>
      <c r="L509" s="169" t="s">
        <v>534</v>
      </c>
      <c r="M509" s="169" t="s">
        <v>281</v>
      </c>
      <c r="N509" s="178">
        <v>9838778</v>
      </c>
      <c r="O509" s="169" t="s">
        <v>538</v>
      </c>
      <c r="P509" s="169" t="s">
        <v>283</v>
      </c>
      <c r="Q509" s="169" t="s">
        <v>284</v>
      </c>
      <c r="R509" s="169" t="s">
        <v>283</v>
      </c>
      <c r="S509" s="169" t="s">
        <v>283</v>
      </c>
      <c r="T509" s="169">
        <v>0</v>
      </c>
    </row>
    <row r="510" spans="2:20" x14ac:dyDescent="0.2">
      <c r="B510" s="168" t="s">
        <v>7</v>
      </c>
      <c r="C510" s="168" t="s">
        <v>22</v>
      </c>
      <c r="D510" s="173">
        <v>45747</v>
      </c>
      <c r="E510" s="169" t="s">
        <v>536</v>
      </c>
      <c r="F510" s="169" t="s">
        <v>388</v>
      </c>
      <c r="G510" s="169" t="s">
        <v>286</v>
      </c>
      <c r="H510" s="169" t="s">
        <v>376</v>
      </c>
      <c r="I510" s="169" t="s">
        <v>377</v>
      </c>
      <c r="J510" s="169" t="s">
        <v>537</v>
      </c>
      <c r="K510" s="169" t="s">
        <v>533</v>
      </c>
      <c r="L510" s="169" t="s">
        <v>534</v>
      </c>
      <c r="M510" s="169" t="s">
        <v>281</v>
      </c>
      <c r="N510" s="178">
        <v>79635167</v>
      </c>
      <c r="O510" s="169" t="s">
        <v>538</v>
      </c>
      <c r="P510" s="169" t="s">
        <v>283</v>
      </c>
      <c r="Q510" s="169" t="s">
        <v>284</v>
      </c>
      <c r="R510" s="169" t="s">
        <v>283</v>
      </c>
      <c r="S510" s="169" t="s">
        <v>283</v>
      </c>
      <c r="T510" s="169">
        <v>0</v>
      </c>
    </row>
    <row r="511" spans="2:20" x14ac:dyDescent="0.2">
      <c r="B511" s="168" t="s">
        <v>7</v>
      </c>
      <c r="C511" s="168" t="s">
        <v>24</v>
      </c>
      <c r="D511" s="173">
        <v>45747</v>
      </c>
      <c r="E511" s="169" t="s">
        <v>536</v>
      </c>
      <c r="F511" s="169" t="s">
        <v>395</v>
      </c>
      <c r="G511" s="169" t="s">
        <v>77</v>
      </c>
      <c r="H511" s="169" t="s">
        <v>376</v>
      </c>
      <c r="I511" s="169" t="s">
        <v>377</v>
      </c>
      <c r="J511" s="169" t="s">
        <v>539</v>
      </c>
      <c r="K511" s="169" t="s">
        <v>533</v>
      </c>
      <c r="L511" s="169" t="s">
        <v>534</v>
      </c>
      <c r="M511" s="169" t="s">
        <v>281</v>
      </c>
      <c r="N511" s="178">
        <v>73263716</v>
      </c>
      <c r="O511" s="169" t="s">
        <v>538</v>
      </c>
      <c r="P511" s="169" t="s">
        <v>283</v>
      </c>
      <c r="Q511" s="169" t="s">
        <v>284</v>
      </c>
      <c r="R511" s="169" t="s">
        <v>283</v>
      </c>
      <c r="S511" s="169" t="s">
        <v>283</v>
      </c>
      <c r="T511" s="169">
        <v>0</v>
      </c>
    </row>
    <row r="512" spans="2:20" x14ac:dyDescent="0.2">
      <c r="B512" s="168" t="s">
        <v>9</v>
      </c>
      <c r="C512" s="168" t="s">
        <v>22</v>
      </c>
      <c r="D512" s="173">
        <v>45747</v>
      </c>
      <c r="E512" s="169" t="s">
        <v>536</v>
      </c>
      <c r="F512" s="169" t="s">
        <v>285</v>
      </c>
      <c r="G512" s="169" t="s">
        <v>286</v>
      </c>
      <c r="H512" s="169" t="s">
        <v>382</v>
      </c>
      <c r="I512" s="169" t="s">
        <v>200</v>
      </c>
      <c r="J512" s="169" t="s">
        <v>537</v>
      </c>
      <c r="K512" s="169" t="s">
        <v>533</v>
      </c>
      <c r="L512" s="169" t="s">
        <v>534</v>
      </c>
      <c r="M512" s="169" t="s">
        <v>281</v>
      </c>
      <c r="N512" s="178">
        <v>6194250</v>
      </c>
      <c r="O512" s="169" t="s">
        <v>538</v>
      </c>
      <c r="P512" s="169" t="s">
        <v>283</v>
      </c>
      <c r="Q512" s="169" t="s">
        <v>284</v>
      </c>
      <c r="R512" s="169" t="s">
        <v>283</v>
      </c>
      <c r="S512" s="169" t="s">
        <v>283</v>
      </c>
      <c r="T512" s="169">
        <v>0</v>
      </c>
    </row>
    <row r="513" spans="1:20" x14ac:dyDescent="0.2">
      <c r="B513" s="168" t="s">
        <v>9</v>
      </c>
      <c r="C513" s="168" t="s">
        <v>24</v>
      </c>
      <c r="D513" s="173">
        <v>45747</v>
      </c>
      <c r="E513" s="169" t="s">
        <v>536</v>
      </c>
      <c r="F513" s="169" t="s">
        <v>292</v>
      </c>
      <c r="G513" s="169" t="s">
        <v>77</v>
      </c>
      <c r="H513" s="169" t="s">
        <v>382</v>
      </c>
      <c r="I513" s="169" t="s">
        <v>200</v>
      </c>
      <c r="J513" s="169" t="s">
        <v>539</v>
      </c>
      <c r="K513" s="169" t="s">
        <v>533</v>
      </c>
      <c r="L513" s="169" t="s">
        <v>534</v>
      </c>
      <c r="M513" s="169" t="s">
        <v>281</v>
      </c>
      <c r="N513" s="178">
        <v>5698660</v>
      </c>
      <c r="O513" s="169" t="s">
        <v>538</v>
      </c>
      <c r="P513" s="169" t="s">
        <v>283</v>
      </c>
      <c r="Q513" s="169" t="s">
        <v>284</v>
      </c>
      <c r="R513" s="169" t="s">
        <v>283</v>
      </c>
      <c r="S513" s="169" t="s">
        <v>283</v>
      </c>
      <c r="T513" s="169">
        <v>0</v>
      </c>
    </row>
    <row r="514" spans="1:20" x14ac:dyDescent="0.2">
      <c r="B514" s="168" t="s">
        <v>9</v>
      </c>
      <c r="C514" s="168" t="s">
        <v>22</v>
      </c>
      <c r="D514" s="173">
        <v>45747</v>
      </c>
      <c r="E514" s="169" t="s">
        <v>536</v>
      </c>
      <c r="F514" s="169" t="s">
        <v>285</v>
      </c>
      <c r="G514" s="169" t="s">
        <v>286</v>
      </c>
      <c r="H514" s="169" t="s">
        <v>358</v>
      </c>
      <c r="I514" s="169" t="s">
        <v>359</v>
      </c>
      <c r="J514" s="169" t="s">
        <v>537</v>
      </c>
      <c r="K514" s="169" t="s">
        <v>533</v>
      </c>
      <c r="L514" s="169" t="s">
        <v>534</v>
      </c>
      <c r="M514" s="169" t="s">
        <v>281</v>
      </c>
      <c r="N514" s="178">
        <v>7509833</v>
      </c>
      <c r="O514" s="169" t="s">
        <v>538</v>
      </c>
      <c r="P514" s="169" t="s">
        <v>283</v>
      </c>
      <c r="Q514" s="169" t="s">
        <v>284</v>
      </c>
      <c r="R514" s="169" t="s">
        <v>283</v>
      </c>
      <c r="S514" s="169" t="s">
        <v>283</v>
      </c>
      <c r="T514" s="169">
        <v>0</v>
      </c>
    </row>
    <row r="515" spans="1:20" x14ac:dyDescent="0.2">
      <c r="B515" s="168" t="s">
        <v>9</v>
      </c>
      <c r="C515" s="168" t="s">
        <v>24</v>
      </c>
      <c r="D515" s="173">
        <v>45747</v>
      </c>
      <c r="E515" s="169" t="s">
        <v>536</v>
      </c>
      <c r="F515" s="169" t="s">
        <v>292</v>
      </c>
      <c r="G515" s="169" t="s">
        <v>77</v>
      </c>
      <c r="H515" s="169" t="s">
        <v>358</v>
      </c>
      <c r="I515" s="169" t="s">
        <v>359</v>
      </c>
      <c r="J515" s="169" t="s">
        <v>539</v>
      </c>
      <c r="K515" s="169" t="s">
        <v>533</v>
      </c>
      <c r="L515" s="169" t="s">
        <v>534</v>
      </c>
      <c r="M515" s="169" t="s">
        <v>281</v>
      </c>
      <c r="N515" s="178">
        <v>6908987</v>
      </c>
      <c r="O515" s="169" t="s">
        <v>538</v>
      </c>
      <c r="P515" s="169" t="s">
        <v>283</v>
      </c>
      <c r="Q515" s="169" t="s">
        <v>284</v>
      </c>
      <c r="R515" s="169" t="s">
        <v>283</v>
      </c>
      <c r="S515" s="169" t="s">
        <v>283</v>
      </c>
      <c r="T515" s="169">
        <v>0</v>
      </c>
    </row>
    <row r="516" spans="1:20" x14ac:dyDescent="0.2">
      <c r="B516" s="168" t="s">
        <v>1</v>
      </c>
      <c r="C516" s="168" t="s">
        <v>170</v>
      </c>
      <c r="D516" s="173">
        <v>45747</v>
      </c>
      <c r="E516" s="169" t="s">
        <v>540</v>
      </c>
      <c r="F516" s="169" t="s">
        <v>392</v>
      </c>
      <c r="G516" s="169" t="s">
        <v>296</v>
      </c>
      <c r="H516" s="169" t="s">
        <v>366</v>
      </c>
      <c r="I516" s="169" t="s">
        <v>1</v>
      </c>
      <c r="J516" s="169" t="s">
        <v>541</v>
      </c>
      <c r="K516" s="169" t="s">
        <v>533</v>
      </c>
      <c r="L516" s="169" t="s">
        <v>534</v>
      </c>
      <c r="M516" s="169" t="s">
        <v>281</v>
      </c>
      <c r="N516" s="178">
        <v>62369945</v>
      </c>
      <c r="O516" s="169" t="s">
        <v>542</v>
      </c>
      <c r="P516" s="169" t="s">
        <v>283</v>
      </c>
      <c r="Q516" s="169" t="s">
        <v>284</v>
      </c>
      <c r="R516" s="169" t="s">
        <v>283</v>
      </c>
      <c r="S516" s="169" t="s">
        <v>283</v>
      </c>
      <c r="T516" s="169">
        <v>0</v>
      </c>
    </row>
    <row r="517" spans="1:20" x14ac:dyDescent="0.2">
      <c r="B517" s="168" t="s">
        <v>10</v>
      </c>
      <c r="C517" s="168" t="s">
        <v>170</v>
      </c>
      <c r="D517" s="173">
        <v>45747</v>
      </c>
      <c r="E517" s="169" t="s">
        <v>540</v>
      </c>
      <c r="F517" s="169" t="s">
        <v>295</v>
      </c>
      <c r="G517" s="169" t="s">
        <v>296</v>
      </c>
      <c r="H517" s="169" t="s">
        <v>380</v>
      </c>
      <c r="I517" s="169" t="s">
        <v>381</v>
      </c>
      <c r="J517" s="169" t="s">
        <v>541</v>
      </c>
      <c r="K517" s="169" t="s">
        <v>533</v>
      </c>
      <c r="L517" s="169" t="s">
        <v>534</v>
      </c>
      <c r="M517" s="169" t="s">
        <v>281</v>
      </c>
      <c r="N517" s="178">
        <v>102246385</v>
      </c>
      <c r="O517" s="169" t="s">
        <v>542</v>
      </c>
      <c r="P517" s="169" t="s">
        <v>283</v>
      </c>
      <c r="Q517" s="169" t="s">
        <v>284</v>
      </c>
      <c r="R517" s="169" t="s">
        <v>283</v>
      </c>
      <c r="S517" s="169" t="s">
        <v>283</v>
      </c>
      <c r="T517" s="169">
        <v>0</v>
      </c>
    </row>
    <row r="518" spans="1:20" x14ac:dyDescent="0.2">
      <c r="B518" s="168" t="s">
        <v>2</v>
      </c>
      <c r="C518" s="168" t="s">
        <v>170</v>
      </c>
      <c r="D518" s="173">
        <v>45747</v>
      </c>
      <c r="E518" s="169" t="s">
        <v>540</v>
      </c>
      <c r="F518" s="169" t="s">
        <v>295</v>
      </c>
      <c r="G518" s="169" t="s">
        <v>296</v>
      </c>
      <c r="H518" s="169" t="s">
        <v>378</v>
      </c>
      <c r="I518" s="169" t="s">
        <v>379</v>
      </c>
      <c r="J518" s="169" t="s">
        <v>541</v>
      </c>
      <c r="K518" s="169" t="s">
        <v>533</v>
      </c>
      <c r="L518" s="169" t="s">
        <v>534</v>
      </c>
      <c r="M518" s="169" t="s">
        <v>281</v>
      </c>
      <c r="N518" s="178">
        <v>22638255</v>
      </c>
      <c r="O518" s="169" t="s">
        <v>542</v>
      </c>
      <c r="P518" s="169" t="s">
        <v>283</v>
      </c>
      <c r="Q518" s="169" t="s">
        <v>284</v>
      </c>
      <c r="R518" s="169" t="s">
        <v>283</v>
      </c>
      <c r="S518" s="169" t="s">
        <v>283</v>
      </c>
      <c r="T518" s="169">
        <v>0</v>
      </c>
    </row>
    <row r="519" spans="1:20" x14ac:dyDescent="0.2">
      <c r="B519" s="168" t="s">
        <v>7</v>
      </c>
      <c r="C519" s="168" t="s">
        <v>170</v>
      </c>
      <c r="D519" s="173">
        <v>45747</v>
      </c>
      <c r="E519" s="169" t="s">
        <v>540</v>
      </c>
      <c r="F519" s="169" t="s">
        <v>393</v>
      </c>
      <c r="G519" s="169" t="s">
        <v>296</v>
      </c>
      <c r="H519" s="169" t="s">
        <v>376</v>
      </c>
      <c r="I519" s="169" t="s">
        <v>377</v>
      </c>
      <c r="J519" s="169" t="s">
        <v>541</v>
      </c>
      <c r="K519" s="169" t="s">
        <v>533</v>
      </c>
      <c r="L519" s="169" t="s">
        <v>534</v>
      </c>
      <c r="M519" s="169" t="s">
        <v>281</v>
      </c>
      <c r="N519" s="178">
        <v>213996170</v>
      </c>
      <c r="O519" s="169" t="s">
        <v>542</v>
      </c>
      <c r="P519" s="169" t="s">
        <v>283</v>
      </c>
      <c r="Q519" s="169" t="s">
        <v>284</v>
      </c>
      <c r="R519" s="169" t="s">
        <v>283</v>
      </c>
      <c r="S519" s="169" t="s">
        <v>283</v>
      </c>
      <c r="T519" s="169">
        <v>0</v>
      </c>
    </row>
    <row r="520" spans="1:20" x14ac:dyDescent="0.2">
      <c r="B520" s="168" t="s">
        <v>9</v>
      </c>
      <c r="C520" s="168" t="s">
        <v>170</v>
      </c>
      <c r="D520" s="173">
        <v>45747</v>
      </c>
      <c r="E520" s="169" t="s">
        <v>540</v>
      </c>
      <c r="F520" s="169" t="s">
        <v>295</v>
      </c>
      <c r="G520" s="169" t="s">
        <v>296</v>
      </c>
      <c r="H520" s="169" t="s">
        <v>382</v>
      </c>
      <c r="I520" s="169" t="s">
        <v>200</v>
      </c>
      <c r="J520" s="169" t="s">
        <v>541</v>
      </c>
      <c r="K520" s="169" t="s">
        <v>533</v>
      </c>
      <c r="L520" s="169" t="s">
        <v>534</v>
      </c>
      <c r="M520" s="169" t="s">
        <v>281</v>
      </c>
      <c r="N520" s="178">
        <v>17467785</v>
      </c>
      <c r="O520" s="169" t="s">
        <v>542</v>
      </c>
      <c r="P520" s="169" t="s">
        <v>283</v>
      </c>
      <c r="Q520" s="169" t="s">
        <v>284</v>
      </c>
      <c r="R520" s="169" t="s">
        <v>283</v>
      </c>
      <c r="S520" s="169" t="s">
        <v>283</v>
      </c>
      <c r="T520" s="169">
        <v>0</v>
      </c>
    </row>
    <row r="521" spans="1:20" x14ac:dyDescent="0.2">
      <c r="B521" s="168" t="s">
        <v>9</v>
      </c>
      <c r="C521" s="168" t="s">
        <v>170</v>
      </c>
      <c r="D521" s="173">
        <v>45747</v>
      </c>
      <c r="E521" s="169" t="s">
        <v>540</v>
      </c>
      <c r="F521" s="169" t="s">
        <v>295</v>
      </c>
      <c r="G521" s="169" t="s">
        <v>296</v>
      </c>
      <c r="H521" s="169" t="s">
        <v>358</v>
      </c>
      <c r="I521" s="169" t="s">
        <v>359</v>
      </c>
      <c r="J521" s="169" t="s">
        <v>541</v>
      </c>
      <c r="K521" s="169" t="s">
        <v>533</v>
      </c>
      <c r="L521" s="169" t="s">
        <v>534</v>
      </c>
      <c r="M521" s="169" t="s">
        <v>281</v>
      </c>
      <c r="N521" s="178">
        <v>21177730</v>
      </c>
      <c r="O521" s="169" t="s">
        <v>542</v>
      </c>
      <c r="P521" s="169" t="s">
        <v>283</v>
      </c>
      <c r="Q521" s="169" t="s">
        <v>284</v>
      </c>
      <c r="R521" s="169" t="s">
        <v>283</v>
      </c>
      <c r="S521" s="169" t="s">
        <v>283</v>
      </c>
      <c r="T521" s="169">
        <v>0</v>
      </c>
    </row>
    <row r="522" spans="1:20" x14ac:dyDescent="0.2">
      <c r="B522" s="168" t="s">
        <v>10</v>
      </c>
      <c r="C522" s="168" t="s">
        <v>22</v>
      </c>
      <c r="D522" s="173">
        <v>45747</v>
      </c>
      <c r="E522" s="169" t="s">
        <v>595</v>
      </c>
      <c r="F522" s="169" t="s">
        <v>274</v>
      </c>
      <c r="G522" s="169" t="s">
        <v>275</v>
      </c>
      <c r="H522" s="169" t="s">
        <v>380</v>
      </c>
      <c r="I522" s="169" t="s">
        <v>381</v>
      </c>
      <c r="J522" s="169" t="s">
        <v>596</v>
      </c>
      <c r="K522" s="169" t="s">
        <v>533</v>
      </c>
      <c r="L522" s="169" t="s">
        <v>534</v>
      </c>
      <c r="M522" s="169" t="s">
        <v>281</v>
      </c>
      <c r="N522" s="178">
        <v>-29587</v>
      </c>
      <c r="O522" s="169" t="s">
        <v>597</v>
      </c>
      <c r="P522" s="169" t="s">
        <v>283</v>
      </c>
      <c r="Q522" s="169" t="s">
        <v>284</v>
      </c>
      <c r="R522" s="169" t="s">
        <v>283</v>
      </c>
      <c r="S522" s="169" t="s">
        <v>283</v>
      </c>
      <c r="T522" s="169">
        <v>0</v>
      </c>
    </row>
    <row r="523" spans="1:20" x14ac:dyDescent="0.2">
      <c r="B523" s="168" t="s">
        <v>7</v>
      </c>
      <c r="C523" s="168" t="s">
        <v>25</v>
      </c>
      <c r="D523" s="173">
        <v>45745</v>
      </c>
      <c r="E523" s="169" t="s">
        <v>546</v>
      </c>
      <c r="F523" s="169" t="s">
        <v>375</v>
      </c>
      <c r="G523" s="169" t="s">
        <v>336</v>
      </c>
      <c r="H523" s="169" t="s">
        <v>376</v>
      </c>
      <c r="I523" s="169" t="s">
        <v>377</v>
      </c>
      <c r="J523" s="169" t="s">
        <v>547</v>
      </c>
      <c r="K523" s="169" t="s">
        <v>338</v>
      </c>
      <c r="L523" s="169" t="s">
        <v>534</v>
      </c>
      <c r="M523" s="169" t="s">
        <v>281</v>
      </c>
      <c r="N523" s="178">
        <v>39775000</v>
      </c>
      <c r="O523" s="169" t="s">
        <v>548</v>
      </c>
      <c r="P523" s="169" t="s">
        <v>283</v>
      </c>
      <c r="Q523" s="169" t="s">
        <v>306</v>
      </c>
      <c r="R523" s="169" t="s">
        <v>283</v>
      </c>
      <c r="S523" s="169" t="s">
        <v>283</v>
      </c>
      <c r="T523" s="169">
        <v>0</v>
      </c>
    </row>
    <row r="524" spans="1:20" x14ac:dyDescent="0.2">
      <c r="B524" s="168" t="s">
        <v>2</v>
      </c>
      <c r="C524" s="168" t="s">
        <v>25</v>
      </c>
      <c r="D524" s="173">
        <v>45745</v>
      </c>
      <c r="E524" s="169" t="s">
        <v>546</v>
      </c>
      <c r="F524" s="169" t="s">
        <v>335</v>
      </c>
      <c r="G524" s="169" t="s">
        <v>336</v>
      </c>
      <c r="H524" s="169" t="s">
        <v>378</v>
      </c>
      <c r="I524" s="169" t="s">
        <v>379</v>
      </c>
      <c r="J524" s="169" t="s">
        <v>547</v>
      </c>
      <c r="K524" s="169" t="s">
        <v>338</v>
      </c>
      <c r="L524" s="169" t="s">
        <v>534</v>
      </c>
      <c r="M524" s="169" t="s">
        <v>281</v>
      </c>
      <c r="N524" s="178">
        <v>4050000</v>
      </c>
      <c r="O524" s="169" t="s">
        <v>548</v>
      </c>
      <c r="P524" s="169" t="s">
        <v>283</v>
      </c>
      <c r="Q524" s="169" t="s">
        <v>306</v>
      </c>
      <c r="R524" s="169" t="s">
        <v>283</v>
      </c>
      <c r="S524" s="169" t="s">
        <v>283</v>
      </c>
      <c r="T524" s="169">
        <v>0</v>
      </c>
    </row>
    <row r="525" spans="1:20" x14ac:dyDescent="0.2">
      <c r="B525" s="168" t="s">
        <v>10</v>
      </c>
      <c r="C525" s="168" t="s">
        <v>25</v>
      </c>
      <c r="D525" s="173">
        <v>45745</v>
      </c>
      <c r="E525" s="169" t="s">
        <v>546</v>
      </c>
      <c r="F525" s="169" t="s">
        <v>335</v>
      </c>
      <c r="G525" s="169" t="s">
        <v>336</v>
      </c>
      <c r="H525" s="169" t="s">
        <v>380</v>
      </c>
      <c r="I525" s="169" t="s">
        <v>381</v>
      </c>
      <c r="J525" s="169" t="s">
        <v>547</v>
      </c>
      <c r="K525" s="169" t="s">
        <v>338</v>
      </c>
      <c r="L525" s="169" t="s">
        <v>534</v>
      </c>
      <c r="M525" s="169" t="s">
        <v>281</v>
      </c>
      <c r="N525" s="178">
        <v>4050000</v>
      </c>
      <c r="O525" s="169" t="s">
        <v>548</v>
      </c>
      <c r="P525" s="169" t="s">
        <v>283</v>
      </c>
      <c r="Q525" s="169" t="s">
        <v>306</v>
      </c>
      <c r="R525" s="169" t="s">
        <v>283</v>
      </c>
      <c r="S525" s="169" t="s">
        <v>283</v>
      </c>
      <c r="T525" s="169">
        <v>0</v>
      </c>
    </row>
    <row r="526" spans="1:20" x14ac:dyDescent="0.2">
      <c r="B526" s="168" t="s">
        <v>9</v>
      </c>
      <c r="C526" s="168" t="s">
        <v>25</v>
      </c>
      <c r="D526" s="173">
        <v>45745</v>
      </c>
      <c r="E526" s="169" t="s">
        <v>546</v>
      </c>
      <c r="F526" s="169" t="s">
        <v>335</v>
      </c>
      <c r="G526" s="169" t="s">
        <v>336</v>
      </c>
      <c r="H526" s="169" t="s">
        <v>382</v>
      </c>
      <c r="I526" s="169" t="s">
        <v>200</v>
      </c>
      <c r="J526" s="169" t="s">
        <v>547</v>
      </c>
      <c r="K526" s="169" t="s">
        <v>338</v>
      </c>
      <c r="L526" s="169" t="s">
        <v>534</v>
      </c>
      <c r="M526" s="169" t="s">
        <v>281</v>
      </c>
      <c r="N526" s="178">
        <v>1675000</v>
      </c>
      <c r="O526" s="169" t="s">
        <v>548</v>
      </c>
      <c r="P526" s="169" t="s">
        <v>283</v>
      </c>
      <c r="Q526" s="169" t="s">
        <v>306</v>
      </c>
      <c r="R526" s="169" t="s">
        <v>283</v>
      </c>
      <c r="S526" s="169" t="s">
        <v>283</v>
      </c>
      <c r="T526" s="169">
        <v>0</v>
      </c>
    </row>
    <row r="527" spans="1:20" x14ac:dyDescent="0.2">
      <c r="B527" s="168" t="s">
        <v>9</v>
      </c>
      <c r="C527" s="168" t="s">
        <v>25</v>
      </c>
      <c r="D527" s="173">
        <v>45745</v>
      </c>
      <c r="E527" s="169" t="s">
        <v>546</v>
      </c>
      <c r="F527" s="169" t="s">
        <v>335</v>
      </c>
      <c r="G527" s="169" t="s">
        <v>336</v>
      </c>
      <c r="H527" s="169" t="s">
        <v>358</v>
      </c>
      <c r="I527" s="169" t="s">
        <v>359</v>
      </c>
      <c r="J527" s="169" t="s">
        <v>547</v>
      </c>
      <c r="K527" s="169" t="s">
        <v>338</v>
      </c>
      <c r="L527" s="169" t="s">
        <v>534</v>
      </c>
      <c r="M527" s="169" t="s">
        <v>281</v>
      </c>
      <c r="N527" s="178">
        <v>2775000</v>
      </c>
      <c r="O527" s="169" t="s">
        <v>548</v>
      </c>
      <c r="P527" s="169" t="s">
        <v>283</v>
      </c>
      <c r="Q527" s="169" t="s">
        <v>306</v>
      </c>
      <c r="R527" s="169" t="s">
        <v>283</v>
      </c>
      <c r="S527" s="169" t="s">
        <v>283</v>
      </c>
      <c r="T527" s="169">
        <v>0</v>
      </c>
    </row>
    <row r="528" spans="1:20" x14ac:dyDescent="0.2">
      <c r="A528" s="169">
        <v>622</v>
      </c>
      <c r="B528" s="168" t="s">
        <v>8</v>
      </c>
      <c r="C528" s="168" t="s">
        <v>22</v>
      </c>
      <c r="D528" s="173">
        <v>45717</v>
      </c>
      <c r="E528" s="169" t="s">
        <v>598</v>
      </c>
      <c r="F528" s="169" t="s">
        <v>400</v>
      </c>
      <c r="G528" s="169" t="s">
        <v>401</v>
      </c>
      <c r="H528" s="169" t="s">
        <v>402</v>
      </c>
      <c r="I528" s="169" t="s">
        <v>403</v>
      </c>
      <c r="J528" s="169" t="s">
        <v>599</v>
      </c>
      <c r="K528" s="169" t="s">
        <v>405</v>
      </c>
      <c r="L528" s="169" t="s">
        <v>534</v>
      </c>
      <c r="M528" s="169" t="s">
        <v>281</v>
      </c>
      <c r="N528" s="178">
        <v>49355952</v>
      </c>
      <c r="O528" s="169" t="s">
        <v>600</v>
      </c>
      <c r="P528" s="169" t="s">
        <v>283</v>
      </c>
      <c r="Q528" s="169" t="s">
        <v>306</v>
      </c>
      <c r="R528" s="169" t="s">
        <v>283</v>
      </c>
      <c r="S528" s="169" t="s">
        <v>283</v>
      </c>
      <c r="T528" s="169">
        <v>0</v>
      </c>
    </row>
    <row r="529" spans="1:20" x14ac:dyDescent="0.2">
      <c r="A529" s="169">
        <v>622</v>
      </c>
      <c r="B529" s="168" t="s">
        <v>8</v>
      </c>
      <c r="C529" s="168" t="s">
        <v>22</v>
      </c>
      <c r="D529" s="173">
        <v>45744</v>
      </c>
      <c r="E529" s="169" t="s">
        <v>601</v>
      </c>
      <c r="F529" s="169" t="s">
        <v>400</v>
      </c>
      <c r="G529" s="169" t="s">
        <v>401</v>
      </c>
      <c r="H529" s="169" t="s">
        <v>402</v>
      </c>
      <c r="I529" s="169" t="s">
        <v>403</v>
      </c>
      <c r="J529" s="169" t="s">
        <v>602</v>
      </c>
      <c r="K529" s="169" t="s">
        <v>405</v>
      </c>
      <c r="L529" s="169" t="s">
        <v>534</v>
      </c>
      <c r="M529" s="169" t="s">
        <v>281</v>
      </c>
      <c r="N529" s="178">
        <v>20840278</v>
      </c>
      <c r="O529" s="169" t="s">
        <v>603</v>
      </c>
      <c r="P529" s="169" t="s">
        <v>283</v>
      </c>
      <c r="Q529" s="169" t="s">
        <v>306</v>
      </c>
      <c r="R529" s="169" t="s">
        <v>283</v>
      </c>
      <c r="S529" s="169" t="s">
        <v>283</v>
      </c>
      <c r="T529" s="169">
        <v>0</v>
      </c>
    </row>
    <row r="530" spans="1:20" x14ac:dyDescent="0.2">
      <c r="B530" s="168" t="s">
        <v>6</v>
      </c>
      <c r="C530" s="168" t="s">
        <v>25</v>
      </c>
      <c r="D530" s="173">
        <v>45747</v>
      </c>
      <c r="E530" s="169" t="s">
        <v>531</v>
      </c>
      <c r="F530" s="169" t="s">
        <v>386</v>
      </c>
      <c r="G530" s="169" t="s">
        <v>341</v>
      </c>
      <c r="H530" s="169" t="s">
        <v>411</v>
      </c>
      <c r="I530" s="169" t="s">
        <v>412</v>
      </c>
      <c r="J530" s="169" t="s">
        <v>532</v>
      </c>
      <c r="K530" s="169" t="s">
        <v>533</v>
      </c>
      <c r="L530" s="169" t="s">
        <v>534</v>
      </c>
      <c r="M530" s="169" t="s">
        <v>281</v>
      </c>
      <c r="N530" s="178">
        <v>25555810</v>
      </c>
      <c r="O530" s="169" t="s">
        <v>535</v>
      </c>
      <c r="P530" s="169" t="s">
        <v>283</v>
      </c>
      <c r="Q530" s="169" t="s">
        <v>284</v>
      </c>
      <c r="R530" s="169" t="s">
        <v>283</v>
      </c>
      <c r="S530" s="169" t="s">
        <v>283</v>
      </c>
      <c r="T530" s="169">
        <v>0</v>
      </c>
    </row>
    <row r="531" spans="1:20" x14ac:dyDescent="0.2">
      <c r="B531" s="168" t="s">
        <v>6</v>
      </c>
      <c r="C531" s="168" t="s">
        <v>22</v>
      </c>
      <c r="D531" s="173">
        <v>45747</v>
      </c>
      <c r="E531" s="169" t="s">
        <v>531</v>
      </c>
      <c r="F531" s="169" t="s">
        <v>387</v>
      </c>
      <c r="G531" s="169" t="s">
        <v>275</v>
      </c>
      <c r="H531" s="169" t="s">
        <v>411</v>
      </c>
      <c r="I531" s="169" t="s">
        <v>412</v>
      </c>
      <c r="J531" s="169" t="s">
        <v>532</v>
      </c>
      <c r="K531" s="169" t="s">
        <v>533</v>
      </c>
      <c r="L531" s="169" t="s">
        <v>534</v>
      </c>
      <c r="M531" s="169" t="s">
        <v>281</v>
      </c>
      <c r="N531" s="178">
        <v>487009396</v>
      </c>
      <c r="O531" s="169" t="s">
        <v>535</v>
      </c>
      <c r="P531" s="169" t="s">
        <v>283</v>
      </c>
      <c r="Q531" s="169" t="s">
        <v>284</v>
      </c>
      <c r="R531" s="169" t="s">
        <v>283</v>
      </c>
      <c r="S531" s="169" t="s">
        <v>283</v>
      </c>
      <c r="T531" s="169">
        <v>0</v>
      </c>
    </row>
    <row r="532" spans="1:20" x14ac:dyDescent="0.2">
      <c r="B532" s="168" t="s">
        <v>6</v>
      </c>
      <c r="C532" s="168" t="s">
        <v>22</v>
      </c>
      <c r="D532" s="173">
        <v>45747</v>
      </c>
      <c r="E532" s="169" t="s">
        <v>531</v>
      </c>
      <c r="F532" s="169" t="s">
        <v>388</v>
      </c>
      <c r="G532" s="169" t="s">
        <v>286</v>
      </c>
      <c r="H532" s="169" t="s">
        <v>411</v>
      </c>
      <c r="I532" s="169" t="s">
        <v>412</v>
      </c>
      <c r="J532" s="169" t="s">
        <v>532</v>
      </c>
      <c r="K532" s="169" t="s">
        <v>533</v>
      </c>
      <c r="L532" s="169" t="s">
        <v>534</v>
      </c>
      <c r="M532" s="169" t="s">
        <v>281</v>
      </c>
      <c r="N532" s="178">
        <v>10037654</v>
      </c>
      <c r="O532" s="169" t="s">
        <v>535</v>
      </c>
      <c r="P532" s="169" t="s">
        <v>283</v>
      </c>
      <c r="Q532" s="169" t="s">
        <v>284</v>
      </c>
      <c r="R532" s="169" t="s">
        <v>283</v>
      </c>
      <c r="S532" s="169" t="s">
        <v>283</v>
      </c>
      <c r="T532" s="169">
        <v>0</v>
      </c>
    </row>
    <row r="533" spans="1:20" x14ac:dyDescent="0.2">
      <c r="B533" s="168" t="s">
        <v>6</v>
      </c>
      <c r="C533" s="168" t="s">
        <v>23</v>
      </c>
      <c r="D533" s="173">
        <v>45747</v>
      </c>
      <c r="E533" s="169" t="s">
        <v>531</v>
      </c>
      <c r="F533" s="169" t="s">
        <v>389</v>
      </c>
      <c r="G533" s="169" t="s">
        <v>390</v>
      </c>
      <c r="H533" s="169" t="s">
        <v>411</v>
      </c>
      <c r="I533" s="169" t="s">
        <v>412</v>
      </c>
      <c r="J533" s="169" t="s">
        <v>532</v>
      </c>
      <c r="K533" s="169" t="s">
        <v>533</v>
      </c>
      <c r="L533" s="169" t="s">
        <v>534</v>
      </c>
      <c r="M533" s="169" t="s">
        <v>281</v>
      </c>
      <c r="N533" s="178">
        <v>176485897</v>
      </c>
      <c r="O533" s="169" t="s">
        <v>535</v>
      </c>
      <c r="P533" s="169" t="s">
        <v>283</v>
      </c>
      <c r="Q533" s="169" t="s">
        <v>284</v>
      </c>
      <c r="R533" s="169" t="s">
        <v>283</v>
      </c>
      <c r="S533" s="169" t="s">
        <v>283</v>
      </c>
      <c r="T533" s="169">
        <v>0</v>
      </c>
    </row>
    <row r="534" spans="1:20" x14ac:dyDescent="0.2">
      <c r="B534" s="168" t="s">
        <v>6</v>
      </c>
      <c r="C534" s="168" t="s">
        <v>25</v>
      </c>
      <c r="D534" s="173">
        <v>45747</v>
      </c>
      <c r="E534" s="169" t="s">
        <v>531</v>
      </c>
      <c r="F534" s="169" t="s">
        <v>375</v>
      </c>
      <c r="G534" s="169" t="s">
        <v>336</v>
      </c>
      <c r="H534" s="169" t="s">
        <v>411</v>
      </c>
      <c r="I534" s="169" t="s">
        <v>412</v>
      </c>
      <c r="J534" s="169" t="s">
        <v>532</v>
      </c>
      <c r="K534" s="169" t="s">
        <v>533</v>
      </c>
      <c r="L534" s="169" t="s">
        <v>534</v>
      </c>
      <c r="M534" s="169" t="s">
        <v>281</v>
      </c>
      <c r="N534" s="178">
        <v>8360000</v>
      </c>
      <c r="O534" s="169" t="s">
        <v>535</v>
      </c>
      <c r="P534" s="169" t="s">
        <v>283</v>
      </c>
      <c r="Q534" s="169" t="s">
        <v>284</v>
      </c>
      <c r="R534" s="169" t="s">
        <v>283</v>
      </c>
      <c r="S534" s="169" t="s">
        <v>283</v>
      </c>
      <c r="T534" s="169">
        <v>0</v>
      </c>
    </row>
    <row r="535" spans="1:20" x14ac:dyDescent="0.2">
      <c r="B535" s="168" t="s">
        <v>4</v>
      </c>
      <c r="C535" s="168" t="s">
        <v>22</v>
      </c>
      <c r="D535" s="173">
        <v>45747</v>
      </c>
      <c r="E535" s="169" t="s">
        <v>531</v>
      </c>
      <c r="F535" s="169" t="s">
        <v>387</v>
      </c>
      <c r="G535" s="169" t="s">
        <v>275</v>
      </c>
      <c r="H535" s="169" t="s">
        <v>418</v>
      </c>
      <c r="I535" s="169" t="s">
        <v>419</v>
      </c>
      <c r="J535" s="169" t="s">
        <v>532</v>
      </c>
      <c r="K535" s="169" t="s">
        <v>533</v>
      </c>
      <c r="L535" s="169" t="s">
        <v>534</v>
      </c>
      <c r="M535" s="169" t="s">
        <v>281</v>
      </c>
      <c r="N535" s="178">
        <v>138573540</v>
      </c>
      <c r="O535" s="169" t="s">
        <v>535</v>
      </c>
      <c r="P535" s="169" t="s">
        <v>283</v>
      </c>
      <c r="Q535" s="169" t="s">
        <v>284</v>
      </c>
      <c r="R535" s="169" t="s">
        <v>283</v>
      </c>
      <c r="S535" s="169" t="s">
        <v>283</v>
      </c>
      <c r="T535" s="169">
        <v>0</v>
      </c>
    </row>
    <row r="536" spans="1:20" x14ac:dyDescent="0.2">
      <c r="B536" s="168" t="s">
        <v>4</v>
      </c>
      <c r="C536" s="168" t="s">
        <v>22</v>
      </c>
      <c r="D536" s="173">
        <v>45747</v>
      </c>
      <c r="E536" s="169" t="s">
        <v>531</v>
      </c>
      <c r="F536" s="169" t="s">
        <v>388</v>
      </c>
      <c r="G536" s="169" t="s">
        <v>286</v>
      </c>
      <c r="H536" s="169" t="s">
        <v>418</v>
      </c>
      <c r="I536" s="169" t="s">
        <v>419</v>
      </c>
      <c r="J536" s="169" t="s">
        <v>532</v>
      </c>
      <c r="K536" s="169" t="s">
        <v>533</v>
      </c>
      <c r="L536" s="169" t="s">
        <v>534</v>
      </c>
      <c r="M536" s="169" t="s">
        <v>281</v>
      </c>
      <c r="N536" s="178">
        <v>9408481</v>
      </c>
      <c r="O536" s="169" t="s">
        <v>535</v>
      </c>
      <c r="P536" s="169" t="s">
        <v>283</v>
      </c>
      <c r="Q536" s="169" t="s">
        <v>284</v>
      </c>
      <c r="R536" s="169" t="s">
        <v>283</v>
      </c>
      <c r="S536" s="169" t="s">
        <v>283</v>
      </c>
      <c r="T536" s="169">
        <v>0</v>
      </c>
    </row>
    <row r="537" spans="1:20" x14ac:dyDescent="0.2">
      <c r="A537" s="169">
        <v>622</v>
      </c>
      <c r="B537" s="168" t="s">
        <v>8</v>
      </c>
      <c r="C537" s="168" t="s">
        <v>22</v>
      </c>
      <c r="D537" s="173">
        <v>45747</v>
      </c>
      <c r="E537" s="169" t="s">
        <v>531</v>
      </c>
      <c r="F537" s="169" t="s">
        <v>400</v>
      </c>
      <c r="G537" s="169" t="s">
        <v>401</v>
      </c>
      <c r="H537" s="169" t="s">
        <v>402</v>
      </c>
      <c r="I537" s="169" t="s">
        <v>403</v>
      </c>
      <c r="J537" s="169" t="s">
        <v>532</v>
      </c>
      <c r="K537" s="169" t="s">
        <v>533</v>
      </c>
      <c r="L537" s="169" t="s">
        <v>534</v>
      </c>
      <c r="M537" s="169" t="s">
        <v>281</v>
      </c>
      <c r="N537" s="178">
        <v>1419783901</v>
      </c>
      <c r="O537" s="169" t="s">
        <v>535</v>
      </c>
      <c r="P537" s="169" t="s">
        <v>283</v>
      </c>
      <c r="Q537" s="169" t="s">
        <v>284</v>
      </c>
      <c r="R537" s="169" t="s">
        <v>283</v>
      </c>
      <c r="S537" s="169" t="s">
        <v>283</v>
      </c>
      <c r="T537" s="169">
        <v>0</v>
      </c>
    </row>
    <row r="538" spans="1:20" x14ac:dyDescent="0.2">
      <c r="A538" s="169">
        <v>622</v>
      </c>
      <c r="B538" s="168" t="s">
        <v>8</v>
      </c>
      <c r="C538" s="168" t="s">
        <v>22</v>
      </c>
      <c r="D538" s="173">
        <v>45747</v>
      </c>
      <c r="E538" s="169" t="s">
        <v>531</v>
      </c>
      <c r="F538" s="169" t="s">
        <v>420</v>
      </c>
      <c r="G538" s="169" t="s">
        <v>286</v>
      </c>
      <c r="H538" s="169" t="s">
        <v>402</v>
      </c>
      <c r="I538" s="169" t="s">
        <v>403</v>
      </c>
      <c r="J538" s="169" t="s">
        <v>532</v>
      </c>
      <c r="K538" s="169" t="s">
        <v>533</v>
      </c>
      <c r="L538" s="169" t="s">
        <v>534</v>
      </c>
      <c r="M538" s="169" t="s">
        <v>281</v>
      </c>
      <c r="N538" s="178">
        <v>18265064</v>
      </c>
      <c r="O538" s="169" t="s">
        <v>535</v>
      </c>
      <c r="P538" s="169" t="s">
        <v>283</v>
      </c>
      <c r="Q538" s="169" t="s">
        <v>284</v>
      </c>
      <c r="R538" s="169" t="s">
        <v>283</v>
      </c>
      <c r="S538" s="169" t="s">
        <v>283</v>
      </c>
      <c r="T538" s="169">
        <v>0</v>
      </c>
    </row>
    <row r="539" spans="1:20" x14ac:dyDescent="0.2">
      <c r="A539" s="169">
        <v>622</v>
      </c>
      <c r="B539" s="168" t="s">
        <v>8</v>
      </c>
      <c r="C539" s="168" t="s">
        <v>25</v>
      </c>
      <c r="D539" s="173">
        <v>45747</v>
      </c>
      <c r="E539" s="169" t="s">
        <v>531</v>
      </c>
      <c r="F539" s="169" t="s">
        <v>421</v>
      </c>
      <c r="G539" s="169" t="s">
        <v>341</v>
      </c>
      <c r="H539" s="169" t="s">
        <v>402</v>
      </c>
      <c r="I539" s="169" t="s">
        <v>403</v>
      </c>
      <c r="J539" s="169" t="s">
        <v>532</v>
      </c>
      <c r="K539" s="169" t="s">
        <v>533</v>
      </c>
      <c r="L539" s="169" t="s">
        <v>534</v>
      </c>
      <c r="M539" s="169" t="s">
        <v>281</v>
      </c>
      <c r="N539" s="178">
        <v>108199771</v>
      </c>
      <c r="O539" s="169" t="s">
        <v>535</v>
      </c>
      <c r="P539" s="169" t="s">
        <v>283</v>
      </c>
      <c r="Q539" s="169" t="s">
        <v>284</v>
      </c>
      <c r="R539" s="169" t="s">
        <v>283</v>
      </c>
      <c r="S539" s="169" t="s">
        <v>283</v>
      </c>
      <c r="T539" s="169">
        <v>0</v>
      </c>
    </row>
    <row r="540" spans="1:20" x14ac:dyDescent="0.2">
      <c r="A540" s="169">
        <v>622</v>
      </c>
      <c r="B540" s="168" t="s">
        <v>8</v>
      </c>
      <c r="C540" s="168" t="s">
        <v>23</v>
      </c>
      <c r="D540" s="173">
        <v>45747</v>
      </c>
      <c r="E540" s="169" t="s">
        <v>531</v>
      </c>
      <c r="F540" s="169" t="s">
        <v>422</v>
      </c>
      <c r="G540" s="169" t="s">
        <v>423</v>
      </c>
      <c r="H540" s="169" t="s">
        <v>402</v>
      </c>
      <c r="I540" s="169" t="s">
        <v>403</v>
      </c>
      <c r="J540" s="169" t="s">
        <v>532</v>
      </c>
      <c r="K540" s="169" t="s">
        <v>533</v>
      </c>
      <c r="L540" s="169" t="s">
        <v>534</v>
      </c>
      <c r="M540" s="169" t="s">
        <v>281</v>
      </c>
      <c r="N540" s="178">
        <v>301744639</v>
      </c>
      <c r="O540" s="169" t="s">
        <v>535</v>
      </c>
      <c r="P540" s="169" t="s">
        <v>283</v>
      </c>
      <c r="Q540" s="169" t="s">
        <v>284</v>
      </c>
      <c r="R540" s="169" t="s">
        <v>283</v>
      </c>
      <c r="S540" s="169" t="s">
        <v>283</v>
      </c>
      <c r="T540" s="169">
        <v>0</v>
      </c>
    </row>
    <row r="541" spans="1:20" x14ac:dyDescent="0.2">
      <c r="A541" s="169">
        <v>622</v>
      </c>
      <c r="B541" s="168" t="s">
        <v>8</v>
      </c>
      <c r="C541" s="168" t="s">
        <v>25</v>
      </c>
      <c r="D541" s="173">
        <v>45747</v>
      </c>
      <c r="E541" s="169" t="s">
        <v>531</v>
      </c>
      <c r="F541" s="169" t="s">
        <v>414</v>
      </c>
      <c r="G541" s="169" t="s">
        <v>415</v>
      </c>
      <c r="H541" s="169" t="s">
        <v>402</v>
      </c>
      <c r="I541" s="169" t="s">
        <v>403</v>
      </c>
      <c r="J541" s="169" t="s">
        <v>532</v>
      </c>
      <c r="K541" s="169" t="s">
        <v>533</v>
      </c>
      <c r="L541" s="169" t="s">
        <v>534</v>
      </c>
      <c r="M541" s="169" t="s">
        <v>281</v>
      </c>
      <c r="N541" s="178">
        <v>32030000</v>
      </c>
      <c r="O541" s="169" t="s">
        <v>535</v>
      </c>
      <c r="P541" s="169" t="s">
        <v>283</v>
      </c>
      <c r="Q541" s="169" t="s">
        <v>284</v>
      </c>
      <c r="R541" s="169" t="s">
        <v>283</v>
      </c>
      <c r="S541" s="169" t="s">
        <v>283</v>
      </c>
      <c r="T541" s="169">
        <v>0</v>
      </c>
    </row>
    <row r="542" spans="1:20" x14ac:dyDescent="0.2">
      <c r="A542" s="169">
        <v>627</v>
      </c>
      <c r="B542" s="168" t="s">
        <v>8</v>
      </c>
      <c r="C542" s="168" t="s">
        <v>25</v>
      </c>
      <c r="D542" s="173">
        <v>45747</v>
      </c>
      <c r="E542" s="169" t="s">
        <v>531</v>
      </c>
      <c r="F542" s="169" t="s">
        <v>386</v>
      </c>
      <c r="G542" s="169" t="s">
        <v>341</v>
      </c>
      <c r="H542" s="169" t="s">
        <v>402</v>
      </c>
      <c r="I542" s="169" t="s">
        <v>403</v>
      </c>
      <c r="J542" s="169" t="s">
        <v>532</v>
      </c>
      <c r="K542" s="169" t="s">
        <v>533</v>
      </c>
      <c r="L542" s="169" t="s">
        <v>534</v>
      </c>
      <c r="M542" s="169" t="s">
        <v>281</v>
      </c>
      <c r="N542" s="178">
        <v>13529937</v>
      </c>
      <c r="O542" s="169" t="s">
        <v>535</v>
      </c>
      <c r="P542" s="169" t="s">
        <v>283</v>
      </c>
      <c r="Q542" s="169" t="s">
        <v>284</v>
      </c>
      <c r="R542" s="169" t="s">
        <v>283</v>
      </c>
      <c r="S542" s="169" t="s">
        <v>283</v>
      </c>
      <c r="T542" s="169">
        <v>0</v>
      </c>
    </row>
    <row r="543" spans="1:20" x14ac:dyDescent="0.2">
      <c r="A543" s="169">
        <v>627</v>
      </c>
      <c r="B543" s="168" t="s">
        <v>8</v>
      </c>
      <c r="C543" s="168" t="s">
        <v>22</v>
      </c>
      <c r="D543" s="173">
        <v>45747</v>
      </c>
      <c r="E543" s="169" t="s">
        <v>531</v>
      </c>
      <c r="F543" s="169" t="s">
        <v>387</v>
      </c>
      <c r="G543" s="169" t="s">
        <v>275</v>
      </c>
      <c r="H543" s="169" t="s">
        <v>402</v>
      </c>
      <c r="I543" s="169" t="s">
        <v>403</v>
      </c>
      <c r="J543" s="169" t="s">
        <v>532</v>
      </c>
      <c r="K543" s="169" t="s">
        <v>533</v>
      </c>
      <c r="L543" s="169" t="s">
        <v>534</v>
      </c>
      <c r="M543" s="169" t="s">
        <v>281</v>
      </c>
      <c r="N543" s="178">
        <v>422830477</v>
      </c>
      <c r="O543" s="169" t="s">
        <v>535</v>
      </c>
      <c r="P543" s="169" t="s">
        <v>283</v>
      </c>
      <c r="Q543" s="169" t="s">
        <v>284</v>
      </c>
      <c r="R543" s="169" t="s">
        <v>283</v>
      </c>
      <c r="S543" s="169" t="s">
        <v>283</v>
      </c>
      <c r="T543" s="169">
        <v>0</v>
      </c>
    </row>
    <row r="544" spans="1:20" x14ac:dyDescent="0.2">
      <c r="A544" s="169">
        <v>627</v>
      </c>
      <c r="B544" s="168" t="s">
        <v>8</v>
      </c>
      <c r="C544" s="168" t="s">
        <v>22</v>
      </c>
      <c r="D544" s="173">
        <v>45747</v>
      </c>
      <c r="E544" s="169" t="s">
        <v>531</v>
      </c>
      <c r="F544" s="169" t="s">
        <v>388</v>
      </c>
      <c r="G544" s="169" t="s">
        <v>286</v>
      </c>
      <c r="H544" s="169" t="s">
        <v>402</v>
      </c>
      <c r="I544" s="169" t="s">
        <v>403</v>
      </c>
      <c r="J544" s="169" t="s">
        <v>532</v>
      </c>
      <c r="K544" s="169" t="s">
        <v>533</v>
      </c>
      <c r="L544" s="169" t="s">
        <v>534</v>
      </c>
      <c r="M544" s="169" t="s">
        <v>281</v>
      </c>
      <c r="N544" s="178">
        <v>10286000</v>
      </c>
      <c r="O544" s="169" t="s">
        <v>535</v>
      </c>
      <c r="P544" s="169" t="s">
        <v>283</v>
      </c>
      <c r="Q544" s="169" t="s">
        <v>284</v>
      </c>
      <c r="R544" s="169" t="s">
        <v>283</v>
      </c>
      <c r="S544" s="169" t="s">
        <v>283</v>
      </c>
      <c r="T544" s="169">
        <v>0</v>
      </c>
    </row>
    <row r="545" spans="1:20" x14ac:dyDescent="0.2">
      <c r="A545" s="169">
        <v>627</v>
      </c>
      <c r="B545" s="168" t="s">
        <v>8</v>
      </c>
      <c r="C545" s="168" t="s">
        <v>23</v>
      </c>
      <c r="D545" s="173">
        <v>45747</v>
      </c>
      <c r="E545" s="169" t="s">
        <v>531</v>
      </c>
      <c r="F545" s="169" t="s">
        <v>389</v>
      </c>
      <c r="G545" s="169" t="s">
        <v>390</v>
      </c>
      <c r="H545" s="169" t="s">
        <v>402</v>
      </c>
      <c r="I545" s="169" t="s">
        <v>403</v>
      </c>
      <c r="J545" s="169" t="s">
        <v>532</v>
      </c>
      <c r="K545" s="169" t="s">
        <v>533</v>
      </c>
      <c r="L545" s="169" t="s">
        <v>534</v>
      </c>
      <c r="M545" s="169" t="s">
        <v>281</v>
      </c>
      <c r="N545" s="178">
        <v>46621243</v>
      </c>
      <c r="O545" s="169" t="s">
        <v>535</v>
      </c>
      <c r="P545" s="169" t="s">
        <v>283</v>
      </c>
      <c r="Q545" s="169" t="s">
        <v>284</v>
      </c>
      <c r="R545" s="169" t="s">
        <v>283</v>
      </c>
      <c r="S545" s="169" t="s">
        <v>283</v>
      </c>
      <c r="T545" s="169">
        <v>0</v>
      </c>
    </row>
    <row r="546" spans="1:20" x14ac:dyDescent="0.2">
      <c r="A546" s="169">
        <v>627</v>
      </c>
      <c r="B546" s="168" t="s">
        <v>8</v>
      </c>
      <c r="C546" s="168" t="s">
        <v>25</v>
      </c>
      <c r="D546" s="173">
        <v>45747</v>
      </c>
      <c r="E546" s="169" t="s">
        <v>531</v>
      </c>
      <c r="F546" s="169" t="s">
        <v>375</v>
      </c>
      <c r="G546" s="169" t="s">
        <v>336</v>
      </c>
      <c r="H546" s="169" t="s">
        <v>402</v>
      </c>
      <c r="I546" s="169" t="s">
        <v>403</v>
      </c>
      <c r="J546" s="169" t="s">
        <v>532</v>
      </c>
      <c r="K546" s="169" t="s">
        <v>533</v>
      </c>
      <c r="L546" s="169" t="s">
        <v>534</v>
      </c>
      <c r="M546" s="169" t="s">
        <v>281</v>
      </c>
      <c r="N546" s="178">
        <v>3570000</v>
      </c>
      <c r="O546" s="169" t="s">
        <v>535</v>
      </c>
      <c r="P546" s="169" t="s">
        <v>283</v>
      </c>
      <c r="Q546" s="169" t="s">
        <v>284</v>
      </c>
      <c r="R546" s="169" t="s">
        <v>283</v>
      </c>
      <c r="S546" s="169" t="s">
        <v>283</v>
      </c>
      <c r="T546" s="169">
        <v>0</v>
      </c>
    </row>
    <row r="547" spans="1:20" x14ac:dyDescent="0.2">
      <c r="B547" s="168" t="s">
        <v>6</v>
      </c>
      <c r="C547" s="168" t="s">
        <v>22</v>
      </c>
      <c r="D547" s="173">
        <v>45747</v>
      </c>
      <c r="E547" s="169" t="s">
        <v>536</v>
      </c>
      <c r="F547" s="169" t="s">
        <v>388</v>
      </c>
      <c r="G547" s="169" t="s">
        <v>286</v>
      </c>
      <c r="H547" s="169" t="s">
        <v>411</v>
      </c>
      <c r="I547" s="169" t="s">
        <v>412</v>
      </c>
      <c r="J547" s="169" t="s">
        <v>537</v>
      </c>
      <c r="K547" s="169" t="s">
        <v>533</v>
      </c>
      <c r="L547" s="169" t="s">
        <v>534</v>
      </c>
      <c r="M547" s="169" t="s">
        <v>281</v>
      </c>
      <c r="N547" s="178">
        <v>41801583</v>
      </c>
      <c r="O547" s="169" t="s">
        <v>538</v>
      </c>
      <c r="P547" s="169" t="s">
        <v>283</v>
      </c>
      <c r="Q547" s="169" t="s">
        <v>284</v>
      </c>
      <c r="R547" s="169" t="s">
        <v>283</v>
      </c>
      <c r="S547" s="169" t="s">
        <v>283</v>
      </c>
      <c r="T547" s="169">
        <v>0</v>
      </c>
    </row>
    <row r="548" spans="1:20" x14ac:dyDescent="0.2">
      <c r="B548" s="168" t="s">
        <v>6</v>
      </c>
      <c r="C548" s="168" t="s">
        <v>24</v>
      </c>
      <c r="D548" s="173">
        <v>45747</v>
      </c>
      <c r="E548" s="169" t="s">
        <v>536</v>
      </c>
      <c r="F548" s="169" t="s">
        <v>395</v>
      </c>
      <c r="G548" s="169" t="s">
        <v>77</v>
      </c>
      <c r="H548" s="169" t="s">
        <v>411</v>
      </c>
      <c r="I548" s="169" t="s">
        <v>412</v>
      </c>
      <c r="J548" s="169" t="s">
        <v>539</v>
      </c>
      <c r="K548" s="169" t="s">
        <v>533</v>
      </c>
      <c r="L548" s="169" t="s">
        <v>534</v>
      </c>
      <c r="M548" s="169" t="s">
        <v>281</v>
      </c>
      <c r="N548" s="178">
        <v>38457122</v>
      </c>
      <c r="O548" s="169" t="s">
        <v>538</v>
      </c>
      <c r="P548" s="169" t="s">
        <v>283</v>
      </c>
      <c r="Q548" s="169" t="s">
        <v>284</v>
      </c>
      <c r="R548" s="169" t="s">
        <v>283</v>
      </c>
      <c r="S548" s="169" t="s">
        <v>283</v>
      </c>
      <c r="T548" s="169">
        <v>0</v>
      </c>
    </row>
    <row r="549" spans="1:20" x14ac:dyDescent="0.2">
      <c r="B549" s="168" t="s">
        <v>4</v>
      </c>
      <c r="C549" s="168" t="s">
        <v>22</v>
      </c>
      <c r="D549" s="173">
        <v>45747</v>
      </c>
      <c r="E549" s="169" t="s">
        <v>536</v>
      </c>
      <c r="F549" s="169" t="s">
        <v>388</v>
      </c>
      <c r="G549" s="169" t="s">
        <v>286</v>
      </c>
      <c r="H549" s="169" t="s">
        <v>418</v>
      </c>
      <c r="I549" s="169" t="s">
        <v>419</v>
      </c>
      <c r="J549" s="169" t="s">
        <v>537</v>
      </c>
      <c r="K549" s="169" t="s">
        <v>533</v>
      </c>
      <c r="L549" s="169" t="s">
        <v>534</v>
      </c>
      <c r="M549" s="169" t="s">
        <v>281</v>
      </c>
      <c r="N549" s="178">
        <v>13919083</v>
      </c>
      <c r="O549" s="169" t="s">
        <v>538</v>
      </c>
      <c r="P549" s="169" t="s">
        <v>283</v>
      </c>
      <c r="Q549" s="169" t="s">
        <v>284</v>
      </c>
      <c r="R549" s="169" t="s">
        <v>283</v>
      </c>
      <c r="S549" s="169" t="s">
        <v>283</v>
      </c>
      <c r="T549" s="169">
        <v>0</v>
      </c>
    </row>
    <row r="550" spans="1:20" x14ac:dyDescent="0.2">
      <c r="B550" s="168" t="s">
        <v>4</v>
      </c>
      <c r="C550" s="168" t="s">
        <v>24</v>
      </c>
      <c r="D550" s="173">
        <v>45747</v>
      </c>
      <c r="E550" s="169" t="s">
        <v>536</v>
      </c>
      <c r="F550" s="169" t="s">
        <v>395</v>
      </c>
      <c r="G550" s="169" t="s">
        <v>77</v>
      </c>
      <c r="H550" s="169" t="s">
        <v>418</v>
      </c>
      <c r="I550" s="169" t="s">
        <v>419</v>
      </c>
      <c r="J550" s="169" t="s">
        <v>539</v>
      </c>
      <c r="K550" s="169" t="s">
        <v>533</v>
      </c>
      <c r="L550" s="169" t="s">
        <v>534</v>
      </c>
      <c r="M550" s="169" t="s">
        <v>281</v>
      </c>
      <c r="N550" s="178">
        <v>12805445</v>
      </c>
      <c r="O550" s="169" t="s">
        <v>538</v>
      </c>
      <c r="P550" s="169" t="s">
        <v>283</v>
      </c>
      <c r="Q550" s="169" t="s">
        <v>284</v>
      </c>
      <c r="R550" s="169" t="s">
        <v>283</v>
      </c>
      <c r="S550" s="169" t="s">
        <v>283</v>
      </c>
      <c r="T550" s="169">
        <v>0</v>
      </c>
    </row>
    <row r="551" spans="1:20" x14ac:dyDescent="0.2">
      <c r="A551" s="169">
        <v>627</v>
      </c>
      <c r="B551" s="168" t="s">
        <v>8</v>
      </c>
      <c r="C551" s="168" t="s">
        <v>22</v>
      </c>
      <c r="D551" s="173">
        <v>45747</v>
      </c>
      <c r="E551" s="169" t="s">
        <v>536</v>
      </c>
      <c r="F551" s="169" t="s">
        <v>388</v>
      </c>
      <c r="G551" s="169" t="s">
        <v>286</v>
      </c>
      <c r="H551" s="169" t="s">
        <v>402</v>
      </c>
      <c r="I551" s="169" t="s">
        <v>403</v>
      </c>
      <c r="J551" s="169" t="s">
        <v>537</v>
      </c>
      <c r="K551" s="169" t="s">
        <v>533</v>
      </c>
      <c r="L551" s="169" t="s">
        <v>534</v>
      </c>
      <c r="M551" s="169" t="s">
        <v>281</v>
      </c>
      <c r="N551" s="178">
        <v>36089228</v>
      </c>
      <c r="O551" s="169" t="s">
        <v>538</v>
      </c>
      <c r="P551" s="169" t="s">
        <v>283</v>
      </c>
      <c r="Q551" s="169" t="s">
        <v>284</v>
      </c>
      <c r="R551" s="169" t="s">
        <v>283</v>
      </c>
      <c r="S551" s="169" t="s">
        <v>283</v>
      </c>
      <c r="T551" s="169">
        <v>0</v>
      </c>
    </row>
    <row r="552" spans="1:20" x14ac:dyDescent="0.2">
      <c r="A552" s="169">
        <v>622</v>
      </c>
      <c r="B552" s="168" t="s">
        <v>8</v>
      </c>
      <c r="C552" s="168" t="s">
        <v>22</v>
      </c>
      <c r="D552" s="173">
        <v>45747</v>
      </c>
      <c r="E552" s="169" t="s">
        <v>536</v>
      </c>
      <c r="F552" s="169" t="s">
        <v>420</v>
      </c>
      <c r="G552" s="169" t="s">
        <v>286</v>
      </c>
      <c r="H552" s="169" t="s">
        <v>402</v>
      </c>
      <c r="I552" s="169" t="s">
        <v>403</v>
      </c>
      <c r="J552" s="169" t="s">
        <v>537</v>
      </c>
      <c r="K552" s="169" t="s">
        <v>533</v>
      </c>
      <c r="L552" s="169" t="s">
        <v>534</v>
      </c>
      <c r="M552" s="169" t="s">
        <v>281</v>
      </c>
      <c r="N552" s="178">
        <v>98243652</v>
      </c>
      <c r="O552" s="169" t="s">
        <v>538</v>
      </c>
      <c r="P552" s="169" t="s">
        <v>283</v>
      </c>
      <c r="Q552" s="169" t="s">
        <v>284</v>
      </c>
      <c r="R552" s="169" t="s">
        <v>283</v>
      </c>
      <c r="S552" s="169" t="s">
        <v>283</v>
      </c>
      <c r="T552" s="169">
        <v>0</v>
      </c>
    </row>
    <row r="553" spans="1:20" x14ac:dyDescent="0.2">
      <c r="A553" s="169">
        <v>627</v>
      </c>
      <c r="B553" s="168" t="s">
        <v>8</v>
      </c>
      <c r="C553" s="168" t="s">
        <v>24</v>
      </c>
      <c r="D553" s="173">
        <v>45747</v>
      </c>
      <c r="E553" s="169" t="s">
        <v>536</v>
      </c>
      <c r="F553" s="169" t="s">
        <v>395</v>
      </c>
      <c r="G553" s="169" t="s">
        <v>77</v>
      </c>
      <c r="H553" s="169" t="s">
        <v>402</v>
      </c>
      <c r="I553" s="169" t="s">
        <v>403</v>
      </c>
      <c r="J553" s="169" t="s">
        <v>539</v>
      </c>
      <c r="K553" s="169" t="s">
        <v>533</v>
      </c>
      <c r="L553" s="169" t="s">
        <v>534</v>
      </c>
      <c r="M553" s="169" t="s">
        <v>281</v>
      </c>
      <c r="N553" s="178">
        <v>32448118</v>
      </c>
      <c r="O553" s="169" t="s">
        <v>538</v>
      </c>
      <c r="P553" s="169" t="s">
        <v>283</v>
      </c>
      <c r="Q553" s="169" t="s">
        <v>284</v>
      </c>
      <c r="R553" s="169" t="s">
        <v>283</v>
      </c>
      <c r="S553" s="169" t="s">
        <v>283</v>
      </c>
      <c r="T553" s="169">
        <v>0</v>
      </c>
    </row>
    <row r="554" spans="1:20" x14ac:dyDescent="0.2">
      <c r="A554" s="169">
        <v>622</v>
      </c>
      <c r="B554" s="168" t="s">
        <v>8</v>
      </c>
      <c r="C554" s="168" t="s">
        <v>24</v>
      </c>
      <c r="D554" s="173">
        <v>45747</v>
      </c>
      <c r="E554" s="169" t="s">
        <v>536</v>
      </c>
      <c r="F554" s="169" t="s">
        <v>426</v>
      </c>
      <c r="G554" s="169" t="s">
        <v>77</v>
      </c>
      <c r="H554" s="169" t="s">
        <v>402</v>
      </c>
      <c r="I554" s="169" t="s">
        <v>403</v>
      </c>
      <c r="J554" s="169" t="s">
        <v>539</v>
      </c>
      <c r="K554" s="169" t="s">
        <v>533</v>
      </c>
      <c r="L554" s="169" t="s">
        <v>534</v>
      </c>
      <c r="M554" s="169" t="s">
        <v>281</v>
      </c>
      <c r="N554" s="178">
        <v>24967083</v>
      </c>
      <c r="O554" s="169" t="s">
        <v>538</v>
      </c>
      <c r="P554" s="169" t="s">
        <v>283</v>
      </c>
      <c r="Q554" s="169" t="s">
        <v>284</v>
      </c>
      <c r="R554" s="169" t="s">
        <v>283</v>
      </c>
      <c r="S554" s="169" t="s">
        <v>283</v>
      </c>
      <c r="T554" s="169">
        <v>0</v>
      </c>
    </row>
    <row r="555" spans="1:20" x14ac:dyDescent="0.2">
      <c r="B555" s="168" t="s">
        <v>6</v>
      </c>
      <c r="C555" s="168" t="s">
        <v>170</v>
      </c>
      <c r="D555" s="173">
        <v>45747</v>
      </c>
      <c r="E555" s="169" t="s">
        <v>540</v>
      </c>
      <c r="F555" s="169" t="s">
        <v>393</v>
      </c>
      <c r="G555" s="169" t="s">
        <v>296</v>
      </c>
      <c r="H555" s="169" t="s">
        <v>411</v>
      </c>
      <c r="I555" s="169" t="s">
        <v>412</v>
      </c>
      <c r="J555" s="169" t="s">
        <v>541</v>
      </c>
      <c r="K555" s="169" t="s">
        <v>533</v>
      </c>
      <c r="L555" s="169" t="s">
        <v>534</v>
      </c>
      <c r="M555" s="169" t="s">
        <v>281</v>
      </c>
      <c r="N555" s="178">
        <v>102605465</v>
      </c>
      <c r="O555" s="169" t="s">
        <v>542</v>
      </c>
      <c r="P555" s="169" t="s">
        <v>283</v>
      </c>
      <c r="Q555" s="169" t="s">
        <v>284</v>
      </c>
      <c r="R555" s="169" t="s">
        <v>283</v>
      </c>
      <c r="S555" s="169" t="s">
        <v>283</v>
      </c>
      <c r="T555" s="169">
        <v>0</v>
      </c>
    </row>
    <row r="556" spans="1:20" x14ac:dyDescent="0.2">
      <c r="B556" s="168" t="s">
        <v>4</v>
      </c>
      <c r="C556" s="168" t="s">
        <v>170</v>
      </c>
      <c r="D556" s="173">
        <v>45747</v>
      </c>
      <c r="E556" s="169" t="s">
        <v>540</v>
      </c>
      <c r="F556" s="169" t="s">
        <v>393</v>
      </c>
      <c r="G556" s="169" t="s">
        <v>296</v>
      </c>
      <c r="H556" s="169" t="s">
        <v>418</v>
      </c>
      <c r="I556" s="169" t="s">
        <v>419</v>
      </c>
      <c r="J556" s="169" t="s">
        <v>541</v>
      </c>
      <c r="K556" s="169" t="s">
        <v>533</v>
      </c>
      <c r="L556" s="169" t="s">
        <v>534</v>
      </c>
      <c r="M556" s="169" t="s">
        <v>281</v>
      </c>
      <c r="N556" s="178">
        <v>35154315</v>
      </c>
      <c r="O556" s="169" t="s">
        <v>542</v>
      </c>
      <c r="P556" s="169" t="s">
        <v>283</v>
      </c>
      <c r="Q556" s="169" t="s">
        <v>284</v>
      </c>
      <c r="R556" s="169" t="s">
        <v>283</v>
      </c>
      <c r="S556" s="169" t="s">
        <v>283</v>
      </c>
      <c r="T556" s="169">
        <v>0</v>
      </c>
    </row>
    <row r="557" spans="1:20" x14ac:dyDescent="0.2">
      <c r="A557" s="169">
        <v>622</v>
      </c>
      <c r="B557" s="168" t="s">
        <v>8</v>
      </c>
      <c r="C557" s="168" t="s">
        <v>170</v>
      </c>
      <c r="D557" s="173">
        <v>45747</v>
      </c>
      <c r="E557" s="169" t="s">
        <v>540</v>
      </c>
      <c r="F557" s="169" t="s">
        <v>425</v>
      </c>
      <c r="G557" s="169" t="s">
        <v>296</v>
      </c>
      <c r="H557" s="169" t="s">
        <v>402</v>
      </c>
      <c r="I557" s="169" t="s">
        <v>403</v>
      </c>
      <c r="J557" s="169" t="s">
        <v>541</v>
      </c>
      <c r="K557" s="169" t="s">
        <v>533</v>
      </c>
      <c r="L557" s="169" t="s">
        <v>534</v>
      </c>
      <c r="M557" s="169" t="s">
        <v>281</v>
      </c>
      <c r="N557" s="178">
        <v>259650390</v>
      </c>
      <c r="O557" s="169" t="s">
        <v>542</v>
      </c>
      <c r="P557" s="169" t="s">
        <v>283</v>
      </c>
      <c r="Q557" s="169" t="s">
        <v>284</v>
      </c>
      <c r="R557" s="169" t="s">
        <v>283</v>
      </c>
      <c r="S557" s="169" t="s">
        <v>283</v>
      </c>
      <c r="T557" s="169">
        <v>0</v>
      </c>
    </row>
    <row r="558" spans="1:20" x14ac:dyDescent="0.2">
      <c r="A558" s="169">
        <v>627</v>
      </c>
      <c r="B558" s="168" t="s">
        <v>8</v>
      </c>
      <c r="C558" s="168" t="s">
        <v>170</v>
      </c>
      <c r="D558" s="173">
        <v>45747</v>
      </c>
      <c r="E558" s="169" t="s">
        <v>540</v>
      </c>
      <c r="F558" s="169" t="s">
        <v>393</v>
      </c>
      <c r="G558" s="169" t="s">
        <v>296</v>
      </c>
      <c r="H558" s="169" t="s">
        <v>402</v>
      </c>
      <c r="I558" s="169" t="s">
        <v>403</v>
      </c>
      <c r="J558" s="169" t="s">
        <v>541</v>
      </c>
      <c r="K558" s="169" t="s">
        <v>533</v>
      </c>
      <c r="L558" s="169" t="s">
        <v>534</v>
      </c>
      <c r="M558" s="169" t="s">
        <v>281</v>
      </c>
      <c r="N558" s="178">
        <v>126377175</v>
      </c>
      <c r="O558" s="169" t="s">
        <v>542</v>
      </c>
      <c r="P558" s="169" t="s">
        <v>283</v>
      </c>
      <c r="Q558" s="169" t="s">
        <v>284</v>
      </c>
      <c r="R558" s="169" t="s">
        <v>283</v>
      </c>
      <c r="S558" s="169" t="s">
        <v>283</v>
      </c>
      <c r="T558" s="169">
        <v>0</v>
      </c>
    </row>
    <row r="559" spans="1:20" x14ac:dyDescent="0.2">
      <c r="B559" s="168" t="s">
        <v>6</v>
      </c>
      <c r="C559" s="168" t="s">
        <v>170</v>
      </c>
      <c r="D559" s="173">
        <v>45747</v>
      </c>
      <c r="E559" s="169" t="s">
        <v>540</v>
      </c>
      <c r="F559" s="169" t="s">
        <v>393</v>
      </c>
      <c r="G559" s="169" t="s">
        <v>296</v>
      </c>
      <c r="H559" s="169" t="s">
        <v>411</v>
      </c>
      <c r="I559" s="169" t="s">
        <v>412</v>
      </c>
      <c r="J559" s="169" t="s">
        <v>541</v>
      </c>
      <c r="K559" s="169" t="s">
        <v>533</v>
      </c>
      <c r="L559" s="169" t="s">
        <v>534</v>
      </c>
      <c r="M559" s="169" t="s">
        <v>281</v>
      </c>
      <c r="N559" s="178">
        <v>2946900</v>
      </c>
      <c r="O559" s="169" t="s">
        <v>542</v>
      </c>
      <c r="P559" s="169" t="s">
        <v>283</v>
      </c>
      <c r="Q559" s="169" t="s">
        <v>284</v>
      </c>
      <c r="R559" s="169" t="s">
        <v>283</v>
      </c>
      <c r="S559" s="169" t="s">
        <v>283</v>
      </c>
      <c r="T559" s="169">
        <v>0</v>
      </c>
    </row>
    <row r="560" spans="1:20" x14ac:dyDescent="0.2">
      <c r="A560" s="169">
        <v>622</v>
      </c>
      <c r="B560" s="168" t="s">
        <v>8</v>
      </c>
      <c r="C560" s="168" t="s">
        <v>170</v>
      </c>
      <c r="D560" s="173">
        <v>45747</v>
      </c>
      <c r="E560" s="169" t="s">
        <v>540</v>
      </c>
      <c r="F560" s="169" t="s">
        <v>425</v>
      </c>
      <c r="G560" s="169" t="s">
        <v>296</v>
      </c>
      <c r="H560" s="169" t="s">
        <v>402</v>
      </c>
      <c r="I560" s="169" t="s">
        <v>403</v>
      </c>
      <c r="J560" s="169" t="s">
        <v>541</v>
      </c>
      <c r="K560" s="169" t="s">
        <v>533</v>
      </c>
      <c r="L560" s="169" t="s">
        <v>534</v>
      </c>
      <c r="M560" s="169" t="s">
        <v>281</v>
      </c>
      <c r="N560" s="178">
        <v>2568080</v>
      </c>
      <c r="O560" s="169" t="s">
        <v>542</v>
      </c>
      <c r="P560" s="169" t="s">
        <v>283</v>
      </c>
      <c r="Q560" s="169" t="s">
        <v>284</v>
      </c>
      <c r="R560" s="169" t="s">
        <v>283</v>
      </c>
      <c r="S560" s="169" t="s">
        <v>283</v>
      </c>
      <c r="T560" s="169">
        <v>0</v>
      </c>
    </row>
    <row r="561" spans="1:20" x14ac:dyDescent="0.2">
      <c r="A561" s="169">
        <v>627</v>
      </c>
      <c r="B561" s="168" t="s">
        <v>8</v>
      </c>
      <c r="C561" s="168" t="s">
        <v>170</v>
      </c>
      <c r="D561" s="173">
        <v>45747</v>
      </c>
      <c r="E561" s="169" t="s">
        <v>604</v>
      </c>
      <c r="F561" s="169" t="s">
        <v>393</v>
      </c>
      <c r="G561" s="169" t="s">
        <v>296</v>
      </c>
      <c r="H561" s="169" t="s">
        <v>402</v>
      </c>
      <c r="I561" s="169" t="s">
        <v>403</v>
      </c>
      <c r="J561" s="169" t="s">
        <v>541</v>
      </c>
      <c r="K561" s="169" t="s">
        <v>533</v>
      </c>
      <c r="L561" s="169" t="s">
        <v>534</v>
      </c>
      <c r="M561" s="169" t="s">
        <v>281</v>
      </c>
      <c r="N561" s="178">
        <v>-1908210</v>
      </c>
      <c r="O561" s="169" t="s">
        <v>605</v>
      </c>
      <c r="P561" s="169" t="s">
        <v>283</v>
      </c>
      <c r="Q561" s="169" t="s">
        <v>284</v>
      </c>
      <c r="R561" s="169" t="s">
        <v>283</v>
      </c>
      <c r="S561" s="169" t="s">
        <v>283</v>
      </c>
      <c r="T561" s="169">
        <v>0</v>
      </c>
    </row>
    <row r="562" spans="1:20" x14ac:dyDescent="0.2">
      <c r="A562" s="169">
        <v>627</v>
      </c>
      <c r="B562" s="168" t="s">
        <v>8</v>
      </c>
      <c r="C562" s="168" t="s">
        <v>25</v>
      </c>
      <c r="D562" s="173">
        <v>45745</v>
      </c>
      <c r="E562" s="169" t="s">
        <v>546</v>
      </c>
      <c r="F562" s="169" t="s">
        <v>375</v>
      </c>
      <c r="G562" s="169" t="s">
        <v>336</v>
      </c>
      <c r="H562" s="169" t="s">
        <v>402</v>
      </c>
      <c r="I562" s="169" t="s">
        <v>403</v>
      </c>
      <c r="J562" s="169" t="s">
        <v>547</v>
      </c>
      <c r="K562" s="169" t="s">
        <v>338</v>
      </c>
      <c r="L562" s="169" t="s">
        <v>534</v>
      </c>
      <c r="M562" s="169" t="s">
        <v>281</v>
      </c>
      <c r="N562" s="178">
        <v>109675000</v>
      </c>
      <c r="O562" s="169" t="s">
        <v>548</v>
      </c>
      <c r="P562" s="169" t="s">
        <v>283</v>
      </c>
      <c r="Q562" s="169" t="s">
        <v>306</v>
      </c>
      <c r="R562" s="169" t="s">
        <v>283</v>
      </c>
      <c r="S562" s="169" t="s">
        <v>283</v>
      </c>
      <c r="T562" s="169">
        <v>0</v>
      </c>
    </row>
    <row r="563" spans="1:20" x14ac:dyDescent="0.2">
      <c r="B563" s="168" t="s">
        <v>6</v>
      </c>
      <c r="C563" s="168" t="s">
        <v>25</v>
      </c>
      <c r="D563" s="173">
        <v>45745</v>
      </c>
      <c r="E563" s="169" t="s">
        <v>546</v>
      </c>
      <c r="F563" s="169" t="s">
        <v>375</v>
      </c>
      <c r="G563" s="169" t="s">
        <v>336</v>
      </c>
      <c r="H563" s="169" t="s">
        <v>411</v>
      </c>
      <c r="I563" s="169" t="s">
        <v>412</v>
      </c>
      <c r="J563" s="169" t="s">
        <v>547</v>
      </c>
      <c r="K563" s="169" t="s">
        <v>338</v>
      </c>
      <c r="L563" s="169" t="s">
        <v>534</v>
      </c>
      <c r="M563" s="169" t="s">
        <v>281</v>
      </c>
      <c r="N563" s="178">
        <v>29775000</v>
      </c>
      <c r="O563" s="169" t="s">
        <v>548</v>
      </c>
      <c r="P563" s="169" t="s">
        <v>283</v>
      </c>
      <c r="Q563" s="169" t="s">
        <v>306</v>
      </c>
      <c r="R563" s="169" t="s">
        <v>283</v>
      </c>
      <c r="S563" s="169" t="s">
        <v>283</v>
      </c>
      <c r="T563" s="169">
        <v>0</v>
      </c>
    </row>
    <row r="564" spans="1:20" x14ac:dyDescent="0.2">
      <c r="A564" s="169">
        <v>622</v>
      </c>
      <c r="B564" s="168" t="s">
        <v>8</v>
      </c>
      <c r="C564" s="168" t="s">
        <v>25</v>
      </c>
      <c r="D564" s="173">
        <v>45747</v>
      </c>
      <c r="E564" s="169" t="s">
        <v>606</v>
      </c>
      <c r="F564" s="169" t="s">
        <v>414</v>
      </c>
      <c r="G564" s="169" t="s">
        <v>415</v>
      </c>
      <c r="H564" s="169" t="s">
        <v>402</v>
      </c>
      <c r="I564" s="169" t="s">
        <v>403</v>
      </c>
      <c r="J564" s="169" t="s">
        <v>416</v>
      </c>
      <c r="K564" s="169" t="s">
        <v>416</v>
      </c>
      <c r="L564" s="169" t="s">
        <v>534</v>
      </c>
      <c r="M564" s="169" t="s">
        <v>281</v>
      </c>
      <c r="N564" s="178">
        <v>88425000</v>
      </c>
      <c r="O564" s="169" t="s">
        <v>607</v>
      </c>
      <c r="P564" s="169" t="s">
        <v>283</v>
      </c>
      <c r="Q564" s="169" t="s">
        <v>348</v>
      </c>
      <c r="R564" s="169" t="s">
        <v>283</v>
      </c>
      <c r="S564" s="169" t="s">
        <v>283</v>
      </c>
      <c r="T564" s="169">
        <v>0</v>
      </c>
    </row>
    <row r="565" spans="1:20" x14ac:dyDescent="0.2">
      <c r="A565" s="169">
        <v>627</v>
      </c>
      <c r="B565" s="168" t="s">
        <v>8</v>
      </c>
      <c r="C565" s="168" t="s">
        <v>25</v>
      </c>
      <c r="D565" s="173">
        <v>45747</v>
      </c>
      <c r="E565" s="169" t="s">
        <v>606</v>
      </c>
      <c r="F565" s="169" t="s">
        <v>375</v>
      </c>
      <c r="G565" s="169" t="s">
        <v>336</v>
      </c>
      <c r="H565" s="169" t="s">
        <v>402</v>
      </c>
      <c r="I565" s="169" t="s">
        <v>403</v>
      </c>
      <c r="J565" s="169" t="s">
        <v>416</v>
      </c>
      <c r="K565" s="169" t="s">
        <v>416</v>
      </c>
      <c r="L565" s="169" t="s">
        <v>534</v>
      </c>
      <c r="M565" s="169" t="s">
        <v>281</v>
      </c>
      <c r="N565" s="178">
        <v>-88425000</v>
      </c>
      <c r="O565" s="169" t="s">
        <v>607</v>
      </c>
      <c r="P565" s="169" t="s">
        <v>283</v>
      </c>
      <c r="Q565" s="169" t="s">
        <v>348</v>
      </c>
      <c r="R565" s="169" t="s">
        <v>283</v>
      </c>
      <c r="S565" s="169" t="s">
        <v>283</v>
      </c>
      <c r="T565" s="169">
        <v>0</v>
      </c>
    </row>
    <row r="566" spans="1:20" x14ac:dyDescent="0.2">
      <c r="A566" s="169">
        <v>622</v>
      </c>
      <c r="B566" s="168" t="s">
        <v>8</v>
      </c>
      <c r="C566" s="168" t="s">
        <v>25</v>
      </c>
      <c r="D566" s="173">
        <v>45747</v>
      </c>
      <c r="E566" s="169" t="s">
        <v>608</v>
      </c>
      <c r="F566" s="169" t="s">
        <v>414</v>
      </c>
      <c r="G566" s="169" t="s">
        <v>415</v>
      </c>
      <c r="H566" s="169" t="s">
        <v>402</v>
      </c>
      <c r="I566" s="169" t="s">
        <v>403</v>
      </c>
      <c r="J566" s="169" t="s">
        <v>416</v>
      </c>
      <c r="K566" s="169" t="s">
        <v>416</v>
      </c>
      <c r="L566" s="169" t="s">
        <v>534</v>
      </c>
      <c r="M566" s="169" t="s">
        <v>281</v>
      </c>
      <c r="N566" s="178">
        <v>-88425000</v>
      </c>
      <c r="O566" s="169" t="s">
        <v>609</v>
      </c>
      <c r="P566" s="169" t="s">
        <v>447</v>
      </c>
      <c r="Q566" s="169" t="s">
        <v>284</v>
      </c>
      <c r="R566" s="169" t="s">
        <v>283</v>
      </c>
      <c r="S566" s="169" t="s">
        <v>283</v>
      </c>
      <c r="T566" s="169">
        <v>0</v>
      </c>
    </row>
    <row r="567" spans="1:20" x14ac:dyDescent="0.2">
      <c r="A567" s="169">
        <v>627</v>
      </c>
      <c r="B567" s="168" t="s">
        <v>8</v>
      </c>
      <c r="C567" s="168" t="s">
        <v>25</v>
      </c>
      <c r="D567" s="173">
        <v>45747</v>
      </c>
      <c r="E567" s="169" t="s">
        <v>608</v>
      </c>
      <c r="F567" s="169" t="s">
        <v>375</v>
      </c>
      <c r="G567" s="169" t="s">
        <v>336</v>
      </c>
      <c r="H567" s="169" t="s">
        <v>402</v>
      </c>
      <c r="I567" s="169" t="s">
        <v>403</v>
      </c>
      <c r="J567" s="169" t="s">
        <v>416</v>
      </c>
      <c r="K567" s="169" t="s">
        <v>416</v>
      </c>
      <c r="L567" s="169" t="s">
        <v>534</v>
      </c>
      <c r="M567" s="169" t="s">
        <v>281</v>
      </c>
      <c r="N567" s="178">
        <v>88425000</v>
      </c>
      <c r="O567" s="169" t="s">
        <v>609</v>
      </c>
      <c r="P567" s="169" t="s">
        <v>447</v>
      </c>
      <c r="Q567" s="169" t="s">
        <v>284</v>
      </c>
      <c r="R567" s="169" t="s">
        <v>283</v>
      </c>
      <c r="S567" s="169" t="s">
        <v>283</v>
      </c>
      <c r="T567" s="169">
        <v>0</v>
      </c>
    </row>
    <row r="568" spans="1:20" x14ac:dyDescent="0.2">
      <c r="A568" s="169">
        <v>622</v>
      </c>
      <c r="B568" s="168" t="s">
        <v>8</v>
      </c>
      <c r="C568" s="168" t="s">
        <v>25</v>
      </c>
      <c r="D568" s="173">
        <v>45747</v>
      </c>
      <c r="E568" s="169" t="s">
        <v>610</v>
      </c>
      <c r="F568" s="169" t="s">
        <v>414</v>
      </c>
      <c r="G568" s="169" t="s">
        <v>415</v>
      </c>
      <c r="H568" s="169" t="s">
        <v>402</v>
      </c>
      <c r="I568" s="169" t="s">
        <v>403</v>
      </c>
      <c r="J568" s="169" t="s">
        <v>416</v>
      </c>
      <c r="K568" s="169" t="s">
        <v>416</v>
      </c>
      <c r="L568" s="169" t="s">
        <v>534</v>
      </c>
      <c r="M568" s="169" t="s">
        <v>281</v>
      </c>
      <c r="N568" s="178">
        <v>88425000</v>
      </c>
      <c r="O568" s="169" t="s">
        <v>611</v>
      </c>
      <c r="P568" s="169" t="s">
        <v>283</v>
      </c>
      <c r="Q568" s="169" t="s">
        <v>348</v>
      </c>
      <c r="R568" s="169" t="s">
        <v>283</v>
      </c>
      <c r="S568" s="169" t="s">
        <v>283</v>
      </c>
      <c r="T568" s="169">
        <v>0</v>
      </c>
    </row>
    <row r="569" spans="1:20" x14ac:dyDescent="0.2">
      <c r="A569" s="169">
        <v>627</v>
      </c>
      <c r="B569" s="168" t="s">
        <v>8</v>
      </c>
      <c r="C569" s="168" t="s">
        <v>25</v>
      </c>
      <c r="D569" s="173">
        <v>45747</v>
      </c>
      <c r="E569" s="169" t="s">
        <v>610</v>
      </c>
      <c r="F569" s="169" t="s">
        <v>375</v>
      </c>
      <c r="G569" s="169" t="s">
        <v>336</v>
      </c>
      <c r="H569" s="169" t="s">
        <v>402</v>
      </c>
      <c r="I569" s="169" t="s">
        <v>403</v>
      </c>
      <c r="J569" s="169" t="s">
        <v>416</v>
      </c>
      <c r="K569" s="169" t="s">
        <v>416</v>
      </c>
      <c r="L569" s="169" t="s">
        <v>534</v>
      </c>
      <c r="M569" s="169" t="s">
        <v>281</v>
      </c>
      <c r="N569" s="178">
        <v>-88425000</v>
      </c>
      <c r="O569" s="169" t="s">
        <v>611</v>
      </c>
      <c r="P569" s="169" t="s">
        <v>283</v>
      </c>
      <c r="Q569" s="169" t="s">
        <v>348</v>
      </c>
      <c r="R569" s="169" t="s">
        <v>283</v>
      </c>
      <c r="S569" s="169" t="s">
        <v>283</v>
      </c>
      <c r="T569" s="169">
        <v>0</v>
      </c>
    </row>
    <row r="570" spans="1:20" x14ac:dyDescent="0.2">
      <c r="A570" s="169">
        <v>622</v>
      </c>
      <c r="B570" s="168" t="s">
        <v>8</v>
      </c>
      <c r="C570" s="168" t="s">
        <v>22</v>
      </c>
      <c r="D570" s="173">
        <v>45717</v>
      </c>
      <c r="E570" s="169" t="s">
        <v>598</v>
      </c>
      <c r="F570" s="169" t="s">
        <v>400</v>
      </c>
      <c r="G570" s="169" t="s">
        <v>401</v>
      </c>
      <c r="H570" s="169" t="s">
        <v>430</v>
      </c>
      <c r="I570" s="169" t="s">
        <v>431</v>
      </c>
      <c r="J570" s="169" t="s">
        <v>612</v>
      </c>
      <c r="K570" s="169" t="s">
        <v>405</v>
      </c>
      <c r="L570" s="169" t="s">
        <v>534</v>
      </c>
      <c r="M570" s="169" t="s">
        <v>281</v>
      </c>
      <c r="N570" s="178">
        <v>44869048</v>
      </c>
      <c r="O570" s="169" t="s">
        <v>600</v>
      </c>
      <c r="P570" s="169" t="s">
        <v>283</v>
      </c>
      <c r="Q570" s="169" t="s">
        <v>306</v>
      </c>
      <c r="R570" s="169" t="s">
        <v>283</v>
      </c>
      <c r="S570" s="169" t="s">
        <v>283</v>
      </c>
      <c r="T570" s="169">
        <v>0</v>
      </c>
    </row>
    <row r="571" spans="1:20" x14ac:dyDescent="0.2">
      <c r="A571" s="169">
        <v>622</v>
      </c>
      <c r="B571" s="168" t="s">
        <v>8</v>
      </c>
      <c r="C571" s="168" t="s">
        <v>22</v>
      </c>
      <c r="D571" s="173">
        <v>45726</v>
      </c>
      <c r="E571" s="169" t="s">
        <v>613</v>
      </c>
      <c r="F571" s="169" t="s">
        <v>400</v>
      </c>
      <c r="G571" s="169" t="s">
        <v>401</v>
      </c>
      <c r="H571" s="169" t="s">
        <v>430</v>
      </c>
      <c r="I571" s="169" t="s">
        <v>431</v>
      </c>
      <c r="J571" s="169" t="s">
        <v>614</v>
      </c>
      <c r="K571" s="169" t="s">
        <v>405</v>
      </c>
      <c r="L571" s="169" t="s">
        <v>534</v>
      </c>
      <c r="M571" s="169" t="s">
        <v>281</v>
      </c>
      <c r="N571" s="178">
        <v>4800000</v>
      </c>
      <c r="O571" s="169" t="s">
        <v>615</v>
      </c>
      <c r="P571" s="169" t="s">
        <v>283</v>
      </c>
      <c r="Q571" s="169" t="s">
        <v>306</v>
      </c>
      <c r="R571" s="169" t="s">
        <v>283</v>
      </c>
      <c r="S571" s="169" t="s">
        <v>283</v>
      </c>
      <c r="T571" s="169">
        <v>0</v>
      </c>
    </row>
    <row r="572" spans="1:20" x14ac:dyDescent="0.2">
      <c r="A572" s="169">
        <v>622</v>
      </c>
      <c r="B572" s="168" t="s">
        <v>8</v>
      </c>
      <c r="C572" s="168" t="s">
        <v>22</v>
      </c>
      <c r="D572" s="173">
        <v>45744</v>
      </c>
      <c r="E572" s="169" t="s">
        <v>601</v>
      </c>
      <c r="F572" s="169" t="s">
        <v>400</v>
      </c>
      <c r="G572" s="169" t="s">
        <v>401</v>
      </c>
      <c r="H572" s="169" t="s">
        <v>430</v>
      </c>
      <c r="I572" s="169" t="s">
        <v>431</v>
      </c>
      <c r="J572" s="169" t="s">
        <v>616</v>
      </c>
      <c r="K572" s="169" t="s">
        <v>405</v>
      </c>
      <c r="L572" s="169" t="s">
        <v>534</v>
      </c>
      <c r="M572" s="169" t="s">
        <v>281</v>
      </c>
      <c r="N572" s="178">
        <v>72940972</v>
      </c>
      <c r="O572" s="169" t="s">
        <v>603</v>
      </c>
      <c r="P572" s="169" t="s">
        <v>283</v>
      </c>
      <c r="Q572" s="169" t="s">
        <v>306</v>
      </c>
      <c r="R572" s="169" t="s">
        <v>283</v>
      </c>
      <c r="S572" s="169" t="s">
        <v>283</v>
      </c>
      <c r="T572" s="169">
        <v>0</v>
      </c>
    </row>
    <row r="573" spans="1:20" x14ac:dyDescent="0.2">
      <c r="A573" s="169">
        <v>622</v>
      </c>
      <c r="B573" s="168" t="s">
        <v>8</v>
      </c>
      <c r="C573" s="168" t="s">
        <v>22</v>
      </c>
      <c r="D573" s="173">
        <v>45744</v>
      </c>
      <c r="E573" s="169" t="s">
        <v>601</v>
      </c>
      <c r="F573" s="169" t="s">
        <v>400</v>
      </c>
      <c r="G573" s="169" t="s">
        <v>401</v>
      </c>
      <c r="H573" s="169" t="s">
        <v>430</v>
      </c>
      <c r="I573" s="169" t="s">
        <v>431</v>
      </c>
      <c r="J573" s="169" t="s">
        <v>617</v>
      </c>
      <c r="K573" s="169" t="s">
        <v>405</v>
      </c>
      <c r="L573" s="169" t="s">
        <v>534</v>
      </c>
      <c r="M573" s="169" t="s">
        <v>281</v>
      </c>
      <c r="N573" s="178">
        <v>3000000</v>
      </c>
      <c r="O573" s="169" t="s">
        <v>603</v>
      </c>
      <c r="P573" s="169" t="s">
        <v>283</v>
      </c>
      <c r="Q573" s="169" t="s">
        <v>306</v>
      </c>
      <c r="R573" s="169" t="s">
        <v>283</v>
      </c>
      <c r="S573" s="169" t="s">
        <v>283</v>
      </c>
      <c r="T573" s="169">
        <v>0</v>
      </c>
    </row>
    <row r="574" spans="1:20" x14ac:dyDescent="0.2">
      <c r="A574" s="169">
        <v>622</v>
      </c>
      <c r="B574" s="168" t="s">
        <v>8</v>
      </c>
      <c r="C574" s="168" t="s">
        <v>22</v>
      </c>
      <c r="D574" s="173">
        <v>45747</v>
      </c>
      <c r="E574" s="169" t="s">
        <v>531</v>
      </c>
      <c r="F574" s="169" t="s">
        <v>400</v>
      </c>
      <c r="G574" s="169" t="s">
        <v>401</v>
      </c>
      <c r="H574" s="169" t="s">
        <v>430</v>
      </c>
      <c r="I574" s="169" t="s">
        <v>431</v>
      </c>
      <c r="J574" s="169" t="s">
        <v>532</v>
      </c>
      <c r="K574" s="169" t="s">
        <v>533</v>
      </c>
      <c r="L574" s="169" t="s">
        <v>534</v>
      </c>
      <c r="M574" s="169" t="s">
        <v>281</v>
      </c>
      <c r="N574" s="178">
        <v>220083491</v>
      </c>
      <c r="O574" s="169" t="s">
        <v>535</v>
      </c>
      <c r="P574" s="169" t="s">
        <v>283</v>
      </c>
      <c r="Q574" s="169" t="s">
        <v>284</v>
      </c>
      <c r="R574" s="169" t="s">
        <v>283</v>
      </c>
      <c r="S574" s="169" t="s">
        <v>283</v>
      </c>
      <c r="T574" s="169">
        <v>0</v>
      </c>
    </row>
    <row r="575" spans="1:20" x14ac:dyDescent="0.2">
      <c r="A575" s="169">
        <v>622</v>
      </c>
      <c r="B575" s="168" t="s">
        <v>8</v>
      </c>
      <c r="C575" s="168" t="s">
        <v>22</v>
      </c>
      <c r="D575" s="173">
        <v>45747</v>
      </c>
      <c r="E575" s="169" t="s">
        <v>531</v>
      </c>
      <c r="F575" s="169" t="s">
        <v>420</v>
      </c>
      <c r="G575" s="169" t="s">
        <v>286</v>
      </c>
      <c r="H575" s="169" t="s">
        <v>430</v>
      </c>
      <c r="I575" s="169" t="s">
        <v>431</v>
      </c>
      <c r="J575" s="169" t="s">
        <v>532</v>
      </c>
      <c r="K575" s="169" t="s">
        <v>533</v>
      </c>
      <c r="L575" s="169" t="s">
        <v>534</v>
      </c>
      <c r="M575" s="169" t="s">
        <v>281</v>
      </c>
      <c r="N575" s="178">
        <v>1143847</v>
      </c>
      <c r="O575" s="169" t="s">
        <v>535</v>
      </c>
      <c r="P575" s="169" t="s">
        <v>283</v>
      </c>
      <c r="Q575" s="169" t="s">
        <v>284</v>
      </c>
      <c r="R575" s="169" t="s">
        <v>283</v>
      </c>
      <c r="S575" s="169" t="s">
        <v>283</v>
      </c>
      <c r="T575" s="169">
        <v>0</v>
      </c>
    </row>
    <row r="576" spans="1:20" x14ac:dyDescent="0.2">
      <c r="A576" s="169">
        <v>622</v>
      </c>
      <c r="B576" s="168" t="s">
        <v>8</v>
      </c>
      <c r="C576" s="168" t="s">
        <v>25</v>
      </c>
      <c r="D576" s="173">
        <v>45747</v>
      </c>
      <c r="E576" s="169" t="s">
        <v>531</v>
      </c>
      <c r="F576" s="169" t="s">
        <v>421</v>
      </c>
      <c r="G576" s="169" t="s">
        <v>341</v>
      </c>
      <c r="H576" s="169" t="s">
        <v>430</v>
      </c>
      <c r="I576" s="169" t="s">
        <v>431</v>
      </c>
      <c r="J576" s="169" t="s">
        <v>532</v>
      </c>
      <c r="K576" s="169" t="s">
        <v>533</v>
      </c>
      <c r="L576" s="169" t="s">
        <v>534</v>
      </c>
      <c r="M576" s="169" t="s">
        <v>281</v>
      </c>
      <c r="N576" s="178">
        <v>18366745</v>
      </c>
      <c r="O576" s="169" t="s">
        <v>535</v>
      </c>
      <c r="P576" s="169" t="s">
        <v>283</v>
      </c>
      <c r="Q576" s="169" t="s">
        <v>284</v>
      </c>
      <c r="R576" s="169" t="s">
        <v>283</v>
      </c>
      <c r="S576" s="169" t="s">
        <v>283</v>
      </c>
      <c r="T576" s="169">
        <v>0</v>
      </c>
    </row>
    <row r="577" spans="1:20" x14ac:dyDescent="0.2">
      <c r="A577" s="169">
        <v>622</v>
      </c>
      <c r="B577" s="168" t="s">
        <v>8</v>
      </c>
      <c r="C577" s="168" t="s">
        <v>23</v>
      </c>
      <c r="D577" s="173">
        <v>45747</v>
      </c>
      <c r="E577" s="169" t="s">
        <v>531</v>
      </c>
      <c r="F577" s="169" t="s">
        <v>422</v>
      </c>
      <c r="G577" s="169" t="s">
        <v>423</v>
      </c>
      <c r="H577" s="169" t="s">
        <v>430</v>
      </c>
      <c r="I577" s="169" t="s">
        <v>431</v>
      </c>
      <c r="J577" s="169" t="s">
        <v>532</v>
      </c>
      <c r="K577" s="169" t="s">
        <v>533</v>
      </c>
      <c r="L577" s="169" t="s">
        <v>534</v>
      </c>
      <c r="M577" s="169" t="s">
        <v>281</v>
      </c>
      <c r="N577" s="178">
        <v>47759954</v>
      </c>
      <c r="O577" s="169" t="s">
        <v>535</v>
      </c>
      <c r="P577" s="169" t="s">
        <v>283</v>
      </c>
      <c r="Q577" s="169" t="s">
        <v>284</v>
      </c>
      <c r="R577" s="169" t="s">
        <v>283</v>
      </c>
      <c r="S577" s="169" t="s">
        <v>283</v>
      </c>
      <c r="T577" s="169">
        <v>0</v>
      </c>
    </row>
    <row r="578" spans="1:20" x14ac:dyDescent="0.2">
      <c r="A578" s="169">
        <v>622</v>
      </c>
      <c r="B578" s="168" t="s">
        <v>8</v>
      </c>
      <c r="C578" s="168" t="s">
        <v>25</v>
      </c>
      <c r="D578" s="173">
        <v>45747</v>
      </c>
      <c r="E578" s="169" t="s">
        <v>531</v>
      </c>
      <c r="F578" s="169" t="s">
        <v>414</v>
      </c>
      <c r="G578" s="169" t="s">
        <v>415</v>
      </c>
      <c r="H578" s="169" t="s">
        <v>430</v>
      </c>
      <c r="I578" s="169" t="s">
        <v>431</v>
      </c>
      <c r="J578" s="169" t="s">
        <v>532</v>
      </c>
      <c r="K578" s="169" t="s">
        <v>533</v>
      </c>
      <c r="L578" s="169" t="s">
        <v>534</v>
      </c>
      <c r="M578" s="169" t="s">
        <v>281</v>
      </c>
      <c r="N578" s="178">
        <v>5140000</v>
      </c>
      <c r="O578" s="169" t="s">
        <v>535</v>
      </c>
      <c r="P578" s="169" t="s">
        <v>283</v>
      </c>
      <c r="Q578" s="169" t="s">
        <v>284</v>
      </c>
      <c r="R578" s="169" t="s">
        <v>283</v>
      </c>
      <c r="S578" s="169" t="s">
        <v>283</v>
      </c>
      <c r="T578" s="169">
        <v>0</v>
      </c>
    </row>
    <row r="579" spans="1:20" x14ac:dyDescent="0.2">
      <c r="A579" s="169">
        <v>627</v>
      </c>
      <c r="B579" s="168" t="s">
        <v>8</v>
      </c>
      <c r="C579" s="168" t="s">
        <v>25</v>
      </c>
      <c r="D579" s="173">
        <v>45747</v>
      </c>
      <c r="E579" s="169" t="s">
        <v>531</v>
      </c>
      <c r="F579" s="169" t="s">
        <v>386</v>
      </c>
      <c r="G579" s="169" t="s">
        <v>341</v>
      </c>
      <c r="H579" s="169" t="s">
        <v>430</v>
      </c>
      <c r="I579" s="169" t="s">
        <v>431</v>
      </c>
      <c r="J579" s="169" t="s">
        <v>532</v>
      </c>
      <c r="K579" s="169" t="s">
        <v>533</v>
      </c>
      <c r="L579" s="169" t="s">
        <v>534</v>
      </c>
      <c r="M579" s="169" t="s">
        <v>281</v>
      </c>
      <c r="N579" s="178">
        <v>8733352</v>
      </c>
      <c r="O579" s="169" t="s">
        <v>535</v>
      </c>
      <c r="P579" s="169" t="s">
        <v>283</v>
      </c>
      <c r="Q579" s="169" t="s">
        <v>284</v>
      </c>
      <c r="R579" s="169" t="s">
        <v>283</v>
      </c>
      <c r="S579" s="169" t="s">
        <v>283</v>
      </c>
      <c r="T579" s="169">
        <v>0</v>
      </c>
    </row>
    <row r="580" spans="1:20" x14ac:dyDescent="0.2">
      <c r="A580" s="169">
        <v>627</v>
      </c>
      <c r="B580" s="168" t="s">
        <v>8</v>
      </c>
      <c r="C580" s="168" t="s">
        <v>22</v>
      </c>
      <c r="D580" s="173">
        <v>45747</v>
      </c>
      <c r="E580" s="169" t="s">
        <v>531</v>
      </c>
      <c r="F580" s="169" t="s">
        <v>387</v>
      </c>
      <c r="G580" s="169" t="s">
        <v>275</v>
      </c>
      <c r="H580" s="169" t="s">
        <v>430</v>
      </c>
      <c r="I580" s="169" t="s">
        <v>431</v>
      </c>
      <c r="J580" s="169" t="s">
        <v>532</v>
      </c>
      <c r="K580" s="169" t="s">
        <v>533</v>
      </c>
      <c r="L580" s="169" t="s">
        <v>534</v>
      </c>
      <c r="M580" s="169" t="s">
        <v>281</v>
      </c>
      <c r="N580" s="178">
        <v>156450015</v>
      </c>
      <c r="O580" s="169" t="s">
        <v>535</v>
      </c>
      <c r="P580" s="169" t="s">
        <v>283</v>
      </c>
      <c r="Q580" s="169" t="s">
        <v>284</v>
      </c>
      <c r="R580" s="169" t="s">
        <v>283</v>
      </c>
      <c r="S580" s="169" t="s">
        <v>283</v>
      </c>
      <c r="T580" s="169">
        <v>0</v>
      </c>
    </row>
    <row r="581" spans="1:20" x14ac:dyDescent="0.2">
      <c r="A581" s="169">
        <v>627</v>
      </c>
      <c r="B581" s="168" t="s">
        <v>8</v>
      </c>
      <c r="C581" s="168" t="s">
        <v>22</v>
      </c>
      <c r="D581" s="173">
        <v>45747</v>
      </c>
      <c r="E581" s="169" t="s">
        <v>531</v>
      </c>
      <c r="F581" s="169" t="s">
        <v>388</v>
      </c>
      <c r="G581" s="169" t="s">
        <v>286</v>
      </c>
      <c r="H581" s="169" t="s">
        <v>430</v>
      </c>
      <c r="I581" s="169" t="s">
        <v>431</v>
      </c>
      <c r="J581" s="169" t="s">
        <v>532</v>
      </c>
      <c r="K581" s="169" t="s">
        <v>533</v>
      </c>
      <c r="L581" s="169" t="s">
        <v>534</v>
      </c>
      <c r="M581" s="169" t="s">
        <v>281</v>
      </c>
      <c r="N581" s="178">
        <v>4384231</v>
      </c>
      <c r="O581" s="169" t="s">
        <v>535</v>
      </c>
      <c r="P581" s="169" t="s">
        <v>283</v>
      </c>
      <c r="Q581" s="169" t="s">
        <v>284</v>
      </c>
      <c r="R581" s="169" t="s">
        <v>283</v>
      </c>
      <c r="S581" s="169" t="s">
        <v>283</v>
      </c>
      <c r="T581" s="169">
        <v>0</v>
      </c>
    </row>
    <row r="582" spans="1:20" x14ac:dyDescent="0.2">
      <c r="A582" s="169">
        <v>622</v>
      </c>
      <c r="B582" s="168" t="s">
        <v>8</v>
      </c>
      <c r="C582" s="168" t="s">
        <v>22</v>
      </c>
      <c r="D582" s="173">
        <v>45747</v>
      </c>
      <c r="E582" s="169" t="s">
        <v>536</v>
      </c>
      <c r="F582" s="169" t="s">
        <v>420</v>
      </c>
      <c r="G582" s="169" t="s">
        <v>286</v>
      </c>
      <c r="H582" s="169" t="s">
        <v>430</v>
      </c>
      <c r="I582" s="169" t="s">
        <v>431</v>
      </c>
      <c r="J582" s="169" t="s">
        <v>537</v>
      </c>
      <c r="K582" s="169" t="s">
        <v>533</v>
      </c>
      <c r="L582" s="169" t="s">
        <v>534</v>
      </c>
      <c r="M582" s="169" t="s">
        <v>281</v>
      </c>
      <c r="N582" s="178">
        <v>16000175</v>
      </c>
      <c r="O582" s="169" t="s">
        <v>538</v>
      </c>
      <c r="P582" s="169" t="s">
        <v>283</v>
      </c>
      <c r="Q582" s="169" t="s">
        <v>284</v>
      </c>
      <c r="R582" s="169" t="s">
        <v>283</v>
      </c>
      <c r="S582" s="169" t="s">
        <v>283</v>
      </c>
      <c r="T582" s="169">
        <v>0</v>
      </c>
    </row>
    <row r="583" spans="1:20" x14ac:dyDescent="0.2">
      <c r="A583" s="169">
        <v>622</v>
      </c>
      <c r="B583" s="168" t="s">
        <v>8</v>
      </c>
      <c r="C583" s="168" t="s">
        <v>24</v>
      </c>
      <c r="D583" s="173">
        <v>45747</v>
      </c>
      <c r="E583" s="169" t="s">
        <v>536</v>
      </c>
      <c r="F583" s="169" t="s">
        <v>426</v>
      </c>
      <c r="G583" s="169" t="s">
        <v>77</v>
      </c>
      <c r="H583" s="169" t="s">
        <v>430</v>
      </c>
      <c r="I583" s="169" t="s">
        <v>431</v>
      </c>
      <c r="J583" s="169" t="s">
        <v>539</v>
      </c>
      <c r="K583" s="169" t="s">
        <v>533</v>
      </c>
      <c r="L583" s="169" t="s">
        <v>534</v>
      </c>
      <c r="M583" s="169" t="s">
        <v>281</v>
      </c>
      <c r="N583" s="178">
        <v>4344326</v>
      </c>
      <c r="O583" s="169" t="s">
        <v>538</v>
      </c>
      <c r="P583" s="169" t="s">
        <v>283</v>
      </c>
      <c r="Q583" s="169" t="s">
        <v>284</v>
      </c>
      <c r="R583" s="169" t="s">
        <v>283</v>
      </c>
      <c r="S583" s="169" t="s">
        <v>283</v>
      </c>
      <c r="T583" s="169">
        <v>0</v>
      </c>
    </row>
    <row r="584" spans="1:20" x14ac:dyDescent="0.2">
      <c r="A584" s="169">
        <v>622</v>
      </c>
      <c r="B584" s="168" t="s">
        <v>8</v>
      </c>
      <c r="C584" s="168" t="s">
        <v>170</v>
      </c>
      <c r="D584" s="173">
        <v>45747</v>
      </c>
      <c r="E584" s="169" t="s">
        <v>540</v>
      </c>
      <c r="F584" s="169" t="s">
        <v>425</v>
      </c>
      <c r="G584" s="169" t="s">
        <v>296</v>
      </c>
      <c r="H584" s="169" t="s">
        <v>430</v>
      </c>
      <c r="I584" s="169" t="s">
        <v>431</v>
      </c>
      <c r="J584" s="169" t="s">
        <v>541</v>
      </c>
      <c r="K584" s="169" t="s">
        <v>533</v>
      </c>
      <c r="L584" s="169" t="s">
        <v>534</v>
      </c>
      <c r="M584" s="169" t="s">
        <v>281</v>
      </c>
      <c r="N584" s="178">
        <v>23022305</v>
      </c>
      <c r="O584" s="169" t="s">
        <v>542</v>
      </c>
      <c r="P584" s="169" t="s">
        <v>283</v>
      </c>
      <c r="Q584" s="169" t="s">
        <v>284</v>
      </c>
      <c r="R584" s="169" t="s">
        <v>283</v>
      </c>
      <c r="S584" s="169" t="s">
        <v>283</v>
      </c>
      <c r="T584" s="169">
        <v>0</v>
      </c>
    </row>
    <row r="585" spans="1:20" x14ac:dyDescent="0.2">
      <c r="A585" s="169">
        <v>622</v>
      </c>
      <c r="B585" s="168" t="s">
        <v>8</v>
      </c>
      <c r="C585" s="168" t="s">
        <v>25</v>
      </c>
      <c r="D585" s="173">
        <v>45747</v>
      </c>
      <c r="E585" s="169" t="s">
        <v>606</v>
      </c>
      <c r="F585" s="169" t="s">
        <v>414</v>
      </c>
      <c r="G585" s="169" t="s">
        <v>415</v>
      </c>
      <c r="H585" s="169" t="s">
        <v>430</v>
      </c>
      <c r="I585" s="169" t="s">
        <v>431</v>
      </c>
      <c r="J585" s="169" t="s">
        <v>416</v>
      </c>
      <c r="K585" s="169" t="s">
        <v>416</v>
      </c>
      <c r="L585" s="169" t="s">
        <v>534</v>
      </c>
      <c r="M585" s="169" t="s">
        <v>281</v>
      </c>
      <c r="N585" s="178">
        <v>17625000</v>
      </c>
      <c r="O585" s="169" t="s">
        <v>607</v>
      </c>
      <c r="P585" s="169" t="s">
        <v>283</v>
      </c>
      <c r="Q585" s="169" t="s">
        <v>348</v>
      </c>
      <c r="R585" s="169" t="s">
        <v>283</v>
      </c>
      <c r="S585" s="169" t="s">
        <v>283</v>
      </c>
      <c r="T585" s="169">
        <v>0</v>
      </c>
    </row>
    <row r="586" spans="1:20" x14ac:dyDescent="0.2">
      <c r="A586" s="169">
        <v>622</v>
      </c>
      <c r="B586" s="168" t="s">
        <v>8</v>
      </c>
      <c r="C586" s="168" t="s">
        <v>25</v>
      </c>
      <c r="D586" s="173">
        <v>45747</v>
      </c>
      <c r="E586" s="169" t="s">
        <v>608</v>
      </c>
      <c r="F586" s="169" t="s">
        <v>414</v>
      </c>
      <c r="G586" s="169" t="s">
        <v>415</v>
      </c>
      <c r="H586" s="169" t="s">
        <v>430</v>
      </c>
      <c r="I586" s="169" t="s">
        <v>431</v>
      </c>
      <c r="J586" s="169" t="s">
        <v>416</v>
      </c>
      <c r="K586" s="169" t="s">
        <v>416</v>
      </c>
      <c r="L586" s="169" t="s">
        <v>534</v>
      </c>
      <c r="M586" s="169" t="s">
        <v>281</v>
      </c>
      <c r="N586" s="178">
        <v>-17625000</v>
      </c>
      <c r="O586" s="169" t="s">
        <v>609</v>
      </c>
      <c r="P586" s="169" t="s">
        <v>447</v>
      </c>
      <c r="Q586" s="169" t="s">
        <v>284</v>
      </c>
      <c r="R586" s="169" t="s">
        <v>283</v>
      </c>
      <c r="S586" s="169" t="s">
        <v>283</v>
      </c>
      <c r="T586" s="169">
        <v>0</v>
      </c>
    </row>
    <row r="587" spans="1:20" x14ac:dyDescent="0.2">
      <c r="A587" s="169">
        <v>622</v>
      </c>
      <c r="B587" s="168" t="s">
        <v>8</v>
      </c>
      <c r="C587" s="168" t="s">
        <v>25</v>
      </c>
      <c r="D587" s="173">
        <v>45747</v>
      </c>
      <c r="E587" s="169" t="s">
        <v>610</v>
      </c>
      <c r="F587" s="169" t="s">
        <v>414</v>
      </c>
      <c r="G587" s="169" t="s">
        <v>415</v>
      </c>
      <c r="H587" s="169" t="s">
        <v>430</v>
      </c>
      <c r="I587" s="169" t="s">
        <v>431</v>
      </c>
      <c r="J587" s="169" t="s">
        <v>416</v>
      </c>
      <c r="K587" s="169" t="s">
        <v>416</v>
      </c>
      <c r="L587" s="169" t="s">
        <v>534</v>
      </c>
      <c r="M587" s="169" t="s">
        <v>281</v>
      </c>
      <c r="N587" s="178">
        <v>17625000</v>
      </c>
      <c r="O587" s="169" t="s">
        <v>611</v>
      </c>
      <c r="P587" s="169" t="s">
        <v>283</v>
      </c>
      <c r="Q587" s="169" t="s">
        <v>348</v>
      </c>
      <c r="R587" s="169" t="s">
        <v>283</v>
      </c>
      <c r="S587" s="169" t="s">
        <v>283</v>
      </c>
      <c r="T587" s="169">
        <v>0</v>
      </c>
    </row>
    <row r="588" spans="1:20" x14ac:dyDescent="0.2">
      <c r="A588" s="169">
        <v>627</v>
      </c>
      <c r="B588" s="168" t="s">
        <v>8</v>
      </c>
      <c r="C588" s="168" t="s">
        <v>222</v>
      </c>
      <c r="D588" s="173">
        <v>45720</v>
      </c>
      <c r="E588" s="169" t="s">
        <v>618</v>
      </c>
      <c r="F588" s="169" t="s">
        <v>435</v>
      </c>
      <c r="G588" s="169" t="s">
        <v>222</v>
      </c>
      <c r="H588" s="169" t="s">
        <v>436</v>
      </c>
      <c r="I588" s="169" t="s">
        <v>437</v>
      </c>
      <c r="J588" s="169" t="s">
        <v>619</v>
      </c>
      <c r="K588" s="169" t="s">
        <v>620</v>
      </c>
      <c r="L588" s="169" t="s">
        <v>534</v>
      </c>
      <c r="M588" s="169" t="s">
        <v>281</v>
      </c>
      <c r="N588" s="178">
        <v>7800000</v>
      </c>
      <c r="O588" s="169" t="s">
        <v>621</v>
      </c>
      <c r="P588" s="169" t="s">
        <v>283</v>
      </c>
      <c r="Q588" s="169" t="s">
        <v>325</v>
      </c>
      <c r="R588" s="169" t="s">
        <v>283</v>
      </c>
      <c r="S588" s="169" t="s">
        <v>283</v>
      </c>
      <c r="T588" s="169">
        <v>0</v>
      </c>
    </row>
    <row r="589" spans="1:20" x14ac:dyDescent="0.2">
      <c r="A589" s="169">
        <v>627</v>
      </c>
      <c r="B589" s="168" t="s">
        <v>8</v>
      </c>
      <c r="C589" s="168" t="s">
        <v>222</v>
      </c>
      <c r="D589" s="173">
        <v>45720</v>
      </c>
      <c r="E589" s="169" t="s">
        <v>622</v>
      </c>
      <c r="F589" s="169" t="s">
        <v>435</v>
      </c>
      <c r="G589" s="169" t="s">
        <v>222</v>
      </c>
      <c r="H589" s="169" t="s">
        <v>436</v>
      </c>
      <c r="I589" s="169" t="s">
        <v>437</v>
      </c>
      <c r="J589" s="169" t="s">
        <v>619</v>
      </c>
      <c r="K589" s="169" t="s">
        <v>620</v>
      </c>
      <c r="L589" s="169" t="s">
        <v>534</v>
      </c>
      <c r="M589" s="169" t="s">
        <v>281</v>
      </c>
      <c r="N589" s="178">
        <v>-7800000</v>
      </c>
      <c r="O589" s="169" t="s">
        <v>623</v>
      </c>
      <c r="P589" s="169" t="s">
        <v>447</v>
      </c>
      <c r="Q589" s="169" t="s">
        <v>284</v>
      </c>
      <c r="R589" s="169" t="s">
        <v>283</v>
      </c>
      <c r="S589" s="169" t="s">
        <v>283</v>
      </c>
      <c r="T589" s="169">
        <v>0</v>
      </c>
    </row>
    <row r="590" spans="1:20" x14ac:dyDescent="0.2">
      <c r="A590" s="169">
        <v>627</v>
      </c>
      <c r="B590" s="168" t="s">
        <v>8</v>
      </c>
      <c r="C590" s="168" t="s">
        <v>222</v>
      </c>
      <c r="D590" s="173">
        <v>45720</v>
      </c>
      <c r="E590" s="169" t="s">
        <v>624</v>
      </c>
      <c r="F590" s="169" t="s">
        <v>435</v>
      </c>
      <c r="G590" s="169" t="s">
        <v>222</v>
      </c>
      <c r="H590" s="169" t="s">
        <v>436</v>
      </c>
      <c r="I590" s="169" t="s">
        <v>437</v>
      </c>
      <c r="J590" s="169" t="s">
        <v>625</v>
      </c>
      <c r="K590" s="169" t="s">
        <v>626</v>
      </c>
      <c r="L590" s="169" t="s">
        <v>534</v>
      </c>
      <c r="M590" s="169" t="s">
        <v>281</v>
      </c>
      <c r="N590" s="178">
        <v>7800000</v>
      </c>
      <c r="O590" s="169" t="s">
        <v>627</v>
      </c>
      <c r="P590" s="169" t="s">
        <v>283</v>
      </c>
      <c r="Q590" s="169" t="s">
        <v>325</v>
      </c>
      <c r="R590" s="169" t="s">
        <v>283</v>
      </c>
      <c r="S590" s="169" t="s">
        <v>283</v>
      </c>
      <c r="T590" s="169">
        <v>0</v>
      </c>
    </row>
    <row r="591" spans="1:20" x14ac:dyDescent="0.2">
      <c r="A591" s="169">
        <v>627</v>
      </c>
      <c r="B591" s="168" t="s">
        <v>8</v>
      </c>
      <c r="C591" s="168" t="s">
        <v>23</v>
      </c>
      <c r="D591" s="173">
        <v>45747</v>
      </c>
      <c r="E591" s="169" t="s">
        <v>531</v>
      </c>
      <c r="F591" s="169" t="s">
        <v>389</v>
      </c>
      <c r="G591" s="169" t="s">
        <v>390</v>
      </c>
      <c r="H591" s="169" t="s">
        <v>430</v>
      </c>
      <c r="I591" s="169" t="s">
        <v>431</v>
      </c>
      <c r="J591" s="169" t="s">
        <v>532</v>
      </c>
      <c r="K591" s="169" t="s">
        <v>533</v>
      </c>
      <c r="L591" s="169" t="s">
        <v>534</v>
      </c>
      <c r="M591" s="169" t="s">
        <v>281</v>
      </c>
      <c r="N591" s="178">
        <v>22591126</v>
      </c>
      <c r="O591" s="169" t="s">
        <v>535</v>
      </c>
      <c r="P591" s="169" t="s">
        <v>283</v>
      </c>
      <c r="Q591" s="169" t="s">
        <v>284</v>
      </c>
      <c r="R591" s="169" t="s">
        <v>283</v>
      </c>
      <c r="S591" s="169" t="s">
        <v>283</v>
      </c>
      <c r="T591" s="169">
        <v>0</v>
      </c>
    </row>
    <row r="592" spans="1:20" x14ac:dyDescent="0.2">
      <c r="A592" s="169">
        <v>627</v>
      </c>
      <c r="B592" s="168" t="s">
        <v>8</v>
      </c>
      <c r="C592" s="168" t="s">
        <v>25</v>
      </c>
      <c r="D592" s="173">
        <v>45747</v>
      </c>
      <c r="E592" s="169" t="s">
        <v>531</v>
      </c>
      <c r="F592" s="169" t="s">
        <v>375</v>
      </c>
      <c r="G592" s="169" t="s">
        <v>336</v>
      </c>
      <c r="H592" s="169" t="s">
        <v>430</v>
      </c>
      <c r="I592" s="169" t="s">
        <v>431</v>
      </c>
      <c r="J592" s="169" t="s">
        <v>532</v>
      </c>
      <c r="K592" s="169" t="s">
        <v>533</v>
      </c>
      <c r="L592" s="169" t="s">
        <v>534</v>
      </c>
      <c r="M592" s="169" t="s">
        <v>281</v>
      </c>
      <c r="N592" s="178">
        <v>1560000</v>
      </c>
      <c r="O592" s="169" t="s">
        <v>535</v>
      </c>
      <c r="P592" s="169" t="s">
        <v>283</v>
      </c>
      <c r="Q592" s="169" t="s">
        <v>284</v>
      </c>
      <c r="R592" s="169" t="s">
        <v>283</v>
      </c>
      <c r="S592" s="169" t="s">
        <v>283</v>
      </c>
      <c r="T592" s="169">
        <v>0</v>
      </c>
    </row>
    <row r="593" spans="1:20" x14ac:dyDescent="0.2">
      <c r="A593" s="169">
        <v>627</v>
      </c>
      <c r="B593" s="168" t="s">
        <v>8</v>
      </c>
      <c r="C593" s="168" t="s">
        <v>25</v>
      </c>
      <c r="D593" s="173">
        <v>45747</v>
      </c>
      <c r="E593" s="169" t="s">
        <v>531</v>
      </c>
      <c r="F593" s="169" t="s">
        <v>386</v>
      </c>
      <c r="G593" s="169" t="s">
        <v>341</v>
      </c>
      <c r="H593" s="169" t="s">
        <v>436</v>
      </c>
      <c r="I593" s="169" t="s">
        <v>437</v>
      </c>
      <c r="J593" s="169" t="s">
        <v>532</v>
      </c>
      <c r="K593" s="169" t="s">
        <v>533</v>
      </c>
      <c r="L593" s="169" t="s">
        <v>534</v>
      </c>
      <c r="M593" s="169" t="s">
        <v>281</v>
      </c>
      <c r="N593" s="178">
        <v>13892794</v>
      </c>
      <c r="O593" s="169" t="s">
        <v>535</v>
      </c>
      <c r="P593" s="169" t="s">
        <v>283</v>
      </c>
      <c r="Q593" s="169" t="s">
        <v>284</v>
      </c>
      <c r="R593" s="169" t="s">
        <v>283</v>
      </c>
      <c r="S593" s="169" t="s">
        <v>283</v>
      </c>
      <c r="T593" s="169">
        <v>0</v>
      </c>
    </row>
    <row r="594" spans="1:20" x14ac:dyDescent="0.2">
      <c r="A594" s="169">
        <v>627</v>
      </c>
      <c r="B594" s="168" t="s">
        <v>8</v>
      </c>
      <c r="C594" s="168" t="s">
        <v>22</v>
      </c>
      <c r="D594" s="173">
        <v>45747</v>
      </c>
      <c r="E594" s="169" t="s">
        <v>531</v>
      </c>
      <c r="F594" s="169" t="s">
        <v>387</v>
      </c>
      <c r="G594" s="169" t="s">
        <v>275</v>
      </c>
      <c r="H594" s="169" t="s">
        <v>436</v>
      </c>
      <c r="I594" s="169" t="s">
        <v>437</v>
      </c>
      <c r="J594" s="169" t="s">
        <v>532</v>
      </c>
      <c r="K594" s="169" t="s">
        <v>533</v>
      </c>
      <c r="L594" s="169" t="s">
        <v>534</v>
      </c>
      <c r="M594" s="169" t="s">
        <v>281</v>
      </c>
      <c r="N594" s="178">
        <v>415377136</v>
      </c>
      <c r="O594" s="169" t="s">
        <v>535</v>
      </c>
      <c r="P594" s="169" t="s">
        <v>283</v>
      </c>
      <c r="Q594" s="169" t="s">
        <v>284</v>
      </c>
      <c r="R594" s="169" t="s">
        <v>283</v>
      </c>
      <c r="S594" s="169" t="s">
        <v>283</v>
      </c>
      <c r="T594" s="169">
        <v>0</v>
      </c>
    </row>
    <row r="595" spans="1:20" x14ac:dyDescent="0.2">
      <c r="A595" s="169">
        <v>627</v>
      </c>
      <c r="B595" s="168" t="s">
        <v>8</v>
      </c>
      <c r="C595" s="168" t="s">
        <v>22</v>
      </c>
      <c r="D595" s="173">
        <v>45747</v>
      </c>
      <c r="E595" s="169" t="s">
        <v>531</v>
      </c>
      <c r="F595" s="169" t="s">
        <v>388</v>
      </c>
      <c r="G595" s="169" t="s">
        <v>286</v>
      </c>
      <c r="H595" s="169" t="s">
        <v>436</v>
      </c>
      <c r="I595" s="169" t="s">
        <v>437</v>
      </c>
      <c r="J595" s="169" t="s">
        <v>532</v>
      </c>
      <c r="K595" s="169" t="s">
        <v>533</v>
      </c>
      <c r="L595" s="169" t="s">
        <v>534</v>
      </c>
      <c r="M595" s="169" t="s">
        <v>281</v>
      </c>
      <c r="N595" s="178">
        <v>7363790</v>
      </c>
      <c r="O595" s="169" t="s">
        <v>535</v>
      </c>
      <c r="P595" s="169" t="s">
        <v>283</v>
      </c>
      <c r="Q595" s="169" t="s">
        <v>284</v>
      </c>
      <c r="R595" s="169" t="s">
        <v>283</v>
      </c>
      <c r="S595" s="169" t="s">
        <v>283</v>
      </c>
      <c r="T595" s="169">
        <v>0</v>
      </c>
    </row>
    <row r="596" spans="1:20" x14ac:dyDescent="0.2">
      <c r="A596" s="169">
        <v>627</v>
      </c>
      <c r="B596" s="168" t="s">
        <v>8</v>
      </c>
      <c r="C596" s="168" t="s">
        <v>23</v>
      </c>
      <c r="D596" s="173">
        <v>45747</v>
      </c>
      <c r="E596" s="169" t="s">
        <v>531</v>
      </c>
      <c r="F596" s="169" t="s">
        <v>389</v>
      </c>
      <c r="G596" s="169" t="s">
        <v>390</v>
      </c>
      <c r="H596" s="169" t="s">
        <v>436</v>
      </c>
      <c r="I596" s="169" t="s">
        <v>437</v>
      </c>
      <c r="J596" s="169" t="s">
        <v>532</v>
      </c>
      <c r="K596" s="169" t="s">
        <v>533</v>
      </c>
      <c r="L596" s="169" t="s">
        <v>534</v>
      </c>
      <c r="M596" s="169" t="s">
        <v>281</v>
      </c>
      <c r="N596" s="178">
        <v>66994872</v>
      </c>
      <c r="O596" s="169" t="s">
        <v>535</v>
      </c>
      <c r="P596" s="169" t="s">
        <v>283</v>
      </c>
      <c r="Q596" s="169" t="s">
        <v>284</v>
      </c>
      <c r="R596" s="169" t="s">
        <v>283</v>
      </c>
      <c r="S596" s="169" t="s">
        <v>283</v>
      </c>
      <c r="T596" s="169">
        <v>0</v>
      </c>
    </row>
    <row r="597" spans="1:20" x14ac:dyDescent="0.2">
      <c r="A597" s="169">
        <v>627</v>
      </c>
      <c r="B597" s="168" t="s">
        <v>8</v>
      </c>
      <c r="C597" s="168" t="s">
        <v>25</v>
      </c>
      <c r="D597" s="173">
        <v>45747</v>
      </c>
      <c r="E597" s="169" t="s">
        <v>531</v>
      </c>
      <c r="F597" s="169" t="s">
        <v>375</v>
      </c>
      <c r="G597" s="169" t="s">
        <v>336</v>
      </c>
      <c r="H597" s="169" t="s">
        <v>436</v>
      </c>
      <c r="I597" s="169" t="s">
        <v>437</v>
      </c>
      <c r="J597" s="169" t="s">
        <v>532</v>
      </c>
      <c r="K597" s="169" t="s">
        <v>533</v>
      </c>
      <c r="L597" s="169" t="s">
        <v>534</v>
      </c>
      <c r="M597" s="169" t="s">
        <v>281</v>
      </c>
      <c r="N597" s="178">
        <v>8275000</v>
      </c>
      <c r="O597" s="169" t="s">
        <v>535</v>
      </c>
      <c r="P597" s="169" t="s">
        <v>283</v>
      </c>
      <c r="Q597" s="169" t="s">
        <v>284</v>
      </c>
      <c r="R597" s="169" t="s">
        <v>283</v>
      </c>
      <c r="S597" s="169" t="s">
        <v>283</v>
      </c>
      <c r="T597" s="169">
        <v>0</v>
      </c>
    </row>
    <row r="598" spans="1:20" x14ac:dyDescent="0.2">
      <c r="B598" s="168" t="s">
        <v>221</v>
      </c>
      <c r="C598" s="168" t="s">
        <v>22</v>
      </c>
      <c r="D598" s="173">
        <v>45747</v>
      </c>
      <c r="E598" s="169" t="s">
        <v>531</v>
      </c>
      <c r="F598" s="169" t="s">
        <v>274</v>
      </c>
      <c r="G598" s="169" t="s">
        <v>275</v>
      </c>
      <c r="H598" s="169" t="s">
        <v>443</v>
      </c>
      <c r="I598" s="169" t="s">
        <v>444</v>
      </c>
      <c r="J598" s="169" t="s">
        <v>532</v>
      </c>
      <c r="K598" s="169" t="s">
        <v>533</v>
      </c>
      <c r="L598" s="169" t="s">
        <v>534</v>
      </c>
      <c r="M598" s="169" t="s">
        <v>281</v>
      </c>
      <c r="N598" s="178">
        <v>225000000</v>
      </c>
      <c r="O598" s="169" t="s">
        <v>535</v>
      </c>
      <c r="P598" s="169" t="s">
        <v>283</v>
      </c>
      <c r="Q598" s="169" t="s">
        <v>284</v>
      </c>
      <c r="R598" s="169" t="s">
        <v>283</v>
      </c>
      <c r="S598" s="169" t="s">
        <v>283</v>
      </c>
      <c r="T598" s="169">
        <v>0</v>
      </c>
    </row>
    <row r="599" spans="1:20" x14ac:dyDescent="0.2">
      <c r="A599" s="169">
        <v>622</v>
      </c>
      <c r="B599" s="168" t="s">
        <v>8</v>
      </c>
      <c r="C599" s="168" t="s">
        <v>22</v>
      </c>
      <c r="D599" s="173">
        <v>45747</v>
      </c>
      <c r="E599" s="169" t="s">
        <v>531</v>
      </c>
      <c r="F599" s="169" t="s">
        <v>400</v>
      </c>
      <c r="G599" s="169" t="s">
        <v>401</v>
      </c>
      <c r="H599" s="169" t="s">
        <v>441</v>
      </c>
      <c r="I599" s="169" t="s">
        <v>442</v>
      </c>
      <c r="J599" s="169" t="s">
        <v>532</v>
      </c>
      <c r="K599" s="169" t="s">
        <v>533</v>
      </c>
      <c r="L599" s="169" t="s">
        <v>534</v>
      </c>
      <c r="M599" s="169" t="s">
        <v>281</v>
      </c>
      <c r="N599" s="178">
        <v>15472088</v>
      </c>
      <c r="O599" s="169" t="s">
        <v>535</v>
      </c>
      <c r="P599" s="169" t="s">
        <v>283</v>
      </c>
      <c r="Q599" s="169" t="s">
        <v>284</v>
      </c>
      <c r="R599" s="169" t="s">
        <v>283</v>
      </c>
      <c r="S599" s="169" t="s">
        <v>283</v>
      </c>
      <c r="T599" s="169">
        <v>0</v>
      </c>
    </row>
    <row r="600" spans="1:20" x14ac:dyDescent="0.2">
      <c r="A600" s="169">
        <v>622</v>
      </c>
      <c r="B600" s="168" t="s">
        <v>8</v>
      </c>
      <c r="C600" s="168" t="s">
        <v>25</v>
      </c>
      <c r="D600" s="173">
        <v>45747</v>
      </c>
      <c r="E600" s="169" t="s">
        <v>531</v>
      </c>
      <c r="F600" s="169" t="s">
        <v>421</v>
      </c>
      <c r="G600" s="169" t="s">
        <v>341</v>
      </c>
      <c r="H600" s="169" t="s">
        <v>441</v>
      </c>
      <c r="I600" s="169" t="s">
        <v>442</v>
      </c>
      <c r="J600" s="169" t="s">
        <v>532</v>
      </c>
      <c r="K600" s="169" t="s">
        <v>533</v>
      </c>
      <c r="L600" s="169" t="s">
        <v>534</v>
      </c>
      <c r="M600" s="169" t="s">
        <v>281</v>
      </c>
      <c r="N600" s="178">
        <v>1327108</v>
      </c>
      <c r="O600" s="169" t="s">
        <v>535</v>
      </c>
      <c r="P600" s="169" t="s">
        <v>283</v>
      </c>
      <c r="Q600" s="169" t="s">
        <v>284</v>
      </c>
      <c r="R600" s="169" t="s">
        <v>283</v>
      </c>
      <c r="S600" s="169" t="s">
        <v>283</v>
      </c>
      <c r="T600" s="169">
        <v>0</v>
      </c>
    </row>
    <row r="601" spans="1:20" x14ac:dyDescent="0.2">
      <c r="A601" s="169">
        <v>622</v>
      </c>
      <c r="B601" s="168" t="s">
        <v>8</v>
      </c>
      <c r="C601" s="168" t="s">
        <v>23</v>
      </c>
      <c r="D601" s="173">
        <v>45747</v>
      </c>
      <c r="E601" s="169" t="s">
        <v>531</v>
      </c>
      <c r="F601" s="169" t="s">
        <v>422</v>
      </c>
      <c r="G601" s="169" t="s">
        <v>423</v>
      </c>
      <c r="H601" s="169" t="s">
        <v>441</v>
      </c>
      <c r="I601" s="169" t="s">
        <v>442</v>
      </c>
      <c r="J601" s="169" t="s">
        <v>532</v>
      </c>
      <c r="K601" s="169" t="s">
        <v>533</v>
      </c>
      <c r="L601" s="169" t="s">
        <v>534</v>
      </c>
      <c r="M601" s="169" t="s">
        <v>281</v>
      </c>
      <c r="N601" s="178">
        <v>3559789</v>
      </c>
      <c r="O601" s="169" t="s">
        <v>535</v>
      </c>
      <c r="P601" s="169" t="s">
        <v>283</v>
      </c>
      <c r="Q601" s="169" t="s">
        <v>284</v>
      </c>
      <c r="R601" s="169" t="s">
        <v>283</v>
      </c>
      <c r="S601" s="169" t="s">
        <v>283</v>
      </c>
      <c r="T601" s="169">
        <v>0</v>
      </c>
    </row>
    <row r="602" spans="1:20" x14ac:dyDescent="0.2">
      <c r="A602" s="169">
        <v>622</v>
      </c>
      <c r="B602" s="168" t="s">
        <v>8</v>
      </c>
      <c r="C602" s="168" t="s">
        <v>25</v>
      </c>
      <c r="D602" s="173">
        <v>45747</v>
      </c>
      <c r="E602" s="169" t="s">
        <v>531</v>
      </c>
      <c r="F602" s="169" t="s">
        <v>414</v>
      </c>
      <c r="G602" s="169" t="s">
        <v>415</v>
      </c>
      <c r="H602" s="169" t="s">
        <v>441</v>
      </c>
      <c r="I602" s="169" t="s">
        <v>442</v>
      </c>
      <c r="J602" s="169" t="s">
        <v>532</v>
      </c>
      <c r="K602" s="169" t="s">
        <v>533</v>
      </c>
      <c r="L602" s="169" t="s">
        <v>534</v>
      </c>
      <c r="M602" s="169" t="s">
        <v>281</v>
      </c>
      <c r="N602" s="178">
        <v>370000</v>
      </c>
      <c r="O602" s="169" t="s">
        <v>535</v>
      </c>
      <c r="P602" s="169" t="s">
        <v>283</v>
      </c>
      <c r="Q602" s="169" t="s">
        <v>284</v>
      </c>
      <c r="R602" s="169" t="s">
        <v>283</v>
      </c>
      <c r="S602" s="169" t="s">
        <v>283</v>
      </c>
      <c r="T602" s="169">
        <v>0</v>
      </c>
    </row>
    <row r="603" spans="1:20" x14ac:dyDescent="0.2">
      <c r="A603" s="169">
        <v>627</v>
      </c>
      <c r="B603" s="168" t="s">
        <v>8</v>
      </c>
      <c r="C603" s="168" t="s">
        <v>22</v>
      </c>
      <c r="D603" s="173">
        <v>45747</v>
      </c>
      <c r="E603" s="169" t="s">
        <v>536</v>
      </c>
      <c r="F603" s="169" t="s">
        <v>388</v>
      </c>
      <c r="G603" s="169" t="s">
        <v>286</v>
      </c>
      <c r="H603" s="169" t="s">
        <v>430</v>
      </c>
      <c r="I603" s="169" t="s">
        <v>431</v>
      </c>
      <c r="J603" s="169" t="s">
        <v>537</v>
      </c>
      <c r="K603" s="169" t="s">
        <v>533</v>
      </c>
      <c r="L603" s="169" t="s">
        <v>534</v>
      </c>
      <c r="M603" s="169" t="s">
        <v>281</v>
      </c>
      <c r="N603" s="178">
        <v>12784897</v>
      </c>
      <c r="O603" s="169" t="s">
        <v>538</v>
      </c>
      <c r="P603" s="169" t="s">
        <v>283</v>
      </c>
      <c r="Q603" s="169" t="s">
        <v>284</v>
      </c>
      <c r="R603" s="169" t="s">
        <v>283</v>
      </c>
      <c r="S603" s="169" t="s">
        <v>283</v>
      </c>
      <c r="T603" s="169">
        <v>0</v>
      </c>
    </row>
    <row r="604" spans="1:20" x14ac:dyDescent="0.2">
      <c r="A604" s="169">
        <v>627</v>
      </c>
      <c r="B604" s="168" t="s">
        <v>8</v>
      </c>
      <c r="C604" s="168" t="s">
        <v>24</v>
      </c>
      <c r="D604" s="173">
        <v>45747</v>
      </c>
      <c r="E604" s="169" t="s">
        <v>536</v>
      </c>
      <c r="F604" s="169" t="s">
        <v>395</v>
      </c>
      <c r="G604" s="169" t="s">
        <v>77</v>
      </c>
      <c r="H604" s="169" t="s">
        <v>430</v>
      </c>
      <c r="I604" s="169" t="s">
        <v>431</v>
      </c>
      <c r="J604" s="169" t="s">
        <v>539</v>
      </c>
      <c r="K604" s="169" t="s">
        <v>533</v>
      </c>
      <c r="L604" s="169" t="s">
        <v>534</v>
      </c>
      <c r="M604" s="169" t="s">
        <v>281</v>
      </c>
      <c r="N604" s="178">
        <v>11397628</v>
      </c>
      <c r="O604" s="169" t="s">
        <v>538</v>
      </c>
      <c r="P604" s="169" t="s">
        <v>283</v>
      </c>
      <c r="Q604" s="169" t="s">
        <v>284</v>
      </c>
      <c r="R604" s="169" t="s">
        <v>283</v>
      </c>
      <c r="S604" s="169" t="s">
        <v>283</v>
      </c>
      <c r="T604" s="169">
        <v>0</v>
      </c>
    </row>
    <row r="605" spans="1:20" x14ac:dyDescent="0.2">
      <c r="A605" s="169">
        <v>627</v>
      </c>
      <c r="B605" s="168" t="s">
        <v>8</v>
      </c>
      <c r="C605" s="168" t="s">
        <v>22</v>
      </c>
      <c r="D605" s="173">
        <v>45747</v>
      </c>
      <c r="E605" s="169" t="s">
        <v>536</v>
      </c>
      <c r="F605" s="169" t="s">
        <v>388</v>
      </c>
      <c r="G605" s="169" t="s">
        <v>286</v>
      </c>
      <c r="H605" s="169" t="s">
        <v>436</v>
      </c>
      <c r="I605" s="169" t="s">
        <v>437</v>
      </c>
      <c r="J605" s="169" t="s">
        <v>537</v>
      </c>
      <c r="K605" s="169" t="s">
        <v>533</v>
      </c>
      <c r="L605" s="169" t="s">
        <v>534</v>
      </c>
      <c r="M605" s="169" t="s">
        <v>281</v>
      </c>
      <c r="N605" s="178">
        <v>30041021</v>
      </c>
      <c r="O605" s="169" t="s">
        <v>538</v>
      </c>
      <c r="P605" s="169" t="s">
        <v>283</v>
      </c>
      <c r="Q605" s="169" t="s">
        <v>284</v>
      </c>
      <c r="R605" s="169" t="s">
        <v>283</v>
      </c>
      <c r="S605" s="169" t="s">
        <v>283</v>
      </c>
      <c r="T605" s="169">
        <v>0</v>
      </c>
    </row>
    <row r="606" spans="1:20" x14ac:dyDescent="0.2">
      <c r="A606" s="169">
        <v>627</v>
      </c>
      <c r="B606" s="168" t="s">
        <v>8</v>
      </c>
      <c r="C606" s="168" t="s">
        <v>24</v>
      </c>
      <c r="D606" s="173">
        <v>45747</v>
      </c>
      <c r="E606" s="169" t="s">
        <v>536</v>
      </c>
      <c r="F606" s="169" t="s">
        <v>395</v>
      </c>
      <c r="G606" s="169" t="s">
        <v>77</v>
      </c>
      <c r="H606" s="169" t="s">
        <v>436</v>
      </c>
      <c r="I606" s="169" t="s">
        <v>437</v>
      </c>
      <c r="J606" s="169" t="s">
        <v>539</v>
      </c>
      <c r="K606" s="169" t="s">
        <v>533</v>
      </c>
      <c r="L606" s="169" t="s">
        <v>534</v>
      </c>
      <c r="M606" s="169" t="s">
        <v>281</v>
      </c>
      <c r="N606" s="178">
        <v>17745410</v>
      </c>
      <c r="O606" s="169" t="s">
        <v>538</v>
      </c>
      <c r="P606" s="169" t="s">
        <v>283</v>
      </c>
      <c r="Q606" s="169" t="s">
        <v>284</v>
      </c>
      <c r="R606" s="169" t="s">
        <v>283</v>
      </c>
      <c r="S606" s="169" t="s">
        <v>283</v>
      </c>
      <c r="T606" s="169">
        <v>0</v>
      </c>
    </row>
    <row r="607" spans="1:20" x14ac:dyDescent="0.2">
      <c r="B607" s="168" t="s">
        <v>221</v>
      </c>
      <c r="C607" s="168" t="s">
        <v>22</v>
      </c>
      <c r="D607" s="173">
        <v>45747</v>
      </c>
      <c r="E607" s="169" t="s">
        <v>536</v>
      </c>
      <c r="F607" s="169" t="s">
        <v>285</v>
      </c>
      <c r="G607" s="169" t="s">
        <v>286</v>
      </c>
      <c r="H607" s="169" t="s">
        <v>443</v>
      </c>
      <c r="I607" s="169" t="s">
        <v>444</v>
      </c>
      <c r="J607" s="169" t="s">
        <v>537</v>
      </c>
      <c r="K607" s="169" t="s">
        <v>533</v>
      </c>
      <c r="L607" s="169" t="s">
        <v>534</v>
      </c>
      <c r="M607" s="169" t="s">
        <v>281</v>
      </c>
      <c r="N607" s="178">
        <v>18750000</v>
      </c>
      <c r="O607" s="169" t="s">
        <v>538</v>
      </c>
      <c r="P607" s="169" t="s">
        <v>283</v>
      </c>
      <c r="Q607" s="169" t="s">
        <v>284</v>
      </c>
      <c r="R607" s="169" t="s">
        <v>283</v>
      </c>
      <c r="S607" s="169" t="s">
        <v>283</v>
      </c>
      <c r="T607" s="169">
        <v>0</v>
      </c>
    </row>
    <row r="608" spans="1:20" x14ac:dyDescent="0.2">
      <c r="B608" s="168" t="s">
        <v>221</v>
      </c>
      <c r="C608" s="168" t="s">
        <v>24</v>
      </c>
      <c r="D608" s="173">
        <v>45747</v>
      </c>
      <c r="E608" s="169" t="s">
        <v>536</v>
      </c>
      <c r="F608" s="169" t="s">
        <v>292</v>
      </c>
      <c r="G608" s="169" t="s">
        <v>77</v>
      </c>
      <c r="H608" s="169" t="s">
        <v>443</v>
      </c>
      <c r="I608" s="169" t="s">
        <v>444</v>
      </c>
      <c r="J608" s="169" t="s">
        <v>539</v>
      </c>
      <c r="K608" s="169" t="s">
        <v>533</v>
      </c>
      <c r="L608" s="169" t="s">
        <v>534</v>
      </c>
      <c r="M608" s="169" t="s">
        <v>281</v>
      </c>
      <c r="N608" s="178">
        <v>17249850</v>
      </c>
      <c r="O608" s="169" t="s">
        <v>538</v>
      </c>
      <c r="P608" s="169" t="s">
        <v>283</v>
      </c>
      <c r="Q608" s="169" t="s">
        <v>284</v>
      </c>
      <c r="R608" s="169" t="s">
        <v>283</v>
      </c>
      <c r="S608" s="169" t="s">
        <v>283</v>
      </c>
      <c r="T608" s="169">
        <v>0</v>
      </c>
    </row>
    <row r="609" spans="1:20" x14ac:dyDescent="0.2">
      <c r="A609" s="169">
        <v>622</v>
      </c>
      <c r="B609" s="168" t="s">
        <v>8</v>
      </c>
      <c r="C609" s="168" t="s">
        <v>22</v>
      </c>
      <c r="D609" s="173">
        <v>45747</v>
      </c>
      <c r="E609" s="169" t="s">
        <v>536</v>
      </c>
      <c r="F609" s="169" t="s">
        <v>420</v>
      </c>
      <c r="G609" s="169" t="s">
        <v>286</v>
      </c>
      <c r="H609" s="169" t="s">
        <v>441</v>
      </c>
      <c r="I609" s="169" t="s">
        <v>442</v>
      </c>
      <c r="J609" s="169" t="s">
        <v>537</v>
      </c>
      <c r="K609" s="169" t="s">
        <v>533</v>
      </c>
      <c r="L609" s="169" t="s">
        <v>534</v>
      </c>
      <c r="M609" s="169" t="s">
        <v>281</v>
      </c>
      <c r="N609" s="178">
        <v>1176360</v>
      </c>
      <c r="O609" s="169" t="s">
        <v>538</v>
      </c>
      <c r="P609" s="169" t="s">
        <v>283</v>
      </c>
      <c r="Q609" s="169" t="s">
        <v>284</v>
      </c>
      <c r="R609" s="169" t="s">
        <v>283</v>
      </c>
      <c r="S609" s="169" t="s">
        <v>283</v>
      </c>
      <c r="T609" s="169">
        <v>0</v>
      </c>
    </row>
    <row r="610" spans="1:20" x14ac:dyDescent="0.2">
      <c r="A610" s="169">
        <v>622</v>
      </c>
      <c r="B610" s="168" t="s">
        <v>8</v>
      </c>
      <c r="C610" s="168" t="s">
        <v>24</v>
      </c>
      <c r="D610" s="173">
        <v>45747</v>
      </c>
      <c r="E610" s="169" t="s">
        <v>536</v>
      </c>
      <c r="F610" s="169" t="s">
        <v>426</v>
      </c>
      <c r="G610" s="169" t="s">
        <v>77</v>
      </c>
      <c r="H610" s="169" t="s">
        <v>441</v>
      </c>
      <c r="I610" s="169" t="s">
        <v>442</v>
      </c>
      <c r="J610" s="169" t="s">
        <v>539</v>
      </c>
      <c r="K610" s="169" t="s">
        <v>533</v>
      </c>
      <c r="L610" s="169" t="s">
        <v>534</v>
      </c>
      <c r="M610" s="169" t="s">
        <v>281</v>
      </c>
      <c r="N610" s="178">
        <v>157016</v>
      </c>
      <c r="O610" s="169" t="s">
        <v>538</v>
      </c>
      <c r="P610" s="169" t="s">
        <v>283</v>
      </c>
      <c r="Q610" s="169" t="s">
        <v>284</v>
      </c>
      <c r="R610" s="169" t="s">
        <v>283</v>
      </c>
      <c r="S610" s="169" t="s">
        <v>283</v>
      </c>
      <c r="T610" s="169">
        <v>0</v>
      </c>
    </row>
    <row r="611" spans="1:20" x14ac:dyDescent="0.2">
      <c r="A611" s="169">
        <v>627</v>
      </c>
      <c r="B611" s="168" t="s">
        <v>8</v>
      </c>
      <c r="C611" s="168" t="s">
        <v>170</v>
      </c>
      <c r="D611" s="173">
        <v>45747</v>
      </c>
      <c r="E611" s="169" t="s">
        <v>540</v>
      </c>
      <c r="F611" s="169" t="s">
        <v>393</v>
      </c>
      <c r="G611" s="169" t="s">
        <v>296</v>
      </c>
      <c r="H611" s="169" t="s">
        <v>430</v>
      </c>
      <c r="I611" s="169" t="s">
        <v>431</v>
      </c>
      <c r="J611" s="169" t="s">
        <v>541</v>
      </c>
      <c r="K611" s="169" t="s">
        <v>533</v>
      </c>
      <c r="L611" s="169" t="s">
        <v>534</v>
      </c>
      <c r="M611" s="169" t="s">
        <v>281</v>
      </c>
      <c r="N611" s="178">
        <v>15627160</v>
      </c>
      <c r="O611" s="169" t="s">
        <v>542</v>
      </c>
      <c r="P611" s="169" t="s">
        <v>283</v>
      </c>
      <c r="Q611" s="169" t="s">
        <v>284</v>
      </c>
      <c r="R611" s="169" t="s">
        <v>283</v>
      </c>
      <c r="S611" s="169" t="s">
        <v>283</v>
      </c>
      <c r="T611" s="169">
        <v>0</v>
      </c>
    </row>
    <row r="612" spans="1:20" x14ac:dyDescent="0.2">
      <c r="A612" s="169">
        <v>627</v>
      </c>
      <c r="B612" s="168" t="s">
        <v>8</v>
      </c>
      <c r="C612" s="168" t="s">
        <v>170</v>
      </c>
      <c r="D612" s="173">
        <v>45747</v>
      </c>
      <c r="E612" s="169" t="s">
        <v>540</v>
      </c>
      <c r="F612" s="169" t="s">
        <v>393</v>
      </c>
      <c r="G612" s="169" t="s">
        <v>296</v>
      </c>
      <c r="H612" s="169" t="s">
        <v>436</v>
      </c>
      <c r="I612" s="169" t="s">
        <v>437</v>
      </c>
      <c r="J612" s="169" t="s">
        <v>541</v>
      </c>
      <c r="K612" s="169" t="s">
        <v>533</v>
      </c>
      <c r="L612" s="169" t="s">
        <v>534</v>
      </c>
      <c r="M612" s="169" t="s">
        <v>281</v>
      </c>
      <c r="N612" s="178">
        <v>21616145</v>
      </c>
      <c r="O612" s="169" t="s">
        <v>542</v>
      </c>
      <c r="P612" s="169" t="s">
        <v>283</v>
      </c>
      <c r="Q612" s="169" t="s">
        <v>284</v>
      </c>
      <c r="R612" s="169" t="s">
        <v>283</v>
      </c>
      <c r="S612" s="169" t="s">
        <v>283</v>
      </c>
      <c r="T612" s="169">
        <v>0</v>
      </c>
    </row>
    <row r="613" spans="1:20" x14ac:dyDescent="0.2">
      <c r="A613" s="169">
        <v>622</v>
      </c>
      <c r="B613" s="168" t="s">
        <v>8</v>
      </c>
      <c r="C613" s="168" t="s">
        <v>170</v>
      </c>
      <c r="D613" s="173">
        <v>45747</v>
      </c>
      <c r="E613" s="169" t="s">
        <v>540</v>
      </c>
      <c r="F613" s="169" t="s">
        <v>425</v>
      </c>
      <c r="G613" s="169" t="s">
        <v>296</v>
      </c>
      <c r="H613" s="169" t="s">
        <v>441</v>
      </c>
      <c r="I613" s="169" t="s">
        <v>442</v>
      </c>
      <c r="J613" s="169" t="s">
        <v>541</v>
      </c>
      <c r="K613" s="169" t="s">
        <v>533</v>
      </c>
      <c r="L613" s="169" t="s">
        <v>534</v>
      </c>
      <c r="M613" s="169" t="s">
        <v>281</v>
      </c>
      <c r="N613" s="178">
        <v>2604740</v>
      </c>
      <c r="O613" s="169" t="s">
        <v>542</v>
      </c>
      <c r="P613" s="169" t="s">
        <v>283</v>
      </c>
      <c r="Q613" s="169" t="s">
        <v>284</v>
      </c>
      <c r="R613" s="169" t="s">
        <v>283</v>
      </c>
      <c r="S613" s="169" t="s">
        <v>283</v>
      </c>
      <c r="T613" s="169">
        <v>0</v>
      </c>
    </row>
    <row r="614" spans="1:20" x14ac:dyDescent="0.2">
      <c r="A614" s="169">
        <v>627</v>
      </c>
      <c r="B614" s="168" t="s">
        <v>8</v>
      </c>
      <c r="C614" s="168" t="s">
        <v>170</v>
      </c>
      <c r="D614" s="173">
        <v>45747</v>
      </c>
      <c r="E614" s="169" t="s">
        <v>540</v>
      </c>
      <c r="F614" s="169" t="s">
        <v>393</v>
      </c>
      <c r="G614" s="169" t="s">
        <v>296</v>
      </c>
      <c r="H614" s="169" t="s">
        <v>436</v>
      </c>
      <c r="I614" s="169" t="s">
        <v>437</v>
      </c>
      <c r="J614" s="169" t="s">
        <v>541</v>
      </c>
      <c r="K614" s="169" t="s">
        <v>533</v>
      </c>
      <c r="L614" s="169" t="s">
        <v>534</v>
      </c>
      <c r="M614" s="169" t="s">
        <v>281</v>
      </c>
      <c r="N614" s="178">
        <v>2473375</v>
      </c>
      <c r="O614" s="169" t="s">
        <v>542</v>
      </c>
      <c r="P614" s="169" t="s">
        <v>283</v>
      </c>
      <c r="Q614" s="169" t="s">
        <v>284</v>
      </c>
      <c r="R614" s="169" t="s">
        <v>283</v>
      </c>
      <c r="S614" s="169" t="s">
        <v>283</v>
      </c>
      <c r="T614" s="169">
        <v>0</v>
      </c>
    </row>
    <row r="615" spans="1:20" x14ac:dyDescent="0.2">
      <c r="A615" s="169">
        <v>627</v>
      </c>
      <c r="B615" s="168" t="s">
        <v>8</v>
      </c>
      <c r="C615" s="168" t="s">
        <v>25</v>
      </c>
      <c r="D615" s="173">
        <v>45745</v>
      </c>
      <c r="E615" s="169" t="s">
        <v>546</v>
      </c>
      <c r="F615" s="169" t="s">
        <v>375</v>
      </c>
      <c r="G615" s="169" t="s">
        <v>336</v>
      </c>
      <c r="H615" s="169" t="s">
        <v>441</v>
      </c>
      <c r="I615" s="169" t="s">
        <v>442</v>
      </c>
      <c r="J615" s="169" t="s">
        <v>547</v>
      </c>
      <c r="K615" s="169" t="s">
        <v>338</v>
      </c>
      <c r="L615" s="169" t="s">
        <v>534</v>
      </c>
      <c r="M615" s="169" t="s">
        <v>281</v>
      </c>
      <c r="N615" s="178">
        <v>475000</v>
      </c>
      <c r="O615" s="169" t="s">
        <v>548</v>
      </c>
      <c r="P615" s="169" t="s">
        <v>283</v>
      </c>
      <c r="Q615" s="169" t="s">
        <v>306</v>
      </c>
      <c r="R615" s="169" t="s">
        <v>283</v>
      </c>
      <c r="S615" s="169" t="s">
        <v>283</v>
      </c>
      <c r="T615" s="169">
        <v>0</v>
      </c>
    </row>
    <row r="616" spans="1:20" x14ac:dyDescent="0.2">
      <c r="A616" s="169">
        <v>627</v>
      </c>
      <c r="B616" s="168" t="s">
        <v>8</v>
      </c>
      <c r="C616" s="168" t="s">
        <v>25</v>
      </c>
      <c r="D616" s="173">
        <v>45745</v>
      </c>
      <c r="E616" s="169" t="s">
        <v>546</v>
      </c>
      <c r="F616" s="169" t="s">
        <v>375</v>
      </c>
      <c r="G616" s="169" t="s">
        <v>336</v>
      </c>
      <c r="H616" s="169" t="s">
        <v>430</v>
      </c>
      <c r="I616" s="169" t="s">
        <v>431</v>
      </c>
      <c r="J616" s="169" t="s">
        <v>547</v>
      </c>
      <c r="K616" s="169" t="s">
        <v>338</v>
      </c>
      <c r="L616" s="169" t="s">
        <v>534</v>
      </c>
      <c r="M616" s="169" t="s">
        <v>281</v>
      </c>
      <c r="N616" s="178">
        <v>23450000</v>
      </c>
      <c r="O616" s="169" t="s">
        <v>548</v>
      </c>
      <c r="P616" s="169" t="s">
        <v>283</v>
      </c>
      <c r="Q616" s="169" t="s">
        <v>306</v>
      </c>
      <c r="R616" s="169" t="s">
        <v>283</v>
      </c>
      <c r="S616" s="169" t="s">
        <v>283</v>
      </c>
      <c r="T616" s="169">
        <v>0</v>
      </c>
    </row>
    <row r="617" spans="1:20" x14ac:dyDescent="0.2">
      <c r="A617" s="169">
        <v>627</v>
      </c>
      <c r="B617" s="168" t="s">
        <v>8</v>
      </c>
      <c r="C617" s="168" t="s">
        <v>25</v>
      </c>
      <c r="D617" s="173">
        <v>45745</v>
      </c>
      <c r="E617" s="169" t="s">
        <v>546</v>
      </c>
      <c r="F617" s="169" t="s">
        <v>375</v>
      </c>
      <c r="G617" s="169" t="s">
        <v>336</v>
      </c>
      <c r="H617" s="169" t="s">
        <v>436</v>
      </c>
      <c r="I617" s="169" t="s">
        <v>437</v>
      </c>
      <c r="J617" s="169" t="s">
        <v>547</v>
      </c>
      <c r="K617" s="169" t="s">
        <v>338</v>
      </c>
      <c r="L617" s="169" t="s">
        <v>534</v>
      </c>
      <c r="M617" s="169" t="s">
        <v>281</v>
      </c>
      <c r="N617" s="178">
        <v>28475000</v>
      </c>
      <c r="O617" s="169" t="s">
        <v>548</v>
      </c>
      <c r="P617" s="169" t="s">
        <v>283</v>
      </c>
      <c r="Q617" s="169" t="s">
        <v>306</v>
      </c>
      <c r="R617" s="169" t="s">
        <v>283</v>
      </c>
      <c r="S617" s="169" t="s">
        <v>283</v>
      </c>
      <c r="T617" s="169">
        <v>0</v>
      </c>
    </row>
    <row r="618" spans="1:20" x14ac:dyDescent="0.2">
      <c r="A618" s="169">
        <v>627</v>
      </c>
      <c r="B618" s="168" t="s">
        <v>8</v>
      </c>
      <c r="C618" s="168" t="s">
        <v>25</v>
      </c>
      <c r="D618" s="173">
        <v>45747</v>
      </c>
      <c r="E618" s="169" t="s">
        <v>606</v>
      </c>
      <c r="F618" s="169" t="s">
        <v>375</v>
      </c>
      <c r="G618" s="169" t="s">
        <v>336</v>
      </c>
      <c r="H618" s="169" t="s">
        <v>430</v>
      </c>
      <c r="I618" s="169" t="s">
        <v>431</v>
      </c>
      <c r="J618" s="169" t="s">
        <v>416</v>
      </c>
      <c r="K618" s="169" t="s">
        <v>416</v>
      </c>
      <c r="L618" s="169" t="s">
        <v>534</v>
      </c>
      <c r="M618" s="169" t="s">
        <v>281</v>
      </c>
      <c r="N618" s="178">
        <v>-17625000</v>
      </c>
      <c r="O618" s="169" t="s">
        <v>607</v>
      </c>
      <c r="P618" s="169" t="s">
        <v>283</v>
      </c>
      <c r="Q618" s="169" t="s">
        <v>348</v>
      </c>
      <c r="R618" s="169" t="s">
        <v>283</v>
      </c>
      <c r="S618" s="169" t="s">
        <v>283</v>
      </c>
      <c r="T618" s="169">
        <v>0</v>
      </c>
    </row>
    <row r="619" spans="1:20" x14ac:dyDescent="0.2">
      <c r="A619" s="169">
        <v>622</v>
      </c>
      <c r="B619" s="168" t="s">
        <v>8</v>
      </c>
      <c r="C619" s="168" t="s">
        <v>25</v>
      </c>
      <c r="D619" s="173">
        <v>45747</v>
      </c>
      <c r="E619" s="169" t="s">
        <v>606</v>
      </c>
      <c r="F619" s="169" t="s">
        <v>414</v>
      </c>
      <c r="G619" s="169" t="s">
        <v>415</v>
      </c>
      <c r="H619" s="169" t="s">
        <v>441</v>
      </c>
      <c r="I619" s="169" t="s">
        <v>442</v>
      </c>
      <c r="J619" s="169" t="s">
        <v>416</v>
      </c>
      <c r="K619" s="169" t="s">
        <v>416</v>
      </c>
      <c r="L619" s="169" t="s">
        <v>534</v>
      </c>
      <c r="M619" s="169" t="s">
        <v>281</v>
      </c>
      <c r="N619" s="178">
        <v>845000</v>
      </c>
      <c r="O619" s="169" t="s">
        <v>607</v>
      </c>
      <c r="P619" s="169" t="s">
        <v>283</v>
      </c>
      <c r="Q619" s="169" t="s">
        <v>348</v>
      </c>
      <c r="R619" s="169" t="s">
        <v>283</v>
      </c>
      <c r="S619" s="169" t="s">
        <v>283</v>
      </c>
      <c r="T619" s="169">
        <v>0</v>
      </c>
    </row>
    <row r="620" spans="1:20" x14ac:dyDescent="0.2">
      <c r="A620" s="169">
        <v>627</v>
      </c>
      <c r="B620" s="168" t="s">
        <v>8</v>
      </c>
      <c r="C620" s="168" t="s">
        <v>25</v>
      </c>
      <c r="D620" s="173">
        <v>45747</v>
      </c>
      <c r="E620" s="169" t="s">
        <v>606</v>
      </c>
      <c r="F620" s="169" t="s">
        <v>375</v>
      </c>
      <c r="G620" s="169" t="s">
        <v>336</v>
      </c>
      <c r="H620" s="169" t="s">
        <v>441</v>
      </c>
      <c r="I620" s="169" t="s">
        <v>442</v>
      </c>
      <c r="J620" s="169" t="s">
        <v>416</v>
      </c>
      <c r="K620" s="169" t="s">
        <v>416</v>
      </c>
      <c r="L620" s="169" t="s">
        <v>534</v>
      </c>
      <c r="M620" s="169" t="s">
        <v>281</v>
      </c>
      <c r="N620" s="178">
        <v>-845000</v>
      </c>
      <c r="O620" s="169" t="s">
        <v>607</v>
      </c>
      <c r="P620" s="169" t="s">
        <v>283</v>
      </c>
      <c r="Q620" s="169" t="s">
        <v>348</v>
      </c>
      <c r="R620" s="169" t="s">
        <v>283</v>
      </c>
      <c r="S620" s="169" t="s">
        <v>283</v>
      </c>
      <c r="T620" s="169">
        <v>0</v>
      </c>
    </row>
    <row r="621" spans="1:20" x14ac:dyDescent="0.2">
      <c r="A621" s="169">
        <v>622</v>
      </c>
      <c r="B621" s="168" t="s">
        <v>8</v>
      </c>
      <c r="C621" s="168" t="s">
        <v>25</v>
      </c>
      <c r="D621" s="173">
        <v>45747</v>
      </c>
      <c r="E621" s="169" t="s">
        <v>606</v>
      </c>
      <c r="F621" s="169" t="s">
        <v>414</v>
      </c>
      <c r="G621" s="169" t="s">
        <v>415</v>
      </c>
      <c r="H621" s="169" t="s">
        <v>441</v>
      </c>
      <c r="I621" s="169" t="s">
        <v>442</v>
      </c>
      <c r="J621" s="169" t="s">
        <v>416</v>
      </c>
      <c r="K621" s="169" t="s">
        <v>416</v>
      </c>
      <c r="L621" s="169" t="s">
        <v>534</v>
      </c>
      <c r="M621" s="169" t="s">
        <v>281</v>
      </c>
      <c r="N621" s="178">
        <v>680000</v>
      </c>
      <c r="O621" s="169" t="s">
        <v>607</v>
      </c>
      <c r="P621" s="169" t="s">
        <v>283</v>
      </c>
      <c r="Q621" s="169" t="s">
        <v>348</v>
      </c>
      <c r="R621" s="169" t="s">
        <v>283</v>
      </c>
      <c r="S621" s="169" t="s">
        <v>283</v>
      </c>
      <c r="T621" s="169">
        <v>0</v>
      </c>
    </row>
    <row r="622" spans="1:20" x14ac:dyDescent="0.2">
      <c r="A622" s="169">
        <v>627</v>
      </c>
      <c r="B622" s="168" t="s">
        <v>8</v>
      </c>
      <c r="C622" s="168" t="s">
        <v>25</v>
      </c>
      <c r="D622" s="173">
        <v>45747</v>
      </c>
      <c r="E622" s="169" t="s">
        <v>606</v>
      </c>
      <c r="F622" s="169" t="s">
        <v>375</v>
      </c>
      <c r="G622" s="169" t="s">
        <v>336</v>
      </c>
      <c r="H622" s="169" t="s">
        <v>430</v>
      </c>
      <c r="I622" s="169" t="s">
        <v>431</v>
      </c>
      <c r="J622" s="169" t="s">
        <v>416</v>
      </c>
      <c r="K622" s="169" t="s">
        <v>416</v>
      </c>
      <c r="L622" s="169" t="s">
        <v>534</v>
      </c>
      <c r="M622" s="169" t="s">
        <v>281</v>
      </c>
      <c r="N622" s="178">
        <v>-680000</v>
      </c>
      <c r="O622" s="169" t="s">
        <v>607</v>
      </c>
      <c r="P622" s="169" t="s">
        <v>283</v>
      </c>
      <c r="Q622" s="169" t="s">
        <v>348</v>
      </c>
      <c r="R622" s="169" t="s">
        <v>283</v>
      </c>
      <c r="S622" s="169" t="s">
        <v>283</v>
      </c>
      <c r="T622" s="169">
        <v>0</v>
      </c>
    </row>
    <row r="623" spans="1:20" x14ac:dyDescent="0.2">
      <c r="A623" s="169">
        <v>627</v>
      </c>
      <c r="B623" s="168" t="s">
        <v>8</v>
      </c>
      <c r="C623" s="168" t="s">
        <v>25</v>
      </c>
      <c r="D623" s="173">
        <v>45747</v>
      </c>
      <c r="E623" s="169" t="s">
        <v>608</v>
      </c>
      <c r="F623" s="169" t="s">
        <v>375</v>
      </c>
      <c r="G623" s="169" t="s">
        <v>336</v>
      </c>
      <c r="H623" s="169" t="s">
        <v>430</v>
      </c>
      <c r="I623" s="169" t="s">
        <v>431</v>
      </c>
      <c r="J623" s="169" t="s">
        <v>416</v>
      </c>
      <c r="K623" s="169" t="s">
        <v>416</v>
      </c>
      <c r="L623" s="169" t="s">
        <v>534</v>
      </c>
      <c r="M623" s="169" t="s">
        <v>281</v>
      </c>
      <c r="N623" s="178">
        <v>17625000</v>
      </c>
      <c r="O623" s="169" t="s">
        <v>609</v>
      </c>
      <c r="P623" s="169" t="s">
        <v>447</v>
      </c>
      <c r="Q623" s="169" t="s">
        <v>284</v>
      </c>
      <c r="R623" s="169" t="s">
        <v>283</v>
      </c>
      <c r="S623" s="169" t="s">
        <v>283</v>
      </c>
      <c r="T623" s="169">
        <v>0</v>
      </c>
    </row>
    <row r="624" spans="1:20" x14ac:dyDescent="0.2">
      <c r="A624" s="169">
        <v>622</v>
      </c>
      <c r="B624" s="168" t="s">
        <v>8</v>
      </c>
      <c r="C624" s="168" t="s">
        <v>25</v>
      </c>
      <c r="D624" s="173">
        <v>45747</v>
      </c>
      <c r="E624" s="169" t="s">
        <v>608</v>
      </c>
      <c r="F624" s="169" t="s">
        <v>414</v>
      </c>
      <c r="G624" s="169" t="s">
        <v>415</v>
      </c>
      <c r="H624" s="169" t="s">
        <v>441</v>
      </c>
      <c r="I624" s="169" t="s">
        <v>442</v>
      </c>
      <c r="J624" s="169" t="s">
        <v>416</v>
      </c>
      <c r="K624" s="169" t="s">
        <v>416</v>
      </c>
      <c r="L624" s="169" t="s">
        <v>534</v>
      </c>
      <c r="M624" s="169" t="s">
        <v>281</v>
      </c>
      <c r="N624" s="178">
        <v>-845000</v>
      </c>
      <c r="O624" s="169" t="s">
        <v>609</v>
      </c>
      <c r="P624" s="169" t="s">
        <v>447</v>
      </c>
      <c r="Q624" s="169" t="s">
        <v>284</v>
      </c>
      <c r="R624" s="169" t="s">
        <v>283</v>
      </c>
      <c r="S624" s="169" t="s">
        <v>283</v>
      </c>
      <c r="T624" s="169">
        <v>0</v>
      </c>
    </row>
    <row r="625" spans="1:20" x14ac:dyDescent="0.2">
      <c r="A625" s="169">
        <v>627</v>
      </c>
      <c r="B625" s="168" t="s">
        <v>8</v>
      </c>
      <c r="C625" s="168" t="s">
        <v>25</v>
      </c>
      <c r="D625" s="173">
        <v>45747</v>
      </c>
      <c r="E625" s="169" t="s">
        <v>608</v>
      </c>
      <c r="F625" s="169" t="s">
        <v>375</v>
      </c>
      <c r="G625" s="169" t="s">
        <v>336</v>
      </c>
      <c r="H625" s="169" t="s">
        <v>441</v>
      </c>
      <c r="I625" s="169" t="s">
        <v>442</v>
      </c>
      <c r="J625" s="169" t="s">
        <v>416</v>
      </c>
      <c r="K625" s="169" t="s">
        <v>416</v>
      </c>
      <c r="L625" s="169" t="s">
        <v>534</v>
      </c>
      <c r="M625" s="169" t="s">
        <v>281</v>
      </c>
      <c r="N625" s="178">
        <v>845000</v>
      </c>
      <c r="O625" s="169" t="s">
        <v>609</v>
      </c>
      <c r="P625" s="169" t="s">
        <v>447</v>
      </c>
      <c r="Q625" s="169" t="s">
        <v>284</v>
      </c>
      <c r="R625" s="169" t="s">
        <v>283</v>
      </c>
      <c r="S625" s="169" t="s">
        <v>283</v>
      </c>
      <c r="T625" s="169">
        <v>0</v>
      </c>
    </row>
    <row r="626" spans="1:20" x14ac:dyDescent="0.2">
      <c r="A626" s="169">
        <v>622</v>
      </c>
      <c r="B626" s="168" t="s">
        <v>8</v>
      </c>
      <c r="C626" s="168" t="s">
        <v>25</v>
      </c>
      <c r="D626" s="173">
        <v>45747</v>
      </c>
      <c r="E626" s="169" t="s">
        <v>608</v>
      </c>
      <c r="F626" s="169" t="s">
        <v>414</v>
      </c>
      <c r="G626" s="169" t="s">
        <v>415</v>
      </c>
      <c r="H626" s="169" t="s">
        <v>441</v>
      </c>
      <c r="I626" s="169" t="s">
        <v>442</v>
      </c>
      <c r="J626" s="169" t="s">
        <v>416</v>
      </c>
      <c r="K626" s="169" t="s">
        <v>416</v>
      </c>
      <c r="L626" s="169" t="s">
        <v>534</v>
      </c>
      <c r="M626" s="169" t="s">
        <v>281</v>
      </c>
      <c r="N626" s="178">
        <v>-680000</v>
      </c>
      <c r="O626" s="169" t="s">
        <v>609</v>
      </c>
      <c r="P626" s="169" t="s">
        <v>447</v>
      </c>
      <c r="Q626" s="169" t="s">
        <v>284</v>
      </c>
      <c r="R626" s="169" t="s">
        <v>283</v>
      </c>
      <c r="S626" s="169" t="s">
        <v>283</v>
      </c>
      <c r="T626" s="169">
        <v>0</v>
      </c>
    </row>
    <row r="627" spans="1:20" x14ac:dyDescent="0.2">
      <c r="A627" s="169">
        <v>627</v>
      </c>
      <c r="B627" s="168" t="s">
        <v>8</v>
      </c>
      <c r="C627" s="168" t="s">
        <v>25</v>
      </c>
      <c r="D627" s="173">
        <v>45747</v>
      </c>
      <c r="E627" s="169" t="s">
        <v>608</v>
      </c>
      <c r="F627" s="169" t="s">
        <v>375</v>
      </c>
      <c r="G627" s="169" t="s">
        <v>336</v>
      </c>
      <c r="H627" s="169" t="s">
        <v>430</v>
      </c>
      <c r="I627" s="169" t="s">
        <v>431</v>
      </c>
      <c r="J627" s="169" t="s">
        <v>416</v>
      </c>
      <c r="K627" s="169" t="s">
        <v>416</v>
      </c>
      <c r="L627" s="169" t="s">
        <v>534</v>
      </c>
      <c r="M627" s="169" t="s">
        <v>281</v>
      </c>
      <c r="N627" s="178">
        <v>680000</v>
      </c>
      <c r="O627" s="169" t="s">
        <v>609</v>
      </c>
      <c r="P627" s="169" t="s">
        <v>447</v>
      </c>
      <c r="Q627" s="169" t="s">
        <v>284</v>
      </c>
      <c r="R627" s="169" t="s">
        <v>283</v>
      </c>
      <c r="S627" s="169" t="s">
        <v>283</v>
      </c>
      <c r="T627" s="169">
        <v>0</v>
      </c>
    </row>
    <row r="628" spans="1:20" x14ac:dyDescent="0.2">
      <c r="A628" s="169">
        <v>627</v>
      </c>
      <c r="B628" s="168" t="s">
        <v>8</v>
      </c>
      <c r="C628" s="168" t="s">
        <v>25</v>
      </c>
      <c r="D628" s="173">
        <v>45747</v>
      </c>
      <c r="E628" s="169" t="s">
        <v>610</v>
      </c>
      <c r="F628" s="169" t="s">
        <v>375</v>
      </c>
      <c r="G628" s="169" t="s">
        <v>336</v>
      </c>
      <c r="H628" s="169" t="s">
        <v>430</v>
      </c>
      <c r="I628" s="169" t="s">
        <v>431</v>
      </c>
      <c r="J628" s="169" t="s">
        <v>416</v>
      </c>
      <c r="K628" s="169" t="s">
        <v>416</v>
      </c>
      <c r="L628" s="169" t="s">
        <v>534</v>
      </c>
      <c r="M628" s="169" t="s">
        <v>281</v>
      </c>
      <c r="N628" s="178">
        <v>-17625000</v>
      </c>
      <c r="O628" s="169" t="s">
        <v>611</v>
      </c>
      <c r="P628" s="169" t="s">
        <v>283</v>
      </c>
      <c r="Q628" s="169" t="s">
        <v>348</v>
      </c>
      <c r="R628" s="169" t="s">
        <v>283</v>
      </c>
      <c r="S628" s="169" t="s">
        <v>283</v>
      </c>
      <c r="T628" s="169">
        <v>0</v>
      </c>
    </row>
    <row r="629" spans="1:20" x14ac:dyDescent="0.2">
      <c r="A629" s="169">
        <v>622</v>
      </c>
      <c r="B629" s="168" t="s">
        <v>8</v>
      </c>
      <c r="C629" s="168" t="s">
        <v>25</v>
      </c>
      <c r="D629" s="173">
        <v>45747</v>
      </c>
      <c r="E629" s="169" t="s">
        <v>610</v>
      </c>
      <c r="F629" s="169" t="s">
        <v>414</v>
      </c>
      <c r="G629" s="169" t="s">
        <v>415</v>
      </c>
      <c r="H629" s="169" t="s">
        <v>441</v>
      </c>
      <c r="I629" s="169" t="s">
        <v>442</v>
      </c>
      <c r="J629" s="169" t="s">
        <v>416</v>
      </c>
      <c r="K629" s="169" t="s">
        <v>416</v>
      </c>
      <c r="L629" s="169" t="s">
        <v>534</v>
      </c>
      <c r="M629" s="169" t="s">
        <v>281</v>
      </c>
      <c r="N629" s="178">
        <v>475000</v>
      </c>
      <c r="O629" s="169" t="s">
        <v>611</v>
      </c>
      <c r="P629" s="169" t="s">
        <v>283</v>
      </c>
      <c r="Q629" s="169" t="s">
        <v>348</v>
      </c>
      <c r="R629" s="169" t="s">
        <v>283</v>
      </c>
      <c r="S629" s="169" t="s">
        <v>283</v>
      </c>
      <c r="T629" s="169">
        <v>0</v>
      </c>
    </row>
    <row r="630" spans="1:20" x14ac:dyDescent="0.2">
      <c r="A630" s="169">
        <v>627</v>
      </c>
      <c r="B630" s="168" t="s">
        <v>8</v>
      </c>
      <c r="C630" s="168" t="s">
        <v>25</v>
      </c>
      <c r="D630" s="173">
        <v>45747</v>
      </c>
      <c r="E630" s="169" t="s">
        <v>610</v>
      </c>
      <c r="F630" s="169" t="s">
        <v>375</v>
      </c>
      <c r="G630" s="169" t="s">
        <v>336</v>
      </c>
      <c r="H630" s="169" t="s">
        <v>441</v>
      </c>
      <c r="I630" s="169" t="s">
        <v>442</v>
      </c>
      <c r="J630" s="169" t="s">
        <v>416</v>
      </c>
      <c r="K630" s="169" t="s">
        <v>416</v>
      </c>
      <c r="L630" s="169" t="s">
        <v>534</v>
      </c>
      <c r="M630" s="169" t="s">
        <v>281</v>
      </c>
      <c r="N630" s="178">
        <v>-475000</v>
      </c>
      <c r="O630" s="169" t="s">
        <v>611</v>
      </c>
      <c r="P630" s="169" t="s">
        <v>283</v>
      </c>
      <c r="Q630" s="169" t="s">
        <v>348</v>
      </c>
      <c r="R630" s="169" t="s">
        <v>283</v>
      </c>
      <c r="S630" s="169" t="s">
        <v>283</v>
      </c>
      <c r="T630" s="169">
        <v>0</v>
      </c>
    </row>
    <row r="631" spans="1:20" x14ac:dyDescent="0.2">
      <c r="A631" s="169">
        <v>622</v>
      </c>
      <c r="B631" s="168" t="s">
        <v>8</v>
      </c>
      <c r="C631" s="168" t="s">
        <v>25</v>
      </c>
      <c r="D631" s="173">
        <v>45747</v>
      </c>
      <c r="E631" s="169" t="s">
        <v>610</v>
      </c>
      <c r="F631" s="169" t="s">
        <v>414</v>
      </c>
      <c r="G631" s="169" t="s">
        <v>415</v>
      </c>
      <c r="H631" s="169" t="s">
        <v>441</v>
      </c>
      <c r="I631" s="169" t="s">
        <v>442</v>
      </c>
      <c r="J631" s="169" t="s">
        <v>416</v>
      </c>
      <c r="K631" s="169" t="s">
        <v>416</v>
      </c>
      <c r="L631" s="169" t="s">
        <v>534</v>
      </c>
      <c r="M631" s="169" t="s">
        <v>281</v>
      </c>
      <c r="N631" s="178">
        <v>1050000</v>
      </c>
      <c r="O631" s="169" t="s">
        <v>611</v>
      </c>
      <c r="P631" s="169" t="s">
        <v>283</v>
      </c>
      <c r="Q631" s="169" t="s">
        <v>348</v>
      </c>
      <c r="R631" s="169" t="s">
        <v>283</v>
      </c>
      <c r="S631" s="169" t="s">
        <v>283</v>
      </c>
      <c r="T631" s="169">
        <v>0</v>
      </c>
    </row>
    <row r="632" spans="1:20" x14ac:dyDescent="0.2">
      <c r="A632" s="169">
        <v>627</v>
      </c>
      <c r="B632" s="168" t="s">
        <v>8</v>
      </c>
      <c r="C632" s="168" t="s">
        <v>25</v>
      </c>
      <c r="D632" s="173">
        <v>45747</v>
      </c>
      <c r="E632" s="169" t="s">
        <v>610</v>
      </c>
      <c r="F632" s="169" t="s">
        <v>375</v>
      </c>
      <c r="G632" s="169" t="s">
        <v>336</v>
      </c>
      <c r="H632" s="169" t="s">
        <v>430</v>
      </c>
      <c r="I632" s="169" t="s">
        <v>431</v>
      </c>
      <c r="J632" s="169" t="s">
        <v>416</v>
      </c>
      <c r="K632" s="169" t="s">
        <v>416</v>
      </c>
      <c r="L632" s="169" t="s">
        <v>534</v>
      </c>
      <c r="M632" s="169" t="s">
        <v>281</v>
      </c>
      <c r="N632" s="178">
        <v>-1050000</v>
      </c>
      <c r="O632" s="169" t="s">
        <v>611</v>
      </c>
      <c r="P632" s="169" t="s">
        <v>283</v>
      </c>
      <c r="Q632" s="169" t="s">
        <v>348</v>
      </c>
      <c r="R632" s="169" t="s">
        <v>283</v>
      </c>
      <c r="S632" s="169" t="s">
        <v>283</v>
      </c>
      <c r="T632" s="169">
        <v>0</v>
      </c>
    </row>
    <row r="633" spans="1:20" x14ac:dyDescent="0.2">
      <c r="B633" s="167" t="str">
        <f>_xlfn.XLOOKUP(I633,Mapping!D:D,Mapping!E:E)</f>
        <v>Ban Giám Đốc</v>
      </c>
      <c r="C633" s="167" t="str">
        <f>_xlfn.XLOOKUP(F633,Mapping!A:A,Mapping!F:F)</f>
        <v>Lương Chính +T13</v>
      </c>
      <c r="D633" s="173">
        <v>45777</v>
      </c>
      <c r="E633" s="169" t="s">
        <v>629</v>
      </c>
      <c r="F633" s="169" t="s">
        <v>274</v>
      </c>
      <c r="G633" s="169" t="s">
        <v>275</v>
      </c>
      <c r="H633" s="169" t="s">
        <v>276</v>
      </c>
      <c r="I633" s="169" t="s">
        <v>277</v>
      </c>
      <c r="J633" s="169" t="s">
        <v>630</v>
      </c>
      <c r="K633" s="169" t="s">
        <v>630</v>
      </c>
      <c r="L633" s="169" t="s">
        <v>631</v>
      </c>
      <c r="M633" s="169" t="s">
        <v>281</v>
      </c>
      <c r="N633" s="178">
        <v>1311408155</v>
      </c>
      <c r="O633" s="169" t="s">
        <v>632</v>
      </c>
      <c r="P633" s="169" t="s">
        <v>283</v>
      </c>
      <c r="Q633" s="169" t="s">
        <v>633</v>
      </c>
      <c r="R633" s="169" t="s">
        <v>283</v>
      </c>
      <c r="S633" s="169" t="s">
        <v>283</v>
      </c>
      <c r="T633" s="169">
        <v>0</v>
      </c>
    </row>
    <row r="634" spans="1:20" x14ac:dyDescent="0.2">
      <c r="B634" s="167" t="str">
        <f>_xlfn.XLOOKUP(I634,Mapping!D:D,Mapping!E:E)</f>
        <v>Ban Giám Đốc</v>
      </c>
      <c r="C634" s="167" t="str">
        <f>_xlfn.XLOOKUP(F634,Mapping!A:A,Mapping!F:F)</f>
        <v>Lương Chính +T13</v>
      </c>
      <c r="D634" s="173">
        <v>45777</v>
      </c>
      <c r="E634" s="169" t="s">
        <v>629</v>
      </c>
      <c r="F634" s="169" t="s">
        <v>285</v>
      </c>
      <c r="G634" s="169" t="s">
        <v>286</v>
      </c>
      <c r="H634" s="169" t="s">
        <v>276</v>
      </c>
      <c r="I634" s="169" t="s">
        <v>277</v>
      </c>
      <c r="J634" s="169" t="s">
        <v>630</v>
      </c>
      <c r="K634" s="169" t="s">
        <v>630</v>
      </c>
      <c r="L634" s="169" t="s">
        <v>631</v>
      </c>
      <c r="M634" s="169" t="s">
        <v>281</v>
      </c>
      <c r="N634" s="178">
        <v>26400363</v>
      </c>
      <c r="O634" s="169" t="s">
        <v>632</v>
      </c>
      <c r="P634" s="169" t="s">
        <v>283</v>
      </c>
      <c r="Q634" s="169" t="s">
        <v>633</v>
      </c>
      <c r="R634" s="169" t="s">
        <v>283</v>
      </c>
      <c r="S634" s="169" t="s">
        <v>283</v>
      </c>
      <c r="T634" s="169">
        <v>0</v>
      </c>
    </row>
    <row r="635" spans="1:20" x14ac:dyDescent="0.2">
      <c r="B635" s="167" t="str">
        <f>_xlfn.XLOOKUP(I635,Mapping!D:D,Mapping!E:E)</f>
        <v>Ban Giám Đốc</v>
      </c>
      <c r="C635" s="167" t="str">
        <f>_xlfn.XLOOKUP(F635,Mapping!A:A,Mapping!F:F)</f>
        <v>Lương Chính +T13</v>
      </c>
      <c r="D635" s="173">
        <v>45777</v>
      </c>
      <c r="E635" s="169" t="s">
        <v>634</v>
      </c>
      <c r="F635" s="169" t="s">
        <v>285</v>
      </c>
      <c r="G635" s="169" t="s">
        <v>286</v>
      </c>
      <c r="H635" s="169" t="s">
        <v>276</v>
      </c>
      <c r="I635" s="169" t="s">
        <v>277</v>
      </c>
      <c r="J635" s="169" t="s">
        <v>635</v>
      </c>
      <c r="K635" s="169" t="s">
        <v>636</v>
      </c>
      <c r="L635" s="169" t="s">
        <v>631</v>
      </c>
      <c r="M635" s="169" t="s">
        <v>281</v>
      </c>
      <c r="N635" s="178">
        <v>104608417</v>
      </c>
      <c r="O635" s="169" t="s">
        <v>637</v>
      </c>
      <c r="P635" s="169" t="s">
        <v>283</v>
      </c>
      <c r="Q635" s="169" t="s">
        <v>633</v>
      </c>
      <c r="R635" s="169" t="s">
        <v>283</v>
      </c>
      <c r="S635" s="169" t="s">
        <v>283</v>
      </c>
      <c r="T635" s="169">
        <v>0</v>
      </c>
    </row>
    <row r="636" spans="1:20" x14ac:dyDescent="0.2">
      <c r="B636" s="167" t="str">
        <f>_xlfn.XLOOKUP(I636,Mapping!D:D,Mapping!E:E)</f>
        <v>Ban Giám Đốc</v>
      </c>
      <c r="C636" s="167" t="str">
        <f>_xlfn.XLOOKUP(F636,Mapping!A:A,Mapping!F:F)</f>
        <v>Thưởng</v>
      </c>
      <c r="D636" s="173">
        <v>45777</v>
      </c>
      <c r="E636" s="169" t="s">
        <v>629</v>
      </c>
      <c r="F636" s="169" t="s">
        <v>290</v>
      </c>
      <c r="G636" s="169" t="s">
        <v>291</v>
      </c>
      <c r="H636" s="169" t="s">
        <v>276</v>
      </c>
      <c r="I636" s="169" t="s">
        <v>277</v>
      </c>
      <c r="J636" s="169" t="s">
        <v>630</v>
      </c>
      <c r="K636" s="169" t="s">
        <v>630</v>
      </c>
      <c r="L636" s="169" t="s">
        <v>631</v>
      </c>
      <c r="M636" s="169" t="s">
        <v>281</v>
      </c>
      <c r="N636" s="178">
        <v>2400000</v>
      </c>
      <c r="O636" s="169" t="s">
        <v>632</v>
      </c>
      <c r="P636" s="169" t="s">
        <v>283</v>
      </c>
      <c r="Q636" s="169" t="s">
        <v>633</v>
      </c>
      <c r="R636" s="169" t="s">
        <v>283</v>
      </c>
      <c r="S636" s="169" t="s">
        <v>283</v>
      </c>
      <c r="T636" s="169">
        <v>0</v>
      </c>
    </row>
    <row r="637" spans="1:20" x14ac:dyDescent="0.2">
      <c r="B637" s="167" t="str">
        <f>_xlfn.XLOOKUP(I637,Mapping!D:D,Mapping!E:E)</f>
        <v>Ban Giám Đốc</v>
      </c>
      <c r="C637" s="167" t="str">
        <f>_xlfn.XLOOKUP(F637,Mapping!A:A,Mapping!F:F)</f>
        <v>Thưởng</v>
      </c>
      <c r="D637" s="173">
        <v>45777</v>
      </c>
      <c r="E637" s="169" t="s">
        <v>634</v>
      </c>
      <c r="F637" s="169" t="s">
        <v>292</v>
      </c>
      <c r="G637" s="169" t="s">
        <v>77</v>
      </c>
      <c r="H637" s="169" t="s">
        <v>276</v>
      </c>
      <c r="I637" s="169" t="s">
        <v>277</v>
      </c>
      <c r="J637" s="169" t="s">
        <v>638</v>
      </c>
      <c r="K637" s="169" t="s">
        <v>636</v>
      </c>
      <c r="L637" s="169" t="s">
        <v>631</v>
      </c>
      <c r="M637" s="169" t="s">
        <v>281</v>
      </c>
      <c r="N637" s="178">
        <v>96238906</v>
      </c>
      <c r="O637" s="169" t="s">
        <v>637</v>
      </c>
      <c r="P637" s="169" t="s">
        <v>283</v>
      </c>
      <c r="Q637" s="169" t="s">
        <v>633</v>
      </c>
      <c r="R637" s="169" t="s">
        <v>283</v>
      </c>
      <c r="S637" s="169" t="s">
        <v>283</v>
      </c>
      <c r="T637" s="169">
        <v>0</v>
      </c>
    </row>
    <row r="638" spans="1:20" x14ac:dyDescent="0.2">
      <c r="B638" s="167" t="str">
        <f>_xlfn.XLOOKUP(I638,Mapping!D:D,Mapping!E:E)</f>
        <v>Ban Giám Đốc</v>
      </c>
      <c r="C638" s="167" t="str">
        <f>_xlfn.XLOOKUP(F638,Mapping!A:A,Mapping!F:F)</f>
        <v>Phụ Cấp</v>
      </c>
      <c r="D638" s="173">
        <v>45777</v>
      </c>
      <c r="E638" s="169" t="s">
        <v>629</v>
      </c>
      <c r="F638" s="169" t="s">
        <v>335</v>
      </c>
      <c r="G638" s="169" t="s">
        <v>336</v>
      </c>
      <c r="H638" s="169" t="s">
        <v>276</v>
      </c>
      <c r="I638" s="169" t="s">
        <v>277</v>
      </c>
      <c r="J638" s="169" t="s">
        <v>630</v>
      </c>
      <c r="K638" s="169" t="s">
        <v>630</v>
      </c>
      <c r="L638" s="169" t="s">
        <v>631</v>
      </c>
      <c r="M638" s="169" t="s">
        <v>281</v>
      </c>
      <c r="N638" s="178">
        <v>375000</v>
      </c>
      <c r="O638" s="169" t="s">
        <v>632</v>
      </c>
      <c r="P638" s="169" t="s">
        <v>283</v>
      </c>
      <c r="Q638" s="169" t="s">
        <v>633</v>
      </c>
      <c r="R638" s="169" t="s">
        <v>283</v>
      </c>
      <c r="S638" s="169" t="s">
        <v>283</v>
      </c>
      <c r="T638" s="169">
        <v>0</v>
      </c>
    </row>
    <row r="639" spans="1:20" x14ac:dyDescent="0.2">
      <c r="B639" s="167" t="str">
        <f>_xlfn.XLOOKUP(I639,Mapping!D:D,Mapping!E:E)</f>
        <v>Ban Giám Đốc</v>
      </c>
      <c r="C639" s="167" t="str">
        <f>_xlfn.XLOOKUP(F639,Mapping!A:A,Mapping!F:F)</f>
        <v>BHXH, BHYT, KPCĐ</v>
      </c>
      <c r="D639" s="173">
        <v>45777</v>
      </c>
      <c r="E639" s="169" t="s">
        <v>639</v>
      </c>
      <c r="F639" s="169" t="s">
        <v>295</v>
      </c>
      <c r="G639" s="169" t="s">
        <v>296</v>
      </c>
      <c r="H639" s="169" t="s">
        <v>276</v>
      </c>
      <c r="I639" s="169" t="s">
        <v>277</v>
      </c>
      <c r="J639" s="169" t="s">
        <v>640</v>
      </c>
      <c r="K639" s="169" t="s">
        <v>640</v>
      </c>
      <c r="L639" s="169" t="s">
        <v>631</v>
      </c>
      <c r="M639" s="169" t="s">
        <v>281</v>
      </c>
      <c r="N639" s="178">
        <v>123680010</v>
      </c>
      <c r="O639" s="169" t="s">
        <v>641</v>
      </c>
      <c r="P639" s="169" t="s">
        <v>283</v>
      </c>
      <c r="Q639" s="169" t="s">
        <v>633</v>
      </c>
      <c r="R639" s="169" t="s">
        <v>283</v>
      </c>
      <c r="S639" s="169" t="s">
        <v>283</v>
      </c>
      <c r="T639" s="169">
        <v>0</v>
      </c>
    </row>
    <row r="640" spans="1:20" x14ac:dyDescent="0.2">
      <c r="B640" s="167" t="str">
        <f>_xlfn.XLOOKUP(I640,Mapping!D:D,Mapping!E:E)</f>
        <v>Hành Chánh Nhân Sự</v>
      </c>
      <c r="C640" s="167" t="str">
        <f>_xlfn.XLOOKUP(F640,Mapping!A:A,Mapping!F:F)</f>
        <v>Phụ Cấp</v>
      </c>
      <c r="D640" s="173">
        <v>45775</v>
      </c>
      <c r="E640" s="169" t="s">
        <v>642</v>
      </c>
      <c r="F640" s="169" t="s">
        <v>335</v>
      </c>
      <c r="G640" s="169" t="s">
        <v>336</v>
      </c>
      <c r="H640" s="169" t="s">
        <v>301</v>
      </c>
      <c r="I640" s="169" t="s">
        <v>302</v>
      </c>
      <c r="J640" s="169" t="s">
        <v>643</v>
      </c>
      <c r="K640" s="169" t="s">
        <v>338</v>
      </c>
      <c r="L640" s="169" t="s">
        <v>631</v>
      </c>
      <c r="M640" s="169" t="s">
        <v>281</v>
      </c>
      <c r="N640" s="178">
        <v>30425000</v>
      </c>
      <c r="O640" s="169" t="s">
        <v>644</v>
      </c>
      <c r="P640" s="169" t="s">
        <v>283</v>
      </c>
      <c r="Q640" s="169" t="s">
        <v>306</v>
      </c>
      <c r="R640" s="169" t="s">
        <v>283</v>
      </c>
      <c r="S640" s="169" t="s">
        <v>283</v>
      </c>
      <c r="T640" s="169">
        <v>0</v>
      </c>
    </row>
    <row r="641" spans="2:20" x14ac:dyDescent="0.2">
      <c r="B641" s="167" t="str">
        <f>_xlfn.XLOOKUP(I641,Mapping!D:D,Mapping!E:E)</f>
        <v>Văn Phòng Giám Đốc</v>
      </c>
      <c r="C641" s="167" t="str">
        <f>_xlfn.XLOOKUP(F641,Mapping!A:A,Mapping!F:F)</f>
        <v>Phụ Cấp</v>
      </c>
      <c r="D641" s="173">
        <v>45775</v>
      </c>
      <c r="E641" s="169" t="s">
        <v>642</v>
      </c>
      <c r="F641" s="169" t="s">
        <v>335</v>
      </c>
      <c r="G641" s="169" t="s">
        <v>336</v>
      </c>
      <c r="H641" s="169" t="s">
        <v>320</v>
      </c>
      <c r="I641" s="169" t="s">
        <v>321</v>
      </c>
      <c r="J641" s="169" t="s">
        <v>643</v>
      </c>
      <c r="K641" s="169" t="s">
        <v>338</v>
      </c>
      <c r="L641" s="169" t="s">
        <v>631</v>
      </c>
      <c r="M641" s="169" t="s">
        <v>281</v>
      </c>
      <c r="N641" s="178">
        <v>1750000</v>
      </c>
      <c r="O641" s="169" t="s">
        <v>644</v>
      </c>
      <c r="P641" s="169" t="s">
        <v>283</v>
      </c>
      <c r="Q641" s="169" t="s">
        <v>306</v>
      </c>
      <c r="R641" s="169" t="s">
        <v>283</v>
      </c>
      <c r="S641" s="169" t="s">
        <v>283</v>
      </c>
      <c r="T641" s="169">
        <v>0</v>
      </c>
    </row>
    <row r="642" spans="2:20" x14ac:dyDescent="0.2">
      <c r="B642" s="167" t="str">
        <f>_xlfn.XLOOKUP(I642,Mapping!D:D,Mapping!E:E)</f>
        <v>Hành Chánh Nhân Sự</v>
      </c>
      <c r="C642" s="167" t="str">
        <f>_xlfn.XLOOKUP(F642,Mapping!A:A,Mapping!F:F)</f>
        <v>Khen thưởng BD khác</v>
      </c>
      <c r="D642" s="173">
        <v>45777</v>
      </c>
      <c r="E642" s="169" t="s">
        <v>645</v>
      </c>
      <c r="F642" s="169" t="s">
        <v>300</v>
      </c>
      <c r="G642" s="169" t="s">
        <v>222</v>
      </c>
      <c r="H642" s="169" t="s">
        <v>301</v>
      </c>
      <c r="I642" s="169" t="s">
        <v>302</v>
      </c>
      <c r="J642" s="169" t="s">
        <v>646</v>
      </c>
      <c r="K642" s="169" t="s">
        <v>647</v>
      </c>
      <c r="L642" s="169" t="s">
        <v>631</v>
      </c>
      <c r="M642" s="169" t="s">
        <v>281</v>
      </c>
      <c r="N642" s="178">
        <v>5400000</v>
      </c>
      <c r="O642" s="169" t="s">
        <v>648</v>
      </c>
      <c r="P642" s="169" t="s">
        <v>283</v>
      </c>
      <c r="Q642" s="169" t="s">
        <v>306</v>
      </c>
      <c r="R642" s="169" t="s">
        <v>283</v>
      </c>
      <c r="S642" s="169" t="s">
        <v>283</v>
      </c>
      <c r="T642" s="169">
        <v>0</v>
      </c>
    </row>
    <row r="643" spans="2:20" x14ac:dyDescent="0.2">
      <c r="B643" s="167" t="str">
        <f>_xlfn.XLOOKUP(I643,Mapping!D:D,Mapping!E:E)</f>
        <v>Văn Phòng Giám Đốc</v>
      </c>
      <c r="C643" s="167" t="str">
        <f>_xlfn.XLOOKUP(F643,Mapping!A:A,Mapping!F:F)</f>
        <v>BHXH, BHYT, KPCĐ</v>
      </c>
      <c r="D643" s="173">
        <v>45777</v>
      </c>
      <c r="E643" s="169" t="s">
        <v>639</v>
      </c>
      <c r="F643" s="169" t="s">
        <v>295</v>
      </c>
      <c r="G643" s="169" t="s">
        <v>296</v>
      </c>
      <c r="H643" s="169" t="s">
        <v>320</v>
      </c>
      <c r="I643" s="169" t="s">
        <v>321</v>
      </c>
      <c r="J643" s="169" t="s">
        <v>640</v>
      </c>
      <c r="K643" s="169" t="s">
        <v>640</v>
      </c>
      <c r="L643" s="169" t="s">
        <v>631</v>
      </c>
      <c r="M643" s="169" t="s">
        <v>281</v>
      </c>
      <c r="N643" s="178">
        <v>20503750</v>
      </c>
      <c r="O643" s="169" t="s">
        <v>641</v>
      </c>
      <c r="P643" s="169" t="s">
        <v>283</v>
      </c>
      <c r="Q643" s="169" t="s">
        <v>633</v>
      </c>
      <c r="R643" s="169" t="s">
        <v>283</v>
      </c>
      <c r="S643" s="169" t="s">
        <v>283</v>
      </c>
      <c r="T643" s="169">
        <v>0</v>
      </c>
    </row>
    <row r="644" spans="2:20" x14ac:dyDescent="0.2">
      <c r="B644" s="167" t="str">
        <f>_xlfn.XLOOKUP(I644,Mapping!D:D,Mapping!E:E)</f>
        <v>Hành Chánh Nhân Sự</v>
      </c>
      <c r="C644" s="167" t="str">
        <f>_xlfn.XLOOKUP(F644,Mapping!A:A,Mapping!F:F)</f>
        <v>BHXH, BHYT, KPCĐ</v>
      </c>
      <c r="D644" s="173">
        <v>45777</v>
      </c>
      <c r="E644" s="169" t="s">
        <v>639</v>
      </c>
      <c r="F644" s="169" t="s">
        <v>295</v>
      </c>
      <c r="G644" s="169" t="s">
        <v>296</v>
      </c>
      <c r="H644" s="169" t="s">
        <v>301</v>
      </c>
      <c r="I644" s="169" t="s">
        <v>302</v>
      </c>
      <c r="J644" s="169" t="s">
        <v>640</v>
      </c>
      <c r="K644" s="169" t="s">
        <v>640</v>
      </c>
      <c r="L644" s="169" t="s">
        <v>631</v>
      </c>
      <c r="M644" s="169" t="s">
        <v>281</v>
      </c>
      <c r="N644" s="178">
        <v>103941800</v>
      </c>
      <c r="O644" s="169" t="s">
        <v>641</v>
      </c>
      <c r="P644" s="169" t="s">
        <v>283</v>
      </c>
      <c r="Q644" s="169" t="s">
        <v>633</v>
      </c>
      <c r="R644" s="169" t="s">
        <v>283</v>
      </c>
      <c r="S644" s="169" t="s">
        <v>283</v>
      </c>
      <c r="T644" s="169">
        <v>0</v>
      </c>
    </row>
    <row r="645" spans="2:20" x14ac:dyDescent="0.2">
      <c r="B645" s="167" t="str">
        <f>_xlfn.XLOOKUP(I645,Mapping!D:D,Mapping!E:E)</f>
        <v>Văn Phòng Giám Đốc</v>
      </c>
      <c r="C645" s="167" t="str">
        <f>_xlfn.XLOOKUP(F645,Mapping!A:A,Mapping!F:F)</f>
        <v>Lương Chính +T13</v>
      </c>
      <c r="D645" s="173">
        <v>45777</v>
      </c>
      <c r="E645" s="169" t="s">
        <v>629</v>
      </c>
      <c r="F645" s="169" t="s">
        <v>274</v>
      </c>
      <c r="G645" s="169" t="s">
        <v>275</v>
      </c>
      <c r="H645" s="169" t="s">
        <v>320</v>
      </c>
      <c r="I645" s="169" t="s">
        <v>321</v>
      </c>
      <c r="J645" s="169" t="s">
        <v>630</v>
      </c>
      <c r="K645" s="169" t="s">
        <v>630</v>
      </c>
      <c r="L645" s="169" t="s">
        <v>631</v>
      </c>
      <c r="M645" s="169" t="s">
        <v>281</v>
      </c>
      <c r="N645" s="178">
        <v>89646034</v>
      </c>
      <c r="O645" s="169" t="s">
        <v>632</v>
      </c>
      <c r="P645" s="169" t="s">
        <v>283</v>
      </c>
      <c r="Q645" s="169" t="s">
        <v>633</v>
      </c>
      <c r="R645" s="169" t="s">
        <v>283</v>
      </c>
      <c r="S645" s="169" t="s">
        <v>283</v>
      </c>
      <c r="T645" s="169">
        <v>0</v>
      </c>
    </row>
    <row r="646" spans="2:20" x14ac:dyDescent="0.2">
      <c r="B646" s="167" t="str">
        <f>_xlfn.XLOOKUP(I646,Mapping!D:D,Mapping!E:E)</f>
        <v>Văn Phòng Giám Đốc</v>
      </c>
      <c r="C646" s="167" t="str">
        <f>_xlfn.XLOOKUP(F646,Mapping!A:A,Mapping!F:F)</f>
        <v>Thưởng</v>
      </c>
      <c r="D646" s="173">
        <v>45777</v>
      </c>
      <c r="E646" s="169" t="s">
        <v>629</v>
      </c>
      <c r="F646" s="169" t="s">
        <v>290</v>
      </c>
      <c r="G646" s="169" t="s">
        <v>291</v>
      </c>
      <c r="H646" s="169" t="s">
        <v>320</v>
      </c>
      <c r="I646" s="169" t="s">
        <v>321</v>
      </c>
      <c r="J646" s="169" t="s">
        <v>630</v>
      </c>
      <c r="K646" s="169" t="s">
        <v>630</v>
      </c>
      <c r="L646" s="169" t="s">
        <v>631</v>
      </c>
      <c r="M646" s="169" t="s">
        <v>281</v>
      </c>
      <c r="N646" s="178">
        <v>1000000</v>
      </c>
      <c r="O646" s="169" t="s">
        <v>632</v>
      </c>
      <c r="P646" s="169" t="s">
        <v>283</v>
      </c>
      <c r="Q646" s="169" t="s">
        <v>633</v>
      </c>
      <c r="R646" s="169" t="s">
        <v>283</v>
      </c>
      <c r="S646" s="169" t="s">
        <v>283</v>
      </c>
      <c r="T646" s="169">
        <v>0</v>
      </c>
    </row>
    <row r="647" spans="2:20" x14ac:dyDescent="0.2">
      <c r="B647" s="167" t="str">
        <f>_xlfn.XLOOKUP(I647,Mapping!D:D,Mapping!E:E)</f>
        <v>Hành Chánh Nhân Sự</v>
      </c>
      <c r="C647" s="167" t="str">
        <f>_xlfn.XLOOKUP(F647,Mapping!A:A,Mapping!F:F)</f>
        <v>Thưởng</v>
      </c>
      <c r="D647" s="173">
        <v>45777</v>
      </c>
      <c r="E647" s="169" t="s">
        <v>629</v>
      </c>
      <c r="F647" s="169" t="s">
        <v>290</v>
      </c>
      <c r="G647" s="169" t="s">
        <v>291</v>
      </c>
      <c r="H647" s="169" t="s">
        <v>301</v>
      </c>
      <c r="I647" s="169" t="s">
        <v>302</v>
      </c>
      <c r="J647" s="169" t="s">
        <v>630</v>
      </c>
      <c r="K647" s="169" t="s">
        <v>630</v>
      </c>
      <c r="L647" s="169" t="s">
        <v>631</v>
      </c>
      <c r="M647" s="169" t="s">
        <v>281</v>
      </c>
      <c r="N647" s="178">
        <v>7400000</v>
      </c>
      <c r="O647" s="169" t="s">
        <v>632</v>
      </c>
      <c r="P647" s="169" t="s">
        <v>283</v>
      </c>
      <c r="Q647" s="169" t="s">
        <v>633</v>
      </c>
      <c r="R647" s="169" t="s">
        <v>283</v>
      </c>
      <c r="S647" s="169" t="s">
        <v>283</v>
      </c>
      <c r="T647" s="169">
        <v>0</v>
      </c>
    </row>
    <row r="648" spans="2:20" x14ac:dyDescent="0.2">
      <c r="B648" s="167" t="str">
        <f>_xlfn.XLOOKUP(I648,Mapping!D:D,Mapping!E:E)</f>
        <v>Hành Chánh Nhân Sự</v>
      </c>
      <c r="C648" s="167" t="str">
        <f>_xlfn.XLOOKUP(F648,Mapping!A:A,Mapping!F:F)</f>
        <v>Phụ Cấp</v>
      </c>
      <c r="D648" s="173">
        <v>45777</v>
      </c>
      <c r="E648" s="169" t="s">
        <v>629</v>
      </c>
      <c r="F648" s="169" t="s">
        <v>335</v>
      </c>
      <c r="G648" s="169" t="s">
        <v>336</v>
      </c>
      <c r="H648" s="169" t="s">
        <v>301</v>
      </c>
      <c r="I648" s="169" t="s">
        <v>302</v>
      </c>
      <c r="J648" s="169" t="s">
        <v>630</v>
      </c>
      <c r="K648" s="169" t="s">
        <v>630</v>
      </c>
      <c r="L648" s="169" t="s">
        <v>631</v>
      </c>
      <c r="M648" s="169" t="s">
        <v>281</v>
      </c>
      <c r="N648" s="178">
        <v>6010000</v>
      </c>
      <c r="O648" s="169" t="s">
        <v>632</v>
      </c>
      <c r="P648" s="169" t="s">
        <v>283</v>
      </c>
      <c r="Q648" s="169" t="s">
        <v>633</v>
      </c>
      <c r="R648" s="169" t="s">
        <v>283</v>
      </c>
      <c r="S648" s="169" t="s">
        <v>283</v>
      </c>
      <c r="T648" s="169">
        <v>0</v>
      </c>
    </row>
    <row r="649" spans="2:20" x14ac:dyDescent="0.2">
      <c r="B649" s="167" t="str">
        <f>_xlfn.XLOOKUP(I649,Mapping!D:D,Mapping!E:E)</f>
        <v>Hành Chánh Nhân Sự</v>
      </c>
      <c r="C649" s="167" t="str">
        <f>_xlfn.XLOOKUP(F649,Mapping!A:A,Mapping!F:F)</f>
        <v>Phụ Cấp</v>
      </c>
      <c r="D649" s="173">
        <v>45777</v>
      </c>
      <c r="E649" s="169" t="s">
        <v>629</v>
      </c>
      <c r="F649" s="169" t="s">
        <v>340</v>
      </c>
      <c r="G649" s="169" t="s">
        <v>341</v>
      </c>
      <c r="H649" s="169" t="s">
        <v>301</v>
      </c>
      <c r="I649" s="169" t="s">
        <v>302</v>
      </c>
      <c r="J649" s="169" t="s">
        <v>630</v>
      </c>
      <c r="K649" s="169" t="s">
        <v>630</v>
      </c>
      <c r="L649" s="169" t="s">
        <v>631</v>
      </c>
      <c r="M649" s="169" t="s">
        <v>281</v>
      </c>
      <c r="N649" s="178">
        <v>8165834</v>
      </c>
      <c r="O649" s="169" t="s">
        <v>632</v>
      </c>
      <c r="P649" s="169" t="s">
        <v>283</v>
      </c>
      <c r="Q649" s="169" t="s">
        <v>633</v>
      </c>
      <c r="R649" s="169" t="s">
        <v>283</v>
      </c>
      <c r="S649" s="169" t="s">
        <v>283</v>
      </c>
      <c r="T649" s="169">
        <v>0</v>
      </c>
    </row>
    <row r="650" spans="2:20" x14ac:dyDescent="0.2">
      <c r="B650" s="167" t="str">
        <f>_xlfn.XLOOKUP(I650,Mapping!D:D,Mapping!E:E)</f>
        <v>Hành Chánh Nhân Sự</v>
      </c>
      <c r="C650" s="167" t="str">
        <f>_xlfn.XLOOKUP(F650,Mapping!A:A,Mapping!F:F)</f>
        <v>Lương Chính +T13</v>
      </c>
      <c r="D650" s="173">
        <v>45777</v>
      </c>
      <c r="E650" s="169" t="s">
        <v>629</v>
      </c>
      <c r="F650" s="169" t="s">
        <v>274</v>
      </c>
      <c r="G650" s="169" t="s">
        <v>275</v>
      </c>
      <c r="H650" s="169" t="s">
        <v>301</v>
      </c>
      <c r="I650" s="169" t="s">
        <v>302</v>
      </c>
      <c r="J650" s="169" t="s">
        <v>630</v>
      </c>
      <c r="K650" s="169" t="s">
        <v>630</v>
      </c>
      <c r="L650" s="169" t="s">
        <v>631</v>
      </c>
      <c r="M650" s="169" t="s">
        <v>281</v>
      </c>
      <c r="N650" s="178">
        <v>475652759</v>
      </c>
      <c r="O650" s="169" t="s">
        <v>632</v>
      </c>
      <c r="P650" s="169" t="s">
        <v>283</v>
      </c>
      <c r="Q650" s="169" t="s">
        <v>633</v>
      </c>
      <c r="R650" s="169" t="s">
        <v>283</v>
      </c>
      <c r="S650" s="169" t="s">
        <v>283</v>
      </c>
      <c r="T650" s="169">
        <v>0</v>
      </c>
    </row>
    <row r="651" spans="2:20" x14ac:dyDescent="0.2">
      <c r="B651" s="167" t="str">
        <f>_xlfn.XLOOKUP(I651,Mapping!D:D,Mapping!E:E)</f>
        <v>Hành Chánh Nhân Sự</v>
      </c>
      <c r="C651" s="167" t="str">
        <f>_xlfn.XLOOKUP(F651,Mapping!A:A,Mapping!F:F)</f>
        <v>Lương Chính +T13</v>
      </c>
      <c r="D651" s="173">
        <v>45777</v>
      </c>
      <c r="E651" s="169" t="s">
        <v>629</v>
      </c>
      <c r="F651" s="169" t="s">
        <v>285</v>
      </c>
      <c r="G651" s="169" t="s">
        <v>286</v>
      </c>
      <c r="H651" s="169" t="s">
        <v>301</v>
      </c>
      <c r="I651" s="169" t="s">
        <v>302</v>
      </c>
      <c r="J651" s="169" t="s">
        <v>630</v>
      </c>
      <c r="K651" s="169" t="s">
        <v>630</v>
      </c>
      <c r="L651" s="169" t="s">
        <v>631</v>
      </c>
      <c r="M651" s="169" t="s">
        <v>281</v>
      </c>
      <c r="N651" s="178">
        <v>15466346</v>
      </c>
      <c r="O651" s="169" t="s">
        <v>632</v>
      </c>
      <c r="P651" s="169" t="s">
        <v>283</v>
      </c>
      <c r="Q651" s="169" t="s">
        <v>633</v>
      </c>
      <c r="R651" s="169" t="s">
        <v>283</v>
      </c>
      <c r="S651" s="169" t="s">
        <v>283</v>
      </c>
      <c r="T651" s="169">
        <v>0</v>
      </c>
    </row>
    <row r="652" spans="2:20" x14ac:dyDescent="0.2">
      <c r="B652" s="167" t="str">
        <f>_xlfn.XLOOKUP(I652,Mapping!D:D,Mapping!E:E)</f>
        <v>Hành Chánh Nhân Sự</v>
      </c>
      <c r="C652" s="167" t="str">
        <f>_xlfn.XLOOKUP(F652,Mapping!A:A,Mapping!F:F)</f>
        <v>Lương Ngoài giờ</v>
      </c>
      <c r="D652" s="173">
        <v>45777</v>
      </c>
      <c r="E652" s="169" t="s">
        <v>629</v>
      </c>
      <c r="F652" s="169" t="s">
        <v>342</v>
      </c>
      <c r="G652" s="169" t="s">
        <v>343</v>
      </c>
      <c r="H652" s="169" t="s">
        <v>301</v>
      </c>
      <c r="I652" s="169" t="s">
        <v>302</v>
      </c>
      <c r="J652" s="169" t="s">
        <v>630</v>
      </c>
      <c r="K652" s="169" t="s">
        <v>630</v>
      </c>
      <c r="L652" s="169" t="s">
        <v>631</v>
      </c>
      <c r="M652" s="169" t="s">
        <v>281</v>
      </c>
      <c r="N652" s="178">
        <v>100572213</v>
      </c>
      <c r="O652" s="169" t="s">
        <v>632</v>
      </c>
      <c r="P652" s="169" t="s">
        <v>283</v>
      </c>
      <c r="Q652" s="169" t="s">
        <v>633</v>
      </c>
      <c r="R652" s="169" t="s">
        <v>283</v>
      </c>
      <c r="S652" s="169" t="s">
        <v>283</v>
      </c>
      <c r="T652" s="169">
        <v>0</v>
      </c>
    </row>
    <row r="653" spans="2:20" x14ac:dyDescent="0.2">
      <c r="B653" s="167" t="str">
        <f>_xlfn.XLOOKUP(I653,Mapping!D:D,Mapping!E:E)</f>
        <v>Văn Phòng Giám Đốc</v>
      </c>
      <c r="C653" s="167" t="str">
        <f>_xlfn.XLOOKUP(F653,Mapping!A:A,Mapping!F:F)</f>
        <v>Lương Chính +T13</v>
      </c>
      <c r="D653" s="173">
        <v>45777</v>
      </c>
      <c r="E653" s="169" t="s">
        <v>634</v>
      </c>
      <c r="F653" s="169" t="s">
        <v>285</v>
      </c>
      <c r="G653" s="169" t="s">
        <v>286</v>
      </c>
      <c r="H653" s="169" t="s">
        <v>320</v>
      </c>
      <c r="I653" s="169" t="s">
        <v>321</v>
      </c>
      <c r="J653" s="169" t="s">
        <v>635</v>
      </c>
      <c r="K653" s="169" t="s">
        <v>636</v>
      </c>
      <c r="L653" s="169" t="s">
        <v>631</v>
      </c>
      <c r="M653" s="169" t="s">
        <v>281</v>
      </c>
      <c r="N653" s="178">
        <v>7270833</v>
      </c>
      <c r="O653" s="169" t="s">
        <v>637</v>
      </c>
      <c r="P653" s="169" t="s">
        <v>283</v>
      </c>
      <c r="Q653" s="169" t="s">
        <v>633</v>
      </c>
      <c r="R653" s="169" t="s">
        <v>283</v>
      </c>
      <c r="S653" s="169" t="s">
        <v>283</v>
      </c>
      <c r="T653" s="169">
        <v>0</v>
      </c>
    </row>
    <row r="654" spans="2:20" x14ac:dyDescent="0.2">
      <c r="B654" s="167" t="str">
        <f>_xlfn.XLOOKUP(I654,Mapping!D:D,Mapping!E:E)</f>
        <v>Hành Chánh Nhân Sự</v>
      </c>
      <c r="C654" s="167" t="str">
        <f>_xlfn.XLOOKUP(F654,Mapping!A:A,Mapping!F:F)</f>
        <v>Lương Chính +T13</v>
      </c>
      <c r="D654" s="173">
        <v>45777</v>
      </c>
      <c r="E654" s="169" t="s">
        <v>634</v>
      </c>
      <c r="F654" s="169" t="s">
        <v>285</v>
      </c>
      <c r="G654" s="169" t="s">
        <v>286</v>
      </c>
      <c r="H654" s="169" t="s">
        <v>301</v>
      </c>
      <c r="I654" s="169" t="s">
        <v>302</v>
      </c>
      <c r="J654" s="169" t="s">
        <v>635</v>
      </c>
      <c r="K654" s="169" t="s">
        <v>636</v>
      </c>
      <c r="L654" s="169" t="s">
        <v>631</v>
      </c>
      <c r="M654" s="169" t="s">
        <v>281</v>
      </c>
      <c r="N654" s="178">
        <v>40832952</v>
      </c>
      <c r="O654" s="169" t="s">
        <v>637</v>
      </c>
      <c r="P654" s="169" t="s">
        <v>283</v>
      </c>
      <c r="Q654" s="169" t="s">
        <v>633</v>
      </c>
      <c r="R654" s="169" t="s">
        <v>283</v>
      </c>
      <c r="S654" s="169" t="s">
        <v>283</v>
      </c>
      <c r="T654" s="169">
        <v>0</v>
      </c>
    </row>
    <row r="655" spans="2:20" x14ac:dyDescent="0.2">
      <c r="B655" s="167" t="str">
        <f>_xlfn.XLOOKUP(I655,Mapping!D:D,Mapping!E:E)</f>
        <v>Văn Phòng Giám Đốc</v>
      </c>
      <c r="C655" s="167" t="str">
        <f>_xlfn.XLOOKUP(F655,Mapping!A:A,Mapping!F:F)</f>
        <v>Thưởng</v>
      </c>
      <c r="D655" s="173">
        <v>45777</v>
      </c>
      <c r="E655" s="169" t="s">
        <v>634</v>
      </c>
      <c r="F655" s="169" t="s">
        <v>292</v>
      </c>
      <c r="G655" s="169" t="s">
        <v>77</v>
      </c>
      <c r="H655" s="169" t="s">
        <v>320</v>
      </c>
      <c r="I655" s="169" t="s">
        <v>321</v>
      </c>
      <c r="J655" s="169" t="s">
        <v>638</v>
      </c>
      <c r="K655" s="169" t="s">
        <v>636</v>
      </c>
      <c r="L655" s="169" t="s">
        <v>631</v>
      </c>
      <c r="M655" s="169" t="s">
        <v>281</v>
      </c>
      <c r="N655" s="178">
        <v>6689109</v>
      </c>
      <c r="O655" s="169" t="s">
        <v>637</v>
      </c>
      <c r="P655" s="169" t="s">
        <v>283</v>
      </c>
      <c r="Q655" s="169" t="s">
        <v>633</v>
      </c>
      <c r="R655" s="169" t="s">
        <v>283</v>
      </c>
      <c r="S655" s="169" t="s">
        <v>283</v>
      </c>
      <c r="T655" s="169">
        <v>0</v>
      </c>
    </row>
    <row r="656" spans="2:20" x14ac:dyDescent="0.2">
      <c r="B656" s="167" t="str">
        <f>_xlfn.XLOOKUP(I656,Mapping!D:D,Mapping!E:E)</f>
        <v>Hành Chánh Nhân Sự</v>
      </c>
      <c r="C656" s="167" t="str">
        <f>_xlfn.XLOOKUP(F656,Mapping!A:A,Mapping!F:F)</f>
        <v>Thưởng</v>
      </c>
      <c r="D656" s="173">
        <v>45777</v>
      </c>
      <c r="E656" s="169" t="s">
        <v>634</v>
      </c>
      <c r="F656" s="169" t="s">
        <v>292</v>
      </c>
      <c r="G656" s="169" t="s">
        <v>77</v>
      </c>
      <c r="H656" s="169" t="s">
        <v>301</v>
      </c>
      <c r="I656" s="169" t="s">
        <v>302</v>
      </c>
      <c r="J656" s="169" t="s">
        <v>638</v>
      </c>
      <c r="K656" s="169" t="s">
        <v>636</v>
      </c>
      <c r="L656" s="169" t="s">
        <v>631</v>
      </c>
      <c r="M656" s="169" t="s">
        <v>281</v>
      </c>
      <c r="N656" s="178">
        <v>32313325</v>
      </c>
      <c r="O656" s="169" t="s">
        <v>637</v>
      </c>
      <c r="P656" s="169" t="s">
        <v>283</v>
      </c>
      <c r="Q656" s="169" t="s">
        <v>633</v>
      </c>
      <c r="R656" s="169" t="s">
        <v>283</v>
      </c>
      <c r="S656" s="169" t="s">
        <v>283</v>
      </c>
      <c r="T656" s="169">
        <v>0</v>
      </c>
    </row>
    <row r="657" spans="2:20" x14ac:dyDescent="0.2">
      <c r="B657" s="167" t="str">
        <f>_xlfn.XLOOKUP(I657,Mapping!D:D,Mapping!E:E)</f>
        <v>Hành Chánh Nhân Sự</v>
      </c>
      <c r="C657" s="167" t="str">
        <f>_xlfn.XLOOKUP(F657,Mapping!A:A,Mapping!F:F)</f>
        <v>Lương Chính +T13</v>
      </c>
      <c r="D657" s="173">
        <v>45777</v>
      </c>
      <c r="E657" s="169" t="s">
        <v>649</v>
      </c>
      <c r="F657" s="169" t="s">
        <v>274</v>
      </c>
      <c r="G657" s="169" t="s">
        <v>275</v>
      </c>
      <c r="H657" s="169" t="s">
        <v>301</v>
      </c>
      <c r="I657" s="169" t="s">
        <v>302</v>
      </c>
      <c r="J657" s="169" t="s">
        <v>650</v>
      </c>
      <c r="K657" s="169" t="s">
        <v>328</v>
      </c>
      <c r="L657" s="169" t="s">
        <v>631</v>
      </c>
      <c r="M657" s="169" t="s">
        <v>281</v>
      </c>
      <c r="N657" s="178">
        <v>86340000</v>
      </c>
      <c r="O657" s="169" t="s">
        <v>651</v>
      </c>
      <c r="P657" s="169" t="s">
        <v>283</v>
      </c>
      <c r="Q657" s="169" t="s">
        <v>306</v>
      </c>
      <c r="R657" s="169" t="s">
        <v>283</v>
      </c>
      <c r="S657" s="169" t="s">
        <v>283</v>
      </c>
      <c r="T657" s="169">
        <v>0</v>
      </c>
    </row>
    <row r="658" spans="2:20" x14ac:dyDescent="0.2">
      <c r="B658" s="167" t="str">
        <f>_xlfn.XLOOKUP(I658,Mapping!D:D,Mapping!E:E)</f>
        <v>Kinh doanh</v>
      </c>
      <c r="C658" s="167" t="str">
        <f>_xlfn.XLOOKUP(F658,Mapping!A:A,Mapping!F:F)</f>
        <v>Thưởng</v>
      </c>
      <c r="D658" s="173">
        <v>45748</v>
      </c>
      <c r="E658" s="169" t="s">
        <v>652</v>
      </c>
      <c r="F658" s="169" t="s">
        <v>365</v>
      </c>
      <c r="G658" s="169" t="s">
        <v>291</v>
      </c>
      <c r="H658" s="169" t="s">
        <v>366</v>
      </c>
      <c r="I658" s="169" t="s">
        <v>1</v>
      </c>
      <c r="J658" s="169" t="s">
        <v>653</v>
      </c>
      <c r="K658" s="169" t="s">
        <v>654</v>
      </c>
      <c r="L658" s="169" t="s">
        <v>631</v>
      </c>
      <c r="M658" s="169" t="s">
        <v>281</v>
      </c>
      <c r="N658" s="178">
        <v>9165135</v>
      </c>
      <c r="O658" s="169" t="s">
        <v>655</v>
      </c>
      <c r="P658" s="169" t="s">
        <v>283</v>
      </c>
      <c r="Q658" s="169" t="s">
        <v>370</v>
      </c>
      <c r="R658" s="169" t="s">
        <v>283</v>
      </c>
      <c r="S658" s="169" t="s">
        <v>283</v>
      </c>
      <c r="T658" s="169">
        <v>0</v>
      </c>
    </row>
    <row r="659" spans="2:20" x14ac:dyDescent="0.2">
      <c r="B659" s="167" t="e">
        <f>_xlfn.XLOOKUP(I659,Mapping!D:D,Mapping!E:E)</f>
        <v>#N/A</v>
      </c>
      <c r="C659" s="167" t="str">
        <f>_xlfn.XLOOKUP(F659,Mapping!A:A,Mapping!F:F)</f>
        <v>Khen thưởng BD khác</v>
      </c>
      <c r="D659" s="173">
        <v>45748</v>
      </c>
      <c r="E659" s="169" t="s">
        <v>656</v>
      </c>
      <c r="F659" s="169" t="s">
        <v>300</v>
      </c>
      <c r="G659" s="169" t="s">
        <v>222</v>
      </c>
      <c r="H659" s="169" t="s">
        <v>657</v>
      </c>
      <c r="I659" s="169" t="s">
        <v>658</v>
      </c>
      <c r="J659" s="169" t="s">
        <v>659</v>
      </c>
      <c r="K659" s="169" t="s">
        <v>660</v>
      </c>
      <c r="L659" s="169" t="s">
        <v>631</v>
      </c>
      <c r="M659" s="169" t="s">
        <v>281</v>
      </c>
      <c r="N659" s="178">
        <v>20000000</v>
      </c>
      <c r="O659" s="169" t="s">
        <v>661</v>
      </c>
      <c r="P659" s="169" t="s">
        <v>283</v>
      </c>
      <c r="Q659" s="169" t="s">
        <v>370</v>
      </c>
      <c r="R659" s="169" t="s">
        <v>283</v>
      </c>
      <c r="S659" s="169" t="s">
        <v>283</v>
      </c>
      <c r="T659" s="169">
        <v>0</v>
      </c>
    </row>
    <row r="660" spans="2:20" x14ac:dyDescent="0.2">
      <c r="B660" s="167" t="str">
        <f>_xlfn.XLOOKUP(I660,Mapping!D:D,Mapping!E:E)</f>
        <v>Kinh doanh</v>
      </c>
      <c r="C660" s="167" t="str">
        <f>_xlfn.XLOOKUP(F660,Mapping!A:A,Mapping!F:F)</f>
        <v>Phụ Cấp</v>
      </c>
      <c r="D660" s="173">
        <v>45755</v>
      </c>
      <c r="E660" s="169" t="s">
        <v>662</v>
      </c>
      <c r="F660" s="169" t="s">
        <v>385</v>
      </c>
      <c r="G660" s="169" t="s">
        <v>336</v>
      </c>
      <c r="H660" s="169" t="s">
        <v>366</v>
      </c>
      <c r="I660" s="169" t="s">
        <v>1</v>
      </c>
      <c r="J660" s="169" t="s">
        <v>663</v>
      </c>
      <c r="K660" s="169" t="s">
        <v>581</v>
      </c>
      <c r="L660" s="169" t="s">
        <v>631</v>
      </c>
      <c r="M660" s="169" t="s">
        <v>281</v>
      </c>
      <c r="N660" s="178">
        <v>5859296</v>
      </c>
      <c r="O660" s="169" t="s">
        <v>664</v>
      </c>
      <c r="P660" s="169" t="s">
        <v>283</v>
      </c>
      <c r="Q660" s="169" t="s">
        <v>306</v>
      </c>
      <c r="R660" s="169" t="s">
        <v>283</v>
      </c>
      <c r="S660" s="169" t="s">
        <v>283</v>
      </c>
      <c r="T660" s="169">
        <v>0</v>
      </c>
    </row>
    <row r="661" spans="2:20" x14ac:dyDescent="0.2">
      <c r="B661" s="167" t="str">
        <f>_xlfn.XLOOKUP(I661,Mapping!D:D,Mapping!E:E)</f>
        <v>Hành Chánh Nhân Sự</v>
      </c>
      <c r="C661" s="167" t="str">
        <f>_xlfn.XLOOKUP(F661,Mapping!A:A,Mapping!F:F)</f>
        <v>Khen thưởng BD khác</v>
      </c>
      <c r="D661" s="173">
        <v>45769</v>
      </c>
      <c r="E661" s="169" t="s">
        <v>665</v>
      </c>
      <c r="F661" s="169" t="s">
        <v>300</v>
      </c>
      <c r="G661" s="169" t="s">
        <v>222</v>
      </c>
      <c r="H661" s="169" t="s">
        <v>358</v>
      </c>
      <c r="I661" s="169" t="s">
        <v>359</v>
      </c>
      <c r="J661" s="169" t="s">
        <v>666</v>
      </c>
      <c r="K661" s="169" t="s">
        <v>666</v>
      </c>
      <c r="L661" s="169" t="s">
        <v>631</v>
      </c>
      <c r="M661" s="169" t="s">
        <v>281</v>
      </c>
      <c r="N661" s="178">
        <v>1500000</v>
      </c>
      <c r="O661" s="169" t="s">
        <v>667</v>
      </c>
      <c r="P661" s="169" t="s">
        <v>283</v>
      </c>
      <c r="Q661" s="169" t="s">
        <v>325</v>
      </c>
      <c r="R661" s="169" t="s">
        <v>283</v>
      </c>
      <c r="S661" s="169" t="s">
        <v>283</v>
      </c>
      <c r="T661" s="169">
        <v>0</v>
      </c>
    </row>
    <row r="662" spans="2:20" x14ac:dyDescent="0.2">
      <c r="B662" s="167" t="str">
        <f>_xlfn.XLOOKUP(I662,Mapping!D:D,Mapping!E:E)</f>
        <v>Kinh doanh</v>
      </c>
      <c r="C662" s="167" t="str">
        <f>_xlfn.XLOOKUP(F662,Mapping!A:A,Mapping!F:F)</f>
        <v>Thưởng</v>
      </c>
      <c r="D662" s="173">
        <v>45777</v>
      </c>
      <c r="E662" s="169" t="s">
        <v>668</v>
      </c>
      <c r="F662" s="169" t="s">
        <v>365</v>
      </c>
      <c r="G662" s="169" t="s">
        <v>291</v>
      </c>
      <c r="H662" s="169" t="s">
        <v>366</v>
      </c>
      <c r="I662" s="169" t="s">
        <v>1</v>
      </c>
      <c r="J662" s="169" t="s">
        <v>669</v>
      </c>
      <c r="K662" s="169" t="s">
        <v>670</v>
      </c>
      <c r="L662" s="169" t="s">
        <v>631</v>
      </c>
      <c r="M662" s="169" t="s">
        <v>281</v>
      </c>
      <c r="N662" s="178">
        <v>23539797</v>
      </c>
      <c r="O662" s="169" t="s">
        <v>671</v>
      </c>
      <c r="P662" s="169" t="s">
        <v>283</v>
      </c>
      <c r="Q662" s="169" t="s">
        <v>370</v>
      </c>
      <c r="R662" s="169" t="s">
        <v>283</v>
      </c>
      <c r="S662" s="169" t="s">
        <v>283</v>
      </c>
      <c r="T662" s="169">
        <v>0</v>
      </c>
    </row>
    <row r="663" spans="2:20" x14ac:dyDescent="0.2">
      <c r="B663" s="167" t="str">
        <f>_xlfn.XLOOKUP(I663,Mapping!D:D,Mapping!E:E)</f>
        <v>Kinh doanh</v>
      </c>
      <c r="C663" s="167" t="str">
        <f>_xlfn.XLOOKUP(F663,Mapping!A:A,Mapping!F:F)</f>
        <v>Thưởng</v>
      </c>
      <c r="D663" s="173">
        <v>45777</v>
      </c>
      <c r="E663" s="169" t="s">
        <v>672</v>
      </c>
      <c r="F663" s="169" t="s">
        <v>365</v>
      </c>
      <c r="G663" s="169" t="s">
        <v>291</v>
      </c>
      <c r="H663" s="169" t="s">
        <v>366</v>
      </c>
      <c r="I663" s="169" t="s">
        <v>1</v>
      </c>
      <c r="J663" s="169" t="s">
        <v>673</v>
      </c>
      <c r="K663" s="169" t="s">
        <v>670</v>
      </c>
      <c r="L663" s="169" t="s">
        <v>631</v>
      </c>
      <c r="M663" s="169" t="s">
        <v>281</v>
      </c>
      <c r="N663" s="178">
        <v>116293966</v>
      </c>
      <c r="O663" s="169" t="s">
        <v>674</v>
      </c>
      <c r="P663" s="169" t="s">
        <v>283</v>
      </c>
      <c r="Q663" s="169" t="s">
        <v>370</v>
      </c>
      <c r="R663" s="169" t="s">
        <v>283</v>
      </c>
      <c r="S663" s="169" t="s">
        <v>283</v>
      </c>
      <c r="T663" s="169">
        <v>0</v>
      </c>
    </row>
    <row r="664" spans="2:20" x14ac:dyDescent="0.2">
      <c r="B664" s="167" t="str">
        <f>_xlfn.XLOOKUP(I664,Mapping!D:D,Mapping!E:E)</f>
        <v>Kế Toán</v>
      </c>
      <c r="C664" s="167" t="str">
        <f>_xlfn.XLOOKUP(F664,Mapping!A:A,Mapping!F:F)</f>
        <v>Phụ Cấp</v>
      </c>
      <c r="D664" s="173">
        <v>45775</v>
      </c>
      <c r="E664" s="169" t="s">
        <v>642</v>
      </c>
      <c r="F664" s="169" t="s">
        <v>335</v>
      </c>
      <c r="G664" s="169" t="s">
        <v>336</v>
      </c>
      <c r="H664" s="169" t="s">
        <v>356</v>
      </c>
      <c r="I664" s="169" t="s">
        <v>357</v>
      </c>
      <c r="J664" s="169" t="s">
        <v>643</v>
      </c>
      <c r="K664" s="169" t="s">
        <v>338</v>
      </c>
      <c r="L664" s="169" t="s">
        <v>631</v>
      </c>
      <c r="M664" s="169" t="s">
        <v>281</v>
      </c>
      <c r="N664" s="178">
        <v>13300000</v>
      </c>
      <c r="O664" s="169" t="s">
        <v>644</v>
      </c>
      <c r="P664" s="169" t="s">
        <v>283</v>
      </c>
      <c r="Q664" s="169" t="s">
        <v>306</v>
      </c>
      <c r="R664" s="169" t="s">
        <v>283</v>
      </c>
      <c r="S664" s="169" t="s">
        <v>283</v>
      </c>
      <c r="T664" s="169">
        <v>0</v>
      </c>
    </row>
    <row r="665" spans="2:20" x14ac:dyDescent="0.2">
      <c r="B665" s="167" t="str">
        <f>_xlfn.XLOOKUP(I665,Mapping!D:D,Mapping!E:E)</f>
        <v>Hành Chánh Nhân Sự</v>
      </c>
      <c r="C665" s="167" t="str">
        <f>_xlfn.XLOOKUP(F665,Mapping!A:A,Mapping!F:F)</f>
        <v>Phụ Cấp</v>
      </c>
      <c r="D665" s="173">
        <v>45775</v>
      </c>
      <c r="E665" s="169" t="s">
        <v>642</v>
      </c>
      <c r="F665" s="169" t="s">
        <v>335</v>
      </c>
      <c r="G665" s="169" t="s">
        <v>336</v>
      </c>
      <c r="H665" s="169" t="s">
        <v>382</v>
      </c>
      <c r="I665" s="169" t="s">
        <v>200</v>
      </c>
      <c r="J665" s="169" t="s">
        <v>643</v>
      </c>
      <c r="K665" s="169" t="s">
        <v>338</v>
      </c>
      <c r="L665" s="169" t="s">
        <v>631</v>
      </c>
      <c r="M665" s="169" t="s">
        <v>281</v>
      </c>
      <c r="N665" s="178">
        <v>1650000</v>
      </c>
      <c r="O665" s="169" t="s">
        <v>644</v>
      </c>
      <c r="P665" s="169" t="s">
        <v>283</v>
      </c>
      <c r="Q665" s="169" t="s">
        <v>306</v>
      </c>
      <c r="R665" s="169" t="s">
        <v>283</v>
      </c>
      <c r="S665" s="169" t="s">
        <v>283</v>
      </c>
      <c r="T665" s="169">
        <v>0</v>
      </c>
    </row>
    <row r="666" spans="2:20" x14ac:dyDescent="0.2">
      <c r="B666" s="167" t="str">
        <f>_xlfn.XLOOKUP(I666,Mapping!D:D,Mapping!E:E)</f>
        <v>Hành Chánh Nhân Sự</v>
      </c>
      <c r="C666" s="167" t="str">
        <f>_xlfn.XLOOKUP(F666,Mapping!A:A,Mapping!F:F)</f>
        <v>Phụ Cấp</v>
      </c>
      <c r="D666" s="173">
        <v>45775</v>
      </c>
      <c r="E666" s="169" t="s">
        <v>642</v>
      </c>
      <c r="F666" s="169" t="s">
        <v>335</v>
      </c>
      <c r="G666" s="169" t="s">
        <v>336</v>
      </c>
      <c r="H666" s="169" t="s">
        <v>358</v>
      </c>
      <c r="I666" s="169" t="s">
        <v>359</v>
      </c>
      <c r="J666" s="169" t="s">
        <v>643</v>
      </c>
      <c r="K666" s="169" t="s">
        <v>338</v>
      </c>
      <c r="L666" s="169" t="s">
        <v>631</v>
      </c>
      <c r="M666" s="169" t="s">
        <v>281</v>
      </c>
      <c r="N666" s="178">
        <v>2725000</v>
      </c>
      <c r="O666" s="169" t="s">
        <v>644</v>
      </c>
      <c r="P666" s="169" t="s">
        <v>283</v>
      </c>
      <c r="Q666" s="169" t="s">
        <v>306</v>
      </c>
      <c r="R666" s="169" t="s">
        <v>283</v>
      </c>
      <c r="S666" s="169" t="s">
        <v>283</v>
      </c>
      <c r="T666" s="169">
        <v>0</v>
      </c>
    </row>
    <row r="667" spans="2:20" x14ac:dyDescent="0.2">
      <c r="B667" s="167" t="str">
        <f>_xlfn.XLOOKUP(I667,Mapping!D:D,Mapping!E:E)</f>
        <v>Kế Toán</v>
      </c>
      <c r="C667" s="167" t="str">
        <f>_xlfn.XLOOKUP(F667,Mapping!A:A,Mapping!F:F)</f>
        <v>BHXH, BHYT, KPCĐ</v>
      </c>
      <c r="D667" s="173">
        <v>45777</v>
      </c>
      <c r="E667" s="169" t="s">
        <v>639</v>
      </c>
      <c r="F667" s="169" t="s">
        <v>295</v>
      </c>
      <c r="G667" s="169" t="s">
        <v>296</v>
      </c>
      <c r="H667" s="169" t="s">
        <v>356</v>
      </c>
      <c r="I667" s="169" t="s">
        <v>357</v>
      </c>
      <c r="J667" s="169" t="s">
        <v>640</v>
      </c>
      <c r="K667" s="169" t="s">
        <v>640</v>
      </c>
      <c r="L667" s="169" t="s">
        <v>631</v>
      </c>
      <c r="M667" s="169" t="s">
        <v>281</v>
      </c>
      <c r="N667" s="178">
        <v>85893695</v>
      </c>
      <c r="O667" s="169" t="s">
        <v>641</v>
      </c>
      <c r="P667" s="169" t="s">
        <v>283</v>
      </c>
      <c r="Q667" s="169" t="s">
        <v>633</v>
      </c>
      <c r="R667" s="169" t="s">
        <v>283</v>
      </c>
      <c r="S667" s="169" t="s">
        <v>283</v>
      </c>
      <c r="T667" s="169">
        <v>0</v>
      </c>
    </row>
    <row r="668" spans="2:20" x14ac:dyDescent="0.2">
      <c r="B668" s="167" t="str">
        <f>_xlfn.XLOOKUP(I668,Mapping!D:D,Mapping!E:E)</f>
        <v>Kinh doanh</v>
      </c>
      <c r="C668" s="167" t="str">
        <f>_xlfn.XLOOKUP(F668,Mapping!A:A,Mapping!F:F)</f>
        <v>BHXH, BHYT, KPCĐ</v>
      </c>
      <c r="D668" s="173">
        <v>45777</v>
      </c>
      <c r="E668" s="169" t="s">
        <v>639</v>
      </c>
      <c r="F668" s="169" t="s">
        <v>392</v>
      </c>
      <c r="G668" s="169" t="s">
        <v>296</v>
      </c>
      <c r="H668" s="169" t="s">
        <v>366</v>
      </c>
      <c r="I668" s="169" t="s">
        <v>1</v>
      </c>
      <c r="J668" s="169" t="s">
        <v>640</v>
      </c>
      <c r="K668" s="169" t="s">
        <v>640</v>
      </c>
      <c r="L668" s="169" t="s">
        <v>631</v>
      </c>
      <c r="M668" s="169" t="s">
        <v>281</v>
      </c>
      <c r="N668" s="178">
        <v>62369945</v>
      </c>
      <c r="O668" s="169" t="s">
        <v>641</v>
      </c>
      <c r="P668" s="169" t="s">
        <v>283</v>
      </c>
      <c r="Q668" s="169" t="s">
        <v>633</v>
      </c>
      <c r="R668" s="169" t="s">
        <v>283</v>
      </c>
      <c r="S668" s="169" t="s">
        <v>283</v>
      </c>
      <c r="T668" s="169">
        <v>0</v>
      </c>
    </row>
    <row r="669" spans="2:20" x14ac:dyDescent="0.2">
      <c r="B669" s="167" t="str">
        <f>_xlfn.XLOOKUP(I669,Mapping!D:D,Mapping!E:E)</f>
        <v>Hành Chánh Nhân Sự</v>
      </c>
      <c r="C669" s="167" t="str">
        <f>_xlfn.XLOOKUP(F669,Mapping!A:A,Mapping!F:F)</f>
        <v>BHXH, BHYT, KPCĐ</v>
      </c>
      <c r="D669" s="173">
        <v>45777</v>
      </c>
      <c r="E669" s="169" t="s">
        <v>639</v>
      </c>
      <c r="F669" s="169" t="s">
        <v>295</v>
      </c>
      <c r="G669" s="169" t="s">
        <v>296</v>
      </c>
      <c r="H669" s="169" t="s">
        <v>382</v>
      </c>
      <c r="I669" s="169" t="s">
        <v>200</v>
      </c>
      <c r="J669" s="169" t="s">
        <v>640</v>
      </c>
      <c r="K669" s="169" t="s">
        <v>640</v>
      </c>
      <c r="L669" s="169" t="s">
        <v>631</v>
      </c>
      <c r="M669" s="169" t="s">
        <v>281</v>
      </c>
      <c r="N669" s="178">
        <v>17467785</v>
      </c>
      <c r="O669" s="169" t="s">
        <v>641</v>
      </c>
      <c r="P669" s="169" t="s">
        <v>283</v>
      </c>
      <c r="Q669" s="169" t="s">
        <v>633</v>
      </c>
      <c r="R669" s="169" t="s">
        <v>283</v>
      </c>
      <c r="S669" s="169" t="s">
        <v>283</v>
      </c>
      <c r="T669" s="169">
        <v>0</v>
      </c>
    </row>
    <row r="670" spans="2:20" x14ac:dyDescent="0.2">
      <c r="B670" s="167" t="str">
        <f>_xlfn.XLOOKUP(I670,Mapping!D:D,Mapping!E:E)</f>
        <v>Hành Chánh Nhân Sự</v>
      </c>
      <c r="C670" s="167" t="str">
        <f>_xlfn.XLOOKUP(F670,Mapping!A:A,Mapping!F:F)</f>
        <v>BHXH, BHYT, KPCĐ</v>
      </c>
      <c r="D670" s="173">
        <v>45777</v>
      </c>
      <c r="E670" s="169" t="s">
        <v>639</v>
      </c>
      <c r="F670" s="169" t="s">
        <v>295</v>
      </c>
      <c r="G670" s="169" t="s">
        <v>296</v>
      </c>
      <c r="H670" s="169" t="s">
        <v>358</v>
      </c>
      <c r="I670" s="169" t="s">
        <v>359</v>
      </c>
      <c r="J670" s="169" t="s">
        <v>640</v>
      </c>
      <c r="K670" s="169" t="s">
        <v>640</v>
      </c>
      <c r="L670" s="169" t="s">
        <v>631</v>
      </c>
      <c r="M670" s="169" t="s">
        <v>281</v>
      </c>
      <c r="N670" s="178">
        <v>21177730</v>
      </c>
      <c r="O670" s="169" t="s">
        <v>641</v>
      </c>
      <c r="P670" s="169" t="s">
        <v>283</v>
      </c>
      <c r="Q670" s="169" t="s">
        <v>633</v>
      </c>
      <c r="R670" s="169" t="s">
        <v>283</v>
      </c>
      <c r="S670" s="169" t="s">
        <v>283</v>
      </c>
      <c r="T670" s="169">
        <v>0</v>
      </c>
    </row>
    <row r="671" spans="2:20" x14ac:dyDescent="0.2">
      <c r="B671" s="167" t="str">
        <f>_xlfn.XLOOKUP(I671,Mapping!D:D,Mapping!E:E)</f>
        <v>Kế Toán</v>
      </c>
      <c r="C671" s="167" t="str">
        <f>_xlfn.XLOOKUP(F671,Mapping!A:A,Mapping!F:F)</f>
        <v>Lương Chính +T13</v>
      </c>
      <c r="D671" s="173">
        <v>45777</v>
      </c>
      <c r="E671" s="169" t="s">
        <v>629</v>
      </c>
      <c r="F671" s="169" t="s">
        <v>274</v>
      </c>
      <c r="G671" s="169" t="s">
        <v>275</v>
      </c>
      <c r="H671" s="169" t="s">
        <v>356</v>
      </c>
      <c r="I671" s="169" t="s">
        <v>357</v>
      </c>
      <c r="J671" s="169" t="s">
        <v>630</v>
      </c>
      <c r="K671" s="169" t="s">
        <v>630</v>
      </c>
      <c r="L671" s="169" t="s">
        <v>631</v>
      </c>
      <c r="M671" s="169" t="s">
        <v>281</v>
      </c>
      <c r="N671" s="178">
        <v>429894344</v>
      </c>
      <c r="O671" s="169" t="s">
        <v>632</v>
      </c>
      <c r="P671" s="169" t="s">
        <v>283</v>
      </c>
      <c r="Q671" s="169" t="s">
        <v>633</v>
      </c>
      <c r="R671" s="169" t="s">
        <v>283</v>
      </c>
      <c r="S671" s="169" t="s">
        <v>283</v>
      </c>
      <c r="T671" s="169">
        <v>0</v>
      </c>
    </row>
    <row r="672" spans="2:20" x14ac:dyDescent="0.2">
      <c r="B672" s="167" t="str">
        <f>_xlfn.XLOOKUP(I672,Mapping!D:D,Mapping!E:E)</f>
        <v>Kế Toán</v>
      </c>
      <c r="C672" s="167" t="str">
        <f>_xlfn.XLOOKUP(F672,Mapping!A:A,Mapping!F:F)</f>
        <v>Lương Chính +T13</v>
      </c>
      <c r="D672" s="173">
        <v>45777</v>
      </c>
      <c r="E672" s="169" t="s">
        <v>629</v>
      </c>
      <c r="F672" s="169" t="s">
        <v>285</v>
      </c>
      <c r="G672" s="169" t="s">
        <v>286</v>
      </c>
      <c r="H672" s="169" t="s">
        <v>356</v>
      </c>
      <c r="I672" s="169" t="s">
        <v>357</v>
      </c>
      <c r="J672" s="169" t="s">
        <v>630</v>
      </c>
      <c r="K672" s="169" t="s">
        <v>630</v>
      </c>
      <c r="L672" s="169" t="s">
        <v>631</v>
      </c>
      <c r="M672" s="169" t="s">
        <v>281</v>
      </c>
      <c r="N672" s="178">
        <v>13384216</v>
      </c>
      <c r="O672" s="169" t="s">
        <v>632</v>
      </c>
      <c r="P672" s="169" t="s">
        <v>283</v>
      </c>
      <c r="Q672" s="169" t="s">
        <v>633</v>
      </c>
      <c r="R672" s="169" t="s">
        <v>283</v>
      </c>
      <c r="S672" s="169" t="s">
        <v>283</v>
      </c>
      <c r="T672" s="169">
        <v>0</v>
      </c>
    </row>
    <row r="673" spans="2:20" x14ac:dyDescent="0.2">
      <c r="B673" s="167" t="str">
        <f>_xlfn.XLOOKUP(I673,Mapping!D:D,Mapping!E:E)</f>
        <v>Kế Toán</v>
      </c>
      <c r="C673" s="167" t="str">
        <f>_xlfn.XLOOKUP(F673,Mapping!A:A,Mapping!F:F)</f>
        <v>Lương Ngoài giờ</v>
      </c>
      <c r="D673" s="173">
        <v>45777</v>
      </c>
      <c r="E673" s="169" t="s">
        <v>629</v>
      </c>
      <c r="F673" s="169" t="s">
        <v>342</v>
      </c>
      <c r="G673" s="169" t="s">
        <v>343</v>
      </c>
      <c r="H673" s="169" t="s">
        <v>356</v>
      </c>
      <c r="I673" s="169" t="s">
        <v>357</v>
      </c>
      <c r="J673" s="169" t="s">
        <v>630</v>
      </c>
      <c r="K673" s="169" t="s">
        <v>630</v>
      </c>
      <c r="L673" s="169" t="s">
        <v>631</v>
      </c>
      <c r="M673" s="169" t="s">
        <v>281</v>
      </c>
      <c r="N673" s="178">
        <v>49665984</v>
      </c>
      <c r="O673" s="169" t="s">
        <v>632</v>
      </c>
      <c r="P673" s="169" t="s">
        <v>283</v>
      </c>
      <c r="Q673" s="169" t="s">
        <v>633</v>
      </c>
      <c r="R673" s="169" t="s">
        <v>283</v>
      </c>
      <c r="S673" s="169" t="s">
        <v>283</v>
      </c>
      <c r="T673" s="169">
        <v>0</v>
      </c>
    </row>
    <row r="674" spans="2:20" x14ac:dyDescent="0.2">
      <c r="B674" s="167" t="str">
        <f>_xlfn.XLOOKUP(I674,Mapping!D:D,Mapping!E:E)</f>
        <v>Kế Toán</v>
      </c>
      <c r="C674" s="167" t="str">
        <f>_xlfn.XLOOKUP(F674,Mapping!A:A,Mapping!F:F)</f>
        <v>Thưởng</v>
      </c>
      <c r="D674" s="173">
        <v>45777</v>
      </c>
      <c r="E674" s="169" t="s">
        <v>629</v>
      </c>
      <c r="F674" s="169" t="s">
        <v>290</v>
      </c>
      <c r="G674" s="169" t="s">
        <v>291</v>
      </c>
      <c r="H674" s="169" t="s">
        <v>356</v>
      </c>
      <c r="I674" s="169" t="s">
        <v>357</v>
      </c>
      <c r="J674" s="169" t="s">
        <v>630</v>
      </c>
      <c r="K674" s="169" t="s">
        <v>630</v>
      </c>
      <c r="L674" s="169" t="s">
        <v>631</v>
      </c>
      <c r="M674" s="169" t="s">
        <v>281</v>
      </c>
      <c r="N674" s="178">
        <v>4800000</v>
      </c>
      <c r="O674" s="169" t="s">
        <v>632</v>
      </c>
      <c r="P674" s="169" t="s">
        <v>283</v>
      </c>
      <c r="Q674" s="169" t="s">
        <v>633</v>
      </c>
      <c r="R674" s="169" t="s">
        <v>283</v>
      </c>
      <c r="S674" s="169" t="s">
        <v>283</v>
      </c>
      <c r="T674" s="169">
        <v>0</v>
      </c>
    </row>
    <row r="675" spans="2:20" x14ac:dyDescent="0.2">
      <c r="B675" s="167" t="str">
        <f>_xlfn.XLOOKUP(I675,Mapping!D:D,Mapping!E:E)</f>
        <v>Kế Toán</v>
      </c>
      <c r="C675" s="167" t="str">
        <f>_xlfn.XLOOKUP(F675,Mapping!A:A,Mapping!F:F)</f>
        <v>Phụ Cấp</v>
      </c>
      <c r="D675" s="173">
        <v>45777</v>
      </c>
      <c r="E675" s="169" t="s">
        <v>629</v>
      </c>
      <c r="F675" s="169" t="s">
        <v>335</v>
      </c>
      <c r="G675" s="169" t="s">
        <v>336</v>
      </c>
      <c r="H675" s="169" t="s">
        <v>356</v>
      </c>
      <c r="I675" s="169" t="s">
        <v>357</v>
      </c>
      <c r="J675" s="169" t="s">
        <v>630</v>
      </c>
      <c r="K675" s="169" t="s">
        <v>630</v>
      </c>
      <c r="L675" s="169" t="s">
        <v>631</v>
      </c>
      <c r="M675" s="169" t="s">
        <v>281</v>
      </c>
      <c r="N675" s="178">
        <v>2545000</v>
      </c>
      <c r="O675" s="169" t="s">
        <v>632</v>
      </c>
      <c r="P675" s="169" t="s">
        <v>283</v>
      </c>
      <c r="Q675" s="169" t="s">
        <v>633</v>
      </c>
      <c r="R675" s="169" t="s">
        <v>283</v>
      </c>
      <c r="S675" s="169" t="s">
        <v>283</v>
      </c>
      <c r="T675" s="169">
        <v>0</v>
      </c>
    </row>
    <row r="676" spans="2:20" x14ac:dyDescent="0.2">
      <c r="B676" s="167" t="str">
        <f>_xlfn.XLOOKUP(I676,Mapping!D:D,Mapping!E:E)</f>
        <v>Kinh doanh</v>
      </c>
      <c r="C676" s="167" t="str">
        <f>_xlfn.XLOOKUP(F676,Mapping!A:A,Mapping!F:F)</f>
        <v>Lương Chính +T13</v>
      </c>
      <c r="D676" s="173">
        <v>45777</v>
      </c>
      <c r="E676" s="169" t="s">
        <v>629</v>
      </c>
      <c r="F676" s="169" t="s">
        <v>383</v>
      </c>
      <c r="G676" s="169" t="s">
        <v>275</v>
      </c>
      <c r="H676" s="169" t="s">
        <v>366</v>
      </c>
      <c r="I676" s="169" t="s">
        <v>1</v>
      </c>
      <c r="J676" s="169" t="s">
        <v>630</v>
      </c>
      <c r="K676" s="169" t="s">
        <v>630</v>
      </c>
      <c r="L676" s="169" t="s">
        <v>631</v>
      </c>
      <c r="M676" s="169" t="s">
        <v>281</v>
      </c>
      <c r="N676" s="178">
        <v>253144064</v>
      </c>
      <c r="O676" s="169" t="s">
        <v>632</v>
      </c>
      <c r="P676" s="169" t="s">
        <v>283</v>
      </c>
      <c r="Q676" s="169" t="s">
        <v>633</v>
      </c>
      <c r="R676" s="169" t="s">
        <v>283</v>
      </c>
      <c r="S676" s="169" t="s">
        <v>283</v>
      </c>
      <c r="T676" s="169">
        <v>0</v>
      </c>
    </row>
    <row r="677" spans="2:20" x14ac:dyDescent="0.2">
      <c r="B677" s="167" t="str">
        <f>_xlfn.XLOOKUP(I677,Mapping!D:D,Mapping!E:E)</f>
        <v>Kinh doanh</v>
      </c>
      <c r="C677" s="167" t="str">
        <f>_xlfn.XLOOKUP(F677,Mapping!A:A,Mapping!F:F)</f>
        <v>Lương Chính +T13</v>
      </c>
      <c r="D677" s="173">
        <v>45777</v>
      </c>
      <c r="E677" s="169" t="s">
        <v>629</v>
      </c>
      <c r="F677" s="169" t="s">
        <v>384</v>
      </c>
      <c r="G677" s="169" t="s">
        <v>286</v>
      </c>
      <c r="H677" s="169" t="s">
        <v>366</v>
      </c>
      <c r="I677" s="169" t="s">
        <v>1</v>
      </c>
      <c r="J677" s="169" t="s">
        <v>630</v>
      </c>
      <c r="K677" s="169" t="s">
        <v>630</v>
      </c>
      <c r="L677" s="169" t="s">
        <v>631</v>
      </c>
      <c r="M677" s="169" t="s">
        <v>281</v>
      </c>
      <c r="N677" s="178">
        <v>9756615</v>
      </c>
      <c r="O677" s="169" t="s">
        <v>632</v>
      </c>
      <c r="P677" s="169" t="s">
        <v>283</v>
      </c>
      <c r="Q677" s="169" t="s">
        <v>633</v>
      </c>
      <c r="R677" s="169" t="s">
        <v>283</v>
      </c>
      <c r="S677" s="169" t="s">
        <v>283</v>
      </c>
      <c r="T677" s="169">
        <v>0</v>
      </c>
    </row>
    <row r="678" spans="2:20" x14ac:dyDescent="0.2">
      <c r="B678" s="167" t="str">
        <f>_xlfn.XLOOKUP(I678,Mapping!D:D,Mapping!E:E)</f>
        <v>Kinh doanh</v>
      </c>
      <c r="C678" s="167" t="str">
        <f>_xlfn.XLOOKUP(F678,Mapping!A:A,Mapping!F:F)</f>
        <v>Thưởng</v>
      </c>
      <c r="D678" s="173">
        <v>45777</v>
      </c>
      <c r="E678" s="169" t="s">
        <v>629</v>
      </c>
      <c r="F678" s="169" t="s">
        <v>365</v>
      </c>
      <c r="G678" s="169" t="s">
        <v>291</v>
      </c>
      <c r="H678" s="169" t="s">
        <v>366</v>
      </c>
      <c r="I678" s="169" t="s">
        <v>1</v>
      </c>
      <c r="J678" s="169" t="s">
        <v>630</v>
      </c>
      <c r="K678" s="169" t="s">
        <v>630</v>
      </c>
      <c r="L678" s="169" t="s">
        <v>631</v>
      </c>
      <c r="M678" s="169" t="s">
        <v>281</v>
      </c>
      <c r="N678" s="178">
        <v>210147578</v>
      </c>
      <c r="O678" s="169" t="s">
        <v>632</v>
      </c>
      <c r="P678" s="169" t="s">
        <v>283</v>
      </c>
      <c r="Q678" s="169" t="s">
        <v>633</v>
      </c>
      <c r="R678" s="169" t="s">
        <v>283</v>
      </c>
      <c r="S678" s="169" t="s">
        <v>283</v>
      </c>
      <c r="T678" s="169">
        <v>0</v>
      </c>
    </row>
    <row r="679" spans="2:20" x14ac:dyDescent="0.2">
      <c r="B679" s="167" t="str">
        <f>_xlfn.XLOOKUP(I679,Mapping!D:D,Mapping!E:E)</f>
        <v>Hành Chánh Nhân Sự</v>
      </c>
      <c r="C679" s="167" t="str">
        <f>_xlfn.XLOOKUP(F679,Mapping!A:A,Mapping!F:F)</f>
        <v>Lương Chính +T13</v>
      </c>
      <c r="D679" s="173">
        <v>45777</v>
      </c>
      <c r="E679" s="169" t="s">
        <v>629</v>
      </c>
      <c r="F679" s="169" t="s">
        <v>274</v>
      </c>
      <c r="G679" s="169" t="s">
        <v>275</v>
      </c>
      <c r="H679" s="169" t="s">
        <v>382</v>
      </c>
      <c r="I679" s="169" t="s">
        <v>200</v>
      </c>
      <c r="J679" s="169" t="s">
        <v>283</v>
      </c>
      <c r="K679" s="169" t="s">
        <v>630</v>
      </c>
      <c r="L679" s="169" t="s">
        <v>631</v>
      </c>
      <c r="M679" s="169" t="s">
        <v>281</v>
      </c>
      <c r="N679" s="178">
        <v>65521331</v>
      </c>
      <c r="O679" s="169" t="s">
        <v>632</v>
      </c>
      <c r="P679" s="169" t="s">
        <v>283</v>
      </c>
      <c r="Q679" s="169" t="s">
        <v>633</v>
      </c>
      <c r="R679" s="169" t="s">
        <v>283</v>
      </c>
      <c r="S679" s="169" t="s">
        <v>283</v>
      </c>
      <c r="T679" s="169">
        <v>0</v>
      </c>
    </row>
    <row r="680" spans="2:20" x14ac:dyDescent="0.2">
      <c r="B680" s="167" t="str">
        <f>_xlfn.XLOOKUP(I680,Mapping!D:D,Mapping!E:E)</f>
        <v>Hành Chánh Nhân Sự</v>
      </c>
      <c r="C680" s="167" t="str">
        <f>_xlfn.XLOOKUP(F680,Mapping!A:A,Mapping!F:F)</f>
        <v>Lương Chính +T13</v>
      </c>
      <c r="D680" s="173">
        <v>45777</v>
      </c>
      <c r="E680" s="169" t="s">
        <v>629</v>
      </c>
      <c r="F680" s="169" t="s">
        <v>285</v>
      </c>
      <c r="G680" s="169" t="s">
        <v>286</v>
      </c>
      <c r="H680" s="169" t="s">
        <v>382</v>
      </c>
      <c r="I680" s="169" t="s">
        <v>200</v>
      </c>
      <c r="J680" s="169" t="s">
        <v>283</v>
      </c>
      <c r="K680" s="169" t="s">
        <v>630</v>
      </c>
      <c r="L680" s="169" t="s">
        <v>631</v>
      </c>
      <c r="M680" s="169" t="s">
        <v>281</v>
      </c>
      <c r="N680" s="178">
        <v>4225424</v>
      </c>
      <c r="O680" s="169" t="s">
        <v>632</v>
      </c>
      <c r="P680" s="169" t="s">
        <v>283</v>
      </c>
      <c r="Q680" s="169" t="s">
        <v>633</v>
      </c>
      <c r="R680" s="169" t="s">
        <v>283</v>
      </c>
      <c r="S680" s="169" t="s">
        <v>283</v>
      </c>
      <c r="T680" s="169">
        <v>0</v>
      </c>
    </row>
    <row r="681" spans="2:20" x14ac:dyDescent="0.2">
      <c r="B681" s="167" t="str">
        <f>_xlfn.XLOOKUP(I681,Mapping!D:D,Mapping!E:E)</f>
        <v>Hành Chánh Nhân Sự</v>
      </c>
      <c r="C681" s="167" t="str">
        <f>_xlfn.XLOOKUP(F681,Mapping!A:A,Mapping!F:F)</f>
        <v>Thưởng</v>
      </c>
      <c r="D681" s="173">
        <v>45777</v>
      </c>
      <c r="E681" s="169" t="s">
        <v>629</v>
      </c>
      <c r="F681" s="169" t="s">
        <v>290</v>
      </c>
      <c r="G681" s="169" t="s">
        <v>291</v>
      </c>
      <c r="H681" s="169" t="s">
        <v>382</v>
      </c>
      <c r="I681" s="169" t="s">
        <v>200</v>
      </c>
      <c r="J681" s="169" t="s">
        <v>283</v>
      </c>
      <c r="K681" s="169" t="s">
        <v>630</v>
      </c>
      <c r="L681" s="169" t="s">
        <v>631</v>
      </c>
      <c r="M681" s="169" t="s">
        <v>281</v>
      </c>
      <c r="N681" s="178">
        <v>800000</v>
      </c>
      <c r="O681" s="169" t="s">
        <v>632</v>
      </c>
      <c r="P681" s="169" t="s">
        <v>283</v>
      </c>
      <c r="Q681" s="169" t="s">
        <v>633</v>
      </c>
      <c r="R681" s="169" t="s">
        <v>283</v>
      </c>
      <c r="S681" s="169" t="s">
        <v>283</v>
      </c>
      <c r="T681" s="169">
        <v>0</v>
      </c>
    </row>
    <row r="682" spans="2:20" x14ac:dyDescent="0.2">
      <c r="B682" s="167" t="str">
        <f>_xlfn.XLOOKUP(I682,Mapping!D:D,Mapping!E:E)</f>
        <v>Hành Chánh Nhân Sự</v>
      </c>
      <c r="C682" s="167" t="str">
        <f>_xlfn.XLOOKUP(F682,Mapping!A:A,Mapping!F:F)</f>
        <v>Phụ Cấp</v>
      </c>
      <c r="D682" s="173">
        <v>45777</v>
      </c>
      <c r="E682" s="169" t="s">
        <v>629</v>
      </c>
      <c r="F682" s="169" t="s">
        <v>335</v>
      </c>
      <c r="G682" s="169" t="s">
        <v>336</v>
      </c>
      <c r="H682" s="169" t="s">
        <v>382</v>
      </c>
      <c r="I682" s="169" t="s">
        <v>200</v>
      </c>
      <c r="J682" s="169" t="s">
        <v>283</v>
      </c>
      <c r="K682" s="169" t="s">
        <v>630</v>
      </c>
      <c r="L682" s="169" t="s">
        <v>631</v>
      </c>
      <c r="M682" s="169" t="s">
        <v>281</v>
      </c>
      <c r="N682" s="178">
        <v>100000</v>
      </c>
      <c r="O682" s="169" t="s">
        <v>632</v>
      </c>
      <c r="P682" s="169" t="s">
        <v>283</v>
      </c>
      <c r="Q682" s="169" t="s">
        <v>633</v>
      </c>
      <c r="R682" s="169" t="s">
        <v>283</v>
      </c>
      <c r="S682" s="169" t="s">
        <v>283</v>
      </c>
      <c r="T682" s="169">
        <v>0</v>
      </c>
    </row>
    <row r="683" spans="2:20" x14ac:dyDescent="0.2">
      <c r="B683" s="167" t="str">
        <f>_xlfn.XLOOKUP(I683,Mapping!D:D,Mapping!E:E)</f>
        <v>Hành Chánh Nhân Sự</v>
      </c>
      <c r="C683" s="167" t="str">
        <f>_xlfn.XLOOKUP(F683,Mapping!A:A,Mapping!F:F)</f>
        <v>Lương Chính +T13</v>
      </c>
      <c r="D683" s="173">
        <v>45777</v>
      </c>
      <c r="E683" s="169" t="s">
        <v>629</v>
      </c>
      <c r="F683" s="169" t="s">
        <v>274</v>
      </c>
      <c r="G683" s="169" t="s">
        <v>275</v>
      </c>
      <c r="H683" s="169" t="s">
        <v>358</v>
      </c>
      <c r="I683" s="169" t="s">
        <v>359</v>
      </c>
      <c r="J683" s="169" t="s">
        <v>283</v>
      </c>
      <c r="K683" s="169" t="s">
        <v>630</v>
      </c>
      <c r="L683" s="169" t="s">
        <v>631</v>
      </c>
      <c r="M683" s="169" t="s">
        <v>281</v>
      </c>
      <c r="N683" s="178">
        <v>96361817</v>
      </c>
      <c r="O683" s="169" t="s">
        <v>632</v>
      </c>
      <c r="P683" s="169" t="s">
        <v>283</v>
      </c>
      <c r="Q683" s="169" t="s">
        <v>633</v>
      </c>
      <c r="R683" s="169" t="s">
        <v>283</v>
      </c>
      <c r="S683" s="169" t="s">
        <v>283</v>
      </c>
      <c r="T683" s="169">
        <v>0</v>
      </c>
    </row>
    <row r="684" spans="2:20" x14ac:dyDescent="0.2">
      <c r="B684" s="167" t="str">
        <f>_xlfn.XLOOKUP(I684,Mapping!D:D,Mapping!E:E)</f>
        <v>Hành Chánh Nhân Sự</v>
      </c>
      <c r="C684" s="167" t="str">
        <f>_xlfn.XLOOKUP(F684,Mapping!A:A,Mapping!F:F)</f>
        <v>Lương Chính +T13</v>
      </c>
      <c r="D684" s="173">
        <v>45777</v>
      </c>
      <c r="E684" s="169" t="s">
        <v>629</v>
      </c>
      <c r="F684" s="169" t="s">
        <v>285</v>
      </c>
      <c r="G684" s="169" t="s">
        <v>286</v>
      </c>
      <c r="H684" s="169" t="s">
        <v>358</v>
      </c>
      <c r="I684" s="169" t="s">
        <v>359</v>
      </c>
      <c r="J684" s="169" t="s">
        <v>283</v>
      </c>
      <c r="K684" s="169" t="s">
        <v>630</v>
      </c>
      <c r="L684" s="169" t="s">
        <v>631</v>
      </c>
      <c r="M684" s="169" t="s">
        <v>281</v>
      </c>
      <c r="N684" s="178">
        <v>2926115</v>
      </c>
      <c r="O684" s="169" t="s">
        <v>632</v>
      </c>
      <c r="P684" s="169" t="s">
        <v>283</v>
      </c>
      <c r="Q684" s="169" t="s">
        <v>633</v>
      </c>
      <c r="R684" s="169" t="s">
        <v>283</v>
      </c>
      <c r="S684" s="169" t="s">
        <v>283</v>
      </c>
      <c r="T684" s="169">
        <v>0</v>
      </c>
    </row>
    <row r="685" spans="2:20" x14ac:dyDescent="0.2">
      <c r="B685" s="167" t="str">
        <f>_xlfn.XLOOKUP(I685,Mapping!D:D,Mapping!E:E)</f>
        <v>Hành Chánh Nhân Sự</v>
      </c>
      <c r="C685" s="167" t="str">
        <f>_xlfn.XLOOKUP(F685,Mapping!A:A,Mapping!F:F)</f>
        <v>Thưởng</v>
      </c>
      <c r="D685" s="173">
        <v>45777</v>
      </c>
      <c r="E685" s="169" t="s">
        <v>629</v>
      </c>
      <c r="F685" s="169" t="s">
        <v>290</v>
      </c>
      <c r="G685" s="169" t="s">
        <v>291</v>
      </c>
      <c r="H685" s="169" t="s">
        <v>358</v>
      </c>
      <c r="I685" s="169" t="s">
        <v>359</v>
      </c>
      <c r="J685" s="169" t="s">
        <v>283</v>
      </c>
      <c r="K685" s="169" t="s">
        <v>630</v>
      </c>
      <c r="L685" s="169" t="s">
        <v>631</v>
      </c>
      <c r="M685" s="169" t="s">
        <v>281</v>
      </c>
      <c r="N685" s="178">
        <v>1000000</v>
      </c>
      <c r="O685" s="169" t="s">
        <v>632</v>
      </c>
      <c r="P685" s="169" t="s">
        <v>283</v>
      </c>
      <c r="Q685" s="169" t="s">
        <v>633</v>
      </c>
      <c r="R685" s="169" t="s">
        <v>283</v>
      </c>
      <c r="S685" s="169" t="s">
        <v>283</v>
      </c>
      <c r="T685" s="169">
        <v>0</v>
      </c>
    </row>
    <row r="686" spans="2:20" x14ac:dyDescent="0.2">
      <c r="B686" s="167" t="str">
        <f>_xlfn.XLOOKUP(I686,Mapping!D:D,Mapping!E:E)</f>
        <v>Hành Chánh Nhân Sự</v>
      </c>
      <c r="C686" s="167" t="str">
        <f>_xlfn.XLOOKUP(F686,Mapping!A:A,Mapping!F:F)</f>
        <v>Phụ Cấp</v>
      </c>
      <c r="D686" s="173">
        <v>45777</v>
      </c>
      <c r="E686" s="169" t="s">
        <v>629</v>
      </c>
      <c r="F686" s="169" t="s">
        <v>335</v>
      </c>
      <c r="G686" s="169" t="s">
        <v>336</v>
      </c>
      <c r="H686" s="169" t="s">
        <v>358</v>
      </c>
      <c r="I686" s="169" t="s">
        <v>359</v>
      </c>
      <c r="J686" s="169" t="s">
        <v>283</v>
      </c>
      <c r="K686" s="169" t="s">
        <v>630</v>
      </c>
      <c r="L686" s="169" t="s">
        <v>631</v>
      </c>
      <c r="M686" s="169" t="s">
        <v>281</v>
      </c>
      <c r="N686" s="178">
        <v>175000</v>
      </c>
      <c r="O686" s="169" t="s">
        <v>632</v>
      </c>
      <c r="P686" s="169" t="s">
        <v>283</v>
      </c>
      <c r="Q686" s="169" t="s">
        <v>633</v>
      </c>
      <c r="R686" s="169" t="s">
        <v>283</v>
      </c>
      <c r="S686" s="169" t="s">
        <v>283</v>
      </c>
      <c r="T686" s="169">
        <v>0</v>
      </c>
    </row>
    <row r="687" spans="2:20" x14ac:dyDescent="0.2">
      <c r="B687" s="167" t="str">
        <f>_xlfn.XLOOKUP(I687,Mapping!D:D,Mapping!E:E)</f>
        <v>Kế Toán</v>
      </c>
      <c r="C687" s="167" t="str">
        <f>_xlfn.XLOOKUP(F687,Mapping!A:A,Mapping!F:F)</f>
        <v>Lương Chính +T13</v>
      </c>
      <c r="D687" s="173">
        <v>45777</v>
      </c>
      <c r="E687" s="169" t="s">
        <v>634</v>
      </c>
      <c r="F687" s="169" t="s">
        <v>285</v>
      </c>
      <c r="G687" s="169" t="s">
        <v>286</v>
      </c>
      <c r="H687" s="169" t="s">
        <v>356</v>
      </c>
      <c r="I687" s="169" t="s">
        <v>357</v>
      </c>
      <c r="J687" s="169" t="s">
        <v>635</v>
      </c>
      <c r="K687" s="169" t="s">
        <v>636</v>
      </c>
      <c r="L687" s="169" t="s">
        <v>631</v>
      </c>
      <c r="M687" s="169" t="s">
        <v>281</v>
      </c>
      <c r="N687" s="178">
        <v>34526763</v>
      </c>
      <c r="O687" s="169" t="s">
        <v>637</v>
      </c>
      <c r="P687" s="169" t="s">
        <v>283</v>
      </c>
      <c r="Q687" s="169" t="s">
        <v>633</v>
      </c>
      <c r="R687" s="169" t="s">
        <v>283</v>
      </c>
      <c r="S687" s="169" t="s">
        <v>283</v>
      </c>
      <c r="T687" s="169">
        <v>0</v>
      </c>
    </row>
    <row r="688" spans="2:20" x14ac:dyDescent="0.2">
      <c r="B688" s="167" t="str">
        <f>_xlfn.XLOOKUP(I688,Mapping!D:D,Mapping!E:E)</f>
        <v>Kinh doanh</v>
      </c>
      <c r="C688" s="167" t="str">
        <f>_xlfn.XLOOKUP(F688,Mapping!A:A,Mapping!F:F)</f>
        <v>Lương Chính +T13</v>
      </c>
      <c r="D688" s="173">
        <v>45777</v>
      </c>
      <c r="E688" s="169" t="s">
        <v>634</v>
      </c>
      <c r="F688" s="169" t="s">
        <v>384</v>
      </c>
      <c r="G688" s="169" t="s">
        <v>286</v>
      </c>
      <c r="H688" s="169" t="s">
        <v>366</v>
      </c>
      <c r="I688" s="169" t="s">
        <v>1</v>
      </c>
      <c r="J688" s="169" t="s">
        <v>635</v>
      </c>
      <c r="K688" s="169" t="s">
        <v>636</v>
      </c>
      <c r="L688" s="169" t="s">
        <v>631</v>
      </c>
      <c r="M688" s="169" t="s">
        <v>281</v>
      </c>
      <c r="N688" s="178">
        <v>24380167</v>
      </c>
      <c r="O688" s="169" t="s">
        <v>637</v>
      </c>
      <c r="P688" s="169" t="s">
        <v>283</v>
      </c>
      <c r="Q688" s="169" t="s">
        <v>633</v>
      </c>
      <c r="R688" s="169" t="s">
        <v>283</v>
      </c>
      <c r="S688" s="169" t="s">
        <v>283</v>
      </c>
      <c r="T688" s="169">
        <v>0</v>
      </c>
    </row>
    <row r="689" spans="2:20" x14ac:dyDescent="0.2">
      <c r="B689" s="167" t="str">
        <f>_xlfn.XLOOKUP(I689,Mapping!D:D,Mapping!E:E)</f>
        <v>Hành Chánh Nhân Sự</v>
      </c>
      <c r="C689" s="167" t="str">
        <f>_xlfn.XLOOKUP(F689,Mapping!A:A,Mapping!F:F)</f>
        <v>Lương Chính +T13</v>
      </c>
      <c r="D689" s="173">
        <v>45777</v>
      </c>
      <c r="E689" s="169" t="s">
        <v>634</v>
      </c>
      <c r="F689" s="169" t="s">
        <v>285</v>
      </c>
      <c r="G689" s="169" t="s">
        <v>286</v>
      </c>
      <c r="H689" s="169" t="s">
        <v>382</v>
      </c>
      <c r="I689" s="169" t="s">
        <v>200</v>
      </c>
      <c r="J689" s="169" t="s">
        <v>635</v>
      </c>
      <c r="K689" s="169" t="s">
        <v>636</v>
      </c>
      <c r="L689" s="169" t="s">
        <v>631</v>
      </c>
      <c r="M689" s="169" t="s">
        <v>281</v>
      </c>
      <c r="N689" s="178">
        <v>6194250</v>
      </c>
      <c r="O689" s="169" t="s">
        <v>637</v>
      </c>
      <c r="P689" s="169" t="s">
        <v>283</v>
      </c>
      <c r="Q689" s="169" t="s">
        <v>633</v>
      </c>
      <c r="R689" s="169" t="s">
        <v>283</v>
      </c>
      <c r="S689" s="169" t="s">
        <v>283</v>
      </c>
      <c r="T689" s="169">
        <v>0</v>
      </c>
    </row>
    <row r="690" spans="2:20" x14ac:dyDescent="0.2">
      <c r="B690" s="167" t="str">
        <f>_xlfn.XLOOKUP(I690,Mapping!D:D,Mapping!E:E)</f>
        <v>Hành Chánh Nhân Sự</v>
      </c>
      <c r="C690" s="167" t="str">
        <f>_xlfn.XLOOKUP(F690,Mapping!A:A,Mapping!F:F)</f>
        <v>Lương Chính +T13</v>
      </c>
      <c r="D690" s="173">
        <v>45777</v>
      </c>
      <c r="E690" s="169" t="s">
        <v>634</v>
      </c>
      <c r="F690" s="169" t="s">
        <v>285</v>
      </c>
      <c r="G690" s="169" t="s">
        <v>286</v>
      </c>
      <c r="H690" s="169" t="s">
        <v>358</v>
      </c>
      <c r="I690" s="169" t="s">
        <v>359</v>
      </c>
      <c r="J690" s="169" t="s">
        <v>635</v>
      </c>
      <c r="K690" s="169" t="s">
        <v>636</v>
      </c>
      <c r="L690" s="169" t="s">
        <v>631</v>
      </c>
      <c r="M690" s="169" t="s">
        <v>281</v>
      </c>
      <c r="N690" s="178">
        <v>8468167</v>
      </c>
      <c r="O690" s="169" t="s">
        <v>637</v>
      </c>
      <c r="P690" s="169" t="s">
        <v>283</v>
      </c>
      <c r="Q690" s="169" t="s">
        <v>633</v>
      </c>
      <c r="R690" s="169" t="s">
        <v>283</v>
      </c>
      <c r="S690" s="169" t="s">
        <v>283</v>
      </c>
      <c r="T690" s="169">
        <v>0</v>
      </c>
    </row>
    <row r="691" spans="2:20" x14ac:dyDescent="0.2">
      <c r="B691" s="167" t="str">
        <f>_xlfn.XLOOKUP(I691,Mapping!D:D,Mapping!E:E)</f>
        <v>Kế Toán</v>
      </c>
      <c r="C691" s="167" t="str">
        <f>_xlfn.XLOOKUP(F691,Mapping!A:A,Mapping!F:F)</f>
        <v>Thưởng</v>
      </c>
      <c r="D691" s="173">
        <v>45777</v>
      </c>
      <c r="E691" s="169" t="s">
        <v>634</v>
      </c>
      <c r="F691" s="169" t="s">
        <v>292</v>
      </c>
      <c r="G691" s="169" t="s">
        <v>77</v>
      </c>
      <c r="H691" s="169" t="s">
        <v>356</v>
      </c>
      <c r="I691" s="169" t="s">
        <v>357</v>
      </c>
      <c r="J691" s="169" t="s">
        <v>638</v>
      </c>
      <c r="K691" s="169" t="s">
        <v>636</v>
      </c>
      <c r="L691" s="169" t="s">
        <v>631</v>
      </c>
      <c r="M691" s="169" t="s">
        <v>281</v>
      </c>
      <c r="N691" s="178">
        <v>31167566</v>
      </c>
      <c r="O691" s="169" t="s">
        <v>637</v>
      </c>
      <c r="P691" s="169" t="s">
        <v>283</v>
      </c>
      <c r="Q691" s="169" t="s">
        <v>633</v>
      </c>
      <c r="R691" s="169" t="s">
        <v>283</v>
      </c>
      <c r="S691" s="169" t="s">
        <v>283</v>
      </c>
      <c r="T691" s="169">
        <v>0</v>
      </c>
    </row>
    <row r="692" spans="2:20" x14ac:dyDescent="0.2">
      <c r="B692" s="167" t="str">
        <f>_xlfn.XLOOKUP(I692,Mapping!D:D,Mapping!E:E)</f>
        <v>Kinh doanh</v>
      </c>
      <c r="C692" s="167" t="str">
        <f>_xlfn.XLOOKUP(F692,Mapping!A:A,Mapping!F:F)</f>
        <v>Thưởng</v>
      </c>
      <c r="D692" s="173">
        <v>45777</v>
      </c>
      <c r="E692" s="169" t="s">
        <v>634</v>
      </c>
      <c r="F692" s="169" t="s">
        <v>394</v>
      </c>
      <c r="G692" s="169" t="s">
        <v>77</v>
      </c>
      <c r="H692" s="169" t="s">
        <v>366</v>
      </c>
      <c r="I692" s="169" t="s">
        <v>1</v>
      </c>
      <c r="J692" s="169" t="s">
        <v>638</v>
      </c>
      <c r="K692" s="169" t="s">
        <v>636</v>
      </c>
      <c r="L692" s="169" t="s">
        <v>631</v>
      </c>
      <c r="M692" s="169" t="s">
        <v>281</v>
      </c>
      <c r="N692" s="178">
        <v>22429558</v>
      </c>
      <c r="O692" s="169" t="s">
        <v>637</v>
      </c>
      <c r="P692" s="169" t="s">
        <v>283</v>
      </c>
      <c r="Q692" s="169" t="s">
        <v>633</v>
      </c>
      <c r="R692" s="169" t="s">
        <v>283</v>
      </c>
      <c r="S692" s="169" t="s">
        <v>283</v>
      </c>
      <c r="T692" s="169">
        <v>0</v>
      </c>
    </row>
    <row r="693" spans="2:20" x14ac:dyDescent="0.2">
      <c r="B693" s="167" t="str">
        <f>_xlfn.XLOOKUP(I693,Mapping!D:D,Mapping!E:E)</f>
        <v>Hành Chánh Nhân Sự</v>
      </c>
      <c r="C693" s="167" t="str">
        <f>_xlfn.XLOOKUP(F693,Mapping!A:A,Mapping!F:F)</f>
        <v>Thưởng</v>
      </c>
      <c r="D693" s="173">
        <v>45777</v>
      </c>
      <c r="E693" s="169" t="s">
        <v>634</v>
      </c>
      <c r="F693" s="169" t="s">
        <v>292</v>
      </c>
      <c r="G693" s="169" t="s">
        <v>77</v>
      </c>
      <c r="H693" s="169" t="s">
        <v>382</v>
      </c>
      <c r="I693" s="169" t="s">
        <v>200</v>
      </c>
      <c r="J693" s="169" t="s">
        <v>638</v>
      </c>
      <c r="K693" s="169" t="s">
        <v>636</v>
      </c>
      <c r="L693" s="169" t="s">
        <v>631</v>
      </c>
      <c r="M693" s="169" t="s">
        <v>281</v>
      </c>
      <c r="N693" s="178">
        <v>5698660</v>
      </c>
      <c r="O693" s="169" t="s">
        <v>637</v>
      </c>
      <c r="P693" s="169" t="s">
        <v>283</v>
      </c>
      <c r="Q693" s="169" t="s">
        <v>633</v>
      </c>
      <c r="R693" s="169" t="s">
        <v>283</v>
      </c>
      <c r="S693" s="169" t="s">
        <v>283</v>
      </c>
      <c r="T693" s="169">
        <v>0</v>
      </c>
    </row>
    <row r="694" spans="2:20" x14ac:dyDescent="0.2">
      <c r="B694" s="167" t="str">
        <f>_xlfn.XLOOKUP(I694,Mapping!D:D,Mapping!E:E)</f>
        <v>Hành Chánh Nhân Sự</v>
      </c>
      <c r="C694" s="167" t="str">
        <f>_xlfn.XLOOKUP(F694,Mapping!A:A,Mapping!F:F)</f>
        <v>Thưởng</v>
      </c>
      <c r="D694" s="173">
        <v>45777</v>
      </c>
      <c r="E694" s="169" t="s">
        <v>634</v>
      </c>
      <c r="F694" s="169" t="s">
        <v>292</v>
      </c>
      <c r="G694" s="169" t="s">
        <v>77</v>
      </c>
      <c r="H694" s="169" t="s">
        <v>358</v>
      </c>
      <c r="I694" s="169" t="s">
        <v>359</v>
      </c>
      <c r="J694" s="169" t="s">
        <v>638</v>
      </c>
      <c r="K694" s="169" t="s">
        <v>636</v>
      </c>
      <c r="L694" s="169" t="s">
        <v>631</v>
      </c>
      <c r="M694" s="169" t="s">
        <v>281</v>
      </c>
      <c r="N694" s="178">
        <v>7790646</v>
      </c>
      <c r="O694" s="169" t="s">
        <v>637</v>
      </c>
      <c r="P694" s="169" t="s">
        <v>283</v>
      </c>
      <c r="Q694" s="169" t="s">
        <v>633</v>
      </c>
      <c r="R694" s="169" t="s">
        <v>283</v>
      </c>
      <c r="S694" s="169" t="s">
        <v>283</v>
      </c>
      <c r="T694" s="169">
        <v>0</v>
      </c>
    </row>
    <row r="695" spans="2:20" x14ac:dyDescent="0.2">
      <c r="B695" s="167" t="str">
        <f>_xlfn.XLOOKUP(I695,Mapping!D:D,Mapping!E:E)</f>
        <v>Kỹ Thuật</v>
      </c>
      <c r="C695" s="167" t="str">
        <f>_xlfn.XLOOKUP(F695,Mapping!A:A,Mapping!F:F)</f>
        <v>Phụ Cấp</v>
      </c>
      <c r="D695" s="173">
        <v>45775</v>
      </c>
      <c r="E695" s="169" t="s">
        <v>642</v>
      </c>
      <c r="F695" s="169" t="s">
        <v>375</v>
      </c>
      <c r="G695" s="169" t="s">
        <v>336</v>
      </c>
      <c r="H695" s="169" t="s">
        <v>376</v>
      </c>
      <c r="I695" s="169" t="s">
        <v>377</v>
      </c>
      <c r="J695" s="169" t="s">
        <v>643</v>
      </c>
      <c r="K695" s="169" t="s">
        <v>338</v>
      </c>
      <c r="L695" s="169" t="s">
        <v>631</v>
      </c>
      <c r="M695" s="169" t="s">
        <v>281</v>
      </c>
      <c r="N695" s="178">
        <v>48175000</v>
      </c>
      <c r="O695" s="169" t="s">
        <v>644</v>
      </c>
      <c r="P695" s="169" t="s">
        <v>283</v>
      </c>
      <c r="Q695" s="169" t="s">
        <v>306</v>
      </c>
      <c r="R695" s="169" t="s">
        <v>283</v>
      </c>
      <c r="S695" s="169" t="s">
        <v>283</v>
      </c>
      <c r="T695" s="169">
        <v>0</v>
      </c>
    </row>
    <row r="696" spans="2:20" x14ac:dyDescent="0.2">
      <c r="B696" s="167" t="str">
        <f>_xlfn.XLOOKUP(I696,Mapping!D:D,Mapping!E:E)</f>
        <v>Kiểm Soát Chất Lượng</v>
      </c>
      <c r="C696" s="167" t="str">
        <f>_xlfn.XLOOKUP(F696,Mapping!A:A,Mapping!F:F)</f>
        <v>Phụ Cấp</v>
      </c>
      <c r="D696" s="173">
        <v>45775</v>
      </c>
      <c r="E696" s="169" t="s">
        <v>642</v>
      </c>
      <c r="F696" s="169" t="s">
        <v>375</v>
      </c>
      <c r="G696" s="169" t="s">
        <v>336</v>
      </c>
      <c r="H696" s="169" t="s">
        <v>411</v>
      </c>
      <c r="I696" s="169" t="s">
        <v>412</v>
      </c>
      <c r="J696" s="169" t="s">
        <v>643</v>
      </c>
      <c r="K696" s="169" t="s">
        <v>338</v>
      </c>
      <c r="L696" s="169" t="s">
        <v>631</v>
      </c>
      <c r="M696" s="169" t="s">
        <v>281</v>
      </c>
      <c r="N696" s="178">
        <v>34475000</v>
      </c>
      <c r="O696" s="169" t="s">
        <v>644</v>
      </c>
      <c r="P696" s="169" t="s">
        <v>283</v>
      </c>
      <c r="Q696" s="169" t="s">
        <v>306</v>
      </c>
      <c r="R696" s="169" t="s">
        <v>283</v>
      </c>
      <c r="S696" s="169" t="s">
        <v>283</v>
      </c>
      <c r="T696" s="169">
        <v>0</v>
      </c>
    </row>
    <row r="697" spans="2:20" x14ac:dyDescent="0.2">
      <c r="B697" s="167" t="str">
        <f>_xlfn.XLOOKUP(I697,Mapping!D:D,Mapping!E:E)</f>
        <v>Mua Hàng &amp; XNK</v>
      </c>
      <c r="C697" s="167" t="str">
        <f>_xlfn.XLOOKUP(F697,Mapping!A:A,Mapping!F:F)</f>
        <v>Phụ Cấp</v>
      </c>
      <c r="D697" s="173">
        <v>45775</v>
      </c>
      <c r="E697" s="169" t="s">
        <v>642</v>
      </c>
      <c r="F697" s="169" t="s">
        <v>335</v>
      </c>
      <c r="G697" s="169" t="s">
        <v>336</v>
      </c>
      <c r="H697" s="169" t="s">
        <v>378</v>
      </c>
      <c r="I697" s="169" t="s">
        <v>379</v>
      </c>
      <c r="J697" s="169" t="s">
        <v>643</v>
      </c>
      <c r="K697" s="169" t="s">
        <v>338</v>
      </c>
      <c r="L697" s="169" t="s">
        <v>631</v>
      </c>
      <c r="M697" s="169" t="s">
        <v>281</v>
      </c>
      <c r="N697" s="178">
        <v>3500000</v>
      </c>
      <c r="O697" s="169" t="s">
        <v>644</v>
      </c>
      <c r="P697" s="169" t="s">
        <v>283</v>
      </c>
      <c r="Q697" s="169" t="s">
        <v>306</v>
      </c>
      <c r="R697" s="169" t="s">
        <v>283</v>
      </c>
      <c r="S697" s="169" t="s">
        <v>283</v>
      </c>
      <c r="T697" s="169">
        <v>0</v>
      </c>
    </row>
    <row r="698" spans="2:20" x14ac:dyDescent="0.2">
      <c r="B698" s="167" t="str">
        <f>_xlfn.XLOOKUP(I698,Mapping!D:D,Mapping!E:E)</f>
        <v>Cung Ứng</v>
      </c>
      <c r="C698" s="167" t="str">
        <f>_xlfn.XLOOKUP(F698,Mapping!A:A,Mapping!F:F)</f>
        <v>Phụ Cấp</v>
      </c>
      <c r="D698" s="173">
        <v>45775</v>
      </c>
      <c r="E698" s="169" t="s">
        <v>642</v>
      </c>
      <c r="F698" s="169" t="s">
        <v>335</v>
      </c>
      <c r="G698" s="169" t="s">
        <v>336</v>
      </c>
      <c r="H698" s="169" t="s">
        <v>380</v>
      </c>
      <c r="I698" s="169" t="s">
        <v>381</v>
      </c>
      <c r="J698" s="169" t="s">
        <v>643</v>
      </c>
      <c r="K698" s="169" t="s">
        <v>338</v>
      </c>
      <c r="L698" s="169" t="s">
        <v>631</v>
      </c>
      <c r="M698" s="169" t="s">
        <v>281</v>
      </c>
      <c r="N698" s="178">
        <v>1800000</v>
      </c>
      <c r="O698" s="169" t="s">
        <v>644</v>
      </c>
      <c r="P698" s="169" t="s">
        <v>283</v>
      </c>
      <c r="Q698" s="169" t="s">
        <v>306</v>
      </c>
      <c r="R698" s="169" t="s">
        <v>283</v>
      </c>
      <c r="S698" s="169" t="s">
        <v>283</v>
      </c>
      <c r="T698" s="169">
        <v>0</v>
      </c>
    </row>
    <row r="699" spans="2:20" x14ac:dyDescent="0.2">
      <c r="B699" s="167" t="str">
        <f>_xlfn.XLOOKUP(I699,Mapping!D:D,Mapping!E:E)</f>
        <v>Cung Ứng</v>
      </c>
      <c r="C699" s="167" t="str">
        <f>_xlfn.XLOOKUP(F699,Mapping!A:A,Mapping!F:F)</f>
        <v>BHXH, BHYT, KPCĐ</v>
      </c>
      <c r="D699" s="173">
        <v>45777</v>
      </c>
      <c r="E699" s="169" t="s">
        <v>639</v>
      </c>
      <c r="F699" s="169" t="s">
        <v>295</v>
      </c>
      <c r="G699" s="169" t="s">
        <v>296</v>
      </c>
      <c r="H699" s="169" t="s">
        <v>380</v>
      </c>
      <c r="I699" s="169" t="s">
        <v>381</v>
      </c>
      <c r="J699" s="169" t="s">
        <v>640</v>
      </c>
      <c r="K699" s="169" t="s">
        <v>640</v>
      </c>
      <c r="L699" s="169" t="s">
        <v>631</v>
      </c>
      <c r="M699" s="169" t="s">
        <v>281</v>
      </c>
      <c r="N699" s="178">
        <v>104831385</v>
      </c>
      <c r="O699" s="169" t="s">
        <v>641</v>
      </c>
      <c r="P699" s="169" t="s">
        <v>283</v>
      </c>
      <c r="Q699" s="169" t="s">
        <v>633</v>
      </c>
      <c r="R699" s="169" t="s">
        <v>283</v>
      </c>
      <c r="S699" s="169" t="s">
        <v>283</v>
      </c>
      <c r="T699" s="169">
        <v>0</v>
      </c>
    </row>
    <row r="700" spans="2:20" x14ac:dyDescent="0.2">
      <c r="B700" s="167" t="str">
        <f>_xlfn.XLOOKUP(I700,Mapping!D:D,Mapping!E:E)</f>
        <v>Mua Hàng &amp; XNK</v>
      </c>
      <c r="C700" s="167" t="str">
        <f>_xlfn.XLOOKUP(F700,Mapping!A:A,Mapping!F:F)</f>
        <v>BHXH, BHYT, KPCĐ</v>
      </c>
      <c r="D700" s="173">
        <v>45777</v>
      </c>
      <c r="E700" s="169" t="s">
        <v>639</v>
      </c>
      <c r="F700" s="169" t="s">
        <v>295</v>
      </c>
      <c r="G700" s="169" t="s">
        <v>296</v>
      </c>
      <c r="H700" s="169" t="s">
        <v>378</v>
      </c>
      <c r="I700" s="169" t="s">
        <v>379</v>
      </c>
      <c r="J700" s="169" t="s">
        <v>640</v>
      </c>
      <c r="K700" s="169" t="s">
        <v>640</v>
      </c>
      <c r="L700" s="169" t="s">
        <v>631</v>
      </c>
      <c r="M700" s="169" t="s">
        <v>281</v>
      </c>
      <c r="N700" s="178">
        <v>19512755</v>
      </c>
      <c r="O700" s="169" t="s">
        <v>641</v>
      </c>
      <c r="P700" s="169" t="s">
        <v>283</v>
      </c>
      <c r="Q700" s="169" t="s">
        <v>633</v>
      </c>
      <c r="R700" s="169" t="s">
        <v>283</v>
      </c>
      <c r="S700" s="169" t="s">
        <v>283</v>
      </c>
      <c r="T700" s="169">
        <v>0</v>
      </c>
    </row>
    <row r="701" spans="2:20" x14ac:dyDescent="0.2">
      <c r="B701" s="167" t="str">
        <f>_xlfn.XLOOKUP(I701,Mapping!D:D,Mapping!E:E)</f>
        <v>Kỹ Thuật</v>
      </c>
      <c r="C701" s="167" t="str">
        <f>_xlfn.XLOOKUP(F701,Mapping!A:A,Mapping!F:F)</f>
        <v>BHXH, BHYT, KPCĐ</v>
      </c>
      <c r="D701" s="173">
        <v>45777</v>
      </c>
      <c r="E701" s="169" t="s">
        <v>639</v>
      </c>
      <c r="F701" s="169" t="s">
        <v>393</v>
      </c>
      <c r="G701" s="169" t="s">
        <v>296</v>
      </c>
      <c r="H701" s="169" t="s">
        <v>376</v>
      </c>
      <c r="I701" s="169" t="s">
        <v>377</v>
      </c>
      <c r="J701" s="169" t="s">
        <v>640</v>
      </c>
      <c r="K701" s="169" t="s">
        <v>640</v>
      </c>
      <c r="L701" s="169" t="s">
        <v>631</v>
      </c>
      <c r="M701" s="169" t="s">
        <v>281</v>
      </c>
      <c r="N701" s="178">
        <v>213996170</v>
      </c>
      <c r="O701" s="169" t="s">
        <v>641</v>
      </c>
      <c r="P701" s="169" t="s">
        <v>283</v>
      </c>
      <c r="Q701" s="169" t="s">
        <v>633</v>
      </c>
      <c r="R701" s="169" t="s">
        <v>283</v>
      </c>
      <c r="S701" s="169" t="s">
        <v>283</v>
      </c>
      <c r="T701" s="169">
        <v>0</v>
      </c>
    </row>
    <row r="702" spans="2:20" x14ac:dyDescent="0.2">
      <c r="B702" s="167" t="str">
        <f>_xlfn.XLOOKUP(I702,Mapping!D:D,Mapping!E:E)</f>
        <v>Kiểm Soát Chất Lượng</v>
      </c>
      <c r="C702" s="167" t="str">
        <f>_xlfn.XLOOKUP(F702,Mapping!A:A,Mapping!F:F)</f>
        <v>BHXH, BHYT, KPCĐ</v>
      </c>
      <c r="D702" s="173">
        <v>45777</v>
      </c>
      <c r="E702" s="169" t="s">
        <v>639</v>
      </c>
      <c r="F702" s="169" t="s">
        <v>393</v>
      </c>
      <c r="G702" s="169" t="s">
        <v>296</v>
      </c>
      <c r="H702" s="169" t="s">
        <v>411</v>
      </c>
      <c r="I702" s="169" t="s">
        <v>412</v>
      </c>
      <c r="J702" s="169" t="s">
        <v>640</v>
      </c>
      <c r="K702" s="169" t="s">
        <v>640</v>
      </c>
      <c r="L702" s="169" t="s">
        <v>631</v>
      </c>
      <c r="M702" s="169" t="s">
        <v>281</v>
      </c>
      <c r="N702" s="178">
        <v>94425115</v>
      </c>
      <c r="O702" s="169" t="s">
        <v>641</v>
      </c>
      <c r="P702" s="169" t="s">
        <v>283</v>
      </c>
      <c r="Q702" s="169" t="s">
        <v>633</v>
      </c>
      <c r="R702" s="169" t="s">
        <v>283</v>
      </c>
      <c r="S702" s="169" t="s">
        <v>283</v>
      </c>
      <c r="T702" s="169">
        <v>0</v>
      </c>
    </row>
    <row r="703" spans="2:20" x14ac:dyDescent="0.2">
      <c r="B703" s="167" t="str">
        <f>_xlfn.XLOOKUP(I703,Mapping!D:D,Mapping!E:E)</f>
        <v>Cung Ứng</v>
      </c>
      <c r="C703" s="167" t="str">
        <f>_xlfn.XLOOKUP(F703,Mapping!A:A,Mapping!F:F)</f>
        <v>Lương Chính +T13</v>
      </c>
      <c r="D703" s="173">
        <v>45777</v>
      </c>
      <c r="E703" s="169" t="s">
        <v>629</v>
      </c>
      <c r="F703" s="169" t="s">
        <v>274</v>
      </c>
      <c r="G703" s="169" t="s">
        <v>275</v>
      </c>
      <c r="H703" s="169" t="s">
        <v>380</v>
      </c>
      <c r="I703" s="169" t="s">
        <v>381</v>
      </c>
      <c r="J703" s="169" t="s">
        <v>630</v>
      </c>
      <c r="K703" s="169" t="s">
        <v>630</v>
      </c>
      <c r="L703" s="169" t="s">
        <v>631</v>
      </c>
      <c r="M703" s="169" t="s">
        <v>281</v>
      </c>
      <c r="N703" s="178">
        <v>527798471</v>
      </c>
      <c r="O703" s="169" t="s">
        <v>632</v>
      </c>
      <c r="P703" s="169" t="s">
        <v>283</v>
      </c>
      <c r="Q703" s="169" t="s">
        <v>633</v>
      </c>
      <c r="R703" s="169" t="s">
        <v>283</v>
      </c>
      <c r="S703" s="169" t="s">
        <v>283</v>
      </c>
      <c r="T703" s="169">
        <v>0</v>
      </c>
    </row>
    <row r="704" spans="2:20" x14ac:dyDescent="0.2">
      <c r="B704" s="167" t="str">
        <f>_xlfn.XLOOKUP(I704,Mapping!D:D,Mapping!E:E)</f>
        <v>Cung Ứng</v>
      </c>
      <c r="C704" s="167" t="str">
        <f>_xlfn.XLOOKUP(F704,Mapping!A:A,Mapping!F:F)</f>
        <v>Lương Chính +T13</v>
      </c>
      <c r="D704" s="173">
        <v>45777</v>
      </c>
      <c r="E704" s="169" t="s">
        <v>629</v>
      </c>
      <c r="F704" s="169" t="s">
        <v>285</v>
      </c>
      <c r="G704" s="169" t="s">
        <v>286</v>
      </c>
      <c r="H704" s="169" t="s">
        <v>380</v>
      </c>
      <c r="I704" s="169" t="s">
        <v>381</v>
      </c>
      <c r="J704" s="169" t="s">
        <v>630</v>
      </c>
      <c r="K704" s="169" t="s">
        <v>630</v>
      </c>
      <c r="L704" s="169" t="s">
        <v>631</v>
      </c>
      <c r="M704" s="169" t="s">
        <v>281</v>
      </c>
      <c r="N704" s="178">
        <v>11383577</v>
      </c>
      <c r="O704" s="169" t="s">
        <v>632</v>
      </c>
      <c r="P704" s="169" t="s">
        <v>283</v>
      </c>
      <c r="Q704" s="169" t="s">
        <v>633</v>
      </c>
      <c r="R704" s="169" t="s">
        <v>283</v>
      </c>
      <c r="S704" s="169" t="s">
        <v>283</v>
      </c>
      <c r="T704" s="169">
        <v>0</v>
      </c>
    </row>
    <row r="705" spans="2:20" x14ac:dyDescent="0.2">
      <c r="B705" s="167" t="str">
        <f>_xlfn.XLOOKUP(I705,Mapping!D:D,Mapping!E:E)</f>
        <v>Cung Ứng</v>
      </c>
      <c r="C705" s="167" t="str">
        <f>_xlfn.XLOOKUP(F705,Mapping!A:A,Mapping!F:F)</f>
        <v>Thưởng</v>
      </c>
      <c r="D705" s="173">
        <v>45777</v>
      </c>
      <c r="E705" s="169" t="s">
        <v>629</v>
      </c>
      <c r="F705" s="169" t="s">
        <v>290</v>
      </c>
      <c r="G705" s="169" t="s">
        <v>291</v>
      </c>
      <c r="H705" s="169" t="s">
        <v>380</v>
      </c>
      <c r="I705" s="169" t="s">
        <v>381</v>
      </c>
      <c r="J705" s="169" t="s">
        <v>630</v>
      </c>
      <c r="K705" s="169" t="s">
        <v>630</v>
      </c>
      <c r="L705" s="169" t="s">
        <v>631</v>
      </c>
      <c r="M705" s="169" t="s">
        <v>281</v>
      </c>
      <c r="N705" s="178">
        <v>259197410</v>
      </c>
      <c r="O705" s="169" t="s">
        <v>632</v>
      </c>
      <c r="P705" s="169" t="s">
        <v>283</v>
      </c>
      <c r="Q705" s="169" t="s">
        <v>633</v>
      </c>
      <c r="R705" s="169" t="s">
        <v>283</v>
      </c>
      <c r="S705" s="169" t="s">
        <v>283</v>
      </c>
      <c r="T705" s="169">
        <v>0</v>
      </c>
    </row>
    <row r="706" spans="2:20" x14ac:dyDescent="0.2">
      <c r="B706" s="167" t="str">
        <f>_xlfn.XLOOKUP(I706,Mapping!D:D,Mapping!E:E)</f>
        <v>Cung Ứng</v>
      </c>
      <c r="C706" s="167" t="str">
        <f>_xlfn.XLOOKUP(F706,Mapping!A:A,Mapping!F:F)</f>
        <v>Phụ Cấp</v>
      </c>
      <c r="D706" s="173">
        <v>45777</v>
      </c>
      <c r="E706" s="169" t="s">
        <v>629</v>
      </c>
      <c r="F706" s="169" t="s">
        <v>335</v>
      </c>
      <c r="G706" s="169" t="s">
        <v>336</v>
      </c>
      <c r="H706" s="169" t="s">
        <v>380</v>
      </c>
      <c r="I706" s="169" t="s">
        <v>381</v>
      </c>
      <c r="J706" s="169" t="s">
        <v>630</v>
      </c>
      <c r="K706" s="169" t="s">
        <v>630</v>
      </c>
      <c r="L706" s="169" t="s">
        <v>631</v>
      </c>
      <c r="M706" s="169" t="s">
        <v>281</v>
      </c>
      <c r="N706" s="178">
        <v>12654444</v>
      </c>
      <c r="O706" s="169" t="s">
        <v>632</v>
      </c>
      <c r="P706" s="169" t="s">
        <v>283</v>
      </c>
      <c r="Q706" s="169" t="s">
        <v>633</v>
      </c>
      <c r="R706" s="169" t="s">
        <v>283</v>
      </c>
      <c r="S706" s="169" t="s">
        <v>283</v>
      </c>
      <c r="T706" s="169">
        <v>0</v>
      </c>
    </row>
    <row r="707" spans="2:20" x14ac:dyDescent="0.2">
      <c r="B707" s="167" t="str">
        <f>_xlfn.XLOOKUP(I707,Mapping!D:D,Mapping!E:E)</f>
        <v>Mua Hàng &amp; XNK</v>
      </c>
      <c r="C707" s="167" t="str">
        <f>_xlfn.XLOOKUP(F707,Mapping!A:A,Mapping!F:F)</f>
        <v>Lương Chính +T13</v>
      </c>
      <c r="D707" s="173">
        <v>45777</v>
      </c>
      <c r="E707" s="169" t="s">
        <v>629</v>
      </c>
      <c r="F707" s="169" t="s">
        <v>274</v>
      </c>
      <c r="G707" s="169" t="s">
        <v>275</v>
      </c>
      <c r="H707" s="169" t="s">
        <v>378</v>
      </c>
      <c r="I707" s="169" t="s">
        <v>379</v>
      </c>
      <c r="J707" s="169" t="s">
        <v>630</v>
      </c>
      <c r="K707" s="169" t="s">
        <v>630</v>
      </c>
      <c r="L707" s="169" t="s">
        <v>631</v>
      </c>
      <c r="M707" s="169" t="s">
        <v>281</v>
      </c>
      <c r="N707" s="178">
        <v>114889679</v>
      </c>
      <c r="O707" s="169" t="s">
        <v>632</v>
      </c>
      <c r="P707" s="169" t="s">
        <v>283</v>
      </c>
      <c r="Q707" s="169" t="s">
        <v>633</v>
      </c>
      <c r="R707" s="169" t="s">
        <v>283</v>
      </c>
      <c r="S707" s="169" t="s">
        <v>283</v>
      </c>
      <c r="T707" s="169">
        <v>0</v>
      </c>
    </row>
    <row r="708" spans="2:20" x14ac:dyDescent="0.2">
      <c r="B708" s="167" t="str">
        <f>_xlfn.XLOOKUP(I708,Mapping!D:D,Mapping!E:E)</f>
        <v>Mua Hàng &amp; XNK</v>
      </c>
      <c r="C708" s="167" t="str">
        <f>_xlfn.XLOOKUP(F708,Mapping!A:A,Mapping!F:F)</f>
        <v>Lương Chính +T13</v>
      </c>
      <c r="D708" s="173">
        <v>45777</v>
      </c>
      <c r="E708" s="169" t="s">
        <v>629</v>
      </c>
      <c r="F708" s="169" t="s">
        <v>285</v>
      </c>
      <c r="G708" s="169" t="s">
        <v>286</v>
      </c>
      <c r="H708" s="169" t="s">
        <v>378</v>
      </c>
      <c r="I708" s="169" t="s">
        <v>379</v>
      </c>
      <c r="J708" s="169" t="s">
        <v>283</v>
      </c>
      <c r="K708" s="169" t="s">
        <v>630</v>
      </c>
      <c r="L708" s="169" t="s">
        <v>631</v>
      </c>
      <c r="M708" s="169" t="s">
        <v>281</v>
      </c>
      <c r="N708" s="178">
        <v>5510115</v>
      </c>
      <c r="O708" s="169" t="s">
        <v>632</v>
      </c>
      <c r="P708" s="169" t="s">
        <v>283</v>
      </c>
      <c r="Q708" s="169" t="s">
        <v>633</v>
      </c>
      <c r="R708" s="169" t="s">
        <v>283</v>
      </c>
      <c r="S708" s="169" t="s">
        <v>283</v>
      </c>
      <c r="T708" s="169">
        <v>0</v>
      </c>
    </row>
    <row r="709" spans="2:20" x14ac:dyDescent="0.2">
      <c r="B709" s="167" t="str">
        <f>_xlfn.XLOOKUP(I709,Mapping!D:D,Mapping!E:E)</f>
        <v>Mua Hàng &amp; XNK</v>
      </c>
      <c r="C709" s="167" t="str">
        <f>_xlfn.XLOOKUP(F709,Mapping!A:A,Mapping!F:F)</f>
        <v>Thưởng</v>
      </c>
      <c r="D709" s="173">
        <v>45777</v>
      </c>
      <c r="E709" s="169" t="s">
        <v>629</v>
      </c>
      <c r="F709" s="169" t="s">
        <v>290</v>
      </c>
      <c r="G709" s="169" t="s">
        <v>291</v>
      </c>
      <c r="H709" s="169" t="s">
        <v>378</v>
      </c>
      <c r="I709" s="169" t="s">
        <v>379</v>
      </c>
      <c r="J709" s="169" t="s">
        <v>283</v>
      </c>
      <c r="K709" s="169" t="s">
        <v>630</v>
      </c>
      <c r="L709" s="169" t="s">
        <v>631</v>
      </c>
      <c r="M709" s="169" t="s">
        <v>281</v>
      </c>
      <c r="N709" s="178">
        <v>1200000</v>
      </c>
      <c r="O709" s="169" t="s">
        <v>632</v>
      </c>
      <c r="P709" s="169" t="s">
        <v>283</v>
      </c>
      <c r="Q709" s="169" t="s">
        <v>633</v>
      </c>
      <c r="R709" s="169" t="s">
        <v>283</v>
      </c>
      <c r="S709" s="169" t="s">
        <v>283</v>
      </c>
      <c r="T709" s="169">
        <v>0</v>
      </c>
    </row>
    <row r="710" spans="2:20" x14ac:dyDescent="0.2">
      <c r="B710" s="167" t="str">
        <f>_xlfn.XLOOKUP(I710,Mapping!D:D,Mapping!E:E)</f>
        <v>Mua Hàng &amp; XNK</v>
      </c>
      <c r="C710" s="167" t="str">
        <f>_xlfn.XLOOKUP(F710,Mapping!A:A,Mapping!F:F)</f>
        <v>Phụ Cấp</v>
      </c>
      <c r="D710" s="173">
        <v>45777</v>
      </c>
      <c r="E710" s="169" t="s">
        <v>629</v>
      </c>
      <c r="F710" s="169" t="s">
        <v>335</v>
      </c>
      <c r="G710" s="169" t="s">
        <v>336</v>
      </c>
      <c r="H710" s="169" t="s">
        <v>378</v>
      </c>
      <c r="I710" s="169" t="s">
        <v>379</v>
      </c>
      <c r="J710" s="169" t="s">
        <v>283</v>
      </c>
      <c r="K710" s="169" t="s">
        <v>630</v>
      </c>
      <c r="L710" s="169" t="s">
        <v>631</v>
      </c>
      <c r="M710" s="169" t="s">
        <v>281</v>
      </c>
      <c r="N710" s="178">
        <v>525000</v>
      </c>
      <c r="O710" s="169" t="s">
        <v>632</v>
      </c>
      <c r="P710" s="169" t="s">
        <v>283</v>
      </c>
      <c r="Q710" s="169" t="s">
        <v>633</v>
      </c>
      <c r="R710" s="169" t="s">
        <v>283</v>
      </c>
      <c r="S710" s="169" t="s">
        <v>283</v>
      </c>
      <c r="T710" s="169">
        <v>0</v>
      </c>
    </row>
    <row r="711" spans="2:20" x14ac:dyDescent="0.2">
      <c r="B711" s="167" t="str">
        <f>_xlfn.XLOOKUP(I711,Mapping!D:D,Mapping!E:E)</f>
        <v>Kỹ Thuật</v>
      </c>
      <c r="C711" s="167" t="str">
        <f>_xlfn.XLOOKUP(F711,Mapping!A:A,Mapping!F:F)</f>
        <v>Phụ Cấp</v>
      </c>
      <c r="D711" s="173">
        <v>45777</v>
      </c>
      <c r="E711" s="169" t="s">
        <v>629</v>
      </c>
      <c r="F711" s="169" t="s">
        <v>386</v>
      </c>
      <c r="G711" s="169" t="s">
        <v>341</v>
      </c>
      <c r="H711" s="169" t="s">
        <v>376</v>
      </c>
      <c r="I711" s="169" t="s">
        <v>377</v>
      </c>
      <c r="J711" s="169" t="s">
        <v>283</v>
      </c>
      <c r="K711" s="169" t="s">
        <v>630</v>
      </c>
      <c r="L711" s="169" t="s">
        <v>631</v>
      </c>
      <c r="M711" s="169" t="s">
        <v>281</v>
      </c>
      <c r="N711" s="178">
        <v>47729352</v>
      </c>
      <c r="O711" s="169" t="s">
        <v>632</v>
      </c>
      <c r="P711" s="169" t="s">
        <v>283</v>
      </c>
      <c r="Q711" s="169" t="s">
        <v>633</v>
      </c>
      <c r="R711" s="169" t="s">
        <v>283</v>
      </c>
      <c r="S711" s="169" t="s">
        <v>283</v>
      </c>
      <c r="T711" s="169">
        <v>0</v>
      </c>
    </row>
    <row r="712" spans="2:20" x14ac:dyDescent="0.2">
      <c r="B712" s="167" t="str">
        <f>_xlfn.XLOOKUP(I712,Mapping!D:D,Mapping!E:E)</f>
        <v>Kỹ Thuật</v>
      </c>
      <c r="C712" s="167" t="str">
        <f>_xlfn.XLOOKUP(F712,Mapping!A:A,Mapping!F:F)</f>
        <v>Lương Chính +T13</v>
      </c>
      <c r="D712" s="173">
        <v>45777</v>
      </c>
      <c r="E712" s="169" t="s">
        <v>629</v>
      </c>
      <c r="F712" s="169" t="s">
        <v>387</v>
      </c>
      <c r="G712" s="169" t="s">
        <v>275</v>
      </c>
      <c r="H712" s="169" t="s">
        <v>376</v>
      </c>
      <c r="I712" s="169" t="s">
        <v>377</v>
      </c>
      <c r="J712" s="169" t="s">
        <v>283</v>
      </c>
      <c r="K712" s="169" t="s">
        <v>630</v>
      </c>
      <c r="L712" s="169" t="s">
        <v>631</v>
      </c>
      <c r="M712" s="169" t="s">
        <v>281</v>
      </c>
      <c r="N712" s="178">
        <v>1092826135</v>
      </c>
      <c r="O712" s="169" t="s">
        <v>632</v>
      </c>
      <c r="P712" s="169" t="s">
        <v>283</v>
      </c>
      <c r="Q712" s="169" t="s">
        <v>633</v>
      </c>
      <c r="R712" s="169" t="s">
        <v>283</v>
      </c>
      <c r="S712" s="169" t="s">
        <v>283</v>
      </c>
      <c r="T712" s="169">
        <v>0</v>
      </c>
    </row>
    <row r="713" spans="2:20" x14ac:dyDescent="0.2">
      <c r="B713" s="167" t="str">
        <f>_xlfn.XLOOKUP(I713,Mapping!D:D,Mapping!E:E)</f>
        <v>Kỹ Thuật</v>
      </c>
      <c r="C713" s="167" t="str">
        <f>_xlfn.XLOOKUP(F713,Mapping!A:A,Mapping!F:F)</f>
        <v>Lương Chính +T13</v>
      </c>
      <c r="D713" s="173">
        <v>45777</v>
      </c>
      <c r="E713" s="169" t="s">
        <v>629</v>
      </c>
      <c r="F713" s="169" t="s">
        <v>388</v>
      </c>
      <c r="G713" s="169" t="s">
        <v>286</v>
      </c>
      <c r="H713" s="169" t="s">
        <v>376</v>
      </c>
      <c r="I713" s="169" t="s">
        <v>377</v>
      </c>
      <c r="J713" s="169" t="s">
        <v>283</v>
      </c>
      <c r="K713" s="169" t="s">
        <v>630</v>
      </c>
      <c r="L713" s="169" t="s">
        <v>631</v>
      </c>
      <c r="M713" s="169" t="s">
        <v>281</v>
      </c>
      <c r="N713" s="178">
        <v>26943001</v>
      </c>
      <c r="O713" s="169" t="s">
        <v>632</v>
      </c>
      <c r="P713" s="169" t="s">
        <v>283</v>
      </c>
      <c r="Q713" s="169" t="s">
        <v>633</v>
      </c>
      <c r="R713" s="169" t="s">
        <v>283</v>
      </c>
      <c r="S713" s="169" t="s">
        <v>283</v>
      </c>
      <c r="T713" s="169">
        <v>0</v>
      </c>
    </row>
    <row r="714" spans="2:20" x14ac:dyDescent="0.2">
      <c r="B714" s="167" t="str">
        <f>_xlfn.XLOOKUP(I714,Mapping!D:D,Mapping!E:E)</f>
        <v>Kỹ Thuật</v>
      </c>
      <c r="C714" s="167" t="str">
        <f>_xlfn.XLOOKUP(F714,Mapping!A:A,Mapping!F:F)</f>
        <v>Lương Ngoài giờ</v>
      </c>
      <c r="D714" s="173">
        <v>45777</v>
      </c>
      <c r="E714" s="169" t="s">
        <v>629</v>
      </c>
      <c r="F714" s="169" t="s">
        <v>389</v>
      </c>
      <c r="G714" s="169" t="s">
        <v>390</v>
      </c>
      <c r="H714" s="169" t="s">
        <v>376</v>
      </c>
      <c r="I714" s="169" t="s">
        <v>377</v>
      </c>
      <c r="J714" s="169" t="s">
        <v>283</v>
      </c>
      <c r="K714" s="169" t="s">
        <v>630</v>
      </c>
      <c r="L714" s="169" t="s">
        <v>631</v>
      </c>
      <c r="M714" s="169" t="s">
        <v>281</v>
      </c>
      <c r="N714" s="178">
        <v>330007588</v>
      </c>
      <c r="O714" s="169" t="s">
        <v>632</v>
      </c>
      <c r="P714" s="169" t="s">
        <v>283</v>
      </c>
      <c r="Q714" s="169" t="s">
        <v>633</v>
      </c>
      <c r="R714" s="169" t="s">
        <v>283</v>
      </c>
      <c r="S714" s="169" t="s">
        <v>283</v>
      </c>
      <c r="T714" s="169">
        <v>0</v>
      </c>
    </row>
    <row r="715" spans="2:20" x14ac:dyDescent="0.2">
      <c r="B715" s="167" t="str">
        <f>_xlfn.XLOOKUP(I715,Mapping!D:D,Mapping!E:E)</f>
        <v>Kỹ Thuật</v>
      </c>
      <c r="C715" s="167" t="str">
        <f>_xlfn.XLOOKUP(F715,Mapping!A:A,Mapping!F:F)</f>
        <v>Thưởng</v>
      </c>
      <c r="D715" s="173">
        <v>45777</v>
      </c>
      <c r="E715" s="169" t="s">
        <v>629</v>
      </c>
      <c r="F715" s="169" t="s">
        <v>391</v>
      </c>
      <c r="G715" s="169" t="s">
        <v>291</v>
      </c>
      <c r="H715" s="169" t="s">
        <v>376</v>
      </c>
      <c r="I715" s="169" t="s">
        <v>377</v>
      </c>
      <c r="J715" s="169" t="s">
        <v>283</v>
      </c>
      <c r="K715" s="169" t="s">
        <v>630</v>
      </c>
      <c r="L715" s="169" t="s">
        <v>631</v>
      </c>
      <c r="M715" s="169" t="s">
        <v>281</v>
      </c>
      <c r="N715" s="178">
        <v>17800000</v>
      </c>
      <c r="O715" s="169" t="s">
        <v>632</v>
      </c>
      <c r="P715" s="169" t="s">
        <v>283</v>
      </c>
      <c r="Q715" s="169" t="s">
        <v>633</v>
      </c>
      <c r="R715" s="169" t="s">
        <v>283</v>
      </c>
      <c r="S715" s="169" t="s">
        <v>283</v>
      </c>
      <c r="T715" s="169">
        <v>0</v>
      </c>
    </row>
    <row r="716" spans="2:20" x14ac:dyDescent="0.2">
      <c r="B716" s="167" t="str">
        <f>_xlfn.XLOOKUP(I716,Mapping!D:D,Mapping!E:E)</f>
        <v>Kỹ Thuật</v>
      </c>
      <c r="C716" s="167" t="str">
        <f>_xlfn.XLOOKUP(F716,Mapping!A:A,Mapping!F:F)</f>
        <v>Phụ Cấp</v>
      </c>
      <c r="D716" s="173">
        <v>45777</v>
      </c>
      <c r="E716" s="169" t="s">
        <v>629</v>
      </c>
      <c r="F716" s="169" t="s">
        <v>375</v>
      </c>
      <c r="G716" s="169" t="s">
        <v>336</v>
      </c>
      <c r="H716" s="169" t="s">
        <v>376</v>
      </c>
      <c r="I716" s="169" t="s">
        <v>377</v>
      </c>
      <c r="J716" s="169" t="s">
        <v>283</v>
      </c>
      <c r="K716" s="169" t="s">
        <v>630</v>
      </c>
      <c r="L716" s="169" t="s">
        <v>631</v>
      </c>
      <c r="M716" s="169" t="s">
        <v>281</v>
      </c>
      <c r="N716" s="178">
        <v>10330000</v>
      </c>
      <c r="O716" s="169" t="s">
        <v>632</v>
      </c>
      <c r="P716" s="169" t="s">
        <v>283</v>
      </c>
      <c r="Q716" s="169" t="s">
        <v>633</v>
      </c>
      <c r="R716" s="169" t="s">
        <v>283</v>
      </c>
      <c r="S716" s="169" t="s">
        <v>283</v>
      </c>
      <c r="T716" s="169">
        <v>0</v>
      </c>
    </row>
    <row r="717" spans="2:20" x14ac:dyDescent="0.2">
      <c r="B717" s="167" t="str">
        <f>_xlfn.XLOOKUP(I717,Mapping!D:D,Mapping!E:E)</f>
        <v>Kiểm Soát Chất Lượng</v>
      </c>
      <c r="C717" s="167" t="str">
        <f>_xlfn.XLOOKUP(F717,Mapping!A:A,Mapping!F:F)</f>
        <v>Phụ Cấp</v>
      </c>
      <c r="D717" s="173">
        <v>45777</v>
      </c>
      <c r="E717" s="169" t="s">
        <v>629</v>
      </c>
      <c r="F717" s="169" t="s">
        <v>386</v>
      </c>
      <c r="G717" s="169" t="s">
        <v>341</v>
      </c>
      <c r="H717" s="169" t="s">
        <v>411</v>
      </c>
      <c r="I717" s="169" t="s">
        <v>412</v>
      </c>
      <c r="J717" s="169" t="s">
        <v>283</v>
      </c>
      <c r="K717" s="169" t="s">
        <v>630</v>
      </c>
      <c r="L717" s="169" t="s">
        <v>631</v>
      </c>
      <c r="M717" s="169" t="s">
        <v>281</v>
      </c>
      <c r="N717" s="178">
        <v>28454180</v>
      </c>
      <c r="O717" s="169" t="s">
        <v>632</v>
      </c>
      <c r="P717" s="169" t="s">
        <v>283</v>
      </c>
      <c r="Q717" s="169" t="s">
        <v>633</v>
      </c>
      <c r="R717" s="169" t="s">
        <v>283</v>
      </c>
      <c r="S717" s="169" t="s">
        <v>283</v>
      </c>
      <c r="T717" s="169">
        <v>0</v>
      </c>
    </row>
    <row r="718" spans="2:20" x14ac:dyDescent="0.2">
      <c r="B718" s="167" t="str">
        <f>_xlfn.XLOOKUP(I718,Mapping!D:D,Mapping!E:E)</f>
        <v>Kiểm Soát Chất Lượng</v>
      </c>
      <c r="C718" s="167" t="str">
        <f>_xlfn.XLOOKUP(F718,Mapping!A:A,Mapping!F:F)</f>
        <v>Lương Chính +T13</v>
      </c>
      <c r="D718" s="173">
        <v>45777</v>
      </c>
      <c r="E718" s="169" t="s">
        <v>629</v>
      </c>
      <c r="F718" s="169" t="s">
        <v>387</v>
      </c>
      <c r="G718" s="169" t="s">
        <v>275</v>
      </c>
      <c r="H718" s="169" t="s">
        <v>411</v>
      </c>
      <c r="I718" s="169" t="s">
        <v>412</v>
      </c>
      <c r="J718" s="169" t="s">
        <v>283</v>
      </c>
      <c r="K718" s="169" t="s">
        <v>630</v>
      </c>
      <c r="L718" s="169" t="s">
        <v>631</v>
      </c>
      <c r="M718" s="169" t="s">
        <v>281</v>
      </c>
      <c r="N718" s="178">
        <v>535750569</v>
      </c>
      <c r="O718" s="169" t="s">
        <v>632</v>
      </c>
      <c r="P718" s="169" t="s">
        <v>283</v>
      </c>
      <c r="Q718" s="169" t="s">
        <v>633</v>
      </c>
      <c r="R718" s="169" t="s">
        <v>283</v>
      </c>
      <c r="S718" s="169" t="s">
        <v>283</v>
      </c>
      <c r="T718" s="169">
        <v>0</v>
      </c>
    </row>
    <row r="719" spans="2:20" x14ac:dyDescent="0.2">
      <c r="B719" s="167" t="str">
        <f>_xlfn.XLOOKUP(I719,Mapping!D:D,Mapping!E:E)</f>
        <v>Kiểm Soát Chất Lượng</v>
      </c>
      <c r="C719" s="167" t="str">
        <f>_xlfn.XLOOKUP(F719,Mapping!A:A,Mapping!F:F)</f>
        <v>Lương Chính +T13</v>
      </c>
      <c r="D719" s="173">
        <v>45777</v>
      </c>
      <c r="E719" s="169" t="s">
        <v>629</v>
      </c>
      <c r="F719" s="169" t="s">
        <v>388</v>
      </c>
      <c r="G719" s="169" t="s">
        <v>286</v>
      </c>
      <c r="H719" s="169" t="s">
        <v>411</v>
      </c>
      <c r="I719" s="169" t="s">
        <v>412</v>
      </c>
      <c r="J719" s="169" t="s">
        <v>283</v>
      </c>
      <c r="K719" s="169" t="s">
        <v>630</v>
      </c>
      <c r="L719" s="169" t="s">
        <v>631</v>
      </c>
      <c r="M719" s="169" t="s">
        <v>281</v>
      </c>
      <c r="N719" s="178">
        <v>15198502</v>
      </c>
      <c r="O719" s="169" t="s">
        <v>632</v>
      </c>
      <c r="P719" s="169" t="s">
        <v>283</v>
      </c>
      <c r="Q719" s="169" t="s">
        <v>633</v>
      </c>
      <c r="R719" s="169" t="s">
        <v>283</v>
      </c>
      <c r="S719" s="169" t="s">
        <v>283</v>
      </c>
      <c r="T719" s="169">
        <v>0</v>
      </c>
    </row>
    <row r="720" spans="2:20" x14ac:dyDescent="0.2">
      <c r="B720" s="167" t="str">
        <f>_xlfn.XLOOKUP(I720,Mapping!D:D,Mapping!E:E)</f>
        <v>Kiểm Soát Chất Lượng</v>
      </c>
      <c r="C720" s="167" t="str">
        <f>_xlfn.XLOOKUP(F720,Mapping!A:A,Mapping!F:F)</f>
        <v>Lương Ngoài giờ</v>
      </c>
      <c r="D720" s="173">
        <v>45777</v>
      </c>
      <c r="E720" s="169" t="s">
        <v>629</v>
      </c>
      <c r="F720" s="169" t="s">
        <v>389</v>
      </c>
      <c r="G720" s="169" t="s">
        <v>390</v>
      </c>
      <c r="H720" s="169" t="s">
        <v>411</v>
      </c>
      <c r="I720" s="169" t="s">
        <v>412</v>
      </c>
      <c r="J720" s="169" t="s">
        <v>283</v>
      </c>
      <c r="K720" s="169" t="s">
        <v>630</v>
      </c>
      <c r="L720" s="169" t="s">
        <v>631</v>
      </c>
      <c r="M720" s="169" t="s">
        <v>281</v>
      </c>
      <c r="N720" s="178">
        <v>193569297</v>
      </c>
      <c r="O720" s="169" t="s">
        <v>632</v>
      </c>
      <c r="P720" s="169" t="s">
        <v>283</v>
      </c>
      <c r="Q720" s="169" t="s">
        <v>633</v>
      </c>
      <c r="R720" s="169" t="s">
        <v>283</v>
      </c>
      <c r="S720" s="169" t="s">
        <v>283</v>
      </c>
      <c r="T720" s="169">
        <v>0</v>
      </c>
    </row>
    <row r="721" spans="1:20" x14ac:dyDescent="0.2">
      <c r="B721" s="167" t="str">
        <f>_xlfn.XLOOKUP(I721,Mapping!D:D,Mapping!E:E)</f>
        <v>Kiểm Soát Chất Lượng</v>
      </c>
      <c r="C721" s="167" t="str">
        <f>_xlfn.XLOOKUP(F721,Mapping!A:A,Mapping!F:F)</f>
        <v>Thưởng</v>
      </c>
      <c r="D721" s="173">
        <v>45777</v>
      </c>
      <c r="E721" s="169" t="s">
        <v>629</v>
      </c>
      <c r="F721" s="169" t="s">
        <v>391</v>
      </c>
      <c r="G721" s="169" t="s">
        <v>291</v>
      </c>
      <c r="H721" s="169" t="s">
        <v>411</v>
      </c>
      <c r="I721" s="169" t="s">
        <v>412</v>
      </c>
      <c r="J721" s="169" t="s">
        <v>283</v>
      </c>
      <c r="K721" s="169" t="s">
        <v>630</v>
      </c>
      <c r="L721" s="169" t="s">
        <v>631</v>
      </c>
      <c r="M721" s="169" t="s">
        <v>281</v>
      </c>
      <c r="N721" s="178">
        <v>11200000</v>
      </c>
      <c r="O721" s="169" t="s">
        <v>632</v>
      </c>
      <c r="P721" s="169" t="s">
        <v>283</v>
      </c>
      <c r="Q721" s="169" t="s">
        <v>633</v>
      </c>
      <c r="R721" s="169" t="s">
        <v>283</v>
      </c>
      <c r="S721" s="169" t="s">
        <v>283</v>
      </c>
      <c r="T721" s="169">
        <v>0</v>
      </c>
    </row>
    <row r="722" spans="1:20" x14ac:dyDescent="0.2">
      <c r="B722" s="167" t="str">
        <f>_xlfn.XLOOKUP(I722,Mapping!D:D,Mapping!E:E)</f>
        <v>Kiểm Soát Chất Lượng</v>
      </c>
      <c r="C722" s="167" t="str">
        <f>_xlfn.XLOOKUP(F722,Mapping!A:A,Mapping!F:F)</f>
        <v>Phụ Cấp</v>
      </c>
      <c r="D722" s="173">
        <v>45777</v>
      </c>
      <c r="E722" s="169" t="s">
        <v>629</v>
      </c>
      <c r="F722" s="169" t="s">
        <v>375</v>
      </c>
      <c r="G722" s="169" t="s">
        <v>336</v>
      </c>
      <c r="H722" s="169" t="s">
        <v>411</v>
      </c>
      <c r="I722" s="169" t="s">
        <v>412</v>
      </c>
      <c r="J722" s="169" t="s">
        <v>283</v>
      </c>
      <c r="K722" s="169" t="s">
        <v>630</v>
      </c>
      <c r="L722" s="169" t="s">
        <v>631</v>
      </c>
      <c r="M722" s="169" t="s">
        <v>281</v>
      </c>
      <c r="N722" s="178">
        <v>9140000</v>
      </c>
      <c r="O722" s="169" t="s">
        <v>632</v>
      </c>
      <c r="P722" s="169" t="s">
        <v>283</v>
      </c>
      <c r="Q722" s="169" t="s">
        <v>633</v>
      </c>
      <c r="R722" s="169" t="s">
        <v>283</v>
      </c>
      <c r="S722" s="169" t="s">
        <v>283</v>
      </c>
      <c r="T722" s="169">
        <v>0</v>
      </c>
    </row>
    <row r="723" spans="1:20" x14ac:dyDescent="0.2">
      <c r="B723" s="167" t="str">
        <f>_xlfn.XLOOKUP(I723,Mapping!D:D,Mapping!E:E)</f>
        <v>Nghiên Cứu &amp; Phát Triển</v>
      </c>
      <c r="C723" s="167" t="str">
        <f>_xlfn.XLOOKUP(F723,Mapping!A:A,Mapping!F:F)</f>
        <v>Lương Chính +T13</v>
      </c>
      <c r="D723" s="173">
        <v>45777</v>
      </c>
      <c r="E723" s="169" t="s">
        <v>629</v>
      </c>
      <c r="F723" s="169" t="s">
        <v>387</v>
      </c>
      <c r="G723" s="169" t="s">
        <v>275</v>
      </c>
      <c r="H723" s="169" t="s">
        <v>418</v>
      </c>
      <c r="I723" s="169" t="s">
        <v>419</v>
      </c>
      <c r="J723" s="169" t="s">
        <v>283</v>
      </c>
      <c r="K723" s="169" t="s">
        <v>630</v>
      </c>
      <c r="L723" s="169" t="s">
        <v>631</v>
      </c>
      <c r="M723" s="169" t="s">
        <v>281</v>
      </c>
      <c r="N723" s="178">
        <v>155224828</v>
      </c>
      <c r="O723" s="169" t="s">
        <v>632</v>
      </c>
      <c r="P723" s="169" t="s">
        <v>283</v>
      </c>
      <c r="Q723" s="169" t="s">
        <v>633</v>
      </c>
      <c r="R723" s="169" t="s">
        <v>283</v>
      </c>
      <c r="S723" s="169" t="s">
        <v>283</v>
      </c>
      <c r="T723" s="169">
        <v>0</v>
      </c>
    </row>
    <row r="724" spans="1:20" x14ac:dyDescent="0.2">
      <c r="B724" s="167" t="str">
        <f>_xlfn.XLOOKUP(I724,Mapping!D:D,Mapping!E:E)</f>
        <v>Cung Ứng</v>
      </c>
      <c r="C724" s="167" t="str">
        <f>_xlfn.XLOOKUP(F724,Mapping!A:A,Mapping!F:F)</f>
        <v>Lương Chính +T13</v>
      </c>
      <c r="D724" s="173">
        <v>45777</v>
      </c>
      <c r="E724" s="169" t="s">
        <v>634</v>
      </c>
      <c r="F724" s="169" t="s">
        <v>285</v>
      </c>
      <c r="G724" s="169" t="s">
        <v>286</v>
      </c>
      <c r="H724" s="169" t="s">
        <v>380</v>
      </c>
      <c r="I724" s="169" t="s">
        <v>381</v>
      </c>
      <c r="J724" s="169" t="s">
        <v>635</v>
      </c>
      <c r="K724" s="169" t="s">
        <v>636</v>
      </c>
      <c r="L724" s="169" t="s">
        <v>631</v>
      </c>
      <c r="M724" s="169" t="s">
        <v>281</v>
      </c>
      <c r="N724" s="178">
        <v>38944085</v>
      </c>
      <c r="O724" s="169" t="s">
        <v>637</v>
      </c>
      <c r="P724" s="169" t="s">
        <v>283</v>
      </c>
      <c r="Q724" s="169" t="s">
        <v>633</v>
      </c>
      <c r="R724" s="169" t="s">
        <v>283</v>
      </c>
      <c r="S724" s="169" t="s">
        <v>283</v>
      </c>
      <c r="T724" s="169">
        <v>0</v>
      </c>
    </row>
    <row r="725" spans="1:20" x14ac:dyDescent="0.2">
      <c r="B725" s="167" t="str">
        <f>_xlfn.XLOOKUP(I725,Mapping!D:D,Mapping!E:E)</f>
        <v>Mua Hàng &amp; XNK</v>
      </c>
      <c r="C725" s="167" t="str">
        <f>_xlfn.XLOOKUP(F725,Mapping!A:A,Mapping!F:F)</f>
        <v>Lương Chính +T13</v>
      </c>
      <c r="D725" s="173">
        <v>45777</v>
      </c>
      <c r="E725" s="169" t="s">
        <v>634</v>
      </c>
      <c r="F725" s="169" t="s">
        <v>285</v>
      </c>
      <c r="G725" s="169" t="s">
        <v>286</v>
      </c>
      <c r="H725" s="169" t="s">
        <v>378</v>
      </c>
      <c r="I725" s="169" t="s">
        <v>379</v>
      </c>
      <c r="J725" s="169" t="s">
        <v>635</v>
      </c>
      <c r="K725" s="169" t="s">
        <v>636</v>
      </c>
      <c r="L725" s="169" t="s">
        <v>631</v>
      </c>
      <c r="M725" s="169" t="s">
        <v>281</v>
      </c>
      <c r="N725" s="178">
        <v>10669417</v>
      </c>
      <c r="O725" s="169" t="s">
        <v>637</v>
      </c>
      <c r="P725" s="169" t="s">
        <v>283</v>
      </c>
      <c r="Q725" s="169" t="s">
        <v>633</v>
      </c>
      <c r="R725" s="169" t="s">
        <v>283</v>
      </c>
      <c r="S725" s="169" t="s">
        <v>283</v>
      </c>
      <c r="T725" s="169">
        <v>0</v>
      </c>
    </row>
    <row r="726" spans="1:20" x14ac:dyDescent="0.2">
      <c r="B726" s="167" t="str">
        <f>_xlfn.XLOOKUP(I726,Mapping!D:D,Mapping!E:E)</f>
        <v>Kỹ Thuật</v>
      </c>
      <c r="C726" s="167" t="str">
        <f>_xlfn.XLOOKUP(F726,Mapping!A:A,Mapping!F:F)</f>
        <v>Lương Chính +T13</v>
      </c>
      <c r="D726" s="173">
        <v>45777</v>
      </c>
      <c r="E726" s="169" t="s">
        <v>634</v>
      </c>
      <c r="F726" s="169" t="s">
        <v>388</v>
      </c>
      <c r="G726" s="169" t="s">
        <v>286</v>
      </c>
      <c r="H726" s="169" t="s">
        <v>376</v>
      </c>
      <c r="I726" s="169" t="s">
        <v>377</v>
      </c>
      <c r="J726" s="169" t="s">
        <v>635</v>
      </c>
      <c r="K726" s="169" t="s">
        <v>636</v>
      </c>
      <c r="L726" s="169" t="s">
        <v>631</v>
      </c>
      <c r="M726" s="169" t="s">
        <v>281</v>
      </c>
      <c r="N726" s="178">
        <v>86260167</v>
      </c>
      <c r="O726" s="169" t="s">
        <v>637</v>
      </c>
      <c r="P726" s="169" t="s">
        <v>283</v>
      </c>
      <c r="Q726" s="169" t="s">
        <v>633</v>
      </c>
      <c r="R726" s="169" t="s">
        <v>283</v>
      </c>
      <c r="S726" s="169" t="s">
        <v>283</v>
      </c>
      <c r="T726" s="169">
        <v>0</v>
      </c>
    </row>
    <row r="727" spans="1:20" x14ac:dyDescent="0.2">
      <c r="B727" s="167" t="str">
        <f>_xlfn.XLOOKUP(I727,Mapping!D:D,Mapping!E:E)</f>
        <v>Kiểm Soát Chất Lượng</v>
      </c>
      <c r="C727" s="167" t="str">
        <f>_xlfn.XLOOKUP(F727,Mapping!A:A,Mapping!F:F)</f>
        <v>Lương Chính +T13</v>
      </c>
      <c r="D727" s="173">
        <v>45777</v>
      </c>
      <c r="E727" s="169" t="s">
        <v>634</v>
      </c>
      <c r="F727" s="169" t="s">
        <v>388</v>
      </c>
      <c r="G727" s="169" t="s">
        <v>286</v>
      </c>
      <c r="H727" s="169" t="s">
        <v>411</v>
      </c>
      <c r="I727" s="169" t="s">
        <v>412</v>
      </c>
      <c r="J727" s="169" t="s">
        <v>635</v>
      </c>
      <c r="K727" s="169" t="s">
        <v>636</v>
      </c>
      <c r="L727" s="169" t="s">
        <v>631</v>
      </c>
      <c r="M727" s="169" t="s">
        <v>281</v>
      </c>
      <c r="N727" s="178">
        <v>39817417</v>
      </c>
      <c r="O727" s="169" t="s">
        <v>637</v>
      </c>
      <c r="P727" s="169" t="s">
        <v>283</v>
      </c>
      <c r="Q727" s="169" t="s">
        <v>633</v>
      </c>
      <c r="R727" s="169" t="s">
        <v>283</v>
      </c>
      <c r="S727" s="169" t="s">
        <v>283</v>
      </c>
      <c r="T727" s="169">
        <v>0</v>
      </c>
    </row>
    <row r="728" spans="1:20" x14ac:dyDescent="0.2">
      <c r="B728" s="167" t="str">
        <f>_xlfn.XLOOKUP(I728,Mapping!D:D,Mapping!E:E)</f>
        <v>Cung Ứng</v>
      </c>
      <c r="C728" s="167" t="str">
        <f>_xlfn.XLOOKUP(F728,Mapping!A:A,Mapping!F:F)</f>
        <v>Thưởng</v>
      </c>
      <c r="D728" s="173">
        <v>45777</v>
      </c>
      <c r="E728" s="169" t="s">
        <v>634</v>
      </c>
      <c r="F728" s="169" t="s">
        <v>292</v>
      </c>
      <c r="G728" s="169" t="s">
        <v>77</v>
      </c>
      <c r="H728" s="169" t="s">
        <v>380</v>
      </c>
      <c r="I728" s="169" t="s">
        <v>381</v>
      </c>
      <c r="J728" s="169" t="s">
        <v>638</v>
      </c>
      <c r="K728" s="169" t="s">
        <v>636</v>
      </c>
      <c r="L728" s="169" t="s">
        <v>631</v>
      </c>
      <c r="M728" s="169" t="s">
        <v>281</v>
      </c>
      <c r="N728" s="178">
        <v>33975065</v>
      </c>
      <c r="O728" s="169" t="s">
        <v>637</v>
      </c>
      <c r="P728" s="169" t="s">
        <v>283</v>
      </c>
      <c r="Q728" s="169" t="s">
        <v>633</v>
      </c>
      <c r="R728" s="169" t="s">
        <v>283</v>
      </c>
      <c r="S728" s="169" t="s">
        <v>283</v>
      </c>
      <c r="T728" s="169">
        <v>0</v>
      </c>
    </row>
    <row r="729" spans="1:20" x14ac:dyDescent="0.2">
      <c r="B729" s="167" t="str">
        <f>_xlfn.XLOOKUP(I729,Mapping!D:D,Mapping!E:E)</f>
        <v>Mua Hàng &amp; XNK</v>
      </c>
      <c r="C729" s="167" t="str">
        <f>_xlfn.XLOOKUP(F729,Mapping!A:A,Mapping!F:F)</f>
        <v>Thưởng</v>
      </c>
      <c r="D729" s="173">
        <v>45777</v>
      </c>
      <c r="E729" s="169" t="s">
        <v>634</v>
      </c>
      <c r="F729" s="169" t="s">
        <v>292</v>
      </c>
      <c r="G729" s="169" t="s">
        <v>77</v>
      </c>
      <c r="H729" s="169" t="s">
        <v>378</v>
      </c>
      <c r="I729" s="169" t="s">
        <v>379</v>
      </c>
      <c r="J729" s="169" t="s">
        <v>638</v>
      </c>
      <c r="K729" s="169" t="s">
        <v>636</v>
      </c>
      <c r="L729" s="169" t="s">
        <v>631</v>
      </c>
      <c r="M729" s="169" t="s">
        <v>281</v>
      </c>
      <c r="N729" s="178">
        <v>9815778</v>
      </c>
      <c r="O729" s="169" t="s">
        <v>637</v>
      </c>
      <c r="P729" s="169" t="s">
        <v>283</v>
      </c>
      <c r="Q729" s="169" t="s">
        <v>633</v>
      </c>
      <c r="R729" s="169" t="s">
        <v>283</v>
      </c>
      <c r="S729" s="169" t="s">
        <v>283</v>
      </c>
      <c r="T729" s="169">
        <v>0</v>
      </c>
    </row>
    <row r="730" spans="1:20" x14ac:dyDescent="0.2">
      <c r="B730" s="167" t="str">
        <f>_xlfn.XLOOKUP(I730,Mapping!D:D,Mapping!E:E)</f>
        <v>Kỹ Thuật</v>
      </c>
      <c r="C730" s="167" t="str">
        <f>_xlfn.XLOOKUP(F730,Mapping!A:A,Mapping!F:F)</f>
        <v>Thưởng</v>
      </c>
      <c r="D730" s="173">
        <v>45777</v>
      </c>
      <c r="E730" s="169" t="s">
        <v>634</v>
      </c>
      <c r="F730" s="169" t="s">
        <v>395</v>
      </c>
      <c r="G730" s="169" t="s">
        <v>77</v>
      </c>
      <c r="H730" s="169" t="s">
        <v>376</v>
      </c>
      <c r="I730" s="169" t="s">
        <v>377</v>
      </c>
      <c r="J730" s="169" t="s">
        <v>638</v>
      </c>
      <c r="K730" s="169" t="s">
        <v>636</v>
      </c>
      <c r="L730" s="169" t="s">
        <v>631</v>
      </c>
      <c r="M730" s="169" t="s">
        <v>281</v>
      </c>
      <c r="N730" s="178">
        <v>79358663</v>
      </c>
      <c r="O730" s="169" t="s">
        <v>637</v>
      </c>
      <c r="P730" s="169" t="s">
        <v>283</v>
      </c>
      <c r="Q730" s="169" t="s">
        <v>633</v>
      </c>
      <c r="R730" s="169" t="s">
        <v>283</v>
      </c>
      <c r="S730" s="169" t="s">
        <v>283</v>
      </c>
      <c r="T730" s="169">
        <v>0</v>
      </c>
    </row>
    <row r="731" spans="1:20" x14ac:dyDescent="0.2">
      <c r="B731" s="167" t="str">
        <f>_xlfn.XLOOKUP(I731,Mapping!D:D,Mapping!E:E)</f>
        <v>Kiểm Soát Chất Lượng</v>
      </c>
      <c r="C731" s="167" t="str">
        <f>_xlfn.XLOOKUP(F731,Mapping!A:A,Mapping!F:F)</f>
        <v>Thưởng</v>
      </c>
      <c r="D731" s="173">
        <v>45777</v>
      </c>
      <c r="E731" s="169" t="s">
        <v>634</v>
      </c>
      <c r="F731" s="169" t="s">
        <v>395</v>
      </c>
      <c r="G731" s="169" t="s">
        <v>77</v>
      </c>
      <c r="H731" s="169" t="s">
        <v>411</v>
      </c>
      <c r="I731" s="169" t="s">
        <v>412</v>
      </c>
      <c r="J731" s="169" t="s">
        <v>638</v>
      </c>
      <c r="K731" s="169" t="s">
        <v>636</v>
      </c>
      <c r="L731" s="169" t="s">
        <v>631</v>
      </c>
      <c r="M731" s="169" t="s">
        <v>281</v>
      </c>
      <c r="N731" s="178">
        <v>36631705</v>
      </c>
      <c r="O731" s="169" t="s">
        <v>637</v>
      </c>
      <c r="P731" s="169" t="s">
        <v>283</v>
      </c>
      <c r="Q731" s="169" t="s">
        <v>633</v>
      </c>
      <c r="R731" s="169" t="s">
        <v>283</v>
      </c>
      <c r="S731" s="169" t="s">
        <v>283</v>
      </c>
      <c r="T731" s="169">
        <v>0</v>
      </c>
    </row>
    <row r="732" spans="1:20" x14ac:dyDescent="0.2">
      <c r="A732" s="169">
        <v>622</v>
      </c>
      <c r="B732" s="167" t="str">
        <f>_xlfn.XLOOKUP(I732,Mapping!D:D,Mapping!E:E)</f>
        <v>Xưởng Sản Xuất</v>
      </c>
      <c r="C732" s="167" t="str">
        <f>_xlfn.XLOOKUP(F732,Mapping!A:A,Mapping!F:F)</f>
        <v>Lương Chính +T13</v>
      </c>
      <c r="D732" s="173">
        <v>45752</v>
      </c>
      <c r="E732" s="169" t="s">
        <v>675</v>
      </c>
      <c r="F732" s="169" t="s">
        <v>400</v>
      </c>
      <c r="G732" s="169" t="s">
        <v>401</v>
      </c>
      <c r="H732" s="169" t="s">
        <v>402</v>
      </c>
      <c r="I732" s="169" t="s">
        <v>403</v>
      </c>
      <c r="J732" s="169" t="s">
        <v>602</v>
      </c>
      <c r="K732" s="169" t="s">
        <v>405</v>
      </c>
      <c r="L732" s="169" t="s">
        <v>631</v>
      </c>
      <c r="M732" s="169" t="s">
        <v>281</v>
      </c>
      <c r="N732" s="178">
        <v>21618056</v>
      </c>
      <c r="O732" s="169" t="s">
        <v>676</v>
      </c>
      <c r="P732" s="169" t="s">
        <v>283</v>
      </c>
      <c r="Q732" s="169" t="s">
        <v>306</v>
      </c>
      <c r="R732" s="169" t="s">
        <v>283</v>
      </c>
      <c r="S732" s="169" t="s">
        <v>283</v>
      </c>
      <c r="T732" s="169">
        <v>0</v>
      </c>
    </row>
    <row r="733" spans="1:20" x14ac:dyDescent="0.2">
      <c r="A733" s="169">
        <v>622</v>
      </c>
      <c r="B733" s="167" t="str">
        <f>_xlfn.XLOOKUP(I733,Mapping!D:D,Mapping!E:E)</f>
        <v>Xưởng Sản Xuất</v>
      </c>
      <c r="C733" s="167" t="str">
        <f>_xlfn.XLOOKUP(F733,Mapping!A:A,Mapping!F:F)</f>
        <v>Lương Chính +T13</v>
      </c>
      <c r="D733" s="173">
        <v>45748</v>
      </c>
      <c r="E733" s="169" t="s">
        <v>677</v>
      </c>
      <c r="F733" s="169" t="s">
        <v>400</v>
      </c>
      <c r="G733" s="169" t="s">
        <v>401</v>
      </c>
      <c r="H733" s="169" t="s">
        <v>402</v>
      </c>
      <c r="I733" s="169" t="s">
        <v>403</v>
      </c>
      <c r="J733" s="169" t="s">
        <v>602</v>
      </c>
      <c r="K733" s="169" t="s">
        <v>405</v>
      </c>
      <c r="L733" s="169" t="s">
        <v>631</v>
      </c>
      <c r="M733" s="169" t="s">
        <v>281</v>
      </c>
      <c r="N733" s="178">
        <v>-20840278</v>
      </c>
      <c r="O733" s="169" t="s">
        <v>678</v>
      </c>
      <c r="P733" s="169" t="s">
        <v>447</v>
      </c>
      <c r="Q733" s="169" t="s">
        <v>633</v>
      </c>
      <c r="R733" s="169" t="s">
        <v>283</v>
      </c>
      <c r="S733" s="169" t="s">
        <v>283</v>
      </c>
      <c r="T733" s="169">
        <v>0</v>
      </c>
    </row>
    <row r="734" spans="1:20" x14ac:dyDescent="0.2">
      <c r="A734" s="169">
        <v>627</v>
      </c>
      <c r="B734" s="167" t="str">
        <f>_xlfn.XLOOKUP(I734,Mapping!D:D,Mapping!E:E)</f>
        <v>Xưởng Sản Xuất</v>
      </c>
      <c r="C734" s="167" t="str">
        <f>_xlfn.XLOOKUP(F734,Mapping!A:A,Mapping!F:F)</f>
        <v>Phụ Cấp</v>
      </c>
      <c r="D734" s="173">
        <v>45775</v>
      </c>
      <c r="E734" s="169" t="s">
        <v>642</v>
      </c>
      <c r="F734" s="169" t="s">
        <v>375</v>
      </c>
      <c r="G734" s="169" t="s">
        <v>336</v>
      </c>
      <c r="H734" s="169" t="s">
        <v>402</v>
      </c>
      <c r="I734" s="169" t="s">
        <v>403</v>
      </c>
      <c r="J734" s="169" t="s">
        <v>643</v>
      </c>
      <c r="K734" s="169" t="s">
        <v>338</v>
      </c>
      <c r="L734" s="169" t="s">
        <v>631</v>
      </c>
      <c r="M734" s="169" t="s">
        <v>281</v>
      </c>
      <c r="N734" s="178">
        <v>122825000</v>
      </c>
      <c r="O734" s="169" t="s">
        <v>644</v>
      </c>
      <c r="P734" s="169" t="s">
        <v>283</v>
      </c>
      <c r="Q734" s="169" t="s">
        <v>306</v>
      </c>
      <c r="R734" s="169" t="s">
        <v>283</v>
      </c>
      <c r="S734" s="169" t="s">
        <v>283</v>
      </c>
      <c r="T734" s="169">
        <v>0</v>
      </c>
    </row>
    <row r="735" spans="1:20" x14ac:dyDescent="0.2">
      <c r="B735" s="167" t="str">
        <f>_xlfn.XLOOKUP(I735,Mapping!D:D,Mapping!E:E)</f>
        <v>Nghiên Cứu &amp; Phát Triển</v>
      </c>
      <c r="C735" s="167" t="str">
        <f>_xlfn.XLOOKUP(F735,Mapping!A:A,Mapping!F:F)</f>
        <v>BHXH, BHYT, KPCĐ</v>
      </c>
      <c r="D735" s="173">
        <v>45777</v>
      </c>
      <c r="E735" s="169" t="s">
        <v>639</v>
      </c>
      <c r="F735" s="169" t="s">
        <v>393</v>
      </c>
      <c r="G735" s="169" t="s">
        <v>296</v>
      </c>
      <c r="H735" s="169" t="s">
        <v>418</v>
      </c>
      <c r="I735" s="169" t="s">
        <v>419</v>
      </c>
      <c r="J735" s="169" t="s">
        <v>640</v>
      </c>
      <c r="K735" s="169" t="s">
        <v>640</v>
      </c>
      <c r="L735" s="169" t="s">
        <v>631</v>
      </c>
      <c r="M735" s="169" t="s">
        <v>281</v>
      </c>
      <c r="N735" s="178">
        <v>35154315</v>
      </c>
      <c r="O735" s="169" t="s">
        <v>641</v>
      </c>
      <c r="P735" s="169" t="s">
        <v>283</v>
      </c>
      <c r="Q735" s="169" t="s">
        <v>633</v>
      </c>
      <c r="R735" s="169" t="s">
        <v>283</v>
      </c>
      <c r="S735" s="169" t="s">
        <v>283</v>
      </c>
      <c r="T735" s="169">
        <v>0</v>
      </c>
    </row>
    <row r="736" spans="1:20" x14ac:dyDescent="0.2">
      <c r="A736" s="169">
        <v>627</v>
      </c>
      <c r="B736" s="167" t="str">
        <f>_xlfn.XLOOKUP(I736,Mapping!D:D,Mapping!E:E)</f>
        <v>Xưởng Sản Xuất</v>
      </c>
      <c r="C736" s="167" t="str">
        <f>_xlfn.XLOOKUP(F736,Mapping!A:A,Mapping!F:F)</f>
        <v>BHXH, BHYT, KPCĐ</v>
      </c>
      <c r="D736" s="173">
        <v>45777</v>
      </c>
      <c r="E736" s="169" t="s">
        <v>639</v>
      </c>
      <c r="F736" s="169" t="s">
        <v>393</v>
      </c>
      <c r="G736" s="169" t="s">
        <v>296</v>
      </c>
      <c r="H736" s="169" t="s">
        <v>402</v>
      </c>
      <c r="I736" s="169" t="s">
        <v>403</v>
      </c>
      <c r="J736" s="169" t="s">
        <v>640</v>
      </c>
      <c r="K736" s="169" t="s">
        <v>640</v>
      </c>
      <c r="L736" s="169" t="s">
        <v>631</v>
      </c>
      <c r="M736" s="169" t="s">
        <v>281</v>
      </c>
      <c r="N736" s="178">
        <v>79294405</v>
      </c>
      <c r="O736" s="169" t="s">
        <v>641</v>
      </c>
      <c r="P736" s="169" t="s">
        <v>283</v>
      </c>
      <c r="Q736" s="169" t="s">
        <v>633</v>
      </c>
      <c r="R736" s="169" t="s">
        <v>283</v>
      </c>
      <c r="S736" s="169" t="s">
        <v>283</v>
      </c>
      <c r="T736" s="169">
        <v>0</v>
      </c>
    </row>
    <row r="737" spans="1:20" x14ac:dyDescent="0.2">
      <c r="A737" s="169">
        <v>622</v>
      </c>
      <c r="B737" s="167" t="str">
        <f>_xlfn.XLOOKUP(I737,Mapping!D:D,Mapping!E:E)</f>
        <v>Xưởng Sản Xuất</v>
      </c>
      <c r="C737" s="167" t="str">
        <f>_xlfn.XLOOKUP(F737,Mapping!A:A,Mapping!F:F)</f>
        <v>BHXH, BHYT, KPCĐ</v>
      </c>
      <c r="D737" s="173">
        <v>45777</v>
      </c>
      <c r="E737" s="169" t="s">
        <v>639</v>
      </c>
      <c r="F737" s="169" t="s">
        <v>425</v>
      </c>
      <c r="G737" s="169" t="s">
        <v>296</v>
      </c>
      <c r="H737" s="169" t="s">
        <v>402</v>
      </c>
      <c r="I737" s="169" t="s">
        <v>403</v>
      </c>
      <c r="J737" s="169" t="s">
        <v>640</v>
      </c>
      <c r="K737" s="169" t="s">
        <v>640</v>
      </c>
      <c r="L737" s="169" t="s">
        <v>631</v>
      </c>
      <c r="M737" s="169" t="s">
        <v>281</v>
      </c>
      <c r="N737" s="178">
        <v>245996825</v>
      </c>
      <c r="O737" s="169" t="s">
        <v>641</v>
      </c>
      <c r="P737" s="169" t="s">
        <v>283</v>
      </c>
      <c r="Q737" s="169" t="s">
        <v>633</v>
      </c>
      <c r="R737" s="169" t="s">
        <v>283</v>
      </c>
      <c r="S737" s="169" t="s">
        <v>283</v>
      </c>
      <c r="T737" s="169">
        <v>0</v>
      </c>
    </row>
    <row r="738" spans="1:20" x14ac:dyDescent="0.2">
      <c r="B738" s="167" t="str">
        <f>_xlfn.XLOOKUP(I738,Mapping!D:D,Mapping!E:E)</f>
        <v>Nghiên Cứu &amp; Phát Triển</v>
      </c>
      <c r="C738" s="167" t="str">
        <f>_xlfn.XLOOKUP(F738,Mapping!A:A,Mapping!F:F)</f>
        <v>Lương Chính +T13</v>
      </c>
      <c r="D738" s="173">
        <v>45777</v>
      </c>
      <c r="E738" s="169" t="s">
        <v>629</v>
      </c>
      <c r="F738" s="169" t="s">
        <v>388</v>
      </c>
      <c r="G738" s="169" t="s">
        <v>286</v>
      </c>
      <c r="H738" s="169" t="s">
        <v>418</v>
      </c>
      <c r="I738" s="169" t="s">
        <v>419</v>
      </c>
      <c r="J738" s="169" t="s">
        <v>283</v>
      </c>
      <c r="K738" s="169" t="s">
        <v>630</v>
      </c>
      <c r="L738" s="169" t="s">
        <v>631</v>
      </c>
      <c r="M738" s="169" t="s">
        <v>281</v>
      </c>
      <c r="N738" s="178">
        <v>9468962</v>
      </c>
      <c r="O738" s="169" t="s">
        <v>632</v>
      </c>
      <c r="P738" s="169" t="s">
        <v>283</v>
      </c>
      <c r="Q738" s="169" t="s">
        <v>633</v>
      </c>
      <c r="R738" s="169" t="s">
        <v>283</v>
      </c>
      <c r="S738" s="169" t="s">
        <v>283</v>
      </c>
      <c r="T738" s="169">
        <v>0</v>
      </c>
    </row>
    <row r="739" spans="1:20" x14ac:dyDescent="0.2">
      <c r="B739" s="167" t="str">
        <f>_xlfn.XLOOKUP(I739,Mapping!D:D,Mapping!E:E)</f>
        <v>Nghiên Cứu &amp; Phát Triển</v>
      </c>
      <c r="C739" s="167" t="str">
        <f>_xlfn.XLOOKUP(F739,Mapping!A:A,Mapping!F:F)</f>
        <v>Thưởng</v>
      </c>
      <c r="D739" s="173">
        <v>45777</v>
      </c>
      <c r="E739" s="169" t="s">
        <v>629</v>
      </c>
      <c r="F739" s="169" t="s">
        <v>391</v>
      </c>
      <c r="G739" s="169" t="s">
        <v>291</v>
      </c>
      <c r="H739" s="169" t="s">
        <v>418</v>
      </c>
      <c r="I739" s="169" t="s">
        <v>419</v>
      </c>
      <c r="J739" s="169" t="s">
        <v>283</v>
      </c>
      <c r="K739" s="169" t="s">
        <v>630</v>
      </c>
      <c r="L739" s="169" t="s">
        <v>631</v>
      </c>
      <c r="M739" s="169" t="s">
        <v>281</v>
      </c>
      <c r="N739" s="178">
        <v>1400000</v>
      </c>
      <c r="O739" s="169" t="s">
        <v>632</v>
      </c>
      <c r="P739" s="169" t="s">
        <v>283</v>
      </c>
      <c r="Q739" s="169" t="s">
        <v>633</v>
      </c>
      <c r="R739" s="169" t="s">
        <v>283</v>
      </c>
      <c r="S739" s="169" t="s">
        <v>283</v>
      </c>
      <c r="T739" s="169">
        <v>0</v>
      </c>
    </row>
    <row r="740" spans="1:20" x14ac:dyDescent="0.2">
      <c r="B740" s="167" t="str">
        <f>_xlfn.XLOOKUP(I740,Mapping!D:D,Mapping!E:E)</f>
        <v>Nghiên Cứu &amp; Phát Triển</v>
      </c>
      <c r="C740" s="167" t="str">
        <f>_xlfn.XLOOKUP(F740,Mapping!A:A,Mapping!F:F)</f>
        <v>Phụ Cấp</v>
      </c>
      <c r="D740" s="173">
        <v>45777</v>
      </c>
      <c r="E740" s="169" t="s">
        <v>629</v>
      </c>
      <c r="F740" s="169" t="s">
        <v>375</v>
      </c>
      <c r="G740" s="169" t="s">
        <v>336</v>
      </c>
      <c r="H740" s="169" t="s">
        <v>418</v>
      </c>
      <c r="I740" s="169" t="s">
        <v>419</v>
      </c>
      <c r="J740" s="169" t="s">
        <v>283</v>
      </c>
      <c r="K740" s="169" t="s">
        <v>630</v>
      </c>
      <c r="L740" s="169" t="s">
        <v>631</v>
      </c>
      <c r="M740" s="169" t="s">
        <v>281</v>
      </c>
      <c r="N740" s="178">
        <v>275000</v>
      </c>
      <c r="O740" s="169" t="s">
        <v>632</v>
      </c>
      <c r="P740" s="169" t="s">
        <v>283</v>
      </c>
      <c r="Q740" s="169" t="s">
        <v>633</v>
      </c>
      <c r="R740" s="169" t="s">
        <v>283</v>
      </c>
      <c r="S740" s="169" t="s">
        <v>283</v>
      </c>
      <c r="T740" s="169">
        <v>0</v>
      </c>
    </row>
    <row r="741" spans="1:20" x14ac:dyDescent="0.2">
      <c r="A741" s="169">
        <v>622</v>
      </c>
      <c r="B741" s="167" t="str">
        <f>_xlfn.XLOOKUP(I741,Mapping!D:D,Mapping!E:E)</f>
        <v>Xưởng Sản Xuất</v>
      </c>
      <c r="C741" s="167" t="str">
        <f>_xlfn.XLOOKUP(F741,Mapping!A:A,Mapping!F:F)</f>
        <v>Lương Chính +T13</v>
      </c>
      <c r="D741" s="173">
        <v>45777</v>
      </c>
      <c r="E741" s="169" t="s">
        <v>629</v>
      </c>
      <c r="F741" s="169" t="s">
        <v>400</v>
      </c>
      <c r="G741" s="169" t="s">
        <v>401</v>
      </c>
      <c r="H741" s="169" t="s">
        <v>402</v>
      </c>
      <c r="I741" s="169" t="s">
        <v>403</v>
      </c>
      <c r="J741" s="169" t="s">
        <v>283</v>
      </c>
      <c r="K741" s="169" t="s">
        <v>630</v>
      </c>
      <c r="L741" s="169" t="s">
        <v>631</v>
      </c>
      <c r="M741" s="169" t="s">
        <v>281</v>
      </c>
      <c r="N741" s="178">
        <v>1618761177</v>
      </c>
      <c r="O741" s="169" t="s">
        <v>632</v>
      </c>
      <c r="P741" s="169" t="s">
        <v>283</v>
      </c>
      <c r="Q741" s="169" t="s">
        <v>633</v>
      </c>
      <c r="R741" s="169" t="s">
        <v>283</v>
      </c>
      <c r="S741" s="169" t="s">
        <v>283</v>
      </c>
      <c r="T741" s="169">
        <v>0</v>
      </c>
    </row>
    <row r="742" spans="1:20" x14ac:dyDescent="0.2">
      <c r="A742" s="169">
        <v>622</v>
      </c>
      <c r="B742" s="167" t="str">
        <f>_xlfn.XLOOKUP(I742,Mapping!D:D,Mapping!E:E)</f>
        <v>Xưởng Sản Xuất</v>
      </c>
      <c r="C742" s="167" t="str">
        <f>_xlfn.XLOOKUP(F742,Mapping!A:A,Mapping!F:F)</f>
        <v>Lương Chính +T13</v>
      </c>
      <c r="D742" s="173">
        <v>45777</v>
      </c>
      <c r="E742" s="169" t="s">
        <v>629</v>
      </c>
      <c r="F742" s="169" t="s">
        <v>420</v>
      </c>
      <c r="G742" s="169" t="s">
        <v>286</v>
      </c>
      <c r="H742" s="169" t="s">
        <v>402</v>
      </c>
      <c r="I742" s="169" t="s">
        <v>403</v>
      </c>
      <c r="J742" s="169" t="s">
        <v>283</v>
      </c>
      <c r="K742" s="169" t="s">
        <v>630</v>
      </c>
      <c r="L742" s="169" t="s">
        <v>631</v>
      </c>
      <c r="M742" s="169" t="s">
        <v>281</v>
      </c>
      <c r="N742" s="178">
        <v>20490627</v>
      </c>
      <c r="O742" s="169" t="s">
        <v>632</v>
      </c>
      <c r="P742" s="169" t="s">
        <v>283</v>
      </c>
      <c r="Q742" s="169" t="s">
        <v>633</v>
      </c>
      <c r="R742" s="169" t="s">
        <v>283</v>
      </c>
      <c r="S742" s="169" t="s">
        <v>283</v>
      </c>
      <c r="T742" s="169">
        <v>0</v>
      </c>
    </row>
    <row r="743" spans="1:20" x14ac:dyDescent="0.2">
      <c r="A743" s="169">
        <v>622</v>
      </c>
      <c r="B743" s="167" t="str">
        <f>_xlfn.XLOOKUP(I743,Mapping!D:D,Mapping!E:E)</f>
        <v>Xưởng Sản Xuất</v>
      </c>
      <c r="C743" s="167" t="str">
        <f>_xlfn.XLOOKUP(F743,Mapping!A:A,Mapping!F:F)</f>
        <v>Phụ Cấp</v>
      </c>
      <c r="D743" s="173">
        <v>45777</v>
      </c>
      <c r="E743" s="169" t="s">
        <v>629</v>
      </c>
      <c r="F743" s="169" t="s">
        <v>421</v>
      </c>
      <c r="G743" s="169" t="s">
        <v>341</v>
      </c>
      <c r="H743" s="169" t="s">
        <v>402</v>
      </c>
      <c r="I743" s="169" t="s">
        <v>403</v>
      </c>
      <c r="J743" s="169" t="s">
        <v>283</v>
      </c>
      <c r="K743" s="169" t="s">
        <v>630</v>
      </c>
      <c r="L743" s="169" t="s">
        <v>631</v>
      </c>
      <c r="M743" s="169" t="s">
        <v>281</v>
      </c>
      <c r="N743" s="178">
        <v>127651234</v>
      </c>
      <c r="O743" s="169" t="s">
        <v>632</v>
      </c>
      <c r="P743" s="169" t="s">
        <v>283</v>
      </c>
      <c r="Q743" s="169" t="s">
        <v>633</v>
      </c>
      <c r="R743" s="169" t="s">
        <v>283</v>
      </c>
      <c r="S743" s="169" t="s">
        <v>283</v>
      </c>
      <c r="T743" s="169">
        <v>0</v>
      </c>
    </row>
    <row r="744" spans="1:20" x14ac:dyDescent="0.2">
      <c r="A744" s="169">
        <v>622</v>
      </c>
      <c r="B744" s="167" t="str">
        <f>_xlfn.XLOOKUP(I744,Mapping!D:D,Mapping!E:E)</f>
        <v>Xưởng Sản Xuất</v>
      </c>
      <c r="C744" s="167" t="str">
        <f>_xlfn.XLOOKUP(F744,Mapping!A:A,Mapping!F:F)</f>
        <v>Lương Ngoài giờ</v>
      </c>
      <c r="D744" s="173">
        <v>45777</v>
      </c>
      <c r="E744" s="169" t="s">
        <v>629</v>
      </c>
      <c r="F744" s="169" t="s">
        <v>422</v>
      </c>
      <c r="G744" s="169" t="s">
        <v>423</v>
      </c>
      <c r="H744" s="169" t="s">
        <v>402</v>
      </c>
      <c r="I744" s="169" t="s">
        <v>403</v>
      </c>
      <c r="J744" s="169" t="s">
        <v>283</v>
      </c>
      <c r="K744" s="169" t="s">
        <v>630</v>
      </c>
      <c r="L744" s="169" t="s">
        <v>631</v>
      </c>
      <c r="M744" s="169" t="s">
        <v>281</v>
      </c>
      <c r="N744" s="178">
        <v>312856165</v>
      </c>
      <c r="O744" s="169" t="s">
        <v>632</v>
      </c>
      <c r="P744" s="169" t="s">
        <v>283</v>
      </c>
      <c r="Q744" s="169" t="s">
        <v>633</v>
      </c>
      <c r="R744" s="169" t="s">
        <v>283</v>
      </c>
      <c r="S744" s="169" t="s">
        <v>283</v>
      </c>
      <c r="T744" s="169">
        <v>0</v>
      </c>
    </row>
    <row r="745" spans="1:20" x14ac:dyDescent="0.2">
      <c r="A745" s="169">
        <v>622</v>
      </c>
      <c r="B745" s="167" t="str">
        <f>_xlfn.XLOOKUP(I745,Mapping!D:D,Mapping!E:E)</f>
        <v>Xưởng Sản Xuất</v>
      </c>
      <c r="C745" s="167" t="str">
        <f>_xlfn.XLOOKUP(F745,Mapping!A:A,Mapping!F:F)</f>
        <v>Thưởng</v>
      </c>
      <c r="D745" s="173">
        <v>45777</v>
      </c>
      <c r="E745" s="169" t="s">
        <v>629</v>
      </c>
      <c r="F745" s="169" t="s">
        <v>424</v>
      </c>
      <c r="G745" s="169" t="s">
        <v>291</v>
      </c>
      <c r="H745" s="169" t="s">
        <v>402</v>
      </c>
      <c r="I745" s="169" t="s">
        <v>403</v>
      </c>
      <c r="J745" s="169" t="s">
        <v>283</v>
      </c>
      <c r="K745" s="169" t="s">
        <v>630</v>
      </c>
      <c r="L745" s="169" t="s">
        <v>631</v>
      </c>
      <c r="M745" s="169" t="s">
        <v>281</v>
      </c>
      <c r="N745" s="178">
        <v>39800000</v>
      </c>
      <c r="O745" s="169" t="s">
        <v>632</v>
      </c>
      <c r="P745" s="169" t="s">
        <v>283</v>
      </c>
      <c r="Q745" s="169" t="s">
        <v>633</v>
      </c>
      <c r="R745" s="169" t="s">
        <v>283</v>
      </c>
      <c r="S745" s="169" t="s">
        <v>283</v>
      </c>
      <c r="T745" s="169">
        <v>0</v>
      </c>
    </row>
    <row r="746" spans="1:20" x14ac:dyDescent="0.2">
      <c r="A746" s="169">
        <v>622</v>
      </c>
      <c r="B746" s="167" t="str">
        <f>_xlfn.XLOOKUP(I746,Mapping!D:D,Mapping!E:E)</f>
        <v>Xưởng Sản Xuất</v>
      </c>
      <c r="C746" s="167" t="str">
        <f>_xlfn.XLOOKUP(F746,Mapping!A:A,Mapping!F:F)</f>
        <v>Phụ Cấp</v>
      </c>
      <c r="D746" s="173">
        <v>45777</v>
      </c>
      <c r="E746" s="169" t="s">
        <v>629</v>
      </c>
      <c r="F746" s="169" t="s">
        <v>414</v>
      </c>
      <c r="G746" s="169" t="s">
        <v>415</v>
      </c>
      <c r="H746" s="169" t="s">
        <v>402</v>
      </c>
      <c r="I746" s="169" t="s">
        <v>403</v>
      </c>
      <c r="J746" s="169" t="s">
        <v>283</v>
      </c>
      <c r="K746" s="169" t="s">
        <v>630</v>
      </c>
      <c r="L746" s="169" t="s">
        <v>631</v>
      </c>
      <c r="M746" s="169" t="s">
        <v>281</v>
      </c>
      <c r="N746" s="178">
        <v>34900000</v>
      </c>
      <c r="O746" s="169" t="s">
        <v>632</v>
      </c>
      <c r="P746" s="169" t="s">
        <v>283</v>
      </c>
      <c r="Q746" s="169" t="s">
        <v>633</v>
      </c>
      <c r="R746" s="169" t="s">
        <v>283</v>
      </c>
      <c r="S746" s="169" t="s">
        <v>283</v>
      </c>
      <c r="T746" s="169">
        <v>0</v>
      </c>
    </row>
    <row r="747" spans="1:20" x14ac:dyDescent="0.2">
      <c r="A747" s="169">
        <v>627</v>
      </c>
      <c r="B747" s="167" t="str">
        <f>_xlfn.XLOOKUP(I747,Mapping!D:D,Mapping!E:E)</f>
        <v>Xưởng Sản Xuất</v>
      </c>
      <c r="C747" s="167" t="str">
        <f>_xlfn.XLOOKUP(F747,Mapping!A:A,Mapping!F:F)</f>
        <v>Phụ Cấp</v>
      </c>
      <c r="D747" s="173">
        <v>45777</v>
      </c>
      <c r="E747" s="169" t="s">
        <v>629</v>
      </c>
      <c r="F747" s="169" t="s">
        <v>386</v>
      </c>
      <c r="G747" s="169" t="s">
        <v>341</v>
      </c>
      <c r="H747" s="169" t="s">
        <v>402</v>
      </c>
      <c r="I747" s="169" t="s">
        <v>403</v>
      </c>
      <c r="J747" s="169" t="s">
        <v>283</v>
      </c>
      <c r="K747" s="169" t="s">
        <v>630</v>
      </c>
      <c r="L747" s="169" t="s">
        <v>631</v>
      </c>
      <c r="M747" s="169" t="s">
        <v>281</v>
      </c>
      <c r="N747" s="178">
        <v>16762551</v>
      </c>
      <c r="O747" s="169" t="s">
        <v>632</v>
      </c>
      <c r="P747" s="169" t="s">
        <v>283</v>
      </c>
      <c r="Q747" s="169" t="s">
        <v>633</v>
      </c>
      <c r="R747" s="169" t="s">
        <v>283</v>
      </c>
      <c r="S747" s="169" t="s">
        <v>283</v>
      </c>
      <c r="T747" s="169">
        <v>0</v>
      </c>
    </row>
    <row r="748" spans="1:20" x14ac:dyDescent="0.2">
      <c r="A748" s="169">
        <v>627</v>
      </c>
      <c r="B748" s="167" t="str">
        <f>_xlfn.XLOOKUP(I748,Mapping!D:D,Mapping!E:E)</f>
        <v>Xưởng Sản Xuất</v>
      </c>
      <c r="C748" s="167" t="str">
        <f>_xlfn.XLOOKUP(F748,Mapping!A:A,Mapping!F:F)</f>
        <v>Lương Chính +T13</v>
      </c>
      <c r="D748" s="173">
        <v>45777</v>
      </c>
      <c r="E748" s="169" t="s">
        <v>629</v>
      </c>
      <c r="F748" s="169" t="s">
        <v>387</v>
      </c>
      <c r="G748" s="169" t="s">
        <v>275</v>
      </c>
      <c r="H748" s="169" t="s">
        <v>402</v>
      </c>
      <c r="I748" s="169" t="s">
        <v>403</v>
      </c>
      <c r="J748" s="169" t="s">
        <v>283</v>
      </c>
      <c r="K748" s="169" t="s">
        <v>630</v>
      </c>
      <c r="L748" s="169" t="s">
        <v>631</v>
      </c>
      <c r="M748" s="169" t="s">
        <v>281</v>
      </c>
      <c r="N748" s="178">
        <v>478869796</v>
      </c>
      <c r="O748" s="169" t="s">
        <v>632</v>
      </c>
      <c r="P748" s="169" t="s">
        <v>283</v>
      </c>
      <c r="Q748" s="169" t="s">
        <v>633</v>
      </c>
      <c r="R748" s="169" t="s">
        <v>283</v>
      </c>
      <c r="S748" s="169" t="s">
        <v>283</v>
      </c>
      <c r="T748" s="169">
        <v>0</v>
      </c>
    </row>
    <row r="749" spans="1:20" x14ac:dyDescent="0.2">
      <c r="A749" s="169">
        <v>627</v>
      </c>
      <c r="B749" s="167" t="str">
        <f>_xlfn.XLOOKUP(I749,Mapping!D:D,Mapping!E:E)</f>
        <v>Xưởng Sản Xuất</v>
      </c>
      <c r="C749" s="167" t="str">
        <f>_xlfn.XLOOKUP(F749,Mapping!A:A,Mapping!F:F)</f>
        <v>Lương Chính +T13</v>
      </c>
      <c r="D749" s="173">
        <v>45777</v>
      </c>
      <c r="E749" s="169" t="s">
        <v>629</v>
      </c>
      <c r="F749" s="169" t="s">
        <v>388</v>
      </c>
      <c r="G749" s="169" t="s">
        <v>286</v>
      </c>
      <c r="H749" s="169" t="s">
        <v>402</v>
      </c>
      <c r="I749" s="169" t="s">
        <v>403</v>
      </c>
      <c r="J749" s="169" t="s">
        <v>283</v>
      </c>
      <c r="K749" s="169" t="s">
        <v>630</v>
      </c>
      <c r="L749" s="169" t="s">
        <v>631</v>
      </c>
      <c r="M749" s="169" t="s">
        <v>281</v>
      </c>
      <c r="N749" s="178">
        <v>6661076</v>
      </c>
      <c r="O749" s="169" t="s">
        <v>632</v>
      </c>
      <c r="P749" s="169" t="s">
        <v>283</v>
      </c>
      <c r="Q749" s="169" t="s">
        <v>633</v>
      </c>
      <c r="R749" s="169" t="s">
        <v>283</v>
      </c>
      <c r="S749" s="169" t="s">
        <v>283</v>
      </c>
      <c r="T749" s="169">
        <v>0</v>
      </c>
    </row>
    <row r="750" spans="1:20" x14ac:dyDescent="0.2">
      <c r="A750" s="169">
        <v>627</v>
      </c>
      <c r="B750" s="167" t="str">
        <f>_xlfn.XLOOKUP(I750,Mapping!D:D,Mapping!E:E)</f>
        <v>Xưởng Sản Xuất</v>
      </c>
      <c r="C750" s="167" t="str">
        <f>_xlfn.XLOOKUP(F750,Mapping!A:A,Mapping!F:F)</f>
        <v>Lương Ngoài giờ</v>
      </c>
      <c r="D750" s="173">
        <v>45777</v>
      </c>
      <c r="E750" s="169" t="s">
        <v>629</v>
      </c>
      <c r="F750" s="169" t="s">
        <v>389</v>
      </c>
      <c r="G750" s="169" t="s">
        <v>390</v>
      </c>
      <c r="H750" s="169" t="s">
        <v>402</v>
      </c>
      <c r="I750" s="169" t="s">
        <v>403</v>
      </c>
      <c r="J750" s="169" t="s">
        <v>283</v>
      </c>
      <c r="K750" s="169" t="s">
        <v>630</v>
      </c>
      <c r="L750" s="169" t="s">
        <v>631</v>
      </c>
      <c r="M750" s="169" t="s">
        <v>281</v>
      </c>
      <c r="N750" s="178">
        <v>53930864</v>
      </c>
      <c r="O750" s="169" t="s">
        <v>632</v>
      </c>
      <c r="P750" s="169" t="s">
        <v>283</v>
      </c>
      <c r="Q750" s="169" t="s">
        <v>633</v>
      </c>
      <c r="R750" s="169" t="s">
        <v>283</v>
      </c>
      <c r="S750" s="169" t="s">
        <v>283</v>
      </c>
      <c r="T750" s="169">
        <v>0</v>
      </c>
    </row>
    <row r="751" spans="1:20" x14ac:dyDescent="0.2">
      <c r="A751" s="169">
        <v>627</v>
      </c>
      <c r="B751" s="167" t="str">
        <f>_xlfn.XLOOKUP(I751,Mapping!D:D,Mapping!E:E)</f>
        <v>Xưởng Sản Xuất</v>
      </c>
      <c r="C751" s="167" t="str">
        <f>_xlfn.XLOOKUP(F751,Mapping!A:A,Mapping!F:F)</f>
        <v>Thưởng</v>
      </c>
      <c r="D751" s="173">
        <v>45777</v>
      </c>
      <c r="E751" s="169" t="s">
        <v>629</v>
      </c>
      <c r="F751" s="169" t="s">
        <v>391</v>
      </c>
      <c r="G751" s="169" t="s">
        <v>291</v>
      </c>
      <c r="H751" s="169" t="s">
        <v>402</v>
      </c>
      <c r="I751" s="169" t="s">
        <v>403</v>
      </c>
      <c r="J751" s="169" t="s">
        <v>283</v>
      </c>
      <c r="K751" s="169" t="s">
        <v>630</v>
      </c>
      <c r="L751" s="169" t="s">
        <v>631</v>
      </c>
      <c r="M751" s="169" t="s">
        <v>281</v>
      </c>
      <c r="N751" s="178">
        <v>7200000</v>
      </c>
      <c r="O751" s="169" t="s">
        <v>632</v>
      </c>
      <c r="P751" s="169" t="s">
        <v>283</v>
      </c>
      <c r="Q751" s="169" t="s">
        <v>633</v>
      </c>
      <c r="R751" s="169" t="s">
        <v>283</v>
      </c>
      <c r="S751" s="169" t="s">
        <v>283</v>
      </c>
      <c r="T751" s="169">
        <v>0</v>
      </c>
    </row>
    <row r="752" spans="1:20" x14ac:dyDescent="0.2">
      <c r="A752" s="169">
        <v>627</v>
      </c>
      <c r="B752" s="167" t="str">
        <f>_xlfn.XLOOKUP(I752,Mapping!D:D,Mapping!E:E)</f>
        <v>Xưởng Sản Xuất</v>
      </c>
      <c r="C752" s="167" t="str">
        <f>_xlfn.XLOOKUP(F752,Mapping!A:A,Mapping!F:F)</f>
        <v>Phụ Cấp</v>
      </c>
      <c r="D752" s="173">
        <v>45777</v>
      </c>
      <c r="E752" s="169" t="s">
        <v>629</v>
      </c>
      <c r="F752" s="169" t="s">
        <v>375</v>
      </c>
      <c r="G752" s="169" t="s">
        <v>336</v>
      </c>
      <c r="H752" s="169" t="s">
        <v>402</v>
      </c>
      <c r="I752" s="169" t="s">
        <v>403</v>
      </c>
      <c r="J752" s="169" t="s">
        <v>283</v>
      </c>
      <c r="K752" s="169" t="s">
        <v>630</v>
      </c>
      <c r="L752" s="169" t="s">
        <v>631</v>
      </c>
      <c r="M752" s="169" t="s">
        <v>281</v>
      </c>
      <c r="N752" s="178">
        <v>3740000</v>
      </c>
      <c r="O752" s="169" t="s">
        <v>632</v>
      </c>
      <c r="P752" s="169" t="s">
        <v>283</v>
      </c>
      <c r="Q752" s="169" t="s">
        <v>633</v>
      </c>
      <c r="R752" s="169" t="s">
        <v>283</v>
      </c>
      <c r="S752" s="169" t="s">
        <v>283</v>
      </c>
      <c r="T752" s="169">
        <v>0</v>
      </c>
    </row>
    <row r="753" spans="1:20" x14ac:dyDescent="0.2">
      <c r="B753" s="167" t="str">
        <f>_xlfn.XLOOKUP(I753,Mapping!D:D,Mapping!E:E)</f>
        <v>Nghiên Cứu &amp; Phát Triển</v>
      </c>
      <c r="C753" s="167" t="str">
        <f>_xlfn.XLOOKUP(F753,Mapping!A:A,Mapping!F:F)</f>
        <v>Lương Chính +T13</v>
      </c>
      <c r="D753" s="173">
        <v>45777</v>
      </c>
      <c r="E753" s="169" t="s">
        <v>634</v>
      </c>
      <c r="F753" s="169" t="s">
        <v>388</v>
      </c>
      <c r="G753" s="169" t="s">
        <v>286</v>
      </c>
      <c r="H753" s="169" t="s">
        <v>418</v>
      </c>
      <c r="I753" s="169" t="s">
        <v>419</v>
      </c>
      <c r="J753" s="169" t="s">
        <v>635</v>
      </c>
      <c r="K753" s="169" t="s">
        <v>636</v>
      </c>
      <c r="L753" s="169" t="s">
        <v>631</v>
      </c>
      <c r="M753" s="169" t="s">
        <v>281</v>
      </c>
      <c r="N753" s="178">
        <v>13919083</v>
      </c>
      <c r="O753" s="169" t="s">
        <v>637</v>
      </c>
      <c r="P753" s="169" t="s">
        <v>283</v>
      </c>
      <c r="Q753" s="169" t="s">
        <v>633</v>
      </c>
      <c r="R753" s="169" t="s">
        <v>283</v>
      </c>
      <c r="S753" s="169" t="s">
        <v>283</v>
      </c>
      <c r="T753" s="169">
        <v>0</v>
      </c>
    </row>
    <row r="754" spans="1:20" x14ac:dyDescent="0.2">
      <c r="A754" s="169">
        <v>627</v>
      </c>
      <c r="B754" s="167" t="str">
        <f>_xlfn.XLOOKUP(I754,Mapping!D:D,Mapping!E:E)</f>
        <v>Xưởng Sản Xuất</v>
      </c>
      <c r="C754" s="167" t="str">
        <f>_xlfn.XLOOKUP(F754,Mapping!A:A,Mapping!F:F)</f>
        <v>Lương Chính +T13</v>
      </c>
      <c r="D754" s="173">
        <v>45777</v>
      </c>
      <c r="E754" s="169" t="s">
        <v>634</v>
      </c>
      <c r="F754" s="169" t="s">
        <v>388</v>
      </c>
      <c r="G754" s="169" t="s">
        <v>286</v>
      </c>
      <c r="H754" s="169" t="s">
        <v>402</v>
      </c>
      <c r="I754" s="169" t="s">
        <v>403</v>
      </c>
      <c r="J754" s="169" t="s">
        <v>635</v>
      </c>
      <c r="K754" s="169" t="s">
        <v>636</v>
      </c>
      <c r="L754" s="169" t="s">
        <v>631</v>
      </c>
      <c r="M754" s="169" t="s">
        <v>281</v>
      </c>
      <c r="N754" s="178">
        <v>34497478</v>
      </c>
      <c r="O754" s="169" t="s">
        <v>637</v>
      </c>
      <c r="P754" s="169" t="s">
        <v>283</v>
      </c>
      <c r="Q754" s="169" t="s">
        <v>633</v>
      </c>
      <c r="R754" s="169" t="s">
        <v>283</v>
      </c>
      <c r="S754" s="169" t="s">
        <v>283</v>
      </c>
      <c r="T754" s="169">
        <v>0</v>
      </c>
    </row>
    <row r="755" spans="1:20" x14ac:dyDescent="0.2">
      <c r="A755" s="169">
        <v>622</v>
      </c>
      <c r="B755" s="167" t="str">
        <f>_xlfn.XLOOKUP(I755,Mapping!D:D,Mapping!E:E)</f>
        <v>Xưởng Sản Xuất</v>
      </c>
      <c r="C755" s="167" t="str">
        <f>_xlfn.XLOOKUP(F755,Mapping!A:A,Mapping!F:F)</f>
        <v>Lương Chính +T13</v>
      </c>
      <c r="D755" s="173">
        <v>45777</v>
      </c>
      <c r="E755" s="169" t="s">
        <v>634</v>
      </c>
      <c r="F755" s="169" t="s">
        <v>420</v>
      </c>
      <c r="G755" s="169" t="s">
        <v>286</v>
      </c>
      <c r="H755" s="169" t="s">
        <v>402</v>
      </c>
      <c r="I755" s="169" t="s">
        <v>403</v>
      </c>
      <c r="J755" s="169" t="s">
        <v>635</v>
      </c>
      <c r="K755" s="169" t="s">
        <v>636</v>
      </c>
      <c r="L755" s="169" t="s">
        <v>631</v>
      </c>
      <c r="M755" s="169" t="s">
        <v>281</v>
      </c>
      <c r="N755" s="178">
        <v>98901124</v>
      </c>
      <c r="O755" s="169" t="s">
        <v>637</v>
      </c>
      <c r="P755" s="169" t="s">
        <v>283</v>
      </c>
      <c r="Q755" s="169" t="s">
        <v>633</v>
      </c>
      <c r="R755" s="169" t="s">
        <v>283</v>
      </c>
      <c r="S755" s="169" t="s">
        <v>283</v>
      </c>
      <c r="T755" s="169">
        <v>0</v>
      </c>
    </row>
    <row r="756" spans="1:20" x14ac:dyDescent="0.2">
      <c r="B756" s="167" t="str">
        <f>_xlfn.XLOOKUP(I756,Mapping!D:D,Mapping!E:E)</f>
        <v>Nghiên Cứu &amp; Phát Triển</v>
      </c>
      <c r="C756" s="167" t="str">
        <f>_xlfn.XLOOKUP(F756,Mapping!A:A,Mapping!F:F)</f>
        <v>Thưởng</v>
      </c>
      <c r="D756" s="173">
        <v>45777</v>
      </c>
      <c r="E756" s="169" t="s">
        <v>634</v>
      </c>
      <c r="F756" s="169" t="s">
        <v>395</v>
      </c>
      <c r="G756" s="169" t="s">
        <v>77</v>
      </c>
      <c r="H756" s="169" t="s">
        <v>418</v>
      </c>
      <c r="I756" s="169" t="s">
        <v>419</v>
      </c>
      <c r="J756" s="169" t="s">
        <v>638</v>
      </c>
      <c r="K756" s="169" t="s">
        <v>636</v>
      </c>
      <c r="L756" s="169" t="s">
        <v>631</v>
      </c>
      <c r="M756" s="169" t="s">
        <v>281</v>
      </c>
      <c r="N756" s="178">
        <v>12805445</v>
      </c>
      <c r="O756" s="169" t="s">
        <v>637</v>
      </c>
      <c r="P756" s="169" t="s">
        <v>283</v>
      </c>
      <c r="Q756" s="169" t="s">
        <v>633</v>
      </c>
      <c r="R756" s="169" t="s">
        <v>283</v>
      </c>
      <c r="S756" s="169" t="s">
        <v>283</v>
      </c>
      <c r="T756" s="169">
        <v>0</v>
      </c>
    </row>
    <row r="757" spans="1:20" x14ac:dyDescent="0.2">
      <c r="A757" s="169">
        <v>627</v>
      </c>
      <c r="B757" s="167" t="str">
        <f>_xlfn.XLOOKUP(I757,Mapping!D:D,Mapping!E:E)</f>
        <v>Xưởng Sản Xuất</v>
      </c>
      <c r="C757" s="167" t="str">
        <f>_xlfn.XLOOKUP(F757,Mapping!A:A,Mapping!F:F)</f>
        <v>Thưởng</v>
      </c>
      <c r="D757" s="173">
        <v>45777</v>
      </c>
      <c r="E757" s="169" t="s">
        <v>634</v>
      </c>
      <c r="F757" s="169" t="s">
        <v>395</v>
      </c>
      <c r="G757" s="169" t="s">
        <v>77</v>
      </c>
      <c r="H757" s="169" t="s">
        <v>402</v>
      </c>
      <c r="I757" s="169" t="s">
        <v>403</v>
      </c>
      <c r="J757" s="169" t="s">
        <v>638</v>
      </c>
      <c r="K757" s="169" t="s">
        <v>636</v>
      </c>
      <c r="L757" s="169" t="s">
        <v>631</v>
      </c>
      <c r="M757" s="169" t="s">
        <v>281</v>
      </c>
      <c r="N757" s="178">
        <v>30983721</v>
      </c>
      <c r="O757" s="169" t="s">
        <v>637</v>
      </c>
      <c r="P757" s="169" t="s">
        <v>283</v>
      </c>
      <c r="Q757" s="169" t="s">
        <v>633</v>
      </c>
      <c r="R757" s="169" t="s">
        <v>283</v>
      </c>
      <c r="S757" s="169" t="s">
        <v>283</v>
      </c>
      <c r="T757" s="169">
        <v>0</v>
      </c>
    </row>
    <row r="758" spans="1:20" x14ac:dyDescent="0.2">
      <c r="A758" s="169">
        <v>622</v>
      </c>
      <c r="B758" s="167" t="str">
        <f>_xlfn.XLOOKUP(I758,Mapping!D:D,Mapping!E:E)</f>
        <v>Xưởng Sản Xuất</v>
      </c>
      <c r="C758" s="167" t="str">
        <f>_xlfn.XLOOKUP(F758,Mapping!A:A,Mapping!F:F)</f>
        <v>Thưởng</v>
      </c>
      <c r="D758" s="173">
        <v>45777</v>
      </c>
      <c r="E758" s="169" t="s">
        <v>634</v>
      </c>
      <c r="F758" s="169" t="s">
        <v>426</v>
      </c>
      <c r="G758" s="169" t="s">
        <v>77</v>
      </c>
      <c r="H758" s="169" t="s">
        <v>402</v>
      </c>
      <c r="I758" s="169" t="s">
        <v>403</v>
      </c>
      <c r="J758" s="169" t="s">
        <v>638</v>
      </c>
      <c r="K758" s="169" t="s">
        <v>636</v>
      </c>
      <c r="L758" s="169" t="s">
        <v>631</v>
      </c>
      <c r="M758" s="169" t="s">
        <v>281</v>
      </c>
      <c r="N758" s="178">
        <v>24777399</v>
      </c>
      <c r="O758" s="169" t="s">
        <v>637</v>
      </c>
      <c r="P758" s="169" t="s">
        <v>283</v>
      </c>
      <c r="Q758" s="169" t="s">
        <v>633</v>
      </c>
      <c r="R758" s="169" t="s">
        <v>283</v>
      </c>
      <c r="S758" s="169" t="s">
        <v>283</v>
      </c>
      <c r="T758" s="169">
        <v>0</v>
      </c>
    </row>
    <row r="759" spans="1:20" x14ac:dyDescent="0.2">
      <c r="A759" s="169">
        <v>622</v>
      </c>
      <c r="B759" s="167" t="str">
        <f>_xlfn.XLOOKUP(I759,Mapping!D:D,Mapping!E:E)</f>
        <v>Xưởng Sản Xuất</v>
      </c>
      <c r="C759" s="167" t="str">
        <f>_xlfn.XLOOKUP(F759,Mapping!A:A,Mapping!F:F)</f>
        <v>BHXH, BHYT, KPCĐ</v>
      </c>
      <c r="D759" s="173">
        <v>45777</v>
      </c>
      <c r="E759" s="169" t="s">
        <v>679</v>
      </c>
      <c r="F759" s="169" t="s">
        <v>425</v>
      </c>
      <c r="G759" s="169" t="s">
        <v>296</v>
      </c>
      <c r="H759" s="169" t="s">
        <v>402</v>
      </c>
      <c r="I759" s="169" t="s">
        <v>403</v>
      </c>
      <c r="J759" s="169" t="s">
        <v>640</v>
      </c>
      <c r="K759" s="169" t="s">
        <v>640</v>
      </c>
      <c r="L759" s="169" t="s">
        <v>631</v>
      </c>
      <c r="M759" s="169" t="s">
        <v>281</v>
      </c>
      <c r="N759" s="178">
        <v>6032025</v>
      </c>
      <c r="O759" s="169" t="s">
        <v>680</v>
      </c>
      <c r="P759" s="169" t="s">
        <v>283</v>
      </c>
      <c r="Q759" s="169" t="s">
        <v>633</v>
      </c>
      <c r="R759" s="169" t="s">
        <v>283</v>
      </c>
      <c r="S759" s="169" t="s">
        <v>283</v>
      </c>
      <c r="T759" s="169">
        <v>0</v>
      </c>
    </row>
    <row r="760" spans="1:20" x14ac:dyDescent="0.2">
      <c r="A760" s="169">
        <v>622</v>
      </c>
      <c r="B760" s="167" t="str">
        <f>_xlfn.XLOOKUP(I760,Mapping!D:D,Mapping!E:E)</f>
        <v>Xưởng Sản Xuất</v>
      </c>
      <c r="C760" s="167" t="str">
        <f>_xlfn.XLOOKUP(F760,Mapping!A:A,Mapping!F:F)</f>
        <v>Phụ Cấp</v>
      </c>
      <c r="D760" s="173">
        <v>45777</v>
      </c>
      <c r="E760" s="169" t="s">
        <v>681</v>
      </c>
      <c r="F760" s="169" t="s">
        <v>414</v>
      </c>
      <c r="G760" s="169" t="s">
        <v>415</v>
      </c>
      <c r="H760" s="169" t="s">
        <v>402</v>
      </c>
      <c r="I760" s="169" t="s">
        <v>403</v>
      </c>
      <c r="J760" s="169" t="s">
        <v>416</v>
      </c>
      <c r="K760" s="169" t="s">
        <v>416</v>
      </c>
      <c r="L760" s="169" t="s">
        <v>631</v>
      </c>
      <c r="M760" s="169" t="s">
        <v>281</v>
      </c>
      <c r="N760" s="178">
        <v>99650000</v>
      </c>
      <c r="O760" s="169" t="s">
        <v>682</v>
      </c>
      <c r="P760" s="169" t="s">
        <v>283</v>
      </c>
      <c r="Q760" s="169" t="s">
        <v>348</v>
      </c>
      <c r="R760" s="169" t="s">
        <v>283</v>
      </c>
      <c r="S760" s="169" t="s">
        <v>283</v>
      </c>
      <c r="T760" s="169">
        <v>0</v>
      </c>
    </row>
    <row r="761" spans="1:20" x14ac:dyDescent="0.2">
      <c r="A761" s="169">
        <v>627</v>
      </c>
      <c r="B761" s="167" t="str">
        <f>_xlfn.XLOOKUP(I761,Mapping!D:D,Mapping!E:E)</f>
        <v>Xưởng Sản Xuất</v>
      </c>
      <c r="C761" s="167" t="str">
        <f>_xlfn.XLOOKUP(F761,Mapping!A:A,Mapping!F:F)</f>
        <v>Phụ Cấp</v>
      </c>
      <c r="D761" s="173">
        <v>45777</v>
      </c>
      <c r="E761" s="169" t="s">
        <v>681</v>
      </c>
      <c r="F761" s="169" t="s">
        <v>375</v>
      </c>
      <c r="G761" s="169" t="s">
        <v>336</v>
      </c>
      <c r="H761" s="169" t="s">
        <v>402</v>
      </c>
      <c r="I761" s="169" t="s">
        <v>403</v>
      </c>
      <c r="J761" s="169" t="s">
        <v>416</v>
      </c>
      <c r="K761" s="169" t="s">
        <v>416</v>
      </c>
      <c r="L761" s="169" t="s">
        <v>631</v>
      </c>
      <c r="M761" s="169" t="s">
        <v>281</v>
      </c>
      <c r="N761" s="178">
        <v>-99650000</v>
      </c>
      <c r="O761" s="169" t="s">
        <v>682</v>
      </c>
      <c r="P761" s="169" t="s">
        <v>283</v>
      </c>
      <c r="Q761" s="169" t="s">
        <v>348</v>
      </c>
      <c r="R761" s="169" t="s">
        <v>283</v>
      </c>
      <c r="S761" s="169" t="s">
        <v>283</v>
      </c>
      <c r="T761" s="169">
        <v>0</v>
      </c>
    </row>
    <row r="762" spans="1:20" x14ac:dyDescent="0.2">
      <c r="A762" s="169">
        <v>622</v>
      </c>
      <c r="B762" s="167" t="str">
        <f>_xlfn.XLOOKUP(I762,Mapping!D:D,Mapping!E:E)</f>
        <v>Xưởng Sản Xuất</v>
      </c>
      <c r="C762" s="167" t="str">
        <f>_xlfn.XLOOKUP(F762,Mapping!A:A,Mapping!F:F)</f>
        <v>Lương Chính +T13</v>
      </c>
      <c r="D762" s="173">
        <v>45752</v>
      </c>
      <c r="E762" s="169" t="s">
        <v>675</v>
      </c>
      <c r="F762" s="169" t="s">
        <v>400</v>
      </c>
      <c r="G762" s="169" t="s">
        <v>401</v>
      </c>
      <c r="H762" s="169" t="s">
        <v>430</v>
      </c>
      <c r="I762" s="169" t="s">
        <v>431</v>
      </c>
      <c r="J762" s="169" t="s">
        <v>616</v>
      </c>
      <c r="K762" s="169" t="s">
        <v>405</v>
      </c>
      <c r="L762" s="169" t="s">
        <v>631</v>
      </c>
      <c r="M762" s="169" t="s">
        <v>281</v>
      </c>
      <c r="N762" s="178">
        <v>75663194</v>
      </c>
      <c r="O762" s="169" t="s">
        <v>676</v>
      </c>
      <c r="P762" s="169" t="s">
        <v>283</v>
      </c>
      <c r="Q762" s="169" t="s">
        <v>306</v>
      </c>
      <c r="R762" s="169" t="s">
        <v>283</v>
      </c>
      <c r="S762" s="169" t="s">
        <v>283</v>
      </c>
      <c r="T762" s="169">
        <v>0</v>
      </c>
    </row>
    <row r="763" spans="1:20" x14ac:dyDescent="0.2">
      <c r="A763" s="169">
        <v>622</v>
      </c>
      <c r="B763" s="167" t="str">
        <f>_xlfn.XLOOKUP(I763,Mapping!D:D,Mapping!E:E)</f>
        <v>Xưởng Sản Xuất</v>
      </c>
      <c r="C763" s="167" t="str">
        <f>_xlfn.XLOOKUP(F763,Mapping!A:A,Mapping!F:F)</f>
        <v>Lương Chính +T13</v>
      </c>
      <c r="D763" s="173">
        <v>45752</v>
      </c>
      <c r="E763" s="169" t="s">
        <v>675</v>
      </c>
      <c r="F763" s="169" t="s">
        <v>400</v>
      </c>
      <c r="G763" s="169" t="s">
        <v>401</v>
      </c>
      <c r="H763" s="169" t="s">
        <v>430</v>
      </c>
      <c r="I763" s="169" t="s">
        <v>431</v>
      </c>
      <c r="J763" s="169" t="s">
        <v>683</v>
      </c>
      <c r="K763" s="169" t="s">
        <v>405</v>
      </c>
      <c r="L763" s="169" t="s">
        <v>631</v>
      </c>
      <c r="M763" s="169" t="s">
        <v>281</v>
      </c>
      <c r="N763" s="178">
        <v>1000000</v>
      </c>
      <c r="O763" s="169" t="s">
        <v>676</v>
      </c>
      <c r="P763" s="169" t="s">
        <v>283</v>
      </c>
      <c r="Q763" s="169" t="s">
        <v>306</v>
      </c>
      <c r="R763" s="169" t="s">
        <v>283</v>
      </c>
      <c r="S763" s="169" t="s">
        <v>283</v>
      </c>
      <c r="T763" s="169">
        <v>0</v>
      </c>
    </row>
    <row r="764" spans="1:20" x14ac:dyDescent="0.2">
      <c r="A764" s="169">
        <v>622</v>
      </c>
      <c r="B764" s="167" t="str">
        <f>_xlfn.XLOOKUP(I764,Mapping!D:D,Mapping!E:E)</f>
        <v>Xưởng Sản Xuất</v>
      </c>
      <c r="C764" s="167" t="str">
        <f>_xlfn.XLOOKUP(F764,Mapping!A:A,Mapping!F:F)</f>
        <v>Lương Chính +T13</v>
      </c>
      <c r="D764" s="173">
        <v>45748</v>
      </c>
      <c r="E764" s="169" t="s">
        <v>677</v>
      </c>
      <c r="F764" s="169" t="s">
        <v>400</v>
      </c>
      <c r="G764" s="169" t="s">
        <v>401</v>
      </c>
      <c r="H764" s="169" t="s">
        <v>430</v>
      </c>
      <c r="I764" s="169" t="s">
        <v>431</v>
      </c>
      <c r="J764" s="169" t="s">
        <v>616</v>
      </c>
      <c r="K764" s="169" t="s">
        <v>405</v>
      </c>
      <c r="L764" s="169" t="s">
        <v>631</v>
      </c>
      <c r="M764" s="169" t="s">
        <v>281</v>
      </c>
      <c r="N764" s="178">
        <v>-72940972</v>
      </c>
      <c r="O764" s="169" t="s">
        <v>678</v>
      </c>
      <c r="P764" s="169" t="s">
        <v>447</v>
      </c>
      <c r="Q764" s="169" t="s">
        <v>633</v>
      </c>
      <c r="R764" s="169" t="s">
        <v>283</v>
      </c>
      <c r="S764" s="169" t="s">
        <v>283</v>
      </c>
      <c r="T764" s="169">
        <v>0</v>
      </c>
    </row>
    <row r="765" spans="1:20" x14ac:dyDescent="0.2">
      <c r="A765" s="169">
        <v>622</v>
      </c>
      <c r="B765" s="167" t="str">
        <f>_xlfn.XLOOKUP(I765,Mapping!D:D,Mapping!E:E)</f>
        <v>Xưởng Sản Xuất</v>
      </c>
      <c r="C765" s="167" t="str">
        <f>_xlfn.XLOOKUP(F765,Mapping!A:A,Mapping!F:F)</f>
        <v>Lương Chính +T13</v>
      </c>
      <c r="D765" s="173">
        <v>45748</v>
      </c>
      <c r="E765" s="169" t="s">
        <v>677</v>
      </c>
      <c r="F765" s="169" t="s">
        <v>400</v>
      </c>
      <c r="G765" s="169" t="s">
        <v>401</v>
      </c>
      <c r="H765" s="169" t="s">
        <v>430</v>
      </c>
      <c r="I765" s="169" t="s">
        <v>431</v>
      </c>
      <c r="J765" s="169" t="s">
        <v>617</v>
      </c>
      <c r="K765" s="169" t="s">
        <v>405</v>
      </c>
      <c r="L765" s="169" t="s">
        <v>631</v>
      </c>
      <c r="M765" s="169" t="s">
        <v>281</v>
      </c>
      <c r="N765" s="178">
        <v>-3000000</v>
      </c>
      <c r="O765" s="169" t="s">
        <v>678</v>
      </c>
      <c r="P765" s="169" t="s">
        <v>447</v>
      </c>
      <c r="Q765" s="169" t="s">
        <v>633</v>
      </c>
      <c r="R765" s="169" t="s">
        <v>283</v>
      </c>
      <c r="S765" s="169" t="s">
        <v>283</v>
      </c>
      <c r="T765" s="169">
        <v>0</v>
      </c>
    </row>
    <row r="766" spans="1:20" x14ac:dyDescent="0.2">
      <c r="A766" s="169">
        <v>627</v>
      </c>
      <c r="B766" s="167" t="str">
        <f>_xlfn.XLOOKUP(I766,Mapping!D:D,Mapping!E:E)</f>
        <v>Xưởng Sản Xuất</v>
      </c>
      <c r="C766" s="167" t="str">
        <f>_xlfn.XLOOKUP(F766,Mapping!A:A,Mapping!F:F)</f>
        <v>Phụ Cấp</v>
      </c>
      <c r="D766" s="173">
        <v>45775</v>
      </c>
      <c r="E766" s="169" t="s">
        <v>642</v>
      </c>
      <c r="F766" s="169" t="s">
        <v>375</v>
      </c>
      <c r="G766" s="169" t="s">
        <v>336</v>
      </c>
      <c r="H766" s="169" t="s">
        <v>430</v>
      </c>
      <c r="I766" s="169" t="s">
        <v>431</v>
      </c>
      <c r="J766" s="169" t="s">
        <v>643</v>
      </c>
      <c r="K766" s="169" t="s">
        <v>338</v>
      </c>
      <c r="L766" s="169" t="s">
        <v>631</v>
      </c>
      <c r="M766" s="169" t="s">
        <v>281</v>
      </c>
      <c r="N766" s="178">
        <v>26150000</v>
      </c>
      <c r="O766" s="169" t="s">
        <v>644</v>
      </c>
      <c r="P766" s="169" t="s">
        <v>283</v>
      </c>
      <c r="Q766" s="169" t="s">
        <v>306</v>
      </c>
      <c r="R766" s="169" t="s">
        <v>283</v>
      </c>
      <c r="S766" s="169" t="s">
        <v>283</v>
      </c>
      <c r="T766" s="169">
        <v>0</v>
      </c>
    </row>
    <row r="767" spans="1:20" x14ac:dyDescent="0.2">
      <c r="A767" s="169">
        <v>627</v>
      </c>
      <c r="B767" s="167" t="str">
        <f>_xlfn.XLOOKUP(I767,Mapping!D:D,Mapping!E:E)</f>
        <v>Xưởng Sản Xuất</v>
      </c>
      <c r="C767" s="167" t="str">
        <f>_xlfn.XLOOKUP(F767,Mapping!A:A,Mapping!F:F)</f>
        <v>BHXH, BHYT, KPCĐ</v>
      </c>
      <c r="D767" s="173">
        <v>45777</v>
      </c>
      <c r="E767" s="169" t="s">
        <v>639</v>
      </c>
      <c r="F767" s="169" t="s">
        <v>393</v>
      </c>
      <c r="G767" s="169" t="s">
        <v>296</v>
      </c>
      <c r="H767" s="169" t="s">
        <v>430</v>
      </c>
      <c r="I767" s="169" t="s">
        <v>431</v>
      </c>
      <c r="J767" s="169" t="s">
        <v>640</v>
      </c>
      <c r="K767" s="169" t="s">
        <v>640</v>
      </c>
      <c r="L767" s="169" t="s">
        <v>631</v>
      </c>
      <c r="M767" s="169" t="s">
        <v>281</v>
      </c>
      <c r="N767" s="178">
        <v>29696245</v>
      </c>
      <c r="O767" s="169" t="s">
        <v>641</v>
      </c>
      <c r="P767" s="169" t="s">
        <v>283</v>
      </c>
      <c r="Q767" s="169" t="s">
        <v>633</v>
      </c>
      <c r="R767" s="169" t="s">
        <v>283</v>
      </c>
      <c r="S767" s="169" t="s">
        <v>283</v>
      </c>
      <c r="T767" s="169">
        <v>0</v>
      </c>
    </row>
    <row r="768" spans="1:20" x14ac:dyDescent="0.2">
      <c r="A768" s="169">
        <v>622</v>
      </c>
      <c r="B768" s="167" t="str">
        <f>_xlfn.XLOOKUP(I768,Mapping!D:D,Mapping!E:E)</f>
        <v>Xưởng Sản Xuất</v>
      </c>
      <c r="C768" s="167" t="str">
        <f>_xlfn.XLOOKUP(F768,Mapping!A:A,Mapping!F:F)</f>
        <v>BHXH, BHYT, KPCĐ</v>
      </c>
      <c r="D768" s="173">
        <v>45777</v>
      </c>
      <c r="E768" s="169" t="s">
        <v>639</v>
      </c>
      <c r="F768" s="169" t="s">
        <v>425</v>
      </c>
      <c r="G768" s="169" t="s">
        <v>296</v>
      </c>
      <c r="H768" s="169" t="s">
        <v>430</v>
      </c>
      <c r="I768" s="169" t="s">
        <v>431</v>
      </c>
      <c r="J768" s="169" t="s">
        <v>640</v>
      </c>
      <c r="K768" s="169" t="s">
        <v>640</v>
      </c>
      <c r="L768" s="169" t="s">
        <v>631</v>
      </c>
      <c r="M768" s="169" t="s">
        <v>281</v>
      </c>
      <c r="N768" s="178">
        <v>38445295</v>
      </c>
      <c r="O768" s="169" t="s">
        <v>641</v>
      </c>
      <c r="P768" s="169" t="s">
        <v>283</v>
      </c>
      <c r="Q768" s="169" t="s">
        <v>633</v>
      </c>
      <c r="R768" s="169" t="s">
        <v>283</v>
      </c>
      <c r="S768" s="169" t="s">
        <v>283</v>
      </c>
      <c r="T768" s="169">
        <v>0</v>
      </c>
    </row>
    <row r="769" spans="1:20" x14ac:dyDescent="0.2">
      <c r="A769" s="169">
        <v>627</v>
      </c>
      <c r="B769" s="167" t="str">
        <f>_xlfn.XLOOKUP(I769,Mapping!D:D,Mapping!E:E)</f>
        <v>Xưởng Sản Xuất</v>
      </c>
      <c r="C769" s="167" t="str">
        <f>_xlfn.XLOOKUP(F769,Mapping!A:A,Mapping!F:F)</f>
        <v>Thưởng</v>
      </c>
      <c r="D769" s="173">
        <v>45777</v>
      </c>
      <c r="E769" s="169" t="s">
        <v>629</v>
      </c>
      <c r="F769" s="169" t="s">
        <v>391</v>
      </c>
      <c r="G769" s="169" t="s">
        <v>291</v>
      </c>
      <c r="H769" s="169" t="s">
        <v>430</v>
      </c>
      <c r="I769" s="169" t="s">
        <v>431</v>
      </c>
      <c r="J769" s="169" t="s">
        <v>283</v>
      </c>
      <c r="K769" s="169" t="s">
        <v>630</v>
      </c>
      <c r="L769" s="169" t="s">
        <v>631</v>
      </c>
      <c r="M769" s="169" t="s">
        <v>281</v>
      </c>
      <c r="N769" s="178">
        <v>2800000</v>
      </c>
      <c r="O769" s="169" t="s">
        <v>632</v>
      </c>
      <c r="P769" s="169" t="s">
        <v>283</v>
      </c>
      <c r="Q769" s="169" t="s">
        <v>633</v>
      </c>
      <c r="R769" s="169" t="s">
        <v>283</v>
      </c>
      <c r="S769" s="169" t="s">
        <v>283</v>
      </c>
      <c r="T769" s="169">
        <v>0</v>
      </c>
    </row>
    <row r="770" spans="1:20" x14ac:dyDescent="0.2">
      <c r="A770" s="169">
        <v>627</v>
      </c>
      <c r="B770" s="167" t="str">
        <f>_xlfn.XLOOKUP(I770,Mapping!D:D,Mapping!E:E)</f>
        <v>Xưởng Sản Xuất</v>
      </c>
      <c r="C770" s="167" t="str">
        <f>_xlfn.XLOOKUP(F770,Mapping!A:A,Mapping!F:F)</f>
        <v>Phụ Cấp</v>
      </c>
      <c r="D770" s="173">
        <v>45777</v>
      </c>
      <c r="E770" s="169" t="s">
        <v>629</v>
      </c>
      <c r="F770" s="169" t="s">
        <v>375</v>
      </c>
      <c r="G770" s="169" t="s">
        <v>336</v>
      </c>
      <c r="H770" s="169" t="s">
        <v>430</v>
      </c>
      <c r="I770" s="169" t="s">
        <v>431</v>
      </c>
      <c r="J770" s="169" t="s">
        <v>283</v>
      </c>
      <c r="K770" s="169" t="s">
        <v>630</v>
      </c>
      <c r="L770" s="169" t="s">
        <v>631</v>
      </c>
      <c r="M770" s="169" t="s">
        <v>281</v>
      </c>
      <c r="N770" s="178">
        <v>1870000</v>
      </c>
      <c r="O770" s="169" t="s">
        <v>632</v>
      </c>
      <c r="P770" s="169" t="s">
        <v>283</v>
      </c>
      <c r="Q770" s="169" t="s">
        <v>633</v>
      </c>
      <c r="R770" s="169" t="s">
        <v>283</v>
      </c>
      <c r="S770" s="169" t="s">
        <v>283</v>
      </c>
      <c r="T770" s="169">
        <v>0</v>
      </c>
    </row>
    <row r="771" spans="1:20" x14ac:dyDescent="0.2">
      <c r="A771" s="169">
        <v>622</v>
      </c>
      <c r="B771" s="167" t="str">
        <f>_xlfn.XLOOKUP(I771,Mapping!D:D,Mapping!E:E)</f>
        <v>Xưởng Sản Xuất</v>
      </c>
      <c r="C771" s="167" t="str">
        <f>_xlfn.XLOOKUP(F771,Mapping!A:A,Mapping!F:F)</f>
        <v>Lương Chính +T13</v>
      </c>
      <c r="D771" s="173">
        <v>45777</v>
      </c>
      <c r="E771" s="169" t="s">
        <v>629</v>
      </c>
      <c r="F771" s="169" t="s">
        <v>400</v>
      </c>
      <c r="G771" s="169" t="s">
        <v>401</v>
      </c>
      <c r="H771" s="169" t="s">
        <v>430</v>
      </c>
      <c r="I771" s="169" t="s">
        <v>431</v>
      </c>
      <c r="J771" s="169" t="s">
        <v>283</v>
      </c>
      <c r="K771" s="169" t="s">
        <v>630</v>
      </c>
      <c r="L771" s="169" t="s">
        <v>631</v>
      </c>
      <c r="M771" s="169" t="s">
        <v>281</v>
      </c>
      <c r="N771" s="178">
        <v>252144897</v>
      </c>
      <c r="O771" s="169" t="s">
        <v>632</v>
      </c>
      <c r="P771" s="169" t="s">
        <v>283</v>
      </c>
      <c r="Q771" s="169" t="s">
        <v>633</v>
      </c>
      <c r="R771" s="169" t="s">
        <v>283</v>
      </c>
      <c r="S771" s="169" t="s">
        <v>283</v>
      </c>
      <c r="T771" s="169">
        <v>0</v>
      </c>
    </row>
    <row r="772" spans="1:20" x14ac:dyDescent="0.2">
      <c r="A772" s="169">
        <v>622</v>
      </c>
      <c r="B772" s="167" t="str">
        <f>_xlfn.XLOOKUP(I772,Mapping!D:D,Mapping!E:E)</f>
        <v>Xưởng Sản Xuất</v>
      </c>
      <c r="C772" s="167" t="str">
        <f>_xlfn.XLOOKUP(F772,Mapping!A:A,Mapping!F:F)</f>
        <v>Lương Chính +T13</v>
      </c>
      <c r="D772" s="173">
        <v>45777</v>
      </c>
      <c r="E772" s="169" t="s">
        <v>629</v>
      </c>
      <c r="F772" s="169" t="s">
        <v>420</v>
      </c>
      <c r="G772" s="169" t="s">
        <v>286</v>
      </c>
      <c r="H772" s="169" t="s">
        <v>430</v>
      </c>
      <c r="I772" s="169" t="s">
        <v>431</v>
      </c>
      <c r="J772" s="169" t="s">
        <v>283</v>
      </c>
      <c r="K772" s="169" t="s">
        <v>630</v>
      </c>
      <c r="L772" s="169" t="s">
        <v>631</v>
      </c>
      <c r="M772" s="169" t="s">
        <v>281</v>
      </c>
      <c r="N772" s="178">
        <v>2649809</v>
      </c>
      <c r="O772" s="169" t="s">
        <v>632</v>
      </c>
      <c r="P772" s="169" t="s">
        <v>283</v>
      </c>
      <c r="Q772" s="169" t="s">
        <v>633</v>
      </c>
      <c r="R772" s="169" t="s">
        <v>283</v>
      </c>
      <c r="S772" s="169" t="s">
        <v>283</v>
      </c>
      <c r="T772" s="169">
        <v>0</v>
      </c>
    </row>
    <row r="773" spans="1:20" x14ac:dyDescent="0.2">
      <c r="A773" s="169">
        <v>622</v>
      </c>
      <c r="B773" s="167" t="str">
        <f>_xlfn.XLOOKUP(I773,Mapping!D:D,Mapping!E:E)</f>
        <v>Xưởng Sản Xuất</v>
      </c>
      <c r="C773" s="167" t="str">
        <f>_xlfn.XLOOKUP(F773,Mapping!A:A,Mapping!F:F)</f>
        <v>Phụ Cấp</v>
      </c>
      <c r="D773" s="173">
        <v>45777</v>
      </c>
      <c r="E773" s="169" t="s">
        <v>629</v>
      </c>
      <c r="F773" s="169" t="s">
        <v>421</v>
      </c>
      <c r="G773" s="169" t="s">
        <v>341</v>
      </c>
      <c r="H773" s="169" t="s">
        <v>430</v>
      </c>
      <c r="I773" s="169" t="s">
        <v>431</v>
      </c>
      <c r="J773" s="169" t="s">
        <v>283</v>
      </c>
      <c r="K773" s="169" t="s">
        <v>630</v>
      </c>
      <c r="L773" s="169" t="s">
        <v>631</v>
      </c>
      <c r="M773" s="169" t="s">
        <v>281</v>
      </c>
      <c r="N773" s="178">
        <v>21945668</v>
      </c>
      <c r="O773" s="169" t="s">
        <v>632</v>
      </c>
      <c r="P773" s="169" t="s">
        <v>283</v>
      </c>
      <c r="Q773" s="169" t="s">
        <v>633</v>
      </c>
      <c r="R773" s="169" t="s">
        <v>283</v>
      </c>
      <c r="S773" s="169" t="s">
        <v>283</v>
      </c>
      <c r="T773" s="169">
        <v>0</v>
      </c>
    </row>
    <row r="774" spans="1:20" x14ac:dyDescent="0.2">
      <c r="A774" s="169">
        <v>622</v>
      </c>
      <c r="B774" s="167" t="str">
        <f>_xlfn.XLOOKUP(I774,Mapping!D:D,Mapping!E:E)</f>
        <v>Xưởng Sản Xuất</v>
      </c>
      <c r="C774" s="167" t="str">
        <f>_xlfn.XLOOKUP(F774,Mapping!A:A,Mapping!F:F)</f>
        <v>Lương Ngoài giờ</v>
      </c>
      <c r="D774" s="173">
        <v>45777</v>
      </c>
      <c r="E774" s="169" t="s">
        <v>629</v>
      </c>
      <c r="F774" s="169" t="s">
        <v>422</v>
      </c>
      <c r="G774" s="169" t="s">
        <v>423</v>
      </c>
      <c r="H774" s="169" t="s">
        <v>430</v>
      </c>
      <c r="I774" s="169" t="s">
        <v>431</v>
      </c>
      <c r="J774" s="169" t="s">
        <v>283</v>
      </c>
      <c r="K774" s="169" t="s">
        <v>630</v>
      </c>
      <c r="L774" s="169" t="s">
        <v>631</v>
      </c>
      <c r="M774" s="169" t="s">
        <v>281</v>
      </c>
      <c r="N774" s="178">
        <v>51514767</v>
      </c>
      <c r="O774" s="169" t="s">
        <v>632</v>
      </c>
      <c r="P774" s="169" t="s">
        <v>283</v>
      </c>
      <c r="Q774" s="169" t="s">
        <v>633</v>
      </c>
      <c r="R774" s="169" t="s">
        <v>283</v>
      </c>
      <c r="S774" s="169" t="s">
        <v>283</v>
      </c>
      <c r="T774" s="169">
        <v>0</v>
      </c>
    </row>
    <row r="775" spans="1:20" x14ac:dyDescent="0.2">
      <c r="A775" s="169">
        <v>622</v>
      </c>
      <c r="B775" s="167" t="str">
        <f>_xlfn.XLOOKUP(I775,Mapping!D:D,Mapping!E:E)</f>
        <v>Xưởng Sản Xuất</v>
      </c>
      <c r="C775" s="167" t="str">
        <f>_xlfn.XLOOKUP(F775,Mapping!A:A,Mapping!F:F)</f>
        <v>Thưởng</v>
      </c>
      <c r="D775" s="173">
        <v>45777</v>
      </c>
      <c r="E775" s="169" t="s">
        <v>629</v>
      </c>
      <c r="F775" s="169" t="s">
        <v>424</v>
      </c>
      <c r="G775" s="169" t="s">
        <v>291</v>
      </c>
      <c r="H775" s="169" t="s">
        <v>430</v>
      </c>
      <c r="I775" s="169" t="s">
        <v>431</v>
      </c>
      <c r="J775" s="169" t="s">
        <v>283</v>
      </c>
      <c r="K775" s="169" t="s">
        <v>630</v>
      </c>
      <c r="L775" s="169" t="s">
        <v>631</v>
      </c>
      <c r="M775" s="169" t="s">
        <v>281</v>
      </c>
      <c r="N775" s="178">
        <v>6200000</v>
      </c>
      <c r="O775" s="169" t="s">
        <v>632</v>
      </c>
      <c r="P775" s="169" t="s">
        <v>283</v>
      </c>
      <c r="Q775" s="169" t="s">
        <v>633</v>
      </c>
      <c r="R775" s="169" t="s">
        <v>283</v>
      </c>
      <c r="S775" s="169" t="s">
        <v>283</v>
      </c>
      <c r="T775" s="169">
        <v>0</v>
      </c>
    </row>
    <row r="776" spans="1:20" x14ac:dyDescent="0.2">
      <c r="A776" s="169">
        <v>622</v>
      </c>
      <c r="B776" s="167" t="str">
        <f>_xlfn.XLOOKUP(I776,Mapping!D:D,Mapping!E:E)</f>
        <v>Xưởng Sản Xuất</v>
      </c>
      <c r="C776" s="167" t="str">
        <f>_xlfn.XLOOKUP(F776,Mapping!A:A,Mapping!F:F)</f>
        <v>Phụ Cấp</v>
      </c>
      <c r="D776" s="173">
        <v>45777</v>
      </c>
      <c r="E776" s="169" t="s">
        <v>629</v>
      </c>
      <c r="F776" s="169" t="s">
        <v>414</v>
      </c>
      <c r="G776" s="169" t="s">
        <v>415</v>
      </c>
      <c r="H776" s="169" t="s">
        <v>430</v>
      </c>
      <c r="I776" s="169" t="s">
        <v>431</v>
      </c>
      <c r="J776" s="169" t="s">
        <v>283</v>
      </c>
      <c r="K776" s="169" t="s">
        <v>630</v>
      </c>
      <c r="L776" s="169" t="s">
        <v>631</v>
      </c>
      <c r="M776" s="169" t="s">
        <v>281</v>
      </c>
      <c r="N776" s="178">
        <v>5780000</v>
      </c>
      <c r="O776" s="169" t="s">
        <v>632</v>
      </c>
      <c r="P776" s="169" t="s">
        <v>283</v>
      </c>
      <c r="Q776" s="169" t="s">
        <v>633</v>
      </c>
      <c r="R776" s="169" t="s">
        <v>283</v>
      </c>
      <c r="S776" s="169" t="s">
        <v>283</v>
      </c>
      <c r="T776" s="169">
        <v>0</v>
      </c>
    </row>
    <row r="777" spans="1:20" x14ac:dyDescent="0.2">
      <c r="A777" s="169">
        <v>627</v>
      </c>
      <c r="B777" s="167" t="str">
        <f>_xlfn.XLOOKUP(I777,Mapping!D:D,Mapping!E:E)</f>
        <v>Xưởng Sản Xuất</v>
      </c>
      <c r="C777" s="167" t="str">
        <f>_xlfn.XLOOKUP(F777,Mapping!A:A,Mapping!F:F)</f>
        <v>Phụ Cấp</v>
      </c>
      <c r="D777" s="173">
        <v>45777</v>
      </c>
      <c r="E777" s="169" t="s">
        <v>629</v>
      </c>
      <c r="F777" s="169" t="s">
        <v>386</v>
      </c>
      <c r="G777" s="169" t="s">
        <v>341</v>
      </c>
      <c r="H777" s="169" t="s">
        <v>430</v>
      </c>
      <c r="I777" s="169" t="s">
        <v>431</v>
      </c>
      <c r="J777" s="169" t="s">
        <v>283</v>
      </c>
      <c r="K777" s="169" t="s">
        <v>630</v>
      </c>
      <c r="L777" s="169" t="s">
        <v>631</v>
      </c>
      <c r="M777" s="169" t="s">
        <v>281</v>
      </c>
      <c r="N777" s="178">
        <v>10531460</v>
      </c>
      <c r="O777" s="169" t="s">
        <v>632</v>
      </c>
      <c r="P777" s="169" t="s">
        <v>283</v>
      </c>
      <c r="Q777" s="169" t="s">
        <v>633</v>
      </c>
      <c r="R777" s="169" t="s">
        <v>283</v>
      </c>
      <c r="S777" s="169" t="s">
        <v>283</v>
      </c>
      <c r="T777" s="169">
        <v>0</v>
      </c>
    </row>
    <row r="778" spans="1:20" x14ac:dyDescent="0.2">
      <c r="A778" s="169">
        <v>627</v>
      </c>
      <c r="B778" s="167" t="str">
        <f>_xlfn.XLOOKUP(I778,Mapping!D:D,Mapping!E:E)</f>
        <v>Xưởng Sản Xuất</v>
      </c>
      <c r="C778" s="167" t="str">
        <f>_xlfn.XLOOKUP(F778,Mapping!A:A,Mapping!F:F)</f>
        <v>Lương Chính +T13</v>
      </c>
      <c r="D778" s="173">
        <v>45777</v>
      </c>
      <c r="E778" s="169" t="s">
        <v>629</v>
      </c>
      <c r="F778" s="169" t="s">
        <v>387</v>
      </c>
      <c r="G778" s="169" t="s">
        <v>275</v>
      </c>
      <c r="H778" s="169" t="s">
        <v>430</v>
      </c>
      <c r="I778" s="169" t="s">
        <v>431</v>
      </c>
      <c r="J778" s="169" t="s">
        <v>283</v>
      </c>
      <c r="K778" s="169" t="s">
        <v>630</v>
      </c>
      <c r="L778" s="169" t="s">
        <v>631</v>
      </c>
      <c r="M778" s="169" t="s">
        <v>281</v>
      </c>
      <c r="N778" s="178">
        <v>180121046</v>
      </c>
      <c r="O778" s="169" t="s">
        <v>632</v>
      </c>
      <c r="P778" s="169" t="s">
        <v>283</v>
      </c>
      <c r="Q778" s="169" t="s">
        <v>633</v>
      </c>
      <c r="R778" s="169" t="s">
        <v>283</v>
      </c>
      <c r="S778" s="169" t="s">
        <v>283</v>
      </c>
      <c r="T778" s="169">
        <v>0</v>
      </c>
    </row>
    <row r="779" spans="1:20" x14ac:dyDescent="0.2">
      <c r="A779" s="169">
        <v>627</v>
      </c>
      <c r="B779" s="167" t="str">
        <f>_xlfn.XLOOKUP(I779,Mapping!D:D,Mapping!E:E)</f>
        <v>Xưởng Sản Xuất</v>
      </c>
      <c r="C779" s="167" t="str">
        <f>_xlfn.XLOOKUP(F779,Mapping!A:A,Mapping!F:F)</f>
        <v>Lương Chính +T13</v>
      </c>
      <c r="D779" s="173">
        <v>45777</v>
      </c>
      <c r="E779" s="169" t="s">
        <v>629</v>
      </c>
      <c r="F779" s="169" t="s">
        <v>388</v>
      </c>
      <c r="G779" s="169" t="s">
        <v>286</v>
      </c>
      <c r="H779" s="169" t="s">
        <v>430</v>
      </c>
      <c r="I779" s="169" t="s">
        <v>431</v>
      </c>
      <c r="J779" s="169" t="s">
        <v>283</v>
      </c>
      <c r="K779" s="169" t="s">
        <v>630</v>
      </c>
      <c r="L779" s="169" t="s">
        <v>631</v>
      </c>
      <c r="M779" s="169" t="s">
        <v>281</v>
      </c>
      <c r="N779" s="178">
        <v>4321693</v>
      </c>
      <c r="O779" s="169" t="s">
        <v>632</v>
      </c>
      <c r="P779" s="169" t="s">
        <v>283</v>
      </c>
      <c r="Q779" s="169" t="s">
        <v>633</v>
      </c>
      <c r="R779" s="169" t="s">
        <v>283</v>
      </c>
      <c r="S779" s="169" t="s">
        <v>283</v>
      </c>
      <c r="T779" s="169">
        <v>0</v>
      </c>
    </row>
    <row r="780" spans="1:20" x14ac:dyDescent="0.2">
      <c r="A780" s="169">
        <v>627</v>
      </c>
      <c r="B780" s="167" t="str">
        <f>_xlfn.XLOOKUP(I780,Mapping!D:D,Mapping!E:E)</f>
        <v>Xưởng Sản Xuất</v>
      </c>
      <c r="C780" s="167" t="str">
        <f>_xlfn.XLOOKUP(F780,Mapping!A:A,Mapping!F:F)</f>
        <v>Lương Ngoài giờ</v>
      </c>
      <c r="D780" s="173">
        <v>45777</v>
      </c>
      <c r="E780" s="169" t="s">
        <v>629</v>
      </c>
      <c r="F780" s="169" t="s">
        <v>389</v>
      </c>
      <c r="G780" s="169" t="s">
        <v>390</v>
      </c>
      <c r="H780" s="169" t="s">
        <v>430</v>
      </c>
      <c r="I780" s="169" t="s">
        <v>431</v>
      </c>
      <c r="J780" s="169" t="s">
        <v>283</v>
      </c>
      <c r="K780" s="169" t="s">
        <v>630</v>
      </c>
      <c r="L780" s="169" t="s">
        <v>631</v>
      </c>
      <c r="M780" s="169" t="s">
        <v>281</v>
      </c>
      <c r="N780" s="178">
        <v>23604421</v>
      </c>
      <c r="O780" s="169" t="s">
        <v>632</v>
      </c>
      <c r="P780" s="169" t="s">
        <v>283</v>
      </c>
      <c r="Q780" s="169" t="s">
        <v>633</v>
      </c>
      <c r="R780" s="169" t="s">
        <v>283</v>
      </c>
      <c r="S780" s="169" t="s">
        <v>283</v>
      </c>
      <c r="T780" s="169">
        <v>0</v>
      </c>
    </row>
    <row r="781" spans="1:20" x14ac:dyDescent="0.2">
      <c r="A781" s="169">
        <v>627</v>
      </c>
      <c r="B781" s="167" t="str">
        <f>_xlfn.XLOOKUP(I781,Mapping!D:D,Mapping!E:E)</f>
        <v>Xưởng Sản Xuất</v>
      </c>
      <c r="C781" s="167" t="str">
        <f>_xlfn.XLOOKUP(F781,Mapping!A:A,Mapping!F:F)</f>
        <v>Lương Chính +T13</v>
      </c>
      <c r="D781" s="173">
        <v>45777</v>
      </c>
      <c r="E781" s="169" t="s">
        <v>634</v>
      </c>
      <c r="F781" s="169" t="s">
        <v>388</v>
      </c>
      <c r="G781" s="169" t="s">
        <v>286</v>
      </c>
      <c r="H781" s="169" t="s">
        <v>430</v>
      </c>
      <c r="I781" s="169" t="s">
        <v>431</v>
      </c>
      <c r="J781" s="169" t="s">
        <v>635</v>
      </c>
      <c r="K781" s="169" t="s">
        <v>636</v>
      </c>
      <c r="L781" s="169" t="s">
        <v>631</v>
      </c>
      <c r="M781" s="169" t="s">
        <v>281</v>
      </c>
      <c r="N781" s="178">
        <v>13365447</v>
      </c>
      <c r="O781" s="169" t="s">
        <v>637</v>
      </c>
      <c r="P781" s="169" t="s">
        <v>283</v>
      </c>
      <c r="Q781" s="169" t="s">
        <v>633</v>
      </c>
      <c r="R781" s="169" t="s">
        <v>283</v>
      </c>
      <c r="S781" s="169" t="s">
        <v>283</v>
      </c>
      <c r="T781" s="169">
        <v>0</v>
      </c>
    </row>
    <row r="782" spans="1:20" x14ac:dyDescent="0.2">
      <c r="A782" s="169">
        <v>622</v>
      </c>
      <c r="B782" s="167" t="str">
        <f>_xlfn.XLOOKUP(I782,Mapping!D:D,Mapping!E:E)</f>
        <v>Xưởng Sản Xuất</v>
      </c>
      <c r="C782" s="167" t="str">
        <f>_xlfn.XLOOKUP(F782,Mapping!A:A,Mapping!F:F)</f>
        <v>Lương Chính +T13</v>
      </c>
      <c r="D782" s="173">
        <v>45777</v>
      </c>
      <c r="E782" s="169" t="s">
        <v>634</v>
      </c>
      <c r="F782" s="169" t="s">
        <v>420</v>
      </c>
      <c r="G782" s="169" t="s">
        <v>286</v>
      </c>
      <c r="H782" s="169" t="s">
        <v>430</v>
      </c>
      <c r="I782" s="169" t="s">
        <v>431</v>
      </c>
      <c r="J782" s="169" t="s">
        <v>635</v>
      </c>
      <c r="K782" s="169" t="s">
        <v>636</v>
      </c>
      <c r="L782" s="169" t="s">
        <v>631</v>
      </c>
      <c r="M782" s="169" t="s">
        <v>281</v>
      </c>
      <c r="N782" s="178">
        <v>17842925</v>
      </c>
      <c r="O782" s="169" t="s">
        <v>637</v>
      </c>
      <c r="P782" s="169" t="s">
        <v>283</v>
      </c>
      <c r="Q782" s="169" t="s">
        <v>633</v>
      </c>
      <c r="R782" s="169" t="s">
        <v>283</v>
      </c>
      <c r="S782" s="169" t="s">
        <v>283</v>
      </c>
      <c r="T782" s="169">
        <v>0</v>
      </c>
    </row>
    <row r="783" spans="1:20" x14ac:dyDescent="0.2">
      <c r="A783" s="169">
        <v>627</v>
      </c>
      <c r="B783" s="167" t="str">
        <f>_xlfn.XLOOKUP(I783,Mapping!D:D,Mapping!E:E)</f>
        <v>Xưởng Sản Xuất</v>
      </c>
      <c r="C783" s="167" t="str">
        <f>_xlfn.XLOOKUP(F783,Mapping!A:A,Mapping!F:F)</f>
        <v>Thưởng</v>
      </c>
      <c r="D783" s="173">
        <v>45777</v>
      </c>
      <c r="E783" s="169" t="s">
        <v>634</v>
      </c>
      <c r="F783" s="169" t="s">
        <v>395</v>
      </c>
      <c r="G783" s="169" t="s">
        <v>77</v>
      </c>
      <c r="H783" s="169" t="s">
        <v>430</v>
      </c>
      <c r="I783" s="169" t="s">
        <v>431</v>
      </c>
      <c r="J783" s="169" t="s">
        <v>638</v>
      </c>
      <c r="K783" s="169" t="s">
        <v>636</v>
      </c>
      <c r="L783" s="169" t="s">
        <v>631</v>
      </c>
      <c r="M783" s="169" t="s">
        <v>281</v>
      </c>
      <c r="N783" s="178">
        <v>11868817</v>
      </c>
      <c r="O783" s="169" t="s">
        <v>637</v>
      </c>
      <c r="P783" s="169" t="s">
        <v>283</v>
      </c>
      <c r="Q783" s="169" t="s">
        <v>633</v>
      </c>
      <c r="R783" s="169" t="s">
        <v>283</v>
      </c>
      <c r="S783" s="169" t="s">
        <v>283</v>
      </c>
      <c r="T783" s="169">
        <v>0</v>
      </c>
    </row>
    <row r="784" spans="1:20" x14ac:dyDescent="0.2">
      <c r="A784" s="169">
        <v>622</v>
      </c>
      <c r="B784" s="167" t="str">
        <f>_xlfn.XLOOKUP(I784,Mapping!D:D,Mapping!E:E)</f>
        <v>Xưởng Sản Xuất</v>
      </c>
      <c r="C784" s="167" t="str">
        <f>_xlfn.XLOOKUP(F784,Mapping!A:A,Mapping!F:F)</f>
        <v>Thưởng</v>
      </c>
      <c r="D784" s="173">
        <v>45777</v>
      </c>
      <c r="E784" s="169" t="s">
        <v>634</v>
      </c>
      <c r="F784" s="169" t="s">
        <v>426</v>
      </c>
      <c r="G784" s="169" t="s">
        <v>77</v>
      </c>
      <c r="H784" s="169" t="s">
        <v>430</v>
      </c>
      <c r="I784" s="169" t="s">
        <v>431</v>
      </c>
      <c r="J784" s="169" t="s">
        <v>638</v>
      </c>
      <c r="K784" s="169" t="s">
        <v>636</v>
      </c>
      <c r="L784" s="169" t="s">
        <v>631</v>
      </c>
      <c r="M784" s="169" t="s">
        <v>281</v>
      </c>
      <c r="N784" s="178">
        <v>4997025</v>
      </c>
      <c r="O784" s="169" t="s">
        <v>637</v>
      </c>
      <c r="P784" s="169" t="s">
        <v>283</v>
      </c>
      <c r="Q784" s="169" t="s">
        <v>633</v>
      </c>
      <c r="R784" s="169" t="s">
        <v>283</v>
      </c>
      <c r="S784" s="169" t="s">
        <v>283</v>
      </c>
      <c r="T784" s="169">
        <v>0</v>
      </c>
    </row>
    <row r="785" spans="1:20" x14ac:dyDescent="0.2">
      <c r="A785" s="169">
        <v>622</v>
      </c>
      <c r="B785" s="167" t="str">
        <f>_xlfn.XLOOKUP(I785,Mapping!D:D,Mapping!E:E)</f>
        <v>Xưởng Sản Xuất</v>
      </c>
      <c r="C785" s="167" t="str">
        <f>_xlfn.XLOOKUP(F785,Mapping!A:A,Mapping!F:F)</f>
        <v>BHXH, BHYT, KPCĐ</v>
      </c>
      <c r="D785" s="173">
        <v>45777</v>
      </c>
      <c r="E785" s="169" t="s">
        <v>679</v>
      </c>
      <c r="F785" s="169" t="s">
        <v>425</v>
      </c>
      <c r="G785" s="169" t="s">
        <v>296</v>
      </c>
      <c r="H785" s="169" t="s">
        <v>430</v>
      </c>
      <c r="I785" s="169" t="s">
        <v>431</v>
      </c>
      <c r="J785" s="169" t="s">
        <v>640</v>
      </c>
      <c r="K785" s="169" t="s">
        <v>640</v>
      </c>
      <c r="L785" s="169" t="s">
        <v>631</v>
      </c>
      <c r="M785" s="169" t="s">
        <v>281</v>
      </c>
      <c r="N785" s="178">
        <v>1809608</v>
      </c>
      <c r="O785" s="169" t="s">
        <v>680</v>
      </c>
      <c r="P785" s="169" t="s">
        <v>283</v>
      </c>
      <c r="Q785" s="169" t="s">
        <v>633</v>
      </c>
      <c r="R785" s="169" t="s">
        <v>283</v>
      </c>
      <c r="S785" s="169" t="s">
        <v>283</v>
      </c>
      <c r="T785" s="169">
        <v>0</v>
      </c>
    </row>
    <row r="786" spans="1:20" x14ac:dyDescent="0.2">
      <c r="A786" s="169">
        <v>622</v>
      </c>
      <c r="B786" s="167" t="str">
        <f>_xlfn.XLOOKUP(I786,Mapping!D:D,Mapping!E:E)</f>
        <v>Xưởng Sản Xuất</v>
      </c>
      <c r="C786" s="167" t="str">
        <f>_xlfn.XLOOKUP(F786,Mapping!A:A,Mapping!F:F)</f>
        <v>Phụ Cấp</v>
      </c>
      <c r="D786" s="173">
        <v>45777</v>
      </c>
      <c r="E786" s="169" t="s">
        <v>681</v>
      </c>
      <c r="F786" s="169" t="s">
        <v>414</v>
      </c>
      <c r="G786" s="169" t="s">
        <v>415</v>
      </c>
      <c r="H786" s="169" t="s">
        <v>430</v>
      </c>
      <c r="I786" s="169" t="s">
        <v>431</v>
      </c>
      <c r="J786" s="169" t="s">
        <v>416</v>
      </c>
      <c r="K786" s="169" t="s">
        <v>416</v>
      </c>
      <c r="L786" s="169" t="s">
        <v>631</v>
      </c>
      <c r="M786" s="169" t="s">
        <v>281</v>
      </c>
      <c r="N786" s="178">
        <v>19300000</v>
      </c>
      <c r="O786" s="169" t="s">
        <v>682</v>
      </c>
      <c r="P786" s="169" t="s">
        <v>283</v>
      </c>
      <c r="Q786" s="169" t="s">
        <v>348</v>
      </c>
      <c r="R786" s="169" t="s">
        <v>283</v>
      </c>
      <c r="S786" s="169" t="s">
        <v>283</v>
      </c>
      <c r="T786" s="169">
        <v>0</v>
      </c>
    </row>
    <row r="787" spans="1:20" x14ac:dyDescent="0.2">
      <c r="A787" s="169">
        <v>627</v>
      </c>
      <c r="B787" s="167" t="str">
        <f>_xlfn.XLOOKUP(I787,Mapping!D:D,Mapping!E:E)</f>
        <v>Xưởng Sản Xuất</v>
      </c>
      <c r="C787" s="167" t="str">
        <f>_xlfn.XLOOKUP(F787,Mapping!A:A,Mapping!F:F)</f>
        <v>Phụ Cấp</v>
      </c>
      <c r="D787" s="173">
        <v>45777</v>
      </c>
      <c r="E787" s="169" t="s">
        <v>681</v>
      </c>
      <c r="F787" s="169" t="s">
        <v>375</v>
      </c>
      <c r="G787" s="169" t="s">
        <v>336</v>
      </c>
      <c r="H787" s="169" t="s">
        <v>430</v>
      </c>
      <c r="I787" s="169" t="s">
        <v>431</v>
      </c>
      <c r="J787" s="169" t="s">
        <v>416</v>
      </c>
      <c r="K787" s="169" t="s">
        <v>416</v>
      </c>
      <c r="L787" s="169" t="s">
        <v>631</v>
      </c>
      <c r="M787" s="169" t="s">
        <v>281</v>
      </c>
      <c r="N787" s="178">
        <v>-19300000</v>
      </c>
      <c r="O787" s="169" t="s">
        <v>682</v>
      </c>
      <c r="P787" s="169" t="s">
        <v>283</v>
      </c>
      <c r="Q787" s="169" t="s">
        <v>348</v>
      </c>
      <c r="R787" s="169" t="s">
        <v>283</v>
      </c>
      <c r="S787" s="169" t="s">
        <v>283</v>
      </c>
      <c r="T787" s="169">
        <v>0</v>
      </c>
    </row>
    <row r="788" spans="1:20" x14ac:dyDescent="0.2">
      <c r="A788" s="169">
        <v>627</v>
      </c>
      <c r="B788" s="167" t="str">
        <f>_xlfn.XLOOKUP(I788,Mapping!D:D,Mapping!E:E)</f>
        <v>Xưởng Sản Xuất</v>
      </c>
      <c r="C788" s="167" t="str">
        <f>_xlfn.XLOOKUP(F788,Mapping!A:A,Mapping!F:F)</f>
        <v>Phụ Cấp</v>
      </c>
      <c r="D788" s="173">
        <v>45777</v>
      </c>
      <c r="E788" s="169" t="s">
        <v>681</v>
      </c>
      <c r="F788" s="169" t="s">
        <v>375</v>
      </c>
      <c r="G788" s="169" t="s">
        <v>336</v>
      </c>
      <c r="H788" s="169" t="s">
        <v>430</v>
      </c>
      <c r="I788" s="169" t="s">
        <v>431</v>
      </c>
      <c r="J788" s="169" t="s">
        <v>416</v>
      </c>
      <c r="K788" s="169" t="s">
        <v>416</v>
      </c>
      <c r="L788" s="169" t="s">
        <v>631</v>
      </c>
      <c r="M788" s="169" t="s">
        <v>281</v>
      </c>
      <c r="N788" s="178">
        <v>-475000</v>
      </c>
      <c r="O788" s="169" t="s">
        <v>682</v>
      </c>
      <c r="P788" s="169" t="s">
        <v>283</v>
      </c>
      <c r="Q788" s="169" t="s">
        <v>348</v>
      </c>
      <c r="R788" s="169" t="s">
        <v>283</v>
      </c>
      <c r="S788" s="169" t="s">
        <v>283</v>
      </c>
      <c r="T788" s="169">
        <v>0</v>
      </c>
    </row>
    <row r="789" spans="1:20" x14ac:dyDescent="0.2">
      <c r="A789" s="169">
        <v>627</v>
      </c>
      <c r="B789" s="167" t="str">
        <f>_xlfn.XLOOKUP(I789,Mapping!D:D,Mapping!E:E)</f>
        <v>Xưởng Sản Xuất</v>
      </c>
      <c r="C789" s="167" t="str">
        <f>_xlfn.XLOOKUP(F789,Mapping!A:A,Mapping!F:F)</f>
        <v>Khen thưởng BD khác</v>
      </c>
      <c r="D789" s="173">
        <v>45750</v>
      </c>
      <c r="E789" s="169" t="s">
        <v>684</v>
      </c>
      <c r="F789" s="169" t="s">
        <v>435</v>
      </c>
      <c r="G789" s="169" t="s">
        <v>222</v>
      </c>
      <c r="H789" s="169" t="s">
        <v>436</v>
      </c>
      <c r="I789" s="169" t="s">
        <v>437</v>
      </c>
      <c r="J789" s="169" t="s">
        <v>685</v>
      </c>
      <c r="K789" s="169" t="s">
        <v>686</v>
      </c>
      <c r="L789" s="169" t="s">
        <v>631</v>
      </c>
      <c r="M789" s="169" t="s">
        <v>281</v>
      </c>
      <c r="N789" s="178">
        <v>12500000</v>
      </c>
      <c r="O789" s="169" t="s">
        <v>687</v>
      </c>
      <c r="P789" s="169" t="s">
        <v>283</v>
      </c>
      <c r="Q789" s="169" t="s">
        <v>325</v>
      </c>
      <c r="R789" s="169" t="s">
        <v>283</v>
      </c>
      <c r="S789" s="169" t="s">
        <v>283</v>
      </c>
      <c r="T789" s="169">
        <v>0</v>
      </c>
    </row>
    <row r="790" spans="1:20" x14ac:dyDescent="0.2">
      <c r="A790" s="169">
        <v>627</v>
      </c>
      <c r="B790" s="167" t="str">
        <f>_xlfn.XLOOKUP(I790,Mapping!D:D,Mapping!E:E)</f>
        <v>Xưởng Sản Xuất</v>
      </c>
      <c r="C790" s="167" t="str">
        <f>_xlfn.XLOOKUP(F790,Mapping!A:A,Mapping!F:F)</f>
        <v>Phụ Cấp</v>
      </c>
      <c r="D790" s="173">
        <v>45775</v>
      </c>
      <c r="E790" s="169" t="s">
        <v>642</v>
      </c>
      <c r="F790" s="169" t="s">
        <v>375</v>
      </c>
      <c r="G790" s="169" t="s">
        <v>336</v>
      </c>
      <c r="H790" s="169" t="s">
        <v>441</v>
      </c>
      <c r="I790" s="169" t="s">
        <v>442</v>
      </c>
      <c r="J790" s="169" t="s">
        <v>643</v>
      </c>
      <c r="K790" s="169" t="s">
        <v>338</v>
      </c>
      <c r="L790" s="169" t="s">
        <v>631</v>
      </c>
      <c r="M790" s="169" t="s">
        <v>281</v>
      </c>
      <c r="N790" s="178">
        <v>500000</v>
      </c>
      <c r="O790" s="169" t="s">
        <v>644</v>
      </c>
      <c r="P790" s="169" t="s">
        <v>283</v>
      </c>
      <c r="Q790" s="169" t="s">
        <v>306</v>
      </c>
      <c r="R790" s="169" t="s">
        <v>283</v>
      </c>
      <c r="S790" s="169" t="s">
        <v>283</v>
      </c>
      <c r="T790" s="169">
        <v>0</v>
      </c>
    </row>
    <row r="791" spans="1:20" x14ac:dyDescent="0.2">
      <c r="A791" s="169">
        <v>627</v>
      </c>
      <c r="B791" s="167" t="str">
        <f>_xlfn.XLOOKUP(I791,Mapping!D:D,Mapping!E:E)</f>
        <v>Xưởng Sản Xuất</v>
      </c>
      <c r="C791" s="167" t="str">
        <f>_xlfn.XLOOKUP(F791,Mapping!A:A,Mapping!F:F)</f>
        <v>Phụ Cấp</v>
      </c>
      <c r="D791" s="173">
        <v>45775</v>
      </c>
      <c r="E791" s="169" t="s">
        <v>642</v>
      </c>
      <c r="F791" s="169" t="s">
        <v>375</v>
      </c>
      <c r="G791" s="169" t="s">
        <v>336</v>
      </c>
      <c r="H791" s="169" t="s">
        <v>436</v>
      </c>
      <c r="I791" s="169" t="s">
        <v>437</v>
      </c>
      <c r="J791" s="169" t="s">
        <v>643</v>
      </c>
      <c r="K791" s="169" t="s">
        <v>338</v>
      </c>
      <c r="L791" s="169" t="s">
        <v>631</v>
      </c>
      <c r="M791" s="169" t="s">
        <v>281</v>
      </c>
      <c r="N791" s="178">
        <v>29500000</v>
      </c>
      <c r="O791" s="169" t="s">
        <v>644</v>
      </c>
      <c r="P791" s="169" t="s">
        <v>283</v>
      </c>
      <c r="Q791" s="169" t="s">
        <v>306</v>
      </c>
      <c r="R791" s="169" t="s">
        <v>283</v>
      </c>
      <c r="S791" s="169" t="s">
        <v>283</v>
      </c>
      <c r="T791" s="169">
        <v>0</v>
      </c>
    </row>
    <row r="792" spans="1:20" x14ac:dyDescent="0.2">
      <c r="A792" s="169">
        <v>627</v>
      </c>
      <c r="B792" s="167" t="str">
        <f>_xlfn.XLOOKUP(I792,Mapping!D:D,Mapping!E:E)</f>
        <v>Xưởng Sản Xuất</v>
      </c>
      <c r="C792" s="167" t="str">
        <f>_xlfn.XLOOKUP(F792,Mapping!A:A,Mapping!F:F)</f>
        <v>BHXH, BHYT, KPCĐ</v>
      </c>
      <c r="D792" s="173">
        <v>45777</v>
      </c>
      <c r="E792" s="169" t="s">
        <v>639</v>
      </c>
      <c r="F792" s="169" t="s">
        <v>393</v>
      </c>
      <c r="G792" s="169" t="s">
        <v>296</v>
      </c>
      <c r="H792" s="169" t="s">
        <v>436</v>
      </c>
      <c r="I792" s="169" t="s">
        <v>437</v>
      </c>
      <c r="J792" s="169" t="s">
        <v>640</v>
      </c>
      <c r="K792" s="169" t="s">
        <v>640</v>
      </c>
      <c r="L792" s="169" t="s">
        <v>631</v>
      </c>
      <c r="M792" s="169" t="s">
        <v>281</v>
      </c>
      <c r="N792" s="178">
        <v>63390780</v>
      </c>
      <c r="O792" s="169" t="s">
        <v>641</v>
      </c>
      <c r="P792" s="169" t="s">
        <v>283</v>
      </c>
      <c r="Q792" s="169" t="s">
        <v>633</v>
      </c>
      <c r="R792" s="169" t="s">
        <v>283</v>
      </c>
      <c r="S792" s="169" t="s">
        <v>283</v>
      </c>
      <c r="T792" s="169">
        <v>0</v>
      </c>
    </row>
    <row r="793" spans="1:20" x14ac:dyDescent="0.2">
      <c r="A793" s="169">
        <v>622</v>
      </c>
      <c r="B793" s="167" t="str">
        <f>_xlfn.XLOOKUP(I793,Mapping!D:D,Mapping!E:E)</f>
        <v>Xưởng Sản Xuất</v>
      </c>
      <c r="C793" s="167" t="str">
        <f>_xlfn.XLOOKUP(F793,Mapping!A:A,Mapping!F:F)</f>
        <v>BHXH, BHYT, KPCĐ</v>
      </c>
      <c r="D793" s="173">
        <v>45777</v>
      </c>
      <c r="E793" s="169" t="s">
        <v>639</v>
      </c>
      <c r="F793" s="169" t="s">
        <v>425</v>
      </c>
      <c r="G793" s="169" t="s">
        <v>296</v>
      </c>
      <c r="H793" s="169" t="s">
        <v>441</v>
      </c>
      <c r="I793" s="169" t="s">
        <v>442</v>
      </c>
      <c r="J793" s="169" t="s">
        <v>640</v>
      </c>
      <c r="K793" s="169" t="s">
        <v>640</v>
      </c>
      <c r="L793" s="169" t="s">
        <v>631</v>
      </c>
      <c r="M793" s="169" t="s">
        <v>281</v>
      </c>
      <c r="N793" s="178">
        <v>2604740</v>
      </c>
      <c r="O793" s="169" t="s">
        <v>641</v>
      </c>
      <c r="P793" s="169" t="s">
        <v>283</v>
      </c>
      <c r="Q793" s="169" t="s">
        <v>633</v>
      </c>
      <c r="R793" s="169" t="s">
        <v>283</v>
      </c>
      <c r="S793" s="169" t="s">
        <v>283</v>
      </c>
      <c r="T793" s="169">
        <v>0</v>
      </c>
    </row>
    <row r="794" spans="1:20" x14ac:dyDescent="0.2">
      <c r="A794" s="169">
        <v>627</v>
      </c>
      <c r="B794" s="167" t="str">
        <f>_xlfn.XLOOKUP(I794,Mapping!D:D,Mapping!E:E)</f>
        <v>Xưởng Sản Xuất</v>
      </c>
      <c r="C794" s="167" t="str">
        <f>_xlfn.XLOOKUP(F794,Mapping!A:A,Mapping!F:F)</f>
        <v>Phụ Cấp</v>
      </c>
      <c r="D794" s="173">
        <v>45777</v>
      </c>
      <c r="E794" s="169" t="s">
        <v>629</v>
      </c>
      <c r="F794" s="169" t="s">
        <v>386</v>
      </c>
      <c r="G794" s="169" t="s">
        <v>341</v>
      </c>
      <c r="H794" s="169" t="s">
        <v>436</v>
      </c>
      <c r="I794" s="169" t="s">
        <v>437</v>
      </c>
      <c r="J794" s="169" t="s">
        <v>283</v>
      </c>
      <c r="K794" s="169" t="s">
        <v>630</v>
      </c>
      <c r="L794" s="169" t="s">
        <v>631</v>
      </c>
      <c r="M794" s="169" t="s">
        <v>281</v>
      </c>
      <c r="N794" s="178">
        <v>11652958</v>
      </c>
      <c r="O794" s="169" t="s">
        <v>632</v>
      </c>
      <c r="P794" s="169" t="s">
        <v>283</v>
      </c>
      <c r="Q794" s="169" t="s">
        <v>633</v>
      </c>
      <c r="R794" s="169" t="s">
        <v>283</v>
      </c>
      <c r="S794" s="169" t="s">
        <v>283</v>
      </c>
      <c r="T794" s="169">
        <v>0</v>
      </c>
    </row>
    <row r="795" spans="1:20" x14ac:dyDescent="0.2">
      <c r="A795" s="169">
        <v>627</v>
      </c>
      <c r="B795" s="167" t="str">
        <f>_xlfn.XLOOKUP(I795,Mapping!D:D,Mapping!E:E)</f>
        <v>Xưởng Sản Xuất</v>
      </c>
      <c r="C795" s="167" t="str">
        <f>_xlfn.XLOOKUP(F795,Mapping!A:A,Mapping!F:F)</f>
        <v>Lương Chính +T13</v>
      </c>
      <c r="D795" s="173">
        <v>45777</v>
      </c>
      <c r="E795" s="169" t="s">
        <v>629</v>
      </c>
      <c r="F795" s="169" t="s">
        <v>387</v>
      </c>
      <c r="G795" s="169" t="s">
        <v>275</v>
      </c>
      <c r="H795" s="169" t="s">
        <v>436</v>
      </c>
      <c r="I795" s="169" t="s">
        <v>437</v>
      </c>
      <c r="J795" s="169" t="s">
        <v>283</v>
      </c>
      <c r="K795" s="169" t="s">
        <v>630</v>
      </c>
      <c r="L795" s="169" t="s">
        <v>631</v>
      </c>
      <c r="M795" s="169" t="s">
        <v>281</v>
      </c>
      <c r="N795" s="178">
        <v>443532361</v>
      </c>
      <c r="O795" s="169" t="s">
        <v>632</v>
      </c>
      <c r="P795" s="169" t="s">
        <v>283</v>
      </c>
      <c r="Q795" s="169" t="s">
        <v>633</v>
      </c>
      <c r="R795" s="169" t="s">
        <v>283</v>
      </c>
      <c r="S795" s="169" t="s">
        <v>283</v>
      </c>
      <c r="T795" s="169">
        <v>0</v>
      </c>
    </row>
    <row r="796" spans="1:20" x14ac:dyDescent="0.2">
      <c r="A796" s="169">
        <v>627</v>
      </c>
      <c r="B796" s="167" t="str">
        <f>_xlfn.XLOOKUP(I796,Mapping!D:D,Mapping!E:E)</f>
        <v>Xưởng Sản Xuất</v>
      </c>
      <c r="C796" s="167" t="str">
        <f>_xlfn.XLOOKUP(F796,Mapping!A:A,Mapping!F:F)</f>
        <v>Lương Chính +T13</v>
      </c>
      <c r="D796" s="173">
        <v>45777</v>
      </c>
      <c r="E796" s="169" t="s">
        <v>629</v>
      </c>
      <c r="F796" s="169" t="s">
        <v>388</v>
      </c>
      <c r="G796" s="169" t="s">
        <v>286</v>
      </c>
      <c r="H796" s="169" t="s">
        <v>436</v>
      </c>
      <c r="I796" s="169" t="s">
        <v>437</v>
      </c>
      <c r="J796" s="169" t="s">
        <v>283</v>
      </c>
      <c r="K796" s="169" t="s">
        <v>630</v>
      </c>
      <c r="L796" s="169" t="s">
        <v>631</v>
      </c>
      <c r="M796" s="169" t="s">
        <v>281</v>
      </c>
      <c r="N796" s="178">
        <v>8418484</v>
      </c>
      <c r="O796" s="169" t="s">
        <v>632</v>
      </c>
      <c r="P796" s="169" t="s">
        <v>283</v>
      </c>
      <c r="Q796" s="169" t="s">
        <v>633</v>
      </c>
      <c r="R796" s="169" t="s">
        <v>283</v>
      </c>
      <c r="S796" s="169" t="s">
        <v>283</v>
      </c>
      <c r="T796" s="169">
        <v>0</v>
      </c>
    </row>
    <row r="797" spans="1:20" x14ac:dyDescent="0.2">
      <c r="A797" s="169">
        <v>627</v>
      </c>
      <c r="B797" s="167" t="str">
        <f>_xlfn.XLOOKUP(I797,Mapping!D:D,Mapping!E:E)</f>
        <v>Xưởng Sản Xuất</v>
      </c>
      <c r="C797" s="167" t="str">
        <f>_xlfn.XLOOKUP(F797,Mapping!A:A,Mapping!F:F)</f>
        <v>Thưởng</v>
      </c>
      <c r="D797" s="173">
        <v>45777</v>
      </c>
      <c r="E797" s="169" t="s">
        <v>629</v>
      </c>
      <c r="F797" s="169" t="s">
        <v>391</v>
      </c>
      <c r="G797" s="169" t="s">
        <v>291</v>
      </c>
      <c r="H797" s="169" t="s">
        <v>436</v>
      </c>
      <c r="I797" s="169" t="s">
        <v>437</v>
      </c>
      <c r="J797" s="169" t="s">
        <v>283</v>
      </c>
      <c r="K797" s="169" t="s">
        <v>630</v>
      </c>
      <c r="L797" s="169" t="s">
        <v>631</v>
      </c>
      <c r="M797" s="169" t="s">
        <v>281</v>
      </c>
      <c r="N797" s="178">
        <v>8400000</v>
      </c>
      <c r="O797" s="169" t="s">
        <v>632</v>
      </c>
      <c r="P797" s="169" t="s">
        <v>283</v>
      </c>
      <c r="Q797" s="169" t="s">
        <v>633</v>
      </c>
      <c r="R797" s="169" t="s">
        <v>283</v>
      </c>
      <c r="S797" s="169" t="s">
        <v>283</v>
      </c>
      <c r="T797" s="169">
        <v>0</v>
      </c>
    </row>
    <row r="798" spans="1:20" x14ac:dyDescent="0.2">
      <c r="A798" s="169">
        <v>627</v>
      </c>
      <c r="B798" s="167" t="str">
        <f>_xlfn.XLOOKUP(I798,Mapping!D:D,Mapping!E:E)</f>
        <v>Xưởng Sản Xuất</v>
      </c>
      <c r="C798" s="167" t="str">
        <f>_xlfn.XLOOKUP(F798,Mapping!A:A,Mapping!F:F)</f>
        <v>Phụ Cấp</v>
      </c>
      <c r="D798" s="173">
        <v>45777</v>
      </c>
      <c r="E798" s="169" t="s">
        <v>629</v>
      </c>
      <c r="F798" s="169" t="s">
        <v>375</v>
      </c>
      <c r="G798" s="169" t="s">
        <v>336</v>
      </c>
      <c r="H798" s="169" t="s">
        <v>436</v>
      </c>
      <c r="I798" s="169" t="s">
        <v>437</v>
      </c>
      <c r="J798" s="169" t="s">
        <v>283</v>
      </c>
      <c r="K798" s="169" t="s">
        <v>630</v>
      </c>
      <c r="L798" s="169" t="s">
        <v>631</v>
      </c>
      <c r="M798" s="169" t="s">
        <v>281</v>
      </c>
      <c r="N798" s="178">
        <v>6990000</v>
      </c>
      <c r="O798" s="169" t="s">
        <v>632</v>
      </c>
      <c r="P798" s="169" t="s">
        <v>283</v>
      </c>
      <c r="Q798" s="169" t="s">
        <v>633</v>
      </c>
      <c r="R798" s="169" t="s">
        <v>283</v>
      </c>
      <c r="S798" s="169" t="s">
        <v>283</v>
      </c>
      <c r="T798" s="169">
        <v>0</v>
      </c>
    </row>
    <row r="799" spans="1:20" x14ac:dyDescent="0.2">
      <c r="A799" s="169">
        <v>627</v>
      </c>
      <c r="B799" s="167" t="str">
        <f>_xlfn.XLOOKUP(I799,Mapping!D:D,Mapping!E:E)</f>
        <v>Xưởng Sản Xuất</v>
      </c>
      <c r="C799" s="167" t="str">
        <f>_xlfn.XLOOKUP(F799,Mapping!A:A,Mapping!F:F)</f>
        <v>Lương Ngoài giờ</v>
      </c>
      <c r="D799" s="173">
        <v>45777</v>
      </c>
      <c r="E799" s="169" t="s">
        <v>629</v>
      </c>
      <c r="F799" s="169" t="s">
        <v>389</v>
      </c>
      <c r="G799" s="169" t="s">
        <v>390</v>
      </c>
      <c r="H799" s="169" t="s">
        <v>436</v>
      </c>
      <c r="I799" s="169" t="s">
        <v>437</v>
      </c>
      <c r="J799" s="169" t="s">
        <v>283</v>
      </c>
      <c r="K799" s="169" t="s">
        <v>630</v>
      </c>
      <c r="L799" s="169" t="s">
        <v>631</v>
      </c>
      <c r="M799" s="169" t="s">
        <v>281</v>
      </c>
      <c r="N799" s="178">
        <v>63653075</v>
      </c>
      <c r="O799" s="169" t="s">
        <v>632</v>
      </c>
      <c r="P799" s="169" t="s">
        <v>283</v>
      </c>
      <c r="Q799" s="169" t="s">
        <v>633</v>
      </c>
      <c r="R799" s="169" t="s">
        <v>283</v>
      </c>
      <c r="S799" s="169" t="s">
        <v>283</v>
      </c>
      <c r="T799" s="169">
        <v>0</v>
      </c>
    </row>
    <row r="800" spans="1:20" x14ac:dyDescent="0.2">
      <c r="B800" s="167" t="str">
        <f>_xlfn.XLOOKUP(I800,Mapping!D:D,Mapping!E:E)</f>
        <v>Tư vấn dịch vụ</v>
      </c>
      <c r="C800" s="167" t="str">
        <f>_xlfn.XLOOKUP(F800,Mapping!A:A,Mapping!F:F)</f>
        <v>Lương Chính +T13</v>
      </c>
      <c r="D800" s="173">
        <v>45777</v>
      </c>
      <c r="E800" s="169" t="s">
        <v>629</v>
      </c>
      <c r="F800" s="169" t="s">
        <v>274</v>
      </c>
      <c r="G800" s="169" t="s">
        <v>275</v>
      </c>
      <c r="H800" s="169" t="s">
        <v>443</v>
      </c>
      <c r="I800" s="169" t="s">
        <v>444</v>
      </c>
      <c r="J800" s="169" t="s">
        <v>283</v>
      </c>
      <c r="K800" s="169" t="s">
        <v>630</v>
      </c>
      <c r="L800" s="169" t="s">
        <v>631</v>
      </c>
      <c r="M800" s="169" t="s">
        <v>281</v>
      </c>
      <c r="N800" s="178">
        <v>212884614</v>
      </c>
      <c r="O800" s="169" t="s">
        <v>632</v>
      </c>
      <c r="P800" s="169" t="s">
        <v>283</v>
      </c>
      <c r="Q800" s="169" t="s">
        <v>633</v>
      </c>
      <c r="R800" s="169" t="s">
        <v>283</v>
      </c>
      <c r="S800" s="169" t="s">
        <v>283</v>
      </c>
      <c r="T800" s="169">
        <v>0</v>
      </c>
    </row>
    <row r="801" spans="1:20" x14ac:dyDescent="0.2">
      <c r="A801" s="169">
        <v>622</v>
      </c>
      <c r="B801" s="167" t="str">
        <f>_xlfn.XLOOKUP(I801,Mapping!D:D,Mapping!E:E)</f>
        <v>Xưởng Sản Xuất</v>
      </c>
      <c r="C801" s="167" t="str">
        <f>_xlfn.XLOOKUP(F801,Mapping!A:A,Mapping!F:F)</f>
        <v>Lương Chính +T13</v>
      </c>
      <c r="D801" s="173">
        <v>45777</v>
      </c>
      <c r="E801" s="169" t="s">
        <v>629</v>
      </c>
      <c r="F801" s="169" t="s">
        <v>400</v>
      </c>
      <c r="G801" s="169" t="s">
        <v>401</v>
      </c>
      <c r="H801" s="169" t="s">
        <v>441</v>
      </c>
      <c r="I801" s="169" t="s">
        <v>442</v>
      </c>
      <c r="J801" s="169" t="s">
        <v>283</v>
      </c>
      <c r="K801" s="169" t="s">
        <v>630</v>
      </c>
      <c r="L801" s="169" t="s">
        <v>631</v>
      </c>
      <c r="M801" s="169" t="s">
        <v>281</v>
      </c>
      <c r="N801" s="178">
        <v>16532375</v>
      </c>
      <c r="O801" s="169" t="s">
        <v>632</v>
      </c>
      <c r="P801" s="169" t="s">
        <v>283</v>
      </c>
      <c r="Q801" s="169" t="s">
        <v>633</v>
      </c>
      <c r="R801" s="169" t="s">
        <v>283</v>
      </c>
      <c r="S801" s="169" t="s">
        <v>283</v>
      </c>
      <c r="T801" s="169">
        <v>0</v>
      </c>
    </row>
    <row r="802" spans="1:20" x14ac:dyDescent="0.2">
      <c r="A802" s="169">
        <v>622</v>
      </c>
      <c r="B802" s="167" t="str">
        <f>_xlfn.XLOOKUP(I802,Mapping!D:D,Mapping!E:E)</f>
        <v>Xưởng Sản Xuất</v>
      </c>
      <c r="C802" s="167" t="str">
        <f>_xlfn.XLOOKUP(F802,Mapping!A:A,Mapping!F:F)</f>
        <v>Phụ Cấp</v>
      </c>
      <c r="D802" s="173">
        <v>45777</v>
      </c>
      <c r="E802" s="169" t="s">
        <v>629</v>
      </c>
      <c r="F802" s="169" t="s">
        <v>421</v>
      </c>
      <c r="G802" s="169" t="s">
        <v>341</v>
      </c>
      <c r="H802" s="169" t="s">
        <v>441</v>
      </c>
      <c r="I802" s="169" t="s">
        <v>442</v>
      </c>
      <c r="J802" s="169" t="s">
        <v>283</v>
      </c>
      <c r="K802" s="169" t="s">
        <v>630</v>
      </c>
      <c r="L802" s="169" t="s">
        <v>631</v>
      </c>
      <c r="M802" s="169" t="s">
        <v>281</v>
      </c>
      <c r="N802" s="178">
        <v>1646238</v>
      </c>
      <c r="O802" s="169" t="s">
        <v>632</v>
      </c>
      <c r="P802" s="169" t="s">
        <v>283</v>
      </c>
      <c r="Q802" s="169" t="s">
        <v>633</v>
      </c>
      <c r="R802" s="169" t="s">
        <v>283</v>
      </c>
      <c r="S802" s="169" t="s">
        <v>283</v>
      </c>
      <c r="T802" s="169">
        <v>0</v>
      </c>
    </row>
    <row r="803" spans="1:20" x14ac:dyDescent="0.2">
      <c r="A803" s="169">
        <v>622</v>
      </c>
      <c r="B803" s="167" t="str">
        <f>_xlfn.XLOOKUP(I803,Mapping!D:D,Mapping!E:E)</f>
        <v>Xưởng Sản Xuất</v>
      </c>
      <c r="C803" s="167" t="str">
        <f>_xlfn.XLOOKUP(F803,Mapping!A:A,Mapping!F:F)</f>
        <v>Lương Ngoài giờ</v>
      </c>
      <c r="D803" s="173">
        <v>45777</v>
      </c>
      <c r="E803" s="169" t="s">
        <v>629</v>
      </c>
      <c r="F803" s="169" t="s">
        <v>422</v>
      </c>
      <c r="G803" s="169" t="s">
        <v>423</v>
      </c>
      <c r="H803" s="169" t="s">
        <v>441</v>
      </c>
      <c r="I803" s="169" t="s">
        <v>442</v>
      </c>
      <c r="J803" s="169" t="s">
        <v>283</v>
      </c>
      <c r="K803" s="169" t="s">
        <v>630</v>
      </c>
      <c r="L803" s="169" t="s">
        <v>631</v>
      </c>
      <c r="M803" s="169" t="s">
        <v>281</v>
      </c>
      <c r="N803" s="178">
        <v>3522708</v>
      </c>
      <c r="O803" s="169" t="s">
        <v>632</v>
      </c>
      <c r="P803" s="169" t="s">
        <v>283</v>
      </c>
      <c r="Q803" s="169" t="s">
        <v>633</v>
      </c>
      <c r="R803" s="169" t="s">
        <v>283</v>
      </c>
      <c r="S803" s="169" t="s">
        <v>283</v>
      </c>
      <c r="T803" s="169">
        <v>0</v>
      </c>
    </row>
    <row r="804" spans="1:20" x14ac:dyDescent="0.2">
      <c r="A804" s="169">
        <v>622</v>
      </c>
      <c r="B804" s="167" t="str">
        <f>_xlfn.XLOOKUP(I804,Mapping!D:D,Mapping!E:E)</f>
        <v>Xưởng Sản Xuất</v>
      </c>
      <c r="C804" s="167" t="str">
        <f>_xlfn.XLOOKUP(F804,Mapping!A:A,Mapping!F:F)</f>
        <v>Thưởng</v>
      </c>
      <c r="D804" s="173">
        <v>45777</v>
      </c>
      <c r="E804" s="169" t="s">
        <v>629</v>
      </c>
      <c r="F804" s="169" t="s">
        <v>424</v>
      </c>
      <c r="G804" s="169" t="s">
        <v>291</v>
      </c>
      <c r="H804" s="169" t="s">
        <v>441</v>
      </c>
      <c r="I804" s="169" t="s">
        <v>442</v>
      </c>
      <c r="J804" s="169" t="s">
        <v>283</v>
      </c>
      <c r="K804" s="169" t="s">
        <v>630</v>
      </c>
      <c r="L804" s="169" t="s">
        <v>631</v>
      </c>
      <c r="M804" s="169" t="s">
        <v>281</v>
      </c>
      <c r="N804" s="178">
        <v>400000</v>
      </c>
      <c r="O804" s="169" t="s">
        <v>632</v>
      </c>
      <c r="P804" s="169" t="s">
        <v>283</v>
      </c>
      <c r="Q804" s="169" t="s">
        <v>633</v>
      </c>
      <c r="R804" s="169" t="s">
        <v>283</v>
      </c>
      <c r="S804" s="169" t="s">
        <v>283</v>
      </c>
      <c r="T804" s="169">
        <v>0</v>
      </c>
    </row>
    <row r="805" spans="1:20" x14ac:dyDescent="0.2">
      <c r="A805" s="169">
        <v>622</v>
      </c>
      <c r="B805" s="167" t="str">
        <f>_xlfn.XLOOKUP(I805,Mapping!D:D,Mapping!E:E)</f>
        <v>Xưởng Sản Xuất</v>
      </c>
      <c r="C805" s="167" t="str">
        <f>_xlfn.XLOOKUP(F805,Mapping!A:A,Mapping!F:F)</f>
        <v>Phụ Cấp</v>
      </c>
      <c r="D805" s="173">
        <v>45777</v>
      </c>
      <c r="E805" s="169" t="s">
        <v>629</v>
      </c>
      <c r="F805" s="169" t="s">
        <v>414</v>
      </c>
      <c r="G805" s="169" t="s">
        <v>415</v>
      </c>
      <c r="H805" s="169" t="s">
        <v>441</v>
      </c>
      <c r="I805" s="169" t="s">
        <v>442</v>
      </c>
      <c r="J805" s="169" t="s">
        <v>283</v>
      </c>
      <c r="K805" s="169" t="s">
        <v>630</v>
      </c>
      <c r="L805" s="169" t="s">
        <v>631</v>
      </c>
      <c r="M805" s="169" t="s">
        <v>281</v>
      </c>
      <c r="N805" s="178">
        <v>370000</v>
      </c>
      <c r="O805" s="169" t="s">
        <v>632</v>
      </c>
      <c r="P805" s="169" t="s">
        <v>283</v>
      </c>
      <c r="Q805" s="169" t="s">
        <v>633</v>
      </c>
      <c r="R805" s="169" t="s">
        <v>283</v>
      </c>
      <c r="S805" s="169" t="s">
        <v>283</v>
      </c>
      <c r="T805" s="169">
        <v>0</v>
      </c>
    </row>
    <row r="806" spans="1:20" x14ac:dyDescent="0.2">
      <c r="A806" s="169">
        <v>627</v>
      </c>
      <c r="B806" s="167" t="str">
        <f>_xlfn.XLOOKUP(I806,Mapping!D:D,Mapping!E:E)</f>
        <v>Xưởng Sản Xuất</v>
      </c>
      <c r="C806" s="167" t="str">
        <f>_xlfn.XLOOKUP(F806,Mapping!A:A,Mapping!F:F)</f>
        <v>Lương Chính +T13</v>
      </c>
      <c r="D806" s="173">
        <v>45777</v>
      </c>
      <c r="E806" s="169" t="s">
        <v>634</v>
      </c>
      <c r="F806" s="169" t="s">
        <v>388</v>
      </c>
      <c r="G806" s="169" t="s">
        <v>286</v>
      </c>
      <c r="H806" s="169" t="s">
        <v>436</v>
      </c>
      <c r="I806" s="169" t="s">
        <v>437</v>
      </c>
      <c r="J806" s="169" t="s">
        <v>635</v>
      </c>
      <c r="K806" s="169" t="s">
        <v>636</v>
      </c>
      <c r="L806" s="169" t="s">
        <v>631</v>
      </c>
      <c r="M806" s="169" t="s">
        <v>281</v>
      </c>
      <c r="N806" s="178">
        <v>29655184</v>
      </c>
      <c r="O806" s="169" t="s">
        <v>637</v>
      </c>
      <c r="P806" s="169" t="s">
        <v>283</v>
      </c>
      <c r="Q806" s="169" t="s">
        <v>633</v>
      </c>
      <c r="R806" s="169" t="s">
        <v>283</v>
      </c>
      <c r="S806" s="169" t="s">
        <v>283</v>
      </c>
      <c r="T806" s="169">
        <v>0</v>
      </c>
    </row>
    <row r="807" spans="1:20" x14ac:dyDescent="0.2">
      <c r="B807" s="167" t="str">
        <f>_xlfn.XLOOKUP(I807,Mapping!D:D,Mapping!E:E)</f>
        <v>Tư vấn dịch vụ</v>
      </c>
      <c r="C807" s="167" t="str">
        <f>_xlfn.XLOOKUP(F807,Mapping!A:A,Mapping!F:F)</f>
        <v>Lương Chính +T13</v>
      </c>
      <c r="D807" s="173">
        <v>45777</v>
      </c>
      <c r="E807" s="169" t="s">
        <v>634</v>
      </c>
      <c r="F807" s="169" t="s">
        <v>285</v>
      </c>
      <c r="G807" s="169" t="s">
        <v>286</v>
      </c>
      <c r="H807" s="169" t="s">
        <v>443</v>
      </c>
      <c r="I807" s="169" t="s">
        <v>444</v>
      </c>
      <c r="J807" s="169" t="s">
        <v>635</v>
      </c>
      <c r="K807" s="169" t="s">
        <v>636</v>
      </c>
      <c r="L807" s="169" t="s">
        <v>631</v>
      </c>
      <c r="M807" s="169" t="s">
        <v>281</v>
      </c>
      <c r="N807" s="178">
        <v>15833333</v>
      </c>
      <c r="O807" s="169" t="s">
        <v>637</v>
      </c>
      <c r="P807" s="169" t="s">
        <v>283</v>
      </c>
      <c r="Q807" s="169" t="s">
        <v>633</v>
      </c>
      <c r="R807" s="169" t="s">
        <v>283</v>
      </c>
      <c r="S807" s="169" t="s">
        <v>283</v>
      </c>
      <c r="T807" s="169">
        <v>0</v>
      </c>
    </row>
    <row r="808" spans="1:20" x14ac:dyDescent="0.2">
      <c r="A808" s="169">
        <v>622</v>
      </c>
      <c r="B808" s="167" t="str">
        <f>_xlfn.XLOOKUP(I808,Mapping!D:D,Mapping!E:E)</f>
        <v>Xưởng Sản Xuất</v>
      </c>
      <c r="C808" s="167" t="str">
        <f>_xlfn.XLOOKUP(F808,Mapping!A:A,Mapping!F:F)</f>
        <v>Lương Chính +T13</v>
      </c>
      <c r="D808" s="173">
        <v>45777</v>
      </c>
      <c r="E808" s="169" t="s">
        <v>634</v>
      </c>
      <c r="F808" s="169" t="s">
        <v>420</v>
      </c>
      <c r="G808" s="169" t="s">
        <v>286</v>
      </c>
      <c r="H808" s="169" t="s">
        <v>441</v>
      </c>
      <c r="I808" s="169" t="s">
        <v>442</v>
      </c>
      <c r="J808" s="169" t="s">
        <v>635</v>
      </c>
      <c r="K808" s="169" t="s">
        <v>636</v>
      </c>
      <c r="L808" s="169" t="s">
        <v>631</v>
      </c>
      <c r="M808" s="169" t="s">
        <v>281</v>
      </c>
      <c r="N808" s="178">
        <v>1176360</v>
      </c>
      <c r="O808" s="169" t="s">
        <v>637</v>
      </c>
      <c r="P808" s="169" t="s">
        <v>283</v>
      </c>
      <c r="Q808" s="169" t="s">
        <v>633</v>
      </c>
      <c r="R808" s="169" t="s">
        <v>283</v>
      </c>
      <c r="S808" s="169" t="s">
        <v>283</v>
      </c>
      <c r="T808" s="169">
        <v>0</v>
      </c>
    </row>
    <row r="809" spans="1:20" x14ac:dyDescent="0.2">
      <c r="A809" s="169">
        <v>627</v>
      </c>
      <c r="B809" s="167" t="str">
        <f>_xlfn.XLOOKUP(I809,Mapping!D:D,Mapping!E:E)</f>
        <v>Xưởng Sản Xuất</v>
      </c>
      <c r="C809" s="167" t="str">
        <f>_xlfn.XLOOKUP(F809,Mapping!A:A,Mapping!F:F)</f>
        <v>Thưởng</v>
      </c>
      <c r="D809" s="173">
        <v>45777</v>
      </c>
      <c r="E809" s="169" t="s">
        <v>634</v>
      </c>
      <c r="F809" s="169" t="s">
        <v>395</v>
      </c>
      <c r="G809" s="169" t="s">
        <v>77</v>
      </c>
      <c r="H809" s="169" t="s">
        <v>436</v>
      </c>
      <c r="I809" s="169" t="s">
        <v>437</v>
      </c>
      <c r="J809" s="169" t="s">
        <v>638</v>
      </c>
      <c r="K809" s="169" t="s">
        <v>636</v>
      </c>
      <c r="L809" s="169" t="s">
        <v>631</v>
      </c>
      <c r="M809" s="169" t="s">
        <v>281</v>
      </c>
      <c r="N809" s="178">
        <v>18042080</v>
      </c>
      <c r="O809" s="169" t="s">
        <v>637</v>
      </c>
      <c r="P809" s="169" t="s">
        <v>283</v>
      </c>
      <c r="Q809" s="169" t="s">
        <v>633</v>
      </c>
      <c r="R809" s="169" t="s">
        <v>283</v>
      </c>
      <c r="S809" s="169" t="s">
        <v>283</v>
      </c>
      <c r="T809" s="169">
        <v>0</v>
      </c>
    </row>
    <row r="810" spans="1:20" x14ac:dyDescent="0.2">
      <c r="B810" s="167" t="str">
        <f>_xlfn.XLOOKUP(I810,Mapping!D:D,Mapping!E:E)</f>
        <v>Tư vấn dịch vụ</v>
      </c>
      <c r="C810" s="167" t="str">
        <f>_xlfn.XLOOKUP(F810,Mapping!A:A,Mapping!F:F)</f>
        <v>Thưởng</v>
      </c>
      <c r="D810" s="173">
        <v>45777</v>
      </c>
      <c r="E810" s="169" t="s">
        <v>634</v>
      </c>
      <c r="F810" s="169" t="s">
        <v>292</v>
      </c>
      <c r="G810" s="169" t="s">
        <v>77</v>
      </c>
      <c r="H810" s="169" t="s">
        <v>443</v>
      </c>
      <c r="I810" s="169" t="s">
        <v>444</v>
      </c>
      <c r="J810" s="169" t="s">
        <v>638</v>
      </c>
      <c r="K810" s="169" t="s">
        <v>636</v>
      </c>
      <c r="L810" s="169" t="s">
        <v>631</v>
      </c>
      <c r="M810" s="169" t="s">
        <v>281</v>
      </c>
      <c r="N810" s="178">
        <v>14566540</v>
      </c>
      <c r="O810" s="169" t="s">
        <v>637</v>
      </c>
      <c r="P810" s="169" t="s">
        <v>283</v>
      </c>
      <c r="Q810" s="169" t="s">
        <v>633</v>
      </c>
      <c r="R810" s="169" t="s">
        <v>283</v>
      </c>
      <c r="S810" s="169" t="s">
        <v>283</v>
      </c>
      <c r="T810" s="169">
        <v>0</v>
      </c>
    </row>
    <row r="811" spans="1:20" x14ac:dyDescent="0.2">
      <c r="A811" s="169">
        <v>622</v>
      </c>
      <c r="B811" s="167" t="str">
        <f>_xlfn.XLOOKUP(I811,Mapping!D:D,Mapping!E:E)</f>
        <v>Xưởng Sản Xuất</v>
      </c>
      <c r="C811" s="167" t="str">
        <f>_xlfn.XLOOKUP(F811,Mapping!A:A,Mapping!F:F)</f>
        <v>Thưởng</v>
      </c>
      <c r="D811" s="173">
        <v>45777</v>
      </c>
      <c r="E811" s="169" t="s">
        <v>634</v>
      </c>
      <c r="F811" s="169" t="s">
        <v>426</v>
      </c>
      <c r="G811" s="169" t="s">
        <v>77</v>
      </c>
      <c r="H811" s="169" t="s">
        <v>441</v>
      </c>
      <c r="I811" s="169" t="s">
        <v>442</v>
      </c>
      <c r="J811" s="169" t="s">
        <v>638</v>
      </c>
      <c r="K811" s="169" t="s">
        <v>636</v>
      </c>
      <c r="L811" s="169" t="s">
        <v>631</v>
      </c>
      <c r="M811" s="169" t="s">
        <v>281</v>
      </c>
      <c r="N811" s="178">
        <v>157016</v>
      </c>
      <c r="O811" s="169" t="s">
        <v>637</v>
      </c>
      <c r="P811" s="169" t="s">
        <v>283</v>
      </c>
      <c r="Q811" s="169" t="s">
        <v>633</v>
      </c>
      <c r="R811" s="169" t="s">
        <v>283</v>
      </c>
      <c r="S811" s="169" t="s">
        <v>283</v>
      </c>
      <c r="T811" s="169">
        <v>0</v>
      </c>
    </row>
    <row r="812" spans="1:20" x14ac:dyDescent="0.2">
      <c r="A812" s="169">
        <v>622</v>
      </c>
      <c r="B812" s="167" t="str">
        <f>_xlfn.XLOOKUP(I812,Mapping!D:D,Mapping!E:E)</f>
        <v>Xưởng Sản Xuất</v>
      </c>
      <c r="C812" s="167" t="str">
        <f>_xlfn.XLOOKUP(F812,Mapping!A:A,Mapping!F:F)</f>
        <v>BHXH, BHYT, KPCĐ</v>
      </c>
      <c r="D812" s="173">
        <v>45777</v>
      </c>
      <c r="E812" s="169" t="s">
        <v>679</v>
      </c>
      <c r="F812" s="169" t="s">
        <v>425</v>
      </c>
      <c r="G812" s="169" t="s">
        <v>296</v>
      </c>
      <c r="H812" s="169" t="s">
        <v>441</v>
      </c>
      <c r="I812" s="169" t="s">
        <v>442</v>
      </c>
      <c r="J812" s="169" t="s">
        <v>640</v>
      </c>
      <c r="K812" s="169" t="s">
        <v>640</v>
      </c>
      <c r="L812" s="169" t="s">
        <v>631</v>
      </c>
      <c r="M812" s="169" t="s">
        <v>281</v>
      </c>
      <c r="N812" s="178">
        <v>1809607</v>
      </c>
      <c r="O812" s="169" t="s">
        <v>680</v>
      </c>
      <c r="P812" s="169" t="s">
        <v>283</v>
      </c>
      <c r="Q812" s="169" t="s">
        <v>633</v>
      </c>
      <c r="R812" s="169" t="s">
        <v>283</v>
      </c>
      <c r="S812" s="169" t="s">
        <v>283</v>
      </c>
      <c r="T812" s="169">
        <v>0</v>
      </c>
    </row>
    <row r="813" spans="1:20" x14ac:dyDescent="0.2">
      <c r="A813" s="169">
        <v>627</v>
      </c>
      <c r="B813" s="167" t="str">
        <f>_xlfn.XLOOKUP(I813,Mapping!D:D,Mapping!E:E)</f>
        <v>Xưởng Sản Xuất</v>
      </c>
      <c r="C813" s="167" t="str">
        <f>_xlfn.XLOOKUP(F813,Mapping!A:A,Mapping!F:F)</f>
        <v>BHXH, BHYT, KPCĐ</v>
      </c>
      <c r="D813" s="173">
        <v>45777</v>
      </c>
      <c r="E813" s="169" t="s">
        <v>679</v>
      </c>
      <c r="F813" s="169" t="s">
        <v>393</v>
      </c>
      <c r="G813" s="169" t="s">
        <v>296</v>
      </c>
      <c r="H813" s="169" t="s">
        <v>436</v>
      </c>
      <c r="I813" s="169" t="s">
        <v>437</v>
      </c>
      <c r="J813" s="169" t="s">
        <v>640</v>
      </c>
      <c r="K813" s="169" t="s">
        <v>640</v>
      </c>
      <c r="L813" s="169" t="s">
        <v>631</v>
      </c>
      <c r="M813" s="169" t="s">
        <v>281</v>
      </c>
      <c r="N813" s="178">
        <v>2412810</v>
      </c>
      <c r="O813" s="169" t="s">
        <v>680</v>
      </c>
      <c r="P813" s="169" t="s">
        <v>283</v>
      </c>
      <c r="Q813" s="169" t="s">
        <v>633</v>
      </c>
      <c r="R813" s="169" t="s">
        <v>283</v>
      </c>
      <c r="S813" s="169" t="s">
        <v>283</v>
      </c>
      <c r="T813" s="169">
        <v>0</v>
      </c>
    </row>
    <row r="814" spans="1:20" x14ac:dyDescent="0.2">
      <c r="A814" s="169">
        <v>622</v>
      </c>
      <c r="B814" s="167" t="str">
        <f>_xlfn.XLOOKUP(I814,Mapping!D:D,Mapping!E:E)</f>
        <v>Xưởng Sản Xuất</v>
      </c>
      <c r="C814" s="167" t="str">
        <f>_xlfn.XLOOKUP(F814,Mapping!A:A,Mapping!F:F)</f>
        <v>Phụ Cấp</v>
      </c>
      <c r="D814" s="173">
        <v>45777</v>
      </c>
      <c r="E814" s="169" t="s">
        <v>681</v>
      </c>
      <c r="F814" s="169" t="s">
        <v>414</v>
      </c>
      <c r="G814" s="169" t="s">
        <v>415</v>
      </c>
      <c r="H814" s="169" t="s">
        <v>441</v>
      </c>
      <c r="I814" s="169" t="s">
        <v>442</v>
      </c>
      <c r="J814" s="169" t="s">
        <v>416</v>
      </c>
      <c r="K814" s="169" t="s">
        <v>416</v>
      </c>
      <c r="L814" s="169" t="s">
        <v>631</v>
      </c>
      <c r="M814" s="169" t="s">
        <v>281</v>
      </c>
      <c r="N814" s="178">
        <v>500000</v>
      </c>
      <c r="O814" s="169" t="s">
        <v>682</v>
      </c>
      <c r="P814" s="169" t="s">
        <v>283</v>
      </c>
      <c r="Q814" s="169" t="s">
        <v>348</v>
      </c>
      <c r="R814" s="169" t="s">
        <v>283</v>
      </c>
      <c r="S814" s="169" t="s">
        <v>283</v>
      </c>
      <c r="T814" s="169">
        <v>0</v>
      </c>
    </row>
    <row r="815" spans="1:20" x14ac:dyDescent="0.2">
      <c r="A815" s="169">
        <v>627</v>
      </c>
      <c r="B815" s="167" t="str">
        <f>_xlfn.XLOOKUP(I815,Mapping!D:D,Mapping!E:E)</f>
        <v>Xưởng Sản Xuất</v>
      </c>
      <c r="C815" s="167" t="str">
        <f>_xlfn.XLOOKUP(F815,Mapping!A:A,Mapping!F:F)</f>
        <v>Phụ Cấp</v>
      </c>
      <c r="D815" s="173">
        <v>45777</v>
      </c>
      <c r="E815" s="169" t="s">
        <v>681</v>
      </c>
      <c r="F815" s="169" t="s">
        <v>375</v>
      </c>
      <c r="G815" s="169" t="s">
        <v>336</v>
      </c>
      <c r="H815" s="169" t="s">
        <v>441</v>
      </c>
      <c r="I815" s="169" t="s">
        <v>442</v>
      </c>
      <c r="J815" s="169" t="s">
        <v>416</v>
      </c>
      <c r="K815" s="169" t="s">
        <v>416</v>
      </c>
      <c r="L815" s="169" t="s">
        <v>631</v>
      </c>
      <c r="M815" s="169" t="s">
        <v>281</v>
      </c>
      <c r="N815" s="178">
        <v>-500000</v>
      </c>
      <c r="O815" s="169" t="s">
        <v>682</v>
      </c>
      <c r="P815" s="169" t="s">
        <v>283</v>
      </c>
      <c r="Q815" s="169" t="s">
        <v>348</v>
      </c>
      <c r="R815" s="169" t="s">
        <v>283</v>
      </c>
      <c r="S815" s="169" t="s">
        <v>283</v>
      </c>
      <c r="T815" s="169">
        <v>0</v>
      </c>
    </row>
    <row r="816" spans="1:20" x14ac:dyDescent="0.2">
      <c r="A816" s="169">
        <v>622</v>
      </c>
      <c r="B816" s="167" t="str">
        <f>_xlfn.XLOOKUP(I816,Mapping!D:D,Mapping!E:E)</f>
        <v>Xưởng Sản Xuất</v>
      </c>
      <c r="C816" s="167" t="str">
        <f>_xlfn.XLOOKUP(F816,Mapping!A:A,Mapping!F:F)</f>
        <v>Phụ Cấp</v>
      </c>
      <c r="D816" s="173">
        <v>45777</v>
      </c>
      <c r="E816" s="169" t="s">
        <v>681</v>
      </c>
      <c r="F816" s="169" t="s">
        <v>414</v>
      </c>
      <c r="G816" s="169" t="s">
        <v>415</v>
      </c>
      <c r="H816" s="169" t="s">
        <v>441</v>
      </c>
      <c r="I816" s="169" t="s">
        <v>442</v>
      </c>
      <c r="J816" s="169" t="s">
        <v>416</v>
      </c>
      <c r="K816" s="169" t="s">
        <v>416</v>
      </c>
      <c r="L816" s="169" t="s">
        <v>631</v>
      </c>
      <c r="M816" s="169" t="s">
        <v>281</v>
      </c>
      <c r="N816" s="178">
        <v>475000</v>
      </c>
      <c r="O816" s="169" t="s">
        <v>682</v>
      </c>
      <c r="P816" s="169" t="s">
        <v>283</v>
      </c>
      <c r="Q816" s="169" t="s">
        <v>348</v>
      </c>
      <c r="R816" s="169" t="s">
        <v>283</v>
      </c>
      <c r="S816" s="169" t="s">
        <v>283</v>
      </c>
      <c r="T816" s="169">
        <v>0</v>
      </c>
    </row>
    <row r="817" spans="2:20" x14ac:dyDescent="0.2">
      <c r="B817" s="167" t="str">
        <f>_xlfn.XLOOKUP(I817,Mapping!D:D,Mapping!E:E)</f>
        <v>Ban Giám Đốc</v>
      </c>
      <c r="C817" s="167" t="str">
        <f>_xlfn.XLOOKUP(F817,Mapping!A:A,Mapping!F:F)</f>
        <v>Lương Chính +T13</v>
      </c>
      <c r="D817" s="173">
        <v>45808</v>
      </c>
      <c r="E817" s="169" t="s">
        <v>710</v>
      </c>
      <c r="F817" s="169" t="s">
        <v>274</v>
      </c>
      <c r="G817" s="169" t="s">
        <v>275</v>
      </c>
      <c r="H817" s="169" t="s">
        <v>276</v>
      </c>
      <c r="I817" s="169" t="s">
        <v>277</v>
      </c>
      <c r="J817" s="169" t="s">
        <v>711</v>
      </c>
      <c r="K817" s="169" t="s">
        <v>712</v>
      </c>
      <c r="L817" s="169" t="s">
        <v>713</v>
      </c>
      <c r="M817" s="169" t="s">
        <v>281</v>
      </c>
      <c r="N817" s="178">
        <v>1407603182</v>
      </c>
      <c r="O817" s="169" t="s">
        <v>714</v>
      </c>
      <c r="P817" s="169" t="s">
        <v>283</v>
      </c>
      <c r="Q817" s="169" t="s">
        <v>284</v>
      </c>
      <c r="R817" s="169" t="s">
        <v>283</v>
      </c>
      <c r="S817" s="169" t="s">
        <v>283</v>
      </c>
      <c r="T817" s="169">
        <v>0</v>
      </c>
    </row>
    <row r="818" spans="2:20" x14ac:dyDescent="0.2">
      <c r="B818" s="167" t="str">
        <f>_xlfn.XLOOKUP(I818,Mapping!D:D,Mapping!E:E)</f>
        <v>Ban Giám Đốc</v>
      </c>
      <c r="C818" s="167" t="str">
        <f>_xlfn.XLOOKUP(F818,Mapping!A:A,Mapping!F:F)</f>
        <v>Lương Chính +T13</v>
      </c>
      <c r="D818" s="173">
        <v>45808</v>
      </c>
      <c r="E818" s="169" t="s">
        <v>710</v>
      </c>
      <c r="F818" s="169" t="s">
        <v>285</v>
      </c>
      <c r="G818" s="169" t="s">
        <v>286</v>
      </c>
      <c r="H818" s="169" t="s">
        <v>276</v>
      </c>
      <c r="I818" s="169" t="s">
        <v>277</v>
      </c>
      <c r="J818" s="169" t="s">
        <v>711</v>
      </c>
      <c r="K818" s="169" t="s">
        <v>712</v>
      </c>
      <c r="L818" s="169" t="s">
        <v>713</v>
      </c>
      <c r="M818" s="169" t="s">
        <v>281</v>
      </c>
      <c r="N818" s="178">
        <v>84768273</v>
      </c>
      <c r="O818" s="169" t="s">
        <v>714</v>
      </c>
      <c r="P818" s="169" t="s">
        <v>283</v>
      </c>
      <c r="Q818" s="169" t="s">
        <v>284</v>
      </c>
      <c r="R818" s="169" t="s">
        <v>283</v>
      </c>
      <c r="S818" s="169" t="s">
        <v>283</v>
      </c>
      <c r="T818" s="169">
        <v>0</v>
      </c>
    </row>
    <row r="819" spans="2:20" x14ac:dyDescent="0.2">
      <c r="B819" s="167" t="str">
        <f>_xlfn.XLOOKUP(I819,Mapping!D:D,Mapping!E:E)</f>
        <v>Ban Giám Đốc</v>
      </c>
      <c r="C819" s="167" t="str">
        <f>_xlfn.XLOOKUP(F819,Mapping!A:A,Mapping!F:F)</f>
        <v>Lương Chính +T13</v>
      </c>
      <c r="D819" s="173">
        <v>45808</v>
      </c>
      <c r="E819" s="169" t="s">
        <v>715</v>
      </c>
      <c r="F819" s="169" t="s">
        <v>285</v>
      </c>
      <c r="G819" s="169" t="s">
        <v>286</v>
      </c>
      <c r="H819" s="169" t="s">
        <v>276</v>
      </c>
      <c r="I819" s="169" t="s">
        <v>277</v>
      </c>
      <c r="J819" s="169" t="s">
        <v>716</v>
      </c>
      <c r="K819" s="169" t="s">
        <v>712</v>
      </c>
      <c r="L819" s="169" t="s">
        <v>713</v>
      </c>
      <c r="M819" s="169" t="s">
        <v>281</v>
      </c>
      <c r="N819" s="178">
        <v>117108417</v>
      </c>
      <c r="O819" s="169" t="s">
        <v>717</v>
      </c>
      <c r="P819" s="169" t="s">
        <v>283</v>
      </c>
      <c r="Q819" s="169" t="s">
        <v>284</v>
      </c>
      <c r="R819" s="169" t="s">
        <v>283</v>
      </c>
      <c r="S819" s="169" t="s">
        <v>283</v>
      </c>
      <c r="T819" s="169">
        <v>0</v>
      </c>
    </row>
    <row r="820" spans="2:20" x14ac:dyDescent="0.2">
      <c r="B820" s="167" t="str">
        <f>_xlfn.XLOOKUP(I820,Mapping!D:D,Mapping!E:E)</f>
        <v>Ban Giám Đốc</v>
      </c>
      <c r="C820" s="167" t="str">
        <f>_xlfn.XLOOKUP(F820,Mapping!A:A,Mapping!F:F)</f>
        <v>Thưởng</v>
      </c>
      <c r="D820" s="173">
        <v>45808</v>
      </c>
      <c r="E820" s="169" t="s">
        <v>710</v>
      </c>
      <c r="F820" s="169" t="s">
        <v>290</v>
      </c>
      <c r="G820" s="169" t="s">
        <v>291</v>
      </c>
      <c r="H820" s="169" t="s">
        <v>276</v>
      </c>
      <c r="I820" s="169" t="s">
        <v>277</v>
      </c>
      <c r="J820" s="169" t="s">
        <v>711</v>
      </c>
      <c r="K820" s="169" t="s">
        <v>712</v>
      </c>
      <c r="L820" s="169" t="s">
        <v>713</v>
      </c>
      <c r="M820" s="169" t="s">
        <v>281</v>
      </c>
      <c r="N820" s="178">
        <v>2600000</v>
      </c>
      <c r="O820" s="169" t="s">
        <v>714</v>
      </c>
      <c r="P820" s="169" t="s">
        <v>283</v>
      </c>
      <c r="Q820" s="169" t="s">
        <v>284</v>
      </c>
      <c r="R820" s="169" t="s">
        <v>283</v>
      </c>
      <c r="S820" s="169" t="s">
        <v>283</v>
      </c>
      <c r="T820" s="169">
        <v>0</v>
      </c>
    </row>
    <row r="821" spans="2:20" x14ac:dyDescent="0.2">
      <c r="B821" s="167" t="str">
        <f>_xlfn.XLOOKUP(I821,Mapping!D:D,Mapping!E:E)</f>
        <v>Ban Giám Đốc</v>
      </c>
      <c r="C821" s="167" t="str">
        <f>_xlfn.XLOOKUP(F821,Mapping!A:A,Mapping!F:F)</f>
        <v>Thưởng</v>
      </c>
      <c r="D821" s="173">
        <v>45808</v>
      </c>
      <c r="E821" s="169" t="s">
        <v>715</v>
      </c>
      <c r="F821" s="169" t="s">
        <v>292</v>
      </c>
      <c r="G821" s="169" t="s">
        <v>77</v>
      </c>
      <c r="H821" s="169" t="s">
        <v>276</v>
      </c>
      <c r="I821" s="169" t="s">
        <v>277</v>
      </c>
      <c r="J821" s="169" t="s">
        <v>718</v>
      </c>
      <c r="K821" s="169" t="s">
        <v>712</v>
      </c>
      <c r="L821" s="169" t="s">
        <v>713</v>
      </c>
      <c r="M821" s="169" t="s">
        <v>281</v>
      </c>
      <c r="N821" s="178">
        <v>107738806</v>
      </c>
      <c r="O821" s="169" t="s">
        <v>717</v>
      </c>
      <c r="P821" s="169" t="s">
        <v>283</v>
      </c>
      <c r="Q821" s="169" t="s">
        <v>284</v>
      </c>
      <c r="R821" s="169" t="s">
        <v>283</v>
      </c>
      <c r="S821" s="169" t="s">
        <v>283</v>
      </c>
      <c r="T821" s="169">
        <v>0</v>
      </c>
    </row>
    <row r="822" spans="2:20" x14ac:dyDescent="0.2">
      <c r="B822" s="167" t="str">
        <f>_xlfn.XLOOKUP(I822,Mapping!D:D,Mapping!E:E)</f>
        <v>Ban Giám Đốc</v>
      </c>
      <c r="C822" s="167" t="str">
        <f>_xlfn.XLOOKUP(F822,Mapping!A:A,Mapping!F:F)</f>
        <v>BHXH, BHYT, KPCĐ</v>
      </c>
      <c r="D822" s="173">
        <v>45808</v>
      </c>
      <c r="E822" s="169" t="s">
        <v>719</v>
      </c>
      <c r="F822" s="169" t="s">
        <v>295</v>
      </c>
      <c r="G822" s="169" t="s">
        <v>296</v>
      </c>
      <c r="H822" s="169" t="s">
        <v>276</v>
      </c>
      <c r="I822" s="169" t="s">
        <v>277</v>
      </c>
      <c r="J822" s="169" t="s">
        <v>720</v>
      </c>
      <c r="K822" s="169" t="s">
        <v>712</v>
      </c>
      <c r="L822" s="169" t="s">
        <v>713</v>
      </c>
      <c r="M822" s="169" t="s">
        <v>281</v>
      </c>
      <c r="N822" s="178">
        <v>124672010</v>
      </c>
      <c r="O822" s="169" t="s">
        <v>721</v>
      </c>
      <c r="P822" s="169" t="s">
        <v>283</v>
      </c>
      <c r="Q822" s="169" t="s">
        <v>284</v>
      </c>
      <c r="R822" s="169" t="s">
        <v>283</v>
      </c>
      <c r="S822" s="169" t="s">
        <v>283</v>
      </c>
      <c r="T822" s="169">
        <v>0</v>
      </c>
    </row>
    <row r="823" spans="2:20" x14ac:dyDescent="0.2">
      <c r="B823" s="167" t="str">
        <f>_xlfn.XLOOKUP(I823,Mapping!D:D,Mapping!E:E)</f>
        <v>Hành Chánh Nhân Sự</v>
      </c>
      <c r="C823" s="167" t="str">
        <f>_xlfn.XLOOKUP(F823,Mapping!A:A,Mapping!F:F)</f>
        <v>Khen thưởng BD khác</v>
      </c>
      <c r="D823" s="173">
        <v>45778</v>
      </c>
      <c r="E823" s="169" t="s">
        <v>722</v>
      </c>
      <c r="F823" s="169" t="s">
        <v>300</v>
      </c>
      <c r="G823" s="169" t="s">
        <v>222</v>
      </c>
      <c r="H823" s="169" t="s">
        <v>301</v>
      </c>
      <c r="I823" s="169" t="s">
        <v>302</v>
      </c>
      <c r="J823" s="169" t="s">
        <v>723</v>
      </c>
      <c r="K823" s="169" t="s">
        <v>724</v>
      </c>
      <c r="L823" s="169" t="s">
        <v>713</v>
      </c>
      <c r="M823" s="169" t="s">
        <v>281</v>
      </c>
      <c r="N823" s="178">
        <v>2400000</v>
      </c>
      <c r="O823" s="169" t="s">
        <v>725</v>
      </c>
      <c r="P823" s="169" t="s">
        <v>283</v>
      </c>
      <c r="Q823" s="169" t="s">
        <v>306</v>
      </c>
      <c r="R823" s="169" t="s">
        <v>283</v>
      </c>
      <c r="S823" s="169" t="s">
        <v>283</v>
      </c>
      <c r="T823" s="169">
        <v>0</v>
      </c>
    </row>
    <row r="824" spans="2:20" x14ac:dyDescent="0.2">
      <c r="B824" s="167" t="str">
        <f>_xlfn.XLOOKUP(I824,Mapping!D:D,Mapping!E:E)</f>
        <v>Hành Chánh Nhân Sự</v>
      </c>
      <c r="C824" s="167" t="str">
        <f>_xlfn.XLOOKUP(F824,Mapping!A:A,Mapping!F:F)</f>
        <v>Khen thưởng BD khác</v>
      </c>
      <c r="D824" s="173">
        <v>45778</v>
      </c>
      <c r="E824" s="169" t="s">
        <v>726</v>
      </c>
      <c r="F824" s="169" t="s">
        <v>300</v>
      </c>
      <c r="G824" s="169" t="s">
        <v>222</v>
      </c>
      <c r="H824" s="169" t="s">
        <v>301</v>
      </c>
      <c r="I824" s="169" t="s">
        <v>302</v>
      </c>
      <c r="J824" s="169" t="s">
        <v>727</v>
      </c>
      <c r="K824" s="169" t="s">
        <v>724</v>
      </c>
      <c r="L824" s="169" t="s">
        <v>713</v>
      </c>
      <c r="M824" s="169" t="s">
        <v>281</v>
      </c>
      <c r="N824" s="178">
        <v>2400000</v>
      </c>
      <c r="O824" s="169" t="s">
        <v>728</v>
      </c>
      <c r="P824" s="169" t="s">
        <v>283</v>
      </c>
      <c r="Q824" s="169" t="s">
        <v>306</v>
      </c>
      <c r="R824" s="169" t="s">
        <v>283</v>
      </c>
      <c r="S824" s="169" t="s">
        <v>283</v>
      </c>
      <c r="T824" s="169">
        <v>0</v>
      </c>
    </row>
    <row r="825" spans="2:20" x14ac:dyDescent="0.2">
      <c r="B825" s="167" t="str">
        <f>_xlfn.XLOOKUP(I825,Mapping!D:D,Mapping!E:E)</f>
        <v>Hành Chánh Nhân Sự</v>
      </c>
      <c r="C825" s="167" t="str">
        <f>_xlfn.XLOOKUP(F825,Mapping!A:A,Mapping!F:F)</f>
        <v>Khen thưởng BD khác</v>
      </c>
      <c r="D825" s="173">
        <v>45798</v>
      </c>
      <c r="E825" s="169" t="s">
        <v>729</v>
      </c>
      <c r="F825" s="169" t="s">
        <v>300</v>
      </c>
      <c r="G825" s="169" t="s">
        <v>222</v>
      </c>
      <c r="H825" s="169" t="s">
        <v>301</v>
      </c>
      <c r="I825" s="169" t="s">
        <v>302</v>
      </c>
      <c r="J825" s="169" t="s">
        <v>730</v>
      </c>
      <c r="K825" s="169" t="s">
        <v>731</v>
      </c>
      <c r="L825" s="169" t="s">
        <v>713</v>
      </c>
      <c r="M825" s="169" t="s">
        <v>281</v>
      </c>
      <c r="N825" s="178">
        <v>-6175000</v>
      </c>
      <c r="O825" s="169" t="s">
        <v>732</v>
      </c>
      <c r="P825" s="169" t="s">
        <v>283</v>
      </c>
      <c r="Q825" s="169" t="s">
        <v>284</v>
      </c>
      <c r="R825" s="169" t="s">
        <v>283</v>
      </c>
      <c r="S825" s="169" t="s">
        <v>283</v>
      </c>
      <c r="T825" s="169">
        <v>0</v>
      </c>
    </row>
    <row r="826" spans="2:20" x14ac:dyDescent="0.2">
      <c r="B826" s="167" t="str">
        <f>_xlfn.XLOOKUP(I826,Mapping!D:D,Mapping!E:E)</f>
        <v>Hành Chánh Nhân Sự</v>
      </c>
      <c r="C826" s="167" t="str">
        <f>_xlfn.XLOOKUP(F826,Mapping!A:A,Mapping!F:F)</f>
        <v>Lương Chính +T13</v>
      </c>
      <c r="D826" s="173">
        <v>45798</v>
      </c>
      <c r="E826" s="169" t="s">
        <v>729</v>
      </c>
      <c r="F826" s="169" t="s">
        <v>274</v>
      </c>
      <c r="G826" s="169" t="s">
        <v>275</v>
      </c>
      <c r="H826" s="169" t="s">
        <v>301</v>
      </c>
      <c r="I826" s="169" t="s">
        <v>302</v>
      </c>
      <c r="J826" s="169" t="s">
        <v>730</v>
      </c>
      <c r="K826" s="169" t="s">
        <v>731</v>
      </c>
      <c r="L826" s="169" t="s">
        <v>713</v>
      </c>
      <c r="M826" s="169" t="s">
        <v>281</v>
      </c>
      <c r="N826" s="178">
        <v>-13016446</v>
      </c>
      <c r="O826" s="169" t="s">
        <v>732</v>
      </c>
      <c r="P826" s="169" t="s">
        <v>283</v>
      </c>
      <c r="Q826" s="169" t="s">
        <v>284</v>
      </c>
      <c r="R826" s="169" t="s">
        <v>283</v>
      </c>
      <c r="S826" s="169" t="s">
        <v>283</v>
      </c>
      <c r="T826" s="169">
        <v>0</v>
      </c>
    </row>
    <row r="827" spans="2:20" x14ac:dyDescent="0.2">
      <c r="B827" s="167" t="str">
        <f>_xlfn.XLOOKUP(I827,Mapping!D:D,Mapping!E:E)</f>
        <v>Văn Phòng Giám Đốc</v>
      </c>
      <c r="C827" s="167" t="str">
        <f>_xlfn.XLOOKUP(F827,Mapping!A:A,Mapping!F:F)</f>
        <v>Lương Chính +T13</v>
      </c>
      <c r="D827" s="173">
        <v>45808</v>
      </c>
      <c r="E827" s="169" t="s">
        <v>710</v>
      </c>
      <c r="F827" s="169" t="s">
        <v>274</v>
      </c>
      <c r="G827" s="169" t="s">
        <v>275</v>
      </c>
      <c r="H827" s="169" t="s">
        <v>320</v>
      </c>
      <c r="I827" s="169" t="s">
        <v>321</v>
      </c>
      <c r="J827" s="169" t="s">
        <v>711</v>
      </c>
      <c r="K827" s="169" t="s">
        <v>712</v>
      </c>
      <c r="L827" s="169" t="s">
        <v>713</v>
      </c>
      <c r="M827" s="169" t="s">
        <v>281</v>
      </c>
      <c r="N827" s="178">
        <v>77896034</v>
      </c>
      <c r="O827" s="169" t="s">
        <v>714</v>
      </c>
      <c r="P827" s="169" t="s">
        <v>283</v>
      </c>
      <c r="Q827" s="169" t="s">
        <v>284</v>
      </c>
      <c r="R827" s="169" t="s">
        <v>283</v>
      </c>
      <c r="S827" s="169" t="s">
        <v>283</v>
      </c>
      <c r="T827" s="169">
        <v>0</v>
      </c>
    </row>
    <row r="828" spans="2:20" x14ac:dyDescent="0.2">
      <c r="B828" s="167" t="str">
        <f>_xlfn.XLOOKUP(I828,Mapping!D:D,Mapping!E:E)</f>
        <v>Văn Phòng Giám Đốc</v>
      </c>
      <c r="C828" s="167" t="str">
        <f>_xlfn.XLOOKUP(F828,Mapping!A:A,Mapping!F:F)</f>
        <v>Lương Chính +T13</v>
      </c>
      <c r="D828" s="173">
        <v>45808</v>
      </c>
      <c r="E828" s="169" t="s">
        <v>710</v>
      </c>
      <c r="F828" s="169" t="s">
        <v>285</v>
      </c>
      <c r="G828" s="169" t="s">
        <v>286</v>
      </c>
      <c r="H828" s="169" t="s">
        <v>320</v>
      </c>
      <c r="I828" s="169" t="s">
        <v>321</v>
      </c>
      <c r="J828" s="169" t="s">
        <v>711</v>
      </c>
      <c r="K828" s="169" t="s">
        <v>712</v>
      </c>
      <c r="L828" s="169" t="s">
        <v>713</v>
      </c>
      <c r="M828" s="169" t="s">
        <v>281</v>
      </c>
      <c r="N828" s="178">
        <v>4715385</v>
      </c>
      <c r="O828" s="169" t="s">
        <v>714</v>
      </c>
      <c r="P828" s="169" t="s">
        <v>283</v>
      </c>
      <c r="Q828" s="169" t="s">
        <v>284</v>
      </c>
      <c r="R828" s="169" t="s">
        <v>283</v>
      </c>
      <c r="S828" s="169" t="s">
        <v>283</v>
      </c>
      <c r="T828" s="169">
        <v>0</v>
      </c>
    </row>
    <row r="829" spans="2:20" x14ac:dyDescent="0.2">
      <c r="B829" s="167" t="str">
        <f>_xlfn.XLOOKUP(I829,Mapping!D:D,Mapping!E:E)</f>
        <v>Văn Phòng Giám Đốc</v>
      </c>
      <c r="C829" s="167" t="str">
        <f>_xlfn.XLOOKUP(F829,Mapping!A:A,Mapping!F:F)</f>
        <v>Thưởng</v>
      </c>
      <c r="D829" s="173">
        <v>45808</v>
      </c>
      <c r="E829" s="169" t="s">
        <v>710</v>
      </c>
      <c r="F829" s="169" t="s">
        <v>290</v>
      </c>
      <c r="G829" s="169" t="s">
        <v>291</v>
      </c>
      <c r="H829" s="169" t="s">
        <v>320</v>
      </c>
      <c r="I829" s="169" t="s">
        <v>321</v>
      </c>
      <c r="J829" s="169" t="s">
        <v>711</v>
      </c>
      <c r="K829" s="169" t="s">
        <v>712</v>
      </c>
      <c r="L829" s="169" t="s">
        <v>713</v>
      </c>
      <c r="M829" s="169" t="s">
        <v>281</v>
      </c>
      <c r="N829" s="178">
        <v>600000</v>
      </c>
      <c r="O829" s="169" t="s">
        <v>714</v>
      </c>
      <c r="P829" s="169" t="s">
        <v>283</v>
      </c>
      <c r="Q829" s="169" t="s">
        <v>284</v>
      </c>
      <c r="R829" s="169" t="s">
        <v>283</v>
      </c>
      <c r="S829" s="169" t="s">
        <v>283</v>
      </c>
      <c r="T829" s="169">
        <v>0</v>
      </c>
    </row>
    <row r="830" spans="2:20" x14ac:dyDescent="0.2">
      <c r="B830" s="167" t="str">
        <f>_xlfn.XLOOKUP(I830,Mapping!D:D,Mapping!E:E)</f>
        <v>Văn Phòng Giám Đốc</v>
      </c>
      <c r="C830" s="167" t="str">
        <f>_xlfn.XLOOKUP(F830,Mapping!A:A,Mapping!F:F)</f>
        <v>Phụ Cấp</v>
      </c>
      <c r="D830" s="173">
        <v>45808</v>
      </c>
      <c r="E830" s="169" t="s">
        <v>710</v>
      </c>
      <c r="F830" s="169" t="s">
        <v>335</v>
      </c>
      <c r="G830" s="169" t="s">
        <v>336</v>
      </c>
      <c r="H830" s="169" t="s">
        <v>320</v>
      </c>
      <c r="I830" s="169" t="s">
        <v>321</v>
      </c>
      <c r="J830" s="169" t="s">
        <v>711</v>
      </c>
      <c r="K830" s="169" t="s">
        <v>712</v>
      </c>
      <c r="L830" s="169" t="s">
        <v>713</v>
      </c>
      <c r="M830" s="169" t="s">
        <v>281</v>
      </c>
      <c r="N830" s="178">
        <v>50000</v>
      </c>
      <c r="O830" s="169" t="s">
        <v>714</v>
      </c>
      <c r="P830" s="169" t="s">
        <v>283</v>
      </c>
      <c r="Q830" s="169" t="s">
        <v>284</v>
      </c>
      <c r="R830" s="169" t="s">
        <v>283</v>
      </c>
      <c r="S830" s="169" t="s">
        <v>283</v>
      </c>
      <c r="T830" s="169">
        <v>0</v>
      </c>
    </row>
    <row r="831" spans="2:20" x14ac:dyDescent="0.2">
      <c r="B831" s="167" t="str">
        <f>_xlfn.XLOOKUP(I831,Mapping!D:D,Mapping!E:E)</f>
        <v>Hành Chánh Nhân Sự</v>
      </c>
      <c r="C831" s="167" t="str">
        <f>_xlfn.XLOOKUP(F831,Mapping!A:A,Mapping!F:F)</f>
        <v>Phụ Cấp</v>
      </c>
      <c r="D831" s="173">
        <v>45808</v>
      </c>
      <c r="E831" s="169" t="s">
        <v>710</v>
      </c>
      <c r="F831" s="169" t="s">
        <v>340</v>
      </c>
      <c r="G831" s="169" t="s">
        <v>341</v>
      </c>
      <c r="H831" s="169" t="s">
        <v>301</v>
      </c>
      <c r="I831" s="169" t="s">
        <v>302</v>
      </c>
      <c r="J831" s="169" t="s">
        <v>711</v>
      </c>
      <c r="K831" s="169" t="s">
        <v>712</v>
      </c>
      <c r="L831" s="169" t="s">
        <v>713</v>
      </c>
      <c r="M831" s="169" t="s">
        <v>281</v>
      </c>
      <c r="N831" s="178">
        <v>7896386</v>
      </c>
      <c r="O831" s="169" t="s">
        <v>714</v>
      </c>
      <c r="P831" s="169" t="s">
        <v>283</v>
      </c>
      <c r="Q831" s="169" t="s">
        <v>284</v>
      </c>
      <c r="R831" s="169" t="s">
        <v>283</v>
      </c>
      <c r="S831" s="169" t="s">
        <v>283</v>
      </c>
      <c r="T831" s="169">
        <v>0</v>
      </c>
    </row>
    <row r="832" spans="2:20" x14ac:dyDescent="0.2">
      <c r="B832" s="167" t="str">
        <f>_xlfn.XLOOKUP(I832,Mapping!D:D,Mapping!E:E)</f>
        <v>Hành Chánh Nhân Sự</v>
      </c>
      <c r="C832" s="167" t="str">
        <f>_xlfn.XLOOKUP(F832,Mapping!A:A,Mapping!F:F)</f>
        <v>Lương Chính +T13</v>
      </c>
      <c r="D832" s="173">
        <v>45808</v>
      </c>
      <c r="E832" s="169" t="s">
        <v>710</v>
      </c>
      <c r="F832" s="169" t="s">
        <v>274</v>
      </c>
      <c r="G832" s="169" t="s">
        <v>275</v>
      </c>
      <c r="H832" s="169" t="s">
        <v>301</v>
      </c>
      <c r="I832" s="169" t="s">
        <v>302</v>
      </c>
      <c r="J832" s="169" t="s">
        <v>711</v>
      </c>
      <c r="K832" s="169" t="s">
        <v>712</v>
      </c>
      <c r="L832" s="169" t="s">
        <v>713</v>
      </c>
      <c r="M832" s="169" t="s">
        <v>281</v>
      </c>
      <c r="N832" s="178">
        <v>430137102</v>
      </c>
      <c r="O832" s="169" t="s">
        <v>714</v>
      </c>
      <c r="P832" s="169" t="s">
        <v>283</v>
      </c>
      <c r="Q832" s="169" t="s">
        <v>284</v>
      </c>
      <c r="R832" s="169" t="s">
        <v>283</v>
      </c>
      <c r="S832" s="169" t="s">
        <v>283</v>
      </c>
      <c r="T832" s="169">
        <v>0</v>
      </c>
    </row>
    <row r="833" spans="2:20" x14ac:dyDescent="0.2">
      <c r="B833" s="167" t="str">
        <f>_xlfn.XLOOKUP(I833,Mapping!D:D,Mapping!E:E)</f>
        <v>Hành Chánh Nhân Sự</v>
      </c>
      <c r="C833" s="167" t="str">
        <f>_xlfn.XLOOKUP(F833,Mapping!A:A,Mapping!F:F)</f>
        <v>Lương Chính +T13</v>
      </c>
      <c r="D833" s="173">
        <v>45808</v>
      </c>
      <c r="E833" s="169" t="s">
        <v>710</v>
      </c>
      <c r="F833" s="169" t="s">
        <v>285</v>
      </c>
      <c r="G833" s="169" t="s">
        <v>286</v>
      </c>
      <c r="H833" s="169" t="s">
        <v>301</v>
      </c>
      <c r="I833" s="169" t="s">
        <v>302</v>
      </c>
      <c r="J833" s="169" t="s">
        <v>711</v>
      </c>
      <c r="K833" s="169" t="s">
        <v>712</v>
      </c>
      <c r="L833" s="169" t="s">
        <v>713</v>
      </c>
      <c r="M833" s="169" t="s">
        <v>281</v>
      </c>
      <c r="N833" s="178">
        <v>21053632</v>
      </c>
      <c r="O833" s="169" t="s">
        <v>714</v>
      </c>
      <c r="P833" s="169" t="s">
        <v>283</v>
      </c>
      <c r="Q833" s="169" t="s">
        <v>284</v>
      </c>
      <c r="R833" s="169" t="s">
        <v>283</v>
      </c>
      <c r="S833" s="169" t="s">
        <v>283</v>
      </c>
      <c r="T833" s="169">
        <v>0</v>
      </c>
    </row>
    <row r="834" spans="2:20" x14ac:dyDescent="0.2">
      <c r="B834" s="167" t="str">
        <f>_xlfn.XLOOKUP(I834,Mapping!D:D,Mapping!E:E)</f>
        <v>Hành Chánh Nhân Sự</v>
      </c>
      <c r="C834" s="167" t="str">
        <f>_xlfn.XLOOKUP(F834,Mapping!A:A,Mapping!F:F)</f>
        <v>Lương Ngoài giờ</v>
      </c>
      <c r="D834" s="173">
        <v>45808</v>
      </c>
      <c r="E834" s="169" t="s">
        <v>710</v>
      </c>
      <c r="F834" s="169" t="s">
        <v>342</v>
      </c>
      <c r="G834" s="169" t="s">
        <v>343</v>
      </c>
      <c r="H834" s="169" t="s">
        <v>301</v>
      </c>
      <c r="I834" s="169" t="s">
        <v>302</v>
      </c>
      <c r="J834" s="169" t="s">
        <v>711</v>
      </c>
      <c r="K834" s="169" t="s">
        <v>712</v>
      </c>
      <c r="L834" s="169" t="s">
        <v>713</v>
      </c>
      <c r="M834" s="169" t="s">
        <v>281</v>
      </c>
      <c r="N834" s="178">
        <v>102736172</v>
      </c>
      <c r="O834" s="169" t="s">
        <v>714</v>
      </c>
      <c r="P834" s="169" t="s">
        <v>283</v>
      </c>
      <c r="Q834" s="169" t="s">
        <v>284</v>
      </c>
      <c r="R834" s="169" t="s">
        <v>283</v>
      </c>
      <c r="S834" s="169" t="s">
        <v>283</v>
      </c>
      <c r="T834" s="169">
        <v>0</v>
      </c>
    </row>
    <row r="835" spans="2:20" x14ac:dyDescent="0.2">
      <c r="B835" s="167" t="str">
        <f>_xlfn.XLOOKUP(I835,Mapping!D:D,Mapping!E:E)</f>
        <v>Hành Chánh Nhân Sự</v>
      </c>
      <c r="C835" s="167" t="str">
        <f>_xlfn.XLOOKUP(F835,Mapping!A:A,Mapping!F:F)</f>
        <v>Thưởng</v>
      </c>
      <c r="D835" s="173">
        <v>45808</v>
      </c>
      <c r="E835" s="169" t="s">
        <v>710</v>
      </c>
      <c r="F835" s="169" t="s">
        <v>290</v>
      </c>
      <c r="G835" s="169" t="s">
        <v>291</v>
      </c>
      <c r="H835" s="169" t="s">
        <v>301</v>
      </c>
      <c r="I835" s="169" t="s">
        <v>302</v>
      </c>
      <c r="J835" s="169" t="s">
        <v>711</v>
      </c>
      <c r="K835" s="169" t="s">
        <v>712</v>
      </c>
      <c r="L835" s="169" t="s">
        <v>713</v>
      </c>
      <c r="M835" s="169" t="s">
        <v>281</v>
      </c>
      <c r="N835" s="178">
        <v>7000000</v>
      </c>
      <c r="O835" s="169" t="s">
        <v>714</v>
      </c>
      <c r="P835" s="169" t="s">
        <v>283</v>
      </c>
      <c r="Q835" s="169" t="s">
        <v>284</v>
      </c>
      <c r="R835" s="169" t="s">
        <v>283</v>
      </c>
      <c r="S835" s="169" t="s">
        <v>283</v>
      </c>
      <c r="T835" s="169">
        <v>0</v>
      </c>
    </row>
    <row r="836" spans="2:20" x14ac:dyDescent="0.2">
      <c r="B836" s="167" t="str">
        <f>_xlfn.XLOOKUP(I836,Mapping!D:D,Mapping!E:E)</f>
        <v>Hành Chánh Nhân Sự</v>
      </c>
      <c r="C836" s="167" t="str">
        <f>_xlfn.XLOOKUP(F836,Mapping!A:A,Mapping!F:F)</f>
        <v>Phụ Cấp</v>
      </c>
      <c r="D836" s="173">
        <v>45808</v>
      </c>
      <c r="E836" s="169" t="s">
        <v>710</v>
      </c>
      <c r="F836" s="169" t="s">
        <v>335</v>
      </c>
      <c r="G836" s="169" t="s">
        <v>336</v>
      </c>
      <c r="H836" s="169" t="s">
        <v>301</v>
      </c>
      <c r="I836" s="169" t="s">
        <v>302</v>
      </c>
      <c r="J836" s="169" t="s">
        <v>711</v>
      </c>
      <c r="K836" s="169" t="s">
        <v>712</v>
      </c>
      <c r="L836" s="169" t="s">
        <v>713</v>
      </c>
      <c r="M836" s="169" t="s">
        <v>281</v>
      </c>
      <c r="N836" s="178">
        <v>5410000</v>
      </c>
      <c r="O836" s="169" t="s">
        <v>714</v>
      </c>
      <c r="P836" s="169" t="s">
        <v>283</v>
      </c>
      <c r="Q836" s="169" t="s">
        <v>284</v>
      </c>
      <c r="R836" s="169" t="s">
        <v>283</v>
      </c>
      <c r="S836" s="169" t="s">
        <v>283</v>
      </c>
      <c r="T836" s="169">
        <v>0</v>
      </c>
    </row>
    <row r="837" spans="2:20" x14ac:dyDescent="0.2">
      <c r="B837" s="167" t="str">
        <f>_xlfn.XLOOKUP(I837,Mapping!D:D,Mapping!E:E)</f>
        <v>Văn Phòng Giám Đốc</v>
      </c>
      <c r="C837" s="167" t="str">
        <f>_xlfn.XLOOKUP(F837,Mapping!A:A,Mapping!F:F)</f>
        <v>Lương Chính +T13</v>
      </c>
      <c r="D837" s="173">
        <v>45808</v>
      </c>
      <c r="E837" s="169" t="s">
        <v>715</v>
      </c>
      <c r="F837" s="169" t="s">
        <v>285</v>
      </c>
      <c r="G837" s="169" t="s">
        <v>286</v>
      </c>
      <c r="H837" s="169" t="s">
        <v>320</v>
      </c>
      <c r="I837" s="169" t="s">
        <v>321</v>
      </c>
      <c r="J837" s="169" t="s">
        <v>716</v>
      </c>
      <c r="K837" s="169" t="s">
        <v>712</v>
      </c>
      <c r="L837" s="169" t="s">
        <v>713</v>
      </c>
      <c r="M837" s="169" t="s">
        <v>281</v>
      </c>
      <c r="N837" s="178">
        <v>7270833</v>
      </c>
      <c r="O837" s="169" t="s">
        <v>717</v>
      </c>
      <c r="P837" s="169" t="s">
        <v>283</v>
      </c>
      <c r="Q837" s="169" t="s">
        <v>284</v>
      </c>
      <c r="R837" s="169" t="s">
        <v>283</v>
      </c>
      <c r="S837" s="169" t="s">
        <v>283</v>
      </c>
      <c r="T837" s="169">
        <v>0</v>
      </c>
    </row>
    <row r="838" spans="2:20" x14ac:dyDescent="0.2">
      <c r="B838" s="167" t="str">
        <f>_xlfn.XLOOKUP(I838,Mapping!D:D,Mapping!E:E)</f>
        <v>Văn Phòng Giám Đốc</v>
      </c>
      <c r="C838" s="167" t="str">
        <f>_xlfn.XLOOKUP(F838,Mapping!A:A,Mapping!F:F)</f>
        <v>Thưởng</v>
      </c>
      <c r="D838" s="173">
        <v>45808</v>
      </c>
      <c r="E838" s="169" t="s">
        <v>715</v>
      </c>
      <c r="F838" s="169" t="s">
        <v>292</v>
      </c>
      <c r="G838" s="169" t="s">
        <v>77</v>
      </c>
      <c r="H838" s="169" t="s">
        <v>320</v>
      </c>
      <c r="I838" s="169" t="s">
        <v>321</v>
      </c>
      <c r="J838" s="169" t="s">
        <v>718</v>
      </c>
      <c r="K838" s="169" t="s">
        <v>712</v>
      </c>
      <c r="L838" s="169" t="s">
        <v>713</v>
      </c>
      <c r="M838" s="169" t="s">
        <v>281</v>
      </c>
      <c r="N838" s="178">
        <v>6689109</v>
      </c>
      <c r="O838" s="169" t="s">
        <v>717</v>
      </c>
      <c r="P838" s="169" t="s">
        <v>283</v>
      </c>
      <c r="Q838" s="169" t="s">
        <v>284</v>
      </c>
      <c r="R838" s="169" t="s">
        <v>283</v>
      </c>
      <c r="S838" s="169" t="s">
        <v>283</v>
      </c>
      <c r="T838" s="169">
        <v>0</v>
      </c>
    </row>
    <row r="839" spans="2:20" x14ac:dyDescent="0.2">
      <c r="B839" s="167" t="str">
        <f>_xlfn.XLOOKUP(I839,Mapping!D:D,Mapping!E:E)</f>
        <v>Hành Chánh Nhân Sự</v>
      </c>
      <c r="C839" s="167" t="str">
        <f>_xlfn.XLOOKUP(F839,Mapping!A:A,Mapping!F:F)</f>
        <v>Lương Chính +T13</v>
      </c>
      <c r="D839" s="173">
        <v>45808</v>
      </c>
      <c r="E839" s="169" t="s">
        <v>715</v>
      </c>
      <c r="F839" s="169" t="s">
        <v>285</v>
      </c>
      <c r="G839" s="169" t="s">
        <v>286</v>
      </c>
      <c r="H839" s="169" t="s">
        <v>301</v>
      </c>
      <c r="I839" s="169" t="s">
        <v>302</v>
      </c>
      <c r="J839" s="169" t="s">
        <v>716</v>
      </c>
      <c r="K839" s="169" t="s">
        <v>712</v>
      </c>
      <c r="L839" s="169" t="s">
        <v>713</v>
      </c>
      <c r="M839" s="169" t="s">
        <v>281</v>
      </c>
      <c r="N839" s="178">
        <v>40707728</v>
      </c>
      <c r="O839" s="169" t="s">
        <v>717</v>
      </c>
      <c r="P839" s="169" t="s">
        <v>283</v>
      </c>
      <c r="Q839" s="169" t="s">
        <v>284</v>
      </c>
      <c r="R839" s="169" t="s">
        <v>283</v>
      </c>
      <c r="S839" s="169" t="s">
        <v>283</v>
      </c>
      <c r="T839" s="169">
        <v>0</v>
      </c>
    </row>
    <row r="840" spans="2:20" x14ac:dyDescent="0.2">
      <c r="B840" s="167" t="str">
        <f>_xlfn.XLOOKUP(I840,Mapping!D:D,Mapping!E:E)</f>
        <v>Hành Chánh Nhân Sự</v>
      </c>
      <c r="C840" s="167" t="str">
        <f>_xlfn.XLOOKUP(F840,Mapping!A:A,Mapping!F:F)</f>
        <v>Thưởng</v>
      </c>
      <c r="D840" s="173">
        <v>45808</v>
      </c>
      <c r="E840" s="169" t="s">
        <v>715</v>
      </c>
      <c r="F840" s="169" t="s">
        <v>292</v>
      </c>
      <c r="G840" s="169" t="s">
        <v>77</v>
      </c>
      <c r="H840" s="169" t="s">
        <v>301</v>
      </c>
      <c r="I840" s="169" t="s">
        <v>302</v>
      </c>
      <c r="J840" s="169" t="s">
        <v>718</v>
      </c>
      <c r="K840" s="169" t="s">
        <v>712</v>
      </c>
      <c r="L840" s="169" t="s">
        <v>713</v>
      </c>
      <c r="M840" s="169" t="s">
        <v>281</v>
      </c>
      <c r="N840" s="178">
        <v>32304018</v>
      </c>
      <c r="O840" s="169" t="s">
        <v>717</v>
      </c>
      <c r="P840" s="169" t="s">
        <v>283</v>
      </c>
      <c r="Q840" s="169" t="s">
        <v>284</v>
      </c>
      <c r="R840" s="169" t="s">
        <v>283</v>
      </c>
      <c r="S840" s="169" t="s">
        <v>283</v>
      </c>
      <c r="T840" s="169">
        <v>0</v>
      </c>
    </row>
    <row r="841" spans="2:20" x14ac:dyDescent="0.2">
      <c r="B841" s="167" t="str">
        <f>_xlfn.XLOOKUP(I841,Mapping!D:D,Mapping!E:E)</f>
        <v>Văn Phòng Giám Đốc</v>
      </c>
      <c r="C841" s="167" t="str">
        <f>_xlfn.XLOOKUP(F841,Mapping!A:A,Mapping!F:F)</f>
        <v>BHXH, BHYT, KPCĐ</v>
      </c>
      <c r="D841" s="173">
        <v>45808</v>
      </c>
      <c r="E841" s="169" t="s">
        <v>719</v>
      </c>
      <c r="F841" s="169" t="s">
        <v>295</v>
      </c>
      <c r="G841" s="169" t="s">
        <v>296</v>
      </c>
      <c r="H841" s="169" t="s">
        <v>320</v>
      </c>
      <c r="I841" s="169" t="s">
        <v>321</v>
      </c>
      <c r="J841" s="169" t="s">
        <v>720</v>
      </c>
      <c r="K841" s="169" t="s">
        <v>712</v>
      </c>
      <c r="L841" s="169" t="s">
        <v>713</v>
      </c>
      <c r="M841" s="169" t="s">
        <v>281</v>
      </c>
      <c r="N841" s="178">
        <v>20503750</v>
      </c>
      <c r="O841" s="169" t="s">
        <v>721</v>
      </c>
      <c r="P841" s="169" t="s">
        <v>283</v>
      </c>
      <c r="Q841" s="169" t="s">
        <v>284</v>
      </c>
      <c r="R841" s="169" t="s">
        <v>283</v>
      </c>
      <c r="S841" s="169" t="s">
        <v>283</v>
      </c>
      <c r="T841" s="169">
        <v>0</v>
      </c>
    </row>
    <row r="842" spans="2:20" x14ac:dyDescent="0.2">
      <c r="B842" s="167" t="str">
        <f>_xlfn.XLOOKUP(I842,Mapping!D:D,Mapping!E:E)</f>
        <v>Hành Chánh Nhân Sự</v>
      </c>
      <c r="C842" s="167" t="str">
        <f>_xlfn.XLOOKUP(F842,Mapping!A:A,Mapping!F:F)</f>
        <v>BHXH, BHYT, KPCĐ</v>
      </c>
      <c r="D842" s="173">
        <v>45808</v>
      </c>
      <c r="E842" s="169" t="s">
        <v>719</v>
      </c>
      <c r="F842" s="169" t="s">
        <v>295</v>
      </c>
      <c r="G842" s="169" t="s">
        <v>296</v>
      </c>
      <c r="H842" s="169" t="s">
        <v>301</v>
      </c>
      <c r="I842" s="169" t="s">
        <v>302</v>
      </c>
      <c r="J842" s="169" t="s">
        <v>720</v>
      </c>
      <c r="K842" s="169" t="s">
        <v>712</v>
      </c>
      <c r="L842" s="169" t="s">
        <v>713</v>
      </c>
      <c r="M842" s="169" t="s">
        <v>281</v>
      </c>
      <c r="N842" s="178">
        <v>98200645</v>
      </c>
      <c r="O842" s="169" t="s">
        <v>721</v>
      </c>
      <c r="P842" s="169" t="s">
        <v>283</v>
      </c>
      <c r="Q842" s="169" t="s">
        <v>284</v>
      </c>
      <c r="R842" s="169" t="s">
        <v>283</v>
      </c>
      <c r="S842" s="169" t="s">
        <v>283</v>
      </c>
      <c r="T842" s="169">
        <v>0</v>
      </c>
    </row>
    <row r="843" spans="2:20" x14ac:dyDescent="0.2">
      <c r="B843" s="167" t="str">
        <f>_xlfn.XLOOKUP(I843,Mapping!D:D,Mapping!E:E)</f>
        <v>Hành Chánh Nhân Sự</v>
      </c>
      <c r="C843" s="167" t="str">
        <f>_xlfn.XLOOKUP(F843,Mapping!A:A,Mapping!F:F)</f>
        <v>BHXH, BHYT, KPCĐ</v>
      </c>
      <c r="D843" s="173">
        <v>45808</v>
      </c>
      <c r="E843" s="169" t="s">
        <v>719</v>
      </c>
      <c r="F843" s="169" t="s">
        <v>295</v>
      </c>
      <c r="G843" s="169" t="s">
        <v>296</v>
      </c>
      <c r="H843" s="169" t="s">
        <v>301</v>
      </c>
      <c r="I843" s="169" t="s">
        <v>302</v>
      </c>
      <c r="J843" s="169" t="s">
        <v>720</v>
      </c>
      <c r="K843" s="169" t="s">
        <v>712</v>
      </c>
      <c r="L843" s="169" t="s">
        <v>713</v>
      </c>
      <c r="M843" s="169" t="s">
        <v>281</v>
      </c>
      <c r="N843" s="178">
        <v>1352895</v>
      </c>
      <c r="O843" s="169" t="s">
        <v>721</v>
      </c>
      <c r="P843" s="169" t="s">
        <v>283</v>
      </c>
      <c r="Q843" s="169" t="s">
        <v>284</v>
      </c>
      <c r="R843" s="169" t="s">
        <v>283</v>
      </c>
      <c r="S843" s="169" t="s">
        <v>283</v>
      </c>
      <c r="T843" s="169">
        <v>0</v>
      </c>
    </row>
    <row r="844" spans="2:20" x14ac:dyDescent="0.2">
      <c r="B844" s="167" t="str">
        <f>_xlfn.XLOOKUP(I844,Mapping!D:D,Mapping!E:E)</f>
        <v>Hành Chánh Nhân Sự</v>
      </c>
      <c r="C844" s="167" t="str">
        <f>_xlfn.XLOOKUP(F844,Mapping!A:A,Mapping!F:F)</f>
        <v>Lương Chính +T13</v>
      </c>
      <c r="D844" s="173">
        <v>45808</v>
      </c>
      <c r="E844" s="169" t="s">
        <v>733</v>
      </c>
      <c r="F844" s="169" t="s">
        <v>274</v>
      </c>
      <c r="G844" s="169" t="s">
        <v>275</v>
      </c>
      <c r="H844" s="169" t="s">
        <v>301</v>
      </c>
      <c r="I844" s="169" t="s">
        <v>302</v>
      </c>
      <c r="J844" s="169" t="s">
        <v>734</v>
      </c>
      <c r="K844" s="169" t="s">
        <v>328</v>
      </c>
      <c r="L844" s="169" t="s">
        <v>713</v>
      </c>
      <c r="M844" s="169" t="s">
        <v>281</v>
      </c>
      <c r="N844" s="178">
        <v>84884516</v>
      </c>
      <c r="O844" s="169" t="s">
        <v>735</v>
      </c>
      <c r="P844" s="169" t="s">
        <v>283</v>
      </c>
      <c r="Q844" s="169" t="s">
        <v>306</v>
      </c>
      <c r="R844" s="169" t="s">
        <v>283</v>
      </c>
      <c r="S844" s="169" t="s">
        <v>283</v>
      </c>
      <c r="T844" s="169">
        <v>0</v>
      </c>
    </row>
    <row r="845" spans="2:20" x14ac:dyDescent="0.2">
      <c r="B845" s="167" t="str">
        <f>_xlfn.XLOOKUP(I845,Mapping!D:D,Mapping!E:E)</f>
        <v>Hành Chánh Nhân Sự</v>
      </c>
      <c r="C845" s="167" t="str">
        <f>_xlfn.XLOOKUP(F845,Mapping!A:A,Mapping!F:F)</f>
        <v>Phụ Cấp</v>
      </c>
      <c r="D845" s="173">
        <v>45782</v>
      </c>
      <c r="E845" s="169" t="s">
        <v>736</v>
      </c>
      <c r="F845" s="169" t="s">
        <v>335</v>
      </c>
      <c r="G845" s="169" t="s">
        <v>336</v>
      </c>
      <c r="H845" s="169" t="s">
        <v>301</v>
      </c>
      <c r="I845" s="169" t="s">
        <v>302</v>
      </c>
      <c r="J845" s="169" t="s">
        <v>737</v>
      </c>
      <c r="K845" s="169" t="s">
        <v>338</v>
      </c>
      <c r="L845" s="169" t="s">
        <v>713</v>
      </c>
      <c r="M845" s="169" t="s">
        <v>281</v>
      </c>
      <c r="N845" s="178">
        <v>5900000</v>
      </c>
      <c r="O845" s="169" t="s">
        <v>738</v>
      </c>
      <c r="P845" s="169" t="s">
        <v>283</v>
      </c>
      <c r="Q845" s="169" t="s">
        <v>306</v>
      </c>
      <c r="R845" s="169" t="s">
        <v>283</v>
      </c>
      <c r="S845" s="169" t="s">
        <v>283</v>
      </c>
      <c r="T845" s="169">
        <v>0</v>
      </c>
    </row>
    <row r="846" spans="2:20" x14ac:dyDescent="0.2">
      <c r="B846" s="167" t="str">
        <f>_xlfn.XLOOKUP(I846,Mapping!D:D,Mapping!E:E)</f>
        <v>Văn Phòng Giám Đốc</v>
      </c>
      <c r="C846" s="167" t="str">
        <f>_xlfn.XLOOKUP(F846,Mapping!A:A,Mapping!F:F)</f>
        <v>Phụ Cấp</v>
      </c>
      <c r="D846" s="173">
        <v>45782</v>
      </c>
      <c r="E846" s="169" t="s">
        <v>736</v>
      </c>
      <c r="F846" s="169" t="s">
        <v>335</v>
      </c>
      <c r="G846" s="169" t="s">
        <v>336</v>
      </c>
      <c r="H846" s="169" t="s">
        <v>320</v>
      </c>
      <c r="I846" s="169" t="s">
        <v>321</v>
      </c>
      <c r="J846" s="169" t="s">
        <v>737</v>
      </c>
      <c r="K846" s="169" t="s">
        <v>338</v>
      </c>
      <c r="L846" s="169" t="s">
        <v>713</v>
      </c>
      <c r="M846" s="169" t="s">
        <v>281</v>
      </c>
      <c r="N846" s="178">
        <v>300000</v>
      </c>
      <c r="O846" s="169" t="s">
        <v>738</v>
      </c>
      <c r="P846" s="169" t="s">
        <v>283</v>
      </c>
      <c r="Q846" s="169" t="s">
        <v>306</v>
      </c>
      <c r="R846" s="169" t="s">
        <v>283</v>
      </c>
      <c r="S846" s="169" t="s">
        <v>283</v>
      </c>
      <c r="T846" s="169">
        <v>0</v>
      </c>
    </row>
    <row r="847" spans="2:20" x14ac:dyDescent="0.2">
      <c r="B847" s="167" t="str">
        <f>_xlfn.XLOOKUP(I847,Mapping!D:D,Mapping!E:E)</f>
        <v>Hành Chánh Nhân Sự</v>
      </c>
      <c r="C847" s="167" t="str">
        <f>_xlfn.XLOOKUP(F847,Mapping!A:A,Mapping!F:F)</f>
        <v>Phụ Cấp</v>
      </c>
      <c r="D847" s="173">
        <v>45803</v>
      </c>
      <c r="E847" s="169" t="s">
        <v>739</v>
      </c>
      <c r="F847" s="169" t="s">
        <v>335</v>
      </c>
      <c r="G847" s="169" t="s">
        <v>336</v>
      </c>
      <c r="H847" s="169" t="s">
        <v>301</v>
      </c>
      <c r="I847" s="169" t="s">
        <v>302</v>
      </c>
      <c r="J847" s="169" t="s">
        <v>740</v>
      </c>
      <c r="K847" s="169" t="s">
        <v>741</v>
      </c>
      <c r="L847" s="169" t="s">
        <v>713</v>
      </c>
      <c r="M847" s="169" t="s">
        <v>281</v>
      </c>
      <c r="N847" s="178">
        <v>19925000</v>
      </c>
      <c r="O847" s="169" t="s">
        <v>742</v>
      </c>
      <c r="P847" s="169" t="s">
        <v>283</v>
      </c>
      <c r="Q847" s="169" t="s">
        <v>306</v>
      </c>
      <c r="R847" s="169" t="s">
        <v>283</v>
      </c>
      <c r="S847" s="169" t="s">
        <v>283</v>
      </c>
      <c r="T847" s="169">
        <v>0</v>
      </c>
    </row>
    <row r="848" spans="2:20" x14ac:dyDescent="0.2">
      <c r="B848" s="167" t="str">
        <f>_xlfn.XLOOKUP(I848,Mapping!D:D,Mapping!E:E)</f>
        <v>Văn Phòng Giám Đốc</v>
      </c>
      <c r="C848" s="167" t="str">
        <f>_xlfn.XLOOKUP(F848,Mapping!A:A,Mapping!F:F)</f>
        <v>Phụ Cấp</v>
      </c>
      <c r="D848" s="173">
        <v>45803</v>
      </c>
      <c r="E848" s="169" t="s">
        <v>739</v>
      </c>
      <c r="F848" s="169" t="s">
        <v>335</v>
      </c>
      <c r="G848" s="169" t="s">
        <v>336</v>
      </c>
      <c r="H848" s="169" t="s">
        <v>320</v>
      </c>
      <c r="I848" s="169" t="s">
        <v>321</v>
      </c>
      <c r="J848" s="169" t="s">
        <v>740</v>
      </c>
      <c r="K848" s="169" t="s">
        <v>741</v>
      </c>
      <c r="L848" s="169" t="s">
        <v>713</v>
      </c>
      <c r="M848" s="169" t="s">
        <v>281</v>
      </c>
      <c r="N848" s="178">
        <v>1275000</v>
      </c>
      <c r="O848" s="169" t="s">
        <v>742</v>
      </c>
      <c r="P848" s="169" t="s">
        <v>283</v>
      </c>
      <c r="Q848" s="169" t="s">
        <v>306</v>
      </c>
      <c r="R848" s="169" t="s">
        <v>283</v>
      </c>
      <c r="S848" s="169" t="s">
        <v>283</v>
      </c>
      <c r="T848" s="169">
        <v>0</v>
      </c>
    </row>
    <row r="849" spans="2:20" x14ac:dyDescent="0.2">
      <c r="B849" s="167" t="str">
        <f>_xlfn.XLOOKUP(I849,Mapping!D:D,Mapping!E:E)</f>
        <v>Hành Chánh Nhân Sự</v>
      </c>
      <c r="C849" s="167" t="str">
        <f>_xlfn.XLOOKUP(F849,Mapping!A:A,Mapping!F:F)</f>
        <v>Khen thưởng BD khác</v>
      </c>
      <c r="D849" s="173">
        <v>45808</v>
      </c>
      <c r="E849" s="169" t="s">
        <v>743</v>
      </c>
      <c r="F849" s="169" t="s">
        <v>300</v>
      </c>
      <c r="G849" s="169" t="s">
        <v>222</v>
      </c>
      <c r="H849" s="169" t="s">
        <v>301</v>
      </c>
      <c r="I849" s="169" t="s">
        <v>302</v>
      </c>
      <c r="J849" s="169" t="s">
        <v>744</v>
      </c>
      <c r="K849" s="169" t="s">
        <v>745</v>
      </c>
      <c r="L849" s="169" t="s">
        <v>713</v>
      </c>
      <c r="M849" s="169" t="s">
        <v>281</v>
      </c>
      <c r="N849" s="178">
        <v>5400000</v>
      </c>
      <c r="O849" s="169" t="s">
        <v>746</v>
      </c>
      <c r="P849" s="169" t="s">
        <v>283</v>
      </c>
      <c r="Q849" s="169" t="s">
        <v>306</v>
      </c>
      <c r="R849" s="169" t="s">
        <v>283</v>
      </c>
      <c r="S849" s="169" t="s">
        <v>283</v>
      </c>
      <c r="T849" s="169">
        <v>0</v>
      </c>
    </row>
    <row r="850" spans="2:20" x14ac:dyDescent="0.2">
      <c r="B850" s="167" t="str">
        <f>_xlfn.XLOOKUP(I850,Mapping!D:D,Mapping!E:E)</f>
        <v>Hành Chánh Nhân Sự</v>
      </c>
      <c r="C850" s="167" t="str">
        <f>_xlfn.XLOOKUP(F850,Mapping!A:A,Mapping!F:F)</f>
        <v>Khen thưởng BD khác</v>
      </c>
      <c r="D850" s="173">
        <v>45808</v>
      </c>
      <c r="E850" s="169" t="s">
        <v>747</v>
      </c>
      <c r="F850" s="169" t="s">
        <v>300</v>
      </c>
      <c r="G850" s="169" t="s">
        <v>222</v>
      </c>
      <c r="H850" s="169" t="s">
        <v>301</v>
      </c>
      <c r="I850" s="169" t="s">
        <v>302</v>
      </c>
      <c r="J850" s="169" t="s">
        <v>748</v>
      </c>
      <c r="K850" s="169" t="s">
        <v>724</v>
      </c>
      <c r="L850" s="169" t="s">
        <v>713</v>
      </c>
      <c r="M850" s="169" t="s">
        <v>281</v>
      </c>
      <c r="N850" s="178">
        <v>600000</v>
      </c>
      <c r="O850" s="169" t="s">
        <v>749</v>
      </c>
      <c r="P850" s="169" t="s">
        <v>283</v>
      </c>
      <c r="Q850" s="169" t="s">
        <v>306</v>
      </c>
      <c r="R850" s="169" t="s">
        <v>283</v>
      </c>
      <c r="S850" s="169" t="s">
        <v>283</v>
      </c>
      <c r="T850" s="169">
        <v>0</v>
      </c>
    </row>
    <row r="851" spans="2:20" x14ac:dyDescent="0.2">
      <c r="B851" s="167" t="str">
        <f>_xlfn.XLOOKUP(I851,Mapping!D:D,Mapping!E:E)</f>
        <v>Kinh doanh</v>
      </c>
      <c r="C851" s="167" t="str">
        <f>_xlfn.XLOOKUP(F851,Mapping!A:A,Mapping!F:F)</f>
        <v>Thưởng</v>
      </c>
      <c r="D851" s="173">
        <v>45782</v>
      </c>
      <c r="E851" s="169" t="s">
        <v>750</v>
      </c>
      <c r="F851" s="169" t="s">
        <v>365</v>
      </c>
      <c r="G851" s="169" t="s">
        <v>291</v>
      </c>
      <c r="H851" s="169" t="s">
        <v>366</v>
      </c>
      <c r="I851" s="169" t="s">
        <v>1</v>
      </c>
      <c r="J851" s="169" t="s">
        <v>751</v>
      </c>
      <c r="K851" s="169" t="s">
        <v>752</v>
      </c>
      <c r="L851" s="169" t="s">
        <v>713</v>
      </c>
      <c r="M851" s="169" t="s">
        <v>281</v>
      </c>
      <c r="N851" s="178">
        <v>221682</v>
      </c>
      <c r="O851" s="169" t="s">
        <v>753</v>
      </c>
      <c r="P851" s="169" t="s">
        <v>283</v>
      </c>
      <c r="Q851" s="169" t="s">
        <v>370</v>
      </c>
      <c r="R851" s="169" t="s">
        <v>283</v>
      </c>
      <c r="S851" s="169" t="s">
        <v>283</v>
      </c>
      <c r="T851" s="169">
        <v>0</v>
      </c>
    </row>
    <row r="852" spans="2:20" x14ac:dyDescent="0.2">
      <c r="B852" s="167" t="str">
        <f>_xlfn.XLOOKUP(I852,Mapping!D:D,Mapping!E:E)</f>
        <v>Kế Toán</v>
      </c>
      <c r="C852" s="167" t="str">
        <f>_xlfn.XLOOKUP(F852,Mapping!A:A,Mapping!F:F)</f>
        <v>Lương Chính +T13</v>
      </c>
      <c r="D852" s="173">
        <v>45790</v>
      </c>
      <c r="E852" s="169" t="s">
        <v>754</v>
      </c>
      <c r="F852" s="169" t="s">
        <v>274</v>
      </c>
      <c r="G852" s="169" t="s">
        <v>275</v>
      </c>
      <c r="H852" s="169" t="s">
        <v>356</v>
      </c>
      <c r="I852" s="169" t="s">
        <v>357</v>
      </c>
      <c r="J852" s="169" t="s">
        <v>755</v>
      </c>
      <c r="K852" s="169" t="s">
        <v>756</v>
      </c>
      <c r="L852" s="169" t="s">
        <v>713</v>
      </c>
      <c r="M852" s="169" t="s">
        <v>281</v>
      </c>
      <c r="N852" s="178">
        <v>6060000</v>
      </c>
      <c r="O852" s="169" t="s">
        <v>757</v>
      </c>
      <c r="P852" s="169" t="s">
        <v>283</v>
      </c>
      <c r="Q852" s="169" t="s">
        <v>284</v>
      </c>
      <c r="R852" s="169" t="s">
        <v>283</v>
      </c>
      <c r="S852" s="169" t="s">
        <v>283</v>
      </c>
      <c r="T852" s="169">
        <v>0</v>
      </c>
    </row>
    <row r="853" spans="2:20" x14ac:dyDescent="0.2">
      <c r="B853" s="167" t="str">
        <f>_xlfn.XLOOKUP(I853,Mapping!D:D,Mapping!E:E)</f>
        <v>Kinh doanh</v>
      </c>
      <c r="C853" s="167" t="str">
        <f>_xlfn.XLOOKUP(F853,Mapping!A:A,Mapping!F:F)</f>
        <v>Phụ Cấp</v>
      </c>
      <c r="D853" s="173">
        <v>45786</v>
      </c>
      <c r="E853" s="169" t="s">
        <v>758</v>
      </c>
      <c r="F853" s="169" t="s">
        <v>385</v>
      </c>
      <c r="G853" s="169" t="s">
        <v>336</v>
      </c>
      <c r="H853" s="169" t="s">
        <v>366</v>
      </c>
      <c r="I853" s="169" t="s">
        <v>1</v>
      </c>
      <c r="J853" s="169" t="s">
        <v>759</v>
      </c>
      <c r="K853" s="169" t="s">
        <v>581</v>
      </c>
      <c r="L853" s="169" t="s">
        <v>713</v>
      </c>
      <c r="M853" s="169" t="s">
        <v>281</v>
      </c>
      <c r="N853" s="178">
        <v>5085890</v>
      </c>
      <c r="O853" s="169" t="s">
        <v>760</v>
      </c>
      <c r="P853" s="169" t="s">
        <v>283</v>
      </c>
      <c r="Q853" s="169" t="s">
        <v>306</v>
      </c>
      <c r="R853" s="169" t="s">
        <v>283</v>
      </c>
      <c r="S853" s="169" t="s">
        <v>283</v>
      </c>
      <c r="T853" s="169">
        <v>0</v>
      </c>
    </row>
    <row r="854" spans="2:20" x14ac:dyDescent="0.2">
      <c r="B854" s="167" t="str">
        <f>_xlfn.XLOOKUP(I854,Mapping!D:D,Mapping!E:E)</f>
        <v>Hành Chánh Nhân Sự</v>
      </c>
      <c r="C854" s="167" t="str">
        <f>_xlfn.XLOOKUP(F854,Mapping!A:A,Mapping!F:F)</f>
        <v>Khen thưởng BD khác</v>
      </c>
      <c r="D854" s="173">
        <v>45804</v>
      </c>
      <c r="E854" s="169" t="s">
        <v>761</v>
      </c>
      <c r="F854" s="169" t="s">
        <v>300</v>
      </c>
      <c r="G854" s="169" t="s">
        <v>222</v>
      </c>
      <c r="H854" s="169" t="s">
        <v>358</v>
      </c>
      <c r="I854" s="169" t="s">
        <v>359</v>
      </c>
      <c r="J854" s="169" t="s">
        <v>762</v>
      </c>
      <c r="K854" s="169" t="s">
        <v>762</v>
      </c>
      <c r="L854" s="169" t="s">
        <v>713</v>
      </c>
      <c r="M854" s="169" t="s">
        <v>281</v>
      </c>
      <c r="N854" s="178">
        <v>1500000</v>
      </c>
      <c r="O854" s="169" t="s">
        <v>763</v>
      </c>
      <c r="P854" s="169" t="s">
        <v>283</v>
      </c>
      <c r="Q854" s="169" t="s">
        <v>764</v>
      </c>
      <c r="R854" s="169" t="s">
        <v>283</v>
      </c>
      <c r="S854" s="169" t="s">
        <v>283</v>
      </c>
      <c r="T854" s="169">
        <v>0</v>
      </c>
    </row>
    <row r="855" spans="2:20" x14ac:dyDescent="0.2">
      <c r="B855" s="167" t="str">
        <f>_xlfn.XLOOKUP(I855,Mapping!D:D,Mapping!E:E)</f>
        <v>Kế Toán</v>
      </c>
      <c r="C855" s="167" t="str">
        <f>_xlfn.XLOOKUP(F855,Mapping!A:A,Mapping!F:F)</f>
        <v>Thưởng</v>
      </c>
      <c r="D855" s="173">
        <v>45804</v>
      </c>
      <c r="E855" s="169" t="s">
        <v>765</v>
      </c>
      <c r="F855" s="169" t="s">
        <v>365</v>
      </c>
      <c r="G855" s="169" t="s">
        <v>291</v>
      </c>
      <c r="H855" s="169" t="s">
        <v>356</v>
      </c>
      <c r="I855" s="169" t="s">
        <v>357</v>
      </c>
      <c r="J855" s="169" t="s">
        <v>766</v>
      </c>
      <c r="K855" s="169" t="s">
        <v>767</v>
      </c>
      <c r="L855" s="169" t="s">
        <v>713</v>
      </c>
      <c r="M855" s="169" t="s">
        <v>281</v>
      </c>
      <c r="N855" s="178">
        <v>574541</v>
      </c>
      <c r="O855" s="169" t="s">
        <v>768</v>
      </c>
      <c r="P855" s="169" t="s">
        <v>283</v>
      </c>
      <c r="Q855" s="169" t="s">
        <v>370</v>
      </c>
      <c r="R855" s="169" t="s">
        <v>283</v>
      </c>
      <c r="S855" s="169" t="s">
        <v>283</v>
      </c>
      <c r="T855" s="169">
        <v>0</v>
      </c>
    </row>
    <row r="856" spans="2:20" x14ac:dyDescent="0.2">
      <c r="B856" s="167" t="str">
        <f>_xlfn.XLOOKUP(I856,Mapping!D:D,Mapping!E:E)</f>
        <v>Kế Toán</v>
      </c>
      <c r="C856" s="167" t="str">
        <f>_xlfn.XLOOKUP(F856,Mapping!A:A,Mapping!F:F)</f>
        <v>Thưởng</v>
      </c>
      <c r="D856" s="173">
        <v>45804</v>
      </c>
      <c r="E856" s="169" t="s">
        <v>769</v>
      </c>
      <c r="F856" s="169" t="s">
        <v>365</v>
      </c>
      <c r="G856" s="169" t="s">
        <v>291</v>
      </c>
      <c r="H856" s="169" t="s">
        <v>356</v>
      </c>
      <c r="I856" s="169" t="s">
        <v>357</v>
      </c>
      <c r="J856" s="169" t="s">
        <v>766</v>
      </c>
      <c r="K856" s="169" t="s">
        <v>767</v>
      </c>
      <c r="L856" s="169" t="s">
        <v>713</v>
      </c>
      <c r="M856" s="169" t="s">
        <v>281</v>
      </c>
      <c r="N856" s="178">
        <v>-574541</v>
      </c>
      <c r="O856" s="169" t="s">
        <v>770</v>
      </c>
      <c r="P856" s="169" t="s">
        <v>447</v>
      </c>
      <c r="Q856" s="169" t="s">
        <v>284</v>
      </c>
      <c r="R856" s="169" t="s">
        <v>283</v>
      </c>
      <c r="S856" s="169" t="s">
        <v>283</v>
      </c>
      <c r="T856" s="169">
        <v>0</v>
      </c>
    </row>
    <row r="857" spans="2:20" x14ac:dyDescent="0.2">
      <c r="B857" s="167" t="str">
        <f>_xlfn.XLOOKUP(I857,Mapping!D:D,Mapping!E:E)</f>
        <v>Kinh doanh</v>
      </c>
      <c r="C857" s="167" t="str">
        <f>_xlfn.XLOOKUP(F857,Mapping!A:A,Mapping!F:F)</f>
        <v>Thưởng</v>
      </c>
      <c r="D857" s="173">
        <v>45804</v>
      </c>
      <c r="E857" s="169" t="s">
        <v>771</v>
      </c>
      <c r="F857" s="169" t="s">
        <v>365</v>
      </c>
      <c r="G857" s="169" t="s">
        <v>291</v>
      </c>
      <c r="H857" s="169" t="s">
        <v>366</v>
      </c>
      <c r="I857" s="169" t="s">
        <v>1</v>
      </c>
      <c r="J857" s="169" t="s">
        <v>766</v>
      </c>
      <c r="K857" s="169" t="s">
        <v>767</v>
      </c>
      <c r="L857" s="169" t="s">
        <v>713</v>
      </c>
      <c r="M857" s="169" t="s">
        <v>281</v>
      </c>
      <c r="N857" s="178">
        <v>574541</v>
      </c>
      <c r="O857" s="169" t="s">
        <v>772</v>
      </c>
      <c r="P857" s="169" t="s">
        <v>283</v>
      </c>
      <c r="Q857" s="169" t="s">
        <v>370</v>
      </c>
      <c r="R857" s="169" t="s">
        <v>283</v>
      </c>
      <c r="S857" s="169" t="s">
        <v>283</v>
      </c>
      <c r="T857" s="169">
        <v>0</v>
      </c>
    </row>
    <row r="858" spans="2:20" x14ac:dyDescent="0.2">
      <c r="B858" s="167" t="str">
        <f>_xlfn.XLOOKUP(I858,Mapping!D:D,Mapping!E:E)</f>
        <v>Kế Toán</v>
      </c>
      <c r="C858" s="167" t="str">
        <f>_xlfn.XLOOKUP(F858,Mapping!A:A,Mapping!F:F)</f>
        <v>Lương Chính +T13</v>
      </c>
      <c r="D858" s="173">
        <v>45808</v>
      </c>
      <c r="E858" s="169" t="s">
        <v>710</v>
      </c>
      <c r="F858" s="169" t="s">
        <v>274</v>
      </c>
      <c r="G858" s="169" t="s">
        <v>275</v>
      </c>
      <c r="H858" s="169" t="s">
        <v>356</v>
      </c>
      <c r="I858" s="169" t="s">
        <v>357</v>
      </c>
      <c r="J858" s="169" t="s">
        <v>711</v>
      </c>
      <c r="K858" s="169" t="s">
        <v>712</v>
      </c>
      <c r="L858" s="169" t="s">
        <v>713</v>
      </c>
      <c r="M858" s="169" t="s">
        <v>281</v>
      </c>
      <c r="N858" s="178">
        <v>428639273</v>
      </c>
      <c r="O858" s="169" t="s">
        <v>714</v>
      </c>
      <c r="P858" s="169" t="s">
        <v>283</v>
      </c>
      <c r="Q858" s="169" t="s">
        <v>284</v>
      </c>
      <c r="R858" s="169" t="s">
        <v>283</v>
      </c>
      <c r="S858" s="169" t="s">
        <v>283</v>
      </c>
      <c r="T858" s="169">
        <v>0</v>
      </c>
    </row>
    <row r="859" spans="2:20" x14ac:dyDescent="0.2">
      <c r="B859" s="167" t="str">
        <f>_xlfn.XLOOKUP(I859,Mapping!D:D,Mapping!E:E)</f>
        <v>Kế Toán</v>
      </c>
      <c r="C859" s="167" t="str">
        <f>_xlfn.XLOOKUP(F859,Mapping!A:A,Mapping!F:F)</f>
        <v>Lương Chính +T13</v>
      </c>
      <c r="D859" s="173">
        <v>45808</v>
      </c>
      <c r="E859" s="169" t="s">
        <v>710</v>
      </c>
      <c r="F859" s="169" t="s">
        <v>285</v>
      </c>
      <c r="G859" s="169" t="s">
        <v>286</v>
      </c>
      <c r="H859" s="169" t="s">
        <v>356</v>
      </c>
      <c r="I859" s="169" t="s">
        <v>357</v>
      </c>
      <c r="J859" s="169" t="s">
        <v>711</v>
      </c>
      <c r="K859" s="169" t="s">
        <v>712</v>
      </c>
      <c r="L859" s="169" t="s">
        <v>713</v>
      </c>
      <c r="M859" s="169" t="s">
        <v>281</v>
      </c>
      <c r="N859" s="178">
        <v>17737269</v>
      </c>
      <c r="O859" s="169" t="s">
        <v>714</v>
      </c>
      <c r="P859" s="169" t="s">
        <v>283</v>
      </c>
      <c r="Q859" s="169" t="s">
        <v>284</v>
      </c>
      <c r="R859" s="169" t="s">
        <v>283</v>
      </c>
      <c r="S859" s="169" t="s">
        <v>283</v>
      </c>
      <c r="T859" s="169">
        <v>0</v>
      </c>
    </row>
    <row r="860" spans="2:20" x14ac:dyDescent="0.2">
      <c r="B860" s="167" t="str">
        <f>_xlfn.XLOOKUP(I860,Mapping!D:D,Mapping!E:E)</f>
        <v>Kế Toán</v>
      </c>
      <c r="C860" s="167" t="str">
        <f>_xlfn.XLOOKUP(F860,Mapping!A:A,Mapping!F:F)</f>
        <v>Lương Ngoài giờ</v>
      </c>
      <c r="D860" s="173">
        <v>45808</v>
      </c>
      <c r="E860" s="169" t="s">
        <v>710</v>
      </c>
      <c r="F860" s="169" t="s">
        <v>342</v>
      </c>
      <c r="G860" s="169" t="s">
        <v>343</v>
      </c>
      <c r="H860" s="169" t="s">
        <v>356</v>
      </c>
      <c r="I860" s="169" t="s">
        <v>357</v>
      </c>
      <c r="J860" s="169" t="s">
        <v>711</v>
      </c>
      <c r="K860" s="169" t="s">
        <v>712</v>
      </c>
      <c r="L860" s="169" t="s">
        <v>713</v>
      </c>
      <c r="M860" s="169" t="s">
        <v>281</v>
      </c>
      <c r="N860" s="178">
        <v>58349279</v>
      </c>
      <c r="O860" s="169" t="s">
        <v>714</v>
      </c>
      <c r="P860" s="169" t="s">
        <v>283</v>
      </c>
      <c r="Q860" s="169" t="s">
        <v>284</v>
      </c>
      <c r="R860" s="169" t="s">
        <v>283</v>
      </c>
      <c r="S860" s="169" t="s">
        <v>283</v>
      </c>
      <c r="T860" s="169">
        <v>0</v>
      </c>
    </row>
    <row r="861" spans="2:20" x14ac:dyDescent="0.2">
      <c r="B861" s="167" t="str">
        <f>_xlfn.XLOOKUP(I861,Mapping!D:D,Mapping!E:E)</f>
        <v>Kế Toán</v>
      </c>
      <c r="C861" s="167" t="str">
        <f>_xlfn.XLOOKUP(F861,Mapping!A:A,Mapping!F:F)</f>
        <v>Thưởng</v>
      </c>
      <c r="D861" s="173">
        <v>45808</v>
      </c>
      <c r="E861" s="169" t="s">
        <v>710</v>
      </c>
      <c r="F861" s="169" t="s">
        <v>290</v>
      </c>
      <c r="G861" s="169" t="s">
        <v>291</v>
      </c>
      <c r="H861" s="169" t="s">
        <v>356</v>
      </c>
      <c r="I861" s="169" t="s">
        <v>357</v>
      </c>
      <c r="J861" s="169" t="s">
        <v>711</v>
      </c>
      <c r="K861" s="169" t="s">
        <v>712</v>
      </c>
      <c r="L861" s="169" t="s">
        <v>713</v>
      </c>
      <c r="M861" s="169" t="s">
        <v>281</v>
      </c>
      <c r="N861" s="178">
        <v>4800000</v>
      </c>
      <c r="O861" s="169" t="s">
        <v>714</v>
      </c>
      <c r="P861" s="169" t="s">
        <v>283</v>
      </c>
      <c r="Q861" s="169" t="s">
        <v>284</v>
      </c>
      <c r="R861" s="169" t="s">
        <v>283</v>
      </c>
      <c r="S861" s="169" t="s">
        <v>283</v>
      </c>
      <c r="T861" s="169">
        <v>0</v>
      </c>
    </row>
    <row r="862" spans="2:20" x14ac:dyDescent="0.2">
      <c r="B862" s="167" t="str">
        <f>_xlfn.XLOOKUP(I862,Mapping!D:D,Mapping!E:E)</f>
        <v>Kế Toán</v>
      </c>
      <c r="C862" s="167" t="str">
        <f>_xlfn.XLOOKUP(F862,Mapping!A:A,Mapping!F:F)</f>
        <v>Phụ Cấp</v>
      </c>
      <c r="D862" s="173">
        <v>45808</v>
      </c>
      <c r="E862" s="169" t="s">
        <v>710</v>
      </c>
      <c r="F862" s="169" t="s">
        <v>335</v>
      </c>
      <c r="G862" s="169" t="s">
        <v>336</v>
      </c>
      <c r="H862" s="169" t="s">
        <v>356</v>
      </c>
      <c r="I862" s="169" t="s">
        <v>357</v>
      </c>
      <c r="J862" s="169" t="s">
        <v>711</v>
      </c>
      <c r="K862" s="169" t="s">
        <v>712</v>
      </c>
      <c r="L862" s="169" t="s">
        <v>713</v>
      </c>
      <c r="M862" s="169" t="s">
        <v>281</v>
      </c>
      <c r="N862" s="178">
        <v>2575000</v>
      </c>
      <c r="O862" s="169" t="s">
        <v>714</v>
      </c>
      <c r="P862" s="169" t="s">
        <v>283</v>
      </c>
      <c r="Q862" s="169" t="s">
        <v>284</v>
      </c>
      <c r="R862" s="169" t="s">
        <v>283</v>
      </c>
      <c r="S862" s="169" t="s">
        <v>283</v>
      </c>
      <c r="T862" s="169">
        <v>0</v>
      </c>
    </row>
    <row r="863" spans="2:20" x14ac:dyDescent="0.2">
      <c r="B863" s="167" t="str">
        <f>_xlfn.XLOOKUP(I863,Mapping!D:D,Mapping!E:E)</f>
        <v>Kinh doanh</v>
      </c>
      <c r="C863" s="167" t="str">
        <f>_xlfn.XLOOKUP(F863,Mapping!A:A,Mapping!F:F)</f>
        <v>Lương Chính +T13</v>
      </c>
      <c r="D863" s="173">
        <v>45808</v>
      </c>
      <c r="E863" s="169" t="s">
        <v>710</v>
      </c>
      <c r="F863" s="169" t="s">
        <v>383</v>
      </c>
      <c r="G863" s="169" t="s">
        <v>275</v>
      </c>
      <c r="H863" s="169" t="s">
        <v>366</v>
      </c>
      <c r="I863" s="169" t="s">
        <v>1</v>
      </c>
      <c r="J863" s="169" t="s">
        <v>711</v>
      </c>
      <c r="K863" s="169" t="s">
        <v>712</v>
      </c>
      <c r="L863" s="169" t="s">
        <v>713</v>
      </c>
      <c r="M863" s="169" t="s">
        <v>281</v>
      </c>
      <c r="N863" s="178">
        <v>192729928</v>
      </c>
      <c r="O863" s="169" t="s">
        <v>714</v>
      </c>
      <c r="P863" s="169" t="s">
        <v>283</v>
      </c>
      <c r="Q863" s="169" t="s">
        <v>284</v>
      </c>
      <c r="R863" s="169" t="s">
        <v>283</v>
      </c>
      <c r="S863" s="169" t="s">
        <v>283</v>
      </c>
      <c r="T863" s="169">
        <v>0</v>
      </c>
    </row>
    <row r="864" spans="2:20" x14ac:dyDescent="0.2">
      <c r="B864" s="167" t="str">
        <f>_xlfn.XLOOKUP(I864,Mapping!D:D,Mapping!E:E)</f>
        <v>Kinh doanh</v>
      </c>
      <c r="C864" s="167" t="str">
        <f>_xlfn.XLOOKUP(F864,Mapping!A:A,Mapping!F:F)</f>
        <v>Lương Chính +T13</v>
      </c>
      <c r="D864" s="173">
        <v>45808</v>
      </c>
      <c r="E864" s="169" t="s">
        <v>710</v>
      </c>
      <c r="F864" s="169" t="s">
        <v>384</v>
      </c>
      <c r="G864" s="169" t="s">
        <v>286</v>
      </c>
      <c r="H864" s="169" t="s">
        <v>366</v>
      </c>
      <c r="I864" s="169" t="s">
        <v>1</v>
      </c>
      <c r="J864" s="169" t="s">
        <v>711</v>
      </c>
      <c r="K864" s="169" t="s">
        <v>712</v>
      </c>
      <c r="L864" s="169" t="s">
        <v>713</v>
      </c>
      <c r="M864" s="169" t="s">
        <v>281</v>
      </c>
      <c r="N864" s="178">
        <v>22572614</v>
      </c>
      <c r="O864" s="169" t="s">
        <v>714</v>
      </c>
      <c r="P864" s="169" t="s">
        <v>283</v>
      </c>
      <c r="Q864" s="169" t="s">
        <v>284</v>
      </c>
      <c r="R864" s="169" t="s">
        <v>283</v>
      </c>
      <c r="S864" s="169" t="s">
        <v>283</v>
      </c>
      <c r="T864" s="169">
        <v>0</v>
      </c>
    </row>
    <row r="865" spans="2:20" x14ac:dyDescent="0.2">
      <c r="B865" s="167" t="str">
        <f>_xlfn.XLOOKUP(I865,Mapping!D:D,Mapping!E:E)</f>
        <v>Kinh doanh</v>
      </c>
      <c r="C865" s="167" t="str">
        <f>_xlfn.XLOOKUP(F865,Mapping!A:A,Mapping!F:F)</f>
        <v>Thưởng</v>
      </c>
      <c r="D865" s="173">
        <v>45808</v>
      </c>
      <c r="E865" s="169" t="s">
        <v>710</v>
      </c>
      <c r="F865" s="169" t="s">
        <v>365</v>
      </c>
      <c r="G865" s="169" t="s">
        <v>291</v>
      </c>
      <c r="H865" s="169" t="s">
        <v>366</v>
      </c>
      <c r="I865" s="169" t="s">
        <v>1</v>
      </c>
      <c r="J865" s="169" t="s">
        <v>711</v>
      </c>
      <c r="K865" s="169" t="s">
        <v>712</v>
      </c>
      <c r="L865" s="169" t="s">
        <v>713</v>
      </c>
      <c r="M865" s="169" t="s">
        <v>281</v>
      </c>
      <c r="N865" s="178">
        <v>123549080</v>
      </c>
      <c r="O865" s="169" t="s">
        <v>714</v>
      </c>
      <c r="P865" s="169" t="s">
        <v>283</v>
      </c>
      <c r="Q865" s="169" t="s">
        <v>284</v>
      </c>
      <c r="R865" s="169" t="s">
        <v>283</v>
      </c>
      <c r="S865" s="169" t="s">
        <v>283</v>
      </c>
      <c r="T865" s="169">
        <v>0</v>
      </c>
    </row>
    <row r="866" spans="2:20" x14ac:dyDescent="0.2">
      <c r="B866" s="167" t="str">
        <f>_xlfn.XLOOKUP(I866,Mapping!D:D,Mapping!E:E)</f>
        <v>Kinh doanh</v>
      </c>
      <c r="C866" s="167" t="str">
        <f>_xlfn.XLOOKUP(F866,Mapping!A:A,Mapping!F:F)</f>
        <v>Phụ Cấp</v>
      </c>
      <c r="D866" s="173">
        <v>45808</v>
      </c>
      <c r="E866" s="169" t="s">
        <v>710</v>
      </c>
      <c r="F866" s="169" t="s">
        <v>385</v>
      </c>
      <c r="G866" s="169" t="s">
        <v>336</v>
      </c>
      <c r="H866" s="169" t="s">
        <v>366</v>
      </c>
      <c r="I866" s="169" t="s">
        <v>1</v>
      </c>
      <c r="J866" s="169" t="s">
        <v>711</v>
      </c>
      <c r="K866" s="169" t="s">
        <v>712</v>
      </c>
      <c r="L866" s="169" t="s">
        <v>713</v>
      </c>
      <c r="M866" s="169" t="s">
        <v>281</v>
      </c>
      <c r="N866" s="178">
        <v>50000</v>
      </c>
      <c r="O866" s="169" t="s">
        <v>714</v>
      </c>
      <c r="P866" s="169" t="s">
        <v>283</v>
      </c>
      <c r="Q866" s="169" t="s">
        <v>284</v>
      </c>
      <c r="R866" s="169" t="s">
        <v>283</v>
      </c>
      <c r="S866" s="169" t="s">
        <v>283</v>
      </c>
      <c r="T866" s="169">
        <v>0</v>
      </c>
    </row>
    <row r="867" spans="2:20" x14ac:dyDescent="0.2">
      <c r="B867" s="167" t="str">
        <f>_xlfn.XLOOKUP(I867,Mapping!D:D,Mapping!E:E)</f>
        <v>Hành Chánh Nhân Sự</v>
      </c>
      <c r="C867" s="167" t="str">
        <f>_xlfn.XLOOKUP(F867,Mapping!A:A,Mapping!F:F)</f>
        <v>Lương Chính +T13</v>
      </c>
      <c r="D867" s="173">
        <v>45808</v>
      </c>
      <c r="E867" s="169" t="s">
        <v>710</v>
      </c>
      <c r="F867" s="169" t="s">
        <v>274</v>
      </c>
      <c r="G867" s="169" t="s">
        <v>275</v>
      </c>
      <c r="H867" s="169" t="s">
        <v>382</v>
      </c>
      <c r="I867" s="169" t="s">
        <v>200</v>
      </c>
      <c r="J867" s="169" t="s">
        <v>711</v>
      </c>
      <c r="K867" s="169" t="s">
        <v>712</v>
      </c>
      <c r="L867" s="169" t="s">
        <v>713</v>
      </c>
      <c r="M867" s="169" t="s">
        <v>281</v>
      </c>
      <c r="N867" s="178">
        <v>56484349</v>
      </c>
      <c r="O867" s="169" t="s">
        <v>714</v>
      </c>
      <c r="P867" s="169" t="s">
        <v>283</v>
      </c>
      <c r="Q867" s="169" t="s">
        <v>284</v>
      </c>
      <c r="R867" s="169" t="s">
        <v>283</v>
      </c>
      <c r="S867" s="169" t="s">
        <v>283</v>
      </c>
      <c r="T867" s="169">
        <v>0</v>
      </c>
    </row>
    <row r="868" spans="2:20" x14ac:dyDescent="0.2">
      <c r="B868" s="167" t="str">
        <f>_xlfn.XLOOKUP(I868,Mapping!D:D,Mapping!E:E)</f>
        <v>Hành Chánh Nhân Sự</v>
      </c>
      <c r="C868" s="167" t="str">
        <f>_xlfn.XLOOKUP(F868,Mapping!A:A,Mapping!F:F)</f>
        <v>Lương Chính +T13</v>
      </c>
      <c r="D868" s="173">
        <v>45808</v>
      </c>
      <c r="E868" s="169" t="s">
        <v>710</v>
      </c>
      <c r="F868" s="169" t="s">
        <v>285</v>
      </c>
      <c r="G868" s="169" t="s">
        <v>286</v>
      </c>
      <c r="H868" s="169" t="s">
        <v>382</v>
      </c>
      <c r="I868" s="169" t="s">
        <v>200</v>
      </c>
      <c r="J868" s="169" t="s">
        <v>711</v>
      </c>
      <c r="K868" s="169" t="s">
        <v>712</v>
      </c>
      <c r="L868" s="169" t="s">
        <v>713</v>
      </c>
      <c r="M868" s="169" t="s">
        <v>281</v>
      </c>
      <c r="N868" s="178">
        <v>6354923</v>
      </c>
      <c r="O868" s="169" t="s">
        <v>714</v>
      </c>
      <c r="P868" s="169" t="s">
        <v>283</v>
      </c>
      <c r="Q868" s="169" t="s">
        <v>284</v>
      </c>
      <c r="R868" s="169" t="s">
        <v>283</v>
      </c>
      <c r="S868" s="169" t="s">
        <v>283</v>
      </c>
      <c r="T868" s="169">
        <v>0</v>
      </c>
    </row>
    <row r="869" spans="2:20" x14ac:dyDescent="0.2">
      <c r="B869" s="167" t="str">
        <f>_xlfn.XLOOKUP(I869,Mapping!D:D,Mapping!E:E)</f>
        <v>Hành Chánh Nhân Sự</v>
      </c>
      <c r="C869" s="167" t="str">
        <f>_xlfn.XLOOKUP(F869,Mapping!A:A,Mapping!F:F)</f>
        <v>Thưởng</v>
      </c>
      <c r="D869" s="173">
        <v>45808</v>
      </c>
      <c r="E869" s="169" t="s">
        <v>710</v>
      </c>
      <c r="F869" s="169" t="s">
        <v>290</v>
      </c>
      <c r="G869" s="169" t="s">
        <v>291</v>
      </c>
      <c r="H869" s="169" t="s">
        <v>382</v>
      </c>
      <c r="I869" s="169" t="s">
        <v>200</v>
      </c>
      <c r="J869" s="169" t="s">
        <v>711</v>
      </c>
      <c r="K869" s="169" t="s">
        <v>712</v>
      </c>
      <c r="L869" s="169" t="s">
        <v>713</v>
      </c>
      <c r="M869" s="169" t="s">
        <v>281</v>
      </c>
      <c r="N869" s="178">
        <v>600000</v>
      </c>
      <c r="O869" s="169" t="s">
        <v>714</v>
      </c>
      <c r="P869" s="169" t="s">
        <v>283</v>
      </c>
      <c r="Q869" s="169" t="s">
        <v>284</v>
      </c>
      <c r="R869" s="169" t="s">
        <v>283</v>
      </c>
      <c r="S869" s="169" t="s">
        <v>283</v>
      </c>
      <c r="T869" s="169">
        <v>0</v>
      </c>
    </row>
    <row r="870" spans="2:20" x14ac:dyDescent="0.2">
      <c r="B870" s="167" t="str">
        <f>_xlfn.XLOOKUP(I870,Mapping!D:D,Mapping!E:E)</f>
        <v>Hành Chánh Nhân Sự</v>
      </c>
      <c r="C870" s="167" t="str">
        <f>_xlfn.XLOOKUP(F870,Mapping!A:A,Mapping!F:F)</f>
        <v>Lương Chính +T13</v>
      </c>
      <c r="D870" s="173">
        <v>45808</v>
      </c>
      <c r="E870" s="169" t="s">
        <v>710</v>
      </c>
      <c r="F870" s="169" t="s">
        <v>274</v>
      </c>
      <c r="G870" s="169" t="s">
        <v>275</v>
      </c>
      <c r="H870" s="169" t="s">
        <v>358</v>
      </c>
      <c r="I870" s="169" t="s">
        <v>359</v>
      </c>
      <c r="J870" s="169" t="s">
        <v>711</v>
      </c>
      <c r="K870" s="169" t="s">
        <v>712</v>
      </c>
      <c r="L870" s="169" t="s">
        <v>713</v>
      </c>
      <c r="M870" s="169" t="s">
        <v>281</v>
      </c>
      <c r="N870" s="178">
        <v>94521625</v>
      </c>
      <c r="O870" s="169" t="s">
        <v>714</v>
      </c>
      <c r="P870" s="169" t="s">
        <v>283</v>
      </c>
      <c r="Q870" s="169" t="s">
        <v>284</v>
      </c>
      <c r="R870" s="169" t="s">
        <v>283</v>
      </c>
      <c r="S870" s="169" t="s">
        <v>283</v>
      </c>
      <c r="T870" s="169">
        <v>0</v>
      </c>
    </row>
    <row r="871" spans="2:20" x14ac:dyDescent="0.2">
      <c r="B871" s="167" t="str">
        <f>_xlfn.XLOOKUP(I871,Mapping!D:D,Mapping!E:E)</f>
        <v>Hành Chánh Nhân Sự</v>
      </c>
      <c r="C871" s="167" t="str">
        <f>_xlfn.XLOOKUP(F871,Mapping!A:A,Mapping!F:F)</f>
        <v>Lương Chính +T13</v>
      </c>
      <c r="D871" s="173">
        <v>45808</v>
      </c>
      <c r="E871" s="169" t="s">
        <v>710</v>
      </c>
      <c r="F871" s="169" t="s">
        <v>285</v>
      </c>
      <c r="G871" s="169" t="s">
        <v>286</v>
      </c>
      <c r="H871" s="169" t="s">
        <v>358</v>
      </c>
      <c r="I871" s="169" t="s">
        <v>359</v>
      </c>
      <c r="J871" s="169" t="s">
        <v>711</v>
      </c>
      <c r="K871" s="169" t="s">
        <v>712</v>
      </c>
      <c r="L871" s="169" t="s">
        <v>713</v>
      </c>
      <c r="M871" s="169" t="s">
        <v>281</v>
      </c>
      <c r="N871" s="178">
        <v>3960000</v>
      </c>
      <c r="O871" s="169" t="s">
        <v>714</v>
      </c>
      <c r="P871" s="169" t="s">
        <v>283</v>
      </c>
      <c r="Q871" s="169" t="s">
        <v>284</v>
      </c>
      <c r="R871" s="169" t="s">
        <v>283</v>
      </c>
      <c r="S871" s="169" t="s">
        <v>283</v>
      </c>
      <c r="T871" s="169">
        <v>0</v>
      </c>
    </row>
    <row r="872" spans="2:20" x14ac:dyDescent="0.2">
      <c r="B872" s="167" t="str">
        <f>_xlfn.XLOOKUP(I872,Mapping!D:D,Mapping!E:E)</f>
        <v>Hành Chánh Nhân Sự</v>
      </c>
      <c r="C872" s="167" t="str">
        <f>_xlfn.XLOOKUP(F872,Mapping!A:A,Mapping!F:F)</f>
        <v>Thưởng</v>
      </c>
      <c r="D872" s="173">
        <v>45808</v>
      </c>
      <c r="E872" s="169" t="s">
        <v>710</v>
      </c>
      <c r="F872" s="169" t="s">
        <v>290</v>
      </c>
      <c r="G872" s="169" t="s">
        <v>291</v>
      </c>
      <c r="H872" s="169" t="s">
        <v>358</v>
      </c>
      <c r="I872" s="169" t="s">
        <v>359</v>
      </c>
      <c r="J872" s="169" t="s">
        <v>711</v>
      </c>
      <c r="K872" s="169" t="s">
        <v>712</v>
      </c>
      <c r="L872" s="169" t="s">
        <v>713</v>
      </c>
      <c r="M872" s="169" t="s">
        <v>281</v>
      </c>
      <c r="N872" s="178">
        <v>1000000</v>
      </c>
      <c r="O872" s="169" t="s">
        <v>714</v>
      </c>
      <c r="P872" s="169" t="s">
        <v>283</v>
      </c>
      <c r="Q872" s="169" t="s">
        <v>284</v>
      </c>
      <c r="R872" s="169" t="s">
        <v>283</v>
      </c>
      <c r="S872" s="169" t="s">
        <v>283</v>
      </c>
      <c r="T872" s="169">
        <v>0</v>
      </c>
    </row>
    <row r="873" spans="2:20" x14ac:dyDescent="0.2">
      <c r="B873" s="167" t="str">
        <f>_xlfn.XLOOKUP(I873,Mapping!D:D,Mapping!E:E)</f>
        <v>Hành Chánh Nhân Sự</v>
      </c>
      <c r="C873" s="167" t="str">
        <f>_xlfn.XLOOKUP(F873,Mapping!A:A,Mapping!F:F)</f>
        <v>Khen thưởng BD khác</v>
      </c>
      <c r="D873" s="173">
        <v>45808</v>
      </c>
      <c r="E873" s="169" t="s">
        <v>710</v>
      </c>
      <c r="F873" s="169" t="s">
        <v>300</v>
      </c>
      <c r="G873" s="169" t="s">
        <v>222</v>
      </c>
      <c r="H873" s="169" t="s">
        <v>358</v>
      </c>
      <c r="I873" s="169" t="s">
        <v>359</v>
      </c>
      <c r="J873" s="169" t="s">
        <v>711</v>
      </c>
      <c r="K873" s="169" t="s">
        <v>712</v>
      </c>
      <c r="L873" s="169" t="s">
        <v>713</v>
      </c>
      <c r="M873" s="169" t="s">
        <v>281</v>
      </c>
      <c r="N873" s="178">
        <v>8400000</v>
      </c>
      <c r="O873" s="169" t="s">
        <v>714</v>
      </c>
      <c r="P873" s="169" t="s">
        <v>283</v>
      </c>
      <c r="Q873" s="169" t="s">
        <v>284</v>
      </c>
      <c r="R873" s="169" t="s">
        <v>283</v>
      </c>
      <c r="S873" s="169" t="s">
        <v>283</v>
      </c>
      <c r="T873" s="169">
        <v>0</v>
      </c>
    </row>
    <row r="874" spans="2:20" x14ac:dyDescent="0.2">
      <c r="B874" s="167" t="str">
        <f>_xlfn.XLOOKUP(I874,Mapping!D:D,Mapping!E:E)</f>
        <v>Kế Toán</v>
      </c>
      <c r="C874" s="167" t="str">
        <f>_xlfn.XLOOKUP(F874,Mapping!A:A,Mapping!F:F)</f>
        <v>Lương Chính +T13</v>
      </c>
      <c r="D874" s="173">
        <v>45808</v>
      </c>
      <c r="E874" s="169" t="s">
        <v>715</v>
      </c>
      <c r="F874" s="169" t="s">
        <v>285</v>
      </c>
      <c r="G874" s="169" t="s">
        <v>286</v>
      </c>
      <c r="H874" s="169" t="s">
        <v>356</v>
      </c>
      <c r="I874" s="169" t="s">
        <v>357</v>
      </c>
      <c r="J874" s="169" t="s">
        <v>716</v>
      </c>
      <c r="K874" s="169" t="s">
        <v>712</v>
      </c>
      <c r="L874" s="169" t="s">
        <v>713</v>
      </c>
      <c r="M874" s="169" t="s">
        <v>281</v>
      </c>
      <c r="N874" s="178">
        <v>39089763</v>
      </c>
      <c r="O874" s="169" t="s">
        <v>717</v>
      </c>
      <c r="P874" s="169" t="s">
        <v>283</v>
      </c>
      <c r="Q874" s="169" t="s">
        <v>284</v>
      </c>
      <c r="R874" s="169" t="s">
        <v>283</v>
      </c>
      <c r="S874" s="169" t="s">
        <v>283</v>
      </c>
      <c r="T874" s="169">
        <v>0</v>
      </c>
    </row>
    <row r="875" spans="2:20" x14ac:dyDescent="0.2">
      <c r="B875" s="167" t="str">
        <f>_xlfn.XLOOKUP(I875,Mapping!D:D,Mapping!E:E)</f>
        <v>Kế Toán</v>
      </c>
      <c r="C875" s="167" t="str">
        <f>_xlfn.XLOOKUP(F875,Mapping!A:A,Mapping!F:F)</f>
        <v>Thưởng</v>
      </c>
      <c r="D875" s="173">
        <v>45808</v>
      </c>
      <c r="E875" s="169" t="s">
        <v>715</v>
      </c>
      <c r="F875" s="169" t="s">
        <v>292</v>
      </c>
      <c r="G875" s="169" t="s">
        <v>77</v>
      </c>
      <c r="H875" s="169" t="s">
        <v>356</v>
      </c>
      <c r="I875" s="169" t="s">
        <v>357</v>
      </c>
      <c r="J875" s="169" t="s">
        <v>718</v>
      </c>
      <c r="K875" s="169" t="s">
        <v>712</v>
      </c>
      <c r="L875" s="169" t="s">
        <v>713</v>
      </c>
      <c r="M875" s="169" t="s">
        <v>281</v>
      </c>
      <c r="N875" s="178">
        <v>35365489</v>
      </c>
      <c r="O875" s="169" t="s">
        <v>717</v>
      </c>
      <c r="P875" s="169" t="s">
        <v>283</v>
      </c>
      <c r="Q875" s="169" t="s">
        <v>284</v>
      </c>
      <c r="R875" s="169" t="s">
        <v>283</v>
      </c>
      <c r="S875" s="169" t="s">
        <v>283</v>
      </c>
      <c r="T875" s="169">
        <v>0</v>
      </c>
    </row>
    <row r="876" spans="2:20" x14ac:dyDescent="0.2">
      <c r="B876" s="167" t="str">
        <f>_xlfn.XLOOKUP(I876,Mapping!D:D,Mapping!E:E)</f>
        <v>Kinh doanh</v>
      </c>
      <c r="C876" s="167" t="str">
        <f>_xlfn.XLOOKUP(F876,Mapping!A:A,Mapping!F:F)</f>
        <v>Lương Chính +T13</v>
      </c>
      <c r="D876" s="173">
        <v>45808</v>
      </c>
      <c r="E876" s="169" t="s">
        <v>715</v>
      </c>
      <c r="F876" s="169" t="s">
        <v>384</v>
      </c>
      <c r="G876" s="169" t="s">
        <v>286</v>
      </c>
      <c r="H876" s="169" t="s">
        <v>366</v>
      </c>
      <c r="I876" s="169" t="s">
        <v>1</v>
      </c>
      <c r="J876" s="169" t="s">
        <v>716</v>
      </c>
      <c r="K876" s="169" t="s">
        <v>712</v>
      </c>
      <c r="L876" s="169" t="s">
        <v>713</v>
      </c>
      <c r="M876" s="169" t="s">
        <v>281</v>
      </c>
      <c r="N876" s="178">
        <v>22296833</v>
      </c>
      <c r="O876" s="169" t="s">
        <v>717</v>
      </c>
      <c r="P876" s="169" t="s">
        <v>283</v>
      </c>
      <c r="Q876" s="169" t="s">
        <v>284</v>
      </c>
      <c r="R876" s="169" t="s">
        <v>283</v>
      </c>
      <c r="S876" s="169" t="s">
        <v>283</v>
      </c>
      <c r="T876" s="169">
        <v>0</v>
      </c>
    </row>
    <row r="877" spans="2:20" x14ac:dyDescent="0.2">
      <c r="B877" s="167" t="str">
        <f>_xlfn.XLOOKUP(I877,Mapping!D:D,Mapping!E:E)</f>
        <v>Kinh doanh</v>
      </c>
      <c r="C877" s="167" t="str">
        <f>_xlfn.XLOOKUP(F877,Mapping!A:A,Mapping!F:F)</f>
        <v>Thưởng</v>
      </c>
      <c r="D877" s="173">
        <v>45808</v>
      </c>
      <c r="E877" s="169" t="s">
        <v>715</v>
      </c>
      <c r="F877" s="169" t="s">
        <v>394</v>
      </c>
      <c r="G877" s="169" t="s">
        <v>77</v>
      </c>
      <c r="H877" s="169" t="s">
        <v>366</v>
      </c>
      <c r="I877" s="169" t="s">
        <v>1</v>
      </c>
      <c r="J877" s="169" t="s">
        <v>718</v>
      </c>
      <c r="K877" s="169" t="s">
        <v>712</v>
      </c>
      <c r="L877" s="169" t="s">
        <v>713</v>
      </c>
      <c r="M877" s="169" t="s">
        <v>281</v>
      </c>
      <c r="N877" s="178">
        <v>20512908</v>
      </c>
      <c r="O877" s="169" t="s">
        <v>717</v>
      </c>
      <c r="P877" s="169" t="s">
        <v>283</v>
      </c>
      <c r="Q877" s="169" t="s">
        <v>284</v>
      </c>
      <c r="R877" s="169" t="s">
        <v>283</v>
      </c>
      <c r="S877" s="169" t="s">
        <v>283</v>
      </c>
      <c r="T877" s="169">
        <v>0</v>
      </c>
    </row>
    <row r="878" spans="2:20" x14ac:dyDescent="0.2">
      <c r="B878" s="167" t="str">
        <f>_xlfn.XLOOKUP(I878,Mapping!D:D,Mapping!E:E)</f>
        <v>Hành Chánh Nhân Sự</v>
      </c>
      <c r="C878" s="167" t="str">
        <f>_xlfn.XLOOKUP(F878,Mapping!A:A,Mapping!F:F)</f>
        <v>Lương Chính +T13</v>
      </c>
      <c r="D878" s="173">
        <v>45808</v>
      </c>
      <c r="E878" s="169" t="s">
        <v>715</v>
      </c>
      <c r="F878" s="169" t="s">
        <v>285</v>
      </c>
      <c r="G878" s="169" t="s">
        <v>286</v>
      </c>
      <c r="H878" s="169" t="s">
        <v>382</v>
      </c>
      <c r="I878" s="169" t="s">
        <v>200</v>
      </c>
      <c r="J878" s="169" t="s">
        <v>716</v>
      </c>
      <c r="K878" s="169" t="s">
        <v>712</v>
      </c>
      <c r="L878" s="169" t="s">
        <v>713</v>
      </c>
      <c r="M878" s="169" t="s">
        <v>281</v>
      </c>
      <c r="N878" s="178">
        <v>6194250</v>
      </c>
      <c r="O878" s="169" t="s">
        <v>717</v>
      </c>
      <c r="P878" s="169" t="s">
        <v>283</v>
      </c>
      <c r="Q878" s="169" t="s">
        <v>284</v>
      </c>
      <c r="R878" s="169" t="s">
        <v>283</v>
      </c>
      <c r="S878" s="169" t="s">
        <v>283</v>
      </c>
      <c r="T878" s="169">
        <v>0</v>
      </c>
    </row>
    <row r="879" spans="2:20" x14ac:dyDescent="0.2">
      <c r="B879" s="167" t="str">
        <f>_xlfn.XLOOKUP(I879,Mapping!D:D,Mapping!E:E)</f>
        <v>Hành Chánh Nhân Sự</v>
      </c>
      <c r="C879" s="167" t="str">
        <f>_xlfn.XLOOKUP(F879,Mapping!A:A,Mapping!F:F)</f>
        <v>Thưởng</v>
      </c>
      <c r="D879" s="173">
        <v>45808</v>
      </c>
      <c r="E879" s="169" t="s">
        <v>715</v>
      </c>
      <c r="F879" s="169" t="s">
        <v>292</v>
      </c>
      <c r="G879" s="169" t="s">
        <v>77</v>
      </c>
      <c r="H879" s="169" t="s">
        <v>382</v>
      </c>
      <c r="I879" s="169" t="s">
        <v>200</v>
      </c>
      <c r="J879" s="169" t="s">
        <v>718</v>
      </c>
      <c r="K879" s="169" t="s">
        <v>712</v>
      </c>
      <c r="L879" s="169" t="s">
        <v>713</v>
      </c>
      <c r="M879" s="169" t="s">
        <v>281</v>
      </c>
      <c r="N879" s="178">
        <v>5698660</v>
      </c>
      <c r="O879" s="169" t="s">
        <v>717</v>
      </c>
      <c r="P879" s="169" t="s">
        <v>283</v>
      </c>
      <c r="Q879" s="169" t="s">
        <v>284</v>
      </c>
      <c r="R879" s="169" t="s">
        <v>283</v>
      </c>
      <c r="S879" s="169" t="s">
        <v>283</v>
      </c>
      <c r="T879" s="169">
        <v>0</v>
      </c>
    </row>
    <row r="880" spans="2:20" x14ac:dyDescent="0.2">
      <c r="B880" s="167" t="str">
        <f>_xlfn.XLOOKUP(I880,Mapping!D:D,Mapping!E:E)</f>
        <v>Hành Chánh Nhân Sự</v>
      </c>
      <c r="C880" s="167" t="str">
        <f>_xlfn.XLOOKUP(F880,Mapping!A:A,Mapping!F:F)</f>
        <v>Lương Chính +T13</v>
      </c>
      <c r="D880" s="173">
        <v>45808</v>
      </c>
      <c r="E880" s="169" t="s">
        <v>715</v>
      </c>
      <c r="F880" s="169" t="s">
        <v>285</v>
      </c>
      <c r="G880" s="169" t="s">
        <v>286</v>
      </c>
      <c r="H880" s="169" t="s">
        <v>358</v>
      </c>
      <c r="I880" s="169" t="s">
        <v>359</v>
      </c>
      <c r="J880" s="169" t="s">
        <v>716</v>
      </c>
      <c r="K880" s="169" t="s">
        <v>712</v>
      </c>
      <c r="L880" s="169" t="s">
        <v>713</v>
      </c>
      <c r="M880" s="169" t="s">
        <v>281</v>
      </c>
      <c r="N880" s="178">
        <v>8468167</v>
      </c>
      <c r="O880" s="169" t="s">
        <v>717</v>
      </c>
      <c r="P880" s="169" t="s">
        <v>283</v>
      </c>
      <c r="Q880" s="169" t="s">
        <v>284</v>
      </c>
      <c r="R880" s="169" t="s">
        <v>283</v>
      </c>
      <c r="S880" s="169" t="s">
        <v>283</v>
      </c>
      <c r="T880" s="169">
        <v>0</v>
      </c>
    </row>
    <row r="881" spans="2:20" x14ac:dyDescent="0.2">
      <c r="B881" s="167" t="str">
        <f>_xlfn.XLOOKUP(I881,Mapping!D:D,Mapping!E:E)</f>
        <v>Hành Chánh Nhân Sự</v>
      </c>
      <c r="C881" s="167" t="str">
        <f>_xlfn.XLOOKUP(F881,Mapping!A:A,Mapping!F:F)</f>
        <v>Thưởng</v>
      </c>
      <c r="D881" s="173">
        <v>45808</v>
      </c>
      <c r="E881" s="169" t="s">
        <v>715</v>
      </c>
      <c r="F881" s="169" t="s">
        <v>292</v>
      </c>
      <c r="G881" s="169" t="s">
        <v>77</v>
      </c>
      <c r="H881" s="169" t="s">
        <v>358</v>
      </c>
      <c r="I881" s="169" t="s">
        <v>359</v>
      </c>
      <c r="J881" s="169" t="s">
        <v>718</v>
      </c>
      <c r="K881" s="169" t="s">
        <v>712</v>
      </c>
      <c r="L881" s="169" t="s">
        <v>713</v>
      </c>
      <c r="M881" s="169" t="s">
        <v>281</v>
      </c>
      <c r="N881" s="178">
        <v>7790646</v>
      </c>
      <c r="O881" s="169" t="s">
        <v>717</v>
      </c>
      <c r="P881" s="169" t="s">
        <v>283</v>
      </c>
      <c r="Q881" s="169" t="s">
        <v>284</v>
      </c>
      <c r="R881" s="169" t="s">
        <v>283</v>
      </c>
      <c r="S881" s="169" t="s">
        <v>283</v>
      </c>
      <c r="T881" s="169">
        <v>0</v>
      </c>
    </row>
    <row r="882" spans="2:20" x14ac:dyDescent="0.2">
      <c r="B882" s="167" t="str">
        <f>_xlfn.XLOOKUP(I882,Mapping!D:D,Mapping!E:E)</f>
        <v>Kế Toán</v>
      </c>
      <c r="C882" s="167" t="str">
        <f>_xlfn.XLOOKUP(F882,Mapping!A:A,Mapping!F:F)</f>
        <v>BHXH, BHYT, KPCĐ</v>
      </c>
      <c r="D882" s="173">
        <v>45808</v>
      </c>
      <c r="E882" s="169" t="s">
        <v>719</v>
      </c>
      <c r="F882" s="169" t="s">
        <v>295</v>
      </c>
      <c r="G882" s="169" t="s">
        <v>296</v>
      </c>
      <c r="H882" s="169" t="s">
        <v>356</v>
      </c>
      <c r="I882" s="169" t="s">
        <v>357</v>
      </c>
      <c r="J882" s="169" t="s">
        <v>720</v>
      </c>
      <c r="K882" s="169" t="s">
        <v>712</v>
      </c>
      <c r="L882" s="169" t="s">
        <v>713</v>
      </c>
      <c r="M882" s="169" t="s">
        <v>281</v>
      </c>
      <c r="N882" s="178">
        <v>91781855</v>
      </c>
      <c r="O882" s="169" t="s">
        <v>721</v>
      </c>
      <c r="P882" s="169" t="s">
        <v>283</v>
      </c>
      <c r="Q882" s="169" t="s">
        <v>284</v>
      </c>
      <c r="R882" s="169" t="s">
        <v>283</v>
      </c>
      <c r="S882" s="169" t="s">
        <v>283</v>
      </c>
      <c r="T882" s="169">
        <v>0</v>
      </c>
    </row>
    <row r="883" spans="2:20" x14ac:dyDescent="0.2">
      <c r="B883" s="167" t="str">
        <f>_xlfn.XLOOKUP(I883,Mapping!D:D,Mapping!E:E)</f>
        <v>Kinh doanh</v>
      </c>
      <c r="C883" s="167" t="str">
        <f>_xlfn.XLOOKUP(F883,Mapping!A:A,Mapping!F:F)</f>
        <v>BHXH, BHYT, KPCĐ</v>
      </c>
      <c r="D883" s="173">
        <v>45808</v>
      </c>
      <c r="E883" s="169" t="s">
        <v>719</v>
      </c>
      <c r="F883" s="169" t="s">
        <v>392</v>
      </c>
      <c r="G883" s="169" t="s">
        <v>296</v>
      </c>
      <c r="H883" s="169" t="s">
        <v>366</v>
      </c>
      <c r="I883" s="169" t="s">
        <v>1</v>
      </c>
      <c r="J883" s="169" t="s">
        <v>720</v>
      </c>
      <c r="K883" s="169" t="s">
        <v>712</v>
      </c>
      <c r="L883" s="169" t="s">
        <v>713</v>
      </c>
      <c r="M883" s="169" t="s">
        <v>281</v>
      </c>
      <c r="N883" s="178">
        <v>56494945</v>
      </c>
      <c r="O883" s="169" t="s">
        <v>721</v>
      </c>
      <c r="P883" s="169" t="s">
        <v>283</v>
      </c>
      <c r="Q883" s="169" t="s">
        <v>284</v>
      </c>
      <c r="R883" s="169" t="s">
        <v>283</v>
      </c>
      <c r="S883" s="169" t="s">
        <v>283</v>
      </c>
      <c r="T883" s="169">
        <v>0</v>
      </c>
    </row>
    <row r="884" spans="2:20" x14ac:dyDescent="0.2">
      <c r="B884" s="167" t="str">
        <f>_xlfn.XLOOKUP(I884,Mapping!D:D,Mapping!E:E)</f>
        <v>Hành Chánh Nhân Sự</v>
      </c>
      <c r="C884" s="167" t="str">
        <f>_xlfn.XLOOKUP(F884,Mapping!A:A,Mapping!F:F)</f>
        <v>BHXH, BHYT, KPCĐ</v>
      </c>
      <c r="D884" s="173">
        <v>45808</v>
      </c>
      <c r="E884" s="169" t="s">
        <v>719</v>
      </c>
      <c r="F884" s="169" t="s">
        <v>295</v>
      </c>
      <c r="G884" s="169" t="s">
        <v>296</v>
      </c>
      <c r="H884" s="169" t="s">
        <v>382</v>
      </c>
      <c r="I884" s="169" t="s">
        <v>200</v>
      </c>
      <c r="J884" s="169" t="s">
        <v>720</v>
      </c>
      <c r="K884" s="169" t="s">
        <v>712</v>
      </c>
      <c r="L884" s="169" t="s">
        <v>713</v>
      </c>
      <c r="M884" s="169" t="s">
        <v>281</v>
      </c>
      <c r="N884" s="178">
        <v>17467785</v>
      </c>
      <c r="O884" s="169" t="s">
        <v>721</v>
      </c>
      <c r="P884" s="169" t="s">
        <v>283</v>
      </c>
      <c r="Q884" s="169" t="s">
        <v>284</v>
      </c>
      <c r="R884" s="169" t="s">
        <v>283</v>
      </c>
      <c r="S884" s="169" t="s">
        <v>283</v>
      </c>
      <c r="T884" s="169">
        <v>0</v>
      </c>
    </row>
    <row r="885" spans="2:20" x14ac:dyDescent="0.2">
      <c r="B885" s="167" t="str">
        <f>_xlfn.XLOOKUP(I885,Mapping!D:D,Mapping!E:E)</f>
        <v>Hành Chánh Nhân Sự</v>
      </c>
      <c r="C885" s="167" t="str">
        <f>_xlfn.XLOOKUP(F885,Mapping!A:A,Mapping!F:F)</f>
        <v>BHXH, BHYT, KPCĐ</v>
      </c>
      <c r="D885" s="173">
        <v>45808</v>
      </c>
      <c r="E885" s="169" t="s">
        <v>719</v>
      </c>
      <c r="F885" s="169" t="s">
        <v>295</v>
      </c>
      <c r="G885" s="169" t="s">
        <v>296</v>
      </c>
      <c r="H885" s="169" t="s">
        <v>358</v>
      </c>
      <c r="I885" s="169" t="s">
        <v>359</v>
      </c>
      <c r="J885" s="169" t="s">
        <v>720</v>
      </c>
      <c r="K885" s="169" t="s">
        <v>712</v>
      </c>
      <c r="L885" s="169" t="s">
        <v>713</v>
      </c>
      <c r="M885" s="169" t="s">
        <v>281</v>
      </c>
      <c r="N885" s="178">
        <v>21177730</v>
      </c>
      <c r="O885" s="169" t="s">
        <v>721</v>
      </c>
      <c r="P885" s="169" t="s">
        <v>283</v>
      </c>
      <c r="Q885" s="169" t="s">
        <v>284</v>
      </c>
      <c r="R885" s="169" t="s">
        <v>283</v>
      </c>
      <c r="S885" s="169" t="s">
        <v>283</v>
      </c>
      <c r="T885" s="169">
        <v>0</v>
      </c>
    </row>
    <row r="886" spans="2:20" x14ac:dyDescent="0.2">
      <c r="B886" s="167" t="str">
        <f>_xlfn.XLOOKUP(I886,Mapping!D:D,Mapping!E:E)</f>
        <v>Kế Toán</v>
      </c>
      <c r="C886" s="167" t="str">
        <f>_xlfn.XLOOKUP(F886,Mapping!A:A,Mapping!F:F)</f>
        <v>Phụ Cấp</v>
      </c>
      <c r="D886" s="173">
        <v>45782</v>
      </c>
      <c r="E886" s="169" t="s">
        <v>736</v>
      </c>
      <c r="F886" s="169" t="s">
        <v>335</v>
      </c>
      <c r="G886" s="169" t="s">
        <v>336</v>
      </c>
      <c r="H886" s="169" t="s">
        <v>356</v>
      </c>
      <c r="I886" s="169" t="s">
        <v>357</v>
      </c>
      <c r="J886" s="169" t="s">
        <v>737</v>
      </c>
      <c r="K886" s="169" t="s">
        <v>338</v>
      </c>
      <c r="L886" s="169" t="s">
        <v>713</v>
      </c>
      <c r="M886" s="169" t="s">
        <v>281</v>
      </c>
      <c r="N886" s="178">
        <v>2600000</v>
      </c>
      <c r="O886" s="169" t="s">
        <v>738</v>
      </c>
      <c r="P886" s="169" t="s">
        <v>283</v>
      </c>
      <c r="Q886" s="169" t="s">
        <v>306</v>
      </c>
      <c r="R886" s="169" t="s">
        <v>283</v>
      </c>
      <c r="S886" s="169" t="s">
        <v>283</v>
      </c>
      <c r="T886" s="169">
        <v>0</v>
      </c>
    </row>
    <row r="887" spans="2:20" x14ac:dyDescent="0.2">
      <c r="B887" s="167" t="str">
        <f>_xlfn.XLOOKUP(I887,Mapping!D:D,Mapping!E:E)</f>
        <v>Hành Chánh Nhân Sự</v>
      </c>
      <c r="C887" s="167" t="str">
        <f>_xlfn.XLOOKUP(F887,Mapping!A:A,Mapping!F:F)</f>
        <v>Phụ Cấp</v>
      </c>
      <c r="D887" s="173">
        <v>45782</v>
      </c>
      <c r="E887" s="169" t="s">
        <v>736</v>
      </c>
      <c r="F887" s="169" t="s">
        <v>335</v>
      </c>
      <c r="G887" s="169" t="s">
        <v>336</v>
      </c>
      <c r="H887" s="169" t="s">
        <v>382</v>
      </c>
      <c r="I887" s="169" t="s">
        <v>200</v>
      </c>
      <c r="J887" s="169" t="s">
        <v>737</v>
      </c>
      <c r="K887" s="169" t="s">
        <v>338</v>
      </c>
      <c r="L887" s="169" t="s">
        <v>713</v>
      </c>
      <c r="M887" s="169" t="s">
        <v>281</v>
      </c>
      <c r="N887" s="178">
        <v>200000</v>
      </c>
      <c r="O887" s="169" t="s">
        <v>738</v>
      </c>
      <c r="P887" s="169" t="s">
        <v>283</v>
      </c>
      <c r="Q887" s="169" t="s">
        <v>306</v>
      </c>
      <c r="R887" s="169" t="s">
        <v>283</v>
      </c>
      <c r="S887" s="169" t="s">
        <v>283</v>
      </c>
      <c r="T887" s="169">
        <v>0</v>
      </c>
    </row>
    <row r="888" spans="2:20" x14ac:dyDescent="0.2">
      <c r="B888" s="167" t="str">
        <f>_xlfn.XLOOKUP(I888,Mapping!D:D,Mapping!E:E)</f>
        <v>Hành Chánh Nhân Sự</v>
      </c>
      <c r="C888" s="167" t="str">
        <f>_xlfn.XLOOKUP(F888,Mapping!A:A,Mapping!F:F)</f>
        <v>Phụ Cấp</v>
      </c>
      <c r="D888" s="173">
        <v>45782</v>
      </c>
      <c r="E888" s="169" t="s">
        <v>736</v>
      </c>
      <c r="F888" s="169" t="s">
        <v>335</v>
      </c>
      <c r="G888" s="169" t="s">
        <v>336</v>
      </c>
      <c r="H888" s="169" t="s">
        <v>358</v>
      </c>
      <c r="I888" s="169" t="s">
        <v>359</v>
      </c>
      <c r="J888" s="169" t="s">
        <v>737</v>
      </c>
      <c r="K888" s="169" t="s">
        <v>338</v>
      </c>
      <c r="L888" s="169" t="s">
        <v>713</v>
      </c>
      <c r="M888" s="169" t="s">
        <v>281</v>
      </c>
      <c r="N888" s="178">
        <v>525000</v>
      </c>
      <c r="O888" s="169" t="s">
        <v>738</v>
      </c>
      <c r="P888" s="169" t="s">
        <v>283</v>
      </c>
      <c r="Q888" s="169" t="s">
        <v>306</v>
      </c>
      <c r="R888" s="169" t="s">
        <v>283</v>
      </c>
      <c r="S888" s="169" t="s">
        <v>283</v>
      </c>
      <c r="T888" s="169">
        <v>0</v>
      </c>
    </row>
    <row r="889" spans="2:20" x14ac:dyDescent="0.2">
      <c r="B889" s="167" t="str">
        <f>_xlfn.XLOOKUP(I889,Mapping!D:D,Mapping!E:E)</f>
        <v>Kế Toán</v>
      </c>
      <c r="C889" s="167" t="str">
        <f>_xlfn.XLOOKUP(F889,Mapping!A:A,Mapping!F:F)</f>
        <v>Phụ Cấp</v>
      </c>
      <c r="D889" s="173">
        <v>45803</v>
      </c>
      <c r="E889" s="169" t="s">
        <v>739</v>
      </c>
      <c r="F889" s="169" t="s">
        <v>335</v>
      </c>
      <c r="G889" s="169" t="s">
        <v>336</v>
      </c>
      <c r="H889" s="169" t="s">
        <v>356</v>
      </c>
      <c r="I889" s="169" t="s">
        <v>357</v>
      </c>
      <c r="J889" s="169" t="s">
        <v>740</v>
      </c>
      <c r="K889" s="169" t="s">
        <v>741</v>
      </c>
      <c r="L889" s="169" t="s">
        <v>713</v>
      </c>
      <c r="M889" s="169" t="s">
        <v>281</v>
      </c>
      <c r="N889" s="178">
        <v>10150000</v>
      </c>
      <c r="O889" s="169" t="s">
        <v>742</v>
      </c>
      <c r="P889" s="169" t="s">
        <v>283</v>
      </c>
      <c r="Q889" s="169" t="s">
        <v>306</v>
      </c>
      <c r="R889" s="169" t="s">
        <v>283</v>
      </c>
      <c r="S889" s="169" t="s">
        <v>283</v>
      </c>
      <c r="T889" s="169">
        <v>0</v>
      </c>
    </row>
    <row r="890" spans="2:20" x14ac:dyDescent="0.2">
      <c r="B890" s="167" t="str">
        <f>_xlfn.XLOOKUP(I890,Mapping!D:D,Mapping!E:E)</f>
        <v>Hành Chánh Nhân Sự</v>
      </c>
      <c r="C890" s="167" t="str">
        <f>_xlfn.XLOOKUP(F890,Mapping!A:A,Mapping!F:F)</f>
        <v>Phụ Cấp</v>
      </c>
      <c r="D890" s="173">
        <v>45803</v>
      </c>
      <c r="E890" s="169" t="s">
        <v>739</v>
      </c>
      <c r="F890" s="169" t="s">
        <v>335</v>
      </c>
      <c r="G890" s="169" t="s">
        <v>336</v>
      </c>
      <c r="H890" s="169" t="s">
        <v>382</v>
      </c>
      <c r="I890" s="169" t="s">
        <v>200</v>
      </c>
      <c r="J890" s="169" t="s">
        <v>740</v>
      </c>
      <c r="K890" s="169" t="s">
        <v>741</v>
      </c>
      <c r="L890" s="169" t="s">
        <v>713</v>
      </c>
      <c r="M890" s="169" t="s">
        <v>281</v>
      </c>
      <c r="N890" s="178">
        <v>1250000</v>
      </c>
      <c r="O890" s="169" t="s">
        <v>742</v>
      </c>
      <c r="P890" s="169" t="s">
        <v>283</v>
      </c>
      <c r="Q890" s="169" t="s">
        <v>306</v>
      </c>
      <c r="R890" s="169" t="s">
        <v>283</v>
      </c>
      <c r="S890" s="169" t="s">
        <v>283</v>
      </c>
      <c r="T890" s="169">
        <v>0</v>
      </c>
    </row>
    <row r="891" spans="2:20" x14ac:dyDescent="0.2">
      <c r="B891" s="167" t="str">
        <f>_xlfn.XLOOKUP(I891,Mapping!D:D,Mapping!E:E)</f>
        <v>Hành Chánh Nhân Sự</v>
      </c>
      <c r="C891" s="167" t="str">
        <f>_xlfn.XLOOKUP(F891,Mapping!A:A,Mapping!F:F)</f>
        <v>Phụ Cấp</v>
      </c>
      <c r="D891" s="173">
        <v>45803</v>
      </c>
      <c r="E891" s="169" t="s">
        <v>739</v>
      </c>
      <c r="F891" s="169" t="s">
        <v>335</v>
      </c>
      <c r="G891" s="169" t="s">
        <v>336</v>
      </c>
      <c r="H891" s="169" t="s">
        <v>358</v>
      </c>
      <c r="I891" s="169" t="s">
        <v>359</v>
      </c>
      <c r="J891" s="169" t="s">
        <v>740</v>
      </c>
      <c r="K891" s="169" t="s">
        <v>741</v>
      </c>
      <c r="L891" s="169" t="s">
        <v>713</v>
      </c>
      <c r="M891" s="169" t="s">
        <v>281</v>
      </c>
      <c r="N891" s="178">
        <v>2125000</v>
      </c>
      <c r="O891" s="169" t="s">
        <v>742</v>
      </c>
      <c r="P891" s="169" t="s">
        <v>283</v>
      </c>
      <c r="Q891" s="169" t="s">
        <v>306</v>
      </c>
      <c r="R891" s="169" t="s">
        <v>283</v>
      </c>
      <c r="S891" s="169" t="s">
        <v>283</v>
      </c>
      <c r="T891" s="169">
        <v>0</v>
      </c>
    </row>
    <row r="892" spans="2:20" x14ac:dyDescent="0.2">
      <c r="B892" s="167" t="str">
        <f>_xlfn.XLOOKUP(I892,Mapping!D:D,Mapping!E:E)</f>
        <v>Kinh doanh</v>
      </c>
      <c r="C892" s="167" t="str">
        <f>_xlfn.XLOOKUP(F892,Mapping!A:A,Mapping!F:F)</f>
        <v>Thưởng</v>
      </c>
      <c r="D892" s="173">
        <v>45808</v>
      </c>
      <c r="E892" s="169" t="s">
        <v>773</v>
      </c>
      <c r="F892" s="169" t="s">
        <v>365</v>
      </c>
      <c r="G892" s="169" t="s">
        <v>291</v>
      </c>
      <c r="H892" s="169" t="s">
        <v>366</v>
      </c>
      <c r="I892" s="169" t="s">
        <v>1</v>
      </c>
      <c r="J892" s="169" t="s">
        <v>774</v>
      </c>
      <c r="K892" s="169" t="s">
        <v>670</v>
      </c>
      <c r="L892" s="169" t="s">
        <v>713</v>
      </c>
      <c r="M892" s="169" t="s">
        <v>281</v>
      </c>
      <c r="N892" s="178">
        <v>29274885</v>
      </c>
      <c r="O892" s="169" t="s">
        <v>775</v>
      </c>
      <c r="P892" s="169" t="s">
        <v>283</v>
      </c>
      <c r="Q892" s="169" t="s">
        <v>370</v>
      </c>
      <c r="R892" s="169" t="s">
        <v>283</v>
      </c>
      <c r="S892" s="169" t="s">
        <v>283</v>
      </c>
      <c r="T892" s="169">
        <v>0</v>
      </c>
    </row>
    <row r="893" spans="2:20" x14ac:dyDescent="0.2">
      <c r="B893" s="167" t="str">
        <f>_xlfn.XLOOKUP(I893,Mapping!D:D,Mapping!E:E)</f>
        <v>Kinh doanh</v>
      </c>
      <c r="C893" s="167" t="str">
        <f>_xlfn.XLOOKUP(F893,Mapping!A:A,Mapping!F:F)</f>
        <v>Thưởng</v>
      </c>
      <c r="D893" s="173">
        <v>45808</v>
      </c>
      <c r="E893" s="169" t="s">
        <v>776</v>
      </c>
      <c r="F893" s="169" t="s">
        <v>365</v>
      </c>
      <c r="G893" s="169" t="s">
        <v>291</v>
      </c>
      <c r="H893" s="169" t="s">
        <v>366</v>
      </c>
      <c r="I893" s="169" t="s">
        <v>1</v>
      </c>
      <c r="J893" s="169" t="s">
        <v>777</v>
      </c>
      <c r="K893" s="169" t="s">
        <v>670</v>
      </c>
      <c r="L893" s="169" t="s">
        <v>713</v>
      </c>
      <c r="M893" s="169" t="s">
        <v>281</v>
      </c>
      <c r="N893" s="178">
        <v>179053379</v>
      </c>
      <c r="O893" s="169" t="s">
        <v>778</v>
      </c>
      <c r="P893" s="169" t="s">
        <v>283</v>
      </c>
      <c r="Q893" s="169" t="s">
        <v>370</v>
      </c>
      <c r="R893" s="169" t="s">
        <v>283</v>
      </c>
      <c r="S893" s="169" t="s">
        <v>283</v>
      </c>
      <c r="T893" s="169">
        <v>0</v>
      </c>
    </row>
    <row r="894" spans="2:20" x14ac:dyDescent="0.2">
      <c r="B894" s="167" t="str">
        <f>_xlfn.XLOOKUP(I894,Mapping!D:D,Mapping!E:E)</f>
        <v>Kinh doanh</v>
      </c>
      <c r="C894" s="167" t="str">
        <f>_xlfn.XLOOKUP(F894,Mapping!A:A,Mapping!F:F)</f>
        <v>Thưởng</v>
      </c>
      <c r="D894" s="173">
        <v>45778</v>
      </c>
      <c r="E894" s="169" t="s">
        <v>779</v>
      </c>
      <c r="F894" s="169" t="s">
        <v>365</v>
      </c>
      <c r="G894" s="169" t="s">
        <v>291</v>
      </c>
      <c r="H894" s="169" t="s">
        <v>366</v>
      </c>
      <c r="I894" s="169" t="s">
        <v>1</v>
      </c>
      <c r="J894" s="169" t="s">
        <v>673</v>
      </c>
      <c r="K894" s="169" t="s">
        <v>670</v>
      </c>
      <c r="L894" s="169" t="s">
        <v>713</v>
      </c>
      <c r="M894" s="169" t="s">
        <v>281</v>
      </c>
      <c r="N894" s="178">
        <v>-116293966</v>
      </c>
      <c r="O894" s="169" t="s">
        <v>780</v>
      </c>
      <c r="P894" s="169" t="s">
        <v>447</v>
      </c>
      <c r="Q894" s="169" t="s">
        <v>284</v>
      </c>
      <c r="R894" s="169" t="s">
        <v>283</v>
      </c>
      <c r="S894" s="169" t="s">
        <v>283</v>
      </c>
      <c r="T894" s="169">
        <v>0</v>
      </c>
    </row>
    <row r="895" spans="2:20" x14ac:dyDescent="0.2">
      <c r="B895" s="167" t="str">
        <f>_xlfn.XLOOKUP(I895,Mapping!D:D,Mapping!E:E)</f>
        <v>Cung Ứng</v>
      </c>
      <c r="C895" s="167" t="str">
        <f>_xlfn.XLOOKUP(F895,Mapping!A:A,Mapping!F:F)</f>
        <v>Lương Chính +T13</v>
      </c>
      <c r="D895" s="173">
        <v>45808</v>
      </c>
      <c r="E895" s="169" t="s">
        <v>710</v>
      </c>
      <c r="F895" s="169" t="s">
        <v>274</v>
      </c>
      <c r="G895" s="169" t="s">
        <v>275</v>
      </c>
      <c r="H895" s="169" t="s">
        <v>380</v>
      </c>
      <c r="I895" s="169" t="s">
        <v>381</v>
      </c>
      <c r="J895" s="169" t="s">
        <v>711</v>
      </c>
      <c r="K895" s="169" t="s">
        <v>712</v>
      </c>
      <c r="L895" s="169" t="s">
        <v>713</v>
      </c>
      <c r="M895" s="169" t="s">
        <v>281</v>
      </c>
      <c r="N895" s="178">
        <v>494371487</v>
      </c>
      <c r="O895" s="169" t="s">
        <v>714</v>
      </c>
      <c r="P895" s="169" t="s">
        <v>283</v>
      </c>
      <c r="Q895" s="169" t="s">
        <v>284</v>
      </c>
      <c r="R895" s="169" t="s">
        <v>283</v>
      </c>
      <c r="S895" s="169" t="s">
        <v>283</v>
      </c>
      <c r="T895" s="169">
        <v>0</v>
      </c>
    </row>
    <row r="896" spans="2:20" x14ac:dyDescent="0.2">
      <c r="B896" s="167" t="str">
        <f>_xlfn.XLOOKUP(I896,Mapping!D:D,Mapping!E:E)</f>
        <v>Cung Ứng</v>
      </c>
      <c r="C896" s="167" t="str">
        <f>_xlfn.XLOOKUP(F896,Mapping!A:A,Mapping!F:F)</f>
        <v>Lương Chính +T13</v>
      </c>
      <c r="D896" s="173">
        <v>45808</v>
      </c>
      <c r="E896" s="169" t="s">
        <v>710</v>
      </c>
      <c r="F896" s="169" t="s">
        <v>285</v>
      </c>
      <c r="G896" s="169" t="s">
        <v>286</v>
      </c>
      <c r="H896" s="169" t="s">
        <v>380</v>
      </c>
      <c r="I896" s="169" t="s">
        <v>381</v>
      </c>
      <c r="J896" s="169" t="s">
        <v>711</v>
      </c>
      <c r="K896" s="169" t="s">
        <v>712</v>
      </c>
      <c r="L896" s="169" t="s">
        <v>713</v>
      </c>
      <c r="M896" s="169" t="s">
        <v>281</v>
      </c>
      <c r="N896" s="178">
        <v>12039385</v>
      </c>
      <c r="O896" s="169" t="s">
        <v>714</v>
      </c>
      <c r="P896" s="169" t="s">
        <v>283</v>
      </c>
      <c r="Q896" s="169" t="s">
        <v>284</v>
      </c>
      <c r="R896" s="169" t="s">
        <v>283</v>
      </c>
      <c r="S896" s="169" t="s">
        <v>283</v>
      </c>
      <c r="T896" s="169">
        <v>0</v>
      </c>
    </row>
    <row r="897" spans="2:20" x14ac:dyDescent="0.2">
      <c r="B897" s="167" t="str">
        <f>_xlfn.XLOOKUP(I897,Mapping!D:D,Mapping!E:E)</f>
        <v>Cung Ứng</v>
      </c>
      <c r="C897" s="167" t="str">
        <f>_xlfn.XLOOKUP(F897,Mapping!A:A,Mapping!F:F)</f>
        <v>Thưởng</v>
      </c>
      <c r="D897" s="173">
        <v>45808</v>
      </c>
      <c r="E897" s="169" t="s">
        <v>710</v>
      </c>
      <c r="F897" s="169" t="s">
        <v>290</v>
      </c>
      <c r="G897" s="169" t="s">
        <v>291</v>
      </c>
      <c r="H897" s="169" t="s">
        <v>380</v>
      </c>
      <c r="I897" s="169" t="s">
        <v>381</v>
      </c>
      <c r="J897" s="169" t="s">
        <v>711</v>
      </c>
      <c r="K897" s="169" t="s">
        <v>712</v>
      </c>
      <c r="L897" s="169" t="s">
        <v>713</v>
      </c>
      <c r="M897" s="169" t="s">
        <v>281</v>
      </c>
      <c r="N897" s="178">
        <v>247492674</v>
      </c>
      <c r="O897" s="169" t="s">
        <v>714</v>
      </c>
      <c r="P897" s="169" t="s">
        <v>283</v>
      </c>
      <c r="Q897" s="169" t="s">
        <v>284</v>
      </c>
      <c r="R897" s="169" t="s">
        <v>283</v>
      </c>
      <c r="S897" s="169" t="s">
        <v>283</v>
      </c>
      <c r="T897" s="169">
        <v>0</v>
      </c>
    </row>
    <row r="898" spans="2:20" x14ac:dyDescent="0.2">
      <c r="B898" s="167" t="str">
        <f>_xlfn.XLOOKUP(I898,Mapping!D:D,Mapping!E:E)</f>
        <v>Cung Ứng</v>
      </c>
      <c r="C898" s="167" t="str">
        <f>_xlfn.XLOOKUP(F898,Mapping!A:A,Mapping!F:F)</f>
        <v>Phụ Cấp</v>
      </c>
      <c r="D898" s="173">
        <v>45808</v>
      </c>
      <c r="E898" s="169" t="s">
        <v>710</v>
      </c>
      <c r="F898" s="169" t="s">
        <v>335</v>
      </c>
      <c r="G898" s="169" t="s">
        <v>336</v>
      </c>
      <c r="H898" s="169" t="s">
        <v>380</v>
      </c>
      <c r="I898" s="169" t="s">
        <v>381</v>
      </c>
      <c r="J898" s="169" t="s">
        <v>711</v>
      </c>
      <c r="K898" s="169" t="s">
        <v>712</v>
      </c>
      <c r="L898" s="169" t="s">
        <v>713</v>
      </c>
      <c r="M898" s="169" t="s">
        <v>281</v>
      </c>
      <c r="N898" s="178">
        <v>11145000</v>
      </c>
      <c r="O898" s="169" t="s">
        <v>714</v>
      </c>
      <c r="P898" s="169" t="s">
        <v>283</v>
      </c>
      <c r="Q898" s="169" t="s">
        <v>284</v>
      </c>
      <c r="R898" s="169" t="s">
        <v>283</v>
      </c>
      <c r="S898" s="169" t="s">
        <v>283</v>
      </c>
      <c r="T898" s="169">
        <v>0</v>
      </c>
    </row>
    <row r="899" spans="2:20" x14ac:dyDescent="0.2">
      <c r="B899" s="167" t="str">
        <f>_xlfn.XLOOKUP(I899,Mapping!D:D,Mapping!E:E)</f>
        <v>Mua Hàng &amp; XNK</v>
      </c>
      <c r="C899" s="167" t="str">
        <f>_xlfn.XLOOKUP(F899,Mapping!A:A,Mapping!F:F)</f>
        <v>Lương Chính +T13</v>
      </c>
      <c r="D899" s="173">
        <v>45808</v>
      </c>
      <c r="E899" s="169" t="s">
        <v>710</v>
      </c>
      <c r="F899" s="169" t="s">
        <v>274</v>
      </c>
      <c r="G899" s="169" t="s">
        <v>275</v>
      </c>
      <c r="H899" s="169" t="s">
        <v>378</v>
      </c>
      <c r="I899" s="169" t="s">
        <v>379</v>
      </c>
      <c r="J899" s="169" t="s">
        <v>711</v>
      </c>
      <c r="K899" s="169" t="s">
        <v>712</v>
      </c>
      <c r="L899" s="169" t="s">
        <v>713</v>
      </c>
      <c r="M899" s="169" t="s">
        <v>281</v>
      </c>
      <c r="N899" s="178">
        <v>109769064</v>
      </c>
      <c r="O899" s="169" t="s">
        <v>714</v>
      </c>
      <c r="P899" s="169" t="s">
        <v>283</v>
      </c>
      <c r="Q899" s="169" t="s">
        <v>284</v>
      </c>
      <c r="R899" s="169" t="s">
        <v>283</v>
      </c>
      <c r="S899" s="169" t="s">
        <v>283</v>
      </c>
      <c r="T899" s="169">
        <v>0</v>
      </c>
    </row>
    <row r="900" spans="2:20" x14ac:dyDescent="0.2">
      <c r="B900" s="167" t="str">
        <f>_xlfn.XLOOKUP(I900,Mapping!D:D,Mapping!E:E)</f>
        <v>Mua Hàng &amp; XNK</v>
      </c>
      <c r="C900" s="167" t="str">
        <f>_xlfn.XLOOKUP(F900,Mapping!A:A,Mapping!F:F)</f>
        <v>Lương Chính +T13</v>
      </c>
      <c r="D900" s="173">
        <v>45808</v>
      </c>
      <c r="E900" s="169" t="s">
        <v>710</v>
      </c>
      <c r="F900" s="169" t="s">
        <v>285</v>
      </c>
      <c r="G900" s="169" t="s">
        <v>286</v>
      </c>
      <c r="H900" s="169" t="s">
        <v>378</v>
      </c>
      <c r="I900" s="169" t="s">
        <v>379</v>
      </c>
      <c r="J900" s="169" t="s">
        <v>711</v>
      </c>
      <c r="K900" s="169" t="s">
        <v>712</v>
      </c>
      <c r="L900" s="169" t="s">
        <v>713</v>
      </c>
      <c r="M900" s="169" t="s">
        <v>281</v>
      </c>
      <c r="N900" s="178">
        <v>6248576</v>
      </c>
      <c r="O900" s="169" t="s">
        <v>714</v>
      </c>
      <c r="P900" s="169" t="s">
        <v>283</v>
      </c>
      <c r="Q900" s="169" t="s">
        <v>284</v>
      </c>
      <c r="R900" s="169" t="s">
        <v>283</v>
      </c>
      <c r="S900" s="169" t="s">
        <v>283</v>
      </c>
      <c r="T900" s="169">
        <v>0</v>
      </c>
    </row>
    <row r="901" spans="2:20" x14ac:dyDescent="0.2">
      <c r="B901" s="167" t="str">
        <f>_xlfn.XLOOKUP(I901,Mapping!D:D,Mapping!E:E)</f>
        <v>Mua Hàng &amp; XNK</v>
      </c>
      <c r="C901" s="167" t="str">
        <f>_xlfn.XLOOKUP(F901,Mapping!A:A,Mapping!F:F)</f>
        <v>Thưởng</v>
      </c>
      <c r="D901" s="173">
        <v>45808</v>
      </c>
      <c r="E901" s="169" t="s">
        <v>710</v>
      </c>
      <c r="F901" s="169" t="s">
        <v>290</v>
      </c>
      <c r="G901" s="169" t="s">
        <v>291</v>
      </c>
      <c r="H901" s="169" t="s">
        <v>378</v>
      </c>
      <c r="I901" s="169" t="s">
        <v>379</v>
      </c>
      <c r="J901" s="169" t="s">
        <v>711</v>
      </c>
      <c r="K901" s="169" t="s">
        <v>712</v>
      </c>
      <c r="L901" s="169" t="s">
        <v>713</v>
      </c>
      <c r="M901" s="169" t="s">
        <v>281</v>
      </c>
      <c r="N901" s="178">
        <v>1400000</v>
      </c>
      <c r="O901" s="169" t="s">
        <v>714</v>
      </c>
      <c r="P901" s="169" t="s">
        <v>283</v>
      </c>
      <c r="Q901" s="169" t="s">
        <v>284</v>
      </c>
      <c r="R901" s="169" t="s">
        <v>283</v>
      </c>
      <c r="S901" s="169" t="s">
        <v>283</v>
      </c>
      <c r="T901" s="169">
        <v>0</v>
      </c>
    </row>
    <row r="902" spans="2:20" x14ac:dyDescent="0.2">
      <c r="B902" s="167" t="str">
        <f>_xlfn.XLOOKUP(I902,Mapping!D:D,Mapping!E:E)</f>
        <v>Mua Hàng &amp; XNK</v>
      </c>
      <c r="C902" s="167" t="str">
        <f>_xlfn.XLOOKUP(F902,Mapping!A:A,Mapping!F:F)</f>
        <v>Phụ Cấp</v>
      </c>
      <c r="D902" s="173">
        <v>45808</v>
      </c>
      <c r="E902" s="169" t="s">
        <v>710</v>
      </c>
      <c r="F902" s="169" t="s">
        <v>335</v>
      </c>
      <c r="G902" s="169" t="s">
        <v>336</v>
      </c>
      <c r="H902" s="169" t="s">
        <v>378</v>
      </c>
      <c r="I902" s="169" t="s">
        <v>379</v>
      </c>
      <c r="J902" s="169" t="s">
        <v>711</v>
      </c>
      <c r="K902" s="169" t="s">
        <v>712</v>
      </c>
      <c r="L902" s="169" t="s">
        <v>713</v>
      </c>
      <c r="M902" s="169" t="s">
        <v>281</v>
      </c>
      <c r="N902" s="178">
        <v>200000</v>
      </c>
      <c r="O902" s="169" t="s">
        <v>714</v>
      </c>
      <c r="P902" s="169" t="s">
        <v>283</v>
      </c>
      <c r="Q902" s="169" t="s">
        <v>284</v>
      </c>
      <c r="R902" s="169" t="s">
        <v>283</v>
      </c>
      <c r="S902" s="169" t="s">
        <v>283</v>
      </c>
      <c r="T902" s="169">
        <v>0</v>
      </c>
    </row>
    <row r="903" spans="2:20" x14ac:dyDescent="0.2">
      <c r="B903" s="167" t="str">
        <f>_xlfn.XLOOKUP(I903,Mapping!D:D,Mapping!E:E)</f>
        <v>Kỹ Thuật</v>
      </c>
      <c r="C903" s="167" t="str">
        <f>_xlfn.XLOOKUP(F903,Mapping!A:A,Mapping!F:F)</f>
        <v>Phụ Cấp</v>
      </c>
      <c r="D903" s="173">
        <v>45808</v>
      </c>
      <c r="E903" s="169" t="s">
        <v>710</v>
      </c>
      <c r="F903" s="169" t="s">
        <v>386</v>
      </c>
      <c r="G903" s="169" t="s">
        <v>341</v>
      </c>
      <c r="H903" s="169" t="s">
        <v>376</v>
      </c>
      <c r="I903" s="169" t="s">
        <v>377</v>
      </c>
      <c r="J903" s="169" t="s">
        <v>711</v>
      </c>
      <c r="K903" s="169" t="s">
        <v>712</v>
      </c>
      <c r="L903" s="169" t="s">
        <v>713</v>
      </c>
      <c r="M903" s="169" t="s">
        <v>281</v>
      </c>
      <c r="N903" s="178">
        <v>48667328</v>
      </c>
      <c r="O903" s="169" t="s">
        <v>714</v>
      </c>
      <c r="P903" s="169" t="s">
        <v>283</v>
      </c>
      <c r="Q903" s="169" t="s">
        <v>284</v>
      </c>
      <c r="R903" s="169" t="s">
        <v>283</v>
      </c>
      <c r="S903" s="169" t="s">
        <v>283</v>
      </c>
      <c r="T903" s="169">
        <v>0</v>
      </c>
    </row>
    <row r="904" spans="2:20" x14ac:dyDescent="0.2">
      <c r="B904" s="167" t="str">
        <f>_xlfn.XLOOKUP(I904,Mapping!D:D,Mapping!E:E)</f>
        <v>Kỹ Thuật</v>
      </c>
      <c r="C904" s="167" t="str">
        <f>_xlfn.XLOOKUP(F904,Mapping!A:A,Mapping!F:F)</f>
        <v>Lương Chính +T13</v>
      </c>
      <c r="D904" s="173">
        <v>45808</v>
      </c>
      <c r="E904" s="169" t="s">
        <v>710</v>
      </c>
      <c r="F904" s="169" t="s">
        <v>387</v>
      </c>
      <c r="G904" s="169" t="s">
        <v>275</v>
      </c>
      <c r="H904" s="169" t="s">
        <v>376</v>
      </c>
      <c r="I904" s="169" t="s">
        <v>377</v>
      </c>
      <c r="J904" s="169" t="s">
        <v>711</v>
      </c>
      <c r="K904" s="169" t="s">
        <v>712</v>
      </c>
      <c r="L904" s="169" t="s">
        <v>713</v>
      </c>
      <c r="M904" s="169" t="s">
        <v>281</v>
      </c>
      <c r="N904" s="178">
        <v>1022021004</v>
      </c>
      <c r="O904" s="169" t="s">
        <v>714</v>
      </c>
      <c r="P904" s="169" t="s">
        <v>283</v>
      </c>
      <c r="Q904" s="169" t="s">
        <v>284</v>
      </c>
      <c r="R904" s="169" t="s">
        <v>283</v>
      </c>
      <c r="S904" s="169" t="s">
        <v>283</v>
      </c>
      <c r="T904" s="169">
        <v>0</v>
      </c>
    </row>
    <row r="905" spans="2:20" x14ac:dyDescent="0.2">
      <c r="B905" s="167" t="str">
        <f>_xlfn.XLOOKUP(I905,Mapping!D:D,Mapping!E:E)</f>
        <v>Kỹ Thuật</v>
      </c>
      <c r="C905" s="167" t="str">
        <f>_xlfn.XLOOKUP(F905,Mapping!A:A,Mapping!F:F)</f>
        <v>Lương Chính +T13</v>
      </c>
      <c r="D905" s="173">
        <v>45808</v>
      </c>
      <c r="E905" s="169" t="s">
        <v>710</v>
      </c>
      <c r="F905" s="169" t="s">
        <v>388</v>
      </c>
      <c r="G905" s="169" t="s">
        <v>286</v>
      </c>
      <c r="H905" s="169" t="s">
        <v>376</v>
      </c>
      <c r="I905" s="169" t="s">
        <v>377</v>
      </c>
      <c r="J905" s="169" t="s">
        <v>711</v>
      </c>
      <c r="K905" s="169" t="s">
        <v>712</v>
      </c>
      <c r="L905" s="169" t="s">
        <v>713</v>
      </c>
      <c r="M905" s="169" t="s">
        <v>281</v>
      </c>
      <c r="N905" s="178">
        <v>28044096</v>
      </c>
      <c r="O905" s="169" t="s">
        <v>714</v>
      </c>
      <c r="P905" s="169" t="s">
        <v>283</v>
      </c>
      <c r="Q905" s="169" t="s">
        <v>284</v>
      </c>
      <c r="R905" s="169" t="s">
        <v>283</v>
      </c>
      <c r="S905" s="169" t="s">
        <v>283</v>
      </c>
      <c r="T905" s="169">
        <v>0</v>
      </c>
    </row>
    <row r="906" spans="2:20" x14ac:dyDescent="0.2">
      <c r="B906" s="167" t="str">
        <f>_xlfn.XLOOKUP(I906,Mapping!D:D,Mapping!E:E)</f>
        <v>Kỹ Thuật</v>
      </c>
      <c r="C906" s="167" t="str">
        <f>_xlfn.XLOOKUP(F906,Mapping!A:A,Mapping!F:F)</f>
        <v>Lương Ngoài giờ</v>
      </c>
      <c r="D906" s="173">
        <v>45808</v>
      </c>
      <c r="E906" s="169" t="s">
        <v>710</v>
      </c>
      <c r="F906" s="169" t="s">
        <v>389</v>
      </c>
      <c r="G906" s="169" t="s">
        <v>390</v>
      </c>
      <c r="H906" s="169" t="s">
        <v>376</v>
      </c>
      <c r="I906" s="169" t="s">
        <v>377</v>
      </c>
      <c r="J906" s="169" t="s">
        <v>711</v>
      </c>
      <c r="K906" s="169" t="s">
        <v>712</v>
      </c>
      <c r="L906" s="169" t="s">
        <v>713</v>
      </c>
      <c r="M906" s="169" t="s">
        <v>281</v>
      </c>
      <c r="N906" s="178">
        <v>443431514</v>
      </c>
      <c r="O906" s="169" t="s">
        <v>714</v>
      </c>
      <c r="P906" s="169" t="s">
        <v>283</v>
      </c>
      <c r="Q906" s="169" t="s">
        <v>284</v>
      </c>
      <c r="R906" s="169" t="s">
        <v>283</v>
      </c>
      <c r="S906" s="169" t="s">
        <v>283</v>
      </c>
      <c r="T906" s="169">
        <v>0</v>
      </c>
    </row>
    <row r="907" spans="2:20" x14ac:dyDescent="0.2">
      <c r="B907" s="167" t="str">
        <f>_xlfn.XLOOKUP(I907,Mapping!D:D,Mapping!E:E)</f>
        <v>Kỹ Thuật</v>
      </c>
      <c r="C907" s="167" t="str">
        <f>_xlfn.XLOOKUP(F907,Mapping!A:A,Mapping!F:F)</f>
        <v>Thưởng</v>
      </c>
      <c r="D907" s="173">
        <v>45808</v>
      </c>
      <c r="E907" s="169" t="s">
        <v>710</v>
      </c>
      <c r="F907" s="169" t="s">
        <v>391</v>
      </c>
      <c r="G907" s="169" t="s">
        <v>291</v>
      </c>
      <c r="H907" s="169" t="s">
        <v>376</v>
      </c>
      <c r="I907" s="169" t="s">
        <v>377</v>
      </c>
      <c r="J907" s="169" t="s">
        <v>711</v>
      </c>
      <c r="K907" s="169" t="s">
        <v>712</v>
      </c>
      <c r="L907" s="169" t="s">
        <v>713</v>
      </c>
      <c r="M907" s="169" t="s">
        <v>281</v>
      </c>
      <c r="N907" s="178">
        <v>16000000</v>
      </c>
      <c r="O907" s="169" t="s">
        <v>714</v>
      </c>
      <c r="P907" s="169" t="s">
        <v>283</v>
      </c>
      <c r="Q907" s="169" t="s">
        <v>284</v>
      </c>
      <c r="R907" s="169" t="s">
        <v>283</v>
      </c>
      <c r="S907" s="169" t="s">
        <v>283</v>
      </c>
      <c r="T907" s="169">
        <v>0</v>
      </c>
    </row>
    <row r="908" spans="2:20" x14ac:dyDescent="0.2">
      <c r="B908" s="167" t="str">
        <f>_xlfn.XLOOKUP(I908,Mapping!D:D,Mapping!E:E)</f>
        <v>Kỹ Thuật</v>
      </c>
      <c r="C908" s="167" t="str">
        <f>_xlfn.XLOOKUP(F908,Mapping!A:A,Mapping!F:F)</f>
        <v>Phụ Cấp</v>
      </c>
      <c r="D908" s="173">
        <v>45808</v>
      </c>
      <c r="E908" s="169" t="s">
        <v>710</v>
      </c>
      <c r="F908" s="169" t="s">
        <v>375</v>
      </c>
      <c r="G908" s="169" t="s">
        <v>336</v>
      </c>
      <c r="H908" s="169" t="s">
        <v>376</v>
      </c>
      <c r="I908" s="169" t="s">
        <v>377</v>
      </c>
      <c r="J908" s="169" t="s">
        <v>711</v>
      </c>
      <c r="K908" s="169" t="s">
        <v>712</v>
      </c>
      <c r="L908" s="169" t="s">
        <v>713</v>
      </c>
      <c r="M908" s="169" t="s">
        <v>281</v>
      </c>
      <c r="N908" s="178">
        <v>10660000</v>
      </c>
      <c r="O908" s="169" t="s">
        <v>714</v>
      </c>
      <c r="P908" s="169" t="s">
        <v>283</v>
      </c>
      <c r="Q908" s="169" t="s">
        <v>284</v>
      </c>
      <c r="R908" s="169" t="s">
        <v>283</v>
      </c>
      <c r="S908" s="169" t="s">
        <v>283</v>
      </c>
      <c r="T908" s="169">
        <v>0</v>
      </c>
    </row>
    <row r="909" spans="2:20" x14ac:dyDescent="0.2">
      <c r="B909" s="167" t="str">
        <f>_xlfn.XLOOKUP(I909,Mapping!D:D,Mapping!E:E)</f>
        <v>Cung Ứng</v>
      </c>
      <c r="C909" s="167" t="str">
        <f>_xlfn.XLOOKUP(F909,Mapping!A:A,Mapping!F:F)</f>
        <v>Lương Chính +T13</v>
      </c>
      <c r="D909" s="173">
        <v>45808</v>
      </c>
      <c r="E909" s="169" t="s">
        <v>715</v>
      </c>
      <c r="F909" s="169" t="s">
        <v>285</v>
      </c>
      <c r="G909" s="169" t="s">
        <v>286</v>
      </c>
      <c r="H909" s="169" t="s">
        <v>380</v>
      </c>
      <c r="I909" s="169" t="s">
        <v>381</v>
      </c>
      <c r="J909" s="169" t="s">
        <v>716</v>
      </c>
      <c r="K909" s="169" t="s">
        <v>712</v>
      </c>
      <c r="L909" s="169" t="s">
        <v>713</v>
      </c>
      <c r="M909" s="169" t="s">
        <v>281</v>
      </c>
      <c r="N909" s="178">
        <v>41319085</v>
      </c>
      <c r="O909" s="169" t="s">
        <v>717</v>
      </c>
      <c r="P909" s="169" t="s">
        <v>283</v>
      </c>
      <c r="Q909" s="169" t="s">
        <v>284</v>
      </c>
      <c r="R909" s="169" t="s">
        <v>283</v>
      </c>
      <c r="S909" s="169" t="s">
        <v>283</v>
      </c>
      <c r="T909" s="169">
        <v>0</v>
      </c>
    </row>
    <row r="910" spans="2:20" x14ac:dyDescent="0.2">
      <c r="B910" s="167" t="str">
        <f>_xlfn.XLOOKUP(I910,Mapping!D:D,Mapping!E:E)</f>
        <v>Cung Ứng</v>
      </c>
      <c r="C910" s="167" t="str">
        <f>_xlfn.XLOOKUP(F910,Mapping!A:A,Mapping!F:F)</f>
        <v>Thưởng</v>
      </c>
      <c r="D910" s="173">
        <v>45808</v>
      </c>
      <c r="E910" s="169" t="s">
        <v>715</v>
      </c>
      <c r="F910" s="169" t="s">
        <v>292</v>
      </c>
      <c r="G910" s="169" t="s">
        <v>77</v>
      </c>
      <c r="H910" s="169" t="s">
        <v>380</v>
      </c>
      <c r="I910" s="169" t="s">
        <v>381</v>
      </c>
      <c r="J910" s="169" t="s">
        <v>718</v>
      </c>
      <c r="K910" s="169" t="s">
        <v>712</v>
      </c>
      <c r="L910" s="169" t="s">
        <v>713</v>
      </c>
      <c r="M910" s="169" t="s">
        <v>281</v>
      </c>
      <c r="N910" s="178">
        <v>36160046</v>
      </c>
      <c r="O910" s="169" t="s">
        <v>717</v>
      </c>
      <c r="P910" s="169" t="s">
        <v>283</v>
      </c>
      <c r="Q910" s="169" t="s">
        <v>284</v>
      </c>
      <c r="R910" s="169" t="s">
        <v>283</v>
      </c>
      <c r="S910" s="169" t="s">
        <v>283</v>
      </c>
      <c r="T910" s="169">
        <v>0</v>
      </c>
    </row>
    <row r="911" spans="2:20" x14ac:dyDescent="0.2">
      <c r="B911" s="167" t="str">
        <f>_xlfn.XLOOKUP(I911,Mapping!D:D,Mapping!E:E)</f>
        <v>Mua Hàng &amp; XNK</v>
      </c>
      <c r="C911" s="167" t="str">
        <f>_xlfn.XLOOKUP(F911,Mapping!A:A,Mapping!F:F)</f>
        <v>Lương Chính +T13</v>
      </c>
      <c r="D911" s="173">
        <v>45808</v>
      </c>
      <c r="E911" s="169" t="s">
        <v>715</v>
      </c>
      <c r="F911" s="169" t="s">
        <v>285</v>
      </c>
      <c r="G911" s="169" t="s">
        <v>286</v>
      </c>
      <c r="H911" s="169" t="s">
        <v>378</v>
      </c>
      <c r="I911" s="169" t="s">
        <v>379</v>
      </c>
      <c r="J911" s="169" t="s">
        <v>716</v>
      </c>
      <c r="K911" s="169" t="s">
        <v>712</v>
      </c>
      <c r="L911" s="169" t="s">
        <v>713</v>
      </c>
      <c r="M911" s="169" t="s">
        <v>281</v>
      </c>
      <c r="N911" s="178">
        <v>11877750</v>
      </c>
      <c r="O911" s="169" t="s">
        <v>717</v>
      </c>
      <c r="P911" s="169" t="s">
        <v>283</v>
      </c>
      <c r="Q911" s="169" t="s">
        <v>284</v>
      </c>
      <c r="R911" s="169" t="s">
        <v>283</v>
      </c>
      <c r="S911" s="169" t="s">
        <v>283</v>
      </c>
      <c r="T911" s="169">
        <v>0</v>
      </c>
    </row>
    <row r="912" spans="2:20" x14ac:dyDescent="0.2">
      <c r="B912" s="167" t="str">
        <f>_xlfn.XLOOKUP(I912,Mapping!D:D,Mapping!E:E)</f>
        <v>Mua Hàng &amp; XNK</v>
      </c>
      <c r="C912" s="167" t="str">
        <f>_xlfn.XLOOKUP(F912,Mapping!A:A,Mapping!F:F)</f>
        <v>Thưởng</v>
      </c>
      <c r="D912" s="173">
        <v>45808</v>
      </c>
      <c r="E912" s="169" t="s">
        <v>715</v>
      </c>
      <c r="F912" s="169" t="s">
        <v>292</v>
      </c>
      <c r="G912" s="169" t="s">
        <v>77</v>
      </c>
      <c r="H912" s="169" t="s">
        <v>378</v>
      </c>
      <c r="I912" s="169" t="s">
        <v>379</v>
      </c>
      <c r="J912" s="169" t="s">
        <v>718</v>
      </c>
      <c r="K912" s="169" t="s">
        <v>712</v>
      </c>
      <c r="L912" s="169" t="s">
        <v>713</v>
      </c>
      <c r="M912" s="169" t="s">
        <v>281</v>
      </c>
      <c r="N912" s="178">
        <v>10927435</v>
      </c>
      <c r="O912" s="169" t="s">
        <v>717</v>
      </c>
      <c r="P912" s="169" t="s">
        <v>283</v>
      </c>
      <c r="Q912" s="169" t="s">
        <v>284</v>
      </c>
      <c r="R912" s="169" t="s">
        <v>283</v>
      </c>
      <c r="S912" s="169" t="s">
        <v>283</v>
      </c>
      <c r="T912" s="169">
        <v>0</v>
      </c>
    </row>
    <row r="913" spans="1:20" x14ac:dyDescent="0.2">
      <c r="B913" s="167" t="str">
        <f>_xlfn.XLOOKUP(I913,Mapping!D:D,Mapping!E:E)</f>
        <v>Kỹ Thuật</v>
      </c>
      <c r="C913" s="167" t="str">
        <f>_xlfn.XLOOKUP(F913,Mapping!A:A,Mapping!F:F)</f>
        <v>Lương Chính +T13</v>
      </c>
      <c r="D913" s="173">
        <v>45808</v>
      </c>
      <c r="E913" s="169" t="s">
        <v>715</v>
      </c>
      <c r="F913" s="169" t="s">
        <v>388</v>
      </c>
      <c r="G913" s="169" t="s">
        <v>286</v>
      </c>
      <c r="H913" s="169" t="s">
        <v>376</v>
      </c>
      <c r="I913" s="169" t="s">
        <v>377</v>
      </c>
      <c r="J913" s="169" t="s">
        <v>716</v>
      </c>
      <c r="K913" s="169" t="s">
        <v>712</v>
      </c>
      <c r="L913" s="169" t="s">
        <v>713</v>
      </c>
      <c r="M913" s="169" t="s">
        <v>281</v>
      </c>
      <c r="N913" s="178">
        <v>85176833</v>
      </c>
      <c r="O913" s="169" t="s">
        <v>717</v>
      </c>
      <c r="P913" s="169" t="s">
        <v>283</v>
      </c>
      <c r="Q913" s="169" t="s">
        <v>284</v>
      </c>
      <c r="R913" s="169" t="s">
        <v>283</v>
      </c>
      <c r="S913" s="169" t="s">
        <v>283</v>
      </c>
      <c r="T913" s="169">
        <v>0</v>
      </c>
    </row>
    <row r="914" spans="1:20" x14ac:dyDescent="0.2">
      <c r="B914" s="167" t="str">
        <f>_xlfn.XLOOKUP(I914,Mapping!D:D,Mapping!E:E)</f>
        <v>Kỹ Thuật</v>
      </c>
      <c r="C914" s="167" t="str">
        <f>_xlfn.XLOOKUP(F914,Mapping!A:A,Mapping!F:F)</f>
        <v>Thưởng</v>
      </c>
      <c r="D914" s="173">
        <v>45808</v>
      </c>
      <c r="E914" s="169" t="s">
        <v>715</v>
      </c>
      <c r="F914" s="169" t="s">
        <v>395</v>
      </c>
      <c r="G914" s="169" t="s">
        <v>77</v>
      </c>
      <c r="H914" s="169" t="s">
        <v>376</v>
      </c>
      <c r="I914" s="169" t="s">
        <v>377</v>
      </c>
      <c r="J914" s="169" t="s">
        <v>718</v>
      </c>
      <c r="K914" s="169" t="s">
        <v>712</v>
      </c>
      <c r="L914" s="169" t="s">
        <v>713</v>
      </c>
      <c r="M914" s="169" t="s">
        <v>281</v>
      </c>
      <c r="N914" s="178">
        <v>78362005</v>
      </c>
      <c r="O914" s="169" t="s">
        <v>717</v>
      </c>
      <c r="P914" s="169" t="s">
        <v>283</v>
      </c>
      <c r="Q914" s="169" t="s">
        <v>284</v>
      </c>
      <c r="R914" s="169" t="s">
        <v>283</v>
      </c>
      <c r="S914" s="169" t="s">
        <v>283</v>
      </c>
      <c r="T914" s="169">
        <v>0</v>
      </c>
    </row>
    <row r="915" spans="1:20" x14ac:dyDescent="0.2">
      <c r="B915" s="167" t="str">
        <f>_xlfn.XLOOKUP(I915,Mapping!D:D,Mapping!E:E)</f>
        <v>Cung Ứng</v>
      </c>
      <c r="C915" s="167" t="str">
        <f>_xlfn.XLOOKUP(F915,Mapping!A:A,Mapping!F:F)</f>
        <v>Lương Chính +T13</v>
      </c>
      <c r="D915" s="173">
        <v>45808</v>
      </c>
      <c r="E915" s="169" t="s">
        <v>781</v>
      </c>
      <c r="F915" s="169" t="s">
        <v>274</v>
      </c>
      <c r="G915" s="169" t="s">
        <v>275</v>
      </c>
      <c r="H915" s="169" t="s">
        <v>380</v>
      </c>
      <c r="I915" s="169" t="s">
        <v>381</v>
      </c>
      <c r="J915" s="169" t="s">
        <v>782</v>
      </c>
      <c r="K915" s="169" t="s">
        <v>712</v>
      </c>
      <c r="L915" s="169" t="s">
        <v>713</v>
      </c>
      <c r="M915" s="169" t="s">
        <v>281</v>
      </c>
      <c r="N915" s="178">
        <v>-45390</v>
      </c>
      <c r="O915" s="169" t="s">
        <v>783</v>
      </c>
      <c r="P915" s="169" t="s">
        <v>283</v>
      </c>
      <c r="Q915" s="169" t="s">
        <v>284</v>
      </c>
      <c r="R915" s="169" t="s">
        <v>283</v>
      </c>
      <c r="S915" s="169" t="s">
        <v>283</v>
      </c>
      <c r="T915" s="169">
        <v>0</v>
      </c>
    </row>
    <row r="916" spans="1:20" x14ac:dyDescent="0.2">
      <c r="B916" s="167" t="str">
        <f>_xlfn.XLOOKUP(I916,Mapping!D:D,Mapping!E:E)</f>
        <v>Cung Ứng</v>
      </c>
      <c r="C916" s="167" t="str">
        <f>_xlfn.XLOOKUP(F916,Mapping!A:A,Mapping!F:F)</f>
        <v>BHXH, BHYT, KPCĐ</v>
      </c>
      <c r="D916" s="173">
        <v>45808</v>
      </c>
      <c r="E916" s="169" t="s">
        <v>719</v>
      </c>
      <c r="F916" s="169" t="s">
        <v>295</v>
      </c>
      <c r="G916" s="169" t="s">
        <v>296</v>
      </c>
      <c r="H916" s="169" t="s">
        <v>380</v>
      </c>
      <c r="I916" s="169" t="s">
        <v>381</v>
      </c>
      <c r="J916" s="169" t="s">
        <v>720</v>
      </c>
      <c r="K916" s="169" t="s">
        <v>712</v>
      </c>
      <c r="L916" s="169" t="s">
        <v>713</v>
      </c>
      <c r="M916" s="169" t="s">
        <v>281</v>
      </c>
      <c r="N916" s="178">
        <v>104831385</v>
      </c>
      <c r="O916" s="169" t="s">
        <v>721</v>
      </c>
      <c r="P916" s="169" t="s">
        <v>283</v>
      </c>
      <c r="Q916" s="169" t="s">
        <v>284</v>
      </c>
      <c r="R916" s="169" t="s">
        <v>283</v>
      </c>
      <c r="S916" s="169" t="s">
        <v>283</v>
      </c>
      <c r="T916" s="169">
        <v>0</v>
      </c>
    </row>
    <row r="917" spans="1:20" x14ac:dyDescent="0.2">
      <c r="B917" s="167" t="str">
        <f>_xlfn.XLOOKUP(I917,Mapping!D:D,Mapping!E:E)</f>
        <v>Mua Hàng &amp; XNK</v>
      </c>
      <c r="C917" s="167" t="str">
        <f>_xlfn.XLOOKUP(F917,Mapping!A:A,Mapping!F:F)</f>
        <v>BHXH, BHYT, KPCĐ</v>
      </c>
      <c r="D917" s="173">
        <v>45808</v>
      </c>
      <c r="E917" s="169" t="s">
        <v>719</v>
      </c>
      <c r="F917" s="169" t="s">
        <v>295</v>
      </c>
      <c r="G917" s="169" t="s">
        <v>296</v>
      </c>
      <c r="H917" s="169" t="s">
        <v>378</v>
      </c>
      <c r="I917" s="169" t="s">
        <v>379</v>
      </c>
      <c r="J917" s="169" t="s">
        <v>720</v>
      </c>
      <c r="K917" s="169" t="s">
        <v>712</v>
      </c>
      <c r="L917" s="169" t="s">
        <v>713</v>
      </c>
      <c r="M917" s="169" t="s">
        <v>281</v>
      </c>
      <c r="N917" s="178">
        <v>27385255</v>
      </c>
      <c r="O917" s="169" t="s">
        <v>721</v>
      </c>
      <c r="P917" s="169" t="s">
        <v>283</v>
      </c>
      <c r="Q917" s="169" t="s">
        <v>284</v>
      </c>
      <c r="R917" s="169" t="s">
        <v>283</v>
      </c>
      <c r="S917" s="169" t="s">
        <v>283</v>
      </c>
      <c r="T917" s="169">
        <v>0</v>
      </c>
    </row>
    <row r="918" spans="1:20" x14ac:dyDescent="0.2">
      <c r="B918" s="167" t="str">
        <f>_xlfn.XLOOKUP(I918,Mapping!D:D,Mapping!E:E)</f>
        <v>Kỹ Thuật</v>
      </c>
      <c r="C918" s="167" t="str">
        <f>_xlfn.XLOOKUP(F918,Mapping!A:A,Mapping!F:F)</f>
        <v>BHXH, BHYT, KPCĐ</v>
      </c>
      <c r="D918" s="173">
        <v>45808</v>
      </c>
      <c r="E918" s="169" t="s">
        <v>719</v>
      </c>
      <c r="F918" s="169" t="s">
        <v>393</v>
      </c>
      <c r="G918" s="169" t="s">
        <v>296</v>
      </c>
      <c r="H918" s="169" t="s">
        <v>376</v>
      </c>
      <c r="I918" s="169" t="s">
        <v>377</v>
      </c>
      <c r="J918" s="169" t="s">
        <v>720</v>
      </c>
      <c r="K918" s="169" t="s">
        <v>712</v>
      </c>
      <c r="L918" s="169" t="s">
        <v>713</v>
      </c>
      <c r="M918" s="169" t="s">
        <v>281</v>
      </c>
      <c r="N918" s="178">
        <v>212116170</v>
      </c>
      <c r="O918" s="169" t="s">
        <v>721</v>
      </c>
      <c r="P918" s="169" t="s">
        <v>283</v>
      </c>
      <c r="Q918" s="169" t="s">
        <v>284</v>
      </c>
      <c r="R918" s="169" t="s">
        <v>283</v>
      </c>
      <c r="S918" s="169" t="s">
        <v>283</v>
      </c>
      <c r="T918" s="169">
        <v>0</v>
      </c>
    </row>
    <row r="919" spans="1:20" x14ac:dyDescent="0.2">
      <c r="B919" s="167" t="str">
        <f>_xlfn.XLOOKUP(I919,Mapping!D:D,Mapping!E:E)</f>
        <v>Kỹ Thuật</v>
      </c>
      <c r="C919" s="167" t="str">
        <f>_xlfn.XLOOKUP(F919,Mapping!A:A,Mapping!F:F)</f>
        <v>Phụ Cấp</v>
      </c>
      <c r="D919" s="173">
        <v>45782</v>
      </c>
      <c r="E919" s="169" t="s">
        <v>736</v>
      </c>
      <c r="F919" s="169" t="s">
        <v>375</v>
      </c>
      <c r="G919" s="169" t="s">
        <v>336</v>
      </c>
      <c r="H919" s="169" t="s">
        <v>376</v>
      </c>
      <c r="I919" s="169" t="s">
        <v>377</v>
      </c>
      <c r="J919" s="169" t="s">
        <v>737</v>
      </c>
      <c r="K919" s="169" t="s">
        <v>338</v>
      </c>
      <c r="L919" s="169" t="s">
        <v>713</v>
      </c>
      <c r="M919" s="169" t="s">
        <v>281</v>
      </c>
      <c r="N919" s="178">
        <v>10625000</v>
      </c>
      <c r="O919" s="169" t="s">
        <v>738</v>
      </c>
      <c r="P919" s="169" t="s">
        <v>283</v>
      </c>
      <c r="Q919" s="169" t="s">
        <v>306</v>
      </c>
      <c r="R919" s="169" t="s">
        <v>283</v>
      </c>
      <c r="S919" s="169" t="s">
        <v>283</v>
      </c>
      <c r="T919" s="169">
        <v>0</v>
      </c>
    </row>
    <row r="920" spans="1:20" x14ac:dyDescent="0.2">
      <c r="B920" s="167" t="str">
        <f>_xlfn.XLOOKUP(I920,Mapping!D:D,Mapping!E:E)</f>
        <v>Mua Hàng &amp; XNK</v>
      </c>
      <c r="C920" s="167" t="str">
        <f>_xlfn.XLOOKUP(F920,Mapping!A:A,Mapping!F:F)</f>
        <v>Phụ Cấp</v>
      </c>
      <c r="D920" s="173">
        <v>45782</v>
      </c>
      <c r="E920" s="169" t="s">
        <v>736</v>
      </c>
      <c r="F920" s="169" t="s">
        <v>335</v>
      </c>
      <c r="G920" s="169" t="s">
        <v>336</v>
      </c>
      <c r="H920" s="169" t="s">
        <v>378</v>
      </c>
      <c r="I920" s="169" t="s">
        <v>379</v>
      </c>
      <c r="J920" s="169" t="s">
        <v>737</v>
      </c>
      <c r="K920" s="169" t="s">
        <v>338</v>
      </c>
      <c r="L920" s="169" t="s">
        <v>713</v>
      </c>
      <c r="M920" s="169" t="s">
        <v>281</v>
      </c>
      <c r="N920" s="178">
        <v>425000</v>
      </c>
      <c r="O920" s="169" t="s">
        <v>738</v>
      </c>
      <c r="P920" s="169" t="s">
        <v>283</v>
      </c>
      <c r="Q920" s="169" t="s">
        <v>306</v>
      </c>
      <c r="R920" s="169" t="s">
        <v>283</v>
      </c>
      <c r="S920" s="169" t="s">
        <v>283</v>
      </c>
      <c r="T920" s="169">
        <v>0</v>
      </c>
    </row>
    <row r="921" spans="1:20" x14ac:dyDescent="0.2">
      <c r="B921" s="167" t="str">
        <f>_xlfn.XLOOKUP(I921,Mapping!D:D,Mapping!E:E)</f>
        <v>Cung Ứng</v>
      </c>
      <c r="C921" s="167" t="str">
        <f>_xlfn.XLOOKUP(F921,Mapping!A:A,Mapping!F:F)</f>
        <v>Phụ Cấp</v>
      </c>
      <c r="D921" s="173">
        <v>45782</v>
      </c>
      <c r="E921" s="169" t="s">
        <v>736</v>
      </c>
      <c r="F921" s="169" t="s">
        <v>335</v>
      </c>
      <c r="G921" s="169" t="s">
        <v>336</v>
      </c>
      <c r="H921" s="169" t="s">
        <v>380</v>
      </c>
      <c r="I921" s="169" t="s">
        <v>381</v>
      </c>
      <c r="J921" s="169" t="s">
        <v>737</v>
      </c>
      <c r="K921" s="169" t="s">
        <v>338</v>
      </c>
      <c r="L921" s="169" t="s">
        <v>713</v>
      </c>
      <c r="M921" s="169" t="s">
        <v>281</v>
      </c>
      <c r="N921" s="178">
        <v>200000</v>
      </c>
      <c r="O921" s="169" t="s">
        <v>738</v>
      </c>
      <c r="P921" s="169" t="s">
        <v>283</v>
      </c>
      <c r="Q921" s="169" t="s">
        <v>306</v>
      </c>
      <c r="R921" s="169" t="s">
        <v>283</v>
      </c>
      <c r="S921" s="169" t="s">
        <v>283</v>
      </c>
      <c r="T921" s="169">
        <v>0</v>
      </c>
    </row>
    <row r="922" spans="1:20" x14ac:dyDescent="0.2">
      <c r="B922" s="167" t="str">
        <f>_xlfn.XLOOKUP(I922,Mapping!D:D,Mapping!E:E)</f>
        <v>Kỹ Thuật</v>
      </c>
      <c r="C922" s="167" t="str">
        <f>_xlfn.XLOOKUP(F922,Mapping!A:A,Mapping!F:F)</f>
        <v>Phụ Cấp</v>
      </c>
      <c r="D922" s="173">
        <v>45803</v>
      </c>
      <c r="E922" s="169" t="s">
        <v>739</v>
      </c>
      <c r="F922" s="169" t="s">
        <v>375</v>
      </c>
      <c r="G922" s="169" t="s">
        <v>336</v>
      </c>
      <c r="H922" s="169" t="s">
        <v>376</v>
      </c>
      <c r="I922" s="169" t="s">
        <v>377</v>
      </c>
      <c r="J922" s="169" t="s">
        <v>740</v>
      </c>
      <c r="K922" s="169" t="s">
        <v>741</v>
      </c>
      <c r="L922" s="169" t="s">
        <v>713</v>
      </c>
      <c r="M922" s="169" t="s">
        <v>281</v>
      </c>
      <c r="N922" s="178">
        <v>35500000</v>
      </c>
      <c r="O922" s="169" t="s">
        <v>742</v>
      </c>
      <c r="P922" s="169" t="s">
        <v>283</v>
      </c>
      <c r="Q922" s="169" t="s">
        <v>306</v>
      </c>
      <c r="R922" s="169" t="s">
        <v>283</v>
      </c>
      <c r="S922" s="169" t="s">
        <v>283</v>
      </c>
      <c r="T922" s="169">
        <v>0</v>
      </c>
    </row>
    <row r="923" spans="1:20" x14ac:dyDescent="0.2">
      <c r="B923" s="167" t="str">
        <f>_xlfn.XLOOKUP(I923,Mapping!D:D,Mapping!E:E)</f>
        <v>Mua Hàng &amp; XNK</v>
      </c>
      <c r="C923" s="167" t="str">
        <f>_xlfn.XLOOKUP(F923,Mapping!A:A,Mapping!F:F)</f>
        <v>Phụ Cấp</v>
      </c>
      <c r="D923" s="173">
        <v>45803</v>
      </c>
      <c r="E923" s="169" t="s">
        <v>739</v>
      </c>
      <c r="F923" s="169" t="s">
        <v>335</v>
      </c>
      <c r="G923" s="169" t="s">
        <v>336</v>
      </c>
      <c r="H923" s="169" t="s">
        <v>378</v>
      </c>
      <c r="I923" s="169" t="s">
        <v>379</v>
      </c>
      <c r="J923" s="169" t="s">
        <v>740</v>
      </c>
      <c r="K923" s="169" t="s">
        <v>741</v>
      </c>
      <c r="L923" s="169" t="s">
        <v>713</v>
      </c>
      <c r="M923" s="169" t="s">
        <v>281</v>
      </c>
      <c r="N923" s="178">
        <v>2675000</v>
      </c>
      <c r="O923" s="169" t="s">
        <v>742</v>
      </c>
      <c r="P923" s="169" t="s">
        <v>283</v>
      </c>
      <c r="Q923" s="169" t="s">
        <v>306</v>
      </c>
      <c r="R923" s="169" t="s">
        <v>283</v>
      </c>
      <c r="S923" s="169" t="s">
        <v>283</v>
      </c>
      <c r="T923" s="169">
        <v>0</v>
      </c>
    </row>
    <row r="924" spans="1:20" x14ac:dyDescent="0.2">
      <c r="B924" s="167" t="str">
        <f>_xlfn.XLOOKUP(I924,Mapping!D:D,Mapping!E:E)</f>
        <v>Cung Ứng</v>
      </c>
      <c r="C924" s="167" t="str">
        <f>_xlfn.XLOOKUP(F924,Mapping!A:A,Mapping!F:F)</f>
        <v>Phụ Cấp</v>
      </c>
      <c r="D924" s="173">
        <v>45803</v>
      </c>
      <c r="E924" s="169" t="s">
        <v>739</v>
      </c>
      <c r="F924" s="169" t="s">
        <v>335</v>
      </c>
      <c r="G924" s="169" t="s">
        <v>336</v>
      </c>
      <c r="H924" s="169" t="s">
        <v>380</v>
      </c>
      <c r="I924" s="169" t="s">
        <v>381</v>
      </c>
      <c r="J924" s="169" t="s">
        <v>740</v>
      </c>
      <c r="K924" s="169" t="s">
        <v>741</v>
      </c>
      <c r="L924" s="169" t="s">
        <v>713</v>
      </c>
      <c r="M924" s="169" t="s">
        <v>281</v>
      </c>
      <c r="N924" s="178">
        <v>1325000</v>
      </c>
      <c r="O924" s="169" t="s">
        <v>742</v>
      </c>
      <c r="P924" s="169" t="s">
        <v>283</v>
      </c>
      <c r="Q924" s="169" t="s">
        <v>306</v>
      </c>
      <c r="R924" s="169" t="s">
        <v>283</v>
      </c>
      <c r="S924" s="169" t="s">
        <v>283</v>
      </c>
      <c r="T924" s="169">
        <v>0</v>
      </c>
    </row>
    <row r="925" spans="1:20" x14ac:dyDescent="0.2">
      <c r="A925" s="169">
        <v>622</v>
      </c>
      <c r="B925" s="167" t="str">
        <f>_xlfn.XLOOKUP(I925,Mapping!D:D,Mapping!E:E)</f>
        <v>Xưởng Sản Xuất</v>
      </c>
      <c r="C925" s="167" t="str">
        <f>_xlfn.XLOOKUP(F925,Mapping!A:A,Mapping!F:F)</f>
        <v>Lương Chính +T13</v>
      </c>
      <c r="D925" s="173">
        <v>45782</v>
      </c>
      <c r="E925" s="169" t="s">
        <v>784</v>
      </c>
      <c r="F925" s="169" t="s">
        <v>400</v>
      </c>
      <c r="G925" s="169" t="s">
        <v>401</v>
      </c>
      <c r="H925" s="169" t="s">
        <v>402</v>
      </c>
      <c r="I925" s="169" t="s">
        <v>403</v>
      </c>
      <c r="J925" s="169" t="s">
        <v>785</v>
      </c>
      <c r="K925" s="169" t="s">
        <v>405</v>
      </c>
      <c r="L925" s="169" t="s">
        <v>713</v>
      </c>
      <c r="M925" s="169" t="s">
        <v>281</v>
      </c>
      <c r="N925" s="178">
        <v>22167708</v>
      </c>
      <c r="O925" s="169" t="s">
        <v>786</v>
      </c>
      <c r="P925" s="169" t="s">
        <v>283</v>
      </c>
      <c r="Q925" s="169" t="s">
        <v>306</v>
      </c>
      <c r="R925" s="169" t="s">
        <v>283</v>
      </c>
      <c r="S925" s="169" t="s">
        <v>283</v>
      </c>
      <c r="T925" s="169">
        <v>0</v>
      </c>
    </row>
    <row r="926" spans="1:20" x14ac:dyDescent="0.2">
      <c r="B926" s="167" t="str">
        <f>_xlfn.XLOOKUP(I926,Mapping!D:D,Mapping!E:E)</f>
        <v>Kiểm Soát Chất Lượng</v>
      </c>
      <c r="C926" s="167" t="str">
        <f>_xlfn.XLOOKUP(F926,Mapping!A:A,Mapping!F:F)</f>
        <v>Phụ Cấp</v>
      </c>
      <c r="D926" s="173">
        <v>45808</v>
      </c>
      <c r="E926" s="169" t="s">
        <v>710</v>
      </c>
      <c r="F926" s="169" t="s">
        <v>386</v>
      </c>
      <c r="G926" s="169" t="s">
        <v>341</v>
      </c>
      <c r="H926" s="169" t="s">
        <v>411</v>
      </c>
      <c r="I926" s="169" t="s">
        <v>412</v>
      </c>
      <c r="J926" s="169" t="s">
        <v>711</v>
      </c>
      <c r="K926" s="169" t="s">
        <v>712</v>
      </c>
      <c r="L926" s="169" t="s">
        <v>713</v>
      </c>
      <c r="M926" s="169" t="s">
        <v>281</v>
      </c>
      <c r="N926" s="178">
        <v>28055590</v>
      </c>
      <c r="O926" s="169" t="s">
        <v>714</v>
      </c>
      <c r="P926" s="169" t="s">
        <v>283</v>
      </c>
      <c r="Q926" s="169" t="s">
        <v>284</v>
      </c>
      <c r="R926" s="169" t="s">
        <v>283</v>
      </c>
      <c r="S926" s="169" t="s">
        <v>283</v>
      </c>
      <c r="T926" s="169">
        <v>0</v>
      </c>
    </row>
    <row r="927" spans="1:20" x14ac:dyDescent="0.2">
      <c r="B927" s="167" t="str">
        <f>_xlfn.XLOOKUP(I927,Mapping!D:D,Mapping!E:E)</f>
        <v>Kiểm Soát Chất Lượng</v>
      </c>
      <c r="C927" s="167" t="str">
        <f>_xlfn.XLOOKUP(F927,Mapping!A:A,Mapping!F:F)</f>
        <v>Lương Chính +T13</v>
      </c>
      <c r="D927" s="173">
        <v>45808</v>
      </c>
      <c r="E927" s="169" t="s">
        <v>710</v>
      </c>
      <c r="F927" s="169" t="s">
        <v>387</v>
      </c>
      <c r="G927" s="169" t="s">
        <v>275</v>
      </c>
      <c r="H927" s="169" t="s">
        <v>411</v>
      </c>
      <c r="I927" s="169" t="s">
        <v>412</v>
      </c>
      <c r="J927" s="169" t="s">
        <v>711</v>
      </c>
      <c r="K927" s="169" t="s">
        <v>712</v>
      </c>
      <c r="L927" s="169" t="s">
        <v>713</v>
      </c>
      <c r="M927" s="169" t="s">
        <v>281</v>
      </c>
      <c r="N927" s="178">
        <v>461679827</v>
      </c>
      <c r="O927" s="169" t="s">
        <v>714</v>
      </c>
      <c r="P927" s="169" t="s">
        <v>283</v>
      </c>
      <c r="Q927" s="169" t="s">
        <v>284</v>
      </c>
      <c r="R927" s="169" t="s">
        <v>283</v>
      </c>
      <c r="S927" s="169" t="s">
        <v>283</v>
      </c>
      <c r="T927" s="169">
        <v>0</v>
      </c>
    </row>
    <row r="928" spans="1:20" x14ac:dyDescent="0.2">
      <c r="B928" s="167" t="str">
        <f>_xlfn.XLOOKUP(I928,Mapping!D:D,Mapping!E:E)</f>
        <v>Kiểm Soát Chất Lượng</v>
      </c>
      <c r="C928" s="167" t="str">
        <f>_xlfn.XLOOKUP(F928,Mapping!A:A,Mapping!F:F)</f>
        <v>Lương Chính +T13</v>
      </c>
      <c r="D928" s="173">
        <v>45808</v>
      </c>
      <c r="E928" s="169" t="s">
        <v>710</v>
      </c>
      <c r="F928" s="169" t="s">
        <v>388</v>
      </c>
      <c r="G928" s="169" t="s">
        <v>286</v>
      </c>
      <c r="H928" s="169" t="s">
        <v>411</v>
      </c>
      <c r="I928" s="169" t="s">
        <v>412</v>
      </c>
      <c r="J928" s="169" t="s">
        <v>711</v>
      </c>
      <c r="K928" s="169" t="s">
        <v>712</v>
      </c>
      <c r="L928" s="169" t="s">
        <v>713</v>
      </c>
      <c r="M928" s="169" t="s">
        <v>281</v>
      </c>
      <c r="N928" s="178">
        <v>12469425</v>
      </c>
      <c r="O928" s="169" t="s">
        <v>714</v>
      </c>
      <c r="P928" s="169" t="s">
        <v>283</v>
      </c>
      <c r="Q928" s="169" t="s">
        <v>284</v>
      </c>
      <c r="R928" s="169" t="s">
        <v>283</v>
      </c>
      <c r="S928" s="169" t="s">
        <v>283</v>
      </c>
      <c r="T928" s="169">
        <v>0</v>
      </c>
    </row>
    <row r="929" spans="1:20" x14ac:dyDescent="0.2">
      <c r="B929" s="167" t="str">
        <f>_xlfn.XLOOKUP(I929,Mapping!D:D,Mapping!E:E)</f>
        <v>Kiểm Soát Chất Lượng</v>
      </c>
      <c r="C929" s="167" t="str">
        <f>_xlfn.XLOOKUP(F929,Mapping!A:A,Mapping!F:F)</f>
        <v>Lương Ngoài giờ</v>
      </c>
      <c r="D929" s="173">
        <v>45808</v>
      </c>
      <c r="E929" s="169" t="s">
        <v>710</v>
      </c>
      <c r="F929" s="169" t="s">
        <v>389</v>
      </c>
      <c r="G929" s="169" t="s">
        <v>390</v>
      </c>
      <c r="H929" s="169" t="s">
        <v>411</v>
      </c>
      <c r="I929" s="169" t="s">
        <v>412</v>
      </c>
      <c r="J929" s="169" t="s">
        <v>711</v>
      </c>
      <c r="K929" s="169" t="s">
        <v>712</v>
      </c>
      <c r="L929" s="169" t="s">
        <v>713</v>
      </c>
      <c r="M929" s="169" t="s">
        <v>281</v>
      </c>
      <c r="N929" s="178">
        <v>211357684</v>
      </c>
      <c r="O929" s="169" t="s">
        <v>714</v>
      </c>
      <c r="P929" s="169" t="s">
        <v>283</v>
      </c>
      <c r="Q929" s="169" t="s">
        <v>284</v>
      </c>
      <c r="R929" s="169" t="s">
        <v>283</v>
      </c>
      <c r="S929" s="169" t="s">
        <v>283</v>
      </c>
      <c r="T929" s="169">
        <v>0</v>
      </c>
    </row>
    <row r="930" spans="1:20" x14ac:dyDescent="0.2">
      <c r="B930" s="167" t="str">
        <f>_xlfn.XLOOKUP(I930,Mapping!D:D,Mapping!E:E)</f>
        <v>Kiểm Soát Chất Lượng</v>
      </c>
      <c r="C930" s="167" t="str">
        <f>_xlfn.XLOOKUP(F930,Mapping!A:A,Mapping!F:F)</f>
        <v>Thưởng</v>
      </c>
      <c r="D930" s="173">
        <v>45808</v>
      </c>
      <c r="E930" s="169" t="s">
        <v>710</v>
      </c>
      <c r="F930" s="169" t="s">
        <v>391</v>
      </c>
      <c r="G930" s="169" t="s">
        <v>291</v>
      </c>
      <c r="H930" s="169" t="s">
        <v>411</v>
      </c>
      <c r="I930" s="169" t="s">
        <v>412</v>
      </c>
      <c r="J930" s="169" t="s">
        <v>711</v>
      </c>
      <c r="K930" s="169" t="s">
        <v>712</v>
      </c>
      <c r="L930" s="169" t="s">
        <v>713</v>
      </c>
      <c r="M930" s="169" t="s">
        <v>281</v>
      </c>
      <c r="N930" s="178">
        <v>9800000</v>
      </c>
      <c r="O930" s="169" t="s">
        <v>714</v>
      </c>
      <c r="P930" s="169" t="s">
        <v>283</v>
      </c>
      <c r="Q930" s="169" t="s">
        <v>284</v>
      </c>
      <c r="R930" s="169" t="s">
        <v>283</v>
      </c>
      <c r="S930" s="169" t="s">
        <v>283</v>
      </c>
      <c r="T930" s="169">
        <v>0</v>
      </c>
    </row>
    <row r="931" spans="1:20" x14ac:dyDescent="0.2">
      <c r="B931" s="167" t="str">
        <f>_xlfn.XLOOKUP(I931,Mapping!D:D,Mapping!E:E)</f>
        <v>Kiểm Soát Chất Lượng</v>
      </c>
      <c r="C931" s="167" t="str">
        <f>_xlfn.XLOOKUP(F931,Mapping!A:A,Mapping!F:F)</f>
        <v>Phụ Cấp</v>
      </c>
      <c r="D931" s="173">
        <v>45808</v>
      </c>
      <c r="E931" s="169" t="s">
        <v>710</v>
      </c>
      <c r="F931" s="169" t="s">
        <v>375</v>
      </c>
      <c r="G931" s="169" t="s">
        <v>336</v>
      </c>
      <c r="H931" s="169" t="s">
        <v>411</v>
      </c>
      <c r="I931" s="169" t="s">
        <v>412</v>
      </c>
      <c r="J931" s="169" t="s">
        <v>711</v>
      </c>
      <c r="K931" s="169" t="s">
        <v>712</v>
      </c>
      <c r="L931" s="169" t="s">
        <v>713</v>
      </c>
      <c r="M931" s="169" t="s">
        <v>281</v>
      </c>
      <c r="N931" s="178">
        <v>8270000</v>
      </c>
      <c r="O931" s="169" t="s">
        <v>714</v>
      </c>
      <c r="P931" s="169" t="s">
        <v>283</v>
      </c>
      <c r="Q931" s="169" t="s">
        <v>284</v>
      </c>
      <c r="R931" s="169" t="s">
        <v>283</v>
      </c>
      <c r="S931" s="169" t="s">
        <v>283</v>
      </c>
      <c r="T931" s="169">
        <v>0</v>
      </c>
    </row>
    <row r="932" spans="1:20" x14ac:dyDescent="0.2">
      <c r="B932" s="167" t="str">
        <f>_xlfn.XLOOKUP(I932,Mapping!D:D,Mapping!E:E)</f>
        <v>Nghiên Cứu &amp; Phát Triển</v>
      </c>
      <c r="C932" s="167" t="str">
        <f>_xlfn.XLOOKUP(F932,Mapping!A:A,Mapping!F:F)</f>
        <v>Lương Chính +T13</v>
      </c>
      <c r="D932" s="173">
        <v>45808</v>
      </c>
      <c r="E932" s="169" t="s">
        <v>710</v>
      </c>
      <c r="F932" s="169" t="s">
        <v>387</v>
      </c>
      <c r="G932" s="169" t="s">
        <v>275</v>
      </c>
      <c r="H932" s="169" t="s">
        <v>418</v>
      </c>
      <c r="I932" s="169" t="s">
        <v>419</v>
      </c>
      <c r="J932" s="169" t="s">
        <v>711</v>
      </c>
      <c r="K932" s="169" t="s">
        <v>712</v>
      </c>
      <c r="L932" s="169" t="s">
        <v>713</v>
      </c>
      <c r="M932" s="169" t="s">
        <v>281</v>
      </c>
      <c r="N932" s="178">
        <v>143072395</v>
      </c>
      <c r="O932" s="169" t="s">
        <v>714</v>
      </c>
      <c r="P932" s="169" t="s">
        <v>283</v>
      </c>
      <c r="Q932" s="169" t="s">
        <v>284</v>
      </c>
      <c r="R932" s="169" t="s">
        <v>283</v>
      </c>
      <c r="S932" s="169" t="s">
        <v>283</v>
      </c>
      <c r="T932" s="169">
        <v>0</v>
      </c>
    </row>
    <row r="933" spans="1:20" x14ac:dyDescent="0.2">
      <c r="B933" s="167" t="str">
        <f>_xlfn.XLOOKUP(I933,Mapping!D:D,Mapping!E:E)</f>
        <v>Nghiên Cứu &amp; Phát Triển</v>
      </c>
      <c r="C933" s="167" t="str">
        <f>_xlfn.XLOOKUP(F933,Mapping!A:A,Mapping!F:F)</f>
        <v>Lương Chính +T13</v>
      </c>
      <c r="D933" s="173">
        <v>45808</v>
      </c>
      <c r="E933" s="169" t="s">
        <v>710</v>
      </c>
      <c r="F933" s="169" t="s">
        <v>388</v>
      </c>
      <c r="G933" s="169" t="s">
        <v>286</v>
      </c>
      <c r="H933" s="169" t="s">
        <v>418</v>
      </c>
      <c r="I933" s="169" t="s">
        <v>419</v>
      </c>
      <c r="J933" s="169" t="s">
        <v>711</v>
      </c>
      <c r="K933" s="169" t="s">
        <v>712</v>
      </c>
      <c r="L933" s="169" t="s">
        <v>713</v>
      </c>
      <c r="M933" s="169" t="s">
        <v>281</v>
      </c>
      <c r="N933" s="178">
        <v>5605942</v>
      </c>
      <c r="O933" s="169" t="s">
        <v>714</v>
      </c>
      <c r="P933" s="169" t="s">
        <v>283</v>
      </c>
      <c r="Q933" s="169" t="s">
        <v>284</v>
      </c>
      <c r="R933" s="169" t="s">
        <v>283</v>
      </c>
      <c r="S933" s="169" t="s">
        <v>283</v>
      </c>
      <c r="T933" s="169">
        <v>0</v>
      </c>
    </row>
    <row r="934" spans="1:20" x14ac:dyDescent="0.2">
      <c r="B934" s="167" t="str">
        <f>_xlfn.XLOOKUP(I934,Mapping!D:D,Mapping!E:E)</f>
        <v>Nghiên Cứu &amp; Phát Triển</v>
      </c>
      <c r="C934" s="167" t="str">
        <f>_xlfn.XLOOKUP(F934,Mapping!A:A,Mapping!F:F)</f>
        <v>Thưởng</v>
      </c>
      <c r="D934" s="173">
        <v>45808</v>
      </c>
      <c r="E934" s="169" t="s">
        <v>710</v>
      </c>
      <c r="F934" s="169" t="s">
        <v>391</v>
      </c>
      <c r="G934" s="169" t="s">
        <v>291</v>
      </c>
      <c r="H934" s="169" t="s">
        <v>418</v>
      </c>
      <c r="I934" s="169" t="s">
        <v>419</v>
      </c>
      <c r="J934" s="169" t="s">
        <v>711</v>
      </c>
      <c r="K934" s="169" t="s">
        <v>712</v>
      </c>
      <c r="L934" s="169" t="s">
        <v>713</v>
      </c>
      <c r="M934" s="169" t="s">
        <v>281</v>
      </c>
      <c r="N934" s="178">
        <v>1400000</v>
      </c>
      <c r="O934" s="169" t="s">
        <v>714</v>
      </c>
      <c r="P934" s="169" t="s">
        <v>283</v>
      </c>
      <c r="Q934" s="169" t="s">
        <v>284</v>
      </c>
      <c r="R934" s="169" t="s">
        <v>283</v>
      </c>
      <c r="S934" s="169" t="s">
        <v>283</v>
      </c>
      <c r="T934" s="169">
        <v>0</v>
      </c>
    </row>
    <row r="935" spans="1:20" x14ac:dyDescent="0.2">
      <c r="B935" s="167" t="str">
        <f>_xlfn.XLOOKUP(I935,Mapping!D:D,Mapping!E:E)</f>
        <v>Nghiên Cứu &amp; Phát Triển</v>
      </c>
      <c r="C935" s="167" t="str">
        <f>_xlfn.XLOOKUP(F935,Mapping!A:A,Mapping!F:F)</f>
        <v>Phụ Cấp</v>
      </c>
      <c r="D935" s="173">
        <v>45808</v>
      </c>
      <c r="E935" s="169" t="s">
        <v>710</v>
      </c>
      <c r="F935" s="169" t="s">
        <v>375</v>
      </c>
      <c r="G935" s="169" t="s">
        <v>336</v>
      </c>
      <c r="H935" s="169" t="s">
        <v>418</v>
      </c>
      <c r="I935" s="169" t="s">
        <v>419</v>
      </c>
      <c r="J935" s="169" t="s">
        <v>711</v>
      </c>
      <c r="K935" s="169" t="s">
        <v>712</v>
      </c>
      <c r="L935" s="169" t="s">
        <v>713</v>
      </c>
      <c r="M935" s="169" t="s">
        <v>281</v>
      </c>
      <c r="N935" s="178">
        <v>100000</v>
      </c>
      <c r="O935" s="169" t="s">
        <v>714</v>
      </c>
      <c r="P935" s="169" t="s">
        <v>283</v>
      </c>
      <c r="Q935" s="169" t="s">
        <v>284</v>
      </c>
      <c r="R935" s="169" t="s">
        <v>283</v>
      </c>
      <c r="S935" s="169" t="s">
        <v>283</v>
      </c>
      <c r="T935" s="169">
        <v>0</v>
      </c>
    </row>
    <row r="936" spans="1:20" x14ac:dyDescent="0.2">
      <c r="A936" s="169">
        <v>622</v>
      </c>
      <c r="B936" s="167" t="str">
        <f>_xlfn.XLOOKUP(I936,Mapping!D:D,Mapping!E:E)</f>
        <v>Xưởng Sản Xuất</v>
      </c>
      <c r="C936" s="167" t="str">
        <f>_xlfn.XLOOKUP(F936,Mapping!A:A,Mapping!F:F)</f>
        <v>Lương Chính +T13</v>
      </c>
      <c r="D936" s="173">
        <v>45808</v>
      </c>
      <c r="E936" s="169" t="s">
        <v>710</v>
      </c>
      <c r="F936" s="169" t="s">
        <v>400</v>
      </c>
      <c r="G936" s="169" t="s">
        <v>401</v>
      </c>
      <c r="H936" s="169" t="s">
        <v>402</v>
      </c>
      <c r="I936" s="169" t="s">
        <v>403</v>
      </c>
      <c r="J936" s="169" t="s">
        <v>711</v>
      </c>
      <c r="K936" s="169" t="s">
        <v>712</v>
      </c>
      <c r="L936" s="169" t="s">
        <v>713</v>
      </c>
      <c r="M936" s="169" t="s">
        <v>281</v>
      </c>
      <c r="N936" s="178">
        <v>1560771043</v>
      </c>
      <c r="O936" s="169" t="s">
        <v>714</v>
      </c>
      <c r="P936" s="169" t="s">
        <v>283</v>
      </c>
      <c r="Q936" s="169" t="s">
        <v>284</v>
      </c>
      <c r="R936" s="169" t="s">
        <v>283</v>
      </c>
      <c r="S936" s="169" t="s">
        <v>283</v>
      </c>
      <c r="T936" s="169">
        <v>0</v>
      </c>
    </row>
    <row r="937" spans="1:20" x14ac:dyDescent="0.2">
      <c r="A937" s="169">
        <v>622</v>
      </c>
      <c r="B937" s="167" t="str">
        <f>_xlfn.XLOOKUP(I937,Mapping!D:D,Mapping!E:E)</f>
        <v>Xưởng Sản Xuất</v>
      </c>
      <c r="C937" s="167" t="str">
        <f>_xlfn.XLOOKUP(F937,Mapping!A:A,Mapping!F:F)</f>
        <v>Lương Chính +T13</v>
      </c>
      <c r="D937" s="173">
        <v>45808</v>
      </c>
      <c r="E937" s="169" t="s">
        <v>710</v>
      </c>
      <c r="F937" s="169" t="s">
        <v>420</v>
      </c>
      <c r="G937" s="169" t="s">
        <v>286</v>
      </c>
      <c r="H937" s="169" t="s">
        <v>402</v>
      </c>
      <c r="I937" s="169" t="s">
        <v>403</v>
      </c>
      <c r="J937" s="169" t="s">
        <v>711</v>
      </c>
      <c r="K937" s="169" t="s">
        <v>712</v>
      </c>
      <c r="L937" s="169" t="s">
        <v>713</v>
      </c>
      <c r="M937" s="169" t="s">
        <v>281</v>
      </c>
      <c r="N937" s="178">
        <v>21573182</v>
      </c>
      <c r="O937" s="169" t="s">
        <v>714</v>
      </c>
      <c r="P937" s="169" t="s">
        <v>283</v>
      </c>
      <c r="Q937" s="169" t="s">
        <v>284</v>
      </c>
      <c r="R937" s="169" t="s">
        <v>283</v>
      </c>
      <c r="S937" s="169" t="s">
        <v>283</v>
      </c>
      <c r="T937" s="169">
        <v>0</v>
      </c>
    </row>
    <row r="938" spans="1:20" x14ac:dyDescent="0.2">
      <c r="A938" s="169">
        <v>622</v>
      </c>
      <c r="B938" s="167" t="str">
        <f>_xlfn.XLOOKUP(I938,Mapping!D:D,Mapping!E:E)</f>
        <v>Xưởng Sản Xuất</v>
      </c>
      <c r="C938" s="167" t="str">
        <f>_xlfn.XLOOKUP(F938,Mapping!A:A,Mapping!F:F)</f>
        <v>Phụ Cấp</v>
      </c>
      <c r="D938" s="173">
        <v>45808</v>
      </c>
      <c r="E938" s="169" t="s">
        <v>710</v>
      </c>
      <c r="F938" s="169" t="s">
        <v>421</v>
      </c>
      <c r="G938" s="169" t="s">
        <v>341</v>
      </c>
      <c r="H938" s="169" t="s">
        <v>402</v>
      </c>
      <c r="I938" s="169" t="s">
        <v>403</v>
      </c>
      <c r="J938" s="169" t="s">
        <v>711</v>
      </c>
      <c r="K938" s="169" t="s">
        <v>712</v>
      </c>
      <c r="L938" s="169" t="s">
        <v>713</v>
      </c>
      <c r="M938" s="169" t="s">
        <v>281</v>
      </c>
      <c r="N938" s="178">
        <v>132116256</v>
      </c>
      <c r="O938" s="169" t="s">
        <v>714</v>
      </c>
      <c r="P938" s="169" t="s">
        <v>283</v>
      </c>
      <c r="Q938" s="169" t="s">
        <v>284</v>
      </c>
      <c r="R938" s="169" t="s">
        <v>283</v>
      </c>
      <c r="S938" s="169" t="s">
        <v>283</v>
      </c>
      <c r="T938" s="169">
        <v>0</v>
      </c>
    </row>
    <row r="939" spans="1:20" x14ac:dyDescent="0.2">
      <c r="A939" s="169">
        <v>622</v>
      </c>
      <c r="B939" s="167" t="str">
        <f>_xlfn.XLOOKUP(I939,Mapping!D:D,Mapping!E:E)</f>
        <v>Xưởng Sản Xuất</v>
      </c>
      <c r="C939" s="167" t="str">
        <f>_xlfn.XLOOKUP(F939,Mapping!A:A,Mapping!F:F)</f>
        <v>Lương Ngoài giờ</v>
      </c>
      <c r="D939" s="173">
        <v>45808</v>
      </c>
      <c r="E939" s="169" t="s">
        <v>710</v>
      </c>
      <c r="F939" s="169" t="s">
        <v>422</v>
      </c>
      <c r="G939" s="169" t="s">
        <v>423</v>
      </c>
      <c r="H939" s="169" t="s">
        <v>402</v>
      </c>
      <c r="I939" s="169" t="s">
        <v>403</v>
      </c>
      <c r="J939" s="169" t="s">
        <v>711</v>
      </c>
      <c r="K939" s="169" t="s">
        <v>712</v>
      </c>
      <c r="L939" s="169" t="s">
        <v>713</v>
      </c>
      <c r="M939" s="169" t="s">
        <v>281</v>
      </c>
      <c r="N939" s="178">
        <v>525012971</v>
      </c>
      <c r="O939" s="169" t="s">
        <v>714</v>
      </c>
      <c r="P939" s="169" t="s">
        <v>283</v>
      </c>
      <c r="Q939" s="169" t="s">
        <v>284</v>
      </c>
      <c r="R939" s="169" t="s">
        <v>283</v>
      </c>
      <c r="S939" s="169" t="s">
        <v>283</v>
      </c>
      <c r="T939" s="169">
        <v>0</v>
      </c>
    </row>
    <row r="940" spans="1:20" x14ac:dyDescent="0.2">
      <c r="A940" s="169">
        <v>622</v>
      </c>
      <c r="B940" s="167" t="str">
        <f>_xlfn.XLOOKUP(I940,Mapping!D:D,Mapping!E:E)</f>
        <v>Xưởng Sản Xuất</v>
      </c>
      <c r="C940" s="167" t="str">
        <f>_xlfn.XLOOKUP(F940,Mapping!A:A,Mapping!F:F)</f>
        <v>Thưởng</v>
      </c>
      <c r="D940" s="173">
        <v>45808</v>
      </c>
      <c r="E940" s="169" t="s">
        <v>710</v>
      </c>
      <c r="F940" s="169" t="s">
        <v>424</v>
      </c>
      <c r="G940" s="169" t="s">
        <v>291</v>
      </c>
      <c r="H940" s="169" t="s">
        <v>402</v>
      </c>
      <c r="I940" s="169" t="s">
        <v>403</v>
      </c>
      <c r="J940" s="169" t="s">
        <v>711</v>
      </c>
      <c r="K940" s="169" t="s">
        <v>712</v>
      </c>
      <c r="L940" s="169" t="s">
        <v>713</v>
      </c>
      <c r="M940" s="169" t="s">
        <v>281</v>
      </c>
      <c r="N940" s="178">
        <v>38400000</v>
      </c>
      <c r="O940" s="169" t="s">
        <v>714</v>
      </c>
      <c r="P940" s="169" t="s">
        <v>283</v>
      </c>
      <c r="Q940" s="169" t="s">
        <v>284</v>
      </c>
      <c r="R940" s="169" t="s">
        <v>283</v>
      </c>
      <c r="S940" s="169" t="s">
        <v>283</v>
      </c>
      <c r="T940" s="169">
        <v>0</v>
      </c>
    </row>
    <row r="941" spans="1:20" x14ac:dyDescent="0.2">
      <c r="A941" s="169">
        <v>622</v>
      </c>
      <c r="B941" s="167" t="str">
        <f>_xlfn.XLOOKUP(I941,Mapping!D:D,Mapping!E:E)</f>
        <v>Xưởng Sản Xuất</v>
      </c>
      <c r="C941" s="167" t="str">
        <f>_xlfn.XLOOKUP(F941,Mapping!A:A,Mapping!F:F)</f>
        <v>Phụ Cấp</v>
      </c>
      <c r="D941" s="173">
        <v>45808</v>
      </c>
      <c r="E941" s="169" t="s">
        <v>710</v>
      </c>
      <c r="F941" s="169" t="s">
        <v>414</v>
      </c>
      <c r="G941" s="169" t="s">
        <v>415</v>
      </c>
      <c r="H941" s="169" t="s">
        <v>402</v>
      </c>
      <c r="I941" s="169" t="s">
        <v>403</v>
      </c>
      <c r="J941" s="169" t="s">
        <v>711</v>
      </c>
      <c r="K941" s="169" t="s">
        <v>712</v>
      </c>
      <c r="L941" s="169" t="s">
        <v>713</v>
      </c>
      <c r="M941" s="169" t="s">
        <v>281</v>
      </c>
      <c r="N941" s="178">
        <v>35920000</v>
      </c>
      <c r="O941" s="169" t="s">
        <v>714</v>
      </c>
      <c r="P941" s="169" t="s">
        <v>283</v>
      </c>
      <c r="Q941" s="169" t="s">
        <v>284</v>
      </c>
      <c r="R941" s="169" t="s">
        <v>283</v>
      </c>
      <c r="S941" s="169" t="s">
        <v>283</v>
      </c>
      <c r="T941" s="169">
        <v>0</v>
      </c>
    </row>
    <row r="942" spans="1:20" x14ac:dyDescent="0.2">
      <c r="A942" s="169">
        <v>627</v>
      </c>
      <c r="B942" s="167" t="str">
        <f>_xlfn.XLOOKUP(I942,Mapping!D:D,Mapping!E:E)</f>
        <v>Xưởng Sản Xuất</v>
      </c>
      <c r="C942" s="167" t="str">
        <f>_xlfn.XLOOKUP(F942,Mapping!A:A,Mapping!F:F)</f>
        <v>Phụ Cấp</v>
      </c>
      <c r="D942" s="173">
        <v>45808</v>
      </c>
      <c r="E942" s="169" t="s">
        <v>710</v>
      </c>
      <c r="F942" s="169" t="s">
        <v>386</v>
      </c>
      <c r="G942" s="169" t="s">
        <v>341</v>
      </c>
      <c r="H942" s="169" t="s">
        <v>402</v>
      </c>
      <c r="I942" s="169" t="s">
        <v>403</v>
      </c>
      <c r="J942" s="169" t="s">
        <v>711</v>
      </c>
      <c r="K942" s="169" t="s">
        <v>712</v>
      </c>
      <c r="L942" s="169" t="s">
        <v>713</v>
      </c>
      <c r="M942" s="169" t="s">
        <v>281</v>
      </c>
      <c r="N942" s="178">
        <v>15494723</v>
      </c>
      <c r="O942" s="169" t="s">
        <v>714</v>
      </c>
      <c r="P942" s="169" t="s">
        <v>283</v>
      </c>
      <c r="Q942" s="169" t="s">
        <v>284</v>
      </c>
      <c r="R942" s="169" t="s">
        <v>283</v>
      </c>
      <c r="S942" s="169" t="s">
        <v>283</v>
      </c>
      <c r="T942" s="169">
        <v>0</v>
      </c>
    </row>
    <row r="943" spans="1:20" x14ac:dyDescent="0.2">
      <c r="A943" s="169">
        <v>627</v>
      </c>
      <c r="B943" s="167" t="str">
        <f>_xlfn.XLOOKUP(I943,Mapping!D:D,Mapping!E:E)</f>
        <v>Xưởng Sản Xuất</v>
      </c>
      <c r="C943" s="167" t="str">
        <f>_xlfn.XLOOKUP(F943,Mapping!A:A,Mapping!F:F)</f>
        <v>Lương Chính +T13</v>
      </c>
      <c r="D943" s="173">
        <v>45808</v>
      </c>
      <c r="E943" s="169" t="s">
        <v>710</v>
      </c>
      <c r="F943" s="169" t="s">
        <v>387</v>
      </c>
      <c r="G943" s="169" t="s">
        <v>275</v>
      </c>
      <c r="H943" s="169" t="s">
        <v>402</v>
      </c>
      <c r="I943" s="169" t="s">
        <v>403</v>
      </c>
      <c r="J943" s="169" t="s">
        <v>711</v>
      </c>
      <c r="K943" s="169" t="s">
        <v>712</v>
      </c>
      <c r="L943" s="169" t="s">
        <v>713</v>
      </c>
      <c r="M943" s="169" t="s">
        <v>281</v>
      </c>
      <c r="N943" s="178">
        <v>452928267</v>
      </c>
      <c r="O943" s="169" t="s">
        <v>714</v>
      </c>
      <c r="P943" s="169" t="s">
        <v>283</v>
      </c>
      <c r="Q943" s="169" t="s">
        <v>284</v>
      </c>
      <c r="R943" s="169" t="s">
        <v>283</v>
      </c>
      <c r="S943" s="169" t="s">
        <v>283</v>
      </c>
      <c r="T943" s="169">
        <v>0</v>
      </c>
    </row>
    <row r="944" spans="1:20" x14ac:dyDescent="0.2">
      <c r="A944" s="169">
        <v>627</v>
      </c>
      <c r="B944" s="167" t="str">
        <f>_xlfn.XLOOKUP(I944,Mapping!D:D,Mapping!E:E)</f>
        <v>Xưởng Sản Xuất</v>
      </c>
      <c r="C944" s="167" t="str">
        <f>_xlfn.XLOOKUP(F944,Mapping!A:A,Mapping!F:F)</f>
        <v>Lương Chính +T13</v>
      </c>
      <c r="D944" s="173">
        <v>45808</v>
      </c>
      <c r="E944" s="169" t="s">
        <v>710</v>
      </c>
      <c r="F944" s="169" t="s">
        <v>388</v>
      </c>
      <c r="G944" s="169" t="s">
        <v>286</v>
      </c>
      <c r="H944" s="169" t="s">
        <v>402</v>
      </c>
      <c r="I944" s="169" t="s">
        <v>403</v>
      </c>
      <c r="J944" s="169" t="s">
        <v>711</v>
      </c>
      <c r="K944" s="169" t="s">
        <v>712</v>
      </c>
      <c r="L944" s="169" t="s">
        <v>713</v>
      </c>
      <c r="M944" s="169" t="s">
        <v>281</v>
      </c>
      <c r="N944" s="178">
        <v>18661731</v>
      </c>
      <c r="O944" s="169" t="s">
        <v>714</v>
      </c>
      <c r="P944" s="169" t="s">
        <v>283</v>
      </c>
      <c r="Q944" s="169" t="s">
        <v>284</v>
      </c>
      <c r="R944" s="169" t="s">
        <v>283</v>
      </c>
      <c r="S944" s="169" t="s">
        <v>283</v>
      </c>
      <c r="T944" s="169">
        <v>0</v>
      </c>
    </row>
    <row r="945" spans="1:20" x14ac:dyDescent="0.2">
      <c r="A945" s="169">
        <v>627</v>
      </c>
      <c r="B945" s="167" t="str">
        <f>_xlfn.XLOOKUP(I945,Mapping!D:D,Mapping!E:E)</f>
        <v>Xưởng Sản Xuất</v>
      </c>
      <c r="C945" s="167" t="str">
        <f>_xlfn.XLOOKUP(F945,Mapping!A:A,Mapping!F:F)</f>
        <v>Lương Ngoài giờ</v>
      </c>
      <c r="D945" s="173">
        <v>45808</v>
      </c>
      <c r="E945" s="169" t="s">
        <v>710</v>
      </c>
      <c r="F945" s="169" t="s">
        <v>389</v>
      </c>
      <c r="G945" s="169" t="s">
        <v>390</v>
      </c>
      <c r="H945" s="169" t="s">
        <v>402</v>
      </c>
      <c r="I945" s="169" t="s">
        <v>403</v>
      </c>
      <c r="J945" s="169" t="s">
        <v>711</v>
      </c>
      <c r="K945" s="169" t="s">
        <v>712</v>
      </c>
      <c r="L945" s="169" t="s">
        <v>713</v>
      </c>
      <c r="M945" s="169" t="s">
        <v>281</v>
      </c>
      <c r="N945" s="178">
        <v>77219209</v>
      </c>
      <c r="O945" s="169" t="s">
        <v>714</v>
      </c>
      <c r="P945" s="169" t="s">
        <v>283</v>
      </c>
      <c r="Q945" s="169" t="s">
        <v>284</v>
      </c>
      <c r="R945" s="169" t="s">
        <v>283</v>
      </c>
      <c r="S945" s="169" t="s">
        <v>283</v>
      </c>
      <c r="T945" s="169">
        <v>0</v>
      </c>
    </row>
    <row r="946" spans="1:20" x14ac:dyDescent="0.2">
      <c r="A946" s="169">
        <v>627</v>
      </c>
      <c r="B946" s="167" t="str">
        <f>_xlfn.XLOOKUP(I946,Mapping!D:D,Mapping!E:E)</f>
        <v>Xưởng Sản Xuất</v>
      </c>
      <c r="C946" s="167" t="str">
        <f>_xlfn.XLOOKUP(F946,Mapping!A:A,Mapping!F:F)</f>
        <v>Thưởng</v>
      </c>
      <c r="D946" s="173">
        <v>45808</v>
      </c>
      <c r="E946" s="169" t="s">
        <v>710</v>
      </c>
      <c r="F946" s="169" t="s">
        <v>391</v>
      </c>
      <c r="G946" s="169" t="s">
        <v>291</v>
      </c>
      <c r="H946" s="169" t="s">
        <v>402</v>
      </c>
      <c r="I946" s="169" t="s">
        <v>403</v>
      </c>
      <c r="J946" s="169" t="s">
        <v>711</v>
      </c>
      <c r="K946" s="169" t="s">
        <v>712</v>
      </c>
      <c r="L946" s="169" t="s">
        <v>713</v>
      </c>
      <c r="M946" s="169" t="s">
        <v>281</v>
      </c>
      <c r="N946" s="178">
        <v>6800000</v>
      </c>
      <c r="O946" s="169" t="s">
        <v>714</v>
      </c>
      <c r="P946" s="169" t="s">
        <v>283</v>
      </c>
      <c r="Q946" s="169" t="s">
        <v>284</v>
      </c>
      <c r="R946" s="169" t="s">
        <v>283</v>
      </c>
      <c r="S946" s="169" t="s">
        <v>283</v>
      </c>
      <c r="T946" s="169">
        <v>0</v>
      </c>
    </row>
    <row r="947" spans="1:20" x14ac:dyDescent="0.2">
      <c r="A947" s="169">
        <v>627</v>
      </c>
      <c r="B947" s="167" t="str">
        <f>_xlfn.XLOOKUP(I947,Mapping!D:D,Mapping!E:E)</f>
        <v>Xưởng Sản Xuất</v>
      </c>
      <c r="C947" s="167" t="str">
        <f>_xlfn.XLOOKUP(F947,Mapping!A:A,Mapping!F:F)</f>
        <v>Phụ Cấp</v>
      </c>
      <c r="D947" s="173">
        <v>45808</v>
      </c>
      <c r="E947" s="169" t="s">
        <v>710</v>
      </c>
      <c r="F947" s="169" t="s">
        <v>375</v>
      </c>
      <c r="G947" s="169" t="s">
        <v>336</v>
      </c>
      <c r="H947" s="169" t="s">
        <v>402</v>
      </c>
      <c r="I947" s="169" t="s">
        <v>403</v>
      </c>
      <c r="J947" s="169" t="s">
        <v>711</v>
      </c>
      <c r="K947" s="169" t="s">
        <v>712</v>
      </c>
      <c r="L947" s="169" t="s">
        <v>713</v>
      </c>
      <c r="M947" s="169" t="s">
        <v>281</v>
      </c>
      <c r="N947" s="178">
        <v>3985000</v>
      </c>
      <c r="O947" s="169" t="s">
        <v>714</v>
      </c>
      <c r="P947" s="169" t="s">
        <v>283</v>
      </c>
      <c r="Q947" s="169" t="s">
        <v>284</v>
      </c>
      <c r="R947" s="169" t="s">
        <v>283</v>
      </c>
      <c r="S947" s="169" t="s">
        <v>283</v>
      </c>
      <c r="T947" s="169">
        <v>0</v>
      </c>
    </row>
    <row r="948" spans="1:20" x14ac:dyDescent="0.2">
      <c r="B948" s="167" t="str">
        <f>_xlfn.XLOOKUP(I948,Mapping!D:D,Mapping!E:E)</f>
        <v>Kiểm Soát Chất Lượng</v>
      </c>
      <c r="C948" s="167" t="str">
        <f>_xlfn.XLOOKUP(F948,Mapping!A:A,Mapping!F:F)</f>
        <v>Lương Chính +T13</v>
      </c>
      <c r="D948" s="173">
        <v>45808</v>
      </c>
      <c r="E948" s="169" t="s">
        <v>715</v>
      </c>
      <c r="F948" s="169" t="s">
        <v>388</v>
      </c>
      <c r="G948" s="169" t="s">
        <v>286</v>
      </c>
      <c r="H948" s="169" t="s">
        <v>411</v>
      </c>
      <c r="I948" s="169" t="s">
        <v>412</v>
      </c>
      <c r="J948" s="169" t="s">
        <v>716</v>
      </c>
      <c r="K948" s="169" t="s">
        <v>712</v>
      </c>
      <c r="L948" s="169" t="s">
        <v>713</v>
      </c>
      <c r="M948" s="169" t="s">
        <v>281</v>
      </c>
      <c r="N948" s="178">
        <v>39217833</v>
      </c>
      <c r="O948" s="169" t="s">
        <v>717</v>
      </c>
      <c r="P948" s="169" t="s">
        <v>283</v>
      </c>
      <c r="Q948" s="169" t="s">
        <v>284</v>
      </c>
      <c r="R948" s="169" t="s">
        <v>283</v>
      </c>
      <c r="S948" s="169" t="s">
        <v>283</v>
      </c>
      <c r="T948" s="169">
        <v>0</v>
      </c>
    </row>
    <row r="949" spans="1:20" x14ac:dyDescent="0.2">
      <c r="B949" s="167" t="str">
        <f>_xlfn.XLOOKUP(I949,Mapping!D:D,Mapping!E:E)</f>
        <v>Kiểm Soát Chất Lượng</v>
      </c>
      <c r="C949" s="167" t="str">
        <f>_xlfn.XLOOKUP(F949,Mapping!A:A,Mapping!F:F)</f>
        <v>Thưởng</v>
      </c>
      <c r="D949" s="173">
        <v>45808</v>
      </c>
      <c r="E949" s="169" t="s">
        <v>715</v>
      </c>
      <c r="F949" s="169" t="s">
        <v>395</v>
      </c>
      <c r="G949" s="169" t="s">
        <v>77</v>
      </c>
      <c r="H949" s="169" t="s">
        <v>411</v>
      </c>
      <c r="I949" s="169" t="s">
        <v>412</v>
      </c>
      <c r="J949" s="169" t="s">
        <v>718</v>
      </c>
      <c r="K949" s="169" t="s">
        <v>712</v>
      </c>
      <c r="L949" s="169" t="s">
        <v>713</v>
      </c>
      <c r="M949" s="169" t="s">
        <v>281</v>
      </c>
      <c r="N949" s="178">
        <v>36080093</v>
      </c>
      <c r="O949" s="169" t="s">
        <v>717</v>
      </c>
      <c r="P949" s="169" t="s">
        <v>283</v>
      </c>
      <c r="Q949" s="169" t="s">
        <v>284</v>
      </c>
      <c r="R949" s="169" t="s">
        <v>283</v>
      </c>
      <c r="S949" s="169" t="s">
        <v>283</v>
      </c>
      <c r="T949" s="169">
        <v>0</v>
      </c>
    </row>
    <row r="950" spans="1:20" x14ac:dyDescent="0.2">
      <c r="B950" s="167" t="str">
        <f>_xlfn.XLOOKUP(I950,Mapping!D:D,Mapping!E:E)</f>
        <v>Nghiên Cứu &amp; Phát Triển</v>
      </c>
      <c r="C950" s="167" t="str">
        <f>_xlfn.XLOOKUP(F950,Mapping!A:A,Mapping!F:F)</f>
        <v>Lương Chính +T13</v>
      </c>
      <c r="D950" s="173">
        <v>45808</v>
      </c>
      <c r="E950" s="169" t="s">
        <v>715</v>
      </c>
      <c r="F950" s="169" t="s">
        <v>388</v>
      </c>
      <c r="G950" s="169" t="s">
        <v>286</v>
      </c>
      <c r="H950" s="169" t="s">
        <v>418</v>
      </c>
      <c r="I950" s="169" t="s">
        <v>419</v>
      </c>
      <c r="J950" s="169" t="s">
        <v>716</v>
      </c>
      <c r="K950" s="169" t="s">
        <v>712</v>
      </c>
      <c r="L950" s="169" t="s">
        <v>713</v>
      </c>
      <c r="M950" s="169" t="s">
        <v>281</v>
      </c>
      <c r="N950" s="178">
        <v>14044083</v>
      </c>
      <c r="O950" s="169" t="s">
        <v>717</v>
      </c>
      <c r="P950" s="169" t="s">
        <v>283</v>
      </c>
      <c r="Q950" s="169" t="s">
        <v>284</v>
      </c>
      <c r="R950" s="169" t="s">
        <v>283</v>
      </c>
      <c r="S950" s="169" t="s">
        <v>283</v>
      </c>
      <c r="T950" s="169">
        <v>0</v>
      </c>
    </row>
    <row r="951" spans="1:20" x14ac:dyDescent="0.2">
      <c r="B951" s="167" t="str">
        <f>_xlfn.XLOOKUP(I951,Mapping!D:D,Mapping!E:E)</f>
        <v>Nghiên Cứu &amp; Phát Triển</v>
      </c>
      <c r="C951" s="167" t="str">
        <f>_xlfn.XLOOKUP(F951,Mapping!A:A,Mapping!F:F)</f>
        <v>Thưởng</v>
      </c>
      <c r="D951" s="173">
        <v>45808</v>
      </c>
      <c r="E951" s="169" t="s">
        <v>715</v>
      </c>
      <c r="F951" s="169" t="s">
        <v>395</v>
      </c>
      <c r="G951" s="169" t="s">
        <v>77</v>
      </c>
      <c r="H951" s="169" t="s">
        <v>418</v>
      </c>
      <c r="I951" s="169" t="s">
        <v>419</v>
      </c>
      <c r="J951" s="169" t="s">
        <v>718</v>
      </c>
      <c r="K951" s="169" t="s">
        <v>712</v>
      </c>
      <c r="L951" s="169" t="s">
        <v>713</v>
      </c>
      <c r="M951" s="169" t="s">
        <v>281</v>
      </c>
      <c r="N951" s="178">
        <v>12920444</v>
      </c>
      <c r="O951" s="169" t="s">
        <v>717</v>
      </c>
      <c r="P951" s="169" t="s">
        <v>283</v>
      </c>
      <c r="Q951" s="169" t="s">
        <v>284</v>
      </c>
      <c r="R951" s="169" t="s">
        <v>283</v>
      </c>
      <c r="S951" s="169" t="s">
        <v>283</v>
      </c>
      <c r="T951" s="169">
        <v>0</v>
      </c>
    </row>
    <row r="952" spans="1:20" x14ac:dyDescent="0.2">
      <c r="A952" s="169">
        <v>627</v>
      </c>
      <c r="B952" s="167" t="str">
        <f>_xlfn.XLOOKUP(I952,Mapping!D:D,Mapping!E:E)</f>
        <v>Xưởng Sản Xuất</v>
      </c>
      <c r="C952" s="167" t="str">
        <f>_xlfn.XLOOKUP(F952,Mapping!A:A,Mapping!F:F)</f>
        <v>Lương Chính +T13</v>
      </c>
      <c r="D952" s="173">
        <v>45808</v>
      </c>
      <c r="E952" s="169" t="s">
        <v>715</v>
      </c>
      <c r="F952" s="169" t="s">
        <v>388</v>
      </c>
      <c r="G952" s="169" t="s">
        <v>286</v>
      </c>
      <c r="H952" s="169" t="s">
        <v>402</v>
      </c>
      <c r="I952" s="169" t="s">
        <v>403</v>
      </c>
      <c r="J952" s="169" t="s">
        <v>716</v>
      </c>
      <c r="K952" s="169" t="s">
        <v>712</v>
      </c>
      <c r="L952" s="169" t="s">
        <v>713</v>
      </c>
      <c r="M952" s="169" t="s">
        <v>281</v>
      </c>
      <c r="N952" s="178">
        <v>36354478</v>
      </c>
      <c r="O952" s="169" t="s">
        <v>717</v>
      </c>
      <c r="P952" s="169" t="s">
        <v>283</v>
      </c>
      <c r="Q952" s="169" t="s">
        <v>284</v>
      </c>
      <c r="R952" s="169" t="s">
        <v>283</v>
      </c>
      <c r="S952" s="169" t="s">
        <v>283</v>
      </c>
      <c r="T952" s="169">
        <v>0</v>
      </c>
    </row>
    <row r="953" spans="1:20" x14ac:dyDescent="0.2">
      <c r="A953" s="169">
        <v>622</v>
      </c>
      <c r="B953" s="167" t="str">
        <f>_xlfn.XLOOKUP(I953,Mapping!D:D,Mapping!E:E)</f>
        <v>Xưởng Sản Xuất</v>
      </c>
      <c r="C953" s="167" t="str">
        <f>_xlfn.XLOOKUP(F953,Mapping!A:A,Mapping!F:F)</f>
        <v>Lương Chính +T13</v>
      </c>
      <c r="D953" s="173">
        <v>45808</v>
      </c>
      <c r="E953" s="169" t="s">
        <v>715</v>
      </c>
      <c r="F953" s="169" t="s">
        <v>420</v>
      </c>
      <c r="G953" s="169" t="s">
        <v>286</v>
      </c>
      <c r="H953" s="169" t="s">
        <v>402</v>
      </c>
      <c r="I953" s="169" t="s">
        <v>403</v>
      </c>
      <c r="J953" s="169" t="s">
        <v>716</v>
      </c>
      <c r="K953" s="169" t="s">
        <v>712</v>
      </c>
      <c r="L953" s="169" t="s">
        <v>713</v>
      </c>
      <c r="M953" s="169" t="s">
        <v>281</v>
      </c>
      <c r="N953" s="178">
        <v>98677740</v>
      </c>
      <c r="O953" s="169" t="s">
        <v>717</v>
      </c>
      <c r="P953" s="169" t="s">
        <v>283</v>
      </c>
      <c r="Q953" s="169" t="s">
        <v>284</v>
      </c>
      <c r="R953" s="169" t="s">
        <v>283</v>
      </c>
      <c r="S953" s="169" t="s">
        <v>283</v>
      </c>
      <c r="T953" s="169">
        <v>0</v>
      </c>
    </row>
    <row r="954" spans="1:20" x14ac:dyDescent="0.2">
      <c r="A954" s="169">
        <v>627</v>
      </c>
      <c r="B954" s="167" t="str">
        <f>_xlfn.XLOOKUP(I954,Mapping!D:D,Mapping!E:E)</f>
        <v>Xưởng Sản Xuất</v>
      </c>
      <c r="C954" s="167" t="str">
        <f>_xlfn.XLOOKUP(F954,Mapping!A:A,Mapping!F:F)</f>
        <v>Thưởng</v>
      </c>
      <c r="D954" s="173">
        <v>45808</v>
      </c>
      <c r="E954" s="169" t="s">
        <v>715</v>
      </c>
      <c r="F954" s="169" t="s">
        <v>395</v>
      </c>
      <c r="G954" s="169" t="s">
        <v>77</v>
      </c>
      <c r="H954" s="169" t="s">
        <v>402</v>
      </c>
      <c r="I954" s="169" t="s">
        <v>403</v>
      </c>
      <c r="J954" s="169" t="s">
        <v>718</v>
      </c>
      <c r="K954" s="169" t="s">
        <v>712</v>
      </c>
      <c r="L954" s="169" t="s">
        <v>713</v>
      </c>
      <c r="M954" s="169" t="s">
        <v>281</v>
      </c>
      <c r="N954" s="178">
        <v>32692146</v>
      </c>
      <c r="O954" s="169" t="s">
        <v>717</v>
      </c>
      <c r="P954" s="169" t="s">
        <v>283</v>
      </c>
      <c r="Q954" s="169" t="s">
        <v>284</v>
      </c>
      <c r="R954" s="169" t="s">
        <v>283</v>
      </c>
      <c r="S954" s="169" t="s">
        <v>283</v>
      </c>
      <c r="T954" s="169">
        <v>0</v>
      </c>
    </row>
    <row r="955" spans="1:20" x14ac:dyDescent="0.2">
      <c r="A955" s="169">
        <v>622</v>
      </c>
      <c r="B955" s="167" t="str">
        <f>_xlfn.XLOOKUP(I955,Mapping!D:D,Mapping!E:E)</f>
        <v>Xưởng Sản Xuất</v>
      </c>
      <c r="C955" s="167" t="str">
        <f>_xlfn.XLOOKUP(F955,Mapping!A:A,Mapping!F:F)</f>
        <v>Thưởng</v>
      </c>
      <c r="D955" s="173">
        <v>45808</v>
      </c>
      <c r="E955" s="169" t="s">
        <v>715</v>
      </c>
      <c r="F955" s="169" t="s">
        <v>426</v>
      </c>
      <c r="G955" s="169" t="s">
        <v>77</v>
      </c>
      <c r="H955" s="169" t="s">
        <v>402</v>
      </c>
      <c r="I955" s="169" t="s">
        <v>403</v>
      </c>
      <c r="J955" s="169" t="s">
        <v>718</v>
      </c>
      <c r="K955" s="169" t="s">
        <v>712</v>
      </c>
      <c r="L955" s="169" t="s">
        <v>713</v>
      </c>
      <c r="M955" s="169" t="s">
        <v>281</v>
      </c>
      <c r="N955" s="178">
        <v>24405534</v>
      </c>
      <c r="O955" s="169" t="s">
        <v>717</v>
      </c>
      <c r="P955" s="169" t="s">
        <v>283</v>
      </c>
      <c r="Q955" s="169" t="s">
        <v>284</v>
      </c>
      <c r="R955" s="169" t="s">
        <v>283</v>
      </c>
      <c r="S955" s="169" t="s">
        <v>283</v>
      </c>
      <c r="T955" s="169">
        <v>0</v>
      </c>
    </row>
    <row r="956" spans="1:20" x14ac:dyDescent="0.2">
      <c r="B956" s="167" t="str">
        <f>_xlfn.XLOOKUP(I956,Mapping!D:D,Mapping!E:E)</f>
        <v>Kiểm Soát Chất Lượng</v>
      </c>
      <c r="C956" s="167" t="str">
        <f>_xlfn.XLOOKUP(F956,Mapping!A:A,Mapping!F:F)</f>
        <v>BHXH, BHYT, KPCĐ</v>
      </c>
      <c r="D956" s="173">
        <v>45808</v>
      </c>
      <c r="E956" s="169" t="s">
        <v>719</v>
      </c>
      <c r="F956" s="169" t="s">
        <v>393</v>
      </c>
      <c r="G956" s="169" t="s">
        <v>296</v>
      </c>
      <c r="H956" s="169" t="s">
        <v>411</v>
      </c>
      <c r="I956" s="169" t="s">
        <v>412</v>
      </c>
      <c r="J956" s="169" t="s">
        <v>720</v>
      </c>
      <c r="K956" s="169" t="s">
        <v>712</v>
      </c>
      <c r="L956" s="169" t="s">
        <v>713</v>
      </c>
      <c r="M956" s="169" t="s">
        <v>281</v>
      </c>
      <c r="N956" s="178">
        <v>101197920</v>
      </c>
      <c r="O956" s="169" t="s">
        <v>721</v>
      </c>
      <c r="P956" s="169" t="s">
        <v>283</v>
      </c>
      <c r="Q956" s="169" t="s">
        <v>284</v>
      </c>
      <c r="R956" s="169" t="s">
        <v>283</v>
      </c>
      <c r="S956" s="169" t="s">
        <v>283</v>
      </c>
      <c r="T956" s="169">
        <v>0</v>
      </c>
    </row>
    <row r="957" spans="1:20" x14ac:dyDescent="0.2">
      <c r="B957" s="167" t="str">
        <f>_xlfn.XLOOKUP(I957,Mapping!D:D,Mapping!E:E)</f>
        <v>Nghiên Cứu &amp; Phát Triển</v>
      </c>
      <c r="C957" s="167" t="str">
        <f>_xlfn.XLOOKUP(F957,Mapping!A:A,Mapping!F:F)</f>
        <v>BHXH, BHYT, KPCĐ</v>
      </c>
      <c r="D957" s="173">
        <v>45808</v>
      </c>
      <c r="E957" s="169" t="s">
        <v>719</v>
      </c>
      <c r="F957" s="169" t="s">
        <v>393</v>
      </c>
      <c r="G957" s="169" t="s">
        <v>296</v>
      </c>
      <c r="H957" s="169" t="s">
        <v>418</v>
      </c>
      <c r="I957" s="169" t="s">
        <v>419</v>
      </c>
      <c r="J957" s="169" t="s">
        <v>720</v>
      </c>
      <c r="K957" s="169" t="s">
        <v>712</v>
      </c>
      <c r="L957" s="169" t="s">
        <v>713</v>
      </c>
      <c r="M957" s="169" t="s">
        <v>281</v>
      </c>
      <c r="N957" s="178">
        <v>38209315</v>
      </c>
      <c r="O957" s="169" t="s">
        <v>721</v>
      </c>
      <c r="P957" s="169" t="s">
        <v>283</v>
      </c>
      <c r="Q957" s="169" t="s">
        <v>284</v>
      </c>
      <c r="R957" s="169" t="s">
        <v>283</v>
      </c>
      <c r="S957" s="169" t="s">
        <v>283</v>
      </c>
      <c r="T957" s="169">
        <v>0</v>
      </c>
    </row>
    <row r="958" spans="1:20" x14ac:dyDescent="0.2">
      <c r="A958" s="169">
        <v>622</v>
      </c>
      <c r="B958" s="167" t="str">
        <f>_xlfn.XLOOKUP(I958,Mapping!D:D,Mapping!E:E)</f>
        <v>Xưởng Sản Xuất</v>
      </c>
      <c r="C958" s="167" t="str">
        <f>_xlfn.XLOOKUP(F958,Mapping!A:A,Mapping!F:F)</f>
        <v>BHXH, BHYT, KPCĐ</v>
      </c>
      <c r="D958" s="173">
        <v>45808</v>
      </c>
      <c r="E958" s="169" t="s">
        <v>719</v>
      </c>
      <c r="F958" s="169" t="s">
        <v>425</v>
      </c>
      <c r="G958" s="169" t="s">
        <v>296</v>
      </c>
      <c r="H958" s="169" t="s">
        <v>402</v>
      </c>
      <c r="I958" s="169" t="s">
        <v>403</v>
      </c>
      <c r="J958" s="169" t="s">
        <v>720</v>
      </c>
      <c r="K958" s="169" t="s">
        <v>712</v>
      </c>
      <c r="L958" s="169" t="s">
        <v>713</v>
      </c>
      <c r="M958" s="169" t="s">
        <v>281</v>
      </c>
      <c r="N958" s="178">
        <v>243849970</v>
      </c>
      <c r="O958" s="169" t="s">
        <v>721</v>
      </c>
      <c r="P958" s="169" t="s">
        <v>283</v>
      </c>
      <c r="Q958" s="169" t="s">
        <v>284</v>
      </c>
      <c r="R958" s="169" t="s">
        <v>283</v>
      </c>
      <c r="S958" s="169" t="s">
        <v>283</v>
      </c>
      <c r="T958" s="169">
        <v>0</v>
      </c>
    </row>
    <row r="959" spans="1:20" x14ac:dyDescent="0.2">
      <c r="A959" s="169">
        <v>627</v>
      </c>
      <c r="B959" s="167" t="str">
        <f>_xlfn.XLOOKUP(I959,Mapping!D:D,Mapping!E:E)</f>
        <v>Xưởng Sản Xuất</v>
      </c>
      <c r="C959" s="167" t="str">
        <f>_xlfn.XLOOKUP(F959,Mapping!A:A,Mapping!F:F)</f>
        <v>BHXH, BHYT, KPCĐ</v>
      </c>
      <c r="D959" s="173">
        <v>45808</v>
      </c>
      <c r="E959" s="169" t="s">
        <v>719</v>
      </c>
      <c r="F959" s="169" t="s">
        <v>393</v>
      </c>
      <c r="G959" s="169" t="s">
        <v>296</v>
      </c>
      <c r="H959" s="169" t="s">
        <v>402</v>
      </c>
      <c r="I959" s="169" t="s">
        <v>403</v>
      </c>
      <c r="J959" s="169" t="s">
        <v>720</v>
      </c>
      <c r="K959" s="169" t="s">
        <v>712</v>
      </c>
      <c r="L959" s="169" t="s">
        <v>713</v>
      </c>
      <c r="M959" s="169" t="s">
        <v>281</v>
      </c>
      <c r="N959" s="178">
        <v>82161205</v>
      </c>
      <c r="O959" s="169" t="s">
        <v>721</v>
      </c>
      <c r="P959" s="169" t="s">
        <v>283</v>
      </c>
      <c r="Q959" s="169" t="s">
        <v>284</v>
      </c>
      <c r="R959" s="169" t="s">
        <v>283</v>
      </c>
      <c r="S959" s="169" t="s">
        <v>283</v>
      </c>
      <c r="T959" s="169">
        <v>0</v>
      </c>
    </row>
    <row r="960" spans="1:20" x14ac:dyDescent="0.2">
      <c r="A960" s="169">
        <v>622</v>
      </c>
      <c r="B960" s="167" t="str">
        <f>_xlfn.XLOOKUP(I960,Mapping!D:D,Mapping!E:E)</f>
        <v>Xưởng Sản Xuất</v>
      </c>
      <c r="C960" s="167" t="str">
        <f>_xlfn.XLOOKUP(F960,Mapping!A:A,Mapping!F:F)</f>
        <v>BHXH, BHYT, KPCĐ</v>
      </c>
      <c r="D960" s="173">
        <v>45808</v>
      </c>
      <c r="E960" s="169" t="s">
        <v>719</v>
      </c>
      <c r="F960" s="169" t="s">
        <v>425</v>
      </c>
      <c r="G960" s="169" t="s">
        <v>296</v>
      </c>
      <c r="H960" s="169" t="s">
        <v>402</v>
      </c>
      <c r="I960" s="169" t="s">
        <v>403</v>
      </c>
      <c r="J960" s="169" t="s">
        <v>720</v>
      </c>
      <c r="K960" s="169" t="s">
        <v>712</v>
      </c>
      <c r="L960" s="169" t="s">
        <v>713</v>
      </c>
      <c r="M960" s="169" t="s">
        <v>281</v>
      </c>
      <c r="N960" s="178">
        <v>1578965</v>
      </c>
      <c r="O960" s="169" t="s">
        <v>721</v>
      </c>
      <c r="P960" s="169" t="s">
        <v>283</v>
      </c>
      <c r="Q960" s="169" t="s">
        <v>284</v>
      </c>
      <c r="R960" s="169" t="s">
        <v>283</v>
      </c>
      <c r="S960" s="169" t="s">
        <v>283</v>
      </c>
      <c r="T960" s="169">
        <v>0</v>
      </c>
    </row>
    <row r="961" spans="1:20" x14ac:dyDescent="0.2">
      <c r="A961" s="169">
        <v>622</v>
      </c>
      <c r="B961" s="167" t="str">
        <f>_xlfn.XLOOKUP(I961,Mapping!D:D,Mapping!E:E)</f>
        <v>Xưởng Sản Xuất</v>
      </c>
      <c r="C961" s="167" t="str">
        <f>_xlfn.XLOOKUP(F961,Mapping!A:A,Mapping!F:F)</f>
        <v>BHXH, BHYT, KPCĐ</v>
      </c>
      <c r="D961" s="173">
        <v>45808</v>
      </c>
      <c r="E961" s="169" t="s">
        <v>719</v>
      </c>
      <c r="F961" s="169" t="s">
        <v>425</v>
      </c>
      <c r="G961" s="169" t="s">
        <v>296</v>
      </c>
      <c r="H961" s="169" t="s">
        <v>402</v>
      </c>
      <c r="I961" s="169" t="s">
        <v>403</v>
      </c>
      <c r="J961" s="169" t="s">
        <v>720</v>
      </c>
      <c r="K961" s="169" t="s">
        <v>712</v>
      </c>
      <c r="L961" s="169" t="s">
        <v>713</v>
      </c>
      <c r="M961" s="169" t="s">
        <v>281</v>
      </c>
      <c r="N961" s="178">
        <v>2582180</v>
      </c>
      <c r="O961" s="169" t="s">
        <v>721</v>
      </c>
      <c r="P961" s="169" t="s">
        <v>283</v>
      </c>
      <c r="Q961" s="169" t="s">
        <v>284</v>
      </c>
      <c r="R961" s="169" t="s">
        <v>283</v>
      </c>
      <c r="S961" s="169" t="s">
        <v>283</v>
      </c>
      <c r="T961" s="169">
        <v>0</v>
      </c>
    </row>
    <row r="962" spans="1:20" x14ac:dyDescent="0.2">
      <c r="A962" s="169">
        <v>627</v>
      </c>
      <c r="B962" s="167" t="str">
        <f>_xlfn.XLOOKUP(I962,Mapping!D:D,Mapping!E:E)</f>
        <v>Xưởng Sản Xuất</v>
      </c>
      <c r="C962" s="167" t="str">
        <f>_xlfn.XLOOKUP(F962,Mapping!A:A,Mapping!F:F)</f>
        <v>BHXH, BHYT, KPCĐ</v>
      </c>
      <c r="D962" s="173">
        <v>45808</v>
      </c>
      <c r="E962" s="169" t="s">
        <v>787</v>
      </c>
      <c r="F962" s="169" t="s">
        <v>393</v>
      </c>
      <c r="G962" s="169" t="s">
        <v>296</v>
      </c>
      <c r="H962" s="169" t="s">
        <v>402</v>
      </c>
      <c r="I962" s="169" t="s">
        <v>403</v>
      </c>
      <c r="J962" s="169" t="s">
        <v>720</v>
      </c>
      <c r="K962" s="169" t="s">
        <v>712</v>
      </c>
      <c r="L962" s="169" t="s">
        <v>713</v>
      </c>
      <c r="M962" s="169" t="s">
        <v>281</v>
      </c>
      <c r="N962" s="178">
        <v>-924300</v>
      </c>
      <c r="O962" s="169" t="s">
        <v>788</v>
      </c>
      <c r="P962" s="169" t="s">
        <v>283</v>
      </c>
      <c r="Q962" s="169" t="s">
        <v>284</v>
      </c>
      <c r="R962" s="169" t="s">
        <v>283</v>
      </c>
      <c r="S962" s="169" t="s">
        <v>283</v>
      </c>
      <c r="T962" s="169">
        <v>0</v>
      </c>
    </row>
    <row r="963" spans="1:20" x14ac:dyDescent="0.2">
      <c r="A963" s="169">
        <v>627</v>
      </c>
      <c r="B963" s="167" t="str">
        <f>_xlfn.XLOOKUP(I963,Mapping!D:D,Mapping!E:E)</f>
        <v>Xưởng Sản Xuất</v>
      </c>
      <c r="C963" s="167" t="str">
        <f>_xlfn.XLOOKUP(F963,Mapping!A:A,Mapping!F:F)</f>
        <v>BHXH, BHYT, KPCĐ</v>
      </c>
      <c r="D963" s="173">
        <v>45808</v>
      </c>
      <c r="E963" s="169" t="s">
        <v>787</v>
      </c>
      <c r="F963" s="169" t="s">
        <v>393</v>
      </c>
      <c r="G963" s="169" t="s">
        <v>296</v>
      </c>
      <c r="H963" s="169" t="s">
        <v>402</v>
      </c>
      <c r="I963" s="169" t="s">
        <v>403</v>
      </c>
      <c r="J963" s="169" t="s">
        <v>720</v>
      </c>
      <c r="K963" s="169" t="s">
        <v>712</v>
      </c>
      <c r="L963" s="169" t="s">
        <v>713</v>
      </c>
      <c r="M963" s="169" t="s">
        <v>281</v>
      </c>
      <c r="N963" s="178">
        <v>2855295</v>
      </c>
      <c r="O963" s="169" t="s">
        <v>788</v>
      </c>
      <c r="P963" s="169" t="s">
        <v>283</v>
      </c>
      <c r="Q963" s="169" t="s">
        <v>284</v>
      </c>
      <c r="R963" s="169" t="s">
        <v>283</v>
      </c>
      <c r="S963" s="169" t="s">
        <v>283</v>
      </c>
      <c r="T963" s="169">
        <v>0</v>
      </c>
    </row>
    <row r="964" spans="1:20" x14ac:dyDescent="0.2">
      <c r="A964" s="169">
        <v>627</v>
      </c>
      <c r="B964" s="167" t="str">
        <f>_xlfn.XLOOKUP(I964,Mapping!D:D,Mapping!E:E)</f>
        <v>Xưởng Sản Xuất</v>
      </c>
      <c r="C964" s="167" t="str">
        <f>_xlfn.XLOOKUP(F964,Mapping!A:A,Mapping!F:F)</f>
        <v>BHXH, BHYT, KPCĐ</v>
      </c>
      <c r="D964" s="173">
        <v>45808</v>
      </c>
      <c r="E964" s="169" t="s">
        <v>787</v>
      </c>
      <c r="F964" s="169" t="s">
        <v>393</v>
      </c>
      <c r="G964" s="169" t="s">
        <v>296</v>
      </c>
      <c r="H964" s="169" t="s">
        <v>402</v>
      </c>
      <c r="I964" s="169" t="s">
        <v>403</v>
      </c>
      <c r="J964" s="169" t="s">
        <v>720</v>
      </c>
      <c r="K964" s="169" t="s">
        <v>712</v>
      </c>
      <c r="L964" s="169" t="s">
        <v>713</v>
      </c>
      <c r="M964" s="169" t="s">
        <v>281</v>
      </c>
      <c r="N964" s="178">
        <v>-71100</v>
      </c>
      <c r="O964" s="169" t="s">
        <v>788</v>
      </c>
      <c r="P964" s="169" t="s">
        <v>283</v>
      </c>
      <c r="Q964" s="169" t="s">
        <v>284</v>
      </c>
      <c r="R964" s="169" t="s">
        <v>283</v>
      </c>
      <c r="S964" s="169" t="s">
        <v>283</v>
      </c>
      <c r="T964" s="169">
        <v>0</v>
      </c>
    </row>
    <row r="965" spans="1:20" x14ac:dyDescent="0.2">
      <c r="A965" s="169">
        <v>627</v>
      </c>
      <c r="B965" s="167" t="str">
        <f>_xlfn.XLOOKUP(I965,Mapping!D:D,Mapping!E:E)</f>
        <v>Xưởng Sản Xuất</v>
      </c>
      <c r="C965" s="167" t="str">
        <f>_xlfn.XLOOKUP(F965,Mapping!A:A,Mapping!F:F)</f>
        <v>Phụ Cấp</v>
      </c>
      <c r="D965" s="173">
        <v>45782</v>
      </c>
      <c r="E965" s="169" t="s">
        <v>736</v>
      </c>
      <c r="F965" s="169" t="s">
        <v>375</v>
      </c>
      <c r="G965" s="169" t="s">
        <v>336</v>
      </c>
      <c r="H965" s="169" t="s">
        <v>402</v>
      </c>
      <c r="I965" s="169" t="s">
        <v>403</v>
      </c>
      <c r="J965" s="169" t="s">
        <v>737</v>
      </c>
      <c r="K965" s="169" t="s">
        <v>338</v>
      </c>
      <c r="L965" s="169" t="s">
        <v>713</v>
      </c>
      <c r="M965" s="169" t="s">
        <v>281</v>
      </c>
      <c r="N965" s="178">
        <v>28750000</v>
      </c>
      <c r="O965" s="169" t="s">
        <v>738</v>
      </c>
      <c r="P965" s="169" t="s">
        <v>283</v>
      </c>
      <c r="Q965" s="169" t="s">
        <v>306</v>
      </c>
      <c r="R965" s="169" t="s">
        <v>283</v>
      </c>
      <c r="S965" s="169" t="s">
        <v>283</v>
      </c>
      <c r="T965" s="169">
        <v>0</v>
      </c>
    </row>
    <row r="966" spans="1:20" x14ac:dyDescent="0.2">
      <c r="B966" s="167" t="str">
        <f>_xlfn.XLOOKUP(I966,Mapping!D:D,Mapping!E:E)</f>
        <v>Kiểm Soát Chất Lượng</v>
      </c>
      <c r="C966" s="167" t="str">
        <f>_xlfn.XLOOKUP(F966,Mapping!A:A,Mapping!F:F)</f>
        <v>Phụ Cấp</v>
      </c>
      <c r="D966" s="173">
        <v>45782</v>
      </c>
      <c r="E966" s="169" t="s">
        <v>736</v>
      </c>
      <c r="F966" s="169" t="s">
        <v>375</v>
      </c>
      <c r="G966" s="169" t="s">
        <v>336</v>
      </c>
      <c r="H966" s="169" t="s">
        <v>411</v>
      </c>
      <c r="I966" s="169" t="s">
        <v>412</v>
      </c>
      <c r="J966" s="169" t="s">
        <v>737</v>
      </c>
      <c r="K966" s="169" t="s">
        <v>338</v>
      </c>
      <c r="L966" s="169" t="s">
        <v>713</v>
      </c>
      <c r="M966" s="169" t="s">
        <v>281</v>
      </c>
      <c r="N966" s="178">
        <v>6975000</v>
      </c>
      <c r="O966" s="169" t="s">
        <v>738</v>
      </c>
      <c r="P966" s="169" t="s">
        <v>283</v>
      </c>
      <c r="Q966" s="169" t="s">
        <v>306</v>
      </c>
      <c r="R966" s="169" t="s">
        <v>283</v>
      </c>
      <c r="S966" s="169" t="s">
        <v>283</v>
      </c>
      <c r="T966" s="169">
        <v>0</v>
      </c>
    </row>
    <row r="967" spans="1:20" x14ac:dyDescent="0.2">
      <c r="A967" s="169">
        <v>627</v>
      </c>
      <c r="B967" s="167" t="str">
        <f>_xlfn.XLOOKUP(I967,Mapping!D:D,Mapping!E:E)</f>
        <v>Xưởng Sản Xuất</v>
      </c>
      <c r="C967" s="167" t="str">
        <f>_xlfn.XLOOKUP(F967,Mapping!A:A,Mapping!F:F)</f>
        <v>Phụ Cấp</v>
      </c>
      <c r="D967" s="173">
        <v>45803</v>
      </c>
      <c r="E967" s="169" t="s">
        <v>739</v>
      </c>
      <c r="F967" s="169" t="s">
        <v>375</v>
      </c>
      <c r="G967" s="169" t="s">
        <v>336</v>
      </c>
      <c r="H967" s="169" t="s">
        <v>402</v>
      </c>
      <c r="I967" s="169" t="s">
        <v>403</v>
      </c>
      <c r="J967" s="169" t="s">
        <v>740</v>
      </c>
      <c r="K967" s="169" t="s">
        <v>741</v>
      </c>
      <c r="L967" s="169" t="s">
        <v>713</v>
      </c>
      <c r="M967" s="169" t="s">
        <v>281</v>
      </c>
      <c r="N967" s="178">
        <v>90375000</v>
      </c>
      <c r="O967" s="169" t="s">
        <v>742</v>
      </c>
      <c r="P967" s="169" t="s">
        <v>283</v>
      </c>
      <c r="Q967" s="169" t="s">
        <v>306</v>
      </c>
      <c r="R967" s="169" t="s">
        <v>283</v>
      </c>
      <c r="S967" s="169" t="s">
        <v>283</v>
      </c>
      <c r="T967" s="169">
        <v>0</v>
      </c>
    </row>
    <row r="968" spans="1:20" x14ac:dyDescent="0.2">
      <c r="B968" s="167" t="str">
        <f>_xlfn.XLOOKUP(I968,Mapping!D:D,Mapping!E:E)</f>
        <v>Kiểm Soát Chất Lượng</v>
      </c>
      <c r="C968" s="167" t="str">
        <f>_xlfn.XLOOKUP(F968,Mapping!A:A,Mapping!F:F)</f>
        <v>Phụ Cấp</v>
      </c>
      <c r="D968" s="173">
        <v>45803</v>
      </c>
      <c r="E968" s="169" t="s">
        <v>739</v>
      </c>
      <c r="F968" s="169" t="s">
        <v>375</v>
      </c>
      <c r="G968" s="169" t="s">
        <v>336</v>
      </c>
      <c r="H968" s="169" t="s">
        <v>411</v>
      </c>
      <c r="I968" s="169" t="s">
        <v>412</v>
      </c>
      <c r="J968" s="169" t="s">
        <v>740</v>
      </c>
      <c r="K968" s="169" t="s">
        <v>741</v>
      </c>
      <c r="L968" s="169" t="s">
        <v>713</v>
      </c>
      <c r="M968" s="169" t="s">
        <v>281</v>
      </c>
      <c r="N968" s="178">
        <v>24050000</v>
      </c>
      <c r="O968" s="169" t="s">
        <v>742</v>
      </c>
      <c r="P968" s="169" t="s">
        <v>283</v>
      </c>
      <c r="Q968" s="169" t="s">
        <v>306</v>
      </c>
      <c r="R968" s="169" t="s">
        <v>283</v>
      </c>
      <c r="S968" s="169" t="s">
        <v>283</v>
      </c>
      <c r="T968" s="169">
        <v>0</v>
      </c>
    </row>
    <row r="969" spans="1:20" x14ac:dyDescent="0.2">
      <c r="A969" s="169">
        <v>622</v>
      </c>
      <c r="B969" s="167" t="str">
        <f>_xlfn.XLOOKUP(I969,Mapping!D:D,Mapping!E:E)</f>
        <v>Xưởng Sản Xuất</v>
      </c>
      <c r="C969" s="167" t="str">
        <f>_xlfn.XLOOKUP(F969,Mapping!A:A,Mapping!F:F)</f>
        <v>Lương Chính +T13</v>
      </c>
      <c r="D969" s="173">
        <v>45808</v>
      </c>
      <c r="E969" s="169" t="s">
        <v>789</v>
      </c>
      <c r="F969" s="169" t="s">
        <v>400</v>
      </c>
      <c r="G969" s="169" t="s">
        <v>401</v>
      </c>
      <c r="H969" s="169" t="s">
        <v>402</v>
      </c>
      <c r="I969" s="169" t="s">
        <v>403</v>
      </c>
      <c r="J969" s="169" t="s">
        <v>790</v>
      </c>
      <c r="K969" s="169" t="s">
        <v>405</v>
      </c>
      <c r="L969" s="169" t="s">
        <v>713</v>
      </c>
      <c r="M969" s="169" t="s">
        <v>281</v>
      </c>
      <c r="N969" s="178">
        <v>14219810</v>
      </c>
      <c r="O969" s="169" t="s">
        <v>791</v>
      </c>
      <c r="P969" s="169" t="s">
        <v>283</v>
      </c>
      <c r="Q969" s="169" t="s">
        <v>306</v>
      </c>
      <c r="R969" s="169" t="s">
        <v>283</v>
      </c>
      <c r="S969" s="169" t="s">
        <v>283</v>
      </c>
      <c r="T969" s="169">
        <v>0</v>
      </c>
    </row>
    <row r="970" spans="1:20" x14ac:dyDescent="0.2">
      <c r="A970" s="169">
        <v>622</v>
      </c>
      <c r="B970" s="167" t="str">
        <f>_xlfn.XLOOKUP(I970,Mapping!D:D,Mapping!E:E)</f>
        <v>Xưởng Sản Xuất</v>
      </c>
      <c r="C970" s="167" t="str">
        <f>_xlfn.XLOOKUP(F970,Mapping!A:A,Mapping!F:F)</f>
        <v>Lương Chính +T13</v>
      </c>
      <c r="D970" s="173">
        <v>45806</v>
      </c>
      <c r="E970" s="169" t="s">
        <v>792</v>
      </c>
      <c r="F970" s="169" t="s">
        <v>400</v>
      </c>
      <c r="G970" s="169" t="s">
        <v>401</v>
      </c>
      <c r="H970" s="169" t="s">
        <v>402</v>
      </c>
      <c r="I970" s="169" t="s">
        <v>403</v>
      </c>
      <c r="J970" s="169" t="s">
        <v>793</v>
      </c>
      <c r="K970" s="169" t="s">
        <v>405</v>
      </c>
      <c r="L970" s="169" t="s">
        <v>713</v>
      </c>
      <c r="M970" s="169" t="s">
        <v>281</v>
      </c>
      <c r="N970" s="178">
        <v>17301389</v>
      </c>
      <c r="O970" s="169" t="s">
        <v>794</v>
      </c>
      <c r="P970" s="169" t="s">
        <v>283</v>
      </c>
      <c r="Q970" s="169" t="s">
        <v>306</v>
      </c>
      <c r="R970" s="169" t="s">
        <v>283</v>
      </c>
      <c r="S970" s="169" t="s">
        <v>283</v>
      </c>
      <c r="T970" s="169">
        <v>0</v>
      </c>
    </row>
    <row r="971" spans="1:20" x14ac:dyDescent="0.2">
      <c r="A971" s="169">
        <v>622</v>
      </c>
      <c r="B971" s="167" t="str">
        <f>_xlfn.XLOOKUP(I971,Mapping!D:D,Mapping!E:E)</f>
        <v>Xưởng Sản Xuất</v>
      </c>
      <c r="C971" s="167" t="str">
        <f>_xlfn.XLOOKUP(F971,Mapping!A:A,Mapping!F:F)</f>
        <v>Phụ Cấp</v>
      </c>
      <c r="D971" s="173">
        <v>45808</v>
      </c>
      <c r="E971" s="169" t="s">
        <v>795</v>
      </c>
      <c r="F971" s="169" t="s">
        <v>414</v>
      </c>
      <c r="G971" s="169" t="s">
        <v>415</v>
      </c>
      <c r="H971" s="169" t="s">
        <v>402</v>
      </c>
      <c r="I971" s="169" t="s">
        <v>403</v>
      </c>
      <c r="J971" s="169" t="s">
        <v>416</v>
      </c>
      <c r="K971" s="169" t="s">
        <v>416</v>
      </c>
      <c r="L971" s="169" t="s">
        <v>713</v>
      </c>
      <c r="M971" s="169" t="s">
        <v>281</v>
      </c>
      <c r="N971" s="178">
        <v>99125000</v>
      </c>
      <c r="O971" s="169" t="s">
        <v>796</v>
      </c>
      <c r="P971" s="169" t="s">
        <v>283</v>
      </c>
      <c r="Q971" s="169" t="s">
        <v>348</v>
      </c>
      <c r="R971" s="169" t="s">
        <v>283</v>
      </c>
      <c r="S971" s="169" t="s">
        <v>283</v>
      </c>
      <c r="T971" s="169">
        <v>0</v>
      </c>
    </row>
    <row r="972" spans="1:20" x14ac:dyDescent="0.2">
      <c r="A972" s="169">
        <v>627</v>
      </c>
      <c r="B972" s="167" t="str">
        <f>_xlfn.XLOOKUP(I972,Mapping!D:D,Mapping!E:E)</f>
        <v>Xưởng Sản Xuất</v>
      </c>
      <c r="C972" s="167" t="str">
        <f>_xlfn.XLOOKUP(F972,Mapping!A:A,Mapping!F:F)</f>
        <v>Phụ Cấp</v>
      </c>
      <c r="D972" s="173">
        <v>45808</v>
      </c>
      <c r="E972" s="169" t="s">
        <v>795</v>
      </c>
      <c r="F972" s="169" t="s">
        <v>375</v>
      </c>
      <c r="G972" s="169" t="s">
        <v>336</v>
      </c>
      <c r="H972" s="169" t="s">
        <v>402</v>
      </c>
      <c r="I972" s="169" t="s">
        <v>403</v>
      </c>
      <c r="J972" s="169" t="s">
        <v>416</v>
      </c>
      <c r="K972" s="169" t="s">
        <v>416</v>
      </c>
      <c r="L972" s="169" t="s">
        <v>713</v>
      </c>
      <c r="M972" s="169" t="s">
        <v>281</v>
      </c>
      <c r="N972" s="178">
        <v>-99125000</v>
      </c>
      <c r="O972" s="169" t="s">
        <v>796</v>
      </c>
      <c r="P972" s="169" t="s">
        <v>283</v>
      </c>
      <c r="Q972" s="169" t="s">
        <v>348</v>
      </c>
      <c r="R972" s="169" t="s">
        <v>283</v>
      </c>
      <c r="S972" s="169" t="s">
        <v>283</v>
      </c>
      <c r="T972" s="169">
        <v>0</v>
      </c>
    </row>
    <row r="973" spans="1:20" x14ac:dyDescent="0.2">
      <c r="A973" s="169">
        <v>622</v>
      </c>
      <c r="B973" s="167" t="str">
        <f>_xlfn.XLOOKUP(I973,Mapping!D:D,Mapping!E:E)</f>
        <v>Xưởng Sản Xuất</v>
      </c>
      <c r="C973" s="167" t="str">
        <f>_xlfn.XLOOKUP(F973,Mapping!A:A,Mapping!F:F)</f>
        <v>Lương Chính +T13</v>
      </c>
      <c r="D973" s="173">
        <v>45782</v>
      </c>
      <c r="E973" s="169" t="s">
        <v>784</v>
      </c>
      <c r="F973" s="169" t="s">
        <v>400</v>
      </c>
      <c r="G973" s="169" t="s">
        <v>401</v>
      </c>
      <c r="H973" s="169" t="s">
        <v>430</v>
      </c>
      <c r="I973" s="169" t="s">
        <v>431</v>
      </c>
      <c r="J973" s="169" t="s">
        <v>797</v>
      </c>
      <c r="K973" s="169" t="s">
        <v>405</v>
      </c>
      <c r="L973" s="169" t="s">
        <v>713</v>
      </c>
      <c r="M973" s="169" t="s">
        <v>281</v>
      </c>
      <c r="N973" s="178">
        <v>66503125</v>
      </c>
      <c r="O973" s="169" t="s">
        <v>786</v>
      </c>
      <c r="P973" s="169" t="s">
        <v>283</v>
      </c>
      <c r="Q973" s="169" t="s">
        <v>306</v>
      </c>
      <c r="R973" s="169" t="s">
        <v>283</v>
      </c>
      <c r="S973" s="169" t="s">
        <v>283</v>
      </c>
      <c r="T973" s="169">
        <v>0</v>
      </c>
    </row>
    <row r="974" spans="1:20" x14ac:dyDescent="0.2">
      <c r="A974" s="169">
        <v>622</v>
      </c>
      <c r="B974" s="167" t="str">
        <f>_xlfn.XLOOKUP(I974,Mapping!D:D,Mapping!E:E)</f>
        <v>Xưởng Sản Xuất</v>
      </c>
      <c r="C974" s="167" t="str">
        <f>_xlfn.XLOOKUP(F974,Mapping!A:A,Mapping!F:F)</f>
        <v>Lương Chính +T13</v>
      </c>
      <c r="D974" s="173">
        <v>45808</v>
      </c>
      <c r="E974" s="169" t="s">
        <v>710</v>
      </c>
      <c r="F974" s="169" t="s">
        <v>400</v>
      </c>
      <c r="G974" s="169" t="s">
        <v>401</v>
      </c>
      <c r="H974" s="169" t="s">
        <v>430</v>
      </c>
      <c r="I974" s="169" t="s">
        <v>431</v>
      </c>
      <c r="J974" s="169" t="s">
        <v>711</v>
      </c>
      <c r="K974" s="169" t="s">
        <v>712</v>
      </c>
      <c r="L974" s="169" t="s">
        <v>713</v>
      </c>
      <c r="M974" s="169" t="s">
        <v>281</v>
      </c>
      <c r="N974" s="178">
        <v>271774758</v>
      </c>
      <c r="O974" s="169" t="s">
        <v>714</v>
      </c>
      <c r="P974" s="169" t="s">
        <v>283</v>
      </c>
      <c r="Q974" s="169" t="s">
        <v>284</v>
      </c>
      <c r="R974" s="169" t="s">
        <v>283</v>
      </c>
      <c r="S974" s="169" t="s">
        <v>283</v>
      </c>
      <c r="T974" s="169">
        <v>0</v>
      </c>
    </row>
    <row r="975" spans="1:20" x14ac:dyDescent="0.2">
      <c r="A975" s="169">
        <v>622</v>
      </c>
      <c r="B975" s="167" t="str">
        <f>_xlfn.XLOOKUP(I975,Mapping!D:D,Mapping!E:E)</f>
        <v>Xưởng Sản Xuất</v>
      </c>
      <c r="C975" s="167" t="str">
        <f>_xlfn.XLOOKUP(F975,Mapping!A:A,Mapping!F:F)</f>
        <v>Lương Chính +T13</v>
      </c>
      <c r="D975" s="173">
        <v>45808</v>
      </c>
      <c r="E975" s="169" t="s">
        <v>710</v>
      </c>
      <c r="F975" s="169" t="s">
        <v>420</v>
      </c>
      <c r="G975" s="169" t="s">
        <v>286</v>
      </c>
      <c r="H975" s="169" t="s">
        <v>430</v>
      </c>
      <c r="I975" s="169" t="s">
        <v>431</v>
      </c>
      <c r="J975" s="169" t="s">
        <v>711</v>
      </c>
      <c r="K975" s="169" t="s">
        <v>712</v>
      </c>
      <c r="L975" s="169" t="s">
        <v>713</v>
      </c>
      <c r="M975" s="169" t="s">
        <v>281</v>
      </c>
      <c r="N975" s="178">
        <v>4573502</v>
      </c>
      <c r="O975" s="169" t="s">
        <v>714</v>
      </c>
      <c r="P975" s="169" t="s">
        <v>283</v>
      </c>
      <c r="Q975" s="169" t="s">
        <v>284</v>
      </c>
      <c r="R975" s="169" t="s">
        <v>283</v>
      </c>
      <c r="S975" s="169" t="s">
        <v>283</v>
      </c>
      <c r="T975" s="169">
        <v>0</v>
      </c>
    </row>
    <row r="976" spans="1:20" x14ac:dyDescent="0.2">
      <c r="A976" s="169">
        <v>622</v>
      </c>
      <c r="B976" s="167" t="str">
        <f>_xlfn.XLOOKUP(I976,Mapping!D:D,Mapping!E:E)</f>
        <v>Xưởng Sản Xuất</v>
      </c>
      <c r="C976" s="167" t="str">
        <f>_xlfn.XLOOKUP(F976,Mapping!A:A,Mapping!F:F)</f>
        <v>Phụ Cấp</v>
      </c>
      <c r="D976" s="173">
        <v>45808</v>
      </c>
      <c r="E976" s="169" t="s">
        <v>710</v>
      </c>
      <c r="F976" s="169" t="s">
        <v>421</v>
      </c>
      <c r="G976" s="169" t="s">
        <v>341</v>
      </c>
      <c r="H976" s="169" t="s">
        <v>430</v>
      </c>
      <c r="I976" s="169" t="s">
        <v>431</v>
      </c>
      <c r="J976" s="169" t="s">
        <v>711</v>
      </c>
      <c r="K976" s="169" t="s">
        <v>712</v>
      </c>
      <c r="L976" s="169" t="s">
        <v>713</v>
      </c>
      <c r="M976" s="169" t="s">
        <v>281</v>
      </c>
      <c r="N976" s="178">
        <v>24700698</v>
      </c>
      <c r="O976" s="169" t="s">
        <v>714</v>
      </c>
      <c r="P976" s="169" t="s">
        <v>283</v>
      </c>
      <c r="Q976" s="169" t="s">
        <v>284</v>
      </c>
      <c r="R976" s="169" t="s">
        <v>283</v>
      </c>
      <c r="S976" s="169" t="s">
        <v>283</v>
      </c>
      <c r="T976" s="169">
        <v>0</v>
      </c>
    </row>
    <row r="977" spans="1:20" x14ac:dyDescent="0.2">
      <c r="A977" s="169">
        <v>622</v>
      </c>
      <c r="B977" s="167" t="str">
        <f>_xlfn.XLOOKUP(I977,Mapping!D:D,Mapping!E:E)</f>
        <v>Xưởng Sản Xuất</v>
      </c>
      <c r="C977" s="167" t="str">
        <f>_xlfn.XLOOKUP(F977,Mapping!A:A,Mapping!F:F)</f>
        <v>Lương Ngoài giờ</v>
      </c>
      <c r="D977" s="173">
        <v>45808</v>
      </c>
      <c r="E977" s="169" t="s">
        <v>710</v>
      </c>
      <c r="F977" s="169" t="s">
        <v>422</v>
      </c>
      <c r="G977" s="169" t="s">
        <v>423</v>
      </c>
      <c r="H977" s="169" t="s">
        <v>430</v>
      </c>
      <c r="I977" s="169" t="s">
        <v>431</v>
      </c>
      <c r="J977" s="169" t="s">
        <v>711</v>
      </c>
      <c r="K977" s="169" t="s">
        <v>712</v>
      </c>
      <c r="L977" s="169" t="s">
        <v>713</v>
      </c>
      <c r="M977" s="169" t="s">
        <v>281</v>
      </c>
      <c r="N977" s="178">
        <v>56097983</v>
      </c>
      <c r="O977" s="169" t="s">
        <v>714</v>
      </c>
      <c r="P977" s="169" t="s">
        <v>283</v>
      </c>
      <c r="Q977" s="169" t="s">
        <v>284</v>
      </c>
      <c r="R977" s="169" t="s">
        <v>283</v>
      </c>
      <c r="S977" s="169" t="s">
        <v>283</v>
      </c>
      <c r="T977" s="169">
        <v>0</v>
      </c>
    </row>
    <row r="978" spans="1:20" x14ac:dyDescent="0.2">
      <c r="A978" s="169">
        <v>622</v>
      </c>
      <c r="B978" s="167" t="str">
        <f>_xlfn.XLOOKUP(I978,Mapping!D:D,Mapping!E:E)</f>
        <v>Xưởng Sản Xuất</v>
      </c>
      <c r="C978" s="167" t="str">
        <f>_xlfn.XLOOKUP(F978,Mapping!A:A,Mapping!F:F)</f>
        <v>Thưởng</v>
      </c>
      <c r="D978" s="173">
        <v>45808</v>
      </c>
      <c r="E978" s="169" t="s">
        <v>710</v>
      </c>
      <c r="F978" s="169" t="s">
        <v>424</v>
      </c>
      <c r="G978" s="169" t="s">
        <v>291</v>
      </c>
      <c r="H978" s="169" t="s">
        <v>430</v>
      </c>
      <c r="I978" s="169" t="s">
        <v>431</v>
      </c>
      <c r="J978" s="169" t="s">
        <v>711</v>
      </c>
      <c r="K978" s="169" t="s">
        <v>712</v>
      </c>
      <c r="L978" s="169" t="s">
        <v>713</v>
      </c>
      <c r="M978" s="169" t="s">
        <v>281</v>
      </c>
      <c r="N978" s="178">
        <v>6000000</v>
      </c>
      <c r="O978" s="169" t="s">
        <v>714</v>
      </c>
      <c r="P978" s="169" t="s">
        <v>283</v>
      </c>
      <c r="Q978" s="169" t="s">
        <v>284</v>
      </c>
      <c r="R978" s="169" t="s">
        <v>283</v>
      </c>
      <c r="S978" s="169" t="s">
        <v>283</v>
      </c>
      <c r="T978" s="169">
        <v>0</v>
      </c>
    </row>
    <row r="979" spans="1:20" x14ac:dyDescent="0.2">
      <c r="A979" s="169">
        <v>622</v>
      </c>
      <c r="B979" s="167" t="str">
        <f>_xlfn.XLOOKUP(I979,Mapping!D:D,Mapping!E:E)</f>
        <v>Xưởng Sản Xuất</v>
      </c>
      <c r="C979" s="167" t="str">
        <f>_xlfn.XLOOKUP(F979,Mapping!A:A,Mapping!F:F)</f>
        <v>Phụ Cấp</v>
      </c>
      <c r="D979" s="173">
        <v>45808</v>
      </c>
      <c r="E979" s="169" t="s">
        <v>710</v>
      </c>
      <c r="F979" s="169" t="s">
        <v>414</v>
      </c>
      <c r="G979" s="169" t="s">
        <v>415</v>
      </c>
      <c r="H979" s="169" t="s">
        <v>430</v>
      </c>
      <c r="I979" s="169" t="s">
        <v>431</v>
      </c>
      <c r="J979" s="169" t="s">
        <v>711</v>
      </c>
      <c r="K979" s="169" t="s">
        <v>712</v>
      </c>
      <c r="L979" s="169" t="s">
        <v>713</v>
      </c>
      <c r="M979" s="169" t="s">
        <v>281</v>
      </c>
      <c r="N979" s="178">
        <v>6650000</v>
      </c>
      <c r="O979" s="169" t="s">
        <v>714</v>
      </c>
      <c r="P979" s="169" t="s">
        <v>283</v>
      </c>
      <c r="Q979" s="169" t="s">
        <v>284</v>
      </c>
      <c r="R979" s="169" t="s">
        <v>283</v>
      </c>
      <c r="S979" s="169" t="s">
        <v>283</v>
      </c>
      <c r="T979" s="169">
        <v>0</v>
      </c>
    </row>
    <row r="980" spans="1:20" x14ac:dyDescent="0.2">
      <c r="A980" s="169">
        <v>627</v>
      </c>
      <c r="B980" s="167" t="str">
        <f>_xlfn.XLOOKUP(I980,Mapping!D:D,Mapping!E:E)</f>
        <v>Xưởng Sản Xuất</v>
      </c>
      <c r="C980" s="167" t="str">
        <f>_xlfn.XLOOKUP(F980,Mapping!A:A,Mapping!F:F)</f>
        <v>Phụ Cấp</v>
      </c>
      <c r="D980" s="173">
        <v>45808</v>
      </c>
      <c r="E980" s="169" t="s">
        <v>710</v>
      </c>
      <c r="F980" s="169" t="s">
        <v>386</v>
      </c>
      <c r="G980" s="169" t="s">
        <v>341</v>
      </c>
      <c r="H980" s="169" t="s">
        <v>430</v>
      </c>
      <c r="I980" s="169" t="s">
        <v>431</v>
      </c>
      <c r="J980" s="169" t="s">
        <v>711</v>
      </c>
      <c r="K980" s="169" t="s">
        <v>712</v>
      </c>
      <c r="L980" s="169" t="s">
        <v>713</v>
      </c>
      <c r="M980" s="169" t="s">
        <v>281</v>
      </c>
      <c r="N980" s="178">
        <v>9743146</v>
      </c>
      <c r="O980" s="169" t="s">
        <v>714</v>
      </c>
      <c r="P980" s="169" t="s">
        <v>283</v>
      </c>
      <c r="Q980" s="169" t="s">
        <v>284</v>
      </c>
      <c r="R980" s="169" t="s">
        <v>283</v>
      </c>
      <c r="S980" s="169" t="s">
        <v>283</v>
      </c>
      <c r="T980" s="169">
        <v>0</v>
      </c>
    </row>
    <row r="981" spans="1:20" x14ac:dyDescent="0.2">
      <c r="A981" s="169">
        <v>627</v>
      </c>
      <c r="B981" s="167" t="str">
        <f>_xlfn.XLOOKUP(I981,Mapping!D:D,Mapping!E:E)</f>
        <v>Xưởng Sản Xuất</v>
      </c>
      <c r="C981" s="167" t="str">
        <f>_xlfn.XLOOKUP(F981,Mapping!A:A,Mapping!F:F)</f>
        <v>Lương Chính +T13</v>
      </c>
      <c r="D981" s="173">
        <v>45808</v>
      </c>
      <c r="E981" s="169" t="s">
        <v>710</v>
      </c>
      <c r="F981" s="169" t="s">
        <v>387</v>
      </c>
      <c r="G981" s="169" t="s">
        <v>275</v>
      </c>
      <c r="H981" s="169" t="s">
        <v>430</v>
      </c>
      <c r="I981" s="169" t="s">
        <v>431</v>
      </c>
      <c r="J981" s="169" t="s">
        <v>711</v>
      </c>
      <c r="K981" s="169" t="s">
        <v>712</v>
      </c>
      <c r="L981" s="169" t="s">
        <v>713</v>
      </c>
      <c r="M981" s="169" t="s">
        <v>281</v>
      </c>
      <c r="N981" s="178">
        <v>161913246</v>
      </c>
      <c r="O981" s="169" t="s">
        <v>714</v>
      </c>
      <c r="P981" s="169" t="s">
        <v>283</v>
      </c>
      <c r="Q981" s="169" t="s">
        <v>284</v>
      </c>
      <c r="R981" s="169" t="s">
        <v>283</v>
      </c>
      <c r="S981" s="169" t="s">
        <v>283</v>
      </c>
      <c r="T981" s="169">
        <v>0</v>
      </c>
    </row>
    <row r="982" spans="1:20" x14ac:dyDescent="0.2">
      <c r="A982" s="169">
        <v>627</v>
      </c>
      <c r="B982" s="167" t="str">
        <f>_xlfn.XLOOKUP(I982,Mapping!D:D,Mapping!E:E)</f>
        <v>Xưởng Sản Xuất</v>
      </c>
      <c r="C982" s="167" t="str">
        <f>_xlfn.XLOOKUP(F982,Mapping!A:A,Mapping!F:F)</f>
        <v>Lương Chính +T13</v>
      </c>
      <c r="D982" s="173">
        <v>45808</v>
      </c>
      <c r="E982" s="169" t="s">
        <v>710</v>
      </c>
      <c r="F982" s="169" t="s">
        <v>388</v>
      </c>
      <c r="G982" s="169" t="s">
        <v>286</v>
      </c>
      <c r="H982" s="169" t="s">
        <v>430</v>
      </c>
      <c r="I982" s="169" t="s">
        <v>431</v>
      </c>
      <c r="J982" s="169" t="s">
        <v>711</v>
      </c>
      <c r="K982" s="169" t="s">
        <v>712</v>
      </c>
      <c r="L982" s="169" t="s">
        <v>713</v>
      </c>
      <c r="M982" s="169" t="s">
        <v>281</v>
      </c>
      <c r="N982" s="178">
        <v>11181499</v>
      </c>
      <c r="O982" s="169" t="s">
        <v>714</v>
      </c>
      <c r="P982" s="169" t="s">
        <v>283</v>
      </c>
      <c r="Q982" s="169" t="s">
        <v>284</v>
      </c>
      <c r="R982" s="169" t="s">
        <v>283</v>
      </c>
      <c r="S982" s="169" t="s">
        <v>283</v>
      </c>
      <c r="T982" s="169">
        <v>0</v>
      </c>
    </row>
    <row r="983" spans="1:20" x14ac:dyDescent="0.2">
      <c r="A983" s="169">
        <v>627</v>
      </c>
      <c r="B983" s="167" t="str">
        <f>_xlfn.XLOOKUP(I983,Mapping!D:D,Mapping!E:E)</f>
        <v>Xưởng Sản Xuất</v>
      </c>
      <c r="C983" s="167" t="str">
        <f>_xlfn.XLOOKUP(F983,Mapping!A:A,Mapping!F:F)</f>
        <v>Lương Ngoài giờ</v>
      </c>
      <c r="D983" s="173">
        <v>45808</v>
      </c>
      <c r="E983" s="169" t="s">
        <v>710</v>
      </c>
      <c r="F983" s="169" t="s">
        <v>389</v>
      </c>
      <c r="G983" s="169" t="s">
        <v>390</v>
      </c>
      <c r="H983" s="169" t="s">
        <v>430</v>
      </c>
      <c r="I983" s="169" t="s">
        <v>431</v>
      </c>
      <c r="J983" s="169" t="s">
        <v>711</v>
      </c>
      <c r="K983" s="169" t="s">
        <v>712</v>
      </c>
      <c r="L983" s="169" t="s">
        <v>713</v>
      </c>
      <c r="M983" s="169" t="s">
        <v>281</v>
      </c>
      <c r="N983" s="178">
        <v>21000658</v>
      </c>
      <c r="O983" s="169" t="s">
        <v>714</v>
      </c>
      <c r="P983" s="169" t="s">
        <v>283</v>
      </c>
      <c r="Q983" s="169" t="s">
        <v>284</v>
      </c>
      <c r="R983" s="169" t="s">
        <v>283</v>
      </c>
      <c r="S983" s="169" t="s">
        <v>283</v>
      </c>
      <c r="T983" s="169">
        <v>0</v>
      </c>
    </row>
    <row r="984" spans="1:20" x14ac:dyDescent="0.2">
      <c r="A984" s="169">
        <v>627</v>
      </c>
      <c r="B984" s="167" t="str">
        <f>_xlfn.XLOOKUP(I984,Mapping!D:D,Mapping!E:E)</f>
        <v>Xưởng Sản Xuất</v>
      </c>
      <c r="C984" s="167" t="str">
        <f>_xlfn.XLOOKUP(F984,Mapping!A:A,Mapping!F:F)</f>
        <v>Thưởng</v>
      </c>
      <c r="D984" s="173">
        <v>45808</v>
      </c>
      <c r="E984" s="169" t="s">
        <v>710</v>
      </c>
      <c r="F984" s="169" t="s">
        <v>391</v>
      </c>
      <c r="G984" s="169" t="s">
        <v>291</v>
      </c>
      <c r="H984" s="169" t="s">
        <v>430</v>
      </c>
      <c r="I984" s="169" t="s">
        <v>431</v>
      </c>
      <c r="J984" s="169" t="s">
        <v>711</v>
      </c>
      <c r="K984" s="169" t="s">
        <v>712</v>
      </c>
      <c r="L984" s="169" t="s">
        <v>713</v>
      </c>
      <c r="M984" s="169" t="s">
        <v>281</v>
      </c>
      <c r="N984" s="178">
        <v>2400000</v>
      </c>
      <c r="O984" s="169" t="s">
        <v>714</v>
      </c>
      <c r="P984" s="169" t="s">
        <v>283</v>
      </c>
      <c r="Q984" s="169" t="s">
        <v>284</v>
      </c>
      <c r="R984" s="169" t="s">
        <v>283</v>
      </c>
      <c r="S984" s="169" t="s">
        <v>283</v>
      </c>
      <c r="T984" s="169">
        <v>0</v>
      </c>
    </row>
    <row r="985" spans="1:20" x14ac:dyDescent="0.2">
      <c r="A985" s="169">
        <v>627</v>
      </c>
      <c r="B985" s="167" t="str">
        <f>_xlfn.XLOOKUP(I985,Mapping!D:D,Mapping!E:E)</f>
        <v>Xưởng Sản Xuất</v>
      </c>
      <c r="C985" s="167" t="str">
        <f>_xlfn.XLOOKUP(F985,Mapping!A:A,Mapping!F:F)</f>
        <v>Phụ Cấp</v>
      </c>
      <c r="D985" s="173">
        <v>45808</v>
      </c>
      <c r="E985" s="169" t="s">
        <v>710</v>
      </c>
      <c r="F985" s="169" t="s">
        <v>375</v>
      </c>
      <c r="G985" s="169" t="s">
        <v>336</v>
      </c>
      <c r="H985" s="169" t="s">
        <v>430</v>
      </c>
      <c r="I985" s="169" t="s">
        <v>431</v>
      </c>
      <c r="J985" s="169" t="s">
        <v>711</v>
      </c>
      <c r="K985" s="169" t="s">
        <v>712</v>
      </c>
      <c r="L985" s="169" t="s">
        <v>713</v>
      </c>
      <c r="M985" s="169" t="s">
        <v>281</v>
      </c>
      <c r="N985" s="178">
        <v>1650000</v>
      </c>
      <c r="O985" s="169" t="s">
        <v>714</v>
      </c>
      <c r="P985" s="169" t="s">
        <v>283</v>
      </c>
      <c r="Q985" s="169" t="s">
        <v>284</v>
      </c>
      <c r="R985" s="169" t="s">
        <v>283</v>
      </c>
      <c r="S985" s="169" t="s">
        <v>283</v>
      </c>
      <c r="T985" s="169">
        <v>0</v>
      </c>
    </row>
    <row r="986" spans="1:20" x14ac:dyDescent="0.2">
      <c r="A986" s="169">
        <v>627</v>
      </c>
      <c r="B986" s="167" t="str">
        <f>_xlfn.XLOOKUP(I986,Mapping!D:D,Mapping!E:E)</f>
        <v>Xưởng Sản Xuất</v>
      </c>
      <c r="C986" s="167" t="str">
        <f>_xlfn.XLOOKUP(F986,Mapping!A:A,Mapping!F:F)</f>
        <v>Lương Chính +T13</v>
      </c>
      <c r="D986" s="173">
        <v>45808</v>
      </c>
      <c r="E986" s="169" t="s">
        <v>715</v>
      </c>
      <c r="F986" s="169" t="s">
        <v>388</v>
      </c>
      <c r="G986" s="169" t="s">
        <v>286</v>
      </c>
      <c r="H986" s="169" t="s">
        <v>430</v>
      </c>
      <c r="I986" s="169" t="s">
        <v>431</v>
      </c>
      <c r="J986" s="169" t="s">
        <v>716</v>
      </c>
      <c r="K986" s="169" t="s">
        <v>712</v>
      </c>
      <c r="L986" s="169" t="s">
        <v>713</v>
      </c>
      <c r="M986" s="169" t="s">
        <v>281</v>
      </c>
      <c r="N986" s="178">
        <v>12865449</v>
      </c>
      <c r="O986" s="169" t="s">
        <v>717</v>
      </c>
      <c r="P986" s="169" t="s">
        <v>283</v>
      </c>
      <c r="Q986" s="169" t="s">
        <v>284</v>
      </c>
      <c r="R986" s="169" t="s">
        <v>283</v>
      </c>
      <c r="S986" s="169" t="s">
        <v>283</v>
      </c>
      <c r="T986" s="169">
        <v>0</v>
      </c>
    </row>
    <row r="987" spans="1:20" x14ac:dyDescent="0.2">
      <c r="A987" s="169">
        <v>622</v>
      </c>
      <c r="B987" s="167" t="str">
        <f>_xlfn.XLOOKUP(I987,Mapping!D:D,Mapping!E:E)</f>
        <v>Xưởng Sản Xuất</v>
      </c>
      <c r="C987" s="167" t="str">
        <f>_xlfn.XLOOKUP(F987,Mapping!A:A,Mapping!F:F)</f>
        <v>Lương Chính +T13</v>
      </c>
      <c r="D987" s="173">
        <v>45808</v>
      </c>
      <c r="E987" s="169" t="s">
        <v>715</v>
      </c>
      <c r="F987" s="169" t="s">
        <v>420</v>
      </c>
      <c r="G987" s="169" t="s">
        <v>286</v>
      </c>
      <c r="H987" s="169" t="s">
        <v>430</v>
      </c>
      <c r="I987" s="169" t="s">
        <v>431</v>
      </c>
      <c r="J987" s="169" t="s">
        <v>716</v>
      </c>
      <c r="K987" s="169" t="s">
        <v>712</v>
      </c>
      <c r="L987" s="169" t="s">
        <v>713</v>
      </c>
      <c r="M987" s="169" t="s">
        <v>281</v>
      </c>
      <c r="N987" s="178">
        <v>16518886</v>
      </c>
      <c r="O987" s="169" t="s">
        <v>717</v>
      </c>
      <c r="P987" s="169" t="s">
        <v>283</v>
      </c>
      <c r="Q987" s="169" t="s">
        <v>284</v>
      </c>
      <c r="R987" s="169" t="s">
        <v>283</v>
      </c>
      <c r="S987" s="169" t="s">
        <v>283</v>
      </c>
      <c r="T987" s="169">
        <v>0</v>
      </c>
    </row>
    <row r="988" spans="1:20" x14ac:dyDescent="0.2">
      <c r="A988" s="169">
        <v>627</v>
      </c>
      <c r="B988" s="167" t="str">
        <f>_xlfn.XLOOKUP(I988,Mapping!D:D,Mapping!E:E)</f>
        <v>Xưởng Sản Xuất</v>
      </c>
      <c r="C988" s="167" t="str">
        <f>_xlfn.XLOOKUP(F988,Mapping!A:A,Mapping!F:F)</f>
        <v>Thưởng</v>
      </c>
      <c r="D988" s="173">
        <v>45808</v>
      </c>
      <c r="E988" s="169" t="s">
        <v>715</v>
      </c>
      <c r="F988" s="169" t="s">
        <v>395</v>
      </c>
      <c r="G988" s="169" t="s">
        <v>77</v>
      </c>
      <c r="H988" s="169" t="s">
        <v>430</v>
      </c>
      <c r="I988" s="169" t="s">
        <v>431</v>
      </c>
      <c r="J988" s="169" t="s">
        <v>718</v>
      </c>
      <c r="K988" s="169" t="s">
        <v>712</v>
      </c>
      <c r="L988" s="169" t="s">
        <v>713</v>
      </c>
      <c r="M988" s="169" t="s">
        <v>281</v>
      </c>
      <c r="N988" s="178">
        <v>11408821</v>
      </c>
      <c r="O988" s="169" t="s">
        <v>717</v>
      </c>
      <c r="P988" s="169" t="s">
        <v>283</v>
      </c>
      <c r="Q988" s="169" t="s">
        <v>284</v>
      </c>
      <c r="R988" s="169" t="s">
        <v>283</v>
      </c>
      <c r="S988" s="169" t="s">
        <v>283</v>
      </c>
      <c r="T988" s="169">
        <v>0</v>
      </c>
    </row>
    <row r="989" spans="1:20" x14ac:dyDescent="0.2">
      <c r="A989" s="169">
        <v>622</v>
      </c>
      <c r="B989" s="167" t="str">
        <f>_xlfn.XLOOKUP(I989,Mapping!D:D,Mapping!E:E)</f>
        <v>Xưởng Sản Xuất</v>
      </c>
      <c r="C989" s="167" t="str">
        <f>_xlfn.XLOOKUP(F989,Mapping!A:A,Mapping!F:F)</f>
        <v>Thưởng</v>
      </c>
      <c r="D989" s="173">
        <v>45808</v>
      </c>
      <c r="E989" s="169" t="s">
        <v>715</v>
      </c>
      <c r="F989" s="169" t="s">
        <v>426</v>
      </c>
      <c r="G989" s="169" t="s">
        <v>77</v>
      </c>
      <c r="H989" s="169" t="s">
        <v>430</v>
      </c>
      <c r="I989" s="169" t="s">
        <v>431</v>
      </c>
      <c r="J989" s="169" t="s">
        <v>718</v>
      </c>
      <c r="K989" s="169" t="s">
        <v>712</v>
      </c>
      <c r="L989" s="169" t="s">
        <v>713</v>
      </c>
      <c r="M989" s="169" t="s">
        <v>281</v>
      </c>
      <c r="N989" s="178">
        <v>4142785</v>
      </c>
      <c r="O989" s="169" t="s">
        <v>717</v>
      </c>
      <c r="P989" s="169" t="s">
        <v>283</v>
      </c>
      <c r="Q989" s="169" t="s">
        <v>284</v>
      </c>
      <c r="R989" s="169" t="s">
        <v>283</v>
      </c>
      <c r="S989" s="169" t="s">
        <v>283</v>
      </c>
      <c r="T989" s="169">
        <v>0</v>
      </c>
    </row>
    <row r="990" spans="1:20" x14ac:dyDescent="0.2">
      <c r="A990" s="169">
        <v>622</v>
      </c>
      <c r="B990" s="167" t="str">
        <f>_xlfn.XLOOKUP(I990,Mapping!D:D,Mapping!E:E)</f>
        <v>Xưởng Sản Xuất</v>
      </c>
      <c r="C990" s="167" t="str">
        <f>_xlfn.XLOOKUP(F990,Mapping!A:A,Mapping!F:F)</f>
        <v>BHXH, BHYT, KPCĐ</v>
      </c>
      <c r="D990" s="173">
        <v>45808</v>
      </c>
      <c r="E990" s="169" t="s">
        <v>719</v>
      </c>
      <c r="F990" s="169" t="s">
        <v>425</v>
      </c>
      <c r="G990" s="169" t="s">
        <v>296</v>
      </c>
      <c r="H990" s="169" t="s">
        <v>430</v>
      </c>
      <c r="I990" s="169" t="s">
        <v>431</v>
      </c>
      <c r="J990" s="169" t="s">
        <v>720</v>
      </c>
      <c r="K990" s="169" t="s">
        <v>712</v>
      </c>
      <c r="L990" s="169" t="s">
        <v>713</v>
      </c>
      <c r="M990" s="169" t="s">
        <v>281</v>
      </c>
      <c r="N990" s="178">
        <v>43175345</v>
      </c>
      <c r="O990" s="169" t="s">
        <v>721</v>
      </c>
      <c r="P990" s="169" t="s">
        <v>283</v>
      </c>
      <c r="Q990" s="169" t="s">
        <v>284</v>
      </c>
      <c r="R990" s="169" t="s">
        <v>283</v>
      </c>
      <c r="S990" s="169" t="s">
        <v>283</v>
      </c>
      <c r="T990" s="169">
        <v>0</v>
      </c>
    </row>
    <row r="991" spans="1:20" x14ac:dyDescent="0.2">
      <c r="A991" s="169">
        <v>627</v>
      </c>
      <c r="B991" s="167" t="str">
        <f>_xlfn.XLOOKUP(I991,Mapping!D:D,Mapping!E:E)</f>
        <v>Xưởng Sản Xuất</v>
      </c>
      <c r="C991" s="167" t="str">
        <f>_xlfn.XLOOKUP(F991,Mapping!A:A,Mapping!F:F)</f>
        <v>BHXH, BHYT, KPCĐ</v>
      </c>
      <c r="D991" s="173">
        <v>45808</v>
      </c>
      <c r="E991" s="169" t="s">
        <v>719</v>
      </c>
      <c r="F991" s="169" t="s">
        <v>393</v>
      </c>
      <c r="G991" s="169" t="s">
        <v>296</v>
      </c>
      <c r="H991" s="169" t="s">
        <v>430</v>
      </c>
      <c r="I991" s="169" t="s">
        <v>431</v>
      </c>
      <c r="J991" s="169" t="s">
        <v>720</v>
      </c>
      <c r="K991" s="169" t="s">
        <v>712</v>
      </c>
      <c r="L991" s="169" t="s">
        <v>713</v>
      </c>
      <c r="M991" s="169" t="s">
        <v>281</v>
      </c>
      <c r="N991" s="178">
        <v>29920695</v>
      </c>
      <c r="O991" s="169" t="s">
        <v>721</v>
      </c>
      <c r="P991" s="169" t="s">
        <v>283</v>
      </c>
      <c r="Q991" s="169" t="s">
        <v>284</v>
      </c>
      <c r="R991" s="169" t="s">
        <v>283</v>
      </c>
      <c r="S991" s="169" t="s">
        <v>283</v>
      </c>
      <c r="T991" s="169">
        <v>0</v>
      </c>
    </row>
    <row r="992" spans="1:20" x14ac:dyDescent="0.2">
      <c r="A992" s="169">
        <v>627</v>
      </c>
      <c r="B992" s="167" t="str">
        <f>_xlfn.XLOOKUP(I992,Mapping!D:D,Mapping!E:E)</f>
        <v>Xưởng Sản Xuất</v>
      </c>
      <c r="C992" s="167" t="str">
        <f>_xlfn.XLOOKUP(F992,Mapping!A:A,Mapping!F:F)</f>
        <v>Phụ Cấp</v>
      </c>
      <c r="D992" s="173">
        <v>45782</v>
      </c>
      <c r="E992" s="169" t="s">
        <v>736</v>
      </c>
      <c r="F992" s="169" t="s">
        <v>375</v>
      </c>
      <c r="G992" s="169" t="s">
        <v>336</v>
      </c>
      <c r="H992" s="169" t="s">
        <v>430</v>
      </c>
      <c r="I992" s="169" t="s">
        <v>431</v>
      </c>
      <c r="J992" s="169" t="s">
        <v>737</v>
      </c>
      <c r="K992" s="169" t="s">
        <v>338</v>
      </c>
      <c r="L992" s="169" t="s">
        <v>713</v>
      </c>
      <c r="M992" s="169" t="s">
        <v>281</v>
      </c>
      <c r="N992" s="178">
        <v>4525000</v>
      </c>
      <c r="O992" s="169" t="s">
        <v>738</v>
      </c>
      <c r="P992" s="169" t="s">
        <v>283</v>
      </c>
      <c r="Q992" s="169" t="s">
        <v>306</v>
      </c>
      <c r="R992" s="169" t="s">
        <v>283</v>
      </c>
      <c r="S992" s="169" t="s">
        <v>283</v>
      </c>
      <c r="T992" s="169">
        <v>0</v>
      </c>
    </row>
    <row r="993" spans="1:20" x14ac:dyDescent="0.2">
      <c r="A993" s="169">
        <v>627</v>
      </c>
      <c r="B993" s="167" t="str">
        <f>_xlfn.XLOOKUP(I993,Mapping!D:D,Mapping!E:E)</f>
        <v>Xưởng Sản Xuất</v>
      </c>
      <c r="C993" s="167" t="str">
        <f>_xlfn.XLOOKUP(F993,Mapping!A:A,Mapping!F:F)</f>
        <v>Phụ Cấp</v>
      </c>
      <c r="D993" s="173">
        <v>45803</v>
      </c>
      <c r="E993" s="169" t="s">
        <v>739</v>
      </c>
      <c r="F993" s="169" t="s">
        <v>375</v>
      </c>
      <c r="G993" s="169" t="s">
        <v>336</v>
      </c>
      <c r="H993" s="169" t="s">
        <v>430</v>
      </c>
      <c r="I993" s="169" t="s">
        <v>431</v>
      </c>
      <c r="J993" s="169" t="s">
        <v>740</v>
      </c>
      <c r="K993" s="169" t="s">
        <v>741</v>
      </c>
      <c r="L993" s="169" t="s">
        <v>713</v>
      </c>
      <c r="M993" s="169" t="s">
        <v>281</v>
      </c>
      <c r="N993" s="178">
        <v>21025000</v>
      </c>
      <c r="O993" s="169" t="s">
        <v>742</v>
      </c>
      <c r="P993" s="169" t="s">
        <v>283</v>
      </c>
      <c r="Q993" s="169" t="s">
        <v>306</v>
      </c>
      <c r="R993" s="169" t="s">
        <v>283</v>
      </c>
      <c r="S993" s="169" t="s">
        <v>283</v>
      </c>
      <c r="T993" s="169">
        <v>0</v>
      </c>
    </row>
    <row r="994" spans="1:20" x14ac:dyDescent="0.2">
      <c r="A994" s="169">
        <v>622</v>
      </c>
      <c r="B994" s="167" t="str">
        <f>_xlfn.XLOOKUP(I994,Mapping!D:D,Mapping!E:E)</f>
        <v>Xưởng Sản Xuất</v>
      </c>
      <c r="C994" s="167" t="str">
        <f>_xlfn.XLOOKUP(F994,Mapping!A:A,Mapping!F:F)</f>
        <v>Lương Chính +T13</v>
      </c>
      <c r="D994" s="173">
        <v>45806</v>
      </c>
      <c r="E994" s="169" t="s">
        <v>792</v>
      </c>
      <c r="F994" s="169" t="s">
        <v>400</v>
      </c>
      <c r="G994" s="169" t="s">
        <v>401</v>
      </c>
      <c r="H994" s="169" t="s">
        <v>430</v>
      </c>
      <c r="I994" s="169" t="s">
        <v>431</v>
      </c>
      <c r="J994" s="169" t="s">
        <v>798</v>
      </c>
      <c r="K994" s="169" t="s">
        <v>405</v>
      </c>
      <c r="L994" s="169" t="s">
        <v>713</v>
      </c>
      <c r="M994" s="169" t="s">
        <v>281</v>
      </c>
      <c r="N994" s="178">
        <v>34602778</v>
      </c>
      <c r="O994" s="169" t="s">
        <v>794</v>
      </c>
      <c r="P994" s="169" t="s">
        <v>283</v>
      </c>
      <c r="Q994" s="169" t="s">
        <v>306</v>
      </c>
      <c r="R994" s="169" t="s">
        <v>283</v>
      </c>
      <c r="S994" s="169" t="s">
        <v>283</v>
      </c>
      <c r="T994" s="169">
        <v>0</v>
      </c>
    </row>
    <row r="995" spans="1:20" x14ac:dyDescent="0.2">
      <c r="A995" s="169">
        <v>622</v>
      </c>
      <c r="B995" s="167" t="str">
        <f>_xlfn.XLOOKUP(I995,Mapping!D:D,Mapping!E:E)</f>
        <v>Xưởng Sản Xuất</v>
      </c>
      <c r="C995" s="167" t="str">
        <f>_xlfn.XLOOKUP(F995,Mapping!A:A,Mapping!F:F)</f>
        <v>Phụ Cấp</v>
      </c>
      <c r="D995" s="173">
        <v>45808</v>
      </c>
      <c r="E995" s="169" t="s">
        <v>795</v>
      </c>
      <c r="F995" s="169" t="s">
        <v>414</v>
      </c>
      <c r="G995" s="169" t="s">
        <v>415</v>
      </c>
      <c r="H995" s="169" t="s">
        <v>430</v>
      </c>
      <c r="I995" s="169" t="s">
        <v>431</v>
      </c>
      <c r="J995" s="169" t="s">
        <v>416</v>
      </c>
      <c r="K995" s="169" t="s">
        <v>416</v>
      </c>
      <c r="L995" s="169" t="s">
        <v>713</v>
      </c>
      <c r="M995" s="169" t="s">
        <v>281</v>
      </c>
      <c r="N995" s="178">
        <v>19675000</v>
      </c>
      <c r="O995" s="169" t="s">
        <v>796</v>
      </c>
      <c r="P995" s="169" t="s">
        <v>283</v>
      </c>
      <c r="Q995" s="169" t="s">
        <v>348</v>
      </c>
      <c r="R995" s="169" t="s">
        <v>283</v>
      </c>
      <c r="S995" s="169" t="s">
        <v>283</v>
      </c>
      <c r="T995" s="169">
        <v>0</v>
      </c>
    </row>
    <row r="996" spans="1:20" x14ac:dyDescent="0.2">
      <c r="A996" s="169">
        <v>627</v>
      </c>
      <c r="B996" s="167" t="str">
        <f>_xlfn.XLOOKUP(I996,Mapping!D:D,Mapping!E:E)</f>
        <v>Xưởng Sản Xuất</v>
      </c>
      <c r="C996" s="167" t="str">
        <f>_xlfn.XLOOKUP(F996,Mapping!A:A,Mapping!F:F)</f>
        <v>Phụ Cấp</v>
      </c>
      <c r="D996" s="173">
        <v>45808</v>
      </c>
      <c r="E996" s="169" t="s">
        <v>795</v>
      </c>
      <c r="F996" s="169" t="s">
        <v>375</v>
      </c>
      <c r="G996" s="169" t="s">
        <v>336</v>
      </c>
      <c r="H996" s="169" t="s">
        <v>430</v>
      </c>
      <c r="I996" s="169" t="s">
        <v>431</v>
      </c>
      <c r="J996" s="169" t="s">
        <v>416</v>
      </c>
      <c r="K996" s="169" t="s">
        <v>416</v>
      </c>
      <c r="L996" s="169" t="s">
        <v>713</v>
      </c>
      <c r="M996" s="169" t="s">
        <v>281</v>
      </c>
      <c r="N996" s="178">
        <v>-19675000</v>
      </c>
      <c r="O996" s="169" t="s">
        <v>796</v>
      </c>
      <c r="P996" s="169" t="s">
        <v>283</v>
      </c>
      <c r="Q996" s="169" t="s">
        <v>348</v>
      </c>
      <c r="R996" s="169" t="s">
        <v>283</v>
      </c>
      <c r="S996" s="169" t="s">
        <v>283</v>
      </c>
      <c r="T996" s="169">
        <v>0</v>
      </c>
    </row>
    <row r="997" spans="1:20" x14ac:dyDescent="0.2">
      <c r="A997" s="169">
        <v>627</v>
      </c>
      <c r="B997" s="167" t="str">
        <f>_xlfn.XLOOKUP(I997,Mapping!D:D,Mapping!E:E)</f>
        <v>Xưởng Sản Xuất</v>
      </c>
      <c r="C997" s="167" t="str">
        <f>_xlfn.XLOOKUP(F997,Mapping!A:A,Mapping!F:F)</f>
        <v>Phụ Cấp</v>
      </c>
      <c r="D997" s="173">
        <v>45808</v>
      </c>
      <c r="E997" s="169" t="s">
        <v>795</v>
      </c>
      <c r="F997" s="169" t="s">
        <v>375</v>
      </c>
      <c r="G997" s="169" t="s">
        <v>336</v>
      </c>
      <c r="H997" s="169" t="s">
        <v>430</v>
      </c>
      <c r="I997" s="169" t="s">
        <v>431</v>
      </c>
      <c r="J997" s="169" t="s">
        <v>416</v>
      </c>
      <c r="K997" s="169" t="s">
        <v>416</v>
      </c>
      <c r="L997" s="169" t="s">
        <v>713</v>
      </c>
      <c r="M997" s="169" t="s">
        <v>281</v>
      </c>
      <c r="N997" s="178">
        <v>-175000</v>
      </c>
      <c r="O997" s="169" t="s">
        <v>796</v>
      </c>
      <c r="P997" s="169" t="s">
        <v>283</v>
      </c>
      <c r="Q997" s="169" t="s">
        <v>348</v>
      </c>
      <c r="R997" s="169" t="s">
        <v>283</v>
      </c>
      <c r="S997" s="169" t="s">
        <v>283</v>
      </c>
      <c r="T997" s="169">
        <v>0</v>
      </c>
    </row>
    <row r="998" spans="1:20" x14ac:dyDescent="0.2">
      <c r="A998" s="169">
        <v>627</v>
      </c>
      <c r="B998" s="167" t="str">
        <f>_xlfn.XLOOKUP(I998,Mapping!D:D,Mapping!E:E)</f>
        <v>Xưởng Sản Xuất</v>
      </c>
      <c r="C998" s="167" t="str">
        <f>_xlfn.XLOOKUP(F998,Mapping!A:A,Mapping!F:F)</f>
        <v>Khen thưởng BD khác</v>
      </c>
      <c r="D998" s="173">
        <v>45789</v>
      </c>
      <c r="E998" s="169" t="s">
        <v>799</v>
      </c>
      <c r="F998" s="169" t="s">
        <v>435</v>
      </c>
      <c r="G998" s="169" t="s">
        <v>222</v>
      </c>
      <c r="H998" s="169" t="s">
        <v>436</v>
      </c>
      <c r="I998" s="169" t="s">
        <v>437</v>
      </c>
      <c r="J998" s="169" t="s">
        <v>800</v>
      </c>
      <c r="K998" s="169" t="s">
        <v>801</v>
      </c>
      <c r="L998" s="169" t="s">
        <v>713</v>
      </c>
      <c r="M998" s="169" t="s">
        <v>281</v>
      </c>
      <c r="N998" s="178">
        <v>10650000</v>
      </c>
      <c r="O998" s="169" t="s">
        <v>802</v>
      </c>
      <c r="P998" s="169" t="s">
        <v>283</v>
      </c>
      <c r="Q998" s="169" t="s">
        <v>325</v>
      </c>
      <c r="R998" s="169" t="s">
        <v>283</v>
      </c>
      <c r="S998" s="169" t="s">
        <v>283</v>
      </c>
      <c r="T998" s="169">
        <v>0</v>
      </c>
    </row>
    <row r="999" spans="1:20" x14ac:dyDescent="0.2">
      <c r="A999" s="169">
        <v>627</v>
      </c>
      <c r="B999" s="167" t="str">
        <f>_xlfn.XLOOKUP(I999,Mapping!D:D,Mapping!E:E)</f>
        <v>Xưởng Sản Xuất</v>
      </c>
      <c r="C999" s="167" t="str">
        <f>_xlfn.XLOOKUP(F999,Mapping!A:A,Mapping!F:F)</f>
        <v>Phụ Cấp</v>
      </c>
      <c r="D999" s="173">
        <v>45808</v>
      </c>
      <c r="E999" s="169" t="s">
        <v>710</v>
      </c>
      <c r="F999" s="169" t="s">
        <v>386</v>
      </c>
      <c r="G999" s="169" t="s">
        <v>341</v>
      </c>
      <c r="H999" s="169" t="s">
        <v>436</v>
      </c>
      <c r="I999" s="169" t="s">
        <v>437</v>
      </c>
      <c r="J999" s="169" t="s">
        <v>711</v>
      </c>
      <c r="K999" s="169" t="s">
        <v>712</v>
      </c>
      <c r="L999" s="169" t="s">
        <v>713</v>
      </c>
      <c r="M999" s="169" t="s">
        <v>281</v>
      </c>
      <c r="N999" s="178">
        <v>9382778</v>
      </c>
      <c r="O999" s="169" t="s">
        <v>714</v>
      </c>
      <c r="P999" s="169" t="s">
        <v>283</v>
      </c>
      <c r="Q999" s="169" t="s">
        <v>284</v>
      </c>
      <c r="R999" s="169" t="s">
        <v>283</v>
      </c>
      <c r="S999" s="169" t="s">
        <v>283</v>
      </c>
      <c r="T999" s="169">
        <v>0</v>
      </c>
    </row>
    <row r="1000" spans="1:20" x14ac:dyDescent="0.2">
      <c r="A1000" s="169">
        <v>627</v>
      </c>
      <c r="B1000" s="167" t="str">
        <f>_xlfn.XLOOKUP(I1000,Mapping!D:D,Mapping!E:E)</f>
        <v>Xưởng Sản Xuất</v>
      </c>
      <c r="C1000" s="167" t="str">
        <f>_xlfn.XLOOKUP(F1000,Mapping!A:A,Mapping!F:F)</f>
        <v>Lương Chính +T13</v>
      </c>
      <c r="D1000" s="173">
        <v>45808</v>
      </c>
      <c r="E1000" s="169" t="s">
        <v>710</v>
      </c>
      <c r="F1000" s="169" t="s">
        <v>387</v>
      </c>
      <c r="G1000" s="169" t="s">
        <v>275</v>
      </c>
      <c r="H1000" s="169" t="s">
        <v>436</v>
      </c>
      <c r="I1000" s="169" t="s">
        <v>437</v>
      </c>
      <c r="J1000" s="169" t="s">
        <v>711</v>
      </c>
      <c r="K1000" s="169" t="s">
        <v>712</v>
      </c>
      <c r="L1000" s="169" t="s">
        <v>713</v>
      </c>
      <c r="M1000" s="169" t="s">
        <v>281</v>
      </c>
      <c r="N1000" s="178">
        <v>396496241</v>
      </c>
      <c r="O1000" s="169" t="s">
        <v>714</v>
      </c>
      <c r="P1000" s="169" t="s">
        <v>283</v>
      </c>
      <c r="Q1000" s="169" t="s">
        <v>284</v>
      </c>
      <c r="R1000" s="169" t="s">
        <v>283</v>
      </c>
      <c r="S1000" s="169" t="s">
        <v>283</v>
      </c>
      <c r="T1000" s="169">
        <v>0</v>
      </c>
    </row>
    <row r="1001" spans="1:20" x14ac:dyDescent="0.2">
      <c r="A1001" s="169">
        <v>627</v>
      </c>
      <c r="B1001" s="167" t="str">
        <f>_xlfn.XLOOKUP(I1001,Mapping!D:D,Mapping!E:E)</f>
        <v>Xưởng Sản Xuất</v>
      </c>
      <c r="C1001" s="167" t="str">
        <f>_xlfn.XLOOKUP(F1001,Mapping!A:A,Mapping!F:F)</f>
        <v>Lương Chính +T13</v>
      </c>
      <c r="D1001" s="173">
        <v>45808</v>
      </c>
      <c r="E1001" s="169" t="s">
        <v>710</v>
      </c>
      <c r="F1001" s="169" t="s">
        <v>388</v>
      </c>
      <c r="G1001" s="169" t="s">
        <v>286</v>
      </c>
      <c r="H1001" s="169" t="s">
        <v>436</v>
      </c>
      <c r="I1001" s="169" t="s">
        <v>437</v>
      </c>
      <c r="J1001" s="169" t="s">
        <v>711</v>
      </c>
      <c r="K1001" s="169" t="s">
        <v>712</v>
      </c>
      <c r="L1001" s="169" t="s">
        <v>713</v>
      </c>
      <c r="M1001" s="169" t="s">
        <v>281</v>
      </c>
      <c r="N1001" s="178">
        <v>10229732</v>
      </c>
      <c r="O1001" s="169" t="s">
        <v>714</v>
      </c>
      <c r="P1001" s="169" t="s">
        <v>283</v>
      </c>
      <c r="Q1001" s="169" t="s">
        <v>284</v>
      </c>
      <c r="R1001" s="169" t="s">
        <v>283</v>
      </c>
      <c r="S1001" s="169" t="s">
        <v>283</v>
      </c>
      <c r="T1001" s="169">
        <v>0</v>
      </c>
    </row>
    <row r="1002" spans="1:20" x14ac:dyDescent="0.2">
      <c r="A1002" s="169">
        <v>627</v>
      </c>
      <c r="B1002" s="167" t="str">
        <f>_xlfn.XLOOKUP(I1002,Mapping!D:D,Mapping!E:E)</f>
        <v>Xưởng Sản Xuất</v>
      </c>
      <c r="C1002" s="167" t="str">
        <f>_xlfn.XLOOKUP(F1002,Mapping!A:A,Mapping!F:F)</f>
        <v>Lương Ngoài giờ</v>
      </c>
      <c r="D1002" s="173">
        <v>45808</v>
      </c>
      <c r="E1002" s="169" t="s">
        <v>710</v>
      </c>
      <c r="F1002" s="169" t="s">
        <v>389</v>
      </c>
      <c r="G1002" s="169" t="s">
        <v>390</v>
      </c>
      <c r="H1002" s="169" t="s">
        <v>436</v>
      </c>
      <c r="I1002" s="169" t="s">
        <v>437</v>
      </c>
      <c r="J1002" s="169" t="s">
        <v>711</v>
      </c>
      <c r="K1002" s="169" t="s">
        <v>712</v>
      </c>
      <c r="L1002" s="169" t="s">
        <v>713</v>
      </c>
      <c r="M1002" s="169" t="s">
        <v>281</v>
      </c>
      <c r="N1002" s="178">
        <v>59778629</v>
      </c>
      <c r="O1002" s="169" t="s">
        <v>714</v>
      </c>
      <c r="P1002" s="169" t="s">
        <v>283</v>
      </c>
      <c r="Q1002" s="169" t="s">
        <v>284</v>
      </c>
      <c r="R1002" s="169" t="s">
        <v>283</v>
      </c>
      <c r="S1002" s="169" t="s">
        <v>283</v>
      </c>
      <c r="T1002" s="169">
        <v>0</v>
      </c>
    </row>
    <row r="1003" spans="1:20" x14ac:dyDescent="0.2">
      <c r="A1003" s="169">
        <v>627</v>
      </c>
      <c r="B1003" s="167" t="str">
        <f>_xlfn.XLOOKUP(I1003,Mapping!D:D,Mapping!E:E)</f>
        <v>Xưởng Sản Xuất</v>
      </c>
      <c r="C1003" s="167" t="str">
        <f>_xlfn.XLOOKUP(F1003,Mapping!A:A,Mapping!F:F)</f>
        <v>Thưởng</v>
      </c>
      <c r="D1003" s="173">
        <v>45808</v>
      </c>
      <c r="E1003" s="169" t="s">
        <v>710</v>
      </c>
      <c r="F1003" s="169" t="s">
        <v>391</v>
      </c>
      <c r="G1003" s="169" t="s">
        <v>291</v>
      </c>
      <c r="H1003" s="169" t="s">
        <v>436</v>
      </c>
      <c r="I1003" s="169" t="s">
        <v>437</v>
      </c>
      <c r="J1003" s="169" t="s">
        <v>711</v>
      </c>
      <c r="K1003" s="169" t="s">
        <v>712</v>
      </c>
      <c r="L1003" s="169" t="s">
        <v>713</v>
      </c>
      <c r="M1003" s="169" t="s">
        <v>281</v>
      </c>
      <c r="N1003" s="178">
        <v>8000000</v>
      </c>
      <c r="O1003" s="169" t="s">
        <v>714</v>
      </c>
      <c r="P1003" s="169" t="s">
        <v>283</v>
      </c>
      <c r="Q1003" s="169" t="s">
        <v>284</v>
      </c>
      <c r="R1003" s="169" t="s">
        <v>283</v>
      </c>
      <c r="S1003" s="169" t="s">
        <v>283</v>
      </c>
      <c r="T1003" s="169">
        <v>0</v>
      </c>
    </row>
    <row r="1004" spans="1:20" x14ac:dyDescent="0.2">
      <c r="A1004" s="169">
        <v>627</v>
      </c>
      <c r="B1004" s="167" t="str">
        <f>_xlfn.XLOOKUP(I1004,Mapping!D:D,Mapping!E:E)</f>
        <v>Xưởng Sản Xuất</v>
      </c>
      <c r="C1004" s="167" t="str">
        <f>_xlfn.XLOOKUP(F1004,Mapping!A:A,Mapping!F:F)</f>
        <v>Phụ Cấp</v>
      </c>
      <c r="D1004" s="173">
        <v>45808</v>
      </c>
      <c r="E1004" s="169" t="s">
        <v>710</v>
      </c>
      <c r="F1004" s="169" t="s">
        <v>375</v>
      </c>
      <c r="G1004" s="169" t="s">
        <v>336</v>
      </c>
      <c r="H1004" s="169" t="s">
        <v>436</v>
      </c>
      <c r="I1004" s="169" t="s">
        <v>437</v>
      </c>
      <c r="J1004" s="169" t="s">
        <v>711</v>
      </c>
      <c r="K1004" s="169" t="s">
        <v>712</v>
      </c>
      <c r="L1004" s="169" t="s">
        <v>713</v>
      </c>
      <c r="M1004" s="169" t="s">
        <v>281</v>
      </c>
      <c r="N1004" s="178">
        <v>7170000</v>
      </c>
      <c r="O1004" s="169" t="s">
        <v>714</v>
      </c>
      <c r="P1004" s="169" t="s">
        <v>283</v>
      </c>
      <c r="Q1004" s="169" t="s">
        <v>284</v>
      </c>
      <c r="R1004" s="169" t="s">
        <v>283</v>
      </c>
      <c r="S1004" s="169" t="s">
        <v>283</v>
      </c>
      <c r="T1004" s="169">
        <v>0</v>
      </c>
    </row>
    <row r="1005" spans="1:20" x14ac:dyDescent="0.2">
      <c r="B1005" s="167" t="str">
        <f>_xlfn.XLOOKUP(I1005,Mapping!D:D,Mapping!E:E)</f>
        <v>Tư vấn dịch vụ</v>
      </c>
      <c r="C1005" s="167" t="str">
        <f>_xlfn.XLOOKUP(F1005,Mapping!A:A,Mapping!F:F)</f>
        <v>Lương Chính +T13</v>
      </c>
      <c r="D1005" s="173">
        <v>45808</v>
      </c>
      <c r="E1005" s="169" t="s">
        <v>710</v>
      </c>
      <c r="F1005" s="169" t="s">
        <v>274</v>
      </c>
      <c r="G1005" s="169" t="s">
        <v>275</v>
      </c>
      <c r="H1005" s="169" t="s">
        <v>443</v>
      </c>
      <c r="I1005" s="169" t="s">
        <v>444</v>
      </c>
      <c r="J1005" s="169" t="s">
        <v>711</v>
      </c>
      <c r="K1005" s="169" t="s">
        <v>712</v>
      </c>
      <c r="L1005" s="169" t="s">
        <v>713</v>
      </c>
      <c r="M1005" s="169" t="s">
        <v>281</v>
      </c>
      <c r="N1005" s="178">
        <v>190000000</v>
      </c>
      <c r="O1005" s="169" t="s">
        <v>714</v>
      </c>
      <c r="P1005" s="169" t="s">
        <v>283</v>
      </c>
      <c r="Q1005" s="169" t="s">
        <v>284</v>
      </c>
      <c r="R1005" s="169" t="s">
        <v>283</v>
      </c>
      <c r="S1005" s="169" t="s">
        <v>283</v>
      </c>
      <c r="T1005" s="169">
        <v>0</v>
      </c>
    </row>
    <row r="1006" spans="1:20" x14ac:dyDescent="0.2">
      <c r="A1006" s="169">
        <v>622</v>
      </c>
      <c r="B1006" s="167" t="str">
        <f>_xlfn.XLOOKUP(I1006,Mapping!D:D,Mapping!E:E)</f>
        <v>Xưởng Sản Xuất</v>
      </c>
      <c r="C1006" s="167" t="str">
        <f>_xlfn.XLOOKUP(F1006,Mapping!A:A,Mapping!F:F)</f>
        <v>Lương Chính +T13</v>
      </c>
      <c r="D1006" s="173">
        <v>45808</v>
      </c>
      <c r="E1006" s="169" t="s">
        <v>710</v>
      </c>
      <c r="F1006" s="169" t="s">
        <v>400</v>
      </c>
      <c r="G1006" s="169" t="s">
        <v>401</v>
      </c>
      <c r="H1006" s="169" t="s">
        <v>441</v>
      </c>
      <c r="I1006" s="169" t="s">
        <v>442</v>
      </c>
      <c r="J1006" s="169" t="s">
        <v>711</v>
      </c>
      <c r="K1006" s="169" t="s">
        <v>712</v>
      </c>
      <c r="L1006" s="169" t="s">
        <v>713</v>
      </c>
      <c r="M1006" s="169" t="s">
        <v>281</v>
      </c>
      <c r="N1006" s="178">
        <v>11388017</v>
      </c>
      <c r="O1006" s="169" t="s">
        <v>714</v>
      </c>
      <c r="P1006" s="169" t="s">
        <v>283</v>
      </c>
      <c r="Q1006" s="169" t="s">
        <v>284</v>
      </c>
      <c r="R1006" s="169" t="s">
        <v>283</v>
      </c>
      <c r="S1006" s="169" t="s">
        <v>283</v>
      </c>
      <c r="T1006" s="169">
        <v>0</v>
      </c>
    </row>
    <row r="1007" spans="1:20" x14ac:dyDescent="0.2">
      <c r="A1007" s="169">
        <v>622</v>
      </c>
      <c r="B1007" s="167" t="str">
        <f>_xlfn.XLOOKUP(I1007,Mapping!D:D,Mapping!E:E)</f>
        <v>Xưởng Sản Xuất</v>
      </c>
      <c r="C1007" s="167" t="str">
        <f>_xlfn.XLOOKUP(F1007,Mapping!A:A,Mapping!F:F)</f>
        <v>Lương Chính +T13</v>
      </c>
      <c r="D1007" s="173">
        <v>45808</v>
      </c>
      <c r="E1007" s="169" t="s">
        <v>710</v>
      </c>
      <c r="F1007" s="169" t="s">
        <v>420</v>
      </c>
      <c r="G1007" s="169" t="s">
        <v>286</v>
      </c>
      <c r="H1007" s="169" t="s">
        <v>441</v>
      </c>
      <c r="I1007" s="169" t="s">
        <v>442</v>
      </c>
      <c r="J1007" s="169" t="s">
        <v>711</v>
      </c>
      <c r="K1007" s="169" t="s">
        <v>712</v>
      </c>
      <c r="L1007" s="169" t="s">
        <v>713</v>
      </c>
      <c r="M1007" s="169" t="s">
        <v>281</v>
      </c>
      <c r="N1007" s="178">
        <v>848615</v>
      </c>
      <c r="O1007" s="169" t="s">
        <v>714</v>
      </c>
      <c r="P1007" s="169" t="s">
        <v>283</v>
      </c>
      <c r="Q1007" s="169" t="s">
        <v>284</v>
      </c>
      <c r="R1007" s="169" t="s">
        <v>283</v>
      </c>
      <c r="S1007" s="169" t="s">
        <v>283</v>
      </c>
      <c r="T1007" s="169">
        <v>0</v>
      </c>
    </row>
    <row r="1008" spans="1:20" x14ac:dyDescent="0.2">
      <c r="A1008" s="169">
        <v>622</v>
      </c>
      <c r="B1008" s="167" t="str">
        <f>_xlfn.XLOOKUP(I1008,Mapping!D:D,Mapping!E:E)</f>
        <v>Xưởng Sản Xuất</v>
      </c>
      <c r="C1008" s="167" t="str">
        <f>_xlfn.XLOOKUP(F1008,Mapping!A:A,Mapping!F:F)</f>
        <v>Phụ Cấp</v>
      </c>
      <c r="D1008" s="173">
        <v>45808</v>
      </c>
      <c r="E1008" s="169" t="s">
        <v>710</v>
      </c>
      <c r="F1008" s="169" t="s">
        <v>421</v>
      </c>
      <c r="G1008" s="169" t="s">
        <v>341</v>
      </c>
      <c r="H1008" s="169" t="s">
        <v>441</v>
      </c>
      <c r="I1008" s="169" t="s">
        <v>442</v>
      </c>
      <c r="J1008" s="169" t="s">
        <v>711</v>
      </c>
      <c r="K1008" s="169" t="s">
        <v>712</v>
      </c>
      <c r="L1008" s="169" t="s">
        <v>713</v>
      </c>
      <c r="M1008" s="169" t="s">
        <v>281</v>
      </c>
      <c r="N1008" s="178">
        <v>1124308</v>
      </c>
      <c r="O1008" s="169" t="s">
        <v>714</v>
      </c>
      <c r="P1008" s="169" t="s">
        <v>283</v>
      </c>
      <c r="Q1008" s="169" t="s">
        <v>284</v>
      </c>
      <c r="R1008" s="169" t="s">
        <v>283</v>
      </c>
      <c r="S1008" s="169" t="s">
        <v>283</v>
      </c>
      <c r="T1008" s="169">
        <v>0</v>
      </c>
    </row>
    <row r="1009" spans="1:20" x14ac:dyDescent="0.2">
      <c r="A1009" s="169">
        <v>622</v>
      </c>
      <c r="B1009" s="167" t="str">
        <f>_xlfn.XLOOKUP(I1009,Mapping!D:D,Mapping!E:E)</f>
        <v>Xưởng Sản Xuất</v>
      </c>
      <c r="C1009" s="167" t="str">
        <f>_xlfn.XLOOKUP(F1009,Mapping!A:A,Mapping!F:F)</f>
        <v>Lương Ngoài giờ</v>
      </c>
      <c r="D1009" s="173">
        <v>45808</v>
      </c>
      <c r="E1009" s="169" t="s">
        <v>710</v>
      </c>
      <c r="F1009" s="169" t="s">
        <v>422</v>
      </c>
      <c r="G1009" s="169" t="s">
        <v>423</v>
      </c>
      <c r="H1009" s="169" t="s">
        <v>441</v>
      </c>
      <c r="I1009" s="169" t="s">
        <v>442</v>
      </c>
      <c r="J1009" s="169" t="s">
        <v>711</v>
      </c>
      <c r="K1009" s="169" t="s">
        <v>712</v>
      </c>
      <c r="L1009" s="169" t="s">
        <v>713</v>
      </c>
      <c r="M1009" s="169" t="s">
        <v>281</v>
      </c>
      <c r="N1009" s="178">
        <v>2157581</v>
      </c>
      <c r="O1009" s="169" t="s">
        <v>714</v>
      </c>
      <c r="P1009" s="169" t="s">
        <v>283</v>
      </c>
      <c r="Q1009" s="169" t="s">
        <v>284</v>
      </c>
      <c r="R1009" s="169" t="s">
        <v>283</v>
      </c>
      <c r="S1009" s="169" t="s">
        <v>283</v>
      </c>
      <c r="T1009" s="169">
        <v>0</v>
      </c>
    </row>
    <row r="1010" spans="1:20" x14ac:dyDescent="0.2">
      <c r="A1010" s="169">
        <v>622</v>
      </c>
      <c r="B1010" s="167" t="str">
        <f>_xlfn.XLOOKUP(I1010,Mapping!D:D,Mapping!E:E)</f>
        <v>Xưởng Sản Xuất</v>
      </c>
      <c r="C1010" s="167" t="str">
        <f>_xlfn.XLOOKUP(F1010,Mapping!A:A,Mapping!F:F)</f>
        <v>Thưởng</v>
      </c>
      <c r="D1010" s="173">
        <v>45808</v>
      </c>
      <c r="E1010" s="169" t="s">
        <v>710</v>
      </c>
      <c r="F1010" s="169" t="s">
        <v>424</v>
      </c>
      <c r="G1010" s="169" t="s">
        <v>291</v>
      </c>
      <c r="H1010" s="169" t="s">
        <v>441</v>
      </c>
      <c r="I1010" s="169" t="s">
        <v>442</v>
      </c>
      <c r="J1010" s="169" t="s">
        <v>711</v>
      </c>
      <c r="K1010" s="169" t="s">
        <v>712</v>
      </c>
      <c r="L1010" s="169" t="s">
        <v>713</v>
      </c>
      <c r="M1010" s="169" t="s">
        <v>281</v>
      </c>
      <c r="N1010" s="178">
        <v>200000</v>
      </c>
      <c r="O1010" s="169" t="s">
        <v>714</v>
      </c>
      <c r="P1010" s="169" t="s">
        <v>283</v>
      </c>
      <c r="Q1010" s="169" t="s">
        <v>284</v>
      </c>
      <c r="R1010" s="169" t="s">
        <v>283</v>
      </c>
      <c r="S1010" s="169" t="s">
        <v>283</v>
      </c>
      <c r="T1010" s="169">
        <v>0</v>
      </c>
    </row>
    <row r="1011" spans="1:20" x14ac:dyDescent="0.2">
      <c r="A1011" s="169">
        <v>622</v>
      </c>
      <c r="B1011" s="167" t="str">
        <f>_xlfn.XLOOKUP(I1011,Mapping!D:D,Mapping!E:E)</f>
        <v>Xưởng Sản Xuất</v>
      </c>
      <c r="C1011" s="167" t="str">
        <f>_xlfn.XLOOKUP(F1011,Mapping!A:A,Mapping!F:F)</f>
        <v>Phụ Cấp</v>
      </c>
      <c r="D1011" s="173">
        <v>45808</v>
      </c>
      <c r="E1011" s="169" t="s">
        <v>710</v>
      </c>
      <c r="F1011" s="169" t="s">
        <v>414</v>
      </c>
      <c r="G1011" s="169" t="s">
        <v>415</v>
      </c>
      <c r="H1011" s="169" t="s">
        <v>441</v>
      </c>
      <c r="I1011" s="169" t="s">
        <v>442</v>
      </c>
      <c r="J1011" s="169" t="s">
        <v>711</v>
      </c>
      <c r="K1011" s="169" t="s">
        <v>712</v>
      </c>
      <c r="L1011" s="169" t="s">
        <v>713</v>
      </c>
      <c r="M1011" s="169" t="s">
        <v>281</v>
      </c>
      <c r="N1011" s="178">
        <v>240000</v>
      </c>
      <c r="O1011" s="169" t="s">
        <v>714</v>
      </c>
      <c r="P1011" s="169" t="s">
        <v>283</v>
      </c>
      <c r="Q1011" s="169" t="s">
        <v>284</v>
      </c>
      <c r="R1011" s="169" t="s">
        <v>283</v>
      </c>
      <c r="S1011" s="169" t="s">
        <v>283</v>
      </c>
      <c r="T1011" s="169">
        <v>0</v>
      </c>
    </row>
    <row r="1012" spans="1:20" x14ac:dyDescent="0.2">
      <c r="A1012" s="169">
        <v>627</v>
      </c>
      <c r="B1012" s="167" t="str">
        <f>_xlfn.XLOOKUP(I1012,Mapping!D:D,Mapping!E:E)</f>
        <v>Xưởng Sản Xuất</v>
      </c>
      <c r="C1012" s="167" t="str">
        <f>_xlfn.XLOOKUP(F1012,Mapping!A:A,Mapping!F:F)</f>
        <v>Lương Chính +T13</v>
      </c>
      <c r="D1012" s="173">
        <v>45808</v>
      </c>
      <c r="E1012" s="169" t="s">
        <v>715</v>
      </c>
      <c r="F1012" s="169" t="s">
        <v>388</v>
      </c>
      <c r="G1012" s="169" t="s">
        <v>286</v>
      </c>
      <c r="H1012" s="169" t="s">
        <v>436</v>
      </c>
      <c r="I1012" s="169" t="s">
        <v>437</v>
      </c>
      <c r="J1012" s="169" t="s">
        <v>716</v>
      </c>
      <c r="K1012" s="169" t="s">
        <v>712</v>
      </c>
      <c r="L1012" s="169" t="s">
        <v>713</v>
      </c>
      <c r="M1012" s="169" t="s">
        <v>281</v>
      </c>
      <c r="N1012" s="178">
        <v>27204327</v>
      </c>
      <c r="O1012" s="169" t="s">
        <v>717</v>
      </c>
      <c r="P1012" s="169" t="s">
        <v>283</v>
      </c>
      <c r="Q1012" s="169" t="s">
        <v>284</v>
      </c>
      <c r="R1012" s="169" t="s">
        <v>283</v>
      </c>
      <c r="S1012" s="169" t="s">
        <v>283</v>
      </c>
      <c r="T1012" s="169">
        <v>0</v>
      </c>
    </row>
    <row r="1013" spans="1:20" x14ac:dyDescent="0.2">
      <c r="A1013" s="169">
        <v>627</v>
      </c>
      <c r="B1013" s="167" t="str">
        <f>_xlfn.XLOOKUP(I1013,Mapping!D:D,Mapping!E:E)</f>
        <v>Xưởng Sản Xuất</v>
      </c>
      <c r="C1013" s="167" t="str">
        <f>_xlfn.XLOOKUP(F1013,Mapping!A:A,Mapping!F:F)</f>
        <v>Thưởng</v>
      </c>
      <c r="D1013" s="173">
        <v>45808</v>
      </c>
      <c r="E1013" s="169" t="s">
        <v>715</v>
      </c>
      <c r="F1013" s="169" t="s">
        <v>395</v>
      </c>
      <c r="G1013" s="169" t="s">
        <v>77</v>
      </c>
      <c r="H1013" s="169" t="s">
        <v>436</v>
      </c>
      <c r="I1013" s="169" t="s">
        <v>437</v>
      </c>
      <c r="J1013" s="169" t="s">
        <v>718</v>
      </c>
      <c r="K1013" s="169" t="s">
        <v>712</v>
      </c>
      <c r="L1013" s="169" t="s">
        <v>713</v>
      </c>
      <c r="M1013" s="169" t="s">
        <v>281</v>
      </c>
      <c r="N1013" s="178">
        <v>16581993</v>
      </c>
      <c r="O1013" s="169" t="s">
        <v>717</v>
      </c>
      <c r="P1013" s="169" t="s">
        <v>283</v>
      </c>
      <c r="Q1013" s="169" t="s">
        <v>284</v>
      </c>
      <c r="R1013" s="169" t="s">
        <v>283</v>
      </c>
      <c r="S1013" s="169" t="s">
        <v>283</v>
      </c>
      <c r="T1013" s="169">
        <v>0</v>
      </c>
    </row>
    <row r="1014" spans="1:20" x14ac:dyDescent="0.2">
      <c r="B1014" s="167" t="str">
        <f>_xlfn.XLOOKUP(I1014,Mapping!D:D,Mapping!E:E)</f>
        <v>Tư vấn dịch vụ</v>
      </c>
      <c r="C1014" s="167" t="str">
        <f>_xlfn.XLOOKUP(F1014,Mapping!A:A,Mapping!F:F)</f>
        <v>Lương Chính +T13</v>
      </c>
      <c r="D1014" s="173">
        <v>45808</v>
      </c>
      <c r="E1014" s="169" t="s">
        <v>715</v>
      </c>
      <c r="F1014" s="169" t="s">
        <v>285</v>
      </c>
      <c r="G1014" s="169" t="s">
        <v>286</v>
      </c>
      <c r="H1014" s="169" t="s">
        <v>443</v>
      </c>
      <c r="I1014" s="169" t="s">
        <v>444</v>
      </c>
      <c r="J1014" s="169" t="s">
        <v>716</v>
      </c>
      <c r="K1014" s="169" t="s">
        <v>712</v>
      </c>
      <c r="L1014" s="169" t="s">
        <v>713</v>
      </c>
      <c r="M1014" s="169" t="s">
        <v>281</v>
      </c>
      <c r="N1014" s="178">
        <v>15833333</v>
      </c>
      <c r="O1014" s="169" t="s">
        <v>717</v>
      </c>
      <c r="P1014" s="169" t="s">
        <v>283</v>
      </c>
      <c r="Q1014" s="169" t="s">
        <v>284</v>
      </c>
      <c r="R1014" s="169" t="s">
        <v>283</v>
      </c>
      <c r="S1014" s="169" t="s">
        <v>283</v>
      </c>
      <c r="T1014" s="169">
        <v>0</v>
      </c>
    </row>
    <row r="1015" spans="1:20" x14ac:dyDescent="0.2">
      <c r="B1015" s="167" t="str">
        <f>_xlfn.XLOOKUP(I1015,Mapping!D:D,Mapping!E:E)</f>
        <v>Tư vấn dịch vụ</v>
      </c>
      <c r="C1015" s="167" t="str">
        <f>_xlfn.XLOOKUP(F1015,Mapping!A:A,Mapping!F:F)</f>
        <v>Thưởng</v>
      </c>
      <c r="D1015" s="173">
        <v>45808</v>
      </c>
      <c r="E1015" s="169" t="s">
        <v>715</v>
      </c>
      <c r="F1015" s="169" t="s">
        <v>292</v>
      </c>
      <c r="G1015" s="169" t="s">
        <v>77</v>
      </c>
      <c r="H1015" s="169" t="s">
        <v>443</v>
      </c>
      <c r="I1015" s="169" t="s">
        <v>444</v>
      </c>
      <c r="J1015" s="169" t="s">
        <v>718</v>
      </c>
      <c r="K1015" s="169" t="s">
        <v>712</v>
      </c>
      <c r="L1015" s="169" t="s">
        <v>713</v>
      </c>
      <c r="M1015" s="169" t="s">
        <v>281</v>
      </c>
      <c r="N1015" s="178">
        <v>14566540</v>
      </c>
      <c r="O1015" s="169" t="s">
        <v>717</v>
      </c>
      <c r="P1015" s="169" t="s">
        <v>283</v>
      </c>
      <c r="Q1015" s="169" t="s">
        <v>284</v>
      </c>
      <c r="R1015" s="169" t="s">
        <v>283</v>
      </c>
      <c r="S1015" s="169" t="s">
        <v>283</v>
      </c>
      <c r="T1015" s="169">
        <v>0</v>
      </c>
    </row>
    <row r="1016" spans="1:20" x14ac:dyDescent="0.2">
      <c r="A1016" s="169">
        <v>622</v>
      </c>
      <c r="B1016" s="167" t="str">
        <f>_xlfn.XLOOKUP(I1016,Mapping!D:D,Mapping!E:E)</f>
        <v>Xưởng Sản Xuất</v>
      </c>
      <c r="C1016" s="167" t="str">
        <f>_xlfn.XLOOKUP(F1016,Mapping!A:A,Mapping!F:F)</f>
        <v>Lương Chính +T13</v>
      </c>
      <c r="D1016" s="173">
        <v>45808</v>
      </c>
      <c r="E1016" s="169" t="s">
        <v>715</v>
      </c>
      <c r="F1016" s="169" t="s">
        <v>420</v>
      </c>
      <c r="G1016" s="169" t="s">
        <v>286</v>
      </c>
      <c r="H1016" s="169" t="s">
        <v>441</v>
      </c>
      <c r="I1016" s="169" t="s">
        <v>442</v>
      </c>
      <c r="J1016" s="169" t="s">
        <v>716</v>
      </c>
      <c r="K1016" s="169" t="s">
        <v>712</v>
      </c>
      <c r="L1016" s="169" t="s">
        <v>713</v>
      </c>
      <c r="M1016" s="169" t="s">
        <v>281</v>
      </c>
      <c r="N1016" s="178">
        <v>531385</v>
      </c>
      <c r="O1016" s="169" t="s">
        <v>717</v>
      </c>
      <c r="P1016" s="169" t="s">
        <v>283</v>
      </c>
      <c r="Q1016" s="169" t="s">
        <v>284</v>
      </c>
      <c r="R1016" s="169" t="s">
        <v>283</v>
      </c>
      <c r="S1016" s="169" t="s">
        <v>283</v>
      </c>
      <c r="T1016" s="169">
        <v>0</v>
      </c>
    </row>
    <row r="1017" spans="1:20" x14ac:dyDescent="0.2">
      <c r="A1017" s="169">
        <v>622</v>
      </c>
      <c r="B1017" s="167" t="str">
        <f>_xlfn.XLOOKUP(I1017,Mapping!D:D,Mapping!E:E)</f>
        <v>Xưởng Sản Xuất</v>
      </c>
      <c r="C1017" s="167" t="str">
        <f>_xlfn.XLOOKUP(F1017,Mapping!A:A,Mapping!F:F)</f>
        <v>Thưởng</v>
      </c>
      <c r="D1017" s="173">
        <v>45808</v>
      </c>
      <c r="E1017" s="169" t="s">
        <v>715</v>
      </c>
      <c r="F1017" s="169" t="s">
        <v>426</v>
      </c>
      <c r="G1017" s="169" t="s">
        <v>77</v>
      </c>
      <c r="H1017" s="169" t="s">
        <v>441</v>
      </c>
      <c r="I1017" s="169" t="s">
        <v>442</v>
      </c>
      <c r="J1017" s="169" t="s">
        <v>718</v>
      </c>
      <c r="K1017" s="169" t="s">
        <v>712</v>
      </c>
      <c r="L1017" s="169" t="s">
        <v>713</v>
      </c>
      <c r="M1017" s="169" t="s">
        <v>281</v>
      </c>
      <c r="N1017" s="178">
        <v>78876</v>
      </c>
      <c r="O1017" s="169" t="s">
        <v>717</v>
      </c>
      <c r="P1017" s="169" t="s">
        <v>283</v>
      </c>
      <c r="Q1017" s="169" t="s">
        <v>284</v>
      </c>
      <c r="R1017" s="169" t="s">
        <v>283</v>
      </c>
      <c r="S1017" s="169" t="s">
        <v>283</v>
      </c>
      <c r="T1017" s="169">
        <v>0</v>
      </c>
    </row>
    <row r="1018" spans="1:20" x14ac:dyDescent="0.2">
      <c r="A1018" s="169">
        <v>627</v>
      </c>
      <c r="B1018" s="167" t="str">
        <f>_xlfn.XLOOKUP(I1018,Mapping!D:D,Mapping!E:E)</f>
        <v>Xưởng Sản Xuất</v>
      </c>
      <c r="C1018" s="167" t="str">
        <f>_xlfn.XLOOKUP(F1018,Mapping!A:A,Mapping!F:F)</f>
        <v>BHXH, BHYT, KPCĐ</v>
      </c>
      <c r="D1018" s="173">
        <v>45808</v>
      </c>
      <c r="E1018" s="169" t="s">
        <v>719</v>
      </c>
      <c r="F1018" s="169" t="s">
        <v>393</v>
      </c>
      <c r="G1018" s="169" t="s">
        <v>296</v>
      </c>
      <c r="H1018" s="169" t="s">
        <v>436</v>
      </c>
      <c r="I1018" s="169" t="s">
        <v>437</v>
      </c>
      <c r="J1018" s="169" t="s">
        <v>720</v>
      </c>
      <c r="K1018" s="169" t="s">
        <v>712</v>
      </c>
      <c r="L1018" s="169" t="s">
        <v>713</v>
      </c>
      <c r="M1018" s="169" t="s">
        <v>281</v>
      </c>
      <c r="N1018" s="178">
        <v>60975920</v>
      </c>
      <c r="O1018" s="169" t="s">
        <v>721</v>
      </c>
      <c r="P1018" s="169" t="s">
        <v>283</v>
      </c>
      <c r="Q1018" s="169" t="s">
        <v>284</v>
      </c>
      <c r="R1018" s="169" t="s">
        <v>283</v>
      </c>
      <c r="S1018" s="169" t="s">
        <v>283</v>
      </c>
      <c r="T1018" s="169">
        <v>0</v>
      </c>
    </row>
    <row r="1019" spans="1:20" x14ac:dyDescent="0.2">
      <c r="A1019" s="169">
        <v>622</v>
      </c>
      <c r="B1019" s="167" t="str">
        <f>_xlfn.XLOOKUP(I1019,Mapping!D:D,Mapping!E:E)</f>
        <v>Xưởng Sản Xuất</v>
      </c>
      <c r="C1019" s="167" t="str">
        <f>_xlfn.XLOOKUP(F1019,Mapping!A:A,Mapping!F:F)</f>
        <v>BHXH, BHYT, KPCĐ</v>
      </c>
      <c r="D1019" s="173">
        <v>45808</v>
      </c>
      <c r="E1019" s="169" t="s">
        <v>719</v>
      </c>
      <c r="F1019" s="169" t="s">
        <v>425</v>
      </c>
      <c r="G1019" s="169" t="s">
        <v>296</v>
      </c>
      <c r="H1019" s="169" t="s">
        <v>441</v>
      </c>
      <c r="I1019" s="169" t="s">
        <v>442</v>
      </c>
      <c r="J1019" s="169" t="s">
        <v>720</v>
      </c>
      <c r="K1019" s="169" t="s">
        <v>712</v>
      </c>
      <c r="L1019" s="169" t="s">
        <v>713</v>
      </c>
      <c r="M1019" s="169" t="s">
        <v>281</v>
      </c>
      <c r="N1019" s="178">
        <v>1308480</v>
      </c>
      <c r="O1019" s="169" t="s">
        <v>721</v>
      </c>
      <c r="P1019" s="169" t="s">
        <v>283</v>
      </c>
      <c r="Q1019" s="169" t="s">
        <v>284</v>
      </c>
      <c r="R1019" s="169" t="s">
        <v>283</v>
      </c>
      <c r="S1019" s="169" t="s">
        <v>283</v>
      </c>
      <c r="T1019" s="169">
        <v>0</v>
      </c>
    </row>
    <row r="1020" spans="1:20" x14ac:dyDescent="0.2">
      <c r="A1020" s="169">
        <v>627</v>
      </c>
      <c r="B1020" s="167" t="str">
        <f>_xlfn.XLOOKUP(I1020,Mapping!D:D,Mapping!E:E)</f>
        <v>Xưởng Sản Xuất</v>
      </c>
      <c r="C1020" s="167" t="str">
        <f>_xlfn.XLOOKUP(F1020,Mapping!A:A,Mapping!F:F)</f>
        <v>BHXH, BHYT, KPCĐ</v>
      </c>
      <c r="D1020" s="173">
        <v>45808</v>
      </c>
      <c r="E1020" s="169" t="s">
        <v>719</v>
      </c>
      <c r="F1020" s="169" t="s">
        <v>393</v>
      </c>
      <c r="G1020" s="169" t="s">
        <v>296</v>
      </c>
      <c r="H1020" s="169" t="s">
        <v>436</v>
      </c>
      <c r="I1020" s="169" t="s">
        <v>437</v>
      </c>
      <c r="J1020" s="169" t="s">
        <v>720</v>
      </c>
      <c r="K1020" s="169" t="s">
        <v>712</v>
      </c>
      <c r="L1020" s="169" t="s">
        <v>713</v>
      </c>
      <c r="M1020" s="169" t="s">
        <v>281</v>
      </c>
      <c r="N1020" s="178">
        <v>3709710</v>
      </c>
      <c r="O1020" s="169" t="s">
        <v>721</v>
      </c>
      <c r="P1020" s="169" t="s">
        <v>283</v>
      </c>
      <c r="Q1020" s="169" t="s">
        <v>284</v>
      </c>
      <c r="R1020" s="169" t="s">
        <v>283</v>
      </c>
      <c r="S1020" s="169" t="s">
        <v>283</v>
      </c>
      <c r="T1020" s="169">
        <v>0</v>
      </c>
    </row>
    <row r="1021" spans="1:20" x14ac:dyDescent="0.2">
      <c r="A1021" s="169">
        <v>627</v>
      </c>
      <c r="B1021" s="167" t="str">
        <f>_xlfn.XLOOKUP(I1021,Mapping!D:D,Mapping!E:E)</f>
        <v>Xưởng Sản Xuất</v>
      </c>
      <c r="C1021" s="167" t="str">
        <f>_xlfn.XLOOKUP(F1021,Mapping!A:A,Mapping!F:F)</f>
        <v>Phụ Cấp</v>
      </c>
      <c r="D1021" s="173">
        <v>45782</v>
      </c>
      <c r="E1021" s="169" t="s">
        <v>736</v>
      </c>
      <c r="F1021" s="169" t="s">
        <v>375</v>
      </c>
      <c r="G1021" s="169" t="s">
        <v>336</v>
      </c>
      <c r="H1021" s="169" t="s">
        <v>441</v>
      </c>
      <c r="I1021" s="169" t="s">
        <v>442</v>
      </c>
      <c r="J1021" s="169" t="s">
        <v>737</v>
      </c>
      <c r="K1021" s="169" t="s">
        <v>338</v>
      </c>
      <c r="L1021" s="169" t="s">
        <v>713</v>
      </c>
      <c r="M1021" s="169" t="s">
        <v>281</v>
      </c>
      <c r="N1021" s="178">
        <v>100000</v>
      </c>
      <c r="O1021" s="169" t="s">
        <v>738</v>
      </c>
      <c r="P1021" s="169" t="s">
        <v>283</v>
      </c>
      <c r="Q1021" s="169" t="s">
        <v>306</v>
      </c>
      <c r="R1021" s="169" t="s">
        <v>283</v>
      </c>
      <c r="S1021" s="169" t="s">
        <v>283</v>
      </c>
      <c r="T1021" s="169">
        <v>0</v>
      </c>
    </row>
    <row r="1022" spans="1:20" x14ac:dyDescent="0.2">
      <c r="A1022" s="169">
        <v>627</v>
      </c>
      <c r="B1022" s="167" t="str">
        <f>_xlfn.XLOOKUP(I1022,Mapping!D:D,Mapping!E:E)</f>
        <v>Xưởng Sản Xuất</v>
      </c>
      <c r="C1022" s="167" t="str">
        <f>_xlfn.XLOOKUP(F1022,Mapping!A:A,Mapping!F:F)</f>
        <v>Phụ Cấp</v>
      </c>
      <c r="D1022" s="173">
        <v>45782</v>
      </c>
      <c r="E1022" s="169" t="s">
        <v>736</v>
      </c>
      <c r="F1022" s="169" t="s">
        <v>375</v>
      </c>
      <c r="G1022" s="169" t="s">
        <v>336</v>
      </c>
      <c r="H1022" s="169" t="s">
        <v>436</v>
      </c>
      <c r="I1022" s="169" t="s">
        <v>437</v>
      </c>
      <c r="J1022" s="169" t="s">
        <v>737</v>
      </c>
      <c r="K1022" s="169" t="s">
        <v>338</v>
      </c>
      <c r="L1022" s="169" t="s">
        <v>713</v>
      </c>
      <c r="M1022" s="169" t="s">
        <v>281</v>
      </c>
      <c r="N1022" s="178">
        <v>5575000</v>
      </c>
      <c r="O1022" s="169" t="s">
        <v>738</v>
      </c>
      <c r="P1022" s="169" t="s">
        <v>283</v>
      </c>
      <c r="Q1022" s="169" t="s">
        <v>306</v>
      </c>
      <c r="R1022" s="169" t="s">
        <v>283</v>
      </c>
      <c r="S1022" s="169" t="s">
        <v>283</v>
      </c>
      <c r="T1022" s="169">
        <v>0</v>
      </c>
    </row>
    <row r="1023" spans="1:20" x14ac:dyDescent="0.2">
      <c r="A1023" s="169">
        <v>627</v>
      </c>
      <c r="B1023" s="167" t="str">
        <f>_xlfn.XLOOKUP(I1023,Mapping!D:D,Mapping!E:E)</f>
        <v>Xưởng Sản Xuất</v>
      </c>
      <c r="C1023" s="167" t="str">
        <f>_xlfn.XLOOKUP(F1023,Mapping!A:A,Mapping!F:F)</f>
        <v>Phụ Cấp</v>
      </c>
      <c r="D1023" s="173">
        <v>45803</v>
      </c>
      <c r="E1023" s="169" t="s">
        <v>739</v>
      </c>
      <c r="F1023" s="169" t="s">
        <v>375</v>
      </c>
      <c r="G1023" s="169" t="s">
        <v>336</v>
      </c>
      <c r="H1023" s="169" t="s">
        <v>441</v>
      </c>
      <c r="I1023" s="169" t="s">
        <v>442</v>
      </c>
      <c r="J1023" s="169" t="s">
        <v>740</v>
      </c>
      <c r="K1023" s="169" t="s">
        <v>741</v>
      </c>
      <c r="L1023" s="169" t="s">
        <v>713</v>
      </c>
      <c r="M1023" s="169" t="s">
        <v>281</v>
      </c>
      <c r="N1023" s="178">
        <v>325000</v>
      </c>
      <c r="O1023" s="169" t="s">
        <v>742</v>
      </c>
      <c r="P1023" s="169" t="s">
        <v>283</v>
      </c>
      <c r="Q1023" s="169" t="s">
        <v>306</v>
      </c>
      <c r="R1023" s="169" t="s">
        <v>283</v>
      </c>
      <c r="S1023" s="169" t="s">
        <v>283</v>
      </c>
      <c r="T1023" s="169">
        <v>0</v>
      </c>
    </row>
    <row r="1024" spans="1:20" x14ac:dyDescent="0.2">
      <c r="A1024" s="169">
        <v>627</v>
      </c>
      <c r="B1024" s="167" t="str">
        <f>_xlfn.XLOOKUP(I1024,Mapping!D:D,Mapping!E:E)</f>
        <v>Xưởng Sản Xuất</v>
      </c>
      <c r="C1024" s="167" t="str">
        <f>_xlfn.XLOOKUP(F1024,Mapping!A:A,Mapping!F:F)</f>
        <v>Phụ Cấp</v>
      </c>
      <c r="D1024" s="173">
        <v>45803</v>
      </c>
      <c r="E1024" s="169" t="s">
        <v>739</v>
      </c>
      <c r="F1024" s="169" t="s">
        <v>375</v>
      </c>
      <c r="G1024" s="169" t="s">
        <v>336</v>
      </c>
      <c r="H1024" s="169" t="s">
        <v>436</v>
      </c>
      <c r="I1024" s="169" t="s">
        <v>437</v>
      </c>
      <c r="J1024" s="169" t="s">
        <v>740</v>
      </c>
      <c r="K1024" s="169" t="s">
        <v>741</v>
      </c>
      <c r="L1024" s="169" t="s">
        <v>713</v>
      </c>
      <c r="M1024" s="169" t="s">
        <v>281</v>
      </c>
      <c r="N1024" s="178">
        <v>19275000</v>
      </c>
      <c r="O1024" s="169" t="s">
        <v>742</v>
      </c>
      <c r="P1024" s="169" t="s">
        <v>283</v>
      </c>
      <c r="Q1024" s="169" t="s">
        <v>306</v>
      </c>
      <c r="R1024" s="169" t="s">
        <v>283</v>
      </c>
      <c r="S1024" s="169" t="s">
        <v>283</v>
      </c>
      <c r="T1024" s="169">
        <v>0</v>
      </c>
    </row>
    <row r="1025" spans="1:20" x14ac:dyDescent="0.2">
      <c r="A1025" s="169">
        <v>622</v>
      </c>
      <c r="B1025" s="167" t="str">
        <f>_xlfn.XLOOKUP(I1025,Mapping!D:D,Mapping!E:E)</f>
        <v>Xưởng Sản Xuất</v>
      </c>
      <c r="C1025" s="167" t="str">
        <f>_xlfn.XLOOKUP(F1025,Mapping!A:A,Mapping!F:F)</f>
        <v>Phụ Cấp</v>
      </c>
      <c r="D1025" s="173">
        <v>45808</v>
      </c>
      <c r="E1025" s="169" t="s">
        <v>795</v>
      </c>
      <c r="F1025" s="169" t="s">
        <v>414</v>
      </c>
      <c r="G1025" s="169" t="s">
        <v>415</v>
      </c>
      <c r="H1025" s="169" t="s">
        <v>441</v>
      </c>
      <c r="I1025" s="169" t="s">
        <v>442</v>
      </c>
      <c r="J1025" s="169" t="s">
        <v>416</v>
      </c>
      <c r="K1025" s="169" t="s">
        <v>416</v>
      </c>
      <c r="L1025" s="169" t="s">
        <v>713</v>
      </c>
      <c r="M1025" s="169" t="s">
        <v>281</v>
      </c>
      <c r="N1025" s="178">
        <v>425000</v>
      </c>
      <c r="O1025" s="169" t="s">
        <v>796</v>
      </c>
      <c r="P1025" s="169" t="s">
        <v>283</v>
      </c>
      <c r="Q1025" s="169" t="s">
        <v>348</v>
      </c>
      <c r="R1025" s="169" t="s">
        <v>283</v>
      </c>
      <c r="S1025" s="169" t="s">
        <v>283</v>
      </c>
      <c r="T1025" s="169">
        <v>0</v>
      </c>
    </row>
    <row r="1026" spans="1:20" x14ac:dyDescent="0.2">
      <c r="A1026" s="169">
        <v>627</v>
      </c>
      <c r="B1026" s="167" t="str">
        <f>_xlfn.XLOOKUP(I1026,Mapping!D:D,Mapping!E:E)</f>
        <v>Xưởng Sản Xuất</v>
      </c>
      <c r="C1026" s="167" t="str">
        <f>_xlfn.XLOOKUP(F1026,Mapping!A:A,Mapping!F:F)</f>
        <v>Phụ Cấp</v>
      </c>
      <c r="D1026" s="173">
        <v>45808</v>
      </c>
      <c r="E1026" s="169" t="s">
        <v>795</v>
      </c>
      <c r="F1026" s="169" t="s">
        <v>375</v>
      </c>
      <c r="G1026" s="169" t="s">
        <v>336</v>
      </c>
      <c r="H1026" s="169" t="s">
        <v>441</v>
      </c>
      <c r="I1026" s="169" t="s">
        <v>442</v>
      </c>
      <c r="J1026" s="169" t="s">
        <v>416</v>
      </c>
      <c r="K1026" s="169" t="s">
        <v>416</v>
      </c>
      <c r="L1026" s="169" t="s">
        <v>713</v>
      </c>
      <c r="M1026" s="169" t="s">
        <v>281</v>
      </c>
      <c r="N1026" s="178">
        <v>-425000</v>
      </c>
      <c r="O1026" s="169" t="s">
        <v>796</v>
      </c>
      <c r="P1026" s="169" t="s">
        <v>283</v>
      </c>
      <c r="Q1026" s="169" t="s">
        <v>348</v>
      </c>
      <c r="R1026" s="169" t="s">
        <v>283</v>
      </c>
      <c r="S1026" s="169" t="s">
        <v>283</v>
      </c>
      <c r="T1026" s="169">
        <v>0</v>
      </c>
    </row>
    <row r="1027" spans="1:20" x14ac:dyDescent="0.2">
      <c r="A1027" s="169">
        <v>622</v>
      </c>
      <c r="B1027" s="167" t="str">
        <f>_xlfn.XLOOKUP(I1027,Mapping!D:D,Mapping!E:E)</f>
        <v>Xưởng Sản Xuất</v>
      </c>
      <c r="C1027" s="167" t="str">
        <f>_xlfn.XLOOKUP(F1027,Mapping!A:A,Mapping!F:F)</f>
        <v>Phụ Cấp</v>
      </c>
      <c r="D1027" s="173">
        <v>45808</v>
      </c>
      <c r="E1027" s="169" t="s">
        <v>795</v>
      </c>
      <c r="F1027" s="169" t="s">
        <v>414</v>
      </c>
      <c r="G1027" s="169" t="s">
        <v>415</v>
      </c>
      <c r="H1027" s="169" t="s">
        <v>441</v>
      </c>
      <c r="I1027" s="169" t="s">
        <v>442</v>
      </c>
      <c r="J1027" s="169" t="s">
        <v>416</v>
      </c>
      <c r="K1027" s="169" t="s">
        <v>416</v>
      </c>
      <c r="L1027" s="169" t="s">
        <v>713</v>
      </c>
      <c r="M1027" s="169" t="s">
        <v>281</v>
      </c>
      <c r="N1027" s="178">
        <v>175000</v>
      </c>
      <c r="O1027" s="169" t="s">
        <v>796</v>
      </c>
      <c r="P1027" s="169" t="s">
        <v>283</v>
      </c>
      <c r="Q1027" s="169" t="s">
        <v>348</v>
      </c>
      <c r="R1027" s="169" t="s">
        <v>283</v>
      </c>
      <c r="S1027" s="169" t="s">
        <v>283</v>
      </c>
      <c r="T1027" s="169">
        <v>0</v>
      </c>
    </row>
    <row r="1028" spans="1:20" x14ac:dyDescent="0.2">
      <c r="B1028" s="167" t="str">
        <f>_xlfn.XLOOKUP(I1028,Mapping!D:D,Mapping!E:E)</f>
        <v>Ban Giám Đốc</v>
      </c>
      <c r="C1028" s="167" t="str">
        <f>_xlfn.XLOOKUP(F1028,Mapping!A:A,Mapping!F:F)</f>
        <v>Lương Chính +T13</v>
      </c>
      <c r="D1028" s="173">
        <v>45838</v>
      </c>
      <c r="E1028" s="169" t="s">
        <v>813</v>
      </c>
      <c r="F1028" s="169" t="s">
        <v>274</v>
      </c>
      <c r="G1028" s="169" t="s">
        <v>275</v>
      </c>
      <c r="H1028" s="169" t="s">
        <v>276</v>
      </c>
      <c r="I1028" s="169" t="s">
        <v>277</v>
      </c>
      <c r="J1028" s="169" t="s">
        <v>814</v>
      </c>
      <c r="K1028" s="169" t="s">
        <v>815</v>
      </c>
      <c r="L1028" s="169" t="s">
        <v>816</v>
      </c>
      <c r="M1028" s="169" t="s">
        <v>281</v>
      </c>
      <c r="N1028" s="178">
        <v>1424495340</v>
      </c>
      <c r="O1028" s="169" t="s">
        <v>817</v>
      </c>
      <c r="P1028" s="169" t="s">
        <v>283</v>
      </c>
      <c r="Q1028" s="169" t="s">
        <v>284</v>
      </c>
      <c r="R1028" s="169" t="s">
        <v>283</v>
      </c>
      <c r="S1028" s="169" t="s">
        <v>283</v>
      </c>
      <c r="T1028" s="169">
        <v>0</v>
      </c>
    </row>
    <row r="1029" spans="1:20" x14ac:dyDescent="0.2">
      <c r="B1029" s="167" t="str">
        <f>_xlfn.XLOOKUP(I1029,Mapping!D:D,Mapping!E:E)</f>
        <v>Ban Giám Đốc</v>
      </c>
      <c r="C1029" s="167" t="str">
        <f>_xlfn.XLOOKUP(F1029,Mapping!A:A,Mapping!F:F)</f>
        <v>Lương Chính +T13</v>
      </c>
      <c r="D1029" s="173">
        <v>45838</v>
      </c>
      <c r="E1029" s="169" t="s">
        <v>813</v>
      </c>
      <c r="F1029" s="169" t="s">
        <v>285</v>
      </c>
      <c r="G1029" s="169" t="s">
        <v>286</v>
      </c>
      <c r="H1029" s="169" t="s">
        <v>276</v>
      </c>
      <c r="I1029" s="169" t="s">
        <v>277</v>
      </c>
      <c r="J1029" s="169" t="s">
        <v>814</v>
      </c>
      <c r="K1029" s="169" t="s">
        <v>815</v>
      </c>
      <c r="L1029" s="169" t="s">
        <v>816</v>
      </c>
      <c r="M1029" s="169" t="s">
        <v>281</v>
      </c>
      <c r="N1029" s="178">
        <v>32032363</v>
      </c>
      <c r="O1029" s="169" t="s">
        <v>817</v>
      </c>
      <c r="P1029" s="169" t="s">
        <v>283</v>
      </c>
      <c r="Q1029" s="169" t="s">
        <v>284</v>
      </c>
      <c r="R1029" s="169" t="s">
        <v>283</v>
      </c>
      <c r="S1029" s="169" t="s">
        <v>283</v>
      </c>
      <c r="T1029" s="169">
        <v>0</v>
      </c>
    </row>
    <row r="1030" spans="1:20" x14ac:dyDescent="0.2">
      <c r="B1030" s="167" t="str">
        <f>_xlfn.XLOOKUP(I1030,Mapping!D:D,Mapping!E:E)</f>
        <v>Ban Giám Đốc</v>
      </c>
      <c r="C1030" s="167" t="str">
        <f>_xlfn.XLOOKUP(F1030,Mapping!A:A,Mapping!F:F)</f>
        <v>Lương Chính +T13</v>
      </c>
      <c r="D1030" s="173">
        <v>45838</v>
      </c>
      <c r="E1030" s="169" t="s">
        <v>818</v>
      </c>
      <c r="F1030" s="169" t="s">
        <v>285</v>
      </c>
      <c r="G1030" s="169" t="s">
        <v>286</v>
      </c>
      <c r="H1030" s="169" t="s">
        <v>276</v>
      </c>
      <c r="I1030" s="169" t="s">
        <v>277</v>
      </c>
      <c r="J1030" s="169" t="s">
        <v>819</v>
      </c>
      <c r="K1030" s="169" t="s">
        <v>815</v>
      </c>
      <c r="L1030" s="169" t="s">
        <v>816</v>
      </c>
      <c r="M1030" s="169" t="s">
        <v>281</v>
      </c>
      <c r="N1030" s="178">
        <v>113658417</v>
      </c>
      <c r="O1030" s="169" t="s">
        <v>820</v>
      </c>
      <c r="P1030" s="169" t="s">
        <v>283</v>
      </c>
      <c r="Q1030" s="169" t="s">
        <v>284</v>
      </c>
      <c r="R1030" s="169" t="s">
        <v>283</v>
      </c>
      <c r="S1030" s="169" t="s">
        <v>283</v>
      </c>
      <c r="T1030" s="169">
        <v>0</v>
      </c>
    </row>
    <row r="1031" spans="1:20" x14ac:dyDescent="0.2">
      <c r="B1031" s="167" t="str">
        <f>_xlfn.XLOOKUP(I1031,Mapping!D:D,Mapping!E:E)</f>
        <v>Ban Giám Đốc</v>
      </c>
      <c r="C1031" s="167" t="str">
        <f>_xlfn.XLOOKUP(F1031,Mapping!A:A,Mapping!F:F)</f>
        <v>Thưởng</v>
      </c>
      <c r="D1031" s="173">
        <v>45838</v>
      </c>
      <c r="E1031" s="169" t="s">
        <v>818</v>
      </c>
      <c r="F1031" s="169" t="s">
        <v>292</v>
      </c>
      <c r="G1031" s="169" t="s">
        <v>77</v>
      </c>
      <c r="H1031" s="169" t="s">
        <v>276</v>
      </c>
      <c r="I1031" s="169" t="s">
        <v>277</v>
      </c>
      <c r="J1031" s="169" t="s">
        <v>821</v>
      </c>
      <c r="K1031" s="169" t="s">
        <v>815</v>
      </c>
      <c r="L1031" s="169" t="s">
        <v>816</v>
      </c>
      <c r="M1031" s="169" t="s">
        <v>281</v>
      </c>
      <c r="N1031" s="178">
        <v>104564834</v>
      </c>
      <c r="O1031" s="169" t="s">
        <v>820</v>
      </c>
      <c r="P1031" s="169" t="s">
        <v>283</v>
      </c>
      <c r="Q1031" s="169" t="s">
        <v>284</v>
      </c>
      <c r="R1031" s="169" t="s">
        <v>283</v>
      </c>
      <c r="S1031" s="169" t="s">
        <v>283</v>
      </c>
      <c r="T1031" s="169">
        <v>0</v>
      </c>
    </row>
    <row r="1032" spans="1:20" x14ac:dyDescent="0.2">
      <c r="B1032" s="167" t="str">
        <f>_xlfn.XLOOKUP(I1032,Mapping!D:D,Mapping!E:E)</f>
        <v>Ban Giám Đốc</v>
      </c>
      <c r="C1032" s="167" t="str">
        <f>_xlfn.XLOOKUP(F1032,Mapping!A:A,Mapping!F:F)</f>
        <v>BHXH, BHYT, KPCĐ</v>
      </c>
      <c r="D1032" s="173">
        <v>45838</v>
      </c>
      <c r="E1032" s="169" t="s">
        <v>822</v>
      </c>
      <c r="F1032" s="169" t="s">
        <v>295</v>
      </c>
      <c r="G1032" s="169" t="s">
        <v>296</v>
      </c>
      <c r="H1032" s="169" t="s">
        <v>276</v>
      </c>
      <c r="I1032" s="169" t="s">
        <v>277</v>
      </c>
      <c r="J1032" s="169" t="s">
        <v>823</v>
      </c>
      <c r="K1032" s="169" t="s">
        <v>815</v>
      </c>
      <c r="L1032" s="169" t="s">
        <v>816</v>
      </c>
      <c r="M1032" s="169" t="s">
        <v>281</v>
      </c>
      <c r="N1032" s="178">
        <v>-21999445</v>
      </c>
      <c r="O1032" s="169" t="s">
        <v>824</v>
      </c>
      <c r="P1032" s="169" t="s">
        <v>283</v>
      </c>
      <c r="Q1032" s="169" t="s">
        <v>284</v>
      </c>
      <c r="R1032" s="169" t="s">
        <v>283</v>
      </c>
      <c r="S1032" s="169" t="s">
        <v>283</v>
      </c>
      <c r="T1032" s="169">
        <v>0</v>
      </c>
    </row>
    <row r="1033" spans="1:20" x14ac:dyDescent="0.2">
      <c r="B1033" s="167" t="str">
        <f>_xlfn.XLOOKUP(I1033,Mapping!D:D,Mapping!E:E)</f>
        <v>Ban Giám Đốc</v>
      </c>
      <c r="C1033" s="167" t="str">
        <f>_xlfn.XLOOKUP(F1033,Mapping!A:A,Mapping!F:F)</f>
        <v>BHXH, BHYT, KPCĐ</v>
      </c>
      <c r="D1033" s="173">
        <v>45838</v>
      </c>
      <c r="E1033" s="169" t="s">
        <v>825</v>
      </c>
      <c r="F1033" s="169" t="s">
        <v>295</v>
      </c>
      <c r="G1033" s="169" t="s">
        <v>296</v>
      </c>
      <c r="H1033" s="169" t="s">
        <v>276</v>
      </c>
      <c r="I1033" s="169" t="s">
        <v>277</v>
      </c>
      <c r="J1033" s="169" t="s">
        <v>826</v>
      </c>
      <c r="K1033" s="169" t="s">
        <v>815</v>
      </c>
      <c r="L1033" s="169" t="s">
        <v>816</v>
      </c>
      <c r="M1033" s="169" t="s">
        <v>281</v>
      </c>
      <c r="N1033" s="178">
        <v>146310010</v>
      </c>
      <c r="O1033" s="169" t="s">
        <v>827</v>
      </c>
      <c r="P1033" s="169" t="s">
        <v>283</v>
      </c>
      <c r="Q1033" s="169" t="s">
        <v>284</v>
      </c>
      <c r="R1033" s="169" t="s">
        <v>283</v>
      </c>
      <c r="S1033" s="169" t="s">
        <v>283</v>
      </c>
      <c r="T1033" s="169">
        <v>0</v>
      </c>
    </row>
    <row r="1034" spans="1:20" x14ac:dyDescent="0.2">
      <c r="B1034" s="167" t="str">
        <f>_xlfn.XLOOKUP(I1034,Mapping!D:D,Mapping!E:E)</f>
        <v>Ban Giám Đốc</v>
      </c>
      <c r="C1034" s="167" t="str">
        <f>_xlfn.XLOOKUP(F1034,Mapping!A:A,Mapping!F:F)</f>
        <v>BHXH, BHYT, KPCĐ</v>
      </c>
      <c r="D1034" s="173">
        <v>45838</v>
      </c>
      <c r="E1034" s="169" t="s">
        <v>828</v>
      </c>
      <c r="F1034" s="169" t="s">
        <v>295</v>
      </c>
      <c r="G1034" s="169" t="s">
        <v>296</v>
      </c>
      <c r="H1034" s="169" t="s">
        <v>276</v>
      </c>
      <c r="I1034" s="169" t="s">
        <v>277</v>
      </c>
      <c r="J1034" s="169" t="s">
        <v>823</v>
      </c>
      <c r="K1034" s="169" t="s">
        <v>815</v>
      </c>
      <c r="L1034" s="169" t="s">
        <v>816</v>
      </c>
      <c r="M1034" s="169" t="s">
        <v>281</v>
      </c>
      <c r="N1034" s="178">
        <v>21999445</v>
      </c>
      <c r="O1034" s="169" t="s">
        <v>829</v>
      </c>
      <c r="P1034" s="169" t="s">
        <v>447</v>
      </c>
      <c r="Q1034" s="169" t="s">
        <v>284</v>
      </c>
      <c r="R1034" s="169" t="s">
        <v>283</v>
      </c>
      <c r="S1034" s="169" t="s">
        <v>283</v>
      </c>
      <c r="T1034" s="169">
        <v>0</v>
      </c>
    </row>
    <row r="1035" spans="1:20" x14ac:dyDescent="0.2">
      <c r="B1035" s="167" t="str">
        <f>_xlfn.XLOOKUP(I1035,Mapping!D:D,Mapping!E:E)</f>
        <v>Ban Giám Đốc</v>
      </c>
      <c r="C1035" s="167" t="str">
        <f>_xlfn.XLOOKUP(F1035,Mapping!A:A,Mapping!F:F)</f>
        <v>BHXH, BHYT, KPCĐ</v>
      </c>
      <c r="D1035" s="173">
        <v>45838</v>
      </c>
      <c r="E1035" s="169" t="s">
        <v>830</v>
      </c>
      <c r="F1035" s="169" t="s">
        <v>295</v>
      </c>
      <c r="G1035" s="169" t="s">
        <v>296</v>
      </c>
      <c r="H1035" s="169" t="s">
        <v>276</v>
      </c>
      <c r="I1035" s="169" t="s">
        <v>277</v>
      </c>
      <c r="J1035" s="169" t="s">
        <v>823</v>
      </c>
      <c r="K1035" s="169" t="s">
        <v>815</v>
      </c>
      <c r="L1035" s="169" t="s">
        <v>816</v>
      </c>
      <c r="M1035" s="169" t="s">
        <v>281</v>
      </c>
      <c r="N1035" s="178">
        <v>21999445</v>
      </c>
      <c r="O1035" s="169" t="s">
        <v>831</v>
      </c>
      <c r="P1035" s="169" t="s">
        <v>283</v>
      </c>
      <c r="Q1035" s="169" t="s">
        <v>284</v>
      </c>
      <c r="R1035" s="169" t="s">
        <v>283</v>
      </c>
      <c r="S1035" s="169" t="s">
        <v>283</v>
      </c>
      <c r="T1035" s="169">
        <v>0</v>
      </c>
    </row>
    <row r="1036" spans="1:20" x14ac:dyDescent="0.2">
      <c r="B1036" s="167" t="str">
        <f>_xlfn.XLOOKUP(I1036,Mapping!D:D,Mapping!E:E)</f>
        <v>Văn Phòng Giám Đốc</v>
      </c>
      <c r="C1036" s="167" t="str">
        <f>_xlfn.XLOOKUP(F1036,Mapping!A:A,Mapping!F:F)</f>
        <v>Lương Chính +T13</v>
      </c>
      <c r="D1036" s="173">
        <v>45838</v>
      </c>
      <c r="E1036" s="169" t="s">
        <v>813</v>
      </c>
      <c r="F1036" s="169" t="s">
        <v>274</v>
      </c>
      <c r="G1036" s="169" t="s">
        <v>275</v>
      </c>
      <c r="H1036" s="169" t="s">
        <v>320</v>
      </c>
      <c r="I1036" s="169" t="s">
        <v>321</v>
      </c>
      <c r="J1036" s="169" t="s">
        <v>814</v>
      </c>
      <c r="K1036" s="169" t="s">
        <v>815</v>
      </c>
      <c r="L1036" s="169" t="s">
        <v>816</v>
      </c>
      <c r="M1036" s="169" t="s">
        <v>281</v>
      </c>
      <c r="N1036" s="178">
        <v>122216620</v>
      </c>
      <c r="O1036" s="169" t="s">
        <v>817</v>
      </c>
      <c r="P1036" s="169" t="s">
        <v>283</v>
      </c>
      <c r="Q1036" s="169" t="s">
        <v>284</v>
      </c>
      <c r="R1036" s="169" t="s">
        <v>283</v>
      </c>
      <c r="S1036" s="169" t="s">
        <v>283</v>
      </c>
      <c r="T1036" s="169">
        <v>0</v>
      </c>
    </row>
    <row r="1037" spans="1:20" x14ac:dyDescent="0.2">
      <c r="B1037" s="167" t="str">
        <f>_xlfn.XLOOKUP(I1037,Mapping!D:D,Mapping!E:E)</f>
        <v>Văn Phòng Giám Đốc</v>
      </c>
      <c r="C1037" s="167" t="str">
        <f>_xlfn.XLOOKUP(F1037,Mapping!A:A,Mapping!F:F)</f>
        <v>Lương Chính +T13</v>
      </c>
      <c r="D1037" s="173">
        <v>45838</v>
      </c>
      <c r="E1037" s="169" t="s">
        <v>813</v>
      </c>
      <c r="F1037" s="169" t="s">
        <v>285</v>
      </c>
      <c r="G1037" s="169" t="s">
        <v>286</v>
      </c>
      <c r="H1037" s="169" t="s">
        <v>320</v>
      </c>
      <c r="I1037" s="169" t="s">
        <v>321</v>
      </c>
      <c r="J1037" s="169" t="s">
        <v>814</v>
      </c>
      <c r="K1037" s="169" t="s">
        <v>815</v>
      </c>
      <c r="L1037" s="169" t="s">
        <v>816</v>
      </c>
      <c r="M1037" s="169" t="s">
        <v>281</v>
      </c>
      <c r="N1037" s="178">
        <v>5874126</v>
      </c>
      <c r="O1037" s="169" t="s">
        <v>817</v>
      </c>
      <c r="P1037" s="169" t="s">
        <v>283</v>
      </c>
      <c r="Q1037" s="169" t="s">
        <v>284</v>
      </c>
      <c r="R1037" s="169" t="s">
        <v>283</v>
      </c>
      <c r="S1037" s="169" t="s">
        <v>283</v>
      </c>
      <c r="T1037" s="169">
        <v>0</v>
      </c>
    </row>
    <row r="1038" spans="1:20" x14ac:dyDescent="0.2">
      <c r="B1038" s="167" t="str">
        <f>_xlfn.XLOOKUP(I1038,Mapping!D:D,Mapping!E:E)</f>
        <v>Văn Phòng Giám Đốc</v>
      </c>
      <c r="C1038" s="167" t="str">
        <f>_xlfn.XLOOKUP(F1038,Mapping!A:A,Mapping!F:F)</f>
        <v>Phụ Cấp</v>
      </c>
      <c r="D1038" s="173">
        <v>45838</v>
      </c>
      <c r="E1038" s="169" t="s">
        <v>813</v>
      </c>
      <c r="F1038" s="169" t="s">
        <v>335</v>
      </c>
      <c r="G1038" s="169" t="s">
        <v>336</v>
      </c>
      <c r="H1038" s="169" t="s">
        <v>320</v>
      </c>
      <c r="I1038" s="169" t="s">
        <v>321</v>
      </c>
      <c r="J1038" s="169" t="s">
        <v>814</v>
      </c>
      <c r="K1038" s="169" t="s">
        <v>815</v>
      </c>
      <c r="L1038" s="169" t="s">
        <v>816</v>
      </c>
      <c r="M1038" s="169" t="s">
        <v>281</v>
      </c>
      <c r="N1038" s="178">
        <v>50000</v>
      </c>
      <c r="O1038" s="169" t="s">
        <v>817</v>
      </c>
      <c r="P1038" s="169" t="s">
        <v>283</v>
      </c>
      <c r="Q1038" s="169" t="s">
        <v>284</v>
      </c>
      <c r="R1038" s="169" t="s">
        <v>283</v>
      </c>
      <c r="S1038" s="169" t="s">
        <v>283</v>
      </c>
      <c r="T1038" s="169">
        <v>0</v>
      </c>
    </row>
    <row r="1039" spans="1:20" x14ac:dyDescent="0.2">
      <c r="B1039" s="167" t="str">
        <f>_xlfn.XLOOKUP(I1039,Mapping!D:D,Mapping!E:E)</f>
        <v>Hành Chánh Nhân Sự</v>
      </c>
      <c r="C1039" s="167" t="str">
        <f>_xlfn.XLOOKUP(F1039,Mapping!A:A,Mapping!F:F)</f>
        <v>Phụ Cấp</v>
      </c>
      <c r="D1039" s="173">
        <v>45838</v>
      </c>
      <c r="E1039" s="169" t="s">
        <v>813</v>
      </c>
      <c r="F1039" s="169" t="s">
        <v>340</v>
      </c>
      <c r="G1039" s="169" t="s">
        <v>341</v>
      </c>
      <c r="H1039" s="169" t="s">
        <v>301</v>
      </c>
      <c r="I1039" s="169" t="s">
        <v>302</v>
      </c>
      <c r="J1039" s="169" t="s">
        <v>814</v>
      </c>
      <c r="K1039" s="169" t="s">
        <v>815</v>
      </c>
      <c r="L1039" s="169" t="s">
        <v>816</v>
      </c>
      <c r="M1039" s="169" t="s">
        <v>281</v>
      </c>
      <c r="N1039" s="178">
        <v>7719057</v>
      </c>
      <c r="O1039" s="169" t="s">
        <v>817</v>
      </c>
      <c r="P1039" s="169" t="s">
        <v>283</v>
      </c>
      <c r="Q1039" s="169" t="s">
        <v>284</v>
      </c>
      <c r="R1039" s="169" t="s">
        <v>283</v>
      </c>
      <c r="S1039" s="169" t="s">
        <v>283</v>
      </c>
      <c r="T1039" s="169">
        <v>0</v>
      </c>
    </row>
    <row r="1040" spans="1:20" x14ac:dyDescent="0.2">
      <c r="B1040" s="167" t="str">
        <f>_xlfn.XLOOKUP(I1040,Mapping!D:D,Mapping!E:E)</f>
        <v>Hành Chánh Nhân Sự</v>
      </c>
      <c r="C1040" s="167" t="str">
        <f>_xlfn.XLOOKUP(F1040,Mapping!A:A,Mapping!F:F)</f>
        <v>Lương Chính +T13</v>
      </c>
      <c r="D1040" s="173">
        <v>45838</v>
      </c>
      <c r="E1040" s="169" t="s">
        <v>813</v>
      </c>
      <c r="F1040" s="169" t="s">
        <v>274</v>
      </c>
      <c r="G1040" s="169" t="s">
        <v>275</v>
      </c>
      <c r="H1040" s="169" t="s">
        <v>301</v>
      </c>
      <c r="I1040" s="169" t="s">
        <v>302</v>
      </c>
      <c r="J1040" s="169" t="s">
        <v>814</v>
      </c>
      <c r="K1040" s="169" t="s">
        <v>815</v>
      </c>
      <c r="L1040" s="169" t="s">
        <v>816</v>
      </c>
      <c r="M1040" s="169" t="s">
        <v>281</v>
      </c>
      <c r="N1040" s="178">
        <v>475133003</v>
      </c>
      <c r="O1040" s="169" t="s">
        <v>817</v>
      </c>
      <c r="P1040" s="169" t="s">
        <v>283</v>
      </c>
      <c r="Q1040" s="169" t="s">
        <v>284</v>
      </c>
      <c r="R1040" s="169" t="s">
        <v>283</v>
      </c>
      <c r="S1040" s="169" t="s">
        <v>283</v>
      </c>
      <c r="T1040" s="169">
        <v>0</v>
      </c>
    </row>
    <row r="1041" spans="2:20" x14ac:dyDescent="0.2">
      <c r="B1041" s="167" t="str">
        <f>_xlfn.XLOOKUP(I1041,Mapping!D:D,Mapping!E:E)</f>
        <v>Hành Chánh Nhân Sự</v>
      </c>
      <c r="C1041" s="167" t="str">
        <f>_xlfn.XLOOKUP(F1041,Mapping!A:A,Mapping!F:F)</f>
        <v>Lương Chính +T13</v>
      </c>
      <c r="D1041" s="173">
        <v>45838</v>
      </c>
      <c r="E1041" s="169" t="s">
        <v>813</v>
      </c>
      <c r="F1041" s="169" t="s">
        <v>285</v>
      </c>
      <c r="G1041" s="169" t="s">
        <v>286</v>
      </c>
      <c r="H1041" s="169" t="s">
        <v>301</v>
      </c>
      <c r="I1041" s="169" t="s">
        <v>302</v>
      </c>
      <c r="J1041" s="169" t="s">
        <v>814</v>
      </c>
      <c r="K1041" s="169" t="s">
        <v>815</v>
      </c>
      <c r="L1041" s="169" t="s">
        <v>816</v>
      </c>
      <c r="M1041" s="169" t="s">
        <v>281</v>
      </c>
      <c r="N1041" s="178">
        <v>13775713</v>
      </c>
      <c r="O1041" s="169" t="s">
        <v>817</v>
      </c>
      <c r="P1041" s="169" t="s">
        <v>283</v>
      </c>
      <c r="Q1041" s="169" t="s">
        <v>284</v>
      </c>
      <c r="R1041" s="169" t="s">
        <v>283</v>
      </c>
      <c r="S1041" s="169" t="s">
        <v>283</v>
      </c>
      <c r="T1041" s="169">
        <v>0</v>
      </c>
    </row>
    <row r="1042" spans="2:20" x14ac:dyDescent="0.2">
      <c r="B1042" s="167" t="str">
        <f>_xlfn.XLOOKUP(I1042,Mapping!D:D,Mapping!E:E)</f>
        <v>Hành Chánh Nhân Sự</v>
      </c>
      <c r="C1042" s="167" t="str">
        <f>_xlfn.XLOOKUP(F1042,Mapping!A:A,Mapping!F:F)</f>
        <v>Lương Ngoài giờ</v>
      </c>
      <c r="D1042" s="173">
        <v>45838</v>
      </c>
      <c r="E1042" s="169" t="s">
        <v>813</v>
      </c>
      <c r="F1042" s="169" t="s">
        <v>342</v>
      </c>
      <c r="G1042" s="169" t="s">
        <v>343</v>
      </c>
      <c r="H1042" s="169" t="s">
        <v>301</v>
      </c>
      <c r="I1042" s="169" t="s">
        <v>302</v>
      </c>
      <c r="J1042" s="169" t="s">
        <v>814</v>
      </c>
      <c r="K1042" s="169" t="s">
        <v>815</v>
      </c>
      <c r="L1042" s="169" t="s">
        <v>816</v>
      </c>
      <c r="M1042" s="169" t="s">
        <v>281</v>
      </c>
      <c r="N1042" s="178">
        <v>89191644</v>
      </c>
      <c r="O1042" s="169" t="s">
        <v>817</v>
      </c>
      <c r="P1042" s="169" t="s">
        <v>283</v>
      </c>
      <c r="Q1042" s="169" t="s">
        <v>284</v>
      </c>
      <c r="R1042" s="169" t="s">
        <v>283</v>
      </c>
      <c r="S1042" s="169" t="s">
        <v>283</v>
      </c>
      <c r="T1042" s="169">
        <v>0</v>
      </c>
    </row>
    <row r="1043" spans="2:20" x14ac:dyDescent="0.2">
      <c r="B1043" s="167" t="str">
        <f>_xlfn.XLOOKUP(I1043,Mapping!D:D,Mapping!E:E)</f>
        <v>Hành Chánh Nhân Sự</v>
      </c>
      <c r="C1043" s="167" t="str">
        <f>_xlfn.XLOOKUP(F1043,Mapping!A:A,Mapping!F:F)</f>
        <v>Phụ Cấp</v>
      </c>
      <c r="D1043" s="173">
        <v>45838</v>
      </c>
      <c r="E1043" s="169" t="s">
        <v>813</v>
      </c>
      <c r="F1043" s="169" t="s">
        <v>335</v>
      </c>
      <c r="G1043" s="169" t="s">
        <v>336</v>
      </c>
      <c r="H1043" s="169" t="s">
        <v>301</v>
      </c>
      <c r="I1043" s="169" t="s">
        <v>302</v>
      </c>
      <c r="J1043" s="169" t="s">
        <v>814</v>
      </c>
      <c r="K1043" s="169" t="s">
        <v>815</v>
      </c>
      <c r="L1043" s="169" t="s">
        <v>816</v>
      </c>
      <c r="M1043" s="169" t="s">
        <v>281</v>
      </c>
      <c r="N1043" s="178">
        <v>6080000</v>
      </c>
      <c r="O1043" s="169" t="s">
        <v>817</v>
      </c>
      <c r="P1043" s="169" t="s">
        <v>283</v>
      </c>
      <c r="Q1043" s="169" t="s">
        <v>284</v>
      </c>
      <c r="R1043" s="169" t="s">
        <v>283</v>
      </c>
      <c r="S1043" s="169" t="s">
        <v>283</v>
      </c>
      <c r="T1043" s="169">
        <v>0</v>
      </c>
    </row>
    <row r="1044" spans="2:20" x14ac:dyDescent="0.2">
      <c r="B1044" s="167" t="str">
        <f>_xlfn.XLOOKUP(I1044,Mapping!D:D,Mapping!E:E)</f>
        <v>Văn Phòng Giám Đốc</v>
      </c>
      <c r="C1044" s="167" t="str">
        <f>_xlfn.XLOOKUP(F1044,Mapping!A:A,Mapping!F:F)</f>
        <v>Lương Chính +T13</v>
      </c>
      <c r="D1044" s="173">
        <v>45838</v>
      </c>
      <c r="E1044" s="169" t="s">
        <v>818</v>
      </c>
      <c r="F1044" s="169" t="s">
        <v>285</v>
      </c>
      <c r="G1044" s="169" t="s">
        <v>286</v>
      </c>
      <c r="H1044" s="169" t="s">
        <v>320</v>
      </c>
      <c r="I1044" s="169" t="s">
        <v>321</v>
      </c>
      <c r="J1044" s="169" t="s">
        <v>819</v>
      </c>
      <c r="K1044" s="169" t="s">
        <v>815</v>
      </c>
      <c r="L1044" s="169" t="s">
        <v>816</v>
      </c>
      <c r="M1044" s="169" t="s">
        <v>281</v>
      </c>
      <c r="N1044" s="178">
        <v>10720833</v>
      </c>
      <c r="O1044" s="169" t="s">
        <v>820</v>
      </c>
      <c r="P1044" s="169" t="s">
        <v>283</v>
      </c>
      <c r="Q1044" s="169" t="s">
        <v>284</v>
      </c>
      <c r="R1044" s="169" t="s">
        <v>283</v>
      </c>
      <c r="S1044" s="169" t="s">
        <v>283</v>
      </c>
      <c r="T1044" s="169">
        <v>0</v>
      </c>
    </row>
    <row r="1045" spans="2:20" x14ac:dyDescent="0.2">
      <c r="B1045" s="167" t="str">
        <f>_xlfn.XLOOKUP(I1045,Mapping!D:D,Mapping!E:E)</f>
        <v>Hành Chánh Nhân Sự</v>
      </c>
      <c r="C1045" s="167" t="str">
        <f>_xlfn.XLOOKUP(F1045,Mapping!A:A,Mapping!F:F)</f>
        <v>Lương Chính +T13</v>
      </c>
      <c r="D1045" s="173">
        <v>45838</v>
      </c>
      <c r="E1045" s="169" t="s">
        <v>818</v>
      </c>
      <c r="F1045" s="169" t="s">
        <v>285</v>
      </c>
      <c r="G1045" s="169" t="s">
        <v>286</v>
      </c>
      <c r="H1045" s="169" t="s">
        <v>301</v>
      </c>
      <c r="I1045" s="169" t="s">
        <v>302</v>
      </c>
      <c r="J1045" s="169" t="s">
        <v>819</v>
      </c>
      <c r="K1045" s="169" t="s">
        <v>815</v>
      </c>
      <c r="L1045" s="169" t="s">
        <v>816</v>
      </c>
      <c r="M1045" s="169" t="s">
        <v>281</v>
      </c>
      <c r="N1045" s="178">
        <v>41511894</v>
      </c>
      <c r="O1045" s="169" t="s">
        <v>820</v>
      </c>
      <c r="P1045" s="169" t="s">
        <v>283</v>
      </c>
      <c r="Q1045" s="169" t="s">
        <v>284</v>
      </c>
      <c r="R1045" s="169" t="s">
        <v>283</v>
      </c>
      <c r="S1045" s="169" t="s">
        <v>283</v>
      </c>
      <c r="T1045" s="169">
        <v>0</v>
      </c>
    </row>
    <row r="1046" spans="2:20" x14ac:dyDescent="0.2">
      <c r="B1046" s="167" t="str">
        <f>_xlfn.XLOOKUP(I1046,Mapping!D:D,Mapping!E:E)</f>
        <v>Văn Phòng Giám Đốc</v>
      </c>
      <c r="C1046" s="167" t="str">
        <f>_xlfn.XLOOKUP(F1046,Mapping!A:A,Mapping!F:F)</f>
        <v>Thưởng</v>
      </c>
      <c r="D1046" s="173">
        <v>45838</v>
      </c>
      <c r="E1046" s="169" t="s">
        <v>818</v>
      </c>
      <c r="F1046" s="169" t="s">
        <v>292</v>
      </c>
      <c r="G1046" s="169" t="s">
        <v>77</v>
      </c>
      <c r="H1046" s="169" t="s">
        <v>320</v>
      </c>
      <c r="I1046" s="169" t="s">
        <v>321</v>
      </c>
      <c r="J1046" s="169" t="s">
        <v>821</v>
      </c>
      <c r="K1046" s="169" t="s">
        <v>815</v>
      </c>
      <c r="L1046" s="169" t="s">
        <v>816</v>
      </c>
      <c r="M1046" s="169" t="s">
        <v>281</v>
      </c>
      <c r="N1046" s="178">
        <v>9863081</v>
      </c>
      <c r="O1046" s="169" t="s">
        <v>820</v>
      </c>
      <c r="P1046" s="169" t="s">
        <v>283</v>
      </c>
      <c r="Q1046" s="169" t="s">
        <v>284</v>
      </c>
      <c r="R1046" s="169" t="s">
        <v>283</v>
      </c>
      <c r="S1046" s="169" t="s">
        <v>283</v>
      </c>
      <c r="T1046" s="169">
        <v>0</v>
      </c>
    </row>
    <row r="1047" spans="2:20" x14ac:dyDescent="0.2">
      <c r="B1047" s="167" t="str">
        <f>_xlfn.XLOOKUP(I1047,Mapping!D:D,Mapping!E:E)</f>
        <v>Hành Chánh Nhân Sự</v>
      </c>
      <c r="C1047" s="167" t="str">
        <f>_xlfn.XLOOKUP(F1047,Mapping!A:A,Mapping!F:F)</f>
        <v>Thưởng</v>
      </c>
      <c r="D1047" s="173">
        <v>45838</v>
      </c>
      <c r="E1047" s="169" t="s">
        <v>818</v>
      </c>
      <c r="F1047" s="169" t="s">
        <v>292</v>
      </c>
      <c r="G1047" s="169" t="s">
        <v>77</v>
      </c>
      <c r="H1047" s="169" t="s">
        <v>301</v>
      </c>
      <c r="I1047" s="169" t="s">
        <v>302</v>
      </c>
      <c r="J1047" s="169" t="s">
        <v>821</v>
      </c>
      <c r="K1047" s="169" t="s">
        <v>815</v>
      </c>
      <c r="L1047" s="169" t="s">
        <v>816</v>
      </c>
      <c r="M1047" s="169" t="s">
        <v>281</v>
      </c>
      <c r="N1047" s="178">
        <v>33043845</v>
      </c>
      <c r="O1047" s="169" t="s">
        <v>820</v>
      </c>
      <c r="P1047" s="169" t="s">
        <v>283</v>
      </c>
      <c r="Q1047" s="169" t="s">
        <v>284</v>
      </c>
      <c r="R1047" s="169" t="s">
        <v>283</v>
      </c>
      <c r="S1047" s="169" t="s">
        <v>283</v>
      </c>
      <c r="T1047" s="169">
        <v>0</v>
      </c>
    </row>
    <row r="1048" spans="2:20" x14ac:dyDescent="0.2">
      <c r="B1048" s="167" t="str">
        <f>_xlfn.XLOOKUP(I1048,Mapping!D:D,Mapping!E:E)</f>
        <v>Văn Phòng Giám Đốc</v>
      </c>
      <c r="C1048" s="167" t="str">
        <f>_xlfn.XLOOKUP(F1048,Mapping!A:A,Mapping!F:F)</f>
        <v>BHXH, BHYT, KPCĐ</v>
      </c>
      <c r="D1048" s="173">
        <v>45838</v>
      </c>
      <c r="E1048" s="169" t="s">
        <v>825</v>
      </c>
      <c r="F1048" s="169" t="s">
        <v>295</v>
      </c>
      <c r="G1048" s="169" t="s">
        <v>296</v>
      </c>
      <c r="H1048" s="169" t="s">
        <v>320</v>
      </c>
      <c r="I1048" s="169" t="s">
        <v>321</v>
      </c>
      <c r="J1048" s="169" t="s">
        <v>826</v>
      </c>
      <c r="K1048" s="169" t="s">
        <v>815</v>
      </c>
      <c r="L1048" s="169" t="s">
        <v>816</v>
      </c>
      <c r="M1048" s="169" t="s">
        <v>281</v>
      </c>
      <c r="N1048" s="178">
        <v>20917750</v>
      </c>
      <c r="O1048" s="169" t="s">
        <v>827</v>
      </c>
      <c r="P1048" s="169" t="s">
        <v>283</v>
      </c>
      <c r="Q1048" s="169" t="s">
        <v>284</v>
      </c>
      <c r="R1048" s="169" t="s">
        <v>283</v>
      </c>
      <c r="S1048" s="169" t="s">
        <v>283</v>
      </c>
      <c r="T1048" s="169">
        <v>0</v>
      </c>
    </row>
    <row r="1049" spans="2:20" x14ac:dyDescent="0.2">
      <c r="B1049" s="167" t="str">
        <f>_xlfn.XLOOKUP(I1049,Mapping!D:D,Mapping!E:E)</f>
        <v>Hành Chánh Nhân Sự</v>
      </c>
      <c r="C1049" s="167" t="str">
        <f>_xlfn.XLOOKUP(F1049,Mapping!A:A,Mapping!F:F)</f>
        <v>BHXH, BHYT, KPCĐ</v>
      </c>
      <c r="D1049" s="173">
        <v>45838</v>
      </c>
      <c r="E1049" s="169" t="s">
        <v>825</v>
      </c>
      <c r="F1049" s="169" t="s">
        <v>295</v>
      </c>
      <c r="G1049" s="169" t="s">
        <v>296</v>
      </c>
      <c r="H1049" s="169" t="s">
        <v>301</v>
      </c>
      <c r="I1049" s="169" t="s">
        <v>302</v>
      </c>
      <c r="J1049" s="169" t="s">
        <v>826</v>
      </c>
      <c r="K1049" s="169" t="s">
        <v>815</v>
      </c>
      <c r="L1049" s="169" t="s">
        <v>816</v>
      </c>
      <c r="M1049" s="169" t="s">
        <v>281</v>
      </c>
      <c r="N1049" s="178">
        <v>107339010</v>
      </c>
      <c r="O1049" s="169" t="s">
        <v>827</v>
      </c>
      <c r="P1049" s="169" t="s">
        <v>283</v>
      </c>
      <c r="Q1049" s="169" t="s">
        <v>284</v>
      </c>
      <c r="R1049" s="169" t="s">
        <v>283</v>
      </c>
      <c r="S1049" s="169" t="s">
        <v>283</v>
      </c>
      <c r="T1049" s="169">
        <v>0</v>
      </c>
    </row>
    <row r="1050" spans="2:20" x14ac:dyDescent="0.2">
      <c r="B1050" s="167" t="str">
        <f>_xlfn.XLOOKUP(I1050,Mapping!D:D,Mapping!E:E)</f>
        <v>Hành Chánh Nhân Sự</v>
      </c>
      <c r="C1050" s="167" t="str">
        <f>_xlfn.XLOOKUP(F1050,Mapping!A:A,Mapping!F:F)</f>
        <v>BHXH, BHYT, KPCĐ</v>
      </c>
      <c r="D1050" s="173">
        <v>45838</v>
      </c>
      <c r="E1050" s="169" t="s">
        <v>832</v>
      </c>
      <c r="F1050" s="169" t="s">
        <v>295</v>
      </c>
      <c r="G1050" s="169" t="s">
        <v>296</v>
      </c>
      <c r="H1050" s="169" t="s">
        <v>301</v>
      </c>
      <c r="I1050" s="169" t="s">
        <v>302</v>
      </c>
      <c r="J1050" s="169" t="s">
        <v>826</v>
      </c>
      <c r="K1050" s="169" t="s">
        <v>815</v>
      </c>
      <c r="L1050" s="169" t="s">
        <v>816</v>
      </c>
      <c r="M1050" s="169" t="s">
        <v>281</v>
      </c>
      <c r="N1050" s="178">
        <v>2455750</v>
      </c>
      <c r="O1050" s="169" t="s">
        <v>833</v>
      </c>
      <c r="P1050" s="169" t="s">
        <v>283</v>
      </c>
      <c r="Q1050" s="169" t="s">
        <v>284</v>
      </c>
      <c r="R1050" s="169" t="s">
        <v>283</v>
      </c>
      <c r="S1050" s="169" t="s">
        <v>283</v>
      </c>
      <c r="T1050" s="169">
        <v>0</v>
      </c>
    </row>
    <row r="1051" spans="2:20" x14ac:dyDescent="0.2">
      <c r="B1051" s="167" t="str">
        <f>_xlfn.XLOOKUP(I1051,Mapping!D:D,Mapping!E:E)</f>
        <v>Hành Chánh Nhân Sự</v>
      </c>
      <c r="C1051" s="167" t="str">
        <f>_xlfn.XLOOKUP(F1051,Mapping!A:A,Mapping!F:F)</f>
        <v>Lương Chính +T13</v>
      </c>
      <c r="D1051" s="173">
        <v>45838</v>
      </c>
      <c r="E1051" s="169" t="s">
        <v>834</v>
      </c>
      <c r="F1051" s="169" t="s">
        <v>274</v>
      </c>
      <c r="G1051" s="169" t="s">
        <v>275</v>
      </c>
      <c r="H1051" s="169" t="s">
        <v>301</v>
      </c>
      <c r="I1051" s="169" t="s">
        <v>302</v>
      </c>
      <c r="J1051" s="169" t="s">
        <v>835</v>
      </c>
      <c r="K1051" s="169" t="s">
        <v>328</v>
      </c>
      <c r="L1051" s="169" t="s">
        <v>816</v>
      </c>
      <c r="M1051" s="169" t="s">
        <v>281</v>
      </c>
      <c r="N1051" s="178">
        <v>83250000</v>
      </c>
      <c r="O1051" s="169" t="s">
        <v>836</v>
      </c>
      <c r="P1051" s="169" t="s">
        <v>283</v>
      </c>
      <c r="Q1051" s="169" t="s">
        <v>306</v>
      </c>
      <c r="R1051" s="169" t="s">
        <v>283</v>
      </c>
      <c r="S1051" s="169" t="s">
        <v>283</v>
      </c>
      <c r="T1051" s="169">
        <v>0</v>
      </c>
    </row>
    <row r="1052" spans="2:20" x14ac:dyDescent="0.2">
      <c r="B1052" s="167" t="str">
        <f>_xlfn.XLOOKUP(I1052,Mapping!D:D,Mapping!E:E)</f>
        <v>Hành Chánh Nhân Sự</v>
      </c>
      <c r="C1052" s="167" t="str">
        <f>_xlfn.XLOOKUP(F1052,Mapping!A:A,Mapping!F:F)</f>
        <v>Phụ Cấp</v>
      </c>
      <c r="D1052" s="173">
        <v>45834</v>
      </c>
      <c r="E1052" s="169" t="s">
        <v>837</v>
      </c>
      <c r="F1052" s="169" t="s">
        <v>335</v>
      </c>
      <c r="G1052" s="169" t="s">
        <v>336</v>
      </c>
      <c r="H1052" s="169" t="s">
        <v>301</v>
      </c>
      <c r="I1052" s="169" t="s">
        <v>302</v>
      </c>
      <c r="J1052" s="169" t="s">
        <v>838</v>
      </c>
      <c r="K1052" s="169" t="s">
        <v>741</v>
      </c>
      <c r="L1052" s="169" t="s">
        <v>816</v>
      </c>
      <c r="M1052" s="169" t="s">
        <v>281</v>
      </c>
      <c r="N1052" s="178">
        <v>34025000</v>
      </c>
      <c r="O1052" s="169" t="s">
        <v>839</v>
      </c>
      <c r="P1052" s="169" t="s">
        <v>283</v>
      </c>
      <c r="Q1052" s="169" t="s">
        <v>306</v>
      </c>
      <c r="R1052" s="169" t="s">
        <v>283</v>
      </c>
      <c r="S1052" s="169" t="s">
        <v>283</v>
      </c>
      <c r="T1052" s="169">
        <v>0</v>
      </c>
    </row>
    <row r="1053" spans="2:20" x14ac:dyDescent="0.2">
      <c r="B1053" s="167" t="str">
        <f>_xlfn.XLOOKUP(I1053,Mapping!D:D,Mapping!E:E)</f>
        <v>Văn Phòng Giám Đốc</v>
      </c>
      <c r="C1053" s="167" t="str">
        <f>_xlfn.XLOOKUP(F1053,Mapping!A:A,Mapping!F:F)</f>
        <v>Phụ Cấp</v>
      </c>
      <c r="D1053" s="173">
        <v>45834</v>
      </c>
      <c r="E1053" s="169" t="s">
        <v>837</v>
      </c>
      <c r="F1053" s="169" t="s">
        <v>335</v>
      </c>
      <c r="G1053" s="169" t="s">
        <v>336</v>
      </c>
      <c r="H1053" s="169" t="s">
        <v>320</v>
      </c>
      <c r="I1053" s="169" t="s">
        <v>321</v>
      </c>
      <c r="J1053" s="169" t="s">
        <v>838</v>
      </c>
      <c r="K1053" s="169" t="s">
        <v>741</v>
      </c>
      <c r="L1053" s="169" t="s">
        <v>816</v>
      </c>
      <c r="M1053" s="169" t="s">
        <v>281</v>
      </c>
      <c r="N1053" s="178">
        <v>1950000</v>
      </c>
      <c r="O1053" s="169" t="s">
        <v>839</v>
      </c>
      <c r="P1053" s="169" t="s">
        <v>283</v>
      </c>
      <c r="Q1053" s="169" t="s">
        <v>306</v>
      </c>
      <c r="R1053" s="169" t="s">
        <v>283</v>
      </c>
      <c r="S1053" s="169" t="s">
        <v>283</v>
      </c>
      <c r="T1053" s="169">
        <v>0</v>
      </c>
    </row>
    <row r="1054" spans="2:20" x14ac:dyDescent="0.2">
      <c r="B1054" s="167" t="str">
        <f>_xlfn.XLOOKUP(I1054,Mapping!D:D,Mapping!E:E)</f>
        <v>Hành Chánh Nhân Sự</v>
      </c>
      <c r="C1054" s="167" t="str">
        <f>_xlfn.XLOOKUP(F1054,Mapping!A:A,Mapping!F:F)</f>
        <v>Lương Chính +T13</v>
      </c>
      <c r="D1054" s="173">
        <v>45838</v>
      </c>
      <c r="E1054" s="169" t="s">
        <v>840</v>
      </c>
      <c r="F1054" s="169" t="s">
        <v>400</v>
      </c>
      <c r="G1054" s="169" t="s">
        <v>401</v>
      </c>
      <c r="H1054" s="169" t="s">
        <v>301</v>
      </c>
      <c r="I1054" s="169" t="s">
        <v>302</v>
      </c>
      <c r="J1054" s="169" t="s">
        <v>841</v>
      </c>
      <c r="K1054" s="169" t="s">
        <v>405</v>
      </c>
      <c r="L1054" s="169" t="s">
        <v>816</v>
      </c>
      <c r="M1054" s="169" t="s">
        <v>281</v>
      </c>
      <c r="N1054" s="178">
        <v>4083893</v>
      </c>
      <c r="O1054" s="169" t="s">
        <v>842</v>
      </c>
      <c r="P1054" s="169" t="s">
        <v>283</v>
      </c>
      <c r="Q1054" s="169" t="s">
        <v>306</v>
      </c>
      <c r="R1054" s="169" t="s">
        <v>283</v>
      </c>
      <c r="S1054" s="169" t="s">
        <v>283</v>
      </c>
      <c r="T1054" s="169">
        <v>0</v>
      </c>
    </row>
    <row r="1055" spans="2:20" x14ac:dyDescent="0.2">
      <c r="B1055" s="167" t="str">
        <f>_xlfn.XLOOKUP(I1055,Mapping!D:D,Mapping!E:E)</f>
        <v>Hành Chánh Nhân Sự</v>
      </c>
      <c r="C1055" s="167" t="str">
        <f>_xlfn.XLOOKUP(F1055,Mapping!A:A,Mapping!F:F)</f>
        <v>Khen thưởng BD khác</v>
      </c>
      <c r="D1055" s="173">
        <v>45838</v>
      </c>
      <c r="E1055" s="169" t="s">
        <v>843</v>
      </c>
      <c r="F1055" s="169" t="s">
        <v>300</v>
      </c>
      <c r="G1055" s="169" t="s">
        <v>222</v>
      </c>
      <c r="H1055" s="169" t="s">
        <v>301</v>
      </c>
      <c r="I1055" s="169" t="s">
        <v>302</v>
      </c>
      <c r="J1055" s="169" t="s">
        <v>844</v>
      </c>
      <c r="K1055" s="169" t="s">
        <v>845</v>
      </c>
      <c r="L1055" s="169" t="s">
        <v>816</v>
      </c>
      <c r="M1055" s="169" t="s">
        <v>281</v>
      </c>
      <c r="N1055" s="178">
        <v>6000000</v>
      </c>
      <c r="O1055" s="169" t="s">
        <v>846</v>
      </c>
      <c r="P1055" s="169" t="s">
        <v>283</v>
      </c>
      <c r="Q1055" s="169" t="s">
        <v>306</v>
      </c>
      <c r="R1055" s="169" t="s">
        <v>283</v>
      </c>
      <c r="S1055" s="169" t="s">
        <v>283</v>
      </c>
      <c r="T1055" s="169">
        <v>0</v>
      </c>
    </row>
    <row r="1056" spans="2:20" x14ac:dyDescent="0.2">
      <c r="B1056" s="167" t="str">
        <f>_xlfn.XLOOKUP(I1056,Mapping!D:D,Mapping!E:E)</f>
        <v>Hành Chánh Nhân Sự</v>
      </c>
      <c r="C1056" s="167" t="str">
        <f>_xlfn.XLOOKUP(F1056,Mapping!A:A,Mapping!F:F)</f>
        <v>Lương Chính +T13</v>
      </c>
      <c r="D1056" s="173">
        <v>45838</v>
      </c>
      <c r="E1056" s="169" t="s">
        <v>847</v>
      </c>
      <c r="F1056" s="169" t="s">
        <v>274</v>
      </c>
      <c r="G1056" s="169" t="s">
        <v>275</v>
      </c>
      <c r="H1056" s="169" t="s">
        <v>301</v>
      </c>
      <c r="I1056" s="169" t="s">
        <v>302</v>
      </c>
      <c r="J1056" s="169" t="s">
        <v>848</v>
      </c>
      <c r="K1056" s="169" t="s">
        <v>849</v>
      </c>
      <c r="L1056" s="169" t="s">
        <v>816</v>
      </c>
      <c r="M1056" s="169" t="s">
        <v>281</v>
      </c>
      <c r="N1056" s="178">
        <v>4083893</v>
      </c>
      <c r="O1056" s="169" t="s">
        <v>850</v>
      </c>
      <c r="P1056" s="169" t="s">
        <v>283</v>
      </c>
      <c r="Q1056" s="169" t="s">
        <v>306</v>
      </c>
      <c r="R1056" s="169" t="s">
        <v>283</v>
      </c>
      <c r="S1056" s="169" t="s">
        <v>283</v>
      </c>
      <c r="T1056" s="169">
        <v>0</v>
      </c>
    </row>
    <row r="1057" spans="2:20" x14ac:dyDescent="0.2">
      <c r="B1057" s="167" t="str">
        <f>_xlfn.XLOOKUP(I1057,Mapping!D:D,Mapping!E:E)</f>
        <v>Hành Chánh Nhân Sự</v>
      </c>
      <c r="C1057" s="167" t="str">
        <f>_xlfn.XLOOKUP(F1057,Mapping!A:A,Mapping!F:F)</f>
        <v>Lương Chính +T13</v>
      </c>
      <c r="D1057" s="173">
        <v>45838</v>
      </c>
      <c r="E1057" s="169" t="s">
        <v>847</v>
      </c>
      <c r="F1057" s="169" t="s">
        <v>400</v>
      </c>
      <c r="G1057" s="169" t="s">
        <v>401</v>
      </c>
      <c r="H1057" s="169" t="s">
        <v>301</v>
      </c>
      <c r="I1057" s="169" t="s">
        <v>302</v>
      </c>
      <c r="J1057" s="169" t="s">
        <v>848</v>
      </c>
      <c r="K1057" s="169" t="s">
        <v>849</v>
      </c>
      <c r="L1057" s="169" t="s">
        <v>816</v>
      </c>
      <c r="M1057" s="169" t="s">
        <v>281</v>
      </c>
      <c r="N1057" s="178">
        <v>-4083893</v>
      </c>
      <c r="O1057" s="169" t="s">
        <v>850</v>
      </c>
      <c r="P1057" s="169" t="s">
        <v>283</v>
      </c>
      <c r="Q1057" s="169" t="s">
        <v>306</v>
      </c>
      <c r="R1057" s="169" t="s">
        <v>283</v>
      </c>
      <c r="S1057" s="169" t="s">
        <v>283</v>
      </c>
      <c r="T1057" s="169">
        <v>0</v>
      </c>
    </row>
    <row r="1058" spans="2:20" x14ac:dyDescent="0.2">
      <c r="B1058" s="167" t="str">
        <f>_xlfn.XLOOKUP(I1058,Mapping!D:D,Mapping!E:E)</f>
        <v>Hành Chánh Nhân Sự</v>
      </c>
      <c r="C1058" s="167" t="str">
        <f>_xlfn.XLOOKUP(F1058,Mapping!A:A,Mapping!F:F)</f>
        <v>Khen thưởng BD khác</v>
      </c>
      <c r="D1058" s="173">
        <v>45832</v>
      </c>
      <c r="E1058" s="169" t="s">
        <v>851</v>
      </c>
      <c r="F1058" s="169" t="s">
        <v>300</v>
      </c>
      <c r="G1058" s="169" t="s">
        <v>222</v>
      </c>
      <c r="H1058" s="169" t="s">
        <v>358</v>
      </c>
      <c r="I1058" s="169" t="s">
        <v>359</v>
      </c>
      <c r="J1058" s="169" t="s">
        <v>852</v>
      </c>
      <c r="K1058" s="169" t="s">
        <v>852</v>
      </c>
      <c r="L1058" s="169" t="s">
        <v>816</v>
      </c>
      <c r="M1058" s="169" t="s">
        <v>281</v>
      </c>
      <c r="N1058" s="178">
        <v>1500000</v>
      </c>
      <c r="O1058" s="169" t="s">
        <v>853</v>
      </c>
      <c r="P1058" s="169" t="s">
        <v>283</v>
      </c>
      <c r="Q1058" s="169" t="s">
        <v>764</v>
      </c>
      <c r="R1058" s="169" t="s">
        <v>283</v>
      </c>
      <c r="S1058" s="169" t="s">
        <v>283</v>
      </c>
      <c r="T1058" s="169">
        <v>0</v>
      </c>
    </row>
    <row r="1059" spans="2:20" x14ac:dyDescent="0.2">
      <c r="B1059" s="167" t="str">
        <f>_xlfn.XLOOKUP(I1059,Mapping!D:D,Mapping!E:E)</f>
        <v>Kế Toán</v>
      </c>
      <c r="C1059" s="167" t="str">
        <f>_xlfn.XLOOKUP(F1059,Mapping!A:A,Mapping!F:F)</f>
        <v>Lương Chính +T13</v>
      </c>
      <c r="D1059" s="173">
        <v>45838</v>
      </c>
      <c r="E1059" s="169" t="s">
        <v>813</v>
      </c>
      <c r="F1059" s="169" t="s">
        <v>274</v>
      </c>
      <c r="G1059" s="169" t="s">
        <v>275</v>
      </c>
      <c r="H1059" s="169" t="s">
        <v>356</v>
      </c>
      <c r="I1059" s="169" t="s">
        <v>357</v>
      </c>
      <c r="J1059" s="169" t="s">
        <v>814</v>
      </c>
      <c r="K1059" s="169" t="s">
        <v>815</v>
      </c>
      <c r="L1059" s="169" t="s">
        <v>816</v>
      </c>
      <c r="M1059" s="169" t="s">
        <v>281</v>
      </c>
      <c r="N1059" s="178">
        <v>485003215</v>
      </c>
      <c r="O1059" s="169" t="s">
        <v>817</v>
      </c>
      <c r="P1059" s="169" t="s">
        <v>283</v>
      </c>
      <c r="Q1059" s="169" t="s">
        <v>284</v>
      </c>
      <c r="R1059" s="169" t="s">
        <v>283</v>
      </c>
      <c r="S1059" s="169" t="s">
        <v>283</v>
      </c>
      <c r="T1059" s="169">
        <v>0</v>
      </c>
    </row>
    <row r="1060" spans="2:20" x14ac:dyDescent="0.2">
      <c r="B1060" s="167" t="str">
        <f>_xlfn.XLOOKUP(I1060,Mapping!D:D,Mapping!E:E)</f>
        <v>Kế Toán</v>
      </c>
      <c r="C1060" s="167" t="str">
        <f>_xlfn.XLOOKUP(F1060,Mapping!A:A,Mapping!F:F)</f>
        <v>Lương Chính +T13</v>
      </c>
      <c r="D1060" s="173">
        <v>45838</v>
      </c>
      <c r="E1060" s="169" t="s">
        <v>813</v>
      </c>
      <c r="F1060" s="169" t="s">
        <v>285</v>
      </c>
      <c r="G1060" s="169" t="s">
        <v>286</v>
      </c>
      <c r="H1060" s="169" t="s">
        <v>356</v>
      </c>
      <c r="I1060" s="169" t="s">
        <v>357</v>
      </c>
      <c r="J1060" s="169" t="s">
        <v>814</v>
      </c>
      <c r="K1060" s="169" t="s">
        <v>815</v>
      </c>
      <c r="L1060" s="169" t="s">
        <v>816</v>
      </c>
      <c r="M1060" s="169" t="s">
        <v>281</v>
      </c>
      <c r="N1060" s="178">
        <v>8335872</v>
      </c>
      <c r="O1060" s="169" t="s">
        <v>817</v>
      </c>
      <c r="P1060" s="169" t="s">
        <v>283</v>
      </c>
      <c r="Q1060" s="169" t="s">
        <v>284</v>
      </c>
      <c r="R1060" s="169" t="s">
        <v>283</v>
      </c>
      <c r="S1060" s="169" t="s">
        <v>283</v>
      </c>
      <c r="T1060" s="169">
        <v>0</v>
      </c>
    </row>
    <row r="1061" spans="2:20" x14ac:dyDescent="0.2">
      <c r="B1061" s="167" t="str">
        <f>_xlfn.XLOOKUP(I1061,Mapping!D:D,Mapping!E:E)</f>
        <v>Kế Toán</v>
      </c>
      <c r="C1061" s="167" t="str">
        <f>_xlfn.XLOOKUP(F1061,Mapping!A:A,Mapping!F:F)</f>
        <v>Lương Ngoài giờ</v>
      </c>
      <c r="D1061" s="173">
        <v>45838</v>
      </c>
      <c r="E1061" s="169" t="s">
        <v>813</v>
      </c>
      <c r="F1061" s="169" t="s">
        <v>342</v>
      </c>
      <c r="G1061" s="169" t="s">
        <v>343</v>
      </c>
      <c r="H1061" s="169" t="s">
        <v>356</v>
      </c>
      <c r="I1061" s="169" t="s">
        <v>357</v>
      </c>
      <c r="J1061" s="169" t="s">
        <v>814</v>
      </c>
      <c r="K1061" s="169" t="s">
        <v>815</v>
      </c>
      <c r="L1061" s="169" t="s">
        <v>816</v>
      </c>
      <c r="M1061" s="169" t="s">
        <v>281</v>
      </c>
      <c r="N1061" s="178">
        <v>48849223</v>
      </c>
      <c r="O1061" s="169" t="s">
        <v>817</v>
      </c>
      <c r="P1061" s="169" t="s">
        <v>283</v>
      </c>
      <c r="Q1061" s="169" t="s">
        <v>284</v>
      </c>
      <c r="R1061" s="169" t="s">
        <v>283</v>
      </c>
      <c r="S1061" s="169" t="s">
        <v>283</v>
      </c>
      <c r="T1061" s="169">
        <v>0</v>
      </c>
    </row>
    <row r="1062" spans="2:20" x14ac:dyDescent="0.2">
      <c r="B1062" s="167" t="str">
        <f>_xlfn.XLOOKUP(I1062,Mapping!D:D,Mapping!E:E)</f>
        <v>Kế Toán</v>
      </c>
      <c r="C1062" s="167" t="str">
        <f>_xlfn.XLOOKUP(F1062,Mapping!A:A,Mapping!F:F)</f>
        <v>Phụ Cấp</v>
      </c>
      <c r="D1062" s="173">
        <v>45838</v>
      </c>
      <c r="E1062" s="169" t="s">
        <v>813</v>
      </c>
      <c r="F1062" s="169" t="s">
        <v>335</v>
      </c>
      <c r="G1062" s="169" t="s">
        <v>336</v>
      </c>
      <c r="H1062" s="169" t="s">
        <v>356</v>
      </c>
      <c r="I1062" s="169" t="s">
        <v>357</v>
      </c>
      <c r="J1062" s="169" t="s">
        <v>814</v>
      </c>
      <c r="K1062" s="169" t="s">
        <v>815</v>
      </c>
      <c r="L1062" s="169" t="s">
        <v>816</v>
      </c>
      <c r="M1062" s="169" t="s">
        <v>281</v>
      </c>
      <c r="N1062" s="178">
        <v>2415000</v>
      </c>
      <c r="O1062" s="169" t="s">
        <v>817</v>
      </c>
      <c r="P1062" s="169" t="s">
        <v>283</v>
      </c>
      <c r="Q1062" s="169" t="s">
        <v>284</v>
      </c>
      <c r="R1062" s="169" t="s">
        <v>283</v>
      </c>
      <c r="S1062" s="169" t="s">
        <v>283</v>
      </c>
      <c r="T1062" s="169">
        <v>0</v>
      </c>
    </row>
    <row r="1063" spans="2:20" x14ac:dyDescent="0.2">
      <c r="B1063" s="167" t="str">
        <f>_xlfn.XLOOKUP(I1063,Mapping!D:D,Mapping!E:E)</f>
        <v>Hành Chánh Nhân Sự</v>
      </c>
      <c r="C1063" s="167" t="str">
        <f>_xlfn.XLOOKUP(F1063,Mapping!A:A,Mapping!F:F)</f>
        <v>Lương Chính +T13</v>
      </c>
      <c r="D1063" s="173">
        <v>45838</v>
      </c>
      <c r="E1063" s="169" t="s">
        <v>813</v>
      </c>
      <c r="F1063" s="169" t="s">
        <v>274</v>
      </c>
      <c r="G1063" s="169" t="s">
        <v>275</v>
      </c>
      <c r="H1063" s="169" t="s">
        <v>382</v>
      </c>
      <c r="I1063" s="169" t="s">
        <v>200</v>
      </c>
      <c r="J1063" s="169" t="s">
        <v>814</v>
      </c>
      <c r="K1063" s="169" t="s">
        <v>815</v>
      </c>
      <c r="L1063" s="169" t="s">
        <v>816</v>
      </c>
      <c r="M1063" s="169" t="s">
        <v>281</v>
      </c>
      <c r="N1063" s="178">
        <v>68511773</v>
      </c>
      <c r="O1063" s="169" t="s">
        <v>817</v>
      </c>
      <c r="P1063" s="169" t="s">
        <v>283</v>
      </c>
      <c r="Q1063" s="169" t="s">
        <v>284</v>
      </c>
      <c r="R1063" s="169" t="s">
        <v>283</v>
      </c>
      <c r="S1063" s="169" t="s">
        <v>283</v>
      </c>
      <c r="T1063" s="169">
        <v>0</v>
      </c>
    </row>
    <row r="1064" spans="2:20" x14ac:dyDescent="0.2">
      <c r="B1064" s="167" t="str">
        <f>_xlfn.XLOOKUP(I1064,Mapping!D:D,Mapping!E:E)</f>
        <v>Hành Chánh Nhân Sự</v>
      </c>
      <c r="C1064" s="167" t="str">
        <f>_xlfn.XLOOKUP(F1064,Mapping!A:A,Mapping!F:F)</f>
        <v>Lương Chính +T13</v>
      </c>
      <c r="D1064" s="173">
        <v>45838</v>
      </c>
      <c r="E1064" s="169" t="s">
        <v>813</v>
      </c>
      <c r="F1064" s="169" t="s">
        <v>285</v>
      </c>
      <c r="G1064" s="169" t="s">
        <v>286</v>
      </c>
      <c r="H1064" s="169" t="s">
        <v>382</v>
      </c>
      <c r="I1064" s="169" t="s">
        <v>200</v>
      </c>
      <c r="J1064" s="169" t="s">
        <v>814</v>
      </c>
      <c r="K1064" s="169" t="s">
        <v>815</v>
      </c>
      <c r="L1064" s="169" t="s">
        <v>816</v>
      </c>
      <c r="M1064" s="169" t="s">
        <v>281</v>
      </c>
      <c r="N1064" s="178">
        <v>3010884</v>
      </c>
      <c r="O1064" s="169" t="s">
        <v>817</v>
      </c>
      <c r="P1064" s="169" t="s">
        <v>283</v>
      </c>
      <c r="Q1064" s="169" t="s">
        <v>284</v>
      </c>
      <c r="R1064" s="169" t="s">
        <v>283</v>
      </c>
      <c r="S1064" s="169" t="s">
        <v>283</v>
      </c>
      <c r="T1064" s="169">
        <v>0</v>
      </c>
    </row>
    <row r="1065" spans="2:20" x14ac:dyDescent="0.2">
      <c r="B1065" s="167" t="str">
        <f>_xlfn.XLOOKUP(I1065,Mapping!D:D,Mapping!E:E)</f>
        <v>Hành Chánh Nhân Sự</v>
      </c>
      <c r="C1065" s="167" t="str">
        <f>_xlfn.XLOOKUP(F1065,Mapping!A:A,Mapping!F:F)</f>
        <v>Lương Chính +T13</v>
      </c>
      <c r="D1065" s="173">
        <v>45838</v>
      </c>
      <c r="E1065" s="169" t="s">
        <v>813</v>
      </c>
      <c r="F1065" s="169" t="s">
        <v>274</v>
      </c>
      <c r="G1065" s="169" t="s">
        <v>275</v>
      </c>
      <c r="H1065" s="169" t="s">
        <v>358</v>
      </c>
      <c r="I1065" s="169" t="s">
        <v>359</v>
      </c>
      <c r="J1065" s="169" t="s">
        <v>814</v>
      </c>
      <c r="K1065" s="169" t="s">
        <v>815</v>
      </c>
      <c r="L1065" s="169" t="s">
        <v>816</v>
      </c>
      <c r="M1065" s="169" t="s">
        <v>281</v>
      </c>
      <c r="N1065" s="178">
        <v>100652704</v>
      </c>
      <c r="O1065" s="169" t="s">
        <v>817</v>
      </c>
      <c r="P1065" s="169" t="s">
        <v>283</v>
      </c>
      <c r="Q1065" s="169" t="s">
        <v>284</v>
      </c>
      <c r="R1065" s="169" t="s">
        <v>283</v>
      </c>
      <c r="S1065" s="169" t="s">
        <v>283</v>
      </c>
      <c r="T1065" s="169">
        <v>0</v>
      </c>
    </row>
    <row r="1066" spans="2:20" x14ac:dyDescent="0.2">
      <c r="B1066" s="167" t="str">
        <f>_xlfn.XLOOKUP(I1066,Mapping!D:D,Mapping!E:E)</f>
        <v>Hành Chánh Nhân Sự</v>
      </c>
      <c r="C1066" s="167" t="str">
        <f>_xlfn.XLOOKUP(F1066,Mapping!A:A,Mapping!F:F)</f>
        <v>Lương Chính +T13</v>
      </c>
      <c r="D1066" s="173">
        <v>45838</v>
      </c>
      <c r="E1066" s="169" t="s">
        <v>813</v>
      </c>
      <c r="F1066" s="169" t="s">
        <v>285</v>
      </c>
      <c r="G1066" s="169" t="s">
        <v>286</v>
      </c>
      <c r="H1066" s="169" t="s">
        <v>358</v>
      </c>
      <c r="I1066" s="169" t="s">
        <v>359</v>
      </c>
      <c r="J1066" s="169" t="s">
        <v>814</v>
      </c>
      <c r="K1066" s="169" t="s">
        <v>815</v>
      </c>
      <c r="L1066" s="169" t="s">
        <v>816</v>
      </c>
      <c r="M1066" s="169" t="s">
        <v>281</v>
      </c>
      <c r="N1066" s="178">
        <v>5852231</v>
      </c>
      <c r="O1066" s="169" t="s">
        <v>817</v>
      </c>
      <c r="P1066" s="169" t="s">
        <v>283</v>
      </c>
      <c r="Q1066" s="169" t="s">
        <v>284</v>
      </c>
      <c r="R1066" s="169" t="s">
        <v>283</v>
      </c>
      <c r="S1066" s="169" t="s">
        <v>283</v>
      </c>
      <c r="T1066" s="169">
        <v>0</v>
      </c>
    </row>
    <row r="1067" spans="2:20" x14ac:dyDescent="0.2">
      <c r="B1067" s="167" t="str">
        <f>_xlfn.XLOOKUP(I1067,Mapping!D:D,Mapping!E:E)</f>
        <v>Hành Chánh Nhân Sự</v>
      </c>
      <c r="C1067" s="167" t="str">
        <f>_xlfn.XLOOKUP(F1067,Mapping!A:A,Mapping!F:F)</f>
        <v>Phụ Cấp</v>
      </c>
      <c r="D1067" s="173">
        <v>45838</v>
      </c>
      <c r="E1067" s="169" t="s">
        <v>813</v>
      </c>
      <c r="F1067" s="169" t="s">
        <v>335</v>
      </c>
      <c r="G1067" s="169" t="s">
        <v>336</v>
      </c>
      <c r="H1067" s="169" t="s">
        <v>358</v>
      </c>
      <c r="I1067" s="169" t="s">
        <v>359</v>
      </c>
      <c r="J1067" s="169" t="s">
        <v>814</v>
      </c>
      <c r="K1067" s="169" t="s">
        <v>815</v>
      </c>
      <c r="L1067" s="169" t="s">
        <v>816</v>
      </c>
      <c r="M1067" s="169" t="s">
        <v>281</v>
      </c>
      <c r="N1067" s="178">
        <v>50000</v>
      </c>
      <c r="O1067" s="169" t="s">
        <v>817</v>
      </c>
      <c r="P1067" s="169" t="s">
        <v>283</v>
      </c>
      <c r="Q1067" s="169" t="s">
        <v>284</v>
      </c>
      <c r="R1067" s="169" t="s">
        <v>283</v>
      </c>
      <c r="S1067" s="169" t="s">
        <v>283</v>
      </c>
      <c r="T1067" s="169">
        <v>0</v>
      </c>
    </row>
    <row r="1068" spans="2:20" x14ac:dyDescent="0.2">
      <c r="B1068" s="167" t="str">
        <f>_xlfn.XLOOKUP(I1068,Mapping!D:D,Mapping!E:E)</f>
        <v>Kế Toán</v>
      </c>
      <c r="C1068" s="167" t="str">
        <f>_xlfn.XLOOKUP(F1068,Mapping!A:A,Mapping!F:F)</f>
        <v>Lương Chính +T13</v>
      </c>
      <c r="D1068" s="173">
        <v>45838</v>
      </c>
      <c r="E1068" s="169" t="s">
        <v>818</v>
      </c>
      <c r="F1068" s="169" t="s">
        <v>285</v>
      </c>
      <c r="G1068" s="169" t="s">
        <v>286</v>
      </c>
      <c r="H1068" s="169" t="s">
        <v>356</v>
      </c>
      <c r="I1068" s="169" t="s">
        <v>357</v>
      </c>
      <c r="J1068" s="169" t="s">
        <v>819</v>
      </c>
      <c r="K1068" s="169" t="s">
        <v>815</v>
      </c>
      <c r="L1068" s="169" t="s">
        <v>816</v>
      </c>
      <c r="M1068" s="169" t="s">
        <v>281</v>
      </c>
      <c r="N1068" s="178">
        <v>38365180</v>
      </c>
      <c r="O1068" s="169" t="s">
        <v>820</v>
      </c>
      <c r="P1068" s="169" t="s">
        <v>283</v>
      </c>
      <c r="Q1068" s="169" t="s">
        <v>284</v>
      </c>
      <c r="R1068" s="169" t="s">
        <v>283</v>
      </c>
      <c r="S1068" s="169" t="s">
        <v>283</v>
      </c>
      <c r="T1068" s="169">
        <v>0</v>
      </c>
    </row>
    <row r="1069" spans="2:20" x14ac:dyDescent="0.2">
      <c r="B1069" s="167" t="str">
        <f>_xlfn.XLOOKUP(I1069,Mapping!D:D,Mapping!E:E)</f>
        <v>Kế Toán</v>
      </c>
      <c r="C1069" s="167" t="str">
        <f>_xlfn.XLOOKUP(F1069,Mapping!A:A,Mapping!F:F)</f>
        <v>Thưởng</v>
      </c>
      <c r="D1069" s="173">
        <v>45838</v>
      </c>
      <c r="E1069" s="169" t="s">
        <v>818</v>
      </c>
      <c r="F1069" s="169" t="s">
        <v>292</v>
      </c>
      <c r="G1069" s="169" t="s">
        <v>77</v>
      </c>
      <c r="H1069" s="169" t="s">
        <v>356</v>
      </c>
      <c r="I1069" s="169" t="s">
        <v>357</v>
      </c>
      <c r="J1069" s="169" t="s">
        <v>821</v>
      </c>
      <c r="K1069" s="169" t="s">
        <v>815</v>
      </c>
      <c r="L1069" s="169" t="s">
        <v>816</v>
      </c>
      <c r="M1069" s="169" t="s">
        <v>281</v>
      </c>
      <c r="N1069" s="178">
        <v>34852210</v>
      </c>
      <c r="O1069" s="169" t="s">
        <v>820</v>
      </c>
      <c r="P1069" s="169" t="s">
        <v>283</v>
      </c>
      <c r="Q1069" s="169" t="s">
        <v>284</v>
      </c>
      <c r="R1069" s="169" t="s">
        <v>283</v>
      </c>
      <c r="S1069" s="169" t="s">
        <v>283</v>
      </c>
      <c r="T1069" s="169">
        <v>0</v>
      </c>
    </row>
    <row r="1070" spans="2:20" x14ac:dyDescent="0.2">
      <c r="B1070" s="167" t="str">
        <f>_xlfn.XLOOKUP(I1070,Mapping!D:D,Mapping!E:E)</f>
        <v>Hành Chánh Nhân Sự</v>
      </c>
      <c r="C1070" s="167" t="str">
        <f>_xlfn.XLOOKUP(F1070,Mapping!A:A,Mapping!F:F)</f>
        <v>Lương Chính +T13</v>
      </c>
      <c r="D1070" s="173">
        <v>45838</v>
      </c>
      <c r="E1070" s="169" t="s">
        <v>818</v>
      </c>
      <c r="F1070" s="169" t="s">
        <v>285</v>
      </c>
      <c r="G1070" s="169" t="s">
        <v>286</v>
      </c>
      <c r="H1070" s="169" t="s">
        <v>382</v>
      </c>
      <c r="I1070" s="169" t="s">
        <v>200</v>
      </c>
      <c r="J1070" s="169" t="s">
        <v>819</v>
      </c>
      <c r="K1070" s="169" t="s">
        <v>815</v>
      </c>
      <c r="L1070" s="169" t="s">
        <v>816</v>
      </c>
      <c r="M1070" s="169" t="s">
        <v>281</v>
      </c>
      <c r="N1070" s="178">
        <v>6194250</v>
      </c>
      <c r="O1070" s="169" t="s">
        <v>820</v>
      </c>
      <c r="P1070" s="169" t="s">
        <v>283</v>
      </c>
      <c r="Q1070" s="169" t="s">
        <v>284</v>
      </c>
      <c r="R1070" s="169" t="s">
        <v>283</v>
      </c>
      <c r="S1070" s="169" t="s">
        <v>283</v>
      </c>
      <c r="T1070" s="169">
        <v>0</v>
      </c>
    </row>
    <row r="1071" spans="2:20" x14ac:dyDescent="0.2">
      <c r="B1071" s="167" t="str">
        <f>_xlfn.XLOOKUP(I1071,Mapping!D:D,Mapping!E:E)</f>
        <v>Hành Chánh Nhân Sự</v>
      </c>
      <c r="C1071" s="167" t="str">
        <f>_xlfn.XLOOKUP(F1071,Mapping!A:A,Mapping!F:F)</f>
        <v>Thưởng</v>
      </c>
      <c r="D1071" s="173">
        <v>45838</v>
      </c>
      <c r="E1071" s="169" t="s">
        <v>818</v>
      </c>
      <c r="F1071" s="169" t="s">
        <v>292</v>
      </c>
      <c r="G1071" s="169" t="s">
        <v>77</v>
      </c>
      <c r="H1071" s="169" t="s">
        <v>382</v>
      </c>
      <c r="I1071" s="169" t="s">
        <v>200</v>
      </c>
      <c r="J1071" s="169" t="s">
        <v>821</v>
      </c>
      <c r="K1071" s="169" t="s">
        <v>815</v>
      </c>
      <c r="L1071" s="169" t="s">
        <v>816</v>
      </c>
      <c r="M1071" s="169" t="s">
        <v>281</v>
      </c>
      <c r="N1071" s="178">
        <v>5698660</v>
      </c>
      <c r="O1071" s="169" t="s">
        <v>820</v>
      </c>
      <c r="P1071" s="169" t="s">
        <v>283</v>
      </c>
      <c r="Q1071" s="169" t="s">
        <v>284</v>
      </c>
      <c r="R1071" s="169" t="s">
        <v>283</v>
      </c>
      <c r="S1071" s="169" t="s">
        <v>283</v>
      </c>
      <c r="T1071" s="169">
        <v>0</v>
      </c>
    </row>
    <row r="1072" spans="2:20" x14ac:dyDescent="0.2">
      <c r="B1072" s="167" t="str">
        <f>_xlfn.XLOOKUP(I1072,Mapping!D:D,Mapping!E:E)</f>
        <v>Hành Chánh Nhân Sự</v>
      </c>
      <c r="C1072" s="167" t="str">
        <f>_xlfn.XLOOKUP(F1072,Mapping!A:A,Mapping!F:F)</f>
        <v>Lương Chính +T13</v>
      </c>
      <c r="D1072" s="173">
        <v>45838</v>
      </c>
      <c r="E1072" s="169" t="s">
        <v>818</v>
      </c>
      <c r="F1072" s="169" t="s">
        <v>285</v>
      </c>
      <c r="G1072" s="169" t="s">
        <v>286</v>
      </c>
      <c r="H1072" s="169" t="s">
        <v>358</v>
      </c>
      <c r="I1072" s="169" t="s">
        <v>359</v>
      </c>
      <c r="J1072" s="169" t="s">
        <v>819</v>
      </c>
      <c r="K1072" s="169" t="s">
        <v>815</v>
      </c>
      <c r="L1072" s="169" t="s">
        <v>816</v>
      </c>
      <c r="M1072" s="169" t="s">
        <v>281</v>
      </c>
      <c r="N1072" s="178">
        <v>8468167</v>
      </c>
      <c r="O1072" s="169" t="s">
        <v>820</v>
      </c>
      <c r="P1072" s="169" t="s">
        <v>283</v>
      </c>
      <c r="Q1072" s="169" t="s">
        <v>284</v>
      </c>
      <c r="R1072" s="169" t="s">
        <v>283</v>
      </c>
      <c r="S1072" s="169" t="s">
        <v>283</v>
      </c>
      <c r="T1072" s="169">
        <v>0</v>
      </c>
    </row>
    <row r="1073" spans="2:20" x14ac:dyDescent="0.2">
      <c r="B1073" s="167" t="str">
        <f>_xlfn.XLOOKUP(I1073,Mapping!D:D,Mapping!E:E)</f>
        <v>Hành Chánh Nhân Sự</v>
      </c>
      <c r="C1073" s="167" t="str">
        <f>_xlfn.XLOOKUP(F1073,Mapping!A:A,Mapping!F:F)</f>
        <v>Thưởng</v>
      </c>
      <c r="D1073" s="173">
        <v>45838</v>
      </c>
      <c r="E1073" s="169" t="s">
        <v>818</v>
      </c>
      <c r="F1073" s="169" t="s">
        <v>292</v>
      </c>
      <c r="G1073" s="169" t="s">
        <v>77</v>
      </c>
      <c r="H1073" s="169" t="s">
        <v>358</v>
      </c>
      <c r="I1073" s="169" t="s">
        <v>359</v>
      </c>
      <c r="J1073" s="169" t="s">
        <v>821</v>
      </c>
      <c r="K1073" s="169" t="s">
        <v>815</v>
      </c>
      <c r="L1073" s="169" t="s">
        <v>816</v>
      </c>
      <c r="M1073" s="169" t="s">
        <v>281</v>
      </c>
      <c r="N1073" s="178">
        <v>7790646</v>
      </c>
      <c r="O1073" s="169" t="s">
        <v>820</v>
      </c>
      <c r="P1073" s="169" t="s">
        <v>283</v>
      </c>
      <c r="Q1073" s="169" t="s">
        <v>284</v>
      </c>
      <c r="R1073" s="169" t="s">
        <v>283</v>
      </c>
      <c r="S1073" s="169" t="s">
        <v>283</v>
      </c>
      <c r="T1073" s="169">
        <v>0</v>
      </c>
    </row>
    <row r="1074" spans="2:20" x14ac:dyDescent="0.2">
      <c r="B1074" s="167" t="str">
        <f>_xlfn.XLOOKUP(I1074,Mapping!D:D,Mapping!E:E)</f>
        <v>Kế Toán</v>
      </c>
      <c r="C1074" s="167" t="str">
        <f>_xlfn.XLOOKUP(F1074,Mapping!A:A,Mapping!F:F)</f>
        <v>BHXH, BHYT, KPCĐ</v>
      </c>
      <c r="D1074" s="173">
        <v>45838</v>
      </c>
      <c r="E1074" s="169" t="s">
        <v>825</v>
      </c>
      <c r="F1074" s="169" t="s">
        <v>295</v>
      </c>
      <c r="G1074" s="169" t="s">
        <v>296</v>
      </c>
      <c r="H1074" s="169" t="s">
        <v>356</v>
      </c>
      <c r="I1074" s="169" t="s">
        <v>357</v>
      </c>
      <c r="J1074" s="169" t="s">
        <v>826</v>
      </c>
      <c r="K1074" s="169" t="s">
        <v>815</v>
      </c>
      <c r="L1074" s="169" t="s">
        <v>816</v>
      </c>
      <c r="M1074" s="169" t="s">
        <v>281</v>
      </c>
      <c r="N1074" s="178">
        <v>95261030</v>
      </c>
      <c r="O1074" s="169" t="s">
        <v>827</v>
      </c>
      <c r="P1074" s="169" t="s">
        <v>283</v>
      </c>
      <c r="Q1074" s="169" t="s">
        <v>284</v>
      </c>
      <c r="R1074" s="169" t="s">
        <v>283</v>
      </c>
      <c r="S1074" s="169" t="s">
        <v>283</v>
      </c>
      <c r="T1074" s="169">
        <v>0</v>
      </c>
    </row>
    <row r="1075" spans="2:20" x14ac:dyDescent="0.2">
      <c r="B1075" s="167" t="str">
        <f>_xlfn.XLOOKUP(I1075,Mapping!D:D,Mapping!E:E)</f>
        <v>Hành Chánh Nhân Sự</v>
      </c>
      <c r="C1075" s="167" t="str">
        <f>_xlfn.XLOOKUP(F1075,Mapping!A:A,Mapping!F:F)</f>
        <v>BHXH, BHYT, KPCĐ</v>
      </c>
      <c r="D1075" s="173">
        <v>45838</v>
      </c>
      <c r="E1075" s="169" t="s">
        <v>825</v>
      </c>
      <c r="F1075" s="169" t="s">
        <v>295</v>
      </c>
      <c r="G1075" s="169" t="s">
        <v>296</v>
      </c>
      <c r="H1075" s="169" t="s">
        <v>382</v>
      </c>
      <c r="I1075" s="169" t="s">
        <v>200</v>
      </c>
      <c r="J1075" s="169" t="s">
        <v>826</v>
      </c>
      <c r="K1075" s="169" t="s">
        <v>815</v>
      </c>
      <c r="L1075" s="169" t="s">
        <v>816</v>
      </c>
      <c r="M1075" s="169" t="s">
        <v>281</v>
      </c>
      <c r="N1075" s="178">
        <v>17467785</v>
      </c>
      <c r="O1075" s="169" t="s">
        <v>827</v>
      </c>
      <c r="P1075" s="169" t="s">
        <v>283</v>
      </c>
      <c r="Q1075" s="169" t="s">
        <v>284</v>
      </c>
      <c r="R1075" s="169" t="s">
        <v>283</v>
      </c>
      <c r="S1075" s="169" t="s">
        <v>283</v>
      </c>
      <c r="T1075" s="169">
        <v>0</v>
      </c>
    </row>
    <row r="1076" spans="2:20" x14ac:dyDescent="0.2">
      <c r="B1076" s="167" t="str">
        <f>_xlfn.XLOOKUP(I1076,Mapping!D:D,Mapping!E:E)</f>
        <v>Hành Chánh Nhân Sự</v>
      </c>
      <c r="C1076" s="167" t="str">
        <f>_xlfn.XLOOKUP(F1076,Mapping!A:A,Mapping!F:F)</f>
        <v>BHXH, BHYT, KPCĐ</v>
      </c>
      <c r="D1076" s="173">
        <v>45838</v>
      </c>
      <c r="E1076" s="169" t="s">
        <v>825</v>
      </c>
      <c r="F1076" s="169" t="s">
        <v>295</v>
      </c>
      <c r="G1076" s="169" t="s">
        <v>296</v>
      </c>
      <c r="H1076" s="169" t="s">
        <v>358</v>
      </c>
      <c r="I1076" s="169" t="s">
        <v>359</v>
      </c>
      <c r="J1076" s="169" t="s">
        <v>826</v>
      </c>
      <c r="K1076" s="169" t="s">
        <v>815</v>
      </c>
      <c r="L1076" s="169" t="s">
        <v>816</v>
      </c>
      <c r="M1076" s="169" t="s">
        <v>281</v>
      </c>
      <c r="N1076" s="178">
        <v>21177730</v>
      </c>
      <c r="O1076" s="169" t="s">
        <v>827</v>
      </c>
      <c r="P1076" s="169" t="s">
        <v>283</v>
      </c>
      <c r="Q1076" s="169" t="s">
        <v>284</v>
      </c>
      <c r="R1076" s="169" t="s">
        <v>283</v>
      </c>
      <c r="S1076" s="169" t="s">
        <v>283</v>
      </c>
      <c r="T1076" s="169">
        <v>0</v>
      </c>
    </row>
    <row r="1077" spans="2:20" x14ac:dyDescent="0.2">
      <c r="B1077" s="167" t="str">
        <f>_xlfn.XLOOKUP(I1077,Mapping!D:D,Mapping!E:E)</f>
        <v>Hành Chánh Nhân Sự</v>
      </c>
      <c r="C1077" s="167" t="str">
        <f>_xlfn.XLOOKUP(F1077,Mapping!A:A,Mapping!F:F)</f>
        <v>Khen thưởng BD khác</v>
      </c>
      <c r="D1077" s="173">
        <v>45838</v>
      </c>
      <c r="E1077" s="169" t="s">
        <v>854</v>
      </c>
      <c r="F1077" s="169" t="s">
        <v>300</v>
      </c>
      <c r="G1077" s="169" t="s">
        <v>222</v>
      </c>
      <c r="H1077" s="169" t="s">
        <v>358</v>
      </c>
      <c r="I1077" s="169" t="s">
        <v>359</v>
      </c>
      <c r="J1077" s="169" t="s">
        <v>814</v>
      </c>
      <c r="K1077" s="169" t="s">
        <v>815</v>
      </c>
      <c r="L1077" s="169" t="s">
        <v>816</v>
      </c>
      <c r="M1077" s="169" t="s">
        <v>281</v>
      </c>
      <c r="N1077" s="178">
        <v>8600000</v>
      </c>
      <c r="O1077" s="169" t="s">
        <v>855</v>
      </c>
      <c r="P1077" s="169" t="s">
        <v>283</v>
      </c>
      <c r="Q1077" s="169" t="s">
        <v>284</v>
      </c>
      <c r="R1077" s="169" t="s">
        <v>283</v>
      </c>
      <c r="S1077" s="169" t="s">
        <v>283</v>
      </c>
      <c r="T1077" s="169">
        <v>0</v>
      </c>
    </row>
    <row r="1078" spans="2:20" x14ac:dyDescent="0.2">
      <c r="B1078" s="167" t="str">
        <f>_xlfn.XLOOKUP(I1078,Mapping!D:D,Mapping!E:E)</f>
        <v>Kế Toán</v>
      </c>
      <c r="C1078" s="167" t="str">
        <f>_xlfn.XLOOKUP(F1078,Mapping!A:A,Mapping!F:F)</f>
        <v>Phụ Cấp</v>
      </c>
      <c r="D1078" s="173">
        <v>45834</v>
      </c>
      <c r="E1078" s="169" t="s">
        <v>837</v>
      </c>
      <c r="F1078" s="169" t="s">
        <v>335</v>
      </c>
      <c r="G1078" s="169" t="s">
        <v>336</v>
      </c>
      <c r="H1078" s="169" t="s">
        <v>356</v>
      </c>
      <c r="I1078" s="169" t="s">
        <v>357</v>
      </c>
      <c r="J1078" s="169" t="s">
        <v>838</v>
      </c>
      <c r="K1078" s="169" t="s">
        <v>741</v>
      </c>
      <c r="L1078" s="169" t="s">
        <v>816</v>
      </c>
      <c r="M1078" s="169" t="s">
        <v>281</v>
      </c>
      <c r="N1078" s="178">
        <v>14750000</v>
      </c>
      <c r="O1078" s="169" t="s">
        <v>839</v>
      </c>
      <c r="P1078" s="169" t="s">
        <v>283</v>
      </c>
      <c r="Q1078" s="169" t="s">
        <v>306</v>
      </c>
      <c r="R1078" s="169" t="s">
        <v>283</v>
      </c>
      <c r="S1078" s="169" t="s">
        <v>283</v>
      </c>
      <c r="T1078" s="169">
        <v>0</v>
      </c>
    </row>
    <row r="1079" spans="2:20" x14ac:dyDescent="0.2">
      <c r="B1079" s="167" t="str">
        <f>_xlfn.XLOOKUP(I1079,Mapping!D:D,Mapping!E:E)</f>
        <v>Hành Chánh Nhân Sự</v>
      </c>
      <c r="C1079" s="167" t="str">
        <f>_xlfn.XLOOKUP(F1079,Mapping!A:A,Mapping!F:F)</f>
        <v>Phụ Cấp</v>
      </c>
      <c r="D1079" s="173">
        <v>45834</v>
      </c>
      <c r="E1079" s="169" t="s">
        <v>837</v>
      </c>
      <c r="F1079" s="169" t="s">
        <v>335</v>
      </c>
      <c r="G1079" s="169" t="s">
        <v>336</v>
      </c>
      <c r="H1079" s="169" t="s">
        <v>382</v>
      </c>
      <c r="I1079" s="169" t="s">
        <v>200</v>
      </c>
      <c r="J1079" s="169" t="s">
        <v>838</v>
      </c>
      <c r="K1079" s="169" t="s">
        <v>741</v>
      </c>
      <c r="L1079" s="169" t="s">
        <v>816</v>
      </c>
      <c r="M1079" s="169" t="s">
        <v>281</v>
      </c>
      <c r="N1079" s="178">
        <v>1900000</v>
      </c>
      <c r="O1079" s="169" t="s">
        <v>839</v>
      </c>
      <c r="P1079" s="169" t="s">
        <v>283</v>
      </c>
      <c r="Q1079" s="169" t="s">
        <v>306</v>
      </c>
      <c r="R1079" s="169" t="s">
        <v>283</v>
      </c>
      <c r="S1079" s="169" t="s">
        <v>283</v>
      </c>
      <c r="T1079" s="169">
        <v>0</v>
      </c>
    </row>
    <row r="1080" spans="2:20" x14ac:dyDescent="0.2">
      <c r="B1080" s="167" t="str">
        <f>_xlfn.XLOOKUP(I1080,Mapping!D:D,Mapping!E:E)</f>
        <v>Hành Chánh Nhân Sự</v>
      </c>
      <c r="C1080" s="167" t="str">
        <f>_xlfn.XLOOKUP(F1080,Mapping!A:A,Mapping!F:F)</f>
        <v>Phụ Cấp</v>
      </c>
      <c r="D1080" s="173">
        <v>45834</v>
      </c>
      <c r="E1080" s="169" t="s">
        <v>837</v>
      </c>
      <c r="F1080" s="169" t="s">
        <v>335</v>
      </c>
      <c r="G1080" s="169" t="s">
        <v>336</v>
      </c>
      <c r="H1080" s="169" t="s">
        <v>358</v>
      </c>
      <c r="I1080" s="169" t="s">
        <v>359</v>
      </c>
      <c r="J1080" s="169" t="s">
        <v>838</v>
      </c>
      <c r="K1080" s="169" t="s">
        <v>741</v>
      </c>
      <c r="L1080" s="169" t="s">
        <v>816</v>
      </c>
      <c r="M1080" s="169" t="s">
        <v>281</v>
      </c>
      <c r="N1080" s="178">
        <v>3225000</v>
      </c>
      <c r="O1080" s="169" t="s">
        <v>839</v>
      </c>
      <c r="P1080" s="169" t="s">
        <v>283</v>
      </c>
      <c r="Q1080" s="169" t="s">
        <v>306</v>
      </c>
      <c r="R1080" s="169" t="s">
        <v>283</v>
      </c>
      <c r="S1080" s="169" t="s">
        <v>283</v>
      </c>
      <c r="T1080" s="169">
        <v>0</v>
      </c>
    </row>
    <row r="1081" spans="2:20" x14ac:dyDescent="0.2">
      <c r="B1081" s="167" t="str">
        <f>_xlfn.XLOOKUP(I1081,Mapping!D:D,Mapping!E:E)</f>
        <v>Kinh doanh</v>
      </c>
      <c r="C1081" s="167" t="str">
        <f>_xlfn.XLOOKUP(F1081,Mapping!A:A,Mapping!F:F)</f>
        <v>Thưởng</v>
      </c>
      <c r="D1081" s="173">
        <v>45831</v>
      </c>
      <c r="E1081" s="169" t="s">
        <v>856</v>
      </c>
      <c r="F1081" s="169" t="s">
        <v>365</v>
      </c>
      <c r="G1081" s="169" t="s">
        <v>291</v>
      </c>
      <c r="H1081" s="169" t="s">
        <v>366</v>
      </c>
      <c r="I1081" s="169" t="s">
        <v>1</v>
      </c>
      <c r="J1081" s="169" t="s">
        <v>857</v>
      </c>
      <c r="K1081" s="169" t="s">
        <v>858</v>
      </c>
      <c r="L1081" s="169" t="s">
        <v>816</v>
      </c>
      <c r="M1081" s="169" t="s">
        <v>281</v>
      </c>
      <c r="N1081" s="178">
        <v>-87140</v>
      </c>
      <c r="O1081" s="169" t="s">
        <v>859</v>
      </c>
      <c r="P1081" s="169" t="s">
        <v>283</v>
      </c>
      <c r="Q1081" s="169" t="s">
        <v>370</v>
      </c>
      <c r="R1081" s="169" t="s">
        <v>283</v>
      </c>
      <c r="S1081" s="169" t="s">
        <v>283</v>
      </c>
      <c r="T1081" s="169">
        <v>0</v>
      </c>
    </row>
    <row r="1082" spans="2:20" x14ac:dyDescent="0.2">
      <c r="B1082" s="167" t="str">
        <f>_xlfn.XLOOKUP(I1082,Mapping!D:D,Mapping!E:E)</f>
        <v>Kinh doanh</v>
      </c>
      <c r="C1082" s="167" t="str">
        <f>_xlfn.XLOOKUP(F1082,Mapping!A:A,Mapping!F:F)</f>
        <v>Lương Chính +T13</v>
      </c>
      <c r="D1082" s="173">
        <v>45838</v>
      </c>
      <c r="E1082" s="169" t="s">
        <v>813</v>
      </c>
      <c r="F1082" s="169" t="s">
        <v>383</v>
      </c>
      <c r="G1082" s="169" t="s">
        <v>275</v>
      </c>
      <c r="H1082" s="169" t="s">
        <v>366</v>
      </c>
      <c r="I1082" s="169" t="s">
        <v>1</v>
      </c>
      <c r="J1082" s="169" t="s">
        <v>814</v>
      </c>
      <c r="K1082" s="169" t="s">
        <v>815</v>
      </c>
      <c r="L1082" s="169" t="s">
        <v>816</v>
      </c>
      <c r="M1082" s="169" t="s">
        <v>281</v>
      </c>
      <c r="N1082" s="178">
        <v>225105679</v>
      </c>
      <c r="O1082" s="169" t="s">
        <v>817</v>
      </c>
      <c r="P1082" s="169" t="s">
        <v>283</v>
      </c>
      <c r="Q1082" s="169" t="s">
        <v>284</v>
      </c>
      <c r="R1082" s="169" t="s">
        <v>283</v>
      </c>
      <c r="S1082" s="169" t="s">
        <v>283</v>
      </c>
      <c r="T1082" s="169">
        <v>0</v>
      </c>
    </row>
    <row r="1083" spans="2:20" x14ac:dyDescent="0.2">
      <c r="B1083" s="167" t="str">
        <f>_xlfn.XLOOKUP(I1083,Mapping!D:D,Mapping!E:E)</f>
        <v>Kinh doanh</v>
      </c>
      <c r="C1083" s="167" t="str">
        <f>_xlfn.XLOOKUP(F1083,Mapping!A:A,Mapping!F:F)</f>
        <v>Lương Chính +T13</v>
      </c>
      <c r="D1083" s="173">
        <v>45838</v>
      </c>
      <c r="E1083" s="169" t="s">
        <v>813</v>
      </c>
      <c r="F1083" s="169" t="s">
        <v>384</v>
      </c>
      <c r="G1083" s="169" t="s">
        <v>286</v>
      </c>
      <c r="H1083" s="169" t="s">
        <v>366</v>
      </c>
      <c r="I1083" s="169" t="s">
        <v>1</v>
      </c>
      <c r="J1083" s="169" t="s">
        <v>814</v>
      </c>
      <c r="K1083" s="169" t="s">
        <v>815</v>
      </c>
      <c r="L1083" s="169" t="s">
        <v>816</v>
      </c>
      <c r="M1083" s="169" t="s">
        <v>281</v>
      </c>
      <c r="N1083" s="178">
        <v>14139231</v>
      </c>
      <c r="O1083" s="169" t="s">
        <v>817</v>
      </c>
      <c r="P1083" s="169" t="s">
        <v>283</v>
      </c>
      <c r="Q1083" s="169" t="s">
        <v>284</v>
      </c>
      <c r="R1083" s="169" t="s">
        <v>283</v>
      </c>
      <c r="S1083" s="169" t="s">
        <v>283</v>
      </c>
      <c r="T1083" s="169">
        <v>0</v>
      </c>
    </row>
    <row r="1084" spans="2:20" x14ac:dyDescent="0.2">
      <c r="B1084" s="167" t="str">
        <f>_xlfn.XLOOKUP(I1084,Mapping!D:D,Mapping!E:E)</f>
        <v>Kinh doanh</v>
      </c>
      <c r="C1084" s="167" t="str">
        <f>_xlfn.XLOOKUP(F1084,Mapping!A:A,Mapping!F:F)</f>
        <v>Thưởng</v>
      </c>
      <c r="D1084" s="173">
        <v>45838</v>
      </c>
      <c r="E1084" s="169" t="s">
        <v>813</v>
      </c>
      <c r="F1084" s="169" t="s">
        <v>365</v>
      </c>
      <c r="G1084" s="169" t="s">
        <v>291</v>
      </c>
      <c r="H1084" s="169" t="s">
        <v>366</v>
      </c>
      <c r="I1084" s="169" t="s">
        <v>1</v>
      </c>
      <c r="J1084" s="169" t="s">
        <v>814</v>
      </c>
      <c r="K1084" s="169" t="s">
        <v>815</v>
      </c>
      <c r="L1084" s="169" t="s">
        <v>816</v>
      </c>
      <c r="M1084" s="169" t="s">
        <v>281</v>
      </c>
      <c r="N1084" s="178">
        <v>178310086</v>
      </c>
      <c r="O1084" s="169" t="s">
        <v>817</v>
      </c>
      <c r="P1084" s="169" t="s">
        <v>283</v>
      </c>
      <c r="Q1084" s="169" t="s">
        <v>284</v>
      </c>
      <c r="R1084" s="169" t="s">
        <v>283</v>
      </c>
      <c r="S1084" s="169" t="s">
        <v>283</v>
      </c>
      <c r="T1084" s="169">
        <v>0</v>
      </c>
    </row>
    <row r="1085" spans="2:20" x14ac:dyDescent="0.2">
      <c r="B1085" s="167" t="str">
        <f>_xlfn.XLOOKUP(I1085,Mapping!D:D,Mapping!E:E)</f>
        <v>Kinh doanh</v>
      </c>
      <c r="C1085" s="167" t="str">
        <f>_xlfn.XLOOKUP(F1085,Mapping!A:A,Mapping!F:F)</f>
        <v>Phụ Cấp</v>
      </c>
      <c r="D1085" s="173">
        <v>45838</v>
      </c>
      <c r="E1085" s="169" t="s">
        <v>813</v>
      </c>
      <c r="F1085" s="169" t="s">
        <v>385</v>
      </c>
      <c r="G1085" s="169" t="s">
        <v>336</v>
      </c>
      <c r="H1085" s="169" t="s">
        <v>366</v>
      </c>
      <c r="I1085" s="169" t="s">
        <v>1</v>
      </c>
      <c r="J1085" s="169" t="s">
        <v>814</v>
      </c>
      <c r="K1085" s="169" t="s">
        <v>815</v>
      </c>
      <c r="L1085" s="169" t="s">
        <v>816</v>
      </c>
      <c r="M1085" s="169" t="s">
        <v>281</v>
      </c>
      <c r="N1085" s="178">
        <v>50000</v>
      </c>
      <c r="O1085" s="169" t="s">
        <v>817</v>
      </c>
      <c r="P1085" s="169" t="s">
        <v>283</v>
      </c>
      <c r="Q1085" s="169" t="s">
        <v>284</v>
      </c>
      <c r="R1085" s="169" t="s">
        <v>283</v>
      </c>
      <c r="S1085" s="169" t="s">
        <v>283</v>
      </c>
      <c r="T1085" s="169">
        <v>0</v>
      </c>
    </row>
    <row r="1086" spans="2:20" x14ac:dyDescent="0.2">
      <c r="B1086" s="167" t="str">
        <f>_xlfn.XLOOKUP(I1086,Mapping!D:D,Mapping!E:E)</f>
        <v>Cung Ứng</v>
      </c>
      <c r="C1086" s="167" t="str">
        <f>_xlfn.XLOOKUP(F1086,Mapping!A:A,Mapping!F:F)</f>
        <v>Lương Chính +T13</v>
      </c>
      <c r="D1086" s="173">
        <v>45838</v>
      </c>
      <c r="E1086" s="169" t="s">
        <v>813</v>
      </c>
      <c r="F1086" s="169" t="s">
        <v>274</v>
      </c>
      <c r="G1086" s="169" t="s">
        <v>275</v>
      </c>
      <c r="H1086" s="169" t="s">
        <v>380</v>
      </c>
      <c r="I1086" s="169" t="s">
        <v>381</v>
      </c>
      <c r="J1086" s="169" t="s">
        <v>814</v>
      </c>
      <c r="K1086" s="169" t="s">
        <v>815</v>
      </c>
      <c r="L1086" s="169" t="s">
        <v>816</v>
      </c>
      <c r="M1086" s="169" t="s">
        <v>281</v>
      </c>
      <c r="N1086" s="178">
        <v>540919714</v>
      </c>
      <c r="O1086" s="169" t="s">
        <v>817</v>
      </c>
      <c r="P1086" s="169" t="s">
        <v>283</v>
      </c>
      <c r="Q1086" s="169" t="s">
        <v>284</v>
      </c>
      <c r="R1086" s="169" t="s">
        <v>283</v>
      </c>
      <c r="S1086" s="169" t="s">
        <v>283</v>
      </c>
      <c r="T1086" s="169">
        <v>0</v>
      </c>
    </row>
    <row r="1087" spans="2:20" x14ac:dyDescent="0.2">
      <c r="B1087" s="167" t="str">
        <f>_xlfn.XLOOKUP(I1087,Mapping!D:D,Mapping!E:E)</f>
        <v>Cung Ứng</v>
      </c>
      <c r="C1087" s="167" t="str">
        <f>_xlfn.XLOOKUP(F1087,Mapping!A:A,Mapping!F:F)</f>
        <v>Lương Chính +T13</v>
      </c>
      <c r="D1087" s="173">
        <v>45838</v>
      </c>
      <c r="E1087" s="169" t="s">
        <v>813</v>
      </c>
      <c r="F1087" s="169" t="s">
        <v>285</v>
      </c>
      <c r="G1087" s="169" t="s">
        <v>286</v>
      </c>
      <c r="H1087" s="169" t="s">
        <v>380</v>
      </c>
      <c r="I1087" s="169" t="s">
        <v>381</v>
      </c>
      <c r="J1087" s="169" t="s">
        <v>814</v>
      </c>
      <c r="K1087" s="169" t="s">
        <v>815</v>
      </c>
      <c r="L1087" s="169" t="s">
        <v>816</v>
      </c>
      <c r="M1087" s="169" t="s">
        <v>281</v>
      </c>
      <c r="N1087" s="178">
        <v>19074424</v>
      </c>
      <c r="O1087" s="169" t="s">
        <v>817</v>
      </c>
      <c r="P1087" s="169" t="s">
        <v>283</v>
      </c>
      <c r="Q1087" s="169" t="s">
        <v>284</v>
      </c>
      <c r="R1087" s="169" t="s">
        <v>283</v>
      </c>
      <c r="S1087" s="169" t="s">
        <v>283</v>
      </c>
      <c r="T1087" s="169">
        <v>0</v>
      </c>
    </row>
    <row r="1088" spans="2:20" x14ac:dyDescent="0.2">
      <c r="B1088" s="167" t="str">
        <f>_xlfn.XLOOKUP(I1088,Mapping!D:D,Mapping!E:E)</f>
        <v>Cung Ứng</v>
      </c>
      <c r="C1088" s="167" t="str">
        <f>_xlfn.XLOOKUP(F1088,Mapping!A:A,Mapping!F:F)</f>
        <v>Thưởng</v>
      </c>
      <c r="D1088" s="173">
        <v>45838</v>
      </c>
      <c r="E1088" s="169" t="s">
        <v>813</v>
      </c>
      <c r="F1088" s="169" t="s">
        <v>290</v>
      </c>
      <c r="G1088" s="169" t="s">
        <v>291</v>
      </c>
      <c r="H1088" s="169" t="s">
        <v>380</v>
      </c>
      <c r="I1088" s="169" t="s">
        <v>381</v>
      </c>
      <c r="J1088" s="169" t="s">
        <v>814</v>
      </c>
      <c r="K1088" s="169" t="s">
        <v>815</v>
      </c>
      <c r="L1088" s="169" t="s">
        <v>816</v>
      </c>
      <c r="M1088" s="169" t="s">
        <v>281</v>
      </c>
      <c r="N1088" s="178">
        <v>259454352</v>
      </c>
      <c r="O1088" s="169" t="s">
        <v>817</v>
      </c>
      <c r="P1088" s="169" t="s">
        <v>283</v>
      </c>
      <c r="Q1088" s="169" t="s">
        <v>284</v>
      </c>
      <c r="R1088" s="169" t="s">
        <v>283</v>
      </c>
      <c r="S1088" s="169" t="s">
        <v>283</v>
      </c>
      <c r="T1088" s="169">
        <v>0</v>
      </c>
    </row>
    <row r="1089" spans="2:20" x14ac:dyDescent="0.2">
      <c r="B1089" s="167" t="str">
        <f>_xlfn.XLOOKUP(I1089,Mapping!D:D,Mapping!E:E)</f>
        <v>Cung Ứng</v>
      </c>
      <c r="C1089" s="167" t="str">
        <f>_xlfn.XLOOKUP(F1089,Mapping!A:A,Mapping!F:F)</f>
        <v>Phụ Cấp</v>
      </c>
      <c r="D1089" s="173">
        <v>45838</v>
      </c>
      <c r="E1089" s="169" t="s">
        <v>813</v>
      </c>
      <c r="F1089" s="169" t="s">
        <v>335</v>
      </c>
      <c r="G1089" s="169" t="s">
        <v>336</v>
      </c>
      <c r="H1089" s="169" t="s">
        <v>380</v>
      </c>
      <c r="I1089" s="169" t="s">
        <v>381</v>
      </c>
      <c r="J1089" s="169" t="s">
        <v>814</v>
      </c>
      <c r="K1089" s="169" t="s">
        <v>815</v>
      </c>
      <c r="L1089" s="169" t="s">
        <v>816</v>
      </c>
      <c r="M1089" s="169" t="s">
        <v>281</v>
      </c>
      <c r="N1089" s="178">
        <v>12600000</v>
      </c>
      <c r="O1089" s="169" t="s">
        <v>817</v>
      </c>
      <c r="P1089" s="169" t="s">
        <v>283</v>
      </c>
      <c r="Q1089" s="169" t="s">
        <v>284</v>
      </c>
      <c r="R1089" s="169" t="s">
        <v>283</v>
      </c>
      <c r="S1089" s="169" t="s">
        <v>283</v>
      </c>
      <c r="T1089" s="169">
        <v>0</v>
      </c>
    </row>
    <row r="1090" spans="2:20" x14ac:dyDescent="0.2">
      <c r="B1090" s="167" t="str">
        <f>_xlfn.XLOOKUP(I1090,Mapping!D:D,Mapping!E:E)</f>
        <v>Mua Hàng &amp; XNK</v>
      </c>
      <c r="C1090" s="167" t="str">
        <f>_xlfn.XLOOKUP(F1090,Mapping!A:A,Mapping!F:F)</f>
        <v>Lương Chính +T13</v>
      </c>
      <c r="D1090" s="173">
        <v>45838</v>
      </c>
      <c r="E1090" s="169" t="s">
        <v>813</v>
      </c>
      <c r="F1090" s="169" t="s">
        <v>274</v>
      </c>
      <c r="G1090" s="169" t="s">
        <v>275</v>
      </c>
      <c r="H1090" s="169" t="s">
        <v>378</v>
      </c>
      <c r="I1090" s="169" t="s">
        <v>379</v>
      </c>
      <c r="J1090" s="169" t="s">
        <v>814</v>
      </c>
      <c r="K1090" s="169" t="s">
        <v>815</v>
      </c>
      <c r="L1090" s="169" t="s">
        <v>816</v>
      </c>
      <c r="M1090" s="169" t="s">
        <v>281</v>
      </c>
      <c r="N1090" s="178">
        <v>137295525</v>
      </c>
      <c r="O1090" s="169" t="s">
        <v>817</v>
      </c>
      <c r="P1090" s="169" t="s">
        <v>283</v>
      </c>
      <c r="Q1090" s="169" t="s">
        <v>284</v>
      </c>
      <c r="R1090" s="169" t="s">
        <v>283</v>
      </c>
      <c r="S1090" s="169" t="s">
        <v>283</v>
      </c>
      <c r="T1090" s="169">
        <v>0</v>
      </c>
    </row>
    <row r="1091" spans="2:20" x14ac:dyDescent="0.2">
      <c r="B1091" s="167" t="str">
        <f>_xlfn.XLOOKUP(I1091,Mapping!D:D,Mapping!E:E)</f>
        <v>Mua Hàng &amp; XNK</v>
      </c>
      <c r="C1091" s="167" t="str">
        <f>_xlfn.XLOOKUP(F1091,Mapping!A:A,Mapping!F:F)</f>
        <v>Lương Chính +T13</v>
      </c>
      <c r="D1091" s="173">
        <v>45838</v>
      </c>
      <c r="E1091" s="169" t="s">
        <v>813</v>
      </c>
      <c r="F1091" s="169" t="s">
        <v>285</v>
      </c>
      <c r="G1091" s="169" t="s">
        <v>286</v>
      </c>
      <c r="H1091" s="169" t="s">
        <v>378</v>
      </c>
      <c r="I1091" s="169" t="s">
        <v>379</v>
      </c>
      <c r="J1091" s="169" t="s">
        <v>814</v>
      </c>
      <c r="K1091" s="169" t="s">
        <v>815</v>
      </c>
      <c r="L1091" s="169" t="s">
        <v>816</v>
      </c>
      <c r="M1091" s="169" t="s">
        <v>281</v>
      </c>
      <c r="N1091" s="178">
        <v>3077557</v>
      </c>
      <c r="O1091" s="169" t="s">
        <v>817</v>
      </c>
      <c r="P1091" s="169" t="s">
        <v>283</v>
      </c>
      <c r="Q1091" s="169" t="s">
        <v>284</v>
      </c>
      <c r="R1091" s="169" t="s">
        <v>283</v>
      </c>
      <c r="S1091" s="169" t="s">
        <v>283</v>
      </c>
      <c r="T1091" s="169">
        <v>0</v>
      </c>
    </row>
    <row r="1092" spans="2:20" x14ac:dyDescent="0.2">
      <c r="B1092" s="167" t="str">
        <f>_xlfn.XLOOKUP(I1092,Mapping!D:D,Mapping!E:E)</f>
        <v>Mua Hàng &amp; XNK</v>
      </c>
      <c r="C1092" s="167" t="str">
        <f>_xlfn.XLOOKUP(F1092,Mapping!A:A,Mapping!F:F)</f>
        <v>Phụ Cấp</v>
      </c>
      <c r="D1092" s="173">
        <v>45838</v>
      </c>
      <c r="E1092" s="169" t="s">
        <v>813</v>
      </c>
      <c r="F1092" s="169" t="s">
        <v>335</v>
      </c>
      <c r="G1092" s="169" t="s">
        <v>336</v>
      </c>
      <c r="H1092" s="169" t="s">
        <v>378</v>
      </c>
      <c r="I1092" s="169" t="s">
        <v>379</v>
      </c>
      <c r="J1092" s="169" t="s">
        <v>814</v>
      </c>
      <c r="K1092" s="169" t="s">
        <v>815</v>
      </c>
      <c r="L1092" s="169" t="s">
        <v>816</v>
      </c>
      <c r="M1092" s="169" t="s">
        <v>281</v>
      </c>
      <c r="N1092" s="178">
        <v>475000</v>
      </c>
      <c r="O1092" s="169" t="s">
        <v>817</v>
      </c>
      <c r="P1092" s="169" t="s">
        <v>283</v>
      </c>
      <c r="Q1092" s="169" t="s">
        <v>284</v>
      </c>
      <c r="R1092" s="169" t="s">
        <v>283</v>
      </c>
      <c r="S1092" s="169" t="s">
        <v>283</v>
      </c>
      <c r="T1092" s="169">
        <v>0</v>
      </c>
    </row>
    <row r="1093" spans="2:20" x14ac:dyDescent="0.2">
      <c r="B1093" s="167" t="str">
        <f>_xlfn.XLOOKUP(I1093,Mapping!D:D,Mapping!E:E)</f>
        <v>Kỹ Thuật</v>
      </c>
      <c r="C1093" s="167" t="str">
        <f>_xlfn.XLOOKUP(F1093,Mapping!A:A,Mapping!F:F)</f>
        <v>Phụ Cấp</v>
      </c>
      <c r="D1093" s="173">
        <v>45838</v>
      </c>
      <c r="E1093" s="169" t="s">
        <v>813</v>
      </c>
      <c r="F1093" s="169" t="s">
        <v>386</v>
      </c>
      <c r="G1093" s="169" t="s">
        <v>341</v>
      </c>
      <c r="H1093" s="169" t="s">
        <v>376</v>
      </c>
      <c r="I1093" s="169" t="s">
        <v>377</v>
      </c>
      <c r="J1093" s="169" t="s">
        <v>814</v>
      </c>
      <c r="K1093" s="169" t="s">
        <v>815</v>
      </c>
      <c r="L1093" s="169" t="s">
        <v>816</v>
      </c>
      <c r="M1093" s="169" t="s">
        <v>281</v>
      </c>
      <c r="N1093" s="178">
        <v>48223812</v>
      </c>
      <c r="O1093" s="169" t="s">
        <v>817</v>
      </c>
      <c r="P1093" s="169" t="s">
        <v>283</v>
      </c>
      <c r="Q1093" s="169" t="s">
        <v>284</v>
      </c>
      <c r="R1093" s="169" t="s">
        <v>283</v>
      </c>
      <c r="S1093" s="169" t="s">
        <v>283</v>
      </c>
      <c r="T1093" s="169">
        <v>0</v>
      </c>
    </row>
    <row r="1094" spans="2:20" x14ac:dyDescent="0.2">
      <c r="B1094" s="167" t="str">
        <f>_xlfn.XLOOKUP(I1094,Mapping!D:D,Mapping!E:E)</f>
        <v>Kỹ Thuật</v>
      </c>
      <c r="C1094" s="167" t="str">
        <f>_xlfn.XLOOKUP(F1094,Mapping!A:A,Mapping!F:F)</f>
        <v>Lương Chính +T13</v>
      </c>
      <c r="D1094" s="173">
        <v>45838</v>
      </c>
      <c r="E1094" s="169" t="s">
        <v>813</v>
      </c>
      <c r="F1094" s="169" t="s">
        <v>387</v>
      </c>
      <c r="G1094" s="169" t="s">
        <v>275</v>
      </c>
      <c r="H1094" s="169" t="s">
        <v>376</v>
      </c>
      <c r="I1094" s="169" t="s">
        <v>377</v>
      </c>
      <c r="J1094" s="169" t="s">
        <v>814</v>
      </c>
      <c r="K1094" s="169" t="s">
        <v>815</v>
      </c>
      <c r="L1094" s="169" t="s">
        <v>816</v>
      </c>
      <c r="M1094" s="169" t="s">
        <v>281</v>
      </c>
      <c r="N1094" s="178">
        <v>1118505022</v>
      </c>
      <c r="O1094" s="169" t="s">
        <v>817</v>
      </c>
      <c r="P1094" s="169" t="s">
        <v>283</v>
      </c>
      <c r="Q1094" s="169" t="s">
        <v>284</v>
      </c>
      <c r="R1094" s="169" t="s">
        <v>283</v>
      </c>
      <c r="S1094" s="169" t="s">
        <v>283</v>
      </c>
      <c r="T1094" s="169">
        <v>0</v>
      </c>
    </row>
    <row r="1095" spans="2:20" x14ac:dyDescent="0.2">
      <c r="B1095" s="167" t="str">
        <f>_xlfn.XLOOKUP(I1095,Mapping!D:D,Mapping!E:E)</f>
        <v>Kỹ Thuật</v>
      </c>
      <c r="C1095" s="167" t="str">
        <f>_xlfn.XLOOKUP(F1095,Mapping!A:A,Mapping!F:F)</f>
        <v>Lương Chính +T13</v>
      </c>
      <c r="D1095" s="173">
        <v>45838</v>
      </c>
      <c r="E1095" s="169" t="s">
        <v>813</v>
      </c>
      <c r="F1095" s="169" t="s">
        <v>388</v>
      </c>
      <c r="G1095" s="169" t="s">
        <v>286</v>
      </c>
      <c r="H1095" s="169" t="s">
        <v>376</v>
      </c>
      <c r="I1095" s="169" t="s">
        <v>377</v>
      </c>
      <c r="J1095" s="169" t="s">
        <v>814</v>
      </c>
      <c r="K1095" s="169" t="s">
        <v>815</v>
      </c>
      <c r="L1095" s="169" t="s">
        <v>816</v>
      </c>
      <c r="M1095" s="169" t="s">
        <v>281</v>
      </c>
      <c r="N1095" s="178">
        <v>39612215</v>
      </c>
      <c r="O1095" s="169" t="s">
        <v>817</v>
      </c>
      <c r="P1095" s="169" t="s">
        <v>283</v>
      </c>
      <c r="Q1095" s="169" t="s">
        <v>284</v>
      </c>
      <c r="R1095" s="169" t="s">
        <v>283</v>
      </c>
      <c r="S1095" s="169" t="s">
        <v>283</v>
      </c>
      <c r="T1095" s="169">
        <v>0</v>
      </c>
    </row>
    <row r="1096" spans="2:20" x14ac:dyDescent="0.2">
      <c r="B1096" s="167" t="str">
        <f>_xlfn.XLOOKUP(I1096,Mapping!D:D,Mapping!E:E)</f>
        <v>Kỹ Thuật</v>
      </c>
      <c r="C1096" s="167" t="str">
        <f>_xlfn.XLOOKUP(F1096,Mapping!A:A,Mapping!F:F)</f>
        <v>Lương Ngoài giờ</v>
      </c>
      <c r="D1096" s="173">
        <v>45838</v>
      </c>
      <c r="E1096" s="169" t="s">
        <v>813</v>
      </c>
      <c r="F1096" s="169" t="s">
        <v>389</v>
      </c>
      <c r="G1096" s="169" t="s">
        <v>390</v>
      </c>
      <c r="H1096" s="169" t="s">
        <v>376</v>
      </c>
      <c r="I1096" s="169" t="s">
        <v>377</v>
      </c>
      <c r="J1096" s="169" t="s">
        <v>814</v>
      </c>
      <c r="K1096" s="169" t="s">
        <v>815</v>
      </c>
      <c r="L1096" s="169" t="s">
        <v>816</v>
      </c>
      <c r="M1096" s="169" t="s">
        <v>281</v>
      </c>
      <c r="N1096" s="178">
        <v>361637450</v>
      </c>
      <c r="O1096" s="169" t="s">
        <v>817</v>
      </c>
      <c r="P1096" s="169" t="s">
        <v>283</v>
      </c>
      <c r="Q1096" s="169" t="s">
        <v>284</v>
      </c>
      <c r="R1096" s="169" t="s">
        <v>283</v>
      </c>
      <c r="S1096" s="169" t="s">
        <v>283</v>
      </c>
      <c r="T1096" s="169">
        <v>0</v>
      </c>
    </row>
    <row r="1097" spans="2:20" x14ac:dyDescent="0.2">
      <c r="B1097" s="167" t="str">
        <f>_xlfn.XLOOKUP(I1097,Mapping!D:D,Mapping!E:E)</f>
        <v>Kỹ Thuật</v>
      </c>
      <c r="C1097" s="167" t="str">
        <f>_xlfn.XLOOKUP(F1097,Mapping!A:A,Mapping!F:F)</f>
        <v>Phụ Cấp</v>
      </c>
      <c r="D1097" s="173">
        <v>45838</v>
      </c>
      <c r="E1097" s="169" t="s">
        <v>813</v>
      </c>
      <c r="F1097" s="169" t="s">
        <v>375</v>
      </c>
      <c r="G1097" s="169" t="s">
        <v>336</v>
      </c>
      <c r="H1097" s="169" t="s">
        <v>376</v>
      </c>
      <c r="I1097" s="169" t="s">
        <v>377</v>
      </c>
      <c r="J1097" s="169" t="s">
        <v>814</v>
      </c>
      <c r="K1097" s="169" t="s">
        <v>815</v>
      </c>
      <c r="L1097" s="169" t="s">
        <v>816</v>
      </c>
      <c r="M1097" s="169" t="s">
        <v>281</v>
      </c>
      <c r="N1097" s="178">
        <v>11380000</v>
      </c>
      <c r="O1097" s="169" t="s">
        <v>817</v>
      </c>
      <c r="P1097" s="169" t="s">
        <v>283</v>
      </c>
      <c r="Q1097" s="169" t="s">
        <v>284</v>
      </c>
      <c r="R1097" s="169" t="s">
        <v>283</v>
      </c>
      <c r="S1097" s="169" t="s">
        <v>283</v>
      </c>
      <c r="T1097" s="169">
        <v>0</v>
      </c>
    </row>
    <row r="1098" spans="2:20" x14ac:dyDescent="0.2">
      <c r="B1098" s="167" t="str">
        <f>_xlfn.XLOOKUP(I1098,Mapping!D:D,Mapping!E:E)</f>
        <v>Kinh doanh</v>
      </c>
      <c r="C1098" s="167" t="str">
        <f>_xlfn.XLOOKUP(F1098,Mapping!A:A,Mapping!F:F)</f>
        <v>Lương Chính +T13</v>
      </c>
      <c r="D1098" s="173">
        <v>45838</v>
      </c>
      <c r="E1098" s="169" t="s">
        <v>818</v>
      </c>
      <c r="F1098" s="169" t="s">
        <v>384</v>
      </c>
      <c r="G1098" s="169" t="s">
        <v>286</v>
      </c>
      <c r="H1098" s="169" t="s">
        <v>366</v>
      </c>
      <c r="I1098" s="169" t="s">
        <v>1</v>
      </c>
      <c r="J1098" s="169" t="s">
        <v>821</v>
      </c>
      <c r="K1098" s="169" t="s">
        <v>815</v>
      </c>
      <c r="L1098" s="169" t="s">
        <v>816</v>
      </c>
      <c r="M1098" s="169" t="s">
        <v>281</v>
      </c>
      <c r="N1098" s="178">
        <v>22296833</v>
      </c>
      <c r="O1098" s="169" t="s">
        <v>820</v>
      </c>
      <c r="P1098" s="169" t="s">
        <v>283</v>
      </c>
      <c r="Q1098" s="169" t="s">
        <v>284</v>
      </c>
      <c r="R1098" s="169" t="s">
        <v>283</v>
      </c>
      <c r="S1098" s="169" t="s">
        <v>283</v>
      </c>
      <c r="T1098" s="169">
        <v>0</v>
      </c>
    </row>
    <row r="1099" spans="2:20" x14ac:dyDescent="0.2">
      <c r="B1099" s="167" t="str">
        <f>_xlfn.XLOOKUP(I1099,Mapping!D:D,Mapping!E:E)</f>
        <v>Kinh doanh</v>
      </c>
      <c r="C1099" s="167" t="str">
        <f>_xlfn.XLOOKUP(F1099,Mapping!A:A,Mapping!F:F)</f>
        <v>Thưởng</v>
      </c>
      <c r="D1099" s="173">
        <v>45838</v>
      </c>
      <c r="E1099" s="169" t="s">
        <v>818</v>
      </c>
      <c r="F1099" s="169" t="s">
        <v>394</v>
      </c>
      <c r="G1099" s="169" t="s">
        <v>77</v>
      </c>
      <c r="H1099" s="169" t="s">
        <v>366</v>
      </c>
      <c r="I1099" s="169" t="s">
        <v>1</v>
      </c>
      <c r="J1099" s="169" t="s">
        <v>821</v>
      </c>
      <c r="K1099" s="169" t="s">
        <v>815</v>
      </c>
      <c r="L1099" s="169" t="s">
        <v>816</v>
      </c>
      <c r="M1099" s="169" t="s">
        <v>281</v>
      </c>
      <c r="N1099" s="178">
        <v>20512908</v>
      </c>
      <c r="O1099" s="169" t="s">
        <v>820</v>
      </c>
      <c r="P1099" s="169" t="s">
        <v>283</v>
      </c>
      <c r="Q1099" s="169" t="s">
        <v>284</v>
      </c>
      <c r="R1099" s="169" t="s">
        <v>283</v>
      </c>
      <c r="S1099" s="169" t="s">
        <v>283</v>
      </c>
      <c r="T1099" s="169">
        <v>0</v>
      </c>
    </row>
    <row r="1100" spans="2:20" x14ac:dyDescent="0.2">
      <c r="B1100" s="167" t="str">
        <f>_xlfn.XLOOKUP(I1100,Mapping!D:D,Mapping!E:E)</f>
        <v>Cung Ứng</v>
      </c>
      <c r="C1100" s="167" t="str">
        <f>_xlfn.XLOOKUP(F1100,Mapping!A:A,Mapping!F:F)</f>
        <v>Lương Chính +T13</v>
      </c>
      <c r="D1100" s="173">
        <v>45838</v>
      </c>
      <c r="E1100" s="169" t="s">
        <v>818</v>
      </c>
      <c r="F1100" s="169" t="s">
        <v>285</v>
      </c>
      <c r="G1100" s="169" t="s">
        <v>286</v>
      </c>
      <c r="H1100" s="169" t="s">
        <v>380</v>
      </c>
      <c r="I1100" s="169" t="s">
        <v>381</v>
      </c>
      <c r="J1100" s="169" t="s">
        <v>819</v>
      </c>
      <c r="K1100" s="169" t="s">
        <v>815</v>
      </c>
      <c r="L1100" s="169" t="s">
        <v>816</v>
      </c>
      <c r="M1100" s="169" t="s">
        <v>281</v>
      </c>
      <c r="N1100" s="178">
        <v>40044085</v>
      </c>
      <c r="O1100" s="169" t="s">
        <v>820</v>
      </c>
      <c r="P1100" s="169" t="s">
        <v>283</v>
      </c>
      <c r="Q1100" s="169" t="s">
        <v>284</v>
      </c>
      <c r="R1100" s="169" t="s">
        <v>283</v>
      </c>
      <c r="S1100" s="169" t="s">
        <v>283</v>
      </c>
      <c r="T1100" s="169">
        <v>0</v>
      </c>
    </row>
    <row r="1101" spans="2:20" x14ac:dyDescent="0.2">
      <c r="B1101" s="167" t="str">
        <f>_xlfn.XLOOKUP(I1101,Mapping!D:D,Mapping!E:E)</f>
        <v>Cung Ứng</v>
      </c>
      <c r="C1101" s="167" t="str">
        <f>_xlfn.XLOOKUP(F1101,Mapping!A:A,Mapping!F:F)</f>
        <v>Thưởng</v>
      </c>
      <c r="D1101" s="173">
        <v>45838</v>
      </c>
      <c r="E1101" s="169" t="s">
        <v>818</v>
      </c>
      <c r="F1101" s="169" t="s">
        <v>292</v>
      </c>
      <c r="G1101" s="169" t="s">
        <v>77</v>
      </c>
      <c r="H1101" s="169" t="s">
        <v>380</v>
      </c>
      <c r="I1101" s="169" t="s">
        <v>381</v>
      </c>
      <c r="J1101" s="169" t="s">
        <v>821</v>
      </c>
      <c r="K1101" s="169" t="s">
        <v>815</v>
      </c>
      <c r="L1101" s="169" t="s">
        <v>816</v>
      </c>
      <c r="M1101" s="169" t="s">
        <v>281</v>
      </c>
      <c r="N1101" s="178">
        <v>34987056</v>
      </c>
      <c r="O1101" s="169" t="s">
        <v>820</v>
      </c>
      <c r="P1101" s="169" t="s">
        <v>283</v>
      </c>
      <c r="Q1101" s="169" t="s">
        <v>284</v>
      </c>
      <c r="R1101" s="169" t="s">
        <v>283</v>
      </c>
      <c r="S1101" s="169" t="s">
        <v>283</v>
      </c>
      <c r="T1101" s="169">
        <v>0</v>
      </c>
    </row>
    <row r="1102" spans="2:20" x14ac:dyDescent="0.2">
      <c r="B1102" s="167" t="str">
        <f>_xlfn.XLOOKUP(I1102,Mapping!D:D,Mapping!E:E)</f>
        <v>Mua Hàng &amp; XNK</v>
      </c>
      <c r="C1102" s="167" t="str">
        <f>_xlfn.XLOOKUP(F1102,Mapping!A:A,Mapping!F:F)</f>
        <v>Lương Chính +T13</v>
      </c>
      <c r="D1102" s="173">
        <v>45838</v>
      </c>
      <c r="E1102" s="169" t="s">
        <v>818</v>
      </c>
      <c r="F1102" s="169" t="s">
        <v>285</v>
      </c>
      <c r="G1102" s="169" t="s">
        <v>286</v>
      </c>
      <c r="H1102" s="169" t="s">
        <v>378</v>
      </c>
      <c r="I1102" s="169" t="s">
        <v>379</v>
      </c>
      <c r="J1102" s="169" t="s">
        <v>819</v>
      </c>
      <c r="K1102" s="169" t="s">
        <v>815</v>
      </c>
      <c r="L1102" s="169" t="s">
        <v>816</v>
      </c>
      <c r="M1102" s="169" t="s">
        <v>281</v>
      </c>
      <c r="N1102" s="178">
        <v>11877750</v>
      </c>
      <c r="O1102" s="169" t="s">
        <v>820</v>
      </c>
      <c r="P1102" s="169" t="s">
        <v>283</v>
      </c>
      <c r="Q1102" s="169" t="s">
        <v>284</v>
      </c>
      <c r="R1102" s="169" t="s">
        <v>283</v>
      </c>
      <c r="S1102" s="169" t="s">
        <v>283</v>
      </c>
      <c r="T1102" s="169">
        <v>0</v>
      </c>
    </row>
    <row r="1103" spans="2:20" x14ac:dyDescent="0.2">
      <c r="B1103" s="167" t="str">
        <f>_xlfn.XLOOKUP(I1103,Mapping!D:D,Mapping!E:E)</f>
        <v>Mua Hàng &amp; XNK</v>
      </c>
      <c r="C1103" s="167" t="str">
        <f>_xlfn.XLOOKUP(F1103,Mapping!A:A,Mapping!F:F)</f>
        <v>Thưởng</v>
      </c>
      <c r="D1103" s="173">
        <v>45838</v>
      </c>
      <c r="E1103" s="169" t="s">
        <v>818</v>
      </c>
      <c r="F1103" s="169" t="s">
        <v>292</v>
      </c>
      <c r="G1103" s="169" t="s">
        <v>77</v>
      </c>
      <c r="H1103" s="169" t="s">
        <v>378</v>
      </c>
      <c r="I1103" s="169" t="s">
        <v>379</v>
      </c>
      <c r="J1103" s="169" t="s">
        <v>821</v>
      </c>
      <c r="K1103" s="169" t="s">
        <v>815</v>
      </c>
      <c r="L1103" s="169" t="s">
        <v>816</v>
      </c>
      <c r="M1103" s="169" t="s">
        <v>281</v>
      </c>
      <c r="N1103" s="178">
        <v>10927435</v>
      </c>
      <c r="O1103" s="169" t="s">
        <v>820</v>
      </c>
      <c r="P1103" s="169" t="s">
        <v>283</v>
      </c>
      <c r="Q1103" s="169" t="s">
        <v>284</v>
      </c>
      <c r="R1103" s="169" t="s">
        <v>283</v>
      </c>
      <c r="S1103" s="169" t="s">
        <v>283</v>
      </c>
      <c r="T1103" s="169">
        <v>0</v>
      </c>
    </row>
    <row r="1104" spans="2:20" x14ac:dyDescent="0.2">
      <c r="B1104" s="167" t="str">
        <f>_xlfn.XLOOKUP(I1104,Mapping!D:D,Mapping!E:E)</f>
        <v>Kỹ Thuật</v>
      </c>
      <c r="C1104" s="167" t="str">
        <f>_xlfn.XLOOKUP(F1104,Mapping!A:A,Mapping!F:F)</f>
        <v>Lương Chính +T13</v>
      </c>
      <c r="D1104" s="173">
        <v>45838</v>
      </c>
      <c r="E1104" s="169" t="s">
        <v>818</v>
      </c>
      <c r="F1104" s="169" t="s">
        <v>388</v>
      </c>
      <c r="G1104" s="169" t="s">
        <v>286</v>
      </c>
      <c r="H1104" s="169" t="s">
        <v>376</v>
      </c>
      <c r="I1104" s="169" t="s">
        <v>377</v>
      </c>
      <c r="J1104" s="169" t="s">
        <v>819</v>
      </c>
      <c r="K1104" s="169" t="s">
        <v>815</v>
      </c>
      <c r="L1104" s="169" t="s">
        <v>816</v>
      </c>
      <c r="M1104" s="169" t="s">
        <v>281</v>
      </c>
      <c r="N1104" s="178">
        <v>87385167</v>
      </c>
      <c r="O1104" s="169" t="s">
        <v>820</v>
      </c>
      <c r="P1104" s="169" t="s">
        <v>283</v>
      </c>
      <c r="Q1104" s="169" t="s">
        <v>284</v>
      </c>
      <c r="R1104" s="169" t="s">
        <v>283</v>
      </c>
      <c r="S1104" s="169" t="s">
        <v>283</v>
      </c>
      <c r="T1104" s="169">
        <v>0</v>
      </c>
    </row>
    <row r="1105" spans="2:20" x14ac:dyDescent="0.2">
      <c r="B1105" s="167" t="str">
        <f>_xlfn.XLOOKUP(I1105,Mapping!D:D,Mapping!E:E)</f>
        <v>Kỹ Thuật</v>
      </c>
      <c r="C1105" s="167" t="str">
        <f>_xlfn.XLOOKUP(F1105,Mapping!A:A,Mapping!F:F)</f>
        <v>Thưởng</v>
      </c>
      <c r="D1105" s="173">
        <v>45838</v>
      </c>
      <c r="E1105" s="169" t="s">
        <v>818</v>
      </c>
      <c r="F1105" s="169" t="s">
        <v>395</v>
      </c>
      <c r="G1105" s="169" t="s">
        <v>77</v>
      </c>
      <c r="H1105" s="169" t="s">
        <v>376</v>
      </c>
      <c r="I1105" s="169" t="s">
        <v>377</v>
      </c>
      <c r="J1105" s="169" t="s">
        <v>821</v>
      </c>
      <c r="K1105" s="169" t="s">
        <v>815</v>
      </c>
      <c r="L1105" s="169" t="s">
        <v>816</v>
      </c>
      <c r="M1105" s="169" t="s">
        <v>281</v>
      </c>
      <c r="N1105" s="178">
        <v>80393654</v>
      </c>
      <c r="O1105" s="169" t="s">
        <v>820</v>
      </c>
      <c r="P1105" s="169" t="s">
        <v>283</v>
      </c>
      <c r="Q1105" s="169" t="s">
        <v>284</v>
      </c>
      <c r="R1105" s="169" t="s">
        <v>283</v>
      </c>
      <c r="S1105" s="169" t="s">
        <v>283</v>
      </c>
      <c r="T1105" s="169">
        <v>0</v>
      </c>
    </row>
    <row r="1106" spans="2:20" x14ac:dyDescent="0.2">
      <c r="B1106" s="167" t="str">
        <f>_xlfn.XLOOKUP(I1106,Mapping!D:D,Mapping!E:E)</f>
        <v>Kinh doanh</v>
      </c>
      <c r="C1106" s="167" t="str">
        <f>_xlfn.XLOOKUP(F1106,Mapping!A:A,Mapping!F:F)</f>
        <v>BHXH, BHYT, KPCĐ</v>
      </c>
      <c r="D1106" s="173">
        <v>45838</v>
      </c>
      <c r="E1106" s="169" t="s">
        <v>825</v>
      </c>
      <c r="F1106" s="169" t="s">
        <v>392</v>
      </c>
      <c r="G1106" s="169" t="s">
        <v>296</v>
      </c>
      <c r="H1106" s="169" t="s">
        <v>366</v>
      </c>
      <c r="I1106" s="169" t="s">
        <v>1</v>
      </c>
      <c r="J1106" s="169" t="s">
        <v>826</v>
      </c>
      <c r="K1106" s="169" t="s">
        <v>815</v>
      </c>
      <c r="L1106" s="169" t="s">
        <v>816</v>
      </c>
      <c r="M1106" s="169" t="s">
        <v>281</v>
      </c>
      <c r="N1106" s="178">
        <v>56494945</v>
      </c>
      <c r="O1106" s="169" t="s">
        <v>827</v>
      </c>
      <c r="P1106" s="169" t="s">
        <v>283</v>
      </c>
      <c r="Q1106" s="169" t="s">
        <v>284</v>
      </c>
      <c r="R1106" s="169" t="s">
        <v>283</v>
      </c>
      <c r="S1106" s="169" t="s">
        <v>283</v>
      </c>
      <c r="T1106" s="169">
        <v>0</v>
      </c>
    </row>
    <row r="1107" spans="2:20" x14ac:dyDescent="0.2">
      <c r="B1107" s="167" t="str">
        <f>_xlfn.XLOOKUP(I1107,Mapping!D:D,Mapping!E:E)</f>
        <v>Cung Ứng</v>
      </c>
      <c r="C1107" s="167" t="str">
        <f>_xlfn.XLOOKUP(F1107,Mapping!A:A,Mapping!F:F)</f>
        <v>BHXH, BHYT, KPCĐ</v>
      </c>
      <c r="D1107" s="173">
        <v>45838</v>
      </c>
      <c r="E1107" s="169" t="s">
        <v>825</v>
      </c>
      <c r="F1107" s="169" t="s">
        <v>295</v>
      </c>
      <c r="G1107" s="169" t="s">
        <v>296</v>
      </c>
      <c r="H1107" s="169" t="s">
        <v>380</v>
      </c>
      <c r="I1107" s="169" t="s">
        <v>381</v>
      </c>
      <c r="J1107" s="169" t="s">
        <v>826</v>
      </c>
      <c r="K1107" s="169" t="s">
        <v>815</v>
      </c>
      <c r="L1107" s="169" t="s">
        <v>816</v>
      </c>
      <c r="M1107" s="169" t="s">
        <v>281</v>
      </c>
      <c r="N1107" s="178">
        <v>104623615</v>
      </c>
      <c r="O1107" s="169" t="s">
        <v>827</v>
      </c>
      <c r="P1107" s="169" t="s">
        <v>283</v>
      </c>
      <c r="Q1107" s="169" t="s">
        <v>284</v>
      </c>
      <c r="R1107" s="169" t="s">
        <v>283</v>
      </c>
      <c r="S1107" s="169" t="s">
        <v>283</v>
      </c>
      <c r="T1107" s="169">
        <v>0</v>
      </c>
    </row>
    <row r="1108" spans="2:20" x14ac:dyDescent="0.2">
      <c r="B1108" s="167" t="str">
        <f>_xlfn.XLOOKUP(I1108,Mapping!D:D,Mapping!E:E)</f>
        <v>Mua Hàng &amp; XNK</v>
      </c>
      <c r="C1108" s="167" t="str">
        <f>_xlfn.XLOOKUP(F1108,Mapping!A:A,Mapping!F:F)</f>
        <v>BHXH, BHYT, KPCĐ</v>
      </c>
      <c r="D1108" s="173">
        <v>45838</v>
      </c>
      <c r="E1108" s="169" t="s">
        <v>825</v>
      </c>
      <c r="F1108" s="169" t="s">
        <v>295</v>
      </c>
      <c r="G1108" s="169" t="s">
        <v>296</v>
      </c>
      <c r="H1108" s="169" t="s">
        <v>378</v>
      </c>
      <c r="I1108" s="169" t="s">
        <v>379</v>
      </c>
      <c r="J1108" s="169" t="s">
        <v>826</v>
      </c>
      <c r="K1108" s="169" t="s">
        <v>815</v>
      </c>
      <c r="L1108" s="169" t="s">
        <v>816</v>
      </c>
      <c r="M1108" s="169" t="s">
        <v>281</v>
      </c>
      <c r="N1108" s="178">
        <v>27385255</v>
      </c>
      <c r="O1108" s="169" t="s">
        <v>827</v>
      </c>
      <c r="P1108" s="169" t="s">
        <v>283</v>
      </c>
      <c r="Q1108" s="169" t="s">
        <v>284</v>
      </c>
      <c r="R1108" s="169" t="s">
        <v>283</v>
      </c>
      <c r="S1108" s="169" t="s">
        <v>283</v>
      </c>
      <c r="T1108" s="169">
        <v>0</v>
      </c>
    </row>
    <row r="1109" spans="2:20" x14ac:dyDescent="0.2">
      <c r="B1109" s="167" t="str">
        <f>_xlfn.XLOOKUP(I1109,Mapping!D:D,Mapping!E:E)</f>
        <v>Kỹ Thuật</v>
      </c>
      <c r="C1109" s="167" t="str">
        <f>_xlfn.XLOOKUP(F1109,Mapping!A:A,Mapping!F:F)</f>
        <v>BHXH, BHYT, KPCĐ</v>
      </c>
      <c r="D1109" s="173">
        <v>45838</v>
      </c>
      <c r="E1109" s="169" t="s">
        <v>825</v>
      </c>
      <c r="F1109" s="169" t="s">
        <v>393</v>
      </c>
      <c r="G1109" s="169" t="s">
        <v>296</v>
      </c>
      <c r="H1109" s="169" t="s">
        <v>376</v>
      </c>
      <c r="I1109" s="169" t="s">
        <v>377</v>
      </c>
      <c r="J1109" s="169" t="s">
        <v>826</v>
      </c>
      <c r="K1109" s="169" t="s">
        <v>815</v>
      </c>
      <c r="L1109" s="169" t="s">
        <v>816</v>
      </c>
      <c r="M1109" s="169" t="s">
        <v>281</v>
      </c>
      <c r="N1109" s="178">
        <v>237026170</v>
      </c>
      <c r="O1109" s="169" t="s">
        <v>827</v>
      </c>
      <c r="P1109" s="169" t="s">
        <v>283</v>
      </c>
      <c r="Q1109" s="169" t="s">
        <v>284</v>
      </c>
      <c r="R1109" s="169" t="s">
        <v>283</v>
      </c>
      <c r="S1109" s="169" t="s">
        <v>283</v>
      </c>
      <c r="T1109" s="169">
        <v>0</v>
      </c>
    </row>
    <row r="1110" spans="2:20" x14ac:dyDescent="0.2">
      <c r="B1110" s="167" t="str">
        <f>_xlfn.XLOOKUP(I1110,Mapping!D:D,Mapping!E:E)</f>
        <v>Kinh doanh</v>
      </c>
      <c r="C1110" s="167" t="str">
        <f>_xlfn.XLOOKUP(F1110,Mapping!A:A,Mapping!F:F)</f>
        <v>Thưởng</v>
      </c>
      <c r="D1110" s="173">
        <v>45838</v>
      </c>
      <c r="E1110" s="169" t="s">
        <v>860</v>
      </c>
      <c r="F1110" s="169" t="s">
        <v>365</v>
      </c>
      <c r="G1110" s="169" t="s">
        <v>291</v>
      </c>
      <c r="H1110" s="169" t="s">
        <v>366</v>
      </c>
      <c r="I1110" s="169" t="s">
        <v>1</v>
      </c>
      <c r="J1110" s="169" t="s">
        <v>861</v>
      </c>
      <c r="K1110" s="169" t="s">
        <v>670</v>
      </c>
      <c r="L1110" s="169" t="s">
        <v>816</v>
      </c>
      <c r="M1110" s="169" t="s">
        <v>281</v>
      </c>
      <c r="N1110" s="178">
        <v>22983833</v>
      </c>
      <c r="O1110" s="169" t="s">
        <v>862</v>
      </c>
      <c r="P1110" s="169" t="s">
        <v>283</v>
      </c>
      <c r="Q1110" s="169" t="s">
        <v>370</v>
      </c>
      <c r="R1110" s="169" t="s">
        <v>283</v>
      </c>
      <c r="S1110" s="169" t="s">
        <v>283</v>
      </c>
      <c r="T1110" s="169">
        <v>0</v>
      </c>
    </row>
    <row r="1111" spans="2:20" x14ac:dyDescent="0.2">
      <c r="B1111" s="167" t="str">
        <f>_xlfn.XLOOKUP(I1111,Mapping!D:D,Mapping!E:E)</f>
        <v>Kinh doanh</v>
      </c>
      <c r="C1111" s="167" t="str">
        <f>_xlfn.XLOOKUP(F1111,Mapping!A:A,Mapping!F:F)</f>
        <v>Thưởng</v>
      </c>
      <c r="D1111" s="173">
        <v>45838</v>
      </c>
      <c r="E1111" s="169" t="s">
        <v>863</v>
      </c>
      <c r="F1111" s="169" t="s">
        <v>365</v>
      </c>
      <c r="G1111" s="169" t="s">
        <v>291</v>
      </c>
      <c r="H1111" s="169" t="s">
        <v>366</v>
      </c>
      <c r="I1111" s="169" t="s">
        <v>1</v>
      </c>
      <c r="J1111" s="169" t="s">
        <v>864</v>
      </c>
      <c r="K1111" s="169" t="s">
        <v>670</v>
      </c>
      <c r="L1111" s="169" t="s">
        <v>816</v>
      </c>
      <c r="M1111" s="169" t="s">
        <v>281</v>
      </c>
      <c r="N1111" s="178">
        <v>123314837</v>
      </c>
      <c r="O1111" s="169" t="s">
        <v>865</v>
      </c>
      <c r="P1111" s="169" t="s">
        <v>283</v>
      </c>
      <c r="Q1111" s="169" t="s">
        <v>370</v>
      </c>
      <c r="R1111" s="169" t="s">
        <v>283</v>
      </c>
      <c r="S1111" s="169" t="s">
        <v>283</v>
      </c>
      <c r="T1111" s="169">
        <v>0</v>
      </c>
    </row>
    <row r="1112" spans="2:20" x14ac:dyDescent="0.2">
      <c r="B1112" s="167" t="str">
        <f>_xlfn.XLOOKUP(I1112,Mapping!D:D,Mapping!E:E)</f>
        <v>Kinh doanh</v>
      </c>
      <c r="C1112" s="167" t="str">
        <f>_xlfn.XLOOKUP(F1112,Mapping!A:A,Mapping!F:F)</f>
        <v>Thưởng</v>
      </c>
      <c r="D1112" s="173">
        <v>45838</v>
      </c>
      <c r="E1112" s="169" t="s">
        <v>866</v>
      </c>
      <c r="F1112" s="169" t="s">
        <v>365</v>
      </c>
      <c r="G1112" s="169" t="s">
        <v>291</v>
      </c>
      <c r="H1112" s="169" t="s">
        <v>366</v>
      </c>
      <c r="I1112" s="169" t="s">
        <v>1</v>
      </c>
      <c r="J1112" s="169" t="s">
        <v>777</v>
      </c>
      <c r="K1112" s="169" t="s">
        <v>670</v>
      </c>
      <c r="L1112" s="169" t="s">
        <v>816</v>
      </c>
      <c r="M1112" s="169" t="s">
        <v>281</v>
      </c>
      <c r="N1112" s="178">
        <v>-179053379</v>
      </c>
      <c r="O1112" s="169" t="s">
        <v>867</v>
      </c>
      <c r="P1112" s="169" t="s">
        <v>447</v>
      </c>
      <c r="Q1112" s="169" t="s">
        <v>284</v>
      </c>
      <c r="R1112" s="169" t="s">
        <v>283</v>
      </c>
      <c r="S1112" s="169" t="s">
        <v>283</v>
      </c>
      <c r="T1112" s="169">
        <v>0</v>
      </c>
    </row>
    <row r="1113" spans="2:20" x14ac:dyDescent="0.2">
      <c r="B1113" s="167" t="str">
        <f>_xlfn.XLOOKUP(I1113,Mapping!D:D,Mapping!E:E)</f>
        <v>Kinh doanh</v>
      </c>
      <c r="C1113" s="167" t="str">
        <f>_xlfn.XLOOKUP(F1113,Mapping!A:A,Mapping!F:F)</f>
        <v>Phụ Cấp</v>
      </c>
      <c r="D1113" s="173">
        <v>45821</v>
      </c>
      <c r="E1113" s="169" t="s">
        <v>868</v>
      </c>
      <c r="F1113" s="169" t="s">
        <v>385</v>
      </c>
      <c r="G1113" s="169" t="s">
        <v>336</v>
      </c>
      <c r="H1113" s="169" t="s">
        <v>366</v>
      </c>
      <c r="I1113" s="169" t="s">
        <v>1</v>
      </c>
      <c r="J1113" s="169" t="s">
        <v>869</v>
      </c>
      <c r="K1113" s="169" t="s">
        <v>581</v>
      </c>
      <c r="L1113" s="169" t="s">
        <v>816</v>
      </c>
      <c r="M1113" s="169" t="s">
        <v>281</v>
      </c>
      <c r="N1113" s="178">
        <v>4899048</v>
      </c>
      <c r="O1113" s="169" t="s">
        <v>870</v>
      </c>
      <c r="P1113" s="169" t="s">
        <v>283</v>
      </c>
      <c r="Q1113" s="169" t="s">
        <v>306</v>
      </c>
      <c r="R1113" s="169" t="s">
        <v>283</v>
      </c>
      <c r="S1113" s="169" t="s">
        <v>283</v>
      </c>
      <c r="T1113" s="169">
        <v>0</v>
      </c>
    </row>
    <row r="1114" spans="2:20" x14ac:dyDescent="0.2">
      <c r="B1114" s="167" t="str">
        <f>_xlfn.XLOOKUP(I1114,Mapping!D:D,Mapping!E:E)</f>
        <v>Kỹ Thuật</v>
      </c>
      <c r="C1114" s="167" t="str">
        <f>_xlfn.XLOOKUP(F1114,Mapping!A:A,Mapping!F:F)</f>
        <v>Phụ Cấp</v>
      </c>
      <c r="D1114" s="173">
        <v>45834</v>
      </c>
      <c r="E1114" s="169" t="s">
        <v>837</v>
      </c>
      <c r="F1114" s="169" t="s">
        <v>375</v>
      </c>
      <c r="G1114" s="169" t="s">
        <v>336</v>
      </c>
      <c r="H1114" s="169" t="s">
        <v>376</v>
      </c>
      <c r="I1114" s="169" t="s">
        <v>377</v>
      </c>
      <c r="J1114" s="169" t="s">
        <v>838</v>
      </c>
      <c r="K1114" s="169" t="s">
        <v>741</v>
      </c>
      <c r="L1114" s="169" t="s">
        <v>816</v>
      </c>
      <c r="M1114" s="169" t="s">
        <v>281</v>
      </c>
      <c r="N1114" s="178">
        <v>49475000</v>
      </c>
      <c r="O1114" s="169" t="s">
        <v>839</v>
      </c>
      <c r="P1114" s="169" t="s">
        <v>283</v>
      </c>
      <c r="Q1114" s="169" t="s">
        <v>306</v>
      </c>
      <c r="R1114" s="169" t="s">
        <v>283</v>
      </c>
      <c r="S1114" s="169" t="s">
        <v>283</v>
      </c>
      <c r="T1114" s="169">
        <v>0</v>
      </c>
    </row>
    <row r="1115" spans="2:20" x14ac:dyDescent="0.2">
      <c r="B1115" s="167" t="str">
        <f>_xlfn.XLOOKUP(I1115,Mapping!D:D,Mapping!E:E)</f>
        <v>Mua Hàng &amp; XNK</v>
      </c>
      <c r="C1115" s="167" t="str">
        <f>_xlfn.XLOOKUP(F1115,Mapping!A:A,Mapping!F:F)</f>
        <v>Phụ Cấp</v>
      </c>
      <c r="D1115" s="173">
        <v>45834</v>
      </c>
      <c r="E1115" s="169" t="s">
        <v>837</v>
      </c>
      <c r="F1115" s="169" t="s">
        <v>335</v>
      </c>
      <c r="G1115" s="169" t="s">
        <v>336</v>
      </c>
      <c r="H1115" s="169" t="s">
        <v>378</v>
      </c>
      <c r="I1115" s="169" t="s">
        <v>379</v>
      </c>
      <c r="J1115" s="169" t="s">
        <v>838</v>
      </c>
      <c r="K1115" s="169" t="s">
        <v>741</v>
      </c>
      <c r="L1115" s="169" t="s">
        <v>816</v>
      </c>
      <c r="M1115" s="169" t="s">
        <v>281</v>
      </c>
      <c r="N1115" s="178">
        <v>4850000</v>
      </c>
      <c r="O1115" s="169" t="s">
        <v>839</v>
      </c>
      <c r="P1115" s="169" t="s">
        <v>283</v>
      </c>
      <c r="Q1115" s="169" t="s">
        <v>306</v>
      </c>
      <c r="R1115" s="169" t="s">
        <v>283</v>
      </c>
      <c r="S1115" s="169" t="s">
        <v>283</v>
      </c>
      <c r="T1115" s="169">
        <v>0</v>
      </c>
    </row>
    <row r="1116" spans="2:20" x14ac:dyDescent="0.2">
      <c r="B1116" s="167" t="str">
        <f>_xlfn.XLOOKUP(I1116,Mapping!D:D,Mapping!E:E)</f>
        <v>Cung Ứng</v>
      </c>
      <c r="C1116" s="167" t="str">
        <f>_xlfn.XLOOKUP(F1116,Mapping!A:A,Mapping!F:F)</f>
        <v>Phụ Cấp</v>
      </c>
      <c r="D1116" s="173">
        <v>45834</v>
      </c>
      <c r="E1116" s="169" t="s">
        <v>837</v>
      </c>
      <c r="F1116" s="169" t="s">
        <v>335</v>
      </c>
      <c r="G1116" s="169" t="s">
        <v>336</v>
      </c>
      <c r="H1116" s="169" t="s">
        <v>380</v>
      </c>
      <c r="I1116" s="169" t="s">
        <v>381</v>
      </c>
      <c r="J1116" s="169" t="s">
        <v>838</v>
      </c>
      <c r="K1116" s="169" t="s">
        <v>741</v>
      </c>
      <c r="L1116" s="169" t="s">
        <v>816</v>
      </c>
      <c r="M1116" s="169" t="s">
        <v>281</v>
      </c>
      <c r="N1116" s="178">
        <v>2250000</v>
      </c>
      <c r="O1116" s="169" t="s">
        <v>839</v>
      </c>
      <c r="P1116" s="169" t="s">
        <v>283</v>
      </c>
      <c r="Q1116" s="169" t="s">
        <v>306</v>
      </c>
      <c r="R1116" s="169" t="s">
        <v>283</v>
      </c>
      <c r="S1116" s="169" t="s">
        <v>283</v>
      </c>
      <c r="T1116" s="169">
        <v>0</v>
      </c>
    </row>
    <row r="1117" spans="2:20" x14ac:dyDescent="0.2">
      <c r="B1117" s="167" t="str">
        <f>_xlfn.XLOOKUP(I1117,Mapping!D:D,Mapping!E:E)</f>
        <v>Kiểm Soát Chất Lượng</v>
      </c>
      <c r="C1117" s="167" t="str">
        <f>_xlfn.XLOOKUP(F1117,Mapping!A:A,Mapping!F:F)</f>
        <v>Phụ Cấp</v>
      </c>
      <c r="D1117" s="173">
        <v>45838</v>
      </c>
      <c r="E1117" s="169" t="s">
        <v>813</v>
      </c>
      <c r="F1117" s="169" t="s">
        <v>386</v>
      </c>
      <c r="G1117" s="169" t="s">
        <v>341</v>
      </c>
      <c r="H1117" s="169" t="s">
        <v>411</v>
      </c>
      <c r="I1117" s="169" t="s">
        <v>412</v>
      </c>
      <c r="J1117" s="169" t="s">
        <v>814</v>
      </c>
      <c r="K1117" s="169" t="s">
        <v>815</v>
      </c>
      <c r="L1117" s="169" t="s">
        <v>816</v>
      </c>
      <c r="M1117" s="169" t="s">
        <v>281</v>
      </c>
      <c r="N1117" s="178">
        <v>31052483</v>
      </c>
      <c r="O1117" s="169" t="s">
        <v>817</v>
      </c>
      <c r="P1117" s="169" t="s">
        <v>283</v>
      </c>
      <c r="Q1117" s="169" t="s">
        <v>284</v>
      </c>
      <c r="R1117" s="169" t="s">
        <v>283</v>
      </c>
      <c r="S1117" s="169" t="s">
        <v>283</v>
      </c>
      <c r="T1117" s="169">
        <v>0</v>
      </c>
    </row>
    <row r="1118" spans="2:20" x14ac:dyDescent="0.2">
      <c r="B1118" s="167" t="str">
        <f>_xlfn.XLOOKUP(I1118,Mapping!D:D,Mapping!E:E)</f>
        <v>Kiểm Soát Chất Lượng</v>
      </c>
      <c r="C1118" s="167" t="str">
        <f>_xlfn.XLOOKUP(F1118,Mapping!A:A,Mapping!F:F)</f>
        <v>Lương Chính +T13</v>
      </c>
      <c r="D1118" s="173">
        <v>45838</v>
      </c>
      <c r="E1118" s="169" t="s">
        <v>813</v>
      </c>
      <c r="F1118" s="169" t="s">
        <v>387</v>
      </c>
      <c r="G1118" s="169" t="s">
        <v>275</v>
      </c>
      <c r="H1118" s="169" t="s">
        <v>411</v>
      </c>
      <c r="I1118" s="169" t="s">
        <v>412</v>
      </c>
      <c r="J1118" s="169" t="s">
        <v>814</v>
      </c>
      <c r="K1118" s="169" t="s">
        <v>815</v>
      </c>
      <c r="L1118" s="169" t="s">
        <v>816</v>
      </c>
      <c r="M1118" s="169" t="s">
        <v>281</v>
      </c>
      <c r="N1118" s="178">
        <v>545386799</v>
      </c>
      <c r="O1118" s="169" t="s">
        <v>817</v>
      </c>
      <c r="P1118" s="169" t="s">
        <v>283</v>
      </c>
      <c r="Q1118" s="169" t="s">
        <v>284</v>
      </c>
      <c r="R1118" s="169" t="s">
        <v>283</v>
      </c>
      <c r="S1118" s="169" t="s">
        <v>283</v>
      </c>
      <c r="T1118" s="169">
        <v>0</v>
      </c>
    </row>
    <row r="1119" spans="2:20" x14ac:dyDescent="0.2">
      <c r="B1119" s="167" t="str">
        <f>_xlfn.XLOOKUP(I1119,Mapping!D:D,Mapping!E:E)</f>
        <v>Kiểm Soát Chất Lượng</v>
      </c>
      <c r="C1119" s="167" t="str">
        <f>_xlfn.XLOOKUP(F1119,Mapping!A:A,Mapping!F:F)</f>
        <v>Lương Chính +T13</v>
      </c>
      <c r="D1119" s="173">
        <v>45838</v>
      </c>
      <c r="E1119" s="169" t="s">
        <v>813</v>
      </c>
      <c r="F1119" s="169" t="s">
        <v>388</v>
      </c>
      <c r="G1119" s="169" t="s">
        <v>286</v>
      </c>
      <c r="H1119" s="169" t="s">
        <v>411</v>
      </c>
      <c r="I1119" s="169" t="s">
        <v>412</v>
      </c>
      <c r="J1119" s="169" t="s">
        <v>814</v>
      </c>
      <c r="K1119" s="169" t="s">
        <v>815</v>
      </c>
      <c r="L1119" s="169" t="s">
        <v>816</v>
      </c>
      <c r="M1119" s="169" t="s">
        <v>281</v>
      </c>
      <c r="N1119" s="178">
        <v>20358945</v>
      </c>
      <c r="O1119" s="169" t="s">
        <v>817</v>
      </c>
      <c r="P1119" s="169" t="s">
        <v>283</v>
      </c>
      <c r="Q1119" s="169" t="s">
        <v>284</v>
      </c>
      <c r="R1119" s="169" t="s">
        <v>283</v>
      </c>
      <c r="S1119" s="169" t="s">
        <v>283</v>
      </c>
      <c r="T1119" s="169">
        <v>0</v>
      </c>
    </row>
    <row r="1120" spans="2:20" x14ac:dyDescent="0.2">
      <c r="B1120" s="167" t="str">
        <f>_xlfn.XLOOKUP(I1120,Mapping!D:D,Mapping!E:E)</f>
        <v>Kiểm Soát Chất Lượng</v>
      </c>
      <c r="C1120" s="167" t="str">
        <f>_xlfn.XLOOKUP(F1120,Mapping!A:A,Mapping!F:F)</f>
        <v>Lương Ngoài giờ</v>
      </c>
      <c r="D1120" s="173">
        <v>45838</v>
      </c>
      <c r="E1120" s="169" t="s">
        <v>813</v>
      </c>
      <c r="F1120" s="169" t="s">
        <v>389</v>
      </c>
      <c r="G1120" s="169" t="s">
        <v>390</v>
      </c>
      <c r="H1120" s="169" t="s">
        <v>411</v>
      </c>
      <c r="I1120" s="169" t="s">
        <v>412</v>
      </c>
      <c r="J1120" s="169" t="s">
        <v>814</v>
      </c>
      <c r="K1120" s="169" t="s">
        <v>815</v>
      </c>
      <c r="L1120" s="169" t="s">
        <v>816</v>
      </c>
      <c r="M1120" s="169" t="s">
        <v>281</v>
      </c>
      <c r="N1120" s="178">
        <v>202181562</v>
      </c>
      <c r="O1120" s="169" t="s">
        <v>817</v>
      </c>
      <c r="P1120" s="169" t="s">
        <v>283</v>
      </c>
      <c r="Q1120" s="169" t="s">
        <v>284</v>
      </c>
      <c r="R1120" s="169" t="s">
        <v>283</v>
      </c>
      <c r="S1120" s="169" t="s">
        <v>283</v>
      </c>
      <c r="T1120" s="169">
        <v>0</v>
      </c>
    </row>
    <row r="1121" spans="1:20" x14ac:dyDescent="0.2">
      <c r="B1121" s="167" t="str">
        <f>_xlfn.XLOOKUP(I1121,Mapping!D:D,Mapping!E:E)</f>
        <v>Kiểm Soát Chất Lượng</v>
      </c>
      <c r="C1121" s="167" t="str">
        <f>_xlfn.XLOOKUP(F1121,Mapping!A:A,Mapping!F:F)</f>
        <v>Phụ Cấp</v>
      </c>
      <c r="D1121" s="173">
        <v>45838</v>
      </c>
      <c r="E1121" s="169" t="s">
        <v>813</v>
      </c>
      <c r="F1121" s="169" t="s">
        <v>375</v>
      </c>
      <c r="G1121" s="169" t="s">
        <v>336</v>
      </c>
      <c r="H1121" s="169" t="s">
        <v>411</v>
      </c>
      <c r="I1121" s="169" t="s">
        <v>412</v>
      </c>
      <c r="J1121" s="169" t="s">
        <v>814</v>
      </c>
      <c r="K1121" s="169" t="s">
        <v>815</v>
      </c>
      <c r="L1121" s="169" t="s">
        <v>816</v>
      </c>
      <c r="M1121" s="169" t="s">
        <v>281</v>
      </c>
      <c r="N1121" s="178">
        <v>9620000</v>
      </c>
      <c r="O1121" s="169" t="s">
        <v>817</v>
      </c>
      <c r="P1121" s="169" t="s">
        <v>283</v>
      </c>
      <c r="Q1121" s="169" t="s">
        <v>284</v>
      </c>
      <c r="R1121" s="169" t="s">
        <v>283</v>
      </c>
      <c r="S1121" s="169" t="s">
        <v>283</v>
      </c>
      <c r="T1121" s="169">
        <v>0</v>
      </c>
    </row>
    <row r="1122" spans="1:20" x14ac:dyDescent="0.2">
      <c r="B1122" s="167" t="str">
        <f>_xlfn.XLOOKUP(I1122,Mapping!D:D,Mapping!E:E)</f>
        <v>Nghiên Cứu &amp; Phát Triển</v>
      </c>
      <c r="C1122" s="167" t="str">
        <f>_xlfn.XLOOKUP(F1122,Mapping!A:A,Mapping!F:F)</f>
        <v>Lương Chính +T13</v>
      </c>
      <c r="D1122" s="173">
        <v>45838</v>
      </c>
      <c r="E1122" s="169" t="s">
        <v>813</v>
      </c>
      <c r="F1122" s="169" t="s">
        <v>387</v>
      </c>
      <c r="G1122" s="169" t="s">
        <v>275</v>
      </c>
      <c r="H1122" s="169" t="s">
        <v>418</v>
      </c>
      <c r="I1122" s="169" t="s">
        <v>419</v>
      </c>
      <c r="J1122" s="169" t="s">
        <v>814</v>
      </c>
      <c r="K1122" s="169" t="s">
        <v>815</v>
      </c>
      <c r="L1122" s="169" t="s">
        <v>816</v>
      </c>
      <c r="M1122" s="169" t="s">
        <v>281</v>
      </c>
      <c r="N1122" s="178">
        <v>130997772</v>
      </c>
      <c r="O1122" s="169" t="s">
        <v>817</v>
      </c>
      <c r="P1122" s="169" t="s">
        <v>283</v>
      </c>
      <c r="Q1122" s="169" t="s">
        <v>284</v>
      </c>
      <c r="R1122" s="169" t="s">
        <v>283</v>
      </c>
      <c r="S1122" s="169" t="s">
        <v>283</v>
      </c>
      <c r="T1122" s="169">
        <v>0</v>
      </c>
    </row>
    <row r="1123" spans="1:20" x14ac:dyDescent="0.2">
      <c r="B1123" s="167" t="str">
        <f>_xlfn.XLOOKUP(I1123,Mapping!D:D,Mapping!E:E)</f>
        <v>Nghiên Cứu &amp; Phát Triển</v>
      </c>
      <c r="C1123" s="167" t="str">
        <f>_xlfn.XLOOKUP(F1123,Mapping!A:A,Mapping!F:F)</f>
        <v>Lương Chính +T13</v>
      </c>
      <c r="D1123" s="173">
        <v>45838</v>
      </c>
      <c r="E1123" s="169" t="s">
        <v>813</v>
      </c>
      <c r="F1123" s="169" t="s">
        <v>388</v>
      </c>
      <c r="G1123" s="169" t="s">
        <v>286</v>
      </c>
      <c r="H1123" s="169" t="s">
        <v>418</v>
      </c>
      <c r="I1123" s="169" t="s">
        <v>419</v>
      </c>
      <c r="J1123" s="169" t="s">
        <v>814</v>
      </c>
      <c r="K1123" s="169" t="s">
        <v>815</v>
      </c>
      <c r="L1123" s="169" t="s">
        <v>816</v>
      </c>
      <c r="M1123" s="169" t="s">
        <v>281</v>
      </c>
      <c r="N1123" s="178">
        <v>11641385</v>
      </c>
      <c r="O1123" s="169" t="s">
        <v>817</v>
      </c>
      <c r="P1123" s="169" t="s">
        <v>283</v>
      </c>
      <c r="Q1123" s="169" t="s">
        <v>284</v>
      </c>
      <c r="R1123" s="169" t="s">
        <v>283</v>
      </c>
      <c r="S1123" s="169" t="s">
        <v>283</v>
      </c>
      <c r="T1123" s="169">
        <v>0</v>
      </c>
    </row>
    <row r="1124" spans="1:20" x14ac:dyDescent="0.2">
      <c r="B1124" s="167" t="str">
        <f>_xlfn.XLOOKUP(I1124,Mapping!D:D,Mapping!E:E)</f>
        <v>Nghiên Cứu &amp; Phát Triển</v>
      </c>
      <c r="C1124" s="167" t="str">
        <f>_xlfn.XLOOKUP(F1124,Mapping!A:A,Mapping!F:F)</f>
        <v>Phụ Cấp</v>
      </c>
      <c r="D1124" s="173">
        <v>45838</v>
      </c>
      <c r="E1124" s="169" t="s">
        <v>813</v>
      </c>
      <c r="F1124" s="169" t="s">
        <v>375</v>
      </c>
      <c r="G1124" s="169" t="s">
        <v>336</v>
      </c>
      <c r="H1124" s="169" t="s">
        <v>418</v>
      </c>
      <c r="I1124" s="169" t="s">
        <v>419</v>
      </c>
      <c r="J1124" s="169" t="s">
        <v>814</v>
      </c>
      <c r="K1124" s="169" t="s">
        <v>815</v>
      </c>
      <c r="L1124" s="169" t="s">
        <v>816</v>
      </c>
      <c r="M1124" s="169" t="s">
        <v>281</v>
      </c>
      <c r="N1124" s="178">
        <v>200000</v>
      </c>
      <c r="O1124" s="169" t="s">
        <v>817</v>
      </c>
      <c r="P1124" s="169" t="s">
        <v>283</v>
      </c>
      <c r="Q1124" s="169" t="s">
        <v>284</v>
      </c>
      <c r="R1124" s="169" t="s">
        <v>283</v>
      </c>
      <c r="S1124" s="169" t="s">
        <v>283</v>
      </c>
      <c r="T1124" s="169">
        <v>0</v>
      </c>
    </row>
    <row r="1125" spans="1:20" x14ac:dyDescent="0.2">
      <c r="A1125" s="169">
        <v>622</v>
      </c>
      <c r="B1125" s="167" t="str">
        <f>_xlfn.XLOOKUP(I1125,Mapping!D:D,Mapping!E:E)</f>
        <v>Xưởng Sản Xuất</v>
      </c>
      <c r="C1125" s="167" t="str">
        <f>_xlfn.XLOOKUP(F1125,Mapping!A:A,Mapping!F:F)</f>
        <v>Lương Chính +T13</v>
      </c>
      <c r="D1125" s="173">
        <v>45838</v>
      </c>
      <c r="E1125" s="169" t="s">
        <v>813</v>
      </c>
      <c r="F1125" s="169" t="s">
        <v>400</v>
      </c>
      <c r="G1125" s="169" t="s">
        <v>401</v>
      </c>
      <c r="H1125" s="169" t="s">
        <v>402</v>
      </c>
      <c r="I1125" s="169" t="s">
        <v>403</v>
      </c>
      <c r="J1125" s="169" t="s">
        <v>814</v>
      </c>
      <c r="K1125" s="169" t="s">
        <v>815</v>
      </c>
      <c r="L1125" s="169" t="s">
        <v>816</v>
      </c>
      <c r="M1125" s="169" t="s">
        <v>281</v>
      </c>
      <c r="N1125" s="178">
        <v>1673998566</v>
      </c>
      <c r="O1125" s="169" t="s">
        <v>817</v>
      </c>
      <c r="P1125" s="169" t="s">
        <v>283</v>
      </c>
      <c r="Q1125" s="169" t="s">
        <v>284</v>
      </c>
      <c r="R1125" s="169" t="s">
        <v>283</v>
      </c>
      <c r="S1125" s="169" t="s">
        <v>283</v>
      </c>
      <c r="T1125" s="169">
        <v>0</v>
      </c>
    </row>
    <row r="1126" spans="1:20" x14ac:dyDescent="0.2">
      <c r="A1126" s="169">
        <v>622</v>
      </c>
      <c r="B1126" s="167" t="str">
        <f>_xlfn.XLOOKUP(I1126,Mapping!D:D,Mapping!E:E)</f>
        <v>Xưởng Sản Xuất</v>
      </c>
      <c r="C1126" s="167" t="str">
        <f>_xlfn.XLOOKUP(F1126,Mapping!A:A,Mapping!F:F)</f>
        <v>Lương Chính +T13</v>
      </c>
      <c r="D1126" s="173">
        <v>45838</v>
      </c>
      <c r="E1126" s="169" t="s">
        <v>813</v>
      </c>
      <c r="F1126" s="169" t="s">
        <v>420</v>
      </c>
      <c r="G1126" s="169" t="s">
        <v>286</v>
      </c>
      <c r="H1126" s="169" t="s">
        <v>402</v>
      </c>
      <c r="I1126" s="169" t="s">
        <v>403</v>
      </c>
      <c r="J1126" s="169" t="s">
        <v>814</v>
      </c>
      <c r="K1126" s="169" t="s">
        <v>815</v>
      </c>
      <c r="L1126" s="169" t="s">
        <v>816</v>
      </c>
      <c r="M1126" s="169" t="s">
        <v>281</v>
      </c>
      <c r="N1126" s="178">
        <v>34300629</v>
      </c>
      <c r="O1126" s="169" t="s">
        <v>817</v>
      </c>
      <c r="P1126" s="169" t="s">
        <v>283</v>
      </c>
      <c r="Q1126" s="169" t="s">
        <v>284</v>
      </c>
      <c r="R1126" s="169" t="s">
        <v>283</v>
      </c>
      <c r="S1126" s="169" t="s">
        <v>283</v>
      </c>
      <c r="T1126" s="169">
        <v>0</v>
      </c>
    </row>
    <row r="1127" spans="1:20" x14ac:dyDescent="0.2">
      <c r="A1127" s="169">
        <v>622</v>
      </c>
      <c r="B1127" s="167" t="str">
        <f>_xlfn.XLOOKUP(I1127,Mapping!D:D,Mapping!E:E)</f>
        <v>Xưởng Sản Xuất</v>
      </c>
      <c r="C1127" s="167" t="str">
        <f>_xlfn.XLOOKUP(F1127,Mapping!A:A,Mapping!F:F)</f>
        <v>Phụ Cấp</v>
      </c>
      <c r="D1127" s="173">
        <v>45838</v>
      </c>
      <c r="E1127" s="169" t="s">
        <v>813</v>
      </c>
      <c r="F1127" s="169" t="s">
        <v>421</v>
      </c>
      <c r="G1127" s="169" t="s">
        <v>341</v>
      </c>
      <c r="H1127" s="169" t="s">
        <v>402</v>
      </c>
      <c r="I1127" s="169" t="s">
        <v>403</v>
      </c>
      <c r="J1127" s="169" t="s">
        <v>814</v>
      </c>
      <c r="K1127" s="169" t="s">
        <v>815</v>
      </c>
      <c r="L1127" s="169" t="s">
        <v>816</v>
      </c>
      <c r="M1127" s="169" t="s">
        <v>281</v>
      </c>
      <c r="N1127" s="178">
        <v>142169964</v>
      </c>
      <c r="O1127" s="169" t="s">
        <v>817</v>
      </c>
      <c r="P1127" s="169" t="s">
        <v>283</v>
      </c>
      <c r="Q1127" s="169" t="s">
        <v>284</v>
      </c>
      <c r="R1127" s="169" t="s">
        <v>283</v>
      </c>
      <c r="S1127" s="169" t="s">
        <v>283</v>
      </c>
      <c r="T1127" s="169">
        <v>0</v>
      </c>
    </row>
    <row r="1128" spans="1:20" x14ac:dyDescent="0.2">
      <c r="A1128" s="169">
        <v>622</v>
      </c>
      <c r="B1128" s="167" t="str">
        <f>_xlfn.XLOOKUP(I1128,Mapping!D:D,Mapping!E:E)</f>
        <v>Xưởng Sản Xuất</v>
      </c>
      <c r="C1128" s="167" t="str">
        <f>_xlfn.XLOOKUP(F1128,Mapping!A:A,Mapping!F:F)</f>
        <v>Lương Ngoài giờ</v>
      </c>
      <c r="D1128" s="173">
        <v>45838</v>
      </c>
      <c r="E1128" s="169" t="s">
        <v>813</v>
      </c>
      <c r="F1128" s="169" t="s">
        <v>422</v>
      </c>
      <c r="G1128" s="169" t="s">
        <v>423</v>
      </c>
      <c r="H1128" s="169" t="s">
        <v>402</v>
      </c>
      <c r="I1128" s="169" t="s">
        <v>403</v>
      </c>
      <c r="J1128" s="169" t="s">
        <v>814</v>
      </c>
      <c r="K1128" s="169" t="s">
        <v>815</v>
      </c>
      <c r="L1128" s="169" t="s">
        <v>816</v>
      </c>
      <c r="M1128" s="169" t="s">
        <v>281</v>
      </c>
      <c r="N1128" s="178">
        <v>332870237</v>
      </c>
      <c r="O1128" s="169" t="s">
        <v>817</v>
      </c>
      <c r="P1128" s="169" t="s">
        <v>283</v>
      </c>
      <c r="Q1128" s="169" t="s">
        <v>284</v>
      </c>
      <c r="R1128" s="169" t="s">
        <v>283</v>
      </c>
      <c r="S1128" s="169" t="s">
        <v>283</v>
      </c>
      <c r="T1128" s="169">
        <v>0</v>
      </c>
    </row>
    <row r="1129" spans="1:20" x14ac:dyDescent="0.2">
      <c r="A1129" s="169">
        <v>622</v>
      </c>
      <c r="B1129" s="167" t="str">
        <f>_xlfn.XLOOKUP(I1129,Mapping!D:D,Mapping!E:E)</f>
        <v>Xưởng Sản Xuất</v>
      </c>
      <c r="C1129" s="167" t="str">
        <f>_xlfn.XLOOKUP(F1129,Mapping!A:A,Mapping!F:F)</f>
        <v>Phụ Cấp</v>
      </c>
      <c r="D1129" s="173">
        <v>45838</v>
      </c>
      <c r="E1129" s="169" t="s">
        <v>813</v>
      </c>
      <c r="F1129" s="169" t="s">
        <v>414</v>
      </c>
      <c r="G1129" s="169" t="s">
        <v>415</v>
      </c>
      <c r="H1129" s="169" t="s">
        <v>402</v>
      </c>
      <c r="I1129" s="169" t="s">
        <v>403</v>
      </c>
      <c r="J1129" s="169" t="s">
        <v>814</v>
      </c>
      <c r="K1129" s="169" t="s">
        <v>815</v>
      </c>
      <c r="L1129" s="169" t="s">
        <v>816</v>
      </c>
      <c r="M1129" s="169" t="s">
        <v>281</v>
      </c>
      <c r="N1129" s="178">
        <v>37860000</v>
      </c>
      <c r="O1129" s="169" t="s">
        <v>817</v>
      </c>
      <c r="P1129" s="169" t="s">
        <v>283</v>
      </c>
      <c r="Q1129" s="169" t="s">
        <v>284</v>
      </c>
      <c r="R1129" s="169" t="s">
        <v>283</v>
      </c>
      <c r="S1129" s="169" t="s">
        <v>283</v>
      </c>
      <c r="T1129" s="169">
        <v>0</v>
      </c>
    </row>
    <row r="1130" spans="1:20" x14ac:dyDescent="0.2">
      <c r="A1130" s="169">
        <v>627</v>
      </c>
      <c r="B1130" s="167" t="str">
        <f>_xlfn.XLOOKUP(I1130,Mapping!D:D,Mapping!E:E)</f>
        <v>Xưởng Sản Xuất</v>
      </c>
      <c r="C1130" s="167" t="str">
        <f>_xlfn.XLOOKUP(F1130,Mapping!A:A,Mapping!F:F)</f>
        <v>Phụ Cấp</v>
      </c>
      <c r="D1130" s="173">
        <v>45838</v>
      </c>
      <c r="E1130" s="169" t="s">
        <v>813</v>
      </c>
      <c r="F1130" s="169" t="s">
        <v>386</v>
      </c>
      <c r="G1130" s="169" t="s">
        <v>341</v>
      </c>
      <c r="H1130" s="169" t="s">
        <v>402</v>
      </c>
      <c r="I1130" s="169" t="s">
        <v>403</v>
      </c>
      <c r="J1130" s="169" t="s">
        <v>814</v>
      </c>
      <c r="K1130" s="169" t="s">
        <v>815</v>
      </c>
      <c r="L1130" s="169" t="s">
        <v>816</v>
      </c>
      <c r="M1130" s="169" t="s">
        <v>281</v>
      </c>
      <c r="N1130" s="178">
        <v>16439329</v>
      </c>
      <c r="O1130" s="169" t="s">
        <v>817</v>
      </c>
      <c r="P1130" s="169" t="s">
        <v>283</v>
      </c>
      <c r="Q1130" s="169" t="s">
        <v>284</v>
      </c>
      <c r="R1130" s="169" t="s">
        <v>283</v>
      </c>
      <c r="S1130" s="169" t="s">
        <v>283</v>
      </c>
      <c r="T1130" s="169">
        <v>0</v>
      </c>
    </row>
    <row r="1131" spans="1:20" x14ac:dyDescent="0.2">
      <c r="A1131" s="169">
        <v>627</v>
      </c>
      <c r="B1131" s="167" t="str">
        <f>_xlfn.XLOOKUP(I1131,Mapping!D:D,Mapping!E:E)</f>
        <v>Xưởng Sản Xuất</v>
      </c>
      <c r="C1131" s="167" t="str">
        <f>_xlfn.XLOOKUP(F1131,Mapping!A:A,Mapping!F:F)</f>
        <v>Lương Chính +T13</v>
      </c>
      <c r="D1131" s="173">
        <v>45838</v>
      </c>
      <c r="E1131" s="169" t="s">
        <v>813</v>
      </c>
      <c r="F1131" s="169" t="s">
        <v>387</v>
      </c>
      <c r="G1131" s="169" t="s">
        <v>275</v>
      </c>
      <c r="H1131" s="169" t="s">
        <v>402</v>
      </c>
      <c r="I1131" s="169" t="s">
        <v>403</v>
      </c>
      <c r="J1131" s="169" t="s">
        <v>814</v>
      </c>
      <c r="K1131" s="169" t="s">
        <v>815</v>
      </c>
      <c r="L1131" s="169" t="s">
        <v>816</v>
      </c>
      <c r="M1131" s="169" t="s">
        <v>281</v>
      </c>
      <c r="N1131" s="178">
        <v>479174970</v>
      </c>
      <c r="O1131" s="169" t="s">
        <v>817</v>
      </c>
      <c r="P1131" s="169" t="s">
        <v>283</v>
      </c>
      <c r="Q1131" s="169" t="s">
        <v>284</v>
      </c>
      <c r="R1131" s="169" t="s">
        <v>283</v>
      </c>
      <c r="S1131" s="169" t="s">
        <v>283</v>
      </c>
      <c r="T1131" s="169">
        <v>0</v>
      </c>
    </row>
    <row r="1132" spans="1:20" x14ac:dyDescent="0.2">
      <c r="A1132" s="169">
        <v>627</v>
      </c>
      <c r="B1132" s="167" t="str">
        <f>_xlfn.XLOOKUP(I1132,Mapping!D:D,Mapping!E:E)</f>
        <v>Xưởng Sản Xuất</v>
      </c>
      <c r="C1132" s="167" t="str">
        <f>_xlfn.XLOOKUP(F1132,Mapping!A:A,Mapping!F:F)</f>
        <v>Lương Chính +T13</v>
      </c>
      <c r="D1132" s="173">
        <v>45838</v>
      </c>
      <c r="E1132" s="169" t="s">
        <v>813</v>
      </c>
      <c r="F1132" s="169" t="s">
        <v>388</v>
      </c>
      <c r="G1132" s="169" t="s">
        <v>286</v>
      </c>
      <c r="H1132" s="169" t="s">
        <v>402</v>
      </c>
      <c r="I1132" s="169" t="s">
        <v>403</v>
      </c>
      <c r="J1132" s="169" t="s">
        <v>814</v>
      </c>
      <c r="K1132" s="169" t="s">
        <v>815</v>
      </c>
      <c r="L1132" s="169" t="s">
        <v>816</v>
      </c>
      <c r="M1132" s="169" t="s">
        <v>281</v>
      </c>
      <c r="N1132" s="178">
        <v>16480923</v>
      </c>
      <c r="O1132" s="169" t="s">
        <v>817</v>
      </c>
      <c r="P1132" s="169" t="s">
        <v>283</v>
      </c>
      <c r="Q1132" s="169" t="s">
        <v>284</v>
      </c>
      <c r="R1132" s="169" t="s">
        <v>283</v>
      </c>
      <c r="S1132" s="169" t="s">
        <v>283</v>
      </c>
      <c r="T1132" s="169">
        <v>0</v>
      </c>
    </row>
    <row r="1133" spans="1:20" x14ac:dyDescent="0.2">
      <c r="A1133" s="169">
        <v>627</v>
      </c>
      <c r="B1133" s="167" t="str">
        <f>_xlfn.XLOOKUP(I1133,Mapping!D:D,Mapping!E:E)</f>
        <v>Xưởng Sản Xuất</v>
      </c>
      <c r="C1133" s="167" t="str">
        <f>_xlfn.XLOOKUP(F1133,Mapping!A:A,Mapping!F:F)</f>
        <v>Lương Ngoài giờ</v>
      </c>
      <c r="D1133" s="173">
        <v>45838</v>
      </c>
      <c r="E1133" s="169" t="s">
        <v>813</v>
      </c>
      <c r="F1133" s="169" t="s">
        <v>389</v>
      </c>
      <c r="G1133" s="169" t="s">
        <v>390</v>
      </c>
      <c r="H1133" s="169" t="s">
        <v>402</v>
      </c>
      <c r="I1133" s="169" t="s">
        <v>403</v>
      </c>
      <c r="J1133" s="169" t="s">
        <v>814</v>
      </c>
      <c r="K1133" s="169" t="s">
        <v>815</v>
      </c>
      <c r="L1133" s="169" t="s">
        <v>816</v>
      </c>
      <c r="M1133" s="169" t="s">
        <v>281</v>
      </c>
      <c r="N1133" s="178">
        <v>54737934</v>
      </c>
      <c r="O1133" s="169" t="s">
        <v>817</v>
      </c>
      <c r="P1133" s="169" t="s">
        <v>283</v>
      </c>
      <c r="Q1133" s="169" t="s">
        <v>284</v>
      </c>
      <c r="R1133" s="169" t="s">
        <v>283</v>
      </c>
      <c r="S1133" s="169" t="s">
        <v>283</v>
      </c>
      <c r="T1133" s="169">
        <v>0</v>
      </c>
    </row>
    <row r="1134" spans="1:20" x14ac:dyDescent="0.2">
      <c r="A1134" s="169">
        <v>627</v>
      </c>
      <c r="B1134" s="167" t="str">
        <f>_xlfn.XLOOKUP(I1134,Mapping!D:D,Mapping!E:E)</f>
        <v>Xưởng Sản Xuất</v>
      </c>
      <c r="C1134" s="167" t="str">
        <f>_xlfn.XLOOKUP(F1134,Mapping!A:A,Mapping!F:F)</f>
        <v>Phụ Cấp</v>
      </c>
      <c r="D1134" s="173">
        <v>45838</v>
      </c>
      <c r="E1134" s="169" t="s">
        <v>813</v>
      </c>
      <c r="F1134" s="169" t="s">
        <v>375</v>
      </c>
      <c r="G1134" s="169" t="s">
        <v>336</v>
      </c>
      <c r="H1134" s="169" t="s">
        <v>402</v>
      </c>
      <c r="I1134" s="169" t="s">
        <v>403</v>
      </c>
      <c r="J1134" s="169" t="s">
        <v>814</v>
      </c>
      <c r="K1134" s="169" t="s">
        <v>815</v>
      </c>
      <c r="L1134" s="169" t="s">
        <v>816</v>
      </c>
      <c r="M1134" s="169" t="s">
        <v>281</v>
      </c>
      <c r="N1134" s="178">
        <v>4000000</v>
      </c>
      <c r="O1134" s="169" t="s">
        <v>817</v>
      </c>
      <c r="P1134" s="169" t="s">
        <v>283</v>
      </c>
      <c r="Q1134" s="169" t="s">
        <v>284</v>
      </c>
      <c r="R1134" s="169" t="s">
        <v>283</v>
      </c>
      <c r="S1134" s="169" t="s">
        <v>283</v>
      </c>
      <c r="T1134" s="169">
        <v>0</v>
      </c>
    </row>
    <row r="1135" spans="1:20" x14ac:dyDescent="0.2">
      <c r="B1135" s="167" t="str">
        <f>_xlfn.XLOOKUP(I1135,Mapping!D:D,Mapping!E:E)</f>
        <v>Kiểm Soát Chất Lượng</v>
      </c>
      <c r="C1135" s="167" t="str">
        <f>_xlfn.XLOOKUP(F1135,Mapping!A:A,Mapping!F:F)</f>
        <v>Lương Chính +T13</v>
      </c>
      <c r="D1135" s="173">
        <v>45838</v>
      </c>
      <c r="E1135" s="169" t="s">
        <v>818</v>
      </c>
      <c r="F1135" s="169" t="s">
        <v>388</v>
      </c>
      <c r="G1135" s="169" t="s">
        <v>286</v>
      </c>
      <c r="H1135" s="169" t="s">
        <v>411</v>
      </c>
      <c r="I1135" s="169" t="s">
        <v>412</v>
      </c>
      <c r="J1135" s="169" t="s">
        <v>819</v>
      </c>
      <c r="K1135" s="169" t="s">
        <v>815</v>
      </c>
      <c r="L1135" s="169" t="s">
        <v>816</v>
      </c>
      <c r="M1135" s="169" t="s">
        <v>281</v>
      </c>
      <c r="N1135" s="178">
        <v>44615083</v>
      </c>
      <c r="O1135" s="169" t="s">
        <v>820</v>
      </c>
      <c r="P1135" s="169" t="s">
        <v>283</v>
      </c>
      <c r="Q1135" s="169" t="s">
        <v>284</v>
      </c>
      <c r="R1135" s="169" t="s">
        <v>283</v>
      </c>
      <c r="S1135" s="169" t="s">
        <v>283</v>
      </c>
      <c r="T1135" s="169">
        <v>0</v>
      </c>
    </row>
    <row r="1136" spans="1:20" x14ac:dyDescent="0.2">
      <c r="B1136" s="167" t="str">
        <f>_xlfn.XLOOKUP(I1136,Mapping!D:D,Mapping!E:E)</f>
        <v>Kiểm Soát Chất Lượng</v>
      </c>
      <c r="C1136" s="167" t="str">
        <f>_xlfn.XLOOKUP(F1136,Mapping!A:A,Mapping!F:F)</f>
        <v>Thưởng</v>
      </c>
      <c r="D1136" s="173">
        <v>45838</v>
      </c>
      <c r="E1136" s="169" t="s">
        <v>818</v>
      </c>
      <c r="F1136" s="169" t="s">
        <v>395</v>
      </c>
      <c r="G1136" s="169" t="s">
        <v>77</v>
      </c>
      <c r="H1136" s="169" t="s">
        <v>411</v>
      </c>
      <c r="I1136" s="169" t="s">
        <v>412</v>
      </c>
      <c r="J1136" s="169" t="s">
        <v>821</v>
      </c>
      <c r="K1136" s="169" t="s">
        <v>815</v>
      </c>
      <c r="L1136" s="169" t="s">
        <v>816</v>
      </c>
      <c r="M1136" s="169" t="s">
        <v>281</v>
      </c>
      <c r="N1136" s="178">
        <v>41045520</v>
      </c>
      <c r="O1136" s="169" t="s">
        <v>820</v>
      </c>
      <c r="P1136" s="169" t="s">
        <v>283</v>
      </c>
      <c r="Q1136" s="169" t="s">
        <v>284</v>
      </c>
      <c r="R1136" s="169" t="s">
        <v>283</v>
      </c>
      <c r="S1136" s="169" t="s">
        <v>283</v>
      </c>
      <c r="T1136" s="169">
        <v>0</v>
      </c>
    </row>
    <row r="1137" spans="1:20" x14ac:dyDescent="0.2">
      <c r="B1137" s="167" t="str">
        <f>_xlfn.XLOOKUP(I1137,Mapping!D:D,Mapping!E:E)</f>
        <v>Nghiên Cứu &amp; Phát Triển</v>
      </c>
      <c r="C1137" s="167" t="str">
        <f>_xlfn.XLOOKUP(F1137,Mapping!A:A,Mapping!F:F)</f>
        <v>Lương Chính +T13</v>
      </c>
      <c r="D1137" s="173">
        <v>45838</v>
      </c>
      <c r="E1137" s="169" t="s">
        <v>818</v>
      </c>
      <c r="F1137" s="169" t="s">
        <v>388</v>
      </c>
      <c r="G1137" s="169" t="s">
        <v>286</v>
      </c>
      <c r="H1137" s="169" t="s">
        <v>418</v>
      </c>
      <c r="I1137" s="169" t="s">
        <v>419</v>
      </c>
      <c r="J1137" s="169" t="s">
        <v>819</v>
      </c>
      <c r="K1137" s="169" t="s">
        <v>815</v>
      </c>
      <c r="L1137" s="169" t="s">
        <v>816</v>
      </c>
      <c r="M1137" s="169" t="s">
        <v>281</v>
      </c>
      <c r="N1137" s="178">
        <v>10902083</v>
      </c>
      <c r="O1137" s="169" t="s">
        <v>820</v>
      </c>
      <c r="P1137" s="169" t="s">
        <v>283</v>
      </c>
      <c r="Q1137" s="169" t="s">
        <v>284</v>
      </c>
      <c r="R1137" s="169" t="s">
        <v>283</v>
      </c>
      <c r="S1137" s="169" t="s">
        <v>283</v>
      </c>
      <c r="T1137" s="169">
        <v>0</v>
      </c>
    </row>
    <row r="1138" spans="1:20" x14ac:dyDescent="0.2">
      <c r="B1138" s="167" t="str">
        <f>_xlfn.XLOOKUP(I1138,Mapping!D:D,Mapping!E:E)</f>
        <v>Nghiên Cứu &amp; Phát Triển</v>
      </c>
      <c r="C1138" s="167" t="str">
        <f>_xlfn.XLOOKUP(F1138,Mapping!A:A,Mapping!F:F)</f>
        <v>Thưởng</v>
      </c>
      <c r="D1138" s="173">
        <v>45838</v>
      </c>
      <c r="E1138" s="169" t="s">
        <v>818</v>
      </c>
      <c r="F1138" s="169" t="s">
        <v>395</v>
      </c>
      <c r="G1138" s="169" t="s">
        <v>77</v>
      </c>
      <c r="H1138" s="169" t="s">
        <v>418</v>
      </c>
      <c r="I1138" s="169" t="s">
        <v>419</v>
      </c>
      <c r="J1138" s="169" t="s">
        <v>821</v>
      </c>
      <c r="K1138" s="169" t="s">
        <v>815</v>
      </c>
      <c r="L1138" s="169" t="s">
        <v>816</v>
      </c>
      <c r="M1138" s="169" t="s">
        <v>281</v>
      </c>
      <c r="N1138" s="178">
        <v>10029829</v>
      </c>
      <c r="O1138" s="169" t="s">
        <v>820</v>
      </c>
      <c r="P1138" s="169" t="s">
        <v>283</v>
      </c>
      <c r="Q1138" s="169" t="s">
        <v>284</v>
      </c>
      <c r="R1138" s="169" t="s">
        <v>283</v>
      </c>
      <c r="S1138" s="169" t="s">
        <v>283</v>
      </c>
      <c r="T1138" s="169">
        <v>0</v>
      </c>
    </row>
    <row r="1139" spans="1:20" x14ac:dyDescent="0.2">
      <c r="A1139" s="169">
        <v>627</v>
      </c>
      <c r="B1139" s="167" t="str">
        <f>_xlfn.XLOOKUP(I1139,Mapping!D:D,Mapping!E:E)</f>
        <v>Xưởng Sản Xuất</v>
      </c>
      <c r="C1139" s="167" t="str">
        <f>_xlfn.XLOOKUP(F1139,Mapping!A:A,Mapping!F:F)</f>
        <v>Lương Chính +T13</v>
      </c>
      <c r="D1139" s="173">
        <v>45838</v>
      </c>
      <c r="E1139" s="169" t="s">
        <v>818</v>
      </c>
      <c r="F1139" s="169" t="s">
        <v>388</v>
      </c>
      <c r="G1139" s="169" t="s">
        <v>286</v>
      </c>
      <c r="H1139" s="169" t="s">
        <v>402</v>
      </c>
      <c r="I1139" s="169" t="s">
        <v>403</v>
      </c>
      <c r="J1139" s="169" t="s">
        <v>819</v>
      </c>
      <c r="K1139" s="169" t="s">
        <v>815</v>
      </c>
      <c r="L1139" s="169" t="s">
        <v>816</v>
      </c>
      <c r="M1139" s="169" t="s">
        <v>281</v>
      </c>
      <c r="N1139" s="178">
        <v>35796786</v>
      </c>
      <c r="O1139" s="169" t="s">
        <v>820</v>
      </c>
      <c r="P1139" s="169" t="s">
        <v>283</v>
      </c>
      <c r="Q1139" s="169" t="s">
        <v>284</v>
      </c>
      <c r="R1139" s="169" t="s">
        <v>283</v>
      </c>
      <c r="S1139" s="169" t="s">
        <v>283</v>
      </c>
      <c r="T1139" s="169">
        <v>0</v>
      </c>
    </row>
    <row r="1140" spans="1:20" x14ac:dyDescent="0.2">
      <c r="A1140" s="169">
        <v>622</v>
      </c>
      <c r="B1140" s="167" t="str">
        <f>_xlfn.XLOOKUP(I1140,Mapping!D:D,Mapping!E:E)</f>
        <v>Xưởng Sản Xuất</v>
      </c>
      <c r="C1140" s="167" t="str">
        <f>_xlfn.XLOOKUP(F1140,Mapping!A:A,Mapping!F:F)</f>
        <v>Lương Chính +T13</v>
      </c>
      <c r="D1140" s="173">
        <v>45838</v>
      </c>
      <c r="E1140" s="169" t="s">
        <v>818</v>
      </c>
      <c r="F1140" s="169" t="s">
        <v>420</v>
      </c>
      <c r="G1140" s="169" t="s">
        <v>286</v>
      </c>
      <c r="H1140" s="169" t="s">
        <v>402</v>
      </c>
      <c r="I1140" s="169" t="s">
        <v>403</v>
      </c>
      <c r="J1140" s="169" t="s">
        <v>819</v>
      </c>
      <c r="K1140" s="169" t="s">
        <v>815</v>
      </c>
      <c r="L1140" s="169" t="s">
        <v>816</v>
      </c>
      <c r="M1140" s="169" t="s">
        <v>281</v>
      </c>
      <c r="N1140" s="178">
        <v>98242637</v>
      </c>
      <c r="O1140" s="169" t="s">
        <v>820</v>
      </c>
      <c r="P1140" s="169" t="s">
        <v>283</v>
      </c>
      <c r="Q1140" s="169" t="s">
        <v>284</v>
      </c>
      <c r="R1140" s="169" t="s">
        <v>283</v>
      </c>
      <c r="S1140" s="169" t="s">
        <v>283</v>
      </c>
      <c r="T1140" s="169">
        <v>0</v>
      </c>
    </row>
    <row r="1141" spans="1:20" x14ac:dyDescent="0.2">
      <c r="A1141" s="169">
        <v>627</v>
      </c>
      <c r="B1141" s="167" t="str">
        <f>_xlfn.XLOOKUP(I1141,Mapping!D:D,Mapping!E:E)</f>
        <v>Xưởng Sản Xuất</v>
      </c>
      <c r="C1141" s="167" t="str">
        <f>_xlfn.XLOOKUP(F1141,Mapping!A:A,Mapping!F:F)</f>
        <v>Thưởng</v>
      </c>
      <c r="D1141" s="173">
        <v>45838</v>
      </c>
      <c r="E1141" s="169" t="s">
        <v>818</v>
      </c>
      <c r="F1141" s="169" t="s">
        <v>395</v>
      </c>
      <c r="G1141" s="169" t="s">
        <v>77</v>
      </c>
      <c r="H1141" s="169" t="s">
        <v>402</v>
      </c>
      <c r="I1141" s="169" t="s">
        <v>403</v>
      </c>
      <c r="J1141" s="169" t="s">
        <v>821</v>
      </c>
      <c r="K1141" s="169" t="s">
        <v>815</v>
      </c>
      <c r="L1141" s="169" t="s">
        <v>816</v>
      </c>
      <c r="M1141" s="169" t="s">
        <v>281</v>
      </c>
      <c r="N1141" s="178">
        <v>32232150</v>
      </c>
      <c r="O1141" s="169" t="s">
        <v>820</v>
      </c>
      <c r="P1141" s="169" t="s">
        <v>283</v>
      </c>
      <c r="Q1141" s="169" t="s">
        <v>284</v>
      </c>
      <c r="R1141" s="169" t="s">
        <v>283</v>
      </c>
      <c r="S1141" s="169" t="s">
        <v>283</v>
      </c>
      <c r="T1141" s="169">
        <v>0</v>
      </c>
    </row>
    <row r="1142" spans="1:20" x14ac:dyDescent="0.2">
      <c r="A1142" s="169">
        <v>622</v>
      </c>
      <c r="B1142" s="167" t="str">
        <f>_xlfn.XLOOKUP(I1142,Mapping!D:D,Mapping!E:E)</f>
        <v>Xưởng Sản Xuất</v>
      </c>
      <c r="C1142" s="167" t="str">
        <f>_xlfn.XLOOKUP(F1142,Mapping!A:A,Mapping!F:F)</f>
        <v>Thưởng</v>
      </c>
      <c r="D1142" s="173">
        <v>45838</v>
      </c>
      <c r="E1142" s="169" t="s">
        <v>818</v>
      </c>
      <c r="F1142" s="169" t="s">
        <v>426</v>
      </c>
      <c r="G1142" s="169" t="s">
        <v>77</v>
      </c>
      <c r="H1142" s="169" t="s">
        <v>402</v>
      </c>
      <c r="I1142" s="169" t="s">
        <v>403</v>
      </c>
      <c r="J1142" s="169" t="s">
        <v>821</v>
      </c>
      <c r="K1142" s="169" t="s">
        <v>815</v>
      </c>
      <c r="L1142" s="169" t="s">
        <v>816</v>
      </c>
      <c r="M1142" s="169" t="s">
        <v>281</v>
      </c>
      <c r="N1142" s="178">
        <v>23404440</v>
      </c>
      <c r="O1142" s="169" t="s">
        <v>820</v>
      </c>
      <c r="P1142" s="169" t="s">
        <v>283</v>
      </c>
      <c r="Q1142" s="169" t="s">
        <v>284</v>
      </c>
      <c r="R1142" s="169" t="s">
        <v>283</v>
      </c>
      <c r="S1142" s="169" t="s">
        <v>283</v>
      </c>
      <c r="T1142" s="169">
        <v>0</v>
      </c>
    </row>
    <row r="1143" spans="1:20" x14ac:dyDescent="0.2">
      <c r="B1143" s="167" t="str">
        <f>_xlfn.XLOOKUP(I1143,Mapping!D:D,Mapping!E:E)</f>
        <v>Kiểm Soát Chất Lượng</v>
      </c>
      <c r="C1143" s="167" t="str">
        <f>_xlfn.XLOOKUP(F1143,Mapping!A:A,Mapping!F:F)</f>
        <v>BHXH, BHYT, KPCĐ</v>
      </c>
      <c r="D1143" s="173">
        <v>45838</v>
      </c>
      <c r="E1143" s="169" t="s">
        <v>825</v>
      </c>
      <c r="F1143" s="169" t="s">
        <v>393</v>
      </c>
      <c r="G1143" s="169" t="s">
        <v>296</v>
      </c>
      <c r="H1143" s="169" t="s">
        <v>411</v>
      </c>
      <c r="I1143" s="169" t="s">
        <v>412</v>
      </c>
      <c r="J1143" s="169" t="s">
        <v>826</v>
      </c>
      <c r="K1143" s="169" t="s">
        <v>815</v>
      </c>
      <c r="L1143" s="169" t="s">
        <v>816</v>
      </c>
      <c r="M1143" s="169" t="s">
        <v>281</v>
      </c>
      <c r="N1143" s="178">
        <v>107367035</v>
      </c>
      <c r="O1143" s="169" t="s">
        <v>827</v>
      </c>
      <c r="P1143" s="169" t="s">
        <v>283</v>
      </c>
      <c r="Q1143" s="169" t="s">
        <v>284</v>
      </c>
      <c r="R1143" s="169" t="s">
        <v>283</v>
      </c>
      <c r="S1143" s="169" t="s">
        <v>283</v>
      </c>
      <c r="T1143" s="169">
        <v>0</v>
      </c>
    </row>
    <row r="1144" spans="1:20" x14ac:dyDescent="0.2">
      <c r="B1144" s="167" t="str">
        <f>_xlfn.XLOOKUP(I1144,Mapping!D:D,Mapping!E:E)</f>
        <v>Nghiên Cứu &amp; Phát Triển</v>
      </c>
      <c r="C1144" s="167" t="str">
        <f>_xlfn.XLOOKUP(F1144,Mapping!A:A,Mapping!F:F)</f>
        <v>BHXH, BHYT, KPCĐ</v>
      </c>
      <c r="D1144" s="173">
        <v>45838</v>
      </c>
      <c r="E1144" s="169" t="s">
        <v>825</v>
      </c>
      <c r="F1144" s="169" t="s">
        <v>393</v>
      </c>
      <c r="G1144" s="169" t="s">
        <v>296</v>
      </c>
      <c r="H1144" s="169" t="s">
        <v>418</v>
      </c>
      <c r="I1144" s="169" t="s">
        <v>419</v>
      </c>
      <c r="J1144" s="169" t="s">
        <v>826</v>
      </c>
      <c r="K1144" s="169" t="s">
        <v>815</v>
      </c>
      <c r="L1144" s="169" t="s">
        <v>816</v>
      </c>
      <c r="M1144" s="169" t="s">
        <v>281</v>
      </c>
      <c r="N1144" s="178">
        <v>26528875</v>
      </c>
      <c r="O1144" s="169" t="s">
        <v>827</v>
      </c>
      <c r="P1144" s="169" t="s">
        <v>283</v>
      </c>
      <c r="Q1144" s="169" t="s">
        <v>284</v>
      </c>
      <c r="R1144" s="169" t="s">
        <v>283</v>
      </c>
      <c r="S1144" s="169" t="s">
        <v>283</v>
      </c>
      <c r="T1144" s="169">
        <v>0</v>
      </c>
    </row>
    <row r="1145" spans="1:20" x14ac:dyDescent="0.2">
      <c r="A1145" s="169">
        <v>622</v>
      </c>
      <c r="B1145" s="167" t="str">
        <f>_xlfn.XLOOKUP(I1145,Mapping!D:D,Mapping!E:E)</f>
        <v>Xưởng Sản Xuất</v>
      </c>
      <c r="C1145" s="167" t="str">
        <f>_xlfn.XLOOKUP(F1145,Mapping!A:A,Mapping!F:F)</f>
        <v>BHXH, BHYT, KPCĐ</v>
      </c>
      <c r="D1145" s="173">
        <v>45838</v>
      </c>
      <c r="E1145" s="169" t="s">
        <v>825</v>
      </c>
      <c r="F1145" s="169" t="s">
        <v>425</v>
      </c>
      <c r="G1145" s="169" t="s">
        <v>296</v>
      </c>
      <c r="H1145" s="169" t="s">
        <v>402</v>
      </c>
      <c r="I1145" s="169" t="s">
        <v>403</v>
      </c>
      <c r="J1145" s="169" t="s">
        <v>826</v>
      </c>
      <c r="K1145" s="169" t="s">
        <v>815</v>
      </c>
      <c r="L1145" s="169" t="s">
        <v>816</v>
      </c>
      <c r="M1145" s="169" t="s">
        <v>281</v>
      </c>
      <c r="N1145" s="178">
        <v>238721435</v>
      </c>
      <c r="O1145" s="169" t="s">
        <v>827</v>
      </c>
      <c r="P1145" s="169" t="s">
        <v>283</v>
      </c>
      <c r="Q1145" s="169" t="s">
        <v>284</v>
      </c>
      <c r="R1145" s="169" t="s">
        <v>283</v>
      </c>
      <c r="S1145" s="169" t="s">
        <v>283</v>
      </c>
      <c r="T1145" s="169">
        <v>0</v>
      </c>
    </row>
    <row r="1146" spans="1:20" x14ac:dyDescent="0.2">
      <c r="A1146" s="169">
        <v>627</v>
      </c>
      <c r="B1146" s="167" t="str">
        <f>_xlfn.XLOOKUP(I1146,Mapping!D:D,Mapping!E:E)</f>
        <v>Xưởng Sản Xuất</v>
      </c>
      <c r="C1146" s="167" t="str">
        <f>_xlfn.XLOOKUP(F1146,Mapping!A:A,Mapping!F:F)</f>
        <v>BHXH, BHYT, KPCĐ</v>
      </c>
      <c r="D1146" s="173">
        <v>45838</v>
      </c>
      <c r="E1146" s="169" t="s">
        <v>825</v>
      </c>
      <c r="F1146" s="169" t="s">
        <v>393</v>
      </c>
      <c r="G1146" s="169" t="s">
        <v>296</v>
      </c>
      <c r="H1146" s="169" t="s">
        <v>402</v>
      </c>
      <c r="I1146" s="169" t="s">
        <v>403</v>
      </c>
      <c r="J1146" s="169" t="s">
        <v>826</v>
      </c>
      <c r="K1146" s="169" t="s">
        <v>815</v>
      </c>
      <c r="L1146" s="169" t="s">
        <v>816</v>
      </c>
      <c r="M1146" s="169" t="s">
        <v>281</v>
      </c>
      <c r="N1146" s="178">
        <v>83161205</v>
      </c>
      <c r="O1146" s="169" t="s">
        <v>827</v>
      </c>
      <c r="P1146" s="169" t="s">
        <v>283</v>
      </c>
      <c r="Q1146" s="169" t="s">
        <v>284</v>
      </c>
      <c r="R1146" s="169" t="s">
        <v>283</v>
      </c>
      <c r="S1146" s="169" t="s">
        <v>283</v>
      </c>
      <c r="T1146" s="169">
        <v>0</v>
      </c>
    </row>
    <row r="1147" spans="1:20" x14ac:dyDescent="0.2">
      <c r="A1147" s="169">
        <v>627</v>
      </c>
      <c r="B1147" s="167" t="str">
        <f>_xlfn.XLOOKUP(I1147,Mapping!D:D,Mapping!E:E)</f>
        <v>Xưởng Sản Xuất</v>
      </c>
      <c r="C1147" s="167" t="str">
        <f>_xlfn.XLOOKUP(F1147,Mapping!A:A,Mapping!F:F)</f>
        <v>BHXH, BHYT, KPCĐ</v>
      </c>
      <c r="D1147" s="173">
        <v>45838</v>
      </c>
      <c r="E1147" s="169" t="s">
        <v>832</v>
      </c>
      <c r="F1147" s="169" t="s">
        <v>393</v>
      </c>
      <c r="G1147" s="169" t="s">
        <v>296</v>
      </c>
      <c r="H1147" s="169" t="s">
        <v>402</v>
      </c>
      <c r="I1147" s="169" t="s">
        <v>403</v>
      </c>
      <c r="J1147" s="169" t="s">
        <v>826</v>
      </c>
      <c r="K1147" s="169" t="s">
        <v>815</v>
      </c>
      <c r="L1147" s="169" t="s">
        <v>816</v>
      </c>
      <c r="M1147" s="169" t="s">
        <v>281</v>
      </c>
      <c r="N1147" s="178">
        <v>1410000</v>
      </c>
      <c r="O1147" s="169" t="s">
        <v>833</v>
      </c>
      <c r="P1147" s="169" t="s">
        <v>283</v>
      </c>
      <c r="Q1147" s="169" t="s">
        <v>284</v>
      </c>
      <c r="R1147" s="169" t="s">
        <v>283</v>
      </c>
      <c r="S1147" s="169" t="s">
        <v>283</v>
      </c>
      <c r="T1147" s="169">
        <v>0</v>
      </c>
    </row>
    <row r="1148" spans="1:20" x14ac:dyDescent="0.2">
      <c r="A1148" s="169">
        <v>622</v>
      </c>
      <c r="B1148" s="167" t="str">
        <f>_xlfn.XLOOKUP(I1148,Mapping!D:D,Mapping!E:E)</f>
        <v>Xưởng Sản Xuất</v>
      </c>
      <c r="C1148" s="167" t="str">
        <f>_xlfn.XLOOKUP(F1148,Mapping!A:A,Mapping!F:F)</f>
        <v>BHXH, BHYT, KPCĐ</v>
      </c>
      <c r="D1148" s="173">
        <v>45838</v>
      </c>
      <c r="E1148" s="169" t="s">
        <v>832</v>
      </c>
      <c r="F1148" s="169" t="s">
        <v>425</v>
      </c>
      <c r="G1148" s="169" t="s">
        <v>296</v>
      </c>
      <c r="H1148" s="169" t="s">
        <v>402</v>
      </c>
      <c r="I1148" s="169" t="s">
        <v>403</v>
      </c>
      <c r="J1148" s="169" t="s">
        <v>826</v>
      </c>
      <c r="K1148" s="169" t="s">
        <v>815</v>
      </c>
      <c r="L1148" s="169" t="s">
        <v>816</v>
      </c>
      <c r="M1148" s="169" t="s">
        <v>281</v>
      </c>
      <c r="N1148" s="178">
        <v>1271820</v>
      </c>
      <c r="O1148" s="169" t="s">
        <v>833</v>
      </c>
      <c r="P1148" s="169" t="s">
        <v>283</v>
      </c>
      <c r="Q1148" s="169" t="s">
        <v>284</v>
      </c>
      <c r="R1148" s="169" t="s">
        <v>283</v>
      </c>
      <c r="S1148" s="169" t="s">
        <v>283</v>
      </c>
      <c r="T1148" s="169">
        <v>0</v>
      </c>
    </row>
    <row r="1149" spans="1:20" x14ac:dyDescent="0.2">
      <c r="A1149" s="169">
        <v>627</v>
      </c>
      <c r="B1149" s="167" t="str">
        <f>_xlfn.XLOOKUP(I1149,Mapping!D:D,Mapping!E:E)</f>
        <v>Xưởng Sản Xuất</v>
      </c>
      <c r="C1149" s="167" t="str">
        <f>_xlfn.XLOOKUP(F1149,Mapping!A:A,Mapping!F:F)</f>
        <v>Phụ Cấp</v>
      </c>
      <c r="D1149" s="173">
        <v>45834</v>
      </c>
      <c r="E1149" s="169" t="s">
        <v>837</v>
      </c>
      <c r="F1149" s="169" t="s">
        <v>375</v>
      </c>
      <c r="G1149" s="169" t="s">
        <v>336</v>
      </c>
      <c r="H1149" s="169" t="s">
        <v>402</v>
      </c>
      <c r="I1149" s="169" t="s">
        <v>403</v>
      </c>
      <c r="J1149" s="169" t="s">
        <v>838</v>
      </c>
      <c r="K1149" s="169" t="s">
        <v>741</v>
      </c>
      <c r="L1149" s="169" t="s">
        <v>816</v>
      </c>
      <c r="M1149" s="169" t="s">
        <v>281</v>
      </c>
      <c r="N1149" s="178">
        <v>154650000</v>
      </c>
      <c r="O1149" s="169" t="s">
        <v>839</v>
      </c>
      <c r="P1149" s="169" t="s">
        <v>283</v>
      </c>
      <c r="Q1149" s="169" t="s">
        <v>306</v>
      </c>
      <c r="R1149" s="169" t="s">
        <v>283</v>
      </c>
      <c r="S1149" s="169" t="s">
        <v>283</v>
      </c>
      <c r="T1149" s="169">
        <v>0</v>
      </c>
    </row>
    <row r="1150" spans="1:20" x14ac:dyDescent="0.2">
      <c r="B1150" s="167" t="str">
        <f>_xlfn.XLOOKUP(I1150,Mapping!D:D,Mapping!E:E)</f>
        <v>Kiểm Soát Chất Lượng</v>
      </c>
      <c r="C1150" s="167" t="str">
        <f>_xlfn.XLOOKUP(F1150,Mapping!A:A,Mapping!F:F)</f>
        <v>Phụ Cấp</v>
      </c>
      <c r="D1150" s="173">
        <v>45834</v>
      </c>
      <c r="E1150" s="169" t="s">
        <v>837</v>
      </c>
      <c r="F1150" s="169" t="s">
        <v>375</v>
      </c>
      <c r="G1150" s="169" t="s">
        <v>336</v>
      </c>
      <c r="H1150" s="169" t="s">
        <v>411</v>
      </c>
      <c r="I1150" s="169" t="s">
        <v>412</v>
      </c>
      <c r="J1150" s="169" t="s">
        <v>838</v>
      </c>
      <c r="K1150" s="169" t="s">
        <v>741</v>
      </c>
      <c r="L1150" s="169" t="s">
        <v>816</v>
      </c>
      <c r="M1150" s="169" t="s">
        <v>281</v>
      </c>
      <c r="N1150" s="178">
        <v>31425000</v>
      </c>
      <c r="O1150" s="169" t="s">
        <v>839</v>
      </c>
      <c r="P1150" s="169" t="s">
        <v>283</v>
      </c>
      <c r="Q1150" s="169" t="s">
        <v>306</v>
      </c>
      <c r="R1150" s="169" t="s">
        <v>283</v>
      </c>
      <c r="S1150" s="169" t="s">
        <v>283</v>
      </c>
      <c r="T1150" s="169">
        <v>0</v>
      </c>
    </row>
    <row r="1151" spans="1:20" x14ac:dyDescent="0.2">
      <c r="A1151" s="169">
        <v>622</v>
      </c>
      <c r="B1151" s="167" t="str">
        <f>_xlfn.XLOOKUP(I1151,Mapping!D:D,Mapping!E:E)</f>
        <v>Xưởng Sản Xuất</v>
      </c>
      <c r="C1151" s="167" t="str">
        <f>_xlfn.XLOOKUP(F1151,Mapping!A:A,Mapping!F:F)</f>
        <v>Lương Chính +T13</v>
      </c>
      <c r="D1151" s="173">
        <v>45838</v>
      </c>
      <c r="E1151" s="169" t="s">
        <v>840</v>
      </c>
      <c r="F1151" s="169" t="s">
        <v>400</v>
      </c>
      <c r="G1151" s="169" t="s">
        <v>401</v>
      </c>
      <c r="H1151" s="169" t="s">
        <v>402</v>
      </c>
      <c r="I1151" s="169" t="s">
        <v>403</v>
      </c>
      <c r="J1151" s="169" t="s">
        <v>841</v>
      </c>
      <c r="K1151" s="169" t="s">
        <v>405</v>
      </c>
      <c r="L1151" s="169" t="s">
        <v>816</v>
      </c>
      <c r="M1151" s="169" t="s">
        <v>281</v>
      </c>
      <c r="N1151" s="178">
        <v>124778373</v>
      </c>
      <c r="O1151" s="169" t="s">
        <v>842</v>
      </c>
      <c r="P1151" s="169" t="s">
        <v>283</v>
      </c>
      <c r="Q1151" s="169" t="s">
        <v>306</v>
      </c>
      <c r="R1151" s="169" t="s">
        <v>283</v>
      </c>
      <c r="S1151" s="169" t="s">
        <v>283</v>
      </c>
      <c r="T1151" s="169">
        <v>0</v>
      </c>
    </row>
    <row r="1152" spans="1:20" x14ac:dyDescent="0.2">
      <c r="A1152" s="169">
        <v>622</v>
      </c>
      <c r="B1152" s="167" t="str">
        <f>_xlfn.XLOOKUP(I1152,Mapping!D:D,Mapping!E:E)</f>
        <v>Xưởng Sản Xuất</v>
      </c>
      <c r="C1152" s="167" t="str">
        <f>_xlfn.XLOOKUP(F1152,Mapping!A:A,Mapping!F:F)</f>
        <v>Phụ Cấp</v>
      </c>
      <c r="D1152" s="173">
        <v>45838</v>
      </c>
      <c r="E1152" s="169" t="s">
        <v>871</v>
      </c>
      <c r="F1152" s="169" t="s">
        <v>414</v>
      </c>
      <c r="G1152" s="169" t="s">
        <v>415</v>
      </c>
      <c r="H1152" s="169" t="s">
        <v>402</v>
      </c>
      <c r="I1152" s="169" t="s">
        <v>403</v>
      </c>
      <c r="J1152" s="169" t="s">
        <v>416</v>
      </c>
      <c r="K1152" s="169" t="s">
        <v>416</v>
      </c>
      <c r="L1152" s="169" t="s">
        <v>816</v>
      </c>
      <c r="M1152" s="169" t="s">
        <v>281</v>
      </c>
      <c r="N1152" s="178">
        <v>127475000</v>
      </c>
      <c r="O1152" s="169" t="s">
        <v>872</v>
      </c>
      <c r="P1152" s="169" t="s">
        <v>283</v>
      </c>
      <c r="Q1152" s="169" t="s">
        <v>348</v>
      </c>
      <c r="R1152" s="169" t="s">
        <v>283</v>
      </c>
      <c r="S1152" s="169" t="s">
        <v>283</v>
      </c>
      <c r="T1152" s="169">
        <v>0</v>
      </c>
    </row>
    <row r="1153" spans="1:20" x14ac:dyDescent="0.2">
      <c r="A1153" s="169">
        <v>627</v>
      </c>
      <c r="B1153" s="167" t="str">
        <f>_xlfn.XLOOKUP(I1153,Mapping!D:D,Mapping!E:E)</f>
        <v>Xưởng Sản Xuất</v>
      </c>
      <c r="C1153" s="167" t="str">
        <f>_xlfn.XLOOKUP(F1153,Mapping!A:A,Mapping!F:F)</f>
        <v>Phụ Cấp</v>
      </c>
      <c r="D1153" s="173">
        <v>45838</v>
      </c>
      <c r="E1153" s="169" t="s">
        <v>871</v>
      </c>
      <c r="F1153" s="169" t="s">
        <v>375</v>
      </c>
      <c r="G1153" s="169" t="s">
        <v>336</v>
      </c>
      <c r="H1153" s="169" t="s">
        <v>402</v>
      </c>
      <c r="I1153" s="169" t="s">
        <v>403</v>
      </c>
      <c r="J1153" s="169" t="s">
        <v>416</v>
      </c>
      <c r="K1153" s="169" t="s">
        <v>416</v>
      </c>
      <c r="L1153" s="169" t="s">
        <v>816</v>
      </c>
      <c r="M1153" s="169" t="s">
        <v>281</v>
      </c>
      <c r="N1153" s="178">
        <v>-127475000</v>
      </c>
      <c r="O1153" s="169" t="s">
        <v>872</v>
      </c>
      <c r="P1153" s="169" t="s">
        <v>283</v>
      </c>
      <c r="Q1153" s="169" t="s">
        <v>348</v>
      </c>
      <c r="R1153" s="169" t="s">
        <v>283</v>
      </c>
      <c r="S1153" s="169" t="s">
        <v>283</v>
      </c>
      <c r="T1153" s="169">
        <v>0</v>
      </c>
    </row>
    <row r="1154" spans="1:20" x14ac:dyDescent="0.2">
      <c r="A1154" s="169">
        <v>622</v>
      </c>
      <c r="B1154" s="167" t="str">
        <f>_xlfn.XLOOKUP(I1154,Mapping!D:D,Mapping!E:E)</f>
        <v>Xưởng Sản Xuất</v>
      </c>
      <c r="C1154" s="167" t="str">
        <f>_xlfn.XLOOKUP(F1154,Mapping!A:A,Mapping!F:F)</f>
        <v>Lương Chính +T13</v>
      </c>
      <c r="D1154" s="173">
        <v>45838</v>
      </c>
      <c r="E1154" s="169" t="s">
        <v>813</v>
      </c>
      <c r="F1154" s="169" t="s">
        <v>400</v>
      </c>
      <c r="G1154" s="169" t="s">
        <v>401</v>
      </c>
      <c r="H1154" s="169" t="s">
        <v>430</v>
      </c>
      <c r="I1154" s="169" t="s">
        <v>431</v>
      </c>
      <c r="J1154" s="169" t="s">
        <v>814</v>
      </c>
      <c r="K1154" s="169" t="s">
        <v>815</v>
      </c>
      <c r="L1154" s="169" t="s">
        <v>816</v>
      </c>
      <c r="M1154" s="169" t="s">
        <v>281</v>
      </c>
      <c r="N1154" s="178">
        <v>371413214</v>
      </c>
      <c r="O1154" s="169" t="s">
        <v>817</v>
      </c>
      <c r="P1154" s="169" t="s">
        <v>283</v>
      </c>
      <c r="Q1154" s="169" t="s">
        <v>284</v>
      </c>
      <c r="R1154" s="169" t="s">
        <v>283</v>
      </c>
      <c r="S1154" s="169" t="s">
        <v>283</v>
      </c>
      <c r="T1154" s="169">
        <v>0</v>
      </c>
    </row>
    <row r="1155" spans="1:20" x14ac:dyDescent="0.2">
      <c r="A1155" s="169">
        <v>622</v>
      </c>
      <c r="B1155" s="167" t="str">
        <f>_xlfn.XLOOKUP(I1155,Mapping!D:D,Mapping!E:E)</f>
        <v>Xưởng Sản Xuất</v>
      </c>
      <c r="C1155" s="167" t="str">
        <f>_xlfn.XLOOKUP(F1155,Mapping!A:A,Mapping!F:F)</f>
        <v>Lương Chính +T13</v>
      </c>
      <c r="D1155" s="173">
        <v>45838</v>
      </c>
      <c r="E1155" s="169" t="s">
        <v>813</v>
      </c>
      <c r="F1155" s="169" t="s">
        <v>420</v>
      </c>
      <c r="G1155" s="169" t="s">
        <v>286</v>
      </c>
      <c r="H1155" s="169" t="s">
        <v>430</v>
      </c>
      <c r="I1155" s="169" t="s">
        <v>431</v>
      </c>
      <c r="J1155" s="169" t="s">
        <v>814</v>
      </c>
      <c r="K1155" s="169" t="s">
        <v>815</v>
      </c>
      <c r="L1155" s="169" t="s">
        <v>816</v>
      </c>
      <c r="M1155" s="169" t="s">
        <v>281</v>
      </c>
      <c r="N1155" s="178">
        <v>5473618</v>
      </c>
      <c r="O1155" s="169" t="s">
        <v>817</v>
      </c>
      <c r="P1155" s="169" t="s">
        <v>283</v>
      </c>
      <c r="Q1155" s="169" t="s">
        <v>284</v>
      </c>
      <c r="R1155" s="169" t="s">
        <v>283</v>
      </c>
      <c r="S1155" s="169" t="s">
        <v>283</v>
      </c>
      <c r="T1155" s="169">
        <v>0</v>
      </c>
    </row>
    <row r="1156" spans="1:20" x14ac:dyDescent="0.2">
      <c r="A1156" s="169">
        <v>622</v>
      </c>
      <c r="B1156" s="167" t="str">
        <f>_xlfn.XLOOKUP(I1156,Mapping!D:D,Mapping!E:E)</f>
        <v>Xưởng Sản Xuất</v>
      </c>
      <c r="C1156" s="167" t="str">
        <f>_xlfn.XLOOKUP(F1156,Mapping!A:A,Mapping!F:F)</f>
        <v>Phụ Cấp</v>
      </c>
      <c r="D1156" s="173">
        <v>45838</v>
      </c>
      <c r="E1156" s="169" t="s">
        <v>813</v>
      </c>
      <c r="F1156" s="169" t="s">
        <v>421</v>
      </c>
      <c r="G1156" s="169" t="s">
        <v>341</v>
      </c>
      <c r="H1156" s="169" t="s">
        <v>430</v>
      </c>
      <c r="I1156" s="169" t="s">
        <v>431</v>
      </c>
      <c r="J1156" s="169" t="s">
        <v>814</v>
      </c>
      <c r="K1156" s="169" t="s">
        <v>815</v>
      </c>
      <c r="L1156" s="169" t="s">
        <v>816</v>
      </c>
      <c r="M1156" s="169" t="s">
        <v>281</v>
      </c>
      <c r="N1156" s="178">
        <v>34618452</v>
      </c>
      <c r="O1156" s="169" t="s">
        <v>817</v>
      </c>
      <c r="P1156" s="169" t="s">
        <v>283</v>
      </c>
      <c r="Q1156" s="169" t="s">
        <v>284</v>
      </c>
      <c r="R1156" s="169" t="s">
        <v>283</v>
      </c>
      <c r="S1156" s="169" t="s">
        <v>283</v>
      </c>
      <c r="T1156" s="169">
        <v>0</v>
      </c>
    </row>
    <row r="1157" spans="1:20" x14ac:dyDescent="0.2">
      <c r="A1157" s="169">
        <v>622</v>
      </c>
      <c r="B1157" s="167" t="str">
        <f>_xlfn.XLOOKUP(I1157,Mapping!D:D,Mapping!E:E)</f>
        <v>Xưởng Sản Xuất</v>
      </c>
      <c r="C1157" s="167" t="str">
        <f>_xlfn.XLOOKUP(F1157,Mapping!A:A,Mapping!F:F)</f>
        <v>Lương Ngoài giờ</v>
      </c>
      <c r="D1157" s="173">
        <v>45838</v>
      </c>
      <c r="E1157" s="169" t="s">
        <v>813</v>
      </c>
      <c r="F1157" s="169" t="s">
        <v>422</v>
      </c>
      <c r="G1157" s="169" t="s">
        <v>423</v>
      </c>
      <c r="H1157" s="169" t="s">
        <v>430</v>
      </c>
      <c r="I1157" s="169" t="s">
        <v>431</v>
      </c>
      <c r="J1157" s="169" t="s">
        <v>814</v>
      </c>
      <c r="K1157" s="169" t="s">
        <v>815</v>
      </c>
      <c r="L1157" s="169" t="s">
        <v>816</v>
      </c>
      <c r="M1157" s="169" t="s">
        <v>281</v>
      </c>
      <c r="N1157" s="178">
        <v>74683510</v>
      </c>
      <c r="O1157" s="169" t="s">
        <v>817</v>
      </c>
      <c r="P1157" s="169" t="s">
        <v>283</v>
      </c>
      <c r="Q1157" s="169" t="s">
        <v>284</v>
      </c>
      <c r="R1157" s="169" t="s">
        <v>283</v>
      </c>
      <c r="S1157" s="169" t="s">
        <v>283</v>
      </c>
      <c r="T1157" s="169">
        <v>0</v>
      </c>
    </row>
    <row r="1158" spans="1:20" x14ac:dyDescent="0.2">
      <c r="A1158" s="169">
        <v>622</v>
      </c>
      <c r="B1158" s="167" t="str">
        <f>_xlfn.XLOOKUP(I1158,Mapping!D:D,Mapping!E:E)</f>
        <v>Xưởng Sản Xuất</v>
      </c>
      <c r="C1158" s="167" t="str">
        <f>_xlfn.XLOOKUP(F1158,Mapping!A:A,Mapping!F:F)</f>
        <v>Phụ Cấp</v>
      </c>
      <c r="D1158" s="173">
        <v>45838</v>
      </c>
      <c r="E1158" s="169" t="s">
        <v>813</v>
      </c>
      <c r="F1158" s="169" t="s">
        <v>414</v>
      </c>
      <c r="G1158" s="169" t="s">
        <v>415</v>
      </c>
      <c r="H1158" s="169" t="s">
        <v>430</v>
      </c>
      <c r="I1158" s="169" t="s">
        <v>431</v>
      </c>
      <c r="J1158" s="169" t="s">
        <v>814</v>
      </c>
      <c r="K1158" s="169" t="s">
        <v>815</v>
      </c>
      <c r="L1158" s="169" t="s">
        <v>816</v>
      </c>
      <c r="M1158" s="169" t="s">
        <v>281</v>
      </c>
      <c r="N1158" s="178">
        <v>9220000</v>
      </c>
      <c r="O1158" s="169" t="s">
        <v>817</v>
      </c>
      <c r="P1158" s="169" t="s">
        <v>283</v>
      </c>
      <c r="Q1158" s="169" t="s">
        <v>284</v>
      </c>
      <c r="R1158" s="169" t="s">
        <v>283</v>
      </c>
      <c r="S1158" s="169" t="s">
        <v>283</v>
      </c>
      <c r="T1158" s="169">
        <v>0</v>
      </c>
    </row>
    <row r="1159" spans="1:20" x14ac:dyDescent="0.2">
      <c r="A1159" s="169">
        <v>627</v>
      </c>
      <c r="B1159" s="167" t="str">
        <f>_xlfn.XLOOKUP(I1159,Mapping!D:D,Mapping!E:E)</f>
        <v>Xưởng Sản Xuất</v>
      </c>
      <c r="C1159" s="167" t="str">
        <f>_xlfn.XLOOKUP(F1159,Mapping!A:A,Mapping!F:F)</f>
        <v>Phụ Cấp</v>
      </c>
      <c r="D1159" s="173">
        <v>45838</v>
      </c>
      <c r="E1159" s="169" t="s">
        <v>813</v>
      </c>
      <c r="F1159" s="169" t="s">
        <v>386</v>
      </c>
      <c r="G1159" s="169" t="s">
        <v>341</v>
      </c>
      <c r="H1159" s="169" t="s">
        <v>430</v>
      </c>
      <c r="I1159" s="169" t="s">
        <v>431</v>
      </c>
      <c r="J1159" s="169" t="s">
        <v>814</v>
      </c>
      <c r="K1159" s="169" t="s">
        <v>815</v>
      </c>
      <c r="L1159" s="169" t="s">
        <v>816</v>
      </c>
      <c r="M1159" s="169" t="s">
        <v>281</v>
      </c>
      <c r="N1159" s="178">
        <v>11486308</v>
      </c>
      <c r="O1159" s="169" t="s">
        <v>817</v>
      </c>
      <c r="P1159" s="169" t="s">
        <v>283</v>
      </c>
      <c r="Q1159" s="169" t="s">
        <v>284</v>
      </c>
      <c r="R1159" s="169" t="s">
        <v>283</v>
      </c>
      <c r="S1159" s="169" t="s">
        <v>283</v>
      </c>
      <c r="T1159" s="169">
        <v>0</v>
      </c>
    </row>
    <row r="1160" spans="1:20" x14ac:dyDescent="0.2">
      <c r="A1160" s="169">
        <v>622</v>
      </c>
      <c r="B1160" s="167" t="str">
        <f>_xlfn.XLOOKUP(I1160,Mapping!D:D,Mapping!E:E)</f>
        <v>Xưởng Sản Xuất</v>
      </c>
      <c r="C1160" s="167" t="str">
        <f>_xlfn.XLOOKUP(F1160,Mapping!A:A,Mapping!F:F)</f>
        <v>Lương Chính +T13</v>
      </c>
      <c r="D1160" s="173">
        <v>45838</v>
      </c>
      <c r="E1160" s="169" t="s">
        <v>818</v>
      </c>
      <c r="F1160" s="169" t="s">
        <v>420</v>
      </c>
      <c r="G1160" s="169" t="s">
        <v>286</v>
      </c>
      <c r="H1160" s="169" t="s">
        <v>430</v>
      </c>
      <c r="I1160" s="169" t="s">
        <v>431</v>
      </c>
      <c r="J1160" s="169" t="s">
        <v>819</v>
      </c>
      <c r="K1160" s="169" t="s">
        <v>815</v>
      </c>
      <c r="L1160" s="169" t="s">
        <v>816</v>
      </c>
      <c r="M1160" s="169" t="s">
        <v>281</v>
      </c>
      <c r="N1160" s="178">
        <v>19493886</v>
      </c>
      <c r="O1160" s="169" t="s">
        <v>820</v>
      </c>
      <c r="P1160" s="169" t="s">
        <v>283</v>
      </c>
      <c r="Q1160" s="169" t="s">
        <v>284</v>
      </c>
      <c r="R1160" s="169" t="s">
        <v>283</v>
      </c>
      <c r="S1160" s="169" t="s">
        <v>283</v>
      </c>
      <c r="T1160" s="169">
        <v>0</v>
      </c>
    </row>
    <row r="1161" spans="1:20" x14ac:dyDescent="0.2">
      <c r="A1161" s="169">
        <v>622</v>
      </c>
      <c r="B1161" s="167" t="str">
        <f>_xlfn.XLOOKUP(I1161,Mapping!D:D,Mapping!E:E)</f>
        <v>Xưởng Sản Xuất</v>
      </c>
      <c r="C1161" s="167" t="str">
        <f>_xlfn.XLOOKUP(F1161,Mapping!A:A,Mapping!F:F)</f>
        <v>Thưởng</v>
      </c>
      <c r="D1161" s="173">
        <v>45838</v>
      </c>
      <c r="E1161" s="169" t="s">
        <v>818</v>
      </c>
      <c r="F1161" s="169" t="s">
        <v>426</v>
      </c>
      <c r="G1161" s="169" t="s">
        <v>77</v>
      </c>
      <c r="H1161" s="169" t="s">
        <v>430</v>
      </c>
      <c r="I1161" s="169" t="s">
        <v>431</v>
      </c>
      <c r="J1161" s="169" t="s">
        <v>821</v>
      </c>
      <c r="K1161" s="169" t="s">
        <v>815</v>
      </c>
      <c r="L1161" s="169" t="s">
        <v>816</v>
      </c>
      <c r="M1161" s="169" t="s">
        <v>281</v>
      </c>
      <c r="N1161" s="178">
        <v>4648511</v>
      </c>
      <c r="O1161" s="169" t="s">
        <v>820</v>
      </c>
      <c r="P1161" s="169" t="s">
        <v>283</v>
      </c>
      <c r="Q1161" s="169" t="s">
        <v>284</v>
      </c>
      <c r="R1161" s="169" t="s">
        <v>283</v>
      </c>
      <c r="S1161" s="169" t="s">
        <v>283</v>
      </c>
      <c r="T1161" s="169">
        <v>0</v>
      </c>
    </row>
    <row r="1162" spans="1:20" x14ac:dyDescent="0.2">
      <c r="A1162" s="169">
        <v>622</v>
      </c>
      <c r="B1162" s="167" t="str">
        <f>_xlfn.XLOOKUP(I1162,Mapping!D:D,Mapping!E:E)</f>
        <v>Xưởng Sản Xuất</v>
      </c>
      <c r="C1162" s="167" t="str">
        <f>_xlfn.XLOOKUP(F1162,Mapping!A:A,Mapping!F:F)</f>
        <v>BHXH, BHYT, KPCĐ</v>
      </c>
      <c r="D1162" s="173">
        <v>45838</v>
      </c>
      <c r="E1162" s="169" t="s">
        <v>825</v>
      </c>
      <c r="F1162" s="169" t="s">
        <v>425</v>
      </c>
      <c r="G1162" s="169" t="s">
        <v>296</v>
      </c>
      <c r="H1162" s="169" t="s">
        <v>430</v>
      </c>
      <c r="I1162" s="169" t="s">
        <v>431</v>
      </c>
      <c r="J1162" s="169" t="s">
        <v>826</v>
      </c>
      <c r="K1162" s="169" t="s">
        <v>815</v>
      </c>
      <c r="L1162" s="169" t="s">
        <v>816</v>
      </c>
      <c r="M1162" s="169" t="s">
        <v>281</v>
      </c>
      <c r="N1162" s="178">
        <v>39530345</v>
      </c>
      <c r="O1162" s="169" t="s">
        <v>827</v>
      </c>
      <c r="P1162" s="169" t="s">
        <v>283</v>
      </c>
      <c r="Q1162" s="169" t="s">
        <v>284</v>
      </c>
      <c r="R1162" s="169" t="s">
        <v>283</v>
      </c>
      <c r="S1162" s="169" t="s">
        <v>283</v>
      </c>
      <c r="T1162" s="169">
        <v>0</v>
      </c>
    </row>
    <row r="1163" spans="1:20" x14ac:dyDescent="0.2">
      <c r="A1163" s="169">
        <v>622</v>
      </c>
      <c r="B1163" s="167" t="str">
        <f>_xlfn.XLOOKUP(I1163,Mapping!D:D,Mapping!E:E)</f>
        <v>Xưởng Sản Xuất</v>
      </c>
      <c r="C1163" s="167" t="str">
        <f>_xlfn.XLOOKUP(F1163,Mapping!A:A,Mapping!F:F)</f>
        <v>Lương Chính +T13</v>
      </c>
      <c r="D1163" s="173">
        <v>45838</v>
      </c>
      <c r="E1163" s="169" t="s">
        <v>840</v>
      </c>
      <c r="F1163" s="169" t="s">
        <v>400</v>
      </c>
      <c r="G1163" s="169" t="s">
        <v>401</v>
      </c>
      <c r="H1163" s="169" t="s">
        <v>430</v>
      </c>
      <c r="I1163" s="169" t="s">
        <v>431</v>
      </c>
      <c r="J1163" s="169" t="s">
        <v>841</v>
      </c>
      <c r="K1163" s="169" t="s">
        <v>405</v>
      </c>
      <c r="L1163" s="169" t="s">
        <v>816</v>
      </c>
      <c r="M1163" s="169" t="s">
        <v>281</v>
      </c>
      <c r="N1163" s="178">
        <v>25740529</v>
      </c>
      <c r="O1163" s="169" t="s">
        <v>842</v>
      </c>
      <c r="P1163" s="169" t="s">
        <v>283</v>
      </c>
      <c r="Q1163" s="169" t="s">
        <v>306</v>
      </c>
      <c r="R1163" s="169" t="s">
        <v>283</v>
      </c>
      <c r="S1163" s="169" t="s">
        <v>283</v>
      </c>
      <c r="T1163" s="169">
        <v>0</v>
      </c>
    </row>
    <row r="1164" spans="1:20" x14ac:dyDescent="0.2">
      <c r="A1164" s="169">
        <v>622</v>
      </c>
      <c r="B1164" s="167" t="str">
        <f>_xlfn.XLOOKUP(I1164,Mapping!D:D,Mapping!E:E)</f>
        <v>Xưởng Sản Xuất</v>
      </c>
      <c r="C1164" s="167" t="str">
        <f>_xlfn.XLOOKUP(F1164,Mapping!A:A,Mapping!F:F)</f>
        <v>Phụ Cấp</v>
      </c>
      <c r="D1164" s="173">
        <v>45838</v>
      </c>
      <c r="E1164" s="169" t="s">
        <v>871</v>
      </c>
      <c r="F1164" s="169" t="s">
        <v>414</v>
      </c>
      <c r="G1164" s="169" t="s">
        <v>415</v>
      </c>
      <c r="H1164" s="169" t="s">
        <v>430</v>
      </c>
      <c r="I1164" s="169" t="s">
        <v>431</v>
      </c>
      <c r="J1164" s="169" t="s">
        <v>416</v>
      </c>
      <c r="K1164" s="169" t="s">
        <v>416</v>
      </c>
      <c r="L1164" s="169" t="s">
        <v>816</v>
      </c>
      <c r="M1164" s="169" t="s">
        <v>281</v>
      </c>
      <c r="N1164" s="178">
        <v>27950000</v>
      </c>
      <c r="O1164" s="169" t="s">
        <v>872</v>
      </c>
      <c r="P1164" s="169" t="s">
        <v>283</v>
      </c>
      <c r="Q1164" s="169" t="s">
        <v>348</v>
      </c>
      <c r="R1164" s="169" t="s">
        <v>283</v>
      </c>
      <c r="S1164" s="169" t="s">
        <v>283</v>
      </c>
      <c r="T1164" s="169">
        <v>0</v>
      </c>
    </row>
    <row r="1165" spans="1:20" x14ac:dyDescent="0.2">
      <c r="A1165" s="169">
        <v>627</v>
      </c>
      <c r="B1165" s="167" t="str">
        <f>_xlfn.XLOOKUP(I1165,Mapping!D:D,Mapping!E:E)</f>
        <v>Xưởng Sản Xuất</v>
      </c>
      <c r="C1165" s="167" t="str">
        <f>_xlfn.XLOOKUP(F1165,Mapping!A:A,Mapping!F:F)</f>
        <v>Khen thưởng BD khác</v>
      </c>
      <c r="D1165" s="173">
        <v>45812</v>
      </c>
      <c r="E1165" s="169" t="s">
        <v>873</v>
      </c>
      <c r="F1165" s="169" t="s">
        <v>435</v>
      </c>
      <c r="G1165" s="169" t="s">
        <v>222</v>
      </c>
      <c r="H1165" s="169" t="s">
        <v>436</v>
      </c>
      <c r="I1165" s="169" t="s">
        <v>437</v>
      </c>
      <c r="J1165" s="169" t="s">
        <v>874</v>
      </c>
      <c r="K1165" s="169" t="s">
        <v>875</v>
      </c>
      <c r="L1165" s="169" t="s">
        <v>816</v>
      </c>
      <c r="M1165" s="169" t="s">
        <v>281</v>
      </c>
      <c r="N1165" s="178">
        <v>9850000</v>
      </c>
      <c r="O1165" s="169" t="s">
        <v>876</v>
      </c>
      <c r="P1165" s="169" t="s">
        <v>283</v>
      </c>
      <c r="Q1165" s="169" t="s">
        <v>764</v>
      </c>
      <c r="R1165" s="169" t="s">
        <v>283</v>
      </c>
      <c r="S1165" s="169" t="s">
        <v>283</v>
      </c>
      <c r="T1165" s="169">
        <v>0</v>
      </c>
    </row>
    <row r="1166" spans="1:20" x14ac:dyDescent="0.2">
      <c r="A1166" s="169">
        <v>627</v>
      </c>
      <c r="B1166" s="167" t="str">
        <f>_xlfn.XLOOKUP(I1166,Mapping!D:D,Mapping!E:E)</f>
        <v>Xưởng Sản Xuất</v>
      </c>
      <c r="C1166" s="167" t="str">
        <f>_xlfn.XLOOKUP(F1166,Mapping!A:A,Mapping!F:F)</f>
        <v>Lương Chính +T13</v>
      </c>
      <c r="D1166" s="173">
        <v>45838</v>
      </c>
      <c r="E1166" s="169" t="s">
        <v>813</v>
      </c>
      <c r="F1166" s="169" t="s">
        <v>387</v>
      </c>
      <c r="G1166" s="169" t="s">
        <v>275</v>
      </c>
      <c r="H1166" s="169" t="s">
        <v>430</v>
      </c>
      <c r="I1166" s="169" t="s">
        <v>431</v>
      </c>
      <c r="J1166" s="169" t="s">
        <v>814</v>
      </c>
      <c r="K1166" s="169" t="s">
        <v>815</v>
      </c>
      <c r="L1166" s="169" t="s">
        <v>816</v>
      </c>
      <c r="M1166" s="169" t="s">
        <v>281</v>
      </c>
      <c r="N1166" s="178">
        <v>173654279</v>
      </c>
      <c r="O1166" s="169" t="s">
        <v>817</v>
      </c>
      <c r="P1166" s="169" t="s">
        <v>283</v>
      </c>
      <c r="Q1166" s="169" t="s">
        <v>284</v>
      </c>
      <c r="R1166" s="169" t="s">
        <v>283</v>
      </c>
      <c r="S1166" s="169" t="s">
        <v>283</v>
      </c>
      <c r="T1166" s="169">
        <v>0</v>
      </c>
    </row>
    <row r="1167" spans="1:20" x14ac:dyDescent="0.2">
      <c r="A1167" s="169">
        <v>627</v>
      </c>
      <c r="B1167" s="167" t="str">
        <f>_xlfn.XLOOKUP(I1167,Mapping!D:D,Mapping!E:E)</f>
        <v>Xưởng Sản Xuất</v>
      </c>
      <c r="C1167" s="167" t="str">
        <f>_xlfn.XLOOKUP(F1167,Mapping!A:A,Mapping!F:F)</f>
        <v>Lương Chính +T13</v>
      </c>
      <c r="D1167" s="173">
        <v>45838</v>
      </c>
      <c r="E1167" s="169" t="s">
        <v>813</v>
      </c>
      <c r="F1167" s="169" t="s">
        <v>388</v>
      </c>
      <c r="G1167" s="169" t="s">
        <v>286</v>
      </c>
      <c r="H1167" s="169" t="s">
        <v>430</v>
      </c>
      <c r="I1167" s="169" t="s">
        <v>431</v>
      </c>
      <c r="J1167" s="169" t="s">
        <v>814</v>
      </c>
      <c r="K1167" s="169" t="s">
        <v>815</v>
      </c>
      <c r="L1167" s="169" t="s">
        <v>816</v>
      </c>
      <c r="M1167" s="169" t="s">
        <v>281</v>
      </c>
      <c r="N1167" s="178">
        <v>4666807</v>
      </c>
      <c r="O1167" s="169" t="s">
        <v>817</v>
      </c>
      <c r="P1167" s="169" t="s">
        <v>283</v>
      </c>
      <c r="Q1167" s="169" t="s">
        <v>284</v>
      </c>
      <c r="R1167" s="169" t="s">
        <v>283</v>
      </c>
      <c r="S1167" s="169" t="s">
        <v>283</v>
      </c>
      <c r="T1167" s="169">
        <v>0</v>
      </c>
    </row>
    <row r="1168" spans="1:20" x14ac:dyDescent="0.2">
      <c r="A1168" s="169">
        <v>627</v>
      </c>
      <c r="B1168" s="167" t="str">
        <f>_xlfn.XLOOKUP(I1168,Mapping!D:D,Mapping!E:E)</f>
        <v>Xưởng Sản Xuất</v>
      </c>
      <c r="C1168" s="167" t="str">
        <f>_xlfn.XLOOKUP(F1168,Mapping!A:A,Mapping!F:F)</f>
        <v>Lương Ngoài giờ</v>
      </c>
      <c r="D1168" s="173">
        <v>45838</v>
      </c>
      <c r="E1168" s="169" t="s">
        <v>813</v>
      </c>
      <c r="F1168" s="169" t="s">
        <v>389</v>
      </c>
      <c r="G1168" s="169" t="s">
        <v>390</v>
      </c>
      <c r="H1168" s="169" t="s">
        <v>430</v>
      </c>
      <c r="I1168" s="169" t="s">
        <v>431</v>
      </c>
      <c r="J1168" s="169" t="s">
        <v>814</v>
      </c>
      <c r="K1168" s="169" t="s">
        <v>815</v>
      </c>
      <c r="L1168" s="169" t="s">
        <v>816</v>
      </c>
      <c r="M1168" s="169" t="s">
        <v>281</v>
      </c>
      <c r="N1168" s="178">
        <v>22564094</v>
      </c>
      <c r="O1168" s="169" t="s">
        <v>817</v>
      </c>
      <c r="P1168" s="169" t="s">
        <v>283</v>
      </c>
      <c r="Q1168" s="169" t="s">
        <v>284</v>
      </c>
      <c r="R1168" s="169" t="s">
        <v>283</v>
      </c>
      <c r="S1168" s="169" t="s">
        <v>283</v>
      </c>
      <c r="T1168" s="169">
        <v>0</v>
      </c>
    </row>
    <row r="1169" spans="1:20" x14ac:dyDescent="0.2">
      <c r="A1169" s="169">
        <v>627</v>
      </c>
      <c r="B1169" s="167" t="str">
        <f>_xlfn.XLOOKUP(I1169,Mapping!D:D,Mapping!E:E)</f>
        <v>Xưởng Sản Xuất</v>
      </c>
      <c r="C1169" s="167" t="str">
        <f>_xlfn.XLOOKUP(F1169,Mapping!A:A,Mapping!F:F)</f>
        <v>Phụ Cấp</v>
      </c>
      <c r="D1169" s="173">
        <v>45838</v>
      </c>
      <c r="E1169" s="169" t="s">
        <v>813</v>
      </c>
      <c r="F1169" s="169" t="s">
        <v>375</v>
      </c>
      <c r="G1169" s="169" t="s">
        <v>336</v>
      </c>
      <c r="H1169" s="169" t="s">
        <v>430</v>
      </c>
      <c r="I1169" s="169" t="s">
        <v>431</v>
      </c>
      <c r="J1169" s="169" t="s">
        <v>814</v>
      </c>
      <c r="K1169" s="169" t="s">
        <v>815</v>
      </c>
      <c r="L1169" s="169" t="s">
        <v>816</v>
      </c>
      <c r="M1169" s="169" t="s">
        <v>281</v>
      </c>
      <c r="N1169" s="178">
        <v>1790000</v>
      </c>
      <c r="O1169" s="169" t="s">
        <v>817</v>
      </c>
      <c r="P1169" s="169" t="s">
        <v>283</v>
      </c>
      <c r="Q1169" s="169" t="s">
        <v>284</v>
      </c>
      <c r="R1169" s="169" t="s">
        <v>283</v>
      </c>
      <c r="S1169" s="169" t="s">
        <v>283</v>
      </c>
      <c r="T1169" s="169">
        <v>0</v>
      </c>
    </row>
    <row r="1170" spans="1:20" x14ac:dyDescent="0.2">
      <c r="A1170" s="169">
        <v>627</v>
      </c>
      <c r="B1170" s="167" t="str">
        <f>_xlfn.XLOOKUP(I1170,Mapping!D:D,Mapping!E:E)</f>
        <v>Xưởng Sản Xuất</v>
      </c>
      <c r="C1170" s="167" t="str">
        <f>_xlfn.XLOOKUP(F1170,Mapping!A:A,Mapping!F:F)</f>
        <v>Phụ Cấp</v>
      </c>
      <c r="D1170" s="173">
        <v>45838</v>
      </c>
      <c r="E1170" s="169" t="s">
        <v>813</v>
      </c>
      <c r="F1170" s="169" t="s">
        <v>386</v>
      </c>
      <c r="G1170" s="169" t="s">
        <v>341</v>
      </c>
      <c r="H1170" s="169" t="s">
        <v>436</v>
      </c>
      <c r="I1170" s="169" t="s">
        <v>437</v>
      </c>
      <c r="J1170" s="169" t="s">
        <v>814</v>
      </c>
      <c r="K1170" s="169" t="s">
        <v>815</v>
      </c>
      <c r="L1170" s="169" t="s">
        <v>816</v>
      </c>
      <c r="M1170" s="169" t="s">
        <v>281</v>
      </c>
      <c r="N1170" s="178">
        <v>10100436</v>
      </c>
      <c r="O1170" s="169" t="s">
        <v>817</v>
      </c>
      <c r="P1170" s="169" t="s">
        <v>283</v>
      </c>
      <c r="Q1170" s="169" t="s">
        <v>284</v>
      </c>
      <c r="R1170" s="169" t="s">
        <v>283</v>
      </c>
      <c r="S1170" s="169" t="s">
        <v>283</v>
      </c>
      <c r="T1170" s="169">
        <v>0</v>
      </c>
    </row>
    <row r="1171" spans="1:20" x14ac:dyDescent="0.2">
      <c r="A1171" s="169">
        <v>627</v>
      </c>
      <c r="B1171" s="167" t="str">
        <f>_xlfn.XLOOKUP(I1171,Mapping!D:D,Mapping!E:E)</f>
        <v>Xưởng Sản Xuất</v>
      </c>
      <c r="C1171" s="167" t="str">
        <f>_xlfn.XLOOKUP(F1171,Mapping!A:A,Mapping!F:F)</f>
        <v>Lương Chính +T13</v>
      </c>
      <c r="D1171" s="173">
        <v>45838</v>
      </c>
      <c r="E1171" s="169" t="s">
        <v>813</v>
      </c>
      <c r="F1171" s="169" t="s">
        <v>387</v>
      </c>
      <c r="G1171" s="169" t="s">
        <v>275</v>
      </c>
      <c r="H1171" s="169" t="s">
        <v>436</v>
      </c>
      <c r="I1171" s="169" t="s">
        <v>437</v>
      </c>
      <c r="J1171" s="169" t="s">
        <v>814</v>
      </c>
      <c r="K1171" s="169" t="s">
        <v>815</v>
      </c>
      <c r="L1171" s="169" t="s">
        <v>816</v>
      </c>
      <c r="M1171" s="169" t="s">
        <v>281</v>
      </c>
      <c r="N1171" s="178">
        <v>388075451</v>
      </c>
      <c r="O1171" s="169" t="s">
        <v>817</v>
      </c>
      <c r="P1171" s="169" t="s">
        <v>283</v>
      </c>
      <c r="Q1171" s="169" t="s">
        <v>284</v>
      </c>
      <c r="R1171" s="169" t="s">
        <v>283</v>
      </c>
      <c r="S1171" s="169" t="s">
        <v>283</v>
      </c>
      <c r="T1171" s="169">
        <v>0</v>
      </c>
    </row>
    <row r="1172" spans="1:20" x14ac:dyDescent="0.2">
      <c r="A1172" s="169">
        <v>627</v>
      </c>
      <c r="B1172" s="167" t="str">
        <f>_xlfn.XLOOKUP(I1172,Mapping!D:D,Mapping!E:E)</f>
        <v>Xưởng Sản Xuất</v>
      </c>
      <c r="C1172" s="167" t="str">
        <f>_xlfn.XLOOKUP(F1172,Mapping!A:A,Mapping!F:F)</f>
        <v>Lương Chính +T13</v>
      </c>
      <c r="D1172" s="173">
        <v>45838</v>
      </c>
      <c r="E1172" s="169" t="s">
        <v>813</v>
      </c>
      <c r="F1172" s="169" t="s">
        <v>388</v>
      </c>
      <c r="G1172" s="169" t="s">
        <v>286</v>
      </c>
      <c r="H1172" s="169" t="s">
        <v>436</v>
      </c>
      <c r="I1172" s="169" t="s">
        <v>437</v>
      </c>
      <c r="J1172" s="169" t="s">
        <v>814</v>
      </c>
      <c r="K1172" s="169" t="s">
        <v>815</v>
      </c>
      <c r="L1172" s="169" t="s">
        <v>816</v>
      </c>
      <c r="M1172" s="169" t="s">
        <v>281</v>
      </c>
      <c r="N1172" s="178">
        <v>11765869</v>
      </c>
      <c r="O1172" s="169" t="s">
        <v>817</v>
      </c>
      <c r="P1172" s="169" t="s">
        <v>283</v>
      </c>
      <c r="Q1172" s="169" t="s">
        <v>284</v>
      </c>
      <c r="R1172" s="169" t="s">
        <v>283</v>
      </c>
      <c r="S1172" s="169" t="s">
        <v>283</v>
      </c>
      <c r="T1172" s="169">
        <v>0</v>
      </c>
    </row>
    <row r="1173" spans="1:20" x14ac:dyDescent="0.2">
      <c r="A1173" s="169">
        <v>627</v>
      </c>
      <c r="B1173" s="167" t="str">
        <f>_xlfn.XLOOKUP(I1173,Mapping!D:D,Mapping!E:E)</f>
        <v>Xưởng Sản Xuất</v>
      </c>
      <c r="C1173" s="167" t="str">
        <f>_xlfn.XLOOKUP(F1173,Mapping!A:A,Mapping!F:F)</f>
        <v>Lương Ngoài giờ</v>
      </c>
      <c r="D1173" s="173">
        <v>45838</v>
      </c>
      <c r="E1173" s="169" t="s">
        <v>813</v>
      </c>
      <c r="F1173" s="169" t="s">
        <v>389</v>
      </c>
      <c r="G1173" s="169" t="s">
        <v>390</v>
      </c>
      <c r="H1173" s="169" t="s">
        <v>436</v>
      </c>
      <c r="I1173" s="169" t="s">
        <v>437</v>
      </c>
      <c r="J1173" s="169" t="s">
        <v>814</v>
      </c>
      <c r="K1173" s="169" t="s">
        <v>815</v>
      </c>
      <c r="L1173" s="169" t="s">
        <v>816</v>
      </c>
      <c r="M1173" s="169" t="s">
        <v>281</v>
      </c>
      <c r="N1173" s="178">
        <v>56291567</v>
      </c>
      <c r="O1173" s="169" t="s">
        <v>817</v>
      </c>
      <c r="P1173" s="169" t="s">
        <v>283</v>
      </c>
      <c r="Q1173" s="169" t="s">
        <v>284</v>
      </c>
      <c r="R1173" s="169" t="s">
        <v>283</v>
      </c>
      <c r="S1173" s="169" t="s">
        <v>283</v>
      </c>
      <c r="T1173" s="169">
        <v>0</v>
      </c>
    </row>
    <row r="1174" spans="1:20" x14ac:dyDescent="0.2">
      <c r="A1174" s="169">
        <v>627</v>
      </c>
      <c r="B1174" s="167" t="str">
        <f>_xlfn.XLOOKUP(I1174,Mapping!D:D,Mapping!E:E)</f>
        <v>Xưởng Sản Xuất</v>
      </c>
      <c r="C1174" s="167" t="str">
        <f>_xlfn.XLOOKUP(F1174,Mapping!A:A,Mapping!F:F)</f>
        <v>Phụ Cấp</v>
      </c>
      <c r="D1174" s="173">
        <v>45838</v>
      </c>
      <c r="E1174" s="169" t="s">
        <v>813</v>
      </c>
      <c r="F1174" s="169" t="s">
        <v>375</v>
      </c>
      <c r="G1174" s="169" t="s">
        <v>336</v>
      </c>
      <c r="H1174" s="169" t="s">
        <v>436</v>
      </c>
      <c r="I1174" s="169" t="s">
        <v>437</v>
      </c>
      <c r="J1174" s="169" t="s">
        <v>814</v>
      </c>
      <c r="K1174" s="169" t="s">
        <v>815</v>
      </c>
      <c r="L1174" s="169" t="s">
        <v>816</v>
      </c>
      <c r="M1174" s="169" t="s">
        <v>281</v>
      </c>
      <c r="N1174" s="178">
        <v>5980000</v>
      </c>
      <c r="O1174" s="169" t="s">
        <v>817</v>
      </c>
      <c r="P1174" s="169" t="s">
        <v>283</v>
      </c>
      <c r="Q1174" s="169" t="s">
        <v>284</v>
      </c>
      <c r="R1174" s="169" t="s">
        <v>283</v>
      </c>
      <c r="S1174" s="169" t="s">
        <v>283</v>
      </c>
      <c r="T1174" s="169">
        <v>0</v>
      </c>
    </row>
    <row r="1175" spans="1:20" x14ac:dyDescent="0.2">
      <c r="B1175" s="167" t="str">
        <f>_xlfn.XLOOKUP(I1175,Mapping!D:D,Mapping!E:E)</f>
        <v>Tư vấn dịch vụ</v>
      </c>
      <c r="C1175" s="167" t="str">
        <f>_xlfn.XLOOKUP(F1175,Mapping!A:A,Mapping!F:F)</f>
        <v>Lương Chính +T13</v>
      </c>
      <c r="D1175" s="173">
        <v>45838</v>
      </c>
      <c r="E1175" s="169" t="s">
        <v>813</v>
      </c>
      <c r="F1175" s="169" t="s">
        <v>274</v>
      </c>
      <c r="G1175" s="169" t="s">
        <v>275</v>
      </c>
      <c r="H1175" s="169" t="s">
        <v>443</v>
      </c>
      <c r="I1175" s="169" t="s">
        <v>444</v>
      </c>
      <c r="J1175" s="169" t="s">
        <v>814</v>
      </c>
      <c r="K1175" s="169" t="s">
        <v>815</v>
      </c>
      <c r="L1175" s="169" t="s">
        <v>816</v>
      </c>
      <c r="M1175" s="169" t="s">
        <v>281</v>
      </c>
      <c r="N1175" s="178">
        <v>190000000</v>
      </c>
      <c r="O1175" s="169" t="s">
        <v>817</v>
      </c>
      <c r="P1175" s="169" t="s">
        <v>283</v>
      </c>
      <c r="Q1175" s="169" t="s">
        <v>284</v>
      </c>
      <c r="R1175" s="169" t="s">
        <v>283</v>
      </c>
      <c r="S1175" s="169" t="s">
        <v>283</v>
      </c>
      <c r="T1175" s="169">
        <v>0</v>
      </c>
    </row>
    <row r="1176" spans="1:20" x14ac:dyDescent="0.2">
      <c r="A1176" s="169">
        <v>622</v>
      </c>
      <c r="B1176" s="167" t="str">
        <f>_xlfn.XLOOKUP(I1176,Mapping!D:D,Mapping!E:E)</f>
        <v>Xưởng Sản Xuất</v>
      </c>
      <c r="C1176" s="167" t="str">
        <f>_xlfn.XLOOKUP(F1176,Mapping!A:A,Mapping!F:F)</f>
        <v>Lương Chính +T13</v>
      </c>
      <c r="D1176" s="173">
        <v>45838</v>
      </c>
      <c r="E1176" s="169" t="s">
        <v>813</v>
      </c>
      <c r="F1176" s="169" t="s">
        <v>400</v>
      </c>
      <c r="G1176" s="169" t="s">
        <v>401</v>
      </c>
      <c r="H1176" s="169" t="s">
        <v>441</v>
      </c>
      <c r="I1176" s="169" t="s">
        <v>442</v>
      </c>
      <c r="J1176" s="169" t="s">
        <v>814</v>
      </c>
      <c r="K1176" s="169" t="s">
        <v>815</v>
      </c>
      <c r="L1176" s="169" t="s">
        <v>816</v>
      </c>
      <c r="M1176" s="169" t="s">
        <v>281</v>
      </c>
      <c r="N1176" s="178">
        <v>10301404</v>
      </c>
      <c r="O1176" s="169" t="s">
        <v>817</v>
      </c>
      <c r="P1176" s="169" t="s">
        <v>283</v>
      </c>
      <c r="Q1176" s="169" t="s">
        <v>284</v>
      </c>
      <c r="R1176" s="169" t="s">
        <v>283</v>
      </c>
      <c r="S1176" s="169" t="s">
        <v>283</v>
      </c>
      <c r="T1176" s="169">
        <v>0</v>
      </c>
    </row>
    <row r="1177" spans="1:20" x14ac:dyDescent="0.2">
      <c r="A1177" s="169">
        <v>622</v>
      </c>
      <c r="B1177" s="167" t="str">
        <f>_xlfn.XLOOKUP(I1177,Mapping!D:D,Mapping!E:E)</f>
        <v>Xưởng Sản Xuất</v>
      </c>
      <c r="C1177" s="167" t="str">
        <f>_xlfn.XLOOKUP(F1177,Mapping!A:A,Mapping!F:F)</f>
        <v>Phụ Cấp</v>
      </c>
      <c r="D1177" s="173">
        <v>45838</v>
      </c>
      <c r="E1177" s="169" t="s">
        <v>813</v>
      </c>
      <c r="F1177" s="169" t="s">
        <v>421</v>
      </c>
      <c r="G1177" s="169" t="s">
        <v>341</v>
      </c>
      <c r="H1177" s="169" t="s">
        <v>441</v>
      </c>
      <c r="I1177" s="169" t="s">
        <v>442</v>
      </c>
      <c r="J1177" s="169" t="s">
        <v>814</v>
      </c>
      <c r="K1177" s="169" t="s">
        <v>815</v>
      </c>
      <c r="L1177" s="169" t="s">
        <v>816</v>
      </c>
      <c r="M1177" s="169" t="s">
        <v>281</v>
      </c>
      <c r="N1177" s="178">
        <v>883385</v>
      </c>
      <c r="O1177" s="169" t="s">
        <v>817</v>
      </c>
      <c r="P1177" s="169" t="s">
        <v>283</v>
      </c>
      <c r="Q1177" s="169" t="s">
        <v>284</v>
      </c>
      <c r="R1177" s="169" t="s">
        <v>283</v>
      </c>
      <c r="S1177" s="169" t="s">
        <v>283</v>
      </c>
      <c r="T1177" s="169">
        <v>0</v>
      </c>
    </row>
    <row r="1178" spans="1:20" x14ac:dyDescent="0.2">
      <c r="A1178" s="169">
        <v>622</v>
      </c>
      <c r="B1178" s="167" t="str">
        <f>_xlfn.XLOOKUP(I1178,Mapping!D:D,Mapping!E:E)</f>
        <v>Xưởng Sản Xuất</v>
      </c>
      <c r="C1178" s="167" t="str">
        <f>_xlfn.XLOOKUP(F1178,Mapping!A:A,Mapping!F:F)</f>
        <v>Lương Ngoài giờ</v>
      </c>
      <c r="D1178" s="173">
        <v>45838</v>
      </c>
      <c r="E1178" s="169" t="s">
        <v>813</v>
      </c>
      <c r="F1178" s="169" t="s">
        <v>422</v>
      </c>
      <c r="G1178" s="169" t="s">
        <v>423</v>
      </c>
      <c r="H1178" s="169" t="s">
        <v>441</v>
      </c>
      <c r="I1178" s="169" t="s">
        <v>442</v>
      </c>
      <c r="J1178" s="169" t="s">
        <v>814</v>
      </c>
      <c r="K1178" s="169" t="s">
        <v>815</v>
      </c>
      <c r="L1178" s="169" t="s">
        <v>816</v>
      </c>
      <c r="M1178" s="169" t="s">
        <v>281</v>
      </c>
      <c r="N1178" s="178">
        <v>2129474</v>
      </c>
      <c r="O1178" s="169" t="s">
        <v>817</v>
      </c>
      <c r="P1178" s="169" t="s">
        <v>283</v>
      </c>
      <c r="Q1178" s="169" t="s">
        <v>284</v>
      </c>
      <c r="R1178" s="169" t="s">
        <v>283</v>
      </c>
      <c r="S1178" s="169" t="s">
        <v>283</v>
      </c>
      <c r="T1178" s="169">
        <v>0</v>
      </c>
    </row>
    <row r="1179" spans="1:20" x14ac:dyDescent="0.2">
      <c r="A1179" s="169">
        <v>622</v>
      </c>
      <c r="B1179" s="167" t="str">
        <f>_xlfn.XLOOKUP(I1179,Mapping!D:D,Mapping!E:E)</f>
        <v>Xưởng Sản Xuất</v>
      </c>
      <c r="C1179" s="167" t="str">
        <f>_xlfn.XLOOKUP(F1179,Mapping!A:A,Mapping!F:F)</f>
        <v>Phụ Cấp</v>
      </c>
      <c r="D1179" s="173">
        <v>45838</v>
      </c>
      <c r="E1179" s="169" t="s">
        <v>813</v>
      </c>
      <c r="F1179" s="169" t="s">
        <v>414</v>
      </c>
      <c r="G1179" s="169" t="s">
        <v>415</v>
      </c>
      <c r="H1179" s="169" t="s">
        <v>441</v>
      </c>
      <c r="I1179" s="169" t="s">
        <v>442</v>
      </c>
      <c r="J1179" s="169" t="s">
        <v>814</v>
      </c>
      <c r="K1179" s="169" t="s">
        <v>815</v>
      </c>
      <c r="L1179" s="169" t="s">
        <v>816</v>
      </c>
      <c r="M1179" s="169" t="s">
        <v>281</v>
      </c>
      <c r="N1179" s="178">
        <v>250000</v>
      </c>
      <c r="O1179" s="169" t="s">
        <v>817</v>
      </c>
      <c r="P1179" s="169" t="s">
        <v>283</v>
      </c>
      <c r="Q1179" s="169" t="s">
        <v>284</v>
      </c>
      <c r="R1179" s="169" t="s">
        <v>283</v>
      </c>
      <c r="S1179" s="169" t="s">
        <v>283</v>
      </c>
      <c r="T1179" s="169">
        <v>0</v>
      </c>
    </row>
    <row r="1180" spans="1:20" x14ac:dyDescent="0.2">
      <c r="A1180" s="169">
        <v>627</v>
      </c>
      <c r="B1180" s="167" t="str">
        <f>_xlfn.XLOOKUP(I1180,Mapping!D:D,Mapping!E:E)</f>
        <v>Xưởng Sản Xuất</v>
      </c>
      <c r="C1180" s="167" t="str">
        <f>_xlfn.XLOOKUP(F1180,Mapping!A:A,Mapping!F:F)</f>
        <v>Lương Chính +T13</v>
      </c>
      <c r="D1180" s="173">
        <v>45838</v>
      </c>
      <c r="E1180" s="169" t="s">
        <v>818</v>
      </c>
      <c r="F1180" s="169" t="s">
        <v>388</v>
      </c>
      <c r="G1180" s="169" t="s">
        <v>286</v>
      </c>
      <c r="H1180" s="169" t="s">
        <v>430</v>
      </c>
      <c r="I1180" s="169" t="s">
        <v>431</v>
      </c>
      <c r="J1180" s="169" t="s">
        <v>819</v>
      </c>
      <c r="K1180" s="169" t="s">
        <v>815</v>
      </c>
      <c r="L1180" s="169" t="s">
        <v>816</v>
      </c>
      <c r="M1180" s="169" t="s">
        <v>281</v>
      </c>
      <c r="N1180" s="178">
        <v>12365449</v>
      </c>
      <c r="O1180" s="169" t="s">
        <v>820</v>
      </c>
      <c r="P1180" s="169" t="s">
        <v>283</v>
      </c>
      <c r="Q1180" s="169" t="s">
        <v>284</v>
      </c>
      <c r="R1180" s="169" t="s">
        <v>283</v>
      </c>
      <c r="S1180" s="169" t="s">
        <v>283</v>
      </c>
      <c r="T1180" s="169">
        <v>0</v>
      </c>
    </row>
    <row r="1181" spans="1:20" x14ac:dyDescent="0.2">
      <c r="A1181" s="169">
        <v>627</v>
      </c>
      <c r="B1181" s="167" t="str">
        <f>_xlfn.XLOOKUP(I1181,Mapping!D:D,Mapping!E:E)</f>
        <v>Xưởng Sản Xuất</v>
      </c>
      <c r="C1181" s="167" t="str">
        <f>_xlfn.XLOOKUP(F1181,Mapping!A:A,Mapping!F:F)</f>
        <v>Thưởng</v>
      </c>
      <c r="D1181" s="173">
        <v>45838</v>
      </c>
      <c r="E1181" s="169" t="s">
        <v>818</v>
      </c>
      <c r="F1181" s="169" t="s">
        <v>395</v>
      </c>
      <c r="G1181" s="169" t="s">
        <v>77</v>
      </c>
      <c r="H1181" s="169" t="s">
        <v>430</v>
      </c>
      <c r="I1181" s="169" t="s">
        <v>431</v>
      </c>
      <c r="J1181" s="169" t="s">
        <v>821</v>
      </c>
      <c r="K1181" s="169" t="s">
        <v>815</v>
      </c>
      <c r="L1181" s="169" t="s">
        <v>816</v>
      </c>
      <c r="M1181" s="169" t="s">
        <v>281</v>
      </c>
      <c r="N1181" s="178">
        <v>10948825</v>
      </c>
      <c r="O1181" s="169" t="s">
        <v>820</v>
      </c>
      <c r="P1181" s="169" t="s">
        <v>283</v>
      </c>
      <c r="Q1181" s="169" t="s">
        <v>284</v>
      </c>
      <c r="R1181" s="169" t="s">
        <v>283</v>
      </c>
      <c r="S1181" s="169" t="s">
        <v>283</v>
      </c>
      <c r="T1181" s="169">
        <v>0</v>
      </c>
    </row>
    <row r="1182" spans="1:20" x14ac:dyDescent="0.2">
      <c r="A1182" s="169">
        <v>627</v>
      </c>
      <c r="B1182" s="167" t="str">
        <f>_xlfn.XLOOKUP(I1182,Mapping!D:D,Mapping!E:E)</f>
        <v>Xưởng Sản Xuất</v>
      </c>
      <c r="C1182" s="167" t="str">
        <f>_xlfn.XLOOKUP(F1182,Mapping!A:A,Mapping!F:F)</f>
        <v>Lương Chính +T13</v>
      </c>
      <c r="D1182" s="173">
        <v>45838</v>
      </c>
      <c r="E1182" s="169" t="s">
        <v>818</v>
      </c>
      <c r="F1182" s="169" t="s">
        <v>388</v>
      </c>
      <c r="G1182" s="169" t="s">
        <v>286</v>
      </c>
      <c r="H1182" s="169" t="s">
        <v>436</v>
      </c>
      <c r="I1182" s="169" t="s">
        <v>437</v>
      </c>
      <c r="J1182" s="169" t="s">
        <v>819</v>
      </c>
      <c r="K1182" s="169" t="s">
        <v>815</v>
      </c>
      <c r="L1182" s="169" t="s">
        <v>816</v>
      </c>
      <c r="M1182" s="169" t="s">
        <v>281</v>
      </c>
      <c r="N1182" s="178">
        <v>25733334</v>
      </c>
      <c r="O1182" s="169" t="s">
        <v>820</v>
      </c>
      <c r="P1182" s="169" t="s">
        <v>283</v>
      </c>
      <c r="Q1182" s="169" t="s">
        <v>284</v>
      </c>
      <c r="R1182" s="169" t="s">
        <v>283</v>
      </c>
      <c r="S1182" s="169" t="s">
        <v>283</v>
      </c>
      <c r="T1182" s="169">
        <v>0</v>
      </c>
    </row>
    <row r="1183" spans="1:20" x14ac:dyDescent="0.2">
      <c r="A1183" s="169">
        <v>627</v>
      </c>
      <c r="B1183" s="167" t="str">
        <f>_xlfn.XLOOKUP(I1183,Mapping!D:D,Mapping!E:E)</f>
        <v>Xưởng Sản Xuất</v>
      </c>
      <c r="C1183" s="167" t="str">
        <f>_xlfn.XLOOKUP(F1183,Mapping!A:A,Mapping!F:F)</f>
        <v>Thưởng</v>
      </c>
      <c r="D1183" s="173">
        <v>45838</v>
      </c>
      <c r="E1183" s="169" t="s">
        <v>818</v>
      </c>
      <c r="F1183" s="169" t="s">
        <v>395</v>
      </c>
      <c r="G1183" s="169" t="s">
        <v>77</v>
      </c>
      <c r="H1183" s="169" t="s">
        <v>436</v>
      </c>
      <c r="I1183" s="169" t="s">
        <v>437</v>
      </c>
      <c r="J1183" s="169" t="s">
        <v>821</v>
      </c>
      <c r="K1183" s="169" t="s">
        <v>815</v>
      </c>
      <c r="L1183" s="169" t="s">
        <v>816</v>
      </c>
      <c r="M1183" s="169" t="s">
        <v>281</v>
      </c>
      <c r="N1183" s="178">
        <v>15684237</v>
      </c>
      <c r="O1183" s="169" t="s">
        <v>820</v>
      </c>
      <c r="P1183" s="169" t="s">
        <v>283</v>
      </c>
      <c r="Q1183" s="169" t="s">
        <v>284</v>
      </c>
      <c r="R1183" s="169" t="s">
        <v>283</v>
      </c>
      <c r="S1183" s="169" t="s">
        <v>283</v>
      </c>
      <c r="T1183" s="169">
        <v>0</v>
      </c>
    </row>
    <row r="1184" spans="1:20" x14ac:dyDescent="0.2">
      <c r="B1184" s="167" t="str">
        <f>_xlfn.XLOOKUP(I1184,Mapping!D:D,Mapping!E:E)</f>
        <v>Tư vấn dịch vụ</v>
      </c>
      <c r="C1184" s="167" t="str">
        <f>_xlfn.XLOOKUP(F1184,Mapping!A:A,Mapping!F:F)</f>
        <v>Lương Chính +T13</v>
      </c>
      <c r="D1184" s="173">
        <v>45838</v>
      </c>
      <c r="E1184" s="169" t="s">
        <v>818</v>
      </c>
      <c r="F1184" s="169" t="s">
        <v>285</v>
      </c>
      <c r="G1184" s="169" t="s">
        <v>286</v>
      </c>
      <c r="H1184" s="169" t="s">
        <v>443</v>
      </c>
      <c r="I1184" s="169" t="s">
        <v>444</v>
      </c>
      <c r="J1184" s="169" t="s">
        <v>819</v>
      </c>
      <c r="K1184" s="169" t="s">
        <v>815</v>
      </c>
      <c r="L1184" s="169" t="s">
        <v>816</v>
      </c>
      <c r="M1184" s="169" t="s">
        <v>281</v>
      </c>
      <c r="N1184" s="178">
        <v>15833333</v>
      </c>
      <c r="O1184" s="169" t="s">
        <v>820</v>
      </c>
      <c r="P1184" s="169" t="s">
        <v>283</v>
      </c>
      <c r="Q1184" s="169" t="s">
        <v>284</v>
      </c>
      <c r="R1184" s="169" t="s">
        <v>283</v>
      </c>
      <c r="S1184" s="169" t="s">
        <v>283</v>
      </c>
      <c r="T1184" s="169">
        <v>0</v>
      </c>
    </row>
    <row r="1185" spans="1:20" x14ac:dyDescent="0.2">
      <c r="B1185" s="167" t="str">
        <f>_xlfn.XLOOKUP(I1185,Mapping!D:D,Mapping!E:E)</f>
        <v>Tư vấn dịch vụ</v>
      </c>
      <c r="C1185" s="167" t="str">
        <f>_xlfn.XLOOKUP(F1185,Mapping!A:A,Mapping!F:F)</f>
        <v>Thưởng</v>
      </c>
      <c r="D1185" s="173">
        <v>45838</v>
      </c>
      <c r="E1185" s="169" t="s">
        <v>818</v>
      </c>
      <c r="F1185" s="169" t="s">
        <v>292</v>
      </c>
      <c r="G1185" s="169" t="s">
        <v>77</v>
      </c>
      <c r="H1185" s="169" t="s">
        <v>443</v>
      </c>
      <c r="I1185" s="169" t="s">
        <v>444</v>
      </c>
      <c r="J1185" s="169" t="s">
        <v>821</v>
      </c>
      <c r="K1185" s="169" t="s">
        <v>815</v>
      </c>
      <c r="L1185" s="169" t="s">
        <v>816</v>
      </c>
      <c r="M1185" s="169" t="s">
        <v>281</v>
      </c>
      <c r="N1185" s="178">
        <v>14566540</v>
      </c>
      <c r="O1185" s="169" t="s">
        <v>820</v>
      </c>
      <c r="P1185" s="169" t="s">
        <v>283</v>
      </c>
      <c r="Q1185" s="169" t="s">
        <v>284</v>
      </c>
      <c r="R1185" s="169" t="s">
        <v>283</v>
      </c>
      <c r="S1185" s="169" t="s">
        <v>283</v>
      </c>
      <c r="T1185" s="169">
        <v>0</v>
      </c>
    </row>
    <row r="1186" spans="1:20" x14ac:dyDescent="0.2">
      <c r="A1186" s="169">
        <v>622</v>
      </c>
      <c r="B1186" s="167" t="str">
        <f>_xlfn.XLOOKUP(I1186,Mapping!D:D,Mapping!E:E)</f>
        <v>Xưởng Sản Xuất</v>
      </c>
      <c r="C1186" s="167" t="str">
        <f>_xlfn.XLOOKUP(F1186,Mapping!A:A,Mapping!F:F)</f>
        <v>Lương Chính +T13</v>
      </c>
      <c r="D1186" s="173">
        <v>45838</v>
      </c>
      <c r="E1186" s="169" t="s">
        <v>818</v>
      </c>
      <c r="F1186" s="169" t="s">
        <v>420</v>
      </c>
      <c r="G1186" s="169" t="s">
        <v>286</v>
      </c>
      <c r="H1186" s="169" t="s">
        <v>441</v>
      </c>
      <c r="I1186" s="169" t="s">
        <v>442</v>
      </c>
      <c r="J1186" s="169" t="s">
        <v>819</v>
      </c>
      <c r="K1186" s="169" t="s">
        <v>815</v>
      </c>
      <c r="L1186" s="169" t="s">
        <v>816</v>
      </c>
      <c r="M1186" s="169" t="s">
        <v>281</v>
      </c>
      <c r="N1186" s="178">
        <v>531385</v>
      </c>
      <c r="O1186" s="169" t="s">
        <v>820</v>
      </c>
      <c r="P1186" s="169" t="s">
        <v>283</v>
      </c>
      <c r="Q1186" s="169" t="s">
        <v>284</v>
      </c>
      <c r="R1186" s="169" t="s">
        <v>283</v>
      </c>
      <c r="S1186" s="169" t="s">
        <v>283</v>
      </c>
      <c r="T1186" s="169">
        <v>0</v>
      </c>
    </row>
    <row r="1187" spans="1:20" x14ac:dyDescent="0.2">
      <c r="A1187" s="169">
        <v>622</v>
      </c>
      <c r="B1187" s="167" t="str">
        <f>_xlfn.XLOOKUP(I1187,Mapping!D:D,Mapping!E:E)</f>
        <v>Xưởng Sản Xuất</v>
      </c>
      <c r="C1187" s="167" t="str">
        <f>_xlfn.XLOOKUP(F1187,Mapping!A:A,Mapping!F:F)</f>
        <v>Thưởng</v>
      </c>
      <c r="D1187" s="173">
        <v>45838</v>
      </c>
      <c r="E1187" s="169" t="s">
        <v>818</v>
      </c>
      <c r="F1187" s="169" t="s">
        <v>426</v>
      </c>
      <c r="G1187" s="169" t="s">
        <v>77</v>
      </c>
      <c r="H1187" s="169" t="s">
        <v>441</v>
      </c>
      <c r="I1187" s="169" t="s">
        <v>442</v>
      </c>
      <c r="J1187" s="169" t="s">
        <v>821</v>
      </c>
      <c r="K1187" s="169" t="s">
        <v>815</v>
      </c>
      <c r="L1187" s="169" t="s">
        <v>816</v>
      </c>
      <c r="M1187" s="169" t="s">
        <v>281</v>
      </c>
      <c r="N1187" s="178">
        <v>78876</v>
      </c>
      <c r="O1187" s="169" t="s">
        <v>820</v>
      </c>
      <c r="P1187" s="169" t="s">
        <v>283</v>
      </c>
      <c r="Q1187" s="169" t="s">
        <v>284</v>
      </c>
      <c r="R1187" s="169" t="s">
        <v>283</v>
      </c>
      <c r="S1187" s="169" t="s">
        <v>283</v>
      </c>
      <c r="T1187" s="169">
        <v>0</v>
      </c>
    </row>
    <row r="1188" spans="1:20" x14ac:dyDescent="0.2">
      <c r="A1188" s="169">
        <v>627</v>
      </c>
      <c r="B1188" s="167" t="str">
        <f>_xlfn.XLOOKUP(I1188,Mapping!D:D,Mapping!E:E)</f>
        <v>Xưởng Sản Xuất</v>
      </c>
      <c r="C1188" s="167" t="str">
        <f>_xlfn.XLOOKUP(F1188,Mapping!A:A,Mapping!F:F)</f>
        <v>BHXH, BHYT, KPCĐ</v>
      </c>
      <c r="D1188" s="173">
        <v>45838</v>
      </c>
      <c r="E1188" s="169" t="s">
        <v>825</v>
      </c>
      <c r="F1188" s="169" t="s">
        <v>393</v>
      </c>
      <c r="G1188" s="169" t="s">
        <v>296</v>
      </c>
      <c r="H1188" s="169" t="s">
        <v>430</v>
      </c>
      <c r="I1188" s="169" t="s">
        <v>431</v>
      </c>
      <c r="J1188" s="169" t="s">
        <v>826</v>
      </c>
      <c r="K1188" s="169" t="s">
        <v>815</v>
      </c>
      <c r="L1188" s="169" t="s">
        <v>816</v>
      </c>
      <c r="M1188" s="169" t="s">
        <v>281</v>
      </c>
      <c r="N1188" s="178">
        <v>31008195</v>
      </c>
      <c r="O1188" s="169" t="s">
        <v>827</v>
      </c>
      <c r="P1188" s="169" t="s">
        <v>283</v>
      </c>
      <c r="Q1188" s="169" t="s">
        <v>284</v>
      </c>
      <c r="R1188" s="169" t="s">
        <v>283</v>
      </c>
      <c r="S1188" s="169" t="s">
        <v>283</v>
      </c>
      <c r="T1188" s="169">
        <v>0</v>
      </c>
    </row>
    <row r="1189" spans="1:20" x14ac:dyDescent="0.2">
      <c r="A1189" s="169">
        <v>627</v>
      </c>
      <c r="B1189" s="167" t="str">
        <f>_xlfn.XLOOKUP(I1189,Mapping!D:D,Mapping!E:E)</f>
        <v>Xưởng Sản Xuất</v>
      </c>
      <c r="C1189" s="167" t="str">
        <f>_xlfn.XLOOKUP(F1189,Mapping!A:A,Mapping!F:F)</f>
        <v>BHXH, BHYT, KPCĐ</v>
      </c>
      <c r="D1189" s="173">
        <v>45838</v>
      </c>
      <c r="E1189" s="169" t="s">
        <v>825</v>
      </c>
      <c r="F1189" s="169" t="s">
        <v>393</v>
      </c>
      <c r="G1189" s="169" t="s">
        <v>296</v>
      </c>
      <c r="H1189" s="169" t="s">
        <v>436</v>
      </c>
      <c r="I1189" s="169" t="s">
        <v>437</v>
      </c>
      <c r="J1189" s="169" t="s">
        <v>826</v>
      </c>
      <c r="K1189" s="169" t="s">
        <v>815</v>
      </c>
      <c r="L1189" s="169" t="s">
        <v>816</v>
      </c>
      <c r="M1189" s="169" t="s">
        <v>281</v>
      </c>
      <c r="N1189" s="178">
        <v>54671485</v>
      </c>
      <c r="O1189" s="169" t="s">
        <v>827</v>
      </c>
      <c r="P1189" s="169" t="s">
        <v>283</v>
      </c>
      <c r="Q1189" s="169" t="s">
        <v>284</v>
      </c>
      <c r="R1189" s="169" t="s">
        <v>283</v>
      </c>
      <c r="S1189" s="169" t="s">
        <v>283</v>
      </c>
      <c r="T1189" s="169">
        <v>0</v>
      </c>
    </row>
    <row r="1190" spans="1:20" x14ac:dyDescent="0.2">
      <c r="A1190" s="169">
        <v>622</v>
      </c>
      <c r="B1190" s="167" t="str">
        <f>_xlfn.XLOOKUP(I1190,Mapping!D:D,Mapping!E:E)</f>
        <v>Xưởng Sản Xuất</v>
      </c>
      <c r="C1190" s="167" t="str">
        <f>_xlfn.XLOOKUP(F1190,Mapping!A:A,Mapping!F:F)</f>
        <v>BHXH, BHYT, KPCĐ</v>
      </c>
      <c r="D1190" s="173">
        <v>45838</v>
      </c>
      <c r="E1190" s="169" t="s">
        <v>825</v>
      </c>
      <c r="F1190" s="169" t="s">
        <v>425</v>
      </c>
      <c r="G1190" s="169" t="s">
        <v>296</v>
      </c>
      <c r="H1190" s="169" t="s">
        <v>441</v>
      </c>
      <c r="I1190" s="169" t="s">
        <v>442</v>
      </c>
      <c r="J1190" s="169" t="s">
        <v>826</v>
      </c>
      <c r="K1190" s="169" t="s">
        <v>815</v>
      </c>
      <c r="L1190" s="169" t="s">
        <v>816</v>
      </c>
      <c r="M1190" s="169" t="s">
        <v>281</v>
      </c>
      <c r="N1190" s="178">
        <v>1308480</v>
      </c>
      <c r="O1190" s="169" t="s">
        <v>827</v>
      </c>
      <c r="P1190" s="169" t="s">
        <v>283</v>
      </c>
      <c r="Q1190" s="169" t="s">
        <v>284</v>
      </c>
      <c r="R1190" s="169" t="s">
        <v>283</v>
      </c>
      <c r="S1190" s="169" t="s">
        <v>283</v>
      </c>
      <c r="T1190" s="169">
        <v>0</v>
      </c>
    </row>
    <row r="1191" spans="1:20" x14ac:dyDescent="0.2">
      <c r="A1191" s="169">
        <v>627</v>
      </c>
      <c r="B1191" s="167" t="str">
        <f>_xlfn.XLOOKUP(I1191,Mapping!D:D,Mapping!E:E)</f>
        <v>Xưởng Sản Xuất</v>
      </c>
      <c r="C1191" s="167" t="str">
        <f>_xlfn.XLOOKUP(F1191,Mapping!A:A,Mapping!F:F)</f>
        <v>BHXH, BHYT, KPCĐ</v>
      </c>
      <c r="D1191" s="173">
        <v>45838</v>
      </c>
      <c r="E1191" s="169" t="s">
        <v>832</v>
      </c>
      <c r="F1191" s="169" t="s">
        <v>393</v>
      </c>
      <c r="G1191" s="169" t="s">
        <v>296</v>
      </c>
      <c r="H1191" s="169" t="s">
        <v>436</v>
      </c>
      <c r="I1191" s="169" t="s">
        <v>437</v>
      </c>
      <c r="J1191" s="169" t="s">
        <v>826</v>
      </c>
      <c r="K1191" s="169" t="s">
        <v>815</v>
      </c>
      <c r="L1191" s="169" t="s">
        <v>816</v>
      </c>
      <c r="M1191" s="169" t="s">
        <v>281</v>
      </c>
      <c r="N1191" s="178">
        <v>1198500</v>
      </c>
      <c r="O1191" s="169" t="s">
        <v>833</v>
      </c>
      <c r="P1191" s="169" t="s">
        <v>283</v>
      </c>
      <c r="Q1191" s="169" t="s">
        <v>284</v>
      </c>
      <c r="R1191" s="169" t="s">
        <v>283</v>
      </c>
      <c r="S1191" s="169" t="s">
        <v>283</v>
      </c>
      <c r="T1191" s="169">
        <v>0</v>
      </c>
    </row>
    <row r="1192" spans="1:20" x14ac:dyDescent="0.2">
      <c r="A1192" s="169">
        <v>627</v>
      </c>
      <c r="B1192" s="167" t="str">
        <f>_xlfn.XLOOKUP(I1192,Mapping!D:D,Mapping!E:E)</f>
        <v>Xưởng Sản Xuất</v>
      </c>
      <c r="C1192" s="167" t="str">
        <f>_xlfn.XLOOKUP(F1192,Mapping!A:A,Mapping!F:F)</f>
        <v>Phụ Cấp</v>
      </c>
      <c r="D1192" s="173">
        <v>45834</v>
      </c>
      <c r="E1192" s="169" t="s">
        <v>837</v>
      </c>
      <c r="F1192" s="169" t="s">
        <v>375</v>
      </c>
      <c r="G1192" s="169" t="s">
        <v>336</v>
      </c>
      <c r="H1192" s="169" t="s">
        <v>441</v>
      </c>
      <c r="I1192" s="169" t="s">
        <v>442</v>
      </c>
      <c r="J1192" s="169" t="s">
        <v>838</v>
      </c>
      <c r="K1192" s="169" t="s">
        <v>741</v>
      </c>
      <c r="L1192" s="169" t="s">
        <v>816</v>
      </c>
      <c r="M1192" s="169" t="s">
        <v>281</v>
      </c>
      <c r="N1192" s="178">
        <v>500000</v>
      </c>
      <c r="O1192" s="169" t="s">
        <v>839</v>
      </c>
      <c r="P1192" s="169" t="s">
        <v>283</v>
      </c>
      <c r="Q1192" s="169" t="s">
        <v>306</v>
      </c>
      <c r="R1192" s="169" t="s">
        <v>283</v>
      </c>
      <c r="S1192" s="169" t="s">
        <v>283</v>
      </c>
      <c r="T1192" s="169">
        <v>0</v>
      </c>
    </row>
    <row r="1193" spans="1:20" x14ac:dyDescent="0.2">
      <c r="A1193" s="169">
        <v>627</v>
      </c>
      <c r="B1193" s="167" t="str">
        <f>_xlfn.XLOOKUP(I1193,Mapping!D:D,Mapping!E:E)</f>
        <v>Xưởng Sản Xuất</v>
      </c>
      <c r="C1193" s="167" t="str">
        <f>_xlfn.XLOOKUP(F1193,Mapping!A:A,Mapping!F:F)</f>
        <v>Phụ Cấp</v>
      </c>
      <c r="D1193" s="173">
        <v>45834</v>
      </c>
      <c r="E1193" s="169" t="s">
        <v>837</v>
      </c>
      <c r="F1193" s="169" t="s">
        <v>375</v>
      </c>
      <c r="G1193" s="169" t="s">
        <v>336</v>
      </c>
      <c r="H1193" s="169" t="s">
        <v>430</v>
      </c>
      <c r="I1193" s="169" t="s">
        <v>431</v>
      </c>
      <c r="J1193" s="169" t="s">
        <v>838</v>
      </c>
      <c r="K1193" s="169" t="s">
        <v>741</v>
      </c>
      <c r="L1193" s="169" t="s">
        <v>816</v>
      </c>
      <c r="M1193" s="169" t="s">
        <v>281</v>
      </c>
      <c r="N1193" s="178">
        <v>33775000</v>
      </c>
      <c r="O1193" s="169" t="s">
        <v>839</v>
      </c>
      <c r="P1193" s="169" t="s">
        <v>283</v>
      </c>
      <c r="Q1193" s="169" t="s">
        <v>306</v>
      </c>
      <c r="R1193" s="169" t="s">
        <v>283</v>
      </c>
      <c r="S1193" s="169" t="s">
        <v>283</v>
      </c>
      <c r="T1193" s="169">
        <v>0</v>
      </c>
    </row>
    <row r="1194" spans="1:20" x14ac:dyDescent="0.2">
      <c r="A1194" s="169">
        <v>627</v>
      </c>
      <c r="B1194" s="167" t="str">
        <f>_xlfn.XLOOKUP(I1194,Mapping!D:D,Mapping!E:E)</f>
        <v>Xưởng Sản Xuất</v>
      </c>
      <c r="C1194" s="167" t="str">
        <f>_xlfn.XLOOKUP(F1194,Mapping!A:A,Mapping!F:F)</f>
        <v>Phụ Cấp</v>
      </c>
      <c r="D1194" s="173">
        <v>45834</v>
      </c>
      <c r="E1194" s="169" t="s">
        <v>837</v>
      </c>
      <c r="F1194" s="169" t="s">
        <v>375</v>
      </c>
      <c r="G1194" s="169" t="s">
        <v>336</v>
      </c>
      <c r="H1194" s="169" t="s">
        <v>436</v>
      </c>
      <c r="I1194" s="169" t="s">
        <v>437</v>
      </c>
      <c r="J1194" s="169" t="s">
        <v>838</v>
      </c>
      <c r="K1194" s="169" t="s">
        <v>741</v>
      </c>
      <c r="L1194" s="169" t="s">
        <v>816</v>
      </c>
      <c r="M1194" s="169" t="s">
        <v>281</v>
      </c>
      <c r="N1194" s="178">
        <v>26700000</v>
      </c>
      <c r="O1194" s="169" t="s">
        <v>839</v>
      </c>
      <c r="P1194" s="169" t="s">
        <v>283</v>
      </c>
      <c r="Q1194" s="169" t="s">
        <v>306</v>
      </c>
      <c r="R1194" s="169" t="s">
        <v>283</v>
      </c>
      <c r="S1194" s="169" t="s">
        <v>283</v>
      </c>
      <c r="T1194" s="169">
        <v>0</v>
      </c>
    </row>
    <row r="1195" spans="1:20" x14ac:dyDescent="0.2">
      <c r="A1195" s="169">
        <v>622</v>
      </c>
      <c r="B1195" s="167" t="str">
        <f>_xlfn.XLOOKUP(I1195,Mapping!D:D,Mapping!E:E)</f>
        <v>Xưởng Sản Xuất</v>
      </c>
      <c r="C1195" s="167" t="str">
        <f>_xlfn.XLOOKUP(F1195,Mapping!A:A,Mapping!F:F)</f>
        <v>Lương Chính +T13</v>
      </c>
      <c r="D1195" s="173">
        <v>45838</v>
      </c>
      <c r="E1195" s="169" t="s">
        <v>840</v>
      </c>
      <c r="F1195" s="169" t="s">
        <v>400</v>
      </c>
      <c r="G1195" s="169" t="s">
        <v>401</v>
      </c>
      <c r="H1195" s="169" t="s">
        <v>436</v>
      </c>
      <c r="I1195" s="169" t="s">
        <v>437</v>
      </c>
      <c r="J1195" s="169" t="s">
        <v>841</v>
      </c>
      <c r="K1195" s="169" t="s">
        <v>405</v>
      </c>
      <c r="L1195" s="169" t="s">
        <v>816</v>
      </c>
      <c r="M1195" s="169" t="s">
        <v>281</v>
      </c>
      <c r="N1195" s="178">
        <v>6266089</v>
      </c>
      <c r="O1195" s="169" t="s">
        <v>842</v>
      </c>
      <c r="P1195" s="169" t="s">
        <v>283</v>
      </c>
      <c r="Q1195" s="169" t="s">
        <v>306</v>
      </c>
      <c r="R1195" s="169" t="s">
        <v>283</v>
      </c>
      <c r="S1195" s="169" t="s">
        <v>283</v>
      </c>
      <c r="T1195" s="169">
        <v>0</v>
      </c>
    </row>
    <row r="1196" spans="1:20" x14ac:dyDescent="0.2">
      <c r="A1196" s="169">
        <v>627</v>
      </c>
      <c r="B1196" s="167" t="str">
        <f>_xlfn.XLOOKUP(I1196,Mapping!D:D,Mapping!E:E)</f>
        <v>Xưởng Sản Xuất</v>
      </c>
      <c r="C1196" s="167" t="str">
        <f>_xlfn.XLOOKUP(F1196,Mapping!A:A,Mapping!F:F)</f>
        <v>Phụ Cấp</v>
      </c>
      <c r="D1196" s="173">
        <v>45838</v>
      </c>
      <c r="E1196" s="169" t="s">
        <v>871</v>
      </c>
      <c r="F1196" s="169" t="s">
        <v>375</v>
      </c>
      <c r="G1196" s="169" t="s">
        <v>336</v>
      </c>
      <c r="H1196" s="169" t="s">
        <v>430</v>
      </c>
      <c r="I1196" s="169" t="s">
        <v>431</v>
      </c>
      <c r="J1196" s="169" t="s">
        <v>416</v>
      </c>
      <c r="K1196" s="169" t="s">
        <v>416</v>
      </c>
      <c r="L1196" s="169" t="s">
        <v>816</v>
      </c>
      <c r="M1196" s="169" t="s">
        <v>281</v>
      </c>
      <c r="N1196" s="178">
        <v>-27950000</v>
      </c>
      <c r="O1196" s="169" t="s">
        <v>872</v>
      </c>
      <c r="P1196" s="169" t="s">
        <v>283</v>
      </c>
      <c r="Q1196" s="169" t="s">
        <v>348</v>
      </c>
      <c r="R1196" s="169" t="s">
        <v>283</v>
      </c>
      <c r="S1196" s="169" t="s">
        <v>283</v>
      </c>
      <c r="T1196" s="169">
        <v>0</v>
      </c>
    </row>
    <row r="1197" spans="1:20" x14ac:dyDescent="0.2">
      <c r="A1197" s="169">
        <v>622</v>
      </c>
      <c r="B1197" s="167" t="str">
        <f>_xlfn.XLOOKUP(I1197,Mapping!D:D,Mapping!E:E)</f>
        <v>Xưởng Sản Xuất</v>
      </c>
      <c r="C1197" s="167" t="str">
        <f>_xlfn.XLOOKUP(F1197,Mapping!A:A,Mapping!F:F)</f>
        <v>Phụ Cấp</v>
      </c>
      <c r="D1197" s="173">
        <v>45838</v>
      </c>
      <c r="E1197" s="169" t="s">
        <v>871</v>
      </c>
      <c r="F1197" s="169" t="s">
        <v>414</v>
      </c>
      <c r="G1197" s="169" t="s">
        <v>415</v>
      </c>
      <c r="H1197" s="169" t="s">
        <v>441</v>
      </c>
      <c r="I1197" s="169" t="s">
        <v>442</v>
      </c>
      <c r="J1197" s="169" t="s">
        <v>416</v>
      </c>
      <c r="K1197" s="169" t="s">
        <v>416</v>
      </c>
      <c r="L1197" s="169" t="s">
        <v>816</v>
      </c>
      <c r="M1197" s="169" t="s">
        <v>281</v>
      </c>
      <c r="N1197" s="178">
        <v>500000</v>
      </c>
      <c r="O1197" s="169" t="s">
        <v>872</v>
      </c>
      <c r="P1197" s="169" t="s">
        <v>283</v>
      </c>
      <c r="Q1197" s="169" t="s">
        <v>348</v>
      </c>
      <c r="R1197" s="169" t="s">
        <v>283</v>
      </c>
      <c r="S1197" s="169" t="s">
        <v>283</v>
      </c>
      <c r="T1197" s="169">
        <v>0</v>
      </c>
    </row>
    <row r="1198" spans="1:20" x14ac:dyDescent="0.2">
      <c r="A1198" s="169">
        <v>627</v>
      </c>
      <c r="B1198" s="167" t="str">
        <f>_xlfn.XLOOKUP(I1198,Mapping!D:D,Mapping!E:E)</f>
        <v>Xưởng Sản Xuất</v>
      </c>
      <c r="C1198" s="167" t="str">
        <f>_xlfn.XLOOKUP(F1198,Mapping!A:A,Mapping!F:F)</f>
        <v>Phụ Cấp</v>
      </c>
      <c r="D1198" s="173">
        <v>45838</v>
      </c>
      <c r="E1198" s="169" t="s">
        <v>871</v>
      </c>
      <c r="F1198" s="169" t="s">
        <v>375</v>
      </c>
      <c r="G1198" s="169" t="s">
        <v>336</v>
      </c>
      <c r="H1198" s="169" t="s">
        <v>441</v>
      </c>
      <c r="I1198" s="169" t="s">
        <v>442</v>
      </c>
      <c r="J1198" s="169" t="s">
        <v>416</v>
      </c>
      <c r="K1198" s="169" t="s">
        <v>416</v>
      </c>
      <c r="L1198" s="169" t="s">
        <v>816</v>
      </c>
      <c r="M1198" s="169" t="s">
        <v>281</v>
      </c>
      <c r="N1198" s="178">
        <v>-500000</v>
      </c>
      <c r="O1198" s="169" t="s">
        <v>872</v>
      </c>
      <c r="P1198" s="169" t="s">
        <v>283</v>
      </c>
      <c r="Q1198" s="169" t="s">
        <v>348</v>
      </c>
      <c r="R1198" s="169" t="s">
        <v>283</v>
      </c>
      <c r="S1198" s="169" t="s">
        <v>283</v>
      </c>
      <c r="T1198" s="169">
        <v>0</v>
      </c>
    </row>
    <row r="1199" spans="1:20" x14ac:dyDescent="0.2">
      <c r="A1199" s="169">
        <v>622</v>
      </c>
      <c r="B1199" s="167" t="str">
        <f>_xlfn.XLOOKUP(I1199,Mapping!D:D,Mapping!E:E)</f>
        <v>Xưởng Sản Xuất</v>
      </c>
      <c r="C1199" s="167" t="str">
        <f>_xlfn.XLOOKUP(F1199,Mapping!A:A,Mapping!F:F)</f>
        <v>Phụ Cấp</v>
      </c>
      <c r="D1199" s="173">
        <v>45838</v>
      </c>
      <c r="E1199" s="169" t="s">
        <v>871</v>
      </c>
      <c r="F1199" s="169" t="s">
        <v>414</v>
      </c>
      <c r="G1199" s="169" t="s">
        <v>415</v>
      </c>
      <c r="H1199" s="169" t="s">
        <v>441</v>
      </c>
      <c r="I1199" s="169" t="s">
        <v>442</v>
      </c>
      <c r="J1199" s="169" t="s">
        <v>416</v>
      </c>
      <c r="K1199" s="169" t="s">
        <v>416</v>
      </c>
      <c r="L1199" s="169" t="s">
        <v>816</v>
      </c>
      <c r="M1199" s="169" t="s">
        <v>281</v>
      </c>
      <c r="N1199" s="178">
        <v>150000</v>
      </c>
      <c r="O1199" s="169" t="s">
        <v>872</v>
      </c>
      <c r="P1199" s="169" t="s">
        <v>283</v>
      </c>
      <c r="Q1199" s="169" t="s">
        <v>348</v>
      </c>
      <c r="R1199" s="169" t="s">
        <v>283</v>
      </c>
      <c r="S1199" s="169" t="s">
        <v>283</v>
      </c>
      <c r="T1199" s="169">
        <v>0</v>
      </c>
    </row>
    <row r="1200" spans="1:20" x14ac:dyDescent="0.2">
      <c r="A1200" s="169">
        <v>627</v>
      </c>
      <c r="B1200" s="167" t="str">
        <f>_xlfn.XLOOKUP(I1200,Mapping!D:D,Mapping!E:E)</f>
        <v>Xưởng Sản Xuất</v>
      </c>
      <c r="C1200" s="167" t="str">
        <f>_xlfn.XLOOKUP(F1200,Mapping!A:A,Mapping!F:F)</f>
        <v>Phụ Cấp</v>
      </c>
      <c r="D1200" s="173">
        <v>45838</v>
      </c>
      <c r="E1200" s="169" t="s">
        <v>871</v>
      </c>
      <c r="F1200" s="169" t="s">
        <v>375</v>
      </c>
      <c r="G1200" s="169" t="s">
        <v>336</v>
      </c>
      <c r="H1200" s="169" t="s">
        <v>430</v>
      </c>
      <c r="I1200" s="169" t="s">
        <v>431</v>
      </c>
      <c r="J1200" s="169" t="s">
        <v>416</v>
      </c>
      <c r="K1200" s="169" t="s">
        <v>416</v>
      </c>
      <c r="L1200" s="169" t="s">
        <v>816</v>
      </c>
      <c r="M1200" s="169" t="s">
        <v>281</v>
      </c>
      <c r="N1200" s="178">
        <v>-150000</v>
      </c>
      <c r="O1200" s="169" t="s">
        <v>872</v>
      </c>
      <c r="P1200" s="169" t="s">
        <v>283</v>
      </c>
      <c r="Q1200" s="169" t="s">
        <v>348</v>
      </c>
      <c r="R1200" s="169" t="s">
        <v>283</v>
      </c>
      <c r="S1200" s="169" t="s">
        <v>283</v>
      </c>
      <c r="T1200" s="169">
        <v>0</v>
      </c>
    </row>
    <row r="1201" spans="1:20" x14ac:dyDescent="0.2">
      <c r="A1201" s="169">
        <v>627</v>
      </c>
      <c r="B1201" s="167" t="str">
        <f>_xlfn.XLOOKUP(I1201,Mapping!D:D,Mapping!E:E)</f>
        <v>Xưởng Sản Xuất</v>
      </c>
      <c r="C1201" s="167" t="str">
        <f>_xlfn.XLOOKUP(F1201,Mapping!A:A,Mapping!F:F)</f>
        <v>Lương Chính +T13</v>
      </c>
      <c r="D1201" s="173">
        <v>45838</v>
      </c>
      <c r="E1201" s="169" t="s">
        <v>877</v>
      </c>
      <c r="F1201" s="169" t="s">
        <v>387</v>
      </c>
      <c r="G1201" s="169" t="s">
        <v>275</v>
      </c>
      <c r="H1201" s="169" t="s">
        <v>436</v>
      </c>
      <c r="I1201" s="169" t="s">
        <v>437</v>
      </c>
      <c r="J1201" s="169" t="s">
        <v>848</v>
      </c>
      <c r="K1201" s="169" t="s">
        <v>849</v>
      </c>
      <c r="L1201" s="169" t="s">
        <v>816</v>
      </c>
      <c r="M1201" s="169" t="s">
        <v>281</v>
      </c>
      <c r="N1201" s="178">
        <v>6266089</v>
      </c>
      <c r="O1201" s="169" t="s">
        <v>878</v>
      </c>
      <c r="P1201" s="169" t="s">
        <v>283</v>
      </c>
      <c r="Q1201" s="169" t="s">
        <v>306</v>
      </c>
      <c r="R1201" s="169" t="s">
        <v>283</v>
      </c>
      <c r="S1201" s="169" t="s">
        <v>283</v>
      </c>
      <c r="T1201" s="169">
        <v>0</v>
      </c>
    </row>
    <row r="1202" spans="1:20" x14ac:dyDescent="0.2">
      <c r="A1202" s="169">
        <v>622</v>
      </c>
      <c r="B1202" s="167" t="str">
        <f>_xlfn.XLOOKUP(I1202,Mapping!D:D,Mapping!E:E)</f>
        <v>Xưởng Sản Xuất</v>
      </c>
      <c r="C1202" s="167" t="str">
        <f>_xlfn.XLOOKUP(F1202,Mapping!A:A,Mapping!F:F)</f>
        <v>Lương Chính +T13</v>
      </c>
      <c r="D1202" s="173">
        <v>45838</v>
      </c>
      <c r="E1202" s="169" t="s">
        <v>877</v>
      </c>
      <c r="F1202" s="169" t="s">
        <v>400</v>
      </c>
      <c r="G1202" s="169" t="s">
        <v>401</v>
      </c>
      <c r="H1202" s="169" t="s">
        <v>436</v>
      </c>
      <c r="I1202" s="169" t="s">
        <v>437</v>
      </c>
      <c r="J1202" s="169" t="s">
        <v>848</v>
      </c>
      <c r="K1202" s="169" t="s">
        <v>849</v>
      </c>
      <c r="L1202" s="169" t="s">
        <v>816</v>
      </c>
      <c r="M1202" s="169" t="s">
        <v>281</v>
      </c>
      <c r="N1202" s="178">
        <v>-6266089</v>
      </c>
      <c r="O1202" s="169" t="s">
        <v>878</v>
      </c>
      <c r="P1202" s="169" t="s">
        <v>283</v>
      </c>
      <c r="Q1202" s="169" t="s">
        <v>306</v>
      </c>
      <c r="R1202" s="169" t="s">
        <v>283</v>
      </c>
      <c r="S1202" s="169" t="s">
        <v>283</v>
      </c>
      <c r="T1202" s="169">
        <v>0</v>
      </c>
    </row>
    <row r="1203" spans="1:20" x14ac:dyDescent="0.2">
      <c r="B1203" s="167" t="str">
        <f>_xlfn.XLOOKUP(I1203,Mapping!D:D,Mapping!E:E)</f>
        <v>Ban Giám Đốc</v>
      </c>
      <c r="C1203" s="167" t="str">
        <f>_xlfn.XLOOKUP(F1203,Mapping!A:A,Mapping!F:F)</f>
        <v>Lương Chính +T13</v>
      </c>
      <c r="D1203" s="173">
        <v>45869</v>
      </c>
      <c r="E1203" s="169" t="s">
        <v>879</v>
      </c>
      <c r="F1203" s="169" t="s">
        <v>274</v>
      </c>
      <c r="G1203" s="169" t="s">
        <v>275</v>
      </c>
      <c r="H1203" s="169" t="s">
        <v>276</v>
      </c>
      <c r="I1203" s="169" t="s">
        <v>277</v>
      </c>
      <c r="J1203" s="169" t="s">
        <v>880</v>
      </c>
      <c r="K1203" s="169" t="s">
        <v>881</v>
      </c>
      <c r="L1203" s="169" t="s">
        <v>882</v>
      </c>
      <c r="M1203" s="169" t="s">
        <v>281</v>
      </c>
      <c r="N1203" s="178">
        <v>1280095779</v>
      </c>
      <c r="O1203" s="169" t="s">
        <v>883</v>
      </c>
      <c r="P1203" s="169" t="s">
        <v>283</v>
      </c>
      <c r="Q1203" s="169" t="s">
        <v>284</v>
      </c>
      <c r="R1203" s="169" t="s">
        <v>283</v>
      </c>
      <c r="S1203" s="169" t="s">
        <v>283</v>
      </c>
      <c r="T1203" s="169">
        <v>0</v>
      </c>
    </row>
    <row r="1204" spans="1:20" x14ac:dyDescent="0.2">
      <c r="B1204" s="167" t="str">
        <f>_xlfn.XLOOKUP(I1204,Mapping!D:D,Mapping!E:E)</f>
        <v>Ban Giám Đốc</v>
      </c>
      <c r="C1204" s="167" t="str">
        <f>_xlfn.XLOOKUP(F1204,Mapping!A:A,Mapping!F:F)</f>
        <v>Lương Chính +T13</v>
      </c>
      <c r="D1204" s="173">
        <v>45869</v>
      </c>
      <c r="E1204" s="169" t="s">
        <v>879</v>
      </c>
      <c r="F1204" s="169" t="s">
        <v>285</v>
      </c>
      <c r="G1204" s="169" t="s">
        <v>286</v>
      </c>
      <c r="H1204" s="169" t="s">
        <v>276</v>
      </c>
      <c r="I1204" s="169" t="s">
        <v>277</v>
      </c>
      <c r="J1204" s="169" t="s">
        <v>880</v>
      </c>
      <c r="K1204" s="169" t="s">
        <v>881</v>
      </c>
      <c r="L1204" s="169" t="s">
        <v>882</v>
      </c>
      <c r="M1204" s="169" t="s">
        <v>281</v>
      </c>
      <c r="N1204" s="178">
        <v>135613203</v>
      </c>
      <c r="O1204" s="169" t="s">
        <v>883</v>
      </c>
      <c r="P1204" s="169" t="s">
        <v>283</v>
      </c>
      <c r="Q1204" s="169" t="s">
        <v>284</v>
      </c>
      <c r="R1204" s="169" t="s">
        <v>283</v>
      </c>
      <c r="S1204" s="169" t="s">
        <v>283</v>
      </c>
      <c r="T1204" s="169">
        <v>0</v>
      </c>
    </row>
    <row r="1205" spans="1:20" x14ac:dyDescent="0.2">
      <c r="B1205" s="167" t="str">
        <f>_xlfn.XLOOKUP(I1205,Mapping!D:D,Mapping!E:E)</f>
        <v>Ban Giám Đốc</v>
      </c>
      <c r="C1205" s="167" t="str">
        <f>_xlfn.XLOOKUP(F1205,Mapping!A:A,Mapping!F:F)</f>
        <v>Lương Chính +T13</v>
      </c>
      <c r="D1205" s="173">
        <v>45869</v>
      </c>
      <c r="E1205" s="169" t="s">
        <v>884</v>
      </c>
      <c r="F1205" s="169" t="s">
        <v>285</v>
      </c>
      <c r="G1205" s="169" t="s">
        <v>286</v>
      </c>
      <c r="H1205" s="169" t="s">
        <v>276</v>
      </c>
      <c r="I1205" s="169" t="s">
        <v>277</v>
      </c>
      <c r="J1205" s="169" t="s">
        <v>885</v>
      </c>
      <c r="K1205" s="169" t="s">
        <v>881</v>
      </c>
      <c r="L1205" s="169" t="s">
        <v>882</v>
      </c>
      <c r="M1205" s="169" t="s">
        <v>281</v>
      </c>
      <c r="N1205" s="178">
        <v>107825083</v>
      </c>
      <c r="O1205" s="169" t="s">
        <v>886</v>
      </c>
      <c r="P1205" s="169" t="s">
        <v>283</v>
      </c>
      <c r="Q1205" s="169" t="s">
        <v>284</v>
      </c>
      <c r="R1205" s="169" t="s">
        <v>283</v>
      </c>
      <c r="S1205" s="169" t="s">
        <v>283</v>
      </c>
      <c r="T1205" s="169">
        <v>0</v>
      </c>
    </row>
    <row r="1206" spans="1:20" x14ac:dyDescent="0.2">
      <c r="B1206" s="167" t="str">
        <f>_xlfn.XLOOKUP(I1206,Mapping!D:D,Mapping!E:E)</f>
        <v>Ban Giám Đốc</v>
      </c>
      <c r="C1206" s="167" t="str">
        <f>_xlfn.XLOOKUP(F1206,Mapping!A:A,Mapping!F:F)</f>
        <v>Thưởng</v>
      </c>
      <c r="D1206" s="173">
        <v>45869</v>
      </c>
      <c r="E1206" s="169" t="s">
        <v>884</v>
      </c>
      <c r="F1206" s="169" t="s">
        <v>292</v>
      </c>
      <c r="G1206" s="169" t="s">
        <v>77</v>
      </c>
      <c r="H1206" s="169" t="s">
        <v>276</v>
      </c>
      <c r="I1206" s="169" t="s">
        <v>277</v>
      </c>
      <c r="J1206" s="169" t="s">
        <v>887</v>
      </c>
      <c r="K1206" s="169" t="s">
        <v>881</v>
      </c>
      <c r="L1206" s="169" t="s">
        <v>882</v>
      </c>
      <c r="M1206" s="169" t="s">
        <v>281</v>
      </c>
      <c r="N1206" s="178">
        <v>99198214</v>
      </c>
      <c r="O1206" s="169" t="s">
        <v>886</v>
      </c>
      <c r="P1206" s="169" t="s">
        <v>283</v>
      </c>
      <c r="Q1206" s="169" t="s">
        <v>284</v>
      </c>
      <c r="R1206" s="169" t="s">
        <v>283</v>
      </c>
      <c r="S1206" s="169" t="s">
        <v>283</v>
      </c>
      <c r="T1206" s="169">
        <v>0</v>
      </c>
    </row>
    <row r="1207" spans="1:20" x14ac:dyDescent="0.2">
      <c r="B1207" s="167" t="str">
        <f>_xlfn.XLOOKUP(I1207,Mapping!D:D,Mapping!E:E)</f>
        <v>Ban Giám Đốc</v>
      </c>
      <c r="C1207" s="167" t="str">
        <f>_xlfn.XLOOKUP(F1207,Mapping!A:A,Mapping!F:F)</f>
        <v>BHXH, BHYT, KPCĐ</v>
      </c>
      <c r="D1207" s="173">
        <v>45869</v>
      </c>
      <c r="E1207" s="169" t="s">
        <v>888</v>
      </c>
      <c r="F1207" s="169" t="s">
        <v>295</v>
      </c>
      <c r="G1207" s="169" t="s">
        <v>296</v>
      </c>
      <c r="H1207" s="169" t="s">
        <v>276</v>
      </c>
      <c r="I1207" s="169" t="s">
        <v>277</v>
      </c>
      <c r="J1207" s="169" t="s">
        <v>889</v>
      </c>
      <c r="K1207" s="169" t="s">
        <v>881</v>
      </c>
      <c r="L1207" s="169" t="s">
        <v>882</v>
      </c>
      <c r="M1207" s="169" t="s">
        <v>281</v>
      </c>
      <c r="N1207" s="178">
        <v>135080010</v>
      </c>
      <c r="O1207" s="169" t="s">
        <v>890</v>
      </c>
      <c r="P1207" s="169" t="s">
        <v>283</v>
      </c>
      <c r="Q1207" s="169" t="s">
        <v>284</v>
      </c>
      <c r="R1207" s="169" t="s">
        <v>283</v>
      </c>
      <c r="S1207" s="169" t="s">
        <v>283</v>
      </c>
      <c r="T1207" s="169">
        <v>0</v>
      </c>
    </row>
    <row r="1208" spans="1:20" x14ac:dyDescent="0.2">
      <c r="B1208" s="167" t="str">
        <f>_xlfn.XLOOKUP(I1208,Mapping!D:D,Mapping!E:E)</f>
        <v>Ban Giám Đốc</v>
      </c>
      <c r="C1208" s="167" t="str">
        <f>_xlfn.XLOOKUP(F1208,Mapping!A:A,Mapping!F:F)</f>
        <v>BHXH, BHYT, KPCĐ</v>
      </c>
      <c r="D1208" s="173">
        <v>45869</v>
      </c>
      <c r="E1208" s="169" t="s">
        <v>891</v>
      </c>
      <c r="F1208" s="169" t="s">
        <v>295</v>
      </c>
      <c r="G1208" s="169" t="s">
        <v>296</v>
      </c>
      <c r="H1208" s="169" t="s">
        <v>276</v>
      </c>
      <c r="I1208" s="169" t="s">
        <v>277</v>
      </c>
      <c r="J1208" s="169" t="s">
        <v>892</v>
      </c>
      <c r="K1208" s="169" t="s">
        <v>881</v>
      </c>
      <c r="L1208" s="169" t="s">
        <v>882</v>
      </c>
      <c r="M1208" s="169" t="s">
        <v>281</v>
      </c>
      <c r="N1208" s="178">
        <v>2106000</v>
      </c>
      <c r="O1208" s="169" t="s">
        <v>893</v>
      </c>
      <c r="P1208" s="169" t="s">
        <v>283</v>
      </c>
      <c r="Q1208" s="169" t="s">
        <v>284</v>
      </c>
      <c r="R1208" s="169" t="s">
        <v>283</v>
      </c>
      <c r="S1208" s="169" t="s">
        <v>283</v>
      </c>
      <c r="T1208" s="169">
        <v>0</v>
      </c>
    </row>
    <row r="1209" spans="1:20" x14ac:dyDescent="0.2">
      <c r="B1209" s="167" t="str">
        <f>_xlfn.XLOOKUP(I1209,Mapping!D:D,Mapping!E:E)</f>
        <v>Văn Phòng Giám Đốc</v>
      </c>
      <c r="C1209" s="167" t="str">
        <f>_xlfn.XLOOKUP(F1209,Mapping!A:A,Mapping!F:F)</f>
        <v>Lương Chính +T13</v>
      </c>
      <c r="D1209" s="173">
        <v>45869</v>
      </c>
      <c r="E1209" s="169" t="s">
        <v>879</v>
      </c>
      <c r="F1209" s="169" t="s">
        <v>274</v>
      </c>
      <c r="G1209" s="169" t="s">
        <v>275</v>
      </c>
      <c r="H1209" s="169" t="s">
        <v>320</v>
      </c>
      <c r="I1209" s="169" t="s">
        <v>321</v>
      </c>
      <c r="J1209" s="169" t="s">
        <v>880</v>
      </c>
      <c r="K1209" s="169" t="s">
        <v>881</v>
      </c>
      <c r="L1209" s="169" t="s">
        <v>882</v>
      </c>
      <c r="M1209" s="169" t="s">
        <v>281</v>
      </c>
      <c r="N1209" s="178">
        <v>91972390</v>
      </c>
      <c r="O1209" s="169" t="s">
        <v>883</v>
      </c>
      <c r="P1209" s="169" t="s">
        <v>283</v>
      </c>
      <c r="Q1209" s="169" t="s">
        <v>284</v>
      </c>
      <c r="R1209" s="169" t="s">
        <v>283</v>
      </c>
      <c r="S1209" s="169" t="s">
        <v>283</v>
      </c>
      <c r="T1209" s="169">
        <v>0</v>
      </c>
    </row>
    <row r="1210" spans="1:20" x14ac:dyDescent="0.2">
      <c r="B1210" s="167" t="str">
        <f>_xlfn.XLOOKUP(I1210,Mapping!D:D,Mapping!E:E)</f>
        <v>Văn Phòng Giám Đốc</v>
      </c>
      <c r="C1210" s="167" t="str">
        <f>_xlfn.XLOOKUP(F1210,Mapping!A:A,Mapping!F:F)</f>
        <v>Lương Chính +T13</v>
      </c>
      <c r="D1210" s="173">
        <v>45869</v>
      </c>
      <c r="E1210" s="169" t="s">
        <v>879</v>
      </c>
      <c r="F1210" s="169" t="s">
        <v>285</v>
      </c>
      <c r="G1210" s="169" t="s">
        <v>286</v>
      </c>
      <c r="H1210" s="169" t="s">
        <v>320</v>
      </c>
      <c r="I1210" s="169" t="s">
        <v>321</v>
      </c>
      <c r="J1210" s="169" t="s">
        <v>880</v>
      </c>
      <c r="K1210" s="169" t="s">
        <v>881</v>
      </c>
      <c r="L1210" s="169" t="s">
        <v>882</v>
      </c>
      <c r="M1210" s="169" t="s">
        <v>281</v>
      </c>
      <c r="N1210" s="178">
        <v>5408741</v>
      </c>
      <c r="O1210" s="169" t="s">
        <v>883</v>
      </c>
      <c r="P1210" s="169" t="s">
        <v>283</v>
      </c>
      <c r="Q1210" s="169" t="s">
        <v>284</v>
      </c>
      <c r="R1210" s="169" t="s">
        <v>283</v>
      </c>
      <c r="S1210" s="169" t="s">
        <v>283</v>
      </c>
      <c r="T1210" s="169">
        <v>0</v>
      </c>
    </row>
    <row r="1211" spans="1:20" x14ac:dyDescent="0.2">
      <c r="B1211" s="167" t="str">
        <f>_xlfn.XLOOKUP(I1211,Mapping!D:D,Mapping!E:E)</f>
        <v>Văn Phòng Giám Đốc</v>
      </c>
      <c r="C1211" s="167" t="str">
        <f>_xlfn.XLOOKUP(F1211,Mapping!A:A,Mapping!F:F)</f>
        <v>Lương Chính +T13</v>
      </c>
      <c r="D1211" s="173">
        <v>45869</v>
      </c>
      <c r="E1211" s="169" t="s">
        <v>884</v>
      </c>
      <c r="F1211" s="169" t="s">
        <v>285</v>
      </c>
      <c r="G1211" s="169" t="s">
        <v>286</v>
      </c>
      <c r="H1211" s="169" t="s">
        <v>320</v>
      </c>
      <c r="I1211" s="169" t="s">
        <v>321</v>
      </c>
      <c r="J1211" s="169" t="s">
        <v>885</v>
      </c>
      <c r="K1211" s="169" t="s">
        <v>881</v>
      </c>
      <c r="L1211" s="169" t="s">
        <v>882</v>
      </c>
      <c r="M1211" s="169" t="s">
        <v>281</v>
      </c>
      <c r="N1211" s="178">
        <v>9604167</v>
      </c>
      <c r="O1211" s="169" t="s">
        <v>886</v>
      </c>
      <c r="P1211" s="169" t="s">
        <v>283</v>
      </c>
      <c r="Q1211" s="169" t="s">
        <v>284</v>
      </c>
      <c r="R1211" s="169" t="s">
        <v>283</v>
      </c>
      <c r="S1211" s="169" t="s">
        <v>283</v>
      </c>
      <c r="T1211" s="169">
        <v>0</v>
      </c>
    </row>
    <row r="1212" spans="1:20" x14ac:dyDescent="0.2">
      <c r="B1212" s="167" t="str">
        <f>_xlfn.XLOOKUP(I1212,Mapping!D:D,Mapping!E:E)</f>
        <v>Văn Phòng Giám Đốc</v>
      </c>
      <c r="C1212" s="167" t="str">
        <f>_xlfn.XLOOKUP(F1212,Mapping!A:A,Mapping!F:F)</f>
        <v>Thưởng</v>
      </c>
      <c r="D1212" s="173">
        <v>45869</v>
      </c>
      <c r="E1212" s="169" t="s">
        <v>884</v>
      </c>
      <c r="F1212" s="169" t="s">
        <v>292</v>
      </c>
      <c r="G1212" s="169" t="s">
        <v>77</v>
      </c>
      <c r="H1212" s="169" t="s">
        <v>320</v>
      </c>
      <c r="I1212" s="169" t="s">
        <v>321</v>
      </c>
      <c r="J1212" s="169" t="s">
        <v>887</v>
      </c>
      <c r="K1212" s="169" t="s">
        <v>881</v>
      </c>
      <c r="L1212" s="169" t="s">
        <v>882</v>
      </c>
      <c r="M1212" s="169" t="s">
        <v>281</v>
      </c>
      <c r="N1212" s="178">
        <v>8835757</v>
      </c>
      <c r="O1212" s="169" t="s">
        <v>886</v>
      </c>
      <c r="P1212" s="169" t="s">
        <v>283</v>
      </c>
      <c r="Q1212" s="169" t="s">
        <v>284</v>
      </c>
      <c r="R1212" s="169" t="s">
        <v>283</v>
      </c>
      <c r="S1212" s="169" t="s">
        <v>283</v>
      </c>
      <c r="T1212" s="169">
        <v>0</v>
      </c>
    </row>
    <row r="1213" spans="1:20" x14ac:dyDescent="0.2">
      <c r="B1213" s="167" t="str">
        <f>_xlfn.XLOOKUP(I1213,Mapping!D:D,Mapping!E:E)</f>
        <v>Văn Phòng Giám Đốc</v>
      </c>
      <c r="C1213" s="167" t="str">
        <f>_xlfn.XLOOKUP(F1213,Mapping!A:A,Mapping!F:F)</f>
        <v>Phụ Cấp</v>
      </c>
      <c r="D1213" s="173">
        <v>45864</v>
      </c>
      <c r="E1213" s="169" t="s">
        <v>894</v>
      </c>
      <c r="F1213" s="169" t="s">
        <v>335</v>
      </c>
      <c r="G1213" s="169" t="s">
        <v>336</v>
      </c>
      <c r="H1213" s="169" t="s">
        <v>320</v>
      </c>
      <c r="I1213" s="169" t="s">
        <v>321</v>
      </c>
      <c r="J1213" s="169" t="s">
        <v>895</v>
      </c>
      <c r="K1213" s="169" t="s">
        <v>741</v>
      </c>
      <c r="L1213" s="169" t="s">
        <v>882</v>
      </c>
      <c r="M1213" s="169" t="s">
        <v>281</v>
      </c>
      <c r="N1213" s="178">
        <v>1475000</v>
      </c>
      <c r="O1213" s="169" t="s">
        <v>896</v>
      </c>
      <c r="P1213" s="169" t="s">
        <v>283</v>
      </c>
      <c r="Q1213" s="169" t="s">
        <v>306</v>
      </c>
      <c r="R1213" s="169" t="s">
        <v>283</v>
      </c>
      <c r="S1213" s="169" t="s">
        <v>283</v>
      </c>
      <c r="T1213" s="169">
        <v>0</v>
      </c>
    </row>
    <row r="1214" spans="1:20" x14ac:dyDescent="0.2">
      <c r="B1214" s="167" t="str">
        <f>_xlfn.XLOOKUP(I1214,Mapping!D:D,Mapping!E:E)</f>
        <v>Văn Phòng Giám Đốc</v>
      </c>
      <c r="C1214" s="167" t="str">
        <f>_xlfn.XLOOKUP(F1214,Mapping!A:A,Mapping!F:F)</f>
        <v>BHXH, BHYT, KPCĐ</v>
      </c>
      <c r="D1214" s="173">
        <v>45869</v>
      </c>
      <c r="E1214" s="169" t="s">
        <v>891</v>
      </c>
      <c r="F1214" s="169" t="s">
        <v>295</v>
      </c>
      <c r="G1214" s="169" t="s">
        <v>296</v>
      </c>
      <c r="H1214" s="169" t="s">
        <v>320</v>
      </c>
      <c r="I1214" s="169" t="s">
        <v>321</v>
      </c>
      <c r="J1214" s="169" t="s">
        <v>892</v>
      </c>
      <c r="K1214" s="169" t="s">
        <v>881</v>
      </c>
      <c r="L1214" s="169" t="s">
        <v>882</v>
      </c>
      <c r="M1214" s="169" t="s">
        <v>281</v>
      </c>
      <c r="N1214" s="178">
        <v>-3264000</v>
      </c>
      <c r="O1214" s="169" t="s">
        <v>893</v>
      </c>
      <c r="P1214" s="169" t="s">
        <v>283</v>
      </c>
      <c r="Q1214" s="169" t="s">
        <v>284</v>
      </c>
      <c r="R1214" s="169" t="s">
        <v>283</v>
      </c>
      <c r="S1214" s="169" t="s">
        <v>283</v>
      </c>
      <c r="T1214" s="169">
        <v>0</v>
      </c>
    </row>
    <row r="1215" spans="1:20" x14ac:dyDescent="0.2">
      <c r="B1215" s="167" t="str">
        <f>_xlfn.XLOOKUP(I1215,Mapping!D:D,Mapping!E:E)</f>
        <v>Văn Phòng Giám Đốc</v>
      </c>
      <c r="C1215" s="167" t="str">
        <f>_xlfn.XLOOKUP(F1215,Mapping!A:A,Mapping!F:F)</f>
        <v>BHXH, BHYT, KPCĐ</v>
      </c>
      <c r="D1215" s="173">
        <v>45869</v>
      </c>
      <c r="E1215" s="169" t="s">
        <v>888</v>
      </c>
      <c r="F1215" s="169" t="s">
        <v>295</v>
      </c>
      <c r="G1215" s="169" t="s">
        <v>296</v>
      </c>
      <c r="H1215" s="169" t="s">
        <v>320</v>
      </c>
      <c r="I1215" s="169" t="s">
        <v>321</v>
      </c>
      <c r="J1215" s="169" t="s">
        <v>889</v>
      </c>
      <c r="K1215" s="169" t="s">
        <v>881</v>
      </c>
      <c r="L1215" s="169" t="s">
        <v>882</v>
      </c>
      <c r="M1215" s="169" t="s">
        <v>281</v>
      </c>
      <c r="N1215" s="178">
        <v>25643750</v>
      </c>
      <c r="O1215" s="169" t="s">
        <v>890</v>
      </c>
      <c r="P1215" s="169" t="s">
        <v>283</v>
      </c>
      <c r="Q1215" s="169" t="s">
        <v>284</v>
      </c>
      <c r="R1215" s="169" t="s">
        <v>283</v>
      </c>
      <c r="S1215" s="169" t="s">
        <v>283</v>
      </c>
      <c r="T1215" s="169">
        <v>0</v>
      </c>
    </row>
    <row r="1216" spans="1:20" x14ac:dyDescent="0.2">
      <c r="B1216" s="167" t="str">
        <f>_xlfn.XLOOKUP(I1216,Mapping!D:D,Mapping!E:E)</f>
        <v>Hành Chánh Nhân Sự</v>
      </c>
      <c r="C1216" s="167" t="str">
        <f>_xlfn.XLOOKUP(F1216,Mapping!A:A,Mapping!F:F)</f>
        <v>Phụ Cấp</v>
      </c>
      <c r="D1216" s="173">
        <v>45869</v>
      </c>
      <c r="E1216" s="169" t="s">
        <v>879</v>
      </c>
      <c r="F1216" s="169" t="s">
        <v>340</v>
      </c>
      <c r="G1216" s="169" t="s">
        <v>341</v>
      </c>
      <c r="H1216" s="169" t="s">
        <v>301</v>
      </c>
      <c r="I1216" s="169" t="s">
        <v>302</v>
      </c>
      <c r="J1216" s="169" t="s">
        <v>880</v>
      </c>
      <c r="K1216" s="169" t="s">
        <v>881</v>
      </c>
      <c r="L1216" s="169" t="s">
        <v>882</v>
      </c>
      <c r="M1216" s="169" t="s">
        <v>281</v>
      </c>
      <c r="N1216" s="178">
        <v>7477130</v>
      </c>
      <c r="O1216" s="169" t="s">
        <v>883</v>
      </c>
      <c r="P1216" s="169" t="s">
        <v>283</v>
      </c>
      <c r="Q1216" s="169" t="s">
        <v>284</v>
      </c>
      <c r="R1216" s="169" t="s">
        <v>283</v>
      </c>
      <c r="S1216" s="169" t="s">
        <v>283</v>
      </c>
      <c r="T1216" s="169">
        <v>0</v>
      </c>
    </row>
    <row r="1217" spans="2:20" x14ac:dyDescent="0.2">
      <c r="B1217" s="167" t="str">
        <f>_xlfn.XLOOKUP(I1217,Mapping!D:D,Mapping!E:E)</f>
        <v>Hành Chánh Nhân Sự</v>
      </c>
      <c r="C1217" s="167" t="str">
        <f>_xlfn.XLOOKUP(F1217,Mapping!A:A,Mapping!F:F)</f>
        <v>Lương Chính +T13</v>
      </c>
      <c r="D1217" s="173">
        <v>45869</v>
      </c>
      <c r="E1217" s="169" t="s">
        <v>879</v>
      </c>
      <c r="F1217" s="169" t="s">
        <v>274</v>
      </c>
      <c r="G1217" s="169" t="s">
        <v>275</v>
      </c>
      <c r="H1217" s="169" t="s">
        <v>301</v>
      </c>
      <c r="I1217" s="169" t="s">
        <v>302</v>
      </c>
      <c r="J1217" s="169" t="s">
        <v>880</v>
      </c>
      <c r="K1217" s="169" t="s">
        <v>881</v>
      </c>
      <c r="L1217" s="169" t="s">
        <v>882</v>
      </c>
      <c r="M1217" s="169" t="s">
        <v>281</v>
      </c>
      <c r="N1217" s="178">
        <v>460298354</v>
      </c>
      <c r="O1217" s="169" t="s">
        <v>883</v>
      </c>
      <c r="P1217" s="169" t="s">
        <v>283</v>
      </c>
      <c r="Q1217" s="169" t="s">
        <v>284</v>
      </c>
      <c r="R1217" s="169" t="s">
        <v>283</v>
      </c>
      <c r="S1217" s="169" t="s">
        <v>283</v>
      </c>
      <c r="T1217" s="169">
        <v>0</v>
      </c>
    </row>
    <row r="1218" spans="2:20" x14ac:dyDescent="0.2">
      <c r="B1218" s="167" t="str">
        <f>_xlfn.XLOOKUP(I1218,Mapping!D:D,Mapping!E:E)</f>
        <v>Hành Chánh Nhân Sự</v>
      </c>
      <c r="C1218" s="167" t="str">
        <f>_xlfn.XLOOKUP(F1218,Mapping!A:A,Mapping!F:F)</f>
        <v>Lương Chính +T13</v>
      </c>
      <c r="D1218" s="173">
        <v>45869</v>
      </c>
      <c r="E1218" s="169" t="s">
        <v>897</v>
      </c>
      <c r="F1218" s="169" t="s">
        <v>274</v>
      </c>
      <c r="G1218" s="169" t="s">
        <v>275</v>
      </c>
      <c r="H1218" s="169" t="s">
        <v>301</v>
      </c>
      <c r="I1218" s="169" t="s">
        <v>302</v>
      </c>
      <c r="J1218" s="169" t="s">
        <v>898</v>
      </c>
      <c r="K1218" s="169" t="s">
        <v>328</v>
      </c>
      <c r="L1218" s="169" t="s">
        <v>882</v>
      </c>
      <c r="M1218" s="169" t="s">
        <v>281</v>
      </c>
      <c r="N1218" s="178">
        <v>83250000</v>
      </c>
      <c r="O1218" s="169" t="s">
        <v>899</v>
      </c>
      <c r="P1218" s="169" t="s">
        <v>283</v>
      </c>
      <c r="Q1218" s="169" t="s">
        <v>306</v>
      </c>
      <c r="R1218" s="169" t="s">
        <v>283</v>
      </c>
      <c r="S1218" s="169" t="s">
        <v>283</v>
      </c>
      <c r="T1218" s="169">
        <v>0</v>
      </c>
    </row>
    <row r="1219" spans="2:20" x14ac:dyDescent="0.2">
      <c r="B1219" s="167" t="str">
        <f>_xlfn.XLOOKUP(I1219,Mapping!D:D,Mapping!E:E)</f>
        <v>Hành Chánh Nhân Sự</v>
      </c>
      <c r="C1219" s="167" t="str">
        <f>_xlfn.XLOOKUP(F1219,Mapping!A:A,Mapping!F:F)</f>
        <v>Lương Chính +T13</v>
      </c>
      <c r="D1219" s="173">
        <v>45869</v>
      </c>
      <c r="E1219" s="169" t="s">
        <v>900</v>
      </c>
      <c r="F1219" s="169" t="s">
        <v>274</v>
      </c>
      <c r="G1219" s="169" t="s">
        <v>275</v>
      </c>
      <c r="H1219" s="169" t="s">
        <v>301</v>
      </c>
      <c r="I1219" s="169" t="s">
        <v>302</v>
      </c>
      <c r="J1219" s="169" t="s">
        <v>901</v>
      </c>
      <c r="K1219" s="169" t="s">
        <v>405</v>
      </c>
      <c r="L1219" s="169" t="s">
        <v>882</v>
      </c>
      <c r="M1219" s="169" t="s">
        <v>281</v>
      </c>
      <c r="N1219" s="178">
        <v>8539049</v>
      </c>
      <c r="O1219" s="169" t="s">
        <v>902</v>
      </c>
      <c r="P1219" s="169" t="s">
        <v>283</v>
      </c>
      <c r="Q1219" s="169" t="s">
        <v>306</v>
      </c>
      <c r="R1219" s="169" t="s">
        <v>283</v>
      </c>
      <c r="S1219" s="169" t="s">
        <v>283</v>
      </c>
      <c r="T1219" s="169">
        <v>0</v>
      </c>
    </row>
    <row r="1220" spans="2:20" x14ac:dyDescent="0.2">
      <c r="B1220" s="167" t="str">
        <f>_xlfn.XLOOKUP(I1220,Mapping!D:D,Mapping!E:E)</f>
        <v>Hành Chánh Nhân Sự</v>
      </c>
      <c r="C1220" s="167" t="str">
        <f>_xlfn.XLOOKUP(F1220,Mapping!A:A,Mapping!F:F)</f>
        <v>Lương Chính +T13</v>
      </c>
      <c r="D1220" s="173">
        <v>45869</v>
      </c>
      <c r="E1220" s="169" t="s">
        <v>879</v>
      </c>
      <c r="F1220" s="169" t="s">
        <v>285</v>
      </c>
      <c r="G1220" s="169" t="s">
        <v>286</v>
      </c>
      <c r="H1220" s="169" t="s">
        <v>301</v>
      </c>
      <c r="I1220" s="169" t="s">
        <v>302</v>
      </c>
      <c r="J1220" s="169" t="s">
        <v>880</v>
      </c>
      <c r="K1220" s="169" t="s">
        <v>881</v>
      </c>
      <c r="L1220" s="169" t="s">
        <v>882</v>
      </c>
      <c r="M1220" s="169" t="s">
        <v>281</v>
      </c>
      <c r="N1220" s="178">
        <v>14734963</v>
      </c>
      <c r="O1220" s="169" t="s">
        <v>883</v>
      </c>
      <c r="P1220" s="169" t="s">
        <v>283</v>
      </c>
      <c r="Q1220" s="169" t="s">
        <v>284</v>
      </c>
      <c r="R1220" s="169" t="s">
        <v>283</v>
      </c>
      <c r="S1220" s="169" t="s">
        <v>283</v>
      </c>
      <c r="T1220" s="169">
        <v>0</v>
      </c>
    </row>
    <row r="1221" spans="2:20" x14ac:dyDescent="0.2">
      <c r="B1221" s="167" t="str">
        <f>_xlfn.XLOOKUP(I1221,Mapping!D:D,Mapping!E:E)</f>
        <v>Hành Chánh Nhân Sự</v>
      </c>
      <c r="C1221" s="167" t="str">
        <f>_xlfn.XLOOKUP(F1221,Mapping!A:A,Mapping!F:F)</f>
        <v>Lương Chính +T13</v>
      </c>
      <c r="D1221" s="173">
        <v>45869</v>
      </c>
      <c r="E1221" s="169" t="s">
        <v>884</v>
      </c>
      <c r="F1221" s="169" t="s">
        <v>285</v>
      </c>
      <c r="G1221" s="169" t="s">
        <v>286</v>
      </c>
      <c r="H1221" s="169" t="s">
        <v>301</v>
      </c>
      <c r="I1221" s="169" t="s">
        <v>302</v>
      </c>
      <c r="J1221" s="169" t="s">
        <v>885</v>
      </c>
      <c r="K1221" s="169" t="s">
        <v>881</v>
      </c>
      <c r="L1221" s="169" t="s">
        <v>882</v>
      </c>
      <c r="M1221" s="169" t="s">
        <v>281</v>
      </c>
      <c r="N1221" s="178">
        <v>41478548</v>
      </c>
      <c r="O1221" s="169" t="s">
        <v>886</v>
      </c>
      <c r="P1221" s="169" t="s">
        <v>283</v>
      </c>
      <c r="Q1221" s="169" t="s">
        <v>284</v>
      </c>
      <c r="R1221" s="169" t="s">
        <v>283</v>
      </c>
      <c r="S1221" s="169" t="s">
        <v>283</v>
      </c>
      <c r="T1221" s="169">
        <v>0</v>
      </c>
    </row>
    <row r="1222" spans="2:20" x14ac:dyDescent="0.2">
      <c r="B1222" s="167" t="str">
        <f>_xlfn.XLOOKUP(I1222,Mapping!D:D,Mapping!E:E)</f>
        <v>Hành Chánh Nhân Sự</v>
      </c>
      <c r="C1222" s="167" t="str">
        <f>_xlfn.XLOOKUP(F1222,Mapping!A:A,Mapping!F:F)</f>
        <v>Lương Ngoài giờ</v>
      </c>
      <c r="D1222" s="173">
        <v>45869</v>
      </c>
      <c r="E1222" s="169" t="s">
        <v>879</v>
      </c>
      <c r="F1222" s="169" t="s">
        <v>342</v>
      </c>
      <c r="G1222" s="169" t="s">
        <v>343</v>
      </c>
      <c r="H1222" s="169" t="s">
        <v>301</v>
      </c>
      <c r="I1222" s="169" t="s">
        <v>302</v>
      </c>
      <c r="J1222" s="169" t="s">
        <v>880</v>
      </c>
      <c r="K1222" s="169" t="s">
        <v>881</v>
      </c>
      <c r="L1222" s="169" t="s">
        <v>882</v>
      </c>
      <c r="M1222" s="169" t="s">
        <v>281</v>
      </c>
      <c r="N1222" s="178">
        <v>83690926</v>
      </c>
      <c r="O1222" s="169" t="s">
        <v>883</v>
      </c>
      <c r="P1222" s="169" t="s">
        <v>283</v>
      </c>
      <c r="Q1222" s="169" t="s">
        <v>284</v>
      </c>
      <c r="R1222" s="169" t="s">
        <v>283</v>
      </c>
      <c r="S1222" s="169" t="s">
        <v>283</v>
      </c>
      <c r="T1222" s="169">
        <v>0</v>
      </c>
    </row>
    <row r="1223" spans="2:20" x14ac:dyDescent="0.2">
      <c r="B1223" s="167" t="str">
        <f>_xlfn.XLOOKUP(I1223,Mapping!D:D,Mapping!E:E)</f>
        <v>Hành Chánh Nhân Sự</v>
      </c>
      <c r="C1223" s="167" t="str">
        <f>_xlfn.XLOOKUP(F1223,Mapping!A:A,Mapping!F:F)</f>
        <v>Thưởng</v>
      </c>
      <c r="D1223" s="173">
        <v>45869</v>
      </c>
      <c r="E1223" s="169" t="s">
        <v>884</v>
      </c>
      <c r="F1223" s="169" t="s">
        <v>292</v>
      </c>
      <c r="G1223" s="169" t="s">
        <v>77</v>
      </c>
      <c r="H1223" s="169" t="s">
        <v>301</v>
      </c>
      <c r="I1223" s="169" t="s">
        <v>302</v>
      </c>
      <c r="J1223" s="169" t="s">
        <v>887</v>
      </c>
      <c r="K1223" s="169" t="s">
        <v>881</v>
      </c>
      <c r="L1223" s="169" t="s">
        <v>882</v>
      </c>
      <c r="M1223" s="169" t="s">
        <v>281</v>
      </c>
      <c r="N1223" s="178">
        <v>32709455</v>
      </c>
      <c r="O1223" s="169" t="s">
        <v>886</v>
      </c>
      <c r="P1223" s="169" t="s">
        <v>283</v>
      </c>
      <c r="Q1223" s="169" t="s">
        <v>284</v>
      </c>
      <c r="R1223" s="169" t="s">
        <v>283</v>
      </c>
      <c r="S1223" s="169" t="s">
        <v>283</v>
      </c>
      <c r="T1223" s="169">
        <v>0</v>
      </c>
    </row>
    <row r="1224" spans="2:20" x14ac:dyDescent="0.2">
      <c r="B1224" s="167" t="str">
        <f>_xlfn.XLOOKUP(I1224,Mapping!D:D,Mapping!E:E)</f>
        <v>Hành Chánh Nhân Sự</v>
      </c>
      <c r="C1224" s="167" t="str">
        <f>_xlfn.XLOOKUP(F1224,Mapping!A:A,Mapping!F:F)</f>
        <v>Phụ Cấp</v>
      </c>
      <c r="D1224" s="173">
        <v>45869</v>
      </c>
      <c r="E1224" s="169" t="s">
        <v>879</v>
      </c>
      <c r="F1224" s="169" t="s">
        <v>335</v>
      </c>
      <c r="G1224" s="169" t="s">
        <v>336</v>
      </c>
      <c r="H1224" s="169" t="s">
        <v>301</v>
      </c>
      <c r="I1224" s="169" t="s">
        <v>302</v>
      </c>
      <c r="J1224" s="169" t="s">
        <v>880</v>
      </c>
      <c r="K1224" s="169" t="s">
        <v>881</v>
      </c>
      <c r="L1224" s="169" t="s">
        <v>882</v>
      </c>
      <c r="M1224" s="169" t="s">
        <v>281</v>
      </c>
      <c r="N1224" s="178">
        <v>5585000</v>
      </c>
      <c r="O1224" s="169" t="s">
        <v>883</v>
      </c>
      <c r="P1224" s="169" t="s">
        <v>283</v>
      </c>
      <c r="Q1224" s="169" t="s">
        <v>284</v>
      </c>
      <c r="R1224" s="169" t="s">
        <v>283</v>
      </c>
      <c r="S1224" s="169" t="s">
        <v>283</v>
      </c>
      <c r="T1224" s="169">
        <v>0</v>
      </c>
    </row>
    <row r="1225" spans="2:20" x14ac:dyDescent="0.2">
      <c r="B1225" s="167" t="str">
        <f>_xlfn.XLOOKUP(I1225,Mapping!D:D,Mapping!E:E)</f>
        <v>Hành Chánh Nhân Sự</v>
      </c>
      <c r="C1225" s="167" t="str">
        <f>_xlfn.XLOOKUP(F1225,Mapping!A:A,Mapping!F:F)</f>
        <v>Phụ Cấp</v>
      </c>
      <c r="D1225" s="173">
        <v>45864</v>
      </c>
      <c r="E1225" s="169" t="s">
        <v>894</v>
      </c>
      <c r="F1225" s="169" t="s">
        <v>335</v>
      </c>
      <c r="G1225" s="169" t="s">
        <v>336</v>
      </c>
      <c r="H1225" s="169" t="s">
        <v>301</v>
      </c>
      <c r="I1225" s="169" t="s">
        <v>302</v>
      </c>
      <c r="J1225" s="169" t="s">
        <v>895</v>
      </c>
      <c r="K1225" s="169" t="s">
        <v>741</v>
      </c>
      <c r="L1225" s="169" t="s">
        <v>882</v>
      </c>
      <c r="M1225" s="169" t="s">
        <v>281</v>
      </c>
      <c r="N1225" s="178">
        <v>37825000</v>
      </c>
      <c r="O1225" s="169" t="s">
        <v>896</v>
      </c>
      <c r="P1225" s="169" t="s">
        <v>283</v>
      </c>
      <c r="Q1225" s="169" t="s">
        <v>306</v>
      </c>
      <c r="R1225" s="169" t="s">
        <v>283</v>
      </c>
      <c r="S1225" s="169" t="s">
        <v>283</v>
      </c>
      <c r="T1225" s="169">
        <v>0</v>
      </c>
    </row>
    <row r="1226" spans="2:20" x14ac:dyDescent="0.2">
      <c r="B1226" s="167" t="str">
        <f>_xlfn.XLOOKUP(I1226,Mapping!D:D,Mapping!E:E)</f>
        <v>Hành Chánh Nhân Sự</v>
      </c>
      <c r="C1226" s="167" t="str">
        <f>_xlfn.XLOOKUP(F1226,Mapping!A:A,Mapping!F:F)</f>
        <v>BHXH, BHYT, KPCĐ</v>
      </c>
      <c r="D1226" s="173">
        <v>45869</v>
      </c>
      <c r="E1226" s="169" t="s">
        <v>888</v>
      </c>
      <c r="F1226" s="169" t="s">
        <v>295</v>
      </c>
      <c r="G1226" s="169" t="s">
        <v>296</v>
      </c>
      <c r="H1226" s="169" t="s">
        <v>301</v>
      </c>
      <c r="I1226" s="169" t="s">
        <v>302</v>
      </c>
      <c r="J1226" s="169" t="s">
        <v>889</v>
      </c>
      <c r="K1226" s="169" t="s">
        <v>881</v>
      </c>
      <c r="L1226" s="169" t="s">
        <v>882</v>
      </c>
      <c r="M1226" s="169" t="s">
        <v>281</v>
      </c>
      <c r="N1226" s="178">
        <v>103116715</v>
      </c>
      <c r="O1226" s="169" t="s">
        <v>890</v>
      </c>
      <c r="P1226" s="169" t="s">
        <v>283</v>
      </c>
      <c r="Q1226" s="169" t="s">
        <v>284</v>
      </c>
      <c r="R1226" s="169" t="s">
        <v>283</v>
      </c>
      <c r="S1226" s="169" t="s">
        <v>283</v>
      </c>
      <c r="T1226" s="169">
        <v>0</v>
      </c>
    </row>
    <row r="1227" spans="2:20" x14ac:dyDescent="0.2">
      <c r="B1227" s="167" t="str">
        <f>_xlfn.XLOOKUP(I1227,Mapping!D:D,Mapping!E:E)</f>
        <v>Hành Chánh Nhân Sự</v>
      </c>
      <c r="C1227" s="167" t="str">
        <f>_xlfn.XLOOKUP(F1227,Mapping!A:A,Mapping!F:F)</f>
        <v>BHXH, BHYT, KPCĐ</v>
      </c>
      <c r="D1227" s="173">
        <v>45869</v>
      </c>
      <c r="E1227" s="169" t="s">
        <v>891</v>
      </c>
      <c r="F1227" s="169" t="s">
        <v>295</v>
      </c>
      <c r="G1227" s="169" t="s">
        <v>296</v>
      </c>
      <c r="H1227" s="169" t="s">
        <v>301</v>
      </c>
      <c r="I1227" s="169" t="s">
        <v>302</v>
      </c>
      <c r="J1227" s="169" t="s">
        <v>892</v>
      </c>
      <c r="K1227" s="169" t="s">
        <v>881</v>
      </c>
      <c r="L1227" s="169" t="s">
        <v>882</v>
      </c>
      <c r="M1227" s="169" t="s">
        <v>281</v>
      </c>
      <c r="N1227" s="178">
        <v>235350</v>
      </c>
      <c r="O1227" s="169" t="s">
        <v>893</v>
      </c>
      <c r="P1227" s="169" t="s">
        <v>283</v>
      </c>
      <c r="Q1227" s="169" t="s">
        <v>284</v>
      </c>
      <c r="R1227" s="169" t="s">
        <v>283</v>
      </c>
      <c r="S1227" s="169" t="s">
        <v>283</v>
      </c>
      <c r="T1227" s="169">
        <v>0</v>
      </c>
    </row>
    <row r="1228" spans="2:20" x14ac:dyDescent="0.2">
      <c r="B1228" s="167" t="str">
        <f>_xlfn.XLOOKUP(I1228,Mapping!D:D,Mapping!E:E)</f>
        <v>Hành Chánh Nhân Sự</v>
      </c>
      <c r="C1228" s="167" t="str">
        <f>_xlfn.XLOOKUP(F1228,Mapping!A:A,Mapping!F:F)</f>
        <v>Khen thưởng BD khác</v>
      </c>
      <c r="D1228" s="173">
        <v>45869</v>
      </c>
      <c r="E1228" s="169" t="s">
        <v>903</v>
      </c>
      <c r="F1228" s="169" t="s">
        <v>300</v>
      </c>
      <c r="G1228" s="169" t="s">
        <v>222</v>
      </c>
      <c r="H1228" s="169" t="s">
        <v>301</v>
      </c>
      <c r="I1228" s="169" t="s">
        <v>302</v>
      </c>
      <c r="J1228" s="169" t="s">
        <v>904</v>
      </c>
      <c r="K1228" s="169" t="s">
        <v>905</v>
      </c>
      <c r="L1228" s="169" t="s">
        <v>882</v>
      </c>
      <c r="M1228" s="169" t="s">
        <v>281</v>
      </c>
      <c r="N1228" s="178">
        <v>6000000</v>
      </c>
      <c r="O1228" s="169" t="s">
        <v>906</v>
      </c>
      <c r="P1228" s="169" t="s">
        <v>283</v>
      </c>
      <c r="Q1228" s="169" t="s">
        <v>306</v>
      </c>
      <c r="R1228" s="169" t="s">
        <v>283</v>
      </c>
      <c r="S1228" s="169" t="s">
        <v>283</v>
      </c>
      <c r="T1228" s="169">
        <v>0</v>
      </c>
    </row>
    <row r="1229" spans="2:20" x14ac:dyDescent="0.2">
      <c r="B1229" s="167" t="str">
        <f>_xlfn.XLOOKUP(I1229,Mapping!D:D,Mapping!E:E)</f>
        <v>Kế Toán</v>
      </c>
      <c r="C1229" s="167" t="str">
        <f>_xlfn.XLOOKUP(F1229,Mapping!A:A,Mapping!F:F)</f>
        <v>Lương Chính +T13</v>
      </c>
      <c r="D1229" s="173">
        <v>45869</v>
      </c>
      <c r="E1229" s="169" t="s">
        <v>879</v>
      </c>
      <c r="F1229" s="169" t="s">
        <v>274</v>
      </c>
      <c r="G1229" s="169" t="s">
        <v>275</v>
      </c>
      <c r="H1229" s="169" t="s">
        <v>356</v>
      </c>
      <c r="I1229" s="169" t="s">
        <v>357</v>
      </c>
      <c r="J1229" s="169" t="s">
        <v>880</v>
      </c>
      <c r="K1229" s="169" t="s">
        <v>881</v>
      </c>
      <c r="L1229" s="169" t="s">
        <v>882</v>
      </c>
      <c r="M1229" s="169" t="s">
        <v>281</v>
      </c>
      <c r="N1229" s="178">
        <v>474680895</v>
      </c>
      <c r="O1229" s="169" t="s">
        <v>883</v>
      </c>
      <c r="P1229" s="169" t="s">
        <v>283</v>
      </c>
      <c r="Q1229" s="169" t="s">
        <v>284</v>
      </c>
      <c r="R1229" s="169" t="s">
        <v>283</v>
      </c>
      <c r="S1229" s="169" t="s">
        <v>283</v>
      </c>
      <c r="T1229" s="169">
        <v>0</v>
      </c>
    </row>
    <row r="1230" spans="2:20" x14ac:dyDescent="0.2">
      <c r="B1230" s="167" t="str">
        <f>_xlfn.XLOOKUP(I1230,Mapping!D:D,Mapping!E:E)</f>
        <v>Kế Toán</v>
      </c>
      <c r="C1230" s="167" t="str">
        <f>_xlfn.XLOOKUP(F1230,Mapping!A:A,Mapping!F:F)</f>
        <v>Lương Chính +T13</v>
      </c>
      <c r="D1230" s="173">
        <v>45869</v>
      </c>
      <c r="E1230" s="169" t="s">
        <v>879</v>
      </c>
      <c r="F1230" s="169" t="s">
        <v>285</v>
      </c>
      <c r="G1230" s="169" t="s">
        <v>286</v>
      </c>
      <c r="H1230" s="169" t="s">
        <v>356</v>
      </c>
      <c r="I1230" s="169" t="s">
        <v>357</v>
      </c>
      <c r="J1230" s="169" t="s">
        <v>880</v>
      </c>
      <c r="K1230" s="169" t="s">
        <v>881</v>
      </c>
      <c r="L1230" s="169" t="s">
        <v>882</v>
      </c>
      <c r="M1230" s="169" t="s">
        <v>281</v>
      </c>
      <c r="N1230" s="178">
        <v>25689381</v>
      </c>
      <c r="O1230" s="169" t="s">
        <v>883</v>
      </c>
      <c r="P1230" s="169" t="s">
        <v>283</v>
      </c>
      <c r="Q1230" s="169" t="s">
        <v>284</v>
      </c>
      <c r="R1230" s="169" t="s">
        <v>283</v>
      </c>
      <c r="S1230" s="169" t="s">
        <v>283</v>
      </c>
      <c r="T1230" s="169">
        <v>0</v>
      </c>
    </row>
    <row r="1231" spans="2:20" x14ac:dyDescent="0.2">
      <c r="B1231" s="167" t="str">
        <f>_xlfn.XLOOKUP(I1231,Mapping!D:D,Mapping!E:E)</f>
        <v>Kế Toán</v>
      </c>
      <c r="C1231" s="167" t="str">
        <f>_xlfn.XLOOKUP(F1231,Mapping!A:A,Mapping!F:F)</f>
        <v>Lương Ngoài giờ</v>
      </c>
      <c r="D1231" s="173">
        <v>45869</v>
      </c>
      <c r="E1231" s="169" t="s">
        <v>879</v>
      </c>
      <c r="F1231" s="169" t="s">
        <v>342</v>
      </c>
      <c r="G1231" s="169" t="s">
        <v>343</v>
      </c>
      <c r="H1231" s="169" t="s">
        <v>356</v>
      </c>
      <c r="I1231" s="169" t="s">
        <v>357</v>
      </c>
      <c r="J1231" s="169" t="s">
        <v>880</v>
      </c>
      <c r="K1231" s="169" t="s">
        <v>881</v>
      </c>
      <c r="L1231" s="169" t="s">
        <v>882</v>
      </c>
      <c r="M1231" s="169" t="s">
        <v>281</v>
      </c>
      <c r="N1231" s="178">
        <v>52196018</v>
      </c>
      <c r="O1231" s="169" t="s">
        <v>883</v>
      </c>
      <c r="P1231" s="169" t="s">
        <v>283</v>
      </c>
      <c r="Q1231" s="169" t="s">
        <v>284</v>
      </c>
      <c r="R1231" s="169" t="s">
        <v>283</v>
      </c>
      <c r="S1231" s="169" t="s">
        <v>283</v>
      </c>
      <c r="T1231" s="169">
        <v>0</v>
      </c>
    </row>
    <row r="1232" spans="2:20" x14ac:dyDescent="0.2">
      <c r="B1232" s="167" t="str">
        <f>_xlfn.XLOOKUP(I1232,Mapping!D:D,Mapping!E:E)</f>
        <v>Kế Toán</v>
      </c>
      <c r="C1232" s="167" t="str">
        <f>_xlfn.XLOOKUP(F1232,Mapping!A:A,Mapping!F:F)</f>
        <v>Phụ Cấp</v>
      </c>
      <c r="D1232" s="173">
        <v>45869</v>
      </c>
      <c r="E1232" s="169" t="s">
        <v>879</v>
      </c>
      <c r="F1232" s="169" t="s">
        <v>335</v>
      </c>
      <c r="G1232" s="169" t="s">
        <v>336</v>
      </c>
      <c r="H1232" s="169" t="s">
        <v>356</v>
      </c>
      <c r="I1232" s="169" t="s">
        <v>357</v>
      </c>
      <c r="J1232" s="169" t="s">
        <v>880</v>
      </c>
      <c r="K1232" s="169" t="s">
        <v>881</v>
      </c>
      <c r="L1232" s="169" t="s">
        <v>882</v>
      </c>
      <c r="M1232" s="169" t="s">
        <v>281</v>
      </c>
      <c r="N1232" s="178">
        <v>2400000</v>
      </c>
      <c r="O1232" s="169" t="s">
        <v>883</v>
      </c>
      <c r="P1232" s="169" t="s">
        <v>283</v>
      </c>
      <c r="Q1232" s="169" t="s">
        <v>284</v>
      </c>
      <c r="R1232" s="169" t="s">
        <v>283</v>
      </c>
      <c r="S1232" s="169" t="s">
        <v>283</v>
      </c>
      <c r="T1232" s="169">
        <v>0</v>
      </c>
    </row>
    <row r="1233" spans="2:20" x14ac:dyDescent="0.2">
      <c r="B1233" s="167" t="str">
        <f>_xlfn.XLOOKUP(I1233,Mapping!D:D,Mapping!E:E)</f>
        <v>Kế Toán</v>
      </c>
      <c r="C1233" s="167" t="str">
        <f>_xlfn.XLOOKUP(F1233,Mapping!A:A,Mapping!F:F)</f>
        <v>Phụ Cấp</v>
      </c>
      <c r="D1233" s="173">
        <v>45864</v>
      </c>
      <c r="E1233" s="169" t="s">
        <v>894</v>
      </c>
      <c r="F1233" s="169" t="s">
        <v>335</v>
      </c>
      <c r="G1233" s="169" t="s">
        <v>336</v>
      </c>
      <c r="H1233" s="169" t="s">
        <v>356</v>
      </c>
      <c r="I1233" s="169" t="s">
        <v>357</v>
      </c>
      <c r="J1233" s="169" t="s">
        <v>895</v>
      </c>
      <c r="K1233" s="169" t="s">
        <v>741</v>
      </c>
      <c r="L1233" s="169" t="s">
        <v>882</v>
      </c>
      <c r="M1233" s="169" t="s">
        <v>281</v>
      </c>
      <c r="N1233" s="178">
        <v>15925000</v>
      </c>
      <c r="O1233" s="169" t="s">
        <v>896</v>
      </c>
      <c r="P1233" s="169" t="s">
        <v>283</v>
      </c>
      <c r="Q1233" s="169" t="s">
        <v>306</v>
      </c>
      <c r="R1233" s="169" t="s">
        <v>283</v>
      </c>
      <c r="S1233" s="169" t="s">
        <v>283</v>
      </c>
      <c r="T1233" s="169">
        <v>0</v>
      </c>
    </row>
    <row r="1234" spans="2:20" x14ac:dyDescent="0.2">
      <c r="B1234" s="167" t="str">
        <f>_xlfn.XLOOKUP(I1234,Mapping!D:D,Mapping!E:E)</f>
        <v>Kế Toán</v>
      </c>
      <c r="C1234" s="167" t="str">
        <f>_xlfn.XLOOKUP(F1234,Mapping!A:A,Mapping!F:F)</f>
        <v>Lương Chính +T13</v>
      </c>
      <c r="D1234" s="173">
        <v>45869</v>
      </c>
      <c r="E1234" s="169" t="s">
        <v>884</v>
      </c>
      <c r="F1234" s="169" t="s">
        <v>285</v>
      </c>
      <c r="G1234" s="169" t="s">
        <v>286</v>
      </c>
      <c r="H1234" s="169" t="s">
        <v>356</v>
      </c>
      <c r="I1234" s="169" t="s">
        <v>357</v>
      </c>
      <c r="J1234" s="169" t="s">
        <v>885</v>
      </c>
      <c r="K1234" s="169" t="s">
        <v>881</v>
      </c>
      <c r="L1234" s="169" t="s">
        <v>882</v>
      </c>
      <c r="M1234" s="169" t="s">
        <v>281</v>
      </c>
      <c r="N1234" s="178">
        <v>42930430</v>
      </c>
      <c r="O1234" s="169" t="s">
        <v>886</v>
      </c>
      <c r="P1234" s="169" t="s">
        <v>283</v>
      </c>
      <c r="Q1234" s="169" t="s">
        <v>284</v>
      </c>
      <c r="R1234" s="169" t="s">
        <v>283</v>
      </c>
      <c r="S1234" s="169" t="s">
        <v>283</v>
      </c>
      <c r="T1234" s="169">
        <v>0</v>
      </c>
    </row>
    <row r="1235" spans="2:20" x14ac:dyDescent="0.2">
      <c r="B1235" s="167" t="str">
        <f>_xlfn.XLOOKUP(I1235,Mapping!D:D,Mapping!E:E)</f>
        <v>Kế Toán</v>
      </c>
      <c r="C1235" s="167" t="str">
        <f>_xlfn.XLOOKUP(F1235,Mapping!A:A,Mapping!F:F)</f>
        <v>Thưởng</v>
      </c>
      <c r="D1235" s="173">
        <v>45869</v>
      </c>
      <c r="E1235" s="169" t="s">
        <v>884</v>
      </c>
      <c r="F1235" s="169" t="s">
        <v>292</v>
      </c>
      <c r="G1235" s="169" t="s">
        <v>77</v>
      </c>
      <c r="H1235" s="169" t="s">
        <v>356</v>
      </c>
      <c r="I1235" s="169" t="s">
        <v>357</v>
      </c>
      <c r="J1235" s="169" t="s">
        <v>887</v>
      </c>
      <c r="K1235" s="169" t="s">
        <v>881</v>
      </c>
      <c r="L1235" s="169" t="s">
        <v>882</v>
      </c>
      <c r="M1235" s="169" t="s">
        <v>281</v>
      </c>
      <c r="N1235" s="178">
        <v>39052204</v>
      </c>
      <c r="O1235" s="169" t="s">
        <v>886</v>
      </c>
      <c r="P1235" s="169" t="s">
        <v>283</v>
      </c>
      <c r="Q1235" s="169" t="s">
        <v>284</v>
      </c>
      <c r="R1235" s="169" t="s">
        <v>283</v>
      </c>
      <c r="S1235" s="169" t="s">
        <v>283</v>
      </c>
      <c r="T1235" s="169">
        <v>0</v>
      </c>
    </row>
    <row r="1236" spans="2:20" x14ac:dyDescent="0.2">
      <c r="B1236" s="167" t="str">
        <f>_xlfn.XLOOKUP(I1236,Mapping!D:D,Mapping!E:E)</f>
        <v>Hành Chánh Nhân Sự</v>
      </c>
      <c r="C1236" s="167" t="str">
        <f>_xlfn.XLOOKUP(F1236,Mapping!A:A,Mapping!F:F)</f>
        <v>Khen thưởng BD khác</v>
      </c>
      <c r="D1236" s="173">
        <v>45841</v>
      </c>
      <c r="E1236" s="169" t="s">
        <v>907</v>
      </c>
      <c r="F1236" s="169" t="s">
        <v>300</v>
      </c>
      <c r="G1236" s="169" t="s">
        <v>222</v>
      </c>
      <c r="H1236" s="169" t="s">
        <v>382</v>
      </c>
      <c r="I1236" s="169" t="s">
        <v>200</v>
      </c>
      <c r="J1236" s="169" t="s">
        <v>908</v>
      </c>
      <c r="K1236" s="169" t="s">
        <v>909</v>
      </c>
      <c r="L1236" s="169" t="s">
        <v>882</v>
      </c>
      <c r="M1236" s="169" t="s">
        <v>281</v>
      </c>
      <c r="N1236" s="178">
        <v>3000000</v>
      </c>
      <c r="O1236" s="169" t="s">
        <v>910</v>
      </c>
      <c r="P1236" s="169" t="s">
        <v>283</v>
      </c>
      <c r="Q1236" s="169" t="s">
        <v>911</v>
      </c>
      <c r="R1236" s="169" t="s">
        <v>283</v>
      </c>
      <c r="S1236" s="169" t="s">
        <v>283</v>
      </c>
      <c r="T1236" s="169">
        <v>0</v>
      </c>
    </row>
    <row r="1237" spans="2:20" x14ac:dyDescent="0.2">
      <c r="B1237" s="167" t="str">
        <f>_xlfn.XLOOKUP(I1237,Mapping!D:D,Mapping!E:E)</f>
        <v>Kinh doanh</v>
      </c>
      <c r="C1237" s="167" t="str">
        <f>_xlfn.XLOOKUP(F1237,Mapping!A:A,Mapping!F:F)</f>
        <v>Thưởng</v>
      </c>
      <c r="D1237" s="173">
        <v>45862</v>
      </c>
      <c r="E1237" s="169" t="s">
        <v>912</v>
      </c>
      <c r="F1237" s="169" t="s">
        <v>365</v>
      </c>
      <c r="G1237" s="169" t="s">
        <v>291</v>
      </c>
      <c r="H1237" s="169" t="s">
        <v>366</v>
      </c>
      <c r="I1237" s="169" t="s">
        <v>1</v>
      </c>
      <c r="J1237" s="169" t="s">
        <v>913</v>
      </c>
      <c r="K1237" s="169" t="s">
        <v>914</v>
      </c>
      <c r="L1237" s="169" t="s">
        <v>882</v>
      </c>
      <c r="M1237" s="169" t="s">
        <v>281</v>
      </c>
      <c r="N1237" s="178">
        <v>-12515</v>
      </c>
      <c r="O1237" s="169" t="s">
        <v>915</v>
      </c>
      <c r="P1237" s="169" t="s">
        <v>283</v>
      </c>
      <c r="Q1237" s="169" t="s">
        <v>370</v>
      </c>
      <c r="R1237" s="169" t="s">
        <v>283</v>
      </c>
      <c r="S1237" s="169" t="s">
        <v>283</v>
      </c>
      <c r="T1237" s="169">
        <v>0</v>
      </c>
    </row>
    <row r="1238" spans="2:20" x14ac:dyDescent="0.2">
      <c r="B1238" s="167" t="str">
        <f>_xlfn.XLOOKUP(I1238,Mapping!D:D,Mapping!E:E)</f>
        <v>Hành Chánh Nhân Sự</v>
      </c>
      <c r="C1238" s="167" t="str">
        <f>_xlfn.XLOOKUP(F1238,Mapping!A:A,Mapping!F:F)</f>
        <v>Khen thưởng BD khác</v>
      </c>
      <c r="D1238" s="173">
        <v>45868</v>
      </c>
      <c r="E1238" s="169" t="s">
        <v>916</v>
      </c>
      <c r="F1238" s="169" t="s">
        <v>300</v>
      </c>
      <c r="G1238" s="169" t="s">
        <v>222</v>
      </c>
      <c r="H1238" s="169" t="s">
        <v>358</v>
      </c>
      <c r="I1238" s="169" t="s">
        <v>359</v>
      </c>
      <c r="J1238" s="169" t="s">
        <v>917</v>
      </c>
      <c r="K1238" s="169" t="s">
        <v>917</v>
      </c>
      <c r="L1238" s="169" t="s">
        <v>882</v>
      </c>
      <c r="M1238" s="169" t="s">
        <v>281</v>
      </c>
      <c r="N1238" s="178">
        <v>1500000</v>
      </c>
      <c r="O1238" s="169" t="s">
        <v>918</v>
      </c>
      <c r="P1238" s="169" t="s">
        <v>283</v>
      </c>
      <c r="Q1238" s="169" t="s">
        <v>764</v>
      </c>
      <c r="R1238" s="169" t="s">
        <v>283</v>
      </c>
      <c r="S1238" s="169" t="s">
        <v>283</v>
      </c>
      <c r="T1238" s="169">
        <v>0</v>
      </c>
    </row>
    <row r="1239" spans="2:20" x14ac:dyDescent="0.2">
      <c r="B1239" s="167" t="str">
        <f>_xlfn.XLOOKUP(I1239,Mapping!D:D,Mapping!E:E)</f>
        <v>Kinh doanh</v>
      </c>
      <c r="C1239" s="167" t="str">
        <f>_xlfn.XLOOKUP(F1239,Mapping!A:A,Mapping!F:F)</f>
        <v>Lương Chính +T13</v>
      </c>
      <c r="D1239" s="173">
        <v>45869</v>
      </c>
      <c r="E1239" s="169" t="s">
        <v>879</v>
      </c>
      <c r="F1239" s="169" t="s">
        <v>383</v>
      </c>
      <c r="G1239" s="169" t="s">
        <v>275</v>
      </c>
      <c r="H1239" s="169" t="s">
        <v>366</v>
      </c>
      <c r="I1239" s="169" t="s">
        <v>1</v>
      </c>
      <c r="J1239" s="169" t="s">
        <v>880</v>
      </c>
      <c r="K1239" s="169" t="s">
        <v>881</v>
      </c>
      <c r="L1239" s="169" t="s">
        <v>882</v>
      </c>
      <c r="M1239" s="169" t="s">
        <v>281</v>
      </c>
      <c r="N1239" s="178">
        <v>225637641</v>
      </c>
      <c r="O1239" s="169" t="s">
        <v>883</v>
      </c>
      <c r="P1239" s="169" t="s">
        <v>283</v>
      </c>
      <c r="Q1239" s="169" t="s">
        <v>284</v>
      </c>
      <c r="R1239" s="169" t="s">
        <v>283</v>
      </c>
      <c r="S1239" s="169" t="s">
        <v>283</v>
      </c>
      <c r="T1239" s="169">
        <v>0</v>
      </c>
    </row>
    <row r="1240" spans="2:20" x14ac:dyDescent="0.2">
      <c r="B1240" s="167" t="str">
        <f>_xlfn.XLOOKUP(I1240,Mapping!D:D,Mapping!E:E)</f>
        <v>Kinh doanh</v>
      </c>
      <c r="C1240" s="167" t="str">
        <f>_xlfn.XLOOKUP(F1240,Mapping!A:A,Mapping!F:F)</f>
        <v>Lương Chính +T13</v>
      </c>
      <c r="D1240" s="173">
        <v>45869</v>
      </c>
      <c r="E1240" s="169" t="s">
        <v>879</v>
      </c>
      <c r="F1240" s="169" t="s">
        <v>384</v>
      </c>
      <c r="G1240" s="169" t="s">
        <v>286</v>
      </c>
      <c r="H1240" s="169" t="s">
        <v>366</v>
      </c>
      <c r="I1240" s="169" t="s">
        <v>1</v>
      </c>
      <c r="J1240" s="169" t="s">
        <v>880</v>
      </c>
      <c r="K1240" s="169" t="s">
        <v>881</v>
      </c>
      <c r="L1240" s="169" t="s">
        <v>882</v>
      </c>
      <c r="M1240" s="169" t="s">
        <v>281</v>
      </c>
      <c r="N1240" s="178">
        <v>15810538</v>
      </c>
      <c r="O1240" s="169" t="s">
        <v>883</v>
      </c>
      <c r="P1240" s="169" t="s">
        <v>283</v>
      </c>
      <c r="Q1240" s="169" t="s">
        <v>284</v>
      </c>
      <c r="R1240" s="169" t="s">
        <v>283</v>
      </c>
      <c r="S1240" s="169" t="s">
        <v>283</v>
      </c>
      <c r="T1240" s="169">
        <v>0</v>
      </c>
    </row>
    <row r="1241" spans="2:20" x14ac:dyDescent="0.2">
      <c r="B1241" s="167" t="str">
        <f>_xlfn.XLOOKUP(I1241,Mapping!D:D,Mapping!E:E)</f>
        <v>Kinh doanh</v>
      </c>
      <c r="C1241" s="167" t="str">
        <f>_xlfn.XLOOKUP(F1241,Mapping!A:A,Mapping!F:F)</f>
        <v>Thưởng</v>
      </c>
      <c r="D1241" s="173">
        <v>45869</v>
      </c>
      <c r="E1241" s="169" t="s">
        <v>879</v>
      </c>
      <c r="F1241" s="169" t="s">
        <v>365</v>
      </c>
      <c r="G1241" s="169" t="s">
        <v>291</v>
      </c>
      <c r="H1241" s="169" t="s">
        <v>366</v>
      </c>
      <c r="I1241" s="169" t="s">
        <v>1</v>
      </c>
      <c r="J1241" s="169" t="s">
        <v>880</v>
      </c>
      <c r="K1241" s="169" t="s">
        <v>881</v>
      </c>
      <c r="L1241" s="169" t="s">
        <v>882</v>
      </c>
      <c r="M1241" s="169" t="s">
        <v>281</v>
      </c>
      <c r="N1241" s="178">
        <v>120179297</v>
      </c>
      <c r="O1241" s="169" t="s">
        <v>883</v>
      </c>
      <c r="P1241" s="169" t="s">
        <v>283</v>
      </c>
      <c r="Q1241" s="169" t="s">
        <v>284</v>
      </c>
      <c r="R1241" s="169" t="s">
        <v>283</v>
      </c>
      <c r="S1241" s="169" t="s">
        <v>283</v>
      </c>
      <c r="T1241" s="169">
        <v>0</v>
      </c>
    </row>
    <row r="1242" spans="2:20" x14ac:dyDescent="0.2">
      <c r="B1242" s="167" t="str">
        <f>_xlfn.XLOOKUP(I1242,Mapping!D:D,Mapping!E:E)</f>
        <v>Hành Chánh Nhân Sự</v>
      </c>
      <c r="C1242" s="167" t="str">
        <f>_xlfn.XLOOKUP(F1242,Mapping!A:A,Mapping!F:F)</f>
        <v>Lương Chính +T13</v>
      </c>
      <c r="D1242" s="173">
        <v>45869</v>
      </c>
      <c r="E1242" s="169" t="s">
        <v>879</v>
      </c>
      <c r="F1242" s="169" t="s">
        <v>274</v>
      </c>
      <c r="G1242" s="169" t="s">
        <v>275</v>
      </c>
      <c r="H1242" s="169" t="s">
        <v>382</v>
      </c>
      <c r="I1242" s="169" t="s">
        <v>200</v>
      </c>
      <c r="J1242" s="169" t="s">
        <v>880</v>
      </c>
      <c r="K1242" s="169" t="s">
        <v>881</v>
      </c>
      <c r="L1242" s="169" t="s">
        <v>882</v>
      </c>
      <c r="M1242" s="169" t="s">
        <v>281</v>
      </c>
      <c r="N1242" s="178">
        <v>65132696</v>
      </c>
      <c r="O1242" s="169" t="s">
        <v>883</v>
      </c>
      <c r="P1242" s="169" t="s">
        <v>283</v>
      </c>
      <c r="Q1242" s="169" t="s">
        <v>284</v>
      </c>
      <c r="R1242" s="169" t="s">
        <v>283</v>
      </c>
      <c r="S1242" s="169" t="s">
        <v>283</v>
      </c>
      <c r="T1242" s="169">
        <v>0</v>
      </c>
    </row>
    <row r="1243" spans="2:20" x14ac:dyDescent="0.2">
      <c r="B1243" s="167" t="str">
        <f>_xlfn.XLOOKUP(I1243,Mapping!D:D,Mapping!E:E)</f>
        <v>Hành Chánh Nhân Sự</v>
      </c>
      <c r="C1243" s="167" t="str">
        <f>_xlfn.XLOOKUP(F1243,Mapping!A:A,Mapping!F:F)</f>
        <v>Lương Chính +T13</v>
      </c>
      <c r="D1243" s="173">
        <v>45869</v>
      </c>
      <c r="E1243" s="169" t="s">
        <v>879</v>
      </c>
      <c r="F1243" s="169" t="s">
        <v>285</v>
      </c>
      <c r="G1243" s="169" t="s">
        <v>286</v>
      </c>
      <c r="H1243" s="169" t="s">
        <v>382</v>
      </c>
      <c r="I1243" s="169" t="s">
        <v>200</v>
      </c>
      <c r="J1243" s="169" t="s">
        <v>880</v>
      </c>
      <c r="K1243" s="169" t="s">
        <v>881</v>
      </c>
      <c r="L1243" s="169" t="s">
        <v>882</v>
      </c>
      <c r="M1243" s="169" t="s">
        <v>281</v>
      </c>
      <c r="N1243" s="178">
        <v>1794135</v>
      </c>
      <c r="O1243" s="169" t="s">
        <v>883</v>
      </c>
      <c r="P1243" s="169" t="s">
        <v>283</v>
      </c>
      <c r="Q1243" s="169" t="s">
        <v>284</v>
      </c>
      <c r="R1243" s="169" t="s">
        <v>283</v>
      </c>
      <c r="S1243" s="169" t="s">
        <v>283</v>
      </c>
      <c r="T1243" s="169">
        <v>0</v>
      </c>
    </row>
    <row r="1244" spans="2:20" x14ac:dyDescent="0.2">
      <c r="B1244" s="167" t="str">
        <f>_xlfn.XLOOKUP(I1244,Mapping!D:D,Mapping!E:E)</f>
        <v>Hành Chánh Nhân Sự</v>
      </c>
      <c r="C1244" s="167" t="str">
        <f>_xlfn.XLOOKUP(F1244,Mapping!A:A,Mapping!F:F)</f>
        <v>Lương Chính +T13</v>
      </c>
      <c r="D1244" s="173">
        <v>45869</v>
      </c>
      <c r="E1244" s="169" t="s">
        <v>879</v>
      </c>
      <c r="F1244" s="169" t="s">
        <v>274</v>
      </c>
      <c r="G1244" s="169" t="s">
        <v>275</v>
      </c>
      <c r="H1244" s="169" t="s">
        <v>358</v>
      </c>
      <c r="I1244" s="169" t="s">
        <v>359</v>
      </c>
      <c r="J1244" s="169" t="s">
        <v>880</v>
      </c>
      <c r="K1244" s="169" t="s">
        <v>881</v>
      </c>
      <c r="L1244" s="169" t="s">
        <v>882</v>
      </c>
      <c r="M1244" s="169" t="s">
        <v>281</v>
      </c>
      <c r="N1244" s="178">
        <v>98213549</v>
      </c>
      <c r="O1244" s="169" t="s">
        <v>883</v>
      </c>
      <c r="P1244" s="169" t="s">
        <v>283</v>
      </c>
      <c r="Q1244" s="169" t="s">
        <v>284</v>
      </c>
      <c r="R1244" s="169" t="s">
        <v>283</v>
      </c>
      <c r="S1244" s="169" t="s">
        <v>283</v>
      </c>
      <c r="T1244" s="169">
        <v>0</v>
      </c>
    </row>
    <row r="1245" spans="2:20" x14ac:dyDescent="0.2">
      <c r="B1245" s="167" t="str">
        <f>_xlfn.XLOOKUP(I1245,Mapping!D:D,Mapping!E:E)</f>
        <v>Hành Chánh Nhân Sự</v>
      </c>
      <c r="C1245" s="167" t="str">
        <f>_xlfn.XLOOKUP(F1245,Mapping!A:A,Mapping!F:F)</f>
        <v>Lương Chính +T13</v>
      </c>
      <c r="D1245" s="173">
        <v>45869</v>
      </c>
      <c r="E1245" s="169" t="s">
        <v>879</v>
      </c>
      <c r="F1245" s="169" t="s">
        <v>285</v>
      </c>
      <c r="G1245" s="169" t="s">
        <v>286</v>
      </c>
      <c r="H1245" s="169" t="s">
        <v>358</v>
      </c>
      <c r="I1245" s="169" t="s">
        <v>359</v>
      </c>
      <c r="J1245" s="169" t="s">
        <v>880</v>
      </c>
      <c r="K1245" s="169" t="s">
        <v>881</v>
      </c>
      <c r="L1245" s="169" t="s">
        <v>882</v>
      </c>
      <c r="M1245" s="169" t="s">
        <v>281</v>
      </c>
      <c r="N1245" s="178">
        <v>5604769</v>
      </c>
      <c r="O1245" s="169" t="s">
        <v>883</v>
      </c>
      <c r="P1245" s="169" t="s">
        <v>283</v>
      </c>
      <c r="Q1245" s="169" t="s">
        <v>284</v>
      </c>
      <c r="R1245" s="169" t="s">
        <v>283</v>
      </c>
      <c r="S1245" s="169" t="s">
        <v>283</v>
      </c>
      <c r="T1245" s="169">
        <v>0</v>
      </c>
    </row>
    <row r="1246" spans="2:20" x14ac:dyDescent="0.2">
      <c r="B1246" s="167" t="str">
        <f>_xlfn.XLOOKUP(I1246,Mapping!D:D,Mapping!E:E)</f>
        <v>Hành Chánh Nhân Sự</v>
      </c>
      <c r="C1246" s="167" t="str">
        <f>_xlfn.XLOOKUP(F1246,Mapping!A:A,Mapping!F:F)</f>
        <v>Phụ Cấp</v>
      </c>
      <c r="D1246" s="173">
        <v>45869</v>
      </c>
      <c r="E1246" s="169" t="s">
        <v>879</v>
      </c>
      <c r="F1246" s="169" t="s">
        <v>335</v>
      </c>
      <c r="G1246" s="169" t="s">
        <v>336</v>
      </c>
      <c r="H1246" s="169" t="s">
        <v>358</v>
      </c>
      <c r="I1246" s="169" t="s">
        <v>359</v>
      </c>
      <c r="J1246" s="169" t="s">
        <v>880</v>
      </c>
      <c r="K1246" s="169" t="s">
        <v>881</v>
      </c>
      <c r="L1246" s="169" t="s">
        <v>882</v>
      </c>
      <c r="M1246" s="169" t="s">
        <v>281</v>
      </c>
      <c r="N1246" s="178">
        <v>25000</v>
      </c>
      <c r="O1246" s="169" t="s">
        <v>883</v>
      </c>
      <c r="P1246" s="169" t="s">
        <v>283</v>
      </c>
      <c r="Q1246" s="169" t="s">
        <v>284</v>
      </c>
      <c r="R1246" s="169" t="s">
        <v>283</v>
      </c>
      <c r="S1246" s="169" t="s">
        <v>283</v>
      </c>
      <c r="T1246" s="169">
        <v>0</v>
      </c>
    </row>
    <row r="1247" spans="2:20" x14ac:dyDescent="0.2">
      <c r="B1247" s="167" t="str">
        <f>_xlfn.XLOOKUP(I1247,Mapping!D:D,Mapping!E:E)</f>
        <v>Hành Chánh Nhân Sự</v>
      </c>
      <c r="C1247" s="167" t="str">
        <f>_xlfn.XLOOKUP(F1247,Mapping!A:A,Mapping!F:F)</f>
        <v>Phụ Cấp</v>
      </c>
      <c r="D1247" s="173">
        <v>45864</v>
      </c>
      <c r="E1247" s="169" t="s">
        <v>894</v>
      </c>
      <c r="F1247" s="169" t="s">
        <v>335</v>
      </c>
      <c r="G1247" s="169" t="s">
        <v>336</v>
      </c>
      <c r="H1247" s="169" t="s">
        <v>382</v>
      </c>
      <c r="I1247" s="169" t="s">
        <v>200</v>
      </c>
      <c r="J1247" s="169" t="s">
        <v>895</v>
      </c>
      <c r="K1247" s="169" t="s">
        <v>741</v>
      </c>
      <c r="L1247" s="169" t="s">
        <v>882</v>
      </c>
      <c r="M1247" s="169" t="s">
        <v>281</v>
      </c>
      <c r="N1247" s="178">
        <v>1800000</v>
      </c>
      <c r="O1247" s="169" t="s">
        <v>896</v>
      </c>
      <c r="P1247" s="169" t="s">
        <v>283</v>
      </c>
      <c r="Q1247" s="169" t="s">
        <v>306</v>
      </c>
      <c r="R1247" s="169" t="s">
        <v>283</v>
      </c>
      <c r="S1247" s="169" t="s">
        <v>283</v>
      </c>
      <c r="T1247" s="169">
        <v>0</v>
      </c>
    </row>
    <row r="1248" spans="2:20" x14ac:dyDescent="0.2">
      <c r="B1248" s="167" t="str">
        <f>_xlfn.XLOOKUP(I1248,Mapping!D:D,Mapping!E:E)</f>
        <v>Hành Chánh Nhân Sự</v>
      </c>
      <c r="C1248" s="167" t="str">
        <f>_xlfn.XLOOKUP(F1248,Mapping!A:A,Mapping!F:F)</f>
        <v>Phụ Cấp</v>
      </c>
      <c r="D1248" s="173">
        <v>45864</v>
      </c>
      <c r="E1248" s="169" t="s">
        <v>894</v>
      </c>
      <c r="F1248" s="169" t="s">
        <v>335</v>
      </c>
      <c r="G1248" s="169" t="s">
        <v>336</v>
      </c>
      <c r="H1248" s="169" t="s">
        <v>358</v>
      </c>
      <c r="I1248" s="169" t="s">
        <v>359</v>
      </c>
      <c r="J1248" s="169" t="s">
        <v>895</v>
      </c>
      <c r="K1248" s="169" t="s">
        <v>741</v>
      </c>
      <c r="L1248" s="169" t="s">
        <v>882</v>
      </c>
      <c r="M1248" s="169" t="s">
        <v>281</v>
      </c>
      <c r="N1248" s="178">
        <v>3050000</v>
      </c>
      <c r="O1248" s="169" t="s">
        <v>896</v>
      </c>
      <c r="P1248" s="169" t="s">
        <v>283</v>
      </c>
      <c r="Q1248" s="169" t="s">
        <v>306</v>
      </c>
      <c r="R1248" s="169" t="s">
        <v>283</v>
      </c>
      <c r="S1248" s="169" t="s">
        <v>283</v>
      </c>
      <c r="T1248" s="169">
        <v>0</v>
      </c>
    </row>
    <row r="1249" spans="1:20" x14ac:dyDescent="0.2">
      <c r="B1249" s="167" t="str">
        <f>_xlfn.XLOOKUP(I1249,Mapping!D:D,Mapping!E:E)</f>
        <v>Kinh doanh</v>
      </c>
      <c r="C1249" s="167" t="str">
        <f>_xlfn.XLOOKUP(F1249,Mapping!A:A,Mapping!F:F)</f>
        <v>Lương Chính +T13</v>
      </c>
      <c r="D1249" s="173">
        <v>45869</v>
      </c>
      <c r="E1249" s="169" t="s">
        <v>884</v>
      </c>
      <c r="F1249" s="169" t="s">
        <v>384</v>
      </c>
      <c r="G1249" s="169" t="s">
        <v>286</v>
      </c>
      <c r="H1249" s="169" t="s">
        <v>366</v>
      </c>
      <c r="I1249" s="169" t="s">
        <v>1</v>
      </c>
      <c r="J1249" s="169" t="s">
        <v>885</v>
      </c>
      <c r="K1249" s="169" t="s">
        <v>881</v>
      </c>
      <c r="L1249" s="169" t="s">
        <v>882</v>
      </c>
      <c r="M1249" s="169" t="s">
        <v>281</v>
      </c>
      <c r="N1249" s="178">
        <v>25046833</v>
      </c>
      <c r="O1249" s="169" t="s">
        <v>886</v>
      </c>
      <c r="P1249" s="169" t="s">
        <v>283</v>
      </c>
      <c r="Q1249" s="169" t="s">
        <v>284</v>
      </c>
      <c r="R1249" s="169" t="s">
        <v>283</v>
      </c>
      <c r="S1249" s="169" t="s">
        <v>283</v>
      </c>
      <c r="T1249" s="169">
        <v>0</v>
      </c>
    </row>
    <row r="1250" spans="1:20" x14ac:dyDescent="0.2">
      <c r="B1250" s="167" t="str">
        <f>_xlfn.XLOOKUP(I1250,Mapping!D:D,Mapping!E:E)</f>
        <v>Kinh doanh</v>
      </c>
      <c r="C1250" s="167" t="str">
        <f>_xlfn.XLOOKUP(F1250,Mapping!A:A,Mapping!F:F)</f>
        <v>Thưởng</v>
      </c>
      <c r="D1250" s="173">
        <v>45869</v>
      </c>
      <c r="E1250" s="169" t="s">
        <v>884</v>
      </c>
      <c r="F1250" s="169" t="s">
        <v>394</v>
      </c>
      <c r="G1250" s="169" t="s">
        <v>77</v>
      </c>
      <c r="H1250" s="169" t="s">
        <v>366</v>
      </c>
      <c r="I1250" s="169" t="s">
        <v>1</v>
      </c>
      <c r="J1250" s="169" t="s">
        <v>887</v>
      </c>
      <c r="K1250" s="169" t="s">
        <v>881</v>
      </c>
      <c r="L1250" s="169" t="s">
        <v>882</v>
      </c>
      <c r="M1250" s="169" t="s">
        <v>281</v>
      </c>
      <c r="N1250" s="178">
        <v>23042886</v>
      </c>
      <c r="O1250" s="169" t="s">
        <v>886</v>
      </c>
      <c r="P1250" s="169" t="s">
        <v>283</v>
      </c>
      <c r="Q1250" s="169" t="s">
        <v>284</v>
      </c>
      <c r="R1250" s="169" t="s">
        <v>283</v>
      </c>
      <c r="S1250" s="169" t="s">
        <v>283</v>
      </c>
      <c r="T1250" s="169">
        <v>0</v>
      </c>
    </row>
    <row r="1251" spans="1:20" x14ac:dyDescent="0.2">
      <c r="B1251" s="167" t="str">
        <f>_xlfn.XLOOKUP(I1251,Mapping!D:D,Mapping!E:E)</f>
        <v>Hành Chánh Nhân Sự</v>
      </c>
      <c r="C1251" s="167" t="str">
        <f>_xlfn.XLOOKUP(F1251,Mapping!A:A,Mapping!F:F)</f>
        <v>Lương Chính +T13</v>
      </c>
      <c r="D1251" s="173">
        <v>45869</v>
      </c>
      <c r="E1251" s="169" t="s">
        <v>884</v>
      </c>
      <c r="F1251" s="169" t="s">
        <v>285</v>
      </c>
      <c r="G1251" s="169" t="s">
        <v>286</v>
      </c>
      <c r="H1251" s="169" t="s">
        <v>382</v>
      </c>
      <c r="I1251" s="169" t="s">
        <v>200</v>
      </c>
      <c r="J1251" s="169" t="s">
        <v>885</v>
      </c>
      <c r="K1251" s="169" t="s">
        <v>881</v>
      </c>
      <c r="L1251" s="169" t="s">
        <v>882</v>
      </c>
      <c r="M1251" s="169" t="s">
        <v>281</v>
      </c>
      <c r="N1251" s="178">
        <v>6194250</v>
      </c>
      <c r="O1251" s="169" t="s">
        <v>886</v>
      </c>
      <c r="P1251" s="169" t="s">
        <v>283</v>
      </c>
      <c r="Q1251" s="169" t="s">
        <v>284</v>
      </c>
      <c r="R1251" s="169" t="s">
        <v>283</v>
      </c>
      <c r="S1251" s="169" t="s">
        <v>283</v>
      </c>
      <c r="T1251" s="169">
        <v>0</v>
      </c>
    </row>
    <row r="1252" spans="1:20" x14ac:dyDescent="0.2">
      <c r="B1252" s="167" t="str">
        <f>_xlfn.XLOOKUP(I1252,Mapping!D:D,Mapping!E:E)</f>
        <v>Hành Chánh Nhân Sự</v>
      </c>
      <c r="C1252" s="167" t="str">
        <f>_xlfn.XLOOKUP(F1252,Mapping!A:A,Mapping!F:F)</f>
        <v>Thưởng</v>
      </c>
      <c r="D1252" s="173">
        <v>45869</v>
      </c>
      <c r="E1252" s="169" t="s">
        <v>884</v>
      </c>
      <c r="F1252" s="169" t="s">
        <v>292</v>
      </c>
      <c r="G1252" s="169" t="s">
        <v>77</v>
      </c>
      <c r="H1252" s="169" t="s">
        <v>382</v>
      </c>
      <c r="I1252" s="169" t="s">
        <v>200</v>
      </c>
      <c r="J1252" s="169" t="s">
        <v>887</v>
      </c>
      <c r="K1252" s="169" t="s">
        <v>881</v>
      </c>
      <c r="L1252" s="169" t="s">
        <v>882</v>
      </c>
      <c r="M1252" s="169" t="s">
        <v>281</v>
      </c>
      <c r="N1252" s="178">
        <v>5698660</v>
      </c>
      <c r="O1252" s="169" t="s">
        <v>886</v>
      </c>
      <c r="P1252" s="169" t="s">
        <v>283</v>
      </c>
      <c r="Q1252" s="169" t="s">
        <v>284</v>
      </c>
      <c r="R1252" s="169" t="s">
        <v>283</v>
      </c>
      <c r="S1252" s="169" t="s">
        <v>283</v>
      </c>
      <c r="T1252" s="169">
        <v>0</v>
      </c>
    </row>
    <row r="1253" spans="1:20" x14ac:dyDescent="0.2">
      <c r="B1253" s="167" t="str">
        <f>_xlfn.XLOOKUP(I1253,Mapping!D:D,Mapping!E:E)</f>
        <v>Hành Chánh Nhân Sự</v>
      </c>
      <c r="C1253" s="167" t="str">
        <f>_xlfn.XLOOKUP(F1253,Mapping!A:A,Mapping!F:F)</f>
        <v>Lương Chính +T13</v>
      </c>
      <c r="D1253" s="173">
        <v>45869</v>
      </c>
      <c r="E1253" s="169" t="s">
        <v>884</v>
      </c>
      <c r="F1253" s="169" t="s">
        <v>285</v>
      </c>
      <c r="G1253" s="169" t="s">
        <v>286</v>
      </c>
      <c r="H1253" s="169" t="s">
        <v>358</v>
      </c>
      <c r="I1253" s="169" t="s">
        <v>359</v>
      </c>
      <c r="J1253" s="169" t="s">
        <v>885</v>
      </c>
      <c r="K1253" s="169" t="s">
        <v>881</v>
      </c>
      <c r="L1253" s="169" t="s">
        <v>882</v>
      </c>
      <c r="M1253" s="169" t="s">
        <v>281</v>
      </c>
      <c r="N1253" s="178">
        <v>8468167</v>
      </c>
      <c r="O1253" s="169" t="s">
        <v>886</v>
      </c>
      <c r="P1253" s="169" t="s">
        <v>283</v>
      </c>
      <c r="Q1253" s="169" t="s">
        <v>284</v>
      </c>
      <c r="R1253" s="169" t="s">
        <v>283</v>
      </c>
      <c r="S1253" s="169" t="s">
        <v>283</v>
      </c>
      <c r="T1253" s="169">
        <v>0</v>
      </c>
    </row>
    <row r="1254" spans="1:20" x14ac:dyDescent="0.2">
      <c r="B1254" s="167" t="str">
        <f>_xlfn.XLOOKUP(I1254,Mapping!D:D,Mapping!E:E)</f>
        <v>Hành Chánh Nhân Sự</v>
      </c>
      <c r="C1254" s="167" t="str">
        <f>_xlfn.XLOOKUP(F1254,Mapping!A:A,Mapping!F:F)</f>
        <v>Thưởng</v>
      </c>
      <c r="D1254" s="173">
        <v>45869</v>
      </c>
      <c r="E1254" s="169" t="s">
        <v>884</v>
      </c>
      <c r="F1254" s="169" t="s">
        <v>292</v>
      </c>
      <c r="G1254" s="169" t="s">
        <v>77</v>
      </c>
      <c r="H1254" s="169" t="s">
        <v>358</v>
      </c>
      <c r="I1254" s="169" t="s">
        <v>359</v>
      </c>
      <c r="J1254" s="169" t="s">
        <v>887</v>
      </c>
      <c r="K1254" s="169" t="s">
        <v>881</v>
      </c>
      <c r="L1254" s="169" t="s">
        <v>882</v>
      </c>
      <c r="M1254" s="169" t="s">
        <v>281</v>
      </c>
      <c r="N1254" s="178">
        <v>7790646</v>
      </c>
      <c r="O1254" s="169" t="s">
        <v>886</v>
      </c>
      <c r="P1254" s="169" t="s">
        <v>283</v>
      </c>
      <c r="Q1254" s="169" t="s">
        <v>284</v>
      </c>
      <c r="R1254" s="169" t="s">
        <v>283</v>
      </c>
      <c r="S1254" s="169" t="s">
        <v>283</v>
      </c>
      <c r="T1254" s="169">
        <v>0</v>
      </c>
    </row>
    <row r="1255" spans="1:20" x14ac:dyDescent="0.2">
      <c r="B1255" s="167" t="str">
        <f>_xlfn.XLOOKUP(I1255,Mapping!D:D,Mapping!E:E)</f>
        <v>Kế Toán</v>
      </c>
      <c r="C1255" s="167" t="str">
        <f>_xlfn.XLOOKUP(F1255,Mapping!A:A,Mapping!F:F)</f>
        <v>BHXH, BHYT, KPCĐ</v>
      </c>
      <c r="D1255" s="173">
        <v>45869</v>
      </c>
      <c r="E1255" s="169" t="s">
        <v>888</v>
      </c>
      <c r="F1255" s="169" t="s">
        <v>295</v>
      </c>
      <c r="G1255" s="169" t="s">
        <v>296</v>
      </c>
      <c r="H1255" s="169" t="s">
        <v>356</v>
      </c>
      <c r="I1255" s="169" t="s">
        <v>357</v>
      </c>
      <c r="J1255" s="169" t="s">
        <v>889</v>
      </c>
      <c r="K1255" s="169" t="s">
        <v>881</v>
      </c>
      <c r="L1255" s="169" t="s">
        <v>882</v>
      </c>
      <c r="M1255" s="169" t="s">
        <v>281</v>
      </c>
      <c r="N1255" s="178">
        <v>100027535</v>
      </c>
      <c r="O1255" s="169" t="s">
        <v>890</v>
      </c>
      <c r="P1255" s="169" t="s">
        <v>283</v>
      </c>
      <c r="Q1255" s="169" t="s">
        <v>284</v>
      </c>
      <c r="R1255" s="169" t="s">
        <v>283</v>
      </c>
      <c r="S1255" s="169" t="s">
        <v>283</v>
      </c>
      <c r="T1255" s="169">
        <v>0</v>
      </c>
    </row>
    <row r="1256" spans="1:20" x14ac:dyDescent="0.2">
      <c r="B1256" s="167" t="str">
        <f>_xlfn.XLOOKUP(I1256,Mapping!D:D,Mapping!E:E)</f>
        <v>Kinh doanh</v>
      </c>
      <c r="C1256" s="167" t="str">
        <f>_xlfn.XLOOKUP(F1256,Mapping!A:A,Mapping!F:F)</f>
        <v>BHXH, BHYT, KPCĐ</v>
      </c>
      <c r="D1256" s="173">
        <v>45869</v>
      </c>
      <c r="E1256" s="169" t="s">
        <v>888</v>
      </c>
      <c r="F1256" s="169" t="s">
        <v>392</v>
      </c>
      <c r="G1256" s="169" t="s">
        <v>296</v>
      </c>
      <c r="H1256" s="169" t="s">
        <v>366</v>
      </c>
      <c r="I1256" s="169" t="s">
        <v>1</v>
      </c>
      <c r="J1256" s="169" t="s">
        <v>889</v>
      </c>
      <c r="K1256" s="169" t="s">
        <v>881</v>
      </c>
      <c r="L1256" s="169" t="s">
        <v>882</v>
      </c>
      <c r="M1256" s="169" t="s">
        <v>281</v>
      </c>
      <c r="N1256" s="178">
        <v>56494945</v>
      </c>
      <c r="O1256" s="169" t="s">
        <v>890</v>
      </c>
      <c r="P1256" s="169" t="s">
        <v>283</v>
      </c>
      <c r="Q1256" s="169" t="s">
        <v>284</v>
      </c>
      <c r="R1256" s="169" t="s">
        <v>283</v>
      </c>
      <c r="S1256" s="169" t="s">
        <v>283</v>
      </c>
      <c r="T1256" s="169">
        <v>0</v>
      </c>
    </row>
    <row r="1257" spans="1:20" x14ac:dyDescent="0.2">
      <c r="B1257" s="167" t="str">
        <f>_xlfn.XLOOKUP(I1257,Mapping!D:D,Mapping!E:E)</f>
        <v>Hành Chánh Nhân Sự</v>
      </c>
      <c r="C1257" s="167" t="str">
        <f>_xlfn.XLOOKUP(F1257,Mapping!A:A,Mapping!F:F)</f>
        <v>BHXH, BHYT, KPCĐ</v>
      </c>
      <c r="D1257" s="173">
        <v>45869</v>
      </c>
      <c r="E1257" s="169" t="s">
        <v>888</v>
      </c>
      <c r="F1257" s="169" t="s">
        <v>295</v>
      </c>
      <c r="G1257" s="169" t="s">
        <v>296</v>
      </c>
      <c r="H1257" s="169" t="s">
        <v>382</v>
      </c>
      <c r="I1257" s="169" t="s">
        <v>200</v>
      </c>
      <c r="J1257" s="169" t="s">
        <v>889</v>
      </c>
      <c r="K1257" s="169" t="s">
        <v>881</v>
      </c>
      <c r="L1257" s="169" t="s">
        <v>882</v>
      </c>
      <c r="M1257" s="169" t="s">
        <v>281</v>
      </c>
      <c r="N1257" s="178">
        <v>17467785</v>
      </c>
      <c r="O1257" s="169" t="s">
        <v>890</v>
      </c>
      <c r="P1257" s="169" t="s">
        <v>283</v>
      </c>
      <c r="Q1257" s="169" t="s">
        <v>284</v>
      </c>
      <c r="R1257" s="169" t="s">
        <v>283</v>
      </c>
      <c r="S1257" s="169" t="s">
        <v>283</v>
      </c>
      <c r="T1257" s="169">
        <v>0</v>
      </c>
    </row>
    <row r="1258" spans="1:20" x14ac:dyDescent="0.2">
      <c r="B1258" s="167" t="str">
        <f>_xlfn.XLOOKUP(I1258,Mapping!D:D,Mapping!E:E)</f>
        <v>Hành Chánh Nhân Sự</v>
      </c>
      <c r="C1258" s="167" t="str">
        <f>_xlfn.XLOOKUP(F1258,Mapping!A:A,Mapping!F:F)</f>
        <v>BHXH, BHYT, KPCĐ</v>
      </c>
      <c r="D1258" s="173">
        <v>45869</v>
      </c>
      <c r="E1258" s="169" t="s">
        <v>888</v>
      </c>
      <c r="F1258" s="169" t="s">
        <v>295</v>
      </c>
      <c r="G1258" s="169" t="s">
        <v>296</v>
      </c>
      <c r="H1258" s="169" t="s">
        <v>358</v>
      </c>
      <c r="I1258" s="169" t="s">
        <v>359</v>
      </c>
      <c r="J1258" s="169" t="s">
        <v>889</v>
      </c>
      <c r="K1258" s="169" t="s">
        <v>881</v>
      </c>
      <c r="L1258" s="169" t="s">
        <v>882</v>
      </c>
      <c r="M1258" s="169" t="s">
        <v>281</v>
      </c>
      <c r="N1258" s="178">
        <v>23880230</v>
      </c>
      <c r="O1258" s="169" t="s">
        <v>890</v>
      </c>
      <c r="P1258" s="169" t="s">
        <v>283</v>
      </c>
      <c r="Q1258" s="169" t="s">
        <v>284</v>
      </c>
      <c r="R1258" s="169" t="s">
        <v>283</v>
      </c>
      <c r="S1258" s="169" t="s">
        <v>283</v>
      </c>
      <c r="T1258" s="169">
        <v>0</v>
      </c>
    </row>
    <row r="1259" spans="1:20" x14ac:dyDescent="0.2">
      <c r="B1259" s="167" t="str">
        <f>_xlfn.XLOOKUP(I1259,Mapping!D:D,Mapping!E:E)</f>
        <v>Hành Chánh Nhân Sự</v>
      </c>
      <c r="C1259" s="167" t="str">
        <f>_xlfn.XLOOKUP(F1259,Mapping!A:A,Mapping!F:F)</f>
        <v>Khen thưởng BD khác</v>
      </c>
      <c r="D1259" s="173">
        <v>45869</v>
      </c>
      <c r="E1259" s="169" t="s">
        <v>919</v>
      </c>
      <c r="F1259" s="169" t="s">
        <v>300</v>
      </c>
      <c r="G1259" s="169" t="s">
        <v>222</v>
      </c>
      <c r="H1259" s="169" t="s">
        <v>358</v>
      </c>
      <c r="I1259" s="169" t="s">
        <v>359</v>
      </c>
      <c r="J1259" s="169" t="s">
        <v>880</v>
      </c>
      <c r="K1259" s="169" t="s">
        <v>881</v>
      </c>
      <c r="L1259" s="169" t="s">
        <v>882</v>
      </c>
      <c r="M1259" s="169" t="s">
        <v>281</v>
      </c>
      <c r="N1259" s="178">
        <v>5200000</v>
      </c>
      <c r="O1259" s="169" t="s">
        <v>920</v>
      </c>
      <c r="P1259" s="169" t="s">
        <v>283</v>
      </c>
      <c r="Q1259" s="169" t="s">
        <v>284</v>
      </c>
      <c r="R1259" s="169" t="s">
        <v>283</v>
      </c>
      <c r="S1259" s="169" t="s">
        <v>283</v>
      </c>
      <c r="T1259" s="169">
        <v>0</v>
      </c>
    </row>
    <row r="1260" spans="1:20" x14ac:dyDescent="0.2">
      <c r="B1260" s="167" t="str">
        <f>_xlfn.XLOOKUP(I1260,Mapping!D:D,Mapping!E:E)</f>
        <v>Kinh doanh</v>
      </c>
      <c r="C1260" s="167" t="str">
        <f>_xlfn.XLOOKUP(F1260,Mapping!A:A,Mapping!F:F)</f>
        <v>Thưởng</v>
      </c>
      <c r="D1260" s="173">
        <v>45869</v>
      </c>
      <c r="E1260" s="169" t="s">
        <v>921</v>
      </c>
      <c r="F1260" s="169" t="s">
        <v>365</v>
      </c>
      <c r="G1260" s="169" t="s">
        <v>291</v>
      </c>
      <c r="H1260" s="169" t="s">
        <v>366</v>
      </c>
      <c r="I1260" s="169" t="s">
        <v>1</v>
      </c>
      <c r="J1260" s="169" t="s">
        <v>922</v>
      </c>
      <c r="K1260" s="169" t="s">
        <v>670</v>
      </c>
      <c r="L1260" s="169" t="s">
        <v>882</v>
      </c>
      <c r="M1260" s="169" t="s">
        <v>281</v>
      </c>
      <c r="N1260" s="178">
        <v>15957698</v>
      </c>
      <c r="O1260" s="169" t="s">
        <v>923</v>
      </c>
      <c r="P1260" s="169" t="s">
        <v>283</v>
      </c>
      <c r="Q1260" s="169" t="s">
        <v>370</v>
      </c>
      <c r="R1260" s="169" t="s">
        <v>283</v>
      </c>
      <c r="S1260" s="169" t="s">
        <v>283</v>
      </c>
      <c r="T1260" s="169">
        <v>0</v>
      </c>
    </row>
    <row r="1261" spans="1:20" x14ac:dyDescent="0.2">
      <c r="B1261" s="167" t="str">
        <f>_xlfn.XLOOKUP(I1261,Mapping!D:D,Mapping!E:E)</f>
        <v>Kinh doanh</v>
      </c>
      <c r="C1261" s="167" t="str">
        <f>_xlfn.XLOOKUP(F1261,Mapping!A:A,Mapping!F:F)</f>
        <v>Thưởng</v>
      </c>
      <c r="D1261" s="173">
        <v>45869</v>
      </c>
      <c r="E1261" s="169" t="s">
        <v>924</v>
      </c>
      <c r="F1261" s="169" t="s">
        <v>365</v>
      </c>
      <c r="G1261" s="169" t="s">
        <v>291</v>
      </c>
      <c r="H1261" s="169" t="s">
        <v>366</v>
      </c>
      <c r="I1261" s="169" t="s">
        <v>1</v>
      </c>
      <c r="J1261" s="169" t="s">
        <v>925</v>
      </c>
      <c r="K1261" s="169" t="s">
        <v>670</v>
      </c>
      <c r="L1261" s="169" t="s">
        <v>882</v>
      </c>
      <c r="M1261" s="169" t="s">
        <v>281</v>
      </c>
      <c r="N1261" s="178">
        <v>83908472</v>
      </c>
      <c r="O1261" s="169" t="s">
        <v>926</v>
      </c>
      <c r="P1261" s="169" t="s">
        <v>283</v>
      </c>
      <c r="Q1261" s="169" t="s">
        <v>370</v>
      </c>
      <c r="R1261" s="169" t="s">
        <v>283</v>
      </c>
      <c r="S1261" s="169" t="s">
        <v>283</v>
      </c>
      <c r="T1261" s="169">
        <v>0</v>
      </c>
    </row>
    <row r="1262" spans="1:20" x14ac:dyDescent="0.2">
      <c r="B1262" s="167" t="str">
        <f>_xlfn.XLOOKUP(I1262,Mapping!D:D,Mapping!E:E)</f>
        <v>Kinh doanh</v>
      </c>
      <c r="C1262" s="167" t="str">
        <f>_xlfn.XLOOKUP(F1262,Mapping!A:A,Mapping!F:F)</f>
        <v>Thưởng</v>
      </c>
      <c r="D1262" s="173">
        <v>45839</v>
      </c>
      <c r="E1262" s="169" t="s">
        <v>927</v>
      </c>
      <c r="F1262" s="169" t="s">
        <v>365</v>
      </c>
      <c r="G1262" s="169" t="s">
        <v>291</v>
      </c>
      <c r="H1262" s="169" t="s">
        <v>366</v>
      </c>
      <c r="I1262" s="169" t="s">
        <v>1</v>
      </c>
      <c r="J1262" s="169" t="s">
        <v>864</v>
      </c>
      <c r="K1262" s="169" t="s">
        <v>670</v>
      </c>
      <c r="L1262" s="169" t="s">
        <v>882</v>
      </c>
      <c r="M1262" s="169" t="s">
        <v>281</v>
      </c>
      <c r="N1262" s="178">
        <v>-123314837</v>
      </c>
      <c r="O1262" s="169" t="s">
        <v>928</v>
      </c>
      <c r="P1262" s="169" t="s">
        <v>447</v>
      </c>
      <c r="Q1262" s="169" t="s">
        <v>284</v>
      </c>
      <c r="R1262" s="169" t="s">
        <v>283</v>
      </c>
      <c r="S1262" s="169" t="s">
        <v>283</v>
      </c>
      <c r="T1262" s="169">
        <v>0</v>
      </c>
    </row>
    <row r="1263" spans="1:20" x14ac:dyDescent="0.2">
      <c r="B1263" s="167" t="str">
        <f>_xlfn.XLOOKUP(I1263,Mapping!D:D,Mapping!E:E)</f>
        <v>Kinh doanh</v>
      </c>
      <c r="C1263" s="167" t="str">
        <f>_xlfn.XLOOKUP(F1263,Mapping!A:A,Mapping!F:F)</f>
        <v>Phụ Cấp</v>
      </c>
      <c r="D1263" s="173">
        <v>45869</v>
      </c>
      <c r="E1263" s="169" t="s">
        <v>929</v>
      </c>
      <c r="F1263" s="169" t="s">
        <v>385</v>
      </c>
      <c r="G1263" s="169" t="s">
        <v>336</v>
      </c>
      <c r="H1263" s="169" t="s">
        <v>366</v>
      </c>
      <c r="I1263" s="169" t="s">
        <v>1</v>
      </c>
      <c r="J1263" s="169" t="s">
        <v>930</v>
      </c>
      <c r="K1263" s="169" t="s">
        <v>581</v>
      </c>
      <c r="L1263" s="169" t="s">
        <v>882</v>
      </c>
      <c r="M1263" s="169" t="s">
        <v>281</v>
      </c>
      <c r="N1263" s="178">
        <v>5320000</v>
      </c>
      <c r="O1263" s="169" t="s">
        <v>931</v>
      </c>
      <c r="P1263" s="169" t="s">
        <v>283</v>
      </c>
      <c r="Q1263" s="169" t="s">
        <v>306</v>
      </c>
      <c r="R1263" s="169" t="s">
        <v>283</v>
      </c>
      <c r="S1263" s="169" t="s">
        <v>283</v>
      </c>
      <c r="T1263" s="169">
        <v>0</v>
      </c>
    </row>
    <row r="1264" spans="1:20" x14ac:dyDescent="0.2">
      <c r="A1264" s="169">
        <v>622</v>
      </c>
      <c r="B1264" s="167" t="str">
        <f>_xlfn.XLOOKUP(I1264,Mapping!D:D,Mapping!E:E)</f>
        <v>Xưởng Sản Xuất</v>
      </c>
      <c r="C1264" s="167" t="str">
        <f>_xlfn.XLOOKUP(F1264,Mapping!A:A,Mapping!F:F)</f>
        <v>Lương Chính +T13</v>
      </c>
      <c r="D1264" s="173">
        <v>45840</v>
      </c>
      <c r="E1264" s="169" t="s">
        <v>932</v>
      </c>
      <c r="F1264" s="169" t="s">
        <v>400</v>
      </c>
      <c r="G1264" s="169" t="s">
        <v>401</v>
      </c>
      <c r="H1264" s="169" t="s">
        <v>402</v>
      </c>
      <c r="I1264" s="169" t="s">
        <v>403</v>
      </c>
      <c r="J1264" s="169" t="s">
        <v>933</v>
      </c>
      <c r="K1264" s="169" t="s">
        <v>405</v>
      </c>
      <c r="L1264" s="169" t="s">
        <v>882</v>
      </c>
      <c r="M1264" s="169" t="s">
        <v>281</v>
      </c>
      <c r="N1264" s="178">
        <v>333355000</v>
      </c>
      <c r="O1264" s="169" t="s">
        <v>934</v>
      </c>
      <c r="P1264" s="169" t="s">
        <v>283</v>
      </c>
      <c r="Q1264" s="169" t="s">
        <v>306</v>
      </c>
      <c r="R1264" s="169" t="s">
        <v>283</v>
      </c>
      <c r="S1264" s="169" t="s">
        <v>283</v>
      </c>
      <c r="T1264" s="169">
        <v>0</v>
      </c>
    </row>
    <row r="1265" spans="2:20" x14ac:dyDescent="0.2">
      <c r="B1265" s="167" t="str">
        <f>_xlfn.XLOOKUP(I1265,Mapping!D:D,Mapping!E:E)</f>
        <v>Cung Ứng</v>
      </c>
      <c r="C1265" s="167" t="str">
        <f>_xlfn.XLOOKUP(F1265,Mapping!A:A,Mapping!F:F)</f>
        <v>Khen thưởng BD khác</v>
      </c>
      <c r="D1265" s="173">
        <v>45852</v>
      </c>
      <c r="E1265" s="169" t="s">
        <v>935</v>
      </c>
      <c r="F1265" s="169" t="s">
        <v>300</v>
      </c>
      <c r="G1265" s="169" t="s">
        <v>222</v>
      </c>
      <c r="H1265" s="169" t="s">
        <v>380</v>
      </c>
      <c r="I1265" s="169" t="s">
        <v>381</v>
      </c>
      <c r="J1265" s="169" t="s">
        <v>936</v>
      </c>
      <c r="K1265" s="169" t="s">
        <v>936</v>
      </c>
      <c r="L1265" s="169" t="s">
        <v>882</v>
      </c>
      <c r="M1265" s="169" t="s">
        <v>281</v>
      </c>
      <c r="N1265" s="178">
        <v>4700000</v>
      </c>
      <c r="O1265" s="169" t="s">
        <v>937</v>
      </c>
      <c r="P1265" s="169" t="s">
        <v>283</v>
      </c>
      <c r="Q1265" s="169" t="s">
        <v>306</v>
      </c>
      <c r="R1265" s="169" t="s">
        <v>283</v>
      </c>
      <c r="S1265" s="169" t="s">
        <v>283</v>
      </c>
      <c r="T1265" s="169">
        <v>0</v>
      </c>
    </row>
    <row r="1266" spans="2:20" x14ac:dyDescent="0.2">
      <c r="B1266" s="167" t="str">
        <f>_xlfn.XLOOKUP(I1266,Mapping!D:D,Mapping!E:E)</f>
        <v>Kỹ Thuật</v>
      </c>
      <c r="C1266" s="167" t="str">
        <f>_xlfn.XLOOKUP(F1266,Mapping!A:A,Mapping!F:F)</f>
        <v>Khen thưởng BD khác</v>
      </c>
      <c r="D1266" s="173">
        <v>45852</v>
      </c>
      <c r="E1266" s="169" t="s">
        <v>935</v>
      </c>
      <c r="F1266" s="169" t="s">
        <v>435</v>
      </c>
      <c r="G1266" s="169" t="s">
        <v>222</v>
      </c>
      <c r="H1266" s="169" t="s">
        <v>376</v>
      </c>
      <c r="I1266" s="169" t="s">
        <v>377</v>
      </c>
      <c r="J1266" s="169" t="s">
        <v>936</v>
      </c>
      <c r="K1266" s="169" t="s">
        <v>936</v>
      </c>
      <c r="L1266" s="169" t="s">
        <v>882</v>
      </c>
      <c r="M1266" s="169" t="s">
        <v>281</v>
      </c>
      <c r="N1266" s="178">
        <v>4800000</v>
      </c>
      <c r="O1266" s="169" t="s">
        <v>937</v>
      </c>
      <c r="P1266" s="169" t="s">
        <v>283</v>
      </c>
      <c r="Q1266" s="169" t="s">
        <v>306</v>
      </c>
      <c r="R1266" s="169" t="s">
        <v>283</v>
      </c>
      <c r="S1266" s="169" t="s">
        <v>283</v>
      </c>
      <c r="T1266" s="169">
        <v>0</v>
      </c>
    </row>
    <row r="1267" spans="2:20" x14ac:dyDescent="0.2">
      <c r="B1267" s="167" t="str">
        <f>_xlfn.XLOOKUP(I1267,Mapping!D:D,Mapping!E:E)</f>
        <v>Kiểm Soát Chất Lượng</v>
      </c>
      <c r="C1267" s="167" t="str">
        <f>_xlfn.XLOOKUP(F1267,Mapping!A:A,Mapping!F:F)</f>
        <v>Khen thưởng BD khác</v>
      </c>
      <c r="D1267" s="173">
        <v>45852</v>
      </c>
      <c r="E1267" s="169" t="s">
        <v>935</v>
      </c>
      <c r="F1267" s="169" t="s">
        <v>435</v>
      </c>
      <c r="G1267" s="169" t="s">
        <v>222</v>
      </c>
      <c r="H1267" s="169" t="s">
        <v>411</v>
      </c>
      <c r="I1267" s="169" t="s">
        <v>412</v>
      </c>
      <c r="J1267" s="169" t="s">
        <v>936</v>
      </c>
      <c r="K1267" s="169" t="s">
        <v>936</v>
      </c>
      <c r="L1267" s="169" t="s">
        <v>882</v>
      </c>
      <c r="M1267" s="169" t="s">
        <v>281</v>
      </c>
      <c r="N1267" s="178">
        <v>9600000</v>
      </c>
      <c r="O1267" s="169" t="s">
        <v>937</v>
      </c>
      <c r="P1267" s="169" t="s">
        <v>283</v>
      </c>
      <c r="Q1267" s="169" t="s">
        <v>306</v>
      </c>
      <c r="R1267" s="169" t="s">
        <v>283</v>
      </c>
      <c r="S1267" s="169" t="s">
        <v>283</v>
      </c>
      <c r="T1267" s="169">
        <v>0</v>
      </c>
    </row>
    <row r="1268" spans="2:20" x14ac:dyDescent="0.2">
      <c r="B1268" s="167" t="str">
        <f>_xlfn.XLOOKUP(I1268,Mapping!D:D,Mapping!E:E)</f>
        <v>Nghiên Cứu &amp; Phát Triển</v>
      </c>
      <c r="C1268" s="167" t="str">
        <f>_xlfn.XLOOKUP(F1268,Mapping!A:A,Mapping!F:F)</f>
        <v>Khen thưởng BD khác</v>
      </c>
      <c r="D1268" s="173">
        <v>45852</v>
      </c>
      <c r="E1268" s="169" t="s">
        <v>935</v>
      </c>
      <c r="F1268" s="169" t="s">
        <v>435</v>
      </c>
      <c r="G1268" s="169" t="s">
        <v>222</v>
      </c>
      <c r="H1268" s="169" t="s">
        <v>418</v>
      </c>
      <c r="I1268" s="169" t="s">
        <v>419</v>
      </c>
      <c r="J1268" s="169" t="s">
        <v>936</v>
      </c>
      <c r="K1268" s="169" t="s">
        <v>936</v>
      </c>
      <c r="L1268" s="169" t="s">
        <v>882</v>
      </c>
      <c r="M1268" s="169" t="s">
        <v>281</v>
      </c>
      <c r="N1268" s="178">
        <v>3200000</v>
      </c>
      <c r="O1268" s="169" t="s">
        <v>937</v>
      </c>
      <c r="P1268" s="169" t="s">
        <v>283</v>
      </c>
      <c r="Q1268" s="169" t="s">
        <v>306</v>
      </c>
      <c r="R1268" s="169" t="s">
        <v>283</v>
      </c>
      <c r="S1268" s="169" t="s">
        <v>283</v>
      </c>
      <c r="T1268" s="169">
        <v>0</v>
      </c>
    </row>
    <row r="1269" spans="2:20" x14ac:dyDescent="0.2">
      <c r="B1269" s="167" t="str">
        <f>_xlfn.XLOOKUP(I1269,Mapping!D:D,Mapping!E:E)</f>
        <v>Cung Ứng</v>
      </c>
      <c r="C1269" s="167" t="str">
        <f>_xlfn.XLOOKUP(F1269,Mapping!A:A,Mapping!F:F)</f>
        <v>Lương Chính +T13</v>
      </c>
      <c r="D1269" s="173">
        <v>45869</v>
      </c>
      <c r="E1269" s="169" t="s">
        <v>879</v>
      </c>
      <c r="F1269" s="169" t="s">
        <v>274</v>
      </c>
      <c r="G1269" s="169" t="s">
        <v>275</v>
      </c>
      <c r="H1269" s="169" t="s">
        <v>380</v>
      </c>
      <c r="I1269" s="169" t="s">
        <v>381</v>
      </c>
      <c r="J1269" s="169" t="s">
        <v>880</v>
      </c>
      <c r="K1269" s="169" t="s">
        <v>881</v>
      </c>
      <c r="L1269" s="169" t="s">
        <v>882</v>
      </c>
      <c r="M1269" s="169" t="s">
        <v>281</v>
      </c>
      <c r="N1269" s="178">
        <v>520582059</v>
      </c>
      <c r="O1269" s="169" t="s">
        <v>883</v>
      </c>
      <c r="P1269" s="169" t="s">
        <v>283</v>
      </c>
      <c r="Q1269" s="169" t="s">
        <v>284</v>
      </c>
      <c r="R1269" s="169" t="s">
        <v>283</v>
      </c>
      <c r="S1269" s="169" t="s">
        <v>283</v>
      </c>
      <c r="T1269" s="169">
        <v>0</v>
      </c>
    </row>
    <row r="1270" spans="2:20" x14ac:dyDescent="0.2">
      <c r="B1270" s="167" t="str">
        <f>_xlfn.XLOOKUP(I1270,Mapping!D:D,Mapping!E:E)</f>
        <v>Cung Ứng</v>
      </c>
      <c r="C1270" s="167" t="str">
        <f>_xlfn.XLOOKUP(F1270,Mapping!A:A,Mapping!F:F)</f>
        <v>Lương Chính +T13</v>
      </c>
      <c r="D1270" s="173">
        <v>45869</v>
      </c>
      <c r="E1270" s="169" t="s">
        <v>879</v>
      </c>
      <c r="F1270" s="169" t="s">
        <v>285</v>
      </c>
      <c r="G1270" s="169" t="s">
        <v>286</v>
      </c>
      <c r="H1270" s="169" t="s">
        <v>380</v>
      </c>
      <c r="I1270" s="169" t="s">
        <v>381</v>
      </c>
      <c r="J1270" s="169" t="s">
        <v>880</v>
      </c>
      <c r="K1270" s="169" t="s">
        <v>881</v>
      </c>
      <c r="L1270" s="169" t="s">
        <v>882</v>
      </c>
      <c r="M1270" s="169" t="s">
        <v>281</v>
      </c>
      <c r="N1270" s="178">
        <v>19183539</v>
      </c>
      <c r="O1270" s="169" t="s">
        <v>883</v>
      </c>
      <c r="P1270" s="169" t="s">
        <v>283</v>
      </c>
      <c r="Q1270" s="169" t="s">
        <v>284</v>
      </c>
      <c r="R1270" s="169" t="s">
        <v>283</v>
      </c>
      <c r="S1270" s="169" t="s">
        <v>283</v>
      </c>
      <c r="T1270" s="169">
        <v>0</v>
      </c>
    </row>
    <row r="1271" spans="2:20" x14ac:dyDescent="0.2">
      <c r="B1271" s="167" t="str">
        <f>_xlfn.XLOOKUP(I1271,Mapping!D:D,Mapping!E:E)</f>
        <v>Cung Ứng</v>
      </c>
      <c r="C1271" s="167" t="str">
        <f>_xlfn.XLOOKUP(F1271,Mapping!A:A,Mapping!F:F)</f>
        <v>Thưởng</v>
      </c>
      <c r="D1271" s="173">
        <v>45869</v>
      </c>
      <c r="E1271" s="169" t="s">
        <v>879</v>
      </c>
      <c r="F1271" s="169" t="s">
        <v>290</v>
      </c>
      <c r="G1271" s="169" t="s">
        <v>291</v>
      </c>
      <c r="H1271" s="169" t="s">
        <v>380</v>
      </c>
      <c r="I1271" s="169" t="s">
        <v>381</v>
      </c>
      <c r="J1271" s="169" t="s">
        <v>880</v>
      </c>
      <c r="K1271" s="169" t="s">
        <v>881</v>
      </c>
      <c r="L1271" s="169" t="s">
        <v>882</v>
      </c>
      <c r="M1271" s="169" t="s">
        <v>281</v>
      </c>
      <c r="N1271" s="178">
        <v>284695793</v>
      </c>
      <c r="O1271" s="169" t="s">
        <v>883</v>
      </c>
      <c r="P1271" s="169" t="s">
        <v>283</v>
      </c>
      <c r="Q1271" s="169" t="s">
        <v>284</v>
      </c>
      <c r="R1271" s="169" t="s">
        <v>283</v>
      </c>
      <c r="S1271" s="169" t="s">
        <v>283</v>
      </c>
      <c r="T1271" s="169">
        <v>0</v>
      </c>
    </row>
    <row r="1272" spans="2:20" x14ac:dyDescent="0.2">
      <c r="B1272" s="167" t="str">
        <f>_xlfn.XLOOKUP(I1272,Mapping!D:D,Mapping!E:E)</f>
        <v>Cung Ứng</v>
      </c>
      <c r="C1272" s="167" t="str">
        <f>_xlfn.XLOOKUP(F1272,Mapping!A:A,Mapping!F:F)</f>
        <v>Phụ Cấp</v>
      </c>
      <c r="D1272" s="173">
        <v>45869</v>
      </c>
      <c r="E1272" s="169" t="s">
        <v>879</v>
      </c>
      <c r="F1272" s="169" t="s">
        <v>335</v>
      </c>
      <c r="G1272" s="169" t="s">
        <v>336</v>
      </c>
      <c r="H1272" s="169" t="s">
        <v>380</v>
      </c>
      <c r="I1272" s="169" t="s">
        <v>381</v>
      </c>
      <c r="J1272" s="169" t="s">
        <v>880</v>
      </c>
      <c r="K1272" s="169" t="s">
        <v>881</v>
      </c>
      <c r="L1272" s="169" t="s">
        <v>882</v>
      </c>
      <c r="M1272" s="169" t="s">
        <v>281</v>
      </c>
      <c r="N1272" s="178">
        <v>11900000</v>
      </c>
      <c r="O1272" s="169" t="s">
        <v>883</v>
      </c>
      <c r="P1272" s="169" t="s">
        <v>283</v>
      </c>
      <c r="Q1272" s="169" t="s">
        <v>284</v>
      </c>
      <c r="R1272" s="169" t="s">
        <v>283</v>
      </c>
      <c r="S1272" s="169" t="s">
        <v>283</v>
      </c>
      <c r="T1272" s="169">
        <v>0</v>
      </c>
    </row>
    <row r="1273" spans="2:20" x14ac:dyDescent="0.2">
      <c r="B1273" s="167" t="str">
        <f>_xlfn.XLOOKUP(I1273,Mapping!D:D,Mapping!E:E)</f>
        <v>Mua Hàng &amp; XNK</v>
      </c>
      <c r="C1273" s="167" t="str">
        <f>_xlfn.XLOOKUP(F1273,Mapping!A:A,Mapping!F:F)</f>
        <v>Lương Chính +T13</v>
      </c>
      <c r="D1273" s="173">
        <v>45869</v>
      </c>
      <c r="E1273" s="169" t="s">
        <v>879</v>
      </c>
      <c r="F1273" s="169" t="s">
        <v>274</v>
      </c>
      <c r="G1273" s="169" t="s">
        <v>275</v>
      </c>
      <c r="H1273" s="169" t="s">
        <v>378</v>
      </c>
      <c r="I1273" s="169" t="s">
        <v>379</v>
      </c>
      <c r="J1273" s="169" t="s">
        <v>880</v>
      </c>
      <c r="K1273" s="169" t="s">
        <v>881</v>
      </c>
      <c r="L1273" s="169" t="s">
        <v>882</v>
      </c>
      <c r="M1273" s="169" t="s">
        <v>281</v>
      </c>
      <c r="N1273" s="178">
        <v>121194853</v>
      </c>
      <c r="O1273" s="169" t="s">
        <v>883</v>
      </c>
      <c r="P1273" s="169" t="s">
        <v>283</v>
      </c>
      <c r="Q1273" s="169" t="s">
        <v>284</v>
      </c>
      <c r="R1273" s="169" t="s">
        <v>283</v>
      </c>
      <c r="S1273" s="169" t="s">
        <v>283</v>
      </c>
      <c r="T1273" s="169">
        <v>0</v>
      </c>
    </row>
    <row r="1274" spans="2:20" x14ac:dyDescent="0.2">
      <c r="B1274" s="167" t="str">
        <f>_xlfn.XLOOKUP(I1274,Mapping!D:D,Mapping!E:E)</f>
        <v>Mua Hàng &amp; XNK</v>
      </c>
      <c r="C1274" s="167" t="str">
        <f>_xlfn.XLOOKUP(F1274,Mapping!A:A,Mapping!F:F)</f>
        <v>Lương Chính +T13</v>
      </c>
      <c r="D1274" s="173">
        <v>45869</v>
      </c>
      <c r="E1274" s="169" t="s">
        <v>879</v>
      </c>
      <c r="F1274" s="169" t="s">
        <v>285</v>
      </c>
      <c r="G1274" s="169" t="s">
        <v>286</v>
      </c>
      <c r="H1274" s="169" t="s">
        <v>378</v>
      </c>
      <c r="I1274" s="169" t="s">
        <v>379</v>
      </c>
      <c r="J1274" s="169" t="s">
        <v>880</v>
      </c>
      <c r="K1274" s="169" t="s">
        <v>881</v>
      </c>
      <c r="L1274" s="169" t="s">
        <v>882</v>
      </c>
      <c r="M1274" s="169" t="s">
        <v>281</v>
      </c>
      <c r="N1274" s="178">
        <v>5771018</v>
      </c>
      <c r="O1274" s="169" t="s">
        <v>883</v>
      </c>
      <c r="P1274" s="169" t="s">
        <v>283</v>
      </c>
      <c r="Q1274" s="169" t="s">
        <v>284</v>
      </c>
      <c r="R1274" s="169" t="s">
        <v>283</v>
      </c>
      <c r="S1274" s="169" t="s">
        <v>283</v>
      </c>
      <c r="T1274" s="169">
        <v>0</v>
      </c>
    </row>
    <row r="1275" spans="2:20" x14ac:dyDescent="0.2">
      <c r="B1275" s="167" t="str">
        <f>_xlfn.XLOOKUP(I1275,Mapping!D:D,Mapping!E:E)</f>
        <v>Mua Hàng &amp; XNK</v>
      </c>
      <c r="C1275" s="167" t="str">
        <f>_xlfn.XLOOKUP(F1275,Mapping!A:A,Mapping!F:F)</f>
        <v>Phụ Cấp</v>
      </c>
      <c r="D1275" s="173">
        <v>45869</v>
      </c>
      <c r="E1275" s="169" t="s">
        <v>879</v>
      </c>
      <c r="F1275" s="169" t="s">
        <v>335</v>
      </c>
      <c r="G1275" s="169" t="s">
        <v>336</v>
      </c>
      <c r="H1275" s="169" t="s">
        <v>378</v>
      </c>
      <c r="I1275" s="169" t="s">
        <v>379</v>
      </c>
      <c r="J1275" s="169" t="s">
        <v>880</v>
      </c>
      <c r="K1275" s="169" t="s">
        <v>881</v>
      </c>
      <c r="L1275" s="169" t="s">
        <v>882</v>
      </c>
      <c r="M1275" s="169" t="s">
        <v>281</v>
      </c>
      <c r="N1275" s="178">
        <v>800000</v>
      </c>
      <c r="O1275" s="169" t="s">
        <v>883</v>
      </c>
      <c r="P1275" s="169" t="s">
        <v>283</v>
      </c>
      <c r="Q1275" s="169" t="s">
        <v>284</v>
      </c>
      <c r="R1275" s="169" t="s">
        <v>283</v>
      </c>
      <c r="S1275" s="169" t="s">
        <v>283</v>
      </c>
      <c r="T1275" s="169">
        <v>0</v>
      </c>
    </row>
    <row r="1276" spans="2:20" x14ac:dyDescent="0.2">
      <c r="B1276" s="167" t="str">
        <f>_xlfn.XLOOKUP(I1276,Mapping!D:D,Mapping!E:E)</f>
        <v>Kỹ Thuật</v>
      </c>
      <c r="C1276" s="167" t="str">
        <f>_xlfn.XLOOKUP(F1276,Mapping!A:A,Mapping!F:F)</f>
        <v>Phụ Cấp</v>
      </c>
      <c r="D1276" s="173">
        <v>45869</v>
      </c>
      <c r="E1276" s="169" t="s">
        <v>879</v>
      </c>
      <c r="F1276" s="169" t="s">
        <v>386</v>
      </c>
      <c r="G1276" s="169" t="s">
        <v>341</v>
      </c>
      <c r="H1276" s="169" t="s">
        <v>376</v>
      </c>
      <c r="I1276" s="169" t="s">
        <v>377</v>
      </c>
      <c r="J1276" s="169" t="s">
        <v>880</v>
      </c>
      <c r="K1276" s="169" t="s">
        <v>881</v>
      </c>
      <c r="L1276" s="169" t="s">
        <v>882</v>
      </c>
      <c r="M1276" s="169" t="s">
        <v>281</v>
      </c>
      <c r="N1276" s="178">
        <v>48252086</v>
      </c>
      <c r="O1276" s="169" t="s">
        <v>883</v>
      </c>
      <c r="P1276" s="169" t="s">
        <v>283</v>
      </c>
      <c r="Q1276" s="169" t="s">
        <v>284</v>
      </c>
      <c r="R1276" s="169" t="s">
        <v>283</v>
      </c>
      <c r="S1276" s="169" t="s">
        <v>283</v>
      </c>
      <c r="T1276" s="169">
        <v>0</v>
      </c>
    </row>
    <row r="1277" spans="2:20" x14ac:dyDescent="0.2">
      <c r="B1277" s="167" t="str">
        <f>_xlfn.XLOOKUP(I1277,Mapping!D:D,Mapping!E:E)</f>
        <v>Kỹ Thuật</v>
      </c>
      <c r="C1277" s="167" t="str">
        <f>_xlfn.XLOOKUP(F1277,Mapping!A:A,Mapping!F:F)</f>
        <v>Lương Chính +T13</v>
      </c>
      <c r="D1277" s="173">
        <v>45869</v>
      </c>
      <c r="E1277" s="169" t="s">
        <v>879</v>
      </c>
      <c r="F1277" s="169" t="s">
        <v>387</v>
      </c>
      <c r="G1277" s="169" t="s">
        <v>275</v>
      </c>
      <c r="H1277" s="169" t="s">
        <v>376</v>
      </c>
      <c r="I1277" s="169" t="s">
        <v>377</v>
      </c>
      <c r="J1277" s="169" t="s">
        <v>880</v>
      </c>
      <c r="K1277" s="169" t="s">
        <v>881</v>
      </c>
      <c r="L1277" s="169" t="s">
        <v>882</v>
      </c>
      <c r="M1277" s="169" t="s">
        <v>281</v>
      </c>
      <c r="N1277" s="178">
        <v>1117680889</v>
      </c>
      <c r="O1277" s="169" t="s">
        <v>883</v>
      </c>
      <c r="P1277" s="169" t="s">
        <v>283</v>
      </c>
      <c r="Q1277" s="169" t="s">
        <v>284</v>
      </c>
      <c r="R1277" s="169" t="s">
        <v>283</v>
      </c>
      <c r="S1277" s="169" t="s">
        <v>283</v>
      </c>
      <c r="T1277" s="169">
        <v>0</v>
      </c>
    </row>
    <row r="1278" spans="2:20" x14ac:dyDescent="0.2">
      <c r="B1278" s="167" t="str">
        <f>_xlfn.XLOOKUP(I1278,Mapping!D:D,Mapping!E:E)</f>
        <v>Kỹ Thuật</v>
      </c>
      <c r="C1278" s="167" t="str">
        <f>_xlfn.XLOOKUP(F1278,Mapping!A:A,Mapping!F:F)</f>
        <v>Lương Chính +T13</v>
      </c>
      <c r="D1278" s="173">
        <v>45869</v>
      </c>
      <c r="E1278" s="169" t="s">
        <v>879</v>
      </c>
      <c r="F1278" s="169" t="s">
        <v>388</v>
      </c>
      <c r="G1278" s="169" t="s">
        <v>286</v>
      </c>
      <c r="H1278" s="169" t="s">
        <v>376</v>
      </c>
      <c r="I1278" s="169" t="s">
        <v>377</v>
      </c>
      <c r="J1278" s="169" t="s">
        <v>880</v>
      </c>
      <c r="K1278" s="169" t="s">
        <v>881</v>
      </c>
      <c r="L1278" s="169" t="s">
        <v>882</v>
      </c>
      <c r="M1278" s="169" t="s">
        <v>281</v>
      </c>
      <c r="N1278" s="178">
        <v>35321557</v>
      </c>
      <c r="O1278" s="169" t="s">
        <v>883</v>
      </c>
      <c r="P1278" s="169" t="s">
        <v>283</v>
      </c>
      <c r="Q1278" s="169" t="s">
        <v>284</v>
      </c>
      <c r="R1278" s="169" t="s">
        <v>283</v>
      </c>
      <c r="S1278" s="169" t="s">
        <v>283</v>
      </c>
      <c r="T1278" s="169">
        <v>0</v>
      </c>
    </row>
    <row r="1279" spans="2:20" x14ac:dyDescent="0.2">
      <c r="B1279" s="167" t="str">
        <f>_xlfn.XLOOKUP(I1279,Mapping!D:D,Mapping!E:E)</f>
        <v>Kỹ Thuật</v>
      </c>
      <c r="C1279" s="167" t="str">
        <f>_xlfn.XLOOKUP(F1279,Mapping!A:A,Mapping!F:F)</f>
        <v>Lương Ngoài giờ</v>
      </c>
      <c r="D1279" s="173">
        <v>45869</v>
      </c>
      <c r="E1279" s="169" t="s">
        <v>879</v>
      </c>
      <c r="F1279" s="169" t="s">
        <v>389</v>
      </c>
      <c r="G1279" s="169" t="s">
        <v>390</v>
      </c>
      <c r="H1279" s="169" t="s">
        <v>376</v>
      </c>
      <c r="I1279" s="169" t="s">
        <v>377</v>
      </c>
      <c r="J1279" s="169" t="s">
        <v>880</v>
      </c>
      <c r="K1279" s="169" t="s">
        <v>881</v>
      </c>
      <c r="L1279" s="169" t="s">
        <v>882</v>
      </c>
      <c r="M1279" s="169" t="s">
        <v>281</v>
      </c>
      <c r="N1279" s="178">
        <v>358041860</v>
      </c>
      <c r="O1279" s="169" t="s">
        <v>883</v>
      </c>
      <c r="P1279" s="169" t="s">
        <v>283</v>
      </c>
      <c r="Q1279" s="169" t="s">
        <v>284</v>
      </c>
      <c r="R1279" s="169" t="s">
        <v>283</v>
      </c>
      <c r="S1279" s="169" t="s">
        <v>283</v>
      </c>
      <c r="T1279" s="169">
        <v>0</v>
      </c>
    </row>
    <row r="1280" spans="2:20" x14ac:dyDescent="0.2">
      <c r="B1280" s="167" t="str">
        <f>_xlfn.XLOOKUP(I1280,Mapping!D:D,Mapping!E:E)</f>
        <v>Kỹ Thuật</v>
      </c>
      <c r="C1280" s="167" t="str">
        <f>_xlfn.XLOOKUP(F1280,Mapping!A:A,Mapping!F:F)</f>
        <v>Phụ Cấp</v>
      </c>
      <c r="D1280" s="173">
        <v>45869</v>
      </c>
      <c r="E1280" s="169" t="s">
        <v>879</v>
      </c>
      <c r="F1280" s="169" t="s">
        <v>375</v>
      </c>
      <c r="G1280" s="169" t="s">
        <v>336</v>
      </c>
      <c r="H1280" s="169" t="s">
        <v>376</v>
      </c>
      <c r="I1280" s="169" t="s">
        <v>377</v>
      </c>
      <c r="J1280" s="169" t="s">
        <v>880</v>
      </c>
      <c r="K1280" s="169" t="s">
        <v>881</v>
      </c>
      <c r="L1280" s="169" t="s">
        <v>882</v>
      </c>
      <c r="M1280" s="169" t="s">
        <v>281</v>
      </c>
      <c r="N1280" s="178">
        <v>12210000</v>
      </c>
      <c r="O1280" s="169" t="s">
        <v>883</v>
      </c>
      <c r="P1280" s="169" t="s">
        <v>283</v>
      </c>
      <c r="Q1280" s="169" t="s">
        <v>284</v>
      </c>
      <c r="R1280" s="169" t="s">
        <v>283</v>
      </c>
      <c r="S1280" s="169" t="s">
        <v>283</v>
      </c>
      <c r="T1280" s="169">
        <v>0</v>
      </c>
    </row>
    <row r="1281" spans="1:20" x14ac:dyDescent="0.2">
      <c r="B1281" s="167" t="str">
        <f>_xlfn.XLOOKUP(I1281,Mapping!D:D,Mapping!E:E)</f>
        <v>Kiểm Soát Chất Lượng</v>
      </c>
      <c r="C1281" s="167" t="str">
        <f>_xlfn.XLOOKUP(F1281,Mapping!A:A,Mapping!F:F)</f>
        <v>Phụ Cấp</v>
      </c>
      <c r="D1281" s="173">
        <v>45869</v>
      </c>
      <c r="E1281" s="169" t="s">
        <v>879</v>
      </c>
      <c r="F1281" s="169" t="s">
        <v>386</v>
      </c>
      <c r="G1281" s="169" t="s">
        <v>341</v>
      </c>
      <c r="H1281" s="169" t="s">
        <v>411</v>
      </c>
      <c r="I1281" s="169" t="s">
        <v>412</v>
      </c>
      <c r="J1281" s="169" t="s">
        <v>880</v>
      </c>
      <c r="K1281" s="169" t="s">
        <v>881</v>
      </c>
      <c r="L1281" s="169" t="s">
        <v>882</v>
      </c>
      <c r="M1281" s="169" t="s">
        <v>281</v>
      </c>
      <c r="N1281" s="178">
        <v>30011480</v>
      </c>
      <c r="O1281" s="169" t="s">
        <v>883</v>
      </c>
      <c r="P1281" s="169" t="s">
        <v>283</v>
      </c>
      <c r="Q1281" s="169" t="s">
        <v>284</v>
      </c>
      <c r="R1281" s="169" t="s">
        <v>283</v>
      </c>
      <c r="S1281" s="169" t="s">
        <v>283</v>
      </c>
      <c r="T1281" s="169">
        <v>0</v>
      </c>
    </row>
    <row r="1282" spans="1:20" x14ac:dyDescent="0.2">
      <c r="B1282" s="167" t="str">
        <f>_xlfn.XLOOKUP(I1282,Mapping!D:D,Mapping!E:E)</f>
        <v>Kiểm Soát Chất Lượng</v>
      </c>
      <c r="C1282" s="167" t="str">
        <f>_xlfn.XLOOKUP(F1282,Mapping!A:A,Mapping!F:F)</f>
        <v>Lương Chính +T13</v>
      </c>
      <c r="D1282" s="173">
        <v>45869</v>
      </c>
      <c r="E1282" s="169" t="s">
        <v>879</v>
      </c>
      <c r="F1282" s="169" t="s">
        <v>387</v>
      </c>
      <c r="G1282" s="169" t="s">
        <v>275</v>
      </c>
      <c r="H1282" s="169" t="s">
        <v>411</v>
      </c>
      <c r="I1282" s="169" t="s">
        <v>412</v>
      </c>
      <c r="J1282" s="169" t="s">
        <v>880</v>
      </c>
      <c r="K1282" s="169" t="s">
        <v>881</v>
      </c>
      <c r="L1282" s="169" t="s">
        <v>882</v>
      </c>
      <c r="M1282" s="169" t="s">
        <v>281</v>
      </c>
      <c r="N1282" s="178">
        <v>554194975</v>
      </c>
      <c r="O1282" s="169" t="s">
        <v>883</v>
      </c>
      <c r="P1282" s="169" t="s">
        <v>283</v>
      </c>
      <c r="Q1282" s="169" t="s">
        <v>284</v>
      </c>
      <c r="R1282" s="169" t="s">
        <v>283</v>
      </c>
      <c r="S1282" s="169" t="s">
        <v>283</v>
      </c>
      <c r="T1282" s="169">
        <v>0</v>
      </c>
    </row>
    <row r="1283" spans="1:20" x14ac:dyDescent="0.2">
      <c r="B1283" s="167" t="str">
        <f>_xlfn.XLOOKUP(I1283,Mapping!D:D,Mapping!E:E)</f>
        <v>Kiểm Soát Chất Lượng</v>
      </c>
      <c r="C1283" s="167" t="str">
        <f>_xlfn.XLOOKUP(F1283,Mapping!A:A,Mapping!F:F)</f>
        <v>Lương Chính +T13</v>
      </c>
      <c r="D1283" s="173">
        <v>45869</v>
      </c>
      <c r="E1283" s="169" t="s">
        <v>879</v>
      </c>
      <c r="F1283" s="169" t="s">
        <v>388</v>
      </c>
      <c r="G1283" s="169" t="s">
        <v>286</v>
      </c>
      <c r="H1283" s="169" t="s">
        <v>411</v>
      </c>
      <c r="I1283" s="169" t="s">
        <v>412</v>
      </c>
      <c r="J1283" s="169" t="s">
        <v>880</v>
      </c>
      <c r="K1283" s="169" t="s">
        <v>881</v>
      </c>
      <c r="L1283" s="169" t="s">
        <v>882</v>
      </c>
      <c r="M1283" s="169" t="s">
        <v>281</v>
      </c>
      <c r="N1283" s="178">
        <v>16214809</v>
      </c>
      <c r="O1283" s="169" t="s">
        <v>883</v>
      </c>
      <c r="P1283" s="169" t="s">
        <v>283</v>
      </c>
      <c r="Q1283" s="169" t="s">
        <v>284</v>
      </c>
      <c r="R1283" s="169" t="s">
        <v>283</v>
      </c>
      <c r="S1283" s="169" t="s">
        <v>283</v>
      </c>
      <c r="T1283" s="169">
        <v>0</v>
      </c>
    </row>
    <row r="1284" spans="1:20" x14ac:dyDescent="0.2">
      <c r="B1284" s="167" t="str">
        <f>_xlfn.XLOOKUP(I1284,Mapping!D:D,Mapping!E:E)</f>
        <v>Kiểm Soát Chất Lượng</v>
      </c>
      <c r="C1284" s="167" t="str">
        <f>_xlfn.XLOOKUP(F1284,Mapping!A:A,Mapping!F:F)</f>
        <v>Lương Ngoài giờ</v>
      </c>
      <c r="D1284" s="173">
        <v>45869</v>
      </c>
      <c r="E1284" s="169" t="s">
        <v>879</v>
      </c>
      <c r="F1284" s="169" t="s">
        <v>389</v>
      </c>
      <c r="G1284" s="169" t="s">
        <v>390</v>
      </c>
      <c r="H1284" s="169" t="s">
        <v>411</v>
      </c>
      <c r="I1284" s="169" t="s">
        <v>412</v>
      </c>
      <c r="J1284" s="169" t="s">
        <v>880</v>
      </c>
      <c r="K1284" s="169" t="s">
        <v>881</v>
      </c>
      <c r="L1284" s="169" t="s">
        <v>882</v>
      </c>
      <c r="M1284" s="169" t="s">
        <v>281</v>
      </c>
      <c r="N1284" s="178">
        <v>196909674</v>
      </c>
      <c r="O1284" s="169" t="s">
        <v>883</v>
      </c>
      <c r="P1284" s="169" t="s">
        <v>283</v>
      </c>
      <c r="Q1284" s="169" t="s">
        <v>284</v>
      </c>
      <c r="R1284" s="169" t="s">
        <v>283</v>
      </c>
      <c r="S1284" s="169" t="s">
        <v>283</v>
      </c>
      <c r="T1284" s="169">
        <v>0</v>
      </c>
    </row>
    <row r="1285" spans="1:20" x14ac:dyDescent="0.2">
      <c r="B1285" s="167" t="str">
        <f>_xlfn.XLOOKUP(I1285,Mapping!D:D,Mapping!E:E)</f>
        <v>Kiểm Soát Chất Lượng</v>
      </c>
      <c r="C1285" s="167" t="str">
        <f>_xlfn.XLOOKUP(F1285,Mapping!A:A,Mapping!F:F)</f>
        <v>Phụ Cấp</v>
      </c>
      <c r="D1285" s="173">
        <v>45869</v>
      </c>
      <c r="E1285" s="169" t="s">
        <v>879</v>
      </c>
      <c r="F1285" s="169" t="s">
        <v>375</v>
      </c>
      <c r="G1285" s="169" t="s">
        <v>336</v>
      </c>
      <c r="H1285" s="169" t="s">
        <v>411</v>
      </c>
      <c r="I1285" s="169" t="s">
        <v>412</v>
      </c>
      <c r="J1285" s="169" t="s">
        <v>880</v>
      </c>
      <c r="K1285" s="169" t="s">
        <v>881</v>
      </c>
      <c r="L1285" s="169" t="s">
        <v>882</v>
      </c>
      <c r="M1285" s="169" t="s">
        <v>281</v>
      </c>
      <c r="N1285" s="178">
        <v>9440000</v>
      </c>
      <c r="O1285" s="169" t="s">
        <v>883</v>
      </c>
      <c r="P1285" s="169" t="s">
        <v>283</v>
      </c>
      <c r="Q1285" s="169" t="s">
        <v>284</v>
      </c>
      <c r="R1285" s="169" t="s">
        <v>283</v>
      </c>
      <c r="S1285" s="169" t="s">
        <v>283</v>
      </c>
      <c r="T1285" s="169">
        <v>0</v>
      </c>
    </row>
    <row r="1286" spans="1:20" x14ac:dyDescent="0.2">
      <c r="B1286" s="167" t="str">
        <f>_xlfn.XLOOKUP(I1286,Mapping!D:D,Mapping!E:E)</f>
        <v>Nghiên Cứu &amp; Phát Triển</v>
      </c>
      <c r="C1286" s="167" t="str">
        <f>_xlfn.XLOOKUP(F1286,Mapping!A:A,Mapping!F:F)</f>
        <v>Lương Chính +T13</v>
      </c>
      <c r="D1286" s="173">
        <v>45869</v>
      </c>
      <c r="E1286" s="169" t="s">
        <v>879</v>
      </c>
      <c r="F1286" s="169" t="s">
        <v>387</v>
      </c>
      <c r="G1286" s="169" t="s">
        <v>275</v>
      </c>
      <c r="H1286" s="169" t="s">
        <v>418</v>
      </c>
      <c r="I1286" s="169" t="s">
        <v>419</v>
      </c>
      <c r="J1286" s="169" t="s">
        <v>880</v>
      </c>
      <c r="K1286" s="169" t="s">
        <v>881</v>
      </c>
      <c r="L1286" s="169" t="s">
        <v>882</v>
      </c>
      <c r="M1286" s="169" t="s">
        <v>281</v>
      </c>
      <c r="N1286" s="178">
        <v>168703221</v>
      </c>
      <c r="O1286" s="169" t="s">
        <v>883</v>
      </c>
      <c r="P1286" s="169" t="s">
        <v>283</v>
      </c>
      <c r="Q1286" s="169" t="s">
        <v>284</v>
      </c>
      <c r="R1286" s="169" t="s">
        <v>283</v>
      </c>
      <c r="S1286" s="169" t="s">
        <v>283</v>
      </c>
      <c r="T1286" s="169">
        <v>0</v>
      </c>
    </row>
    <row r="1287" spans="1:20" x14ac:dyDescent="0.2">
      <c r="B1287" s="167" t="str">
        <f>_xlfn.XLOOKUP(I1287,Mapping!D:D,Mapping!E:E)</f>
        <v>Nghiên Cứu &amp; Phát Triển</v>
      </c>
      <c r="C1287" s="167" t="str">
        <f>_xlfn.XLOOKUP(F1287,Mapping!A:A,Mapping!F:F)</f>
        <v>Lương Chính +T13</v>
      </c>
      <c r="D1287" s="173">
        <v>45869</v>
      </c>
      <c r="E1287" s="169" t="s">
        <v>879</v>
      </c>
      <c r="F1287" s="169" t="s">
        <v>388</v>
      </c>
      <c r="G1287" s="169" t="s">
        <v>286</v>
      </c>
      <c r="H1287" s="169" t="s">
        <v>418</v>
      </c>
      <c r="I1287" s="169" t="s">
        <v>419</v>
      </c>
      <c r="J1287" s="169" t="s">
        <v>880</v>
      </c>
      <c r="K1287" s="169" t="s">
        <v>881</v>
      </c>
      <c r="L1287" s="169" t="s">
        <v>882</v>
      </c>
      <c r="M1287" s="169" t="s">
        <v>281</v>
      </c>
      <c r="N1287" s="178">
        <v>8339136</v>
      </c>
      <c r="O1287" s="169" t="s">
        <v>883</v>
      </c>
      <c r="P1287" s="169" t="s">
        <v>283</v>
      </c>
      <c r="Q1287" s="169" t="s">
        <v>284</v>
      </c>
      <c r="R1287" s="169" t="s">
        <v>283</v>
      </c>
      <c r="S1287" s="169" t="s">
        <v>283</v>
      </c>
      <c r="T1287" s="169">
        <v>0</v>
      </c>
    </row>
    <row r="1288" spans="1:20" x14ac:dyDescent="0.2">
      <c r="B1288" s="167" t="str">
        <f>_xlfn.XLOOKUP(I1288,Mapping!D:D,Mapping!E:E)</f>
        <v>Nghiên Cứu &amp; Phát Triển</v>
      </c>
      <c r="C1288" s="167" t="str">
        <f>_xlfn.XLOOKUP(F1288,Mapping!A:A,Mapping!F:F)</f>
        <v>Phụ Cấp</v>
      </c>
      <c r="D1288" s="173">
        <v>45869</v>
      </c>
      <c r="E1288" s="169" t="s">
        <v>879</v>
      </c>
      <c r="F1288" s="169" t="s">
        <v>375</v>
      </c>
      <c r="G1288" s="169" t="s">
        <v>336</v>
      </c>
      <c r="H1288" s="169" t="s">
        <v>418</v>
      </c>
      <c r="I1288" s="169" t="s">
        <v>419</v>
      </c>
      <c r="J1288" s="169" t="s">
        <v>880</v>
      </c>
      <c r="K1288" s="169" t="s">
        <v>881</v>
      </c>
      <c r="L1288" s="169" t="s">
        <v>882</v>
      </c>
      <c r="M1288" s="169" t="s">
        <v>281</v>
      </c>
      <c r="N1288" s="178">
        <v>350000</v>
      </c>
      <c r="O1288" s="169" t="s">
        <v>883</v>
      </c>
      <c r="P1288" s="169" t="s">
        <v>283</v>
      </c>
      <c r="Q1288" s="169" t="s">
        <v>284</v>
      </c>
      <c r="R1288" s="169" t="s">
        <v>283</v>
      </c>
      <c r="S1288" s="169" t="s">
        <v>283</v>
      </c>
      <c r="T1288" s="169">
        <v>0</v>
      </c>
    </row>
    <row r="1289" spans="1:20" x14ac:dyDescent="0.2">
      <c r="A1289" s="169">
        <v>622</v>
      </c>
      <c r="B1289" s="167" t="str">
        <f>_xlfn.XLOOKUP(I1289,Mapping!D:D,Mapping!E:E)</f>
        <v>Xưởng Sản Xuất</v>
      </c>
      <c r="C1289" s="167" t="str">
        <f>_xlfn.XLOOKUP(F1289,Mapping!A:A,Mapping!F:F)</f>
        <v>Lương Chính +T13</v>
      </c>
      <c r="D1289" s="173">
        <v>45869</v>
      </c>
      <c r="E1289" s="169" t="s">
        <v>879</v>
      </c>
      <c r="F1289" s="169" t="s">
        <v>400</v>
      </c>
      <c r="G1289" s="169" t="s">
        <v>401</v>
      </c>
      <c r="H1289" s="169" t="s">
        <v>402</v>
      </c>
      <c r="I1289" s="169" t="s">
        <v>403</v>
      </c>
      <c r="J1289" s="169" t="s">
        <v>880</v>
      </c>
      <c r="K1289" s="169" t="s">
        <v>881</v>
      </c>
      <c r="L1289" s="169" t="s">
        <v>882</v>
      </c>
      <c r="M1289" s="169" t="s">
        <v>281</v>
      </c>
      <c r="N1289" s="178">
        <v>1599369969</v>
      </c>
      <c r="O1289" s="169" t="s">
        <v>883</v>
      </c>
      <c r="P1289" s="169" t="s">
        <v>283</v>
      </c>
      <c r="Q1289" s="169" t="s">
        <v>284</v>
      </c>
      <c r="R1289" s="169" t="s">
        <v>283</v>
      </c>
      <c r="S1289" s="169" t="s">
        <v>283</v>
      </c>
      <c r="T1289" s="169">
        <v>0</v>
      </c>
    </row>
    <row r="1290" spans="1:20" x14ac:dyDescent="0.2">
      <c r="A1290" s="169">
        <v>622</v>
      </c>
      <c r="B1290" s="167" t="str">
        <f>_xlfn.XLOOKUP(I1290,Mapping!D:D,Mapping!E:E)</f>
        <v>Xưởng Sản Xuất</v>
      </c>
      <c r="C1290" s="167" t="str">
        <f>_xlfn.XLOOKUP(F1290,Mapping!A:A,Mapping!F:F)</f>
        <v>Lương Chính +T13</v>
      </c>
      <c r="D1290" s="173">
        <v>45869</v>
      </c>
      <c r="E1290" s="169" t="s">
        <v>879</v>
      </c>
      <c r="F1290" s="169" t="s">
        <v>420</v>
      </c>
      <c r="G1290" s="169" t="s">
        <v>286</v>
      </c>
      <c r="H1290" s="169" t="s">
        <v>402</v>
      </c>
      <c r="I1290" s="169" t="s">
        <v>403</v>
      </c>
      <c r="J1290" s="169" t="s">
        <v>880</v>
      </c>
      <c r="K1290" s="169" t="s">
        <v>881</v>
      </c>
      <c r="L1290" s="169" t="s">
        <v>882</v>
      </c>
      <c r="M1290" s="169" t="s">
        <v>281</v>
      </c>
      <c r="N1290" s="178">
        <v>28502091</v>
      </c>
      <c r="O1290" s="169" t="s">
        <v>883</v>
      </c>
      <c r="P1290" s="169" t="s">
        <v>283</v>
      </c>
      <c r="Q1290" s="169" t="s">
        <v>284</v>
      </c>
      <c r="R1290" s="169" t="s">
        <v>283</v>
      </c>
      <c r="S1290" s="169" t="s">
        <v>283</v>
      </c>
      <c r="T1290" s="169">
        <v>0</v>
      </c>
    </row>
    <row r="1291" spans="1:20" x14ac:dyDescent="0.2">
      <c r="A1291" s="169">
        <v>622</v>
      </c>
      <c r="B1291" s="167" t="str">
        <f>_xlfn.XLOOKUP(I1291,Mapping!D:D,Mapping!E:E)</f>
        <v>Xưởng Sản Xuất</v>
      </c>
      <c r="C1291" s="167" t="str">
        <f>_xlfn.XLOOKUP(F1291,Mapping!A:A,Mapping!F:F)</f>
        <v>Phụ Cấp</v>
      </c>
      <c r="D1291" s="173">
        <v>45869</v>
      </c>
      <c r="E1291" s="169" t="s">
        <v>879</v>
      </c>
      <c r="F1291" s="169" t="s">
        <v>421</v>
      </c>
      <c r="G1291" s="169" t="s">
        <v>341</v>
      </c>
      <c r="H1291" s="169" t="s">
        <v>402</v>
      </c>
      <c r="I1291" s="169" t="s">
        <v>403</v>
      </c>
      <c r="J1291" s="169" t="s">
        <v>880</v>
      </c>
      <c r="K1291" s="169" t="s">
        <v>881</v>
      </c>
      <c r="L1291" s="169" t="s">
        <v>882</v>
      </c>
      <c r="M1291" s="169" t="s">
        <v>281</v>
      </c>
      <c r="N1291" s="178">
        <v>130961563</v>
      </c>
      <c r="O1291" s="169" t="s">
        <v>883</v>
      </c>
      <c r="P1291" s="169" t="s">
        <v>283</v>
      </c>
      <c r="Q1291" s="169" t="s">
        <v>284</v>
      </c>
      <c r="R1291" s="169" t="s">
        <v>283</v>
      </c>
      <c r="S1291" s="169" t="s">
        <v>283</v>
      </c>
      <c r="T1291" s="169">
        <v>0</v>
      </c>
    </row>
    <row r="1292" spans="1:20" x14ac:dyDescent="0.2">
      <c r="A1292" s="169">
        <v>622</v>
      </c>
      <c r="B1292" s="167" t="str">
        <f>_xlfn.XLOOKUP(I1292,Mapping!D:D,Mapping!E:E)</f>
        <v>Xưởng Sản Xuất</v>
      </c>
      <c r="C1292" s="167" t="str">
        <f>_xlfn.XLOOKUP(F1292,Mapping!A:A,Mapping!F:F)</f>
        <v>Lương Ngoài giờ</v>
      </c>
      <c r="D1292" s="173">
        <v>45869</v>
      </c>
      <c r="E1292" s="169" t="s">
        <v>879</v>
      </c>
      <c r="F1292" s="169" t="s">
        <v>422</v>
      </c>
      <c r="G1292" s="169" t="s">
        <v>423</v>
      </c>
      <c r="H1292" s="169" t="s">
        <v>402</v>
      </c>
      <c r="I1292" s="169" t="s">
        <v>403</v>
      </c>
      <c r="J1292" s="169" t="s">
        <v>880</v>
      </c>
      <c r="K1292" s="169" t="s">
        <v>881</v>
      </c>
      <c r="L1292" s="169" t="s">
        <v>882</v>
      </c>
      <c r="M1292" s="169" t="s">
        <v>281</v>
      </c>
      <c r="N1292" s="178">
        <v>318363559</v>
      </c>
      <c r="O1292" s="169" t="s">
        <v>883</v>
      </c>
      <c r="P1292" s="169" t="s">
        <v>283</v>
      </c>
      <c r="Q1292" s="169" t="s">
        <v>284</v>
      </c>
      <c r="R1292" s="169" t="s">
        <v>283</v>
      </c>
      <c r="S1292" s="169" t="s">
        <v>283</v>
      </c>
      <c r="T1292" s="169">
        <v>0</v>
      </c>
    </row>
    <row r="1293" spans="1:20" x14ac:dyDescent="0.2">
      <c r="A1293" s="169">
        <v>622</v>
      </c>
      <c r="B1293" s="167" t="str">
        <f>_xlfn.XLOOKUP(I1293,Mapping!D:D,Mapping!E:E)</f>
        <v>Xưởng Sản Xuất</v>
      </c>
      <c r="C1293" s="167" t="str">
        <f>_xlfn.XLOOKUP(F1293,Mapping!A:A,Mapping!F:F)</f>
        <v>Phụ Cấp</v>
      </c>
      <c r="D1293" s="173">
        <v>45869</v>
      </c>
      <c r="E1293" s="169" t="s">
        <v>879</v>
      </c>
      <c r="F1293" s="169" t="s">
        <v>414</v>
      </c>
      <c r="G1293" s="169" t="s">
        <v>415</v>
      </c>
      <c r="H1293" s="169" t="s">
        <v>402</v>
      </c>
      <c r="I1293" s="169" t="s">
        <v>403</v>
      </c>
      <c r="J1293" s="169" t="s">
        <v>880</v>
      </c>
      <c r="K1293" s="169" t="s">
        <v>881</v>
      </c>
      <c r="L1293" s="169" t="s">
        <v>882</v>
      </c>
      <c r="M1293" s="169" t="s">
        <v>281</v>
      </c>
      <c r="N1293" s="178">
        <v>35090000</v>
      </c>
      <c r="O1293" s="169" t="s">
        <v>883</v>
      </c>
      <c r="P1293" s="169" t="s">
        <v>283</v>
      </c>
      <c r="Q1293" s="169" t="s">
        <v>284</v>
      </c>
      <c r="R1293" s="169" t="s">
        <v>283</v>
      </c>
      <c r="S1293" s="169" t="s">
        <v>283</v>
      </c>
      <c r="T1293" s="169">
        <v>0</v>
      </c>
    </row>
    <row r="1294" spans="1:20" x14ac:dyDescent="0.2">
      <c r="A1294" s="169">
        <v>627</v>
      </c>
      <c r="B1294" s="167" t="str">
        <f>_xlfn.XLOOKUP(I1294,Mapping!D:D,Mapping!E:E)</f>
        <v>Xưởng Sản Xuất</v>
      </c>
      <c r="C1294" s="167" t="str">
        <f>_xlfn.XLOOKUP(F1294,Mapping!A:A,Mapping!F:F)</f>
        <v>Phụ Cấp</v>
      </c>
      <c r="D1294" s="173">
        <v>45869</v>
      </c>
      <c r="E1294" s="169" t="s">
        <v>879</v>
      </c>
      <c r="F1294" s="169" t="s">
        <v>386</v>
      </c>
      <c r="G1294" s="169" t="s">
        <v>341</v>
      </c>
      <c r="H1294" s="169" t="s">
        <v>402</v>
      </c>
      <c r="I1294" s="169" t="s">
        <v>403</v>
      </c>
      <c r="J1294" s="169" t="s">
        <v>880</v>
      </c>
      <c r="K1294" s="169" t="s">
        <v>881</v>
      </c>
      <c r="L1294" s="169" t="s">
        <v>882</v>
      </c>
      <c r="M1294" s="169" t="s">
        <v>281</v>
      </c>
      <c r="N1294" s="178">
        <v>15343455</v>
      </c>
      <c r="O1294" s="169" t="s">
        <v>883</v>
      </c>
      <c r="P1294" s="169" t="s">
        <v>283</v>
      </c>
      <c r="Q1294" s="169" t="s">
        <v>284</v>
      </c>
      <c r="R1294" s="169" t="s">
        <v>283</v>
      </c>
      <c r="S1294" s="169" t="s">
        <v>283</v>
      </c>
      <c r="T1294" s="169">
        <v>0</v>
      </c>
    </row>
    <row r="1295" spans="1:20" x14ac:dyDescent="0.2">
      <c r="A1295" s="169">
        <v>627</v>
      </c>
      <c r="B1295" s="167" t="str">
        <f>_xlfn.XLOOKUP(I1295,Mapping!D:D,Mapping!E:E)</f>
        <v>Xưởng Sản Xuất</v>
      </c>
      <c r="C1295" s="167" t="str">
        <f>_xlfn.XLOOKUP(F1295,Mapping!A:A,Mapping!F:F)</f>
        <v>Lương Chính +T13</v>
      </c>
      <c r="D1295" s="173">
        <v>45869</v>
      </c>
      <c r="E1295" s="169" t="s">
        <v>879</v>
      </c>
      <c r="F1295" s="169" t="s">
        <v>387</v>
      </c>
      <c r="G1295" s="169" t="s">
        <v>275</v>
      </c>
      <c r="H1295" s="169" t="s">
        <v>402</v>
      </c>
      <c r="I1295" s="169" t="s">
        <v>403</v>
      </c>
      <c r="J1295" s="169" t="s">
        <v>880</v>
      </c>
      <c r="K1295" s="169" t="s">
        <v>881</v>
      </c>
      <c r="L1295" s="169" t="s">
        <v>882</v>
      </c>
      <c r="M1295" s="169" t="s">
        <v>281</v>
      </c>
      <c r="N1295" s="178">
        <v>463520798</v>
      </c>
      <c r="O1295" s="169" t="s">
        <v>883</v>
      </c>
      <c r="P1295" s="169" t="s">
        <v>283</v>
      </c>
      <c r="Q1295" s="169" t="s">
        <v>284</v>
      </c>
      <c r="R1295" s="169" t="s">
        <v>283</v>
      </c>
      <c r="S1295" s="169" t="s">
        <v>283</v>
      </c>
      <c r="T1295" s="169">
        <v>0</v>
      </c>
    </row>
    <row r="1296" spans="1:20" x14ac:dyDescent="0.2">
      <c r="A1296" s="169">
        <v>627</v>
      </c>
      <c r="B1296" s="167" t="str">
        <f>_xlfn.XLOOKUP(I1296,Mapping!D:D,Mapping!E:E)</f>
        <v>Xưởng Sản Xuất</v>
      </c>
      <c r="C1296" s="167" t="str">
        <f>_xlfn.XLOOKUP(F1296,Mapping!A:A,Mapping!F:F)</f>
        <v>Lương Chính +T13</v>
      </c>
      <c r="D1296" s="173">
        <v>45869</v>
      </c>
      <c r="E1296" s="169" t="s">
        <v>879</v>
      </c>
      <c r="F1296" s="169" t="s">
        <v>388</v>
      </c>
      <c r="G1296" s="169" t="s">
        <v>286</v>
      </c>
      <c r="H1296" s="169" t="s">
        <v>402</v>
      </c>
      <c r="I1296" s="169" t="s">
        <v>403</v>
      </c>
      <c r="J1296" s="169" t="s">
        <v>880</v>
      </c>
      <c r="K1296" s="169" t="s">
        <v>881</v>
      </c>
      <c r="L1296" s="169" t="s">
        <v>882</v>
      </c>
      <c r="M1296" s="169" t="s">
        <v>281</v>
      </c>
      <c r="N1296" s="178">
        <v>15371499</v>
      </c>
      <c r="O1296" s="169" t="s">
        <v>883</v>
      </c>
      <c r="P1296" s="169" t="s">
        <v>283</v>
      </c>
      <c r="Q1296" s="169" t="s">
        <v>284</v>
      </c>
      <c r="R1296" s="169" t="s">
        <v>283</v>
      </c>
      <c r="S1296" s="169" t="s">
        <v>283</v>
      </c>
      <c r="T1296" s="169">
        <v>0</v>
      </c>
    </row>
    <row r="1297" spans="1:20" x14ac:dyDescent="0.2">
      <c r="A1297" s="169">
        <v>627</v>
      </c>
      <c r="B1297" s="167" t="str">
        <f>_xlfn.XLOOKUP(I1297,Mapping!D:D,Mapping!E:E)</f>
        <v>Xưởng Sản Xuất</v>
      </c>
      <c r="C1297" s="167" t="str">
        <f>_xlfn.XLOOKUP(F1297,Mapping!A:A,Mapping!F:F)</f>
        <v>Lương Ngoài giờ</v>
      </c>
      <c r="D1297" s="173">
        <v>45869</v>
      </c>
      <c r="E1297" s="169" t="s">
        <v>879</v>
      </c>
      <c r="F1297" s="169" t="s">
        <v>389</v>
      </c>
      <c r="G1297" s="169" t="s">
        <v>390</v>
      </c>
      <c r="H1297" s="169" t="s">
        <v>402</v>
      </c>
      <c r="I1297" s="169" t="s">
        <v>403</v>
      </c>
      <c r="J1297" s="169" t="s">
        <v>880</v>
      </c>
      <c r="K1297" s="169" t="s">
        <v>881</v>
      </c>
      <c r="L1297" s="169" t="s">
        <v>882</v>
      </c>
      <c r="M1297" s="169" t="s">
        <v>281</v>
      </c>
      <c r="N1297" s="178">
        <v>53007677</v>
      </c>
      <c r="O1297" s="169" t="s">
        <v>883</v>
      </c>
      <c r="P1297" s="169" t="s">
        <v>283</v>
      </c>
      <c r="Q1297" s="169" t="s">
        <v>284</v>
      </c>
      <c r="R1297" s="169" t="s">
        <v>283</v>
      </c>
      <c r="S1297" s="169" t="s">
        <v>283</v>
      </c>
      <c r="T1297" s="169">
        <v>0</v>
      </c>
    </row>
    <row r="1298" spans="1:20" x14ac:dyDescent="0.2">
      <c r="A1298" s="169">
        <v>627</v>
      </c>
      <c r="B1298" s="167" t="str">
        <f>_xlfn.XLOOKUP(I1298,Mapping!D:D,Mapping!E:E)</f>
        <v>Xưởng Sản Xuất</v>
      </c>
      <c r="C1298" s="167" t="str">
        <f>_xlfn.XLOOKUP(F1298,Mapping!A:A,Mapping!F:F)</f>
        <v>Phụ Cấp</v>
      </c>
      <c r="D1298" s="173">
        <v>45869</v>
      </c>
      <c r="E1298" s="169" t="s">
        <v>879</v>
      </c>
      <c r="F1298" s="169" t="s">
        <v>375</v>
      </c>
      <c r="G1298" s="169" t="s">
        <v>336</v>
      </c>
      <c r="H1298" s="169" t="s">
        <v>402</v>
      </c>
      <c r="I1298" s="169" t="s">
        <v>403</v>
      </c>
      <c r="J1298" s="169" t="s">
        <v>880</v>
      </c>
      <c r="K1298" s="169" t="s">
        <v>881</v>
      </c>
      <c r="L1298" s="169" t="s">
        <v>882</v>
      </c>
      <c r="M1298" s="169" t="s">
        <v>281</v>
      </c>
      <c r="N1298" s="178">
        <v>3850000</v>
      </c>
      <c r="O1298" s="169" t="s">
        <v>883</v>
      </c>
      <c r="P1298" s="169" t="s">
        <v>283</v>
      </c>
      <c r="Q1298" s="169" t="s">
        <v>284</v>
      </c>
      <c r="R1298" s="169" t="s">
        <v>283</v>
      </c>
      <c r="S1298" s="169" t="s">
        <v>283</v>
      </c>
      <c r="T1298" s="169">
        <v>0</v>
      </c>
    </row>
    <row r="1299" spans="1:20" x14ac:dyDescent="0.2">
      <c r="A1299" s="169">
        <v>627</v>
      </c>
      <c r="B1299" s="167" t="str">
        <f>_xlfn.XLOOKUP(I1299,Mapping!D:D,Mapping!E:E)</f>
        <v>Xưởng Sản Xuất</v>
      </c>
      <c r="C1299" s="167" t="str">
        <f>_xlfn.XLOOKUP(F1299,Mapping!A:A,Mapping!F:F)</f>
        <v>Phụ Cấp</v>
      </c>
      <c r="D1299" s="173">
        <v>45864</v>
      </c>
      <c r="E1299" s="169" t="s">
        <v>894</v>
      </c>
      <c r="F1299" s="169" t="s">
        <v>375</v>
      </c>
      <c r="G1299" s="169" t="s">
        <v>336</v>
      </c>
      <c r="H1299" s="169" t="s">
        <v>402</v>
      </c>
      <c r="I1299" s="169" t="s">
        <v>403</v>
      </c>
      <c r="J1299" s="169" t="s">
        <v>895</v>
      </c>
      <c r="K1299" s="169" t="s">
        <v>741</v>
      </c>
      <c r="L1299" s="169" t="s">
        <v>882</v>
      </c>
      <c r="M1299" s="169" t="s">
        <v>281</v>
      </c>
      <c r="N1299" s="178">
        <v>157825000</v>
      </c>
      <c r="O1299" s="169" t="s">
        <v>896</v>
      </c>
      <c r="P1299" s="169" t="s">
        <v>283</v>
      </c>
      <c r="Q1299" s="169" t="s">
        <v>306</v>
      </c>
      <c r="R1299" s="169" t="s">
        <v>283</v>
      </c>
      <c r="S1299" s="169" t="s">
        <v>283</v>
      </c>
      <c r="T1299" s="169">
        <v>0</v>
      </c>
    </row>
    <row r="1300" spans="1:20" x14ac:dyDescent="0.2">
      <c r="B1300" s="167" t="str">
        <f>_xlfn.XLOOKUP(I1300,Mapping!D:D,Mapping!E:E)</f>
        <v>Kỹ Thuật</v>
      </c>
      <c r="C1300" s="167" t="str">
        <f>_xlfn.XLOOKUP(F1300,Mapping!A:A,Mapping!F:F)</f>
        <v>Phụ Cấp</v>
      </c>
      <c r="D1300" s="173">
        <v>45864</v>
      </c>
      <c r="E1300" s="169" t="s">
        <v>894</v>
      </c>
      <c r="F1300" s="169" t="s">
        <v>375</v>
      </c>
      <c r="G1300" s="169" t="s">
        <v>336</v>
      </c>
      <c r="H1300" s="169" t="s">
        <v>376</v>
      </c>
      <c r="I1300" s="169" t="s">
        <v>377</v>
      </c>
      <c r="J1300" s="169" t="s">
        <v>895</v>
      </c>
      <c r="K1300" s="169" t="s">
        <v>741</v>
      </c>
      <c r="L1300" s="169" t="s">
        <v>882</v>
      </c>
      <c r="M1300" s="169" t="s">
        <v>281</v>
      </c>
      <c r="N1300" s="178">
        <v>48500000</v>
      </c>
      <c r="O1300" s="169" t="s">
        <v>896</v>
      </c>
      <c r="P1300" s="169" t="s">
        <v>283</v>
      </c>
      <c r="Q1300" s="169" t="s">
        <v>306</v>
      </c>
      <c r="R1300" s="169" t="s">
        <v>283</v>
      </c>
      <c r="S1300" s="169" t="s">
        <v>283</v>
      </c>
      <c r="T1300" s="169">
        <v>0</v>
      </c>
    </row>
    <row r="1301" spans="1:20" x14ac:dyDescent="0.2">
      <c r="B1301" s="167" t="str">
        <f>_xlfn.XLOOKUP(I1301,Mapping!D:D,Mapping!E:E)</f>
        <v>Kiểm Soát Chất Lượng</v>
      </c>
      <c r="C1301" s="167" t="str">
        <f>_xlfn.XLOOKUP(F1301,Mapping!A:A,Mapping!F:F)</f>
        <v>Phụ Cấp</v>
      </c>
      <c r="D1301" s="173">
        <v>45864</v>
      </c>
      <c r="E1301" s="169" t="s">
        <v>894</v>
      </c>
      <c r="F1301" s="169" t="s">
        <v>375</v>
      </c>
      <c r="G1301" s="169" t="s">
        <v>336</v>
      </c>
      <c r="H1301" s="169" t="s">
        <v>411</v>
      </c>
      <c r="I1301" s="169" t="s">
        <v>412</v>
      </c>
      <c r="J1301" s="169" t="s">
        <v>895</v>
      </c>
      <c r="K1301" s="169" t="s">
        <v>741</v>
      </c>
      <c r="L1301" s="169" t="s">
        <v>882</v>
      </c>
      <c r="M1301" s="169" t="s">
        <v>281</v>
      </c>
      <c r="N1301" s="178">
        <v>31075000</v>
      </c>
      <c r="O1301" s="169" t="s">
        <v>896</v>
      </c>
      <c r="P1301" s="169" t="s">
        <v>283</v>
      </c>
      <c r="Q1301" s="169" t="s">
        <v>306</v>
      </c>
      <c r="R1301" s="169" t="s">
        <v>283</v>
      </c>
      <c r="S1301" s="169" t="s">
        <v>283</v>
      </c>
      <c r="T1301" s="169">
        <v>0</v>
      </c>
    </row>
    <row r="1302" spans="1:20" x14ac:dyDescent="0.2">
      <c r="B1302" s="167" t="str">
        <f>_xlfn.XLOOKUP(I1302,Mapping!D:D,Mapping!E:E)</f>
        <v>Mua Hàng &amp; XNK</v>
      </c>
      <c r="C1302" s="167" t="str">
        <f>_xlfn.XLOOKUP(F1302,Mapping!A:A,Mapping!F:F)</f>
        <v>Phụ Cấp</v>
      </c>
      <c r="D1302" s="173">
        <v>45864</v>
      </c>
      <c r="E1302" s="169" t="s">
        <v>894</v>
      </c>
      <c r="F1302" s="169" t="s">
        <v>335</v>
      </c>
      <c r="G1302" s="169" t="s">
        <v>336</v>
      </c>
      <c r="H1302" s="169" t="s">
        <v>378</v>
      </c>
      <c r="I1302" s="169" t="s">
        <v>379</v>
      </c>
      <c r="J1302" s="169" t="s">
        <v>895</v>
      </c>
      <c r="K1302" s="169" t="s">
        <v>741</v>
      </c>
      <c r="L1302" s="169" t="s">
        <v>882</v>
      </c>
      <c r="M1302" s="169" t="s">
        <v>281</v>
      </c>
      <c r="N1302" s="178">
        <v>4250000</v>
      </c>
      <c r="O1302" s="169" t="s">
        <v>896</v>
      </c>
      <c r="P1302" s="169" t="s">
        <v>283</v>
      </c>
      <c r="Q1302" s="169" t="s">
        <v>306</v>
      </c>
      <c r="R1302" s="169" t="s">
        <v>283</v>
      </c>
      <c r="S1302" s="169" t="s">
        <v>283</v>
      </c>
      <c r="T1302" s="169">
        <v>0</v>
      </c>
    </row>
    <row r="1303" spans="1:20" x14ac:dyDescent="0.2">
      <c r="B1303" s="167" t="str">
        <f>_xlfn.XLOOKUP(I1303,Mapping!D:D,Mapping!E:E)</f>
        <v>Cung Ứng</v>
      </c>
      <c r="C1303" s="167" t="str">
        <f>_xlfn.XLOOKUP(F1303,Mapping!A:A,Mapping!F:F)</f>
        <v>Phụ Cấp</v>
      </c>
      <c r="D1303" s="173">
        <v>45864</v>
      </c>
      <c r="E1303" s="169" t="s">
        <v>894</v>
      </c>
      <c r="F1303" s="169" t="s">
        <v>335</v>
      </c>
      <c r="G1303" s="169" t="s">
        <v>336</v>
      </c>
      <c r="H1303" s="169" t="s">
        <v>380</v>
      </c>
      <c r="I1303" s="169" t="s">
        <v>381</v>
      </c>
      <c r="J1303" s="169" t="s">
        <v>895</v>
      </c>
      <c r="K1303" s="169" t="s">
        <v>741</v>
      </c>
      <c r="L1303" s="169" t="s">
        <v>882</v>
      </c>
      <c r="M1303" s="169" t="s">
        <v>281</v>
      </c>
      <c r="N1303" s="178">
        <v>3400000</v>
      </c>
      <c r="O1303" s="169" t="s">
        <v>896</v>
      </c>
      <c r="P1303" s="169" t="s">
        <v>283</v>
      </c>
      <c r="Q1303" s="169" t="s">
        <v>306</v>
      </c>
      <c r="R1303" s="169" t="s">
        <v>283</v>
      </c>
      <c r="S1303" s="169" t="s">
        <v>283</v>
      </c>
      <c r="T1303" s="169">
        <v>0</v>
      </c>
    </row>
    <row r="1304" spans="1:20" x14ac:dyDescent="0.2">
      <c r="B1304" s="167" t="str">
        <f>_xlfn.XLOOKUP(I1304,Mapping!D:D,Mapping!E:E)</f>
        <v>Cung Ứng</v>
      </c>
      <c r="C1304" s="167" t="str">
        <f>_xlfn.XLOOKUP(F1304,Mapping!A:A,Mapping!F:F)</f>
        <v>Lương Chính +T13</v>
      </c>
      <c r="D1304" s="173">
        <v>45869</v>
      </c>
      <c r="E1304" s="169" t="s">
        <v>884</v>
      </c>
      <c r="F1304" s="169" t="s">
        <v>285</v>
      </c>
      <c r="G1304" s="169" t="s">
        <v>286</v>
      </c>
      <c r="H1304" s="169" t="s">
        <v>380</v>
      </c>
      <c r="I1304" s="169" t="s">
        <v>381</v>
      </c>
      <c r="J1304" s="169" t="s">
        <v>885</v>
      </c>
      <c r="K1304" s="169" t="s">
        <v>881</v>
      </c>
      <c r="L1304" s="169" t="s">
        <v>882</v>
      </c>
      <c r="M1304" s="169" t="s">
        <v>281</v>
      </c>
      <c r="N1304" s="178">
        <v>40044085</v>
      </c>
      <c r="O1304" s="169" t="s">
        <v>886</v>
      </c>
      <c r="P1304" s="169" t="s">
        <v>283</v>
      </c>
      <c r="Q1304" s="169" t="s">
        <v>284</v>
      </c>
      <c r="R1304" s="169" t="s">
        <v>283</v>
      </c>
      <c r="S1304" s="169" t="s">
        <v>283</v>
      </c>
      <c r="T1304" s="169">
        <v>0</v>
      </c>
    </row>
    <row r="1305" spans="1:20" x14ac:dyDescent="0.2">
      <c r="B1305" s="167" t="str">
        <f>_xlfn.XLOOKUP(I1305,Mapping!D:D,Mapping!E:E)</f>
        <v>Cung Ứng</v>
      </c>
      <c r="C1305" s="167" t="str">
        <f>_xlfn.XLOOKUP(F1305,Mapping!A:A,Mapping!F:F)</f>
        <v>Thưởng</v>
      </c>
      <c r="D1305" s="173">
        <v>45869</v>
      </c>
      <c r="E1305" s="169" t="s">
        <v>884</v>
      </c>
      <c r="F1305" s="169" t="s">
        <v>292</v>
      </c>
      <c r="G1305" s="169" t="s">
        <v>77</v>
      </c>
      <c r="H1305" s="169" t="s">
        <v>380</v>
      </c>
      <c r="I1305" s="169" t="s">
        <v>381</v>
      </c>
      <c r="J1305" s="169" t="s">
        <v>887</v>
      </c>
      <c r="K1305" s="169" t="s">
        <v>881</v>
      </c>
      <c r="L1305" s="169" t="s">
        <v>882</v>
      </c>
      <c r="M1305" s="169" t="s">
        <v>281</v>
      </c>
      <c r="N1305" s="178">
        <v>34987056</v>
      </c>
      <c r="O1305" s="169" t="s">
        <v>886</v>
      </c>
      <c r="P1305" s="169" t="s">
        <v>283</v>
      </c>
      <c r="Q1305" s="169" t="s">
        <v>284</v>
      </c>
      <c r="R1305" s="169" t="s">
        <v>283</v>
      </c>
      <c r="S1305" s="169" t="s">
        <v>283</v>
      </c>
      <c r="T1305" s="169">
        <v>0</v>
      </c>
    </row>
    <row r="1306" spans="1:20" x14ac:dyDescent="0.2">
      <c r="B1306" s="167" t="str">
        <f>_xlfn.XLOOKUP(I1306,Mapping!D:D,Mapping!E:E)</f>
        <v>Mua Hàng &amp; XNK</v>
      </c>
      <c r="C1306" s="167" t="str">
        <f>_xlfn.XLOOKUP(F1306,Mapping!A:A,Mapping!F:F)</f>
        <v>Lương Chính +T13</v>
      </c>
      <c r="D1306" s="173">
        <v>45869</v>
      </c>
      <c r="E1306" s="169" t="s">
        <v>884</v>
      </c>
      <c r="F1306" s="169" t="s">
        <v>285</v>
      </c>
      <c r="G1306" s="169" t="s">
        <v>286</v>
      </c>
      <c r="H1306" s="169" t="s">
        <v>378</v>
      </c>
      <c r="I1306" s="169" t="s">
        <v>379</v>
      </c>
      <c r="J1306" s="169" t="s">
        <v>885</v>
      </c>
      <c r="K1306" s="169" t="s">
        <v>881</v>
      </c>
      <c r="L1306" s="169" t="s">
        <v>882</v>
      </c>
      <c r="M1306" s="169" t="s">
        <v>281</v>
      </c>
      <c r="N1306" s="178">
        <v>10877750</v>
      </c>
      <c r="O1306" s="169" t="s">
        <v>886</v>
      </c>
      <c r="P1306" s="169" t="s">
        <v>283</v>
      </c>
      <c r="Q1306" s="169" t="s">
        <v>284</v>
      </c>
      <c r="R1306" s="169" t="s">
        <v>283</v>
      </c>
      <c r="S1306" s="169" t="s">
        <v>283</v>
      </c>
      <c r="T1306" s="169">
        <v>0</v>
      </c>
    </row>
    <row r="1307" spans="1:20" x14ac:dyDescent="0.2">
      <c r="B1307" s="167" t="str">
        <f>_xlfn.XLOOKUP(I1307,Mapping!D:D,Mapping!E:E)</f>
        <v>Mua Hàng &amp; XNK</v>
      </c>
      <c r="C1307" s="167" t="str">
        <f>_xlfn.XLOOKUP(F1307,Mapping!A:A,Mapping!F:F)</f>
        <v>Thưởng</v>
      </c>
      <c r="D1307" s="173">
        <v>45869</v>
      </c>
      <c r="E1307" s="169" t="s">
        <v>884</v>
      </c>
      <c r="F1307" s="169" t="s">
        <v>292</v>
      </c>
      <c r="G1307" s="169" t="s">
        <v>77</v>
      </c>
      <c r="H1307" s="169" t="s">
        <v>378</v>
      </c>
      <c r="I1307" s="169" t="s">
        <v>379</v>
      </c>
      <c r="J1307" s="169" t="s">
        <v>887</v>
      </c>
      <c r="K1307" s="169" t="s">
        <v>881</v>
      </c>
      <c r="L1307" s="169" t="s">
        <v>882</v>
      </c>
      <c r="M1307" s="169" t="s">
        <v>281</v>
      </c>
      <c r="N1307" s="178">
        <v>10007443</v>
      </c>
      <c r="O1307" s="169" t="s">
        <v>886</v>
      </c>
      <c r="P1307" s="169" t="s">
        <v>283</v>
      </c>
      <c r="Q1307" s="169" t="s">
        <v>284</v>
      </c>
      <c r="R1307" s="169" t="s">
        <v>283</v>
      </c>
      <c r="S1307" s="169" t="s">
        <v>283</v>
      </c>
      <c r="T1307" s="169">
        <v>0</v>
      </c>
    </row>
    <row r="1308" spans="1:20" x14ac:dyDescent="0.2">
      <c r="B1308" s="167" t="str">
        <f>_xlfn.XLOOKUP(I1308,Mapping!D:D,Mapping!E:E)</f>
        <v>Kỹ Thuật</v>
      </c>
      <c r="C1308" s="167" t="str">
        <f>_xlfn.XLOOKUP(F1308,Mapping!A:A,Mapping!F:F)</f>
        <v>Lương Chính +T13</v>
      </c>
      <c r="D1308" s="173">
        <v>45869</v>
      </c>
      <c r="E1308" s="169" t="s">
        <v>884</v>
      </c>
      <c r="F1308" s="169" t="s">
        <v>388</v>
      </c>
      <c r="G1308" s="169" t="s">
        <v>286</v>
      </c>
      <c r="H1308" s="169" t="s">
        <v>376</v>
      </c>
      <c r="I1308" s="169" t="s">
        <v>377</v>
      </c>
      <c r="J1308" s="169" t="s">
        <v>885</v>
      </c>
      <c r="K1308" s="169" t="s">
        <v>881</v>
      </c>
      <c r="L1308" s="169" t="s">
        <v>882</v>
      </c>
      <c r="M1308" s="169" t="s">
        <v>281</v>
      </c>
      <c r="N1308" s="178">
        <v>88885167</v>
      </c>
      <c r="O1308" s="169" t="s">
        <v>886</v>
      </c>
      <c r="P1308" s="169" t="s">
        <v>283</v>
      </c>
      <c r="Q1308" s="169" t="s">
        <v>284</v>
      </c>
      <c r="R1308" s="169" t="s">
        <v>283</v>
      </c>
      <c r="S1308" s="169" t="s">
        <v>283</v>
      </c>
      <c r="T1308" s="169">
        <v>0</v>
      </c>
    </row>
    <row r="1309" spans="1:20" x14ac:dyDescent="0.2">
      <c r="B1309" s="167" t="str">
        <f>_xlfn.XLOOKUP(I1309,Mapping!D:D,Mapping!E:E)</f>
        <v>Kỹ Thuật</v>
      </c>
      <c r="C1309" s="167" t="str">
        <f>_xlfn.XLOOKUP(F1309,Mapping!A:A,Mapping!F:F)</f>
        <v>Thưởng</v>
      </c>
      <c r="D1309" s="173">
        <v>45869</v>
      </c>
      <c r="E1309" s="169" t="s">
        <v>884</v>
      </c>
      <c r="F1309" s="169" t="s">
        <v>395</v>
      </c>
      <c r="G1309" s="169" t="s">
        <v>77</v>
      </c>
      <c r="H1309" s="169" t="s">
        <v>376</v>
      </c>
      <c r="I1309" s="169" t="s">
        <v>377</v>
      </c>
      <c r="J1309" s="169" t="s">
        <v>887</v>
      </c>
      <c r="K1309" s="169" t="s">
        <v>881</v>
      </c>
      <c r="L1309" s="169" t="s">
        <v>882</v>
      </c>
      <c r="M1309" s="169" t="s">
        <v>281</v>
      </c>
      <c r="N1309" s="178">
        <v>81773642</v>
      </c>
      <c r="O1309" s="169" t="s">
        <v>886</v>
      </c>
      <c r="P1309" s="169" t="s">
        <v>283</v>
      </c>
      <c r="Q1309" s="169" t="s">
        <v>284</v>
      </c>
      <c r="R1309" s="169" t="s">
        <v>283</v>
      </c>
      <c r="S1309" s="169" t="s">
        <v>283</v>
      </c>
      <c r="T1309" s="169">
        <v>0</v>
      </c>
    </row>
    <row r="1310" spans="1:20" x14ac:dyDescent="0.2">
      <c r="B1310" s="167" t="str">
        <f>_xlfn.XLOOKUP(I1310,Mapping!D:D,Mapping!E:E)</f>
        <v>Kiểm Soát Chất Lượng</v>
      </c>
      <c r="C1310" s="167" t="str">
        <f>_xlfn.XLOOKUP(F1310,Mapping!A:A,Mapping!F:F)</f>
        <v>Lương Chính +T13</v>
      </c>
      <c r="D1310" s="173">
        <v>45869</v>
      </c>
      <c r="E1310" s="169" t="s">
        <v>884</v>
      </c>
      <c r="F1310" s="169" t="s">
        <v>388</v>
      </c>
      <c r="G1310" s="169" t="s">
        <v>286</v>
      </c>
      <c r="H1310" s="169" t="s">
        <v>411</v>
      </c>
      <c r="I1310" s="169" t="s">
        <v>412</v>
      </c>
      <c r="J1310" s="169" t="s">
        <v>885</v>
      </c>
      <c r="K1310" s="169" t="s">
        <v>881</v>
      </c>
      <c r="L1310" s="169" t="s">
        <v>882</v>
      </c>
      <c r="M1310" s="169" t="s">
        <v>281</v>
      </c>
      <c r="N1310" s="178">
        <v>40114417</v>
      </c>
      <c r="O1310" s="169" t="s">
        <v>886</v>
      </c>
      <c r="P1310" s="169" t="s">
        <v>283</v>
      </c>
      <c r="Q1310" s="169" t="s">
        <v>284</v>
      </c>
      <c r="R1310" s="169" t="s">
        <v>283</v>
      </c>
      <c r="S1310" s="169" t="s">
        <v>283</v>
      </c>
      <c r="T1310" s="169">
        <v>0</v>
      </c>
    </row>
    <row r="1311" spans="1:20" x14ac:dyDescent="0.2">
      <c r="B1311" s="167" t="str">
        <f>_xlfn.XLOOKUP(I1311,Mapping!D:D,Mapping!E:E)</f>
        <v>Kiểm Soát Chất Lượng</v>
      </c>
      <c r="C1311" s="167" t="str">
        <f>_xlfn.XLOOKUP(F1311,Mapping!A:A,Mapping!F:F)</f>
        <v>Thưởng</v>
      </c>
      <c r="D1311" s="173">
        <v>45869</v>
      </c>
      <c r="E1311" s="169" t="s">
        <v>884</v>
      </c>
      <c r="F1311" s="169" t="s">
        <v>395</v>
      </c>
      <c r="G1311" s="169" t="s">
        <v>77</v>
      </c>
      <c r="H1311" s="169" t="s">
        <v>411</v>
      </c>
      <c r="I1311" s="169" t="s">
        <v>412</v>
      </c>
      <c r="J1311" s="169" t="s">
        <v>887</v>
      </c>
      <c r="K1311" s="169" t="s">
        <v>881</v>
      </c>
      <c r="L1311" s="169" t="s">
        <v>882</v>
      </c>
      <c r="M1311" s="169" t="s">
        <v>281</v>
      </c>
      <c r="N1311" s="178">
        <v>36904942</v>
      </c>
      <c r="O1311" s="169" t="s">
        <v>886</v>
      </c>
      <c r="P1311" s="169" t="s">
        <v>283</v>
      </c>
      <c r="Q1311" s="169" t="s">
        <v>284</v>
      </c>
      <c r="R1311" s="169" t="s">
        <v>283</v>
      </c>
      <c r="S1311" s="169" t="s">
        <v>283</v>
      </c>
      <c r="T1311" s="169">
        <v>0</v>
      </c>
    </row>
    <row r="1312" spans="1:20" x14ac:dyDescent="0.2">
      <c r="B1312" s="167" t="str">
        <f>_xlfn.XLOOKUP(I1312,Mapping!D:D,Mapping!E:E)</f>
        <v>Nghiên Cứu &amp; Phát Triển</v>
      </c>
      <c r="C1312" s="167" t="str">
        <f>_xlfn.XLOOKUP(F1312,Mapping!A:A,Mapping!F:F)</f>
        <v>Lương Chính +T13</v>
      </c>
      <c r="D1312" s="173">
        <v>45869</v>
      </c>
      <c r="E1312" s="169" t="s">
        <v>884</v>
      </c>
      <c r="F1312" s="169" t="s">
        <v>388</v>
      </c>
      <c r="G1312" s="169" t="s">
        <v>286</v>
      </c>
      <c r="H1312" s="169" t="s">
        <v>418</v>
      </c>
      <c r="I1312" s="169" t="s">
        <v>419</v>
      </c>
      <c r="J1312" s="169" t="s">
        <v>885</v>
      </c>
      <c r="K1312" s="169" t="s">
        <v>881</v>
      </c>
      <c r="L1312" s="169" t="s">
        <v>882</v>
      </c>
      <c r="M1312" s="169" t="s">
        <v>281</v>
      </c>
      <c r="N1312" s="178">
        <v>14000000</v>
      </c>
      <c r="O1312" s="169" t="s">
        <v>886</v>
      </c>
      <c r="P1312" s="169" t="s">
        <v>283</v>
      </c>
      <c r="Q1312" s="169" t="s">
        <v>284</v>
      </c>
      <c r="R1312" s="169" t="s">
        <v>283</v>
      </c>
      <c r="S1312" s="169" t="s">
        <v>283</v>
      </c>
      <c r="T1312" s="169">
        <v>0</v>
      </c>
    </row>
    <row r="1313" spans="1:20" x14ac:dyDescent="0.2">
      <c r="B1313" s="167" t="str">
        <f>_xlfn.XLOOKUP(I1313,Mapping!D:D,Mapping!E:E)</f>
        <v>Nghiên Cứu &amp; Phát Triển</v>
      </c>
      <c r="C1313" s="167" t="str">
        <f>_xlfn.XLOOKUP(F1313,Mapping!A:A,Mapping!F:F)</f>
        <v>Thưởng</v>
      </c>
      <c r="D1313" s="173">
        <v>45869</v>
      </c>
      <c r="E1313" s="169" t="s">
        <v>884</v>
      </c>
      <c r="F1313" s="169" t="s">
        <v>395</v>
      </c>
      <c r="G1313" s="169" t="s">
        <v>77</v>
      </c>
      <c r="H1313" s="169" t="s">
        <v>418</v>
      </c>
      <c r="I1313" s="169" t="s">
        <v>419</v>
      </c>
      <c r="J1313" s="169" t="s">
        <v>887</v>
      </c>
      <c r="K1313" s="169" t="s">
        <v>881</v>
      </c>
      <c r="L1313" s="169" t="s">
        <v>882</v>
      </c>
      <c r="M1313" s="169" t="s">
        <v>281</v>
      </c>
      <c r="N1313" s="178">
        <v>12879888</v>
      </c>
      <c r="O1313" s="169" t="s">
        <v>886</v>
      </c>
      <c r="P1313" s="169" t="s">
        <v>283</v>
      </c>
      <c r="Q1313" s="169" t="s">
        <v>284</v>
      </c>
      <c r="R1313" s="169" t="s">
        <v>283</v>
      </c>
      <c r="S1313" s="169" t="s">
        <v>283</v>
      </c>
      <c r="T1313" s="169">
        <v>0</v>
      </c>
    </row>
    <row r="1314" spans="1:20" x14ac:dyDescent="0.2">
      <c r="A1314" s="169">
        <v>627</v>
      </c>
      <c r="B1314" s="167" t="str">
        <f>_xlfn.XLOOKUP(I1314,Mapping!D:D,Mapping!E:E)</f>
        <v>Xưởng Sản Xuất</v>
      </c>
      <c r="C1314" s="167" t="str">
        <f>_xlfn.XLOOKUP(F1314,Mapping!A:A,Mapping!F:F)</f>
        <v>Lương Chính +T13</v>
      </c>
      <c r="D1314" s="173">
        <v>45869</v>
      </c>
      <c r="E1314" s="169" t="s">
        <v>884</v>
      </c>
      <c r="F1314" s="169" t="s">
        <v>388</v>
      </c>
      <c r="G1314" s="169" t="s">
        <v>286</v>
      </c>
      <c r="H1314" s="169" t="s">
        <v>402</v>
      </c>
      <c r="I1314" s="169" t="s">
        <v>403</v>
      </c>
      <c r="J1314" s="169" t="s">
        <v>885</v>
      </c>
      <c r="K1314" s="169" t="s">
        <v>881</v>
      </c>
      <c r="L1314" s="169" t="s">
        <v>882</v>
      </c>
      <c r="M1314" s="169" t="s">
        <v>281</v>
      </c>
      <c r="N1314" s="178">
        <v>36341838</v>
      </c>
      <c r="O1314" s="169" t="s">
        <v>886</v>
      </c>
      <c r="P1314" s="169" t="s">
        <v>283</v>
      </c>
      <c r="Q1314" s="169" t="s">
        <v>284</v>
      </c>
      <c r="R1314" s="169" t="s">
        <v>283</v>
      </c>
      <c r="S1314" s="169" t="s">
        <v>283</v>
      </c>
      <c r="T1314" s="169">
        <v>0</v>
      </c>
    </row>
    <row r="1315" spans="1:20" x14ac:dyDescent="0.2">
      <c r="A1315" s="169">
        <v>622</v>
      </c>
      <c r="B1315" s="167" t="str">
        <f>_xlfn.XLOOKUP(I1315,Mapping!D:D,Mapping!E:E)</f>
        <v>Xưởng Sản Xuất</v>
      </c>
      <c r="C1315" s="167" t="str">
        <f>_xlfn.XLOOKUP(F1315,Mapping!A:A,Mapping!F:F)</f>
        <v>Lương Chính +T13</v>
      </c>
      <c r="D1315" s="173">
        <v>45869</v>
      </c>
      <c r="E1315" s="169" t="s">
        <v>884</v>
      </c>
      <c r="F1315" s="169" t="s">
        <v>420</v>
      </c>
      <c r="G1315" s="169" t="s">
        <v>286</v>
      </c>
      <c r="H1315" s="169" t="s">
        <v>402</v>
      </c>
      <c r="I1315" s="169" t="s">
        <v>403</v>
      </c>
      <c r="J1315" s="169" t="s">
        <v>885</v>
      </c>
      <c r="K1315" s="169" t="s">
        <v>881</v>
      </c>
      <c r="L1315" s="169" t="s">
        <v>882</v>
      </c>
      <c r="M1315" s="169" t="s">
        <v>281</v>
      </c>
      <c r="N1315" s="178">
        <v>101850341</v>
      </c>
      <c r="O1315" s="169" t="s">
        <v>886</v>
      </c>
      <c r="P1315" s="169" t="s">
        <v>283</v>
      </c>
      <c r="Q1315" s="169" t="s">
        <v>284</v>
      </c>
      <c r="R1315" s="169" t="s">
        <v>283</v>
      </c>
      <c r="S1315" s="169" t="s">
        <v>283</v>
      </c>
      <c r="T1315" s="169">
        <v>0</v>
      </c>
    </row>
    <row r="1316" spans="1:20" x14ac:dyDescent="0.2">
      <c r="A1316" s="169">
        <v>627</v>
      </c>
      <c r="B1316" s="167" t="str">
        <f>_xlfn.XLOOKUP(I1316,Mapping!D:D,Mapping!E:E)</f>
        <v>Xưởng Sản Xuất</v>
      </c>
      <c r="C1316" s="167" t="str">
        <f>_xlfn.XLOOKUP(F1316,Mapping!A:A,Mapping!F:F)</f>
        <v>Thưởng</v>
      </c>
      <c r="D1316" s="173">
        <v>45869</v>
      </c>
      <c r="E1316" s="169" t="s">
        <v>884</v>
      </c>
      <c r="F1316" s="169" t="s">
        <v>395</v>
      </c>
      <c r="G1316" s="169" t="s">
        <v>77</v>
      </c>
      <c r="H1316" s="169" t="s">
        <v>402</v>
      </c>
      <c r="I1316" s="169" t="s">
        <v>403</v>
      </c>
      <c r="J1316" s="169" t="s">
        <v>887</v>
      </c>
      <c r="K1316" s="169" t="s">
        <v>881</v>
      </c>
      <c r="L1316" s="169" t="s">
        <v>882</v>
      </c>
      <c r="M1316" s="169" t="s">
        <v>281</v>
      </c>
      <c r="N1316" s="178">
        <v>32673439</v>
      </c>
      <c r="O1316" s="169" t="s">
        <v>886</v>
      </c>
      <c r="P1316" s="169" t="s">
        <v>283</v>
      </c>
      <c r="Q1316" s="169" t="s">
        <v>284</v>
      </c>
      <c r="R1316" s="169" t="s">
        <v>283</v>
      </c>
      <c r="S1316" s="169" t="s">
        <v>283</v>
      </c>
      <c r="T1316" s="169">
        <v>0</v>
      </c>
    </row>
    <row r="1317" spans="1:20" x14ac:dyDescent="0.2">
      <c r="A1317" s="169">
        <v>622</v>
      </c>
      <c r="B1317" s="167" t="str">
        <f>_xlfn.XLOOKUP(I1317,Mapping!D:D,Mapping!E:E)</f>
        <v>Xưởng Sản Xuất</v>
      </c>
      <c r="C1317" s="167" t="str">
        <f>_xlfn.XLOOKUP(F1317,Mapping!A:A,Mapping!F:F)</f>
        <v>Thưởng</v>
      </c>
      <c r="D1317" s="173">
        <v>45869</v>
      </c>
      <c r="E1317" s="169" t="s">
        <v>884</v>
      </c>
      <c r="F1317" s="169" t="s">
        <v>426</v>
      </c>
      <c r="G1317" s="169" t="s">
        <v>77</v>
      </c>
      <c r="H1317" s="169" t="s">
        <v>402</v>
      </c>
      <c r="I1317" s="169" t="s">
        <v>403</v>
      </c>
      <c r="J1317" s="169" t="s">
        <v>887</v>
      </c>
      <c r="K1317" s="169" t="s">
        <v>881</v>
      </c>
      <c r="L1317" s="169" t="s">
        <v>882</v>
      </c>
      <c r="M1317" s="169" t="s">
        <v>281</v>
      </c>
      <c r="N1317" s="178">
        <v>23790880</v>
      </c>
      <c r="O1317" s="169" t="s">
        <v>886</v>
      </c>
      <c r="P1317" s="169" t="s">
        <v>283</v>
      </c>
      <c r="Q1317" s="169" t="s">
        <v>284</v>
      </c>
      <c r="R1317" s="169" t="s">
        <v>283</v>
      </c>
      <c r="S1317" s="169" t="s">
        <v>283</v>
      </c>
      <c r="T1317" s="169">
        <v>0</v>
      </c>
    </row>
    <row r="1318" spans="1:20" x14ac:dyDescent="0.2">
      <c r="B1318" s="167" t="str">
        <f>_xlfn.XLOOKUP(I1318,Mapping!D:D,Mapping!E:E)</f>
        <v>Cung Ứng</v>
      </c>
      <c r="C1318" s="167" t="str">
        <f>_xlfn.XLOOKUP(F1318,Mapping!A:A,Mapping!F:F)</f>
        <v>BHXH, BHYT, KPCĐ</v>
      </c>
      <c r="D1318" s="173">
        <v>45869</v>
      </c>
      <c r="E1318" s="169" t="s">
        <v>888</v>
      </c>
      <c r="F1318" s="169" t="s">
        <v>295</v>
      </c>
      <c r="G1318" s="169" t="s">
        <v>296</v>
      </c>
      <c r="H1318" s="169" t="s">
        <v>380</v>
      </c>
      <c r="I1318" s="169" t="s">
        <v>381</v>
      </c>
      <c r="J1318" s="169" t="s">
        <v>889</v>
      </c>
      <c r="K1318" s="169" t="s">
        <v>881</v>
      </c>
      <c r="L1318" s="169" t="s">
        <v>882</v>
      </c>
      <c r="M1318" s="169" t="s">
        <v>281</v>
      </c>
      <c r="N1318" s="178">
        <v>108285885</v>
      </c>
      <c r="O1318" s="169" t="s">
        <v>890</v>
      </c>
      <c r="P1318" s="169" t="s">
        <v>283</v>
      </c>
      <c r="Q1318" s="169" t="s">
        <v>284</v>
      </c>
      <c r="R1318" s="169" t="s">
        <v>283</v>
      </c>
      <c r="S1318" s="169" t="s">
        <v>283</v>
      </c>
      <c r="T1318" s="169">
        <v>0</v>
      </c>
    </row>
    <row r="1319" spans="1:20" x14ac:dyDescent="0.2">
      <c r="B1319" s="167" t="str">
        <f>_xlfn.XLOOKUP(I1319,Mapping!D:D,Mapping!E:E)</f>
        <v>Mua Hàng &amp; XNK</v>
      </c>
      <c r="C1319" s="167" t="str">
        <f>_xlfn.XLOOKUP(F1319,Mapping!A:A,Mapping!F:F)</f>
        <v>BHXH, BHYT, KPCĐ</v>
      </c>
      <c r="D1319" s="173">
        <v>45869</v>
      </c>
      <c r="E1319" s="169" t="s">
        <v>888</v>
      </c>
      <c r="F1319" s="169" t="s">
        <v>295</v>
      </c>
      <c r="G1319" s="169" t="s">
        <v>296</v>
      </c>
      <c r="H1319" s="169" t="s">
        <v>378</v>
      </c>
      <c r="I1319" s="169" t="s">
        <v>379</v>
      </c>
      <c r="J1319" s="169" t="s">
        <v>889</v>
      </c>
      <c r="K1319" s="169" t="s">
        <v>881</v>
      </c>
      <c r="L1319" s="169" t="s">
        <v>882</v>
      </c>
      <c r="M1319" s="169" t="s">
        <v>281</v>
      </c>
      <c r="N1319" s="178">
        <v>27620255</v>
      </c>
      <c r="O1319" s="169" t="s">
        <v>890</v>
      </c>
      <c r="P1319" s="169" t="s">
        <v>283</v>
      </c>
      <c r="Q1319" s="169" t="s">
        <v>284</v>
      </c>
      <c r="R1319" s="169" t="s">
        <v>283</v>
      </c>
      <c r="S1319" s="169" t="s">
        <v>283</v>
      </c>
      <c r="T1319" s="169">
        <v>0</v>
      </c>
    </row>
    <row r="1320" spans="1:20" x14ac:dyDescent="0.2">
      <c r="B1320" s="167" t="str">
        <f>_xlfn.XLOOKUP(I1320,Mapping!D:D,Mapping!E:E)</f>
        <v>Kỹ Thuật</v>
      </c>
      <c r="C1320" s="167" t="str">
        <f>_xlfn.XLOOKUP(F1320,Mapping!A:A,Mapping!F:F)</f>
        <v>BHXH, BHYT, KPCĐ</v>
      </c>
      <c r="D1320" s="173">
        <v>45869</v>
      </c>
      <c r="E1320" s="169" t="s">
        <v>888</v>
      </c>
      <c r="F1320" s="169" t="s">
        <v>393</v>
      </c>
      <c r="G1320" s="169" t="s">
        <v>296</v>
      </c>
      <c r="H1320" s="169" t="s">
        <v>376</v>
      </c>
      <c r="I1320" s="169" t="s">
        <v>377</v>
      </c>
      <c r="J1320" s="169" t="s">
        <v>889</v>
      </c>
      <c r="K1320" s="169" t="s">
        <v>881</v>
      </c>
      <c r="L1320" s="169" t="s">
        <v>882</v>
      </c>
      <c r="M1320" s="169" t="s">
        <v>281</v>
      </c>
      <c r="N1320" s="178">
        <v>242548670</v>
      </c>
      <c r="O1320" s="169" t="s">
        <v>890</v>
      </c>
      <c r="P1320" s="169" t="s">
        <v>283</v>
      </c>
      <c r="Q1320" s="169" t="s">
        <v>284</v>
      </c>
      <c r="R1320" s="169" t="s">
        <v>283</v>
      </c>
      <c r="S1320" s="169" t="s">
        <v>283</v>
      </c>
      <c r="T1320" s="169">
        <v>0</v>
      </c>
    </row>
    <row r="1321" spans="1:20" x14ac:dyDescent="0.2">
      <c r="B1321" s="167" t="str">
        <f>_xlfn.XLOOKUP(I1321,Mapping!D:D,Mapping!E:E)</f>
        <v>Kiểm Soát Chất Lượng</v>
      </c>
      <c r="C1321" s="167" t="str">
        <f>_xlfn.XLOOKUP(F1321,Mapping!A:A,Mapping!F:F)</f>
        <v>BHXH, BHYT, KPCĐ</v>
      </c>
      <c r="D1321" s="173">
        <v>45869</v>
      </c>
      <c r="E1321" s="169" t="s">
        <v>888</v>
      </c>
      <c r="F1321" s="169" t="s">
        <v>393</v>
      </c>
      <c r="G1321" s="169" t="s">
        <v>296</v>
      </c>
      <c r="H1321" s="169" t="s">
        <v>411</v>
      </c>
      <c r="I1321" s="169" t="s">
        <v>412</v>
      </c>
      <c r="J1321" s="169" t="s">
        <v>889</v>
      </c>
      <c r="K1321" s="169" t="s">
        <v>881</v>
      </c>
      <c r="L1321" s="169" t="s">
        <v>882</v>
      </c>
      <c r="M1321" s="169" t="s">
        <v>281</v>
      </c>
      <c r="N1321" s="178">
        <v>104897655</v>
      </c>
      <c r="O1321" s="169" t="s">
        <v>890</v>
      </c>
      <c r="P1321" s="169" t="s">
        <v>283</v>
      </c>
      <c r="Q1321" s="169" t="s">
        <v>284</v>
      </c>
      <c r="R1321" s="169" t="s">
        <v>283</v>
      </c>
      <c r="S1321" s="169" t="s">
        <v>283</v>
      </c>
      <c r="T1321" s="169">
        <v>0</v>
      </c>
    </row>
    <row r="1322" spans="1:20" x14ac:dyDescent="0.2">
      <c r="B1322" s="167" t="str">
        <f>_xlfn.XLOOKUP(I1322,Mapping!D:D,Mapping!E:E)</f>
        <v>Nghiên Cứu &amp; Phát Triển</v>
      </c>
      <c r="C1322" s="167" t="str">
        <f>_xlfn.XLOOKUP(F1322,Mapping!A:A,Mapping!F:F)</f>
        <v>BHXH, BHYT, KPCĐ</v>
      </c>
      <c r="D1322" s="173">
        <v>45869</v>
      </c>
      <c r="E1322" s="169" t="s">
        <v>888</v>
      </c>
      <c r="F1322" s="169" t="s">
        <v>393</v>
      </c>
      <c r="G1322" s="169" t="s">
        <v>296</v>
      </c>
      <c r="H1322" s="169" t="s">
        <v>418</v>
      </c>
      <c r="I1322" s="169" t="s">
        <v>419</v>
      </c>
      <c r="J1322" s="169" t="s">
        <v>889</v>
      </c>
      <c r="K1322" s="169" t="s">
        <v>881</v>
      </c>
      <c r="L1322" s="169" t="s">
        <v>882</v>
      </c>
      <c r="M1322" s="169" t="s">
        <v>281</v>
      </c>
      <c r="N1322" s="178">
        <v>24687500</v>
      </c>
      <c r="O1322" s="169" t="s">
        <v>890</v>
      </c>
      <c r="P1322" s="169" t="s">
        <v>283</v>
      </c>
      <c r="Q1322" s="169" t="s">
        <v>284</v>
      </c>
      <c r="R1322" s="169" t="s">
        <v>283</v>
      </c>
      <c r="S1322" s="169" t="s">
        <v>283</v>
      </c>
      <c r="T1322" s="169">
        <v>0</v>
      </c>
    </row>
    <row r="1323" spans="1:20" x14ac:dyDescent="0.2">
      <c r="A1323" s="169">
        <v>622</v>
      </c>
      <c r="B1323" s="167" t="str">
        <f>_xlfn.XLOOKUP(I1323,Mapping!D:D,Mapping!E:E)</f>
        <v>Xưởng Sản Xuất</v>
      </c>
      <c r="C1323" s="167" t="str">
        <f>_xlfn.XLOOKUP(F1323,Mapping!A:A,Mapping!F:F)</f>
        <v>BHXH, BHYT, KPCĐ</v>
      </c>
      <c r="D1323" s="173">
        <v>45869</v>
      </c>
      <c r="E1323" s="169" t="s">
        <v>888</v>
      </c>
      <c r="F1323" s="169" t="s">
        <v>425</v>
      </c>
      <c r="G1323" s="169" t="s">
        <v>296</v>
      </c>
      <c r="H1323" s="169" t="s">
        <v>402</v>
      </c>
      <c r="I1323" s="169" t="s">
        <v>403</v>
      </c>
      <c r="J1323" s="169" t="s">
        <v>889</v>
      </c>
      <c r="K1323" s="169" t="s">
        <v>881</v>
      </c>
      <c r="L1323" s="169" t="s">
        <v>882</v>
      </c>
      <c r="M1323" s="169" t="s">
        <v>281</v>
      </c>
      <c r="N1323" s="178">
        <v>244464700</v>
      </c>
      <c r="O1323" s="169" t="s">
        <v>890</v>
      </c>
      <c r="P1323" s="169" t="s">
        <v>283</v>
      </c>
      <c r="Q1323" s="169" t="s">
        <v>284</v>
      </c>
      <c r="R1323" s="169" t="s">
        <v>283</v>
      </c>
      <c r="S1323" s="169" t="s">
        <v>283</v>
      </c>
      <c r="T1323" s="169">
        <v>0</v>
      </c>
    </row>
    <row r="1324" spans="1:20" x14ac:dyDescent="0.2">
      <c r="A1324" s="169">
        <v>622</v>
      </c>
      <c r="B1324" s="167" t="str">
        <f>_xlfn.XLOOKUP(I1324,Mapping!D:D,Mapping!E:E)</f>
        <v>Xưởng Sản Xuất</v>
      </c>
      <c r="C1324" s="167" t="str">
        <f>_xlfn.XLOOKUP(F1324,Mapping!A:A,Mapping!F:F)</f>
        <v>BHXH, BHYT, KPCĐ</v>
      </c>
      <c r="D1324" s="173">
        <v>45869</v>
      </c>
      <c r="E1324" s="169" t="s">
        <v>891</v>
      </c>
      <c r="F1324" s="169" t="s">
        <v>425</v>
      </c>
      <c r="G1324" s="169" t="s">
        <v>296</v>
      </c>
      <c r="H1324" s="169" t="s">
        <v>402</v>
      </c>
      <c r="I1324" s="169" t="s">
        <v>403</v>
      </c>
      <c r="J1324" s="169" t="s">
        <v>892</v>
      </c>
      <c r="K1324" s="169" t="s">
        <v>881</v>
      </c>
      <c r="L1324" s="169" t="s">
        <v>882</v>
      </c>
      <c r="M1324" s="169" t="s">
        <v>281</v>
      </c>
      <c r="N1324" s="178">
        <v>-332350</v>
      </c>
      <c r="O1324" s="169" t="s">
        <v>893</v>
      </c>
      <c r="P1324" s="169" t="s">
        <v>283</v>
      </c>
      <c r="Q1324" s="169" t="s">
        <v>284</v>
      </c>
      <c r="R1324" s="169" t="s">
        <v>283</v>
      </c>
      <c r="S1324" s="169" t="s">
        <v>283</v>
      </c>
      <c r="T1324" s="169">
        <v>0</v>
      </c>
    </row>
    <row r="1325" spans="1:20" x14ac:dyDescent="0.2">
      <c r="B1325" s="167" t="str">
        <f>_xlfn.XLOOKUP(I1325,Mapping!D:D,Mapping!E:E)</f>
        <v>Kiểm Soát Chất Lượng</v>
      </c>
      <c r="C1325" s="167" t="str">
        <f>_xlfn.XLOOKUP(F1325,Mapping!A:A,Mapping!F:F)</f>
        <v>BHXH, BHYT, KPCĐ</v>
      </c>
      <c r="D1325" s="173">
        <v>45869</v>
      </c>
      <c r="E1325" s="169" t="s">
        <v>938</v>
      </c>
      <c r="F1325" s="169" t="s">
        <v>393</v>
      </c>
      <c r="G1325" s="169" t="s">
        <v>296</v>
      </c>
      <c r="H1325" s="169" t="s">
        <v>411</v>
      </c>
      <c r="I1325" s="169" t="s">
        <v>412</v>
      </c>
      <c r="J1325" s="169" t="s">
        <v>889</v>
      </c>
      <c r="K1325" s="169" t="s">
        <v>881</v>
      </c>
      <c r="L1325" s="169" t="s">
        <v>882</v>
      </c>
      <c r="M1325" s="169" t="s">
        <v>281</v>
      </c>
      <c r="N1325" s="178">
        <v>3996880</v>
      </c>
      <c r="O1325" s="169" t="s">
        <v>939</v>
      </c>
      <c r="P1325" s="169" t="s">
        <v>283</v>
      </c>
      <c r="Q1325" s="169" t="s">
        <v>284</v>
      </c>
      <c r="R1325" s="169" t="s">
        <v>283</v>
      </c>
      <c r="S1325" s="169" t="s">
        <v>283</v>
      </c>
      <c r="T1325" s="169">
        <v>0</v>
      </c>
    </row>
    <row r="1326" spans="1:20" x14ac:dyDescent="0.2">
      <c r="B1326" s="167" t="str">
        <f>_xlfn.XLOOKUP(I1326,Mapping!D:D,Mapping!E:E)</f>
        <v>Nghiên Cứu &amp; Phát Triển</v>
      </c>
      <c r="C1326" s="167" t="str">
        <f>_xlfn.XLOOKUP(F1326,Mapping!A:A,Mapping!F:F)</f>
        <v>BHXH, BHYT, KPCĐ</v>
      </c>
      <c r="D1326" s="173">
        <v>45869</v>
      </c>
      <c r="E1326" s="169" t="s">
        <v>938</v>
      </c>
      <c r="F1326" s="169" t="s">
        <v>393</v>
      </c>
      <c r="G1326" s="169" t="s">
        <v>296</v>
      </c>
      <c r="H1326" s="169" t="s">
        <v>418</v>
      </c>
      <c r="I1326" s="169" t="s">
        <v>419</v>
      </c>
      <c r="J1326" s="169" t="s">
        <v>889</v>
      </c>
      <c r="K1326" s="169" t="s">
        <v>881</v>
      </c>
      <c r="L1326" s="169" t="s">
        <v>882</v>
      </c>
      <c r="M1326" s="169" t="s">
        <v>281</v>
      </c>
      <c r="N1326" s="178">
        <v>3591975</v>
      </c>
      <c r="O1326" s="169" t="s">
        <v>939</v>
      </c>
      <c r="P1326" s="169" t="s">
        <v>283</v>
      </c>
      <c r="Q1326" s="169" t="s">
        <v>284</v>
      </c>
      <c r="R1326" s="169" t="s">
        <v>283</v>
      </c>
      <c r="S1326" s="169" t="s">
        <v>283</v>
      </c>
      <c r="T1326" s="169">
        <v>0</v>
      </c>
    </row>
    <row r="1327" spans="1:20" x14ac:dyDescent="0.2">
      <c r="A1327" s="169">
        <v>622</v>
      </c>
      <c r="B1327" s="167" t="str">
        <f>_xlfn.XLOOKUP(I1327,Mapping!D:D,Mapping!E:E)</f>
        <v>Xưởng Sản Xuất</v>
      </c>
      <c r="C1327" s="167" t="str">
        <f>_xlfn.XLOOKUP(F1327,Mapping!A:A,Mapping!F:F)</f>
        <v>BHXH, BHYT, KPCĐ</v>
      </c>
      <c r="D1327" s="173">
        <v>45869</v>
      </c>
      <c r="E1327" s="169" t="s">
        <v>938</v>
      </c>
      <c r="F1327" s="169" t="s">
        <v>425</v>
      </c>
      <c r="G1327" s="169" t="s">
        <v>296</v>
      </c>
      <c r="H1327" s="169" t="s">
        <v>402</v>
      </c>
      <c r="I1327" s="169" t="s">
        <v>403</v>
      </c>
      <c r="J1327" s="169" t="s">
        <v>889</v>
      </c>
      <c r="K1327" s="169" t="s">
        <v>881</v>
      </c>
      <c r="L1327" s="169" t="s">
        <v>882</v>
      </c>
      <c r="M1327" s="169" t="s">
        <v>281</v>
      </c>
      <c r="N1327" s="178">
        <v>1198500</v>
      </c>
      <c r="O1327" s="169" t="s">
        <v>939</v>
      </c>
      <c r="P1327" s="169" t="s">
        <v>283</v>
      </c>
      <c r="Q1327" s="169" t="s">
        <v>284</v>
      </c>
      <c r="R1327" s="169" t="s">
        <v>283</v>
      </c>
      <c r="S1327" s="169" t="s">
        <v>283</v>
      </c>
      <c r="T1327" s="169">
        <v>0</v>
      </c>
    </row>
    <row r="1328" spans="1:20" x14ac:dyDescent="0.2">
      <c r="A1328" s="169">
        <v>622</v>
      </c>
      <c r="B1328" s="167" t="str">
        <f>_xlfn.XLOOKUP(I1328,Mapping!D:D,Mapping!E:E)</f>
        <v>Xưởng Sản Xuất</v>
      </c>
      <c r="C1328" s="167" t="str">
        <f>_xlfn.XLOOKUP(F1328,Mapping!A:A,Mapping!F:F)</f>
        <v>BHXH, BHYT, KPCĐ</v>
      </c>
      <c r="D1328" s="173">
        <v>45869</v>
      </c>
      <c r="E1328" s="169" t="s">
        <v>938</v>
      </c>
      <c r="F1328" s="169" t="s">
        <v>425</v>
      </c>
      <c r="G1328" s="169" t="s">
        <v>296</v>
      </c>
      <c r="H1328" s="169" t="s">
        <v>402</v>
      </c>
      <c r="I1328" s="169" t="s">
        <v>403</v>
      </c>
      <c r="J1328" s="169" t="s">
        <v>889</v>
      </c>
      <c r="K1328" s="169" t="s">
        <v>881</v>
      </c>
      <c r="L1328" s="169" t="s">
        <v>882</v>
      </c>
      <c r="M1328" s="169" t="s">
        <v>281</v>
      </c>
      <c r="N1328" s="178">
        <v>4794000</v>
      </c>
      <c r="O1328" s="169" t="s">
        <v>939</v>
      </c>
      <c r="P1328" s="169" t="s">
        <v>283</v>
      </c>
      <c r="Q1328" s="169" t="s">
        <v>284</v>
      </c>
      <c r="R1328" s="169" t="s">
        <v>283</v>
      </c>
      <c r="S1328" s="169" t="s">
        <v>283</v>
      </c>
      <c r="T1328" s="169">
        <v>0</v>
      </c>
    </row>
    <row r="1329" spans="1:20" x14ac:dyDescent="0.2">
      <c r="A1329" s="169">
        <v>622</v>
      </c>
      <c r="B1329" s="167" t="str">
        <f>_xlfn.XLOOKUP(I1329,Mapping!D:D,Mapping!E:E)</f>
        <v>Xưởng Sản Xuất</v>
      </c>
      <c r="C1329" s="167" t="str">
        <f>_xlfn.XLOOKUP(F1329,Mapping!A:A,Mapping!F:F)</f>
        <v>Lương Chính +T13</v>
      </c>
      <c r="D1329" s="173">
        <v>45869</v>
      </c>
      <c r="E1329" s="169" t="s">
        <v>940</v>
      </c>
      <c r="F1329" s="169" t="s">
        <v>400</v>
      </c>
      <c r="G1329" s="169" t="s">
        <v>401</v>
      </c>
      <c r="H1329" s="169" t="s">
        <v>402</v>
      </c>
      <c r="I1329" s="169" t="s">
        <v>403</v>
      </c>
      <c r="J1329" s="169" t="s">
        <v>941</v>
      </c>
      <c r="K1329" s="169" t="s">
        <v>405</v>
      </c>
      <c r="L1329" s="169" t="s">
        <v>882</v>
      </c>
      <c r="M1329" s="169" t="s">
        <v>281</v>
      </c>
      <c r="N1329" s="178">
        <v>536849167</v>
      </c>
      <c r="O1329" s="169" t="s">
        <v>942</v>
      </c>
      <c r="P1329" s="169" t="s">
        <v>283</v>
      </c>
      <c r="Q1329" s="169" t="s">
        <v>306</v>
      </c>
      <c r="R1329" s="169" t="s">
        <v>283</v>
      </c>
      <c r="S1329" s="169" t="s">
        <v>283</v>
      </c>
      <c r="T1329" s="169">
        <v>0</v>
      </c>
    </row>
    <row r="1330" spans="1:20" x14ac:dyDescent="0.2">
      <c r="A1330" s="169">
        <v>622</v>
      </c>
      <c r="B1330" s="167" t="str">
        <f>_xlfn.XLOOKUP(I1330,Mapping!D:D,Mapping!E:E)</f>
        <v>Xưởng Sản Xuất</v>
      </c>
      <c r="C1330" s="167" t="str">
        <f>_xlfn.XLOOKUP(F1330,Mapping!A:A,Mapping!F:F)</f>
        <v>Lương Chính +T13</v>
      </c>
      <c r="D1330" s="173">
        <v>45869</v>
      </c>
      <c r="E1330" s="169" t="s">
        <v>900</v>
      </c>
      <c r="F1330" s="169" t="s">
        <v>400</v>
      </c>
      <c r="G1330" s="169" t="s">
        <v>401</v>
      </c>
      <c r="H1330" s="169" t="s">
        <v>402</v>
      </c>
      <c r="I1330" s="169" t="s">
        <v>403</v>
      </c>
      <c r="J1330" s="169" t="s">
        <v>901</v>
      </c>
      <c r="K1330" s="169" t="s">
        <v>405</v>
      </c>
      <c r="L1330" s="169" t="s">
        <v>882</v>
      </c>
      <c r="M1330" s="169" t="s">
        <v>281</v>
      </c>
      <c r="N1330" s="178">
        <v>280273150</v>
      </c>
      <c r="O1330" s="169" t="s">
        <v>902</v>
      </c>
      <c r="P1330" s="169" t="s">
        <v>283</v>
      </c>
      <c r="Q1330" s="169" t="s">
        <v>306</v>
      </c>
      <c r="R1330" s="169" t="s">
        <v>283</v>
      </c>
      <c r="S1330" s="169" t="s">
        <v>283</v>
      </c>
      <c r="T1330" s="169">
        <v>0</v>
      </c>
    </row>
    <row r="1331" spans="1:20" x14ac:dyDescent="0.2">
      <c r="A1331" s="169">
        <v>622</v>
      </c>
      <c r="B1331" s="167" t="str">
        <f>_xlfn.XLOOKUP(I1331,Mapping!D:D,Mapping!E:E)</f>
        <v>Xưởng Sản Xuất</v>
      </c>
      <c r="C1331" s="167" t="str">
        <f>_xlfn.XLOOKUP(F1331,Mapping!A:A,Mapping!F:F)</f>
        <v>Phụ Cấp</v>
      </c>
      <c r="D1331" s="173">
        <v>45869</v>
      </c>
      <c r="E1331" s="169" t="s">
        <v>943</v>
      </c>
      <c r="F1331" s="169" t="s">
        <v>414</v>
      </c>
      <c r="G1331" s="169" t="s">
        <v>415</v>
      </c>
      <c r="H1331" s="169" t="s">
        <v>402</v>
      </c>
      <c r="I1331" s="169" t="s">
        <v>403</v>
      </c>
      <c r="J1331" s="169" t="s">
        <v>416</v>
      </c>
      <c r="K1331" s="169" t="s">
        <v>416</v>
      </c>
      <c r="L1331" s="169" t="s">
        <v>882</v>
      </c>
      <c r="M1331" s="169" t="s">
        <v>281</v>
      </c>
      <c r="N1331" s="178">
        <v>134200000</v>
      </c>
      <c r="O1331" s="169" t="s">
        <v>944</v>
      </c>
      <c r="P1331" s="169" t="s">
        <v>283</v>
      </c>
      <c r="Q1331" s="169" t="s">
        <v>348</v>
      </c>
      <c r="R1331" s="169" t="s">
        <v>283</v>
      </c>
      <c r="S1331" s="169" t="s">
        <v>283</v>
      </c>
      <c r="T1331" s="169">
        <v>0</v>
      </c>
    </row>
    <row r="1332" spans="1:20" x14ac:dyDescent="0.2">
      <c r="A1332" s="169">
        <v>627</v>
      </c>
      <c r="B1332" s="167" t="str">
        <f>_xlfn.XLOOKUP(I1332,Mapping!D:D,Mapping!E:E)</f>
        <v>Xưởng Sản Xuất</v>
      </c>
      <c r="C1332" s="167" t="str">
        <f>_xlfn.XLOOKUP(F1332,Mapping!A:A,Mapping!F:F)</f>
        <v>Phụ Cấp</v>
      </c>
      <c r="D1332" s="173">
        <v>45869</v>
      </c>
      <c r="E1332" s="169" t="s">
        <v>943</v>
      </c>
      <c r="F1332" s="169" t="s">
        <v>375</v>
      </c>
      <c r="G1332" s="169" t="s">
        <v>336</v>
      </c>
      <c r="H1332" s="169" t="s">
        <v>402</v>
      </c>
      <c r="I1332" s="169" t="s">
        <v>403</v>
      </c>
      <c r="J1332" s="169" t="s">
        <v>416</v>
      </c>
      <c r="K1332" s="169" t="s">
        <v>416</v>
      </c>
      <c r="L1332" s="169" t="s">
        <v>882</v>
      </c>
      <c r="M1332" s="169" t="s">
        <v>281</v>
      </c>
      <c r="N1332" s="178">
        <v>-134200000</v>
      </c>
      <c r="O1332" s="169" t="s">
        <v>944</v>
      </c>
      <c r="P1332" s="169" t="s">
        <v>283</v>
      </c>
      <c r="Q1332" s="169" t="s">
        <v>348</v>
      </c>
      <c r="R1332" s="169" t="s">
        <v>283</v>
      </c>
      <c r="S1332" s="169" t="s">
        <v>283</v>
      </c>
      <c r="T1332" s="169">
        <v>0</v>
      </c>
    </row>
    <row r="1333" spans="1:20" x14ac:dyDescent="0.2">
      <c r="A1333" s="169">
        <v>627</v>
      </c>
      <c r="B1333" s="167" t="str">
        <f>_xlfn.XLOOKUP(I1333,Mapping!D:D,Mapping!E:E)</f>
        <v>Xưởng Sản Xuất</v>
      </c>
      <c r="C1333" s="167" t="str">
        <f>_xlfn.XLOOKUP(F1333,Mapping!A:A,Mapping!F:F)</f>
        <v>Khen thưởng BD khác</v>
      </c>
      <c r="D1333" s="173">
        <v>45852</v>
      </c>
      <c r="E1333" s="169" t="s">
        <v>935</v>
      </c>
      <c r="F1333" s="169" t="s">
        <v>435</v>
      </c>
      <c r="G1333" s="169" t="s">
        <v>222</v>
      </c>
      <c r="H1333" s="169" t="s">
        <v>402</v>
      </c>
      <c r="I1333" s="169" t="s">
        <v>403</v>
      </c>
      <c r="J1333" s="169" t="s">
        <v>936</v>
      </c>
      <c r="K1333" s="169" t="s">
        <v>936</v>
      </c>
      <c r="L1333" s="169" t="s">
        <v>882</v>
      </c>
      <c r="M1333" s="169" t="s">
        <v>281</v>
      </c>
      <c r="N1333" s="178">
        <v>3200000</v>
      </c>
      <c r="O1333" s="169" t="s">
        <v>937</v>
      </c>
      <c r="P1333" s="169" t="s">
        <v>283</v>
      </c>
      <c r="Q1333" s="169" t="s">
        <v>306</v>
      </c>
      <c r="R1333" s="169" t="s">
        <v>283</v>
      </c>
      <c r="S1333" s="169" t="s">
        <v>283</v>
      </c>
      <c r="T1333" s="169">
        <v>0</v>
      </c>
    </row>
    <row r="1334" spans="1:20" x14ac:dyDescent="0.2">
      <c r="A1334" s="169">
        <v>627</v>
      </c>
      <c r="B1334" s="167" t="str">
        <f>_xlfn.XLOOKUP(I1334,Mapping!D:D,Mapping!E:E)</f>
        <v>Xưởng Sản Xuất</v>
      </c>
      <c r="C1334" s="167" t="str">
        <f>_xlfn.XLOOKUP(F1334,Mapping!A:A,Mapping!F:F)</f>
        <v>BHXH, BHYT, KPCĐ</v>
      </c>
      <c r="D1334" s="173">
        <v>45869</v>
      </c>
      <c r="E1334" s="169" t="s">
        <v>888</v>
      </c>
      <c r="F1334" s="169" t="s">
        <v>393</v>
      </c>
      <c r="G1334" s="169" t="s">
        <v>296</v>
      </c>
      <c r="H1334" s="169" t="s">
        <v>402</v>
      </c>
      <c r="I1334" s="169" t="s">
        <v>403</v>
      </c>
      <c r="J1334" s="169" t="s">
        <v>889</v>
      </c>
      <c r="K1334" s="169" t="s">
        <v>881</v>
      </c>
      <c r="L1334" s="169" t="s">
        <v>882</v>
      </c>
      <c r="M1334" s="169" t="s">
        <v>281</v>
      </c>
      <c r="N1334" s="178">
        <v>87181265</v>
      </c>
      <c r="O1334" s="169" t="s">
        <v>890</v>
      </c>
      <c r="P1334" s="169" t="s">
        <v>283</v>
      </c>
      <c r="Q1334" s="169" t="s">
        <v>284</v>
      </c>
      <c r="R1334" s="169" t="s">
        <v>283</v>
      </c>
      <c r="S1334" s="169" t="s">
        <v>283</v>
      </c>
      <c r="T1334" s="169">
        <v>0</v>
      </c>
    </row>
    <row r="1335" spans="1:20" x14ac:dyDescent="0.2">
      <c r="A1335" s="169">
        <v>622</v>
      </c>
      <c r="B1335" s="167" t="str">
        <f>_xlfn.XLOOKUP(I1335,Mapping!D:D,Mapping!E:E)</f>
        <v>Xưởng Sản Xuất</v>
      </c>
      <c r="C1335" s="167" t="str">
        <f>_xlfn.XLOOKUP(F1335,Mapping!A:A,Mapping!F:F)</f>
        <v>Lương Chính +T13</v>
      </c>
      <c r="D1335" s="173">
        <v>45840</v>
      </c>
      <c r="E1335" s="169" t="s">
        <v>932</v>
      </c>
      <c r="F1335" s="169" t="s">
        <v>400</v>
      </c>
      <c r="G1335" s="169" t="s">
        <v>401</v>
      </c>
      <c r="H1335" s="169" t="s">
        <v>430</v>
      </c>
      <c r="I1335" s="169" t="s">
        <v>431</v>
      </c>
      <c r="J1335" s="169" t="s">
        <v>933</v>
      </c>
      <c r="K1335" s="169" t="s">
        <v>405</v>
      </c>
      <c r="L1335" s="169" t="s">
        <v>882</v>
      </c>
      <c r="M1335" s="169" t="s">
        <v>281</v>
      </c>
      <c r="N1335" s="178">
        <v>39371667</v>
      </c>
      <c r="O1335" s="169" t="s">
        <v>934</v>
      </c>
      <c r="P1335" s="169" t="s">
        <v>283</v>
      </c>
      <c r="Q1335" s="169" t="s">
        <v>306</v>
      </c>
      <c r="R1335" s="169" t="s">
        <v>283</v>
      </c>
      <c r="S1335" s="169" t="s">
        <v>283</v>
      </c>
      <c r="T1335" s="169">
        <v>0</v>
      </c>
    </row>
    <row r="1336" spans="1:20" x14ac:dyDescent="0.2">
      <c r="A1336" s="169">
        <v>627</v>
      </c>
      <c r="B1336" s="167" t="str">
        <f>_xlfn.XLOOKUP(I1336,Mapping!D:D,Mapping!E:E)</f>
        <v>Xưởng Sản Xuất</v>
      </c>
      <c r="C1336" s="167" t="str">
        <f>_xlfn.XLOOKUP(F1336,Mapping!A:A,Mapping!F:F)</f>
        <v>Khen thưởng BD khác</v>
      </c>
      <c r="D1336" s="173">
        <v>45852</v>
      </c>
      <c r="E1336" s="169" t="s">
        <v>935</v>
      </c>
      <c r="F1336" s="169" t="s">
        <v>435</v>
      </c>
      <c r="G1336" s="169" t="s">
        <v>222</v>
      </c>
      <c r="H1336" s="169" t="s">
        <v>430</v>
      </c>
      <c r="I1336" s="169" t="s">
        <v>431</v>
      </c>
      <c r="J1336" s="169" t="s">
        <v>936</v>
      </c>
      <c r="K1336" s="169" t="s">
        <v>936</v>
      </c>
      <c r="L1336" s="169" t="s">
        <v>882</v>
      </c>
      <c r="M1336" s="169" t="s">
        <v>281</v>
      </c>
      <c r="N1336" s="178">
        <v>4600000</v>
      </c>
      <c r="O1336" s="169" t="s">
        <v>937</v>
      </c>
      <c r="P1336" s="169" t="s">
        <v>283</v>
      </c>
      <c r="Q1336" s="169" t="s">
        <v>306</v>
      </c>
      <c r="R1336" s="169" t="s">
        <v>283</v>
      </c>
      <c r="S1336" s="169" t="s">
        <v>283</v>
      </c>
      <c r="T1336" s="169">
        <v>0</v>
      </c>
    </row>
    <row r="1337" spans="1:20" x14ac:dyDescent="0.2">
      <c r="A1337" s="169">
        <v>627</v>
      </c>
      <c r="B1337" s="167" t="str">
        <f>_xlfn.XLOOKUP(I1337,Mapping!D:D,Mapping!E:E)</f>
        <v>Xưởng Sản Xuất</v>
      </c>
      <c r="C1337" s="167" t="str">
        <f>_xlfn.XLOOKUP(F1337,Mapping!A:A,Mapping!F:F)</f>
        <v>Khen thưởng BD khác</v>
      </c>
      <c r="D1337" s="173">
        <v>45852</v>
      </c>
      <c r="E1337" s="169" t="s">
        <v>935</v>
      </c>
      <c r="F1337" s="169" t="s">
        <v>435</v>
      </c>
      <c r="G1337" s="169" t="s">
        <v>222</v>
      </c>
      <c r="H1337" s="169" t="s">
        <v>436</v>
      </c>
      <c r="I1337" s="169" t="s">
        <v>437</v>
      </c>
      <c r="J1337" s="169" t="s">
        <v>936</v>
      </c>
      <c r="K1337" s="169" t="s">
        <v>936</v>
      </c>
      <c r="L1337" s="169" t="s">
        <v>882</v>
      </c>
      <c r="M1337" s="169" t="s">
        <v>281</v>
      </c>
      <c r="N1337" s="178">
        <v>1600000</v>
      </c>
      <c r="O1337" s="169" t="s">
        <v>937</v>
      </c>
      <c r="P1337" s="169" t="s">
        <v>283</v>
      </c>
      <c r="Q1337" s="169" t="s">
        <v>306</v>
      </c>
      <c r="R1337" s="169" t="s">
        <v>283</v>
      </c>
      <c r="S1337" s="169" t="s">
        <v>283</v>
      </c>
      <c r="T1337" s="169">
        <v>0</v>
      </c>
    </row>
    <row r="1338" spans="1:20" x14ac:dyDescent="0.2">
      <c r="A1338" s="169">
        <v>627</v>
      </c>
      <c r="B1338" s="167" t="str">
        <f>_xlfn.XLOOKUP(I1338,Mapping!D:D,Mapping!E:E)</f>
        <v>Xưởng Sản Xuất</v>
      </c>
      <c r="C1338" s="167" t="str">
        <f>_xlfn.XLOOKUP(F1338,Mapping!A:A,Mapping!F:F)</f>
        <v>Khen thưởng BD khác</v>
      </c>
      <c r="D1338" s="173">
        <v>45869</v>
      </c>
      <c r="E1338" s="169" t="s">
        <v>945</v>
      </c>
      <c r="F1338" s="169" t="s">
        <v>435</v>
      </c>
      <c r="G1338" s="169" t="s">
        <v>222</v>
      </c>
      <c r="H1338" s="169" t="s">
        <v>436</v>
      </c>
      <c r="I1338" s="169" t="s">
        <v>437</v>
      </c>
      <c r="J1338" s="169" t="s">
        <v>946</v>
      </c>
      <c r="K1338" s="169" t="s">
        <v>947</v>
      </c>
      <c r="L1338" s="169" t="s">
        <v>882</v>
      </c>
      <c r="M1338" s="169" t="s">
        <v>281</v>
      </c>
      <c r="N1338" s="178">
        <v>10950000</v>
      </c>
      <c r="O1338" s="169" t="s">
        <v>948</v>
      </c>
      <c r="P1338" s="169" t="s">
        <v>283</v>
      </c>
      <c r="Q1338" s="169" t="s">
        <v>764</v>
      </c>
      <c r="R1338" s="169" t="s">
        <v>283</v>
      </c>
      <c r="S1338" s="169" t="s">
        <v>283</v>
      </c>
      <c r="T1338" s="169">
        <v>0</v>
      </c>
    </row>
    <row r="1339" spans="1:20" x14ac:dyDescent="0.2">
      <c r="A1339" s="169">
        <v>622</v>
      </c>
      <c r="B1339" s="167" t="str">
        <f>_xlfn.XLOOKUP(I1339,Mapping!D:D,Mapping!E:E)</f>
        <v>Xưởng Sản Xuất</v>
      </c>
      <c r="C1339" s="167" t="str">
        <f>_xlfn.XLOOKUP(F1339,Mapping!A:A,Mapping!F:F)</f>
        <v>Lương Chính +T13</v>
      </c>
      <c r="D1339" s="173">
        <v>45869</v>
      </c>
      <c r="E1339" s="169" t="s">
        <v>879</v>
      </c>
      <c r="F1339" s="169" t="s">
        <v>400</v>
      </c>
      <c r="G1339" s="169" t="s">
        <v>401</v>
      </c>
      <c r="H1339" s="169" t="s">
        <v>430</v>
      </c>
      <c r="I1339" s="169" t="s">
        <v>431</v>
      </c>
      <c r="J1339" s="169" t="s">
        <v>880</v>
      </c>
      <c r="K1339" s="169" t="s">
        <v>881</v>
      </c>
      <c r="L1339" s="169" t="s">
        <v>882</v>
      </c>
      <c r="M1339" s="169" t="s">
        <v>281</v>
      </c>
      <c r="N1339" s="178">
        <v>310592873</v>
      </c>
      <c r="O1339" s="169" t="s">
        <v>883</v>
      </c>
      <c r="P1339" s="169" t="s">
        <v>283</v>
      </c>
      <c r="Q1339" s="169" t="s">
        <v>284</v>
      </c>
      <c r="R1339" s="169" t="s">
        <v>283</v>
      </c>
      <c r="S1339" s="169" t="s">
        <v>283</v>
      </c>
      <c r="T1339" s="169">
        <v>0</v>
      </c>
    </row>
    <row r="1340" spans="1:20" x14ac:dyDescent="0.2">
      <c r="A1340" s="169">
        <v>622</v>
      </c>
      <c r="B1340" s="167" t="str">
        <f>_xlfn.XLOOKUP(I1340,Mapping!D:D,Mapping!E:E)</f>
        <v>Xưởng Sản Xuất</v>
      </c>
      <c r="C1340" s="167" t="str">
        <f>_xlfn.XLOOKUP(F1340,Mapping!A:A,Mapping!F:F)</f>
        <v>Lương Chính +T13</v>
      </c>
      <c r="D1340" s="173">
        <v>45869</v>
      </c>
      <c r="E1340" s="169" t="s">
        <v>879</v>
      </c>
      <c r="F1340" s="169" t="s">
        <v>420</v>
      </c>
      <c r="G1340" s="169" t="s">
        <v>286</v>
      </c>
      <c r="H1340" s="169" t="s">
        <v>430</v>
      </c>
      <c r="I1340" s="169" t="s">
        <v>431</v>
      </c>
      <c r="J1340" s="169" t="s">
        <v>880</v>
      </c>
      <c r="K1340" s="169" t="s">
        <v>881</v>
      </c>
      <c r="L1340" s="169" t="s">
        <v>882</v>
      </c>
      <c r="M1340" s="169" t="s">
        <v>281</v>
      </c>
      <c r="N1340" s="178">
        <v>3192656</v>
      </c>
      <c r="O1340" s="169" t="s">
        <v>883</v>
      </c>
      <c r="P1340" s="169" t="s">
        <v>283</v>
      </c>
      <c r="Q1340" s="169" t="s">
        <v>284</v>
      </c>
      <c r="R1340" s="169" t="s">
        <v>283</v>
      </c>
      <c r="S1340" s="169" t="s">
        <v>283</v>
      </c>
      <c r="T1340" s="169">
        <v>0</v>
      </c>
    </row>
    <row r="1341" spans="1:20" x14ac:dyDescent="0.2">
      <c r="A1341" s="169">
        <v>622</v>
      </c>
      <c r="B1341" s="167" t="str">
        <f>_xlfn.XLOOKUP(I1341,Mapping!D:D,Mapping!E:E)</f>
        <v>Xưởng Sản Xuất</v>
      </c>
      <c r="C1341" s="167" t="str">
        <f>_xlfn.XLOOKUP(F1341,Mapping!A:A,Mapping!F:F)</f>
        <v>Phụ Cấp</v>
      </c>
      <c r="D1341" s="173">
        <v>45869</v>
      </c>
      <c r="E1341" s="169" t="s">
        <v>879</v>
      </c>
      <c r="F1341" s="169" t="s">
        <v>421</v>
      </c>
      <c r="G1341" s="169" t="s">
        <v>341</v>
      </c>
      <c r="H1341" s="169" t="s">
        <v>430</v>
      </c>
      <c r="I1341" s="169" t="s">
        <v>431</v>
      </c>
      <c r="J1341" s="169" t="s">
        <v>880</v>
      </c>
      <c r="K1341" s="169" t="s">
        <v>881</v>
      </c>
      <c r="L1341" s="169" t="s">
        <v>882</v>
      </c>
      <c r="M1341" s="169" t="s">
        <v>281</v>
      </c>
      <c r="N1341" s="178">
        <v>28499265</v>
      </c>
      <c r="O1341" s="169" t="s">
        <v>883</v>
      </c>
      <c r="P1341" s="169" t="s">
        <v>283</v>
      </c>
      <c r="Q1341" s="169" t="s">
        <v>284</v>
      </c>
      <c r="R1341" s="169" t="s">
        <v>283</v>
      </c>
      <c r="S1341" s="169" t="s">
        <v>283</v>
      </c>
      <c r="T1341" s="169">
        <v>0</v>
      </c>
    </row>
    <row r="1342" spans="1:20" x14ac:dyDescent="0.2">
      <c r="A1342" s="169">
        <v>622</v>
      </c>
      <c r="B1342" s="167" t="str">
        <f>_xlfn.XLOOKUP(I1342,Mapping!D:D,Mapping!E:E)</f>
        <v>Xưởng Sản Xuất</v>
      </c>
      <c r="C1342" s="167" t="str">
        <f>_xlfn.XLOOKUP(F1342,Mapping!A:A,Mapping!F:F)</f>
        <v>Lương Ngoài giờ</v>
      </c>
      <c r="D1342" s="173">
        <v>45869</v>
      </c>
      <c r="E1342" s="169" t="s">
        <v>879</v>
      </c>
      <c r="F1342" s="169" t="s">
        <v>422</v>
      </c>
      <c r="G1342" s="169" t="s">
        <v>423</v>
      </c>
      <c r="H1342" s="169" t="s">
        <v>430</v>
      </c>
      <c r="I1342" s="169" t="s">
        <v>431</v>
      </c>
      <c r="J1342" s="169" t="s">
        <v>880</v>
      </c>
      <c r="K1342" s="169" t="s">
        <v>881</v>
      </c>
      <c r="L1342" s="169" t="s">
        <v>882</v>
      </c>
      <c r="M1342" s="169" t="s">
        <v>281</v>
      </c>
      <c r="N1342" s="178">
        <v>62461935</v>
      </c>
      <c r="O1342" s="169" t="s">
        <v>883</v>
      </c>
      <c r="P1342" s="169" t="s">
        <v>283</v>
      </c>
      <c r="Q1342" s="169" t="s">
        <v>284</v>
      </c>
      <c r="R1342" s="169" t="s">
        <v>283</v>
      </c>
      <c r="S1342" s="169" t="s">
        <v>283</v>
      </c>
      <c r="T1342" s="169">
        <v>0</v>
      </c>
    </row>
    <row r="1343" spans="1:20" x14ac:dyDescent="0.2">
      <c r="A1343" s="169">
        <v>622</v>
      </c>
      <c r="B1343" s="167" t="str">
        <f>_xlfn.XLOOKUP(I1343,Mapping!D:D,Mapping!E:E)</f>
        <v>Xưởng Sản Xuất</v>
      </c>
      <c r="C1343" s="167" t="str">
        <f>_xlfn.XLOOKUP(F1343,Mapping!A:A,Mapping!F:F)</f>
        <v>Phụ Cấp</v>
      </c>
      <c r="D1343" s="173">
        <v>45869</v>
      </c>
      <c r="E1343" s="169" t="s">
        <v>879</v>
      </c>
      <c r="F1343" s="169" t="s">
        <v>414</v>
      </c>
      <c r="G1343" s="169" t="s">
        <v>415</v>
      </c>
      <c r="H1343" s="169" t="s">
        <v>430</v>
      </c>
      <c r="I1343" s="169" t="s">
        <v>431</v>
      </c>
      <c r="J1343" s="169" t="s">
        <v>880</v>
      </c>
      <c r="K1343" s="169" t="s">
        <v>881</v>
      </c>
      <c r="L1343" s="169" t="s">
        <v>882</v>
      </c>
      <c r="M1343" s="169" t="s">
        <v>281</v>
      </c>
      <c r="N1343" s="178">
        <v>7070000</v>
      </c>
      <c r="O1343" s="169" t="s">
        <v>883</v>
      </c>
      <c r="P1343" s="169" t="s">
        <v>283</v>
      </c>
      <c r="Q1343" s="169" t="s">
        <v>284</v>
      </c>
      <c r="R1343" s="169" t="s">
        <v>283</v>
      </c>
      <c r="S1343" s="169" t="s">
        <v>283</v>
      </c>
      <c r="T1343" s="169">
        <v>0</v>
      </c>
    </row>
    <row r="1344" spans="1:20" x14ac:dyDescent="0.2">
      <c r="A1344" s="169">
        <v>627</v>
      </c>
      <c r="B1344" s="167" t="str">
        <f>_xlfn.XLOOKUP(I1344,Mapping!D:D,Mapping!E:E)</f>
        <v>Xưởng Sản Xuất</v>
      </c>
      <c r="C1344" s="167" t="str">
        <f>_xlfn.XLOOKUP(F1344,Mapping!A:A,Mapping!F:F)</f>
        <v>Phụ Cấp</v>
      </c>
      <c r="D1344" s="173">
        <v>45869</v>
      </c>
      <c r="E1344" s="169" t="s">
        <v>879</v>
      </c>
      <c r="F1344" s="169" t="s">
        <v>386</v>
      </c>
      <c r="G1344" s="169" t="s">
        <v>341</v>
      </c>
      <c r="H1344" s="169" t="s">
        <v>430</v>
      </c>
      <c r="I1344" s="169" t="s">
        <v>431</v>
      </c>
      <c r="J1344" s="169" t="s">
        <v>880</v>
      </c>
      <c r="K1344" s="169" t="s">
        <v>881</v>
      </c>
      <c r="L1344" s="169" t="s">
        <v>882</v>
      </c>
      <c r="M1344" s="169" t="s">
        <v>281</v>
      </c>
      <c r="N1344" s="178">
        <v>9919068</v>
      </c>
      <c r="O1344" s="169" t="s">
        <v>883</v>
      </c>
      <c r="P1344" s="169" t="s">
        <v>283</v>
      </c>
      <c r="Q1344" s="169" t="s">
        <v>284</v>
      </c>
      <c r="R1344" s="169" t="s">
        <v>283</v>
      </c>
      <c r="S1344" s="169" t="s">
        <v>283</v>
      </c>
      <c r="T1344" s="169">
        <v>0</v>
      </c>
    </row>
    <row r="1345" spans="1:20" x14ac:dyDescent="0.2">
      <c r="A1345" s="169">
        <v>627</v>
      </c>
      <c r="B1345" s="167" t="str">
        <f>_xlfn.XLOOKUP(I1345,Mapping!D:D,Mapping!E:E)</f>
        <v>Xưởng Sản Xuất</v>
      </c>
      <c r="C1345" s="167" t="str">
        <f>_xlfn.XLOOKUP(F1345,Mapping!A:A,Mapping!F:F)</f>
        <v>Lương Chính +T13</v>
      </c>
      <c r="D1345" s="173">
        <v>45869</v>
      </c>
      <c r="E1345" s="169" t="s">
        <v>879</v>
      </c>
      <c r="F1345" s="169" t="s">
        <v>387</v>
      </c>
      <c r="G1345" s="169" t="s">
        <v>275</v>
      </c>
      <c r="H1345" s="169" t="s">
        <v>430</v>
      </c>
      <c r="I1345" s="169" t="s">
        <v>431</v>
      </c>
      <c r="J1345" s="169" t="s">
        <v>880</v>
      </c>
      <c r="K1345" s="169" t="s">
        <v>881</v>
      </c>
      <c r="L1345" s="169" t="s">
        <v>882</v>
      </c>
      <c r="M1345" s="169" t="s">
        <v>281</v>
      </c>
      <c r="N1345" s="178">
        <v>166954641</v>
      </c>
      <c r="O1345" s="169" t="s">
        <v>883</v>
      </c>
      <c r="P1345" s="169" t="s">
        <v>283</v>
      </c>
      <c r="Q1345" s="169" t="s">
        <v>284</v>
      </c>
      <c r="R1345" s="169" t="s">
        <v>283</v>
      </c>
      <c r="S1345" s="169" t="s">
        <v>283</v>
      </c>
      <c r="T1345" s="169">
        <v>0</v>
      </c>
    </row>
    <row r="1346" spans="1:20" x14ac:dyDescent="0.2">
      <c r="A1346" s="169">
        <v>627</v>
      </c>
      <c r="B1346" s="167" t="str">
        <f>_xlfn.XLOOKUP(I1346,Mapping!D:D,Mapping!E:E)</f>
        <v>Xưởng Sản Xuất</v>
      </c>
      <c r="C1346" s="167" t="str">
        <f>_xlfn.XLOOKUP(F1346,Mapping!A:A,Mapping!F:F)</f>
        <v>Lương Chính +T13</v>
      </c>
      <c r="D1346" s="173">
        <v>45869</v>
      </c>
      <c r="E1346" s="169" t="s">
        <v>879</v>
      </c>
      <c r="F1346" s="169" t="s">
        <v>388</v>
      </c>
      <c r="G1346" s="169" t="s">
        <v>286</v>
      </c>
      <c r="H1346" s="169" t="s">
        <v>430</v>
      </c>
      <c r="I1346" s="169" t="s">
        <v>431</v>
      </c>
      <c r="J1346" s="169" t="s">
        <v>880</v>
      </c>
      <c r="K1346" s="169" t="s">
        <v>881</v>
      </c>
      <c r="L1346" s="169" t="s">
        <v>882</v>
      </c>
      <c r="M1346" s="169" t="s">
        <v>281</v>
      </c>
      <c r="N1346" s="178">
        <v>4015231</v>
      </c>
      <c r="O1346" s="169" t="s">
        <v>883</v>
      </c>
      <c r="P1346" s="169" t="s">
        <v>283</v>
      </c>
      <c r="Q1346" s="169" t="s">
        <v>284</v>
      </c>
      <c r="R1346" s="169" t="s">
        <v>283</v>
      </c>
      <c r="S1346" s="169" t="s">
        <v>283</v>
      </c>
      <c r="T1346" s="169">
        <v>0</v>
      </c>
    </row>
    <row r="1347" spans="1:20" x14ac:dyDescent="0.2">
      <c r="A1347" s="169">
        <v>627</v>
      </c>
      <c r="B1347" s="167" t="str">
        <f>_xlfn.XLOOKUP(I1347,Mapping!D:D,Mapping!E:E)</f>
        <v>Xưởng Sản Xuất</v>
      </c>
      <c r="C1347" s="167" t="str">
        <f>_xlfn.XLOOKUP(F1347,Mapping!A:A,Mapping!F:F)</f>
        <v>Lương Ngoài giờ</v>
      </c>
      <c r="D1347" s="173">
        <v>45869</v>
      </c>
      <c r="E1347" s="169" t="s">
        <v>879</v>
      </c>
      <c r="F1347" s="169" t="s">
        <v>389</v>
      </c>
      <c r="G1347" s="169" t="s">
        <v>390</v>
      </c>
      <c r="H1347" s="169" t="s">
        <v>430</v>
      </c>
      <c r="I1347" s="169" t="s">
        <v>431</v>
      </c>
      <c r="J1347" s="169" t="s">
        <v>880</v>
      </c>
      <c r="K1347" s="169" t="s">
        <v>881</v>
      </c>
      <c r="L1347" s="169" t="s">
        <v>882</v>
      </c>
      <c r="M1347" s="169" t="s">
        <v>281</v>
      </c>
      <c r="N1347" s="178">
        <v>21145443</v>
      </c>
      <c r="O1347" s="169" t="s">
        <v>883</v>
      </c>
      <c r="P1347" s="169" t="s">
        <v>283</v>
      </c>
      <c r="Q1347" s="169" t="s">
        <v>284</v>
      </c>
      <c r="R1347" s="169" t="s">
        <v>283</v>
      </c>
      <c r="S1347" s="169" t="s">
        <v>283</v>
      </c>
      <c r="T1347" s="169">
        <v>0</v>
      </c>
    </row>
    <row r="1348" spans="1:20" x14ac:dyDescent="0.2">
      <c r="A1348" s="169">
        <v>627</v>
      </c>
      <c r="B1348" s="167" t="str">
        <f>_xlfn.XLOOKUP(I1348,Mapping!D:D,Mapping!E:E)</f>
        <v>Xưởng Sản Xuất</v>
      </c>
      <c r="C1348" s="167" t="str">
        <f>_xlfn.XLOOKUP(F1348,Mapping!A:A,Mapping!F:F)</f>
        <v>Phụ Cấp</v>
      </c>
      <c r="D1348" s="173">
        <v>45869</v>
      </c>
      <c r="E1348" s="169" t="s">
        <v>879</v>
      </c>
      <c r="F1348" s="169" t="s">
        <v>375</v>
      </c>
      <c r="G1348" s="169" t="s">
        <v>336</v>
      </c>
      <c r="H1348" s="169" t="s">
        <v>430</v>
      </c>
      <c r="I1348" s="169" t="s">
        <v>431</v>
      </c>
      <c r="J1348" s="169" t="s">
        <v>880</v>
      </c>
      <c r="K1348" s="169" t="s">
        <v>881</v>
      </c>
      <c r="L1348" s="169" t="s">
        <v>882</v>
      </c>
      <c r="M1348" s="169" t="s">
        <v>281</v>
      </c>
      <c r="N1348" s="178">
        <v>1600000</v>
      </c>
      <c r="O1348" s="169" t="s">
        <v>883</v>
      </c>
      <c r="P1348" s="169" t="s">
        <v>283</v>
      </c>
      <c r="Q1348" s="169" t="s">
        <v>284</v>
      </c>
      <c r="R1348" s="169" t="s">
        <v>283</v>
      </c>
      <c r="S1348" s="169" t="s">
        <v>283</v>
      </c>
      <c r="T1348" s="169">
        <v>0</v>
      </c>
    </row>
    <row r="1349" spans="1:20" x14ac:dyDescent="0.2">
      <c r="A1349" s="169">
        <v>627</v>
      </c>
      <c r="B1349" s="167" t="str">
        <f>_xlfn.XLOOKUP(I1349,Mapping!D:D,Mapping!E:E)</f>
        <v>Xưởng Sản Xuất</v>
      </c>
      <c r="C1349" s="167" t="str">
        <f>_xlfn.XLOOKUP(F1349,Mapping!A:A,Mapping!F:F)</f>
        <v>Phụ Cấp</v>
      </c>
      <c r="D1349" s="173">
        <v>45869</v>
      </c>
      <c r="E1349" s="169" t="s">
        <v>879</v>
      </c>
      <c r="F1349" s="169" t="s">
        <v>386</v>
      </c>
      <c r="G1349" s="169" t="s">
        <v>341</v>
      </c>
      <c r="H1349" s="169" t="s">
        <v>436</v>
      </c>
      <c r="I1349" s="169" t="s">
        <v>437</v>
      </c>
      <c r="J1349" s="169" t="s">
        <v>880</v>
      </c>
      <c r="K1349" s="169" t="s">
        <v>881</v>
      </c>
      <c r="L1349" s="169" t="s">
        <v>882</v>
      </c>
      <c r="M1349" s="169" t="s">
        <v>281</v>
      </c>
      <c r="N1349" s="178">
        <v>10800612</v>
      </c>
      <c r="O1349" s="169" t="s">
        <v>883</v>
      </c>
      <c r="P1349" s="169" t="s">
        <v>283</v>
      </c>
      <c r="Q1349" s="169" t="s">
        <v>284</v>
      </c>
      <c r="R1349" s="169" t="s">
        <v>283</v>
      </c>
      <c r="S1349" s="169" t="s">
        <v>283</v>
      </c>
      <c r="T1349" s="169">
        <v>0</v>
      </c>
    </row>
    <row r="1350" spans="1:20" x14ac:dyDescent="0.2">
      <c r="A1350" s="169">
        <v>627</v>
      </c>
      <c r="B1350" s="167" t="str">
        <f>_xlfn.XLOOKUP(I1350,Mapping!D:D,Mapping!E:E)</f>
        <v>Xưởng Sản Xuất</v>
      </c>
      <c r="C1350" s="167" t="str">
        <f>_xlfn.XLOOKUP(F1350,Mapping!A:A,Mapping!F:F)</f>
        <v>Lương Chính +T13</v>
      </c>
      <c r="D1350" s="173">
        <v>45869</v>
      </c>
      <c r="E1350" s="169" t="s">
        <v>879</v>
      </c>
      <c r="F1350" s="169" t="s">
        <v>387</v>
      </c>
      <c r="G1350" s="169" t="s">
        <v>275</v>
      </c>
      <c r="H1350" s="169" t="s">
        <v>436</v>
      </c>
      <c r="I1350" s="169" t="s">
        <v>437</v>
      </c>
      <c r="J1350" s="169" t="s">
        <v>880</v>
      </c>
      <c r="K1350" s="169" t="s">
        <v>881</v>
      </c>
      <c r="L1350" s="169" t="s">
        <v>882</v>
      </c>
      <c r="M1350" s="169" t="s">
        <v>281</v>
      </c>
      <c r="N1350" s="178">
        <v>385123758</v>
      </c>
      <c r="O1350" s="169" t="s">
        <v>883</v>
      </c>
      <c r="P1350" s="169" t="s">
        <v>283</v>
      </c>
      <c r="Q1350" s="169" t="s">
        <v>284</v>
      </c>
      <c r="R1350" s="169" t="s">
        <v>283</v>
      </c>
      <c r="S1350" s="169" t="s">
        <v>283</v>
      </c>
      <c r="T1350" s="169">
        <v>0</v>
      </c>
    </row>
    <row r="1351" spans="1:20" x14ac:dyDescent="0.2">
      <c r="A1351" s="169">
        <v>627</v>
      </c>
      <c r="B1351" s="167" t="str">
        <f>_xlfn.XLOOKUP(I1351,Mapping!D:D,Mapping!E:E)</f>
        <v>Xưởng Sản Xuất</v>
      </c>
      <c r="C1351" s="167" t="str">
        <f>_xlfn.XLOOKUP(F1351,Mapping!A:A,Mapping!F:F)</f>
        <v>Lương Chính +T13</v>
      </c>
      <c r="D1351" s="173">
        <v>45869</v>
      </c>
      <c r="E1351" s="169" t="s">
        <v>879</v>
      </c>
      <c r="F1351" s="169" t="s">
        <v>388</v>
      </c>
      <c r="G1351" s="169" t="s">
        <v>286</v>
      </c>
      <c r="H1351" s="169" t="s">
        <v>436</v>
      </c>
      <c r="I1351" s="169" t="s">
        <v>437</v>
      </c>
      <c r="J1351" s="169" t="s">
        <v>880</v>
      </c>
      <c r="K1351" s="169" t="s">
        <v>881</v>
      </c>
      <c r="L1351" s="169" t="s">
        <v>882</v>
      </c>
      <c r="M1351" s="169" t="s">
        <v>281</v>
      </c>
      <c r="N1351" s="178">
        <v>8082445</v>
      </c>
      <c r="O1351" s="169" t="s">
        <v>883</v>
      </c>
      <c r="P1351" s="169" t="s">
        <v>283</v>
      </c>
      <c r="Q1351" s="169" t="s">
        <v>284</v>
      </c>
      <c r="R1351" s="169" t="s">
        <v>283</v>
      </c>
      <c r="S1351" s="169" t="s">
        <v>283</v>
      </c>
      <c r="T1351" s="169">
        <v>0</v>
      </c>
    </row>
    <row r="1352" spans="1:20" x14ac:dyDescent="0.2">
      <c r="A1352" s="169">
        <v>627</v>
      </c>
      <c r="B1352" s="167" t="str">
        <f>_xlfn.XLOOKUP(I1352,Mapping!D:D,Mapping!E:E)</f>
        <v>Xưởng Sản Xuất</v>
      </c>
      <c r="C1352" s="167" t="str">
        <f>_xlfn.XLOOKUP(F1352,Mapping!A:A,Mapping!F:F)</f>
        <v>Lương Ngoài giờ</v>
      </c>
      <c r="D1352" s="173">
        <v>45869</v>
      </c>
      <c r="E1352" s="169" t="s">
        <v>879</v>
      </c>
      <c r="F1352" s="169" t="s">
        <v>389</v>
      </c>
      <c r="G1352" s="169" t="s">
        <v>390</v>
      </c>
      <c r="H1352" s="169" t="s">
        <v>436</v>
      </c>
      <c r="I1352" s="169" t="s">
        <v>437</v>
      </c>
      <c r="J1352" s="169" t="s">
        <v>880</v>
      </c>
      <c r="K1352" s="169" t="s">
        <v>881</v>
      </c>
      <c r="L1352" s="169" t="s">
        <v>882</v>
      </c>
      <c r="M1352" s="169" t="s">
        <v>281</v>
      </c>
      <c r="N1352" s="178">
        <v>54951964</v>
      </c>
      <c r="O1352" s="169" t="s">
        <v>883</v>
      </c>
      <c r="P1352" s="169" t="s">
        <v>283</v>
      </c>
      <c r="Q1352" s="169" t="s">
        <v>284</v>
      </c>
      <c r="R1352" s="169" t="s">
        <v>283</v>
      </c>
      <c r="S1352" s="169" t="s">
        <v>283</v>
      </c>
      <c r="T1352" s="169">
        <v>0</v>
      </c>
    </row>
    <row r="1353" spans="1:20" x14ac:dyDescent="0.2">
      <c r="A1353" s="169">
        <v>627</v>
      </c>
      <c r="B1353" s="167" t="str">
        <f>_xlfn.XLOOKUP(I1353,Mapping!D:D,Mapping!E:E)</f>
        <v>Xưởng Sản Xuất</v>
      </c>
      <c r="C1353" s="167" t="str">
        <f>_xlfn.XLOOKUP(F1353,Mapping!A:A,Mapping!F:F)</f>
        <v>Phụ Cấp</v>
      </c>
      <c r="D1353" s="173">
        <v>45869</v>
      </c>
      <c r="E1353" s="169" t="s">
        <v>879</v>
      </c>
      <c r="F1353" s="169" t="s">
        <v>375</v>
      </c>
      <c r="G1353" s="169" t="s">
        <v>336</v>
      </c>
      <c r="H1353" s="169" t="s">
        <v>436</v>
      </c>
      <c r="I1353" s="169" t="s">
        <v>437</v>
      </c>
      <c r="J1353" s="169" t="s">
        <v>880</v>
      </c>
      <c r="K1353" s="169" t="s">
        <v>881</v>
      </c>
      <c r="L1353" s="169" t="s">
        <v>882</v>
      </c>
      <c r="M1353" s="169" t="s">
        <v>281</v>
      </c>
      <c r="N1353" s="178">
        <v>5830000</v>
      </c>
      <c r="O1353" s="169" t="s">
        <v>883</v>
      </c>
      <c r="P1353" s="169" t="s">
        <v>283</v>
      </c>
      <c r="Q1353" s="169" t="s">
        <v>284</v>
      </c>
      <c r="R1353" s="169" t="s">
        <v>283</v>
      </c>
      <c r="S1353" s="169" t="s">
        <v>283</v>
      </c>
      <c r="T1353" s="169">
        <v>0</v>
      </c>
    </row>
    <row r="1354" spans="1:20" x14ac:dyDescent="0.2">
      <c r="B1354" s="167" t="str">
        <f>_xlfn.XLOOKUP(I1354,Mapping!D:D,Mapping!E:E)</f>
        <v>Tư vấn dịch vụ</v>
      </c>
      <c r="C1354" s="167" t="str">
        <f>_xlfn.XLOOKUP(F1354,Mapping!A:A,Mapping!F:F)</f>
        <v>Lương Chính +T13</v>
      </c>
      <c r="D1354" s="173">
        <v>45869</v>
      </c>
      <c r="E1354" s="169" t="s">
        <v>879</v>
      </c>
      <c r="F1354" s="169" t="s">
        <v>274</v>
      </c>
      <c r="G1354" s="169" t="s">
        <v>275</v>
      </c>
      <c r="H1354" s="169" t="s">
        <v>443</v>
      </c>
      <c r="I1354" s="169" t="s">
        <v>444</v>
      </c>
      <c r="J1354" s="169" t="s">
        <v>880</v>
      </c>
      <c r="K1354" s="169" t="s">
        <v>881</v>
      </c>
      <c r="L1354" s="169" t="s">
        <v>882</v>
      </c>
      <c r="M1354" s="169" t="s">
        <v>281</v>
      </c>
      <c r="N1354" s="178">
        <v>190000000</v>
      </c>
      <c r="O1354" s="169" t="s">
        <v>883</v>
      </c>
      <c r="P1354" s="169" t="s">
        <v>283</v>
      </c>
      <c r="Q1354" s="169" t="s">
        <v>284</v>
      </c>
      <c r="R1354" s="169" t="s">
        <v>283</v>
      </c>
      <c r="S1354" s="169" t="s">
        <v>283</v>
      </c>
      <c r="T1354" s="169">
        <v>0</v>
      </c>
    </row>
    <row r="1355" spans="1:20" x14ac:dyDescent="0.2">
      <c r="A1355" s="169">
        <v>622</v>
      </c>
      <c r="B1355" s="167" t="str">
        <f>_xlfn.XLOOKUP(I1355,Mapping!D:D,Mapping!E:E)</f>
        <v>Xưởng Sản Xuất</v>
      </c>
      <c r="C1355" s="167" t="str">
        <f>_xlfn.XLOOKUP(F1355,Mapping!A:A,Mapping!F:F)</f>
        <v>Lương Chính +T13</v>
      </c>
      <c r="D1355" s="173">
        <v>45869</v>
      </c>
      <c r="E1355" s="169" t="s">
        <v>879</v>
      </c>
      <c r="F1355" s="169" t="s">
        <v>400</v>
      </c>
      <c r="G1355" s="169" t="s">
        <v>401</v>
      </c>
      <c r="H1355" s="169" t="s">
        <v>441</v>
      </c>
      <c r="I1355" s="169" t="s">
        <v>442</v>
      </c>
      <c r="J1355" s="169" t="s">
        <v>880</v>
      </c>
      <c r="K1355" s="169" t="s">
        <v>881</v>
      </c>
      <c r="L1355" s="169" t="s">
        <v>882</v>
      </c>
      <c r="M1355" s="169" t="s">
        <v>281</v>
      </c>
      <c r="N1355" s="178">
        <v>8204318</v>
      </c>
      <c r="O1355" s="169" t="s">
        <v>883</v>
      </c>
      <c r="P1355" s="169" t="s">
        <v>283</v>
      </c>
      <c r="Q1355" s="169" t="s">
        <v>284</v>
      </c>
      <c r="R1355" s="169" t="s">
        <v>283</v>
      </c>
      <c r="S1355" s="169" t="s">
        <v>283</v>
      </c>
      <c r="T1355" s="169">
        <v>0</v>
      </c>
    </row>
    <row r="1356" spans="1:20" x14ac:dyDescent="0.2">
      <c r="A1356" s="169">
        <v>622</v>
      </c>
      <c r="B1356" s="167" t="str">
        <f>_xlfn.XLOOKUP(I1356,Mapping!D:D,Mapping!E:E)</f>
        <v>Xưởng Sản Xuất</v>
      </c>
      <c r="C1356" s="167" t="str">
        <f>_xlfn.XLOOKUP(F1356,Mapping!A:A,Mapping!F:F)</f>
        <v>Phụ Cấp</v>
      </c>
      <c r="D1356" s="173">
        <v>45869</v>
      </c>
      <c r="E1356" s="169" t="s">
        <v>879</v>
      </c>
      <c r="F1356" s="169" t="s">
        <v>421</v>
      </c>
      <c r="G1356" s="169" t="s">
        <v>341</v>
      </c>
      <c r="H1356" s="169" t="s">
        <v>441</v>
      </c>
      <c r="I1356" s="169" t="s">
        <v>442</v>
      </c>
      <c r="J1356" s="169" t="s">
        <v>880</v>
      </c>
      <c r="K1356" s="169" t="s">
        <v>881</v>
      </c>
      <c r="L1356" s="169" t="s">
        <v>882</v>
      </c>
      <c r="M1356" s="169" t="s">
        <v>281</v>
      </c>
      <c r="N1356" s="178">
        <v>787015</v>
      </c>
      <c r="O1356" s="169" t="s">
        <v>883</v>
      </c>
      <c r="P1356" s="169" t="s">
        <v>283</v>
      </c>
      <c r="Q1356" s="169" t="s">
        <v>284</v>
      </c>
      <c r="R1356" s="169" t="s">
        <v>283</v>
      </c>
      <c r="S1356" s="169" t="s">
        <v>283</v>
      </c>
      <c r="T1356" s="169">
        <v>0</v>
      </c>
    </row>
    <row r="1357" spans="1:20" x14ac:dyDescent="0.2">
      <c r="A1357" s="169">
        <v>622</v>
      </c>
      <c r="B1357" s="167" t="str">
        <f>_xlfn.XLOOKUP(I1357,Mapping!D:D,Mapping!E:E)</f>
        <v>Xưởng Sản Xuất</v>
      </c>
      <c r="C1357" s="167" t="str">
        <f>_xlfn.XLOOKUP(F1357,Mapping!A:A,Mapping!F:F)</f>
        <v>Lương Ngoài giờ</v>
      </c>
      <c r="D1357" s="173">
        <v>45869</v>
      </c>
      <c r="E1357" s="169" t="s">
        <v>879</v>
      </c>
      <c r="F1357" s="169" t="s">
        <v>422</v>
      </c>
      <c r="G1357" s="169" t="s">
        <v>423</v>
      </c>
      <c r="H1357" s="169" t="s">
        <v>441</v>
      </c>
      <c r="I1357" s="169" t="s">
        <v>442</v>
      </c>
      <c r="J1357" s="169" t="s">
        <v>880</v>
      </c>
      <c r="K1357" s="169" t="s">
        <v>881</v>
      </c>
      <c r="L1357" s="169" t="s">
        <v>882</v>
      </c>
      <c r="M1357" s="169" t="s">
        <v>281</v>
      </c>
      <c r="N1357" s="178">
        <v>1755020</v>
      </c>
      <c r="O1357" s="169" t="s">
        <v>883</v>
      </c>
      <c r="P1357" s="169" t="s">
        <v>283</v>
      </c>
      <c r="Q1357" s="169" t="s">
        <v>284</v>
      </c>
      <c r="R1357" s="169" t="s">
        <v>283</v>
      </c>
      <c r="S1357" s="169" t="s">
        <v>283</v>
      </c>
      <c r="T1357" s="169">
        <v>0</v>
      </c>
    </row>
    <row r="1358" spans="1:20" x14ac:dyDescent="0.2">
      <c r="A1358" s="169">
        <v>622</v>
      </c>
      <c r="B1358" s="167" t="str">
        <f>_xlfn.XLOOKUP(I1358,Mapping!D:D,Mapping!E:E)</f>
        <v>Xưởng Sản Xuất</v>
      </c>
      <c r="C1358" s="167" t="str">
        <f>_xlfn.XLOOKUP(F1358,Mapping!A:A,Mapping!F:F)</f>
        <v>Phụ Cấp</v>
      </c>
      <c r="D1358" s="173">
        <v>45869</v>
      </c>
      <c r="E1358" s="169" t="s">
        <v>879</v>
      </c>
      <c r="F1358" s="169" t="s">
        <v>414</v>
      </c>
      <c r="G1358" s="169" t="s">
        <v>415</v>
      </c>
      <c r="H1358" s="169" t="s">
        <v>441</v>
      </c>
      <c r="I1358" s="169" t="s">
        <v>442</v>
      </c>
      <c r="J1358" s="169" t="s">
        <v>880</v>
      </c>
      <c r="K1358" s="169" t="s">
        <v>881</v>
      </c>
      <c r="L1358" s="169" t="s">
        <v>882</v>
      </c>
      <c r="M1358" s="169" t="s">
        <v>281</v>
      </c>
      <c r="N1358" s="178">
        <v>170000</v>
      </c>
      <c r="O1358" s="169" t="s">
        <v>883</v>
      </c>
      <c r="P1358" s="169" t="s">
        <v>283</v>
      </c>
      <c r="Q1358" s="169" t="s">
        <v>284</v>
      </c>
      <c r="R1358" s="169" t="s">
        <v>283</v>
      </c>
      <c r="S1358" s="169" t="s">
        <v>283</v>
      </c>
      <c r="T1358" s="169">
        <v>0</v>
      </c>
    </row>
    <row r="1359" spans="1:20" x14ac:dyDescent="0.2">
      <c r="A1359" s="169">
        <v>627</v>
      </c>
      <c r="B1359" s="167" t="str">
        <f>_xlfn.XLOOKUP(I1359,Mapping!D:D,Mapping!E:E)</f>
        <v>Xưởng Sản Xuất</v>
      </c>
      <c r="C1359" s="167" t="str">
        <f>_xlfn.XLOOKUP(F1359,Mapping!A:A,Mapping!F:F)</f>
        <v>Phụ Cấp</v>
      </c>
      <c r="D1359" s="173">
        <v>45864</v>
      </c>
      <c r="E1359" s="169" t="s">
        <v>894</v>
      </c>
      <c r="F1359" s="169" t="s">
        <v>375</v>
      </c>
      <c r="G1359" s="169" t="s">
        <v>336</v>
      </c>
      <c r="H1359" s="169" t="s">
        <v>441</v>
      </c>
      <c r="I1359" s="169" t="s">
        <v>442</v>
      </c>
      <c r="J1359" s="169" t="s">
        <v>895</v>
      </c>
      <c r="K1359" s="169" t="s">
        <v>741</v>
      </c>
      <c r="L1359" s="169" t="s">
        <v>882</v>
      </c>
      <c r="M1359" s="169" t="s">
        <v>281</v>
      </c>
      <c r="N1359" s="178">
        <v>400000</v>
      </c>
      <c r="O1359" s="169" t="s">
        <v>896</v>
      </c>
      <c r="P1359" s="169" t="s">
        <v>283</v>
      </c>
      <c r="Q1359" s="169" t="s">
        <v>306</v>
      </c>
      <c r="R1359" s="169" t="s">
        <v>283</v>
      </c>
      <c r="S1359" s="169" t="s">
        <v>283</v>
      </c>
      <c r="T1359" s="169">
        <v>0</v>
      </c>
    </row>
    <row r="1360" spans="1:20" x14ac:dyDescent="0.2">
      <c r="A1360" s="169">
        <v>627</v>
      </c>
      <c r="B1360" s="167" t="str">
        <f>_xlfn.XLOOKUP(I1360,Mapping!D:D,Mapping!E:E)</f>
        <v>Xưởng Sản Xuất</v>
      </c>
      <c r="C1360" s="167" t="str">
        <f>_xlfn.XLOOKUP(F1360,Mapping!A:A,Mapping!F:F)</f>
        <v>Phụ Cấp</v>
      </c>
      <c r="D1360" s="173">
        <v>45864</v>
      </c>
      <c r="E1360" s="169" t="s">
        <v>894</v>
      </c>
      <c r="F1360" s="169" t="s">
        <v>375</v>
      </c>
      <c r="G1360" s="169" t="s">
        <v>336</v>
      </c>
      <c r="H1360" s="169" t="s">
        <v>430</v>
      </c>
      <c r="I1360" s="169" t="s">
        <v>431</v>
      </c>
      <c r="J1360" s="169" t="s">
        <v>895</v>
      </c>
      <c r="K1360" s="169" t="s">
        <v>741</v>
      </c>
      <c r="L1360" s="169" t="s">
        <v>882</v>
      </c>
      <c r="M1360" s="169" t="s">
        <v>281</v>
      </c>
      <c r="N1360" s="178">
        <v>28325000</v>
      </c>
      <c r="O1360" s="169" t="s">
        <v>896</v>
      </c>
      <c r="P1360" s="169" t="s">
        <v>283</v>
      </c>
      <c r="Q1360" s="169" t="s">
        <v>306</v>
      </c>
      <c r="R1360" s="169" t="s">
        <v>283</v>
      </c>
      <c r="S1360" s="169" t="s">
        <v>283</v>
      </c>
      <c r="T1360" s="169">
        <v>0</v>
      </c>
    </row>
    <row r="1361" spans="1:20" x14ac:dyDescent="0.2">
      <c r="A1361" s="169">
        <v>627</v>
      </c>
      <c r="B1361" s="167" t="str">
        <f>_xlfn.XLOOKUP(I1361,Mapping!D:D,Mapping!E:E)</f>
        <v>Xưởng Sản Xuất</v>
      </c>
      <c r="C1361" s="167" t="str">
        <f>_xlfn.XLOOKUP(F1361,Mapping!A:A,Mapping!F:F)</f>
        <v>Phụ Cấp</v>
      </c>
      <c r="D1361" s="173">
        <v>45864</v>
      </c>
      <c r="E1361" s="169" t="s">
        <v>894</v>
      </c>
      <c r="F1361" s="169" t="s">
        <v>375</v>
      </c>
      <c r="G1361" s="169" t="s">
        <v>336</v>
      </c>
      <c r="H1361" s="169" t="s">
        <v>436</v>
      </c>
      <c r="I1361" s="169" t="s">
        <v>437</v>
      </c>
      <c r="J1361" s="169" t="s">
        <v>895</v>
      </c>
      <c r="K1361" s="169" t="s">
        <v>741</v>
      </c>
      <c r="L1361" s="169" t="s">
        <v>882</v>
      </c>
      <c r="M1361" s="169" t="s">
        <v>281</v>
      </c>
      <c r="N1361" s="178">
        <v>25525000</v>
      </c>
      <c r="O1361" s="169" t="s">
        <v>896</v>
      </c>
      <c r="P1361" s="169" t="s">
        <v>283</v>
      </c>
      <c r="Q1361" s="169" t="s">
        <v>306</v>
      </c>
      <c r="R1361" s="169" t="s">
        <v>283</v>
      </c>
      <c r="S1361" s="169" t="s">
        <v>283</v>
      </c>
      <c r="T1361" s="169">
        <v>0</v>
      </c>
    </row>
    <row r="1362" spans="1:20" x14ac:dyDescent="0.2">
      <c r="A1362" s="169">
        <v>627</v>
      </c>
      <c r="B1362" s="167" t="str">
        <f>_xlfn.XLOOKUP(I1362,Mapping!D:D,Mapping!E:E)</f>
        <v>Xưởng Sản Xuất</v>
      </c>
      <c r="C1362" s="167" t="str">
        <f>_xlfn.XLOOKUP(F1362,Mapping!A:A,Mapping!F:F)</f>
        <v>Lương Chính +T13</v>
      </c>
      <c r="D1362" s="173">
        <v>45869</v>
      </c>
      <c r="E1362" s="169" t="s">
        <v>884</v>
      </c>
      <c r="F1362" s="169" t="s">
        <v>388</v>
      </c>
      <c r="G1362" s="169" t="s">
        <v>286</v>
      </c>
      <c r="H1362" s="169" t="s">
        <v>430</v>
      </c>
      <c r="I1362" s="169" t="s">
        <v>431</v>
      </c>
      <c r="J1362" s="169" t="s">
        <v>885</v>
      </c>
      <c r="K1362" s="169" t="s">
        <v>881</v>
      </c>
      <c r="L1362" s="169" t="s">
        <v>882</v>
      </c>
      <c r="M1362" s="169" t="s">
        <v>281</v>
      </c>
      <c r="N1362" s="178">
        <v>12865449</v>
      </c>
      <c r="O1362" s="169" t="s">
        <v>886</v>
      </c>
      <c r="P1362" s="169" t="s">
        <v>283</v>
      </c>
      <c r="Q1362" s="169" t="s">
        <v>284</v>
      </c>
      <c r="R1362" s="169" t="s">
        <v>283</v>
      </c>
      <c r="S1362" s="169" t="s">
        <v>283</v>
      </c>
      <c r="T1362" s="169">
        <v>0</v>
      </c>
    </row>
    <row r="1363" spans="1:20" x14ac:dyDescent="0.2">
      <c r="A1363" s="169">
        <v>622</v>
      </c>
      <c r="B1363" s="167" t="str">
        <f>_xlfn.XLOOKUP(I1363,Mapping!D:D,Mapping!E:E)</f>
        <v>Xưởng Sản Xuất</v>
      </c>
      <c r="C1363" s="167" t="str">
        <f>_xlfn.XLOOKUP(F1363,Mapping!A:A,Mapping!F:F)</f>
        <v>Lương Chính +T13</v>
      </c>
      <c r="D1363" s="173">
        <v>45869</v>
      </c>
      <c r="E1363" s="169" t="s">
        <v>884</v>
      </c>
      <c r="F1363" s="169" t="s">
        <v>420</v>
      </c>
      <c r="G1363" s="169" t="s">
        <v>286</v>
      </c>
      <c r="H1363" s="169" t="s">
        <v>430</v>
      </c>
      <c r="I1363" s="169" t="s">
        <v>431</v>
      </c>
      <c r="J1363" s="169" t="s">
        <v>885</v>
      </c>
      <c r="K1363" s="169" t="s">
        <v>881</v>
      </c>
      <c r="L1363" s="169" t="s">
        <v>882</v>
      </c>
      <c r="M1363" s="169" t="s">
        <v>281</v>
      </c>
      <c r="N1363" s="178">
        <v>19493886</v>
      </c>
      <c r="O1363" s="169" t="s">
        <v>886</v>
      </c>
      <c r="P1363" s="169" t="s">
        <v>283</v>
      </c>
      <c r="Q1363" s="169" t="s">
        <v>284</v>
      </c>
      <c r="R1363" s="169" t="s">
        <v>283</v>
      </c>
      <c r="S1363" s="169" t="s">
        <v>283</v>
      </c>
      <c r="T1363" s="169">
        <v>0</v>
      </c>
    </row>
    <row r="1364" spans="1:20" x14ac:dyDescent="0.2">
      <c r="A1364" s="169">
        <v>627</v>
      </c>
      <c r="B1364" s="167" t="str">
        <f>_xlfn.XLOOKUP(I1364,Mapping!D:D,Mapping!E:E)</f>
        <v>Xưởng Sản Xuất</v>
      </c>
      <c r="C1364" s="167" t="str">
        <f>_xlfn.XLOOKUP(F1364,Mapping!A:A,Mapping!F:F)</f>
        <v>Thưởng</v>
      </c>
      <c r="D1364" s="173">
        <v>45869</v>
      </c>
      <c r="E1364" s="169" t="s">
        <v>884</v>
      </c>
      <c r="F1364" s="169" t="s">
        <v>395</v>
      </c>
      <c r="G1364" s="169" t="s">
        <v>77</v>
      </c>
      <c r="H1364" s="169" t="s">
        <v>430</v>
      </c>
      <c r="I1364" s="169" t="s">
        <v>431</v>
      </c>
      <c r="J1364" s="169" t="s">
        <v>887</v>
      </c>
      <c r="K1364" s="169" t="s">
        <v>881</v>
      </c>
      <c r="L1364" s="169" t="s">
        <v>882</v>
      </c>
      <c r="M1364" s="169" t="s">
        <v>281</v>
      </c>
      <c r="N1364" s="178">
        <v>11408821</v>
      </c>
      <c r="O1364" s="169" t="s">
        <v>886</v>
      </c>
      <c r="P1364" s="169" t="s">
        <v>283</v>
      </c>
      <c r="Q1364" s="169" t="s">
        <v>284</v>
      </c>
      <c r="R1364" s="169" t="s">
        <v>283</v>
      </c>
      <c r="S1364" s="169" t="s">
        <v>283</v>
      </c>
      <c r="T1364" s="169">
        <v>0</v>
      </c>
    </row>
    <row r="1365" spans="1:20" x14ac:dyDescent="0.2">
      <c r="A1365" s="169">
        <v>622</v>
      </c>
      <c r="B1365" s="167" t="str">
        <f>_xlfn.XLOOKUP(I1365,Mapping!D:D,Mapping!E:E)</f>
        <v>Xưởng Sản Xuất</v>
      </c>
      <c r="C1365" s="167" t="str">
        <f>_xlfn.XLOOKUP(F1365,Mapping!A:A,Mapping!F:F)</f>
        <v>Thưởng</v>
      </c>
      <c r="D1365" s="173">
        <v>45869</v>
      </c>
      <c r="E1365" s="169" t="s">
        <v>884</v>
      </c>
      <c r="F1365" s="169" t="s">
        <v>426</v>
      </c>
      <c r="G1365" s="169" t="s">
        <v>77</v>
      </c>
      <c r="H1365" s="169" t="s">
        <v>430</v>
      </c>
      <c r="I1365" s="169" t="s">
        <v>431</v>
      </c>
      <c r="J1365" s="169" t="s">
        <v>887</v>
      </c>
      <c r="K1365" s="169" t="s">
        <v>881</v>
      </c>
      <c r="L1365" s="169" t="s">
        <v>882</v>
      </c>
      <c r="M1365" s="169" t="s">
        <v>281</v>
      </c>
      <c r="N1365" s="178">
        <v>4967261</v>
      </c>
      <c r="O1365" s="169" t="s">
        <v>886</v>
      </c>
      <c r="P1365" s="169" t="s">
        <v>283</v>
      </c>
      <c r="Q1365" s="169" t="s">
        <v>284</v>
      </c>
      <c r="R1365" s="169" t="s">
        <v>283</v>
      </c>
      <c r="S1365" s="169" t="s">
        <v>283</v>
      </c>
      <c r="T1365" s="169">
        <v>0</v>
      </c>
    </row>
    <row r="1366" spans="1:20" x14ac:dyDescent="0.2">
      <c r="A1366" s="169">
        <v>627</v>
      </c>
      <c r="B1366" s="167" t="str">
        <f>_xlfn.XLOOKUP(I1366,Mapping!D:D,Mapping!E:E)</f>
        <v>Xưởng Sản Xuất</v>
      </c>
      <c r="C1366" s="167" t="str">
        <f>_xlfn.XLOOKUP(F1366,Mapping!A:A,Mapping!F:F)</f>
        <v>Lương Chính +T13</v>
      </c>
      <c r="D1366" s="173">
        <v>45869</v>
      </c>
      <c r="E1366" s="169" t="s">
        <v>884</v>
      </c>
      <c r="F1366" s="169" t="s">
        <v>388</v>
      </c>
      <c r="G1366" s="169" t="s">
        <v>286</v>
      </c>
      <c r="H1366" s="169" t="s">
        <v>436</v>
      </c>
      <c r="I1366" s="169" t="s">
        <v>437</v>
      </c>
      <c r="J1366" s="169" t="s">
        <v>885</v>
      </c>
      <c r="K1366" s="169" t="s">
        <v>881</v>
      </c>
      <c r="L1366" s="169" t="s">
        <v>882</v>
      </c>
      <c r="M1366" s="169" t="s">
        <v>281</v>
      </c>
      <c r="N1366" s="178">
        <v>26364035</v>
      </c>
      <c r="O1366" s="169" t="s">
        <v>886</v>
      </c>
      <c r="P1366" s="169" t="s">
        <v>283</v>
      </c>
      <c r="Q1366" s="169" t="s">
        <v>284</v>
      </c>
      <c r="R1366" s="169" t="s">
        <v>283</v>
      </c>
      <c r="S1366" s="169" t="s">
        <v>283</v>
      </c>
      <c r="T1366" s="169">
        <v>0</v>
      </c>
    </row>
    <row r="1367" spans="1:20" x14ac:dyDescent="0.2">
      <c r="A1367" s="169">
        <v>627</v>
      </c>
      <c r="B1367" s="167" t="str">
        <f>_xlfn.XLOOKUP(I1367,Mapping!D:D,Mapping!E:E)</f>
        <v>Xưởng Sản Xuất</v>
      </c>
      <c r="C1367" s="167" t="str">
        <f>_xlfn.XLOOKUP(F1367,Mapping!A:A,Mapping!F:F)</f>
        <v>Thưởng</v>
      </c>
      <c r="D1367" s="173">
        <v>45869</v>
      </c>
      <c r="E1367" s="169" t="s">
        <v>884</v>
      </c>
      <c r="F1367" s="169" t="s">
        <v>395</v>
      </c>
      <c r="G1367" s="169" t="s">
        <v>77</v>
      </c>
      <c r="H1367" s="169" t="s">
        <v>436</v>
      </c>
      <c r="I1367" s="169" t="s">
        <v>437</v>
      </c>
      <c r="J1367" s="169" t="s">
        <v>887</v>
      </c>
      <c r="K1367" s="169" t="s">
        <v>881</v>
      </c>
      <c r="L1367" s="169" t="s">
        <v>882</v>
      </c>
      <c r="M1367" s="169" t="s">
        <v>281</v>
      </c>
      <c r="N1367" s="178">
        <v>16194564</v>
      </c>
      <c r="O1367" s="169" t="s">
        <v>886</v>
      </c>
      <c r="P1367" s="169" t="s">
        <v>283</v>
      </c>
      <c r="Q1367" s="169" t="s">
        <v>284</v>
      </c>
      <c r="R1367" s="169" t="s">
        <v>283</v>
      </c>
      <c r="S1367" s="169" t="s">
        <v>283</v>
      </c>
      <c r="T1367" s="169">
        <v>0</v>
      </c>
    </row>
    <row r="1368" spans="1:20" x14ac:dyDescent="0.2">
      <c r="A1368" s="169">
        <v>622</v>
      </c>
      <c r="B1368" s="167" t="str">
        <f>_xlfn.XLOOKUP(I1368,Mapping!D:D,Mapping!E:E)</f>
        <v>Xưởng Sản Xuất</v>
      </c>
      <c r="C1368" s="167" t="str">
        <f>_xlfn.XLOOKUP(F1368,Mapping!A:A,Mapping!F:F)</f>
        <v>Lương Chính +T13</v>
      </c>
      <c r="D1368" s="173">
        <v>45869</v>
      </c>
      <c r="E1368" s="169" t="s">
        <v>884</v>
      </c>
      <c r="F1368" s="169" t="s">
        <v>420</v>
      </c>
      <c r="G1368" s="169" t="s">
        <v>286</v>
      </c>
      <c r="H1368" s="169" t="s">
        <v>441</v>
      </c>
      <c r="I1368" s="169" t="s">
        <v>442</v>
      </c>
      <c r="J1368" s="169" t="s">
        <v>885</v>
      </c>
      <c r="K1368" s="169" t="s">
        <v>881</v>
      </c>
      <c r="L1368" s="169" t="s">
        <v>882</v>
      </c>
      <c r="M1368" s="169" t="s">
        <v>281</v>
      </c>
      <c r="N1368" s="178">
        <v>531385</v>
      </c>
      <c r="O1368" s="169" t="s">
        <v>886</v>
      </c>
      <c r="P1368" s="169" t="s">
        <v>283</v>
      </c>
      <c r="Q1368" s="169" t="s">
        <v>284</v>
      </c>
      <c r="R1368" s="169" t="s">
        <v>283</v>
      </c>
      <c r="S1368" s="169" t="s">
        <v>283</v>
      </c>
      <c r="T1368" s="169">
        <v>0</v>
      </c>
    </row>
    <row r="1369" spans="1:20" x14ac:dyDescent="0.2">
      <c r="A1369" s="169">
        <v>622</v>
      </c>
      <c r="B1369" s="167" t="str">
        <f>_xlfn.XLOOKUP(I1369,Mapping!D:D,Mapping!E:E)</f>
        <v>Xưởng Sản Xuất</v>
      </c>
      <c r="C1369" s="167" t="str">
        <f>_xlfn.XLOOKUP(F1369,Mapping!A:A,Mapping!F:F)</f>
        <v>Thưởng</v>
      </c>
      <c r="D1369" s="173">
        <v>45869</v>
      </c>
      <c r="E1369" s="169" t="s">
        <v>884</v>
      </c>
      <c r="F1369" s="169" t="s">
        <v>426</v>
      </c>
      <c r="G1369" s="169" t="s">
        <v>77</v>
      </c>
      <c r="H1369" s="169" t="s">
        <v>441</v>
      </c>
      <c r="I1369" s="169" t="s">
        <v>442</v>
      </c>
      <c r="J1369" s="169" t="s">
        <v>887</v>
      </c>
      <c r="K1369" s="169" t="s">
        <v>881</v>
      </c>
      <c r="L1369" s="169" t="s">
        <v>882</v>
      </c>
      <c r="M1369" s="169" t="s">
        <v>281</v>
      </c>
      <c r="N1369" s="178">
        <v>78876</v>
      </c>
      <c r="O1369" s="169" t="s">
        <v>886</v>
      </c>
      <c r="P1369" s="169" t="s">
        <v>283</v>
      </c>
      <c r="Q1369" s="169" t="s">
        <v>284</v>
      </c>
      <c r="R1369" s="169" t="s">
        <v>283</v>
      </c>
      <c r="S1369" s="169" t="s">
        <v>283</v>
      </c>
      <c r="T1369" s="169">
        <v>0</v>
      </c>
    </row>
    <row r="1370" spans="1:20" x14ac:dyDescent="0.2">
      <c r="A1370" s="169">
        <v>622</v>
      </c>
      <c r="B1370" s="167" t="str">
        <f>_xlfn.XLOOKUP(I1370,Mapping!D:D,Mapping!E:E)</f>
        <v>Xưởng Sản Xuất</v>
      </c>
      <c r="C1370" s="167" t="str">
        <f>_xlfn.XLOOKUP(F1370,Mapping!A:A,Mapping!F:F)</f>
        <v>BHXH, BHYT, KPCĐ</v>
      </c>
      <c r="D1370" s="173">
        <v>45869</v>
      </c>
      <c r="E1370" s="169" t="s">
        <v>888</v>
      </c>
      <c r="F1370" s="169" t="s">
        <v>425</v>
      </c>
      <c r="G1370" s="169" t="s">
        <v>296</v>
      </c>
      <c r="H1370" s="169" t="s">
        <v>430</v>
      </c>
      <c r="I1370" s="169" t="s">
        <v>431</v>
      </c>
      <c r="J1370" s="169" t="s">
        <v>889</v>
      </c>
      <c r="K1370" s="169" t="s">
        <v>881</v>
      </c>
      <c r="L1370" s="169" t="s">
        <v>882</v>
      </c>
      <c r="M1370" s="169" t="s">
        <v>281</v>
      </c>
      <c r="N1370" s="178">
        <v>47970845</v>
      </c>
      <c r="O1370" s="169" t="s">
        <v>890</v>
      </c>
      <c r="P1370" s="169" t="s">
        <v>283</v>
      </c>
      <c r="Q1370" s="169" t="s">
        <v>284</v>
      </c>
      <c r="R1370" s="169" t="s">
        <v>283</v>
      </c>
      <c r="S1370" s="169" t="s">
        <v>283</v>
      </c>
      <c r="T1370" s="169">
        <v>0</v>
      </c>
    </row>
    <row r="1371" spans="1:20" x14ac:dyDescent="0.2">
      <c r="A1371" s="169">
        <v>627</v>
      </c>
      <c r="B1371" s="167" t="str">
        <f>_xlfn.XLOOKUP(I1371,Mapping!D:D,Mapping!E:E)</f>
        <v>Xưởng Sản Xuất</v>
      </c>
      <c r="C1371" s="167" t="str">
        <f>_xlfn.XLOOKUP(F1371,Mapping!A:A,Mapping!F:F)</f>
        <v>BHXH, BHYT, KPCĐ</v>
      </c>
      <c r="D1371" s="173">
        <v>45869</v>
      </c>
      <c r="E1371" s="169" t="s">
        <v>888</v>
      </c>
      <c r="F1371" s="169" t="s">
        <v>393</v>
      </c>
      <c r="G1371" s="169" t="s">
        <v>296</v>
      </c>
      <c r="H1371" s="169" t="s">
        <v>430</v>
      </c>
      <c r="I1371" s="169" t="s">
        <v>431</v>
      </c>
      <c r="J1371" s="169" t="s">
        <v>889</v>
      </c>
      <c r="K1371" s="169" t="s">
        <v>881</v>
      </c>
      <c r="L1371" s="169" t="s">
        <v>882</v>
      </c>
      <c r="M1371" s="169" t="s">
        <v>281</v>
      </c>
      <c r="N1371" s="178">
        <v>32155695</v>
      </c>
      <c r="O1371" s="169" t="s">
        <v>890</v>
      </c>
      <c r="P1371" s="169" t="s">
        <v>283</v>
      </c>
      <c r="Q1371" s="169" t="s">
        <v>284</v>
      </c>
      <c r="R1371" s="169" t="s">
        <v>283</v>
      </c>
      <c r="S1371" s="169" t="s">
        <v>283</v>
      </c>
      <c r="T1371" s="169">
        <v>0</v>
      </c>
    </row>
    <row r="1372" spans="1:20" x14ac:dyDescent="0.2">
      <c r="A1372" s="169">
        <v>627</v>
      </c>
      <c r="B1372" s="167" t="str">
        <f>_xlfn.XLOOKUP(I1372,Mapping!D:D,Mapping!E:E)</f>
        <v>Xưởng Sản Xuất</v>
      </c>
      <c r="C1372" s="167" t="str">
        <f>_xlfn.XLOOKUP(F1372,Mapping!A:A,Mapping!F:F)</f>
        <v>BHXH, BHYT, KPCĐ</v>
      </c>
      <c r="D1372" s="173">
        <v>45869</v>
      </c>
      <c r="E1372" s="169" t="s">
        <v>888</v>
      </c>
      <c r="F1372" s="169" t="s">
        <v>393</v>
      </c>
      <c r="G1372" s="169" t="s">
        <v>296</v>
      </c>
      <c r="H1372" s="169" t="s">
        <v>436</v>
      </c>
      <c r="I1372" s="169" t="s">
        <v>437</v>
      </c>
      <c r="J1372" s="169" t="s">
        <v>889</v>
      </c>
      <c r="K1372" s="169" t="s">
        <v>881</v>
      </c>
      <c r="L1372" s="169" t="s">
        <v>882</v>
      </c>
      <c r="M1372" s="169" t="s">
        <v>281</v>
      </c>
      <c r="N1372" s="178">
        <v>54693565</v>
      </c>
      <c r="O1372" s="169" t="s">
        <v>890</v>
      </c>
      <c r="P1372" s="169" t="s">
        <v>283</v>
      </c>
      <c r="Q1372" s="169" t="s">
        <v>284</v>
      </c>
      <c r="R1372" s="169" t="s">
        <v>283</v>
      </c>
      <c r="S1372" s="169" t="s">
        <v>283</v>
      </c>
      <c r="T1372" s="169">
        <v>0</v>
      </c>
    </row>
    <row r="1373" spans="1:20" x14ac:dyDescent="0.2">
      <c r="A1373" s="169">
        <v>622</v>
      </c>
      <c r="B1373" s="167" t="str">
        <f>_xlfn.XLOOKUP(I1373,Mapping!D:D,Mapping!E:E)</f>
        <v>Xưởng Sản Xuất</v>
      </c>
      <c r="C1373" s="167" t="str">
        <f>_xlfn.XLOOKUP(F1373,Mapping!A:A,Mapping!F:F)</f>
        <v>BHXH, BHYT, KPCĐ</v>
      </c>
      <c r="D1373" s="173">
        <v>45869</v>
      </c>
      <c r="E1373" s="169" t="s">
        <v>888</v>
      </c>
      <c r="F1373" s="169" t="s">
        <v>425</v>
      </c>
      <c r="G1373" s="169" t="s">
        <v>296</v>
      </c>
      <c r="H1373" s="169" t="s">
        <v>441</v>
      </c>
      <c r="I1373" s="169" t="s">
        <v>442</v>
      </c>
      <c r="J1373" s="169" t="s">
        <v>889</v>
      </c>
      <c r="K1373" s="169" t="s">
        <v>881</v>
      </c>
      <c r="L1373" s="169" t="s">
        <v>882</v>
      </c>
      <c r="M1373" s="169" t="s">
        <v>281</v>
      </c>
      <c r="N1373" s="178">
        <v>1308480</v>
      </c>
      <c r="O1373" s="169" t="s">
        <v>890</v>
      </c>
      <c r="P1373" s="169" t="s">
        <v>283</v>
      </c>
      <c r="Q1373" s="169" t="s">
        <v>284</v>
      </c>
      <c r="R1373" s="169" t="s">
        <v>283</v>
      </c>
      <c r="S1373" s="169" t="s">
        <v>283</v>
      </c>
      <c r="T1373" s="169">
        <v>0</v>
      </c>
    </row>
    <row r="1374" spans="1:20" x14ac:dyDescent="0.2">
      <c r="A1374" s="169">
        <v>627</v>
      </c>
      <c r="B1374" s="167" t="str">
        <f>_xlfn.XLOOKUP(I1374,Mapping!D:D,Mapping!E:E)</f>
        <v>Xưởng Sản Xuất</v>
      </c>
      <c r="C1374" s="167" t="str">
        <f>_xlfn.XLOOKUP(F1374,Mapping!A:A,Mapping!F:F)</f>
        <v>BHXH, BHYT, KPCĐ</v>
      </c>
      <c r="D1374" s="173">
        <v>45869</v>
      </c>
      <c r="E1374" s="169" t="s">
        <v>891</v>
      </c>
      <c r="F1374" s="169" t="s">
        <v>393</v>
      </c>
      <c r="G1374" s="169" t="s">
        <v>296</v>
      </c>
      <c r="H1374" s="169" t="s">
        <v>436</v>
      </c>
      <c r="I1374" s="169" t="s">
        <v>437</v>
      </c>
      <c r="J1374" s="169" t="s">
        <v>892</v>
      </c>
      <c r="K1374" s="169" t="s">
        <v>881</v>
      </c>
      <c r="L1374" s="169" t="s">
        <v>882</v>
      </c>
      <c r="M1374" s="169" t="s">
        <v>281</v>
      </c>
      <c r="N1374" s="178">
        <v>-2339115</v>
      </c>
      <c r="O1374" s="169" t="s">
        <v>893</v>
      </c>
      <c r="P1374" s="169" t="s">
        <v>283</v>
      </c>
      <c r="Q1374" s="169" t="s">
        <v>284</v>
      </c>
      <c r="R1374" s="169" t="s">
        <v>283</v>
      </c>
      <c r="S1374" s="169" t="s">
        <v>283</v>
      </c>
      <c r="T1374" s="169">
        <v>0</v>
      </c>
    </row>
    <row r="1375" spans="1:20" x14ac:dyDescent="0.2">
      <c r="A1375" s="169">
        <v>622</v>
      </c>
      <c r="B1375" s="167" t="str">
        <f>_xlfn.XLOOKUP(I1375,Mapping!D:D,Mapping!E:E)</f>
        <v>Xưởng Sản Xuất</v>
      </c>
      <c r="C1375" s="167" t="str">
        <f>_xlfn.XLOOKUP(F1375,Mapping!A:A,Mapping!F:F)</f>
        <v>BHXH, BHYT, KPCĐ</v>
      </c>
      <c r="D1375" s="173">
        <v>45869</v>
      </c>
      <c r="E1375" s="169" t="s">
        <v>891</v>
      </c>
      <c r="F1375" s="169" t="s">
        <v>425</v>
      </c>
      <c r="G1375" s="169" t="s">
        <v>296</v>
      </c>
      <c r="H1375" s="169" t="s">
        <v>430</v>
      </c>
      <c r="I1375" s="169" t="s">
        <v>431</v>
      </c>
      <c r="J1375" s="169" t="s">
        <v>892</v>
      </c>
      <c r="K1375" s="169" t="s">
        <v>881</v>
      </c>
      <c r="L1375" s="169" t="s">
        <v>882</v>
      </c>
      <c r="M1375" s="169" t="s">
        <v>281</v>
      </c>
      <c r="N1375" s="178">
        <v>229500</v>
      </c>
      <c r="O1375" s="169" t="s">
        <v>893</v>
      </c>
      <c r="P1375" s="169" t="s">
        <v>283</v>
      </c>
      <c r="Q1375" s="169" t="s">
        <v>284</v>
      </c>
      <c r="R1375" s="169" t="s">
        <v>283</v>
      </c>
      <c r="S1375" s="169" t="s">
        <v>283</v>
      </c>
      <c r="T1375" s="169">
        <v>0</v>
      </c>
    </row>
    <row r="1376" spans="1:20" x14ac:dyDescent="0.2">
      <c r="A1376" s="169">
        <v>627</v>
      </c>
      <c r="B1376" s="167" t="str">
        <f>_xlfn.XLOOKUP(I1376,Mapping!D:D,Mapping!E:E)</f>
        <v>Xưởng Sản Xuất</v>
      </c>
      <c r="C1376" s="167" t="str">
        <f>_xlfn.XLOOKUP(F1376,Mapping!A:A,Mapping!F:F)</f>
        <v>Lương Chính +T13</v>
      </c>
      <c r="D1376" s="173">
        <v>45869</v>
      </c>
      <c r="E1376" s="169" t="s">
        <v>900</v>
      </c>
      <c r="F1376" s="169" t="s">
        <v>387</v>
      </c>
      <c r="G1376" s="169" t="s">
        <v>275</v>
      </c>
      <c r="H1376" s="169" t="s">
        <v>436</v>
      </c>
      <c r="I1376" s="169" t="s">
        <v>437</v>
      </c>
      <c r="J1376" s="169" t="s">
        <v>901</v>
      </c>
      <c r="K1376" s="169" t="s">
        <v>405</v>
      </c>
      <c r="L1376" s="169" t="s">
        <v>882</v>
      </c>
      <c r="M1376" s="169" t="s">
        <v>281</v>
      </c>
      <c r="N1376" s="178">
        <v>3096801</v>
      </c>
      <c r="O1376" s="169" t="s">
        <v>902</v>
      </c>
      <c r="P1376" s="169" t="s">
        <v>283</v>
      </c>
      <c r="Q1376" s="169" t="s">
        <v>306</v>
      </c>
      <c r="R1376" s="169" t="s">
        <v>283</v>
      </c>
      <c r="S1376" s="169" t="s">
        <v>283</v>
      </c>
      <c r="T1376" s="169">
        <v>0</v>
      </c>
    </row>
    <row r="1377" spans="1:20" x14ac:dyDescent="0.2">
      <c r="B1377" s="167" t="str">
        <f>_xlfn.XLOOKUP(I1377,Mapping!D:D,Mapping!E:E)</f>
        <v>Tư vấn dịch vụ</v>
      </c>
      <c r="C1377" s="167" t="str">
        <f>_xlfn.XLOOKUP(F1377,Mapping!A:A,Mapping!F:F)</f>
        <v>Lương Chính +T13</v>
      </c>
      <c r="D1377" s="173">
        <v>45869</v>
      </c>
      <c r="E1377" s="169" t="s">
        <v>949</v>
      </c>
      <c r="F1377" s="169" t="s">
        <v>285</v>
      </c>
      <c r="G1377" s="169" t="s">
        <v>286</v>
      </c>
      <c r="H1377" s="169" t="s">
        <v>443</v>
      </c>
      <c r="I1377" s="169" t="s">
        <v>444</v>
      </c>
      <c r="J1377" s="169" t="s">
        <v>950</v>
      </c>
      <c r="K1377" s="169" t="s">
        <v>951</v>
      </c>
      <c r="L1377" s="169" t="s">
        <v>882</v>
      </c>
      <c r="M1377" s="169" t="s">
        <v>281</v>
      </c>
      <c r="N1377" s="178">
        <v>-93749999</v>
      </c>
      <c r="O1377" s="169" t="s">
        <v>952</v>
      </c>
      <c r="P1377" s="169" t="s">
        <v>283</v>
      </c>
      <c r="Q1377" s="169" t="s">
        <v>284</v>
      </c>
      <c r="R1377" s="169" t="s">
        <v>283</v>
      </c>
      <c r="S1377" s="169" t="s">
        <v>283</v>
      </c>
      <c r="T1377" s="169">
        <v>0</v>
      </c>
    </row>
    <row r="1378" spans="1:20" x14ac:dyDescent="0.2">
      <c r="B1378" s="167" t="str">
        <f>_xlfn.XLOOKUP(I1378,Mapping!D:D,Mapping!E:E)</f>
        <v>Tư vấn dịch vụ</v>
      </c>
      <c r="C1378" s="167" t="str">
        <f>_xlfn.XLOOKUP(F1378,Mapping!A:A,Mapping!F:F)</f>
        <v>Thưởng</v>
      </c>
      <c r="D1378" s="173">
        <v>45869</v>
      </c>
      <c r="E1378" s="169" t="s">
        <v>949</v>
      </c>
      <c r="F1378" s="169" t="s">
        <v>292</v>
      </c>
      <c r="G1378" s="169" t="s">
        <v>77</v>
      </c>
      <c r="H1378" s="169" t="s">
        <v>443</v>
      </c>
      <c r="I1378" s="169" t="s">
        <v>444</v>
      </c>
      <c r="J1378" s="169" t="s">
        <v>953</v>
      </c>
      <c r="K1378" s="169" t="s">
        <v>951</v>
      </c>
      <c r="L1378" s="169" t="s">
        <v>882</v>
      </c>
      <c r="M1378" s="169" t="s">
        <v>281</v>
      </c>
      <c r="N1378" s="178">
        <v>-86249250</v>
      </c>
      <c r="O1378" s="169" t="s">
        <v>952</v>
      </c>
      <c r="P1378" s="169" t="s">
        <v>283</v>
      </c>
      <c r="Q1378" s="169" t="s">
        <v>284</v>
      </c>
      <c r="R1378" s="169" t="s">
        <v>283</v>
      </c>
      <c r="S1378" s="169" t="s">
        <v>283</v>
      </c>
      <c r="T1378" s="169">
        <v>0</v>
      </c>
    </row>
    <row r="1379" spans="1:20" x14ac:dyDescent="0.2">
      <c r="A1379" s="169">
        <v>622</v>
      </c>
      <c r="B1379" s="167" t="str">
        <f>_xlfn.XLOOKUP(I1379,Mapping!D:D,Mapping!E:E)</f>
        <v>Xưởng Sản Xuất</v>
      </c>
      <c r="C1379" s="167" t="str">
        <f>_xlfn.XLOOKUP(F1379,Mapping!A:A,Mapping!F:F)</f>
        <v>Phụ Cấp</v>
      </c>
      <c r="D1379" s="173">
        <v>45869</v>
      </c>
      <c r="E1379" s="169" t="s">
        <v>943</v>
      </c>
      <c r="F1379" s="169" t="s">
        <v>414</v>
      </c>
      <c r="G1379" s="169" t="s">
        <v>415</v>
      </c>
      <c r="H1379" s="169" t="s">
        <v>441</v>
      </c>
      <c r="I1379" s="169" t="s">
        <v>442</v>
      </c>
      <c r="J1379" s="169" t="s">
        <v>416</v>
      </c>
      <c r="K1379" s="169" t="s">
        <v>416</v>
      </c>
      <c r="L1379" s="169" t="s">
        <v>882</v>
      </c>
      <c r="M1379" s="169" t="s">
        <v>281</v>
      </c>
      <c r="N1379" s="178">
        <v>400000</v>
      </c>
      <c r="O1379" s="169" t="s">
        <v>944</v>
      </c>
      <c r="P1379" s="169" t="s">
        <v>283</v>
      </c>
      <c r="Q1379" s="169" t="s">
        <v>348</v>
      </c>
      <c r="R1379" s="169" t="s">
        <v>283</v>
      </c>
      <c r="S1379" s="169" t="s">
        <v>283</v>
      </c>
      <c r="T1379" s="169">
        <v>0</v>
      </c>
    </row>
    <row r="1380" spans="1:20" x14ac:dyDescent="0.2">
      <c r="A1380" s="169">
        <v>627</v>
      </c>
      <c r="B1380" s="167" t="str">
        <f>_xlfn.XLOOKUP(I1380,Mapping!D:D,Mapping!E:E)</f>
        <v>Xưởng Sản Xuất</v>
      </c>
      <c r="C1380" s="167" t="str">
        <f>_xlfn.XLOOKUP(F1380,Mapping!A:A,Mapping!F:F)</f>
        <v>Phụ Cấp</v>
      </c>
      <c r="D1380" s="173">
        <v>45869</v>
      </c>
      <c r="E1380" s="169" t="s">
        <v>943</v>
      </c>
      <c r="F1380" s="169" t="s">
        <v>375</v>
      </c>
      <c r="G1380" s="169" t="s">
        <v>336</v>
      </c>
      <c r="H1380" s="169" t="s">
        <v>441</v>
      </c>
      <c r="I1380" s="169" t="s">
        <v>442</v>
      </c>
      <c r="J1380" s="169" t="s">
        <v>416</v>
      </c>
      <c r="K1380" s="169" t="s">
        <v>416</v>
      </c>
      <c r="L1380" s="169" t="s">
        <v>882</v>
      </c>
      <c r="M1380" s="169" t="s">
        <v>281</v>
      </c>
      <c r="N1380" s="178">
        <v>-400000</v>
      </c>
      <c r="O1380" s="169" t="s">
        <v>944</v>
      </c>
      <c r="P1380" s="169" t="s">
        <v>283</v>
      </c>
      <c r="Q1380" s="169" t="s">
        <v>348</v>
      </c>
      <c r="R1380" s="169" t="s">
        <v>283</v>
      </c>
      <c r="S1380" s="169" t="s">
        <v>283</v>
      </c>
      <c r="T1380" s="169">
        <v>0</v>
      </c>
    </row>
    <row r="1381" spans="1:20" x14ac:dyDescent="0.2">
      <c r="A1381" s="169">
        <v>622</v>
      </c>
      <c r="B1381" s="167" t="str">
        <f>_xlfn.XLOOKUP(I1381,Mapping!D:D,Mapping!E:E)</f>
        <v>Xưởng Sản Xuất</v>
      </c>
      <c r="C1381" s="167" t="str">
        <f>_xlfn.XLOOKUP(F1381,Mapping!A:A,Mapping!F:F)</f>
        <v>Phụ Cấp</v>
      </c>
      <c r="D1381" s="173">
        <v>45869</v>
      </c>
      <c r="E1381" s="169" t="s">
        <v>943</v>
      </c>
      <c r="F1381" s="169" t="s">
        <v>414</v>
      </c>
      <c r="G1381" s="169" t="s">
        <v>415</v>
      </c>
      <c r="H1381" s="169" t="s">
        <v>441</v>
      </c>
      <c r="I1381" s="169" t="s">
        <v>442</v>
      </c>
      <c r="J1381" s="169" t="s">
        <v>416</v>
      </c>
      <c r="K1381" s="169" t="s">
        <v>416</v>
      </c>
      <c r="L1381" s="169" t="s">
        <v>882</v>
      </c>
      <c r="M1381" s="169" t="s">
        <v>281</v>
      </c>
      <c r="N1381" s="178">
        <v>100000</v>
      </c>
      <c r="O1381" s="169" t="s">
        <v>944</v>
      </c>
      <c r="P1381" s="169" t="s">
        <v>283</v>
      </c>
      <c r="Q1381" s="169" t="s">
        <v>348</v>
      </c>
      <c r="R1381" s="169" t="s">
        <v>283</v>
      </c>
      <c r="S1381" s="169" t="s">
        <v>283</v>
      </c>
      <c r="T1381" s="169">
        <v>0</v>
      </c>
    </row>
    <row r="1382" spans="1:20" x14ac:dyDescent="0.2">
      <c r="A1382" s="169">
        <v>627</v>
      </c>
      <c r="B1382" s="167" t="str">
        <f>_xlfn.XLOOKUP(I1382,Mapping!D:D,Mapping!E:E)</f>
        <v>Xưởng Sản Xuất</v>
      </c>
      <c r="C1382" s="167" t="str">
        <f>_xlfn.XLOOKUP(F1382,Mapping!A:A,Mapping!F:F)</f>
        <v>Phụ Cấp</v>
      </c>
      <c r="D1382" s="173">
        <v>45869</v>
      </c>
      <c r="E1382" s="169" t="s">
        <v>943</v>
      </c>
      <c r="F1382" s="169" t="s">
        <v>375</v>
      </c>
      <c r="G1382" s="169" t="s">
        <v>336</v>
      </c>
      <c r="H1382" s="169" t="s">
        <v>430</v>
      </c>
      <c r="I1382" s="169" t="s">
        <v>431</v>
      </c>
      <c r="J1382" s="169" t="s">
        <v>416</v>
      </c>
      <c r="K1382" s="169" t="s">
        <v>416</v>
      </c>
      <c r="L1382" s="169" t="s">
        <v>882</v>
      </c>
      <c r="M1382" s="169" t="s">
        <v>281</v>
      </c>
      <c r="N1382" s="178">
        <v>-100000</v>
      </c>
      <c r="O1382" s="169" t="s">
        <v>944</v>
      </c>
      <c r="P1382" s="169" t="s">
        <v>283</v>
      </c>
      <c r="Q1382" s="169" t="s">
        <v>348</v>
      </c>
      <c r="R1382" s="169" t="s">
        <v>283</v>
      </c>
      <c r="S1382" s="169" t="s">
        <v>283</v>
      </c>
      <c r="T1382" s="169">
        <v>0</v>
      </c>
    </row>
    <row r="1383" spans="1:20" x14ac:dyDescent="0.2">
      <c r="A1383" s="169">
        <v>622</v>
      </c>
      <c r="B1383" s="167" t="str">
        <f>_xlfn.XLOOKUP(I1383,Mapping!D:D,Mapping!E:E)</f>
        <v>Xưởng Sản Xuất</v>
      </c>
      <c r="C1383" s="167" t="str">
        <f>_xlfn.XLOOKUP(F1383,Mapping!A:A,Mapping!F:F)</f>
        <v>Phụ Cấp</v>
      </c>
      <c r="D1383" s="173">
        <v>45869</v>
      </c>
      <c r="E1383" s="169" t="s">
        <v>943</v>
      </c>
      <c r="F1383" s="169" t="s">
        <v>414</v>
      </c>
      <c r="G1383" s="169" t="s">
        <v>415</v>
      </c>
      <c r="H1383" s="169" t="s">
        <v>430</v>
      </c>
      <c r="I1383" s="169" t="s">
        <v>431</v>
      </c>
      <c r="J1383" s="169" t="s">
        <v>416</v>
      </c>
      <c r="K1383" s="169" t="s">
        <v>416</v>
      </c>
      <c r="L1383" s="169" t="s">
        <v>882</v>
      </c>
      <c r="M1383" s="169" t="s">
        <v>281</v>
      </c>
      <c r="N1383" s="178">
        <v>22125000</v>
      </c>
      <c r="O1383" s="169" t="s">
        <v>944</v>
      </c>
      <c r="P1383" s="169" t="s">
        <v>283</v>
      </c>
      <c r="Q1383" s="169" t="s">
        <v>348</v>
      </c>
      <c r="R1383" s="169" t="s">
        <v>283</v>
      </c>
      <c r="S1383" s="169" t="s">
        <v>283</v>
      </c>
      <c r="T1383" s="169">
        <v>0</v>
      </c>
    </row>
    <row r="1384" spans="1:20" x14ac:dyDescent="0.2">
      <c r="A1384" s="169">
        <v>627</v>
      </c>
      <c r="B1384" s="167" t="str">
        <f>_xlfn.XLOOKUP(I1384,Mapping!D:D,Mapping!E:E)</f>
        <v>Xưởng Sản Xuất</v>
      </c>
      <c r="C1384" s="167" t="str">
        <f>_xlfn.XLOOKUP(F1384,Mapping!A:A,Mapping!F:F)</f>
        <v>Phụ Cấp</v>
      </c>
      <c r="D1384" s="173">
        <v>45869</v>
      </c>
      <c r="E1384" s="169" t="s">
        <v>943</v>
      </c>
      <c r="F1384" s="169" t="s">
        <v>375</v>
      </c>
      <c r="G1384" s="169" t="s">
        <v>336</v>
      </c>
      <c r="H1384" s="169" t="s">
        <v>430</v>
      </c>
      <c r="I1384" s="169" t="s">
        <v>431</v>
      </c>
      <c r="J1384" s="169" t="s">
        <v>416</v>
      </c>
      <c r="K1384" s="169" t="s">
        <v>416</v>
      </c>
      <c r="L1384" s="169" t="s">
        <v>882</v>
      </c>
      <c r="M1384" s="169" t="s">
        <v>281</v>
      </c>
      <c r="N1384" s="178">
        <v>-22125000</v>
      </c>
      <c r="O1384" s="169" t="s">
        <v>944</v>
      </c>
      <c r="P1384" s="169" t="s">
        <v>283</v>
      </c>
      <c r="Q1384" s="169" t="s">
        <v>348</v>
      </c>
      <c r="R1384" s="169" t="s">
        <v>283</v>
      </c>
      <c r="S1384" s="169" t="s">
        <v>283</v>
      </c>
      <c r="T1384" s="169">
        <v>0</v>
      </c>
    </row>
    <row r="1385" spans="1:20" x14ac:dyDescent="0.2">
      <c r="A1385" s="169" t="str">
        <f>LEFT(F1385,3)</f>
        <v>642</v>
      </c>
      <c r="B1385" s="167" t="str">
        <f>_xlfn.XLOOKUP(I1385,Mapping!D:D,Mapping!E:E)</f>
        <v>Hành Chánh Nhân Sự</v>
      </c>
      <c r="C1385" s="167" t="str">
        <f>_xlfn.XLOOKUP(F1385,Mapping!A:A,Mapping!F:F)</f>
        <v>Khen thưởng BD khác</v>
      </c>
      <c r="D1385" s="173">
        <v>45874</v>
      </c>
      <c r="E1385" s="169" t="s">
        <v>954</v>
      </c>
      <c r="F1385" s="169" t="s">
        <v>300</v>
      </c>
      <c r="G1385" s="169" t="s">
        <v>222</v>
      </c>
      <c r="H1385" s="169" t="s">
        <v>382</v>
      </c>
      <c r="I1385" s="169" t="s">
        <v>200</v>
      </c>
      <c r="J1385" s="169" t="s">
        <v>955</v>
      </c>
      <c r="K1385" s="169" t="s">
        <v>955</v>
      </c>
      <c r="L1385" s="169" t="s">
        <v>956</v>
      </c>
      <c r="M1385" s="169" t="s">
        <v>281</v>
      </c>
      <c r="N1385" s="178">
        <v>2500000</v>
      </c>
      <c r="O1385" s="169" t="s">
        <v>957</v>
      </c>
      <c r="P1385" s="169" t="s">
        <v>283</v>
      </c>
      <c r="Q1385" s="169" t="s">
        <v>911</v>
      </c>
      <c r="R1385" s="169" t="s">
        <v>283</v>
      </c>
      <c r="S1385" s="169" t="s">
        <v>283</v>
      </c>
      <c r="T1385" s="169">
        <v>0</v>
      </c>
    </row>
    <row r="1386" spans="1:20" x14ac:dyDescent="0.2">
      <c r="A1386" s="169" t="str">
        <f t="shared" ref="A1386:A1449" si="0">LEFT(F1386,3)</f>
        <v>622</v>
      </c>
      <c r="B1386" s="167" t="str">
        <f>_xlfn.XLOOKUP(I1386,Mapping!D:D,Mapping!E:E)</f>
        <v>Xưởng Sản Xuất</v>
      </c>
      <c r="C1386" s="167" t="str">
        <f>_xlfn.XLOOKUP(F1386,Mapping!A:A,Mapping!F:F)</f>
        <v>Lương Chính +T13</v>
      </c>
      <c r="D1386" s="173">
        <v>45870</v>
      </c>
      <c r="E1386" s="169" t="s">
        <v>958</v>
      </c>
      <c r="F1386" s="169" t="s">
        <v>400</v>
      </c>
      <c r="G1386" s="169" t="s">
        <v>401</v>
      </c>
      <c r="H1386" s="169" t="s">
        <v>402</v>
      </c>
      <c r="I1386" s="169" t="s">
        <v>403</v>
      </c>
      <c r="J1386" s="169" t="s">
        <v>959</v>
      </c>
      <c r="K1386" s="169" t="s">
        <v>405</v>
      </c>
      <c r="L1386" s="169" t="s">
        <v>956</v>
      </c>
      <c r="M1386" s="169" t="s">
        <v>281</v>
      </c>
      <c r="N1386" s="178">
        <v>1650000</v>
      </c>
      <c r="O1386" s="169" t="s">
        <v>960</v>
      </c>
      <c r="P1386" s="169" t="s">
        <v>283</v>
      </c>
      <c r="Q1386" s="169" t="s">
        <v>306</v>
      </c>
      <c r="R1386" s="169" t="s">
        <v>283</v>
      </c>
      <c r="S1386" s="169" t="s">
        <v>283</v>
      </c>
      <c r="T1386" s="169">
        <v>0</v>
      </c>
    </row>
    <row r="1387" spans="1:20" x14ac:dyDescent="0.2">
      <c r="A1387" s="169" t="str">
        <f t="shared" si="0"/>
        <v>642</v>
      </c>
      <c r="B1387" s="167" t="str">
        <f>_xlfn.XLOOKUP(I1387,Mapping!D:D,Mapping!E:E)</f>
        <v>Hành Chánh Nhân Sự</v>
      </c>
      <c r="C1387" s="167" t="str">
        <f>_xlfn.XLOOKUP(F1387,Mapping!A:A,Mapping!F:F)</f>
        <v>Khen thưởng BD khác</v>
      </c>
      <c r="D1387" s="173">
        <v>45895</v>
      </c>
      <c r="E1387" s="169" t="s">
        <v>961</v>
      </c>
      <c r="F1387" s="169" t="s">
        <v>300</v>
      </c>
      <c r="G1387" s="169" t="s">
        <v>222</v>
      </c>
      <c r="H1387" s="169" t="s">
        <v>358</v>
      </c>
      <c r="I1387" s="169" t="s">
        <v>359</v>
      </c>
      <c r="J1387" s="169" t="s">
        <v>962</v>
      </c>
      <c r="K1387" s="169" t="s">
        <v>962</v>
      </c>
      <c r="L1387" s="169" t="s">
        <v>956</v>
      </c>
      <c r="M1387" s="169" t="s">
        <v>281</v>
      </c>
      <c r="N1387" s="178">
        <v>1500000</v>
      </c>
      <c r="O1387" s="169" t="s">
        <v>963</v>
      </c>
      <c r="P1387" s="169" t="s">
        <v>283</v>
      </c>
      <c r="Q1387" s="169" t="s">
        <v>964</v>
      </c>
      <c r="R1387" s="169" t="s">
        <v>283</v>
      </c>
      <c r="S1387" s="169" t="s">
        <v>283</v>
      </c>
      <c r="T1387" s="169">
        <v>0</v>
      </c>
    </row>
    <row r="1388" spans="1:20" x14ac:dyDescent="0.2">
      <c r="A1388" s="169" t="str">
        <f t="shared" si="0"/>
        <v>627</v>
      </c>
      <c r="B1388" s="167" t="str">
        <f>_xlfn.XLOOKUP(I1388,Mapping!D:D,Mapping!E:E)</f>
        <v>Xưởng Sản Xuất</v>
      </c>
      <c r="C1388" s="167" t="str">
        <f>_xlfn.XLOOKUP(F1388,Mapping!A:A,Mapping!F:F)</f>
        <v>Khen thưởng BD khác</v>
      </c>
      <c r="D1388" s="173">
        <v>45894</v>
      </c>
      <c r="E1388" s="169" t="s">
        <v>965</v>
      </c>
      <c r="F1388" s="169" t="s">
        <v>435</v>
      </c>
      <c r="G1388" s="169" t="s">
        <v>222</v>
      </c>
      <c r="H1388" s="169" t="s">
        <v>436</v>
      </c>
      <c r="I1388" s="169" t="s">
        <v>437</v>
      </c>
      <c r="J1388" s="169" t="s">
        <v>966</v>
      </c>
      <c r="K1388" s="169" t="s">
        <v>967</v>
      </c>
      <c r="L1388" s="169" t="s">
        <v>956</v>
      </c>
      <c r="M1388" s="169" t="s">
        <v>281</v>
      </c>
      <c r="N1388" s="178">
        <v>8950000</v>
      </c>
      <c r="O1388" s="169" t="s">
        <v>968</v>
      </c>
      <c r="P1388" s="169" t="s">
        <v>283</v>
      </c>
      <c r="Q1388" s="169" t="s">
        <v>964</v>
      </c>
      <c r="R1388" s="169" t="s">
        <v>283</v>
      </c>
      <c r="S1388" s="169" t="s">
        <v>283</v>
      </c>
      <c r="T1388" s="169">
        <v>0</v>
      </c>
    </row>
    <row r="1389" spans="1:20" x14ac:dyDescent="0.2">
      <c r="A1389" s="169" t="str">
        <f t="shared" si="0"/>
        <v>641</v>
      </c>
      <c r="B1389" s="167" t="str">
        <f>_xlfn.XLOOKUP(I1389,Mapping!D:D,Mapping!E:E)</f>
        <v>Kinh doanh</v>
      </c>
      <c r="C1389" s="167" t="str">
        <f>_xlfn.XLOOKUP(F1389,Mapping!A:A,Mapping!F:F)</f>
        <v>Lương Chính +T13</v>
      </c>
      <c r="D1389" s="173">
        <v>45880</v>
      </c>
      <c r="E1389" s="169" t="s">
        <v>969</v>
      </c>
      <c r="F1389" s="169" t="s">
        <v>383</v>
      </c>
      <c r="G1389" s="169" t="s">
        <v>275</v>
      </c>
      <c r="H1389" s="169" t="s">
        <v>366</v>
      </c>
      <c r="I1389" s="169" t="s">
        <v>1</v>
      </c>
      <c r="J1389" s="169" t="s">
        <v>970</v>
      </c>
      <c r="K1389" s="169" t="s">
        <v>971</v>
      </c>
      <c r="L1389" s="169" t="s">
        <v>956</v>
      </c>
      <c r="M1389" s="169" t="s">
        <v>281</v>
      </c>
      <c r="N1389" s="178">
        <v>105600000</v>
      </c>
      <c r="O1389" s="169" t="s">
        <v>972</v>
      </c>
      <c r="P1389" s="169" t="s">
        <v>283</v>
      </c>
      <c r="Q1389" s="169" t="s">
        <v>973</v>
      </c>
      <c r="R1389" s="169" t="s">
        <v>283</v>
      </c>
      <c r="S1389" s="169" t="s">
        <v>283</v>
      </c>
      <c r="T1389" s="169">
        <v>0</v>
      </c>
    </row>
    <row r="1390" spans="1:20" x14ac:dyDescent="0.2">
      <c r="A1390" s="169" t="str">
        <f t="shared" si="0"/>
        <v>641</v>
      </c>
      <c r="B1390" s="167" t="str">
        <f>_xlfn.XLOOKUP(I1390,Mapping!D:D,Mapping!E:E)</f>
        <v>Kinh doanh</v>
      </c>
      <c r="C1390" s="167" t="str">
        <f>_xlfn.XLOOKUP(F1390,Mapping!A:A,Mapping!F:F)</f>
        <v>Lương Chính +T13</v>
      </c>
      <c r="D1390" s="173">
        <v>45895</v>
      </c>
      <c r="E1390" s="169" t="s">
        <v>974</v>
      </c>
      <c r="F1390" s="169" t="s">
        <v>383</v>
      </c>
      <c r="G1390" s="169" t="s">
        <v>275</v>
      </c>
      <c r="H1390" s="169" t="s">
        <v>366</v>
      </c>
      <c r="I1390" s="169" t="s">
        <v>1</v>
      </c>
      <c r="J1390" s="169" t="s">
        <v>975</v>
      </c>
      <c r="K1390" s="169" t="s">
        <v>971</v>
      </c>
      <c r="L1390" s="169" t="s">
        <v>956</v>
      </c>
      <c r="M1390" s="169" t="s">
        <v>281</v>
      </c>
      <c r="N1390" s="178">
        <v>105960000</v>
      </c>
      <c r="O1390" s="169" t="s">
        <v>976</v>
      </c>
      <c r="P1390" s="169" t="s">
        <v>283</v>
      </c>
      <c r="Q1390" s="169" t="s">
        <v>973</v>
      </c>
      <c r="R1390" s="169" t="s">
        <v>283</v>
      </c>
      <c r="S1390" s="169" t="s">
        <v>283</v>
      </c>
      <c r="T1390" s="169">
        <v>0</v>
      </c>
    </row>
    <row r="1391" spans="1:20" x14ac:dyDescent="0.2">
      <c r="A1391" s="169" t="str">
        <f t="shared" si="0"/>
        <v>642</v>
      </c>
      <c r="B1391" s="167" t="str">
        <f>_xlfn.XLOOKUP(I1391,Mapping!D:D,Mapping!E:E)</f>
        <v>Cung Ứng</v>
      </c>
      <c r="C1391" s="167" t="str">
        <f>_xlfn.XLOOKUP(F1391,Mapping!A:A,Mapping!F:F)</f>
        <v>Khen thưởng BD khác</v>
      </c>
      <c r="D1391" s="173">
        <v>45896</v>
      </c>
      <c r="E1391" s="169" t="s">
        <v>977</v>
      </c>
      <c r="F1391" s="169" t="s">
        <v>300</v>
      </c>
      <c r="G1391" s="169" t="s">
        <v>222</v>
      </c>
      <c r="H1391" s="169" t="s">
        <v>380</v>
      </c>
      <c r="I1391" s="169" t="s">
        <v>381</v>
      </c>
      <c r="J1391" s="169" t="s">
        <v>978</v>
      </c>
      <c r="K1391" s="169" t="s">
        <v>978</v>
      </c>
      <c r="L1391" s="169" t="s">
        <v>956</v>
      </c>
      <c r="M1391" s="169" t="s">
        <v>281</v>
      </c>
      <c r="N1391" s="178">
        <v>5800000</v>
      </c>
      <c r="O1391" s="169" t="s">
        <v>979</v>
      </c>
      <c r="P1391" s="169" t="s">
        <v>283</v>
      </c>
      <c r="Q1391" s="169" t="s">
        <v>306</v>
      </c>
      <c r="R1391" s="169" t="s">
        <v>283</v>
      </c>
      <c r="S1391" s="169" t="s">
        <v>283</v>
      </c>
      <c r="T1391" s="169">
        <v>0</v>
      </c>
    </row>
    <row r="1392" spans="1:20" x14ac:dyDescent="0.2">
      <c r="A1392" s="169" t="str">
        <f t="shared" si="0"/>
        <v>627</v>
      </c>
      <c r="B1392" s="167" t="str">
        <f>_xlfn.XLOOKUP(I1392,Mapping!D:D,Mapping!E:E)</f>
        <v>Kỹ Thuật</v>
      </c>
      <c r="C1392" s="167" t="str">
        <f>_xlfn.XLOOKUP(F1392,Mapping!A:A,Mapping!F:F)</f>
        <v>Khen thưởng BD khác</v>
      </c>
      <c r="D1392" s="173">
        <v>45896</v>
      </c>
      <c r="E1392" s="169" t="s">
        <v>977</v>
      </c>
      <c r="F1392" s="169" t="s">
        <v>435</v>
      </c>
      <c r="G1392" s="169" t="s">
        <v>222</v>
      </c>
      <c r="H1392" s="169" t="s">
        <v>376</v>
      </c>
      <c r="I1392" s="169" t="s">
        <v>377</v>
      </c>
      <c r="J1392" s="169" t="s">
        <v>978</v>
      </c>
      <c r="K1392" s="169" t="s">
        <v>978</v>
      </c>
      <c r="L1392" s="169" t="s">
        <v>956</v>
      </c>
      <c r="M1392" s="169" t="s">
        <v>281</v>
      </c>
      <c r="N1392" s="178">
        <v>5600000</v>
      </c>
      <c r="O1392" s="169" t="s">
        <v>979</v>
      </c>
      <c r="P1392" s="169" t="s">
        <v>283</v>
      </c>
      <c r="Q1392" s="169" t="s">
        <v>306</v>
      </c>
      <c r="R1392" s="169" t="s">
        <v>283</v>
      </c>
      <c r="S1392" s="169" t="s">
        <v>283</v>
      </c>
      <c r="T1392" s="169">
        <v>0</v>
      </c>
    </row>
    <row r="1393" spans="1:20" x14ac:dyDescent="0.2">
      <c r="A1393" s="169" t="str">
        <f t="shared" si="0"/>
        <v>627</v>
      </c>
      <c r="B1393" s="167" t="str">
        <f>_xlfn.XLOOKUP(I1393,Mapping!D:D,Mapping!E:E)</f>
        <v>Kiểm Soát Chất Lượng</v>
      </c>
      <c r="C1393" s="167" t="str">
        <f>_xlfn.XLOOKUP(F1393,Mapping!A:A,Mapping!F:F)</f>
        <v>Khen thưởng BD khác</v>
      </c>
      <c r="D1393" s="173">
        <v>45896</v>
      </c>
      <c r="E1393" s="169" t="s">
        <v>977</v>
      </c>
      <c r="F1393" s="169" t="s">
        <v>435</v>
      </c>
      <c r="G1393" s="169" t="s">
        <v>222</v>
      </c>
      <c r="H1393" s="169" t="s">
        <v>411</v>
      </c>
      <c r="I1393" s="169" t="s">
        <v>412</v>
      </c>
      <c r="J1393" s="169" t="s">
        <v>978</v>
      </c>
      <c r="K1393" s="169" t="s">
        <v>978</v>
      </c>
      <c r="L1393" s="169" t="s">
        <v>956</v>
      </c>
      <c r="M1393" s="169" t="s">
        <v>281</v>
      </c>
      <c r="N1393" s="178">
        <v>10800000</v>
      </c>
      <c r="O1393" s="169" t="s">
        <v>979</v>
      </c>
      <c r="P1393" s="169" t="s">
        <v>283</v>
      </c>
      <c r="Q1393" s="169" t="s">
        <v>306</v>
      </c>
      <c r="R1393" s="169" t="s">
        <v>283</v>
      </c>
      <c r="S1393" s="169" t="s">
        <v>283</v>
      </c>
      <c r="T1393" s="169">
        <v>0</v>
      </c>
    </row>
    <row r="1394" spans="1:20" x14ac:dyDescent="0.2">
      <c r="A1394" s="169" t="str">
        <f t="shared" si="0"/>
        <v>627</v>
      </c>
      <c r="B1394" s="167" t="str">
        <f>_xlfn.XLOOKUP(I1394,Mapping!D:D,Mapping!E:E)</f>
        <v>Nghiên Cứu &amp; Phát Triển</v>
      </c>
      <c r="C1394" s="167" t="str">
        <f>_xlfn.XLOOKUP(F1394,Mapping!A:A,Mapping!F:F)</f>
        <v>Khen thưởng BD khác</v>
      </c>
      <c r="D1394" s="173">
        <v>45896</v>
      </c>
      <c r="E1394" s="169" t="s">
        <v>977</v>
      </c>
      <c r="F1394" s="169" t="s">
        <v>435</v>
      </c>
      <c r="G1394" s="169" t="s">
        <v>222</v>
      </c>
      <c r="H1394" s="169" t="s">
        <v>418</v>
      </c>
      <c r="I1394" s="169" t="s">
        <v>419</v>
      </c>
      <c r="J1394" s="169" t="s">
        <v>978</v>
      </c>
      <c r="K1394" s="169" t="s">
        <v>978</v>
      </c>
      <c r="L1394" s="169" t="s">
        <v>956</v>
      </c>
      <c r="M1394" s="169" t="s">
        <v>281</v>
      </c>
      <c r="N1394" s="178">
        <v>4000000</v>
      </c>
      <c r="O1394" s="169" t="s">
        <v>979</v>
      </c>
      <c r="P1394" s="169" t="s">
        <v>283</v>
      </c>
      <c r="Q1394" s="169" t="s">
        <v>306</v>
      </c>
      <c r="R1394" s="169" t="s">
        <v>283</v>
      </c>
      <c r="S1394" s="169" t="s">
        <v>283</v>
      </c>
      <c r="T1394" s="169">
        <v>0</v>
      </c>
    </row>
    <row r="1395" spans="1:20" x14ac:dyDescent="0.2">
      <c r="A1395" s="169" t="str">
        <f t="shared" si="0"/>
        <v>627</v>
      </c>
      <c r="B1395" s="167" t="str">
        <f>_xlfn.XLOOKUP(I1395,Mapping!D:D,Mapping!E:E)</f>
        <v>Xưởng Sản Xuất</v>
      </c>
      <c r="C1395" s="167" t="str">
        <f>_xlfn.XLOOKUP(F1395,Mapping!A:A,Mapping!F:F)</f>
        <v>Khen thưởng BD khác</v>
      </c>
      <c r="D1395" s="173">
        <v>45896</v>
      </c>
      <c r="E1395" s="169" t="s">
        <v>977</v>
      </c>
      <c r="F1395" s="169" t="s">
        <v>435</v>
      </c>
      <c r="G1395" s="169" t="s">
        <v>222</v>
      </c>
      <c r="H1395" s="169" t="s">
        <v>430</v>
      </c>
      <c r="I1395" s="169" t="s">
        <v>431</v>
      </c>
      <c r="J1395" s="169" t="s">
        <v>978</v>
      </c>
      <c r="K1395" s="169" t="s">
        <v>978</v>
      </c>
      <c r="L1395" s="169" t="s">
        <v>956</v>
      </c>
      <c r="M1395" s="169" t="s">
        <v>281</v>
      </c>
      <c r="N1395" s="178">
        <v>5600000</v>
      </c>
      <c r="O1395" s="169" t="s">
        <v>979</v>
      </c>
      <c r="P1395" s="169" t="s">
        <v>283</v>
      </c>
      <c r="Q1395" s="169" t="s">
        <v>306</v>
      </c>
      <c r="R1395" s="169" t="s">
        <v>283</v>
      </c>
      <c r="S1395" s="169" t="s">
        <v>283</v>
      </c>
      <c r="T1395" s="169">
        <v>0</v>
      </c>
    </row>
    <row r="1396" spans="1:20" x14ac:dyDescent="0.2">
      <c r="A1396" s="169" t="str">
        <f t="shared" si="0"/>
        <v>627</v>
      </c>
      <c r="B1396" s="167" t="str">
        <f>_xlfn.XLOOKUP(I1396,Mapping!D:D,Mapping!E:E)</f>
        <v>Xưởng Sản Xuất</v>
      </c>
      <c r="C1396" s="167" t="str">
        <f>_xlfn.XLOOKUP(F1396,Mapping!A:A,Mapping!F:F)</f>
        <v>Khen thưởng BD khác</v>
      </c>
      <c r="D1396" s="173">
        <v>45896</v>
      </c>
      <c r="E1396" s="169" t="s">
        <v>977</v>
      </c>
      <c r="F1396" s="169" t="s">
        <v>435</v>
      </c>
      <c r="G1396" s="169" t="s">
        <v>222</v>
      </c>
      <c r="H1396" s="169" t="s">
        <v>436</v>
      </c>
      <c r="I1396" s="169" t="s">
        <v>437</v>
      </c>
      <c r="J1396" s="169" t="s">
        <v>978</v>
      </c>
      <c r="K1396" s="169" t="s">
        <v>978</v>
      </c>
      <c r="L1396" s="169" t="s">
        <v>956</v>
      </c>
      <c r="M1396" s="169" t="s">
        <v>281</v>
      </c>
      <c r="N1396" s="178">
        <v>2000000</v>
      </c>
      <c r="O1396" s="169" t="s">
        <v>979</v>
      </c>
      <c r="P1396" s="169" t="s">
        <v>283</v>
      </c>
      <c r="Q1396" s="169" t="s">
        <v>306</v>
      </c>
      <c r="R1396" s="169" t="s">
        <v>283</v>
      </c>
      <c r="S1396" s="169" t="s">
        <v>283</v>
      </c>
      <c r="T1396" s="169">
        <v>0</v>
      </c>
    </row>
    <row r="1397" spans="1:20" x14ac:dyDescent="0.2">
      <c r="A1397" s="169" t="str">
        <f t="shared" si="0"/>
        <v>627</v>
      </c>
      <c r="B1397" s="167" t="str">
        <f>_xlfn.XLOOKUP(I1397,Mapping!D:D,Mapping!E:E)</f>
        <v>Xưởng Sản Xuất</v>
      </c>
      <c r="C1397" s="167" t="str">
        <f>_xlfn.XLOOKUP(F1397,Mapping!A:A,Mapping!F:F)</f>
        <v>Khen thưởng BD khác</v>
      </c>
      <c r="D1397" s="173">
        <v>45896</v>
      </c>
      <c r="E1397" s="169" t="s">
        <v>977</v>
      </c>
      <c r="F1397" s="169" t="s">
        <v>435</v>
      </c>
      <c r="G1397" s="169" t="s">
        <v>222</v>
      </c>
      <c r="H1397" s="169" t="s">
        <v>402</v>
      </c>
      <c r="I1397" s="169" t="s">
        <v>403</v>
      </c>
      <c r="J1397" s="169" t="s">
        <v>978</v>
      </c>
      <c r="K1397" s="169" t="s">
        <v>978</v>
      </c>
      <c r="L1397" s="169" t="s">
        <v>956</v>
      </c>
      <c r="M1397" s="169" t="s">
        <v>281</v>
      </c>
      <c r="N1397" s="178">
        <v>3600000</v>
      </c>
      <c r="O1397" s="169" t="s">
        <v>979</v>
      </c>
      <c r="P1397" s="169" t="s">
        <v>283</v>
      </c>
      <c r="Q1397" s="169" t="s">
        <v>306</v>
      </c>
      <c r="R1397" s="169" t="s">
        <v>283</v>
      </c>
      <c r="S1397" s="169" t="s">
        <v>283</v>
      </c>
      <c r="T1397" s="169">
        <v>0</v>
      </c>
    </row>
    <row r="1398" spans="1:20" x14ac:dyDescent="0.2">
      <c r="A1398" s="169" t="str">
        <f t="shared" si="0"/>
        <v>642</v>
      </c>
      <c r="B1398" s="167" t="str">
        <f>_xlfn.XLOOKUP(I1398,Mapping!D:D,Mapping!E:E)</f>
        <v>Cung Ứng</v>
      </c>
      <c r="C1398" s="167" t="str">
        <f>_xlfn.XLOOKUP(F1398,Mapping!A:A,Mapping!F:F)</f>
        <v>Khen thưởng BD khác</v>
      </c>
      <c r="D1398" s="173">
        <v>45880</v>
      </c>
      <c r="E1398" s="169" t="s">
        <v>980</v>
      </c>
      <c r="F1398" s="169" t="s">
        <v>300</v>
      </c>
      <c r="G1398" s="169" t="s">
        <v>222</v>
      </c>
      <c r="H1398" s="169" t="s">
        <v>380</v>
      </c>
      <c r="I1398" s="169" t="s">
        <v>381</v>
      </c>
      <c r="J1398" s="169" t="s">
        <v>981</v>
      </c>
      <c r="K1398" s="169" t="s">
        <v>981</v>
      </c>
      <c r="L1398" s="169" t="s">
        <v>956</v>
      </c>
      <c r="M1398" s="169" t="s">
        <v>281</v>
      </c>
      <c r="N1398" s="178">
        <v>13200000</v>
      </c>
      <c r="O1398" s="169" t="s">
        <v>982</v>
      </c>
      <c r="P1398" s="169" t="s">
        <v>283</v>
      </c>
      <c r="Q1398" s="169" t="s">
        <v>306</v>
      </c>
      <c r="R1398" s="169" t="s">
        <v>283</v>
      </c>
      <c r="S1398" s="169" t="s">
        <v>283</v>
      </c>
      <c r="T1398" s="169">
        <v>0</v>
      </c>
    </row>
    <row r="1399" spans="1:20" x14ac:dyDescent="0.2">
      <c r="A1399" s="169" t="str">
        <f t="shared" si="0"/>
        <v>627</v>
      </c>
      <c r="B1399" s="167" t="str">
        <f>_xlfn.XLOOKUP(I1399,Mapping!D:D,Mapping!E:E)</f>
        <v>Kỹ Thuật</v>
      </c>
      <c r="C1399" s="167" t="str">
        <f>_xlfn.XLOOKUP(F1399,Mapping!A:A,Mapping!F:F)</f>
        <v>Khen thưởng BD khác</v>
      </c>
      <c r="D1399" s="173">
        <v>45880</v>
      </c>
      <c r="E1399" s="169" t="s">
        <v>980</v>
      </c>
      <c r="F1399" s="169" t="s">
        <v>435</v>
      </c>
      <c r="G1399" s="169" t="s">
        <v>222</v>
      </c>
      <c r="H1399" s="169" t="s">
        <v>376</v>
      </c>
      <c r="I1399" s="169" t="s">
        <v>377</v>
      </c>
      <c r="J1399" s="169" t="s">
        <v>981</v>
      </c>
      <c r="K1399" s="169" t="s">
        <v>981</v>
      </c>
      <c r="L1399" s="169" t="s">
        <v>956</v>
      </c>
      <c r="M1399" s="169" t="s">
        <v>281</v>
      </c>
      <c r="N1399" s="178">
        <v>13000000</v>
      </c>
      <c r="O1399" s="169" t="s">
        <v>982</v>
      </c>
      <c r="P1399" s="169" t="s">
        <v>283</v>
      </c>
      <c r="Q1399" s="169" t="s">
        <v>306</v>
      </c>
      <c r="R1399" s="169" t="s">
        <v>283</v>
      </c>
      <c r="S1399" s="169" t="s">
        <v>283</v>
      </c>
      <c r="T1399" s="169">
        <v>0</v>
      </c>
    </row>
    <row r="1400" spans="1:20" x14ac:dyDescent="0.2">
      <c r="A1400" s="169" t="str">
        <f t="shared" si="0"/>
        <v>627</v>
      </c>
      <c r="B1400" s="167" t="str">
        <f>_xlfn.XLOOKUP(I1400,Mapping!D:D,Mapping!E:E)</f>
        <v>Kiểm Soát Chất Lượng</v>
      </c>
      <c r="C1400" s="167" t="str">
        <f>_xlfn.XLOOKUP(F1400,Mapping!A:A,Mapping!F:F)</f>
        <v>Khen thưởng BD khác</v>
      </c>
      <c r="D1400" s="173">
        <v>45880</v>
      </c>
      <c r="E1400" s="169" t="s">
        <v>980</v>
      </c>
      <c r="F1400" s="169" t="s">
        <v>435</v>
      </c>
      <c r="G1400" s="169" t="s">
        <v>222</v>
      </c>
      <c r="H1400" s="169" t="s">
        <v>411</v>
      </c>
      <c r="I1400" s="169" t="s">
        <v>412</v>
      </c>
      <c r="J1400" s="169" t="s">
        <v>981</v>
      </c>
      <c r="K1400" s="169" t="s">
        <v>981</v>
      </c>
      <c r="L1400" s="169" t="s">
        <v>956</v>
      </c>
      <c r="M1400" s="169" t="s">
        <v>281</v>
      </c>
      <c r="N1400" s="178">
        <v>25000000</v>
      </c>
      <c r="O1400" s="169" t="s">
        <v>982</v>
      </c>
      <c r="P1400" s="169" t="s">
        <v>283</v>
      </c>
      <c r="Q1400" s="169" t="s">
        <v>306</v>
      </c>
      <c r="R1400" s="169" t="s">
        <v>283</v>
      </c>
      <c r="S1400" s="169" t="s">
        <v>283</v>
      </c>
      <c r="T1400" s="169">
        <v>0</v>
      </c>
    </row>
    <row r="1401" spans="1:20" x14ac:dyDescent="0.2">
      <c r="A1401" s="169" t="str">
        <f t="shared" si="0"/>
        <v>627</v>
      </c>
      <c r="B1401" s="167" t="str">
        <f>_xlfn.XLOOKUP(I1401,Mapping!D:D,Mapping!E:E)</f>
        <v>Nghiên Cứu &amp; Phát Triển</v>
      </c>
      <c r="C1401" s="167" t="str">
        <f>_xlfn.XLOOKUP(F1401,Mapping!A:A,Mapping!F:F)</f>
        <v>Khen thưởng BD khác</v>
      </c>
      <c r="D1401" s="173">
        <v>45880</v>
      </c>
      <c r="E1401" s="169" t="s">
        <v>980</v>
      </c>
      <c r="F1401" s="169" t="s">
        <v>435</v>
      </c>
      <c r="G1401" s="169" t="s">
        <v>222</v>
      </c>
      <c r="H1401" s="169" t="s">
        <v>418</v>
      </c>
      <c r="I1401" s="169" t="s">
        <v>419</v>
      </c>
      <c r="J1401" s="169" t="s">
        <v>981</v>
      </c>
      <c r="K1401" s="169" t="s">
        <v>981</v>
      </c>
      <c r="L1401" s="169" t="s">
        <v>956</v>
      </c>
      <c r="M1401" s="169" t="s">
        <v>281</v>
      </c>
      <c r="N1401" s="178">
        <v>8600000</v>
      </c>
      <c r="O1401" s="169" t="s">
        <v>982</v>
      </c>
      <c r="P1401" s="169" t="s">
        <v>283</v>
      </c>
      <c r="Q1401" s="169" t="s">
        <v>306</v>
      </c>
      <c r="R1401" s="169" t="s">
        <v>283</v>
      </c>
      <c r="S1401" s="169" t="s">
        <v>283</v>
      </c>
      <c r="T1401" s="169">
        <v>0</v>
      </c>
    </row>
    <row r="1402" spans="1:20" x14ac:dyDescent="0.2">
      <c r="A1402" s="169" t="str">
        <f t="shared" si="0"/>
        <v>627</v>
      </c>
      <c r="B1402" s="167" t="str">
        <f>_xlfn.XLOOKUP(I1402,Mapping!D:D,Mapping!E:E)</f>
        <v>Xưởng Sản Xuất</v>
      </c>
      <c r="C1402" s="167" t="str">
        <f>_xlfn.XLOOKUP(F1402,Mapping!A:A,Mapping!F:F)</f>
        <v>Khen thưởng BD khác</v>
      </c>
      <c r="D1402" s="173">
        <v>45880</v>
      </c>
      <c r="E1402" s="169" t="s">
        <v>980</v>
      </c>
      <c r="F1402" s="169" t="s">
        <v>435</v>
      </c>
      <c r="G1402" s="169" t="s">
        <v>222</v>
      </c>
      <c r="H1402" s="169" t="s">
        <v>430</v>
      </c>
      <c r="I1402" s="169" t="s">
        <v>431</v>
      </c>
      <c r="J1402" s="169" t="s">
        <v>981</v>
      </c>
      <c r="K1402" s="169" t="s">
        <v>981</v>
      </c>
      <c r="L1402" s="169" t="s">
        <v>956</v>
      </c>
      <c r="M1402" s="169" t="s">
        <v>281</v>
      </c>
      <c r="N1402" s="178">
        <v>12900000</v>
      </c>
      <c r="O1402" s="169" t="s">
        <v>982</v>
      </c>
      <c r="P1402" s="169" t="s">
        <v>283</v>
      </c>
      <c r="Q1402" s="169" t="s">
        <v>306</v>
      </c>
      <c r="R1402" s="169" t="s">
        <v>283</v>
      </c>
      <c r="S1402" s="169" t="s">
        <v>283</v>
      </c>
      <c r="T1402" s="169">
        <v>0</v>
      </c>
    </row>
    <row r="1403" spans="1:20" x14ac:dyDescent="0.2">
      <c r="A1403" s="169" t="str">
        <f t="shared" si="0"/>
        <v>627</v>
      </c>
      <c r="B1403" s="167" t="str">
        <f>_xlfn.XLOOKUP(I1403,Mapping!D:D,Mapping!E:E)</f>
        <v>Xưởng Sản Xuất</v>
      </c>
      <c r="C1403" s="167" t="str">
        <f>_xlfn.XLOOKUP(F1403,Mapping!A:A,Mapping!F:F)</f>
        <v>Khen thưởng BD khác</v>
      </c>
      <c r="D1403" s="173">
        <v>45880</v>
      </c>
      <c r="E1403" s="169" t="s">
        <v>980</v>
      </c>
      <c r="F1403" s="169" t="s">
        <v>435</v>
      </c>
      <c r="G1403" s="169" t="s">
        <v>222</v>
      </c>
      <c r="H1403" s="169" t="s">
        <v>436</v>
      </c>
      <c r="I1403" s="169" t="s">
        <v>437</v>
      </c>
      <c r="J1403" s="169" t="s">
        <v>981</v>
      </c>
      <c r="K1403" s="169" t="s">
        <v>981</v>
      </c>
      <c r="L1403" s="169" t="s">
        <v>956</v>
      </c>
      <c r="M1403" s="169" t="s">
        <v>281</v>
      </c>
      <c r="N1403" s="178">
        <v>4000000</v>
      </c>
      <c r="O1403" s="169" t="s">
        <v>982</v>
      </c>
      <c r="P1403" s="169" t="s">
        <v>283</v>
      </c>
      <c r="Q1403" s="169" t="s">
        <v>306</v>
      </c>
      <c r="R1403" s="169" t="s">
        <v>283</v>
      </c>
      <c r="S1403" s="169" t="s">
        <v>283</v>
      </c>
      <c r="T1403" s="169">
        <v>0</v>
      </c>
    </row>
    <row r="1404" spans="1:20" x14ac:dyDescent="0.2">
      <c r="A1404" s="169" t="str">
        <f t="shared" si="0"/>
        <v>627</v>
      </c>
      <c r="B1404" s="167" t="str">
        <f>_xlfn.XLOOKUP(I1404,Mapping!D:D,Mapping!E:E)</f>
        <v>Xưởng Sản Xuất</v>
      </c>
      <c r="C1404" s="167" t="str">
        <f>_xlfn.XLOOKUP(F1404,Mapping!A:A,Mapping!F:F)</f>
        <v>Khen thưởng BD khác</v>
      </c>
      <c r="D1404" s="173">
        <v>45880</v>
      </c>
      <c r="E1404" s="169" t="s">
        <v>980</v>
      </c>
      <c r="F1404" s="169" t="s">
        <v>435</v>
      </c>
      <c r="G1404" s="169" t="s">
        <v>222</v>
      </c>
      <c r="H1404" s="169" t="s">
        <v>402</v>
      </c>
      <c r="I1404" s="169" t="s">
        <v>403</v>
      </c>
      <c r="J1404" s="169" t="s">
        <v>981</v>
      </c>
      <c r="K1404" s="169" t="s">
        <v>981</v>
      </c>
      <c r="L1404" s="169" t="s">
        <v>956</v>
      </c>
      <c r="M1404" s="169" t="s">
        <v>281</v>
      </c>
      <c r="N1404" s="178">
        <v>8100000</v>
      </c>
      <c r="O1404" s="169" t="s">
        <v>982</v>
      </c>
      <c r="P1404" s="169" t="s">
        <v>283</v>
      </c>
      <c r="Q1404" s="169" t="s">
        <v>306</v>
      </c>
      <c r="R1404" s="169" t="s">
        <v>283</v>
      </c>
      <c r="S1404" s="169" t="s">
        <v>283</v>
      </c>
      <c r="T1404" s="169">
        <v>0</v>
      </c>
    </row>
    <row r="1405" spans="1:20" x14ac:dyDescent="0.2">
      <c r="A1405" s="169" t="str">
        <f t="shared" si="0"/>
        <v>641</v>
      </c>
      <c r="B1405" s="167" t="str">
        <f>_xlfn.XLOOKUP(I1405,Mapping!D:D,Mapping!E:E)</f>
        <v>Kinh doanh</v>
      </c>
      <c r="C1405" s="167" t="str">
        <f>_xlfn.XLOOKUP(F1405,Mapping!A:A,Mapping!F:F)</f>
        <v>Thưởng</v>
      </c>
      <c r="D1405" s="173">
        <v>45896</v>
      </c>
      <c r="E1405" s="169" t="s">
        <v>983</v>
      </c>
      <c r="F1405" s="169" t="s">
        <v>365</v>
      </c>
      <c r="G1405" s="169" t="s">
        <v>291</v>
      </c>
      <c r="H1405" s="169" t="s">
        <v>366</v>
      </c>
      <c r="I1405" s="169" t="s">
        <v>1</v>
      </c>
      <c r="J1405" s="169" t="s">
        <v>984</v>
      </c>
      <c r="K1405" s="169" t="s">
        <v>985</v>
      </c>
      <c r="L1405" s="169" t="s">
        <v>956</v>
      </c>
      <c r="M1405" s="169" t="s">
        <v>281</v>
      </c>
      <c r="N1405" s="178">
        <v>250432</v>
      </c>
      <c r="O1405" s="169" t="s">
        <v>986</v>
      </c>
      <c r="P1405" s="169" t="s">
        <v>283</v>
      </c>
      <c r="Q1405" s="169" t="s">
        <v>370</v>
      </c>
      <c r="R1405" s="169" t="s">
        <v>283</v>
      </c>
      <c r="S1405" s="169" t="s">
        <v>283</v>
      </c>
      <c r="T1405" s="169">
        <v>0</v>
      </c>
    </row>
    <row r="1406" spans="1:20" x14ac:dyDescent="0.2">
      <c r="A1406" s="169" t="str">
        <f t="shared" si="0"/>
        <v>627</v>
      </c>
      <c r="B1406" s="167" t="str">
        <f>_xlfn.XLOOKUP(I1406,Mapping!D:D,Mapping!E:E)</f>
        <v>Xưởng Sản Xuất</v>
      </c>
      <c r="C1406" s="167" t="str">
        <f>_xlfn.XLOOKUP(F1406,Mapping!A:A,Mapping!F:F)</f>
        <v>Phụ Cấp</v>
      </c>
      <c r="D1406" s="173">
        <v>45875</v>
      </c>
      <c r="E1406" s="169" t="s">
        <v>987</v>
      </c>
      <c r="F1406" s="169" t="s">
        <v>375</v>
      </c>
      <c r="G1406" s="169" t="s">
        <v>336</v>
      </c>
      <c r="H1406" s="169" t="s">
        <v>402</v>
      </c>
      <c r="I1406" s="169" t="s">
        <v>403</v>
      </c>
      <c r="J1406" s="169" t="s">
        <v>988</v>
      </c>
      <c r="K1406" s="169" t="s">
        <v>741</v>
      </c>
      <c r="L1406" s="169" t="s">
        <v>956</v>
      </c>
      <c r="M1406" s="169" t="s">
        <v>281</v>
      </c>
      <c r="N1406" s="178">
        <v>45875000</v>
      </c>
      <c r="O1406" s="169" t="s">
        <v>989</v>
      </c>
      <c r="P1406" s="169" t="s">
        <v>283</v>
      </c>
      <c r="Q1406" s="169" t="s">
        <v>306</v>
      </c>
      <c r="R1406" s="169" t="s">
        <v>283</v>
      </c>
      <c r="S1406" s="169" t="s">
        <v>283</v>
      </c>
      <c r="T1406" s="169">
        <v>0</v>
      </c>
    </row>
    <row r="1407" spans="1:20" x14ac:dyDescent="0.2">
      <c r="A1407" s="169" t="str">
        <f t="shared" si="0"/>
        <v>642</v>
      </c>
      <c r="B1407" s="167" t="str">
        <f>_xlfn.XLOOKUP(I1407,Mapping!D:D,Mapping!E:E)</f>
        <v>Hành Chánh Nhân Sự</v>
      </c>
      <c r="C1407" s="167" t="str">
        <f>_xlfn.XLOOKUP(F1407,Mapping!A:A,Mapping!F:F)</f>
        <v>Phụ Cấp</v>
      </c>
      <c r="D1407" s="173">
        <v>45875</v>
      </c>
      <c r="E1407" s="169" t="s">
        <v>987</v>
      </c>
      <c r="F1407" s="169" t="s">
        <v>335</v>
      </c>
      <c r="G1407" s="169" t="s">
        <v>336</v>
      </c>
      <c r="H1407" s="169" t="s">
        <v>301</v>
      </c>
      <c r="I1407" s="169" t="s">
        <v>302</v>
      </c>
      <c r="J1407" s="169" t="s">
        <v>988</v>
      </c>
      <c r="K1407" s="169" t="s">
        <v>741</v>
      </c>
      <c r="L1407" s="169" t="s">
        <v>956</v>
      </c>
      <c r="M1407" s="169" t="s">
        <v>281</v>
      </c>
      <c r="N1407" s="178">
        <v>11400000</v>
      </c>
      <c r="O1407" s="169" t="s">
        <v>989</v>
      </c>
      <c r="P1407" s="169" t="s">
        <v>283</v>
      </c>
      <c r="Q1407" s="169" t="s">
        <v>306</v>
      </c>
      <c r="R1407" s="169" t="s">
        <v>283</v>
      </c>
      <c r="S1407" s="169" t="s">
        <v>283</v>
      </c>
      <c r="T1407" s="169">
        <v>0</v>
      </c>
    </row>
    <row r="1408" spans="1:20" x14ac:dyDescent="0.2">
      <c r="A1408" s="169" t="str">
        <f t="shared" si="0"/>
        <v>642</v>
      </c>
      <c r="B1408" s="167" t="str">
        <f>_xlfn.XLOOKUP(I1408,Mapping!D:D,Mapping!E:E)</f>
        <v>Kế Toán</v>
      </c>
      <c r="C1408" s="167" t="str">
        <f>_xlfn.XLOOKUP(F1408,Mapping!A:A,Mapping!F:F)</f>
        <v>Phụ Cấp</v>
      </c>
      <c r="D1408" s="173">
        <v>45875</v>
      </c>
      <c r="E1408" s="169" t="s">
        <v>987</v>
      </c>
      <c r="F1408" s="169" t="s">
        <v>335</v>
      </c>
      <c r="G1408" s="169" t="s">
        <v>336</v>
      </c>
      <c r="H1408" s="169" t="s">
        <v>356</v>
      </c>
      <c r="I1408" s="169" t="s">
        <v>357</v>
      </c>
      <c r="J1408" s="169" t="s">
        <v>988</v>
      </c>
      <c r="K1408" s="169" t="s">
        <v>741</v>
      </c>
      <c r="L1408" s="169" t="s">
        <v>956</v>
      </c>
      <c r="M1408" s="169" t="s">
        <v>281</v>
      </c>
      <c r="N1408" s="178">
        <v>4775000</v>
      </c>
      <c r="O1408" s="169" t="s">
        <v>989</v>
      </c>
      <c r="P1408" s="169" t="s">
        <v>283</v>
      </c>
      <c r="Q1408" s="169" t="s">
        <v>306</v>
      </c>
      <c r="R1408" s="169" t="s">
        <v>283</v>
      </c>
      <c r="S1408" s="169" t="s">
        <v>283</v>
      </c>
      <c r="T1408" s="169">
        <v>0</v>
      </c>
    </row>
    <row r="1409" spans="1:20" x14ac:dyDescent="0.2">
      <c r="A1409" s="169" t="str">
        <f t="shared" si="0"/>
        <v>642</v>
      </c>
      <c r="B1409" s="167" t="str">
        <f>_xlfn.XLOOKUP(I1409,Mapping!D:D,Mapping!E:E)</f>
        <v>Văn Phòng Giám Đốc</v>
      </c>
      <c r="C1409" s="167" t="str">
        <f>_xlfn.XLOOKUP(F1409,Mapping!A:A,Mapping!F:F)</f>
        <v>Phụ Cấp</v>
      </c>
      <c r="D1409" s="173">
        <v>45875</v>
      </c>
      <c r="E1409" s="169" t="s">
        <v>987</v>
      </c>
      <c r="F1409" s="169" t="s">
        <v>335</v>
      </c>
      <c r="G1409" s="169" t="s">
        <v>336</v>
      </c>
      <c r="H1409" s="169" t="s">
        <v>320</v>
      </c>
      <c r="I1409" s="169" t="s">
        <v>321</v>
      </c>
      <c r="J1409" s="169" t="s">
        <v>988</v>
      </c>
      <c r="K1409" s="169" t="s">
        <v>741</v>
      </c>
      <c r="L1409" s="169" t="s">
        <v>956</v>
      </c>
      <c r="M1409" s="169" t="s">
        <v>281</v>
      </c>
      <c r="N1409" s="178">
        <v>525000</v>
      </c>
      <c r="O1409" s="169" t="s">
        <v>989</v>
      </c>
      <c r="P1409" s="169" t="s">
        <v>283</v>
      </c>
      <c r="Q1409" s="169" t="s">
        <v>306</v>
      </c>
      <c r="R1409" s="169" t="s">
        <v>283</v>
      </c>
      <c r="S1409" s="169" t="s">
        <v>283</v>
      </c>
      <c r="T1409" s="169">
        <v>0</v>
      </c>
    </row>
    <row r="1410" spans="1:20" x14ac:dyDescent="0.2">
      <c r="A1410" s="169" t="str">
        <f t="shared" si="0"/>
        <v>627</v>
      </c>
      <c r="B1410" s="167" t="str">
        <f>_xlfn.XLOOKUP(I1410,Mapping!D:D,Mapping!E:E)</f>
        <v>Kỹ Thuật</v>
      </c>
      <c r="C1410" s="167" t="str">
        <f>_xlfn.XLOOKUP(F1410,Mapping!A:A,Mapping!F:F)</f>
        <v>Phụ Cấp</v>
      </c>
      <c r="D1410" s="173">
        <v>45875</v>
      </c>
      <c r="E1410" s="169" t="s">
        <v>987</v>
      </c>
      <c r="F1410" s="169" t="s">
        <v>375</v>
      </c>
      <c r="G1410" s="169" t="s">
        <v>336</v>
      </c>
      <c r="H1410" s="169" t="s">
        <v>376</v>
      </c>
      <c r="I1410" s="169" t="s">
        <v>377</v>
      </c>
      <c r="J1410" s="169" t="s">
        <v>988</v>
      </c>
      <c r="K1410" s="169" t="s">
        <v>741</v>
      </c>
      <c r="L1410" s="169" t="s">
        <v>956</v>
      </c>
      <c r="M1410" s="169" t="s">
        <v>281</v>
      </c>
      <c r="N1410" s="178">
        <v>15325000</v>
      </c>
      <c r="O1410" s="169" t="s">
        <v>989</v>
      </c>
      <c r="P1410" s="169" t="s">
        <v>283</v>
      </c>
      <c r="Q1410" s="169" t="s">
        <v>306</v>
      </c>
      <c r="R1410" s="169" t="s">
        <v>283</v>
      </c>
      <c r="S1410" s="169" t="s">
        <v>283</v>
      </c>
      <c r="T1410" s="169">
        <v>0</v>
      </c>
    </row>
    <row r="1411" spans="1:20" x14ac:dyDescent="0.2">
      <c r="A1411" s="169" t="str">
        <f t="shared" si="0"/>
        <v>627</v>
      </c>
      <c r="B1411" s="167" t="str">
        <f>_xlfn.XLOOKUP(I1411,Mapping!D:D,Mapping!E:E)</f>
        <v>Kiểm Soát Chất Lượng</v>
      </c>
      <c r="C1411" s="167" t="str">
        <f>_xlfn.XLOOKUP(F1411,Mapping!A:A,Mapping!F:F)</f>
        <v>Phụ Cấp</v>
      </c>
      <c r="D1411" s="173">
        <v>45875</v>
      </c>
      <c r="E1411" s="169" t="s">
        <v>987</v>
      </c>
      <c r="F1411" s="169" t="s">
        <v>375</v>
      </c>
      <c r="G1411" s="169" t="s">
        <v>336</v>
      </c>
      <c r="H1411" s="169" t="s">
        <v>411</v>
      </c>
      <c r="I1411" s="169" t="s">
        <v>412</v>
      </c>
      <c r="J1411" s="169" t="s">
        <v>988</v>
      </c>
      <c r="K1411" s="169" t="s">
        <v>741</v>
      </c>
      <c r="L1411" s="169" t="s">
        <v>956</v>
      </c>
      <c r="M1411" s="169" t="s">
        <v>281</v>
      </c>
      <c r="N1411" s="178">
        <v>9750000</v>
      </c>
      <c r="O1411" s="169" t="s">
        <v>989</v>
      </c>
      <c r="P1411" s="169" t="s">
        <v>283</v>
      </c>
      <c r="Q1411" s="169" t="s">
        <v>306</v>
      </c>
      <c r="R1411" s="169" t="s">
        <v>283</v>
      </c>
      <c r="S1411" s="169" t="s">
        <v>283</v>
      </c>
      <c r="T1411" s="169">
        <v>0</v>
      </c>
    </row>
    <row r="1412" spans="1:20" x14ac:dyDescent="0.2">
      <c r="A1412" s="169" t="str">
        <f t="shared" si="0"/>
        <v>627</v>
      </c>
      <c r="B1412" s="167" t="str">
        <f>_xlfn.XLOOKUP(I1412,Mapping!D:D,Mapping!E:E)</f>
        <v>Xưởng Sản Xuất</v>
      </c>
      <c r="C1412" s="167" t="str">
        <f>_xlfn.XLOOKUP(F1412,Mapping!A:A,Mapping!F:F)</f>
        <v>Phụ Cấp</v>
      </c>
      <c r="D1412" s="173">
        <v>45875</v>
      </c>
      <c r="E1412" s="169" t="s">
        <v>987</v>
      </c>
      <c r="F1412" s="169" t="s">
        <v>375</v>
      </c>
      <c r="G1412" s="169" t="s">
        <v>336</v>
      </c>
      <c r="H1412" s="169" t="s">
        <v>441</v>
      </c>
      <c r="I1412" s="169" t="s">
        <v>442</v>
      </c>
      <c r="J1412" s="169" t="s">
        <v>988</v>
      </c>
      <c r="K1412" s="169" t="s">
        <v>741</v>
      </c>
      <c r="L1412" s="169" t="s">
        <v>956</v>
      </c>
      <c r="M1412" s="169" t="s">
        <v>281</v>
      </c>
      <c r="N1412" s="178">
        <v>125000</v>
      </c>
      <c r="O1412" s="169" t="s">
        <v>989</v>
      </c>
      <c r="P1412" s="169" t="s">
        <v>283</v>
      </c>
      <c r="Q1412" s="169" t="s">
        <v>306</v>
      </c>
      <c r="R1412" s="169" t="s">
        <v>283</v>
      </c>
      <c r="S1412" s="169" t="s">
        <v>283</v>
      </c>
      <c r="T1412" s="169">
        <v>0</v>
      </c>
    </row>
    <row r="1413" spans="1:20" x14ac:dyDescent="0.2">
      <c r="A1413" s="169" t="str">
        <f t="shared" si="0"/>
        <v>627</v>
      </c>
      <c r="B1413" s="167" t="str">
        <f>_xlfn.XLOOKUP(I1413,Mapping!D:D,Mapping!E:E)</f>
        <v>Xưởng Sản Xuất</v>
      </c>
      <c r="C1413" s="167" t="str">
        <f>_xlfn.XLOOKUP(F1413,Mapping!A:A,Mapping!F:F)</f>
        <v>Phụ Cấp</v>
      </c>
      <c r="D1413" s="173">
        <v>45875</v>
      </c>
      <c r="E1413" s="169" t="s">
        <v>987</v>
      </c>
      <c r="F1413" s="169" t="s">
        <v>375</v>
      </c>
      <c r="G1413" s="169" t="s">
        <v>336</v>
      </c>
      <c r="H1413" s="169" t="s">
        <v>430</v>
      </c>
      <c r="I1413" s="169" t="s">
        <v>431</v>
      </c>
      <c r="J1413" s="169" t="s">
        <v>988</v>
      </c>
      <c r="K1413" s="169" t="s">
        <v>741</v>
      </c>
      <c r="L1413" s="169" t="s">
        <v>956</v>
      </c>
      <c r="M1413" s="169" t="s">
        <v>281</v>
      </c>
      <c r="N1413" s="178">
        <v>6900000</v>
      </c>
      <c r="O1413" s="169" t="s">
        <v>989</v>
      </c>
      <c r="P1413" s="169" t="s">
        <v>283</v>
      </c>
      <c r="Q1413" s="169" t="s">
        <v>306</v>
      </c>
      <c r="R1413" s="169" t="s">
        <v>283</v>
      </c>
      <c r="S1413" s="169" t="s">
        <v>283</v>
      </c>
      <c r="T1413" s="169">
        <v>0</v>
      </c>
    </row>
    <row r="1414" spans="1:20" x14ac:dyDescent="0.2">
      <c r="A1414" s="169" t="str">
        <f t="shared" si="0"/>
        <v>627</v>
      </c>
      <c r="B1414" s="167" t="str">
        <f>_xlfn.XLOOKUP(I1414,Mapping!D:D,Mapping!E:E)</f>
        <v>Xưởng Sản Xuất</v>
      </c>
      <c r="C1414" s="167" t="str">
        <f>_xlfn.XLOOKUP(F1414,Mapping!A:A,Mapping!F:F)</f>
        <v>Phụ Cấp</v>
      </c>
      <c r="D1414" s="173">
        <v>45875</v>
      </c>
      <c r="E1414" s="169" t="s">
        <v>987</v>
      </c>
      <c r="F1414" s="169" t="s">
        <v>375</v>
      </c>
      <c r="G1414" s="169" t="s">
        <v>336</v>
      </c>
      <c r="H1414" s="169" t="s">
        <v>436</v>
      </c>
      <c r="I1414" s="169" t="s">
        <v>437</v>
      </c>
      <c r="J1414" s="169" t="s">
        <v>988</v>
      </c>
      <c r="K1414" s="169" t="s">
        <v>741</v>
      </c>
      <c r="L1414" s="169" t="s">
        <v>956</v>
      </c>
      <c r="M1414" s="169" t="s">
        <v>281</v>
      </c>
      <c r="N1414" s="178">
        <v>7725000</v>
      </c>
      <c r="O1414" s="169" t="s">
        <v>989</v>
      </c>
      <c r="P1414" s="169" t="s">
        <v>283</v>
      </c>
      <c r="Q1414" s="169" t="s">
        <v>306</v>
      </c>
      <c r="R1414" s="169" t="s">
        <v>283</v>
      </c>
      <c r="S1414" s="169" t="s">
        <v>283</v>
      </c>
      <c r="T1414" s="169">
        <v>0</v>
      </c>
    </row>
    <row r="1415" spans="1:20" x14ac:dyDescent="0.2">
      <c r="A1415" s="169" t="str">
        <f t="shared" si="0"/>
        <v>642</v>
      </c>
      <c r="B1415" s="167" t="str">
        <f>_xlfn.XLOOKUP(I1415,Mapping!D:D,Mapping!E:E)</f>
        <v>Mua Hàng &amp; XNK</v>
      </c>
      <c r="C1415" s="167" t="str">
        <f>_xlfn.XLOOKUP(F1415,Mapping!A:A,Mapping!F:F)</f>
        <v>Phụ Cấp</v>
      </c>
      <c r="D1415" s="173">
        <v>45875</v>
      </c>
      <c r="E1415" s="169" t="s">
        <v>987</v>
      </c>
      <c r="F1415" s="169" t="s">
        <v>335</v>
      </c>
      <c r="G1415" s="169" t="s">
        <v>336</v>
      </c>
      <c r="H1415" s="169" t="s">
        <v>378</v>
      </c>
      <c r="I1415" s="169" t="s">
        <v>379</v>
      </c>
      <c r="J1415" s="169" t="s">
        <v>988</v>
      </c>
      <c r="K1415" s="169" t="s">
        <v>741</v>
      </c>
      <c r="L1415" s="169" t="s">
        <v>956</v>
      </c>
      <c r="M1415" s="169" t="s">
        <v>281</v>
      </c>
      <c r="N1415" s="178">
        <v>1125000</v>
      </c>
      <c r="O1415" s="169" t="s">
        <v>989</v>
      </c>
      <c r="P1415" s="169" t="s">
        <v>283</v>
      </c>
      <c r="Q1415" s="169" t="s">
        <v>306</v>
      </c>
      <c r="R1415" s="169" t="s">
        <v>283</v>
      </c>
      <c r="S1415" s="169" t="s">
        <v>283</v>
      </c>
      <c r="T1415" s="169">
        <v>0</v>
      </c>
    </row>
    <row r="1416" spans="1:20" x14ac:dyDescent="0.2">
      <c r="A1416" s="169" t="str">
        <f t="shared" si="0"/>
        <v>642</v>
      </c>
      <c r="B1416" s="167" t="str">
        <f>_xlfn.XLOOKUP(I1416,Mapping!D:D,Mapping!E:E)</f>
        <v>Cung Ứng</v>
      </c>
      <c r="C1416" s="167" t="str">
        <f>_xlfn.XLOOKUP(F1416,Mapping!A:A,Mapping!F:F)</f>
        <v>Phụ Cấp</v>
      </c>
      <c r="D1416" s="173">
        <v>45875</v>
      </c>
      <c r="E1416" s="169" t="s">
        <v>987</v>
      </c>
      <c r="F1416" s="169" t="s">
        <v>335</v>
      </c>
      <c r="G1416" s="169" t="s">
        <v>336</v>
      </c>
      <c r="H1416" s="169" t="s">
        <v>380</v>
      </c>
      <c r="I1416" s="169" t="s">
        <v>381</v>
      </c>
      <c r="J1416" s="169" t="s">
        <v>988</v>
      </c>
      <c r="K1416" s="169" t="s">
        <v>741</v>
      </c>
      <c r="L1416" s="169" t="s">
        <v>956</v>
      </c>
      <c r="M1416" s="169" t="s">
        <v>281</v>
      </c>
      <c r="N1416" s="178">
        <v>775000</v>
      </c>
      <c r="O1416" s="169" t="s">
        <v>989</v>
      </c>
      <c r="P1416" s="169" t="s">
        <v>283</v>
      </c>
      <c r="Q1416" s="169" t="s">
        <v>306</v>
      </c>
      <c r="R1416" s="169" t="s">
        <v>283</v>
      </c>
      <c r="S1416" s="169" t="s">
        <v>283</v>
      </c>
      <c r="T1416" s="169">
        <v>0</v>
      </c>
    </row>
    <row r="1417" spans="1:20" x14ac:dyDescent="0.2">
      <c r="A1417" s="169" t="str">
        <f t="shared" si="0"/>
        <v>642</v>
      </c>
      <c r="B1417" s="167" t="str">
        <f>_xlfn.XLOOKUP(I1417,Mapping!D:D,Mapping!E:E)</f>
        <v>Hành Chánh Nhân Sự</v>
      </c>
      <c r="C1417" s="167" t="str">
        <f>_xlfn.XLOOKUP(F1417,Mapping!A:A,Mapping!F:F)</f>
        <v>Phụ Cấp</v>
      </c>
      <c r="D1417" s="173">
        <v>45875</v>
      </c>
      <c r="E1417" s="169" t="s">
        <v>987</v>
      </c>
      <c r="F1417" s="169" t="s">
        <v>335</v>
      </c>
      <c r="G1417" s="169" t="s">
        <v>336</v>
      </c>
      <c r="H1417" s="169" t="s">
        <v>382</v>
      </c>
      <c r="I1417" s="169" t="s">
        <v>200</v>
      </c>
      <c r="J1417" s="169" t="s">
        <v>988</v>
      </c>
      <c r="K1417" s="169" t="s">
        <v>741</v>
      </c>
      <c r="L1417" s="169" t="s">
        <v>956</v>
      </c>
      <c r="M1417" s="169" t="s">
        <v>281</v>
      </c>
      <c r="N1417" s="178">
        <v>500000</v>
      </c>
      <c r="O1417" s="169" t="s">
        <v>989</v>
      </c>
      <c r="P1417" s="169" t="s">
        <v>283</v>
      </c>
      <c r="Q1417" s="169" t="s">
        <v>306</v>
      </c>
      <c r="R1417" s="169" t="s">
        <v>283</v>
      </c>
      <c r="S1417" s="169" t="s">
        <v>283</v>
      </c>
      <c r="T1417" s="169">
        <v>0</v>
      </c>
    </row>
    <row r="1418" spans="1:20" x14ac:dyDescent="0.2">
      <c r="A1418" s="169" t="str">
        <f t="shared" si="0"/>
        <v>642</v>
      </c>
      <c r="B1418" s="167" t="str">
        <f>_xlfn.XLOOKUP(I1418,Mapping!D:D,Mapping!E:E)</f>
        <v>Hành Chánh Nhân Sự</v>
      </c>
      <c r="C1418" s="167" t="str">
        <f>_xlfn.XLOOKUP(F1418,Mapping!A:A,Mapping!F:F)</f>
        <v>Phụ Cấp</v>
      </c>
      <c r="D1418" s="173">
        <v>45875</v>
      </c>
      <c r="E1418" s="169" t="s">
        <v>987</v>
      </c>
      <c r="F1418" s="169" t="s">
        <v>335</v>
      </c>
      <c r="G1418" s="169" t="s">
        <v>336</v>
      </c>
      <c r="H1418" s="169" t="s">
        <v>358</v>
      </c>
      <c r="I1418" s="169" t="s">
        <v>359</v>
      </c>
      <c r="J1418" s="169" t="s">
        <v>988</v>
      </c>
      <c r="K1418" s="169" t="s">
        <v>741</v>
      </c>
      <c r="L1418" s="169" t="s">
        <v>956</v>
      </c>
      <c r="M1418" s="169" t="s">
        <v>281</v>
      </c>
      <c r="N1418" s="178">
        <v>900000</v>
      </c>
      <c r="O1418" s="169" t="s">
        <v>989</v>
      </c>
      <c r="P1418" s="169" t="s">
        <v>283</v>
      </c>
      <c r="Q1418" s="169" t="s">
        <v>306</v>
      </c>
      <c r="R1418" s="169" t="s">
        <v>283</v>
      </c>
      <c r="S1418" s="169" t="s">
        <v>283</v>
      </c>
      <c r="T1418" s="169">
        <v>0</v>
      </c>
    </row>
    <row r="1419" spans="1:20" x14ac:dyDescent="0.2">
      <c r="A1419" s="169" t="str">
        <f t="shared" si="0"/>
        <v>627</v>
      </c>
      <c r="B1419" s="167" t="str">
        <f>_xlfn.XLOOKUP(I1419,Mapping!D:D,Mapping!E:E)</f>
        <v>Xưởng Sản Xuất</v>
      </c>
      <c r="C1419" s="167" t="str">
        <f>_xlfn.XLOOKUP(F1419,Mapping!A:A,Mapping!F:F)</f>
        <v>Phụ Cấp</v>
      </c>
      <c r="D1419" s="173">
        <v>45897</v>
      </c>
      <c r="E1419" s="169" t="s">
        <v>990</v>
      </c>
      <c r="F1419" s="169" t="s">
        <v>375</v>
      </c>
      <c r="G1419" s="169" t="s">
        <v>336</v>
      </c>
      <c r="H1419" s="169" t="s">
        <v>402</v>
      </c>
      <c r="I1419" s="169" t="s">
        <v>403</v>
      </c>
      <c r="J1419" s="169" t="s">
        <v>991</v>
      </c>
      <c r="K1419" s="169" t="s">
        <v>992</v>
      </c>
      <c r="L1419" s="169" t="s">
        <v>956</v>
      </c>
      <c r="M1419" s="169" t="s">
        <v>281</v>
      </c>
      <c r="N1419" s="178">
        <v>105950000</v>
      </c>
      <c r="O1419" s="169" t="s">
        <v>993</v>
      </c>
      <c r="P1419" s="169" t="s">
        <v>283</v>
      </c>
      <c r="Q1419" s="169" t="s">
        <v>306</v>
      </c>
      <c r="R1419" s="169" t="s">
        <v>283</v>
      </c>
      <c r="S1419" s="169" t="s">
        <v>283</v>
      </c>
      <c r="T1419" s="169">
        <v>0</v>
      </c>
    </row>
    <row r="1420" spans="1:20" x14ac:dyDescent="0.2">
      <c r="A1420" s="169" t="str">
        <f t="shared" si="0"/>
        <v>642</v>
      </c>
      <c r="B1420" s="167" t="str">
        <f>_xlfn.XLOOKUP(I1420,Mapping!D:D,Mapping!E:E)</f>
        <v>Hành Chánh Nhân Sự</v>
      </c>
      <c r="C1420" s="167" t="str">
        <f>_xlfn.XLOOKUP(F1420,Mapping!A:A,Mapping!F:F)</f>
        <v>Phụ Cấp</v>
      </c>
      <c r="D1420" s="173">
        <v>45897</v>
      </c>
      <c r="E1420" s="169" t="s">
        <v>990</v>
      </c>
      <c r="F1420" s="169" t="s">
        <v>335</v>
      </c>
      <c r="G1420" s="169" t="s">
        <v>336</v>
      </c>
      <c r="H1420" s="169" t="s">
        <v>301</v>
      </c>
      <c r="I1420" s="169" t="s">
        <v>302</v>
      </c>
      <c r="J1420" s="169" t="s">
        <v>991</v>
      </c>
      <c r="K1420" s="169" t="s">
        <v>992</v>
      </c>
      <c r="L1420" s="169" t="s">
        <v>956</v>
      </c>
      <c r="M1420" s="169" t="s">
        <v>281</v>
      </c>
      <c r="N1420" s="178">
        <v>21350000</v>
      </c>
      <c r="O1420" s="169" t="s">
        <v>993</v>
      </c>
      <c r="P1420" s="169" t="s">
        <v>283</v>
      </c>
      <c r="Q1420" s="169" t="s">
        <v>306</v>
      </c>
      <c r="R1420" s="169" t="s">
        <v>283</v>
      </c>
      <c r="S1420" s="169" t="s">
        <v>283</v>
      </c>
      <c r="T1420" s="169">
        <v>0</v>
      </c>
    </row>
    <row r="1421" spans="1:20" x14ac:dyDescent="0.2">
      <c r="A1421" s="169" t="str">
        <f t="shared" si="0"/>
        <v>642</v>
      </c>
      <c r="B1421" s="167" t="str">
        <f>_xlfn.XLOOKUP(I1421,Mapping!D:D,Mapping!E:E)</f>
        <v>Kế Toán</v>
      </c>
      <c r="C1421" s="167" t="str">
        <f>_xlfn.XLOOKUP(F1421,Mapping!A:A,Mapping!F:F)</f>
        <v>Phụ Cấp</v>
      </c>
      <c r="D1421" s="173">
        <v>45897</v>
      </c>
      <c r="E1421" s="169" t="s">
        <v>990</v>
      </c>
      <c r="F1421" s="169" t="s">
        <v>335</v>
      </c>
      <c r="G1421" s="169" t="s">
        <v>336</v>
      </c>
      <c r="H1421" s="169" t="s">
        <v>356</v>
      </c>
      <c r="I1421" s="169" t="s">
        <v>357</v>
      </c>
      <c r="J1421" s="169" t="s">
        <v>991</v>
      </c>
      <c r="K1421" s="169" t="s">
        <v>992</v>
      </c>
      <c r="L1421" s="169" t="s">
        <v>956</v>
      </c>
      <c r="M1421" s="169" t="s">
        <v>281</v>
      </c>
      <c r="N1421" s="178">
        <v>11375000</v>
      </c>
      <c r="O1421" s="169" t="s">
        <v>993</v>
      </c>
      <c r="P1421" s="169" t="s">
        <v>283</v>
      </c>
      <c r="Q1421" s="169" t="s">
        <v>306</v>
      </c>
      <c r="R1421" s="169" t="s">
        <v>283</v>
      </c>
      <c r="S1421" s="169" t="s">
        <v>283</v>
      </c>
      <c r="T1421" s="169">
        <v>0</v>
      </c>
    </row>
    <row r="1422" spans="1:20" x14ac:dyDescent="0.2">
      <c r="A1422" s="169" t="str">
        <f t="shared" si="0"/>
        <v>642</v>
      </c>
      <c r="B1422" s="167" t="str">
        <f>_xlfn.XLOOKUP(I1422,Mapping!D:D,Mapping!E:E)</f>
        <v>Văn Phòng Giám Đốc</v>
      </c>
      <c r="C1422" s="167" t="str">
        <f>_xlfn.XLOOKUP(F1422,Mapping!A:A,Mapping!F:F)</f>
        <v>Phụ Cấp</v>
      </c>
      <c r="D1422" s="173">
        <v>45897</v>
      </c>
      <c r="E1422" s="169" t="s">
        <v>990</v>
      </c>
      <c r="F1422" s="169" t="s">
        <v>335</v>
      </c>
      <c r="G1422" s="169" t="s">
        <v>336</v>
      </c>
      <c r="H1422" s="169" t="s">
        <v>320</v>
      </c>
      <c r="I1422" s="169" t="s">
        <v>321</v>
      </c>
      <c r="J1422" s="169" t="s">
        <v>991</v>
      </c>
      <c r="K1422" s="169" t="s">
        <v>992</v>
      </c>
      <c r="L1422" s="169" t="s">
        <v>956</v>
      </c>
      <c r="M1422" s="169" t="s">
        <v>281</v>
      </c>
      <c r="N1422" s="178">
        <v>1225000</v>
      </c>
      <c r="O1422" s="169" t="s">
        <v>993</v>
      </c>
      <c r="P1422" s="169" t="s">
        <v>283</v>
      </c>
      <c r="Q1422" s="169" t="s">
        <v>306</v>
      </c>
      <c r="R1422" s="169" t="s">
        <v>283</v>
      </c>
      <c r="S1422" s="169" t="s">
        <v>283</v>
      </c>
      <c r="T1422" s="169">
        <v>0</v>
      </c>
    </row>
    <row r="1423" spans="1:20" x14ac:dyDescent="0.2">
      <c r="A1423" s="169" t="str">
        <f t="shared" si="0"/>
        <v>627</v>
      </c>
      <c r="B1423" s="167" t="str">
        <f>_xlfn.XLOOKUP(I1423,Mapping!D:D,Mapping!E:E)</f>
        <v>Kỹ Thuật</v>
      </c>
      <c r="C1423" s="167" t="str">
        <f>_xlfn.XLOOKUP(F1423,Mapping!A:A,Mapping!F:F)</f>
        <v>Phụ Cấp</v>
      </c>
      <c r="D1423" s="173">
        <v>45897</v>
      </c>
      <c r="E1423" s="169" t="s">
        <v>990</v>
      </c>
      <c r="F1423" s="169" t="s">
        <v>375</v>
      </c>
      <c r="G1423" s="169" t="s">
        <v>336</v>
      </c>
      <c r="H1423" s="169" t="s">
        <v>376</v>
      </c>
      <c r="I1423" s="169" t="s">
        <v>377</v>
      </c>
      <c r="J1423" s="169" t="s">
        <v>991</v>
      </c>
      <c r="K1423" s="169" t="s">
        <v>992</v>
      </c>
      <c r="L1423" s="169" t="s">
        <v>956</v>
      </c>
      <c r="M1423" s="169" t="s">
        <v>281</v>
      </c>
      <c r="N1423" s="178">
        <v>36200000</v>
      </c>
      <c r="O1423" s="169" t="s">
        <v>993</v>
      </c>
      <c r="P1423" s="169" t="s">
        <v>283</v>
      </c>
      <c r="Q1423" s="169" t="s">
        <v>306</v>
      </c>
      <c r="R1423" s="169" t="s">
        <v>283</v>
      </c>
      <c r="S1423" s="169" t="s">
        <v>283</v>
      </c>
      <c r="T1423" s="169">
        <v>0</v>
      </c>
    </row>
    <row r="1424" spans="1:20" x14ac:dyDescent="0.2">
      <c r="A1424" s="169" t="str">
        <f t="shared" si="0"/>
        <v>627</v>
      </c>
      <c r="B1424" s="167" t="str">
        <f>_xlfn.XLOOKUP(I1424,Mapping!D:D,Mapping!E:E)</f>
        <v>Kiểm Soát Chất Lượng</v>
      </c>
      <c r="C1424" s="167" t="str">
        <f>_xlfn.XLOOKUP(F1424,Mapping!A:A,Mapping!F:F)</f>
        <v>Phụ Cấp</v>
      </c>
      <c r="D1424" s="173">
        <v>45897</v>
      </c>
      <c r="E1424" s="169" t="s">
        <v>990</v>
      </c>
      <c r="F1424" s="169" t="s">
        <v>375</v>
      </c>
      <c r="G1424" s="169" t="s">
        <v>336</v>
      </c>
      <c r="H1424" s="169" t="s">
        <v>411</v>
      </c>
      <c r="I1424" s="169" t="s">
        <v>412</v>
      </c>
      <c r="J1424" s="169" t="s">
        <v>991</v>
      </c>
      <c r="K1424" s="169" t="s">
        <v>992</v>
      </c>
      <c r="L1424" s="169" t="s">
        <v>956</v>
      </c>
      <c r="M1424" s="169" t="s">
        <v>281</v>
      </c>
      <c r="N1424" s="178">
        <v>23725000</v>
      </c>
      <c r="O1424" s="169" t="s">
        <v>993</v>
      </c>
      <c r="P1424" s="169" t="s">
        <v>283</v>
      </c>
      <c r="Q1424" s="169" t="s">
        <v>306</v>
      </c>
      <c r="R1424" s="169" t="s">
        <v>283</v>
      </c>
      <c r="S1424" s="169" t="s">
        <v>283</v>
      </c>
      <c r="T1424" s="169">
        <v>0</v>
      </c>
    </row>
    <row r="1425" spans="1:20" x14ac:dyDescent="0.2">
      <c r="A1425" s="169" t="str">
        <f t="shared" si="0"/>
        <v>627</v>
      </c>
      <c r="B1425" s="167" t="str">
        <f>_xlfn.XLOOKUP(I1425,Mapping!D:D,Mapping!E:E)</f>
        <v>Xưởng Sản Xuất</v>
      </c>
      <c r="C1425" s="167" t="str">
        <f>_xlfn.XLOOKUP(F1425,Mapping!A:A,Mapping!F:F)</f>
        <v>Phụ Cấp</v>
      </c>
      <c r="D1425" s="173">
        <v>45897</v>
      </c>
      <c r="E1425" s="169" t="s">
        <v>990</v>
      </c>
      <c r="F1425" s="169" t="s">
        <v>375</v>
      </c>
      <c r="G1425" s="169" t="s">
        <v>336</v>
      </c>
      <c r="H1425" s="169" t="s">
        <v>441</v>
      </c>
      <c r="I1425" s="169" t="s">
        <v>442</v>
      </c>
      <c r="J1425" s="169" t="s">
        <v>991</v>
      </c>
      <c r="K1425" s="169" t="s">
        <v>992</v>
      </c>
      <c r="L1425" s="169" t="s">
        <v>956</v>
      </c>
      <c r="M1425" s="169" t="s">
        <v>281</v>
      </c>
      <c r="N1425" s="178">
        <v>275000</v>
      </c>
      <c r="O1425" s="169" t="s">
        <v>993</v>
      </c>
      <c r="P1425" s="169" t="s">
        <v>283</v>
      </c>
      <c r="Q1425" s="169" t="s">
        <v>306</v>
      </c>
      <c r="R1425" s="169" t="s">
        <v>283</v>
      </c>
      <c r="S1425" s="169" t="s">
        <v>283</v>
      </c>
      <c r="T1425" s="169">
        <v>0</v>
      </c>
    </row>
    <row r="1426" spans="1:20" x14ac:dyDescent="0.2">
      <c r="A1426" s="169" t="str">
        <f t="shared" si="0"/>
        <v>627</v>
      </c>
      <c r="B1426" s="167" t="str">
        <f>_xlfn.XLOOKUP(I1426,Mapping!D:D,Mapping!E:E)</f>
        <v>Xưởng Sản Xuất</v>
      </c>
      <c r="C1426" s="167" t="str">
        <f>_xlfn.XLOOKUP(F1426,Mapping!A:A,Mapping!F:F)</f>
        <v>Phụ Cấp</v>
      </c>
      <c r="D1426" s="173">
        <v>45897</v>
      </c>
      <c r="E1426" s="169" t="s">
        <v>990</v>
      </c>
      <c r="F1426" s="169" t="s">
        <v>375</v>
      </c>
      <c r="G1426" s="169" t="s">
        <v>336</v>
      </c>
      <c r="H1426" s="169" t="s">
        <v>430</v>
      </c>
      <c r="I1426" s="169" t="s">
        <v>431</v>
      </c>
      <c r="J1426" s="169" t="s">
        <v>991</v>
      </c>
      <c r="K1426" s="169" t="s">
        <v>992</v>
      </c>
      <c r="L1426" s="169" t="s">
        <v>956</v>
      </c>
      <c r="M1426" s="169" t="s">
        <v>281</v>
      </c>
      <c r="N1426" s="178">
        <v>18650000</v>
      </c>
      <c r="O1426" s="169" t="s">
        <v>993</v>
      </c>
      <c r="P1426" s="169" t="s">
        <v>283</v>
      </c>
      <c r="Q1426" s="169" t="s">
        <v>306</v>
      </c>
      <c r="R1426" s="169" t="s">
        <v>283</v>
      </c>
      <c r="S1426" s="169" t="s">
        <v>283</v>
      </c>
      <c r="T1426" s="169">
        <v>0</v>
      </c>
    </row>
    <row r="1427" spans="1:20" x14ac:dyDescent="0.2">
      <c r="A1427" s="169" t="str">
        <f t="shared" si="0"/>
        <v>627</v>
      </c>
      <c r="B1427" s="167" t="str">
        <f>_xlfn.XLOOKUP(I1427,Mapping!D:D,Mapping!E:E)</f>
        <v>Xưởng Sản Xuất</v>
      </c>
      <c r="C1427" s="167" t="str">
        <f>_xlfn.XLOOKUP(F1427,Mapping!A:A,Mapping!F:F)</f>
        <v>Phụ Cấp</v>
      </c>
      <c r="D1427" s="173">
        <v>45897</v>
      </c>
      <c r="E1427" s="169" t="s">
        <v>990</v>
      </c>
      <c r="F1427" s="169" t="s">
        <v>375</v>
      </c>
      <c r="G1427" s="169" t="s">
        <v>336</v>
      </c>
      <c r="H1427" s="169" t="s">
        <v>436</v>
      </c>
      <c r="I1427" s="169" t="s">
        <v>437</v>
      </c>
      <c r="J1427" s="169" t="s">
        <v>991</v>
      </c>
      <c r="K1427" s="169" t="s">
        <v>992</v>
      </c>
      <c r="L1427" s="169" t="s">
        <v>956</v>
      </c>
      <c r="M1427" s="169" t="s">
        <v>281</v>
      </c>
      <c r="N1427" s="178">
        <v>18400000</v>
      </c>
      <c r="O1427" s="169" t="s">
        <v>993</v>
      </c>
      <c r="P1427" s="169" t="s">
        <v>283</v>
      </c>
      <c r="Q1427" s="169" t="s">
        <v>306</v>
      </c>
      <c r="R1427" s="169" t="s">
        <v>283</v>
      </c>
      <c r="S1427" s="169" t="s">
        <v>283</v>
      </c>
      <c r="T1427" s="169">
        <v>0</v>
      </c>
    </row>
    <row r="1428" spans="1:20" x14ac:dyDescent="0.2">
      <c r="A1428" s="169" t="str">
        <f t="shared" si="0"/>
        <v>642</v>
      </c>
      <c r="B1428" s="167" t="str">
        <f>_xlfn.XLOOKUP(I1428,Mapping!D:D,Mapping!E:E)</f>
        <v>Mua Hàng &amp; XNK</v>
      </c>
      <c r="C1428" s="167" t="str">
        <f>_xlfn.XLOOKUP(F1428,Mapping!A:A,Mapping!F:F)</f>
        <v>Phụ Cấp</v>
      </c>
      <c r="D1428" s="173">
        <v>45897</v>
      </c>
      <c r="E1428" s="169" t="s">
        <v>990</v>
      </c>
      <c r="F1428" s="169" t="s">
        <v>335</v>
      </c>
      <c r="G1428" s="169" t="s">
        <v>336</v>
      </c>
      <c r="H1428" s="169" t="s">
        <v>378</v>
      </c>
      <c r="I1428" s="169" t="s">
        <v>379</v>
      </c>
      <c r="J1428" s="169" t="s">
        <v>991</v>
      </c>
      <c r="K1428" s="169" t="s">
        <v>992</v>
      </c>
      <c r="L1428" s="169" t="s">
        <v>956</v>
      </c>
      <c r="M1428" s="169" t="s">
        <v>281</v>
      </c>
      <c r="N1428" s="178">
        <v>3250000</v>
      </c>
      <c r="O1428" s="169" t="s">
        <v>993</v>
      </c>
      <c r="P1428" s="169" t="s">
        <v>283</v>
      </c>
      <c r="Q1428" s="169" t="s">
        <v>306</v>
      </c>
      <c r="R1428" s="169" t="s">
        <v>283</v>
      </c>
      <c r="S1428" s="169" t="s">
        <v>283</v>
      </c>
      <c r="T1428" s="169">
        <v>0</v>
      </c>
    </row>
    <row r="1429" spans="1:20" x14ac:dyDescent="0.2">
      <c r="A1429" s="169" t="str">
        <f t="shared" si="0"/>
        <v>642</v>
      </c>
      <c r="B1429" s="167" t="str">
        <f>_xlfn.XLOOKUP(I1429,Mapping!D:D,Mapping!E:E)</f>
        <v>Cung Ứng</v>
      </c>
      <c r="C1429" s="167" t="str">
        <f>_xlfn.XLOOKUP(F1429,Mapping!A:A,Mapping!F:F)</f>
        <v>Phụ Cấp</v>
      </c>
      <c r="D1429" s="173">
        <v>45897</v>
      </c>
      <c r="E1429" s="169" t="s">
        <v>990</v>
      </c>
      <c r="F1429" s="169" t="s">
        <v>335</v>
      </c>
      <c r="G1429" s="169" t="s">
        <v>336</v>
      </c>
      <c r="H1429" s="169" t="s">
        <v>380</v>
      </c>
      <c r="I1429" s="169" t="s">
        <v>381</v>
      </c>
      <c r="J1429" s="169" t="s">
        <v>991</v>
      </c>
      <c r="K1429" s="169" t="s">
        <v>992</v>
      </c>
      <c r="L1429" s="169" t="s">
        <v>956</v>
      </c>
      <c r="M1429" s="169" t="s">
        <v>281</v>
      </c>
      <c r="N1429" s="178">
        <v>2000000</v>
      </c>
      <c r="O1429" s="169" t="s">
        <v>993</v>
      </c>
      <c r="P1429" s="169" t="s">
        <v>283</v>
      </c>
      <c r="Q1429" s="169" t="s">
        <v>306</v>
      </c>
      <c r="R1429" s="169" t="s">
        <v>283</v>
      </c>
      <c r="S1429" s="169" t="s">
        <v>283</v>
      </c>
      <c r="T1429" s="169">
        <v>0</v>
      </c>
    </row>
    <row r="1430" spans="1:20" x14ac:dyDescent="0.2">
      <c r="A1430" s="169" t="str">
        <f t="shared" si="0"/>
        <v>642</v>
      </c>
      <c r="B1430" s="167" t="str">
        <f>_xlfn.XLOOKUP(I1430,Mapping!D:D,Mapping!E:E)</f>
        <v>Hành Chánh Nhân Sự</v>
      </c>
      <c r="C1430" s="167" t="str">
        <f>_xlfn.XLOOKUP(F1430,Mapping!A:A,Mapping!F:F)</f>
        <v>Phụ Cấp</v>
      </c>
      <c r="D1430" s="173">
        <v>45897</v>
      </c>
      <c r="E1430" s="169" t="s">
        <v>990</v>
      </c>
      <c r="F1430" s="169" t="s">
        <v>335</v>
      </c>
      <c r="G1430" s="169" t="s">
        <v>336</v>
      </c>
      <c r="H1430" s="169" t="s">
        <v>382</v>
      </c>
      <c r="I1430" s="169" t="s">
        <v>200</v>
      </c>
      <c r="J1430" s="169" t="s">
        <v>991</v>
      </c>
      <c r="K1430" s="169" t="s">
        <v>992</v>
      </c>
      <c r="L1430" s="169" t="s">
        <v>956</v>
      </c>
      <c r="M1430" s="169" t="s">
        <v>281</v>
      </c>
      <c r="N1430" s="178">
        <v>1200000</v>
      </c>
      <c r="O1430" s="169" t="s">
        <v>993</v>
      </c>
      <c r="P1430" s="169" t="s">
        <v>283</v>
      </c>
      <c r="Q1430" s="169" t="s">
        <v>306</v>
      </c>
      <c r="R1430" s="169" t="s">
        <v>283</v>
      </c>
      <c r="S1430" s="169" t="s">
        <v>283</v>
      </c>
      <c r="T1430" s="169">
        <v>0</v>
      </c>
    </row>
    <row r="1431" spans="1:20" x14ac:dyDescent="0.2">
      <c r="A1431" s="169" t="str">
        <f t="shared" si="0"/>
        <v>642</v>
      </c>
      <c r="B1431" s="167" t="str">
        <f>_xlfn.XLOOKUP(I1431,Mapping!D:D,Mapping!E:E)</f>
        <v>Hành Chánh Nhân Sự</v>
      </c>
      <c r="C1431" s="167" t="str">
        <f>_xlfn.XLOOKUP(F1431,Mapping!A:A,Mapping!F:F)</f>
        <v>Phụ Cấp</v>
      </c>
      <c r="D1431" s="173">
        <v>45897</v>
      </c>
      <c r="E1431" s="169" t="s">
        <v>990</v>
      </c>
      <c r="F1431" s="169" t="s">
        <v>335</v>
      </c>
      <c r="G1431" s="169" t="s">
        <v>336</v>
      </c>
      <c r="H1431" s="169" t="s">
        <v>358</v>
      </c>
      <c r="I1431" s="169" t="s">
        <v>359</v>
      </c>
      <c r="J1431" s="169" t="s">
        <v>991</v>
      </c>
      <c r="K1431" s="169" t="s">
        <v>992</v>
      </c>
      <c r="L1431" s="169" t="s">
        <v>956</v>
      </c>
      <c r="M1431" s="169" t="s">
        <v>281</v>
      </c>
      <c r="N1431" s="178">
        <v>2150000</v>
      </c>
      <c r="O1431" s="169" t="s">
        <v>993</v>
      </c>
      <c r="P1431" s="169" t="s">
        <v>283</v>
      </c>
      <c r="Q1431" s="169" t="s">
        <v>306</v>
      </c>
      <c r="R1431" s="169" t="s">
        <v>283</v>
      </c>
      <c r="S1431" s="169" t="s">
        <v>283</v>
      </c>
      <c r="T1431" s="169">
        <v>0</v>
      </c>
    </row>
    <row r="1432" spans="1:20" x14ac:dyDescent="0.2">
      <c r="A1432" s="169" t="str">
        <f t="shared" si="0"/>
        <v>642</v>
      </c>
      <c r="B1432" s="167" t="str">
        <f>_xlfn.XLOOKUP(I1432,Mapping!D:D,Mapping!E:E)</f>
        <v>Ban Giám Đốc</v>
      </c>
      <c r="C1432" s="167" t="str">
        <f>_xlfn.XLOOKUP(F1432,Mapping!A:A,Mapping!F:F)</f>
        <v>Lương Chính +T13</v>
      </c>
      <c r="D1432" s="173">
        <v>45900</v>
      </c>
      <c r="E1432" s="169" t="s">
        <v>994</v>
      </c>
      <c r="F1432" s="169" t="s">
        <v>274</v>
      </c>
      <c r="G1432" s="169" t="s">
        <v>275</v>
      </c>
      <c r="H1432" s="169" t="s">
        <v>276</v>
      </c>
      <c r="I1432" s="169" t="s">
        <v>277</v>
      </c>
      <c r="J1432" s="169" t="s">
        <v>995</v>
      </c>
      <c r="K1432" s="169" t="s">
        <v>996</v>
      </c>
      <c r="L1432" s="169" t="s">
        <v>956</v>
      </c>
      <c r="M1432" s="169" t="s">
        <v>281</v>
      </c>
      <c r="N1432" s="178">
        <v>1468322117</v>
      </c>
      <c r="O1432" s="169" t="s">
        <v>997</v>
      </c>
      <c r="P1432" s="169" t="s">
        <v>283</v>
      </c>
      <c r="Q1432" s="169" t="s">
        <v>284</v>
      </c>
      <c r="R1432" s="169" t="s">
        <v>283</v>
      </c>
      <c r="S1432" s="169" t="s">
        <v>283</v>
      </c>
      <c r="T1432" s="169">
        <v>0</v>
      </c>
    </row>
    <row r="1433" spans="1:20" x14ac:dyDescent="0.2">
      <c r="A1433" s="169" t="str">
        <f t="shared" si="0"/>
        <v>642</v>
      </c>
      <c r="B1433" s="167" t="str">
        <f>_xlfn.XLOOKUP(I1433,Mapping!D:D,Mapping!E:E)</f>
        <v>Ban Giám Đốc</v>
      </c>
      <c r="C1433" s="167" t="str">
        <f>_xlfn.XLOOKUP(F1433,Mapping!A:A,Mapping!F:F)</f>
        <v>Lương Chính +T13</v>
      </c>
      <c r="D1433" s="173">
        <v>45900</v>
      </c>
      <c r="E1433" s="169" t="s">
        <v>994</v>
      </c>
      <c r="F1433" s="169" t="s">
        <v>285</v>
      </c>
      <c r="G1433" s="169" t="s">
        <v>286</v>
      </c>
      <c r="H1433" s="169" t="s">
        <v>276</v>
      </c>
      <c r="I1433" s="169" t="s">
        <v>277</v>
      </c>
      <c r="J1433" s="169" t="s">
        <v>995</v>
      </c>
      <c r="K1433" s="169" t="s">
        <v>996</v>
      </c>
      <c r="L1433" s="169" t="s">
        <v>956</v>
      </c>
      <c r="M1433" s="169" t="s">
        <v>281</v>
      </c>
      <c r="N1433" s="178">
        <v>20509092</v>
      </c>
      <c r="O1433" s="169" t="s">
        <v>997</v>
      </c>
      <c r="P1433" s="169" t="s">
        <v>283</v>
      </c>
      <c r="Q1433" s="169" t="s">
        <v>284</v>
      </c>
      <c r="R1433" s="169" t="s">
        <v>283</v>
      </c>
      <c r="S1433" s="169" t="s">
        <v>283</v>
      </c>
      <c r="T1433" s="169">
        <v>0</v>
      </c>
    </row>
    <row r="1434" spans="1:20" x14ac:dyDescent="0.2">
      <c r="A1434" s="169" t="str">
        <f t="shared" si="0"/>
        <v>642</v>
      </c>
      <c r="B1434" s="167" t="str">
        <f>_xlfn.XLOOKUP(I1434,Mapping!D:D,Mapping!E:E)</f>
        <v>Văn Phòng Giám Đốc</v>
      </c>
      <c r="C1434" s="167" t="str">
        <f>_xlfn.XLOOKUP(F1434,Mapping!A:A,Mapping!F:F)</f>
        <v>Lương Chính +T13</v>
      </c>
      <c r="D1434" s="173">
        <v>45900</v>
      </c>
      <c r="E1434" s="169" t="s">
        <v>994</v>
      </c>
      <c r="F1434" s="169" t="s">
        <v>274</v>
      </c>
      <c r="G1434" s="169" t="s">
        <v>275</v>
      </c>
      <c r="H1434" s="169" t="s">
        <v>320</v>
      </c>
      <c r="I1434" s="169" t="s">
        <v>321</v>
      </c>
      <c r="J1434" s="169" t="s">
        <v>995</v>
      </c>
      <c r="K1434" s="169" t="s">
        <v>996</v>
      </c>
      <c r="L1434" s="169" t="s">
        <v>956</v>
      </c>
      <c r="M1434" s="169" t="s">
        <v>281</v>
      </c>
      <c r="N1434" s="178">
        <v>107283928</v>
      </c>
      <c r="O1434" s="169" t="s">
        <v>997</v>
      </c>
      <c r="P1434" s="169" t="s">
        <v>283</v>
      </c>
      <c r="Q1434" s="169" t="s">
        <v>284</v>
      </c>
      <c r="R1434" s="169" t="s">
        <v>283</v>
      </c>
      <c r="S1434" s="169" t="s">
        <v>283</v>
      </c>
      <c r="T1434" s="169">
        <v>0</v>
      </c>
    </row>
    <row r="1435" spans="1:20" x14ac:dyDescent="0.2">
      <c r="A1435" s="169" t="str">
        <f t="shared" si="0"/>
        <v>642</v>
      </c>
      <c r="B1435" s="167" t="str">
        <f>_xlfn.XLOOKUP(I1435,Mapping!D:D,Mapping!E:E)</f>
        <v>Văn Phòng Giám Đốc</v>
      </c>
      <c r="C1435" s="167" t="str">
        <f>_xlfn.XLOOKUP(F1435,Mapping!A:A,Mapping!F:F)</f>
        <v>Lương Chính +T13</v>
      </c>
      <c r="D1435" s="173">
        <v>45900</v>
      </c>
      <c r="E1435" s="169" t="s">
        <v>994</v>
      </c>
      <c r="F1435" s="169" t="s">
        <v>285</v>
      </c>
      <c r="G1435" s="169" t="s">
        <v>286</v>
      </c>
      <c r="H1435" s="169" t="s">
        <v>320</v>
      </c>
      <c r="I1435" s="169" t="s">
        <v>321</v>
      </c>
      <c r="J1435" s="169" t="s">
        <v>995</v>
      </c>
      <c r="K1435" s="169" t="s">
        <v>996</v>
      </c>
      <c r="L1435" s="169" t="s">
        <v>956</v>
      </c>
      <c r="M1435" s="169" t="s">
        <v>281</v>
      </c>
      <c r="N1435" s="178">
        <v>5552971</v>
      </c>
      <c r="O1435" s="169" t="s">
        <v>997</v>
      </c>
      <c r="P1435" s="169" t="s">
        <v>283</v>
      </c>
      <c r="Q1435" s="169" t="s">
        <v>284</v>
      </c>
      <c r="R1435" s="169" t="s">
        <v>283</v>
      </c>
      <c r="S1435" s="169" t="s">
        <v>283</v>
      </c>
      <c r="T1435" s="169">
        <v>0</v>
      </c>
    </row>
    <row r="1436" spans="1:20" x14ac:dyDescent="0.2">
      <c r="A1436" s="169" t="str">
        <f t="shared" si="0"/>
        <v>642</v>
      </c>
      <c r="B1436" s="167" t="str">
        <f>_xlfn.XLOOKUP(I1436,Mapping!D:D,Mapping!E:E)</f>
        <v>Hành Chánh Nhân Sự</v>
      </c>
      <c r="C1436" s="167" t="str">
        <f>_xlfn.XLOOKUP(F1436,Mapping!A:A,Mapping!F:F)</f>
        <v>Phụ Cấp</v>
      </c>
      <c r="D1436" s="173">
        <v>45900</v>
      </c>
      <c r="E1436" s="169" t="s">
        <v>994</v>
      </c>
      <c r="F1436" s="169" t="s">
        <v>340</v>
      </c>
      <c r="G1436" s="169" t="s">
        <v>341</v>
      </c>
      <c r="H1436" s="169" t="s">
        <v>301</v>
      </c>
      <c r="I1436" s="169" t="s">
        <v>302</v>
      </c>
      <c r="J1436" s="169" t="s">
        <v>995</v>
      </c>
      <c r="K1436" s="169" t="s">
        <v>996</v>
      </c>
      <c r="L1436" s="169" t="s">
        <v>956</v>
      </c>
      <c r="M1436" s="169" t="s">
        <v>281</v>
      </c>
      <c r="N1436" s="178">
        <v>7114293</v>
      </c>
      <c r="O1436" s="169" t="s">
        <v>997</v>
      </c>
      <c r="P1436" s="169" t="s">
        <v>283</v>
      </c>
      <c r="Q1436" s="169" t="s">
        <v>284</v>
      </c>
      <c r="R1436" s="169" t="s">
        <v>283</v>
      </c>
      <c r="S1436" s="169" t="s">
        <v>283</v>
      </c>
      <c r="T1436" s="169">
        <v>0</v>
      </c>
    </row>
    <row r="1437" spans="1:20" x14ac:dyDescent="0.2">
      <c r="A1437" s="169" t="str">
        <f t="shared" si="0"/>
        <v>642</v>
      </c>
      <c r="B1437" s="167" t="str">
        <f>_xlfn.XLOOKUP(I1437,Mapping!D:D,Mapping!E:E)</f>
        <v>Hành Chánh Nhân Sự</v>
      </c>
      <c r="C1437" s="167" t="str">
        <f>_xlfn.XLOOKUP(F1437,Mapping!A:A,Mapping!F:F)</f>
        <v>Lương Chính +T13</v>
      </c>
      <c r="D1437" s="173">
        <v>45900</v>
      </c>
      <c r="E1437" s="169" t="s">
        <v>994</v>
      </c>
      <c r="F1437" s="169" t="s">
        <v>274</v>
      </c>
      <c r="G1437" s="169" t="s">
        <v>275</v>
      </c>
      <c r="H1437" s="169" t="s">
        <v>301</v>
      </c>
      <c r="I1437" s="169" t="s">
        <v>302</v>
      </c>
      <c r="J1437" s="169" t="s">
        <v>995</v>
      </c>
      <c r="K1437" s="169" t="s">
        <v>996</v>
      </c>
      <c r="L1437" s="169" t="s">
        <v>956</v>
      </c>
      <c r="M1437" s="169" t="s">
        <v>281</v>
      </c>
      <c r="N1437" s="178">
        <v>463794441</v>
      </c>
      <c r="O1437" s="169" t="s">
        <v>997</v>
      </c>
      <c r="P1437" s="169" t="s">
        <v>283</v>
      </c>
      <c r="Q1437" s="169" t="s">
        <v>284</v>
      </c>
      <c r="R1437" s="169" t="s">
        <v>283</v>
      </c>
      <c r="S1437" s="169" t="s">
        <v>283</v>
      </c>
      <c r="T1437" s="169">
        <v>0</v>
      </c>
    </row>
    <row r="1438" spans="1:20" x14ac:dyDescent="0.2">
      <c r="A1438" s="169" t="str">
        <f t="shared" si="0"/>
        <v>642</v>
      </c>
      <c r="B1438" s="167" t="str">
        <f>_xlfn.XLOOKUP(I1438,Mapping!D:D,Mapping!E:E)</f>
        <v>Hành Chánh Nhân Sự</v>
      </c>
      <c r="C1438" s="167" t="str">
        <f>_xlfn.XLOOKUP(F1438,Mapping!A:A,Mapping!F:F)</f>
        <v>Lương Chính +T13</v>
      </c>
      <c r="D1438" s="173">
        <v>45900</v>
      </c>
      <c r="E1438" s="169" t="s">
        <v>994</v>
      </c>
      <c r="F1438" s="169" t="s">
        <v>285</v>
      </c>
      <c r="G1438" s="169" t="s">
        <v>286</v>
      </c>
      <c r="H1438" s="169" t="s">
        <v>301</v>
      </c>
      <c r="I1438" s="169" t="s">
        <v>302</v>
      </c>
      <c r="J1438" s="169" t="s">
        <v>995</v>
      </c>
      <c r="K1438" s="169" t="s">
        <v>996</v>
      </c>
      <c r="L1438" s="169" t="s">
        <v>956</v>
      </c>
      <c r="M1438" s="169" t="s">
        <v>281</v>
      </c>
      <c r="N1438" s="178">
        <v>17302926</v>
      </c>
      <c r="O1438" s="169" t="s">
        <v>997</v>
      </c>
      <c r="P1438" s="169" t="s">
        <v>283</v>
      </c>
      <c r="Q1438" s="169" t="s">
        <v>284</v>
      </c>
      <c r="R1438" s="169" t="s">
        <v>283</v>
      </c>
      <c r="S1438" s="169" t="s">
        <v>283</v>
      </c>
      <c r="T1438" s="169">
        <v>0</v>
      </c>
    </row>
    <row r="1439" spans="1:20" x14ac:dyDescent="0.2">
      <c r="A1439" s="169" t="str">
        <f t="shared" si="0"/>
        <v>642</v>
      </c>
      <c r="B1439" s="167" t="str">
        <f>_xlfn.XLOOKUP(I1439,Mapping!D:D,Mapping!E:E)</f>
        <v>Hành Chánh Nhân Sự</v>
      </c>
      <c r="C1439" s="167" t="str">
        <f>_xlfn.XLOOKUP(F1439,Mapping!A:A,Mapping!F:F)</f>
        <v>Lương Ngoài giờ</v>
      </c>
      <c r="D1439" s="173">
        <v>45900</v>
      </c>
      <c r="E1439" s="169" t="s">
        <v>994</v>
      </c>
      <c r="F1439" s="169" t="s">
        <v>342</v>
      </c>
      <c r="G1439" s="169" t="s">
        <v>343</v>
      </c>
      <c r="H1439" s="169" t="s">
        <v>301</v>
      </c>
      <c r="I1439" s="169" t="s">
        <v>302</v>
      </c>
      <c r="J1439" s="169" t="s">
        <v>995</v>
      </c>
      <c r="K1439" s="169" t="s">
        <v>996</v>
      </c>
      <c r="L1439" s="169" t="s">
        <v>956</v>
      </c>
      <c r="M1439" s="169" t="s">
        <v>281</v>
      </c>
      <c r="N1439" s="178">
        <v>85259084</v>
      </c>
      <c r="O1439" s="169" t="s">
        <v>997</v>
      </c>
      <c r="P1439" s="169" t="s">
        <v>283</v>
      </c>
      <c r="Q1439" s="169" t="s">
        <v>284</v>
      </c>
      <c r="R1439" s="169" t="s">
        <v>283</v>
      </c>
      <c r="S1439" s="169" t="s">
        <v>283</v>
      </c>
      <c r="T1439" s="169">
        <v>0</v>
      </c>
    </row>
    <row r="1440" spans="1:20" x14ac:dyDescent="0.2">
      <c r="A1440" s="169" t="str">
        <f t="shared" si="0"/>
        <v>642</v>
      </c>
      <c r="B1440" s="167" t="str">
        <f>_xlfn.XLOOKUP(I1440,Mapping!D:D,Mapping!E:E)</f>
        <v>Hành Chánh Nhân Sự</v>
      </c>
      <c r="C1440" s="167" t="str">
        <f>_xlfn.XLOOKUP(F1440,Mapping!A:A,Mapping!F:F)</f>
        <v>Phụ Cấp</v>
      </c>
      <c r="D1440" s="173">
        <v>45900</v>
      </c>
      <c r="E1440" s="169" t="s">
        <v>994</v>
      </c>
      <c r="F1440" s="169" t="s">
        <v>335</v>
      </c>
      <c r="G1440" s="169" t="s">
        <v>336</v>
      </c>
      <c r="H1440" s="169" t="s">
        <v>301</v>
      </c>
      <c r="I1440" s="169" t="s">
        <v>302</v>
      </c>
      <c r="J1440" s="169" t="s">
        <v>995</v>
      </c>
      <c r="K1440" s="169" t="s">
        <v>996</v>
      </c>
      <c r="L1440" s="169" t="s">
        <v>956</v>
      </c>
      <c r="M1440" s="169" t="s">
        <v>281</v>
      </c>
      <c r="N1440" s="178">
        <v>5940000</v>
      </c>
      <c r="O1440" s="169" t="s">
        <v>997</v>
      </c>
      <c r="P1440" s="169" t="s">
        <v>283</v>
      </c>
      <c r="Q1440" s="169" t="s">
        <v>284</v>
      </c>
      <c r="R1440" s="169" t="s">
        <v>283</v>
      </c>
      <c r="S1440" s="169" t="s">
        <v>283</v>
      </c>
      <c r="T1440" s="169">
        <v>0</v>
      </c>
    </row>
    <row r="1441" spans="1:20" x14ac:dyDescent="0.2">
      <c r="A1441" s="169" t="str">
        <f t="shared" si="0"/>
        <v>642</v>
      </c>
      <c r="B1441" s="167" t="str">
        <f>_xlfn.XLOOKUP(I1441,Mapping!D:D,Mapping!E:E)</f>
        <v>Kế Toán</v>
      </c>
      <c r="C1441" s="167" t="str">
        <f>_xlfn.XLOOKUP(F1441,Mapping!A:A,Mapping!F:F)</f>
        <v>Lương Chính +T13</v>
      </c>
      <c r="D1441" s="173">
        <v>45900</v>
      </c>
      <c r="E1441" s="169" t="s">
        <v>994</v>
      </c>
      <c r="F1441" s="169" t="s">
        <v>274</v>
      </c>
      <c r="G1441" s="169" t="s">
        <v>275</v>
      </c>
      <c r="H1441" s="169" t="s">
        <v>356</v>
      </c>
      <c r="I1441" s="169" t="s">
        <v>357</v>
      </c>
      <c r="J1441" s="169" t="s">
        <v>995</v>
      </c>
      <c r="K1441" s="169" t="s">
        <v>996</v>
      </c>
      <c r="L1441" s="169" t="s">
        <v>956</v>
      </c>
      <c r="M1441" s="169" t="s">
        <v>281</v>
      </c>
      <c r="N1441" s="178">
        <v>502370819</v>
      </c>
      <c r="O1441" s="169" t="s">
        <v>997</v>
      </c>
      <c r="P1441" s="169" t="s">
        <v>283</v>
      </c>
      <c r="Q1441" s="169" t="s">
        <v>284</v>
      </c>
      <c r="R1441" s="169" t="s">
        <v>283</v>
      </c>
      <c r="S1441" s="169" t="s">
        <v>283</v>
      </c>
      <c r="T1441" s="169">
        <v>0</v>
      </c>
    </row>
    <row r="1442" spans="1:20" x14ac:dyDescent="0.2">
      <c r="A1442" s="169" t="str">
        <f t="shared" si="0"/>
        <v>642</v>
      </c>
      <c r="B1442" s="167" t="str">
        <f>_xlfn.XLOOKUP(I1442,Mapping!D:D,Mapping!E:E)</f>
        <v>Kế Toán</v>
      </c>
      <c r="C1442" s="167" t="str">
        <f>_xlfn.XLOOKUP(F1442,Mapping!A:A,Mapping!F:F)</f>
        <v>Lương Chính +T13</v>
      </c>
      <c r="D1442" s="173">
        <v>45900</v>
      </c>
      <c r="E1442" s="169" t="s">
        <v>994</v>
      </c>
      <c r="F1442" s="169" t="s">
        <v>285</v>
      </c>
      <c r="G1442" s="169" t="s">
        <v>286</v>
      </c>
      <c r="H1442" s="169" t="s">
        <v>356</v>
      </c>
      <c r="I1442" s="169" t="s">
        <v>357</v>
      </c>
      <c r="J1442" s="169" t="s">
        <v>995</v>
      </c>
      <c r="K1442" s="169" t="s">
        <v>996</v>
      </c>
      <c r="L1442" s="169" t="s">
        <v>956</v>
      </c>
      <c r="M1442" s="169" t="s">
        <v>281</v>
      </c>
      <c r="N1442" s="178">
        <v>28269608</v>
      </c>
      <c r="O1442" s="169" t="s">
        <v>997</v>
      </c>
      <c r="P1442" s="169" t="s">
        <v>283</v>
      </c>
      <c r="Q1442" s="169" t="s">
        <v>284</v>
      </c>
      <c r="R1442" s="169" t="s">
        <v>283</v>
      </c>
      <c r="S1442" s="169" t="s">
        <v>283</v>
      </c>
      <c r="T1442" s="169">
        <v>0</v>
      </c>
    </row>
    <row r="1443" spans="1:20" x14ac:dyDescent="0.2">
      <c r="A1443" s="169" t="str">
        <f t="shared" si="0"/>
        <v>642</v>
      </c>
      <c r="B1443" s="167" t="str">
        <f>_xlfn.XLOOKUP(I1443,Mapping!D:D,Mapping!E:E)</f>
        <v>Kế Toán</v>
      </c>
      <c r="C1443" s="167" t="str">
        <f>_xlfn.XLOOKUP(F1443,Mapping!A:A,Mapping!F:F)</f>
        <v>Lương Ngoài giờ</v>
      </c>
      <c r="D1443" s="173">
        <v>45900</v>
      </c>
      <c r="E1443" s="169" t="s">
        <v>994</v>
      </c>
      <c r="F1443" s="169" t="s">
        <v>342</v>
      </c>
      <c r="G1443" s="169" t="s">
        <v>343</v>
      </c>
      <c r="H1443" s="169" t="s">
        <v>356</v>
      </c>
      <c r="I1443" s="169" t="s">
        <v>357</v>
      </c>
      <c r="J1443" s="169" t="s">
        <v>995</v>
      </c>
      <c r="K1443" s="169" t="s">
        <v>996</v>
      </c>
      <c r="L1443" s="169" t="s">
        <v>956</v>
      </c>
      <c r="M1443" s="169" t="s">
        <v>281</v>
      </c>
      <c r="N1443" s="178">
        <v>49682613</v>
      </c>
      <c r="O1443" s="169" t="s">
        <v>997</v>
      </c>
      <c r="P1443" s="169" t="s">
        <v>283</v>
      </c>
      <c r="Q1443" s="169" t="s">
        <v>284</v>
      </c>
      <c r="R1443" s="169" t="s">
        <v>283</v>
      </c>
      <c r="S1443" s="169" t="s">
        <v>283</v>
      </c>
      <c r="T1443" s="169">
        <v>0</v>
      </c>
    </row>
    <row r="1444" spans="1:20" x14ac:dyDescent="0.2">
      <c r="A1444" s="169" t="str">
        <f t="shared" si="0"/>
        <v>642</v>
      </c>
      <c r="B1444" s="167" t="str">
        <f>_xlfn.XLOOKUP(I1444,Mapping!D:D,Mapping!E:E)</f>
        <v>Kế Toán</v>
      </c>
      <c r="C1444" s="167" t="str">
        <f>_xlfn.XLOOKUP(F1444,Mapping!A:A,Mapping!F:F)</f>
        <v>Phụ Cấp</v>
      </c>
      <c r="D1444" s="173">
        <v>45900</v>
      </c>
      <c r="E1444" s="169" t="s">
        <v>994</v>
      </c>
      <c r="F1444" s="169" t="s">
        <v>335</v>
      </c>
      <c r="G1444" s="169" t="s">
        <v>336</v>
      </c>
      <c r="H1444" s="169" t="s">
        <v>356</v>
      </c>
      <c r="I1444" s="169" t="s">
        <v>357</v>
      </c>
      <c r="J1444" s="169" t="s">
        <v>995</v>
      </c>
      <c r="K1444" s="169" t="s">
        <v>996</v>
      </c>
      <c r="L1444" s="169" t="s">
        <v>956</v>
      </c>
      <c r="M1444" s="169" t="s">
        <v>281</v>
      </c>
      <c r="N1444" s="178">
        <v>2575000</v>
      </c>
      <c r="O1444" s="169" t="s">
        <v>997</v>
      </c>
      <c r="P1444" s="169" t="s">
        <v>283</v>
      </c>
      <c r="Q1444" s="169" t="s">
        <v>284</v>
      </c>
      <c r="R1444" s="169" t="s">
        <v>283</v>
      </c>
      <c r="S1444" s="169" t="s">
        <v>283</v>
      </c>
      <c r="T1444" s="169">
        <v>0</v>
      </c>
    </row>
    <row r="1445" spans="1:20" x14ac:dyDescent="0.2">
      <c r="A1445" s="169" t="str">
        <f t="shared" si="0"/>
        <v>641</v>
      </c>
      <c r="B1445" s="167" t="str">
        <f>_xlfn.XLOOKUP(I1445,Mapping!D:D,Mapping!E:E)</f>
        <v>Kinh doanh</v>
      </c>
      <c r="C1445" s="167" t="str">
        <f>_xlfn.XLOOKUP(F1445,Mapping!A:A,Mapping!F:F)</f>
        <v>Lương Chính +T13</v>
      </c>
      <c r="D1445" s="173">
        <v>45900</v>
      </c>
      <c r="E1445" s="169" t="s">
        <v>994</v>
      </c>
      <c r="F1445" s="169" t="s">
        <v>383</v>
      </c>
      <c r="G1445" s="169" t="s">
        <v>275</v>
      </c>
      <c r="H1445" s="169" t="s">
        <v>366</v>
      </c>
      <c r="I1445" s="169" t="s">
        <v>1</v>
      </c>
      <c r="J1445" s="169" t="s">
        <v>995</v>
      </c>
      <c r="K1445" s="169" t="s">
        <v>996</v>
      </c>
      <c r="L1445" s="169" t="s">
        <v>956</v>
      </c>
      <c r="M1445" s="169" t="s">
        <v>281</v>
      </c>
      <c r="N1445" s="178">
        <v>234735562</v>
      </c>
      <c r="O1445" s="169" t="s">
        <v>997</v>
      </c>
      <c r="P1445" s="169" t="s">
        <v>283</v>
      </c>
      <c r="Q1445" s="169" t="s">
        <v>284</v>
      </c>
      <c r="R1445" s="169" t="s">
        <v>283</v>
      </c>
      <c r="S1445" s="169" t="s">
        <v>283</v>
      </c>
      <c r="T1445" s="169">
        <v>0</v>
      </c>
    </row>
    <row r="1446" spans="1:20" x14ac:dyDescent="0.2">
      <c r="A1446" s="169" t="str">
        <f t="shared" si="0"/>
        <v>641</v>
      </c>
      <c r="B1446" s="167" t="str">
        <f>_xlfn.XLOOKUP(I1446,Mapping!D:D,Mapping!E:E)</f>
        <v>Kinh doanh</v>
      </c>
      <c r="C1446" s="167" t="str">
        <f>_xlfn.XLOOKUP(F1446,Mapping!A:A,Mapping!F:F)</f>
        <v>Lương Chính +T13</v>
      </c>
      <c r="D1446" s="173">
        <v>45900</v>
      </c>
      <c r="E1446" s="169" t="s">
        <v>994</v>
      </c>
      <c r="F1446" s="169" t="s">
        <v>384</v>
      </c>
      <c r="G1446" s="169" t="s">
        <v>286</v>
      </c>
      <c r="H1446" s="169" t="s">
        <v>366</v>
      </c>
      <c r="I1446" s="169" t="s">
        <v>1</v>
      </c>
      <c r="J1446" s="169" t="s">
        <v>995</v>
      </c>
      <c r="K1446" s="169" t="s">
        <v>996</v>
      </c>
      <c r="L1446" s="169" t="s">
        <v>956</v>
      </c>
      <c r="M1446" s="169" t="s">
        <v>281</v>
      </c>
      <c r="N1446" s="178">
        <v>3873808</v>
      </c>
      <c r="O1446" s="169" t="s">
        <v>997</v>
      </c>
      <c r="P1446" s="169" t="s">
        <v>283</v>
      </c>
      <c r="Q1446" s="169" t="s">
        <v>284</v>
      </c>
      <c r="R1446" s="169" t="s">
        <v>283</v>
      </c>
      <c r="S1446" s="169" t="s">
        <v>283</v>
      </c>
      <c r="T1446" s="169">
        <v>0</v>
      </c>
    </row>
    <row r="1447" spans="1:20" x14ac:dyDescent="0.2">
      <c r="A1447" s="169" t="str">
        <f t="shared" si="0"/>
        <v>641</v>
      </c>
      <c r="B1447" s="167" t="str">
        <f>_xlfn.XLOOKUP(I1447,Mapping!D:D,Mapping!E:E)</f>
        <v>Kinh doanh</v>
      </c>
      <c r="C1447" s="167" t="str">
        <f>_xlfn.XLOOKUP(F1447,Mapping!A:A,Mapping!F:F)</f>
        <v>Thưởng</v>
      </c>
      <c r="D1447" s="173">
        <v>45900</v>
      </c>
      <c r="E1447" s="169" t="s">
        <v>994</v>
      </c>
      <c r="F1447" s="169" t="s">
        <v>365</v>
      </c>
      <c r="G1447" s="169" t="s">
        <v>291</v>
      </c>
      <c r="H1447" s="169" t="s">
        <v>366</v>
      </c>
      <c r="I1447" s="169" t="s">
        <v>1</v>
      </c>
      <c r="J1447" s="169" t="s">
        <v>995</v>
      </c>
      <c r="K1447" s="169" t="s">
        <v>996</v>
      </c>
      <c r="L1447" s="169" t="s">
        <v>956</v>
      </c>
      <c r="M1447" s="169" t="s">
        <v>281</v>
      </c>
      <c r="N1447" s="178">
        <v>88536485</v>
      </c>
      <c r="O1447" s="169" t="s">
        <v>997</v>
      </c>
      <c r="P1447" s="169" t="s">
        <v>283</v>
      </c>
      <c r="Q1447" s="169" t="s">
        <v>284</v>
      </c>
      <c r="R1447" s="169" t="s">
        <v>283</v>
      </c>
      <c r="S1447" s="169" t="s">
        <v>283</v>
      </c>
      <c r="T1447" s="169">
        <v>0</v>
      </c>
    </row>
    <row r="1448" spans="1:20" x14ac:dyDescent="0.2">
      <c r="A1448" s="169" t="str">
        <f t="shared" si="0"/>
        <v>641</v>
      </c>
      <c r="B1448" s="167" t="str">
        <f>_xlfn.XLOOKUP(I1448,Mapping!D:D,Mapping!E:E)</f>
        <v>Kinh doanh</v>
      </c>
      <c r="C1448" s="167" t="str">
        <f>_xlfn.XLOOKUP(F1448,Mapping!A:A,Mapping!F:F)</f>
        <v>Phụ Cấp</v>
      </c>
      <c r="D1448" s="173">
        <v>45900</v>
      </c>
      <c r="E1448" s="169" t="s">
        <v>994</v>
      </c>
      <c r="F1448" s="169" t="s">
        <v>385</v>
      </c>
      <c r="G1448" s="169" t="s">
        <v>336</v>
      </c>
      <c r="H1448" s="169" t="s">
        <v>366</v>
      </c>
      <c r="I1448" s="169" t="s">
        <v>1</v>
      </c>
      <c r="J1448" s="169" t="s">
        <v>995</v>
      </c>
      <c r="K1448" s="169" t="s">
        <v>996</v>
      </c>
      <c r="L1448" s="169" t="s">
        <v>956</v>
      </c>
      <c r="M1448" s="169" t="s">
        <v>281</v>
      </c>
      <c r="N1448" s="178">
        <v>50000</v>
      </c>
      <c r="O1448" s="169" t="s">
        <v>997</v>
      </c>
      <c r="P1448" s="169" t="s">
        <v>283</v>
      </c>
      <c r="Q1448" s="169" t="s">
        <v>284</v>
      </c>
      <c r="R1448" s="169" t="s">
        <v>283</v>
      </c>
      <c r="S1448" s="169" t="s">
        <v>283</v>
      </c>
      <c r="T1448" s="169">
        <v>0</v>
      </c>
    </row>
    <row r="1449" spans="1:20" x14ac:dyDescent="0.2">
      <c r="A1449" s="169" t="str">
        <f t="shared" si="0"/>
        <v>642</v>
      </c>
      <c r="B1449" s="167" t="str">
        <f>_xlfn.XLOOKUP(I1449,Mapping!D:D,Mapping!E:E)</f>
        <v>Cung Ứng</v>
      </c>
      <c r="C1449" s="167" t="str">
        <f>_xlfn.XLOOKUP(F1449,Mapping!A:A,Mapping!F:F)</f>
        <v>Lương Chính +T13</v>
      </c>
      <c r="D1449" s="173">
        <v>45900</v>
      </c>
      <c r="E1449" s="169" t="s">
        <v>994</v>
      </c>
      <c r="F1449" s="169" t="s">
        <v>274</v>
      </c>
      <c r="G1449" s="169" t="s">
        <v>275</v>
      </c>
      <c r="H1449" s="169" t="s">
        <v>380</v>
      </c>
      <c r="I1449" s="169" t="s">
        <v>381</v>
      </c>
      <c r="J1449" s="169" t="s">
        <v>995</v>
      </c>
      <c r="K1449" s="169" t="s">
        <v>996</v>
      </c>
      <c r="L1449" s="169" t="s">
        <v>956</v>
      </c>
      <c r="M1449" s="169" t="s">
        <v>281</v>
      </c>
      <c r="N1449" s="178">
        <v>530658480</v>
      </c>
      <c r="O1449" s="169" t="s">
        <v>997</v>
      </c>
      <c r="P1449" s="169" t="s">
        <v>283</v>
      </c>
      <c r="Q1449" s="169" t="s">
        <v>284</v>
      </c>
      <c r="R1449" s="169" t="s">
        <v>283</v>
      </c>
      <c r="S1449" s="169" t="s">
        <v>283</v>
      </c>
      <c r="T1449" s="169">
        <v>0</v>
      </c>
    </row>
    <row r="1450" spans="1:20" x14ac:dyDescent="0.2">
      <c r="A1450" s="169" t="str">
        <f t="shared" ref="A1450:A1513" si="1">LEFT(F1450,3)</f>
        <v>642</v>
      </c>
      <c r="B1450" s="167" t="str">
        <f>_xlfn.XLOOKUP(I1450,Mapping!D:D,Mapping!E:E)</f>
        <v>Cung Ứng</v>
      </c>
      <c r="C1450" s="167" t="str">
        <f>_xlfn.XLOOKUP(F1450,Mapping!A:A,Mapping!F:F)</f>
        <v>Lương Chính +T13</v>
      </c>
      <c r="D1450" s="173">
        <v>45900</v>
      </c>
      <c r="E1450" s="169" t="s">
        <v>994</v>
      </c>
      <c r="F1450" s="169" t="s">
        <v>285</v>
      </c>
      <c r="G1450" s="169" t="s">
        <v>286</v>
      </c>
      <c r="H1450" s="169" t="s">
        <v>380</v>
      </c>
      <c r="I1450" s="169" t="s">
        <v>381</v>
      </c>
      <c r="J1450" s="169" t="s">
        <v>995</v>
      </c>
      <c r="K1450" s="169" t="s">
        <v>996</v>
      </c>
      <c r="L1450" s="169" t="s">
        <v>956</v>
      </c>
      <c r="M1450" s="169" t="s">
        <v>281</v>
      </c>
      <c r="N1450" s="178">
        <v>24227232</v>
      </c>
      <c r="O1450" s="169" t="s">
        <v>997</v>
      </c>
      <c r="P1450" s="169" t="s">
        <v>283</v>
      </c>
      <c r="Q1450" s="169" t="s">
        <v>284</v>
      </c>
      <c r="R1450" s="169" t="s">
        <v>283</v>
      </c>
      <c r="S1450" s="169" t="s">
        <v>283</v>
      </c>
      <c r="T1450" s="169">
        <v>0</v>
      </c>
    </row>
    <row r="1451" spans="1:20" x14ac:dyDescent="0.2">
      <c r="A1451" s="169" t="str">
        <f t="shared" si="1"/>
        <v>642</v>
      </c>
      <c r="B1451" s="167" t="str">
        <f>_xlfn.XLOOKUP(I1451,Mapping!D:D,Mapping!E:E)</f>
        <v>Cung Ứng</v>
      </c>
      <c r="C1451" s="167" t="str">
        <f>_xlfn.XLOOKUP(F1451,Mapping!A:A,Mapping!F:F)</f>
        <v>Thưởng</v>
      </c>
      <c r="D1451" s="173">
        <v>45900</v>
      </c>
      <c r="E1451" s="169" t="s">
        <v>994</v>
      </c>
      <c r="F1451" s="169" t="s">
        <v>290</v>
      </c>
      <c r="G1451" s="169" t="s">
        <v>291</v>
      </c>
      <c r="H1451" s="169" t="s">
        <v>380</v>
      </c>
      <c r="I1451" s="169" t="s">
        <v>381</v>
      </c>
      <c r="J1451" s="169" t="s">
        <v>995</v>
      </c>
      <c r="K1451" s="169" t="s">
        <v>996</v>
      </c>
      <c r="L1451" s="169" t="s">
        <v>956</v>
      </c>
      <c r="M1451" s="169" t="s">
        <v>281</v>
      </c>
      <c r="N1451" s="178">
        <v>312008538</v>
      </c>
      <c r="O1451" s="169" t="s">
        <v>997</v>
      </c>
      <c r="P1451" s="169" t="s">
        <v>283</v>
      </c>
      <c r="Q1451" s="169" t="s">
        <v>284</v>
      </c>
      <c r="R1451" s="169" t="s">
        <v>283</v>
      </c>
      <c r="S1451" s="169" t="s">
        <v>283</v>
      </c>
      <c r="T1451" s="169">
        <v>0</v>
      </c>
    </row>
    <row r="1452" spans="1:20" x14ac:dyDescent="0.2">
      <c r="A1452" s="169" t="str">
        <f t="shared" si="1"/>
        <v>642</v>
      </c>
      <c r="B1452" s="167" t="str">
        <f>_xlfn.XLOOKUP(I1452,Mapping!D:D,Mapping!E:E)</f>
        <v>Cung Ứng</v>
      </c>
      <c r="C1452" s="167" t="str">
        <f>_xlfn.XLOOKUP(F1452,Mapping!A:A,Mapping!F:F)</f>
        <v>Phụ Cấp</v>
      </c>
      <c r="D1452" s="173">
        <v>45900</v>
      </c>
      <c r="E1452" s="169" t="s">
        <v>994</v>
      </c>
      <c r="F1452" s="169" t="s">
        <v>335</v>
      </c>
      <c r="G1452" s="169" t="s">
        <v>336</v>
      </c>
      <c r="H1452" s="169" t="s">
        <v>380</v>
      </c>
      <c r="I1452" s="169" t="s">
        <v>381</v>
      </c>
      <c r="J1452" s="169" t="s">
        <v>995</v>
      </c>
      <c r="K1452" s="169" t="s">
        <v>996</v>
      </c>
      <c r="L1452" s="169" t="s">
        <v>956</v>
      </c>
      <c r="M1452" s="169" t="s">
        <v>281</v>
      </c>
      <c r="N1452" s="178">
        <v>12430000</v>
      </c>
      <c r="O1452" s="169" t="s">
        <v>997</v>
      </c>
      <c r="P1452" s="169" t="s">
        <v>283</v>
      </c>
      <c r="Q1452" s="169" t="s">
        <v>284</v>
      </c>
      <c r="R1452" s="169" t="s">
        <v>283</v>
      </c>
      <c r="S1452" s="169" t="s">
        <v>283</v>
      </c>
      <c r="T1452" s="169">
        <v>0</v>
      </c>
    </row>
    <row r="1453" spans="1:20" x14ac:dyDescent="0.2">
      <c r="A1453" s="169" t="str">
        <f t="shared" si="1"/>
        <v>642</v>
      </c>
      <c r="B1453" s="167" t="str">
        <f>_xlfn.XLOOKUP(I1453,Mapping!D:D,Mapping!E:E)</f>
        <v>Mua Hàng &amp; XNK</v>
      </c>
      <c r="C1453" s="167" t="str">
        <f>_xlfn.XLOOKUP(F1453,Mapping!A:A,Mapping!F:F)</f>
        <v>Lương Chính +T13</v>
      </c>
      <c r="D1453" s="173">
        <v>45900</v>
      </c>
      <c r="E1453" s="169" t="s">
        <v>994</v>
      </c>
      <c r="F1453" s="169" t="s">
        <v>274</v>
      </c>
      <c r="G1453" s="169" t="s">
        <v>275</v>
      </c>
      <c r="H1453" s="169" t="s">
        <v>378</v>
      </c>
      <c r="I1453" s="169" t="s">
        <v>379</v>
      </c>
      <c r="J1453" s="169" t="s">
        <v>995</v>
      </c>
      <c r="K1453" s="169" t="s">
        <v>996</v>
      </c>
      <c r="L1453" s="169" t="s">
        <v>956</v>
      </c>
      <c r="M1453" s="169" t="s">
        <v>281</v>
      </c>
      <c r="N1453" s="178">
        <v>121680122</v>
      </c>
      <c r="O1453" s="169" t="s">
        <v>997</v>
      </c>
      <c r="P1453" s="169" t="s">
        <v>283</v>
      </c>
      <c r="Q1453" s="169" t="s">
        <v>284</v>
      </c>
      <c r="R1453" s="169" t="s">
        <v>283</v>
      </c>
      <c r="S1453" s="169" t="s">
        <v>283</v>
      </c>
      <c r="T1453" s="169">
        <v>0</v>
      </c>
    </row>
    <row r="1454" spans="1:20" x14ac:dyDescent="0.2">
      <c r="A1454" s="169" t="str">
        <f t="shared" si="1"/>
        <v>642</v>
      </c>
      <c r="B1454" s="167" t="str">
        <f>_xlfn.XLOOKUP(I1454,Mapping!D:D,Mapping!E:E)</f>
        <v>Mua Hàng &amp; XNK</v>
      </c>
      <c r="C1454" s="167" t="str">
        <f>_xlfn.XLOOKUP(F1454,Mapping!A:A,Mapping!F:F)</f>
        <v>Lương Chính +T13</v>
      </c>
      <c r="D1454" s="173">
        <v>45900</v>
      </c>
      <c r="E1454" s="169" t="s">
        <v>994</v>
      </c>
      <c r="F1454" s="169" t="s">
        <v>285</v>
      </c>
      <c r="G1454" s="169" t="s">
        <v>286</v>
      </c>
      <c r="H1454" s="169" t="s">
        <v>378</v>
      </c>
      <c r="I1454" s="169" t="s">
        <v>379</v>
      </c>
      <c r="J1454" s="169" t="s">
        <v>995</v>
      </c>
      <c r="K1454" s="169" t="s">
        <v>996</v>
      </c>
      <c r="L1454" s="169" t="s">
        <v>956</v>
      </c>
      <c r="M1454" s="169" t="s">
        <v>281</v>
      </c>
      <c r="N1454" s="178">
        <v>6622114</v>
      </c>
      <c r="O1454" s="169" t="s">
        <v>997</v>
      </c>
      <c r="P1454" s="169" t="s">
        <v>283</v>
      </c>
      <c r="Q1454" s="169" t="s">
        <v>284</v>
      </c>
      <c r="R1454" s="169" t="s">
        <v>283</v>
      </c>
      <c r="S1454" s="169" t="s">
        <v>283</v>
      </c>
      <c r="T1454" s="169">
        <v>0</v>
      </c>
    </row>
    <row r="1455" spans="1:20" x14ac:dyDescent="0.2">
      <c r="A1455" s="169" t="str">
        <f t="shared" si="1"/>
        <v>642</v>
      </c>
      <c r="B1455" s="167" t="str">
        <f>_xlfn.XLOOKUP(I1455,Mapping!D:D,Mapping!E:E)</f>
        <v>Mua Hàng &amp; XNK</v>
      </c>
      <c r="C1455" s="167" t="str">
        <f>_xlfn.XLOOKUP(F1455,Mapping!A:A,Mapping!F:F)</f>
        <v>Phụ Cấp</v>
      </c>
      <c r="D1455" s="173">
        <v>45900</v>
      </c>
      <c r="E1455" s="169" t="s">
        <v>994</v>
      </c>
      <c r="F1455" s="169" t="s">
        <v>335</v>
      </c>
      <c r="G1455" s="169" t="s">
        <v>336</v>
      </c>
      <c r="H1455" s="169" t="s">
        <v>378</v>
      </c>
      <c r="I1455" s="169" t="s">
        <v>379</v>
      </c>
      <c r="J1455" s="169" t="s">
        <v>995</v>
      </c>
      <c r="K1455" s="169" t="s">
        <v>996</v>
      </c>
      <c r="L1455" s="169" t="s">
        <v>956</v>
      </c>
      <c r="M1455" s="169" t="s">
        <v>281</v>
      </c>
      <c r="N1455" s="178">
        <v>700000</v>
      </c>
      <c r="O1455" s="169" t="s">
        <v>997</v>
      </c>
      <c r="P1455" s="169" t="s">
        <v>283</v>
      </c>
      <c r="Q1455" s="169" t="s">
        <v>284</v>
      </c>
      <c r="R1455" s="169" t="s">
        <v>283</v>
      </c>
      <c r="S1455" s="169" t="s">
        <v>283</v>
      </c>
      <c r="T1455" s="169">
        <v>0</v>
      </c>
    </row>
    <row r="1456" spans="1:20" x14ac:dyDescent="0.2">
      <c r="A1456" s="169" t="str">
        <f t="shared" si="1"/>
        <v>627</v>
      </c>
      <c r="B1456" s="167" t="str">
        <f>_xlfn.XLOOKUP(I1456,Mapping!D:D,Mapping!E:E)</f>
        <v>Kỹ Thuật</v>
      </c>
      <c r="C1456" s="167" t="str">
        <f>_xlfn.XLOOKUP(F1456,Mapping!A:A,Mapping!F:F)</f>
        <v>Phụ Cấp</v>
      </c>
      <c r="D1456" s="173">
        <v>45900</v>
      </c>
      <c r="E1456" s="169" t="s">
        <v>994</v>
      </c>
      <c r="F1456" s="169" t="s">
        <v>386</v>
      </c>
      <c r="G1456" s="169" t="s">
        <v>341</v>
      </c>
      <c r="H1456" s="169" t="s">
        <v>376</v>
      </c>
      <c r="I1456" s="169" t="s">
        <v>377</v>
      </c>
      <c r="J1456" s="169" t="s">
        <v>995</v>
      </c>
      <c r="K1456" s="169" t="s">
        <v>996</v>
      </c>
      <c r="L1456" s="169" t="s">
        <v>956</v>
      </c>
      <c r="M1456" s="169" t="s">
        <v>281</v>
      </c>
      <c r="N1456" s="178">
        <v>51620106</v>
      </c>
      <c r="O1456" s="169" t="s">
        <v>997</v>
      </c>
      <c r="P1456" s="169" t="s">
        <v>283</v>
      </c>
      <c r="Q1456" s="169" t="s">
        <v>284</v>
      </c>
      <c r="R1456" s="169" t="s">
        <v>283</v>
      </c>
      <c r="S1456" s="169" t="s">
        <v>283</v>
      </c>
      <c r="T1456" s="169">
        <v>0</v>
      </c>
    </row>
    <row r="1457" spans="1:20" x14ac:dyDescent="0.2">
      <c r="A1457" s="169" t="str">
        <f t="shared" si="1"/>
        <v>627</v>
      </c>
      <c r="B1457" s="167" t="str">
        <f>_xlfn.XLOOKUP(I1457,Mapping!D:D,Mapping!E:E)</f>
        <v>Kỹ Thuật</v>
      </c>
      <c r="C1457" s="167" t="str">
        <f>_xlfn.XLOOKUP(F1457,Mapping!A:A,Mapping!F:F)</f>
        <v>Lương Chính +T13</v>
      </c>
      <c r="D1457" s="173">
        <v>45900</v>
      </c>
      <c r="E1457" s="169" t="s">
        <v>994</v>
      </c>
      <c r="F1457" s="169" t="s">
        <v>387</v>
      </c>
      <c r="G1457" s="169" t="s">
        <v>275</v>
      </c>
      <c r="H1457" s="169" t="s">
        <v>376</v>
      </c>
      <c r="I1457" s="169" t="s">
        <v>377</v>
      </c>
      <c r="J1457" s="169" t="s">
        <v>995</v>
      </c>
      <c r="K1457" s="169" t="s">
        <v>996</v>
      </c>
      <c r="L1457" s="169" t="s">
        <v>956</v>
      </c>
      <c r="M1457" s="169" t="s">
        <v>281</v>
      </c>
      <c r="N1457" s="178">
        <v>1118793481</v>
      </c>
      <c r="O1457" s="169" t="s">
        <v>997</v>
      </c>
      <c r="P1457" s="169" t="s">
        <v>283</v>
      </c>
      <c r="Q1457" s="169" t="s">
        <v>284</v>
      </c>
      <c r="R1457" s="169" t="s">
        <v>283</v>
      </c>
      <c r="S1457" s="169" t="s">
        <v>283</v>
      </c>
      <c r="T1457" s="169">
        <v>0</v>
      </c>
    </row>
    <row r="1458" spans="1:20" x14ac:dyDescent="0.2">
      <c r="A1458" s="169" t="str">
        <f t="shared" si="1"/>
        <v>627</v>
      </c>
      <c r="B1458" s="167" t="str">
        <f>_xlfn.XLOOKUP(I1458,Mapping!D:D,Mapping!E:E)</f>
        <v>Kỹ Thuật</v>
      </c>
      <c r="C1458" s="167" t="str">
        <f>_xlfn.XLOOKUP(F1458,Mapping!A:A,Mapping!F:F)</f>
        <v>Lương Chính +T13</v>
      </c>
      <c r="D1458" s="173">
        <v>45900</v>
      </c>
      <c r="E1458" s="169" t="s">
        <v>994</v>
      </c>
      <c r="F1458" s="169" t="s">
        <v>388</v>
      </c>
      <c r="G1458" s="169" t="s">
        <v>286</v>
      </c>
      <c r="H1458" s="169" t="s">
        <v>376</v>
      </c>
      <c r="I1458" s="169" t="s">
        <v>377</v>
      </c>
      <c r="J1458" s="169" t="s">
        <v>995</v>
      </c>
      <c r="K1458" s="169" t="s">
        <v>996</v>
      </c>
      <c r="L1458" s="169" t="s">
        <v>956</v>
      </c>
      <c r="M1458" s="169" t="s">
        <v>281</v>
      </c>
      <c r="N1458" s="178">
        <v>48816653</v>
      </c>
      <c r="O1458" s="169" t="s">
        <v>997</v>
      </c>
      <c r="P1458" s="169" t="s">
        <v>283</v>
      </c>
      <c r="Q1458" s="169" t="s">
        <v>284</v>
      </c>
      <c r="R1458" s="169" t="s">
        <v>283</v>
      </c>
      <c r="S1458" s="169" t="s">
        <v>283</v>
      </c>
      <c r="T1458" s="169">
        <v>0</v>
      </c>
    </row>
    <row r="1459" spans="1:20" x14ac:dyDescent="0.2">
      <c r="A1459" s="169" t="str">
        <f t="shared" si="1"/>
        <v>627</v>
      </c>
      <c r="B1459" s="167" t="str">
        <f>_xlfn.XLOOKUP(I1459,Mapping!D:D,Mapping!E:E)</f>
        <v>Kỹ Thuật</v>
      </c>
      <c r="C1459" s="167" t="str">
        <f>_xlfn.XLOOKUP(F1459,Mapping!A:A,Mapping!F:F)</f>
        <v>Lương Ngoài giờ</v>
      </c>
      <c r="D1459" s="173">
        <v>45900</v>
      </c>
      <c r="E1459" s="169" t="s">
        <v>994</v>
      </c>
      <c r="F1459" s="169" t="s">
        <v>389</v>
      </c>
      <c r="G1459" s="169" t="s">
        <v>390</v>
      </c>
      <c r="H1459" s="169" t="s">
        <v>376</v>
      </c>
      <c r="I1459" s="169" t="s">
        <v>377</v>
      </c>
      <c r="J1459" s="169" t="s">
        <v>995</v>
      </c>
      <c r="K1459" s="169" t="s">
        <v>996</v>
      </c>
      <c r="L1459" s="169" t="s">
        <v>956</v>
      </c>
      <c r="M1459" s="169" t="s">
        <v>281</v>
      </c>
      <c r="N1459" s="178">
        <v>406556893</v>
      </c>
      <c r="O1459" s="169" t="s">
        <v>997</v>
      </c>
      <c r="P1459" s="169" t="s">
        <v>283</v>
      </c>
      <c r="Q1459" s="169" t="s">
        <v>284</v>
      </c>
      <c r="R1459" s="169" t="s">
        <v>283</v>
      </c>
      <c r="S1459" s="169" t="s">
        <v>283</v>
      </c>
      <c r="T1459" s="169">
        <v>0</v>
      </c>
    </row>
    <row r="1460" spans="1:20" x14ac:dyDescent="0.2">
      <c r="A1460" s="169" t="str">
        <f t="shared" si="1"/>
        <v>627</v>
      </c>
      <c r="B1460" s="167" t="str">
        <f>_xlfn.XLOOKUP(I1460,Mapping!D:D,Mapping!E:E)</f>
        <v>Kỹ Thuật</v>
      </c>
      <c r="C1460" s="167" t="str">
        <f>_xlfn.XLOOKUP(F1460,Mapping!A:A,Mapping!F:F)</f>
        <v>Phụ Cấp</v>
      </c>
      <c r="D1460" s="173">
        <v>45900</v>
      </c>
      <c r="E1460" s="169" t="s">
        <v>994</v>
      </c>
      <c r="F1460" s="169" t="s">
        <v>375</v>
      </c>
      <c r="G1460" s="169" t="s">
        <v>336</v>
      </c>
      <c r="H1460" s="169" t="s">
        <v>376</v>
      </c>
      <c r="I1460" s="169" t="s">
        <v>377</v>
      </c>
      <c r="J1460" s="169" t="s">
        <v>995</v>
      </c>
      <c r="K1460" s="169" t="s">
        <v>996</v>
      </c>
      <c r="L1460" s="169" t="s">
        <v>956</v>
      </c>
      <c r="M1460" s="169" t="s">
        <v>281</v>
      </c>
      <c r="N1460" s="178">
        <v>12110000</v>
      </c>
      <c r="O1460" s="169" t="s">
        <v>997</v>
      </c>
      <c r="P1460" s="169" t="s">
        <v>283</v>
      </c>
      <c r="Q1460" s="169" t="s">
        <v>284</v>
      </c>
      <c r="R1460" s="169" t="s">
        <v>283</v>
      </c>
      <c r="S1460" s="169" t="s">
        <v>283</v>
      </c>
      <c r="T1460" s="169">
        <v>0</v>
      </c>
    </row>
    <row r="1461" spans="1:20" x14ac:dyDescent="0.2">
      <c r="A1461" s="169" t="str">
        <f t="shared" si="1"/>
        <v>627</v>
      </c>
      <c r="B1461" s="167" t="str">
        <f>_xlfn.XLOOKUP(I1461,Mapping!D:D,Mapping!E:E)</f>
        <v>Kiểm Soát Chất Lượng</v>
      </c>
      <c r="C1461" s="167" t="str">
        <f>_xlfn.XLOOKUP(F1461,Mapping!A:A,Mapping!F:F)</f>
        <v>Phụ Cấp</v>
      </c>
      <c r="D1461" s="173">
        <v>45900</v>
      </c>
      <c r="E1461" s="169" t="s">
        <v>994</v>
      </c>
      <c r="F1461" s="169" t="s">
        <v>386</v>
      </c>
      <c r="G1461" s="169" t="s">
        <v>341</v>
      </c>
      <c r="H1461" s="169" t="s">
        <v>411</v>
      </c>
      <c r="I1461" s="169" t="s">
        <v>412</v>
      </c>
      <c r="J1461" s="169" t="s">
        <v>995</v>
      </c>
      <c r="K1461" s="169" t="s">
        <v>996</v>
      </c>
      <c r="L1461" s="169" t="s">
        <v>956</v>
      </c>
      <c r="M1461" s="169" t="s">
        <v>281</v>
      </c>
      <c r="N1461" s="178">
        <v>29100945</v>
      </c>
      <c r="O1461" s="169" t="s">
        <v>997</v>
      </c>
      <c r="P1461" s="169" t="s">
        <v>283</v>
      </c>
      <c r="Q1461" s="169" t="s">
        <v>284</v>
      </c>
      <c r="R1461" s="169" t="s">
        <v>283</v>
      </c>
      <c r="S1461" s="169" t="s">
        <v>283</v>
      </c>
      <c r="T1461" s="169">
        <v>0</v>
      </c>
    </row>
    <row r="1462" spans="1:20" x14ac:dyDescent="0.2">
      <c r="A1462" s="169" t="str">
        <f t="shared" si="1"/>
        <v>627</v>
      </c>
      <c r="B1462" s="167" t="str">
        <f>_xlfn.XLOOKUP(I1462,Mapping!D:D,Mapping!E:E)</f>
        <v>Kiểm Soát Chất Lượng</v>
      </c>
      <c r="C1462" s="167" t="str">
        <f>_xlfn.XLOOKUP(F1462,Mapping!A:A,Mapping!F:F)</f>
        <v>Lương Chính +T13</v>
      </c>
      <c r="D1462" s="173">
        <v>45900</v>
      </c>
      <c r="E1462" s="169" t="s">
        <v>994</v>
      </c>
      <c r="F1462" s="169" t="s">
        <v>387</v>
      </c>
      <c r="G1462" s="169" t="s">
        <v>275</v>
      </c>
      <c r="H1462" s="169" t="s">
        <v>411</v>
      </c>
      <c r="I1462" s="169" t="s">
        <v>412</v>
      </c>
      <c r="J1462" s="169" t="s">
        <v>995</v>
      </c>
      <c r="K1462" s="169" t="s">
        <v>996</v>
      </c>
      <c r="L1462" s="169" t="s">
        <v>956</v>
      </c>
      <c r="M1462" s="169" t="s">
        <v>281</v>
      </c>
      <c r="N1462" s="178">
        <v>509618147</v>
      </c>
      <c r="O1462" s="169" t="s">
        <v>997</v>
      </c>
      <c r="P1462" s="169" t="s">
        <v>283</v>
      </c>
      <c r="Q1462" s="169" t="s">
        <v>284</v>
      </c>
      <c r="R1462" s="169" t="s">
        <v>283</v>
      </c>
      <c r="S1462" s="169" t="s">
        <v>283</v>
      </c>
      <c r="T1462" s="169">
        <v>0</v>
      </c>
    </row>
    <row r="1463" spans="1:20" x14ac:dyDescent="0.2">
      <c r="A1463" s="169" t="str">
        <f t="shared" si="1"/>
        <v>627</v>
      </c>
      <c r="B1463" s="167" t="str">
        <f>_xlfn.XLOOKUP(I1463,Mapping!D:D,Mapping!E:E)</f>
        <v>Kiểm Soát Chất Lượng</v>
      </c>
      <c r="C1463" s="167" t="str">
        <f>_xlfn.XLOOKUP(F1463,Mapping!A:A,Mapping!F:F)</f>
        <v>Lương Chính +T13</v>
      </c>
      <c r="D1463" s="173">
        <v>45900</v>
      </c>
      <c r="E1463" s="169" t="s">
        <v>994</v>
      </c>
      <c r="F1463" s="169" t="s">
        <v>388</v>
      </c>
      <c r="G1463" s="169" t="s">
        <v>286</v>
      </c>
      <c r="H1463" s="169" t="s">
        <v>411</v>
      </c>
      <c r="I1463" s="169" t="s">
        <v>412</v>
      </c>
      <c r="J1463" s="169" t="s">
        <v>995</v>
      </c>
      <c r="K1463" s="169" t="s">
        <v>996</v>
      </c>
      <c r="L1463" s="169" t="s">
        <v>956</v>
      </c>
      <c r="M1463" s="169" t="s">
        <v>281</v>
      </c>
      <c r="N1463" s="178">
        <v>26854750</v>
      </c>
      <c r="O1463" s="169" t="s">
        <v>997</v>
      </c>
      <c r="P1463" s="169" t="s">
        <v>283</v>
      </c>
      <c r="Q1463" s="169" t="s">
        <v>284</v>
      </c>
      <c r="R1463" s="169" t="s">
        <v>283</v>
      </c>
      <c r="S1463" s="169" t="s">
        <v>283</v>
      </c>
      <c r="T1463" s="169">
        <v>0</v>
      </c>
    </row>
    <row r="1464" spans="1:20" x14ac:dyDescent="0.2">
      <c r="A1464" s="169" t="str">
        <f t="shared" si="1"/>
        <v>627</v>
      </c>
      <c r="B1464" s="167" t="str">
        <f>_xlfn.XLOOKUP(I1464,Mapping!D:D,Mapping!E:E)</f>
        <v>Kiểm Soát Chất Lượng</v>
      </c>
      <c r="C1464" s="167" t="str">
        <f>_xlfn.XLOOKUP(F1464,Mapping!A:A,Mapping!F:F)</f>
        <v>Lương Ngoài giờ</v>
      </c>
      <c r="D1464" s="173">
        <v>45900</v>
      </c>
      <c r="E1464" s="169" t="s">
        <v>994</v>
      </c>
      <c r="F1464" s="169" t="s">
        <v>389</v>
      </c>
      <c r="G1464" s="169" t="s">
        <v>390</v>
      </c>
      <c r="H1464" s="169" t="s">
        <v>411</v>
      </c>
      <c r="I1464" s="169" t="s">
        <v>412</v>
      </c>
      <c r="J1464" s="169" t="s">
        <v>995</v>
      </c>
      <c r="K1464" s="169" t="s">
        <v>996</v>
      </c>
      <c r="L1464" s="169" t="s">
        <v>956</v>
      </c>
      <c r="M1464" s="169" t="s">
        <v>281</v>
      </c>
      <c r="N1464" s="178">
        <v>191485300</v>
      </c>
      <c r="O1464" s="169" t="s">
        <v>997</v>
      </c>
      <c r="P1464" s="169" t="s">
        <v>283</v>
      </c>
      <c r="Q1464" s="169" t="s">
        <v>284</v>
      </c>
      <c r="R1464" s="169" t="s">
        <v>283</v>
      </c>
      <c r="S1464" s="169" t="s">
        <v>283</v>
      </c>
      <c r="T1464" s="169">
        <v>0</v>
      </c>
    </row>
    <row r="1465" spans="1:20" x14ac:dyDescent="0.2">
      <c r="A1465" s="169" t="str">
        <f t="shared" si="1"/>
        <v>627</v>
      </c>
      <c r="B1465" s="167" t="str">
        <f>_xlfn.XLOOKUP(I1465,Mapping!D:D,Mapping!E:E)</f>
        <v>Kiểm Soát Chất Lượng</v>
      </c>
      <c r="C1465" s="167" t="str">
        <f>_xlfn.XLOOKUP(F1465,Mapping!A:A,Mapping!F:F)</f>
        <v>Phụ Cấp</v>
      </c>
      <c r="D1465" s="173">
        <v>45900</v>
      </c>
      <c r="E1465" s="169" t="s">
        <v>994</v>
      </c>
      <c r="F1465" s="169" t="s">
        <v>375</v>
      </c>
      <c r="G1465" s="169" t="s">
        <v>336</v>
      </c>
      <c r="H1465" s="169" t="s">
        <v>411</v>
      </c>
      <c r="I1465" s="169" t="s">
        <v>412</v>
      </c>
      <c r="J1465" s="169" t="s">
        <v>995</v>
      </c>
      <c r="K1465" s="169" t="s">
        <v>996</v>
      </c>
      <c r="L1465" s="169" t="s">
        <v>956</v>
      </c>
      <c r="M1465" s="169" t="s">
        <v>281</v>
      </c>
      <c r="N1465" s="178">
        <v>8960000</v>
      </c>
      <c r="O1465" s="169" t="s">
        <v>997</v>
      </c>
      <c r="P1465" s="169" t="s">
        <v>283</v>
      </c>
      <c r="Q1465" s="169" t="s">
        <v>284</v>
      </c>
      <c r="R1465" s="169" t="s">
        <v>283</v>
      </c>
      <c r="S1465" s="169" t="s">
        <v>283</v>
      </c>
      <c r="T1465" s="169">
        <v>0</v>
      </c>
    </row>
    <row r="1466" spans="1:20" x14ac:dyDescent="0.2">
      <c r="A1466" s="169" t="str">
        <f t="shared" si="1"/>
        <v>627</v>
      </c>
      <c r="B1466" s="167" t="str">
        <f>_xlfn.XLOOKUP(I1466,Mapping!D:D,Mapping!E:E)</f>
        <v>Nghiên Cứu &amp; Phát Triển</v>
      </c>
      <c r="C1466" s="167" t="str">
        <f>_xlfn.XLOOKUP(F1466,Mapping!A:A,Mapping!F:F)</f>
        <v>Lương Chính +T13</v>
      </c>
      <c r="D1466" s="173">
        <v>45900</v>
      </c>
      <c r="E1466" s="169" t="s">
        <v>994</v>
      </c>
      <c r="F1466" s="169" t="s">
        <v>387</v>
      </c>
      <c r="G1466" s="169" t="s">
        <v>275</v>
      </c>
      <c r="H1466" s="169" t="s">
        <v>418</v>
      </c>
      <c r="I1466" s="169" t="s">
        <v>419</v>
      </c>
      <c r="J1466" s="169" t="s">
        <v>995</v>
      </c>
      <c r="K1466" s="169" t="s">
        <v>996</v>
      </c>
      <c r="L1466" s="169" t="s">
        <v>956</v>
      </c>
      <c r="M1466" s="169" t="s">
        <v>281</v>
      </c>
      <c r="N1466" s="178">
        <v>158256008</v>
      </c>
      <c r="O1466" s="169" t="s">
        <v>997</v>
      </c>
      <c r="P1466" s="169" t="s">
        <v>283</v>
      </c>
      <c r="Q1466" s="169" t="s">
        <v>284</v>
      </c>
      <c r="R1466" s="169" t="s">
        <v>283</v>
      </c>
      <c r="S1466" s="169" t="s">
        <v>283</v>
      </c>
      <c r="T1466" s="169">
        <v>0</v>
      </c>
    </row>
    <row r="1467" spans="1:20" x14ac:dyDescent="0.2">
      <c r="A1467" s="169" t="str">
        <f t="shared" si="1"/>
        <v>627</v>
      </c>
      <c r="B1467" s="167" t="str">
        <f>_xlfn.XLOOKUP(I1467,Mapping!D:D,Mapping!E:E)</f>
        <v>Nghiên Cứu &amp; Phát Triển</v>
      </c>
      <c r="C1467" s="167" t="str">
        <f>_xlfn.XLOOKUP(F1467,Mapping!A:A,Mapping!F:F)</f>
        <v>Lương Chính +T13</v>
      </c>
      <c r="D1467" s="173">
        <v>45900</v>
      </c>
      <c r="E1467" s="169" t="s">
        <v>994</v>
      </c>
      <c r="F1467" s="169" t="s">
        <v>388</v>
      </c>
      <c r="G1467" s="169" t="s">
        <v>286</v>
      </c>
      <c r="H1467" s="169" t="s">
        <v>418</v>
      </c>
      <c r="I1467" s="169" t="s">
        <v>419</v>
      </c>
      <c r="J1467" s="169" t="s">
        <v>995</v>
      </c>
      <c r="K1467" s="169" t="s">
        <v>996</v>
      </c>
      <c r="L1467" s="169" t="s">
        <v>956</v>
      </c>
      <c r="M1467" s="169" t="s">
        <v>281</v>
      </c>
      <c r="N1467" s="178">
        <v>7721154</v>
      </c>
      <c r="O1467" s="169" t="s">
        <v>997</v>
      </c>
      <c r="P1467" s="169" t="s">
        <v>283</v>
      </c>
      <c r="Q1467" s="169" t="s">
        <v>284</v>
      </c>
      <c r="R1467" s="169" t="s">
        <v>283</v>
      </c>
      <c r="S1467" s="169" t="s">
        <v>283</v>
      </c>
      <c r="T1467" s="169">
        <v>0</v>
      </c>
    </row>
    <row r="1468" spans="1:20" x14ac:dyDescent="0.2">
      <c r="A1468" s="169" t="str">
        <f t="shared" si="1"/>
        <v>627</v>
      </c>
      <c r="B1468" s="167" t="str">
        <f>_xlfn.XLOOKUP(I1468,Mapping!D:D,Mapping!E:E)</f>
        <v>Nghiên Cứu &amp; Phát Triển</v>
      </c>
      <c r="C1468" s="167" t="str">
        <f>_xlfn.XLOOKUP(F1468,Mapping!A:A,Mapping!F:F)</f>
        <v>Phụ Cấp</v>
      </c>
      <c r="D1468" s="173">
        <v>45900</v>
      </c>
      <c r="E1468" s="169" t="s">
        <v>994</v>
      </c>
      <c r="F1468" s="169" t="s">
        <v>375</v>
      </c>
      <c r="G1468" s="169" t="s">
        <v>336</v>
      </c>
      <c r="H1468" s="169" t="s">
        <v>418</v>
      </c>
      <c r="I1468" s="169" t="s">
        <v>419</v>
      </c>
      <c r="J1468" s="169" t="s">
        <v>995</v>
      </c>
      <c r="K1468" s="169" t="s">
        <v>996</v>
      </c>
      <c r="L1468" s="169" t="s">
        <v>956</v>
      </c>
      <c r="M1468" s="169" t="s">
        <v>281</v>
      </c>
      <c r="N1468" s="178">
        <v>250000</v>
      </c>
      <c r="O1468" s="169" t="s">
        <v>997</v>
      </c>
      <c r="P1468" s="169" t="s">
        <v>283</v>
      </c>
      <c r="Q1468" s="169" t="s">
        <v>284</v>
      </c>
      <c r="R1468" s="169" t="s">
        <v>283</v>
      </c>
      <c r="S1468" s="169" t="s">
        <v>283</v>
      </c>
      <c r="T1468" s="169">
        <v>0</v>
      </c>
    </row>
    <row r="1469" spans="1:20" x14ac:dyDescent="0.2">
      <c r="A1469" s="169" t="str">
        <f t="shared" si="1"/>
        <v>622</v>
      </c>
      <c r="B1469" s="167" t="str">
        <f>_xlfn.XLOOKUP(I1469,Mapping!D:D,Mapping!E:E)</f>
        <v>Xưởng Sản Xuất</v>
      </c>
      <c r="C1469" s="167" t="str">
        <f>_xlfn.XLOOKUP(F1469,Mapping!A:A,Mapping!F:F)</f>
        <v>Lương Chính +T13</v>
      </c>
      <c r="D1469" s="173">
        <v>45900</v>
      </c>
      <c r="E1469" s="169" t="s">
        <v>994</v>
      </c>
      <c r="F1469" s="169" t="s">
        <v>400</v>
      </c>
      <c r="G1469" s="169" t="s">
        <v>401</v>
      </c>
      <c r="H1469" s="169" t="s">
        <v>402</v>
      </c>
      <c r="I1469" s="169" t="s">
        <v>403</v>
      </c>
      <c r="J1469" s="169" t="s">
        <v>995</v>
      </c>
      <c r="K1469" s="169" t="s">
        <v>996</v>
      </c>
      <c r="L1469" s="169" t="s">
        <v>956</v>
      </c>
      <c r="M1469" s="169" t="s">
        <v>281</v>
      </c>
      <c r="N1469" s="178">
        <v>1728472042</v>
      </c>
      <c r="O1469" s="169" t="s">
        <v>997</v>
      </c>
      <c r="P1469" s="169" t="s">
        <v>283</v>
      </c>
      <c r="Q1469" s="169" t="s">
        <v>284</v>
      </c>
      <c r="R1469" s="169" t="s">
        <v>283</v>
      </c>
      <c r="S1469" s="169" t="s">
        <v>283</v>
      </c>
      <c r="T1469" s="169">
        <v>0</v>
      </c>
    </row>
    <row r="1470" spans="1:20" x14ac:dyDescent="0.2">
      <c r="A1470" s="169" t="str">
        <f t="shared" si="1"/>
        <v>622</v>
      </c>
      <c r="B1470" s="167" t="str">
        <f>_xlfn.XLOOKUP(I1470,Mapping!D:D,Mapping!E:E)</f>
        <v>Xưởng Sản Xuất</v>
      </c>
      <c r="C1470" s="167" t="str">
        <f>_xlfn.XLOOKUP(F1470,Mapping!A:A,Mapping!F:F)</f>
        <v>Lương Chính +T13</v>
      </c>
      <c r="D1470" s="173">
        <v>45900</v>
      </c>
      <c r="E1470" s="169" t="s">
        <v>994</v>
      </c>
      <c r="F1470" s="169" t="s">
        <v>420</v>
      </c>
      <c r="G1470" s="169" t="s">
        <v>286</v>
      </c>
      <c r="H1470" s="169" t="s">
        <v>402</v>
      </c>
      <c r="I1470" s="169" t="s">
        <v>403</v>
      </c>
      <c r="J1470" s="169" t="s">
        <v>995</v>
      </c>
      <c r="K1470" s="169" t="s">
        <v>996</v>
      </c>
      <c r="L1470" s="169" t="s">
        <v>956</v>
      </c>
      <c r="M1470" s="169" t="s">
        <v>281</v>
      </c>
      <c r="N1470" s="178">
        <v>27831243</v>
      </c>
      <c r="O1470" s="169" t="s">
        <v>997</v>
      </c>
      <c r="P1470" s="169" t="s">
        <v>283</v>
      </c>
      <c r="Q1470" s="169" t="s">
        <v>284</v>
      </c>
      <c r="R1470" s="169" t="s">
        <v>283</v>
      </c>
      <c r="S1470" s="169" t="s">
        <v>283</v>
      </c>
      <c r="T1470" s="169">
        <v>0</v>
      </c>
    </row>
    <row r="1471" spans="1:20" x14ac:dyDescent="0.2">
      <c r="A1471" s="169" t="str">
        <f t="shared" si="1"/>
        <v>622</v>
      </c>
      <c r="B1471" s="167" t="str">
        <f>_xlfn.XLOOKUP(I1471,Mapping!D:D,Mapping!E:E)</f>
        <v>Xưởng Sản Xuất</v>
      </c>
      <c r="C1471" s="167" t="str">
        <f>_xlfn.XLOOKUP(F1471,Mapping!A:A,Mapping!F:F)</f>
        <v>Phụ Cấp</v>
      </c>
      <c r="D1471" s="173">
        <v>45900</v>
      </c>
      <c r="E1471" s="169" t="s">
        <v>994</v>
      </c>
      <c r="F1471" s="169" t="s">
        <v>421</v>
      </c>
      <c r="G1471" s="169" t="s">
        <v>341</v>
      </c>
      <c r="H1471" s="169" t="s">
        <v>402</v>
      </c>
      <c r="I1471" s="169" t="s">
        <v>403</v>
      </c>
      <c r="J1471" s="169" t="s">
        <v>995</v>
      </c>
      <c r="K1471" s="169" t="s">
        <v>996</v>
      </c>
      <c r="L1471" s="169" t="s">
        <v>956</v>
      </c>
      <c r="M1471" s="169" t="s">
        <v>281</v>
      </c>
      <c r="N1471" s="178">
        <v>138379096</v>
      </c>
      <c r="O1471" s="169" t="s">
        <v>997</v>
      </c>
      <c r="P1471" s="169" t="s">
        <v>283</v>
      </c>
      <c r="Q1471" s="169" t="s">
        <v>284</v>
      </c>
      <c r="R1471" s="169" t="s">
        <v>283</v>
      </c>
      <c r="S1471" s="169" t="s">
        <v>283</v>
      </c>
      <c r="T1471" s="169">
        <v>0</v>
      </c>
    </row>
    <row r="1472" spans="1:20" x14ac:dyDescent="0.2">
      <c r="A1472" s="169" t="str">
        <f t="shared" si="1"/>
        <v>622</v>
      </c>
      <c r="B1472" s="167" t="str">
        <f>_xlfn.XLOOKUP(I1472,Mapping!D:D,Mapping!E:E)</f>
        <v>Xưởng Sản Xuất</v>
      </c>
      <c r="C1472" s="167" t="str">
        <f>_xlfn.XLOOKUP(F1472,Mapping!A:A,Mapping!F:F)</f>
        <v>Lương Ngoài giờ</v>
      </c>
      <c r="D1472" s="173">
        <v>45900</v>
      </c>
      <c r="E1472" s="169" t="s">
        <v>994</v>
      </c>
      <c r="F1472" s="169" t="s">
        <v>422</v>
      </c>
      <c r="G1472" s="169" t="s">
        <v>423</v>
      </c>
      <c r="H1472" s="169" t="s">
        <v>402</v>
      </c>
      <c r="I1472" s="169" t="s">
        <v>403</v>
      </c>
      <c r="J1472" s="169" t="s">
        <v>995</v>
      </c>
      <c r="K1472" s="169" t="s">
        <v>996</v>
      </c>
      <c r="L1472" s="169" t="s">
        <v>956</v>
      </c>
      <c r="M1472" s="169" t="s">
        <v>281</v>
      </c>
      <c r="N1472" s="178">
        <v>344441820</v>
      </c>
      <c r="O1472" s="169" t="s">
        <v>997</v>
      </c>
      <c r="P1472" s="169" t="s">
        <v>283</v>
      </c>
      <c r="Q1472" s="169" t="s">
        <v>284</v>
      </c>
      <c r="R1472" s="169" t="s">
        <v>283</v>
      </c>
      <c r="S1472" s="169" t="s">
        <v>283</v>
      </c>
      <c r="T1472" s="169">
        <v>0</v>
      </c>
    </row>
    <row r="1473" spans="1:20" x14ac:dyDescent="0.2">
      <c r="A1473" s="169" t="str">
        <f t="shared" si="1"/>
        <v>622</v>
      </c>
      <c r="B1473" s="167" t="str">
        <f>_xlfn.XLOOKUP(I1473,Mapping!D:D,Mapping!E:E)</f>
        <v>Xưởng Sản Xuất</v>
      </c>
      <c r="C1473" s="167" t="str">
        <f>_xlfn.XLOOKUP(F1473,Mapping!A:A,Mapping!F:F)</f>
        <v>Phụ Cấp</v>
      </c>
      <c r="D1473" s="173">
        <v>45900</v>
      </c>
      <c r="E1473" s="169" t="s">
        <v>994</v>
      </c>
      <c r="F1473" s="169" t="s">
        <v>414</v>
      </c>
      <c r="G1473" s="169" t="s">
        <v>415</v>
      </c>
      <c r="H1473" s="169" t="s">
        <v>402</v>
      </c>
      <c r="I1473" s="169" t="s">
        <v>403</v>
      </c>
      <c r="J1473" s="169" t="s">
        <v>995</v>
      </c>
      <c r="K1473" s="169" t="s">
        <v>996</v>
      </c>
      <c r="L1473" s="169" t="s">
        <v>956</v>
      </c>
      <c r="M1473" s="169" t="s">
        <v>281</v>
      </c>
      <c r="N1473" s="178">
        <v>37510000</v>
      </c>
      <c r="O1473" s="169" t="s">
        <v>997</v>
      </c>
      <c r="P1473" s="169" t="s">
        <v>283</v>
      </c>
      <c r="Q1473" s="169" t="s">
        <v>284</v>
      </c>
      <c r="R1473" s="169" t="s">
        <v>283</v>
      </c>
      <c r="S1473" s="169" t="s">
        <v>283</v>
      </c>
      <c r="T1473" s="169">
        <v>0</v>
      </c>
    </row>
    <row r="1474" spans="1:20" x14ac:dyDescent="0.2">
      <c r="A1474" s="169" t="str">
        <f t="shared" si="1"/>
        <v>627</v>
      </c>
      <c r="B1474" s="167" t="str">
        <f>_xlfn.XLOOKUP(I1474,Mapping!D:D,Mapping!E:E)</f>
        <v>Xưởng Sản Xuất</v>
      </c>
      <c r="C1474" s="167" t="str">
        <f>_xlfn.XLOOKUP(F1474,Mapping!A:A,Mapping!F:F)</f>
        <v>Phụ Cấp</v>
      </c>
      <c r="D1474" s="173">
        <v>45900</v>
      </c>
      <c r="E1474" s="169" t="s">
        <v>994</v>
      </c>
      <c r="F1474" s="169" t="s">
        <v>386</v>
      </c>
      <c r="G1474" s="169" t="s">
        <v>341</v>
      </c>
      <c r="H1474" s="169" t="s">
        <v>402</v>
      </c>
      <c r="I1474" s="169" t="s">
        <v>403</v>
      </c>
      <c r="J1474" s="169" t="s">
        <v>995</v>
      </c>
      <c r="K1474" s="169" t="s">
        <v>996</v>
      </c>
      <c r="L1474" s="169" t="s">
        <v>956</v>
      </c>
      <c r="M1474" s="169" t="s">
        <v>281</v>
      </c>
      <c r="N1474" s="178">
        <v>14089564</v>
      </c>
      <c r="O1474" s="169" t="s">
        <v>997</v>
      </c>
      <c r="P1474" s="169" t="s">
        <v>283</v>
      </c>
      <c r="Q1474" s="169" t="s">
        <v>284</v>
      </c>
      <c r="R1474" s="169" t="s">
        <v>283</v>
      </c>
      <c r="S1474" s="169" t="s">
        <v>283</v>
      </c>
      <c r="T1474" s="169">
        <v>0</v>
      </c>
    </row>
    <row r="1475" spans="1:20" x14ac:dyDescent="0.2">
      <c r="A1475" s="169" t="str">
        <f t="shared" si="1"/>
        <v>627</v>
      </c>
      <c r="B1475" s="167" t="str">
        <f>_xlfn.XLOOKUP(I1475,Mapping!D:D,Mapping!E:E)</f>
        <v>Xưởng Sản Xuất</v>
      </c>
      <c r="C1475" s="167" t="str">
        <f>_xlfn.XLOOKUP(F1475,Mapping!A:A,Mapping!F:F)</f>
        <v>Lương Chính +T13</v>
      </c>
      <c r="D1475" s="173">
        <v>45900</v>
      </c>
      <c r="E1475" s="169" t="s">
        <v>994</v>
      </c>
      <c r="F1475" s="169" t="s">
        <v>387</v>
      </c>
      <c r="G1475" s="169" t="s">
        <v>275</v>
      </c>
      <c r="H1475" s="169" t="s">
        <v>402</v>
      </c>
      <c r="I1475" s="169" t="s">
        <v>403</v>
      </c>
      <c r="J1475" s="169" t="s">
        <v>995</v>
      </c>
      <c r="K1475" s="169" t="s">
        <v>996</v>
      </c>
      <c r="L1475" s="169" t="s">
        <v>956</v>
      </c>
      <c r="M1475" s="169" t="s">
        <v>281</v>
      </c>
      <c r="N1475" s="178">
        <v>450926816</v>
      </c>
      <c r="O1475" s="169" t="s">
        <v>997</v>
      </c>
      <c r="P1475" s="169" t="s">
        <v>283</v>
      </c>
      <c r="Q1475" s="169" t="s">
        <v>284</v>
      </c>
      <c r="R1475" s="169" t="s">
        <v>283</v>
      </c>
      <c r="S1475" s="169" t="s">
        <v>283</v>
      </c>
      <c r="T1475" s="169">
        <v>0</v>
      </c>
    </row>
    <row r="1476" spans="1:20" x14ac:dyDescent="0.2">
      <c r="A1476" s="169" t="str">
        <f t="shared" si="1"/>
        <v>627</v>
      </c>
      <c r="B1476" s="167" t="str">
        <f>_xlfn.XLOOKUP(I1476,Mapping!D:D,Mapping!E:E)</f>
        <v>Xưởng Sản Xuất</v>
      </c>
      <c r="C1476" s="167" t="str">
        <f>_xlfn.XLOOKUP(F1476,Mapping!A:A,Mapping!F:F)</f>
        <v>Lương Chính +T13</v>
      </c>
      <c r="D1476" s="173">
        <v>45900</v>
      </c>
      <c r="E1476" s="169" t="s">
        <v>994</v>
      </c>
      <c r="F1476" s="169" t="s">
        <v>388</v>
      </c>
      <c r="G1476" s="169" t="s">
        <v>286</v>
      </c>
      <c r="H1476" s="169" t="s">
        <v>402</v>
      </c>
      <c r="I1476" s="169" t="s">
        <v>403</v>
      </c>
      <c r="J1476" s="169" t="s">
        <v>995</v>
      </c>
      <c r="K1476" s="169" t="s">
        <v>996</v>
      </c>
      <c r="L1476" s="169" t="s">
        <v>956</v>
      </c>
      <c r="M1476" s="169" t="s">
        <v>281</v>
      </c>
      <c r="N1476" s="178">
        <v>17042213</v>
      </c>
      <c r="O1476" s="169" t="s">
        <v>997</v>
      </c>
      <c r="P1476" s="169" t="s">
        <v>283</v>
      </c>
      <c r="Q1476" s="169" t="s">
        <v>284</v>
      </c>
      <c r="R1476" s="169" t="s">
        <v>283</v>
      </c>
      <c r="S1476" s="169" t="s">
        <v>283</v>
      </c>
      <c r="T1476" s="169">
        <v>0</v>
      </c>
    </row>
    <row r="1477" spans="1:20" x14ac:dyDescent="0.2">
      <c r="A1477" s="169" t="str">
        <f t="shared" si="1"/>
        <v>627</v>
      </c>
      <c r="B1477" s="167" t="str">
        <f>_xlfn.XLOOKUP(I1477,Mapping!D:D,Mapping!E:E)</f>
        <v>Xưởng Sản Xuất</v>
      </c>
      <c r="C1477" s="167" t="str">
        <f>_xlfn.XLOOKUP(F1477,Mapping!A:A,Mapping!F:F)</f>
        <v>Lương Ngoài giờ</v>
      </c>
      <c r="D1477" s="173">
        <v>45900</v>
      </c>
      <c r="E1477" s="169" t="s">
        <v>994</v>
      </c>
      <c r="F1477" s="169" t="s">
        <v>389</v>
      </c>
      <c r="G1477" s="169" t="s">
        <v>390</v>
      </c>
      <c r="H1477" s="169" t="s">
        <v>402</v>
      </c>
      <c r="I1477" s="169" t="s">
        <v>403</v>
      </c>
      <c r="J1477" s="169" t="s">
        <v>995</v>
      </c>
      <c r="K1477" s="169" t="s">
        <v>996</v>
      </c>
      <c r="L1477" s="169" t="s">
        <v>956</v>
      </c>
      <c r="M1477" s="169" t="s">
        <v>281</v>
      </c>
      <c r="N1477" s="178">
        <v>53887639</v>
      </c>
      <c r="O1477" s="169" t="s">
        <v>997</v>
      </c>
      <c r="P1477" s="169" t="s">
        <v>283</v>
      </c>
      <c r="Q1477" s="169" t="s">
        <v>284</v>
      </c>
      <c r="R1477" s="169" t="s">
        <v>283</v>
      </c>
      <c r="S1477" s="169" t="s">
        <v>283</v>
      </c>
      <c r="T1477" s="169">
        <v>0</v>
      </c>
    </row>
    <row r="1478" spans="1:20" x14ac:dyDescent="0.2">
      <c r="A1478" s="169" t="str">
        <f t="shared" si="1"/>
        <v>627</v>
      </c>
      <c r="B1478" s="167" t="str">
        <f>_xlfn.XLOOKUP(I1478,Mapping!D:D,Mapping!E:E)</f>
        <v>Xưởng Sản Xuất</v>
      </c>
      <c r="C1478" s="167" t="str">
        <f>_xlfn.XLOOKUP(F1478,Mapping!A:A,Mapping!F:F)</f>
        <v>Phụ Cấp</v>
      </c>
      <c r="D1478" s="173">
        <v>45900</v>
      </c>
      <c r="E1478" s="169" t="s">
        <v>994</v>
      </c>
      <c r="F1478" s="169" t="s">
        <v>375</v>
      </c>
      <c r="G1478" s="169" t="s">
        <v>336</v>
      </c>
      <c r="H1478" s="169" t="s">
        <v>402</v>
      </c>
      <c r="I1478" s="169" t="s">
        <v>403</v>
      </c>
      <c r="J1478" s="169" t="s">
        <v>995</v>
      </c>
      <c r="K1478" s="169" t="s">
        <v>996</v>
      </c>
      <c r="L1478" s="169" t="s">
        <v>956</v>
      </c>
      <c r="M1478" s="169" t="s">
        <v>281</v>
      </c>
      <c r="N1478" s="178">
        <v>3930000</v>
      </c>
      <c r="O1478" s="169" t="s">
        <v>997</v>
      </c>
      <c r="P1478" s="169" t="s">
        <v>283</v>
      </c>
      <c r="Q1478" s="169" t="s">
        <v>284</v>
      </c>
      <c r="R1478" s="169" t="s">
        <v>283</v>
      </c>
      <c r="S1478" s="169" t="s">
        <v>283</v>
      </c>
      <c r="T1478" s="169">
        <v>0</v>
      </c>
    </row>
    <row r="1479" spans="1:20" x14ac:dyDescent="0.2">
      <c r="A1479" s="169" t="str">
        <f t="shared" si="1"/>
        <v>622</v>
      </c>
      <c r="B1479" s="167" t="str">
        <f>_xlfn.XLOOKUP(I1479,Mapping!D:D,Mapping!E:E)</f>
        <v>Xưởng Sản Xuất</v>
      </c>
      <c r="C1479" s="167" t="str">
        <f>_xlfn.XLOOKUP(F1479,Mapping!A:A,Mapping!F:F)</f>
        <v>Lương Chính +T13</v>
      </c>
      <c r="D1479" s="173">
        <v>45900</v>
      </c>
      <c r="E1479" s="169" t="s">
        <v>994</v>
      </c>
      <c r="F1479" s="169" t="s">
        <v>400</v>
      </c>
      <c r="G1479" s="169" t="s">
        <v>401</v>
      </c>
      <c r="H1479" s="169" t="s">
        <v>430</v>
      </c>
      <c r="I1479" s="169" t="s">
        <v>431</v>
      </c>
      <c r="J1479" s="169" t="s">
        <v>995</v>
      </c>
      <c r="K1479" s="169" t="s">
        <v>996</v>
      </c>
      <c r="L1479" s="169" t="s">
        <v>956</v>
      </c>
      <c r="M1479" s="169" t="s">
        <v>281</v>
      </c>
      <c r="N1479" s="178">
        <v>290533669</v>
      </c>
      <c r="O1479" s="169" t="s">
        <v>997</v>
      </c>
      <c r="P1479" s="169" t="s">
        <v>283</v>
      </c>
      <c r="Q1479" s="169" t="s">
        <v>284</v>
      </c>
      <c r="R1479" s="169" t="s">
        <v>283</v>
      </c>
      <c r="S1479" s="169" t="s">
        <v>283</v>
      </c>
      <c r="T1479" s="169">
        <v>0</v>
      </c>
    </row>
    <row r="1480" spans="1:20" x14ac:dyDescent="0.2">
      <c r="A1480" s="169" t="str">
        <f t="shared" si="1"/>
        <v>622</v>
      </c>
      <c r="B1480" s="167" t="str">
        <f>_xlfn.XLOOKUP(I1480,Mapping!D:D,Mapping!E:E)</f>
        <v>Xưởng Sản Xuất</v>
      </c>
      <c r="C1480" s="167" t="str">
        <f>_xlfn.XLOOKUP(F1480,Mapping!A:A,Mapping!F:F)</f>
        <v>Lương Chính +T13</v>
      </c>
      <c r="D1480" s="173">
        <v>45900</v>
      </c>
      <c r="E1480" s="169" t="s">
        <v>994</v>
      </c>
      <c r="F1480" s="169" t="s">
        <v>420</v>
      </c>
      <c r="G1480" s="169" t="s">
        <v>286</v>
      </c>
      <c r="H1480" s="169" t="s">
        <v>430</v>
      </c>
      <c r="I1480" s="169" t="s">
        <v>431</v>
      </c>
      <c r="J1480" s="169" t="s">
        <v>995</v>
      </c>
      <c r="K1480" s="169" t="s">
        <v>996</v>
      </c>
      <c r="L1480" s="169" t="s">
        <v>956</v>
      </c>
      <c r="M1480" s="169" t="s">
        <v>281</v>
      </c>
      <c r="N1480" s="178">
        <v>6270752</v>
      </c>
      <c r="O1480" s="169" t="s">
        <v>997</v>
      </c>
      <c r="P1480" s="169" t="s">
        <v>283</v>
      </c>
      <c r="Q1480" s="169" t="s">
        <v>284</v>
      </c>
      <c r="R1480" s="169" t="s">
        <v>283</v>
      </c>
      <c r="S1480" s="169" t="s">
        <v>283</v>
      </c>
      <c r="T1480" s="169">
        <v>0</v>
      </c>
    </row>
    <row r="1481" spans="1:20" x14ac:dyDescent="0.2">
      <c r="A1481" s="169" t="str">
        <f t="shared" si="1"/>
        <v>622</v>
      </c>
      <c r="B1481" s="167" t="str">
        <f>_xlfn.XLOOKUP(I1481,Mapping!D:D,Mapping!E:E)</f>
        <v>Xưởng Sản Xuất</v>
      </c>
      <c r="C1481" s="167" t="str">
        <f>_xlfn.XLOOKUP(F1481,Mapping!A:A,Mapping!F:F)</f>
        <v>Phụ Cấp</v>
      </c>
      <c r="D1481" s="173">
        <v>45900</v>
      </c>
      <c r="E1481" s="169" t="s">
        <v>994</v>
      </c>
      <c r="F1481" s="169" t="s">
        <v>421</v>
      </c>
      <c r="G1481" s="169" t="s">
        <v>341</v>
      </c>
      <c r="H1481" s="169" t="s">
        <v>430</v>
      </c>
      <c r="I1481" s="169" t="s">
        <v>431</v>
      </c>
      <c r="J1481" s="169" t="s">
        <v>995</v>
      </c>
      <c r="K1481" s="169" t="s">
        <v>996</v>
      </c>
      <c r="L1481" s="169" t="s">
        <v>956</v>
      </c>
      <c r="M1481" s="169" t="s">
        <v>281</v>
      </c>
      <c r="N1481" s="178">
        <v>26039580</v>
      </c>
      <c r="O1481" s="169" t="s">
        <v>997</v>
      </c>
      <c r="P1481" s="169" t="s">
        <v>283</v>
      </c>
      <c r="Q1481" s="169" t="s">
        <v>284</v>
      </c>
      <c r="R1481" s="169" t="s">
        <v>283</v>
      </c>
      <c r="S1481" s="169" t="s">
        <v>283</v>
      </c>
      <c r="T1481" s="169">
        <v>0</v>
      </c>
    </row>
    <row r="1482" spans="1:20" x14ac:dyDescent="0.2">
      <c r="A1482" s="169" t="str">
        <f t="shared" si="1"/>
        <v>622</v>
      </c>
      <c r="B1482" s="167" t="str">
        <f>_xlfn.XLOOKUP(I1482,Mapping!D:D,Mapping!E:E)</f>
        <v>Xưởng Sản Xuất</v>
      </c>
      <c r="C1482" s="167" t="str">
        <f>_xlfn.XLOOKUP(F1482,Mapping!A:A,Mapping!F:F)</f>
        <v>Lương Ngoài giờ</v>
      </c>
      <c r="D1482" s="173">
        <v>45900</v>
      </c>
      <c r="E1482" s="169" t="s">
        <v>994</v>
      </c>
      <c r="F1482" s="169" t="s">
        <v>422</v>
      </c>
      <c r="G1482" s="169" t="s">
        <v>423</v>
      </c>
      <c r="H1482" s="169" t="s">
        <v>430</v>
      </c>
      <c r="I1482" s="169" t="s">
        <v>431</v>
      </c>
      <c r="J1482" s="169" t="s">
        <v>995</v>
      </c>
      <c r="K1482" s="169" t="s">
        <v>996</v>
      </c>
      <c r="L1482" s="169" t="s">
        <v>956</v>
      </c>
      <c r="M1482" s="169" t="s">
        <v>281</v>
      </c>
      <c r="N1482" s="178">
        <v>63329280</v>
      </c>
      <c r="O1482" s="169" t="s">
        <v>997</v>
      </c>
      <c r="P1482" s="169" t="s">
        <v>283</v>
      </c>
      <c r="Q1482" s="169" t="s">
        <v>284</v>
      </c>
      <c r="R1482" s="169" t="s">
        <v>283</v>
      </c>
      <c r="S1482" s="169" t="s">
        <v>283</v>
      </c>
      <c r="T1482" s="169">
        <v>0</v>
      </c>
    </row>
    <row r="1483" spans="1:20" x14ac:dyDescent="0.2">
      <c r="A1483" s="169" t="str">
        <f t="shared" si="1"/>
        <v>622</v>
      </c>
      <c r="B1483" s="167" t="str">
        <f>_xlfn.XLOOKUP(I1483,Mapping!D:D,Mapping!E:E)</f>
        <v>Xưởng Sản Xuất</v>
      </c>
      <c r="C1483" s="167" t="str">
        <f>_xlfn.XLOOKUP(F1483,Mapping!A:A,Mapping!F:F)</f>
        <v>Phụ Cấp</v>
      </c>
      <c r="D1483" s="173">
        <v>45900</v>
      </c>
      <c r="E1483" s="169" t="s">
        <v>994</v>
      </c>
      <c r="F1483" s="169" t="s">
        <v>414</v>
      </c>
      <c r="G1483" s="169" t="s">
        <v>415</v>
      </c>
      <c r="H1483" s="169" t="s">
        <v>430</v>
      </c>
      <c r="I1483" s="169" t="s">
        <v>431</v>
      </c>
      <c r="J1483" s="169" t="s">
        <v>995</v>
      </c>
      <c r="K1483" s="169" t="s">
        <v>996</v>
      </c>
      <c r="L1483" s="169" t="s">
        <v>956</v>
      </c>
      <c r="M1483" s="169" t="s">
        <v>281</v>
      </c>
      <c r="N1483" s="178">
        <v>6900000</v>
      </c>
      <c r="O1483" s="169" t="s">
        <v>997</v>
      </c>
      <c r="P1483" s="169" t="s">
        <v>283</v>
      </c>
      <c r="Q1483" s="169" t="s">
        <v>284</v>
      </c>
      <c r="R1483" s="169" t="s">
        <v>283</v>
      </c>
      <c r="S1483" s="169" t="s">
        <v>283</v>
      </c>
      <c r="T1483" s="169">
        <v>0</v>
      </c>
    </row>
    <row r="1484" spans="1:20" x14ac:dyDescent="0.2">
      <c r="A1484" s="169" t="str">
        <f t="shared" si="1"/>
        <v>627</v>
      </c>
      <c r="B1484" s="167" t="str">
        <f>_xlfn.XLOOKUP(I1484,Mapping!D:D,Mapping!E:E)</f>
        <v>Xưởng Sản Xuất</v>
      </c>
      <c r="C1484" s="167" t="str">
        <f>_xlfn.XLOOKUP(F1484,Mapping!A:A,Mapping!F:F)</f>
        <v>Phụ Cấp</v>
      </c>
      <c r="D1484" s="173">
        <v>45900</v>
      </c>
      <c r="E1484" s="169" t="s">
        <v>994</v>
      </c>
      <c r="F1484" s="169" t="s">
        <v>386</v>
      </c>
      <c r="G1484" s="169" t="s">
        <v>341</v>
      </c>
      <c r="H1484" s="169" t="s">
        <v>430</v>
      </c>
      <c r="I1484" s="169" t="s">
        <v>431</v>
      </c>
      <c r="J1484" s="169" t="s">
        <v>995</v>
      </c>
      <c r="K1484" s="169" t="s">
        <v>996</v>
      </c>
      <c r="L1484" s="169" t="s">
        <v>956</v>
      </c>
      <c r="M1484" s="169" t="s">
        <v>281</v>
      </c>
      <c r="N1484" s="178">
        <v>8580089</v>
      </c>
      <c r="O1484" s="169" t="s">
        <v>997</v>
      </c>
      <c r="P1484" s="169" t="s">
        <v>283</v>
      </c>
      <c r="Q1484" s="169" t="s">
        <v>284</v>
      </c>
      <c r="R1484" s="169" t="s">
        <v>283</v>
      </c>
      <c r="S1484" s="169" t="s">
        <v>283</v>
      </c>
      <c r="T1484" s="169">
        <v>0</v>
      </c>
    </row>
    <row r="1485" spans="1:20" x14ac:dyDescent="0.2">
      <c r="A1485" s="169" t="str">
        <f t="shared" si="1"/>
        <v>627</v>
      </c>
      <c r="B1485" s="167" t="str">
        <f>_xlfn.XLOOKUP(I1485,Mapping!D:D,Mapping!E:E)</f>
        <v>Xưởng Sản Xuất</v>
      </c>
      <c r="C1485" s="167" t="str">
        <f>_xlfn.XLOOKUP(F1485,Mapping!A:A,Mapping!F:F)</f>
        <v>Lương Chính +T13</v>
      </c>
      <c r="D1485" s="173">
        <v>45900</v>
      </c>
      <c r="E1485" s="169" t="s">
        <v>994</v>
      </c>
      <c r="F1485" s="169" t="s">
        <v>387</v>
      </c>
      <c r="G1485" s="169" t="s">
        <v>275</v>
      </c>
      <c r="H1485" s="169" t="s">
        <v>430</v>
      </c>
      <c r="I1485" s="169" t="s">
        <v>431</v>
      </c>
      <c r="J1485" s="169" t="s">
        <v>995</v>
      </c>
      <c r="K1485" s="169" t="s">
        <v>996</v>
      </c>
      <c r="L1485" s="169" t="s">
        <v>956</v>
      </c>
      <c r="M1485" s="169" t="s">
        <v>281</v>
      </c>
      <c r="N1485" s="178">
        <v>152519156</v>
      </c>
      <c r="O1485" s="169" t="s">
        <v>997</v>
      </c>
      <c r="P1485" s="169" t="s">
        <v>283</v>
      </c>
      <c r="Q1485" s="169" t="s">
        <v>284</v>
      </c>
      <c r="R1485" s="169" t="s">
        <v>283</v>
      </c>
      <c r="S1485" s="169" t="s">
        <v>283</v>
      </c>
      <c r="T1485" s="169">
        <v>0</v>
      </c>
    </row>
    <row r="1486" spans="1:20" x14ac:dyDescent="0.2">
      <c r="A1486" s="169" t="str">
        <f t="shared" si="1"/>
        <v>627</v>
      </c>
      <c r="B1486" s="167" t="str">
        <f>_xlfn.XLOOKUP(I1486,Mapping!D:D,Mapping!E:E)</f>
        <v>Xưởng Sản Xuất</v>
      </c>
      <c r="C1486" s="167" t="str">
        <f>_xlfn.XLOOKUP(F1486,Mapping!A:A,Mapping!F:F)</f>
        <v>Lương Chính +T13</v>
      </c>
      <c r="D1486" s="173">
        <v>45900</v>
      </c>
      <c r="E1486" s="169" t="s">
        <v>994</v>
      </c>
      <c r="F1486" s="169" t="s">
        <v>388</v>
      </c>
      <c r="G1486" s="169" t="s">
        <v>286</v>
      </c>
      <c r="H1486" s="169" t="s">
        <v>430</v>
      </c>
      <c r="I1486" s="169" t="s">
        <v>431</v>
      </c>
      <c r="J1486" s="169" t="s">
        <v>995</v>
      </c>
      <c r="K1486" s="169" t="s">
        <v>996</v>
      </c>
      <c r="L1486" s="169" t="s">
        <v>956</v>
      </c>
      <c r="M1486" s="169" t="s">
        <v>281</v>
      </c>
      <c r="N1486" s="178">
        <v>7807770</v>
      </c>
      <c r="O1486" s="169" t="s">
        <v>997</v>
      </c>
      <c r="P1486" s="169" t="s">
        <v>283</v>
      </c>
      <c r="Q1486" s="169" t="s">
        <v>284</v>
      </c>
      <c r="R1486" s="169" t="s">
        <v>283</v>
      </c>
      <c r="S1486" s="169" t="s">
        <v>283</v>
      </c>
      <c r="T1486" s="169">
        <v>0</v>
      </c>
    </row>
    <row r="1487" spans="1:20" x14ac:dyDescent="0.2">
      <c r="A1487" s="169" t="str">
        <f t="shared" si="1"/>
        <v>627</v>
      </c>
      <c r="B1487" s="167" t="str">
        <f>_xlfn.XLOOKUP(I1487,Mapping!D:D,Mapping!E:E)</f>
        <v>Xưởng Sản Xuất</v>
      </c>
      <c r="C1487" s="167" t="str">
        <f>_xlfn.XLOOKUP(F1487,Mapping!A:A,Mapping!F:F)</f>
        <v>Lương Ngoài giờ</v>
      </c>
      <c r="D1487" s="173">
        <v>45900</v>
      </c>
      <c r="E1487" s="169" t="s">
        <v>994</v>
      </c>
      <c r="F1487" s="169" t="s">
        <v>389</v>
      </c>
      <c r="G1487" s="169" t="s">
        <v>390</v>
      </c>
      <c r="H1487" s="169" t="s">
        <v>430</v>
      </c>
      <c r="I1487" s="169" t="s">
        <v>431</v>
      </c>
      <c r="J1487" s="169" t="s">
        <v>995</v>
      </c>
      <c r="K1487" s="169" t="s">
        <v>996</v>
      </c>
      <c r="L1487" s="169" t="s">
        <v>956</v>
      </c>
      <c r="M1487" s="169" t="s">
        <v>281</v>
      </c>
      <c r="N1487" s="178">
        <v>19438419</v>
      </c>
      <c r="O1487" s="169" t="s">
        <v>997</v>
      </c>
      <c r="P1487" s="169" t="s">
        <v>283</v>
      </c>
      <c r="Q1487" s="169" t="s">
        <v>284</v>
      </c>
      <c r="R1487" s="169" t="s">
        <v>283</v>
      </c>
      <c r="S1487" s="169" t="s">
        <v>283</v>
      </c>
      <c r="T1487" s="169">
        <v>0</v>
      </c>
    </row>
    <row r="1488" spans="1:20" x14ac:dyDescent="0.2">
      <c r="A1488" s="169" t="str">
        <f t="shared" si="1"/>
        <v>627</v>
      </c>
      <c r="B1488" s="167" t="str">
        <f>_xlfn.XLOOKUP(I1488,Mapping!D:D,Mapping!E:E)</f>
        <v>Xưởng Sản Xuất</v>
      </c>
      <c r="C1488" s="167" t="str">
        <f>_xlfn.XLOOKUP(F1488,Mapping!A:A,Mapping!F:F)</f>
        <v>Phụ Cấp</v>
      </c>
      <c r="D1488" s="173">
        <v>45900</v>
      </c>
      <c r="E1488" s="169" t="s">
        <v>994</v>
      </c>
      <c r="F1488" s="169" t="s">
        <v>375</v>
      </c>
      <c r="G1488" s="169" t="s">
        <v>336</v>
      </c>
      <c r="H1488" s="169" t="s">
        <v>430</v>
      </c>
      <c r="I1488" s="169" t="s">
        <v>431</v>
      </c>
      <c r="J1488" s="169" t="s">
        <v>995</v>
      </c>
      <c r="K1488" s="169" t="s">
        <v>996</v>
      </c>
      <c r="L1488" s="169" t="s">
        <v>956</v>
      </c>
      <c r="M1488" s="169" t="s">
        <v>281</v>
      </c>
      <c r="N1488" s="178">
        <v>1450000</v>
      </c>
      <c r="O1488" s="169" t="s">
        <v>997</v>
      </c>
      <c r="P1488" s="169" t="s">
        <v>283</v>
      </c>
      <c r="Q1488" s="169" t="s">
        <v>284</v>
      </c>
      <c r="R1488" s="169" t="s">
        <v>283</v>
      </c>
      <c r="S1488" s="169" t="s">
        <v>283</v>
      </c>
      <c r="T1488" s="169">
        <v>0</v>
      </c>
    </row>
    <row r="1489" spans="1:20" x14ac:dyDescent="0.2">
      <c r="A1489" s="169" t="str">
        <f t="shared" si="1"/>
        <v>627</v>
      </c>
      <c r="B1489" s="167" t="str">
        <f>_xlfn.XLOOKUP(I1489,Mapping!D:D,Mapping!E:E)</f>
        <v>Xưởng Sản Xuất</v>
      </c>
      <c r="C1489" s="167" t="str">
        <f>_xlfn.XLOOKUP(F1489,Mapping!A:A,Mapping!F:F)</f>
        <v>Phụ Cấp</v>
      </c>
      <c r="D1489" s="173">
        <v>45900</v>
      </c>
      <c r="E1489" s="169" t="s">
        <v>994</v>
      </c>
      <c r="F1489" s="169" t="s">
        <v>386</v>
      </c>
      <c r="G1489" s="169" t="s">
        <v>341</v>
      </c>
      <c r="H1489" s="169" t="s">
        <v>436</v>
      </c>
      <c r="I1489" s="169" t="s">
        <v>437</v>
      </c>
      <c r="J1489" s="169" t="s">
        <v>995</v>
      </c>
      <c r="K1489" s="169" t="s">
        <v>996</v>
      </c>
      <c r="L1489" s="169" t="s">
        <v>956</v>
      </c>
      <c r="M1489" s="169" t="s">
        <v>281</v>
      </c>
      <c r="N1489" s="178">
        <v>8299270</v>
      </c>
      <c r="O1489" s="169" t="s">
        <v>997</v>
      </c>
      <c r="P1489" s="169" t="s">
        <v>283</v>
      </c>
      <c r="Q1489" s="169" t="s">
        <v>284</v>
      </c>
      <c r="R1489" s="169" t="s">
        <v>283</v>
      </c>
      <c r="S1489" s="169" t="s">
        <v>283</v>
      </c>
      <c r="T1489" s="169">
        <v>0</v>
      </c>
    </row>
    <row r="1490" spans="1:20" x14ac:dyDescent="0.2">
      <c r="A1490" s="169" t="str">
        <f t="shared" si="1"/>
        <v>627</v>
      </c>
      <c r="B1490" s="167" t="str">
        <f>_xlfn.XLOOKUP(I1490,Mapping!D:D,Mapping!E:E)</f>
        <v>Xưởng Sản Xuất</v>
      </c>
      <c r="C1490" s="167" t="str">
        <f>_xlfn.XLOOKUP(F1490,Mapping!A:A,Mapping!F:F)</f>
        <v>Lương Chính +T13</v>
      </c>
      <c r="D1490" s="173">
        <v>45900</v>
      </c>
      <c r="E1490" s="169" t="s">
        <v>994</v>
      </c>
      <c r="F1490" s="169" t="s">
        <v>387</v>
      </c>
      <c r="G1490" s="169" t="s">
        <v>275</v>
      </c>
      <c r="H1490" s="169" t="s">
        <v>436</v>
      </c>
      <c r="I1490" s="169" t="s">
        <v>437</v>
      </c>
      <c r="J1490" s="169" t="s">
        <v>995</v>
      </c>
      <c r="K1490" s="169" t="s">
        <v>996</v>
      </c>
      <c r="L1490" s="169" t="s">
        <v>956</v>
      </c>
      <c r="M1490" s="169" t="s">
        <v>281</v>
      </c>
      <c r="N1490" s="178">
        <v>397968678</v>
      </c>
      <c r="O1490" s="169" t="s">
        <v>997</v>
      </c>
      <c r="P1490" s="169" t="s">
        <v>283</v>
      </c>
      <c r="Q1490" s="169" t="s">
        <v>284</v>
      </c>
      <c r="R1490" s="169" t="s">
        <v>283</v>
      </c>
      <c r="S1490" s="169" t="s">
        <v>283</v>
      </c>
      <c r="T1490" s="169">
        <v>0</v>
      </c>
    </row>
    <row r="1491" spans="1:20" x14ac:dyDescent="0.2">
      <c r="A1491" s="169" t="str">
        <f t="shared" si="1"/>
        <v>627</v>
      </c>
      <c r="B1491" s="167" t="str">
        <f>_xlfn.XLOOKUP(I1491,Mapping!D:D,Mapping!E:E)</f>
        <v>Xưởng Sản Xuất</v>
      </c>
      <c r="C1491" s="167" t="str">
        <f>_xlfn.XLOOKUP(F1491,Mapping!A:A,Mapping!F:F)</f>
        <v>Lương Chính +T13</v>
      </c>
      <c r="D1491" s="173">
        <v>45900</v>
      </c>
      <c r="E1491" s="169" t="s">
        <v>994</v>
      </c>
      <c r="F1491" s="169" t="s">
        <v>388</v>
      </c>
      <c r="G1491" s="169" t="s">
        <v>286</v>
      </c>
      <c r="H1491" s="169" t="s">
        <v>436</v>
      </c>
      <c r="I1491" s="169" t="s">
        <v>437</v>
      </c>
      <c r="J1491" s="169" t="s">
        <v>995</v>
      </c>
      <c r="K1491" s="169" t="s">
        <v>996</v>
      </c>
      <c r="L1491" s="169" t="s">
        <v>956</v>
      </c>
      <c r="M1491" s="169" t="s">
        <v>281</v>
      </c>
      <c r="N1491" s="178">
        <v>8377117</v>
      </c>
      <c r="O1491" s="169" t="s">
        <v>997</v>
      </c>
      <c r="P1491" s="169" t="s">
        <v>283</v>
      </c>
      <c r="Q1491" s="169" t="s">
        <v>284</v>
      </c>
      <c r="R1491" s="169" t="s">
        <v>283</v>
      </c>
      <c r="S1491" s="169" t="s">
        <v>283</v>
      </c>
      <c r="T1491" s="169">
        <v>0</v>
      </c>
    </row>
    <row r="1492" spans="1:20" x14ac:dyDescent="0.2">
      <c r="A1492" s="169" t="str">
        <f t="shared" si="1"/>
        <v>627</v>
      </c>
      <c r="B1492" s="167" t="str">
        <f>_xlfn.XLOOKUP(I1492,Mapping!D:D,Mapping!E:E)</f>
        <v>Xưởng Sản Xuất</v>
      </c>
      <c r="C1492" s="167" t="str">
        <f>_xlfn.XLOOKUP(F1492,Mapping!A:A,Mapping!F:F)</f>
        <v>Lương Ngoài giờ</v>
      </c>
      <c r="D1492" s="173">
        <v>45900</v>
      </c>
      <c r="E1492" s="169" t="s">
        <v>994</v>
      </c>
      <c r="F1492" s="169" t="s">
        <v>389</v>
      </c>
      <c r="G1492" s="169" t="s">
        <v>390</v>
      </c>
      <c r="H1492" s="169" t="s">
        <v>436</v>
      </c>
      <c r="I1492" s="169" t="s">
        <v>437</v>
      </c>
      <c r="J1492" s="169" t="s">
        <v>995</v>
      </c>
      <c r="K1492" s="169" t="s">
        <v>996</v>
      </c>
      <c r="L1492" s="169" t="s">
        <v>956</v>
      </c>
      <c r="M1492" s="169" t="s">
        <v>281</v>
      </c>
      <c r="N1492" s="178">
        <v>65296508</v>
      </c>
      <c r="O1492" s="169" t="s">
        <v>997</v>
      </c>
      <c r="P1492" s="169" t="s">
        <v>283</v>
      </c>
      <c r="Q1492" s="169" t="s">
        <v>284</v>
      </c>
      <c r="R1492" s="169" t="s">
        <v>283</v>
      </c>
      <c r="S1492" s="169" t="s">
        <v>283</v>
      </c>
      <c r="T1492" s="169">
        <v>0</v>
      </c>
    </row>
    <row r="1493" spans="1:20" x14ac:dyDescent="0.2">
      <c r="A1493" s="169" t="str">
        <f t="shared" si="1"/>
        <v>627</v>
      </c>
      <c r="B1493" s="167" t="str">
        <f>_xlfn.XLOOKUP(I1493,Mapping!D:D,Mapping!E:E)</f>
        <v>Xưởng Sản Xuất</v>
      </c>
      <c r="C1493" s="167" t="str">
        <f>_xlfn.XLOOKUP(F1493,Mapping!A:A,Mapping!F:F)</f>
        <v>Phụ Cấp</v>
      </c>
      <c r="D1493" s="173">
        <v>45900</v>
      </c>
      <c r="E1493" s="169" t="s">
        <v>994</v>
      </c>
      <c r="F1493" s="169" t="s">
        <v>375</v>
      </c>
      <c r="G1493" s="169" t="s">
        <v>336</v>
      </c>
      <c r="H1493" s="169" t="s">
        <v>436</v>
      </c>
      <c r="I1493" s="169" t="s">
        <v>437</v>
      </c>
      <c r="J1493" s="169" t="s">
        <v>995</v>
      </c>
      <c r="K1493" s="169" t="s">
        <v>996</v>
      </c>
      <c r="L1493" s="169" t="s">
        <v>956</v>
      </c>
      <c r="M1493" s="169" t="s">
        <v>281</v>
      </c>
      <c r="N1493" s="178">
        <v>6520000</v>
      </c>
      <c r="O1493" s="169" t="s">
        <v>997</v>
      </c>
      <c r="P1493" s="169" t="s">
        <v>283</v>
      </c>
      <c r="Q1493" s="169" t="s">
        <v>284</v>
      </c>
      <c r="R1493" s="169" t="s">
        <v>283</v>
      </c>
      <c r="S1493" s="169" t="s">
        <v>283</v>
      </c>
      <c r="T1493" s="169">
        <v>0</v>
      </c>
    </row>
    <row r="1494" spans="1:20" x14ac:dyDescent="0.2">
      <c r="A1494" s="169" t="str">
        <f t="shared" si="1"/>
        <v>642</v>
      </c>
      <c r="B1494" s="167" t="str">
        <f>_xlfn.XLOOKUP(I1494,Mapping!D:D,Mapping!E:E)</f>
        <v>Hành Chánh Nhân Sự</v>
      </c>
      <c r="C1494" s="167" t="str">
        <f>_xlfn.XLOOKUP(F1494,Mapping!A:A,Mapping!F:F)</f>
        <v>Lương Chính +T13</v>
      </c>
      <c r="D1494" s="173">
        <v>45900</v>
      </c>
      <c r="E1494" s="169" t="s">
        <v>994</v>
      </c>
      <c r="F1494" s="169" t="s">
        <v>274</v>
      </c>
      <c r="G1494" s="169" t="s">
        <v>275</v>
      </c>
      <c r="H1494" s="169" t="s">
        <v>382</v>
      </c>
      <c r="I1494" s="169" t="s">
        <v>200</v>
      </c>
      <c r="J1494" s="169" t="s">
        <v>995</v>
      </c>
      <c r="K1494" s="169" t="s">
        <v>996</v>
      </c>
      <c r="L1494" s="169" t="s">
        <v>956</v>
      </c>
      <c r="M1494" s="169" t="s">
        <v>281</v>
      </c>
      <c r="N1494" s="178">
        <v>62152197</v>
      </c>
      <c r="O1494" s="169" t="s">
        <v>997</v>
      </c>
      <c r="P1494" s="169" t="s">
        <v>283</v>
      </c>
      <c r="Q1494" s="169" t="s">
        <v>284</v>
      </c>
      <c r="R1494" s="169" t="s">
        <v>283</v>
      </c>
      <c r="S1494" s="169" t="s">
        <v>283</v>
      </c>
      <c r="T1494" s="169">
        <v>0</v>
      </c>
    </row>
    <row r="1495" spans="1:20" x14ac:dyDescent="0.2">
      <c r="A1495" s="169" t="str">
        <f t="shared" si="1"/>
        <v>642</v>
      </c>
      <c r="B1495" s="167" t="str">
        <f>_xlfn.XLOOKUP(I1495,Mapping!D:D,Mapping!E:E)</f>
        <v>Hành Chánh Nhân Sự</v>
      </c>
      <c r="C1495" s="167" t="str">
        <f>_xlfn.XLOOKUP(F1495,Mapping!A:A,Mapping!F:F)</f>
        <v>Lương Chính +T13</v>
      </c>
      <c r="D1495" s="173">
        <v>45900</v>
      </c>
      <c r="E1495" s="169" t="s">
        <v>994</v>
      </c>
      <c r="F1495" s="169" t="s">
        <v>285</v>
      </c>
      <c r="G1495" s="169" t="s">
        <v>286</v>
      </c>
      <c r="H1495" s="169" t="s">
        <v>382</v>
      </c>
      <c r="I1495" s="169" t="s">
        <v>200</v>
      </c>
      <c r="J1495" s="169" t="s">
        <v>995</v>
      </c>
      <c r="K1495" s="169" t="s">
        <v>996</v>
      </c>
      <c r="L1495" s="169" t="s">
        <v>956</v>
      </c>
      <c r="M1495" s="169" t="s">
        <v>281</v>
      </c>
      <c r="N1495" s="178">
        <v>2878808</v>
      </c>
      <c r="O1495" s="169" t="s">
        <v>997</v>
      </c>
      <c r="P1495" s="169" t="s">
        <v>283</v>
      </c>
      <c r="Q1495" s="169" t="s">
        <v>284</v>
      </c>
      <c r="R1495" s="169" t="s">
        <v>283</v>
      </c>
      <c r="S1495" s="169" t="s">
        <v>283</v>
      </c>
      <c r="T1495" s="169">
        <v>0</v>
      </c>
    </row>
    <row r="1496" spans="1:20" x14ac:dyDescent="0.2">
      <c r="A1496" s="169" t="str">
        <f t="shared" si="1"/>
        <v>642</v>
      </c>
      <c r="B1496" s="167" t="str">
        <f>_xlfn.XLOOKUP(I1496,Mapping!D:D,Mapping!E:E)</f>
        <v>Hành Chánh Nhân Sự</v>
      </c>
      <c r="C1496" s="167" t="str">
        <f>_xlfn.XLOOKUP(F1496,Mapping!A:A,Mapping!F:F)</f>
        <v>Phụ Cấp</v>
      </c>
      <c r="D1496" s="173">
        <v>45900</v>
      </c>
      <c r="E1496" s="169" t="s">
        <v>994</v>
      </c>
      <c r="F1496" s="169" t="s">
        <v>335</v>
      </c>
      <c r="G1496" s="169" t="s">
        <v>336</v>
      </c>
      <c r="H1496" s="169" t="s">
        <v>382</v>
      </c>
      <c r="I1496" s="169" t="s">
        <v>200</v>
      </c>
      <c r="J1496" s="169" t="s">
        <v>995</v>
      </c>
      <c r="K1496" s="169" t="s">
        <v>996</v>
      </c>
      <c r="L1496" s="169" t="s">
        <v>956</v>
      </c>
      <c r="M1496" s="169" t="s">
        <v>281</v>
      </c>
      <c r="N1496" s="178">
        <v>50000</v>
      </c>
      <c r="O1496" s="169" t="s">
        <v>997</v>
      </c>
      <c r="P1496" s="169" t="s">
        <v>283</v>
      </c>
      <c r="Q1496" s="169" t="s">
        <v>284</v>
      </c>
      <c r="R1496" s="169" t="s">
        <v>283</v>
      </c>
      <c r="S1496" s="169" t="s">
        <v>283</v>
      </c>
      <c r="T1496" s="169">
        <v>0</v>
      </c>
    </row>
    <row r="1497" spans="1:20" x14ac:dyDescent="0.2">
      <c r="A1497" s="169" t="str">
        <f t="shared" si="1"/>
        <v>642</v>
      </c>
      <c r="B1497" s="167" t="str">
        <f>_xlfn.XLOOKUP(I1497,Mapping!D:D,Mapping!E:E)</f>
        <v>Hành Chánh Nhân Sự</v>
      </c>
      <c r="C1497" s="167" t="str">
        <f>_xlfn.XLOOKUP(F1497,Mapping!A:A,Mapping!F:F)</f>
        <v>Lương Chính +T13</v>
      </c>
      <c r="D1497" s="173">
        <v>45900</v>
      </c>
      <c r="E1497" s="169" t="s">
        <v>994</v>
      </c>
      <c r="F1497" s="169" t="s">
        <v>274</v>
      </c>
      <c r="G1497" s="169" t="s">
        <v>275</v>
      </c>
      <c r="H1497" s="169" t="s">
        <v>358</v>
      </c>
      <c r="I1497" s="169" t="s">
        <v>359</v>
      </c>
      <c r="J1497" s="169" t="s">
        <v>995</v>
      </c>
      <c r="K1497" s="169" t="s">
        <v>996</v>
      </c>
      <c r="L1497" s="169" t="s">
        <v>956</v>
      </c>
      <c r="M1497" s="169" t="s">
        <v>281</v>
      </c>
      <c r="N1497" s="178">
        <v>94810048</v>
      </c>
      <c r="O1497" s="169" t="s">
        <v>997</v>
      </c>
      <c r="P1497" s="169" t="s">
        <v>283</v>
      </c>
      <c r="Q1497" s="169" t="s">
        <v>284</v>
      </c>
      <c r="R1497" s="169" t="s">
        <v>283</v>
      </c>
      <c r="S1497" s="169" t="s">
        <v>283</v>
      </c>
      <c r="T1497" s="169">
        <v>0</v>
      </c>
    </row>
    <row r="1498" spans="1:20" x14ac:dyDescent="0.2">
      <c r="A1498" s="169" t="str">
        <f t="shared" si="1"/>
        <v>642</v>
      </c>
      <c r="B1498" s="167" t="str">
        <f>_xlfn.XLOOKUP(I1498,Mapping!D:D,Mapping!E:E)</f>
        <v>Hành Chánh Nhân Sự</v>
      </c>
      <c r="C1498" s="167" t="str">
        <f>_xlfn.XLOOKUP(F1498,Mapping!A:A,Mapping!F:F)</f>
        <v>Lương Chính +T13</v>
      </c>
      <c r="D1498" s="173">
        <v>45900</v>
      </c>
      <c r="E1498" s="169" t="s">
        <v>994</v>
      </c>
      <c r="F1498" s="169" t="s">
        <v>285</v>
      </c>
      <c r="G1498" s="169" t="s">
        <v>286</v>
      </c>
      <c r="H1498" s="169" t="s">
        <v>358</v>
      </c>
      <c r="I1498" s="169" t="s">
        <v>359</v>
      </c>
      <c r="J1498" s="169" t="s">
        <v>995</v>
      </c>
      <c r="K1498" s="169" t="s">
        <v>996</v>
      </c>
      <c r="L1498" s="169" t="s">
        <v>956</v>
      </c>
      <c r="M1498" s="169" t="s">
        <v>281</v>
      </c>
      <c r="N1498" s="178">
        <v>6372269</v>
      </c>
      <c r="O1498" s="169" t="s">
        <v>997</v>
      </c>
      <c r="P1498" s="169" t="s">
        <v>283</v>
      </c>
      <c r="Q1498" s="169" t="s">
        <v>284</v>
      </c>
      <c r="R1498" s="169" t="s">
        <v>283</v>
      </c>
      <c r="S1498" s="169" t="s">
        <v>283</v>
      </c>
      <c r="T1498" s="169">
        <v>0</v>
      </c>
    </row>
    <row r="1499" spans="1:20" x14ac:dyDescent="0.2">
      <c r="A1499" s="169" t="str">
        <f t="shared" si="1"/>
        <v>642</v>
      </c>
      <c r="B1499" s="167" t="str">
        <f>_xlfn.XLOOKUP(I1499,Mapping!D:D,Mapping!E:E)</f>
        <v>Tư vấn dịch vụ</v>
      </c>
      <c r="C1499" s="167" t="str">
        <f>_xlfn.XLOOKUP(F1499,Mapping!A:A,Mapping!F:F)</f>
        <v>Lương Chính +T13</v>
      </c>
      <c r="D1499" s="173">
        <v>45900</v>
      </c>
      <c r="E1499" s="169" t="s">
        <v>994</v>
      </c>
      <c r="F1499" s="169" t="s">
        <v>274</v>
      </c>
      <c r="G1499" s="169" t="s">
        <v>275</v>
      </c>
      <c r="H1499" s="169" t="s">
        <v>443</v>
      </c>
      <c r="I1499" s="169" t="s">
        <v>444</v>
      </c>
      <c r="J1499" s="169" t="s">
        <v>995</v>
      </c>
      <c r="K1499" s="169" t="s">
        <v>996</v>
      </c>
      <c r="L1499" s="169" t="s">
        <v>956</v>
      </c>
      <c r="M1499" s="169" t="s">
        <v>281</v>
      </c>
      <c r="N1499" s="178">
        <v>190000000</v>
      </c>
      <c r="O1499" s="169" t="s">
        <v>997</v>
      </c>
      <c r="P1499" s="169" t="s">
        <v>283</v>
      </c>
      <c r="Q1499" s="169" t="s">
        <v>284</v>
      </c>
      <c r="R1499" s="169" t="s">
        <v>283</v>
      </c>
      <c r="S1499" s="169" t="s">
        <v>283</v>
      </c>
      <c r="T1499" s="169">
        <v>0</v>
      </c>
    </row>
    <row r="1500" spans="1:20" x14ac:dyDescent="0.2">
      <c r="A1500" s="169" t="str">
        <f t="shared" si="1"/>
        <v>622</v>
      </c>
      <c r="B1500" s="167" t="str">
        <f>_xlfn.XLOOKUP(I1500,Mapping!D:D,Mapping!E:E)</f>
        <v>Xưởng Sản Xuất</v>
      </c>
      <c r="C1500" s="167" t="str">
        <f>_xlfn.XLOOKUP(F1500,Mapping!A:A,Mapping!F:F)</f>
        <v>Lương Chính +T13</v>
      </c>
      <c r="D1500" s="173">
        <v>45900</v>
      </c>
      <c r="E1500" s="169" t="s">
        <v>994</v>
      </c>
      <c r="F1500" s="169" t="s">
        <v>400</v>
      </c>
      <c r="G1500" s="169" t="s">
        <v>401</v>
      </c>
      <c r="H1500" s="169" t="s">
        <v>441</v>
      </c>
      <c r="I1500" s="169" t="s">
        <v>442</v>
      </c>
      <c r="J1500" s="169" t="s">
        <v>995</v>
      </c>
      <c r="K1500" s="169" t="s">
        <v>996</v>
      </c>
      <c r="L1500" s="169" t="s">
        <v>956</v>
      </c>
      <c r="M1500" s="169" t="s">
        <v>281</v>
      </c>
      <c r="N1500" s="178">
        <v>8204318</v>
      </c>
      <c r="O1500" s="169" t="s">
        <v>997</v>
      </c>
      <c r="P1500" s="169" t="s">
        <v>283</v>
      </c>
      <c r="Q1500" s="169" t="s">
        <v>284</v>
      </c>
      <c r="R1500" s="169" t="s">
        <v>283</v>
      </c>
      <c r="S1500" s="169" t="s">
        <v>283</v>
      </c>
      <c r="T1500" s="169">
        <v>0</v>
      </c>
    </row>
    <row r="1501" spans="1:20" x14ac:dyDescent="0.2">
      <c r="A1501" s="169" t="str">
        <f t="shared" si="1"/>
        <v>622</v>
      </c>
      <c r="B1501" s="167" t="str">
        <f>_xlfn.XLOOKUP(I1501,Mapping!D:D,Mapping!E:E)</f>
        <v>Xưởng Sản Xuất</v>
      </c>
      <c r="C1501" s="167" t="str">
        <f>_xlfn.XLOOKUP(F1501,Mapping!A:A,Mapping!F:F)</f>
        <v>Phụ Cấp</v>
      </c>
      <c r="D1501" s="173">
        <v>45900</v>
      </c>
      <c r="E1501" s="169" t="s">
        <v>994</v>
      </c>
      <c r="F1501" s="169" t="s">
        <v>421</v>
      </c>
      <c r="G1501" s="169" t="s">
        <v>341</v>
      </c>
      <c r="H1501" s="169" t="s">
        <v>441</v>
      </c>
      <c r="I1501" s="169" t="s">
        <v>442</v>
      </c>
      <c r="J1501" s="169" t="s">
        <v>995</v>
      </c>
      <c r="K1501" s="169" t="s">
        <v>996</v>
      </c>
      <c r="L1501" s="169" t="s">
        <v>956</v>
      </c>
      <c r="M1501" s="169" t="s">
        <v>281</v>
      </c>
      <c r="N1501" s="178">
        <v>770954</v>
      </c>
      <c r="O1501" s="169" t="s">
        <v>997</v>
      </c>
      <c r="P1501" s="169" t="s">
        <v>283</v>
      </c>
      <c r="Q1501" s="169" t="s">
        <v>284</v>
      </c>
      <c r="R1501" s="169" t="s">
        <v>283</v>
      </c>
      <c r="S1501" s="169" t="s">
        <v>283</v>
      </c>
      <c r="T1501" s="169">
        <v>0</v>
      </c>
    </row>
    <row r="1502" spans="1:20" x14ac:dyDescent="0.2">
      <c r="A1502" s="169" t="str">
        <f t="shared" si="1"/>
        <v>622</v>
      </c>
      <c r="B1502" s="167" t="str">
        <f>_xlfn.XLOOKUP(I1502,Mapping!D:D,Mapping!E:E)</f>
        <v>Xưởng Sản Xuất</v>
      </c>
      <c r="C1502" s="167" t="str">
        <f>_xlfn.XLOOKUP(F1502,Mapping!A:A,Mapping!F:F)</f>
        <v>Lương Ngoài giờ</v>
      </c>
      <c r="D1502" s="173">
        <v>45900</v>
      </c>
      <c r="E1502" s="169" t="s">
        <v>994</v>
      </c>
      <c r="F1502" s="169" t="s">
        <v>422</v>
      </c>
      <c r="G1502" s="169" t="s">
        <v>423</v>
      </c>
      <c r="H1502" s="169" t="s">
        <v>441</v>
      </c>
      <c r="I1502" s="169" t="s">
        <v>442</v>
      </c>
      <c r="J1502" s="169" t="s">
        <v>995</v>
      </c>
      <c r="K1502" s="169" t="s">
        <v>996</v>
      </c>
      <c r="L1502" s="169" t="s">
        <v>956</v>
      </c>
      <c r="M1502" s="169" t="s">
        <v>281</v>
      </c>
      <c r="N1502" s="178">
        <v>1904123</v>
      </c>
      <c r="O1502" s="169" t="s">
        <v>997</v>
      </c>
      <c r="P1502" s="169" t="s">
        <v>283</v>
      </c>
      <c r="Q1502" s="169" t="s">
        <v>284</v>
      </c>
      <c r="R1502" s="169" t="s">
        <v>283</v>
      </c>
      <c r="S1502" s="169" t="s">
        <v>283</v>
      </c>
      <c r="T1502" s="169">
        <v>0</v>
      </c>
    </row>
    <row r="1503" spans="1:20" x14ac:dyDescent="0.2">
      <c r="A1503" s="169" t="str">
        <f t="shared" si="1"/>
        <v>622</v>
      </c>
      <c r="B1503" s="167" t="str">
        <f>_xlfn.XLOOKUP(I1503,Mapping!D:D,Mapping!E:E)</f>
        <v>Xưởng Sản Xuất</v>
      </c>
      <c r="C1503" s="167" t="str">
        <f>_xlfn.XLOOKUP(F1503,Mapping!A:A,Mapping!F:F)</f>
        <v>Phụ Cấp</v>
      </c>
      <c r="D1503" s="173">
        <v>45900</v>
      </c>
      <c r="E1503" s="169" t="s">
        <v>994</v>
      </c>
      <c r="F1503" s="169" t="s">
        <v>414</v>
      </c>
      <c r="G1503" s="169" t="s">
        <v>415</v>
      </c>
      <c r="H1503" s="169" t="s">
        <v>441</v>
      </c>
      <c r="I1503" s="169" t="s">
        <v>442</v>
      </c>
      <c r="J1503" s="169" t="s">
        <v>995</v>
      </c>
      <c r="K1503" s="169" t="s">
        <v>996</v>
      </c>
      <c r="L1503" s="169" t="s">
        <v>956</v>
      </c>
      <c r="M1503" s="169" t="s">
        <v>281</v>
      </c>
      <c r="N1503" s="178">
        <v>190000</v>
      </c>
      <c r="O1503" s="169" t="s">
        <v>997</v>
      </c>
      <c r="P1503" s="169" t="s">
        <v>283</v>
      </c>
      <c r="Q1503" s="169" t="s">
        <v>284</v>
      </c>
      <c r="R1503" s="169" t="s">
        <v>283</v>
      </c>
      <c r="S1503" s="169" t="s">
        <v>283</v>
      </c>
      <c r="T1503" s="169">
        <v>0</v>
      </c>
    </row>
    <row r="1504" spans="1:20" x14ac:dyDescent="0.2">
      <c r="A1504" s="169" t="str">
        <f t="shared" si="1"/>
        <v>642</v>
      </c>
      <c r="B1504" s="167" t="str">
        <f>_xlfn.XLOOKUP(I1504,Mapping!D:D,Mapping!E:E)</f>
        <v>Ban Giám Đốc</v>
      </c>
      <c r="C1504" s="167" t="str">
        <f>_xlfn.XLOOKUP(F1504,Mapping!A:A,Mapping!F:F)</f>
        <v>Lương Chính +T13</v>
      </c>
      <c r="D1504" s="173">
        <v>45900</v>
      </c>
      <c r="E1504" s="169" t="s">
        <v>998</v>
      </c>
      <c r="F1504" s="169" t="s">
        <v>285</v>
      </c>
      <c r="G1504" s="169" t="s">
        <v>286</v>
      </c>
      <c r="H1504" s="169" t="s">
        <v>276</v>
      </c>
      <c r="I1504" s="169" t="s">
        <v>277</v>
      </c>
      <c r="J1504" s="169" t="s">
        <v>999</v>
      </c>
      <c r="K1504" s="169" t="s">
        <v>996</v>
      </c>
      <c r="L1504" s="169" t="s">
        <v>956</v>
      </c>
      <c r="M1504" s="169" t="s">
        <v>281</v>
      </c>
      <c r="N1504" s="178">
        <v>102074583</v>
      </c>
      <c r="O1504" s="169" t="s">
        <v>1000</v>
      </c>
      <c r="P1504" s="169" t="s">
        <v>283</v>
      </c>
      <c r="Q1504" s="169" t="s">
        <v>284</v>
      </c>
      <c r="R1504" s="169" t="s">
        <v>283</v>
      </c>
      <c r="S1504" s="169" t="s">
        <v>283</v>
      </c>
      <c r="T1504" s="169">
        <v>0</v>
      </c>
    </row>
    <row r="1505" spans="1:20" x14ac:dyDescent="0.2">
      <c r="A1505" s="169" t="str">
        <f t="shared" si="1"/>
        <v>642</v>
      </c>
      <c r="B1505" s="167" t="str">
        <f>_xlfn.XLOOKUP(I1505,Mapping!D:D,Mapping!E:E)</f>
        <v>Ban Giám Đốc</v>
      </c>
      <c r="C1505" s="167" t="str">
        <f>_xlfn.XLOOKUP(F1505,Mapping!A:A,Mapping!F:F)</f>
        <v>Thưởng</v>
      </c>
      <c r="D1505" s="173">
        <v>45900</v>
      </c>
      <c r="E1505" s="169" t="s">
        <v>998</v>
      </c>
      <c r="F1505" s="169" t="s">
        <v>292</v>
      </c>
      <c r="G1505" s="169" t="s">
        <v>77</v>
      </c>
      <c r="H1505" s="169" t="s">
        <v>276</v>
      </c>
      <c r="I1505" s="169" t="s">
        <v>277</v>
      </c>
      <c r="J1505" s="169" t="s">
        <v>1001</v>
      </c>
      <c r="K1505" s="169" t="s">
        <v>996</v>
      </c>
      <c r="L1505" s="169" t="s">
        <v>956</v>
      </c>
      <c r="M1505" s="169" t="s">
        <v>281</v>
      </c>
      <c r="N1505" s="178">
        <v>93907800</v>
      </c>
      <c r="O1505" s="169" t="s">
        <v>1000</v>
      </c>
      <c r="P1505" s="169" t="s">
        <v>283</v>
      </c>
      <c r="Q1505" s="169" t="s">
        <v>284</v>
      </c>
      <c r="R1505" s="169" t="s">
        <v>283</v>
      </c>
      <c r="S1505" s="169" t="s">
        <v>283</v>
      </c>
      <c r="T1505" s="169">
        <v>0</v>
      </c>
    </row>
    <row r="1506" spans="1:20" x14ac:dyDescent="0.2">
      <c r="A1506" s="169" t="str">
        <f t="shared" si="1"/>
        <v>642</v>
      </c>
      <c r="B1506" s="167" t="str">
        <f>_xlfn.XLOOKUP(I1506,Mapping!D:D,Mapping!E:E)</f>
        <v>Văn Phòng Giám Đốc</v>
      </c>
      <c r="C1506" s="167" t="str">
        <f>_xlfn.XLOOKUP(F1506,Mapping!A:A,Mapping!F:F)</f>
        <v>Lương Chính +T13</v>
      </c>
      <c r="D1506" s="173">
        <v>45900</v>
      </c>
      <c r="E1506" s="169" t="s">
        <v>998</v>
      </c>
      <c r="F1506" s="169" t="s">
        <v>285</v>
      </c>
      <c r="G1506" s="169" t="s">
        <v>286</v>
      </c>
      <c r="H1506" s="169" t="s">
        <v>320</v>
      </c>
      <c r="I1506" s="169" t="s">
        <v>321</v>
      </c>
      <c r="J1506" s="169" t="s">
        <v>999</v>
      </c>
      <c r="K1506" s="169" t="s">
        <v>996</v>
      </c>
      <c r="L1506" s="169" t="s">
        <v>956</v>
      </c>
      <c r="M1506" s="169" t="s">
        <v>281</v>
      </c>
      <c r="N1506" s="178">
        <v>9604167</v>
      </c>
      <c r="O1506" s="169" t="s">
        <v>1000</v>
      </c>
      <c r="P1506" s="169" t="s">
        <v>283</v>
      </c>
      <c r="Q1506" s="169" t="s">
        <v>284</v>
      </c>
      <c r="R1506" s="169" t="s">
        <v>283</v>
      </c>
      <c r="S1506" s="169" t="s">
        <v>283</v>
      </c>
      <c r="T1506" s="169">
        <v>0</v>
      </c>
    </row>
    <row r="1507" spans="1:20" x14ac:dyDescent="0.2">
      <c r="A1507" s="169" t="str">
        <f t="shared" si="1"/>
        <v>642</v>
      </c>
      <c r="B1507" s="167" t="str">
        <f>_xlfn.XLOOKUP(I1507,Mapping!D:D,Mapping!E:E)</f>
        <v>Văn Phòng Giám Đốc</v>
      </c>
      <c r="C1507" s="167" t="str">
        <f>_xlfn.XLOOKUP(F1507,Mapping!A:A,Mapping!F:F)</f>
        <v>Thưởng</v>
      </c>
      <c r="D1507" s="173">
        <v>45900</v>
      </c>
      <c r="E1507" s="169" t="s">
        <v>998</v>
      </c>
      <c r="F1507" s="169" t="s">
        <v>292</v>
      </c>
      <c r="G1507" s="169" t="s">
        <v>77</v>
      </c>
      <c r="H1507" s="169" t="s">
        <v>320</v>
      </c>
      <c r="I1507" s="169" t="s">
        <v>321</v>
      </c>
      <c r="J1507" s="169" t="s">
        <v>1001</v>
      </c>
      <c r="K1507" s="169" t="s">
        <v>996</v>
      </c>
      <c r="L1507" s="169" t="s">
        <v>956</v>
      </c>
      <c r="M1507" s="169" t="s">
        <v>281</v>
      </c>
      <c r="N1507" s="178">
        <v>8835757</v>
      </c>
      <c r="O1507" s="169" t="s">
        <v>1000</v>
      </c>
      <c r="P1507" s="169" t="s">
        <v>283</v>
      </c>
      <c r="Q1507" s="169" t="s">
        <v>284</v>
      </c>
      <c r="R1507" s="169" t="s">
        <v>283</v>
      </c>
      <c r="S1507" s="169" t="s">
        <v>283</v>
      </c>
      <c r="T1507" s="169">
        <v>0</v>
      </c>
    </row>
    <row r="1508" spans="1:20" x14ac:dyDescent="0.2">
      <c r="A1508" s="169" t="str">
        <f t="shared" si="1"/>
        <v>642</v>
      </c>
      <c r="B1508" s="167" t="str">
        <f>_xlfn.XLOOKUP(I1508,Mapping!D:D,Mapping!E:E)</f>
        <v>Hành Chánh Nhân Sự</v>
      </c>
      <c r="C1508" s="167" t="str">
        <f>_xlfn.XLOOKUP(F1508,Mapping!A:A,Mapping!F:F)</f>
        <v>Lương Chính +T13</v>
      </c>
      <c r="D1508" s="173">
        <v>45900</v>
      </c>
      <c r="E1508" s="169" t="s">
        <v>998</v>
      </c>
      <c r="F1508" s="169" t="s">
        <v>285</v>
      </c>
      <c r="G1508" s="169" t="s">
        <v>286</v>
      </c>
      <c r="H1508" s="169" t="s">
        <v>301</v>
      </c>
      <c r="I1508" s="169" t="s">
        <v>302</v>
      </c>
      <c r="J1508" s="169" t="s">
        <v>999</v>
      </c>
      <c r="K1508" s="169" t="s">
        <v>996</v>
      </c>
      <c r="L1508" s="169" t="s">
        <v>956</v>
      </c>
      <c r="M1508" s="169" t="s">
        <v>281</v>
      </c>
      <c r="N1508" s="178">
        <v>40454759</v>
      </c>
      <c r="O1508" s="169" t="s">
        <v>1000</v>
      </c>
      <c r="P1508" s="169" t="s">
        <v>283</v>
      </c>
      <c r="Q1508" s="169" t="s">
        <v>284</v>
      </c>
      <c r="R1508" s="169" t="s">
        <v>283</v>
      </c>
      <c r="S1508" s="169" t="s">
        <v>283</v>
      </c>
      <c r="T1508" s="169">
        <v>0</v>
      </c>
    </row>
    <row r="1509" spans="1:20" x14ac:dyDescent="0.2">
      <c r="A1509" s="169" t="str">
        <f t="shared" si="1"/>
        <v>642</v>
      </c>
      <c r="B1509" s="167" t="str">
        <f>_xlfn.XLOOKUP(I1509,Mapping!D:D,Mapping!E:E)</f>
        <v>Hành Chánh Nhân Sự</v>
      </c>
      <c r="C1509" s="167" t="str">
        <f>_xlfn.XLOOKUP(F1509,Mapping!A:A,Mapping!F:F)</f>
        <v>Thưởng</v>
      </c>
      <c r="D1509" s="173">
        <v>45900</v>
      </c>
      <c r="E1509" s="169" t="s">
        <v>998</v>
      </c>
      <c r="F1509" s="169" t="s">
        <v>292</v>
      </c>
      <c r="G1509" s="169" t="s">
        <v>77</v>
      </c>
      <c r="H1509" s="169" t="s">
        <v>301</v>
      </c>
      <c r="I1509" s="169" t="s">
        <v>302</v>
      </c>
      <c r="J1509" s="169" t="s">
        <v>1001</v>
      </c>
      <c r="K1509" s="169" t="s">
        <v>996</v>
      </c>
      <c r="L1509" s="169" t="s">
        <v>956</v>
      </c>
      <c r="M1509" s="169" t="s">
        <v>281</v>
      </c>
      <c r="N1509" s="178">
        <v>32197912</v>
      </c>
      <c r="O1509" s="169" t="s">
        <v>1000</v>
      </c>
      <c r="P1509" s="169" t="s">
        <v>283</v>
      </c>
      <c r="Q1509" s="169" t="s">
        <v>284</v>
      </c>
      <c r="R1509" s="169" t="s">
        <v>283</v>
      </c>
      <c r="S1509" s="169" t="s">
        <v>283</v>
      </c>
      <c r="T1509" s="169">
        <v>0</v>
      </c>
    </row>
    <row r="1510" spans="1:20" x14ac:dyDescent="0.2">
      <c r="A1510" s="169" t="str">
        <f t="shared" si="1"/>
        <v>642</v>
      </c>
      <c r="B1510" s="167" t="str">
        <f>_xlfn.XLOOKUP(I1510,Mapping!D:D,Mapping!E:E)</f>
        <v>Kế Toán</v>
      </c>
      <c r="C1510" s="167" t="str">
        <f>_xlfn.XLOOKUP(F1510,Mapping!A:A,Mapping!F:F)</f>
        <v>Lương Chính +T13</v>
      </c>
      <c r="D1510" s="173">
        <v>45900</v>
      </c>
      <c r="E1510" s="169" t="s">
        <v>998</v>
      </c>
      <c r="F1510" s="169" t="s">
        <v>285</v>
      </c>
      <c r="G1510" s="169" t="s">
        <v>286</v>
      </c>
      <c r="H1510" s="169" t="s">
        <v>356</v>
      </c>
      <c r="I1510" s="169" t="s">
        <v>357</v>
      </c>
      <c r="J1510" s="169" t="s">
        <v>999</v>
      </c>
      <c r="K1510" s="169" t="s">
        <v>996</v>
      </c>
      <c r="L1510" s="169" t="s">
        <v>956</v>
      </c>
      <c r="M1510" s="169" t="s">
        <v>281</v>
      </c>
      <c r="N1510" s="178">
        <v>43180430</v>
      </c>
      <c r="O1510" s="169" t="s">
        <v>1000</v>
      </c>
      <c r="P1510" s="169" t="s">
        <v>283</v>
      </c>
      <c r="Q1510" s="169" t="s">
        <v>284</v>
      </c>
      <c r="R1510" s="169" t="s">
        <v>283</v>
      </c>
      <c r="S1510" s="169" t="s">
        <v>283</v>
      </c>
      <c r="T1510" s="169">
        <v>0</v>
      </c>
    </row>
    <row r="1511" spans="1:20" x14ac:dyDescent="0.2">
      <c r="A1511" s="169" t="str">
        <f t="shared" si="1"/>
        <v>642</v>
      </c>
      <c r="B1511" s="167" t="str">
        <f>_xlfn.XLOOKUP(I1511,Mapping!D:D,Mapping!E:E)</f>
        <v>Kế Toán</v>
      </c>
      <c r="C1511" s="167" t="str">
        <f>_xlfn.XLOOKUP(F1511,Mapping!A:A,Mapping!F:F)</f>
        <v>Thưởng</v>
      </c>
      <c r="D1511" s="173">
        <v>45900</v>
      </c>
      <c r="E1511" s="169" t="s">
        <v>998</v>
      </c>
      <c r="F1511" s="169" t="s">
        <v>292</v>
      </c>
      <c r="G1511" s="169" t="s">
        <v>77</v>
      </c>
      <c r="H1511" s="169" t="s">
        <v>356</v>
      </c>
      <c r="I1511" s="169" t="s">
        <v>357</v>
      </c>
      <c r="J1511" s="169" t="s">
        <v>1001</v>
      </c>
      <c r="K1511" s="169" t="s">
        <v>996</v>
      </c>
      <c r="L1511" s="169" t="s">
        <v>956</v>
      </c>
      <c r="M1511" s="169" t="s">
        <v>281</v>
      </c>
      <c r="N1511" s="178">
        <v>39282202</v>
      </c>
      <c r="O1511" s="169" t="s">
        <v>1000</v>
      </c>
      <c r="P1511" s="169" t="s">
        <v>283</v>
      </c>
      <c r="Q1511" s="169" t="s">
        <v>284</v>
      </c>
      <c r="R1511" s="169" t="s">
        <v>283</v>
      </c>
      <c r="S1511" s="169" t="s">
        <v>283</v>
      </c>
      <c r="T1511" s="169">
        <v>0</v>
      </c>
    </row>
    <row r="1512" spans="1:20" x14ac:dyDescent="0.2">
      <c r="A1512" s="169" t="str">
        <f t="shared" si="1"/>
        <v>641</v>
      </c>
      <c r="B1512" s="167" t="str">
        <f>_xlfn.XLOOKUP(I1512,Mapping!D:D,Mapping!E:E)</f>
        <v>Kinh doanh</v>
      </c>
      <c r="C1512" s="167" t="str">
        <f>_xlfn.XLOOKUP(F1512,Mapping!A:A,Mapping!F:F)</f>
        <v>Lương Chính +T13</v>
      </c>
      <c r="D1512" s="173">
        <v>45900</v>
      </c>
      <c r="E1512" s="169" t="s">
        <v>998</v>
      </c>
      <c r="F1512" s="169" t="s">
        <v>384</v>
      </c>
      <c r="G1512" s="169" t="s">
        <v>286</v>
      </c>
      <c r="H1512" s="169" t="s">
        <v>366</v>
      </c>
      <c r="I1512" s="169" t="s">
        <v>1</v>
      </c>
      <c r="J1512" s="169" t="s">
        <v>999</v>
      </c>
      <c r="K1512" s="169" t="s">
        <v>996</v>
      </c>
      <c r="L1512" s="169" t="s">
        <v>956</v>
      </c>
      <c r="M1512" s="169" t="s">
        <v>281</v>
      </c>
      <c r="N1512" s="178">
        <v>25046833</v>
      </c>
      <c r="O1512" s="169" t="s">
        <v>1000</v>
      </c>
      <c r="P1512" s="169" t="s">
        <v>283</v>
      </c>
      <c r="Q1512" s="169" t="s">
        <v>284</v>
      </c>
      <c r="R1512" s="169" t="s">
        <v>283</v>
      </c>
      <c r="S1512" s="169" t="s">
        <v>283</v>
      </c>
      <c r="T1512" s="169">
        <v>0</v>
      </c>
    </row>
    <row r="1513" spans="1:20" x14ac:dyDescent="0.2">
      <c r="A1513" s="169" t="str">
        <f t="shared" si="1"/>
        <v>641</v>
      </c>
      <c r="B1513" s="167" t="str">
        <f>_xlfn.XLOOKUP(I1513,Mapping!D:D,Mapping!E:E)</f>
        <v>Kinh doanh</v>
      </c>
      <c r="C1513" s="167" t="str">
        <f>_xlfn.XLOOKUP(F1513,Mapping!A:A,Mapping!F:F)</f>
        <v>Thưởng</v>
      </c>
      <c r="D1513" s="173">
        <v>45900</v>
      </c>
      <c r="E1513" s="169" t="s">
        <v>998</v>
      </c>
      <c r="F1513" s="169" t="s">
        <v>394</v>
      </c>
      <c r="G1513" s="169" t="s">
        <v>77</v>
      </c>
      <c r="H1513" s="169" t="s">
        <v>366</v>
      </c>
      <c r="I1513" s="169" t="s">
        <v>1</v>
      </c>
      <c r="J1513" s="169" t="s">
        <v>1001</v>
      </c>
      <c r="K1513" s="169" t="s">
        <v>996</v>
      </c>
      <c r="L1513" s="169" t="s">
        <v>956</v>
      </c>
      <c r="M1513" s="169" t="s">
        <v>281</v>
      </c>
      <c r="N1513" s="178">
        <v>23042886</v>
      </c>
      <c r="O1513" s="169" t="s">
        <v>1000</v>
      </c>
      <c r="P1513" s="169" t="s">
        <v>283</v>
      </c>
      <c r="Q1513" s="169" t="s">
        <v>284</v>
      </c>
      <c r="R1513" s="169" t="s">
        <v>283</v>
      </c>
      <c r="S1513" s="169" t="s">
        <v>283</v>
      </c>
      <c r="T1513" s="169">
        <v>0</v>
      </c>
    </row>
    <row r="1514" spans="1:20" x14ac:dyDescent="0.2">
      <c r="A1514" s="169" t="str">
        <f t="shared" ref="A1514:A1577" si="2">LEFT(F1514,3)</f>
        <v>642</v>
      </c>
      <c r="B1514" s="167" t="str">
        <f>_xlfn.XLOOKUP(I1514,Mapping!D:D,Mapping!E:E)</f>
        <v>Cung Ứng</v>
      </c>
      <c r="C1514" s="167" t="str">
        <f>_xlfn.XLOOKUP(F1514,Mapping!A:A,Mapping!F:F)</f>
        <v>Lương Chính +T13</v>
      </c>
      <c r="D1514" s="173">
        <v>45900</v>
      </c>
      <c r="E1514" s="169" t="s">
        <v>998</v>
      </c>
      <c r="F1514" s="169" t="s">
        <v>285</v>
      </c>
      <c r="G1514" s="169" t="s">
        <v>286</v>
      </c>
      <c r="H1514" s="169" t="s">
        <v>380</v>
      </c>
      <c r="I1514" s="169" t="s">
        <v>381</v>
      </c>
      <c r="J1514" s="169" t="s">
        <v>999</v>
      </c>
      <c r="K1514" s="169" t="s">
        <v>996</v>
      </c>
      <c r="L1514" s="169" t="s">
        <v>956</v>
      </c>
      <c r="M1514" s="169" t="s">
        <v>281</v>
      </c>
      <c r="N1514" s="178">
        <v>42460752</v>
      </c>
      <c r="O1514" s="169" t="s">
        <v>1000</v>
      </c>
      <c r="P1514" s="169" t="s">
        <v>283</v>
      </c>
      <c r="Q1514" s="169" t="s">
        <v>284</v>
      </c>
      <c r="R1514" s="169" t="s">
        <v>283</v>
      </c>
      <c r="S1514" s="169" t="s">
        <v>283</v>
      </c>
      <c r="T1514" s="169">
        <v>0</v>
      </c>
    </row>
    <row r="1515" spans="1:20" x14ac:dyDescent="0.2">
      <c r="A1515" s="169" t="str">
        <f t="shared" si="2"/>
        <v>642</v>
      </c>
      <c r="B1515" s="167" t="str">
        <f>_xlfn.XLOOKUP(I1515,Mapping!D:D,Mapping!E:E)</f>
        <v>Cung Ứng</v>
      </c>
      <c r="C1515" s="167" t="str">
        <f>_xlfn.XLOOKUP(F1515,Mapping!A:A,Mapping!F:F)</f>
        <v>Thưởng</v>
      </c>
      <c r="D1515" s="173">
        <v>45900</v>
      </c>
      <c r="E1515" s="169" t="s">
        <v>998</v>
      </c>
      <c r="F1515" s="169" t="s">
        <v>292</v>
      </c>
      <c r="G1515" s="169" t="s">
        <v>77</v>
      </c>
      <c r="H1515" s="169" t="s">
        <v>380</v>
      </c>
      <c r="I1515" s="169" t="s">
        <v>381</v>
      </c>
      <c r="J1515" s="169" t="s">
        <v>1001</v>
      </c>
      <c r="K1515" s="169" t="s">
        <v>996</v>
      </c>
      <c r="L1515" s="169" t="s">
        <v>956</v>
      </c>
      <c r="M1515" s="169" t="s">
        <v>281</v>
      </c>
      <c r="N1515" s="178">
        <v>37210370</v>
      </c>
      <c r="O1515" s="169" t="s">
        <v>1000</v>
      </c>
      <c r="P1515" s="169" t="s">
        <v>283</v>
      </c>
      <c r="Q1515" s="169" t="s">
        <v>284</v>
      </c>
      <c r="R1515" s="169" t="s">
        <v>283</v>
      </c>
      <c r="S1515" s="169" t="s">
        <v>283</v>
      </c>
      <c r="T1515" s="169">
        <v>0</v>
      </c>
    </row>
    <row r="1516" spans="1:20" x14ac:dyDescent="0.2">
      <c r="A1516" s="169" t="str">
        <f t="shared" si="2"/>
        <v>642</v>
      </c>
      <c r="B1516" s="167" t="str">
        <f>_xlfn.XLOOKUP(I1516,Mapping!D:D,Mapping!E:E)</f>
        <v>Mua Hàng &amp; XNK</v>
      </c>
      <c r="C1516" s="167" t="str">
        <f>_xlfn.XLOOKUP(F1516,Mapping!A:A,Mapping!F:F)</f>
        <v>Lương Chính +T13</v>
      </c>
      <c r="D1516" s="173">
        <v>45900</v>
      </c>
      <c r="E1516" s="169" t="s">
        <v>998</v>
      </c>
      <c r="F1516" s="169" t="s">
        <v>285</v>
      </c>
      <c r="G1516" s="169" t="s">
        <v>286</v>
      </c>
      <c r="H1516" s="169" t="s">
        <v>378</v>
      </c>
      <c r="I1516" s="169" t="s">
        <v>379</v>
      </c>
      <c r="J1516" s="169" t="s">
        <v>999</v>
      </c>
      <c r="K1516" s="169" t="s">
        <v>996</v>
      </c>
      <c r="L1516" s="169" t="s">
        <v>956</v>
      </c>
      <c r="M1516" s="169" t="s">
        <v>281</v>
      </c>
      <c r="N1516" s="178">
        <v>11544417</v>
      </c>
      <c r="O1516" s="169" t="s">
        <v>1000</v>
      </c>
      <c r="P1516" s="169" t="s">
        <v>283</v>
      </c>
      <c r="Q1516" s="169" t="s">
        <v>284</v>
      </c>
      <c r="R1516" s="169" t="s">
        <v>283</v>
      </c>
      <c r="S1516" s="169" t="s">
        <v>283</v>
      </c>
      <c r="T1516" s="169">
        <v>0</v>
      </c>
    </row>
    <row r="1517" spans="1:20" x14ac:dyDescent="0.2">
      <c r="A1517" s="169" t="str">
        <f t="shared" si="2"/>
        <v>642</v>
      </c>
      <c r="B1517" s="167" t="str">
        <f>_xlfn.XLOOKUP(I1517,Mapping!D:D,Mapping!E:E)</f>
        <v>Mua Hàng &amp; XNK</v>
      </c>
      <c r="C1517" s="167" t="str">
        <f>_xlfn.XLOOKUP(F1517,Mapping!A:A,Mapping!F:F)</f>
        <v>Thưởng</v>
      </c>
      <c r="D1517" s="173">
        <v>45900</v>
      </c>
      <c r="E1517" s="169" t="s">
        <v>998</v>
      </c>
      <c r="F1517" s="169" t="s">
        <v>292</v>
      </c>
      <c r="G1517" s="169" t="s">
        <v>77</v>
      </c>
      <c r="H1517" s="169" t="s">
        <v>378</v>
      </c>
      <c r="I1517" s="169" t="s">
        <v>379</v>
      </c>
      <c r="J1517" s="169" t="s">
        <v>1001</v>
      </c>
      <c r="K1517" s="169" t="s">
        <v>996</v>
      </c>
      <c r="L1517" s="169" t="s">
        <v>956</v>
      </c>
      <c r="M1517" s="169" t="s">
        <v>281</v>
      </c>
      <c r="N1517" s="178">
        <v>10620771</v>
      </c>
      <c r="O1517" s="169" t="s">
        <v>1000</v>
      </c>
      <c r="P1517" s="169" t="s">
        <v>283</v>
      </c>
      <c r="Q1517" s="169" t="s">
        <v>284</v>
      </c>
      <c r="R1517" s="169" t="s">
        <v>283</v>
      </c>
      <c r="S1517" s="169" t="s">
        <v>283</v>
      </c>
      <c r="T1517" s="169">
        <v>0</v>
      </c>
    </row>
    <row r="1518" spans="1:20" x14ac:dyDescent="0.2">
      <c r="A1518" s="169" t="str">
        <f t="shared" si="2"/>
        <v>627</v>
      </c>
      <c r="B1518" s="167" t="str">
        <f>_xlfn.XLOOKUP(I1518,Mapping!D:D,Mapping!E:E)</f>
        <v>Kỹ Thuật</v>
      </c>
      <c r="C1518" s="167" t="str">
        <f>_xlfn.XLOOKUP(F1518,Mapping!A:A,Mapping!F:F)</f>
        <v>Lương Chính +T13</v>
      </c>
      <c r="D1518" s="173">
        <v>45900</v>
      </c>
      <c r="E1518" s="169" t="s">
        <v>998</v>
      </c>
      <c r="F1518" s="169" t="s">
        <v>388</v>
      </c>
      <c r="G1518" s="169" t="s">
        <v>286</v>
      </c>
      <c r="H1518" s="169" t="s">
        <v>376</v>
      </c>
      <c r="I1518" s="169" t="s">
        <v>377</v>
      </c>
      <c r="J1518" s="169" t="s">
        <v>999</v>
      </c>
      <c r="K1518" s="169" t="s">
        <v>996</v>
      </c>
      <c r="L1518" s="169" t="s">
        <v>956</v>
      </c>
      <c r="M1518" s="169" t="s">
        <v>281</v>
      </c>
      <c r="N1518" s="178">
        <v>89490167</v>
      </c>
      <c r="O1518" s="169" t="s">
        <v>1000</v>
      </c>
      <c r="P1518" s="169" t="s">
        <v>283</v>
      </c>
      <c r="Q1518" s="169" t="s">
        <v>284</v>
      </c>
      <c r="R1518" s="169" t="s">
        <v>283</v>
      </c>
      <c r="S1518" s="169" t="s">
        <v>283</v>
      </c>
      <c r="T1518" s="169">
        <v>0</v>
      </c>
    </row>
    <row r="1519" spans="1:20" x14ac:dyDescent="0.2">
      <c r="A1519" s="169" t="str">
        <f t="shared" si="2"/>
        <v>627</v>
      </c>
      <c r="B1519" s="167" t="str">
        <f>_xlfn.XLOOKUP(I1519,Mapping!D:D,Mapping!E:E)</f>
        <v>Kỹ Thuật</v>
      </c>
      <c r="C1519" s="167" t="str">
        <f>_xlfn.XLOOKUP(F1519,Mapping!A:A,Mapping!F:F)</f>
        <v>Thưởng</v>
      </c>
      <c r="D1519" s="173">
        <v>45900</v>
      </c>
      <c r="E1519" s="169" t="s">
        <v>998</v>
      </c>
      <c r="F1519" s="169" t="s">
        <v>395</v>
      </c>
      <c r="G1519" s="169" t="s">
        <v>77</v>
      </c>
      <c r="H1519" s="169" t="s">
        <v>376</v>
      </c>
      <c r="I1519" s="169" t="s">
        <v>377</v>
      </c>
      <c r="J1519" s="169" t="s">
        <v>1001</v>
      </c>
      <c r="K1519" s="169" t="s">
        <v>996</v>
      </c>
      <c r="L1519" s="169" t="s">
        <v>956</v>
      </c>
      <c r="M1519" s="169" t="s">
        <v>281</v>
      </c>
      <c r="N1519" s="178">
        <v>82330237</v>
      </c>
      <c r="O1519" s="169" t="s">
        <v>1000</v>
      </c>
      <c r="P1519" s="169" t="s">
        <v>283</v>
      </c>
      <c r="Q1519" s="169" t="s">
        <v>284</v>
      </c>
      <c r="R1519" s="169" t="s">
        <v>283</v>
      </c>
      <c r="S1519" s="169" t="s">
        <v>283</v>
      </c>
      <c r="T1519" s="169">
        <v>0</v>
      </c>
    </row>
    <row r="1520" spans="1:20" x14ac:dyDescent="0.2">
      <c r="A1520" s="169" t="str">
        <f t="shared" si="2"/>
        <v>627</v>
      </c>
      <c r="B1520" s="167" t="str">
        <f>_xlfn.XLOOKUP(I1520,Mapping!D:D,Mapping!E:E)</f>
        <v>Kiểm Soát Chất Lượng</v>
      </c>
      <c r="C1520" s="167" t="str">
        <f>_xlfn.XLOOKUP(F1520,Mapping!A:A,Mapping!F:F)</f>
        <v>Lương Chính +T13</v>
      </c>
      <c r="D1520" s="173">
        <v>45900</v>
      </c>
      <c r="E1520" s="169" t="s">
        <v>998</v>
      </c>
      <c r="F1520" s="169" t="s">
        <v>388</v>
      </c>
      <c r="G1520" s="169" t="s">
        <v>286</v>
      </c>
      <c r="H1520" s="169" t="s">
        <v>411</v>
      </c>
      <c r="I1520" s="169" t="s">
        <v>412</v>
      </c>
      <c r="J1520" s="169" t="s">
        <v>999</v>
      </c>
      <c r="K1520" s="169" t="s">
        <v>996</v>
      </c>
      <c r="L1520" s="169" t="s">
        <v>956</v>
      </c>
      <c r="M1520" s="169" t="s">
        <v>281</v>
      </c>
      <c r="N1520" s="178">
        <v>40114417</v>
      </c>
      <c r="O1520" s="169" t="s">
        <v>1000</v>
      </c>
      <c r="P1520" s="169" t="s">
        <v>283</v>
      </c>
      <c r="Q1520" s="169" t="s">
        <v>284</v>
      </c>
      <c r="R1520" s="169" t="s">
        <v>283</v>
      </c>
      <c r="S1520" s="169" t="s">
        <v>283</v>
      </c>
      <c r="T1520" s="169">
        <v>0</v>
      </c>
    </row>
    <row r="1521" spans="1:20" x14ac:dyDescent="0.2">
      <c r="A1521" s="169" t="str">
        <f t="shared" si="2"/>
        <v>627</v>
      </c>
      <c r="B1521" s="167" t="str">
        <f>_xlfn.XLOOKUP(I1521,Mapping!D:D,Mapping!E:E)</f>
        <v>Kiểm Soát Chất Lượng</v>
      </c>
      <c r="C1521" s="167" t="str">
        <f>_xlfn.XLOOKUP(F1521,Mapping!A:A,Mapping!F:F)</f>
        <v>Thưởng</v>
      </c>
      <c r="D1521" s="173">
        <v>45900</v>
      </c>
      <c r="E1521" s="169" t="s">
        <v>998</v>
      </c>
      <c r="F1521" s="169" t="s">
        <v>395</v>
      </c>
      <c r="G1521" s="169" t="s">
        <v>77</v>
      </c>
      <c r="H1521" s="169" t="s">
        <v>411</v>
      </c>
      <c r="I1521" s="169" t="s">
        <v>412</v>
      </c>
      <c r="J1521" s="169" t="s">
        <v>1001</v>
      </c>
      <c r="K1521" s="169" t="s">
        <v>996</v>
      </c>
      <c r="L1521" s="169" t="s">
        <v>956</v>
      </c>
      <c r="M1521" s="169" t="s">
        <v>281</v>
      </c>
      <c r="N1521" s="178">
        <v>36904942</v>
      </c>
      <c r="O1521" s="169" t="s">
        <v>1000</v>
      </c>
      <c r="P1521" s="169" t="s">
        <v>283</v>
      </c>
      <c r="Q1521" s="169" t="s">
        <v>284</v>
      </c>
      <c r="R1521" s="169" t="s">
        <v>283</v>
      </c>
      <c r="S1521" s="169" t="s">
        <v>283</v>
      </c>
      <c r="T1521" s="169">
        <v>0</v>
      </c>
    </row>
    <row r="1522" spans="1:20" x14ac:dyDescent="0.2">
      <c r="A1522" s="169" t="str">
        <f t="shared" si="2"/>
        <v>627</v>
      </c>
      <c r="B1522" s="167" t="str">
        <f>_xlfn.XLOOKUP(I1522,Mapping!D:D,Mapping!E:E)</f>
        <v>Nghiên Cứu &amp; Phát Triển</v>
      </c>
      <c r="C1522" s="167" t="str">
        <f>_xlfn.XLOOKUP(F1522,Mapping!A:A,Mapping!F:F)</f>
        <v>Lương Chính +T13</v>
      </c>
      <c r="D1522" s="173">
        <v>45900</v>
      </c>
      <c r="E1522" s="169" t="s">
        <v>998</v>
      </c>
      <c r="F1522" s="169" t="s">
        <v>388</v>
      </c>
      <c r="G1522" s="169" t="s">
        <v>286</v>
      </c>
      <c r="H1522" s="169" t="s">
        <v>418</v>
      </c>
      <c r="I1522" s="169" t="s">
        <v>419</v>
      </c>
      <c r="J1522" s="169" t="s">
        <v>999</v>
      </c>
      <c r="K1522" s="169" t="s">
        <v>996</v>
      </c>
      <c r="L1522" s="169" t="s">
        <v>956</v>
      </c>
      <c r="M1522" s="169" t="s">
        <v>281</v>
      </c>
      <c r="N1522" s="178">
        <v>14000000</v>
      </c>
      <c r="O1522" s="169" t="s">
        <v>1000</v>
      </c>
      <c r="P1522" s="169" t="s">
        <v>283</v>
      </c>
      <c r="Q1522" s="169" t="s">
        <v>284</v>
      </c>
      <c r="R1522" s="169" t="s">
        <v>283</v>
      </c>
      <c r="S1522" s="169" t="s">
        <v>283</v>
      </c>
      <c r="T1522" s="169">
        <v>0</v>
      </c>
    </row>
    <row r="1523" spans="1:20" x14ac:dyDescent="0.2">
      <c r="A1523" s="169" t="str">
        <f t="shared" si="2"/>
        <v>627</v>
      </c>
      <c r="B1523" s="167" t="str">
        <f>_xlfn.XLOOKUP(I1523,Mapping!D:D,Mapping!E:E)</f>
        <v>Nghiên Cứu &amp; Phát Triển</v>
      </c>
      <c r="C1523" s="167" t="str">
        <f>_xlfn.XLOOKUP(F1523,Mapping!A:A,Mapping!F:F)</f>
        <v>Thưởng</v>
      </c>
      <c r="D1523" s="173">
        <v>45900</v>
      </c>
      <c r="E1523" s="169" t="s">
        <v>998</v>
      </c>
      <c r="F1523" s="169" t="s">
        <v>395</v>
      </c>
      <c r="G1523" s="169" t="s">
        <v>77</v>
      </c>
      <c r="H1523" s="169" t="s">
        <v>418</v>
      </c>
      <c r="I1523" s="169" t="s">
        <v>419</v>
      </c>
      <c r="J1523" s="169" t="s">
        <v>1001</v>
      </c>
      <c r="K1523" s="169" t="s">
        <v>996</v>
      </c>
      <c r="L1523" s="169" t="s">
        <v>956</v>
      </c>
      <c r="M1523" s="169" t="s">
        <v>281</v>
      </c>
      <c r="N1523" s="178">
        <v>12879888</v>
      </c>
      <c r="O1523" s="169" t="s">
        <v>1000</v>
      </c>
      <c r="P1523" s="169" t="s">
        <v>283</v>
      </c>
      <c r="Q1523" s="169" t="s">
        <v>284</v>
      </c>
      <c r="R1523" s="169" t="s">
        <v>283</v>
      </c>
      <c r="S1523" s="169" t="s">
        <v>283</v>
      </c>
      <c r="T1523" s="169">
        <v>0</v>
      </c>
    </row>
    <row r="1524" spans="1:20" x14ac:dyDescent="0.2">
      <c r="A1524" s="169" t="str">
        <f t="shared" si="2"/>
        <v>627</v>
      </c>
      <c r="B1524" s="167" t="str">
        <f>_xlfn.XLOOKUP(I1524,Mapping!D:D,Mapping!E:E)</f>
        <v>Xưởng Sản Xuất</v>
      </c>
      <c r="C1524" s="167" t="str">
        <f>_xlfn.XLOOKUP(F1524,Mapping!A:A,Mapping!F:F)</f>
        <v>Lương Chính +T13</v>
      </c>
      <c r="D1524" s="173">
        <v>45900</v>
      </c>
      <c r="E1524" s="169" t="s">
        <v>998</v>
      </c>
      <c r="F1524" s="169" t="s">
        <v>388</v>
      </c>
      <c r="G1524" s="169" t="s">
        <v>286</v>
      </c>
      <c r="H1524" s="169" t="s">
        <v>402</v>
      </c>
      <c r="I1524" s="169" t="s">
        <v>403</v>
      </c>
      <c r="J1524" s="169" t="s">
        <v>999</v>
      </c>
      <c r="K1524" s="169" t="s">
        <v>996</v>
      </c>
      <c r="L1524" s="169" t="s">
        <v>956</v>
      </c>
      <c r="M1524" s="169" t="s">
        <v>281</v>
      </c>
      <c r="N1524" s="178">
        <v>36195709</v>
      </c>
      <c r="O1524" s="169" t="s">
        <v>1000</v>
      </c>
      <c r="P1524" s="169" t="s">
        <v>283</v>
      </c>
      <c r="Q1524" s="169" t="s">
        <v>284</v>
      </c>
      <c r="R1524" s="169" t="s">
        <v>283</v>
      </c>
      <c r="S1524" s="169" t="s">
        <v>283</v>
      </c>
      <c r="T1524" s="169">
        <v>0</v>
      </c>
    </row>
    <row r="1525" spans="1:20" x14ac:dyDescent="0.2">
      <c r="A1525" s="169" t="str">
        <f t="shared" si="2"/>
        <v>622</v>
      </c>
      <c r="B1525" s="167" t="str">
        <f>_xlfn.XLOOKUP(I1525,Mapping!D:D,Mapping!E:E)</f>
        <v>Xưởng Sản Xuất</v>
      </c>
      <c r="C1525" s="167" t="str">
        <f>_xlfn.XLOOKUP(F1525,Mapping!A:A,Mapping!F:F)</f>
        <v>Lương Chính +T13</v>
      </c>
      <c r="D1525" s="173">
        <v>45900</v>
      </c>
      <c r="E1525" s="169" t="s">
        <v>998</v>
      </c>
      <c r="F1525" s="169" t="s">
        <v>420</v>
      </c>
      <c r="G1525" s="169" t="s">
        <v>286</v>
      </c>
      <c r="H1525" s="169" t="s">
        <v>402</v>
      </c>
      <c r="I1525" s="169" t="s">
        <v>403</v>
      </c>
      <c r="J1525" s="169" t="s">
        <v>999</v>
      </c>
      <c r="K1525" s="169" t="s">
        <v>996</v>
      </c>
      <c r="L1525" s="169" t="s">
        <v>956</v>
      </c>
      <c r="M1525" s="169" t="s">
        <v>281</v>
      </c>
      <c r="N1525" s="178">
        <v>112106973</v>
      </c>
      <c r="O1525" s="169" t="s">
        <v>1000</v>
      </c>
      <c r="P1525" s="169" t="s">
        <v>283</v>
      </c>
      <c r="Q1525" s="169" t="s">
        <v>284</v>
      </c>
      <c r="R1525" s="169" t="s">
        <v>283</v>
      </c>
      <c r="S1525" s="169" t="s">
        <v>283</v>
      </c>
      <c r="T1525" s="169">
        <v>0</v>
      </c>
    </row>
    <row r="1526" spans="1:20" x14ac:dyDescent="0.2">
      <c r="A1526" s="169" t="str">
        <f t="shared" si="2"/>
        <v>627</v>
      </c>
      <c r="B1526" s="167" t="str">
        <f>_xlfn.XLOOKUP(I1526,Mapping!D:D,Mapping!E:E)</f>
        <v>Xưởng Sản Xuất</v>
      </c>
      <c r="C1526" s="167" t="str">
        <f>_xlfn.XLOOKUP(F1526,Mapping!A:A,Mapping!F:F)</f>
        <v>Thưởng</v>
      </c>
      <c r="D1526" s="173">
        <v>45900</v>
      </c>
      <c r="E1526" s="169" t="s">
        <v>998</v>
      </c>
      <c r="F1526" s="169" t="s">
        <v>395</v>
      </c>
      <c r="G1526" s="169" t="s">
        <v>77</v>
      </c>
      <c r="H1526" s="169" t="s">
        <v>402</v>
      </c>
      <c r="I1526" s="169" t="s">
        <v>403</v>
      </c>
      <c r="J1526" s="169" t="s">
        <v>1001</v>
      </c>
      <c r="K1526" s="169" t="s">
        <v>996</v>
      </c>
      <c r="L1526" s="169" t="s">
        <v>956</v>
      </c>
      <c r="M1526" s="169" t="s">
        <v>281</v>
      </c>
      <c r="N1526" s="178">
        <v>32638786</v>
      </c>
      <c r="O1526" s="169" t="s">
        <v>1000</v>
      </c>
      <c r="P1526" s="169" t="s">
        <v>283</v>
      </c>
      <c r="Q1526" s="169" t="s">
        <v>284</v>
      </c>
      <c r="R1526" s="169" t="s">
        <v>283</v>
      </c>
      <c r="S1526" s="169" t="s">
        <v>283</v>
      </c>
      <c r="T1526" s="169">
        <v>0</v>
      </c>
    </row>
    <row r="1527" spans="1:20" x14ac:dyDescent="0.2">
      <c r="A1527" s="169" t="str">
        <f t="shared" si="2"/>
        <v>622</v>
      </c>
      <c r="B1527" s="167" t="str">
        <f>_xlfn.XLOOKUP(I1527,Mapping!D:D,Mapping!E:E)</f>
        <v>Xưởng Sản Xuất</v>
      </c>
      <c r="C1527" s="167" t="str">
        <f>_xlfn.XLOOKUP(F1527,Mapping!A:A,Mapping!F:F)</f>
        <v>Thưởng</v>
      </c>
      <c r="D1527" s="173">
        <v>45900</v>
      </c>
      <c r="E1527" s="169" t="s">
        <v>998</v>
      </c>
      <c r="F1527" s="169" t="s">
        <v>426</v>
      </c>
      <c r="G1527" s="169" t="s">
        <v>77</v>
      </c>
      <c r="H1527" s="169" t="s">
        <v>402</v>
      </c>
      <c r="I1527" s="169" t="s">
        <v>403</v>
      </c>
      <c r="J1527" s="169" t="s">
        <v>1001</v>
      </c>
      <c r="K1527" s="169" t="s">
        <v>996</v>
      </c>
      <c r="L1527" s="169" t="s">
        <v>956</v>
      </c>
      <c r="M1527" s="169" t="s">
        <v>281</v>
      </c>
      <c r="N1527" s="178">
        <v>25897889</v>
      </c>
      <c r="O1527" s="169" t="s">
        <v>1000</v>
      </c>
      <c r="P1527" s="169" t="s">
        <v>283</v>
      </c>
      <c r="Q1527" s="169" t="s">
        <v>284</v>
      </c>
      <c r="R1527" s="169" t="s">
        <v>283</v>
      </c>
      <c r="S1527" s="169" t="s">
        <v>283</v>
      </c>
      <c r="T1527" s="169">
        <v>0</v>
      </c>
    </row>
    <row r="1528" spans="1:20" x14ac:dyDescent="0.2">
      <c r="A1528" s="169" t="str">
        <f t="shared" si="2"/>
        <v>627</v>
      </c>
      <c r="B1528" s="167" t="str">
        <f>_xlfn.XLOOKUP(I1528,Mapping!D:D,Mapping!E:E)</f>
        <v>Xưởng Sản Xuất</v>
      </c>
      <c r="C1528" s="167" t="str">
        <f>_xlfn.XLOOKUP(F1528,Mapping!A:A,Mapping!F:F)</f>
        <v>Lương Chính +T13</v>
      </c>
      <c r="D1528" s="173">
        <v>45900</v>
      </c>
      <c r="E1528" s="169" t="s">
        <v>998</v>
      </c>
      <c r="F1528" s="169" t="s">
        <v>388</v>
      </c>
      <c r="G1528" s="169" t="s">
        <v>286</v>
      </c>
      <c r="H1528" s="169" t="s">
        <v>430</v>
      </c>
      <c r="I1528" s="169" t="s">
        <v>431</v>
      </c>
      <c r="J1528" s="169" t="s">
        <v>999</v>
      </c>
      <c r="K1528" s="169" t="s">
        <v>996</v>
      </c>
      <c r="L1528" s="169" t="s">
        <v>956</v>
      </c>
      <c r="M1528" s="169" t="s">
        <v>281</v>
      </c>
      <c r="N1528" s="178">
        <v>12865449</v>
      </c>
      <c r="O1528" s="169" t="s">
        <v>1000</v>
      </c>
      <c r="P1528" s="169" t="s">
        <v>283</v>
      </c>
      <c r="Q1528" s="169" t="s">
        <v>284</v>
      </c>
      <c r="R1528" s="169" t="s">
        <v>283</v>
      </c>
      <c r="S1528" s="169" t="s">
        <v>283</v>
      </c>
      <c r="T1528" s="169">
        <v>0</v>
      </c>
    </row>
    <row r="1529" spans="1:20" x14ac:dyDescent="0.2">
      <c r="A1529" s="169" t="str">
        <f t="shared" si="2"/>
        <v>622</v>
      </c>
      <c r="B1529" s="167" t="str">
        <f>_xlfn.XLOOKUP(I1529,Mapping!D:D,Mapping!E:E)</f>
        <v>Xưởng Sản Xuất</v>
      </c>
      <c r="C1529" s="167" t="str">
        <f>_xlfn.XLOOKUP(F1529,Mapping!A:A,Mapping!F:F)</f>
        <v>Lương Chính +T13</v>
      </c>
      <c r="D1529" s="173">
        <v>45900</v>
      </c>
      <c r="E1529" s="169" t="s">
        <v>998</v>
      </c>
      <c r="F1529" s="169" t="s">
        <v>420</v>
      </c>
      <c r="G1529" s="169" t="s">
        <v>286</v>
      </c>
      <c r="H1529" s="169" t="s">
        <v>430</v>
      </c>
      <c r="I1529" s="169" t="s">
        <v>431</v>
      </c>
      <c r="J1529" s="169" t="s">
        <v>999</v>
      </c>
      <c r="K1529" s="169" t="s">
        <v>996</v>
      </c>
      <c r="L1529" s="169" t="s">
        <v>956</v>
      </c>
      <c r="M1529" s="169" t="s">
        <v>281</v>
      </c>
      <c r="N1529" s="178">
        <v>19788116</v>
      </c>
      <c r="O1529" s="169" t="s">
        <v>1000</v>
      </c>
      <c r="P1529" s="169" t="s">
        <v>283</v>
      </c>
      <c r="Q1529" s="169" t="s">
        <v>284</v>
      </c>
      <c r="R1529" s="169" t="s">
        <v>283</v>
      </c>
      <c r="S1529" s="169" t="s">
        <v>283</v>
      </c>
      <c r="T1529" s="169">
        <v>0</v>
      </c>
    </row>
    <row r="1530" spans="1:20" x14ac:dyDescent="0.2">
      <c r="A1530" s="169" t="str">
        <f t="shared" si="2"/>
        <v>627</v>
      </c>
      <c r="B1530" s="167" t="str">
        <f>_xlfn.XLOOKUP(I1530,Mapping!D:D,Mapping!E:E)</f>
        <v>Xưởng Sản Xuất</v>
      </c>
      <c r="C1530" s="167" t="str">
        <f>_xlfn.XLOOKUP(F1530,Mapping!A:A,Mapping!F:F)</f>
        <v>Thưởng</v>
      </c>
      <c r="D1530" s="173">
        <v>45900</v>
      </c>
      <c r="E1530" s="169" t="s">
        <v>998</v>
      </c>
      <c r="F1530" s="169" t="s">
        <v>395</v>
      </c>
      <c r="G1530" s="169" t="s">
        <v>77</v>
      </c>
      <c r="H1530" s="169" t="s">
        <v>430</v>
      </c>
      <c r="I1530" s="169" t="s">
        <v>431</v>
      </c>
      <c r="J1530" s="169" t="s">
        <v>1001</v>
      </c>
      <c r="K1530" s="169" t="s">
        <v>996</v>
      </c>
      <c r="L1530" s="169" t="s">
        <v>956</v>
      </c>
      <c r="M1530" s="169" t="s">
        <v>281</v>
      </c>
      <c r="N1530" s="178">
        <v>11408821</v>
      </c>
      <c r="O1530" s="169" t="s">
        <v>1000</v>
      </c>
      <c r="P1530" s="169" t="s">
        <v>283</v>
      </c>
      <c r="Q1530" s="169" t="s">
        <v>284</v>
      </c>
      <c r="R1530" s="169" t="s">
        <v>283</v>
      </c>
      <c r="S1530" s="169" t="s">
        <v>283</v>
      </c>
      <c r="T1530" s="169">
        <v>0</v>
      </c>
    </row>
    <row r="1531" spans="1:20" x14ac:dyDescent="0.2">
      <c r="A1531" s="169" t="str">
        <f t="shared" si="2"/>
        <v>622</v>
      </c>
      <c r="B1531" s="167" t="str">
        <f>_xlfn.XLOOKUP(I1531,Mapping!D:D,Mapping!E:E)</f>
        <v>Xưởng Sản Xuất</v>
      </c>
      <c r="C1531" s="167" t="str">
        <f>_xlfn.XLOOKUP(F1531,Mapping!A:A,Mapping!F:F)</f>
        <v>Thưởng</v>
      </c>
      <c r="D1531" s="173">
        <v>45900</v>
      </c>
      <c r="E1531" s="169" t="s">
        <v>998</v>
      </c>
      <c r="F1531" s="169" t="s">
        <v>426</v>
      </c>
      <c r="G1531" s="169" t="s">
        <v>77</v>
      </c>
      <c r="H1531" s="169" t="s">
        <v>430</v>
      </c>
      <c r="I1531" s="169" t="s">
        <v>431</v>
      </c>
      <c r="J1531" s="169" t="s">
        <v>1001</v>
      </c>
      <c r="K1531" s="169" t="s">
        <v>996</v>
      </c>
      <c r="L1531" s="169" t="s">
        <v>956</v>
      </c>
      <c r="M1531" s="169" t="s">
        <v>281</v>
      </c>
      <c r="N1531" s="178">
        <v>5039508</v>
      </c>
      <c r="O1531" s="169" t="s">
        <v>1000</v>
      </c>
      <c r="P1531" s="169" t="s">
        <v>283</v>
      </c>
      <c r="Q1531" s="169" t="s">
        <v>284</v>
      </c>
      <c r="R1531" s="169" t="s">
        <v>283</v>
      </c>
      <c r="S1531" s="169" t="s">
        <v>283</v>
      </c>
      <c r="T1531" s="169">
        <v>0</v>
      </c>
    </row>
    <row r="1532" spans="1:20" x14ac:dyDescent="0.2">
      <c r="A1532" s="169" t="str">
        <f t="shared" si="2"/>
        <v>627</v>
      </c>
      <c r="B1532" s="167" t="str">
        <f>_xlfn.XLOOKUP(I1532,Mapping!D:D,Mapping!E:E)</f>
        <v>Xưởng Sản Xuất</v>
      </c>
      <c r="C1532" s="167" t="str">
        <f>_xlfn.XLOOKUP(F1532,Mapping!A:A,Mapping!F:F)</f>
        <v>Lương Chính +T13</v>
      </c>
      <c r="D1532" s="173">
        <v>45900</v>
      </c>
      <c r="E1532" s="169" t="s">
        <v>998</v>
      </c>
      <c r="F1532" s="169" t="s">
        <v>388</v>
      </c>
      <c r="G1532" s="169" t="s">
        <v>286</v>
      </c>
      <c r="H1532" s="169" t="s">
        <v>436</v>
      </c>
      <c r="I1532" s="169" t="s">
        <v>437</v>
      </c>
      <c r="J1532" s="169" t="s">
        <v>999</v>
      </c>
      <c r="K1532" s="169" t="s">
        <v>996</v>
      </c>
      <c r="L1532" s="169" t="s">
        <v>956</v>
      </c>
      <c r="M1532" s="169" t="s">
        <v>281</v>
      </c>
      <c r="N1532" s="178">
        <v>26702407</v>
      </c>
      <c r="O1532" s="169" t="s">
        <v>1000</v>
      </c>
      <c r="P1532" s="169" t="s">
        <v>283</v>
      </c>
      <c r="Q1532" s="169" t="s">
        <v>284</v>
      </c>
      <c r="R1532" s="169" t="s">
        <v>283</v>
      </c>
      <c r="S1532" s="169" t="s">
        <v>283</v>
      </c>
      <c r="T1532" s="169">
        <v>0</v>
      </c>
    </row>
    <row r="1533" spans="1:20" x14ac:dyDescent="0.2">
      <c r="A1533" s="169" t="str">
        <f t="shared" si="2"/>
        <v>627</v>
      </c>
      <c r="B1533" s="167" t="str">
        <f>_xlfn.XLOOKUP(I1533,Mapping!D:D,Mapping!E:E)</f>
        <v>Xưởng Sản Xuất</v>
      </c>
      <c r="C1533" s="167" t="str">
        <f>_xlfn.XLOOKUP(F1533,Mapping!A:A,Mapping!F:F)</f>
        <v>Thưởng</v>
      </c>
      <c r="D1533" s="173">
        <v>45900</v>
      </c>
      <c r="E1533" s="169" t="s">
        <v>998</v>
      </c>
      <c r="F1533" s="169" t="s">
        <v>395</v>
      </c>
      <c r="G1533" s="169" t="s">
        <v>77</v>
      </c>
      <c r="H1533" s="169" t="s">
        <v>436</v>
      </c>
      <c r="I1533" s="169" t="s">
        <v>437</v>
      </c>
      <c r="J1533" s="169" t="s">
        <v>1001</v>
      </c>
      <c r="K1533" s="169" t="s">
        <v>996</v>
      </c>
      <c r="L1533" s="169" t="s">
        <v>956</v>
      </c>
      <c r="M1533" s="169" t="s">
        <v>281</v>
      </c>
      <c r="N1533" s="178">
        <v>17005934</v>
      </c>
      <c r="O1533" s="169" t="s">
        <v>1000</v>
      </c>
      <c r="P1533" s="169" t="s">
        <v>283</v>
      </c>
      <c r="Q1533" s="169" t="s">
        <v>284</v>
      </c>
      <c r="R1533" s="169" t="s">
        <v>283</v>
      </c>
      <c r="S1533" s="169" t="s">
        <v>283</v>
      </c>
      <c r="T1533" s="169">
        <v>0</v>
      </c>
    </row>
    <row r="1534" spans="1:20" x14ac:dyDescent="0.2">
      <c r="A1534" s="169" t="str">
        <f t="shared" si="2"/>
        <v>642</v>
      </c>
      <c r="B1534" s="167" t="str">
        <f>_xlfn.XLOOKUP(I1534,Mapping!D:D,Mapping!E:E)</f>
        <v>Hành Chánh Nhân Sự</v>
      </c>
      <c r="C1534" s="167" t="str">
        <f>_xlfn.XLOOKUP(F1534,Mapping!A:A,Mapping!F:F)</f>
        <v>Lương Chính +T13</v>
      </c>
      <c r="D1534" s="173">
        <v>45900</v>
      </c>
      <c r="E1534" s="169" t="s">
        <v>998</v>
      </c>
      <c r="F1534" s="169" t="s">
        <v>285</v>
      </c>
      <c r="G1534" s="169" t="s">
        <v>286</v>
      </c>
      <c r="H1534" s="169" t="s">
        <v>382</v>
      </c>
      <c r="I1534" s="169" t="s">
        <v>200</v>
      </c>
      <c r="J1534" s="169" t="s">
        <v>999</v>
      </c>
      <c r="K1534" s="169" t="s">
        <v>996</v>
      </c>
      <c r="L1534" s="169" t="s">
        <v>956</v>
      </c>
      <c r="M1534" s="169" t="s">
        <v>281</v>
      </c>
      <c r="N1534" s="178">
        <v>6194250</v>
      </c>
      <c r="O1534" s="169" t="s">
        <v>1000</v>
      </c>
      <c r="P1534" s="169" t="s">
        <v>283</v>
      </c>
      <c r="Q1534" s="169" t="s">
        <v>284</v>
      </c>
      <c r="R1534" s="169" t="s">
        <v>283</v>
      </c>
      <c r="S1534" s="169" t="s">
        <v>283</v>
      </c>
      <c r="T1534" s="169">
        <v>0</v>
      </c>
    </row>
    <row r="1535" spans="1:20" x14ac:dyDescent="0.2">
      <c r="A1535" s="169" t="str">
        <f t="shared" si="2"/>
        <v>642</v>
      </c>
      <c r="B1535" s="167" t="str">
        <f>_xlfn.XLOOKUP(I1535,Mapping!D:D,Mapping!E:E)</f>
        <v>Hành Chánh Nhân Sự</v>
      </c>
      <c r="C1535" s="167" t="str">
        <f>_xlfn.XLOOKUP(F1535,Mapping!A:A,Mapping!F:F)</f>
        <v>Thưởng</v>
      </c>
      <c r="D1535" s="173">
        <v>45900</v>
      </c>
      <c r="E1535" s="169" t="s">
        <v>998</v>
      </c>
      <c r="F1535" s="169" t="s">
        <v>292</v>
      </c>
      <c r="G1535" s="169" t="s">
        <v>77</v>
      </c>
      <c r="H1535" s="169" t="s">
        <v>382</v>
      </c>
      <c r="I1535" s="169" t="s">
        <v>200</v>
      </c>
      <c r="J1535" s="169" t="s">
        <v>1001</v>
      </c>
      <c r="K1535" s="169" t="s">
        <v>996</v>
      </c>
      <c r="L1535" s="169" t="s">
        <v>956</v>
      </c>
      <c r="M1535" s="169" t="s">
        <v>281</v>
      </c>
      <c r="N1535" s="178">
        <v>5698660</v>
      </c>
      <c r="O1535" s="169" t="s">
        <v>1000</v>
      </c>
      <c r="P1535" s="169" t="s">
        <v>283</v>
      </c>
      <c r="Q1535" s="169" t="s">
        <v>284</v>
      </c>
      <c r="R1535" s="169" t="s">
        <v>283</v>
      </c>
      <c r="S1535" s="169" t="s">
        <v>283</v>
      </c>
      <c r="T1535" s="169">
        <v>0</v>
      </c>
    </row>
    <row r="1536" spans="1:20" x14ac:dyDescent="0.2">
      <c r="A1536" s="169" t="str">
        <f t="shared" si="2"/>
        <v>642</v>
      </c>
      <c r="B1536" s="167" t="str">
        <f>_xlfn.XLOOKUP(I1536,Mapping!D:D,Mapping!E:E)</f>
        <v>Hành Chánh Nhân Sự</v>
      </c>
      <c r="C1536" s="167" t="str">
        <f>_xlfn.XLOOKUP(F1536,Mapping!A:A,Mapping!F:F)</f>
        <v>Lương Chính +T13</v>
      </c>
      <c r="D1536" s="173">
        <v>45900</v>
      </c>
      <c r="E1536" s="169" t="s">
        <v>998</v>
      </c>
      <c r="F1536" s="169" t="s">
        <v>285</v>
      </c>
      <c r="G1536" s="169" t="s">
        <v>286</v>
      </c>
      <c r="H1536" s="169" t="s">
        <v>358</v>
      </c>
      <c r="I1536" s="169" t="s">
        <v>359</v>
      </c>
      <c r="J1536" s="169" t="s">
        <v>999</v>
      </c>
      <c r="K1536" s="169" t="s">
        <v>996</v>
      </c>
      <c r="L1536" s="169" t="s">
        <v>956</v>
      </c>
      <c r="M1536" s="169" t="s">
        <v>281</v>
      </c>
      <c r="N1536" s="178">
        <v>8468167</v>
      </c>
      <c r="O1536" s="169" t="s">
        <v>1000</v>
      </c>
      <c r="P1536" s="169" t="s">
        <v>283</v>
      </c>
      <c r="Q1536" s="169" t="s">
        <v>284</v>
      </c>
      <c r="R1536" s="169" t="s">
        <v>283</v>
      </c>
      <c r="S1536" s="169" t="s">
        <v>283</v>
      </c>
      <c r="T1536" s="169">
        <v>0</v>
      </c>
    </row>
    <row r="1537" spans="1:20" x14ac:dyDescent="0.2">
      <c r="A1537" s="169" t="str">
        <f t="shared" si="2"/>
        <v>642</v>
      </c>
      <c r="B1537" s="167" t="str">
        <f>_xlfn.XLOOKUP(I1537,Mapping!D:D,Mapping!E:E)</f>
        <v>Hành Chánh Nhân Sự</v>
      </c>
      <c r="C1537" s="167" t="str">
        <f>_xlfn.XLOOKUP(F1537,Mapping!A:A,Mapping!F:F)</f>
        <v>Thưởng</v>
      </c>
      <c r="D1537" s="173">
        <v>45900</v>
      </c>
      <c r="E1537" s="169" t="s">
        <v>998</v>
      </c>
      <c r="F1537" s="169" t="s">
        <v>292</v>
      </c>
      <c r="G1537" s="169" t="s">
        <v>77</v>
      </c>
      <c r="H1537" s="169" t="s">
        <v>358</v>
      </c>
      <c r="I1537" s="169" t="s">
        <v>359</v>
      </c>
      <c r="J1537" s="169" t="s">
        <v>1001</v>
      </c>
      <c r="K1537" s="169" t="s">
        <v>996</v>
      </c>
      <c r="L1537" s="169" t="s">
        <v>956</v>
      </c>
      <c r="M1537" s="169" t="s">
        <v>281</v>
      </c>
      <c r="N1537" s="178">
        <v>7790646</v>
      </c>
      <c r="O1537" s="169" t="s">
        <v>1000</v>
      </c>
      <c r="P1537" s="169" t="s">
        <v>283</v>
      </c>
      <c r="Q1537" s="169" t="s">
        <v>284</v>
      </c>
      <c r="R1537" s="169" t="s">
        <v>283</v>
      </c>
      <c r="S1537" s="169" t="s">
        <v>283</v>
      </c>
      <c r="T1537" s="169">
        <v>0</v>
      </c>
    </row>
    <row r="1538" spans="1:20" x14ac:dyDescent="0.2">
      <c r="A1538" s="169" t="str">
        <f t="shared" si="2"/>
        <v>622</v>
      </c>
      <c r="B1538" s="167" t="str">
        <f>_xlfn.XLOOKUP(I1538,Mapping!D:D,Mapping!E:E)</f>
        <v>Xưởng Sản Xuất</v>
      </c>
      <c r="C1538" s="167" t="str">
        <f>_xlfn.XLOOKUP(F1538,Mapping!A:A,Mapping!F:F)</f>
        <v>Lương Chính +T13</v>
      </c>
      <c r="D1538" s="173">
        <v>45900</v>
      </c>
      <c r="E1538" s="169" t="s">
        <v>998</v>
      </c>
      <c r="F1538" s="169" t="s">
        <v>420</v>
      </c>
      <c r="G1538" s="169" t="s">
        <v>286</v>
      </c>
      <c r="H1538" s="169" t="s">
        <v>441</v>
      </c>
      <c r="I1538" s="169" t="s">
        <v>442</v>
      </c>
      <c r="J1538" s="169" t="s">
        <v>999</v>
      </c>
      <c r="K1538" s="169" t="s">
        <v>996</v>
      </c>
      <c r="L1538" s="169" t="s">
        <v>956</v>
      </c>
      <c r="M1538" s="169" t="s">
        <v>281</v>
      </c>
      <c r="N1538" s="178">
        <v>531385</v>
      </c>
      <c r="O1538" s="169" t="s">
        <v>1000</v>
      </c>
      <c r="P1538" s="169" t="s">
        <v>283</v>
      </c>
      <c r="Q1538" s="169" t="s">
        <v>284</v>
      </c>
      <c r="R1538" s="169" t="s">
        <v>283</v>
      </c>
      <c r="S1538" s="169" t="s">
        <v>283</v>
      </c>
      <c r="T1538" s="169">
        <v>0</v>
      </c>
    </row>
    <row r="1539" spans="1:20" x14ac:dyDescent="0.2">
      <c r="A1539" s="169" t="str">
        <f t="shared" si="2"/>
        <v>622</v>
      </c>
      <c r="B1539" s="167" t="str">
        <f>_xlfn.XLOOKUP(I1539,Mapping!D:D,Mapping!E:E)</f>
        <v>Xưởng Sản Xuất</v>
      </c>
      <c r="C1539" s="167" t="str">
        <f>_xlfn.XLOOKUP(F1539,Mapping!A:A,Mapping!F:F)</f>
        <v>Thưởng</v>
      </c>
      <c r="D1539" s="173">
        <v>45900</v>
      </c>
      <c r="E1539" s="169" t="s">
        <v>998</v>
      </c>
      <c r="F1539" s="169" t="s">
        <v>426</v>
      </c>
      <c r="G1539" s="169" t="s">
        <v>77</v>
      </c>
      <c r="H1539" s="169" t="s">
        <v>441</v>
      </c>
      <c r="I1539" s="169" t="s">
        <v>442</v>
      </c>
      <c r="J1539" s="169" t="s">
        <v>1001</v>
      </c>
      <c r="K1539" s="169" t="s">
        <v>996</v>
      </c>
      <c r="L1539" s="169" t="s">
        <v>956</v>
      </c>
      <c r="M1539" s="169" t="s">
        <v>281</v>
      </c>
      <c r="N1539" s="178">
        <v>78876</v>
      </c>
      <c r="O1539" s="169" t="s">
        <v>1000</v>
      </c>
      <c r="P1539" s="169" t="s">
        <v>283</v>
      </c>
      <c r="Q1539" s="169" t="s">
        <v>284</v>
      </c>
      <c r="R1539" s="169" t="s">
        <v>283</v>
      </c>
      <c r="S1539" s="169" t="s">
        <v>283</v>
      </c>
      <c r="T1539" s="169">
        <v>0</v>
      </c>
    </row>
    <row r="1540" spans="1:20" x14ac:dyDescent="0.2">
      <c r="A1540" s="169" t="str">
        <f t="shared" si="2"/>
        <v>642</v>
      </c>
      <c r="B1540" s="167" t="str">
        <f>_xlfn.XLOOKUP(I1540,Mapping!D:D,Mapping!E:E)</f>
        <v>Ban Giám Đốc</v>
      </c>
      <c r="C1540" s="167" t="str">
        <f>_xlfn.XLOOKUP(F1540,Mapping!A:A,Mapping!F:F)</f>
        <v>BHXH, BHYT, KPCĐ</v>
      </c>
      <c r="D1540" s="173">
        <v>45900</v>
      </c>
      <c r="E1540" s="169" t="s">
        <v>1002</v>
      </c>
      <c r="F1540" s="169" t="s">
        <v>295</v>
      </c>
      <c r="G1540" s="169" t="s">
        <v>296</v>
      </c>
      <c r="H1540" s="169" t="s">
        <v>276</v>
      </c>
      <c r="I1540" s="169" t="s">
        <v>277</v>
      </c>
      <c r="J1540" s="169" t="s">
        <v>1003</v>
      </c>
      <c r="K1540" s="169" t="s">
        <v>996</v>
      </c>
      <c r="L1540" s="169" t="s">
        <v>956</v>
      </c>
      <c r="M1540" s="169" t="s">
        <v>281</v>
      </c>
      <c r="N1540" s="178">
        <v>123859950</v>
      </c>
      <c r="O1540" s="169" t="s">
        <v>1004</v>
      </c>
      <c r="P1540" s="169" t="s">
        <v>283</v>
      </c>
      <c r="Q1540" s="169" t="s">
        <v>284</v>
      </c>
      <c r="R1540" s="169" t="s">
        <v>283</v>
      </c>
      <c r="S1540" s="169" t="s">
        <v>283</v>
      </c>
      <c r="T1540" s="169">
        <v>0</v>
      </c>
    </row>
    <row r="1541" spans="1:20" x14ac:dyDescent="0.2">
      <c r="A1541" s="169" t="str">
        <f t="shared" si="2"/>
        <v>642</v>
      </c>
      <c r="B1541" s="167" t="str">
        <f>_xlfn.XLOOKUP(I1541,Mapping!D:D,Mapping!E:E)</f>
        <v>Văn Phòng Giám Đốc</v>
      </c>
      <c r="C1541" s="167" t="str">
        <f>_xlfn.XLOOKUP(F1541,Mapping!A:A,Mapping!F:F)</f>
        <v>BHXH, BHYT, KPCĐ</v>
      </c>
      <c r="D1541" s="173">
        <v>45900</v>
      </c>
      <c r="E1541" s="169" t="s">
        <v>1002</v>
      </c>
      <c r="F1541" s="169" t="s">
        <v>295</v>
      </c>
      <c r="G1541" s="169" t="s">
        <v>296</v>
      </c>
      <c r="H1541" s="169" t="s">
        <v>320</v>
      </c>
      <c r="I1541" s="169" t="s">
        <v>321</v>
      </c>
      <c r="J1541" s="169" t="s">
        <v>1003</v>
      </c>
      <c r="K1541" s="169" t="s">
        <v>996</v>
      </c>
      <c r="L1541" s="169" t="s">
        <v>956</v>
      </c>
      <c r="M1541" s="169" t="s">
        <v>281</v>
      </c>
      <c r="N1541" s="178">
        <v>25643750</v>
      </c>
      <c r="O1541" s="169" t="s">
        <v>1004</v>
      </c>
      <c r="P1541" s="169" t="s">
        <v>283</v>
      </c>
      <c r="Q1541" s="169" t="s">
        <v>284</v>
      </c>
      <c r="R1541" s="169" t="s">
        <v>283</v>
      </c>
      <c r="S1541" s="169" t="s">
        <v>283</v>
      </c>
      <c r="T1541" s="169">
        <v>0</v>
      </c>
    </row>
    <row r="1542" spans="1:20" x14ac:dyDescent="0.2">
      <c r="A1542" s="169" t="str">
        <f t="shared" si="2"/>
        <v>642</v>
      </c>
      <c r="B1542" s="167" t="str">
        <f>_xlfn.XLOOKUP(I1542,Mapping!D:D,Mapping!E:E)</f>
        <v>Hành Chánh Nhân Sự</v>
      </c>
      <c r="C1542" s="167" t="str">
        <f>_xlfn.XLOOKUP(F1542,Mapping!A:A,Mapping!F:F)</f>
        <v>BHXH, BHYT, KPCĐ</v>
      </c>
      <c r="D1542" s="173">
        <v>45900</v>
      </c>
      <c r="E1542" s="169" t="s">
        <v>1002</v>
      </c>
      <c r="F1542" s="169" t="s">
        <v>295</v>
      </c>
      <c r="G1542" s="169" t="s">
        <v>296</v>
      </c>
      <c r="H1542" s="169" t="s">
        <v>301</v>
      </c>
      <c r="I1542" s="169" t="s">
        <v>302</v>
      </c>
      <c r="J1542" s="169" t="s">
        <v>1003</v>
      </c>
      <c r="K1542" s="169" t="s">
        <v>996</v>
      </c>
      <c r="L1542" s="169" t="s">
        <v>956</v>
      </c>
      <c r="M1542" s="169" t="s">
        <v>281</v>
      </c>
      <c r="N1542" s="178">
        <v>104072265</v>
      </c>
      <c r="O1542" s="169" t="s">
        <v>1004</v>
      </c>
      <c r="P1542" s="169" t="s">
        <v>283</v>
      </c>
      <c r="Q1542" s="169" t="s">
        <v>284</v>
      </c>
      <c r="R1542" s="169" t="s">
        <v>283</v>
      </c>
      <c r="S1542" s="169" t="s">
        <v>283</v>
      </c>
      <c r="T1542" s="169">
        <v>0</v>
      </c>
    </row>
    <row r="1543" spans="1:20" x14ac:dyDescent="0.2">
      <c r="A1543" s="169" t="str">
        <f t="shared" si="2"/>
        <v>642</v>
      </c>
      <c r="B1543" s="167" t="str">
        <f>_xlfn.XLOOKUP(I1543,Mapping!D:D,Mapping!E:E)</f>
        <v>Kế Toán</v>
      </c>
      <c r="C1543" s="167" t="str">
        <f>_xlfn.XLOOKUP(F1543,Mapping!A:A,Mapping!F:F)</f>
        <v>BHXH, BHYT, KPCĐ</v>
      </c>
      <c r="D1543" s="173">
        <v>45900</v>
      </c>
      <c r="E1543" s="169" t="s">
        <v>1002</v>
      </c>
      <c r="F1543" s="169" t="s">
        <v>295</v>
      </c>
      <c r="G1543" s="169" t="s">
        <v>296</v>
      </c>
      <c r="H1543" s="169" t="s">
        <v>356</v>
      </c>
      <c r="I1543" s="169" t="s">
        <v>357</v>
      </c>
      <c r="J1543" s="169" t="s">
        <v>1003</v>
      </c>
      <c r="K1543" s="169" t="s">
        <v>996</v>
      </c>
      <c r="L1543" s="169" t="s">
        <v>956</v>
      </c>
      <c r="M1543" s="169" t="s">
        <v>281</v>
      </c>
      <c r="N1543" s="178">
        <v>100057535</v>
      </c>
      <c r="O1543" s="169" t="s">
        <v>1004</v>
      </c>
      <c r="P1543" s="169" t="s">
        <v>283</v>
      </c>
      <c r="Q1543" s="169" t="s">
        <v>284</v>
      </c>
      <c r="R1543" s="169" t="s">
        <v>283</v>
      </c>
      <c r="S1543" s="169" t="s">
        <v>283</v>
      </c>
      <c r="T1543" s="169">
        <v>0</v>
      </c>
    </row>
    <row r="1544" spans="1:20" x14ac:dyDescent="0.2">
      <c r="A1544" s="169" t="str">
        <f t="shared" si="2"/>
        <v>641</v>
      </c>
      <c r="B1544" s="167" t="str">
        <f>_xlfn.XLOOKUP(I1544,Mapping!D:D,Mapping!E:E)</f>
        <v>Kinh doanh</v>
      </c>
      <c r="C1544" s="167" t="str">
        <f>_xlfn.XLOOKUP(F1544,Mapping!A:A,Mapping!F:F)</f>
        <v>BHXH, BHYT, KPCĐ</v>
      </c>
      <c r="D1544" s="173">
        <v>45900</v>
      </c>
      <c r="E1544" s="169" t="s">
        <v>1002</v>
      </c>
      <c r="F1544" s="169" t="s">
        <v>392</v>
      </c>
      <c r="G1544" s="169" t="s">
        <v>296</v>
      </c>
      <c r="H1544" s="169" t="s">
        <v>366</v>
      </c>
      <c r="I1544" s="169" t="s">
        <v>1</v>
      </c>
      <c r="J1544" s="169" t="s">
        <v>1003</v>
      </c>
      <c r="K1544" s="169" t="s">
        <v>996</v>
      </c>
      <c r="L1544" s="169" t="s">
        <v>956</v>
      </c>
      <c r="M1544" s="169" t="s">
        <v>281</v>
      </c>
      <c r="N1544" s="178">
        <v>56494945</v>
      </c>
      <c r="O1544" s="169" t="s">
        <v>1004</v>
      </c>
      <c r="P1544" s="169" t="s">
        <v>283</v>
      </c>
      <c r="Q1544" s="169" t="s">
        <v>284</v>
      </c>
      <c r="R1544" s="169" t="s">
        <v>283</v>
      </c>
      <c r="S1544" s="169" t="s">
        <v>283</v>
      </c>
      <c r="T1544" s="169">
        <v>0</v>
      </c>
    </row>
    <row r="1545" spans="1:20" x14ac:dyDescent="0.2">
      <c r="A1545" s="169" t="str">
        <f t="shared" si="2"/>
        <v>642</v>
      </c>
      <c r="B1545" s="167" t="str">
        <f>_xlfn.XLOOKUP(I1545,Mapping!D:D,Mapping!E:E)</f>
        <v>Cung Ứng</v>
      </c>
      <c r="C1545" s="167" t="str">
        <f>_xlfn.XLOOKUP(F1545,Mapping!A:A,Mapping!F:F)</f>
        <v>BHXH, BHYT, KPCĐ</v>
      </c>
      <c r="D1545" s="173">
        <v>45900</v>
      </c>
      <c r="E1545" s="169" t="s">
        <v>1002</v>
      </c>
      <c r="F1545" s="169" t="s">
        <v>295</v>
      </c>
      <c r="G1545" s="169" t="s">
        <v>296</v>
      </c>
      <c r="H1545" s="169" t="s">
        <v>380</v>
      </c>
      <c r="I1545" s="169" t="s">
        <v>381</v>
      </c>
      <c r="J1545" s="169" t="s">
        <v>1003</v>
      </c>
      <c r="K1545" s="169" t="s">
        <v>996</v>
      </c>
      <c r="L1545" s="169" t="s">
        <v>956</v>
      </c>
      <c r="M1545" s="169" t="s">
        <v>281</v>
      </c>
      <c r="N1545" s="178">
        <v>111458385</v>
      </c>
      <c r="O1545" s="169" t="s">
        <v>1004</v>
      </c>
      <c r="P1545" s="169" t="s">
        <v>283</v>
      </c>
      <c r="Q1545" s="169" t="s">
        <v>284</v>
      </c>
      <c r="R1545" s="169" t="s">
        <v>283</v>
      </c>
      <c r="S1545" s="169" t="s">
        <v>283</v>
      </c>
      <c r="T1545" s="169">
        <v>0</v>
      </c>
    </row>
    <row r="1546" spans="1:20" x14ac:dyDescent="0.2">
      <c r="A1546" s="169" t="str">
        <f t="shared" si="2"/>
        <v>642</v>
      </c>
      <c r="B1546" s="167" t="str">
        <f>_xlfn.XLOOKUP(I1546,Mapping!D:D,Mapping!E:E)</f>
        <v>Mua Hàng &amp; XNK</v>
      </c>
      <c r="C1546" s="167" t="str">
        <f>_xlfn.XLOOKUP(F1546,Mapping!A:A,Mapping!F:F)</f>
        <v>BHXH, BHYT, KPCĐ</v>
      </c>
      <c r="D1546" s="173">
        <v>45900</v>
      </c>
      <c r="E1546" s="169" t="s">
        <v>1002</v>
      </c>
      <c r="F1546" s="169" t="s">
        <v>295</v>
      </c>
      <c r="G1546" s="169" t="s">
        <v>296</v>
      </c>
      <c r="H1546" s="169" t="s">
        <v>378</v>
      </c>
      <c r="I1546" s="169" t="s">
        <v>379</v>
      </c>
      <c r="J1546" s="169" t="s">
        <v>1003</v>
      </c>
      <c r="K1546" s="169" t="s">
        <v>996</v>
      </c>
      <c r="L1546" s="169" t="s">
        <v>956</v>
      </c>
      <c r="M1546" s="169" t="s">
        <v>281</v>
      </c>
      <c r="N1546" s="178">
        <v>30675255</v>
      </c>
      <c r="O1546" s="169" t="s">
        <v>1004</v>
      </c>
      <c r="P1546" s="169" t="s">
        <v>283</v>
      </c>
      <c r="Q1546" s="169" t="s">
        <v>284</v>
      </c>
      <c r="R1546" s="169" t="s">
        <v>283</v>
      </c>
      <c r="S1546" s="169" t="s">
        <v>283</v>
      </c>
      <c r="T1546" s="169">
        <v>0</v>
      </c>
    </row>
    <row r="1547" spans="1:20" x14ac:dyDescent="0.2">
      <c r="A1547" s="169" t="str">
        <f t="shared" si="2"/>
        <v>627</v>
      </c>
      <c r="B1547" s="167" t="str">
        <f>_xlfn.XLOOKUP(I1547,Mapping!D:D,Mapping!E:E)</f>
        <v>Kỹ Thuật</v>
      </c>
      <c r="C1547" s="167" t="str">
        <f>_xlfn.XLOOKUP(F1547,Mapping!A:A,Mapping!F:F)</f>
        <v>BHXH, BHYT, KPCĐ</v>
      </c>
      <c r="D1547" s="173">
        <v>45900</v>
      </c>
      <c r="E1547" s="169" t="s">
        <v>1002</v>
      </c>
      <c r="F1547" s="169" t="s">
        <v>393</v>
      </c>
      <c r="G1547" s="169" t="s">
        <v>296</v>
      </c>
      <c r="H1547" s="169" t="s">
        <v>376</v>
      </c>
      <c r="I1547" s="169" t="s">
        <v>377</v>
      </c>
      <c r="J1547" s="169" t="s">
        <v>1003</v>
      </c>
      <c r="K1547" s="169" t="s">
        <v>996</v>
      </c>
      <c r="L1547" s="169" t="s">
        <v>956</v>
      </c>
      <c r="M1547" s="169" t="s">
        <v>281</v>
      </c>
      <c r="N1547" s="178">
        <v>246678770</v>
      </c>
      <c r="O1547" s="169" t="s">
        <v>1004</v>
      </c>
      <c r="P1547" s="169" t="s">
        <v>283</v>
      </c>
      <c r="Q1547" s="169" t="s">
        <v>284</v>
      </c>
      <c r="R1547" s="169" t="s">
        <v>283</v>
      </c>
      <c r="S1547" s="169" t="s">
        <v>283</v>
      </c>
      <c r="T1547" s="169">
        <v>0</v>
      </c>
    </row>
    <row r="1548" spans="1:20" x14ac:dyDescent="0.2">
      <c r="A1548" s="169" t="str">
        <f t="shared" si="2"/>
        <v>627</v>
      </c>
      <c r="B1548" s="167" t="str">
        <f>_xlfn.XLOOKUP(I1548,Mapping!D:D,Mapping!E:E)</f>
        <v>Kiểm Soát Chất Lượng</v>
      </c>
      <c r="C1548" s="167" t="str">
        <f>_xlfn.XLOOKUP(F1548,Mapping!A:A,Mapping!F:F)</f>
        <v>BHXH, BHYT, KPCĐ</v>
      </c>
      <c r="D1548" s="173">
        <v>45900</v>
      </c>
      <c r="E1548" s="169" t="s">
        <v>1002</v>
      </c>
      <c r="F1548" s="169" t="s">
        <v>393</v>
      </c>
      <c r="G1548" s="169" t="s">
        <v>296</v>
      </c>
      <c r="H1548" s="169" t="s">
        <v>411</v>
      </c>
      <c r="I1548" s="169" t="s">
        <v>412</v>
      </c>
      <c r="J1548" s="169" t="s">
        <v>1003</v>
      </c>
      <c r="K1548" s="169" t="s">
        <v>996</v>
      </c>
      <c r="L1548" s="169" t="s">
        <v>956</v>
      </c>
      <c r="M1548" s="169" t="s">
        <v>281</v>
      </c>
      <c r="N1548" s="178">
        <v>104897655</v>
      </c>
      <c r="O1548" s="169" t="s">
        <v>1004</v>
      </c>
      <c r="P1548" s="169" t="s">
        <v>283</v>
      </c>
      <c r="Q1548" s="169" t="s">
        <v>284</v>
      </c>
      <c r="R1548" s="169" t="s">
        <v>283</v>
      </c>
      <c r="S1548" s="169" t="s">
        <v>283</v>
      </c>
      <c r="T1548" s="169">
        <v>0</v>
      </c>
    </row>
    <row r="1549" spans="1:20" x14ac:dyDescent="0.2">
      <c r="A1549" s="169" t="str">
        <f t="shared" si="2"/>
        <v>627</v>
      </c>
      <c r="B1549" s="167" t="str">
        <f>_xlfn.XLOOKUP(I1549,Mapping!D:D,Mapping!E:E)</f>
        <v>Nghiên Cứu &amp; Phát Triển</v>
      </c>
      <c r="C1549" s="167" t="str">
        <f>_xlfn.XLOOKUP(F1549,Mapping!A:A,Mapping!F:F)</f>
        <v>BHXH, BHYT, KPCĐ</v>
      </c>
      <c r="D1549" s="173">
        <v>45900</v>
      </c>
      <c r="E1549" s="169" t="s">
        <v>1002</v>
      </c>
      <c r="F1549" s="169" t="s">
        <v>393</v>
      </c>
      <c r="G1549" s="169" t="s">
        <v>296</v>
      </c>
      <c r="H1549" s="169" t="s">
        <v>418</v>
      </c>
      <c r="I1549" s="169" t="s">
        <v>419</v>
      </c>
      <c r="J1549" s="169" t="s">
        <v>1003</v>
      </c>
      <c r="K1549" s="169" t="s">
        <v>996</v>
      </c>
      <c r="L1549" s="169" t="s">
        <v>956</v>
      </c>
      <c r="M1549" s="169" t="s">
        <v>281</v>
      </c>
      <c r="N1549" s="178">
        <v>27507500</v>
      </c>
      <c r="O1549" s="169" t="s">
        <v>1004</v>
      </c>
      <c r="P1549" s="169" t="s">
        <v>283</v>
      </c>
      <c r="Q1549" s="169" t="s">
        <v>284</v>
      </c>
      <c r="R1549" s="169" t="s">
        <v>283</v>
      </c>
      <c r="S1549" s="169" t="s">
        <v>283</v>
      </c>
      <c r="T1549" s="169">
        <v>0</v>
      </c>
    </row>
    <row r="1550" spans="1:20" x14ac:dyDescent="0.2">
      <c r="A1550" s="169" t="str">
        <f t="shared" si="2"/>
        <v>622</v>
      </c>
      <c r="B1550" s="167" t="str">
        <f>_xlfn.XLOOKUP(I1550,Mapping!D:D,Mapping!E:E)</f>
        <v>Xưởng Sản Xuất</v>
      </c>
      <c r="C1550" s="167" t="str">
        <f>_xlfn.XLOOKUP(F1550,Mapping!A:A,Mapping!F:F)</f>
        <v>BHXH, BHYT, KPCĐ</v>
      </c>
      <c r="D1550" s="173">
        <v>45900</v>
      </c>
      <c r="E1550" s="169" t="s">
        <v>1002</v>
      </c>
      <c r="F1550" s="169" t="s">
        <v>425</v>
      </c>
      <c r="G1550" s="169" t="s">
        <v>296</v>
      </c>
      <c r="H1550" s="169" t="s">
        <v>402</v>
      </c>
      <c r="I1550" s="169" t="s">
        <v>403</v>
      </c>
      <c r="J1550" s="169" t="s">
        <v>1003</v>
      </c>
      <c r="K1550" s="169" t="s">
        <v>996</v>
      </c>
      <c r="L1550" s="169" t="s">
        <v>956</v>
      </c>
      <c r="M1550" s="169" t="s">
        <v>281</v>
      </c>
      <c r="N1550" s="178">
        <v>261770985</v>
      </c>
      <c r="O1550" s="169" t="s">
        <v>1004</v>
      </c>
      <c r="P1550" s="169" t="s">
        <v>283</v>
      </c>
      <c r="Q1550" s="169" t="s">
        <v>284</v>
      </c>
      <c r="R1550" s="169" t="s">
        <v>283</v>
      </c>
      <c r="S1550" s="169" t="s">
        <v>283</v>
      </c>
      <c r="T1550" s="169">
        <v>0</v>
      </c>
    </row>
    <row r="1551" spans="1:20" x14ac:dyDescent="0.2">
      <c r="A1551" s="169" t="str">
        <f t="shared" si="2"/>
        <v>627</v>
      </c>
      <c r="B1551" s="167" t="str">
        <f>_xlfn.XLOOKUP(I1551,Mapping!D:D,Mapping!E:E)</f>
        <v>Xưởng Sản Xuất</v>
      </c>
      <c r="C1551" s="167" t="str">
        <f>_xlfn.XLOOKUP(F1551,Mapping!A:A,Mapping!F:F)</f>
        <v>BHXH, BHYT, KPCĐ</v>
      </c>
      <c r="D1551" s="173">
        <v>45900</v>
      </c>
      <c r="E1551" s="169" t="s">
        <v>1002</v>
      </c>
      <c r="F1551" s="169" t="s">
        <v>393</v>
      </c>
      <c r="G1551" s="169" t="s">
        <v>296</v>
      </c>
      <c r="H1551" s="169" t="s">
        <v>402</v>
      </c>
      <c r="I1551" s="169" t="s">
        <v>403</v>
      </c>
      <c r="J1551" s="169" t="s">
        <v>1003</v>
      </c>
      <c r="K1551" s="169" t="s">
        <v>996</v>
      </c>
      <c r="L1551" s="169" t="s">
        <v>956</v>
      </c>
      <c r="M1551" s="169" t="s">
        <v>281</v>
      </c>
      <c r="N1551" s="178">
        <v>88264245</v>
      </c>
      <c r="O1551" s="169" t="s">
        <v>1004</v>
      </c>
      <c r="P1551" s="169" t="s">
        <v>283</v>
      </c>
      <c r="Q1551" s="169" t="s">
        <v>284</v>
      </c>
      <c r="R1551" s="169" t="s">
        <v>283</v>
      </c>
      <c r="S1551" s="169" t="s">
        <v>283</v>
      </c>
      <c r="T1551" s="169">
        <v>0</v>
      </c>
    </row>
    <row r="1552" spans="1:20" x14ac:dyDescent="0.2">
      <c r="A1552" s="169" t="str">
        <f t="shared" si="2"/>
        <v>622</v>
      </c>
      <c r="B1552" s="167" t="str">
        <f>_xlfn.XLOOKUP(I1552,Mapping!D:D,Mapping!E:E)</f>
        <v>Xưởng Sản Xuất</v>
      </c>
      <c r="C1552" s="167" t="str">
        <f>_xlfn.XLOOKUP(F1552,Mapping!A:A,Mapping!F:F)</f>
        <v>BHXH, BHYT, KPCĐ</v>
      </c>
      <c r="D1552" s="173">
        <v>45900</v>
      </c>
      <c r="E1552" s="169" t="s">
        <v>1002</v>
      </c>
      <c r="F1552" s="169" t="s">
        <v>425</v>
      </c>
      <c r="G1552" s="169" t="s">
        <v>296</v>
      </c>
      <c r="H1552" s="169" t="s">
        <v>430</v>
      </c>
      <c r="I1552" s="169" t="s">
        <v>431</v>
      </c>
      <c r="J1552" s="169" t="s">
        <v>1003</v>
      </c>
      <c r="K1552" s="169" t="s">
        <v>996</v>
      </c>
      <c r="L1552" s="169" t="s">
        <v>956</v>
      </c>
      <c r="M1552" s="169" t="s">
        <v>281</v>
      </c>
      <c r="N1552" s="178">
        <v>49169345</v>
      </c>
      <c r="O1552" s="169" t="s">
        <v>1004</v>
      </c>
      <c r="P1552" s="169" t="s">
        <v>283</v>
      </c>
      <c r="Q1552" s="169" t="s">
        <v>284</v>
      </c>
      <c r="R1552" s="169" t="s">
        <v>283</v>
      </c>
      <c r="S1552" s="169" t="s">
        <v>283</v>
      </c>
      <c r="T1552" s="169">
        <v>0</v>
      </c>
    </row>
    <row r="1553" spans="1:20" x14ac:dyDescent="0.2">
      <c r="A1553" s="169" t="str">
        <f t="shared" si="2"/>
        <v>627</v>
      </c>
      <c r="B1553" s="167" t="str">
        <f>_xlfn.XLOOKUP(I1553,Mapping!D:D,Mapping!E:E)</f>
        <v>Xưởng Sản Xuất</v>
      </c>
      <c r="C1553" s="167" t="str">
        <f>_xlfn.XLOOKUP(F1553,Mapping!A:A,Mapping!F:F)</f>
        <v>BHXH, BHYT, KPCĐ</v>
      </c>
      <c r="D1553" s="173">
        <v>45900</v>
      </c>
      <c r="E1553" s="169" t="s">
        <v>1002</v>
      </c>
      <c r="F1553" s="169" t="s">
        <v>393</v>
      </c>
      <c r="G1553" s="169" t="s">
        <v>296</v>
      </c>
      <c r="H1553" s="169" t="s">
        <v>430</v>
      </c>
      <c r="I1553" s="169" t="s">
        <v>431</v>
      </c>
      <c r="J1553" s="169" t="s">
        <v>1003</v>
      </c>
      <c r="K1553" s="169" t="s">
        <v>996</v>
      </c>
      <c r="L1553" s="169" t="s">
        <v>956</v>
      </c>
      <c r="M1553" s="169" t="s">
        <v>281</v>
      </c>
      <c r="N1553" s="178">
        <v>32155695</v>
      </c>
      <c r="O1553" s="169" t="s">
        <v>1004</v>
      </c>
      <c r="P1553" s="169" t="s">
        <v>283</v>
      </c>
      <c r="Q1553" s="169" t="s">
        <v>284</v>
      </c>
      <c r="R1553" s="169" t="s">
        <v>283</v>
      </c>
      <c r="S1553" s="169" t="s">
        <v>283</v>
      </c>
      <c r="T1553" s="169">
        <v>0</v>
      </c>
    </row>
    <row r="1554" spans="1:20" x14ac:dyDescent="0.2">
      <c r="A1554" s="169" t="str">
        <f t="shared" si="2"/>
        <v>627</v>
      </c>
      <c r="B1554" s="167" t="str">
        <f>_xlfn.XLOOKUP(I1554,Mapping!D:D,Mapping!E:E)</f>
        <v>Xưởng Sản Xuất</v>
      </c>
      <c r="C1554" s="167" t="str">
        <f>_xlfn.XLOOKUP(F1554,Mapping!A:A,Mapping!F:F)</f>
        <v>BHXH, BHYT, KPCĐ</v>
      </c>
      <c r="D1554" s="173">
        <v>45900</v>
      </c>
      <c r="E1554" s="169" t="s">
        <v>1002</v>
      </c>
      <c r="F1554" s="169" t="s">
        <v>393</v>
      </c>
      <c r="G1554" s="169" t="s">
        <v>296</v>
      </c>
      <c r="H1554" s="169" t="s">
        <v>436</v>
      </c>
      <c r="I1554" s="169" t="s">
        <v>437</v>
      </c>
      <c r="J1554" s="169" t="s">
        <v>1003</v>
      </c>
      <c r="K1554" s="169" t="s">
        <v>996</v>
      </c>
      <c r="L1554" s="169" t="s">
        <v>956</v>
      </c>
      <c r="M1554" s="169" t="s">
        <v>281</v>
      </c>
      <c r="N1554" s="178">
        <v>57097860</v>
      </c>
      <c r="O1554" s="169" t="s">
        <v>1004</v>
      </c>
      <c r="P1554" s="169" t="s">
        <v>283</v>
      </c>
      <c r="Q1554" s="169" t="s">
        <v>284</v>
      </c>
      <c r="R1554" s="169" t="s">
        <v>283</v>
      </c>
      <c r="S1554" s="169" t="s">
        <v>283</v>
      </c>
      <c r="T1554" s="169">
        <v>0</v>
      </c>
    </row>
    <row r="1555" spans="1:20" x14ac:dyDescent="0.2">
      <c r="A1555" s="169" t="str">
        <f t="shared" si="2"/>
        <v>642</v>
      </c>
      <c r="B1555" s="167" t="str">
        <f>_xlfn.XLOOKUP(I1555,Mapping!D:D,Mapping!E:E)</f>
        <v>Hành Chánh Nhân Sự</v>
      </c>
      <c r="C1555" s="167" t="str">
        <f>_xlfn.XLOOKUP(F1555,Mapping!A:A,Mapping!F:F)</f>
        <v>BHXH, BHYT, KPCĐ</v>
      </c>
      <c r="D1555" s="173">
        <v>45900</v>
      </c>
      <c r="E1555" s="169" t="s">
        <v>1002</v>
      </c>
      <c r="F1555" s="169" t="s">
        <v>295</v>
      </c>
      <c r="G1555" s="169" t="s">
        <v>296</v>
      </c>
      <c r="H1555" s="169" t="s">
        <v>382</v>
      </c>
      <c r="I1555" s="169" t="s">
        <v>200</v>
      </c>
      <c r="J1555" s="169" t="s">
        <v>1003</v>
      </c>
      <c r="K1555" s="169" t="s">
        <v>996</v>
      </c>
      <c r="L1555" s="169" t="s">
        <v>956</v>
      </c>
      <c r="M1555" s="169" t="s">
        <v>281</v>
      </c>
      <c r="N1555" s="178">
        <v>17467785</v>
      </c>
      <c r="O1555" s="169" t="s">
        <v>1004</v>
      </c>
      <c r="P1555" s="169" t="s">
        <v>283</v>
      </c>
      <c r="Q1555" s="169" t="s">
        <v>284</v>
      </c>
      <c r="R1555" s="169" t="s">
        <v>283</v>
      </c>
      <c r="S1555" s="169" t="s">
        <v>283</v>
      </c>
      <c r="T1555" s="169">
        <v>0</v>
      </c>
    </row>
    <row r="1556" spans="1:20" x14ac:dyDescent="0.2">
      <c r="A1556" s="169" t="str">
        <f t="shared" si="2"/>
        <v>642</v>
      </c>
      <c r="B1556" s="167" t="str">
        <f>_xlfn.XLOOKUP(I1556,Mapping!D:D,Mapping!E:E)</f>
        <v>Hành Chánh Nhân Sự</v>
      </c>
      <c r="C1556" s="167" t="str">
        <f>_xlfn.XLOOKUP(F1556,Mapping!A:A,Mapping!F:F)</f>
        <v>BHXH, BHYT, KPCĐ</v>
      </c>
      <c r="D1556" s="173">
        <v>45900</v>
      </c>
      <c r="E1556" s="169" t="s">
        <v>1002</v>
      </c>
      <c r="F1556" s="169" t="s">
        <v>295</v>
      </c>
      <c r="G1556" s="169" t="s">
        <v>296</v>
      </c>
      <c r="H1556" s="169" t="s">
        <v>358</v>
      </c>
      <c r="I1556" s="169" t="s">
        <v>359</v>
      </c>
      <c r="J1556" s="169" t="s">
        <v>1003</v>
      </c>
      <c r="K1556" s="169" t="s">
        <v>996</v>
      </c>
      <c r="L1556" s="169" t="s">
        <v>956</v>
      </c>
      <c r="M1556" s="169" t="s">
        <v>281</v>
      </c>
      <c r="N1556" s="178">
        <v>23880230</v>
      </c>
      <c r="O1556" s="169" t="s">
        <v>1004</v>
      </c>
      <c r="P1556" s="169" t="s">
        <v>283</v>
      </c>
      <c r="Q1556" s="169" t="s">
        <v>284</v>
      </c>
      <c r="R1556" s="169" t="s">
        <v>283</v>
      </c>
      <c r="S1556" s="169" t="s">
        <v>283</v>
      </c>
      <c r="T1556" s="169">
        <v>0</v>
      </c>
    </row>
    <row r="1557" spans="1:20" x14ac:dyDescent="0.2">
      <c r="A1557" s="169" t="str">
        <f t="shared" si="2"/>
        <v>622</v>
      </c>
      <c r="B1557" s="167" t="str">
        <f>_xlfn.XLOOKUP(I1557,Mapping!D:D,Mapping!E:E)</f>
        <v>Xưởng Sản Xuất</v>
      </c>
      <c r="C1557" s="167" t="str">
        <f>_xlfn.XLOOKUP(F1557,Mapping!A:A,Mapping!F:F)</f>
        <v>BHXH, BHYT, KPCĐ</v>
      </c>
      <c r="D1557" s="173">
        <v>45900</v>
      </c>
      <c r="E1557" s="169" t="s">
        <v>1002</v>
      </c>
      <c r="F1557" s="169" t="s">
        <v>425</v>
      </c>
      <c r="G1557" s="169" t="s">
        <v>296</v>
      </c>
      <c r="H1557" s="169" t="s">
        <v>441</v>
      </c>
      <c r="I1557" s="169" t="s">
        <v>442</v>
      </c>
      <c r="J1557" s="169" t="s">
        <v>1003</v>
      </c>
      <c r="K1557" s="169" t="s">
        <v>996</v>
      </c>
      <c r="L1557" s="169" t="s">
        <v>956</v>
      </c>
      <c r="M1557" s="169" t="s">
        <v>281</v>
      </c>
      <c r="N1557" s="178">
        <v>1308480</v>
      </c>
      <c r="O1557" s="169" t="s">
        <v>1004</v>
      </c>
      <c r="P1557" s="169" t="s">
        <v>283</v>
      </c>
      <c r="Q1557" s="169" t="s">
        <v>284</v>
      </c>
      <c r="R1557" s="169" t="s">
        <v>283</v>
      </c>
      <c r="S1557" s="169" t="s">
        <v>283</v>
      </c>
      <c r="T1557" s="169">
        <v>0</v>
      </c>
    </row>
    <row r="1558" spans="1:20" x14ac:dyDescent="0.2">
      <c r="A1558" s="169" t="str">
        <f t="shared" si="2"/>
        <v>642</v>
      </c>
      <c r="B1558" s="167" t="str">
        <f>_xlfn.XLOOKUP(I1558,Mapping!D:D,Mapping!E:E)</f>
        <v>Hành Chánh Nhân Sự</v>
      </c>
      <c r="C1558" s="167" t="str">
        <f>_xlfn.XLOOKUP(F1558,Mapping!A:A,Mapping!F:F)</f>
        <v>Lương Chính +T13</v>
      </c>
      <c r="D1558" s="173">
        <v>45900</v>
      </c>
      <c r="E1558" s="169" t="s">
        <v>1005</v>
      </c>
      <c r="F1558" s="169" t="s">
        <v>274</v>
      </c>
      <c r="G1558" s="169" t="s">
        <v>275</v>
      </c>
      <c r="H1558" s="169" t="s">
        <v>301</v>
      </c>
      <c r="I1558" s="169" t="s">
        <v>302</v>
      </c>
      <c r="J1558" s="169" t="s">
        <v>1006</v>
      </c>
      <c r="K1558" s="169" t="s">
        <v>328</v>
      </c>
      <c r="L1558" s="169" t="s">
        <v>956</v>
      </c>
      <c r="M1558" s="169" t="s">
        <v>281</v>
      </c>
      <c r="N1558" s="178">
        <v>96820000</v>
      </c>
      <c r="O1558" s="169" t="s">
        <v>1007</v>
      </c>
      <c r="P1558" s="169" t="s">
        <v>283</v>
      </c>
      <c r="Q1558" s="169" t="s">
        <v>306</v>
      </c>
      <c r="R1558" s="169" t="s">
        <v>283</v>
      </c>
      <c r="S1558" s="169" t="s">
        <v>283</v>
      </c>
      <c r="T1558" s="169">
        <v>0</v>
      </c>
    </row>
    <row r="1559" spans="1:20" x14ac:dyDescent="0.2">
      <c r="A1559" s="169" t="str">
        <f t="shared" si="2"/>
        <v>642</v>
      </c>
      <c r="B1559" s="167" t="str">
        <f>_xlfn.XLOOKUP(I1559,Mapping!D:D,Mapping!E:E)</f>
        <v>Hành Chánh Nhân Sự</v>
      </c>
      <c r="C1559" s="167" t="str">
        <f>_xlfn.XLOOKUP(F1559,Mapping!A:A,Mapping!F:F)</f>
        <v>Khen thưởng BD khác</v>
      </c>
      <c r="D1559" s="173">
        <v>45899</v>
      </c>
      <c r="E1559" s="169" t="s">
        <v>1008</v>
      </c>
      <c r="F1559" s="169" t="s">
        <v>300</v>
      </c>
      <c r="G1559" s="169" t="s">
        <v>222</v>
      </c>
      <c r="H1559" s="169" t="s">
        <v>301</v>
      </c>
      <c r="I1559" s="169" t="s">
        <v>302</v>
      </c>
      <c r="J1559" s="169" t="s">
        <v>1009</v>
      </c>
      <c r="K1559" s="169" t="s">
        <v>1010</v>
      </c>
      <c r="L1559" s="169" t="s">
        <v>956</v>
      </c>
      <c r="M1559" s="169" t="s">
        <v>281</v>
      </c>
      <c r="N1559" s="178">
        <v>6000000</v>
      </c>
      <c r="O1559" s="169" t="s">
        <v>1011</v>
      </c>
      <c r="P1559" s="169" t="s">
        <v>283</v>
      </c>
      <c r="Q1559" s="169" t="s">
        <v>306</v>
      </c>
      <c r="R1559" s="169" t="s">
        <v>283</v>
      </c>
      <c r="S1559" s="169" t="s">
        <v>283</v>
      </c>
      <c r="T1559" s="169">
        <v>0</v>
      </c>
    </row>
    <row r="1560" spans="1:20" x14ac:dyDescent="0.2">
      <c r="A1560" s="169" t="str">
        <f t="shared" si="2"/>
        <v>627</v>
      </c>
      <c r="B1560" s="167" t="str">
        <f>_xlfn.XLOOKUP(I1560,Mapping!D:D,Mapping!E:E)</f>
        <v>Kiểm Soát Chất Lượng</v>
      </c>
      <c r="C1560" s="167" t="str">
        <f>_xlfn.XLOOKUP(F1560,Mapping!A:A,Mapping!F:F)</f>
        <v>BHXH, BHYT, KPCĐ</v>
      </c>
      <c r="D1560" s="173">
        <v>45900</v>
      </c>
      <c r="E1560" s="169" t="s">
        <v>1012</v>
      </c>
      <c r="F1560" s="169" t="s">
        <v>393</v>
      </c>
      <c r="G1560" s="169" t="s">
        <v>296</v>
      </c>
      <c r="H1560" s="169" t="s">
        <v>411</v>
      </c>
      <c r="I1560" s="169" t="s">
        <v>412</v>
      </c>
      <c r="J1560" s="169" t="s">
        <v>1003</v>
      </c>
      <c r="K1560" s="169" t="s">
        <v>996</v>
      </c>
      <c r="L1560" s="169" t="s">
        <v>956</v>
      </c>
      <c r="M1560" s="169" t="s">
        <v>281</v>
      </c>
      <c r="N1560" s="178">
        <v>1527500</v>
      </c>
      <c r="O1560" s="169" t="s">
        <v>1013</v>
      </c>
      <c r="P1560" s="169" t="s">
        <v>283</v>
      </c>
      <c r="Q1560" s="169" t="s">
        <v>284</v>
      </c>
      <c r="R1560" s="169" t="s">
        <v>283</v>
      </c>
      <c r="S1560" s="169" t="s">
        <v>283</v>
      </c>
      <c r="T1560" s="169">
        <v>0</v>
      </c>
    </row>
    <row r="1561" spans="1:20" x14ac:dyDescent="0.2">
      <c r="A1561" s="169" t="str">
        <f t="shared" si="2"/>
        <v>627</v>
      </c>
      <c r="B1561" s="167" t="str">
        <f>_xlfn.XLOOKUP(I1561,Mapping!D:D,Mapping!E:E)</f>
        <v>Xưởng Sản Xuất</v>
      </c>
      <c r="C1561" s="167" t="str">
        <f>_xlfn.XLOOKUP(F1561,Mapping!A:A,Mapping!F:F)</f>
        <v>BHXH, BHYT, KPCĐ</v>
      </c>
      <c r="D1561" s="173">
        <v>45900</v>
      </c>
      <c r="E1561" s="169" t="s">
        <v>1012</v>
      </c>
      <c r="F1561" s="169" t="s">
        <v>393</v>
      </c>
      <c r="G1561" s="169" t="s">
        <v>296</v>
      </c>
      <c r="H1561" s="169" t="s">
        <v>436</v>
      </c>
      <c r="I1561" s="169" t="s">
        <v>437</v>
      </c>
      <c r="J1561" s="169" t="s">
        <v>1003</v>
      </c>
      <c r="K1561" s="169" t="s">
        <v>996</v>
      </c>
      <c r="L1561" s="169" t="s">
        <v>956</v>
      </c>
      <c r="M1561" s="169" t="s">
        <v>281</v>
      </c>
      <c r="N1561" s="178">
        <v>1198500</v>
      </c>
      <c r="O1561" s="169" t="s">
        <v>1013</v>
      </c>
      <c r="P1561" s="169" t="s">
        <v>283</v>
      </c>
      <c r="Q1561" s="169" t="s">
        <v>284</v>
      </c>
      <c r="R1561" s="169" t="s">
        <v>283</v>
      </c>
      <c r="S1561" s="169" t="s">
        <v>283</v>
      </c>
      <c r="T1561" s="169">
        <v>0</v>
      </c>
    </row>
    <row r="1562" spans="1:20" x14ac:dyDescent="0.2">
      <c r="A1562" s="169" t="str">
        <f t="shared" si="2"/>
        <v>622</v>
      </c>
      <c r="B1562" s="167" t="str">
        <f>_xlfn.XLOOKUP(I1562,Mapping!D:D,Mapping!E:E)</f>
        <v>Xưởng Sản Xuất</v>
      </c>
      <c r="C1562" s="167" t="str">
        <f>_xlfn.XLOOKUP(F1562,Mapping!A:A,Mapping!F:F)</f>
        <v>BHXH, BHYT, KPCĐ</v>
      </c>
      <c r="D1562" s="173">
        <v>45900</v>
      </c>
      <c r="E1562" s="169" t="s">
        <v>1012</v>
      </c>
      <c r="F1562" s="169" t="s">
        <v>425</v>
      </c>
      <c r="G1562" s="169" t="s">
        <v>296</v>
      </c>
      <c r="H1562" s="169" t="s">
        <v>430</v>
      </c>
      <c r="I1562" s="169" t="s">
        <v>431</v>
      </c>
      <c r="J1562" s="169" t="s">
        <v>1003</v>
      </c>
      <c r="K1562" s="169" t="s">
        <v>996</v>
      </c>
      <c r="L1562" s="169" t="s">
        <v>956</v>
      </c>
      <c r="M1562" s="169" t="s">
        <v>281</v>
      </c>
      <c r="N1562" s="178">
        <v>1198500</v>
      </c>
      <c r="O1562" s="169" t="s">
        <v>1013</v>
      </c>
      <c r="P1562" s="169" t="s">
        <v>283</v>
      </c>
      <c r="Q1562" s="169" t="s">
        <v>284</v>
      </c>
      <c r="R1562" s="169" t="s">
        <v>283</v>
      </c>
      <c r="S1562" s="169" t="s">
        <v>283</v>
      </c>
      <c r="T1562" s="169">
        <v>0</v>
      </c>
    </row>
    <row r="1563" spans="1:20" x14ac:dyDescent="0.2">
      <c r="A1563" s="169" t="str">
        <f t="shared" si="2"/>
        <v>627</v>
      </c>
      <c r="B1563" s="167" t="str">
        <f>_xlfn.XLOOKUP(I1563,Mapping!D:D,Mapping!E:E)</f>
        <v>Xưởng Sản Xuất</v>
      </c>
      <c r="C1563" s="167" t="str">
        <f>_xlfn.XLOOKUP(F1563,Mapping!A:A,Mapping!F:F)</f>
        <v>Lương Chính +T13</v>
      </c>
      <c r="D1563" s="173">
        <v>45900</v>
      </c>
      <c r="E1563" s="169" t="s">
        <v>1014</v>
      </c>
      <c r="F1563" s="169" t="s">
        <v>387</v>
      </c>
      <c r="G1563" s="169" t="s">
        <v>275</v>
      </c>
      <c r="H1563" s="169" t="s">
        <v>402</v>
      </c>
      <c r="I1563" s="169" t="s">
        <v>403</v>
      </c>
      <c r="J1563" s="169" t="s">
        <v>1015</v>
      </c>
      <c r="K1563" s="169" t="s">
        <v>996</v>
      </c>
      <c r="L1563" s="169" t="s">
        <v>956</v>
      </c>
      <c r="M1563" s="169" t="s">
        <v>281</v>
      </c>
      <c r="N1563" s="178">
        <v>1592167</v>
      </c>
      <c r="O1563" s="169" t="s">
        <v>1016</v>
      </c>
      <c r="P1563" s="169" t="s">
        <v>283</v>
      </c>
      <c r="Q1563" s="169" t="s">
        <v>284</v>
      </c>
      <c r="R1563" s="169" t="s">
        <v>283</v>
      </c>
      <c r="S1563" s="169" t="s">
        <v>283</v>
      </c>
      <c r="T1563" s="169">
        <v>0</v>
      </c>
    </row>
    <row r="1564" spans="1:20" x14ac:dyDescent="0.2">
      <c r="A1564" s="169" t="str">
        <f t="shared" si="2"/>
        <v>627</v>
      </c>
      <c r="B1564" s="167" t="str">
        <f>_xlfn.XLOOKUP(I1564,Mapping!D:D,Mapping!E:E)</f>
        <v>Xưởng Sản Xuất</v>
      </c>
      <c r="C1564" s="167" t="str">
        <f>_xlfn.XLOOKUP(F1564,Mapping!A:A,Mapping!F:F)</f>
        <v>Lương Chính +T13</v>
      </c>
      <c r="D1564" s="173">
        <v>45900</v>
      </c>
      <c r="E1564" s="169" t="s">
        <v>1014</v>
      </c>
      <c r="F1564" s="169" t="s">
        <v>387</v>
      </c>
      <c r="G1564" s="169" t="s">
        <v>275</v>
      </c>
      <c r="H1564" s="169" t="s">
        <v>436</v>
      </c>
      <c r="I1564" s="169" t="s">
        <v>437</v>
      </c>
      <c r="J1564" s="169" t="s">
        <v>995</v>
      </c>
      <c r="K1564" s="169" t="s">
        <v>996</v>
      </c>
      <c r="L1564" s="169" t="s">
        <v>956</v>
      </c>
      <c r="M1564" s="169" t="s">
        <v>281</v>
      </c>
      <c r="N1564" s="178">
        <v>1375750</v>
      </c>
      <c r="O1564" s="169" t="s">
        <v>1016</v>
      </c>
      <c r="P1564" s="169" t="s">
        <v>283</v>
      </c>
      <c r="Q1564" s="169" t="s">
        <v>284</v>
      </c>
      <c r="R1564" s="169" t="s">
        <v>283</v>
      </c>
      <c r="S1564" s="169" t="s">
        <v>283</v>
      </c>
      <c r="T1564" s="169">
        <v>0</v>
      </c>
    </row>
    <row r="1565" spans="1:20" x14ac:dyDescent="0.2">
      <c r="A1565" s="169" t="str">
        <f t="shared" si="2"/>
        <v>622</v>
      </c>
      <c r="B1565" s="167" t="str">
        <f>_xlfn.XLOOKUP(I1565,Mapping!D:D,Mapping!E:E)</f>
        <v>Xưởng Sản Xuất</v>
      </c>
      <c r="C1565" s="167" t="str">
        <f>_xlfn.XLOOKUP(F1565,Mapping!A:A,Mapping!F:F)</f>
        <v>Lương Chính +T13</v>
      </c>
      <c r="D1565" s="173">
        <v>45900</v>
      </c>
      <c r="E1565" s="169" t="s">
        <v>1014</v>
      </c>
      <c r="F1565" s="169" t="s">
        <v>400</v>
      </c>
      <c r="G1565" s="169" t="s">
        <v>401</v>
      </c>
      <c r="H1565" s="169" t="s">
        <v>402</v>
      </c>
      <c r="I1565" s="169" t="s">
        <v>403</v>
      </c>
      <c r="J1565" s="169" t="s">
        <v>995</v>
      </c>
      <c r="K1565" s="169" t="s">
        <v>996</v>
      </c>
      <c r="L1565" s="169" t="s">
        <v>956</v>
      </c>
      <c r="M1565" s="169" t="s">
        <v>281</v>
      </c>
      <c r="N1565" s="178">
        <v>5497750</v>
      </c>
      <c r="O1565" s="169" t="s">
        <v>1016</v>
      </c>
      <c r="P1565" s="169" t="s">
        <v>283</v>
      </c>
      <c r="Q1565" s="169" t="s">
        <v>284</v>
      </c>
      <c r="R1565" s="169" t="s">
        <v>283</v>
      </c>
      <c r="S1565" s="169" t="s">
        <v>283</v>
      </c>
      <c r="T1565" s="169">
        <v>0</v>
      </c>
    </row>
    <row r="1566" spans="1:20" x14ac:dyDescent="0.2">
      <c r="A1566" s="169" t="str">
        <f t="shared" si="2"/>
        <v>642</v>
      </c>
      <c r="B1566" s="167" t="str">
        <f>_xlfn.XLOOKUP(I1566,Mapping!D:D,Mapping!E:E)</f>
        <v>Ban Giám Đốc</v>
      </c>
      <c r="C1566" s="167" t="str">
        <f>_xlfn.XLOOKUP(F1566,Mapping!A:A,Mapping!F:F)</f>
        <v>Lương Chính +T13</v>
      </c>
      <c r="D1566" s="173">
        <v>45900</v>
      </c>
      <c r="E1566" s="169" t="s">
        <v>1014</v>
      </c>
      <c r="F1566" s="169" t="s">
        <v>274</v>
      </c>
      <c r="G1566" s="169" t="s">
        <v>275</v>
      </c>
      <c r="H1566" s="169" t="s">
        <v>276</v>
      </c>
      <c r="I1566" s="169" t="s">
        <v>277</v>
      </c>
      <c r="J1566" s="169" t="s">
        <v>995</v>
      </c>
      <c r="K1566" s="169" t="s">
        <v>996</v>
      </c>
      <c r="L1566" s="169" t="s">
        <v>956</v>
      </c>
      <c r="M1566" s="169" t="s">
        <v>281</v>
      </c>
      <c r="N1566" s="178">
        <v>17251500</v>
      </c>
      <c r="O1566" s="169" t="s">
        <v>1016</v>
      </c>
      <c r="P1566" s="169" t="s">
        <v>283</v>
      </c>
      <c r="Q1566" s="169" t="s">
        <v>284</v>
      </c>
      <c r="R1566" s="169" t="s">
        <v>283</v>
      </c>
      <c r="S1566" s="169" t="s">
        <v>283</v>
      </c>
      <c r="T1566" s="169">
        <v>0</v>
      </c>
    </row>
    <row r="1567" spans="1:20" x14ac:dyDescent="0.2">
      <c r="A1567" s="169" t="str">
        <f t="shared" si="2"/>
        <v>642</v>
      </c>
      <c r="B1567" s="167" t="str">
        <f>_xlfn.XLOOKUP(I1567,Mapping!D:D,Mapping!E:E)</f>
        <v>Hành Chánh Nhân Sự</v>
      </c>
      <c r="C1567" s="167" t="str">
        <f>_xlfn.XLOOKUP(F1567,Mapping!A:A,Mapping!F:F)</f>
        <v>Lương Chính +T13</v>
      </c>
      <c r="D1567" s="173">
        <v>45900</v>
      </c>
      <c r="E1567" s="169" t="s">
        <v>1014</v>
      </c>
      <c r="F1567" s="169" t="s">
        <v>274</v>
      </c>
      <c r="G1567" s="169" t="s">
        <v>275</v>
      </c>
      <c r="H1567" s="169" t="s">
        <v>301</v>
      </c>
      <c r="I1567" s="169" t="s">
        <v>302</v>
      </c>
      <c r="J1567" s="169" t="s">
        <v>995</v>
      </c>
      <c r="K1567" s="169" t="s">
        <v>996</v>
      </c>
      <c r="L1567" s="169" t="s">
        <v>956</v>
      </c>
      <c r="M1567" s="169" t="s">
        <v>281</v>
      </c>
      <c r="N1567" s="178">
        <v>1432500</v>
      </c>
      <c r="O1567" s="169" t="s">
        <v>1016</v>
      </c>
      <c r="P1567" s="169" t="s">
        <v>283</v>
      </c>
      <c r="Q1567" s="169" t="s">
        <v>284</v>
      </c>
      <c r="R1567" s="169" t="s">
        <v>283</v>
      </c>
      <c r="S1567" s="169" t="s">
        <v>283</v>
      </c>
      <c r="T1567" s="169">
        <v>0</v>
      </c>
    </row>
    <row r="1568" spans="1:20" x14ac:dyDescent="0.2">
      <c r="A1568" s="169" t="str">
        <f t="shared" si="2"/>
        <v>642</v>
      </c>
      <c r="B1568" s="167" t="str">
        <f>_xlfn.XLOOKUP(I1568,Mapping!D:D,Mapping!E:E)</f>
        <v>Ban Giám Đốc</v>
      </c>
      <c r="C1568" s="167" t="str">
        <f>_xlfn.XLOOKUP(F1568,Mapping!A:A,Mapping!F:F)</f>
        <v>BHXH, BHYT, KPCĐ</v>
      </c>
      <c r="D1568" s="173">
        <v>45900</v>
      </c>
      <c r="E1568" s="169" t="s">
        <v>1017</v>
      </c>
      <c r="F1568" s="169" t="s">
        <v>295</v>
      </c>
      <c r="G1568" s="169" t="s">
        <v>296</v>
      </c>
      <c r="H1568" s="169" t="s">
        <v>276</v>
      </c>
      <c r="I1568" s="169" t="s">
        <v>277</v>
      </c>
      <c r="J1568" s="169" t="s">
        <v>1003</v>
      </c>
      <c r="K1568" s="169" t="s">
        <v>996</v>
      </c>
      <c r="L1568" s="169" t="s">
        <v>956</v>
      </c>
      <c r="M1568" s="169" t="s">
        <v>281</v>
      </c>
      <c r="N1568" s="178">
        <v>2106000</v>
      </c>
      <c r="O1568" s="169" t="s">
        <v>1018</v>
      </c>
      <c r="P1568" s="169" t="s">
        <v>283</v>
      </c>
      <c r="Q1568" s="169" t="s">
        <v>284</v>
      </c>
      <c r="R1568" s="169" t="s">
        <v>283</v>
      </c>
      <c r="S1568" s="169" t="s">
        <v>283</v>
      </c>
      <c r="T1568" s="169">
        <v>0</v>
      </c>
    </row>
    <row r="1569" spans="1:20" x14ac:dyDescent="0.2">
      <c r="A1569" s="169" t="str">
        <f t="shared" si="2"/>
        <v>642</v>
      </c>
      <c r="B1569" s="167" t="str">
        <f>_xlfn.XLOOKUP(I1569,Mapping!D:D,Mapping!E:E)</f>
        <v>Hành Chánh Nhân Sự</v>
      </c>
      <c r="C1569" s="167" t="str">
        <f>_xlfn.XLOOKUP(F1569,Mapping!A:A,Mapping!F:F)</f>
        <v>BHXH, BHYT, KPCĐ</v>
      </c>
      <c r="D1569" s="173">
        <v>45900</v>
      </c>
      <c r="E1569" s="169" t="s">
        <v>1017</v>
      </c>
      <c r="F1569" s="169" t="s">
        <v>295</v>
      </c>
      <c r="G1569" s="169" t="s">
        <v>296</v>
      </c>
      <c r="H1569" s="169" t="s">
        <v>301</v>
      </c>
      <c r="I1569" s="169" t="s">
        <v>302</v>
      </c>
      <c r="J1569" s="169" t="s">
        <v>1003</v>
      </c>
      <c r="K1569" s="169" t="s">
        <v>996</v>
      </c>
      <c r="L1569" s="169" t="s">
        <v>956</v>
      </c>
      <c r="M1569" s="169" t="s">
        <v>281</v>
      </c>
      <c r="N1569" s="178">
        <v>257850</v>
      </c>
      <c r="O1569" s="169" t="s">
        <v>1018</v>
      </c>
      <c r="P1569" s="169" t="s">
        <v>283</v>
      </c>
      <c r="Q1569" s="169" t="s">
        <v>284</v>
      </c>
      <c r="R1569" s="169" t="s">
        <v>283</v>
      </c>
      <c r="S1569" s="169" t="s">
        <v>283</v>
      </c>
      <c r="T1569" s="169">
        <v>0</v>
      </c>
    </row>
    <row r="1570" spans="1:20" x14ac:dyDescent="0.2">
      <c r="A1570" s="169" t="str">
        <f t="shared" si="2"/>
        <v>627</v>
      </c>
      <c r="B1570" s="167" t="str">
        <f>_xlfn.XLOOKUP(I1570,Mapping!D:D,Mapping!E:E)</f>
        <v>Kiểm Soát Chất Lượng</v>
      </c>
      <c r="C1570" s="167" t="str">
        <f>_xlfn.XLOOKUP(F1570,Mapping!A:A,Mapping!F:F)</f>
        <v>BHXH, BHYT, KPCĐ</v>
      </c>
      <c r="D1570" s="173">
        <v>45900</v>
      </c>
      <c r="E1570" s="169" t="s">
        <v>1017</v>
      </c>
      <c r="F1570" s="169" t="s">
        <v>393</v>
      </c>
      <c r="G1570" s="169" t="s">
        <v>296</v>
      </c>
      <c r="H1570" s="169" t="s">
        <v>411</v>
      </c>
      <c r="I1570" s="169" t="s">
        <v>412</v>
      </c>
      <c r="J1570" s="169" t="s">
        <v>1003</v>
      </c>
      <c r="K1570" s="169" t="s">
        <v>996</v>
      </c>
      <c r="L1570" s="169" t="s">
        <v>956</v>
      </c>
      <c r="M1570" s="169" t="s">
        <v>281</v>
      </c>
      <c r="N1570" s="178">
        <v>-1530000</v>
      </c>
      <c r="O1570" s="169" t="s">
        <v>1018</v>
      </c>
      <c r="P1570" s="169" t="s">
        <v>283</v>
      </c>
      <c r="Q1570" s="169" t="s">
        <v>284</v>
      </c>
      <c r="R1570" s="169" t="s">
        <v>283</v>
      </c>
      <c r="S1570" s="169" t="s">
        <v>283</v>
      </c>
      <c r="T1570" s="169">
        <v>0</v>
      </c>
    </row>
    <row r="1571" spans="1:20" x14ac:dyDescent="0.2">
      <c r="A1571" s="169" t="str">
        <f t="shared" si="2"/>
        <v>627</v>
      </c>
      <c r="B1571" s="167" t="str">
        <f>_xlfn.XLOOKUP(I1571,Mapping!D:D,Mapping!E:E)</f>
        <v>Kiểm Soát Chất Lượng</v>
      </c>
      <c r="C1571" s="167" t="str">
        <f>_xlfn.XLOOKUP(F1571,Mapping!A:A,Mapping!F:F)</f>
        <v>BHXH, BHYT, KPCĐ</v>
      </c>
      <c r="D1571" s="173">
        <v>45900</v>
      </c>
      <c r="E1571" s="169" t="s">
        <v>1017</v>
      </c>
      <c r="F1571" s="169" t="s">
        <v>393</v>
      </c>
      <c r="G1571" s="169" t="s">
        <v>296</v>
      </c>
      <c r="H1571" s="169" t="s">
        <v>411</v>
      </c>
      <c r="I1571" s="169" t="s">
        <v>412</v>
      </c>
      <c r="J1571" s="169" t="s">
        <v>1003</v>
      </c>
      <c r="K1571" s="169" t="s">
        <v>996</v>
      </c>
      <c r="L1571" s="169" t="s">
        <v>956</v>
      </c>
      <c r="M1571" s="169" t="s">
        <v>281</v>
      </c>
      <c r="N1571" s="178">
        <v>954360</v>
      </c>
      <c r="O1571" s="169" t="s">
        <v>1018</v>
      </c>
      <c r="P1571" s="169" t="s">
        <v>283</v>
      </c>
      <c r="Q1571" s="169" t="s">
        <v>284</v>
      </c>
      <c r="R1571" s="169" t="s">
        <v>283</v>
      </c>
      <c r="S1571" s="169" t="s">
        <v>283</v>
      </c>
      <c r="T1571" s="169">
        <v>0</v>
      </c>
    </row>
    <row r="1572" spans="1:20" x14ac:dyDescent="0.2">
      <c r="A1572" s="169" t="str">
        <f t="shared" si="2"/>
        <v>627</v>
      </c>
      <c r="B1572" s="167" t="str">
        <f>_xlfn.XLOOKUP(I1572,Mapping!D:D,Mapping!E:E)</f>
        <v>Kiểm Soát Chất Lượng</v>
      </c>
      <c r="C1572" s="167" t="str">
        <f>_xlfn.XLOOKUP(F1572,Mapping!A:A,Mapping!F:F)</f>
        <v>BHXH, BHYT, KPCĐ</v>
      </c>
      <c r="D1572" s="173">
        <v>45900</v>
      </c>
      <c r="E1572" s="169" t="s">
        <v>1017</v>
      </c>
      <c r="F1572" s="169" t="s">
        <v>393</v>
      </c>
      <c r="G1572" s="169" t="s">
        <v>296</v>
      </c>
      <c r="H1572" s="169" t="s">
        <v>411</v>
      </c>
      <c r="I1572" s="169" t="s">
        <v>412</v>
      </c>
      <c r="J1572" s="169" t="s">
        <v>1003</v>
      </c>
      <c r="K1572" s="169" t="s">
        <v>996</v>
      </c>
      <c r="L1572" s="169" t="s">
        <v>956</v>
      </c>
      <c r="M1572" s="169" t="s">
        <v>281</v>
      </c>
      <c r="N1572" s="178">
        <v>-120000</v>
      </c>
      <c r="O1572" s="169" t="s">
        <v>1018</v>
      </c>
      <c r="P1572" s="169" t="s">
        <v>283</v>
      </c>
      <c r="Q1572" s="169" t="s">
        <v>284</v>
      </c>
      <c r="R1572" s="169" t="s">
        <v>283</v>
      </c>
      <c r="S1572" s="169" t="s">
        <v>283</v>
      </c>
      <c r="T1572" s="169">
        <v>0</v>
      </c>
    </row>
    <row r="1573" spans="1:20" x14ac:dyDescent="0.2">
      <c r="A1573" s="169" t="str">
        <f t="shared" si="2"/>
        <v>627</v>
      </c>
      <c r="B1573" s="167" t="str">
        <f>_xlfn.XLOOKUP(I1573,Mapping!D:D,Mapping!E:E)</f>
        <v>Nghiên Cứu &amp; Phát Triển</v>
      </c>
      <c r="C1573" s="167" t="str">
        <f>_xlfn.XLOOKUP(F1573,Mapping!A:A,Mapping!F:F)</f>
        <v>BHXH, BHYT, KPCĐ</v>
      </c>
      <c r="D1573" s="173">
        <v>45900</v>
      </c>
      <c r="E1573" s="169" t="s">
        <v>1017</v>
      </c>
      <c r="F1573" s="169" t="s">
        <v>393</v>
      </c>
      <c r="G1573" s="169" t="s">
        <v>296</v>
      </c>
      <c r="H1573" s="169" t="s">
        <v>418</v>
      </c>
      <c r="I1573" s="169" t="s">
        <v>419</v>
      </c>
      <c r="J1573" s="169" t="s">
        <v>1003</v>
      </c>
      <c r="K1573" s="169" t="s">
        <v>996</v>
      </c>
      <c r="L1573" s="169" t="s">
        <v>956</v>
      </c>
      <c r="M1573" s="169" t="s">
        <v>281</v>
      </c>
      <c r="N1573" s="178">
        <v>687825</v>
      </c>
      <c r="O1573" s="169" t="s">
        <v>1018</v>
      </c>
      <c r="P1573" s="169" t="s">
        <v>283</v>
      </c>
      <c r="Q1573" s="169" t="s">
        <v>284</v>
      </c>
      <c r="R1573" s="169" t="s">
        <v>283</v>
      </c>
      <c r="S1573" s="169" t="s">
        <v>283</v>
      </c>
      <c r="T1573" s="169">
        <v>0</v>
      </c>
    </row>
    <row r="1574" spans="1:20" x14ac:dyDescent="0.2">
      <c r="A1574" s="169" t="str">
        <f t="shared" si="2"/>
        <v>622</v>
      </c>
      <c r="B1574" s="167" t="str">
        <f>_xlfn.XLOOKUP(I1574,Mapping!D:D,Mapping!E:E)</f>
        <v>Xưởng Sản Xuất</v>
      </c>
      <c r="C1574" s="167" t="str">
        <f>_xlfn.XLOOKUP(F1574,Mapping!A:A,Mapping!F:F)</f>
        <v>BHXH, BHYT, KPCĐ</v>
      </c>
      <c r="D1574" s="173">
        <v>45900</v>
      </c>
      <c r="E1574" s="169" t="s">
        <v>1017</v>
      </c>
      <c r="F1574" s="169" t="s">
        <v>425</v>
      </c>
      <c r="G1574" s="169" t="s">
        <v>296</v>
      </c>
      <c r="H1574" s="169" t="s">
        <v>402</v>
      </c>
      <c r="I1574" s="169" t="s">
        <v>403</v>
      </c>
      <c r="J1574" s="169" t="s">
        <v>1003</v>
      </c>
      <c r="K1574" s="169" t="s">
        <v>996</v>
      </c>
      <c r="L1574" s="169" t="s">
        <v>956</v>
      </c>
      <c r="M1574" s="169" t="s">
        <v>281</v>
      </c>
      <c r="N1574" s="178">
        <v>4289355</v>
      </c>
      <c r="O1574" s="169" t="s">
        <v>1018</v>
      </c>
      <c r="P1574" s="169" t="s">
        <v>283</v>
      </c>
      <c r="Q1574" s="169" t="s">
        <v>284</v>
      </c>
      <c r="R1574" s="169" t="s">
        <v>283</v>
      </c>
      <c r="S1574" s="169" t="s">
        <v>283</v>
      </c>
      <c r="T1574" s="169">
        <v>0</v>
      </c>
    </row>
    <row r="1575" spans="1:20" x14ac:dyDescent="0.2">
      <c r="A1575" s="169" t="str">
        <f t="shared" si="2"/>
        <v>627</v>
      </c>
      <c r="B1575" s="167" t="str">
        <f>_xlfn.XLOOKUP(I1575,Mapping!D:D,Mapping!E:E)</f>
        <v>Xưởng Sản Xuất</v>
      </c>
      <c r="C1575" s="167" t="str">
        <f>_xlfn.XLOOKUP(F1575,Mapping!A:A,Mapping!F:F)</f>
        <v>Lương Chính +T13</v>
      </c>
      <c r="D1575" s="173">
        <v>45900</v>
      </c>
      <c r="E1575" s="169" t="s">
        <v>1019</v>
      </c>
      <c r="F1575" s="169" t="s">
        <v>387</v>
      </c>
      <c r="G1575" s="169" t="s">
        <v>275</v>
      </c>
      <c r="H1575" s="169" t="s">
        <v>402</v>
      </c>
      <c r="I1575" s="169" t="s">
        <v>403</v>
      </c>
      <c r="J1575" s="169" t="s">
        <v>1015</v>
      </c>
      <c r="K1575" s="169" t="s">
        <v>996</v>
      </c>
      <c r="L1575" s="169" t="s">
        <v>956</v>
      </c>
      <c r="M1575" s="169" t="s">
        <v>281</v>
      </c>
      <c r="N1575" s="178">
        <v>-1592167</v>
      </c>
      <c r="O1575" s="169" t="s">
        <v>1020</v>
      </c>
      <c r="P1575" s="169" t="s">
        <v>447</v>
      </c>
      <c r="Q1575" s="169" t="s">
        <v>284</v>
      </c>
      <c r="R1575" s="169" t="s">
        <v>283</v>
      </c>
      <c r="S1575" s="169" t="s">
        <v>283</v>
      </c>
      <c r="T1575" s="169">
        <v>0</v>
      </c>
    </row>
    <row r="1576" spans="1:20" x14ac:dyDescent="0.2">
      <c r="A1576" s="169" t="str">
        <f t="shared" si="2"/>
        <v>627</v>
      </c>
      <c r="B1576" s="167" t="str">
        <f>_xlfn.XLOOKUP(I1576,Mapping!D:D,Mapping!E:E)</f>
        <v>Xưởng Sản Xuất</v>
      </c>
      <c r="C1576" s="167" t="str">
        <f>_xlfn.XLOOKUP(F1576,Mapping!A:A,Mapping!F:F)</f>
        <v>Lương Chính +T13</v>
      </c>
      <c r="D1576" s="173">
        <v>45900</v>
      </c>
      <c r="E1576" s="169" t="s">
        <v>1019</v>
      </c>
      <c r="F1576" s="169" t="s">
        <v>387</v>
      </c>
      <c r="G1576" s="169" t="s">
        <v>275</v>
      </c>
      <c r="H1576" s="169" t="s">
        <v>436</v>
      </c>
      <c r="I1576" s="169" t="s">
        <v>437</v>
      </c>
      <c r="J1576" s="169" t="s">
        <v>995</v>
      </c>
      <c r="K1576" s="169" t="s">
        <v>996</v>
      </c>
      <c r="L1576" s="169" t="s">
        <v>956</v>
      </c>
      <c r="M1576" s="169" t="s">
        <v>281</v>
      </c>
      <c r="N1576" s="178">
        <v>-1375750</v>
      </c>
      <c r="O1576" s="169" t="s">
        <v>1020</v>
      </c>
      <c r="P1576" s="169" t="s">
        <v>447</v>
      </c>
      <c r="Q1576" s="169" t="s">
        <v>284</v>
      </c>
      <c r="R1576" s="169" t="s">
        <v>283</v>
      </c>
      <c r="S1576" s="169" t="s">
        <v>283</v>
      </c>
      <c r="T1576" s="169">
        <v>0</v>
      </c>
    </row>
    <row r="1577" spans="1:20" x14ac:dyDescent="0.2">
      <c r="A1577" s="169" t="str">
        <f t="shared" si="2"/>
        <v>622</v>
      </c>
      <c r="B1577" s="167" t="str">
        <f>_xlfn.XLOOKUP(I1577,Mapping!D:D,Mapping!E:E)</f>
        <v>Xưởng Sản Xuất</v>
      </c>
      <c r="C1577" s="167" t="str">
        <f>_xlfn.XLOOKUP(F1577,Mapping!A:A,Mapping!F:F)</f>
        <v>Lương Chính +T13</v>
      </c>
      <c r="D1577" s="173">
        <v>45900</v>
      </c>
      <c r="E1577" s="169" t="s">
        <v>1019</v>
      </c>
      <c r="F1577" s="169" t="s">
        <v>400</v>
      </c>
      <c r="G1577" s="169" t="s">
        <v>401</v>
      </c>
      <c r="H1577" s="169" t="s">
        <v>402</v>
      </c>
      <c r="I1577" s="169" t="s">
        <v>403</v>
      </c>
      <c r="J1577" s="169" t="s">
        <v>995</v>
      </c>
      <c r="K1577" s="169" t="s">
        <v>996</v>
      </c>
      <c r="L1577" s="169" t="s">
        <v>956</v>
      </c>
      <c r="M1577" s="169" t="s">
        <v>281</v>
      </c>
      <c r="N1577" s="178">
        <v>-5497750</v>
      </c>
      <c r="O1577" s="169" t="s">
        <v>1020</v>
      </c>
      <c r="P1577" s="169" t="s">
        <v>447</v>
      </c>
      <c r="Q1577" s="169" t="s">
        <v>284</v>
      </c>
      <c r="R1577" s="169" t="s">
        <v>283</v>
      </c>
      <c r="S1577" s="169" t="s">
        <v>283</v>
      </c>
      <c r="T1577" s="169">
        <v>0</v>
      </c>
    </row>
    <row r="1578" spans="1:20" x14ac:dyDescent="0.2">
      <c r="A1578" s="169" t="str">
        <f t="shared" ref="A1578:A1641" si="3">LEFT(F1578,3)</f>
        <v>642</v>
      </c>
      <c r="B1578" s="167" t="str">
        <f>_xlfn.XLOOKUP(I1578,Mapping!D:D,Mapping!E:E)</f>
        <v>Ban Giám Đốc</v>
      </c>
      <c r="C1578" s="167" t="str">
        <f>_xlfn.XLOOKUP(F1578,Mapping!A:A,Mapping!F:F)</f>
        <v>Lương Chính +T13</v>
      </c>
      <c r="D1578" s="173">
        <v>45900</v>
      </c>
      <c r="E1578" s="169" t="s">
        <v>1019</v>
      </c>
      <c r="F1578" s="169" t="s">
        <v>274</v>
      </c>
      <c r="G1578" s="169" t="s">
        <v>275</v>
      </c>
      <c r="H1578" s="169" t="s">
        <v>276</v>
      </c>
      <c r="I1578" s="169" t="s">
        <v>277</v>
      </c>
      <c r="J1578" s="169" t="s">
        <v>995</v>
      </c>
      <c r="K1578" s="169" t="s">
        <v>996</v>
      </c>
      <c r="L1578" s="169" t="s">
        <v>956</v>
      </c>
      <c r="M1578" s="169" t="s">
        <v>281</v>
      </c>
      <c r="N1578" s="178">
        <v>-17251500</v>
      </c>
      <c r="O1578" s="169" t="s">
        <v>1020</v>
      </c>
      <c r="P1578" s="169" t="s">
        <v>447</v>
      </c>
      <c r="Q1578" s="169" t="s">
        <v>284</v>
      </c>
      <c r="R1578" s="169" t="s">
        <v>283</v>
      </c>
      <c r="S1578" s="169" t="s">
        <v>283</v>
      </c>
      <c r="T1578" s="169">
        <v>0</v>
      </c>
    </row>
    <row r="1579" spans="1:20" x14ac:dyDescent="0.2">
      <c r="A1579" s="169" t="str">
        <f t="shared" si="3"/>
        <v>642</v>
      </c>
      <c r="B1579" s="167" t="str">
        <f>_xlfn.XLOOKUP(I1579,Mapping!D:D,Mapping!E:E)</f>
        <v>Hành Chánh Nhân Sự</v>
      </c>
      <c r="C1579" s="167" t="str">
        <f>_xlfn.XLOOKUP(F1579,Mapping!A:A,Mapping!F:F)</f>
        <v>Lương Chính +T13</v>
      </c>
      <c r="D1579" s="173">
        <v>45900</v>
      </c>
      <c r="E1579" s="169" t="s">
        <v>1019</v>
      </c>
      <c r="F1579" s="169" t="s">
        <v>274</v>
      </c>
      <c r="G1579" s="169" t="s">
        <v>275</v>
      </c>
      <c r="H1579" s="169" t="s">
        <v>301</v>
      </c>
      <c r="I1579" s="169" t="s">
        <v>302</v>
      </c>
      <c r="J1579" s="169" t="s">
        <v>995</v>
      </c>
      <c r="K1579" s="169" t="s">
        <v>996</v>
      </c>
      <c r="L1579" s="169" t="s">
        <v>956</v>
      </c>
      <c r="M1579" s="169" t="s">
        <v>281</v>
      </c>
      <c r="N1579" s="178">
        <v>-1432500</v>
      </c>
      <c r="O1579" s="169" t="s">
        <v>1020</v>
      </c>
      <c r="P1579" s="169" t="s">
        <v>447</v>
      </c>
      <c r="Q1579" s="169" t="s">
        <v>284</v>
      </c>
      <c r="R1579" s="169" t="s">
        <v>283</v>
      </c>
      <c r="S1579" s="169" t="s">
        <v>283</v>
      </c>
      <c r="T1579" s="169">
        <v>0</v>
      </c>
    </row>
    <row r="1580" spans="1:20" x14ac:dyDescent="0.2">
      <c r="A1580" s="169" t="str">
        <f t="shared" si="3"/>
        <v>622</v>
      </c>
      <c r="B1580" s="167" t="str">
        <f>_xlfn.XLOOKUP(I1580,Mapping!D:D,Mapping!E:E)</f>
        <v>Xưởng Sản Xuất</v>
      </c>
      <c r="C1580" s="167" t="str">
        <f>_xlfn.XLOOKUP(F1580,Mapping!A:A,Mapping!F:F)</f>
        <v>Lương Chính +T13</v>
      </c>
      <c r="D1580" s="173">
        <v>45900</v>
      </c>
      <c r="E1580" s="169" t="s">
        <v>1021</v>
      </c>
      <c r="F1580" s="169" t="s">
        <v>400</v>
      </c>
      <c r="G1580" s="169" t="s">
        <v>401</v>
      </c>
      <c r="H1580" s="169" t="s">
        <v>402</v>
      </c>
      <c r="I1580" s="169" t="s">
        <v>403</v>
      </c>
      <c r="J1580" s="169" t="s">
        <v>1022</v>
      </c>
      <c r="K1580" s="169" t="s">
        <v>405</v>
      </c>
      <c r="L1580" s="169" t="s">
        <v>956</v>
      </c>
      <c r="M1580" s="169" t="s">
        <v>281</v>
      </c>
      <c r="N1580" s="178">
        <v>275124506</v>
      </c>
      <c r="O1580" s="169" t="s">
        <v>1023</v>
      </c>
      <c r="P1580" s="169" t="s">
        <v>283</v>
      </c>
      <c r="Q1580" s="169" t="s">
        <v>306</v>
      </c>
      <c r="R1580" s="169" t="s">
        <v>283</v>
      </c>
      <c r="S1580" s="169" t="s">
        <v>283</v>
      </c>
      <c r="T1580" s="169">
        <v>0</v>
      </c>
    </row>
    <row r="1581" spans="1:20" x14ac:dyDescent="0.2">
      <c r="A1581" s="169" t="str">
        <f t="shared" si="3"/>
        <v>642</v>
      </c>
      <c r="B1581" s="167" t="str">
        <f>_xlfn.XLOOKUP(I1581,Mapping!D:D,Mapping!E:E)</f>
        <v>Hành Chánh Nhân Sự</v>
      </c>
      <c r="C1581" s="167" t="str">
        <f>_xlfn.XLOOKUP(F1581,Mapping!A:A,Mapping!F:F)</f>
        <v>Lương Chính +T13</v>
      </c>
      <c r="D1581" s="173">
        <v>45900</v>
      </c>
      <c r="E1581" s="169" t="s">
        <v>1021</v>
      </c>
      <c r="F1581" s="169" t="s">
        <v>274</v>
      </c>
      <c r="G1581" s="169" t="s">
        <v>275</v>
      </c>
      <c r="H1581" s="169" t="s">
        <v>301</v>
      </c>
      <c r="I1581" s="169" t="s">
        <v>302</v>
      </c>
      <c r="J1581" s="169" t="s">
        <v>1022</v>
      </c>
      <c r="K1581" s="169" t="s">
        <v>405</v>
      </c>
      <c r="L1581" s="169" t="s">
        <v>956</v>
      </c>
      <c r="M1581" s="169" t="s">
        <v>281</v>
      </c>
      <c r="N1581" s="178">
        <v>9490259</v>
      </c>
      <c r="O1581" s="169" t="s">
        <v>1023</v>
      </c>
      <c r="P1581" s="169" t="s">
        <v>283</v>
      </c>
      <c r="Q1581" s="169" t="s">
        <v>306</v>
      </c>
      <c r="R1581" s="169" t="s">
        <v>283</v>
      </c>
      <c r="S1581" s="169" t="s">
        <v>283</v>
      </c>
      <c r="T1581" s="169">
        <v>0</v>
      </c>
    </row>
    <row r="1582" spans="1:20" x14ac:dyDescent="0.2">
      <c r="A1582" s="169" t="str">
        <f t="shared" si="3"/>
        <v>627</v>
      </c>
      <c r="B1582" s="167" t="str">
        <f>_xlfn.XLOOKUP(I1582,Mapping!D:D,Mapping!E:E)</f>
        <v>Xưởng Sản Xuất</v>
      </c>
      <c r="C1582" s="167" t="str">
        <f>_xlfn.XLOOKUP(F1582,Mapping!A:A,Mapping!F:F)</f>
        <v>Lương Chính +T13</v>
      </c>
      <c r="D1582" s="173">
        <v>45900</v>
      </c>
      <c r="E1582" s="169" t="s">
        <v>1021</v>
      </c>
      <c r="F1582" s="169" t="s">
        <v>387</v>
      </c>
      <c r="G1582" s="169" t="s">
        <v>275</v>
      </c>
      <c r="H1582" s="169" t="s">
        <v>436</v>
      </c>
      <c r="I1582" s="169" t="s">
        <v>437</v>
      </c>
      <c r="J1582" s="169" t="s">
        <v>1022</v>
      </c>
      <c r="K1582" s="169" t="s">
        <v>405</v>
      </c>
      <c r="L1582" s="169" t="s">
        <v>956</v>
      </c>
      <c r="M1582" s="169" t="s">
        <v>281</v>
      </c>
      <c r="N1582" s="178">
        <v>11721278</v>
      </c>
      <c r="O1582" s="169" t="s">
        <v>1023</v>
      </c>
      <c r="P1582" s="169" t="s">
        <v>283</v>
      </c>
      <c r="Q1582" s="169" t="s">
        <v>306</v>
      </c>
      <c r="R1582" s="169" t="s">
        <v>283</v>
      </c>
      <c r="S1582" s="169" t="s">
        <v>283</v>
      </c>
      <c r="T1582" s="169">
        <v>0</v>
      </c>
    </row>
    <row r="1583" spans="1:20" x14ac:dyDescent="0.2">
      <c r="A1583" s="169" t="str">
        <f t="shared" si="3"/>
        <v>622</v>
      </c>
      <c r="B1583" s="167" t="str">
        <f>_xlfn.XLOOKUP(I1583,Mapping!D:D,Mapping!E:E)</f>
        <v>Xưởng Sản Xuất</v>
      </c>
      <c r="C1583" s="167" t="str">
        <f>_xlfn.XLOOKUP(F1583,Mapping!A:A,Mapping!F:F)</f>
        <v>Lương Chính +T13</v>
      </c>
      <c r="D1583" s="173">
        <v>45900</v>
      </c>
      <c r="E1583" s="169" t="s">
        <v>1021</v>
      </c>
      <c r="F1583" s="169" t="s">
        <v>400</v>
      </c>
      <c r="G1583" s="169" t="s">
        <v>401</v>
      </c>
      <c r="H1583" s="169" t="s">
        <v>430</v>
      </c>
      <c r="I1583" s="169" t="s">
        <v>431</v>
      </c>
      <c r="J1583" s="169" t="s">
        <v>1022</v>
      </c>
      <c r="K1583" s="169" t="s">
        <v>405</v>
      </c>
      <c r="L1583" s="169" t="s">
        <v>956</v>
      </c>
      <c r="M1583" s="169" t="s">
        <v>281</v>
      </c>
      <c r="N1583" s="178">
        <v>11045704</v>
      </c>
      <c r="O1583" s="169" t="s">
        <v>1023</v>
      </c>
      <c r="P1583" s="169" t="s">
        <v>283</v>
      </c>
      <c r="Q1583" s="169" t="s">
        <v>306</v>
      </c>
      <c r="R1583" s="169" t="s">
        <v>283</v>
      </c>
      <c r="S1583" s="169" t="s">
        <v>283</v>
      </c>
      <c r="T1583" s="169">
        <v>0</v>
      </c>
    </row>
    <row r="1584" spans="1:20" x14ac:dyDescent="0.2">
      <c r="A1584" s="169" t="str">
        <f t="shared" si="3"/>
        <v>622</v>
      </c>
      <c r="B1584" s="167" t="str">
        <f>_xlfn.XLOOKUP(I1584,Mapping!D:D,Mapping!E:E)</f>
        <v>Xưởng Sản Xuất</v>
      </c>
      <c r="C1584" s="167" t="str">
        <f>_xlfn.XLOOKUP(F1584,Mapping!A:A,Mapping!F:F)</f>
        <v>Lương Chính +T13</v>
      </c>
      <c r="D1584" s="173">
        <v>45899</v>
      </c>
      <c r="E1584" s="169" t="s">
        <v>1024</v>
      </c>
      <c r="F1584" s="169" t="s">
        <v>400</v>
      </c>
      <c r="G1584" s="169" t="s">
        <v>401</v>
      </c>
      <c r="H1584" s="169" t="s">
        <v>402</v>
      </c>
      <c r="I1584" s="169" t="s">
        <v>403</v>
      </c>
      <c r="J1584" s="169" t="s">
        <v>1025</v>
      </c>
      <c r="K1584" s="169" t="s">
        <v>405</v>
      </c>
      <c r="L1584" s="169" t="s">
        <v>956</v>
      </c>
      <c r="M1584" s="169" t="s">
        <v>281</v>
      </c>
      <c r="N1584" s="178">
        <v>203305833</v>
      </c>
      <c r="O1584" s="169" t="s">
        <v>1026</v>
      </c>
      <c r="P1584" s="169" t="s">
        <v>283</v>
      </c>
      <c r="Q1584" s="169" t="s">
        <v>306</v>
      </c>
      <c r="R1584" s="169" t="s">
        <v>283</v>
      </c>
      <c r="S1584" s="169" t="s">
        <v>283</v>
      </c>
      <c r="T1584" s="169">
        <v>0</v>
      </c>
    </row>
    <row r="1585" spans="1:20" x14ac:dyDescent="0.2">
      <c r="A1585" s="169" t="str">
        <f t="shared" si="3"/>
        <v>622</v>
      </c>
      <c r="B1585" s="167" t="str">
        <f>_xlfn.XLOOKUP(I1585,Mapping!D:D,Mapping!E:E)</f>
        <v>Xưởng Sản Xuất</v>
      </c>
      <c r="C1585" s="167" t="str">
        <f>_xlfn.XLOOKUP(F1585,Mapping!A:A,Mapping!F:F)</f>
        <v>Lương Chính +T13</v>
      </c>
      <c r="D1585" s="173">
        <v>45899</v>
      </c>
      <c r="E1585" s="169" t="s">
        <v>1024</v>
      </c>
      <c r="F1585" s="169" t="s">
        <v>400</v>
      </c>
      <c r="G1585" s="169" t="s">
        <v>401</v>
      </c>
      <c r="H1585" s="169" t="s">
        <v>430</v>
      </c>
      <c r="I1585" s="169" t="s">
        <v>431</v>
      </c>
      <c r="J1585" s="169" t="s">
        <v>1025</v>
      </c>
      <c r="K1585" s="169" t="s">
        <v>405</v>
      </c>
      <c r="L1585" s="169" t="s">
        <v>956</v>
      </c>
      <c r="M1585" s="169" t="s">
        <v>281</v>
      </c>
      <c r="N1585" s="178">
        <v>12066667</v>
      </c>
      <c r="O1585" s="169" t="s">
        <v>1026</v>
      </c>
      <c r="P1585" s="169" t="s">
        <v>283</v>
      </c>
      <c r="Q1585" s="169" t="s">
        <v>306</v>
      </c>
      <c r="R1585" s="169" t="s">
        <v>283</v>
      </c>
      <c r="S1585" s="169" t="s">
        <v>283</v>
      </c>
      <c r="T1585" s="169">
        <v>0</v>
      </c>
    </row>
    <row r="1586" spans="1:20" x14ac:dyDescent="0.2">
      <c r="A1586" s="169" t="str">
        <f t="shared" si="3"/>
        <v>642</v>
      </c>
      <c r="B1586" s="167" t="str">
        <f>_xlfn.XLOOKUP(I1586,Mapping!D:D,Mapping!E:E)</f>
        <v>Hành Chánh Nhân Sự</v>
      </c>
      <c r="C1586" s="167" t="str">
        <f>_xlfn.XLOOKUP(F1586,Mapping!A:A,Mapping!F:F)</f>
        <v>Khen thưởng BD khác</v>
      </c>
      <c r="D1586" s="173">
        <v>45900</v>
      </c>
      <c r="E1586" s="169" t="s">
        <v>1027</v>
      </c>
      <c r="F1586" s="169" t="s">
        <v>300</v>
      </c>
      <c r="G1586" s="169" t="s">
        <v>222</v>
      </c>
      <c r="H1586" s="169" t="s">
        <v>358</v>
      </c>
      <c r="I1586" s="169" t="s">
        <v>359</v>
      </c>
      <c r="J1586" s="169" t="s">
        <v>1015</v>
      </c>
      <c r="K1586" s="169" t="s">
        <v>996</v>
      </c>
      <c r="L1586" s="169" t="s">
        <v>956</v>
      </c>
      <c r="M1586" s="169" t="s">
        <v>281</v>
      </c>
      <c r="N1586" s="178">
        <v>5600000</v>
      </c>
      <c r="O1586" s="169" t="s">
        <v>1028</v>
      </c>
      <c r="P1586" s="169" t="s">
        <v>283</v>
      </c>
      <c r="Q1586" s="169" t="s">
        <v>284</v>
      </c>
      <c r="R1586" s="169" t="s">
        <v>283</v>
      </c>
      <c r="S1586" s="169" t="s">
        <v>283</v>
      </c>
      <c r="T1586" s="169">
        <v>0</v>
      </c>
    </row>
    <row r="1587" spans="1:20" x14ac:dyDescent="0.2">
      <c r="A1587" s="169" t="str">
        <f t="shared" si="3"/>
        <v>641</v>
      </c>
      <c r="B1587" s="167" t="str">
        <f>_xlfn.XLOOKUP(I1587,Mapping!D:D,Mapping!E:E)</f>
        <v>Kinh doanh</v>
      </c>
      <c r="C1587" s="167" t="str">
        <f>_xlfn.XLOOKUP(F1587,Mapping!A:A,Mapping!F:F)</f>
        <v>Thưởng</v>
      </c>
      <c r="D1587" s="173">
        <v>45900</v>
      </c>
      <c r="E1587" s="169" t="s">
        <v>1029</v>
      </c>
      <c r="F1587" s="169" t="s">
        <v>365</v>
      </c>
      <c r="G1587" s="169" t="s">
        <v>291</v>
      </c>
      <c r="H1587" s="169" t="s">
        <v>366</v>
      </c>
      <c r="I1587" s="169" t="s">
        <v>1</v>
      </c>
      <c r="J1587" s="169" t="s">
        <v>1030</v>
      </c>
      <c r="K1587" s="169" t="s">
        <v>670</v>
      </c>
      <c r="L1587" s="169" t="s">
        <v>956</v>
      </c>
      <c r="M1587" s="169" t="s">
        <v>281</v>
      </c>
      <c r="N1587" s="178">
        <v>21467943</v>
      </c>
      <c r="O1587" s="169" t="s">
        <v>1031</v>
      </c>
      <c r="P1587" s="169" t="s">
        <v>283</v>
      </c>
      <c r="Q1587" s="169" t="s">
        <v>370</v>
      </c>
      <c r="R1587" s="169" t="s">
        <v>283</v>
      </c>
      <c r="S1587" s="169" t="s">
        <v>283</v>
      </c>
      <c r="T1587" s="169">
        <v>0</v>
      </c>
    </row>
    <row r="1588" spans="1:20" x14ac:dyDescent="0.2">
      <c r="A1588" s="169" t="str">
        <f t="shared" si="3"/>
        <v>641</v>
      </c>
      <c r="B1588" s="167" t="str">
        <f>_xlfn.XLOOKUP(I1588,Mapping!D:D,Mapping!E:E)</f>
        <v>Kinh doanh</v>
      </c>
      <c r="C1588" s="167" t="str">
        <f>_xlfn.XLOOKUP(F1588,Mapping!A:A,Mapping!F:F)</f>
        <v>Thưởng</v>
      </c>
      <c r="D1588" s="173">
        <v>45900</v>
      </c>
      <c r="E1588" s="169" t="s">
        <v>1032</v>
      </c>
      <c r="F1588" s="169" t="s">
        <v>365</v>
      </c>
      <c r="G1588" s="169" t="s">
        <v>291</v>
      </c>
      <c r="H1588" s="169" t="s">
        <v>366</v>
      </c>
      <c r="I1588" s="169" t="s">
        <v>1</v>
      </c>
      <c r="J1588" s="169" t="s">
        <v>1033</v>
      </c>
      <c r="K1588" s="169" t="s">
        <v>670</v>
      </c>
      <c r="L1588" s="169" t="s">
        <v>956</v>
      </c>
      <c r="M1588" s="169" t="s">
        <v>281</v>
      </c>
      <c r="N1588" s="178">
        <v>185891381</v>
      </c>
      <c r="O1588" s="169" t="s">
        <v>1034</v>
      </c>
      <c r="P1588" s="169" t="s">
        <v>283</v>
      </c>
      <c r="Q1588" s="169" t="s">
        <v>370</v>
      </c>
      <c r="R1588" s="169" t="s">
        <v>283</v>
      </c>
      <c r="S1588" s="169" t="s">
        <v>283</v>
      </c>
      <c r="T1588" s="169">
        <v>0</v>
      </c>
    </row>
    <row r="1589" spans="1:20" x14ac:dyDescent="0.2">
      <c r="A1589" s="169" t="str">
        <f t="shared" si="3"/>
        <v>641</v>
      </c>
      <c r="B1589" s="167" t="str">
        <f>_xlfn.XLOOKUP(I1589,Mapping!D:D,Mapping!E:E)</f>
        <v>Kinh doanh</v>
      </c>
      <c r="C1589" s="167" t="str">
        <f>_xlfn.XLOOKUP(F1589,Mapping!A:A,Mapping!F:F)</f>
        <v>Thưởng</v>
      </c>
      <c r="D1589" s="173">
        <v>45870</v>
      </c>
      <c r="E1589" s="169" t="s">
        <v>1035</v>
      </c>
      <c r="F1589" s="169" t="s">
        <v>365</v>
      </c>
      <c r="G1589" s="169" t="s">
        <v>291</v>
      </c>
      <c r="H1589" s="169" t="s">
        <v>366</v>
      </c>
      <c r="I1589" s="169" t="s">
        <v>1</v>
      </c>
      <c r="J1589" s="169" t="s">
        <v>925</v>
      </c>
      <c r="K1589" s="169" t="s">
        <v>670</v>
      </c>
      <c r="L1589" s="169" t="s">
        <v>956</v>
      </c>
      <c r="M1589" s="169" t="s">
        <v>281</v>
      </c>
      <c r="N1589" s="178">
        <v>-83908472</v>
      </c>
      <c r="O1589" s="169" t="s">
        <v>1036</v>
      </c>
      <c r="P1589" s="169" t="s">
        <v>447</v>
      </c>
      <c r="Q1589" s="169" t="s">
        <v>284</v>
      </c>
      <c r="R1589" s="169" t="s">
        <v>283</v>
      </c>
      <c r="S1589" s="169" t="s">
        <v>283</v>
      </c>
      <c r="T1589" s="169">
        <v>0</v>
      </c>
    </row>
    <row r="1590" spans="1:20" x14ac:dyDescent="0.2">
      <c r="A1590" s="169" t="str">
        <f t="shared" si="3"/>
        <v>622</v>
      </c>
      <c r="B1590" s="167" t="str">
        <f>_xlfn.XLOOKUP(I1590,Mapping!D:D,Mapping!E:E)</f>
        <v>Xưởng Sản Xuất</v>
      </c>
      <c r="C1590" s="167" t="str">
        <f>_xlfn.XLOOKUP(F1590,Mapping!A:A,Mapping!F:F)</f>
        <v>Phụ Cấp</v>
      </c>
      <c r="D1590" s="173">
        <v>45900</v>
      </c>
      <c r="E1590" s="169" t="s">
        <v>1037</v>
      </c>
      <c r="F1590" s="169" t="s">
        <v>414</v>
      </c>
      <c r="G1590" s="169" t="s">
        <v>415</v>
      </c>
      <c r="H1590" s="169" t="s">
        <v>441</v>
      </c>
      <c r="I1590" s="169" t="s">
        <v>442</v>
      </c>
      <c r="J1590" s="169" t="s">
        <v>416</v>
      </c>
      <c r="K1590" s="169" t="s">
        <v>416</v>
      </c>
      <c r="L1590" s="169" t="s">
        <v>956</v>
      </c>
      <c r="M1590" s="169" t="s">
        <v>281</v>
      </c>
      <c r="N1590" s="178">
        <v>400000</v>
      </c>
      <c r="O1590" s="169" t="s">
        <v>1038</v>
      </c>
      <c r="P1590" s="169" t="s">
        <v>283</v>
      </c>
      <c r="Q1590" s="169" t="s">
        <v>348</v>
      </c>
      <c r="R1590" s="169" t="s">
        <v>283</v>
      </c>
      <c r="S1590" s="169" t="s">
        <v>283</v>
      </c>
      <c r="T1590" s="169">
        <v>0</v>
      </c>
    </row>
    <row r="1591" spans="1:20" x14ac:dyDescent="0.2">
      <c r="A1591" s="169" t="str">
        <f t="shared" si="3"/>
        <v>627</v>
      </c>
      <c r="B1591" s="167" t="str">
        <f>_xlfn.XLOOKUP(I1591,Mapping!D:D,Mapping!E:E)</f>
        <v>Xưởng Sản Xuất</v>
      </c>
      <c r="C1591" s="167" t="str">
        <f>_xlfn.XLOOKUP(F1591,Mapping!A:A,Mapping!F:F)</f>
        <v>Phụ Cấp</v>
      </c>
      <c r="D1591" s="173">
        <v>45900</v>
      </c>
      <c r="E1591" s="169" t="s">
        <v>1037</v>
      </c>
      <c r="F1591" s="169" t="s">
        <v>375</v>
      </c>
      <c r="G1591" s="169" t="s">
        <v>336</v>
      </c>
      <c r="H1591" s="169" t="s">
        <v>441</v>
      </c>
      <c r="I1591" s="169" t="s">
        <v>442</v>
      </c>
      <c r="J1591" s="169" t="s">
        <v>416</v>
      </c>
      <c r="K1591" s="169" t="s">
        <v>416</v>
      </c>
      <c r="L1591" s="169" t="s">
        <v>956</v>
      </c>
      <c r="M1591" s="169" t="s">
        <v>281</v>
      </c>
      <c r="N1591" s="178">
        <v>-400000</v>
      </c>
      <c r="O1591" s="169" t="s">
        <v>1038</v>
      </c>
      <c r="P1591" s="169" t="s">
        <v>283</v>
      </c>
      <c r="Q1591" s="169" t="s">
        <v>348</v>
      </c>
      <c r="R1591" s="169" t="s">
        <v>283</v>
      </c>
      <c r="S1591" s="169" t="s">
        <v>283</v>
      </c>
      <c r="T1591" s="169">
        <v>0</v>
      </c>
    </row>
    <row r="1592" spans="1:20" x14ac:dyDescent="0.2">
      <c r="A1592" s="169" t="str">
        <f t="shared" si="3"/>
        <v>622</v>
      </c>
      <c r="B1592" s="167" t="str">
        <f>_xlfn.XLOOKUP(I1592,Mapping!D:D,Mapping!E:E)</f>
        <v>Xưởng Sản Xuất</v>
      </c>
      <c r="C1592" s="167" t="str">
        <f>_xlfn.XLOOKUP(F1592,Mapping!A:A,Mapping!F:F)</f>
        <v>Phụ Cấp</v>
      </c>
      <c r="D1592" s="173">
        <v>45900</v>
      </c>
      <c r="E1592" s="169" t="s">
        <v>1037</v>
      </c>
      <c r="F1592" s="169" t="s">
        <v>414</v>
      </c>
      <c r="G1592" s="169" t="s">
        <v>415</v>
      </c>
      <c r="H1592" s="169" t="s">
        <v>441</v>
      </c>
      <c r="I1592" s="169" t="s">
        <v>442</v>
      </c>
      <c r="J1592" s="169" t="s">
        <v>416</v>
      </c>
      <c r="K1592" s="169" t="s">
        <v>416</v>
      </c>
      <c r="L1592" s="169" t="s">
        <v>956</v>
      </c>
      <c r="M1592" s="169" t="s">
        <v>281</v>
      </c>
      <c r="N1592" s="178">
        <v>100000</v>
      </c>
      <c r="O1592" s="169" t="s">
        <v>1038</v>
      </c>
      <c r="P1592" s="169" t="s">
        <v>283</v>
      </c>
      <c r="Q1592" s="169" t="s">
        <v>348</v>
      </c>
      <c r="R1592" s="169" t="s">
        <v>283</v>
      </c>
      <c r="S1592" s="169" t="s">
        <v>283</v>
      </c>
      <c r="T1592" s="169">
        <v>0</v>
      </c>
    </row>
    <row r="1593" spans="1:20" x14ac:dyDescent="0.2">
      <c r="A1593" s="169" t="str">
        <f t="shared" si="3"/>
        <v>627</v>
      </c>
      <c r="B1593" s="167" t="str">
        <f>_xlfn.XLOOKUP(I1593,Mapping!D:D,Mapping!E:E)</f>
        <v>Xưởng Sản Xuất</v>
      </c>
      <c r="C1593" s="167" t="str">
        <f>_xlfn.XLOOKUP(F1593,Mapping!A:A,Mapping!F:F)</f>
        <v>Phụ Cấp</v>
      </c>
      <c r="D1593" s="173">
        <v>45900</v>
      </c>
      <c r="E1593" s="169" t="s">
        <v>1037</v>
      </c>
      <c r="F1593" s="169" t="s">
        <v>375</v>
      </c>
      <c r="G1593" s="169" t="s">
        <v>336</v>
      </c>
      <c r="H1593" s="169" t="s">
        <v>430</v>
      </c>
      <c r="I1593" s="169" t="s">
        <v>431</v>
      </c>
      <c r="J1593" s="169" t="s">
        <v>416</v>
      </c>
      <c r="K1593" s="169" t="s">
        <v>416</v>
      </c>
      <c r="L1593" s="169" t="s">
        <v>956</v>
      </c>
      <c r="M1593" s="169" t="s">
        <v>281</v>
      </c>
      <c r="N1593" s="178">
        <v>-100000</v>
      </c>
      <c r="O1593" s="169" t="s">
        <v>1038</v>
      </c>
      <c r="P1593" s="169" t="s">
        <v>283</v>
      </c>
      <c r="Q1593" s="169" t="s">
        <v>348</v>
      </c>
      <c r="R1593" s="169" t="s">
        <v>283</v>
      </c>
      <c r="S1593" s="169" t="s">
        <v>283</v>
      </c>
      <c r="T1593" s="169">
        <v>0</v>
      </c>
    </row>
    <row r="1594" spans="1:20" x14ac:dyDescent="0.2">
      <c r="A1594" s="169" t="str">
        <f t="shared" si="3"/>
        <v>622</v>
      </c>
      <c r="B1594" s="167" t="str">
        <f>_xlfn.XLOOKUP(I1594,Mapping!D:D,Mapping!E:E)</f>
        <v>Xưởng Sản Xuất</v>
      </c>
      <c r="C1594" s="167" t="str">
        <f>_xlfn.XLOOKUP(F1594,Mapping!A:A,Mapping!F:F)</f>
        <v>Phụ Cấp</v>
      </c>
      <c r="D1594" s="173">
        <v>45900</v>
      </c>
      <c r="E1594" s="169" t="s">
        <v>1037</v>
      </c>
      <c r="F1594" s="169" t="s">
        <v>414</v>
      </c>
      <c r="G1594" s="169" t="s">
        <v>415</v>
      </c>
      <c r="H1594" s="169" t="s">
        <v>430</v>
      </c>
      <c r="I1594" s="169" t="s">
        <v>431</v>
      </c>
      <c r="J1594" s="169" t="s">
        <v>416</v>
      </c>
      <c r="K1594" s="169" t="s">
        <v>416</v>
      </c>
      <c r="L1594" s="169" t="s">
        <v>956</v>
      </c>
      <c r="M1594" s="169" t="s">
        <v>281</v>
      </c>
      <c r="N1594" s="178">
        <v>19875000</v>
      </c>
      <c r="O1594" s="169" t="s">
        <v>1038</v>
      </c>
      <c r="P1594" s="169" t="s">
        <v>283</v>
      </c>
      <c r="Q1594" s="169" t="s">
        <v>348</v>
      </c>
      <c r="R1594" s="169" t="s">
        <v>283</v>
      </c>
      <c r="S1594" s="169" t="s">
        <v>283</v>
      </c>
      <c r="T1594" s="169">
        <v>0</v>
      </c>
    </row>
    <row r="1595" spans="1:20" x14ac:dyDescent="0.2">
      <c r="A1595" s="169" t="str">
        <f t="shared" si="3"/>
        <v>627</v>
      </c>
      <c r="B1595" s="167" t="str">
        <f>_xlfn.XLOOKUP(I1595,Mapping!D:D,Mapping!E:E)</f>
        <v>Xưởng Sản Xuất</v>
      </c>
      <c r="C1595" s="167" t="str">
        <f>_xlfn.XLOOKUP(F1595,Mapping!A:A,Mapping!F:F)</f>
        <v>Phụ Cấp</v>
      </c>
      <c r="D1595" s="173">
        <v>45900</v>
      </c>
      <c r="E1595" s="169" t="s">
        <v>1037</v>
      </c>
      <c r="F1595" s="169" t="s">
        <v>375</v>
      </c>
      <c r="G1595" s="169" t="s">
        <v>336</v>
      </c>
      <c r="H1595" s="169" t="s">
        <v>430</v>
      </c>
      <c r="I1595" s="169" t="s">
        <v>431</v>
      </c>
      <c r="J1595" s="169" t="s">
        <v>416</v>
      </c>
      <c r="K1595" s="169" t="s">
        <v>416</v>
      </c>
      <c r="L1595" s="169" t="s">
        <v>956</v>
      </c>
      <c r="M1595" s="169" t="s">
        <v>281</v>
      </c>
      <c r="N1595" s="178">
        <v>-19875000</v>
      </c>
      <c r="O1595" s="169" t="s">
        <v>1038</v>
      </c>
      <c r="P1595" s="169" t="s">
        <v>283</v>
      </c>
      <c r="Q1595" s="169" t="s">
        <v>348</v>
      </c>
      <c r="R1595" s="169" t="s">
        <v>283</v>
      </c>
      <c r="S1595" s="169" t="s">
        <v>283</v>
      </c>
      <c r="T1595" s="169">
        <v>0</v>
      </c>
    </row>
    <row r="1596" spans="1:20" x14ac:dyDescent="0.2">
      <c r="A1596" s="169" t="str">
        <f t="shared" si="3"/>
        <v>622</v>
      </c>
      <c r="B1596" s="167" t="str">
        <f>_xlfn.XLOOKUP(I1596,Mapping!D:D,Mapping!E:E)</f>
        <v>Xưởng Sản Xuất</v>
      </c>
      <c r="C1596" s="167" t="str">
        <f>_xlfn.XLOOKUP(F1596,Mapping!A:A,Mapping!F:F)</f>
        <v>Phụ Cấp</v>
      </c>
      <c r="D1596" s="173">
        <v>45900</v>
      </c>
      <c r="E1596" s="169" t="s">
        <v>1037</v>
      </c>
      <c r="F1596" s="169" t="s">
        <v>414</v>
      </c>
      <c r="G1596" s="169" t="s">
        <v>415</v>
      </c>
      <c r="H1596" s="169" t="s">
        <v>402</v>
      </c>
      <c r="I1596" s="169" t="s">
        <v>403</v>
      </c>
      <c r="J1596" s="169" t="s">
        <v>416</v>
      </c>
      <c r="K1596" s="169" t="s">
        <v>416</v>
      </c>
      <c r="L1596" s="169" t="s">
        <v>956</v>
      </c>
      <c r="M1596" s="169" t="s">
        <v>281</v>
      </c>
      <c r="N1596" s="178">
        <v>128050000</v>
      </c>
      <c r="O1596" s="169" t="s">
        <v>1038</v>
      </c>
      <c r="P1596" s="169" t="s">
        <v>283</v>
      </c>
      <c r="Q1596" s="169" t="s">
        <v>348</v>
      </c>
      <c r="R1596" s="169" t="s">
        <v>283</v>
      </c>
      <c r="S1596" s="169" t="s">
        <v>283</v>
      </c>
      <c r="T1596" s="169">
        <v>0</v>
      </c>
    </row>
    <row r="1597" spans="1:20" x14ac:dyDescent="0.2">
      <c r="A1597" s="169" t="str">
        <f t="shared" si="3"/>
        <v>627</v>
      </c>
      <c r="B1597" s="167" t="str">
        <f>_xlfn.XLOOKUP(I1597,Mapping!D:D,Mapping!E:E)</f>
        <v>Xưởng Sản Xuất</v>
      </c>
      <c r="C1597" s="167" t="str">
        <f>_xlfn.XLOOKUP(F1597,Mapping!A:A,Mapping!F:F)</f>
        <v>Phụ Cấp</v>
      </c>
      <c r="D1597" s="173">
        <v>45900</v>
      </c>
      <c r="E1597" s="169" t="s">
        <v>1037</v>
      </c>
      <c r="F1597" s="169" t="s">
        <v>375</v>
      </c>
      <c r="G1597" s="169" t="s">
        <v>336</v>
      </c>
      <c r="H1597" s="169" t="s">
        <v>402</v>
      </c>
      <c r="I1597" s="169" t="s">
        <v>403</v>
      </c>
      <c r="J1597" s="169" t="s">
        <v>416</v>
      </c>
      <c r="K1597" s="169" t="s">
        <v>416</v>
      </c>
      <c r="L1597" s="169" t="s">
        <v>956</v>
      </c>
      <c r="M1597" s="169" t="s">
        <v>281</v>
      </c>
      <c r="N1597" s="178">
        <v>-128050000</v>
      </c>
      <c r="O1597" s="169" t="s">
        <v>1038</v>
      </c>
      <c r="P1597" s="169" t="s">
        <v>283</v>
      </c>
      <c r="Q1597" s="169" t="s">
        <v>348</v>
      </c>
      <c r="R1597" s="169" t="s">
        <v>283</v>
      </c>
      <c r="S1597" s="169" t="s">
        <v>283</v>
      </c>
      <c r="T1597" s="169">
        <v>0</v>
      </c>
    </row>
    <row r="1598" spans="1:20" x14ac:dyDescent="0.2">
      <c r="A1598" s="169" t="str">
        <f t="shared" si="3"/>
        <v>641</v>
      </c>
      <c r="B1598" s="167" t="str">
        <f>_xlfn.XLOOKUP(I1598,Mapping!D:D,Mapping!E:E)</f>
        <v>Kinh doanh</v>
      </c>
      <c r="C1598" s="167" t="str">
        <f>_xlfn.XLOOKUP(F1598,Mapping!A:A,Mapping!F:F)</f>
        <v>Phụ Cấp</v>
      </c>
      <c r="D1598" s="173">
        <v>45901</v>
      </c>
      <c r="E1598" s="169" t="s">
        <v>1046</v>
      </c>
      <c r="F1598" s="169" t="s">
        <v>385</v>
      </c>
      <c r="G1598" s="169" t="s">
        <v>336</v>
      </c>
      <c r="H1598" s="169" t="s">
        <v>366</v>
      </c>
      <c r="I1598" s="169" t="s">
        <v>1</v>
      </c>
      <c r="J1598" s="169" t="s">
        <v>1047</v>
      </c>
      <c r="K1598" s="169" t="s">
        <v>581</v>
      </c>
      <c r="L1598" s="169" t="s">
        <v>1048</v>
      </c>
      <c r="M1598" s="169" t="s">
        <v>281</v>
      </c>
      <c r="N1598" s="178">
        <v>7056000</v>
      </c>
      <c r="O1598" s="169" t="s">
        <v>1049</v>
      </c>
      <c r="P1598" s="169" t="s">
        <v>283</v>
      </c>
      <c r="Q1598" s="169" t="s">
        <v>306</v>
      </c>
      <c r="R1598" s="169" t="s">
        <v>283</v>
      </c>
      <c r="S1598" s="169" t="s">
        <v>283</v>
      </c>
      <c r="T1598" s="169">
        <v>0</v>
      </c>
    </row>
    <row r="1599" spans="1:20" x14ac:dyDescent="0.2">
      <c r="A1599" s="169" t="str">
        <f t="shared" si="3"/>
        <v>627</v>
      </c>
      <c r="B1599" s="167" t="str">
        <f>_xlfn.XLOOKUP(I1599,Mapping!D:D,Mapping!E:E)</f>
        <v>Xưởng Sản Xuất</v>
      </c>
      <c r="C1599" s="167" t="str">
        <f>_xlfn.XLOOKUP(F1599,Mapping!A:A,Mapping!F:F)</f>
        <v>Khen thưởng BD khác</v>
      </c>
      <c r="D1599" s="173">
        <v>45913</v>
      </c>
      <c r="E1599" s="169" t="s">
        <v>1050</v>
      </c>
      <c r="F1599" s="169" t="s">
        <v>435</v>
      </c>
      <c r="G1599" s="169" t="s">
        <v>222</v>
      </c>
      <c r="H1599" s="169" t="s">
        <v>436</v>
      </c>
      <c r="I1599" s="169" t="s">
        <v>437</v>
      </c>
      <c r="J1599" s="169" t="s">
        <v>1051</v>
      </c>
      <c r="K1599" s="169" t="s">
        <v>1052</v>
      </c>
      <c r="L1599" s="169" t="s">
        <v>1048</v>
      </c>
      <c r="M1599" s="169" t="s">
        <v>281</v>
      </c>
      <c r="N1599" s="178">
        <v>10050000</v>
      </c>
      <c r="O1599" s="169" t="s">
        <v>1053</v>
      </c>
      <c r="P1599" s="169" t="s">
        <v>283</v>
      </c>
      <c r="Q1599" s="169" t="s">
        <v>964</v>
      </c>
      <c r="R1599" s="169" t="s">
        <v>283</v>
      </c>
      <c r="S1599" s="169" t="s">
        <v>283</v>
      </c>
      <c r="T1599" s="169">
        <v>0</v>
      </c>
    </row>
    <row r="1600" spans="1:20" x14ac:dyDescent="0.2">
      <c r="A1600" s="169" t="str">
        <f t="shared" si="3"/>
        <v>627</v>
      </c>
      <c r="B1600" s="167" t="str">
        <f>_xlfn.XLOOKUP(I1600,Mapping!D:D,Mapping!E:E)</f>
        <v>Nghiên Cứu &amp; Phát Triển</v>
      </c>
      <c r="C1600" s="167" t="str">
        <f>_xlfn.XLOOKUP(F1600,Mapping!A:A,Mapping!F:F)</f>
        <v>Khen thưởng BD khác</v>
      </c>
      <c r="D1600" s="173">
        <v>45911</v>
      </c>
      <c r="E1600" s="169" t="s">
        <v>1054</v>
      </c>
      <c r="F1600" s="169" t="s">
        <v>435</v>
      </c>
      <c r="G1600" s="169" t="s">
        <v>222</v>
      </c>
      <c r="H1600" s="169" t="s">
        <v>418</v>
      </c>
      <c r="I1600" s="169" t="s">
        <v>419</v>
      </c>
      <c r="J1600" s="169" t="s">
        <v>1055</v>
      </c>
      <c r="K1600" s="169" t="s">
        <v>978</v>
      </c>
      <c r="L1600" s="169" t="s">
        <v>1048</v>
      </c>
      <c r="M1600" s="169" t="s">
        <v>281</v>
      </c>
      <c r="N1600" s="178">
        <v>4000000</v>
      </c>
      <c r="O1600" s="169" t="s">
        <v>1056</v>
      </c>
      <c r="P1600" s="169" t="s">
        <v>283</v>
      </c>
      <c r="Q1600" s="169" t="s">
        <v>306</v>
      </c>
      <c r="R1600" s="169" t="s">
        <v>283</v>
      </c>
      <c r="S1600" s="169" t="s">
        <v>283</v>
      </c>
      <c r="T1600" s="169">
        <v>0</v>
      </c>
    </row>
    <row r="1601" spans="1:20" x14ac:dyDescent="0.2">
      <c r="A1601" s="169" t="str">
        <f t="shared" si="3"/>
        <v>627</v>
      </c>
      <c r="B1601" s="167" t="str">
        <f>_xlfn.XLOOKUP(I1601,Mapping!D:D,Mapping!E:E)</f>
        <v>Nghiên Cứu &amp; Phát Triển</v>
      </c>
      <c r="C1601" s="167" t="str">
        <f>_xlfn.XLOOKUP(F1601,Mapping!A:A,Mapping!F:F)</f>
        <v>Khen thưởng BD khác</v>
      </c>
      <c r="D1601" s="173">
        <v>45911</v>
      </c>
      <c r="E1601" s="169" t="s">
        <v>1054</v>
      </c>
      <c r="F1601" s="169" t="s">
        <v>435</v>
      </c>
      <c r="G1601" s="169" t="s">
        <v>222</v>
      </c>
      <c r="H1601" s="169" t="s">
        <v>418</v>
      </c>
      <c r="I1601" s="169" t="s">
        <v>419</v>
      </c>
      <c r="J1601" s="169" t="s">
        <v>1057</v>
      </c>
      <c r="K1601" s="169" t="s">
        <v>978</v>
      </c>
      <c r="L1601" s="169" t="s">
        <v>1048</v>
      </c>
      <c r="M1601" s="169" t="s">
        <v>281</v>
      </c>
      <c r="N1601" s="178">
        <v>3600000</v>
      </c>
      <c r="O1601" s="169" t="s">
        <v>1056</v>
      </c>
      <c r="P1601" s="169" t="s">
        <v>283</v>
      </c>
      <c r="Q1601" s="169" t="s">
        <v>306</v>
      </c>
      <c r="R1601" s="169" t="s">
        <v>283</v>
      </c>
      <c r="S1601" s="169" t="s">
        <v>283</v>
      </c>
      <c r="T1601" s="169">
        <v>0</v>
      </c>
    </row>
    <row r="1602" spans="1:20" x14ac:dyDescent="0.2">
      <c r="A1602" s="169" t="str">
        <f t="shared" si="3"/>
        <v>627</v>
      </c>
      <c r="B1602" s="167" t="str">
        <f>_xlfn.XLOOKUP(I1602,Mapping!D:D,Mapping!E:E)</f>
        <v>Kiểm Soát Chất Lượng</v>
      </c>
      <c r="C1602" s="167" t="str">
        <f>_xlfn.XLOOKUP(F1602,Mapping!A:A,Mapping!F:F)</f>
        <v>Khen thưởng BD khác</v>
      </c>
      <c r="D1602" s="173">
        <v>45913</v>
      </c>
      <c r="E1602" s="169" t="s">
        <v>1058</v>
      </c>
      <c r="F1602" s="169" t="s">
        <v>435</v>
      </c>
      <c r="G1602" s="169" t="s">
        <v>222</v>
      </c>
      <c r="H1602" s="169" t="s">
        <v>411</v>
      </c>
      <c r="I1602" s="169" t="s">
        <v>412</v>
      </c>
      <c r="J1602" s="169" t="s">
        <v>1059</v>
      </c>
      <c r="K1602" s="169" t="s">
        <v>978</v>
      </c>
      <c r="L1602" s="169" t="s">
        <v>1048</v>
      </c>
      <c r="M1602" s="169" t="s">
        <v>281</v>
      </c>
      <c r="N1602" s="178">
        <v>3600000</v>
      </c>
      <c r="O1602" s="169" t="s">
        <v>1060</v>
      </c>
      <c r="P1602" s="169" t="s">
        <v>283</v>
      </c>
      <c r="Q1602" s="169" t="s">
        <v>306</v>
      </c>
      <c r="R1602" s="169" t="s">
        <v>283</v>
      </c>
      <c r="S1602" s="169" t="s">
        <v>283</v>
      </c>
      <c r="T1602" s="169">
        <v>0</v>
      </c>
    </row>
    <row r="1603" spans="1:20" x14ac:dyDescent="0.2">
      <c r="A1603" s="169" t="str">
        <f t="shared" si="3"/>
        <v>627</v>
      </c>
      <c r="B1603" s="167" t="str">
        <f>_xlfn.XLOOKUP(I1603,Mapping!D:D,Mapping!E:E)</f>
        <v>Xưởng Sản Xuất</v>
      </c>
      <c r="C1603" s="167" t="str">
        <f>_xlfn.XLOOKUP(F1603,Mapping!A:A,Mapping!F:F)</f>
        <v>Khen thưởng BD khác</v>
      </c>
      <c r="D1603" s="173">
        <v>45924</v>
      </c>
      <c r="E1603" s="169" t="s">
        <v>1061</v>
      </c>
      <c r="F1603" s="169" t="s">
        <v>435</v>
      </c>
      <c r="G1603" s="169" t="s">
        <v>222</v>
      </c>
      <c r="H1603" s="169" t="s">
        <v>436</v>
      </c>
      <c r="I1603" s="169" t="s">
        <v>437</v>
      </c>
      <c r="J1603" s="169" t="s">
        <v>1062</v>
      </c>
      <c r="K1603" s="169" t="s">
        <v>1052</v>
      </c>
      <c r="L1603" s="169" t="s">
        <v>1048</v>
      </c>
      <c r="M1603" s="169" t="s">
        <v>281</v>
      </c>
      <c r="N1603" s="178">
        <v>12950000</v>
      </c>
      <c r="O1603" s="169" t="s">
        <v>1063</v>
      </c>
      <c r="P1603" s="169" t="s">
        <v>283</v>
      </c>
      <c r="Q1603" s="169" t="s">
        <v>964</v>
      </c>
      <c r="R1603" s="169" t="s">
        <v>283</v>
      </c>
      <c r="S1603" s="169" t="s">
        <v>283</v>
      </c>
      <c r="T1603" s="169">
        <v>0</v>
      </c>
    </row>
    <row r="1604" spans="1:20" x14ac:dyDescent="0.2">
      <c r="A1604" s="169" t="str">
        <f t="shared" si="3"/>
        <v>641</v>
      </c>
      <c r="B1604" s="167" t="str">
        <f>_xlfn.XLOOKUP(I1604,Mapping!D:D,Mapping!E:E)</f>
        <v>Kinh doanh</v>
      </c>
      <c r="C1604" s="167" t="str">
        <f>_xlfn.XLOOKUP(F1604,Mapping!A:A,Mapping!F:F)</f>
        <v>Thưởng</v>
      </c>
      <c r="D1604" s="173">
        <v>45926</v>
      </c>
      <c r="E1604" s="169" t="s">
        <v>1064</v>
      </c>
      <c r="F1604" s="169" t="s">
        <v>365</v>
      </c>
      <c r="G1604" s="169" t="s">
        <v>291</v>
      </c>
      <c r="H1604" s="169" t="s">
        <v>366</v>
      </c>
      <c r="I1604" s="169" t="s">
        <v>1</v>
      </c>
      <c r="J1604" s="169" t="s">
        <v>1065</v>
      </c>
      <c r="K1604" s="169" t="s">
        <v>1066</v>
      </c>
      <c r="L1604" s="169" t="s">
        <v>1048</v>
      </c>
      <c r="M1604" s="169" t="s">
        <v>281</v>
      </c>
      <c r="N1604" s="178">
        <v>-6011386</v>
      </c>
      <c r="O1604" s="169" t="s">
        <v>1067</v>
      </c>
      <c r="P1604" s="169" t="s">
        <v>283</v>
      </c>
      <c r="Q1604" s="169" t="s">
        <v>370</v>
      </c>
      <c r="R1604" s="169" t="s">
        <v>283</v>
      </c>
      <c r="S1604" s="169" t="s">
        <v>283</v>
      </c>
      <c r="T1604" s="169">
        <v>0</v>
      </c>
    </row>
    <row r="1605" spans="1:20" x14ac:dyDescent="0.2">
      <c r="A1605" s="169" t="str">
        <f t="shared" si="3"/>
        <v>641</v>
      </c>
      <c r="B1605" s="167" t="str">
        <f>_xlfn.XLOOKUP(I1605,Mapping!D:D,Mapping!E:E)</f>
        <v>Kinh doanh</v>
      </c>
      <c r="C1605" s="167" t="str">
        <f>_xlfn.XLOOKUP(F1605,Mapping!A:A,Mapping!F:F)</f>
        <v>Lương Chính +T13</v>
      </c>
      <c r="D1605" s="173">
        <v>45926</v>
      </c>
      <c r="E1605" s="169" t="s">
        <v>1068</v>
      </c>
      <c r="F1605" s="169" t="s">
        <v>383</v>
      </c>
      <c r="G1605" s="169" t="s">
        <v>275</v>
      </c>
      <c r="H1605" s="169" t="s">
        <v>366</v>
      </c>
      <c r="I1605" s="169" t="s">
        <v>1</v>
      </c>
      <c r="J1605" s="169" t="s">
        <v>1069</v>
      </c>
      <c r="K1605" s="169" t="s">
        <v>1070</v>
      </c>
      <c r="L1605" s="169" t="s">
        <v>1048</v>
      </c>
      <c r="M1605" s="169" t="s">
        <v>281</v>
      </c>
      <c r="N1605" s="178">
        <v>105780000</v>
      </c>
      <c r="O1605" s="169" t="s">
        <v>1071</v>
      </c>
      <c r="P1605" s="169" t="s">
        <v>283</v>
      </c>
      <c r="Q1605" s="169" t="s">
        <v>973</v>
      </c>
      <c r="R1605" s="169" t="s">
        <v>283</v>
      </c>
      <c r="S1605" s="169" t="s">
        <v>283</v>
      </c>
      <c r="T1605" s="169">
        <v>0</v>
      </c>
    </row>
    <row r="1606" spans="1:20" x14ac:dyDescent="0.2">
      <c r="A1606" s="169" t="str">
        <f t="shared" si="3"/>
        <v>642</v>
      </c>
      <c r="B1606" s="167" t="str">
        <f>_xlfn.XLOOKUP(I1606,Mapping!D:D,Mapping!E:E)</f>
        <v>Hành Chánh Nhân Sự</v>
      </c>
      <c r="C1606" s="167" t="str">
        <f>_xlfn.XLOOKUP(F1606,Mapping!A:A,Mapping!F:F)</f>
        <v>Khen thưởng BD khác</v>
      </c>
      <c r="D1606" s="173">
        <v>45930</v>
      </c>
      <c r="E1606" s="169" t="s">
        <v>1072</v>
      </c>
      <c r="F1606" s="169" t="s">
        <v>300</v>
      </c>
      <c r="G1606" s="169" t="s">
        <v>222</v>
      </c>
      <c r="H1606" s="169" t="s">
        <v>358</v>
      </c>
      <c r="I1606" s="169" t="s">
        <v>359</v>
      </c>
      <c r="J1606" s="169" t="s">
        <v>1073</v>
      </c>
      <c r="K1606" s="169" t="s">
        <v>1073</v>
      </c>
      <c r="L1606" s="169" t="s">
        <v>1048</v>
      </c>
      <c r="M1606" s="169" t="s">
        <v>281</v>
      </c>
      <c r="N1606" s="178">
        <v>1500000</v>
      </c>
      <c r="O1606" s="169" t="s">
        <v>1074</v>
      </c>
      <c r="P1606" s="169" t="s">
        <v>283</v>
      </c>
      <c r="Q1606" s="169" t="s">
        <v>764</v>
      </c>
      <c r="R1606" s="169" t="s">
        <v>283</v>
      </c>
      <c r="S1606" s="169" t="s">
        <v>283</v>
      </c>
      <c r="T1606" s="169">
        <v>0</v>
      </c>
    </row>
    <row r="1607" spans="1:20" x14ac:dyDescent="0.2">
      <c r="A1607" s="169" t="str">
        <f t="shared" si="3"/>
        <v>627</v>
      </c>
      <c r="B1607" s="167" t="str">
        <f>_xlfn.XLOOKUP(I1607,Mapping!D:D,Mapping!E:E)</f>
        <v>Xưởng Sản Xuất</v>
      </c>
      <c r="C1607" s="167" t="str">
        <f>_xlfn.XLOOKUP(F1607,Mapping!A:A,Mapping!F:F)</f>
        <v>Phụ Cấp</v>
      </c>
      <c r="D1607" s="173">
        <v>45929</v>
      </c>
      <c r="E1607" s="169" t="s">
        <v>1075</v>
      </c>
      <c r="F1607" s="169" t="s">
        <v>375</v>
      </c>
      <c r="G1607" s="169" t="s">
        <v>336</v>
      </c>
      <c r="H1607" s="169" t="s">
        <v>402</v>
      </c>
      <c r="I1607" s="169" t="s">
        <v>403</v>
      </c>
      <c r="J1607" s="169" t="s">
        <v>1076</v>
      </c>
      <c r="K1607" s="169" t="s">
        <v>992</v>
      </c>
      <c r="L1607" s="169" t="s">
        <v>1048</v>
      </c>
      <c r="M1607" s="169" t="s">
        <v>281</v>
      </c>
      <c r="N1607" s="178">
        <v>159825000</v>
      </c>
      <c r="O1607" s="169" t="s">
        <v>1077</v>
      </c>
      <c r="P1607" s="169" t="s">
        <v>283</v>
      </c>
      <c r="Q1607" s="169" t="s">
        <v>306</v>
      </c>
      <c r="R1607" s="169" t="s">
        <v>283</v>
      </c>
      <c r="S1607" s="169" t="s">
        <v>283</v>
      </c>
      <c r="T1607" s="169">
        <v>0</v>
      </c>
    </row>
    <row r="1608" spans="1:20" x14ac:dyDescent="0.2">
      <c r="A1608" s="169" t="str">
        <f t="shared" si="3"/>
        <v>642</v>
      </c>
      <c r="B1608" s="167" t="str">
        <f>_xlfn.XLOOKUP(I1608,Mapping!D:D,Mapping!E:E)</f>
        <v>Hành Chánh Nhân Sự</v>
      </c>
      <c r="C1608" s="167" t="str">
        <f>_xlfn.XLOOKUP(F1608,Mapping!A:A,Mapping!F:F)</f>
        <v>Phụ Cấp</v>
      </c>
      <c r="D1608" s="173">
        <v>45929</v>
      </c>
      <c r="E1608" s="169" t="s">
        <v>1075</v>
      </c>
      <c r="F1608" s="169" t="s">
        <v>335</v>
      </c>
      <c r="G1608" s="169" t="s">
        <v>336</v>
      </c>
      <c r="H1608" s="169" t="s">
        <v>301</v>
      </c>
      <c r="I1608" s="169" t="s">
        <v>302</v>
      </c>
      <c r="J1608" s="169" t="s">
        <v>1076</v>
      </c>
      <c r="K1608" s="169" t="s">
        <v>992</v>
      </c>
      <c r="L1608" s="169" t="s">
        <v>1048</v>
      </c>
      <c r="M1608" s="169" t="s">
        <v>281</v>
      </c>
      <c r="N1608" s="178">
        <v>28550000</v>
      </c>
      <c r="O1608" s="169" t="s">
        <v>1077</v>
      </c>
      <c r="P1608" s="169" t="s">
        <v>283</v>
      </c>
      <c r="Q1608" s="169" t="s">
        <v>306</v>
      </c>
      <c r="R1608" s="169" t="s">
        <v>283</v>
      </c>
      <c r="S1608" s="169" t="s">
        <v>283</v>
      </c>
      <c r="T1608" s="169">
        <v>0</v>
      </c>
    </row>
    <row r="1609" spans="1:20" x14ac:dyDescent="0.2">
      <c r="A1609" s="169" t="str">
        <f t="shared" si="3"/>
        <v>642</v>
      </c>
      <c r="B1609" s="167" t="str">
        <f>_xlfn.XLOOKUP(I1609,Mapping!D:D,Mapping!E:E)</f>
        <v>Kế Toán</v>
      </c>
      <c r="C1609" s="167" t="str">
        <f>_xlfn.XLOOKUP(F1609,Mapping!A:A,Mapping!F:F)</f>
        <v>Phụ Cấp</v>
      </c>
      <c r="D1609" s="173">
        <v>45929</v>
      </c>
      <c r="E1609" s="169" t="s">
        <v>1075</v>
      </c>
      <c r="F1609" s="169" t="s">
        <v>335</v>
      </c>
      <c r="G1609" s="169" t="s">
        <v>336</v>
      </c>
      <c r="H1609" s="169" t="s">
        <v>356</v>
      </c>
      <c r="I1609" s="169" t="s">
        <v>357</v>
      </c>
      <c r="J1609" s="169" t="s">
        <v>1076</v>
      </c>
      <c r="K1609" s="169" t="s">
        <v>992</v>
      </c>
      <c r="L1609" s="169" t="s">
        <v>1048</v>
      </c>
      <c r="M1609" s="169" t="s">
        <v>281</v>
      </c>
      <c r="N1609" s="178">
        <v>16675000</v>
      </c>
      <c r="O1609" s="169" t="s">
        <v>1077</v>
      </c>
      <c r="P1609" s="169" t="s">
        <v>283</v>
      </c>
      <c r="Q1609" s="169" t="s">
        <v>306</v>
      </c>
      <c r="R1609" s="169" t="s">
        <v>283</v>
      </c>
      <c r="S1609" s="169" t="s">
        <v>283</v>
      </c>
      <c r="T1609" s="169">
        <v>0</v>
      </c>
    </row>
    <row r="1610" spans="1:20" x14ac:dyDescent="0.2">
      <c r="A1610" s="169" t="str">
        <f t="shared" si="3"/>
        <v>642</v>
      </c>
      <c r="B1610" s="167" t="str">
        <f>_xlfn.XLOOKUP(I1610,Mapping!D:D,Mapping!E:E)</f>
        <v>Văn Phòng Giám Đốc</v>
      </c>
      <c r="C1610" s="167" t="str">
        <f>_xlfn.XLOOKUP(F1610,Mapping!A:A,Mapping!F:F)</f>
        <v>Phụ Cấp</v>
      </c>
      <c r="D1610" s="173">
        <v>45929</v>
      </c>
      <c r="E1610" s="169" t="s">
        <v>1075</v>
      </c>
      <c r="F1610" s="169" t="s">
        <v>335</v>
      </c>
      <c r="G1610" s="169" t="s">
        <v>336</v>
      </c>
      <c r="H1610" s="169" t="s">
        <v>320</v>
      </c>
      <c r="I1610" s="169" t="s">
        <v>321</v>
      </c>
      <c r="J1610" s="169" t="s">
        <v>1076</v>
      </c>
      <c r="K1610" s="169" t="s">
        <v>992</v>
      </c>
      <c r="L1610" s="169" t="s">
        <v>1048</v>
      </c>
      <c r="M1610" s="169" t="s">
        <v>281</v>
      </c>
      <c r="N1610" s="178">
        <v>1475000</v>
      </c>
      <c r="O1610" s="169" t="s">
        <v>1077</v>
      </c>
      <c r="P1610" s="169" t="s">
        <v>283</v>
      </c>
      <c r="Q1610" s="169" t="s">
        <v>306</v>
      </c>
      <c r="R1610" s="169" t="s">
        <v>283</v>
      </c>
      <c r="S1610" s="169" t="s">
        <v>283</v>
      </c>
      <c r="T1610" s="169">
        <v>0</v>
      </c>
    </row>
    <row r="1611" spans="1:20" x14ac:dyDescent="0.2">
      <c r="A1611" s="169" t="str">
        <f t="shared" si="3"/>
        <v>627</v>
      </c>
      <c r="B1611" s="167" t="str">
        <f>_xlfn.XLOOKUP(I1611,Mapping!D:D,Mapping!E:E)</f>
        <v>Kỹ Thuật</v>
      </c>
      <c r="C1611" s="167" t="str">
        <f>_xlfn.XLOOKUP(F1611,Mapping!A:A,Mapping!F:F)</f>
        <v>Phụ Cấp</v>
      </c>
      <c r="D1611" s="173">
        <v>45929</v>
      </c>
      <c r="E1611" s="169" t="s">
        <v>1075</v>
      </c>
      <c r="F1611" s="169" t="s">
        <v>375</v>
      </c>
      <c r="G1611" s="169" t="s">
        <v>336</v>
      </c>
      <c r="H1611" s="169" t="s">
        <v>376</v>
      </c>
      <c r="I1611" s="169" t="s">
        <v>377</v>
      </c>
      <c r="J1611" s="169" t="s">
        <v>1076</v>
      </c>
      <c r="K1611" s="169" t="s">
        <v>992</v>
      </c>
      <c r="L1611" s="169" t="s">
        <v>1048</v>
      </c>
      <c r="M1611" s="169" t="s">
        <v>281</v>
      </c>
      <c r="N1611" s="178">
        <v>51025000</v>
      </c>
      <c r="O1611" s="169" t="s">
        <v>1077</v>
      </c>
      <c r="P1611" s="169" t="s">
        <v>283</v>
      </c>
      <c r="Q1611" s="169" t="s">
        <v>306</v>
      </c>
      <c r="R1611" s="169" t="s">
        <v>283</v>
      </c>
      <c r="S1611" s="169" t="s">
        <v>283</v>
      </c>
      <c r="T1611" s="169">
        <v>0</v>
      </c>
    </row>
    <row r="1612" spans="1:20" x14ac:dyDescent="0.2">
      <c r="A1612" s="169" t="str">
        <f t="shared" si="3"/>
        <v>627</v>
      </c>
      <c r="B1612" s="167" t="str">
        <f>_xlfn.XLOOKUP(I1612,Mapping!D:D,Mapping!E:E)</f>
        <v>Kiểm Soát Chất Lượng</v>
      </c>
      <c r="C1612" s="167" t="str">
        <f>_xlfn.XLOOKUP(F1612,Mapping!A:A,Mapping!F:F)</f>
        <v>Phụ Cấp</v>
      </c>
      <c r="D1612" s="173">
        <v>45929</v>
      </c>
      <c r="E1612" s="169" t="s">
        <v>1075</v>
      </c>
      <c r="F1612" s="169" t="s">
        <v>375</v>
      </c>
      <c r="G1612" s="169" t="s">
        <v>336</v>
      </c>
      <c r="H1612" s="169" t="s">
        <v>411</v>
      </c>
      <c r="I1612" s="169" t="s">
        <v>412</v>
      </c>
      <c r="J1612" s="169" t="s">
        <v>1076</v>
      </c>
      <c r="K1612" s="169" t="s">
        <v>992</v>
      </c>
      <c r="L1612" s="169" t="s">
        <v>1048</v>
      </c>
      <c r="M1612" s="169" t="s">
        <v>281</v>
      </c>
      <c r="N1612" s="178">
        <v>33825000</v>
      </c>
      <c r="O1612" s="169" t="s">
        <v>1077</v>
      </c>
      <c r="P1612" s="169" t="s">
        <v>283</v>
      </c>
      <c r="Q1612" s="169" t="s">
        <v>306</v>
      </c>
      <c r="R1612" s="169" t="s">
        <v>283</v>
      </c>
      <c r="S1612" s="169" t="s">
        <v>283</v>
      </c>
      <c r="T1612" s="169">
        <v>0</v>
      </c>
    </row>
    <row r="1613" spans="1:20" x14ac:dyDescent="0.2">
      <c r="A1613" s="169" t="str">
        <f t="shared" si="3"/>
        <v>627</v>
      </c>
      <c r="B1613" s="167" t="str">
        <f>_xlfn.XLOOKUP(I1613,Mapping!D:D,Mapping!E:E)</f>
        <v>Xưởng Sản Xuất</v>
      </c>
      <c r="C1613" s="167" t="str">
        <f>_xlfn.XLOOKUP(F1613,Mapping!A:A,Mapping!F:F)</f>
        <v>Phụ Cấp</v>
      </c>
      <c r="D1613" s="173">
        <v>45929</v>
      </c>
      <c r="E1613" s="169" t="s">
        <v>1075</v>
      </c>
      <c r="F1613" s="169" t="s">
        <v>375</v>
      </c>
      <c r="G1613" s="169" t="s">
        <v>336</v>
      </c>
      <c r="H1613" s="169" t="s">
        <v>441</v>
      </c>
      <c r="I1613" s="169" t="s">
        <v>442</v>
      </c>
      <c r="J1613" s="169" t="s">
        <v>1076</v>
      </c>
      <c r="K1613" s="169" t="s">
        <v>992</v>
      </c>
      <c r="L1613" s="169" t="s">
        <v>1048</v>
      </c>
      <c r="M1613" s="169" t="s">
        <v>281</v>
      </c>
      <c r="N1613" s="178">
        <v>425000</v>
      </c>
      <c r="O1613" s="169" t="s">
        <v>1077</v>
      </c>
      <c r="P1613" s="169" t="s">
        <v>283</v>
      </c>
      <c r="Q1613" s="169" t="s">
        <v>306</v>
      </c>
      <c r="R1613" s="169" t="s">
        <v>283</v>
      </c>
      <c r="S1613" s="169" t="s">
        <v>283</v>
      </c>
      <c r="T1613" s="169">
        <v>0</v>
      </c>
    </row>
    <row r="1614" spans="1:20" x14ac:dyDescent="0.2">
      <c r="A1614" s="169" t="str">
        <f t="shared" si="3"/>
        <v>627</v>
      </c>
      <c r="B1614" s="167" t="str">
        <f>_xlfn.XLOOKUP(I1614,Mapping!D:D,Mapping!E:E)</f>
        <v>Xưởng Sản Xuất</v>
      </c>
      <c r="C1614" s="167" t="str">
        <f>_xlfn.XLOOKUP(F1614,Mapping!A:A,Mapping!F:F)</f>
        <v>Phụ Cấp</v>
      </c>
      <c r="D1614" s="173">
        <v>45929</v>
      </c>
      <c r="E1614" s="169" t="s">
        <v>1075</v>
      </c>
      <c r="F1614" s="169" t="s">
        <v>375</v>
      </c>
      <c r="G1614" s="169" t="s">
        <v>336</v>
      </c>
      <c r="H1614" s="169" t="s">
        <v>430</v>
      </c>
      <c r="I1614" s="169" t="s">
        <v>431</v>
      </c>
      <c r="J1614" s="169" t="s">
        <v>1076</v>
      </c>
      <c r="K1614" s="169" t="s">
        <v>992</v>
      </c>
      <c r="L1614" s="169" t="s">
        <v>1048</v>
      </c>
      <c r="M1614" s="169" t="s">
        <v>281</v>
      </c>
      <c r="N1614" s="178">
        <v>26350000</v>
      </c>
      <c r="O1614" s="169" t="s">
        <v>1077</v>
      </c>
      <c r="P1614" s="169" t="s">
        <v>283</v>
      </c>
      <c r="Q1614" s="169" t="s">
        <v>306</v>
      </c>
      <c r="R1614" s="169" t="s">
        <v>283</v>
      </c>
      <c r="S1614" s="169" t="s">
        <v>283</v>
      </c>
      <c r="T1614" s="169">
        <v>0</v>
      </c>
    </row>
    <row r="1615" spans="1:20" x14ac:dyDescent="0.2">
      <c r="A1615" s="169" t="str">
        <f t="shared" si="3"/>
        <v>627</v>
      </c>
      <c r="B1615" s="167" t="str">
        <f>_xlfn.XLOOKUP(I1615,Mapping!D:D,Mapping!E:E)</f>
        <v>Xưởng Sản Xuất</v>
      </c>
      <c r="C1615" s="167" t="str">
        <f>_xlfn.XLOOKUP(F1615,Mapping!A:A,Mapping!F:F)</f>
        <v>Phụ Cấp</v>
      </c>
      <c r="D1615" s="173">
        <v>45929</v>
      </c>
      <c r="E1615" s="169" t="s">
        <v>1075</v>
      </c>
      <c r="F1615" s="169" t="s">
        <v>375</v>
      </c>
      <c r="G1615" s="169" t="s">
        <v>336</v>
      </c>
      <c r="H1615" s="169" t="s">
        <v>436</v>
      </c>
      <c r="I1615" s="169" t="s">
        <v>437</v>
      </c>
      <c r="J1615" s="169" t="s">
        <v>1076</v>
      </c>
      <c r="K1615" s="169" t="s">
        <v>992</v>
      </c>
      <c r="L1615" s="169" t="s">
        <v>1048</v>
      </c>
      <c r="M1615" s="169" t="s">
        <v>281</v>
      </c>
      <c r="N1615" s="178">
        <v>27100000</v>
      </c>
      <c r="O1615" s="169" t="s">
        <v>1077</v>
      </c>
      <c r="P1615" s="169" t="s">
        <v>283</v>
      </c>
      <c r="Q1615" s="169" t="s">
        <v>306</v>
      </c>
      <c r="R1615" s="169" t="s">
        <v>283</v>
      </c>
      <c r="S1615" s="169" t="s">
        <v>283</v>
      </c>
      <c r="T1615" s="169">
        <v>0</v>
      </c>
    </row>
    <row r="1616" spans="1:20" x14ac:dyDescent="0.2">
      <c r="A1616" s="169" t="str">
        <f t="shared" si="3"/>
        <v>642</v>
      </c>
      <c r="B1616" s="167" t="str">
        <f>_xlfn.XLOOKUP(I1616,Mapping!D:D,Mapping!E:E)</f>
        <v>Mua Hàng &amp; XNK</v>
      </c>
      <c r="C1616" s="167" t="str">
        <f>_xlfn.XLOOKUP(F1616,Mapping!A:A,Mapping!F:F)</f>
        <v>Phụ Cấp</v>
      </c>
      <c r="D1616" s="173">
        <v>45929</v>
      </c>
      <c r="E1616" s="169" t="s">
        <v>1075</v>
      </c>
      <c r="F1616" s="169" t="s">
        <v>335</v>
      </c>
      <c r="G1616" s="169" t="s">
        <v>336</v>
      </c>
      <c r="H1616" s="169" t="s">
        <v>378</v>
      </c>
      <c r="I1616" s="169" t="s">
        <v>379</v>
      </c>
      <c r="J1616" s="169" t="s">
        <v>1076</v>
      </c>
      <c r="K1616" s="169" t="s">
        <v>992</v>
      </c>
      <c r="L1616" s="169" t="s">
        <v>1048</v>
      </c>
      <c r="M1616" s="169" t="s">
        <v>281</v>
      </c>
      <c r="N1616" s="178">
        <v>4625000</v>
      </c>
      <c r="O1616" s="169" t="s">
        <v>1077</v>
      </c>
      <c r="P1616" s="169" t="s">
        <v>283</v>
      </c>
      <c r="Q1616" s="169" t="s">
        <v>306</v>
      </c>
      <c r="R1616" s="169" t="s">
        <v>283</v>
      </c>
      <c r="S1616" s="169" t="s">
        <v>283</v>
      </c>
      <c r="T1616" s="169">
        <v>0</v>
      </c>
    </row>
    <row r="1617" spans="1:20" x14ac:dyDescent="0.2">
      <c r="A1617" s="169" t="str">
        <f t="shared" si="3"/>
        <v>642</v>
      </c>
      <c r="B1617" s="167" t="str">
        <f>_xlfn.XLOOKUP(I1617,Mapping!D:D,Mapping!E:E)</f>
        <v>Cung Ứng</v>
      </c>
      <c r="C1617" s="167" t="str">
        <f>_xlfn.XLOOKUP(F1617,Mapping!A:A,Mapping!F:F)</f>
        <v>Phụ Cấp</v>
      </c>
      <c r="D1617" s="173">
        <v>45929</v>
      </c>
      <c r="E1617" s="169" t="s">
        <v>1075</v>
      </c>
      <c r="F1617" s="169" t="s">
        <v>335</v>
      </c>
      <c r="G1617" s="169" t="s">
        <v>336</v>
      </c>
      <c r="H1617" s="169" t="s">
        <v>380</v>
      </c>
      <c r="I1617" s="169" t="s">
        <v>381</v>
      </c>
      <c r="J1617" s="169" t="s">
        <v>1076</v>
      </c>
      <c r="K1617" s="169" t="s">
        <v>992</v>
      </c>
      <c r="L1617" s="169" t="s">
        <v>1048</v>
      </c>
      <c r="M1617" s="169" t="s">
        <v>281</v>
      </c>
      <c r="N1617" s="178">
        <v>2775000</v>
      </c>
      <c r="O1617" s="169" t="s">
        <v>1077</v>
      </c>
      <c r="P1617" s="169" t="s">
        <v>283</v>
      </c>
      <c r="Q1617" s="169" t="s">
        <v>306</v>
      </c>
      <c r="R1617" s="169" t="s">
        <v>283</v>
      </c>
      <c r="S1617" s="169" t="s">
        <v>283</v>
      </c>
      <c r="T1617" s="169">
        <v>0</v>
      </c>
    </row>
    <row r="1618" spans="1:20" x14ac:dyDescent="0.2">
      <c r="A1618" s="169" t="str">
        <f t="shared" si="3"/>
        <v>642</v>
      </c>
      <c r="B1618" s="167" t="str">
        <f>_xlfn.XLOOKUP(I1618,Mapping!D:D,Mapping!E:E)</f>
        <v>Hành Chánh Nhân Sự</v>
      </c>
      <c r="C1618" s="167" t="str">
        <f>_xlfn.XLOOKUP(F1618,Mapping!A:A,Mapping!F:F)</f>
        <v>Phụ Cấp</v>
      </c>
      <c r="D1618" s="173">
        <v>45929</v>
      </c>
      <c r="E1618" s="169" t="s">
        <v>1075</v>
      </c>
      <c r="F1618" s="169" t="s">
        <v>335</v>
      </c>
      <c r="G1618" s="169" t="s">
        <v>336</v>
      </c>
      <c r="H1618" s="169" t="s">
        <v>382</v>
      </c>
      <c r="I1618" s="169" t="s">
        <v>200</v>
      </c>
      <c r="J1618" s="169" t="s">
        <v>1076</v>
      </c>
      <c r="K1618" s="169" t="s">
        <v>992</v>
      </c>
      <c r="L1618" s="169" t="s">
        <v>1048</v>
      </c>
      <c r="M1618" s="169" t="s">
        <v>281</v>
      </c>
      <c r="N1618" s="178">
        <v>1575000</v>
      </c>
      <c r="O1618" s="169" t="s">
        <v>1077</v>
      </c>
      <c r="P1618" s="169" t="s">
        <v>283</v>
      </c>
      <c r="Q1618" s="169" t="s">
        <v>306</v>
      </c>
      <c r="R1618" s="169" t="s">
        <v>283</v>
      </c>
      <c r="S1618" s="169" t="s">
        <v>283</v>
      </c>
      <c r="T1618" s="169">
        <v>0</v>
      </c>
    </row>
    <row r="1619" spans="1:20" x14ac:dyDescent="0.2">
      <c r="A1619" s="169" t="str">
        <f t="shared" si="3"/>
        <v>642</v>
      </c>
      <c r="B1619" s="167" t="str">
        <f>_xlfn.XLOOKUP(I1619,Mapping!D:D,Mapping!E:E)</f>
        <v>Hành Chánh Nhân Sự</v>
      </c>
      <c r="C1619" s="167" t="str">
        <f>_xlfn.XLOOKUP(F1619,Mapping!A:A,Mapping!F:F)</f>
        <v>Phụ Cấp</v>
      </c>
      <c r="D1619" s="173">
        <v>45929</v>
      </c>
      <c r="E1619" s="169" t="s">
        <v>1075</v>
      </c>
      <c r="F1619" s="169" t="s">
        <v>335</v>
      </c>
      <c r="G1619" s="169" t="s">
        <v>336</v>
      </c>
      <c r="H1619" s="169" t="s">
        <v>358</v>
      </c>
      <c r="I1619" s="169" t="s">
        <v>359</v>
      </c>
      <c r="J1619" s="169" t="s">
        <v>1076</v>
      </c>
      <c r="K1619" s="169" t="s">
        <v>992</v>
      </c>
      <c r="L1619" s="169" t="s">
        <v>1048</v>
      </c>
      <c r="M1619" s="169" t="s">
        <v>281</v>
      </c>
      <c r="N1619" s="178">
        <v>2925000</v>
      </c>
      <c r="O1619" s="169" t="s">
        <v>1077</v>
      </c>
      <c r="P1619" s="169" t="s">
        <v>283</v>
      </c>
      <c r="Q1619" s="169" t="s">
        <v>306</v>
      </c>
      <c r="R1619" s="169" t="s">
        <v>283</v>
      </c>
      <c r="S1619" s="169" t="s">
        <v>283</v>
      </c>
      <c r="T1619" s="169">
        <v>0</v>
      </c>
    </row>
    <row r="1620" spans="1:20" x14ac:dyDescent="0.2">
      <c r="A1620" s="169" t="str">
        <f t="shared" si="3"/>
        <v>642</v>
      </c>
      <c r="B1620" s="167" t="str">
        <f>_xlfn.XLOOKUP(I1620,Mapping!D:D,Mapping!E:E)</f>
        <v>Hành Chánh Nhân Sự</v>
      </c>
      <c r="C1620" s="167" t="str">
        <f>_xlfn.XLOOKUP(F1620,Mapping!A:A,Mapping!F:F)</f>
        <v>Lương Chính +T13</v>
      </c>
      <c r="D1620" s="173">
        <v>45930</v>
      </c>
      <c r="E1620" s="169" t="s">
        <v>1078</v>
      </c>
      <c r="F1620" s="169" t="s">
        <v>274</v>
      </c>
      <c r="G1620" s="169" t="s">
        <v>275</v>
      </c>
      <c r="H1620" s="169" t="s">
        <v>301</v>
      </c>
      <c r="I1620" s="169" t="s">
        <v>302</v>
      </c>
      <c r="J1620" s="169" t="s">
        <v>1079</v>
      </c>
      <c r="K1620" s="169" t="s">
        <v>328</v>
      </c>
      <c r="L1620" s="169" t="s">
        <v>1048</v>
      </c>
      <c r="M1620" s="169" t="s">
        <v>281</v>
      </c>
      <c r="N1620" s="178">
        <v>96413333</v>
      </c>
      <c r="O1620" s="169" t="s">
        <v>1080</v>
      </c>
      <c r="P1620" s="169" t="s">
        <v>283</v>
      </c>
      <c r="Q1620" s="169" t="s">
        <v>306</v>
      </c>
      <c r="R1620" s="169" t="s">
        <v>283</v>
      </c>
      <c r="S1620" s="169" t="s">
        <v>283</v>
      </c>
      <c r="T1620" s="169">
        <v>0</v>
      </c>
    </row>
    <row r="1621" spans="1:20" x14ac:dyDescent="0.2">
      <c r="A1621" s="169" t="str">
        <f t="shared" si="3"/>
        <v>642</v>
      </c>
      <c r="B1621" s="167" t="str">
        <f>_xlfn.XLOOKUP(I1621,Mapping!D:D,Mapping!E:E)</f>
        <v>Hành Chánh Nhân Sự</v>
      </c>
      <c r="C1621" s="167" t="str">
        <f>_xlfn.XLOOKUP(F1621,Mapping!A:A,Mapping!F:F)</f>
        <v>Khen thưởng BD khác</v>
      </c>
      <c r="D1621" s="173">
        <v>45930</v>
      </c>
      <c r="E1621" s="169" t="s">
        <v>1081</v>
      </c>
      <c r="F1621" s="169" t="s">
        <v>300</v>
      </c>
      <c r="G1621" s="169" t="s">
        <v>222</v>
      </c>
      <c r="H1621" s="169" t="s">
        <v>301</v>
      </c>
      <c r="I1621" s="169" t="s">
        <v>302</v>
      </c>
      <c r="J1621" s="169" t="s">
        <v>1082</v>
      </c>
      <c r="K1621" s="169" t="s">
        <v>1083</v>
      </c>
      <c r="L1621" s="169" t="s">
        <v>1048</v>
      </c>
      <c r="M1621" s="169" t="s">
        <v>281</v>
      </c>
      <c r="N1621" s="178">
        <v>6000000</v>
      </c>
      <c r="O1621" s="169" t="s">
        <v>1084</v>
      </c>
      <c r="P1621" s="169" t="s">
        <v>283</v>
      </c>
      <c r="Q1621" s="169" t="s">
        <v>306</v>
      </c>
      <c r="R1621" s="169" t="s">
        <v>283</v>
      </c>
      <c r="S1621" s="169" t="s">
        <v>283</v>
      </c>
      <c r="T1621" s="169">
        <v>0</v>
      </c>
    </row>
    <row r="1622" spans="1:20" x14ac:dyDescent="0.2">
      <c r="A1622" s="169" t="str">
        <f t="shared" si="3"/>
        <v>622</v>
      </c>
      <c r="B1622" s="167" t="str">
        <f>_xlfn.XLOOKUP(I1622,Mapping!D:D,Mapping!E:E)</f>
        <v>Xưởng Sản Xuất</v>
      </c>
      <c r="C1622" s="167" t="str">
        <f>_xlfn.XLOOKUP(F1622,Mapping!A:A,Mapping!F:F)</f>
        <v>Lương Chính +T13</v>
      </c>
      <c r="D1622" s="173">
        <v>45930</v>
      </c>
      <c r="E1622" s="169" t="s">
        <v>1085</v>
      </c>
      <c r="F1622" s="169" t="s">
        <v>400</v>
      </c>
      <c r="G1622" s="169" t="s">
        <v>401</v>
      </c>
      <c r="H1622" s="169" t="s">
        <v>430</v>
      </c>
      <c r="I1622" s="169" t="s">
        <v>431</v>
      </c>
      <c r="J1622" s="169" t="s">
        <v>1086</v>
      </c>
      <c r="K1622" s="169" t="s">
        <v>405</v>
      </c>
      <c r="L1622" s="169" t="s">
        <v>1048</v>
      </c>
      <c r="M1622" s="169" t="s">
        <v>281</v>
      </c>
      <c r="N1622" s="178">
        <v>1363930</v>
      </c>
      <c r="O1622" s="169" t="s">
        <v>1087</v>
      </c>
      <c r="P1622" s="169" t="s">
        <v>283</v>
      </c>
      <c r="Q1622" s="169" t="s">
        <v>306</v>
      </c>
      <c r="R1622" s="169" t="s">
        <v>283</v>
      </c>
      <c r="S1622" s="169" t="s">
        <v>283</v>
      </c>
      <c r="T1622" s="169">
        <v>0</v>
      </c>
    </row>
    <row r="1623" spans="1:20" x14ac:dyDescent="0.2">
      <c r="A1623" s="169" t="str">
        <f t="shared" si="3"/>
        <v>627</v>
      </c>
      <c r="B1623" s="167" t="str">
        <f>_xlfn.XLOOKUP(I1623,Mapping!D:D,Mapping!E:E)</f>
        <v>Xưởng Sản Xuất</v>
      </c>
      <c r="C1623" s="167" t="str">
        <f>_xlfn.XLOOKUP(F1623,Mapping!A:A,Mapping!F:F)</f>
        <v>Lương Chính +T13</v>
      </c>
      <c r="D1623" s="173">
        <v>45930</v>
      </c>
      <c r="E1623" s="169" t="s">
        <v>1085</v>
      </c>
      <c r="F1623" s="169" t="s">
        <v>387</v>
      </c>
      <c r="G1623" s="169" t="s">
        <v>275</v>
      </c>
      <c r="H1623" s="169" t="s">
        <v>436</v>
      </c>
      <c r="I1623" s="169" t="s">
        <v>437</v>
      </c>
      <c r="J1623" s="169" t="s">
        <v>1086</v>
      </c>
      <c r="K1623" s="169" t="s">
        <v>405</v>
      </c>
      <c r="L1623" s="169" t="s">
        <v>1048</v>
      </c>
      <c r="M1623" s="169" t="s">
        <v>281</v>
      </c>
      <c r="N1623" s="178">
        <v>8962021</v>
      </c>
      <c r="O1623" s="169" t="s">
        <v>1087</v>
      </c>
      <c r="P1623" s="169" t="s">
        <v>283</v>
      </c>
      <c r="Q1623" s="169" t="s">
        <v>306</v>
      </c>
      <c r="R1623" s="169" t="s">
        <v>283</v>
      </c>
      <c r="S1623" s="169" t="s">
        <v>283</v>
      </c>
      <c r="T1623" s="169">
        <v>0</v>
      </c>
    </row>
    <row r="1624" spans="1:20" x14ac:dyDescent="0.2">
      <c r="A1624" s="169" t="str">
        <f t="shared" si="3"/>
        <v>642</v>
      </c>
      <c r="B1624" s="167" t="str">
        <f>_xlfn.XLOOKUP(I1624,Mapping!D:D,Mapping!E:E)</f>
        <v>Hành Chánh Nhân Sự</v>
      </c>
      <c r="C1624" s="167" t="str">
        <f>_xlfn.XLOOKUP(F1624,Mapping!A:A,Mapping!F:F)</f>
        <v>Lương Chính +T13</v>
      </c>
      <c r="D1624" s="173">
        <v>45930</v>
      </c>
      <c r="E1624" s="169" t="s">
        <v>1085</v>
      </c>
      <c r="F1624" s="169" t="s">
        <v>274</v>
      </c>
      <c r="G1624" s="169" t="s">
        <v>275</v>
      </c>
      <c r="H1624" s="169" t="s">
        <v>301</v>
      </c>
      <c r="I1624" s="169" t="s">
        <v>302</v>
      </c>
      <c r="J1624" s="169" t="s">
        <v>1086</v>
      </c>
      <c r="K1624" s="169" t="s">
        <v>405</v>
      </c>
      <c r="L1624" s="169" t="s">
        <v>1048</v>
      </c>
      <c r="M1624" s="169" t="s">
        <v>281</v>
      </c>
      <c r="N1624" s="178">
        <v>6748140</v>
      </c>
      <c r="O1624" s="169" t="s">
        <v>1087</v>
      </c>
      <c r="P1624" s="169" t="s">
        <v>283</v>
      </c>
      <c r="Q1624" s="169" t="s">
        <v>306</v>
      </c>
      <c r="R1624" s="169" t="s">
        <v>283</v>
      </c>
      <c r="S1624" s="169" t="s">
        <v>283</v>
      </c>
      <c r="T1624" s="169">
        <v>0</v>
      </c>
    </row>
    <row r="1625" spans="1:20" x14ac:dyDescent="0.2">
      <c r="A1625" s="169" t="str">
        <f t="shared" si="3"/>
        <v>622</v>
      </c>
      <c r="B1625" s="167" t="str">
        <f>_xlfn.XLOOKUP(I1625,Mapping!D:D,Mapping!E:E)</f>
        <v>Xưởng Sản Xuất</v>
      </c>
      <c r="C1625" s="167" t="str">
        <f>_xlfn.XLOOKUP(F1625,Mapping!A:A,Mapping!F:F)</f>
        <v>Lương Chính +T13</v>
      </c>
      <c r="D1625" s="173">
        <v>45930</v>
      </c>
      <c r="E1625" s="169" t="s">
        <v>1085</v>
      </c>
      <c r="F1625" s="169" t="s">
        <v>400</v>
      </c>
      <c r="G1625" s="169" t="s">
        <v>401</v>
      </c>
      <c r="H1625" s="169" t="s">
        <v>402</v>
      </c>
      <c r="I1625" s="169" t="s">
        <v>403</v>
      </c>
      <c r="J1625" s="169" t="s">
        <v>1086</v>
      </c>
      <c r="K1625" s="169" t="s">
        <v>405</v>
      </c>
      <c r="L1625" s="169" t="s">
        <v>1048</v>
      </c>
      <c r="M1625" s="169" t="s">
        <v>281</v>
      </c>
      <c r="N1625" s="178">
        <v>175636120</v>
      </c>
      <c r="O1625" s="169" t="s">
        <v>1087</v>
      </c>
      <c r="P1625" s="169" t="s">
        <v>283</v>
      </c>
      <c r="Q1625" s="169" t="s">
        <v>306</v>
      </c>
      <c r="R1625" s="169" t="s">
        <v>283</v>
      </c>
      <c r="S1625" s="169" t="s">
        <v>283</v>
      </c>
      <c r="T1625" s="169">
        <v>0</v>
      </c>
    </row>
    <row r="1626" spans="1:20" x14ac:dyDescent="0.2">
      <c r="A1626" s="169" t="str">
        <f t="shared" si="3"/>
        <v>622</v>
      </c>
      <c r="B1626" s="167" t="str">
        <f>_xlfn.XLOOKUP(I1626,Mapping!D:D,Mapping!E:E)</f>
        <v>Xưởng Sản Xuất</v>
      </c>
      <c r="C1626" s="167" t="str">
        <f>_xlfn.XLOOKUP(F1626,Mapping!A:A,Mapping!F:F)</f>
        <v>Lương Chính +T13</v>
      </c>
      <c r="D1626" s="173">
        <v>45930</v>
      </c>
      <c r="E1626" s="169" t="s">
        <v>1088</v>
      </c>
      <c r="F1626" s="169" t="s">
        <v>400</v>
      </c>
      <c r="G1626" s="169" t="s">
        <v>401</v>
      </c>
      <c r="H1626" s="169" t="s">
        <v>430</v>
      </c>
      <c r="I1626" s="169" t="s">
        <v>431</v>
      </c>
      <c r="J1626" s="169" t="s">
        <v>1089</v>
      </c>
      <c r="K1626" s="169" t="s">
        <v>405</v>
      </c>
      <c r="L1626" s="169" t="s">
        <v>1048</v>
      </c>
      <c r="M1626" s="169" t="s">
        <v>281</v>
      </c>
      <c r="N1626" s="178">
        <v>10713334</v>
      </c>
      <c r="O1626" s="169" t="s">
        <v>1090</v>
      </c>
      <c r="P1626" s="169" t="s">
        <v>283</v>
      </c>
      <c r="Q1626" s="169" t="s">
        <v>306</v>
      </c>
      <c r="R1626" s="169" t="s">
        <v>283</v>
      </c>
      <c r="S1626" s="169" t="s">
        <v>283</v>
      </c>
      <c r="T1626" s="169">
        <v>0</v>
      </c>
    </row>
    <row r="1627" spans="1:20" x14ac:dyDescent="0.2">
      <c r="A1627" s="169" t="str">
        <f t="shared" si="3"/>
        <v>622</v>
      </c>
      <c r="B1627" s="167" t="str">
        <f>_xlfn.XLOOKUP(I1627,Mapping!D:D,Mapping!E:E)</f>
        <v>Xưởng Sản Xuất</v>
      </c>
      <c r="C1627" s="167" t="str">
        <f>_xlfn.XLOOKUP(F1627,Mapping!A:A,Mapping!F:F)</f>
        <v>Lương Chính +T13</v>
      </c>
      <c r="D1627" s="173">
        <v>45930</v>
      </c>
      <c r="E1627" s="169" t="s">
        <v>1088</v>
      </c>
      <c r="F1627" s="169" t="s">
        <v>400</v>
      </c>
      <c r="G1627" s="169" t="s">
        <v>401</v>
      </c>
      <c r="H1627" s="169" t="s">
        <v>402</v>
      </c>
      <c r="I1627" s="169" t="s">
        <v>403</v>
      </c>
      <c r="J1627" s="169" t="s">
        <v>1089</v>
      </c>
      <c r="K1627" s="169" t="s">
        <v>405</v>
      </c>
      <c r="L1627" s="169" t="s">
        <v>1048</v>
      </c>
      <c r="M1627" s="169" t="s">
        <v>281</v>
      </c>
      <c r="N1627" s="178">
        <v>166432509</v>
      </c>
      <c r="O1627" s="169" t="s">
        <v>1090</v>
      </c>
      <c r="P1627" s="169" t="s">
        <v>283</v>
      </c>
      <c r="Q1627" s="169" t="s">
        <v>306</v>
      </c>
      <c r="R1627" s="169" t="s">
        <v>283</v>
      </c>
      <c r="S1627" s="169" t="s">
        <v>283</v>
      </c>
      <c r="T1627" s="169">
        <v>0</v>
      </c>
    </row>
    <row r="1628" spans="1:20" x14ac:dyDescent="0.2">
      <c r="A1628" s="169" t="str">
        <f t="shared" si="3"/>
        <v>642</v>
      </c>
      <c r="B1628" s="167" t="str">
        <f>_xlfn.XLOOKUP(I1628,Mapping!D:D,Mapping!E:E)</f>
        <v>Tư vấn dịch vụ</v>
      </c>
      <c r="C1628" s="167" t="str">
        <f>_xlfn.XLOOKUP(F1628,Mapping!A:A,Mapping!F:F)</f>
        <v>Lương Chính +T13</v>
      </c>
      <c r="D1628" s="173">
        <v>45919</v>
      </c>
      <c r="E1628" s="169" t="s">
        <v>1091</v>
      </c>
      <c r="F1628" s="169" t="s">
        <v>274</v>
      </c>
      <c r="G1628" s="169" t="s">
        <v>275</v>
      </c>
      <c r="H1628" s="169" t="s">
        <v>443</v>
      </c>
      <c r="I1628" s="169" t="s">
        <v>444</v>
      </c>
      <c r="J1628" s="169" t="s">
        <v>1092</v>
      </c>
      <c r="K1628" s="169" t="s">
        <v>1093</v>
      </c>
      <c r="L1628" s="169" t="s">
        <v>1048</v>
      </c>
      <c r="M1628" s="169" t="s">
        <v>281</v>
      </c>
      <c r="N1628" s="178">
        <v>70000000</v>
      </c>
      <c r="O1628" s="169" t="s">
        <v>1094</v>
      </c>
      <c r="P1628" s="169" t="s">
        <v>283</v>
      </c>
      <c r="Q1628" s="169" t="s">
        <v>284</v>
      </c>
      <c r="R1628" s="169" t="s">
        <v>283</v>
      </c>
      <c r="S1628" s="169" t="s">
        <v>283</v>
      </c>
      <c r="T1628" s="169">
        <v>0</v>
      </c>
    </row>
    <row r="1629" spans="1:20" x14ac:dyDescent="0.2">
      <c r="A1629" s="169" t="str">
        <f t="shared" si="3"/>
        <v>642</v>
      </c>
      <c r="B1629" s="167" t="str">
        <f>_xlfn.XLOOKUP(I1629,Mapping!D:D,Mapping!E:E)</f>
        <v>Hành Chánh Nhân Sự</v>
      </c>
      <c r="C1629" s="167" t="str">
        <f>_xlfn.XLOOKUP(F1629,Mapping!A:A,Mapping!F:F)</f>
        <v>Phụ Cấp</v>
      </c>
      <c r="D1629" s="173">
        <v>45919</v>
      </c>
      <c r="E1629" s="169" t="s">
        <v>1091</v>
      </c>
      <c r="F1629" s="169" t="s">
        <v>335</v>
      </c>
      <c r="G1629" s="169" t="s">
        <v>336</v>
      </c>
      <c r="H1629" s="169" t="s">
        <v>358</v>
      </c>
      <c r="I1629" s="169" t="s">
        <v>359</v>
      </c>
      <c r="J1629" s="169" t="s">
        <v>1092</v>
      </c>
      <c r="K1629" s="169" t="s">
        <v>1093</v>
      </c>
      <c r="L1629" s="169" t="s">
        <v>1048</v>
      </c>
      <c r="M1629" s="169" t="s">
        <v>281</v>
      </c>
      <c r="N1629" s="178">
        <v>100000</v>
      </c>
      <c r="O1629" s="169" t="s">
        <v>1094</v>
      </c>
      <c r="P1629" s="169" t="s">
        <v>283</v>
      </c>
      <c r="Q1629" s="169" t="s">
        <v>284</v>
      </c>
      <c r="R1629" s="169" t="s">
        <v>283</v>
      </c>
      <c r="S1629" s="169" t="s">
        <v>283</v>
      </c>
      <c r="T1629" s="169">
        <v>0</v>
      </c>
    </row>
    <row r="1630" spans="1:20" x14ac:dyDescent="0.2">
      <c r="A1630" s="169" t="str">
        <f t="shared" si="3"/>
        <v>642</v>
      </c>
      <c r="B1630" s="167" t="str">
        <f>_xlfn.XLOOKUP(I1630,Mapping!D:D,Mapping!E:E)</f>
        <v>Hành Chánh Nhân Sự</v>
      </c>
      <c r="C1630" s="167" t="str">
        <f>_xlfn.XLOOKUP(F1630,Mapping!A:A,Mapping!F:F)</f>
        <v>Thưởng</v>
      </c>
      <c r="D1630" s="173">
        <v>45919</v>
      </c>
      <c r="E1630" s="169" t="s">
        <v>1091</v>
      </c>
      <c r="F1630" s="169" t="s">
        <v>290</v>
      </c>
      <c r="G1630" s="169" t="s">
        <v>291</v>
      </c>
      <c r="H1630" s="169" t="s">
        <v>358</v>
      </c>
      <c r="I1630" s="169" t="s">
        <v>359</v>
      </c>
      <c r="J1630" s="169" t="s">
        <v>1092</v>
      </c>
      <c r="K1630" s="169" t="s">
        <v>1093</v>
      </c>
      <c r="L1630" s="169" t="s">
        <v>1048</v>
      </c>
      <c r="M1630" s="169" t="s">
        <v>281</v>
      </c>
      <c r="N1630" s="178">
        <v>1000000</v>
      </c>
      <c r="O1630" s="169" t="s">
        <v>1094</v>
      </c>
      <c r="P1630" s="169" t="s">
        <v>283</v>
      </c>
      <c r="Q1630" s="169" t="s">
        <v>284</v>
      </c>
      <c r="R1630" s="169" t="s">
        <v>283</v>
      </c>
      <c r="S1630" s="169" t="s">
        <v>283</v>
      </c>
      <c r="T1630" s="169">
        <v>0</v>
      </c>
    </row>
    <row r="1631" spans="1:20" x14ac:dyDescent="0.2">
      <c r="A1631" s="169" t="str">
        <f t="shared" si="3"/>
        <v>642</v>
      </c>
      <c r="B1631" s="167" t="str">
        <f>_xlfn.XLOOKUP(I1631,Mapping!D:D,Mapping!E:E)</f>
        <v>Hành Chánh Nhân Sự</v>
      </c>
      <c r="C1631" s="167" t="str">
        <f>_xlfn.XLOOKUP(F1631,Mapping!A:A,Mapping!F:F)</f>
        <v>Lương Chính +T13</v>
      </c>
      <c r="D1631" s="173">
        <v>45919</v>
      </c>
      <c r="E1631" s="169" t="s">
        <v>1091</v>
      </c>
      <c r="F1631" s="169" t="s">
        <v>285</v>
      </c>
      <c r="G1631" s="169" t="s">
        <v>286</v>
      </c>
      <c r="H1631" s="169" t="s">
        <v>358</v>
      </c>
      <c r="I1631" s="169" t="s">
        <v>359</v>
      </c>
      <c r="J1631" s="169" t="s">
        <v>1092</v>
      </c>
      <c r="K1631" s="169" t="s">
        <v>1093</v>
      </c>
      <c r="L1631" s="169" t="s">
        <v>1048</v>
      </c>
      <c r="M1631" s="169" t="s">
        <v>281</v>
      </c>
      <c r="N1631" s="178">
        <v>9326193</v>
      </c>
      <c r="O1631" s="169" t="s">
        <v>1094</v>
      </c>
      <c r="P1631" s="169" t="s">
        <v>283</v>
      </c>
      <c r="Q1631" s="169" t="s">
        <v>284</v>
      </c>
      <c r="R1631" s="169" t="s">
        <v>283</v>
      </c>
      <c r="S1631" s="169" t="s">
        <v>283</v>
      </c>
      <c r="T1631" s="169">
        <v>0</v>
      </c>
    </row>
    <row r="1632" spans="1:20" x14ac:dyDescent="0.2">
      <c r="A1632" s="169" t="str">
        <f t="shared" si="3"/>
        <v>642</v>
      </c>
      <c r="B1632" s="167" t="str">
        <f>_xlfn.XLOOKUP(I1632,Mapping!D:D,Mapping!E:E)</f>
        <v>Hành Chánh Nhân Sự</v>
      </c>
      <c r="C1632" s="167" t="str">
        <f>_xlfn.XLOOKUP(F1632,Mapping!A:A,Mapping!F:F)</f>
        <v>Lương Chính +T13</v>
      </c>
      <c r="D1632" s="173">
        <v>45919</v>
      </c>
      <c r="E1632" s="169" t="s">
        <v>1091</v>
      </c>
      <c r="F1632" s="169" t="s">
        <v>274</v>
      </c>
      <c r="G1632" s="169" t="s">
        <v>275</v>
      </c>
      <c r="H1632" s="169" t="s">
        <v>358</v>
      </c>
      <c r="I1632" s="169" t="s">
        <v>359</v>
      </c>
      <c r="J1632" s="169" t="s">
        <v>1092</v>
      </c>
      <c r="K1632" s="169" t="s">
        <v>1093</v>
      </c>
      <c r="L1632" s="169" t="s">
        <v>1048</v>
      </c>
      <c r="M1632" s="169" t="s">
        <v>281</v>
      </c>
      <c r="N1632" s="178">
        <v>99900981</v>
      </c>
      <c r="O1632" s="169" t="s">
        <v>1094</v>
      </c>
      <c r="P1632" s="169" t="s">
        <v>283</v>
      </c>
      <c r="Q1632" s="169" t="s">
        <v>284</v>
      </c>
      <c r="R1632" s="169" t="s">
        <v>283</v>
      </c>
      <c r="S1632" s="169" t="s">
        <v>283</v>
      </c>
      <c r="T1632" s="169">
        <v>0</v>
      </c>
    </row>
    <row r="1633" spans="1:20" x14ac:dyDescent="0.2">
      <c r="A1633" s="169" t="str">
        <f t="shared" si="3"/>
        <v>642</v>
      </c>
      <c r="B1633" s="167" t="str">
        <f>_xlfn.XLOOKUP(I1633,Mapping!D:D,Mapping!E:E)</f>
        <v>Hành Chánh Nhân Sự</v>
      </c>
      <c r="C1633" s="167" t="str">
        <f>_xlfn.XLOOKUP(F1633,Mapping!A:A,Mapping!F:F)</f>
        <v>Thưởng</v>
      </c>
      <c r="D1633" s="173">
        <v>45919</v>
      </c>
      <c r="E1633" s="169" t="s">
        <v>1091</v>
      </c>
      <c r="F1633" s="169" t="s">
        <v>290</v>
      </c>
      <c r="G1633" s="169" t="s">
        <v>291</v>
      </c>
      <c r="H1633" s="169" t="s">
        <v>382</v>
      </c>
      <c r="I1633" s="169" t="s">
        <v>200</v>
      </c>
      <c r="J1633" s="169" t="s">
        <v>1092</v>
      </c>
      <c r="K1633" s="169" t="s">
        <v>1093</v>
      </c>
      <c r="L1633" s="169" t="s">
        <v>1048</v>
      </c>
      <c r="M1633" s="169" t="s">
        <v>281</v>
      </c>
      <c r="N1633" s="178">
        <v>600000</v>
      </c>
      <c r="O1633" s="169" t="s">
        <v>1094</v>
      </c>
      <c r="P1633" s="169" t="s">
        <v>283</v>
      </c>
      <c r="Q1633" s="169" t="s">
        <v>284</v>
      </c>
      <c r="R1633" s="169" t="s">
        <v>283</v>
      </c>
      <c r="S1633" s="169" t="s">
        <v>283</v>
      </c>
      <c r="T1633" s="169">
        <v>0</v>
      </c>
    </row>
    <row r="1634" spans="1:20" x14ac:dyDescent="0.2">
      <c r="A1634" s="169" t="str">
        <f t="shared" si="3"/>
        <v>642</v>
      </c>
      <c r="B1634" s="167" t="str">
        <f>_xlfn.XLOOKUP(I1634,Mapping!D:D,Mapping!E:E)</f>
        <v>Hành Chánh Nhân Sự</v>
      </c>
      <c r="C1634" s="167" t="str">
        <f>_xlfn.XLOOKUP(F1634,Mapping!A:A,Mapping!F:F)</f>
        <v>Lương Chính +T13</v>
      </c>
      <c r="D1634" s="173">
        <v>45919</v>
      </c>
      <c r="E1634" s="169" t="s">
        <v>1091</v>
      </c>
      <c r="F1634" s="169" t="s">
        <v>285</v>
      </c>
      <c r="G1634" s="169" t="s">
        <v>286</v>
      </c>
      <c r="H1634" s="169" t="s">
        <v>382</v>
      </c>
      <c r="I1634" s="169" t="s">
        <v>200</v>
      </c>
      <c r="J1634" s="169" t="s">
        <v>1092</v>
      </c>
      <c r="K1634" s="169" t="s">
        <v>1093</v>
      </c>
      <c r="L1634" s="169" t="s">
        <v>1048</v>
      </c>
      <c r="M1634" s="169" t="s">
        <v>281</v>
      </c>
      <c r="N1634" s="178">
        <v>2924923</v>
      </c>
      <c r="O1634" s="169" t="s">
        <v>1094</v>
      </c>
      <c r="P1634" s="169" t="s">
        <v>283</v>
      </c>
      <c r="Q1634" s="169" t="s">
        <v>284</v>
      </c>
      <c r="R1634" s="169" t="s">
        <v>283</v>
      </c>
      <c r="S1634" s="169" t="s">
        <v>283</v>
      </c>
      <c r="T1634" s="169">
        <v>0</v>
      </c>
    </row>
    <row r="1635" spans="1:20" x14ac:dyDescent="0.2">
      <c r="A1635" s="169" t="str">
        <f t="shared" si="3"/>
        <v>642</v>
      </c>
      <c r="B1635" s="167" t="str">
        <f>_xlfn.XLOOKUP(I1635,Mapping!D:D,Mapping!E:E)</f>
        <v>Hành Chánh Nhân Sự</v>
      </c>
      <c r="C1635" s="167" t="str">
        <f>_xlfn.XLOOKUP(F1635,Mapping!A:A,Mapping!F:F)</f>
        <v>Lương Chính +T13</v>
      </c>
      <c r="D1635" s="173">
        <v>45919</v>
      </c>
      <c r="E1635" s="169" t="s">
        <v>1091</v>
      </c>
      <c r="F1635" s="169" t="s">
        <v>274</v>
      </c>
      <c r="G1635" s="169" t="s">
        <v>275</v>
      </c>
      <c r="H1635" s="169" t="s">
        <v>382</v>
      </c>
      <c r="I1635" s="169" t="s">
        <v>200</v>
      </c>
      <c r="J1635" s="169" t="s">
        <v>1092</v>
      </c>
      <c r="K1635" s="169" t="s">
        <v>1093</v>
      </c>
      <c r="L1635" s="169" t="s">
        <v>1048</v>
      </c>
      <c r="M1635" s="169" t="s">
        <v>281</v>
      </c>
      <c r="N1635" s="178">
        <v>70697120</v>
      </c>
      <c r="O1635" s="169" t="s">
        <v>1094</v>
      </c>
      <c r="P1635" s="169" t="s">
        <v>283</v>
      </c>
      <c r="Q1635" s="169" t="s">
        <v>284</v>
      </c>
      <c r="R1635" s="169" t="s">
        <v>283</v>
      </c>
      <c r="S1635" s="169" t="s">
        <v>283</v>
      </c>
      <c r="T1635" s="169">
        <v>0</v>
      </c>
    </row>
    <row r="1636" spans="1:20" x14ac:dyDescent="0.2">
      <c r="A1636" s="169" t="str">
        <f t="shared" si="3"/>
        <v>622</v>
      </c>
      <c r="B1636" s="167" t="str">
        <f>_xlfn.XLOOKUP(I1636,Mapping!D:D,Mapping!E:E)</f>
        <v>Xưởng Sản Xuất</v>
      </c>
      <c r="C1636" s="167" t="str">
        <f>_xlfn.XLOOKUP(F1636,Mapping!A:A,Mapping!F:F)</f>
        <v>Phụ Cấp</v>
      </c>
      <c r="D1636" s="173">
        <v>45919</v>
      </c>
      <c r="E1636" s="169" t="s">
        <v>1091</v>
      </c>
      <c r="F1636" s="169" t="s">
        <v>421</v>
      </c>
      <c r="G1636" s="169" t="s">
        <v>341</v>
      </c>
      <c r="H1636" s="169" t="s">
        <v>402</v>
      </c>
      <c r="I1636" s="169" t="s">
        <v>403</v>
      </c>
      <c r="J1636" s="169" t="s">
        <v>1092</v>
      </c>
      <c r="K1636" s="169" t="s">
        <v>1093</v>
      </c>
      <c r="L1636" s="169" t="s">
        <v>1048</v>
      </c>
      <c r="M1636" s="169" t="s">
        <v>281</v>
      </c>
      <c r="N1636" s="178">
        <v>167392650</v>
      </c>
      <c r="O1636" s="169" t="s">
        <v>1094</v>
      </c>
      <c r="P1636" s="169" t="s">
        <v>283</v>
      </c>
      <c r="Q1636" s="169" t="s">
        <v>284</v>
      </c>
      <c r="R1636" s="169" t="s">
        <v>283</v>
      </c>
      <c r="S1636" s="169" t="s">
        <v>283</v>
      </c>
      <c r="T1636" s="169">
        <v>0</v>
      </c>
    </row>
    <row r="1637" spans="1:20" x14ac:dyDescent="0.2">
      <c r="A1637" s="169" t="str">
        <f t="shared" si="3"/>
        <v>622</v>
      </c>
      <c r="B1637" s="167" t="str">
        <f>_xlfn.XLOOKUP(I1637,Mapping!D:D,Mapping!E:E)</f>
        <v>Xưởng Sản Xuất</v>
      </c>
      <c r="C1637" s="167" t="str">
        <f>_xlfn.XLOOKUP(F1637,Mapping!A:A,Mapping!F:F)</f>
        <v>Lương Chính +T13</v>
      </c>
      <c r="D1637" s="173">
        <v>45919</v>
      </c>
      <c r="E1637" s="169" t="s">
        <v>1091</v>
      </c>
      <c r="F1637" s="169" t="s">
        <v>420</v>
      </c>
      <c r="G1637" s="169" t="s">
        <v>286</v>
      </c>
      <c r="H1637" s="169" t="s">
        <v>402</v>
      </c>
      <c r="I1637" s="169" t="s">
        <v>403</v>
      </c>
      <c r="J1637" s="169" t="s">
        <v>1092</v>
      </c>
      <c r="K1637" s="169" t="s">
        <v>1093</v>
      </c>
      <c r="L1637" s="169" t="s">
        <v>1048</v>
      </c>
      <c r="M1637" s="169" t="s">
        <v>281</v>
      </c>
      <c r="N1637" s="178">
        <v>26941782</v>
      </c>
      <c r="O1637" s="169" t="s">
        <v>1094</v>
      </c>
      <c r="P1637" s="169" t="s">
        <v>283</v>
      </c>
      <c r="Q1637" s="169" t="s">
        <v>284</v>
      </c>
      <c r="R1637" s="169" t="s">
        <v>283</v>
      </c>
      <c r="S1637" s="169" t="s">
        <v>283</v>
      </c>
      <c r="T1637" s="169">
        <v>0</v>
      </c>
    </row>
    <row r="1638" spans="1:20" x14ac:dyDescent="0.2">
      <c r="A1638" s="169" t="str">
        <f t="shared" si="3"/>
        <v>622</v>
      </c>
      <c r="B1638" s="167" t="str">
        <f>_xlfn.XLOOKUP(I1638,Mapping!D:D,Mapping!E:E)</f>
        <v>Xưởng Sản Xuất</v>
      </c>
      <c r="C1638" s="167" t="str">
        <f>_xlfn.XLOOKUP(F1638,Mapping!A:A,Mapping!F:F)</f>
        <v>Lương Chính +T13</v>
      </c>
      <c r="D1638" s="173">
        <v>45919</v>
      </c>
      <c r="E1638" s="169" t="s">
        <v>1091</v>
      </c>
      <c r="F1638" s="169" t="s">
        <v>400</v>
      </c>
      <c r="G1638" s="169" t="s">
        <v>401</v>
      </c>
      <c r="H1638" s="169" t="s">
        <v>402</v>
      </c>
      <c r="I1638" s="169" t="s">
        <v>403</v>
      </c>
      <c r="J1638" s="169" t="s">
        <v>1092</v>
      </c>
      <c r="K1638" s="169" t="s">
        <v>1093</v>
      </c>
      <c r="L1638" s="169" t="s">
        <v>1048</v>
      </c>
      <c r="M1638" s="169" t="s">
        <v>281</v>
      </c>
      <c r="N1638" s="178">
        <v>1990371923</v>
      </c>
      <c r="O1638" s="169" t="s">
        <v>1094</v>
      </c>
      <c r="P1638" s="169" t="s">
        <v>283</v>
      </c>
      <c r="Q1638" s="169" t="s">
        <v>284</v>
      </c>
      <c r="R1638" s="169" t="s">
        <v>283</v>
      </c>
      <c r="S1638" s="169" t="s">
        <v>283</v>
      </c>
      <c r="T1638" s="169">
        <v>0</v>
      </c>
    </row>
    <row r="1639" spans="1:20" x14ac:dyDescent="0.2">
      <c r="A1639" s="169" t="str">
        <f t="shared" si="3"/>
        <v>627</v>
      </c>
      <c r="B1639" s="167" t="str">
        <f>_xlfn.XLOOKUP(I1639,Mapping!D:D,Mapping!E:E)</f>
        <v>Nghiên Cứu &amp; Phát Triển</v>
      </c>
      <c r="C1639" s="167" t="str">
        <f>_xlfn.XLOOKUP(F1639,Mapping!A:A,Mapping!F:F)</f>
        <v>Phụ Cấp</v>
      </c>
      <c r="D1639" s="173">
        <v>45919</v>
      </c>
      <c r="E1639" s="169" t="s">
        <v>1091</v>
      </c>
      <c r="F1639" s="169" t="s">
        <v>375</v>
      </c>
      <c r="G1639" s="169" t="s">
        <v>336</v>
      </c>
      <c r="H1639" s="169" t="s">
        <v>418</v>
      </c>
      <c r="I1639" s="169" t="s">
        <v>419</v>
      </c>
      <c r="J1639" s="169" t="s">
        <v>1092</v>
      </c>
      <c r="K1639" s="169" t="s">
        <v>1093</v>
      </c>
      <c r="L1639" s="169" t="s">
        <v>1048</v>
      </c>
      <c r="M1639" s="169" t="s">
        <v>281</v>
      </c>
      <c r="N1639" s="178">
        <v>400000</v>
      </c>
      <c r="O1639" s="169" t="s">
        <v>1094</v>
      </c>
      <c r="P1639" s="169" t="s">
        <v>283</v>
      </c>
      <c r="Q1639" s="169" t="s">
        <v>284</v>
      </c>
      <c r="R1639" s="169" t="s">
        <v>283</v>
      </c>
      <c r="S1639" s="169" t="s">
        <v>283</v>
      </c>
      <c r="T1639" s="169">
        <v>0</v>
      </c>
    </row>
    <row r="1640" spans="1:20" x14ac:dyDescent="0.2">
      <c r="A1640" s="169" t="str">
        <f t="shared" si="3"/>
        <v>627</v>
      </c>
      <c r="B1640" s="167" t="str">
        <f>_xlfn.XLOOKUP(I1640,Mapping!D:D,Mapping!E:E)</f>
        <v>Nghiên Cứu &amp; Phát Triển</v>
      </c>
      <c r="C1640" s="167" t="str">
        <f>_xlfn.XLOOKUP(F1640,Mapping!A:A,Mapping!F:F)</f>
        <v>Thưởng</v>
      </c>
      <c r="D1640" s="173">
        <v>45919</v>
      </c>
      <c r="E1640" s="169" t="s">
        <v>1091</v>
      </c>
      <c r="F1640" s="169" t="s">
        <v>391</v>
      </c>
      <c r="G1640" s="169" t="s">
        <v>291</v>
      </c>
      <c r="H1640" s="169" t="s">
        <v>418</v>
      </c>
      <c r="I1640" s="169" t="s">
        <v>419</v>
      </c>
      <c r="J1640" s="169" t="s">
        <v>1092</v>
      </c>
      <c r="K1640" s="169" t="s">
        <v>1093</v>
      </c>
      <c r="L1640" s="169" t="s">
        <v>1048</v>
      </c>
      <c r="M1640" s="169" t="s">
        <v>281</v>
      </c>
      <c r="N1640" s="178">
        <v>1400000</v>
      </c>
      <c r="O1640" s="169" t="s">
        <v>1094</v>
      </c>
      <c r="P1640" s="169" t="s">
        <v>283</v>
      </c>
      <c r="Q1640" s="169" t="s">
        <v>284</v>
      </c>
      <c r="R1640" s="169" t="s">
        <v>283</v>
      </c>
      <c r="S1640" s="169" t="s">
        <v>283</v>
      </c>
      <c r="T1640" s="169">
        <v>0</v>
      </c>
    </row>
    <row r="1641" spans="1:20" x14ac:dyDescent="0.2">
      <c r="A1641" s="169" t="str">
        <f t="shared" si="3"/>
        <v>627</v>
      </c>
      <c r="B1641" s="167" t="str">
        <f>_xlfn.XLOOKUP(I1641,Mapping!D:D,Mapping!E:E)</f>
        <v>Nghiên Cứu &amp; Phát Triển</v>
      </c>
      <c r="C1641" s="167" t="str">
        <f>_xlfn.XLOOKUP(F1641,Mapping!A:A,Mapping!F:F)</f>
        <v>Lương Chính +T13</v>
      </c>
      <c r="D1641" s="173">
        <v>45919</v>
      </c>
      <c r="E1641" s="169" t="s">
        <v>1091</v>
      </c>
      <c r="F1641" s="169" t="s">
        <v>388</v>
      </c>
      <c r="G1641" s="169" t="s">
        <v>286</v>
      </c>
      <c r="H1641" s="169" t="s">
        <v>418</v>
      </c>
      <c r="I1641" s="169" t="s">
        <v>419</v>
      </c>
      <c r="J1641" s="169" t="s">
        <v>1092</v>
      </c>
      <c r="K1641" s="169" t="s">
        <v>1093</v>
      </c>
      <c r="L1641" s="169" t="s">
        <v>1048</v>
      </c>
      <c r="M1641" s="169" t="s">
        <v>281</v>
      </c>
      <c r="N1641" s="178">
        <v>6634616</v>
      </c>
      <c r="O1641" s="169" t="s">
        <v>1094</v>
      </c>
      <c r="P1641" s="169" t="s">
        <v>283</v>
      </c>
      <c r="Q1641" s="169" t="s">
        <v>284</v>
      </c>
      <c r="R1641" s="169" t="s">
        <v>283</v>
      </c>
      <c r="S1641" s="169" t="s">
        <v>283</v>
      </c>
      <c r="T1641" s="169">
        <v>0</v>
      </c>
    </row>
    <row r="1642" spans="1:20" x14ac:dyDescent="0.2">
      <c r="A1642" s="169" t="str">
        <f t="shared" ref="A1642:A1705" si="4">LEFT(F1642,3)</f>
        <v>627</v>
      </c>
      <c r="B1642" s="167" t="str">
        <f>_xlfn.XLOOKUP(I1642,Mapping!D:D,Mapping!E:E)</f>
        <v>Nghiên Cứu &amp; Phát Triển</v>
      </c>
      <c r="C1642" s="167" t="str">
        <f>_xlfn.XLOOKUP(F1642,Mapping!A:A,Mapping!F:F)</f>
        <v>Lương Chính +T13</v>
      </c>
      <c r="D1642" s="173">
        <v>45919</v>
      </c>
      <c r="E1642" s="169" t="s">
        <v>1091</v>
      </c>
      <c r="F1642" s="169" t="s">
        <v>387</v>
      </c>
      <c r="G1642" s="169" t="s">
        <v>275</v>
      </c>
      <c r="H1642" s="169" t="s">
        <v>418</v>
      </c>
      <c r="I1642" s="169" t="s">
        <v>419</v>
      </c>
      <c r="J1642" s="169" t="s">
        <v>1092</v>
      </c>
      <c r="K1642" s="169" t="s">
        <v>1093</v>
      </c>
      <c r="L1642" s="169" t="s">
        <v>1048</v>
      </c>
      <c r="M1642" s="169" t="s">
        <v>281</v>
      </c>
      <c r="N1642" s="178">
        <v>165644856</v>
      </c>
      <c r="O1642" s="169" t="s">
        <v>1094</v>
      </c>
      <c r="P1642" s="169" t="s">
        <v>283</v>
      </c>
      <c r="Q1642" s="169" t="s">
        <v>284</v>
      </c>
      <c r="R1642" s="169" t="s">
        <v>283</v>
      </c>
      <c r="S1642" s="169" t="s">
        <v>283</v>
      </c>
      <c r="T1642" s="169">
        <v>0</v>
      </c>
    </row>
    <row r="1643" spans="1:20" x14ac:dyDescent="0.2">
      <c r="A1643" s="169" t="str">
        <f t="shared" si="4"/>
        <v>627</v>
      </c>
      <c r="B1643" s="167" t="str">
        <f>_xlfn.XLOOKUP(I1643,Mapping!D:D,Mapping!E:E)</f>
        <v>Kiểm Soát Chất Lượng</v>
      </c>
      <c r="C1643" s="167" t="str">
        <f>_xlfn.XLOOKUP(F1643,Mapping!A:A,Mapping!F:F)</f>
        <v>Phụ Cấp</v>
      </c>
      <c r="D1643" s="173">
        <v>45919</v>
      </c>
      <c r="E1643" s="169" t="s">
        <v>1091</v>
      </c>
      <c r="F1643" s="169" t="s">
        <v>375</v>
      </c>
      <c r="G1643" s="169" t="s">
        <v>336</v>
      </c>
      <c r="H1643" s="169" t="s">
        <v>411</v>
      </c>
      <c r="I1643" s="169" t="s">
        <v>412</v>
      </c>
      <c r="J1643" s="169" t="s">
        <v>1092</v>
      </c>
      <c r="K1643" s="169" t="s">
        <v>1093</v>
      </c>
      <c r="L1643" s="169" t="s">
        <v>1048</v>
      </c>
      <c r="M1643" s="169" t="s">
        <v>281</v>
      </c>
      <c r="N1643" s="178">
        <v>8970000</v>
      </c>
      <c r="O1643" s="169" t="s">
        <v>1094</v>
      </c>
      <c r="P1643" s="169" t="s">
        <v>283</v>
      </c>
      <c r="Q1643" s="169" t="s">
        <v>284</v>
      </c>
      <c r="R1643" s="169" t="s">
        <v>283</v>
      </c>
      <c r="S1643" s="169" t="s">
        <v>283</v>
      </c>
      <c r="T1643" s="169">
        <v>0</v>
      </c>
    </row>
    <row r="1644" spans="1:20" x14ac:dyDescent="0.2">
      <c r="A1644" s="169" t="str">
        <f t="shared" si="4"/>
        <v>627</v>
      </c>
      <c r="B1644" s="167" t="str">
        <f>_xlfn.XLOOKUP(I1644,Mapping!D:D,Mapping!E:E)</f>
        <v>Kiểm Soát Chất Lượng</v>
      </c>
      <c r="C1644" s="167" t="str">
        <f>_xlfn.XLOOKUP(F1644,Mapping!A:A,Mapping!F:F)</f>
        <v>Thưởng</v>
      </c>
      <c r="D1644" s="173">
        <v>45919</v>
      </c>
      <c r="E1644" s="169" t="s">
        <v>1091</v>
      </c>
      <c r="F1644" s="169" t="s">
        <v>391</v>
      </c>
      <c r="G1644" s="169" t="s">
        <v>291</v>
      </c>
      <c r="H1644" s="169" t="s">
        <v>411</v>
      </c>
      <c r="I1644" s="169" t="s">
        <v>412</v>
      </c>
      <c r="J1644" s="169" t="s">
        <v>1092</v>
      </c>
      <c r="K1644" s="169" t="s">
        <v>1093</v>
      </c>
      <c r="L1644" s="169" t="s">
        <v>1048</v>
      </c>
      <c r="M1644" s="169" t="s">
        <v>281</v>
      </c>
      <c r="N1644" s="178">
        <v>9600000</v>
      </c>
      <c r="O1644" s="169" t="s">
        <v>1094</v>
      </c>
      <c r="P1644" s="169" t="s">
        <v>283</v>
      </c>
      <c r="Q1644" s="169" t="s">
        <v>284</v>
      </c>
      <c r="R1644" s="169" t="s">
        <v>283</v>
      </c>
      <c r="S1644" s="169" t="s">
        <v>283</v>
      </c>
      <c r="T1644" s="169">
        <v>0</v>
      </c>
    </row>
    <row r="1645" spans="1:20" x14ac:dyDescent="0.2">
      <c r="A1645" s="169" t="str">
        <f t="shared" si="4"/>
        <v>627</v>
      </c>
      <c r="B1645" s="167" t="str">
        <f>_xlfn.XLOOKUP(I1645,Mapping!D:D,Mapping!E:E)</f>
        <v>Kiểm Soát Chất Lượng</v>
      </c>
      <c r="C1645" s="167" t="str">
        <f>_xlfn.XLOOKUP(F1645,Mapping!A:A,Mapping!F:F)</f>
        <v>Lương Ngoài giờ</v>
      </c>
      <c r="D1645" s="173">
        <v>45919</v>
      </c>
      <c r="E1645" s="169" t="s">
        <v>1091</v>
      </c>
      <c r="F1645" s="169" t="s">
        <v>389</v>
      </c>
      <c r="G1645" s="169" t="s">
        <v>390</v>
      </c>
      <c r="H1645" s="169" t="s">
        <v>411</v>
      </c>
      <c r="I1645" s="169" t="s">
        <v>412</v>
      </c>
      <c r="J1645" s="169" t="s">
        <v>1092</v>
      </c>
      <c r="K1645" s="169" t="s">
        <v>1093</v>
      </c>
      <c r="L1645" s="169" t="s">
        <v>1048</v>
      </c>
      <c r="M1645" s="169" t="s">
        <v>281</v>
      </c>
      <c r="N1645" s="178">
        <v>220295183</v>
      </c>
      <c r="O1645" s="169" t="s">
        <v>1094</v>
      </c>
      <c r="P1645" s="169" t="s">
        <v>283</v>
      </c>
      <c r="Q1645" s="169" t="s">
        <v>284</v>
      </c>
      <c r="R1645" s="169" t="s">
        <v>283</v>
      </c>
      <c r="S1645" s="169" t="s">
        <v>283</v>
      </c>
      <c r="T1645" s="169">
        <v>0</v>
      </c>
    </row>
    <row r="1646" spans="1:20" x14ac:dyDescent="0.2">
      <c r="A1646" s="169" t="str">
        <f t="shared" si="4"/>
        <v>627</v>
      </c>
      <c r="B1646" s="167" t="str">
        <f>_xlfn.XLOOKUP(I1646,Mapping!D:D,Mapping!E:E)</f>
        <v>Kiểm Soát Chất Lượng</v>
      </c>
      <c r="C1646" s="167" t="str">
        <f>_xlfn.XLOOKUP(F1646,Mapping!A:A,Mapping!F:F)</f>
        <v>Lương Chính +T13</v>
      </c>
      <c r="D1646" s="173">
        <v>45919</v>
      </c>
      <c r="E1646" s="169" t="s">
        <v>1091</v>
      </c>
      <c r="F1646" s="169" t="s">
        <v>388</v>
      </c>
      <c r="G1646" s="169" t="s">
        <v>286</v>
      </c>
      <c r="H1646" s="169" t="s">
        <v>411</v>
      </c>
      <c r="I1646" s="169" t="s">
        <v>412</v>
      </c>
      <c r="J1646" s="169" t="s">
        <v>1092</v>
      </c>
      <c r="K1646" s="169" t="s">
        <v>1093</v>
      </c>
      <c r="L1646" s="169" t="s">
        <v>1048</v>
      </c>
      <c r="M1646" s="169" t="s">
        <v>281</v>
      </c>
      <c r="N1646" s="178">
        <v>13667942</v>
      </c>
      <c r="O1646" s="169" t="s">
        <v>1094</v>
      </c>
      <c r="P1646" s="169" t="s">
        <v>283</v>
      </c>
      <c r="Q1646" s="169" t="s">
        <v>284</v>
      </c>
      <c r="R1646" s="169" t="s">
        <v>283</v>
      </c>
      <c r="S1646" s="169" t="s">
        <v>283</v>
      </c>
      <c r="T1646" s="169">
        <v>0</v>
      </c>
    </row>
    <row r="1647" spans="1:20" x14ac:dyDescent="0.2">
      <c r="A1647" s="169" t="str">
        <f t="shared" si="4"/>
        <v>627</v>
      </c>
      <c r="B1647" s="167" t="str">
        <f>_xlfn.XLOOKUP(I1647,Mapping!D:D,Mapping!E:E)</f>
        <v>Kiểm Soát Chất Lượng</v>
      </c>
      <c r="C1647" s="167" t="str">
        <f>_xlfn.XLOOKUP(F1647,Mapping!A:A,Mapping!F:F)</f>
        <v>Lương Chính +T13</v>
      </c>
      <c r="D1647" s="173">
        <v>45919</v>
      </c>
      <c r="E1647" s="169" t="s">
        <v>1091</v>
      </c>
      <c r="F1647" s="169" t="s">
        <v>387</v>
      </c>
      <c r="G1647" s="169" t="s">
        <v>275</v>
      </c>
      <c r="H1647" s="169" t="s">
        <v>411</v>
      </c>
      <c r="I1647" s="169" t="s">
        <v>412</v>
      </c>
      <c r="J1647" s="169" t="s">
        <v>1092</v>
      </c>
      <c r="K1647" s="169" t="s">
        <v>1093</v>
      </c>
      <c r="L1647" s="169" t="s">
        <v>1048</v>
      </c>
      <c r="M1647" s="169" t="s">
        <v>281</v>
      </c>
      <c r="N1647" s="178">
        <v>528079880</v>
      </c>
      <c r="O1647" s="169" t="s">
        <v>1094</v>
      </c>
      <c r="P1647" s="169" t="s">
        <v>283</v>
      </c>
      <c r="Q1647" s="169" t="s">
        <v>284</v>
      </c>
      <c r="R1647" s="169" t="s">
        <v>283</v>
      </c>
      <c r="S1647" s="169" t="s">
        <v>283</v>
      </c>
      <c r="T1647" s="169">
        <v>0</v>
      </c>
    </row>
    <row r="1648" spans="1:20" x14ac:dyDescent="0.2">
      <c r="A1648" s="169" t="str">
        <f t="shared" si="4"/>
        <v>627</v>
      </c>
      <c r="B1648" s="167" t="str">
        <f>_xlfn.XLOOKUP(I1648,Mapping!D:D,Mapping!E:E)</f>
        <v>Kiểm Soát Chất Lượng</v>
      </c>
      <c r="C1648" s="167" t="str">
        <f>_xlfn.XLOOKUP(F1648,Mapping!A:A,Mapping!F:F)</f>
        <v>Phụ Cấp</v>
      </c>
      <c r="D1648" s="173">
        <v>45919</v>
      </c>
      <c r="E1648" s="169" t="s">
        <v>1091</v>
      </c>
      <c r="F1648" s="169" t="s">
        <v>386</v>
      </c>
      <c r="G1648" s="169" t="s">
        <v>341</v>
      </c>
      <c r="H1648" s="169" t="s">
        <v>411</v>
      </c>
      <c r="I1648" s="169" t="s">
        <v>412</v>
      </c>
      <c r="J1648" s="169" t="s">
        <v>1092</v>
      </c>
      <c r="K1648" s="169" t="s">
        <v>1093</v>
      </c>
      <c r="L1648" s="169" t="s">
        <v>1048</v>
      </c>
      <c r="M1648" s="169" t="s">
        <v>281</v>
      </c>
      <c r="N1648" s="178">
        <v>29133013</v>
      </c>
      <c r="O1648" s="169" t="s">
        <v>1094</v>
      </c>
      <c r="P1648" s="169" t="s">
        <v>283</v>
      </c>
      <c r="Q1648" s="169" t="s">
        <v>284</v>
      </c>
      <c r="R1648" s="169" t="s">
        <v>283</v>
      </c>
      <c r="S1648" s="169" t="s">
        <v>283</v>
      </c>
      <c r="T1648" s="169">
        <v>0</v>
      </c>
    </row>
    <row r="1649" spans="1:20" x14ac:dyDescent="0.2">
      <c r="A1649" s="169" t="str">
        <f t="shared" si="4"/>
        <v>627</v>
      </c>
      <c r="B1649" s="167" t="str">
        <f>_xlfn.XLOOKUP(I1649,Mapping!D:D,Mapping!E:E)</f>
        <v>Kỹ Thuật</v>
      </c>
      <c r="C1649" s="167" t="str">
        <f>_xlfn.XLOOKUP(F1649,Mapping!A:A,Mapping!F:F)</f>
        <v>Phụ Cấp</v>
      </c>
      <c r="D1649" s="173">
        <v>45919</v>
      </c>
      <c r="E1649" s="169" t="s">
        <v>1091</v>
      </c>
      <c r="F1649" s="169" t="s">
        <v>375</v>
      </c>
      <c r="G1649" s="169" t="s">
        <v>336</v>
      </c>
      <c r="H1649" s="169" t="s">
        <v>376</v>
      </c>
      <c r="I1649" s="169" t="s">
        <v>377</v>
      </c>
      <c r="J1649" s="169" t="s">
        <v>1092</v>
      </c>
      <c r="K1649" s="169" t="s">
        <v>1093</v>
      </c>
      <c r="L1649" s="169" t="s">
        <v>1048</v>
      </c>
      <c r="M1649" s="169" t="s">
        <v>281</v>
      </c>
      <c r="N1649" s="178">
        <v>12255000</v>
      </c>
      <c r="O1649" s="169" t="s">
        <v>1094</v>
      </c>
      <c r="P1649" s="169" t="s">
        <v>283</v>
      </c>
      <c r="Q1649" s="169" t="s">
        <v>284</v>
      </c>
      <c r="R1649" s="169" t="s">
        <v>283</v>
      </c>
      <c r="S1649" s="169" t="s">
        <v>283</v>
      </c>
      <c r="T1649" s="169">
        <v>0</v>
      </c>
    </row>
    <row r="1650" spans="1:20" x14ac:dyDescent="0.2">
      <c r="A1650" s="169" t="str">
        <f t="shared" si="4"/>
        <v>627</v>
      </c>
      <c r="B1650" s="167" t="str">
        <f>_xlfn.XLOOKUP(I1650,Mapping!D:D,Mapping!E:E)</f>
        <v>Kỹ Thuật</v>
      </c>
      <c r="C1650" s="167" t="str">
        <f>_xlfn.XLOOKUP(F1650,Mapping!A:A,Mapping!F:F)</f>
        <v>Thưởng</v>
      </c>
      <c r="D1650" s="173">
        <v>45919</v>
      </c>
      <c r="E1650" s="169" t="s">
        <v>1091</v>
      </c>
      <c r="F1650" s="169" t="s">
        <v>391</v>
      </c>
      <c r="G1650" s="169" t="s">
        <v>291</v>
      </c>
      <c r="H1650" s="169" t="s">
        <v>376</v>
      </c>
      <c r="I1650" s="169" t="s">
        <v>377</v>
      </c>
      <c r="J1650" s="169" t="s">
        <v>1092</v>
      </c>
      <c r="K1650" s="169" t="s">
        <v>1093</v>
      </c>
      <c r="L1650" s="169" t="s">
        <v>1048</v>
      </c>
      <c r="M1650" s="169" t="s">
        <v>281</v>
      </c>
      <c r="N1650" s="178">
        <v>17000000</v>
      </c>
      <c r="O1650" s="169" t="s">
        <v>1094</v>
      </c>
      <c r="P1650" s="169" t="s">
        <v>283</v>
      </c>
      <c r="Q1650" s="169" t="s">
        <v>284</v>
      </c>
      <c r="R1650" s="169" t="s">
        <v>283</v>
      </c>
      <c r="S1650" s="169" t="s">
        <v>283</v>
      </c>
      <c r="T1650" s="169">
        <v>0</v>
      </c>
    </row>
    <row r="1651" spans="1:20" x14ac:dyDescent="0.2">
      <c r="A1651" s="169" t="str">
        <f t="shared" si="4"/>
        <v>627</v>
      </c>
      <c r="B1651" s="167" t="str">
        <f>_xlfn.XLOOKUP(I1651,Mapping!D:D,Mapping!E:E)</f>
        <v>Kỹ Thuật</v>
      </c>
      <c r="C1651" s="167" t="str">
        <f>_xlfn.XLOOKUP(F1651,Mapping!A:A,Mapping!F:F)</f>
        <v>Lương Ngoài giờ</v>
      </c>
      <c r="D1651" s="173">
        <v>45919</v>
      </c>
      <c r="E1651" s="169" t="s">
        <v>1091</v>
      </c>
      <c r="F1651" s="169" t="s">
        <v>389</v>
      </c>
      <c r="G1651" s="169" t="s">
        <v>390</v>
      </c>
      <c r="H1651" s="169" t="s">
        <v>376</v>
      </c>
      <c r="I1651" s="169" t="s">
        <v>377</v>
      </c>
      <c r="J1651" s="169" t="s">
        <v>1092</v>
      </c>
      <c r="K1651" s="169" t="s">
        <v>1093</v>
      </c>
      <c r="L1651" s="169" t="s">
        <v>1048</v>
      </c>
      <c r="M1651" s="169" t="s">
        <v>281</v>
      </c>
      <c r="N1651" s="178">
        <v>492192168</v>
      </c>
      <c r="O1651" s="169" t="s">
        <v>1094</v>
      </c>
      <c r="P1651" s="169" t="s">
        <v>283</v>
      </c>
      <c r="Q1651" s="169" t="s">
        <v>284</v>
      </c>
      <c r="R1651" s="169" t="s">
        <v>283</v>
      </c>
      <c r="S1651" s="169" t="s">
        <v>283</v>
      </c>
      <c r="T1651" s="169">
        <v>0</v>
      </c>
    </row>
    <row r="1652" spans="1:20" x14ac:dyDescent="0.2">
      <c r="A1652" s="169" t="str">
        <f t="shared" si="4"/>
        <v>627</v>
      </c>
      <c r="B1652" s="167" t="str">
        <f>_xlfn.XLOOKUP(I1652,Mapping!D:D,Mapping!E:E)</f>
        <v>Kỹ Thuật</v>
      </c>
      <c r="C1652" s="167" t="str">
        <f>_xlfn.XLOOKUP(F1652,Mapping!A:A,Mapping!F:F)</f>
        <v>Lương Chính +T13</v>
      </c>
      <c r="D1652" s="173">
        <v>45919</v>
      </c>
      <c r="E1652" s="169" t="s">
        <v>1091</v>
      </c>
      <c r="F1652" s="169" t="s">
        <v>388</v>
      </c>
      <c r="G1652" s="169" t="s">
        <v>286</v>
      </c>
      <c r="H1652" s="169" t="s">
        <v>376</v>
      </c>
      <c r="I1652" s="169" t="s">
        <v>377</v>
      </c>
      <c r="J1652" s="169" t="s">
        <v>1092</v>
      </c>
      <c r="K1652" s="169" t="s">
        <v>1093</v>
      </c>
      <c r="L1652" s="169" t="s">
        <v>1048</v>
      </c>
      <c r="M1652" s="169" t="s">
        <v>281</v>
      </c>
      <c r="N1652" s="178">
        <v>47938347</v>
      </c>
      <c r="O1652" s="169" t="s">
        <v>1094</v>
      </c>
      <c r="P1652" s="169" t="s">
        <v>283</v>
      </c>
      <c r="Q1652" s="169" t="s">
        <v>284</v>
      </c>
      <c r="R1652" s="169" t="s">
        <v>283</v>
      </c>
      <c r="S1652" s="169" t="s">
        <v>283</v>
      </c>
      <c r="T1652" s="169">
        <v>0</v>
      </c>
    </row>
    <row r="1653" spans="1:20" x14ac:dyDescent="0.2">
      <c r="A1653" s="169" t="str">
        <f t="shared" si="4"/>
        <v>627</v>
      </c>
      <c r="B1653" s="167" t="str">
        <f>_xlfn.XLOOKUP(I1653,Mapping!D:D,Mapping!E:E)</f>
        <v>Kỹ Thuật</v>
      </c>
      <c r="C1653" s="167" t="str">
        <f>_xlfn.XLOOKUP(F1653,Mapping!A:A,Mapping!F:F)</f>
        <v>Lương Chính +T13</v>
      </c>
      <c r="D1653" s="173">
        <v>45919</v>
      </c>
      <c r="E1653" s="169" t="s">
        <v>1091</v>
      </c>
      <c r="F1653" s="169" t="s">
        <v>387</v>
      </c>
      <c r="G1653" s="169" t="s">
        <v>275</v>
      </c>
      <c r="H1653" s="169" t="s">
        <v>376</v>
      </c>
      <c r="I1653" s="169" t="s">
        <v>377</v>
      </c>
      <c r="J1653" s="169" t="s">
        <v>1092</v>
      </c>
      <c r="K1653" s="169" t="s">
        <v>1093</v>
      </c>
      <c r="L1653" s="169" t="s">
        <v>1048</v>
      </c>
      <c r="M1653" s="169" t="s">
        <v>281</v>
      </c>
      <c r="N1653" s="178">
        <v>1141542239</v>
      </c>
      <c r="O1653" s="169" t="s">
        <v>1094</v>
      </c>
      <c r="P1653" s="169" t="s">
        <v>283</v>
      </c>
      <c r="Q1653" s="169" t="s">
        <v>284</v>
      </c>
      <c r="R1653" s="169" t="s">
        <v>283</v>
      </c>
      <c r="S1653" s="169" t="s">
        <v>283</v>
      </c>
      <c r="T1653" s="169">
        <v>0</v>
      </c>
    </row>
    <row r="1654" spans="1:20" x14ac:dyDescent="0.2">
      <c r="A1654" s="169" t="str">
        <f t="shared" si="4"/>
        <v>627</v>
      </c>
      <c r="B1654" s="167" t="str">
        <f>_xlfn.XLOOKUP(I1654,Mapping!D:D,Mapping!E:E)</f>
        <v>Kỹ Thuật</v>
      </c>
      <c r="C1654" s="167" t="str">
        <f>_xlfn.XLOOKUP(F1654,Mapping!A:A,Mapping!F:F)</f>
        <v>Phụ Cấp</v>
      </c>
      <c r="D1654" s="173">
        <v>45919</v>
      </c>
      <c r="E1654" s="169" t="s">
        <v>1091</v>
      </c>
      <c r="F1654" s="169" t="s">
        <v>386</v>
      </c>
      <c r="G1654" s="169" t="s">
        <v>341</v>
      </c>
      <c r="H1654" s="169" t="s">
        <v>376</v>
      </c>
      <c r="I1654" s="169" t="s">
        <v>377</v>
      </c>
      <c r="J1654" s="169" t="s">
        <v>1092</v>
      </c>
      <c r="K1654" s="169" t="s">
        <v>1093</v>
      </c>
      <c r="L1654" s="169" t="s">
        <v>1048</v>
      </c>
      <c r="M1654" s="169" t="s">
        <v>281</v>
      </c>
      <c r="N1654" s="178">
        <v>54484692</v>
      </c>
      <c r="O1654" s="169" t="s">
        <v>1094</v>
      </c>
      <c r="P1654" s="169" t="s">
        <v>283</v>
      </c>
      <c r="Q1654" s="169" t="s">
        <v>284</v>
      </c>
      <c r="R1654" s="169" t="s">
        <v>283</v>
      </c>
      <c r="S1654" s="169" t="s">
        <v>283</v>
      </c>
      <c r="T1654" s="169">
        <v>0</v>
      </c>
    </row>
    <row r="1655" spans="1:20" x14ac:dyDescent="0.2">
      <c r="A1655" s="169" t="str">
        <f t="shared" si="4"/>
        <v>642</v>
      </c>
      <c r="B1655" s="167" t="str">
        <f>_xlfn.XLOOKUP(I1655,Mapping!D:D,Mapping!E:E)</f>
        <v>Mua Hàng &amp; XNK</v>
      </c>
      <c r="C1655" s="167" t="str">
        <f>_xlfn.XLOOKUP(F1655,Mapping!A:A,Mapping!F:F)</f>
        <v>Phụ Cấp</v>
      </c>
      <c r="D1655" s="173">
        <v>45919</v>
      </c>
      <c r="E1655" s="169" t="s">
        <v>1091</v>
      </c>
      <c r="F1655" s="169" t="s">
        <v>335</v>
      </c>
      <c r="G1655" s="169" t="s">
        <v>336</v>
      </c>
      <c r="H1655" s="169" t="s">
        <v>378</v>
      </c>
      <c r="I1655" s="169" t="s">
        <v>379</v>
      </c>
      <c r="J1655" s="169" t="s">
        <v>1092</v>
      </c>
      <c r="K1655" s="169" t="s">
        <v>1093</v>
      </c>
      <c r="L1655" s="169" t="s">
        <v>1048</v>
      </c>
      <c r="M1655" s="169" t="s">
        <v>281</v>
      </c>
      <c r="N1655" s="178">
        <v>1050000</v>
      </c>
      <c r="O1655" s="169" t="s">
        <v>1094</v>
      </c>
      <c r="P1655" s="169" t="s">
        <v>283</v>
      </c>
      <c r="Q1655" s="169" t="s">
        <v>284</v>
      </c>
      <c r="R1655" s="169" t="s">
        <v>283</v>
      </c>
      <c r="S1655" s="169" t="s">
        <v>283</v>
      </c>
      <c r="T1655" s="169">
        <v>0</v>
      </c>
    </row>
    <row r="1656" spans="1:20" x14ac:dyDescent="0.2">
      <c r="A1656" s="169" t="str">
        <f t="shared" si="4"/>
        <v>642</v>
      </c>
      <c r="B1656" s="167" t="str">
        <f>_xlfn.XLOOKUP(I1656,Mapping!D:D,Mapping!E:E)</f>
        <v>Mua Hàng &amp; XNK</v>
      </c>
      <c r="C1656" s="167" t="str">
        <f>_xlfn.XLOOKUP(F1656,Mapping!A:A,Mapping!F:F)</f>
        <v>Thưởng</v>
      </c>
      <c r="D1656" s="173">
        <v>45919</v>
      </c>
      <c r="E1656" s="169" t="s">
        <v>1091</v>
      </c>
      <c r="F1656" s="169" t="s">
        <v>290</v>
      </c>
      <c r="G1656" s="169" t="s">
        <v>291</v>
      </c>
      <c r="H1656" s="169" t="s">
        <v>378</v>
      </c>
      <c r="I1656" s="169" t="s">
        <v>379</v>
      </c>
      <c r="J1656" s="169" t="s">
        <v>1092</v>
      </c>
      <c r="K1656" s="169" t="s">
        <v>1093</v>
      </c>
      <c r="L1656" s="169" t="s">
        <v>1048</v>
      </c>
      <c r="M1656" s="169" t="s">
        <v>281</v>
      </c>
      <c r="N1656" s="178">
        <v>1600000</v>
      </c>
      <c r="O1656" s="169" t="s">
        <v>1094</v>
      </c>
      <c r="P1656" s="169" t="s">
        <v>283</v>
      </c>
      <c r="Q1656" s="169" t="s">
        <v>284</v>
      </c>
      <c r="R1656" s="169" t="s">
        <v>283</v>
      </c>
      <c r="S1656" s="169" t="s">
        <v>283</v>
      </c>
      <c r="T1656" s="169">
        <v>0</v>
      </c>
    </row>
    <row r="1657" spans="1:20" x14ac:dyDescent="0.2">
      <c r="A1657" s="169" t="str">
        <f t="shared" si="4"/>
        <v>642</v>
      </c>
      <c r="B1657" s="167" t="str">
        <f>_xlfn.XLOOKUP(I1657,Mapping!D:D,Mapping!E:E)</f>
        <v>Mua Hàng &amp; XNK</v>
      </c>
      <c r="C1657" s="167" t="str">
        <f>_xlfn.XLOOKUP(F1657,Mapping!A:A,Mapping!F:F)</f>
        <v>Lương Chính +T13</v>
      </c>
      <c r="D1657" s="173">
        <v>45919</v>
      </c>
      <c r="E1657" s="169" t="s">
        <v>1091</v>
      </c>
      <c r="F1657" s="169" t="s">
        <v>285</v>
      </c>
      <c r="G1657" s="169" t="s">
        <v>286</v>
      </c>
      <c r="H1657" s="169" t="s">
        <v>378</v>
      </c>
      <c r="I1657" s="169" t="s">
        <v>379</v>
      </c>
      <c r="J1657" s="169" t="s">
        <v>1092</v>
      </c>
      <c r="K1657" s="169" t="s">
        <v>1093</v>
      </c>
      <c r="L1657" s="169" t="s">
        <v>1048</v>
      </c>
      <c r="M1657" s="169" t="s">
        <v>281</v>
      </c>
      <c r="N1657" s="178">
        <v>2101615</v>
      </c>
      <c r="O1657" s="169" t="s">
        <v>1094</v>
      </c>
      <c r="P1657" s="169" t="s">
        <v>283</v>
      </c>
      <c r="Q1657" s="169" t="s">
        <v>284</v>
      </c>
      <c r="R1657" s="169" t="s">
        <v>283</v>
      </c>
      <c r="S1657" s="169" t="s">
        <v>283</v>
      </c>
      <c r="T1657" s="169">
        <v>0</v>
      </c>
    </row>
    <row r="1658" spans="1:20" x14ac:dyDescent="0.2">
      <c r="A1658" s="169" t="str">
        <f t="shared" si="4"/>
        <v>642</v>
      </c>
      <c r="B1658" s="167" t="str">
        <f>_xlfn.XLOOKUP(I1658,Mapping!D:D,Mapping!E:E)</f>
        <v>Mua Hàng &amp; XNK</v>
      </c>
      <c r="C1658" s="167" t="str">
        <f>_xlfn.XLOOKUP(F1658,Mapping!A:A,Mapping!F:F)</f>
        <v>Lương Chính +T13</v>
      </c>
      <c r="D1658" s="173">
        <v>45919</v>
      </c>
      <c r="E1658" s="169" t="s">
        <v>1091</v>
      </c>
      <c r="F1658" s="169" t="s">
        <v>274</v>
      </c>
      <c r="G1658" s="169" t="s">
        <v>275</v>
      </c>
      <c r="H1658" s="169" t="s">
        <v>378</v>
      </c>
      <c r="I1658" s="169" t="s">
        <v>379</v>
      </c>
      <c r="J1658" s="169" t="s">
        <v>1092</v>
      </c>
      <c r="K1658" s="169" t="s">
        <v>1093</v>
      </c>
      <c r="L1658" s="169" t="s">
        <v>1048</v>
      </c>
      <c r="M1658" s="169" t="s">
        <v>281</v>
      </c>
      <c r="N1658" s="178">
        <v>127851334</v>
      </c>
      <c r="O1658" s="169" t="s">
        <v>1094</v>
      </c>
      <c r="P1658" s="169" t="s">
        <v>283</v>
      </c>
      <c r="Q1658" s="169" t="s">
        <v>284</v>
      </c>
      <c r="R1658" s="169" t="s">
        <v>283</v>
      </c>
      <c r="S1658" s="169" t="s">
        <v>283</v>
      </c>
      <c r="T1658" s="169">
        <v>0</v>
      </c>
    </row>
    <row r="1659" spans="1:20" x14ac:dyDescent="0.2">
      <c r="A1659" s="169" t="str">
        <f t="shared" si="4"/>
        <v>642</v>
      </c>
      <c r="B1659" s="167" t="str">
        <f>_xlfn.XLOOKUP(I1659,Mapping!D:D,Mapping!E:E)</f>
        <v>Cung Ứng</v>
      </c>
      <c r="C1659" s="167" t="str">
        <f>_xlfn.XLOOKUP(F1659,Mapping!A:A,Mapping!F:F)</f>
        <v>Phụ Cấp</v>
      </c>
      <c r="D1659" s="173">
        <v>45919</v>
      </c>
      <c r="E1659" s="169" t="s">
        <v>1091</v>
      </c>
      <c r="F1659" s="169" t="s">
        <v>335</v>
      </c>
      <c r="G1659" s="169" t="s">
        <v>336</v>
      </c>
      <c r="H1659" s="169" t="s">
        <v>380</v>
      </c>
      <c r="I1659" s="169" t="s">
        <v>381</v>
      </c>
      <c r="J1659" s="169" t="s">
        <v>1092</v>
      </c>
      <c r="K1659" s="169" t="s">
        <v>1093</v>
      </c>
      <c r="L1659" s="169" t="s">
        <v>1048</v>
      </c>
      <c r="M1659" s="169" t="s">
        <v>281</v>
      </c>
      <c r="N1659" s="178">
        <v>13175000</v>
      </c>
      <c r="O1659" s="169" t="s">
        <v>1094</v>
      </c>
      <c r="P1659" s="169" t="s">
        <v>283</v>
      </c>
      <c r="Q1659" s="169" t="s">
        <v>284</v>
      </c>
      <c r="R1659" s="169" t="s">
        <v>283</v>
      </c>
      <c r="S1659" s="169" t="s">
        <v>283</v>
      </c>
      <c r="T1659" s="169">
        <v>0</v>
      </c>
    </row>
    <row r="1660" spans="1:20" x14ac:dyDescent="0.2">
      <c r="A1660" s="169" t="str">
        <f t="shared" si="4"/>
        <v>642</v>
      </c>
      <c r="B1660" s="167" t="str">
        <f>_xlfn.XLOOKUP(I1660,Mapping!D:D,Mapping!E:E)</f>
        <v>Cung Ứng</v>
      </c>
      <c r="C1660" s="167" t="str">
        <f>_xlfn.XLOOKUP(F1660,Mapping!A:A,Mapping!F:F)</f>
        <v>Thưởng</v>
      </c>
      <c r="D1660" s="173">
        <v>45919</v>
      </c>
      <c r="E1660" s="169" t="s">
        <v>1091</v>
      </c>
      <c r="F1660" s="169" t="s">
        <v>290</v>
      </c>
      <c r="G1660" s="169" t="s">
        <v>291</v>
      </c>
      <c r="H1660" s="169" t="s">
        <v>380</v>
      </c>
      <c r="I1660" s="169" t="s">
        <v>381</v>
      </c>
      <c r="J1660" s="169" t="s">
        <v>1092</v>
      </c>
      <c r="K1660" s="169" t="s">
        <v>1093</v>
      </c>
      <c r="L1660" s="169" t="s">
        <v>1048</v>
      </c>
      <c r="M1660" s="169" t="s">
        <v>281</v>
      </c>
      <c r="N1660" s="178">
        <v>15031108</v>
      </c>
      <c r="O1660" s="169" t="s">
        <v>1094</v>
      </c>
      <c r="P1660" s="169" t="s">
        <v>283</v>
      </c>
      <c r="Q1660" s="169" t="s">
        <v>284</v>
      </c>
      <c r="R1660" s="169" t="s">
        <v>283</v>
      </c>
      <c r="S1660" s="169" t="s">
        <v>283</v>
      </c>
      <c r="T1660" s="169">
        <v>0</v>
      </c>
    </row>
    <row r="1661" spans="1:20" x14ac:dyDescent="0.2">
      <c r="A1661" s="169" t="str">
        <f t="shared" si="4"/>
        <v>642</v>
      </c>
      <c r="B1661" s="167" t="str">
        <f>_xlfn.XLOOKUP(I1661,Mapping!D:D,Mapping!E:E)</f>
        <v>Cung Ứng</v>
      </c>
      <c r="C1661" s="167" t="str">
        <f>_xlfn.XLOOKUP(F1661,Mapping!A:A,Mapping!F:F)</f>
        <v>Lương Chính +T13</v>
      </c>
      <c r="D1661" s="173">
        <v>45919</v>
      </c>
      <c r="E1661" s="169" t="s">
        <v>1091</v>
      </c>
      <c r="F1661" s="169" t="s">
        <v>285</v>
      </c>
      <c r="G1661" s="169" t="s">
        <v>286</v>
      </c>
      <c r="H1661" s="169" t="s">
        <v>380</v>
      </c>
      <c r="I1661" s="169" t="s">
        <v>381</v>
      </c>
      <c r="J1661" s="169" t="s">
        <v>1092</v>
      </c>
      <c r="K1661" s="169" t="s">
        <v>1093</v>
      </c>
      <c r="L1661" s="169" t="s">
        <v>1048</v>
      </c>
      <c r="M1661" s="169" t="s">
        <v>281</v>
      </c>
      <c r="N1661" s="178">
        <v>9698924</v>
      </c>
      <c r="O1661" s="169" t="s">
        <v>1094</v>
      </c>
      <c r="P1661" s="169" t="s">
        <v>283</v>
      </c>
      <c r="Q1661" s="169" t="s">
        <v>284</v>
      </c>
      <c r="R1661" s="169" t="s">
        <v>283</v>
      </c>
      <c r="S1661" s="169" t="s">
        <v>283</v>
      </c>
      <c r="T1661" s="169">
        <v>0</v>
      </c>
    </row>
    <row r="1662" spans="1:20" x14ac:dyDescent="0.2">
      <c r="A1662" s="169" t="str">
        <f t="shared" si="4"/>
        <v>642</v>
      </c>
      <c r="B1662" s="167" t="str">
        <f>_xlfn.XLOOKUP(I1662,Mapping!D:D,Mapping!E:E)</f>
        <v>Cung Ứng</v>
      </c>
      <c r="C1662" s="167" t="str">
        <f>_xlfn.XLOOKUP(F1662,Mapping!A:A,Mapping!F:F)</f>
        <v>Lương Chính +T13</v>
      </c>
      <c r="D1662" s="173">
        <v>45919</v>
      </c>
      <c r="E1662" s="169" t="s">
        <v>1091</v>
      </c>
      <c r="F1662" s="169" t="s">
        <v>274</v>
      </c>
      <c r="G1662" s="169" t="s">
        <v>275</v>
      </c>
      <c r="H1662" s="169" t="s">
        <v>380</v>
      </c>
      <c r="I1662" s="169" t="s">
        <v>381</v>
      </c>
      <c r="J1662" s="169" t="s">
        <v>1092</v>
      </c>
      <c r="K1662" s="169" t="s">
        <v>1093</v>
      </c>
      <c r="L1662" s="169" t="s">
        <v>1048</v>
      </c>
      <c r="M1662" s="169" t="s">
        <v>281</v>
      </c>
      <c r="N1662" s="178">
        <v>581045654</v>
      </c>
      <c r="O1662" s="169" t="s">
        <v>1094</v>
      </c>
      <c r="P1662" s="169" t="s">
        <v>283</v>
      </c>
      <c r="Q1662" s="169" t="s">
        <v>284</v>
      </c>
      <c r="R1662" s="169" t="s">
        <v>283</v>
      </c>
      <c r="S1662" s="169" t="s">
        <v>283</v>
      </c>
      <c r="T1662" s="169">
        <v>0</v>
      </c>
    </row>
    <row r="1663" spans="1:20" x14ac:dyDescent="0.2">
      <c r="A1663" s="169" t="str">
        <f t="shared" si="4"/>
        <v>641</v>
      </c>
      <c r="B1663" s="167" t="str">
        <f>_xlfn.XLOOKUP(I1663,Mapping!D:D,Mapping!E:E)</f>
        <v>Kinh doanh</v>
      </c>
      <c r="C1663" s="167" t="str">
        <f>_xlfn.XLOOKUP(F1663,Mapping!A:A,Mapping!F:F)</f>
        <v>Thưởng</v>
      </c>
      <c r="D1663" s="173">
        <v>45919</v>
      </c>
      <c r="E1663" s="169" t="s">
        <v>1091</v>
      </c>
      <c r="F1663" s="169" t="s">
        <v>365</v>
      </c>
      <c r="G1663" s="169" t="s">
        <v>291</v>
      </c>
      <c r="H1663" s="169" t="s">
        <v>366</v>
      </c>
      <c r="I1663" s="169" t="s">
        <v>1</v>
      </c>
      <c r="J1663" s="169" t="s">
        <v>1092</v>
      </c>
      <c r="K1663" s="169" t="s">
        <v>1093</v>
      </c>
      <c r="L1663" s="169" t="s">
        <v>1048</v>
      </c>
      <c r="M1663" s="169" t="s">
        <v>281</v>
      </c>
      <c r="N1663" s="178">
        <v>133488905</v>
      </c>
      <c r="O1663" s="169" t="s">
        <v>1094</v>
      </c>
      <c r="P1663" s="169" t="s">
        <v>283</v>
      </c>
      <c r="Q1663" s="169" t="s">
        <v>284</v>
      </c>
      <c r="R1663" s="169" t="s">
        <v>283</v>
      </c>
      <c r="S1663" s="169" t="s">
        <v>283</v>
      </c>
      <c r="T1663" s="169">
        <v>0</v>
      </c>
    </row>
    <row r="1664" spans="1:20" x14ac:dyDescent="0.2">
      <c r="A1664" s="169" t="str">
        <f t="shared" si="4"/>
        <v>641</v>
      </c>
      <c r="B1664" s="167" t="str">
        <f>_xlfn.XLOOKUP(I1664,Mapping!D:D,Mapping!E:E)</f>
        <v>Kinh doanh</v>
      </c>
      <c r="C1664" s="167" t="str">
        <f>_xlfn.XLOOKUP(F1664,Mapping!A:A,Mapping!F:F)</f>
        <v>Lương Chính +T13</v>
      </c>
      <c r="D1664" s="173">
        <v>45919</v>
      </c>
      <c r="E1664" s="169" t="s">
        <v>1091</v>
      </c>
      <c r="F1664" s="169" t="s">
        <v>384</v>
      </c>
      <c r="G1664" s="169" t="s">
        <v>286</v>
      </c>
      <c r="H1664" s="169" t="s">
        <v>366</v>
      </c>
      <c r="I1664" s="169" t="s">
        <v>1</v>
      </c>
      <c r="J1664" s="169" t="s">
        <v>1092</v>
      </c>
      <c r="K1664" s="169" t="s">
        <v>1093</v>
      </c>
      <c r="L1664" s="169" t="s">
        <v>1048</v>
      </c>
      <c r="M1664" s="169" t="s">
        <v>281</v>
      </c>
      <c r="N1664" s="178">
        <v>8948019</v>
      </c>
      <c r="O1664" s="169" t="s">
        <v>1094</v>
      </c>
      <c r="P1664" s="169" t="s">
        <v>283</v>
      </c>
      <c r="Q1664" s="169" t="s">
        <v>284</v>
      </c>
      <c r="R1664" s="169" t="s">
        <v>283</v>
      </c>
      <c r="S1664" s="169" t="s">
        <v>283</v>
      </c>
      <c r="T1664" s="169">
        <v>0</v>
      </c>
    </row>
    <row r="1665" spans="1:20" x14ac:dyDescent="0.2">
      <c r="A1665" s="169" t="str">
        <f t="shared" si="4"/>
        <v>641</v>
      </c>
      <c r="B1665" s="167" t="str">
        <f>_xlfn.XLOOKUP(I1665,Mapping!D:D,Mapping!E:E)</f>
        <v>Kinh doanh</v>
      </c>
      <c r="C1665" s="167" t="str">
        <f>_xlfn.XLOOKUP(F1665,Mapping!A:A,Mapping!F:F)</f>
        <v>Lương Chính +T13</v>
      </c>
      <c r="D1665" s="173">
        <v>45919</v>
      </c>
      <c r="E1665" s="169" t="s">
        <v>1091</v>
      </c>
      <c r="F1665" s="169" t="s">
        <v>383</v>
      </c>
      <c r="G1665" s="169" t="s">
        <v>275</v>
      </c>
      <c r="H1665" s="169" t="s">
        <v>366</v>
      </c>
      <c r="I1665" s="169" t="s">
        <v>1</v>
      </c>
      <c r="J1665" s="169" t="s">
        <v>1092</v>
      </c>
      <c r="K1665" s="169" t="s">
        <v>1093</v>
      </c>
      <c r="L1665" s="169" t="s">
        <v>1048</v>
      </c>
      <c r="M1665" s="169" t="s">
        <v>281</v>
      </c>
      <c r="N1665" s="178">
        <v>259709486</v>
      </c>
      <c r="O1665" s="169" t="s">
        <v>1094</v>
      </c>
      <c r="P1665" s="169" t="s">
        <v>283</v>
      </c>
      <c r="Q1665" s="169" t="s">
        <v>284</v>
      </c>
      <c r="R1665" s="169" t="s">
        <v>283</v>
      </c>
      <c r="S1665" s="169" t="s">
        <v>283</v>
      </c>
      <c r="T1665" s="169">
        <v>0</v>
      </c>
    </row>
    <row r="1666" spans="1:20" x14ac:dyDescent="0.2">
      <c r="A1666" s="169" t="str">
        <f t="shared" si="4"/>
        <v>642</v>
      </c>
      <c r="B1666" s="167" t="str">
        <f>_xlfn.XLOOKUP(I1666,Mapping!D:D,Mapping!E:E)</f>
        <v>Kế Toán</v>
      </c>
      <c r="C1666" s="167" t="str">
        <f>_xlfn.XLOOKUP(F1666,Mapping!A:A,Mapping!F:F)</f>
        <v>Phụ Cấp</v>
      </c>
      <c r="D1666" s="173">
        <v>45919</v>
      </c>
      <c r="E1666" s="169" t="s">
        <v>1091</v>
      </c>
      <c r="F1666" s="169" t="s">
        <v>335</v>
      </c>
      <c r="G1666" s="169" t="s">
        <v>336</v>
      </c>
      <c r="H1666" s="169" t="s">
        <v>356</v>
      </c>
      <c r="I1666" s="169" t="s">
        <v>357</v>
      </c>
      <c r="J1666" s="169" t="s">
        <v>1092</v>
      </c>
      <c r="K1666" s="169" t="s">
        <v>1093</v>
      </c>
      <c r="L1666" s="169" t="s">
        <v>1048</v>
      </c>
      <c r="M1666" s="169" t="s">
        <v>281</v>
      </c>
      <c r="N1666" s="178">
        <v>2570000</v>
      </c>
      <c r="O1666" s="169" t="s">
        <v>1094</v>
      </c>
      <c r="P1666" s="169" t="s">
        <v>283</v>
      </c>
      <c r="Q1666" s="169" t="s">
        <v>284</v>
      </c>
      <c r="R1666" s="169" t="s">
        <v>283</v>
      </c>
      <c r="S1666" s="169" t="s">
        <v>283</v>
      </c>
      <c r="T1666" s="169">
        <v>0</v>
      </c>
    </row>
    <row r="1667" spans="1:20" x14ac:dyDescent="0.2">
      <c r="A1667" s="169" t="str">
        <f t="shared" si="4"/>
        <v>642</v>
      </c>
      <c r="B1667" s="167" t="str">
        <f>_xlfn.XLOOKUP(I1667,Mapping!D:D,Mapping!E:E)</f>
        <v>Kế Toán</v>
      </c>
      <c r="C1667" s="167" t="str">
        <f>_xlfn.XLOOKUP(F1667,Mapping!A:A,Mapping!F:F)</f>
        <v>Thưởng</v>
      </c>
      <c r="D1667" s="173">
        <v>45919</v>
      </c>
      <c r="E1667" s="169" t="s">
        <v>1091</v>
      </c>
      <c r="F1667" s="169" t="s">
        <v>290</v>
      </c>
      <c r="G1667" s="169" t="s">
        <v>291</v>
      </c>
      <c r="H1667" s="169" t="s">
        <v>356</v>
      </c>
      <c r="I1667" s="169" t="s">
        <v>357</v>
      </c>
      <c r="J1667" s="169" t="s">
        <v>1092</v>
      </c>
      <c r="K1667" s="169" t="s">
        <v>1093</v>
      </c>
      <c r="L1667" s="169" t="s">
        <v>1048</v>
      </c>
      <c r="M1667" s="169" t="s">
        <v>281</v>
      </c>
      <c r="N1667" s="178">
        <v>5400000</v>
      </c>
      <c r="O1667" s="169" t="s">
        <v>1094</v>
      </c>
      <c r="P1667" s="169" t="s">
        <v>283</v>
      </c>
      <c r="Q1667" s="169" t="s">
        <v>284</v>
      </c>
      <c r="R1667" s="169" t="s">
        <v>283</v>
      </c>
      <c r="S1667" s="169" t="s">
        <v>283</v>
      </c>
      <c r="T1667" s="169">
        <v>0</v>
      </c>
    </row>
    <row r="1668" spans="1:20" x14ac:dyDescent="0.2">
      <c r="A1668" s="169" t="str">
        <f t="shared" si="4"/>
        <v>642</v>
      </c>
      <c r="B1668" s="167" t="str">
        <f>_xlfn.XLOOKUP(I1668,Mapping!D:D,Mapping!E:E)</f>
        <v>Kế Toán</v>
      </c>
      <c r="C1668" s="167" t="str">
        <f>_xlfn.XLOOKUP(F1668,Mapping!A:A,Mapping!F:F)</f>
        <v>Lương Ngoài giờ</v>
      </c>
      <c r="D1668" s="173">
        <v>45919</v>
      </c>
      <c r="E1668" s="169" t="s">
        <v>1091</v>
      </c>
      <c r="F1668" s="169" t="s">
        <v>342</v>
      </c>
      <c r="G1668" s="169" t="s">
        <v>343</v>
      </c>
      <c r="H1668" s="169" t="s">
        <v>356</v>
      </c>
      <c r="I1668" s="169" t="s">
        <v>357</v>
      </c>
      <c r="J1668" s="169" t="s">
        <v>1092</v>
      </c>
      <c r="K1668" s="169" t="s">
        <v>1093</v>
      </c>
      <c r="L1668" s="169" t="s">
        <v>1048</v>
      </c>
      <c r="M1668" s="169" t="s">
        <v>281</v>
      </c>
      <c r="N1668" s="178">
        <v>58786665</v>
      </c>
      <c r="O1668" s="169" t="s">
        <v>1094</v>
      </c>
      <c r="P1668" s="169" t="s">
        <v>283</v>
      </c>
      <c r="Q1668" s="169" t="s">
        <v>284</v>
      </c>
      <c r="R1668" s="169" t="s">
        <v>283</v>
      </c>
      <c r="S1668" s="169" t="s">
        <v>283</v>
      </c>
      <c r="T1668" s="169">
        <v>0</v>
      </c>
    </row>
    <row r="1669" spans="1:20" x14ac:dyDescent="0.2">
      <c r="A1669" s="169" t="str">
        <f t="shared" si="4"/>
        <v>642</v>
      </c>
      <c r="B1669" s="167" t="str">
        <f>_xlfn.XLOOKUP(I1669,Mapping!D:D,Mapping!E:E)</f>
        <v>Kế Toán</v>
      </c>
      <c r="C1669" s="167" t="str">
        <f>_xlfn.XLOOKUP(F1669,Mapping!A:A,Mapping!F:F)</f>
        <v>Lương Chính +T13</v>
      </c>
      <c r="D1669" s="173">
        <v>45919</v>
      </c>
      <c r="E1669" s="169" t="s">
        <v>1091</v>
      </c>
      <c r="F1669" s="169" t="s">
        <v>285</v>
      </c>
      <c r="G1669" s="169" t="s">
        <v>286</v>
      </c>
      <c r="H1669" s="169" t="s">
        <v>356</v>
      </c>
      <c r="I1669" s="169" t="s">
        <v>357</v>
      </c>
      <c r="J1669" s="169" t="s">
        <v>1092</v>
      </c>
      <c r="K1669" s="169" t="s">
        <v>1093</v>
      </c>
      <c r="L1669" s="169" t="s">
        <v>1048</v>
      </c>
      <c r="M1669" s="169" t="s">
        <v>281</v>
      </c>
      <c r="N1669" s="178">
        <v>11630595</v>
      </c>
      <c r="O1669" s="169" t="s">
        <v>1094</v>
      </c>
      <c r="P1669" s="169" t="s">
        <v>283</v>
      </c>
      <c r="Q1669" s="169" t="s">
        <v>284</v>
      </c>
      <c r="R1669" s="169" t="s">
        <v>283</v>
      </c>
      <c r="S1669" s="169" t="s">
        <v>283</v>
      </c>
      <c r="T1669" s="169">
        <v>0</v>
      </c>
    </row>
    <row r="1670" spans="1:20" x14ac:dyDescent="0.2">
      <c r="A1670" s="169" t="str">
        <f t="shared" si="4"/>
        <v>642</v>
      </c>
      <c r="B1670" s="167" t="str">
        <f>_xlfn.XLOOKUP(I1670,Mapping!D:D,Mapping!E:E)</f>
        <v>Kế Toán</v>
      </c>
      <c r="C1670" s="167" t="str">
        <f>_xlfn.XLOOKUP(F1670,Mapping!A:A,Mapping!F:F)</f>
        <v>Lương Chính +T13</v>
      </c>
      <c r="D1670" s="173">
        <v>45919</v>
      </c>
      <c r="E1670" s="169" t="s">
        <v>1091</v>
      </c>
      <c r="F1670" s="169" t="s">
        <v>274</v>
      </c>
      <c r="G1670" s="169" t="s">
        <v>275</v>
      </c>
      <c r="H1670" s="169" t="s">
        <v>356</v>
      </c>
      <c r="I1670" s="169" t="s">
        <v>357</v>
      </c>
      <c r="J1670" s="169" t="s">
        <v>1092</v>
      </c>
      <c r="K1670" s="169" t="s">
        <v>1093</v>
      </c>
      <c r="L1670" s="169" t="s">
        <v>1048</v>
      </c>
      <c r="M1670" s="169" t="s">
        <v>281</v>
      </c>
      <c r="N1670" s="178">
        <v>541960182</v>
      </c>
      <c r="O1670" s="169" t="s">
        <v>1094</v>
      </c>
      <c r="P1670" s="169" t="s">
        <v>283</v>
      </c>
      <c r="Q1670" s="169" t="s">
        <v>284</v>
      </c>
      <c r="R1670" s="169" t="s">
        <v>283</v>
      </c>
      <c r="S1670" s="169" t="s">
        <v>283</v>
      </c>
      <c r="T1670" s="169">
        <v>0</v>
      </c>
    </row>
    <row r="1671" spans="1:20" x14ac:dyDescent="0.2">
      <c r="A1671" s="169" t="str">
        <f t="shared" si="4"/>
        <v>642</v>
      </c>
      <c r="B1671" s="167" t="str">
        <f>_xlfn.XLOOKUP(I1671,Mapping!D:D,Mapping!E:E)</f>
        <v>Hành Chánh Nhân Sự</v>
      </c>
      <c r="C1671" s="167" t="str">
        <f>_xlfn.XLOOKUP(F1671,Mapping!A:A,Mapping!F:F)</f>
        <v>Phụ Cấp</v>
      </c>
      <c r="D1671" s="173">
        <v>45919</v>
      </c>
      <c r="E1671" s="169" t="s">
        <v>1091</v>
      </c>
      <c r="F1671" s="169" t="s">
        <v>335</v>
      </c>
      <c r="G1671" s="169" t="s">
        <v>336</v>
      </c>
      <c r="H1671" s="169" t="s">
        <v>301</v>
      </c>
      <c r="I1671" s="169" t="s">
        <v>302</v>
      </c>
      <c r="J1671" s="169" t="s">
        <v>1092</v>
      </c>
      <c r="K1671" s="169" t="s">
        <v>1093</v>
      </c>
      <c r="L1671" s="169" t="s">
        <v>1048</v>
      </c>
      <c r="M1671" s="169" t="s">
        <v>281</v>
      </c>
      <c r="N1671" s="178">
        <v>5425000</v>
      </c>
      <c r="O1671" s="169" t="s">
        <v>1094</v>
      </c>
      <c r="P1671" s="169" t="s">
        <v>283</v>
      </c>
      <c r="Q1671" s="169" t="s">
        <v>284</v>
      </c>
      <c r="R1671" s="169" t="s">
        <v>283</v>
      </c>
      <c r="S1671" s="169" t="s">
        <v>283</v>
      </c>
      <c r="T1671" s="169">
        <v>0</v>
      </c>
    </row>
    <row r="1672" spans="1:20" x14ac:dyDescent="0.2">
      <c r="A1672" s="169" t="str">
        <f t="shared" si="4"/>
        <v>642</v>
      </c>
      <c r="B1672" s="167" t="str">
        <f>_xlfn.XLOOKUP(I1672,Mapping!D:D,Mapping!E:E)</f>
        <v>Hành Chánh Nhân Sự</v>
      </c>
      <c r="C1672" s="167" t="str">
        <f>_xlfn.XLOOKUP(F1672,Mapping!A:A,Mapping!F:F)</f>
        <v>Thưởng</v>
      </c>
      <c r="D1672" s="173">
        <v>45919</v>
      </c>
      <c r="E1672" s="169" t="s">
        <v>1091</v>
      </c>
      <c r="F1672" s="169" t="s">
        <v>290</v>
      </c>
      <c r="G1672" s="169" t="s">
        <v>291</v>
      </c>
      <c r="H1672" s="169" t="s">
        <v>301</v>
      </c>
      <c r="I1672" s="169" t="s">
        <v>302</v>
      </c>
      <c r="J1672" s="169" t="s">
        <v>1092</v>
      </c>
      <c r="K1672" s="169" t="s">
        <v>1093</v>
      </c>
      <c r="L1672" s="169" t="s">
        <v>1048</v>
      </c>
      <c r="M1672" s="169" t="s">
        <v>281</v>
      </c>
      <c r="N1672" s="178">
        <v>7000000</v>
      </c>
      <c r="O1672" s="169" t="s">
        <v>1094</v>
      </c>
      <c r="P1672" s="169" t="s">
        <v>283</v>
      </c>
      <c r="Q1672" s="169" t="s">
        <v>284</v>
      </c>
      <c r="R1672" s="169" t="s">
        <v>283</v>
      </c>
      <c r="S1672" s="169" t="s">
        <v>283</v>
      </c>
      <c r="T1672" s="169">
        <v>0</v>
      </c>
    </row>
    <row r="1673" spans="1:20" x14ac:dyDescent="0.2">
      <c r="A1673" s="169" t="str">
        <f t="shared" si="4"/>
        <v>642</v>
      </c>
      <c r="B1673" s="167" t="str">
        <f>_xlfn.XLOOKUP(I1673,Mapping!D:D,Mapping!E:E)</f>
        <v>Hành Chánh Nhân Sự</v>
      </c>
      <c r="C1673" s="167" t="str">
        <f>_xlfn.XLOOKUP(F1673,Mapping!A:A,Mapping!F:F)</f>
        <v>Lương Ngoài giờ</v>
      </c>
      <c r="D1673" s="173">
        <v>45919</v>
      </c>
      <c r="E1673" s="169" t="s">
        <v>1091</v>
      </c>
      <c r="F1673" s="169" t="s">
        <v>342</v>
      </c>
      <c r="G1673" s="169" t="s">
        <v>343</v>
      </c>
      <c r="H1673" s="169" t="s">
        <v>301</v>
      </c>
      <c r="I1673" s="169" t="s">
        <v>302</v>
      </c>
      <c r="J1673" s="169" t="s">
        <v>1092</v>
      </c>
      <c r="K1673" s="169" t="s">
        <v>1093</v>
      </c>
      <c r="L1673" s="169" t="s">
        <v>1048</v>
      </c>
      <c r="M1673" s="169" t="s">
        <v>281</v>
      </c>
      <c r="N1673" s="178">
        <v>98974549</v>
      </c>
      <c r="O1673" s="169" t="s">
        <v>1094</v>
      </c>
      <c r="P1673" s="169" t="s">
        <v>283</v>
      </c>
      <c r="Q1673" s="169" t="s">
        <v>284</v>
      </c>
      <c r="R1673" s="169" t="s">
        <v>283</v>
      </c>
      <c r="S1673" s="169" t="s">
        <v>283</v>
      </c>
      <c r="T1673" s="169">
        <v>0</v>
      </c>
    </row>
    <row r="1674" spans="1:20" x14ac:dyDescent="0.2">
      <c r="A1674" s="169" t="str">
        <f t="shared" si="4"/>
        <v>642</v>
      </c>
      <c r="B1674" s="167" t="str">
        <f>_xlfn.XLOOKUP(I1674,Mapping!D:D,Mapping!E:E)</f>
        <v>Hành Chánh Nhân Sự</v>
      </c>
      <c r="C1674" s="167" t="str">
        <f>_xlfn.XLOOKUP(F1674,Mapping!A:A,Mapping!F:F)</f>
        <v>Lương Chính +T13</v>
      </c>
      <c r="D1674" s="173">
        <v>45919</v>
      </c>
      <c r="E1674" s="169" t="s">
        <v>1091</v>
      </c>
      <c r="F1674" s="169" t="s">
        <v>285</v>
      </c>
      <c r="G1674" s="169" t="s">
        <v>286</v>
      </c>
      <c r="H1674" s="169" t="s">
        <v>301</v>
      </c>
      <c r="I1674" s="169" t="s">
        <v>302</v>
      </c>
      <c r="J1674" s="169" t="s">
        <v>1092</v>
      </c>
      <c r="K1674" s="169" t="s">
        <v>1093</v>
      </c>
      <c r="L1674" s="169" t="s">
        <v>1048</v>
      </c>
      <c r="M1674" s="169" t="s">
        <v>281</v>
      </c>
      <c r="N1674" s="178">
        <v>11230673</v>
      </c>
      <c r="O1674" s="169" t="s">
        <v>1094</v>
      </c>
      <c r="P1674" s="169" t="s">
        <v>283</v>
      </c>
      <c r="Q1674" s="169" t="s">
        <v>284</v>
      </c>
      <c r="R1674" s="169" t="s">
        <v>283</v>
      </c>
      <c r="S1674" s="169" t="s">
        <v>283</v>
      </c>
      <c r="T1674" s="169">
        <v>0</v>
      </c>
    </row>
    <row r="1675" spans="1:20" x14ac:dyDescent="0.2">
      <c r="A1675" s="169" t="str">
        <f t="shared" si="4"/>
        <v>642</v>
      </c>
      <c r="B1675" s="167" t="str">
        <f>_xlfn.XLOOKUP(I1675,Mapping!D:D,Mapping!E:E)</f>
        <v>Hành Chánh Nhân Sự</v>
      </c>
      <c r="C1675" s="167" t="str">
        <f>_xlfn.XLOOKUP(F1675,Mapping!A:A,Mapping!F:F)</f>
        <v>Lương Chính +T13</v>
      </c>
      <c r="D1675" s="173">
        <v>45919</v>
      </c>
      <c r="E1675" s="169" t="s">
        <v>1091</v>
      </c>
      <c r="F1675" s="169" t="s">
        <v>274</v>
      </c>
      <c r="G1675" s="169" t="s">
        <v>275</v>
      </c>
      <c r="H1675" s="169" t="s">
        <v>301</v>
      </c>
      <c r="I1675" s="169" t="s">
        <v>302</v>
      </c>
      <c r="J1675" s="169" t="s">
        <v>1092</v>
      </c>
      <c r="K1675" s="169" t="s">
        <v>1093</v>
      </c>
      <c r="L1675" s="169" t="s">
        <v>1048</v>
      </c>
      <c r="M1675" s="169" t="s">
        <v>281</v>
      </c>
      <c r="N1675" s="178">
        <v>483735400</v>
      </c>
      <c r="O1675" s="169" t="s">
        <v>1094</v>
      </c>
      <c r="P1675" s="169" t="s">
        <v>283</v>
      </c>
      <c r="Q1675" s="169" t="s">
        <v>284</v>
      </c>
      <c r="R1675" s="169" t="s">
        <v>283</v>
      </c>
      <c r="S1675" s="169" t="s">
        <v>283</v>
      </c>
      <c r="T1675" s="169">
        <v>0</v>
      </c>
    </row>
    <row r="1676" spans="1:20" x14ac:dyDescent="0.2">
      <c r="A1676" s="169" t="str">
        <f t="shared" si="4"/>
        <v>642</v>
      </c>
      <c r="B1676" s="167" t="str">
        <f>_xlfn.XLOOKUP(I1676,Mapping!D:D,Mapping!E:E)</f>
        <v>Hành Chánh Nhân Sự</v>
      </c>
      <c r="C1676" s="167" t="str">
        <f>_xlfn.XLOOKUP(F1676,Mapping!A:A,Mapping!F:F)</f>
        <v>Phụ Cấp</v>
      </c>
      <c r="D1676" s="173">
        <v>45919</v>
      </c>
      <c r="E1676" s="169" t="s">
        <v>1091</v>
      </c>
      <c r="F1676" s="169" t="s">
        <v>340</v>
      </c>
      <c r="G1676" s="169" t="s">
        <v>341</v>
      </c>
      <c r="H1676" s="169" t="s">
        <v>301</v>
      </c>
      <c r="I1676" s="169" t="s">
        <v>302</v>
      </c>
      <c r="J1676" s="169" t="s">
        <v>1092</v>
      </c>
      <c r="K1676" s="169" t="s">
        <v>1093</v>
      </c>
      <c r="L1676" s="169" t="s">
        <v>1048</v>
      </c>
      <c r="M1676" s="169" t="s">
        <v>281</v>
      </c>
      <c r="N1676" s="178">
        <v>7228435</v>
      </c>
      <c r="O1676" s="169" t="s">
        <v>1094</v>
      </c>
      <c r="P1676" s="169" t="s">
        <v>283</v>
      </c>
      <c r="Q1676" s="169" t="s">
        <v>284</v>
      </c>
      <c r="R1676" s="169" t="s">
        <v>283</v>
      </c>
      <c r="S1676" s="169" t="s">
        <v>283</v>
      </c>
      <c r="T1676" s="169">
        <v>0</v>
      </c>
    </row>
    <row r="1677" spans="1:20" x14ac:dyDescent="0.2">
      <c r="A1677" s="169" t="str">
        <f t="shared" si="4"/>
        <v>642</v>
      </c>
      <c r="B1677" s="167" t="str">
        <f>_xlfn.XLOOKUP(I1677,Mapping!D:D,Mapping!E:E)</f>
        <v>Văn Phòng Giám Đốc</v>
      </c>
      <c r="C1677" s="167" t="str">
        <f>_xlfn.XLOOKUP(F1677,Mapping!A:A,Mapping!F:F)</f>
        <v>Thưởng</v>
      </c>
      <c r="D1677" s="173">
        <v>45919</v>
      </c>
      <c r="E1677" s="169" t="s">
        <v>1091</v>
      </c>
      <c r="F1677" s="169" t="s">
        <v>290</v>
      </c>
      <c r="G1677" s="169" t="s">
        <v>291</v>
      </c>
      <c r="H1677" s="169" t="s">
        <v>320</v>
      </c>
      <c r="I1677" s="169" t="s">
        <v>321</v>
      </c>
      <c r="J1677" s="169" t="s">
        <v>1092</v>
      </c>
      <c r="K1677" s="169" t="s">
        <v>1093</v>
      </c>
      <c r="L1677" s="169" t="s">
        <v>1048</v>
      </c>
      <c r="M1677" s="169" t="s">
        <v>281</v>
      </c>
      <c r="N1677" s="178">
        <v>800000</v>
      </c>
      <c r="O1677" s="169" t="s">
        <v>1094</v>
      </c>
      <c r="P1677" s="169" t="s">
        <v>283</v>
      </c>
      <c r="Q1677" s="169" t="s">
        <v>284</v>
      </c>
      <c r="R1677" s="169" t="s">
        <v>283</v>
      </c>
      <c r="S1677" s="169" t="s">
        <v>283</v>
      </c>
      <c r="T1677" s="169">
        <v>0</v>
      </c>
    </row>
    <row r="1678" spans="1:20" x14ac:dyDescent="0.2">
      <c r="A1678" s="169" t="str">
        <f t="shared" si="4"/>
        <v>642</v>
      </c>
      <c r="B1678" s="167" t="str">
        <f>_xlfn.XLOOKUP(I1678,Mapping!D:D,Mapping!E:E)</f>
        <v>Văn Phòng Giám Đốc</v>
      </c>
      <c r="C1678" s="167" t="str">
        <f>_xlfn.XLOOKUP(F1678,Mapping!A:A,Mapping!F:F)</f>
        <v>Lương Chính +T13</v>
      </c>
      <c r="D1678" s="173">
        <v>45919</v>
      </c>
      <c r="E1678" s="169" t="s">
        <v>1091</v>
      </c>
      <c r="F1678" s="169" t="s">
        <v>285</v>
      </c>
      <c r="G1678" s="169" t="s">
        <v>286</v>
      </c>
      <c r="H1678" s="169" t="s">
        <v>320</v>
      </c>
      <c r="I1678" s="169" t="s">
        <v>321</v>
      </c>
      <c r="J1678" s="169" t="s">
        <v>1092</v>
      </c>
      <c r="K1678" s="169" t="s">
        <v>1093</v>
      </c>
      <c r="L1678" s="169" t="s">
        <v>1048</v>
      </c>
      <c r="M1678" s="169" t="s">
        <v>281</v>
      </c>
      <c r="N1678" s="178">
        <v>830769</v>
      </c>
      <c r="O1678" s="169" t="s">
        <v>1094</v>
      </c>
      <c r="P1678" s="169" t="s">
        <v>283</v>
      </c>
      <c r="Q1678" s="169" t="s">
        <v>284</v>
      </c>
      <c r="R1678" s="169" t="s">
        <v>283</v>
      </c>
      <c r="S1678" s="169" t="s">
        <v>283</v>
      </c>
      <c r="T1678" s="169">
        <v>0</v>
      </c>
    </row>
    <row r="1679" spans="1:20" x14ac:dyDescent="0.2">
      <c r="A1679" s="169" t="str">
        <f t="shared" si="4"/>
        <v>642</v>
      </c>
      <c r="B1679" s="167" t="str">
        <f>_xlfn.XLOOKUP(I1679,Mapping!D:D,Mapping!E:E)</f>
        <v>Văn Phòng Giám Đốc</v>
      </c>
      <c r="C1679" s="167" t="str">
        <f>_xlfn.XLOOKUP(F1679,Mapping!A:A,Mapping!F:F)</f>
        <v>Lương Chính +T13</v>
      </c>
      <c r="D1679" s="173">
        <v>45919</v>
      </c>
      <c r="E1679" s="169" t="s">
        <v>1091</v>
      </c>
      <c r="F1679" s="169" t="s">
        <v>274</v>
      </c>
      <c r="G1679" s="169" t="s">
        <v>275</v>
      </c>
      <c r="H1679" s="169" t="s">
        <v>320</v>
      </c>
      <c r="I1679" s="169" t="s">
        <v>321</v>
      </c>
      <c r="J1679" s="169" t="s">
        <v>1092</v>
      </c>
      <c r="K1679" s="169" t="s">
        <v>1093</v>
      </c>
      <c r="L1679" s="169" t="s">
        <v>1048</v>
      </c>
      <c r="M1679" s="169" t="s">
        <v>281</v>
      </c>
      <c r="N1679" s="178">
        <v>110454975</v>
      </c>
      <c r="O1679" s="169" t="s">
        <v>1094</v>
      </c>
      <c r="P1679" s="169" t="s">
        <v>283</v>
      </c>
      <c r="Q1679" s="169" t="s">
        <v>284</v>
      </c>
      <c r="R1679" s="169" t="s">
        <v>283</v>
      </c>
      <c r="S1679" s="169" t="s">
        <v>283</v>
      </c>
      <c r="T1679" s="169">
        <v>0</v>
      </c>
    </row>
    <row r="1680" spans="1:20" x14ac:dyDescent="0.2">
      <c r="A1680" s="169" t="str">
        <f t="shared" si="4"/>
        <v>642</v>
      </c>
      <c r="B1680" s="167" t="str">
        <f>_xlfn.XLOOKUP(I1680,Mapping!D:D,Mapping!E:E)</f>
        <v>Ban Giám Đốc</v>
      </c>
      <c r="C1680" s="167" t="str">
        <f>_xlfn.XLOOKUP(F1680,Mapping!A:A,Mapping!F:F)</f>
        <v>Thưởng</v>
      </c>
      <c r="D1680" s="173">
        <v>45919</v>
      </c>
      <c r="E1680" s="169" t="s">
        <v>1091</v>
      </c>
      <c r="F1680" s="169" t="s">
        <v>290</v>
      </c>
      <c r="G1680" s="169" t="s">
        <v>291</v>
      </c>
      <c r="H1680" s="169" t="s">
        <v>276</v>
      </c>
      <c r="I1680" s="169" t="s">
        <v>277</v>
      </c>
      <c r="J1680" s="169" t="s">
        <v>1092</v>
      </c>
      <c r="K1680" s="169" t="s">
        <v>1093</v>
      </c>
      <c r="L1680" s="169" t="s">
        <v>1048</v>
      </c>
      <c r="M1680" s="169" t="s">
        <v>281</v>
      </c>
      <c r="N1680" s="178">
        <v>2200000</v>
      </c>
      <c r="O1680" s="169" t="s">
        <v>1094</v>
      </c>
      <c r="P1680" s="169" t="s">
        <v>283</v>
      </c>
      <c r="Q1680" s="169" t="s">
        <v>284</v>
      </c>
      <c r="R1680" s="169" t="s">
        <v>283</v>
      </c>
      <c r="S1680" s="169" t="s">
        <v>283</v>
      </c>
      <c r="T1680" s="169">
        <v>0</v>
      </c>
    </row>
    <row r="1681" spans="1:20" x14ac:dyDescent="0.2">
      <c r="A1681" s="169" t="str">
        <f t="shared" si="4"/>
        <v>642</v>
      </c>
      <c r="B1681" s="167" t="str">
        <f>_xlfn.XLOOKUP(I1681,Mapping!D:D,Mapping!E:E)</f>
        <v>Ban Giám Đốc</v>
      </c>
      <c r="C1681" s="167" t="str">
        <f>_xlfn.XLOOKUP(F1681,Mapping!A:A,Mapping!F:F)</f>
        <v>Lương Chính +T13</v>
      </c>
      <c r="D1681" s="173">
        <v>45919</v>
      </c>
      <c r="E1681" s="169" t="s">
        <v>1091</v>
      </c>
      <c r="F1681" s="169" t="s">
        <v>285</v>
      </c>
      <c r="G1681" s="169" t="s">
        <v>286</v>
      </c>
      <c r="H1681" s="169" t="s">
        <v>276</v>
      </c>
      <c r="I1681" s="169" t="s">
        <v>277</v>
      </c>
      <c r="J1681" s="169" t="s">
        <v>1092</v>
      </c>
      <c r="K1681" s="169" t="s">
        <v>1093</v>
      </c>
      <c r="L1681" s="169" t="s">
        <v>1048</v>
      </c>
      <c r="M1681" s="169" t="s">
        <v>281</v>
      </c>
      <c r="N1681" s="178">
        <v>33754547</v>
      </c>
      <c r="O1681" s="169" t="s">
        <v>1094</v>
      </c>
      <c r="P1681" s="169" t="s">
        <v>283</v>
      </c>
      <c r="Q1681" s="169" t="s">
        <v>284</v>
      </c>
      <c r="R1681" s="169" t="s">
        <v>283</v>
      </c>
      <c r="S1681" s="169" t="s">
        <v>283</v>
      </c>
      <c r="T1681" s="169">
        <v>0</v>
      </c>
    </row>
    <row r="1682" spans="1:20" x14ac:dyDescent="0.2">
      <c r="A1682" s="169" t="str">
        <f t="shared" si="4"/>
        <v>642</v>
      </c>
      <c r="B1682" s="167" t="str">
        <f>_xlfn.XLOOKUP(I1682,Mapping!D:D,Mapping!E:E)</f>
        <v>Ban Giám Đốc</v>
      </c>
      <c r="C1682" s="167" t="str">
        <f>_xlfn.XLOOKUP(F1682,Mapping!A:A,Mapping!F:F)</f>
        <v>Lương Chính +T13</v>
      </c>
      <c r="D1682" s="173">
        <v>45919</v>
      </c>
      <c r="E1682" s="169" t="s">
        <v>1091</v>
      </c>
      <c r="F1682" s="169" t="s">
        <v>274</v>
      </c>
      <c r="G1682" s="169" t="s">
        <v>275</v>
      </c>
      <c r="H1682" s="169" t="s">
        <v>276</v>
      </c>
      <c r="I1682" s="169" t="s">
        <v>277</v>
      </c>
      <c r="J1682" s="169" t="s">
        <v>1092</v>
      </c>
      <c r="K1682" s="169" t="s">
        <v>1093</v>
      </c>
      <c r="L1682" s="169" t="s">
        <v>1048</v>
      </c>
      <c r="M1682" s="169" t="s">
        <v>281</v>
      </c>
      <c r="N1682" s="178">
        <v>1426494433</v>
      </c>
      <c r="O1682" s="169" t="s">
        <v>1094</v>
      </c>
      <c r="P1682" s="169" t="s">
        <v>283</v>
      </c>
      <c r="Q1682" s="169" t="s">
        <v>284</v>
      </c>
      <c r="R1682" s="169" t="s">
        <v>283</v>
      </c>
      <c r="S1682" s="169" t="s">
        <v>283</v>
      </c>
      <c r="T1682" s="169">
        <v>0</v>
      </c>
    </row>
    <row r="1683" spans="1:20" x14ac:dyDescent="0.2">
      <c r="A1683" s="169" t="str">
        <f t="shared" si="4"/>
        <v>627</v>
      </c>
      <c r="B1683" s="167" t="str">
        <f>_xlfn.XLOOKUP(I1683,Mapping!D:D,Mapping!E:E)</f>
        <v>Xưởng Sản Xuất</v>
      </c>
      <c r="C1683" s="167" t="str">
        <f>_xlfn.XLOOKUP(F1683,Mapping!A:A,Mapping!F:F)</f>
        <v>Phụ Cấp</v>
      </c>
      <c r="D1683" s="173">
        <v>45919</v>
      </c>
      <c r="E1683" s="169" t="s">
        <v>1091</v>
      </c>
      <c r="F1683" s="169" t="s">
        <v>375</v>
      </c>
      <c r="G1683" s="169" t="s">
        <v>336</v>
      </c>
      <c r="H1683" s="169" t="s">
        <v>436</v>
      </c>
      <c r="I1683" s="169" t="s">
        <v>437</v>
      </c>
      <c r="J1683" s="169" t="s">
        <v>1092</v>
      </c>
      <c r="K1683" s="169" t="s">
        <v>1093</v>
      </c>
      <c r="L1683" s="169" t="s">
        <v>1048</v>
      </c>
      <c r="M1683" s="169" t="s">
        <v>281</v>
      </c>
      <c r="N1683" s="178">
        <v>6020000</v>
      </c>
      <c r="O1683" s="169" t="s">
        <v>1094</v>
      </c>
      <c r="P1683" s="169" t="s">
        <v>283</v>
      </c>
      <c r="Q1683" s="169" t="s">
        <v>284</v>
      </c>
      <c r="R1683" s="169" t="s">
        <v>283</v>
      </c>
      <c r="S1683" s="169" t="s">
        <v>283</v>
      </c>
      <c r="T1683" s="169">
        <v>0</v>
      </c>
    </row>
    <row r="1684" spans="1:20" x14ac:dyDescent="0.2">
      <c r="A1684" s="169" t="str">
        <f t="shared" si="4"/>
        <v>627</v>
      </c>
      <c r="B1684" s="167" t="str">
        <f>_xlfn.XLOOKUP(I1684,Mapping!D:D,Mapping!E:E)</f>
        <v>Xưởng Sản Xuất</v>
      </c>
      <c r="C1684" s="167" t="str">
        <f>_xlfn.XLOOKUP(F1684,Mapping!A:A,Mapping!F:F)</f>
        <v>Thưởng</v>
      </c>
      <c r="D1684" s="173">
        <v>45919</v>
      </c>
      <c r="E1684" s="169" t="s">
        <v>1091</v>
      </c>
      <c r="F1684" s="169" t="s">
        <v>391</v>
      </c>
      <c r="G1684" s="169" t="s">
        <v>291</v>
      </c>
      <c r="H1684" s="169" t="s">
        <v>436</v>
      </c>
      <c r="I1684" s="169" t="s">
        <v>437</v>
      </c>
      <c r="J1684" s="169" t="s">
        <v>1092</v>
      </c>
      <c r="K1684" s="169" t="s">
        <v>1093</v>
      </c>
      <c r="L1684" s="169" t="s">
        <v>1048</v>
      </c>
      <c r="M1684" s="169" t="s">
        <v>281</v>
      </c>
      <c r="N1684" s="178">
        <v>8200000</v>
      </c>
      <c r="O1684" s="169" t="s">
        <v>1094</v>
      </c>
      <c r="P1684" s="169" t="s">
        <v>283</v>
      </c>
      <c r="Q1684" s="169" t="s">
        <v>284</v>
      </c>
      <c r="R1684" s="169" t="s">
        <v>283</v>
      </c>
      <c r="S1684" s="169" t="s">
        <v>283</v>
      </c>
      <c r="T1684" s="169">
        <v>0</v>
      </c>
    </row>
    <row r="1685" spans="1:20" x14ac:dyDescent="0.2">
      <c r="A1685" s="169" t="str">
        <f t="shared" si="4"/>
        <v>627</v>
      </c>
      <c r="B1685" s="167" t="str">
        <f>_xlfn.XLOOKUP(I1685,Mapping!D:D,Mapping!E:E)</f>
        <v>Xưởng Sản Xuất</v>
      </c>
      <c r="C1685" s="167" t="str">
        <f>_xlfn.XLOOKUP(F1685,Mapping!A:A,Mapping!F:F)</f>
        <v>Lương Ngoài giờ</v>
      </c>
      <c r="D1685" s="173">
        <v>45919</v>
      </c>
      <c r="E1685" s="169" t="s">
        <v>1091</v>
      </c>
      <c r="F1685" s="169" t="s">
        <v>389</v>
      </c>
      <c r="G1685" s="169" t="s">
        <v>390</v>
      </c>
      <c r="H1685" s="169" t="s">
        <v>436</v>
      </c>
      <c r="I1685" s="169" t="s">
        <v>437</v>
      </c>
      <c r="J1685" s="169" t="s">
        <v>1092</v>
      </c>
      <c r="K1685" s="169" t="s">
        <v>1093</v>
      </c>
      <c r="L1685" s="169" t="s">
        <v>1048</v>
      </c>
      <c r="M1685" s="169" t="s">
        <v>281</v>
      </c>
      <c r="N1685" s="178">
        <v>61761643</v>
      </c>
      <c r="O1685" s="169" t="s">
        <v>1094</v>
      </c>
      <c r="P1685" s="169" t="s">
        <v>283</v>
      </c>
      <c r="Q1685" s="169" t="s">
        <v>284</v>
      </c>
      <c r="R1685" s="169" t="s">
        <v>283</v>
      </c>
      <c r="S1685" s="169" t="s">
        <v>283</v>
      </c>
      <c r="T1685" s="169">
        <v>0</v>
      </c>
    </row>
    <row r="1686" spans="1:20" x14ac:dyDescent="0.2">
      <c r="A1686" s="169" t="str">
        <f t="shared" si="4"/>
        <v>627</v>
      </c>
      <c r="B1686" s="167" t="str">
        <f>_xlfn.XLOOKUP(I1686,Mapping!D:D,Mapping!E:E)</f>
        <v>Xưởng Sản Xuất</v>
      </c>
      <c r="C1686" s="167" t="str">
        <f>_xlfn.XLOOKUP(F1686,Mapping!A:A,Mapping!F:F)</f>
        <v>Lương Chính +T13</v>
      </c>
      <c r="D1686" s="173">
        <v>45919</v>
      </c>
      <c r="E1686" s="169" t="s">
        <v>1091</v>
      </c>
      <c r="F1686" s="169" t="s">
        <v>388</v>
      </c>
      <c r="G1686" s="169" t="s">
        <v>286</v>
      </c>
      <c r="H1686" s="169" t="s">
        <v>436</v>
      </c>
      <c r="I1686" s="169" t="s">
        <v>437</v>
      </c>
      <c r="J1686" s="169" t="s">
        <v>1092</v>
      </c>
      <c r="K1686" s="169" t="s">
        <v>1093</v>
      </c>
      <c r="L1686" s="169" t="s">
        <v>1048</v>
      </c>
      <c r="M1686" s="169" t="s">
        <v>281</v>
      </c>
      <c r="N1686" s="178">
        <v>9225617</v>
      </c>
      <c r="O1686" s="169" t="s">
        <v>1094</v>
      </c>
      <c r="P1686" s="169" t="s">
        <v>283</v>
      </c>
      <c r="Q1686" s="169" t="s">
        <v>284</v>
      </c>
      <c r="R1686" s="169" t="s">
        <v>283</v>
      </c>
      <c r="S1686" s="169" t="s">
        <v>283</v>
      </c>
      <c r="T1686" s="169">
        <v>0</v>
      </c>
    </row>
    <row r="1687" spans="1:20" x14ac:dyDescent="0.2">
      <c r="A1687" s="169" t="str">
        <f t="shared" si="4"/>
        <v>627</v>
      </c>
      <c r="B1687" s="167" t="str">
        <f>_xlfn.XLOOKUP(I1687,Mapping!D:D,Mapping!E:E)</f>
        <v>Xưởng Sản Xuất</v>
      </c>
      <c r="C1687" s="167" t="str">
        <f>_xlfn.XLOOKUP(F1687,Mapping!A:A,Mapping!F:F)</f>
        <v>Lương Chính +T13</v>
      </c>
      <c r="D1687" s="173">
        <v>45919</v>
      </c>
      <c r="E1687" s="169" t="s">
        <v>1091</v>
      </c>
      <c r="F1687" s="169" t="s">
        <v>387</v>
      </c>
      <c r="G1687" s="169" t="s">
        <v>275</v>
      </c>
      <c r="H1687" s="169" t="s">
        <v>436</v>
      </c>
      <c r="I1687" s="169" t="s">
        <v>437</v>
      </c>
      <c r="J1687" s="169" t="s">
        <v>1092</v>
      </c>
      <c r="K1687" s="169" t="s">
        <v>1093</v>
      </c>
      <c r="L1687" s="169" t="s">
        <v>1048</v>
      </c>
      <c r="M1687" s="169" t="s">
        <v>281</v>
      </c>
      <c r="N1687" s="178">
        <v>425901265</v>
      </c>
      <c r="O1687" s="169" t="s">
        <v>1094</v>
      </c>
      <c r="P1687" s="169" t="s">
        <v>283</v>
      </c>
      <c r="Q1687" s="169" t="s">
        <v>284</v>
      </c>
      <c r="R1687" s="169" t="s">
        <v>283</v>
      </c>
      <c r="S1687" s="169" t="s">
        <v>283</v>
      </c>
      <c r="T1687" s="169">
        <v>0</v>
      </c>
    </row>
    <row r="1688" spans="1:20" x14ac:dyDescent="0.2">
      <c r="A1688" s="169" t="str">
        <f t="shared" si="4"/>
        <v>627</v>
      </c>
      <c r="B1688" s="167" t="str">
        <f>_xlfn.XLOOKUP(I1688,Mapping!D:D,Mapping!E:E)</f>
        <v>Xưởng Sản Xuất</v>
      </c>
      <c r="C1688" s="167" t="str">
        <f>_xlfn.XLOOKUP(F1688,Mapping!A:A,Mapping!F:F)</f>
        <v>Phụ Cấp</v>
      </c>
      <c r="D1688" s="173">
        <v>45919</v>
      </c>
      <c r="E1688" s="169" t="s">
        <v>1091</v>
      </c>
      <c r="F1688" s="169" t="s">
        <v>386</v>
      </c>
      <c r="G1688" s="169" t="s">
        <v>341</v>
      </c>
      <c r="H1688" s="169" t="s">
        <v>436</v>
      </c>
      <c r="I1688" s="169" t="s">
        <v>437</v>
      </c>
      <c r="J1688" s="169" t="s">
        <v>1092</v>
      </c>
      <c r="K1688" s="169" t="s">
        <v>1093</v>
      </c>
      <c r="L1688" s="169" t="s">
        <v>1048</v>
      </c>
      <c r="M1688" s="169" t="s">
        <v>281</v>
      </c>
      <c r="N1688" s="178">
        <v>7398529</v>
      </c>
      <c r="O1688" s="169" t="s">
        <v>1094</v>
      </c>
      <c r="P1688" s="169" t="s">
        <v>283</v>
      </c>
      <c r="Q1688" s="169" t="s">
        <v>284</v>
      </c>
      <c r="R1688" s="169" t="s">
        <v>283</v>
      </c>
      <c r="S1688" s="169" t="s">
        <v>283</v>
      </c>
      <c r="T1688" s="169">
        <v>0</v>
      </c>
    </row>
    <row r="1689" spans="1:20" x14ac:dyDescent="0.2">
      <c r="A1689" s="169" t="str">
        <f t="shared" si="4"/>
        <v>627</v>
      </c>
      <c r="B1689" s="167" t="str">
        <f>_xlfn.XLOOKUP(I1689,Mapping!D:D,Mapping!E:E)</f>
        <v>Xưởng Sản Xuất</v>
      </c>
      <c r="C1689" s="167" t="str">
        <f>_xlfn.XLOOKUP(F1689,Mapping!A:A,Mapping!F:F)</f>
        <v>Phụ Cấp</v>
      </c>
      <c r="D1689" s="173">
        <v>45919</v>
      </c>
      <c r="E1689" s="169" t="s">
        <v>1091</v>
      </c>
      <c r="F1689" s="169" t="s">
        <v>375</v>
      </c>
      <c r="G1689" s="169" t="s">
        <v>336</v>
      </c>
      <c r="H1689" s="169" t="s">
        <v>430</v>
      </c>
      <c r="I1689" s="169" t="s">
        <v>431</v>
      </c>
      <c r="J1689" s="169" t="s">
        <v>1092</v>
      </c>
      <c r="K1689" s="169" t="s">
        <v>1093</v>
      </c>
      <c r="L1689" s="169" t="s">
        <v>1048</v>
      </c>
      <c r="M1689" s="169" t="s">
        <v>281</v>
      </c>
      <c r="N1689" s="178">
        <v>1390000</v>
      </c>
      <c r="O1689" s="169" t="s">
        <v>1094</v>
      </c>
      <c r="P1689" s="169" t="s">
        <v>283</v>
      </c>
      <c r="Q1689" s="169" t="s">
        <v>284</v>
      </c>
      <c r="R1689" s="169" t="s">
        <v>283</v>
      </c>
      <c r="S1689" s="169" t="s">
        <v>283</v>
      </c>
      <c r="T1689" s="169">
        <v>0</v>
      </c>
    </row>
    <row r="1690" spans="1:20" x14ac:dyDescent="0.2">
      <c r="A1690" s="169" t="str">
        <f t="shared" si="4"/>
        <v>627</v>
      </c>
      <c r="B1690" s="167" t="str">
        <f>_xlfn.XLOOKUP(I1690,Mapping!D:D,Mapping!E:E)</f>
        <v>Xưởng Sản Xuất</v>
      </c>
      <c r="C1690" s="167" t="str">
        <f>_xlfn.XLOOKUP(F1690,Mapping!A:A,Mapping!F:F)</f>
        <v>Thưởng</v>
      </c>
      <c r="D1690" s="173">
        <v>45919</v>
      </c>
      <c r="E1690" s="169" t="s">
        <v>1091</v>
      </c>
      <c r="F1690" s="169" t="s">
        <v>391</v>
      </c>
      <c r="G1690" s="169" t="s">
        <v>291</v>
      </c>
      <c r="H1690" s="169" t="s">
        <v>430</v>
      </c>
      <c r="I1690" s="169" t="s">
        <v>431</v>
      </c>
      <c r="J1690" s="169" t="s">
        <v>1092</v>
      </c>
      <c r="K1690" s="169" t="s">
        <v>1093</v>
      </c>
      <c r="L1690" s="169" t="s">
        <v>1048</v>
      </c>
      <c r="M1690" s="169" t="s">
        <v>281</v>
      </c>
      <c r="N1690" s="178">
        <v>2200000</v>
      </c>
      <c r="O1690" s="169" t="s">
        <v>1094</v>
      </c>
      <c r="P1690" s="169" t="s">
        <v>283</v>
      </c>
      <c r="Q1690" s="169" t="s">
        <v>284</v>
      </c>
      <c r="R1690" s="169" t="s">
        <v>283</v>
      </c>
      <c r="S1690" s="169" t="s">
        <v>283</v>
      </c>
      <c r="T1690" s="169">
        <v>0</v>
      </c>
    </row>
    <row r="1691" spans="1:20" x14ac:dyDescent="0.2">
      <c r="A1691" s="169" t="str">
        <f t="shared" si="4"/>
        <v>627</v>
      </c>
      <c r="B1691" s="167" t="str">
        <f>_xlfn.XLOOKUP(I1691,Mapping!D:D,Mapping!E:E)</f>
        <v>Xưởng Sản Xuất</v>
      </c>
      <c r="C1691" s="167" t="str">
        <f>_xlfn.XLOOKUP(F1691,Mapping!A:A,Mapping!F:F)</f>
        <v>Lương Ngoài giờ</v>
      </c>
      <c r="D1691" s="173">
        <v>45919</v>
      </c>
      <c r="E1691" s="169" t="s">
        <v>1091</v>
      </c>
      <c r="F1691" s="169" t="s">
        <v>389</v>
      </c>
      <c r="G1691" s="169" t="s">
        <v>390</v>
      </c>
      <c r="H1691" s="169" t="s">
        <v>430</v>
      </c>
      <c r="I1691" s="169" t="s">
        <v>431</v>
      </c>
      <c r="J1691" s="169" t="s">
        <v>1092</v>
      </c>
      <c r="K1691" s="169" t="s">
        <v>1093</v>
      </c>
      <c r="L1691" s="169" t="s">
        <v>1048</v>
      </c>
      <c r="M1691" s="169" t="s">
        <v>281</v>
      </c>
      <c r="N1691" s="178">
        <v>17432776</v>
      </c>
      <c r="O1691" s="169" t="s">
        <v>1094</v>
      </c>
      <c r="P1691" s="169" t="s">
        <v>283</v>
      </c>
      <c r="Q1691" s="169" t="s">
        <v>284</v>
      </c>
      <c r="R1691" s="169" t="s">
        <v>283</v>
      </c>
      <c r="S1691" s="169" t="s">
        <v>283</v>
      </c>
      <c r="T1691" s="169">
        <v>0</v>
      </c>
    </row>
    <row r="1692" spans="1:20" x14ac:dyDescent="0.2">
      <c r="A1692" s="169" t="str">
        <f t="shared" si="4"/>
        <v>627</v>
      </c>
      <c r="B1692" s="167" t="str">
        <f>_xlfn.XLOOKUP(I1692,Mapping!D:D,Mapping!E:E)</f>
        <v>Xưởng Sản Xuất</v>
      </c>
      <c r="C1692" s="167" t="str">
        <f>_xlfn.XLOOKUP(F1692,Mapping!A:A,Mapping!F:F)</f>
        <v>Lương Chính +T13</v>
      </c>
      <c r="D1692" s="173">
        <v>45919</v>
      </c>
      <c r="E1692" s="169" t="s">
        <v>1091</v>
      </c>
      <c r="F1692" s="169" t="s">
        <v>388</v>
      </c>
      <c r="G1692" s="169" t="s">
        <v>286</v>
      </c>
      <c r="H1692" s="169" t="s">
        <v>430</v>
      </c>
      <c r="I1692" s="169" t="s">
        <v>431</v>
      </c>
      <c r="J1692" s="169" t="s">
        <v>1092</v>
      </c>
      <c r="K1692" s="169" t="s">
        <v>1093</v>
      </c>
      <c r="L1692" s="169" t="s">
        <v>1048</v>
      </c>
      <c r="M1692" s="169" t="s">
        <v>281</v>
      </c>
      <c r="N1692" s="178">
        <v>4259230</v>
      </c>
      <c r="O1692" s="169" t="s">
        <v>1094</v>
      </c>
      <c r="P1692" s="169" t="s">
        <v>283</v>
      </c>
      <c r="Q1692" s="169" t="s">
        <v>284</v>
      </c>
      <c r="R1692" s="169" t="s">
        <v>283</v>
      </c>
      <c r="S1692" s="169" t="s">
        <v>283</v>
      </c>
      <c r="T1692" s="169">
        <v>0</v>
      </c>
    </row>
    <row r="1693" spans="1:20" x14ac:dyDescent="0.2">
      <c r="A1693" s="169" t="str">
        <f t="shared" si="4"/>
        <v>627</v>
      </c>
      <c r="B1693" s="167" t="str">
        <f>_xlfn.XLOOKUP(I1693,Mapping!D:D,Mapping!E:E)</f>
        <v>Xưởng Sản Xuất</v>
      </c>
      <c r="C1693" s="167" t="str">
        <f>_xlfn.XLOOKUP(F1693,Mapping!A:A,Mapping!F:F)</f>
        <v>Lương Chính +T13</v>
      </c>
      <c r="D1693" s="173">
        <v>45919</v>
      </c>
      <c r="E1693" s="169" t="s">
        <v>1091</v>
      </c>
      <c r="F1693" s="169" t="s">
        <v>387</v>
      </c>
      <c r="G1693" s="169" t="s">
        <v>275</v>
      </c>
      <c r="H1693" s="169" t="s">
        <v>430</v>
      </c>
      <c r="I1693" s="169" t="s">
        <v>431</v>
      </c>
      <c r="J1693" s="169" t="s">
        <v>1092</v>
      </c>
      <c r="K1693" s="169" t="s">
        <v>1093</v>
      </c>
      <c r="L1693" s="169" t="s">
        <v>1048</v>
      </c>
      <c r="M1693" s="169" t="s">
        <v>281</v>
      </c>
      <c r="N1693" s="178">
        <v>166553524</v>
      </c>
      <c r="O1693" s="169" t="s">
        <v>1094</v>
      </c>
      <c r="P1693" s="169" t="s">
        <v>283</v>
      </c>
      <c r="Q1693" s="169" t="s">
        <v>284</v>
      </c>
      <c r="R1693" s="169" t="s">
        <v>283</v>
      </c>
      <c r="S1693" s="169" t="s">
        <v>283</v>
      </c>
      <c r="T1693" s="169">
        <v>0</v>
      </c>
    </row>
    <row r="1694" spans="1:20" x14ac:dyDescent="0.2">
      <c r="A1694" s="169" t="str">
        <f t="shared" si="4"/>
        <v>627</v>
      </c>
      <c r="B1694" s="167" t="str">
        <f>_xlfn.XLOOKUP(I1694,Mapping!D:D,Mapping!E:E)</f>
        <v>Xưởng Sản Xuất</v>
      </c>
      <c r="C1694" s="167" t="str">
        <f>_xlfn.XLOOKUP(F1694,Mapping!A:A,Mapping!F:F)</f>
        <v>Phụ Cấp</v>
      </c>
      <c r="D1694" s="173">
        <v>45919</v>
      </c>
      <c r="E1694" s="169" t="s">
        <v>1091</v>
      </c>
      <c r="F1694" s="169" t="s">
        <v>386</v>
      </c>
      <c r="G1694" s="169" t="s">
        <v>341</v>
      </c>
      <c r="H1694" s="169" t="s">
        <v>430</v>
      </c>
      <c r="I1694" s="169" t="s">
        <v>431</v>
      </c>
      <c r="J1694" s="169" t="s">
        <v>1092</v>
      </c>
      <c r="K1694" s="169" t="s">
        <v>1093</v>
      </c>
      <c r="L1694" s="169" t="s">
        <v>1048</v>
      </c>
      <c r="M1694" s="169" t="s">
        <v>281</v>
      </c>
      <c r="N1694" s="178">
        <v>7930226</v>
      </c>
      <c r="O1694" s="169" t="s">
        <v>1094</v>
      </c>
      <c r="P1694" s="169" t="s">
        <v>283</v>
      </c>
      <c r="Q1694" s="169" t="s">
        <v>284</v>
      </c>
      <c r="R1694" s="169" t="s">
        <v>283</v>
      </c>
      <c r="S1694" s="169" t="s">
        <v>283</v>
      </c>
      <c r="T1694" s="169">
        <v>0</v>
      </c>
    </row>
    <row r="1695" spans="1:20" x14ac:dyDescent="0.2">
      <c r="A1695" s="169" t="str">
        <f t="shared" si="4"/>
        <v>622</v>
      </c>
      <c r="B1695" s="167" t="str">
        <f>_xlfn.XLOOKUP(I1695,Mapping!D:D,Mapping!E:E)</f>
        <v>Xưởng Sản Xuất</v>
      </c>
      <c r="C1695" s="167" t="str">
        <f>_xlfn.XLOOKUP(F1695,Mapping!A:A,Mapping!F:F)</f>
        <v>Phụ Cấp</v>
      </c>
      <c r="D1695" s="173">
        <v>45919</v>
      </c>
      <c r="E1695" s="169" t="s">
        <v>1091</v>
      </c>
      <c r="F1695" s="169" t="s">
        <v>414</v>
      </c>
      <c r="G1695" s="169" t="s">
        <v>415</v>
      </c>
      <c r="H1695" s="169" t="s">
        <v>430</v>
      </c>
      <c r="I1695" s="169" t="s">
        <v>431</v>
      </c>
      <c r="J1695" s="169" t="s">
        <v>1092</v>
      </c>
      <c r="K1695" s="169" t="s">
        <v>1093</v>
      </c>
      <c r="L1695" s="169" t="s">
        <v>1048</v>
      </c>
      <c r="M1695" s="169" t="s">
        <v>281</v>
      </c>
      <c r="N1695" s="178">
        <v>7200000</v>
      </c>
      <c r="O1695" s="169" t="s">
        <v>1094</v>
      </c>
      <c r="P1695" s="169" t="s">
        <v>283</v>
      </c>
      <c r="Q1695" s="169" t="s">
        <v>284</v>
      </c>
      <c r="R1695" s="169" t="s">
        <v>283</v>
      </c>
      <c r="S1695" s="169" t="s">
        <v>283</v>
      </c>
      <c r="T1695" s="169">
        <v>0</v>
      </c>
    </row>
    <row r="1696" spans="1:20" x14ac:dyDescent="0.2">
      <c r="A1696" s="169" t="str">
        <f t="shared" si="4"/>
        <v>622</v>
      </c>
      <c r="B1696" s="167" t="str">
        <f>_xlfn.XLOOKUP(I1696,Mapping!D:D,Mapping!E:E)</f>
        <v>Xưởng Sản Xuất</v>
      </c>
      <c r="C1696" s="167" t="str">
        <f>_xlfn.XLOOKUP(F1696,Mapping!A:A,Mapping!F:F)</f>
        <v>Thưởng</v>
      </c>
      <c r="D1696" s="173">
        <v>45919</v>
      </c>
      <c r="E1696" s="169" t="s">
        <v>1091</v>
      </c>
      <c r="F1696" s="169" t="s">
        <v>424</v>
      </c>
      <c r="G1696" s="169" t="s">
        <v>291</v>
      </c>
      <c r="H1696" s="169" t="s">
        <v>430</v>
      </c>
      <c r="I1696" s="169" t="s">
        <v>431</v>
      </c>
      <c r="J1696" s="169" t="s">
        <v>1092</v>
      </c>
      <c r="K1696" s="169" t="s">
        <v>1093</v>
      </c>
      <c r="L1696" s="169" t="s">
        <v>1048</v>
      </c>
      <c r="M1696" s="169" t="s">
        <v>281</v>
      </c>
      <c r="N1696" s="178">
        <v>8000000</v>
      </c>
      <c r="O1696" s="169" t="s">
        <v>1094</v>
      </c>
      <c r="P1696" s="169" t="s">
        <v>283</v>
      </c>
      <c r="Q1696" s="169" t="s">
        <v>284</v>
      </c>
      <c r="R1696" s="169" t="s">
        <v>283</v>
      </c>
      <c r="S1696" s="169" t="s">
        <v>283</v>
      </c>
      <c r="T1696" s="169">
        <v>0</v>
      </c>
    </row>
    <row r="1697" spans="1:20" x14ac:dyDescent="0.2">
      <c r="A1697" s="169" t="str">
        <f t="shared" si="4"/>
        <v>622</v>
      </c>
      <c r="B1697" s="167" t="str">
        <f>_xlfn.XLOOKUP(I1697,Mapping!D:D,Mapping!E:E)</f>
        <v>Xưởng Sản Xuất</v>
      </c>
      <c r="C1697" s="167" t="str">
        <f>_xlfn.XLOOKUP(F1697,Mapping!A:A,Mapping!F:F)</f>
        <v>Lương Ngoài giờ</v>
      </c>
      <c r="D1697" s="173">
        <v>45919</v>
      </c>
      <c r="E1697" s="169" t="s">
        <v>1091</v>
      </c>
      <c r="F1697" s="169" t="s">
        <v>422</v>
      </c>
      <c r="G1697" s="169" t="s">
        <v>423</v>
      </c>
      <c r="H1697" s="169" t="s">
        <v>430</v>
      </c>
      <c r="I1697" s="169" t="s">
        <v>431</v>
      </c>
      <c r="J1697" s="169" t="s">
        <v>1092</v>
      </c>
      <c r="K1697" s="169" t="s">
        <v>1093</v>
      </c>
      <c r="L1697" s="169" t="s">
        <v>1048</v>
      </c>
      <c r="M1697" s="169" t="s">
        <v>281</v>
      </c>
      <c r="N1697" s="178">
        <v>63972945</v>
      </c>
      <c r="O1697" s="169" t="s">
        <v>1094</v>
      </c>
      <c r="P1697" s="169" t="s">
        <v>283</v>
      </c>
      <c r="Q1697" s="169" t="s">
        <v>284</v>
      </c>
      <c r="R1697" s="169" t="s">
        <v>283</v>
      </c>
      <c r="S1697" s="169" t="s">
        <v>283</v>
      </c>
      <c r="T1697" s="169">
        <v>0</v>
      </c>
    </row>
    <row r="1698" spans="1:20" x14ac:dyDescent="0.2">
      <c r="A1698" s="169" t="str">
        <f t="shared" si="4"/>
        <v>622</v>
      </c>
      <c r="B1698" s="167" t="str">
        <f>_xlfn.XLOOKUP(I1698,Mapping!D:D,Mapping!E:E)</f>
        <v>Xưởng Sản Xuất</v>
      </c>
      <c r="C1698" s="167" t="str">
        <f>_xlfn.XLOOKUP(F1698,Mapping!A:A,Mapping!F:F)</f>
        <v>Phụ Cấp</v>
      </c>
      <c r="D1698" s="173">
        <v>45919</v>
      </c>
      <c r="E1698" s="169" t="s">
        <v>1091</v>
      </c>
      <c r="F1698" s="169" t="s">
        <v>421</v>
      </c>
      <c r="G1698" s="169" t="s">
        <v>341</v>
      </c>
      <c r="H1698" s="169" t="s">
        <v>430</v>
      </c>
      <c r="I1698" s="169" t="s">
        <v>431</v>
      </c>
      <c r="J1698" s="169" t="s">
        <v>1092</v>
      </c>
      <c r="K1698" s="169" t="s">
        <v>1093</v>
      </c>
      <c r="L1698" s="169" t="s">
        <v>1048</v>
      </c>
      <c r="M1698" s="169" t="s">
        <v>281</v>
      </c>
      <c r="N1698" s="178">
        <v>27010507</v>
      </c>
      <c r="O1698" s="169" t="s">
        <v>1094</v>
      </c>
      <c r="P1698" s="169" t="s">
        <v>283</v>
      </c>
      <c r="Q1698" s="169" t="s">
        <v>284</v>
      </c>
      <c r="R1698" s="169" t="s">
        <v>283</v>
      </c>
      <c r="S1698" s="169" t="s">
        <v>283</v>
      </c>
      <c r="T1698" s="169">
        <v>0</v>
      </c>
    </row>
    <row r="1699" spans="1:20" x14ac:dyDescent="0.2">
      <c r="A1699" s="169" t="str">
        <f t="shared" si="4"/>
        <v>622</v>
      </c>
      <c r="B1699" s="167" t="str">
        <f>_xlfn.XLOOKUP(I1699,Mapping!D:D,Mapping!E:E)</f>
        <v>Xưởng Sản Xuất</v>
      </c>
      <c r="C1699" s="167" t="str">
        <f>_xlfn.XLOOKUP(F1699,Mapping!A:A,Mapping!F:F)</f>
        <v>Lương Chính +T13</v>
      </c>
      <c r="D1699" s="173">
        <v>45919</v>
      </c>
      <c r="E1699" s="169" t="s">
        <v>1091</v>
      </c>
      <c r="F1699" s="169" t="s">
        <v>420</v>
      </c>
      <c r="G1699" s="169" t="s">
        <v>286</v>
      </c>
      <c r="H1699" s="169" t="s">
        <v>430</v>
      </c>
      <c r="I1699" s="169" t="s">
        <v>431</v>
      </c>
      <c r="J1699" s="169" t="s">
        <v>1092</v>
      </c>
      <c r="K1699" s="169" t="s">
        <v>1093</v>
      </c>
      <c r="L1699" s="169" t="s">
        <v>1048</v>
      </c>
      <c r="M1699" s="169" t="s">
        <v>281</v>
      </c>
      <c r="N1699" s="178">
        <v>5280810</v>
      </c>
      <c r="O1699" s="169" t="s">
        <v>1094</v>
      </c>
      <c r="P1699" s="169" t="s">
        <v>283</v>
      </c>
      <c r="Q1699" s="169" t="s">
        <v>284</v>
      </c>
      <c r="R1699" s="169" t="s">
        <v>283</v>
      </c>
      <c r="S1699" s="169" t="s">
        <v>283</v>
      </c>
      <c r="T1699" s="169">
        <v>0</v>
      </c>
    </row>
    <row r="1700" spans="1:20" x14ac:dyDescent="0.2">
      <c r="A1700" s="169" t="str">
        <f t="shared" si="4"/>
        <v>622</v>
      </c>
      <c r="B1700" s="167" t="str">
        <f>_xlfn.XLOOKUP(I1700,Mapping!D:D,Mapping!E:E)</f>
        <v>Xưởng Sản Xuất</v>
      </c>
      <c r="C1700" s="167" t="str">
        <f>_xlfn.XLOOKUP(F1700,Mapping!A:A,Mapping!F:F)</f>
        <v>Lương Chính +T13</v>
      </c>
      <c r="D1700" s="173">
        <v>45919</v>
      </c>
      <c r="E1700" s="169" t="s">
        <v>1091</v>
      </c>
      <c r="F1700" s="169" t="s">
        <v>400</v>
      </c>
      <c r="G1700" s="169" t="s">
        <v>401</v>
      </c>
      <c r="H1700" s="169" t="s">
        <v>430</v>
      </c>
      <c r="I1700" s="169" t="s">
        <v>431</v>
      </c>
      <c r="J1700" s="169" t="s">
        <v>1092</v>
      </c>
      <c r="K1700" s="169" t="s">
        <v>1093</v>
      </c>
      <c r="L1700" s="169" t="s">
        <v>1048</v>
      </c>
      <c r="M1700" s="169" t="s">
        <v>281</v>
      </c>
      <c r="N1700" s="178">
        <v>323489078</v>
      </c>
      <c r="O1700" s="169" t="s">
        <v>1094</v>
      </c>
      <c r="P1700" s="169" t="s">
        <v>283</v>
      </c>
      <c r="Q1700" s="169" t="s">
        <v>284</v>
      </c>
      <c r="R1700" s="169" t="s">
        <v>283</v>
      </c>
      <c r="S1700" s="169" t="s">
        <v>283</v>
      </c>
      <c r="T1700" s="169">
        <v>0</v>
      </c>
    </row>
    <row r="1701" spans="1:20" x14ac:dyDescent="0.2">
      <c r="A1701" s="169" t="str">
        <f t="shared" si="4"/>
        <v>627</v>
      </c>
      <c r="B1701" s="167" t="str">
        <f>_xlfn.XLOOKUP(I1701,Mapping!D:D,Mapping!E:E)</f>
        <v>Xưởng Sản Xuất</v>
      </c>
      <c r="C1701" s="167" t="str">
        <f>_xlfn.XLOOKUP(F1701,Mapping!A:A,Mapping!F:F)</f>
        <v>Phụ Cấp</v>
      </c>
      <c r="D1701" s="173">
        <v>45919</v>
      </c>
      <c r="E1701" s="169" t="s">
        <v>1091</v>
      </c>
      <c r="F1701" s="169" t="s">
        <v>375</v>
      </c>
      <c r="G1701" s="169" t="s">
        <v>336</v>
      </c>
      <c r="H1701" s="169" t="s">
        <v>402</v>
      </c>
      <c r="I1701" s="169" t="s">
        <v>403</v>
      </c>
      <c r="J1701" s="169" t="s">
        <v>1092</v>
      </c>
      <c r="K1701" s="169" t="s">
        <v>1093</v>
      </c>
      <c r="L1701" s="169" t="s">
        <v>1048</v>
      </c>
      <c r="M1701" s="169" t="s">
        <v>281</v>
      </c>
      <c r="N1701" s="178">
        <v>4060000</v>
      </c>
      <c r="O1701" s="169" t="s">
        <v>1094</v>
      </c>
      <c r="P1701" s="169" t="s">
        <v>283</v>
      </c>
      <c r="Q1701" s="169" t="s">
        <v>284</v>
      </c>
      <c r="R1701" s="169" t="s">
        <v>283</v>
      </c>
      <c r="S1701" s="169" t="s">
        <v>283</v>
      </c>
      <c r="T1701" s="169">
        <v>0</v>
      </c>
    </row>
    <row r="1702" spans="1:20" x14ac:dyDescent="0.2">
      <c r="A1702" s="169" t="str">
        <f t="shared" si="4"/>
        <v>627</v>
      </c>
      <c r="B1702" s="167" t="str">
        <f>_xlfn.XLOOKUP(I1702,Mapping!D:D,Mapping!E:E)</f>
        <v>Xưởng Sản Xuất</v>
      </c>
      <c r="C1702" s="167" t="str">
        <f>_xlfn.XLOOKUP(F1702,Mapping!A:A,Mapping!F:F)</f>
        <v>Thưởng</v>
      </c>
      <c r="D1702" s="173">
        <v>45919</v>
      </c>
      <c r="E1702" s="169" t="s">
        <v>1091</v>
      </c>
      <c r="F1702" s="169" t="s">
        <v>391</v>
      </c>
      <c r="G1702" s="169" t="s">
        <v>291</v>
      </c>
      <c r="H1702" s="169" t="s">
        <v>402</v>
      </c>
      <c r="I1702" s="169" t="s">
        <v>403</v>
      </c>
      <c r="J1702" s="169" t="s">
        <v>1092</v>
      </c>
      <c r="K1702" s="169" t="s">
        <v>1093</v>
      </c>
      <c r="L1702" s="169" t="s">
        <v>1048</v>
      </c>
      <c r="M1702" s="169" t="s">
        <v>281</v>
      </c>
      <c r="N1702" s="178">
        <v>7000000</v>
      </c>
      <c r="O1702" s="169" t="s">
        <v>1094</v>
      </c>
      <c r="P1702" s="169" t="s">
        <v>283</v>
      </c>
      <c r="Q1702" s="169" t="s">
        <v>284</v>
      </c>
      <c r="R1702" s="169" t="s">
        <v>283</v>
      </c>
      <c r="S1702" s="169" t="s">
        <v>283</v>
      </c>
      <c r="T1702" s="169">
        <v>0</v>
      </c>
    </row>
    <row r="1703" spans="1:20" x14ac:dyDescent="0.2">
      <c r="A1703" s="169" t="str">
        <f t="shared" si="4"/>
        <v>627</v>
      </c>
      <c r="B1703" s="167" t="str">
        <f>_xlfn.XLOOKUP(I1703,Mapping!D:D,Mapping!E:E)</f>
        <v>Xưởng Sản Xuất</v>
      </c>
      <c r="C1703" s="167" t="str">
        <f>_xlfn.XLOOKUP(F1703,Mapping!A:A,Mapping!F:F)</f>
        <v>Lương Ngoài giờ</v>
      </c>
      <c r="D1703" s="173">
        <v>45919</v>
      </c>
      <c r="E1703" s="169" t="s">
        <v>1091</v>
      </c>
      <c r="F1703" s="169" t="s">
        <v>389</v>
      </c>
      <c r="G1703" s="169" t="s">
        <v>390</v>
      </c>
      <c r="H1703" s="169" t="s">
        <v>402</v>
      </c>
      <c r="I1703" s="169" t="s">
        <v>403</v>
      </c>
      <c r="J1703" s="169" t="s">
        <v>1092</v>
      </c>
      <c r="K1703" s="169" t="s">
        <v>1093</v>
      </c>
      <c r="L1703" s="169" t="s">
        <v>1048</v>
      </c>
      <c r="M1703" s="169" t="s">
        <v>281</v>
      </c>
      <c r="N1703" s="178">
        <v>86589310</v>
      </c>
      <c r="O1703" s="169" t="s">
        <v>1094</v>
      </c>
      <c r="P1703" s="169" t="s">
        <v>283</v>
      </c>
      <c r="Q1703" s="169" t="s">
        <v>284</v>
      </c>
      <c r="R1703" s="169" t="s">
        <v>283</v>
      </c>
      <c r="S1703" s="169" t="s">
        <v>283</v>
      </c>
      <c r="T1703" s="169">
        <v>0</v>
      </c>
    </row>
    <row r="1704" spans="1:20" x14ac:dyDescent="0.2">
      <c r="A1704" s="169" t="str">
        <f t="shared" si="4"/>
        <v>627</v>
      </c>
      <c r="B1704" s="167" t="str">
        <f>_xlfn.XLOOKUP(I1704,Mapping!D:D,Mapping!E:E)</f>
        <v>Xưởng Sản Xuất</v>
      </c>
      <c r="C1704" s="167" t="str">
        <f>_xlfn.XLOOKUP(F1704,Mapping!A:A,Mapping!F:F)</f>
        <v>Lương Chính +T13</v>
      </c>
      <c r="D1704" s="173">
        <v>45919</v>
      </c>
      <c r="E1704" s="169" t="s">
        <v>1091</v>
      </c>
      <c r="F1704" s="169" t="s">
        <v>388</v>
      </c>
      <c r="G1704" s="169" t="s">
        <v>286</v>
      </c>
      <c r="H1704" s="169" t="s">
        <v>402</v>
      </c>
      <c r="I1704" s="169" t="s">
        <v>403</v>
      </c>
      <c r="J1704" s="169" t="s">
        <v>1092</v>
      </c>
      <c r="K1704" s="169" t="s">
        <v>1093</v>
      </c>
      <c r="L1704" s="169" t="s">
        <v>1048</v>
      </c>
      <c r="M1704" s="169" t="s">
        <v>281</v>
      </c>
      <c r="N1704" s="178">
        <v>13188482</v>
      </c>
      <c r="O1704" s="169" t="s">
        <v>1094</v>
      </c>
      <c r="P1704" s="169" t="s">
        <v>283</v>
      </c>
      <c r="Q1704" s="169" t="s">
        <v>284</v>
      </c>
      <c r="R1704" s="169" t="s">
        <v>283</v>
      </c>
      <c r="S1704" s="169" t="s">
        <v>283</v>
      </c>
      <c r="T1704" s="169">
        <v>0</v>
      </c>
    </row>
    <row r="1705" spans="1:20" x14ac:dyDescent="0.2">
      <c r="A1705" s="169" t="str">
        <f t="shared" si="4"/>
        <v>627</v>
      </c>
      <c r="B1705" s="167" t="str">
        <f>_xlfn.XLOOKUP(I1705,Mapping!D:D,Mapping!E:E)</f>
        <v>Xưởng Sản Xuất</v>
      </c>
      <c r="C1705" s="167" t="str">
        <f>_xlfn.XLOOKUP(F1705,Mapping!A:A,Mapping!F:F)</f>
        <v>Lương Chính +T13</v>
      </c>
      <c r="D1705" s="173">
        <v>45919</v>
      </c>
      <c r="E1705" s="169" t="s">
        <v>1091</v>
      </c>
      <c r="F1705" s="169" t="s">
        <v>387</v>
      </c>
      <c r="G1705" s="169" t="s">
        <v>275</v>
      </c>
      <c r="H1705" s="169" t="s">
        <v>402</v>
      </c>
      <c r="I1705" s="169" t="s">
        <v>403</v>
      </c>
      <c r="J1705" s="169" t="s">
        <v>1092</v>
      </c>
      <c r="K1705" s="169" t="s">
        <v>1093</v>
      </c>
      <c r="L1705" s="169" t="s">
        <v>1048</v>
      </c>
      <c r="M1705" s="169" t="s">
        <v>281</v>
      </c>
      <c r="N1705" s="178">
        <v>473398777</v>
      </c>
      <c r="O1705" s="169" t="s">
        <v>1094</v>
      </c>
      <c r="P1705" s="169" t="s">
        <v>283</v>
      </c>
      <c r="Q1705" s="169" t="s">
        <v>284</v>
      </c>
      <c r="R1705" s="169" t="s">
        <v>283</v>
      </c>
      <c r="S1705" s="169" t="s">
        <v>283</v>
      </c>
      <c r="T1705" s="169">
        <v>0</v>
      </c>
    </row>
    <row r="1706" spans="1:20" x14ac:dyDescent="0.2">
      <c r="A1706" s="169" t="str">
        <f t="shared" ref="A1706:A1769" si="5">LEFT(F1706,3)</f>
        <v>627</v>
      </c>
      <c r="B1706" s="167" t="str">
        <f>_xlfn.XLOOKUP(I1706,Mapping!D:D,Mapping!E:E)</f>
        <v>Xưởng Sản Xuất</v>
      </c>
      <c r="C1706" s="167" t="str">
        <f>_xlfn.XLOOKUP(F1706,Mapping!A:A,Mapping!F:F)</f>
        <v>Phụ Cấp</v>
      </c>
      <c r="D1706" s="173">
        <v>45919</v>
      </c>
      <c r="E1706" s="169" t="s">
        <v>1091</v>
      </c>
      <c r="F1706" s="169" t="s">
        <v>386</v>
      </c>
      <c r="G1706" s="169" t="s">
        <v>341</v>
      </c>
      <c r="H1706" s="169" t="s">
        <v>402</v>
      </c>
      <c r="I1706" s="169" t="s">
        <v>403</v>
      </c>
      <c r="J1706" s="169" t="s">
        <v>1092</v>
      </c>
      <c r="K1706" s="169" t="s">
        <v>1093</v>
      </c>
      <c r="L1706" s="169" t="s">
        <v>1048</v>
      </c>
      <c r="M1706" s="169" t="s">
        <v>281</v>
      </c>
      <c r="N1706" s="178">
        <v>15558870</v>
      </c>
      <c r="O1706" s="169" t="s">
        <v>1094</v>
      </c>
      <c r="P1706" s="169" t="s">
        <v>283</v>
      </c>
      <c r="Q1706" s="169" t="s">
        <v>284</v>
      </c>
      <c r="R1706" s="169" t="s">
        <v>283</v>
      </c>
      <c r="S1706" s="169" t="s">
        <v>283</v>
      </c>
      <c r="T1706" s="169">
        <v>0</v>
      </c>
    </row>
    <row r="1707" spans="1:20" x14ac:dyDescent="0.2">
      <c r="A1707" s="169" t="str">
        <f t="shared" si="5"/>
        <v>622</v>
      </c>
      <c r="B1707" s="167" t="str">
        <f>_xlfn.XLOOKUP(I1707,Mapping!D:D,Mapping!E:E)</f>
        <v>Xưởng Sản Xuất</v>
      </c>
      <c r="C1707" s="167" t="str">
        <f>_xlfn.XLOOKUP(F1707,Mapping!A:A,Mapping!F:F)</f>
        <v>Phụ Cấp</v>
      </c>
      <c r="D1707" s="173">
        <v>45919</v>
      </c>
      <c r="E1707" s="169" t="s">
        <v>1091</v>
      </c>
      <c r="F1707" s="169" t="s">
        <v>414</v>
      </c>
      <c r="G1707" s="169" t="s">
        <v>415</v>
      </c>
      <c r="H1707" s="169" t="s">
        <v>402</v>
      </c>
      <c r="I1707" s="169" t="s">
        <v>403</v>
      </c>
      <c r="J1707" s="169" t="s">
        <v>1092</v>
      </c>
      <c r="K1707" s="169" t="s">
        <v>1093</v>
      </c>
      <c r="L1707" s="169" t="s">
        <v>1048</v>
      </c>
      <c r="M1707" s="169" t="s">
        <v>281</v>
      </c>
      <c r="N1707" s="178">
        <v>43700000</v>
      </c>
      <c r="O1707" s="169" t="s">
        <v>1094</v>
      </c>
      <c r="P1707" s="169" t="s">
        <v>283</v>
      </c>
      <c r="Q1707" s="169" t="s">
        <v>284</v>
      </c>
      <c r="R1707" s="169" t="s">
        <v>283</v>
      </c>
      <c r="S1707" s="169" t="s">
        <v>283</v>
      </c>
      <c r="T1707" s="169">
        <v>0</v>
      </c>
    </row>
    <row r="1708" spans="1:20" x14ac:dyDescent="0.2">
      <c r="A1708" s="169" t="str">
        <f t="shared" si="5"/>
        <v>622</v>
      </c>
      <c r="B1708" s="167" t="str">
        <f>_xlfn.XLOOKUP(I1708,Mapping!D:D,Mapping!E:E)</f>
        <v>Xưởng Sản Xuất</v>
      </c>
      <c r="C1708" s="167" t="str">
        <f>_xlfn.XLOOKUP(F1708,Mapping!A:A,Mapping!F:F)</f>
        <v>Thưởng</v>
      </c>
      <c r="D1708" s="173">
        <v>45919</v>
      </c>
      <c r="E1708" s="169" t="s">
        <v>1091</v>
      </c>
      <c r="F1708" s="169" t="s">
        <v>424</v>
      </c>
      <c r="G1708" s="169" t="s">
        <v>291</v>
      </c>
      <c r="H1708" s="169" t="s">
        <v>402</v>
      </c>
      <c r="I1708" s="169" t="s">
        <v>403</v>
      </c>
      <c r="J1708" s="169" t="s">
        <v>1092</v>
      </c>
      <c r="K1708" s="169" t="s">
        <v>1093</v>
      </c>
      <c r="L1708" s="169" t="s">
        <v>1048</v>
      </c>
      <c r="M1708" s="169" t="s">
        <v>281</v>
      </c>
      <c r="N1708" s="178">
        <v>47800000</v>
      </c>
      <c r="O1708" s="169" t="s">
        <v>1094</v>
      </c>
      <c r="P1708" s="169" t="s">
        <v>283</v>
      </c>
      <c r="Q1708" s="169" t="s">
        <v>284</v>
      </c>
      <c r="R1708" s="169" t="s">
        <v>283</v>
      </c>
      <c r="S1708" s="169" t="s">
        <v>283</v>
      </c>
      <c r="T1708" s="169">
        <v>0</v>
      </c>
    </row>
    <row r="1709" spans="1:20" x14ac:dyDescent="0.2">
      <c r="A1709" s="169" t="str">
        <f t="shared" si="5"/>
        <v>622</v>
      </c>
      <c r="B1709" s="167" t="str">
        <f>_xlfn.XLOOKUP(I1709,Mapping!D:D,Mapping!E:E)</f>
        <v>Xưởng Sản Xuất</v>
      </c>
      <c r="C1709" s="167" t="str">
        <f>_xlfn.XLOOKUP(F1709,Mapping!A:A,Mapping!F:F)</f>
        <v>Lương Ngoài giờ</v>
      </c>
      <c r="D1709" s="173">
        <v>45919</v>
      </c>
      <c r="E1709" s="169" t="s">
        <v>1091</v>
      </c>
      <c r="F1709" s="169" t="s">
        <v>422</v>
      </c>
      <c r="G1709" s="169" t="s">
        <v>423</v>
      </c>
      <c r="H1709" s="169" t="s">
        <v>402</v>
      </c>
      <c r="I1709" s="169" t="s">
        <v>403</v>
      </c>
      <c r="J1709" s="169" t="s">
        <v>1092</v>
      </c>
      <c r="K1709" s="169" t="s">
        <v>1093</v>
      </c>
      <c r="L1709" s="169" t="s">
        <v>1048</v>
      </c>
      <c r="M1709" s="169" t="s">
        <v>281</v>
      </c>
      <c r="N1709" s="178">
        <v>615650777</v>
      </c>
      <c r="O1709" s="169" t="s">
        <v>1094</v>
      </c>
      <c r="P1709" s="169" t="s">
        <v>283</v>
      </c>
      <c r="Q1709" s="169" t="s">
        <v>284</v>
      </c>
      <c r="R1709" s="169" t="s">
        <v>283</v>
      </c>
      <c r="S1709" s="169" t="s">
        <v>283</v>
      </c>
      <c r="T1709" s="169">
        <v>0</v>
      </c>
    </row>
    <row r="1710" spans="1:20" x14ac:dyDescent="0.2">
      <c r="A1710" s="169" t="str">
        <f t="shared" si="5"/>
        <v>622</v>
      </c>
      <c r="B1710" s="167" t="str">
        <f>_xlfn.XLOOKUP(I1710,Mapping!D:D,Mapping!E:E)</f>
        <v>Xưởng Sản Xuất</v>
      </c>
      <c r="C1710" s="167" t="str">
        <f>_xlfn.XLOOKUP(F1710,Mapping!A:A,Mapping!F:F)</f>
        <v>Lương Chính +T13</v>
      </c>
      <c r="D1710" s="173">
        <v>45919</v>
      </c>
      <c r="E1710" s="169" t="s">
        <v>1091</v>
      </c>
      <c r="F1710" s="169" t="s">
        <v>400</v>
      </c>
      <c r="G1710" s="169" t="s">
        <v>401</v>
      </c>
      <c r="H1710" s="169" t="s">
        <v>441</v>
      </c>
      <c r="I1710" s="169" t="s">
        <v>442</v>
      </c>
      <c r="J1710" s="169" t="s">
        <v>1092</v>
      </c>
      <c r="K1710" s="169" t="s">
        <v>1093</v>
      </c>
      <c r="L1710" s="169" t="s">
        <v>1048</v>
      </c>
      <c r="M1710" s="169" t="s">
        <v>281</v>
      </c>
      <c r="N1710" s="178">
        <v>8060693</v>
      </c>
      <c r="O1710" s="169" t="s">
        <v>1094</v>
      </c>
      <c r="P1710" s="169" t="s">
        <v>283</v>
      </c>
      <c r="Q1710" s="169" t="s">
        <v>284</v>
      </c>
      <c r="R1710" s="169" t="s">
        <v>283</v>
      </c>
      <c r="S1710" s="169" t="s">
        <v>283</v>
      </c>
      <c r="T1710" s="169">
        <v>0</v>
      </c>
    </row>
    <row r="1711" spans="1:20" x14ac:dyDescent="0.2">
      <c r="A1711" s="169" t="str">
        <f t="shared" si="5"/>
        <v>622</v>
      </c>
      <c r="B1711" s="167" t="str">
        <f>_xlfn.XLOOKUP(I1711,Mapping!D:D,Mapping!E:E)</f>
        <v>Xưởng Sản Xuất</v>
      </c>
      <c r="C1711" s="167" t="str">
        <f>_xlfn.XLOOKUP(F1711,Mapping!A:A,Mapping!F:F)</f>
        <v>Phụ Cấp</v>
      </c>
      <c r="D1711" s="173">
        <v>45919</v>
      </c>
      <c r="E1711" s="169" t="s">
        <v>1091</v>
      </c>
      <c r="F1711" s="169" t="s">
        <v>421</v>
      </c>
      <c r="G1711" s="169" t="s">
        <v>341</v>
      </c>
      <c r="H1711" s="169" t="s">
        <v>441</v>
      </c>
      <c r="I1711" s="169" t="s">
        <v>442</v>
      </c>
      <c r="J1711" s="169" t="s">
        <v>1092</v>
      </c>
      <c r="K1711" s="169" t="s">
        <v>1093</v>
      </c>
      <c r="L1711" s="169" t="s">
        <v>1048</v>
      </c>
      <c r="M1711" s="169" t="s">
        <v>281</v>
      </c>
      <c r="N1711" s="178">
        <v>706708</v>
      </c>
      <c r="O1711" s="169" t="s">
        <v>1094</v>
      </c>
      <c r="P1711" s="169" t="s">
        <v>283</v>
      </c>
      <c r="Q1711" s="169" t="s">
        <v>284</v>
      </c>
      <c r="R1711" s="169" t="s">
        <v>283</v>
      </c>
      <c r="S1711" s="169" t="s">
        <v>283</v>
      </c>
      <c r="T1711" s="169">
        <v>0</v>
      </c>
    </row>
    <row r="1712" spans="1:20" x14ac:dyDescent="0.2">
      <c r="A1712" s="169" t="str">
        <f t="shared" si="5"/>
        <v>622</v>
      </c>
      <c r="B1712" s="167" t="str">
        <f>_xlfn.XLOOKUP(I1712,Mapping!D:D,Mapping!E:E)</f>
        <v>Xưởng Sản Xuất</v>
      </c>
      <c r="C1712" s="167" t="str">
        <f>_xlfn.XLOOKUP(F1712,Mapping!A:A,Mapping!F:F)</f>
        <v>Lương Ngoài giờ</v>
      </c>
      <c r="D1712" s="173">
        <v>45919</v>
      </c>
      <c r="E1712" s="169" t="s">
        <v>1091</v>
      </c>
      <c r="F1712" s="169" t="s">
        <v>422</v>
      </c>
      <c r="G1712" s="169" t="s">
        <v>423</v>
      </c>
      <c r="H1712" s="169" t="s">
        <v>441</v>
      </c>
      <c r="I1712" s="169" t="s">
        <v>442</v>
      </c>
      <c r="J1712" s="169" t="s">
        <v>1092</v>
      </c>
      <c r="K1712" s="169" t="s">
        <v>1093</v>
      </c>
      <c r="L1712" s="169" t="s">
        <v>1048</v>
      </c>
      <c r="M1712" s="169" t="s">
        <v>281</v>
      </c>
      <c r="N1712" s="178">
        <v>1713216</v>
      </c>
      <c r="O1712" s="169" t="s">
        <v>1094</v>
      </c>
      <c r="P1712" s="169" t="s">
        <v>283</v>
      </c>
      <c r="Q1712" s="169" t="s">
        <v>284</v>
      </c>
      <c r="R1712" s="169" t="s">
        <v>283</v>
      </c>
      <c r="S1712" s="169" t="s">
        <v>283</v>
      </c>
      <c r="T1712" s="169">
        <v>0</v>
      </c>
    </row>
    <row r="1713" spans="1:20" x14ac:dyDescent="0.2">
      <c r="A1713" s="169" t="str">
        <f t="shared" si="5"/>
        <v>622</v>
      </c>
      <c r="B1713" s="167" t="str">
        <f>_xlfn.XLOOKUP(I1713,Mapping!D:D,Mapping!E:E)</f>
        <v>Xưởng Sản Xuất</v>
      </c>
      <c r="C1713" s="167" t="str">
        <f>_xlfn.XLOOKUP(F1713,Mapping!A:A,Mapping!F:F)</f>
        <v>Thưởng</v>
      </c>
      <c r="D1713" s="173">
        <v>45919</v>
      </c>
      <c r="E1713" s="169" t="s">
        <v>1091</v>
      </c>
      <c r="F1713" s="169" t="s">
        <v>424</v>
      </c>
      <c r="G1713" s="169" t="s">
        <v>291</v>
      </c>
      <c r="H1713" s="169" t="s">
        <v>441</v>
      </c>
      <c r="I1713" s="169" t="s">
        <v>442</v>
      </c>
      <c r="J1713" s="169" t="s">
        <v>1092</v>
      </c>
      <c r="K1713" s="169" t="s">
        <v>1093</v>
      </c>
      <c r="L1713" s="169" t="s">
        <v>1048</v>
      </c>
      <c r="M1713" s="169" t="s">
        <v>281</v>
      </c>
      <c r="N1713" s="178">
        <v>200000</v>
      </c>
      <c r="O1713" s="169" t="s">
        <v>1094</v>
      </c>
      <c r="P1713" s="169" t="s">
        <v>283</v>
      </c>
      <c r="Q1713" s="169" t="s">
        <v>284</v>
      </c>
      <c r="R1713" s="169" t="s">
        <v>283</v>
      </c>
      <c r="S1713" s="169" t="s">
        <v>283</v>
      </c>
      <c r="T1713" s="169">
        <v>0</v>
      </c>
    </row>
    <row r="1714" spans="1:20" x14ac:dyDescent="0.2">
      <c r="A1714" s="169" t="str">
        <f t="shared" si="5"/>
        <v>622</v>
      </c>
      <c r="B1714" s="167" t="str">
        <f>_xlfn.XLOOKUP(I1714,Mapping!D:D,Mapping!E:E)</f>
        <v>Xưởng Sản Xuất</v>
      </c>
      <c r="C1714" s="167" t="str">
        <f>_xlfn.XLOOKUP(F1714,Mapping!A:A,Mapping!F:F)</f>
        <v>Phụ Cấp</v>
      </c>
      <c r="D1714" s="173">
        <v>45919</v>
      </c>
      <c r="E1714" s="169" t="s">
        <v>1091</v>
      </c>
      <c r="F1714" s="169" t="s">
        <v>414</v>
      </c>
      <c r="G1714" s="169" t="s">
        <v>415</v>
      </c>
      <c r="H1714" s="169" t="s">
        <v>441</v>
      </c>
      <c r="I1714" s="169" t="s">
        <v>442</v>
      </c>
      <c r="J1714" s="169" t="s">
        <v>1092</v>
      </c>
      <c r="K1714" s="169" t="s">
        <v>1093</v>
      </c>
      <c r="L1714" s="169" t="s">
        <v>1048</v>
      </c>
      <c r="M1714" s="169" t="s">
        <v>281</v>
      </c>
      <c r="N1714" s="178">
        <v>180000</v>
      </c>
      <c r="O1714" s="169" t="s">
        <v>1094</v>
      </c>
      <c r="P1714" s="169" t="s">
        <v>283</v>
      </c>
      <c r="Q1714" s="169" t="s">
        <v>284</v>
      </c>
      <c r="R1714" s="169" t="s">
        <v>283</v>
      </c>
      <c r="S1714" s="169" t="s">
        <v>283</v>
      </c>
      <c r="T1714" s="169">
        <v>0</v>
      </c>
    </row>
    <row r="1715" spans="1:20" x14ac:dyDescent="0.2">
      <c r="A1715" s="169" t="str">
        <f t="shared" si="5"/>
        <v>641</v>
      </c>
      <c r="B1715" s="167" t="str">
        <f>_xlfn.XLOOKUP(I1715,Mapping!D:D,Mapping!E:E)</f>
        <v>Kinh doanh</v>
      </c>
      <c r="C1715" s="167" t="str">
        <f>_xlfn.XLOOKUP(F1715,Mapping!A:A,Mapping!F:F)</f>
        <v>Thưởng</v>
      </c>
      <c r="D1715" s="173">
        <v>45901</v>
      </c>
      <c r="E1715" s="169" t="s">
        <v>1095</v>
      </c>
      <c r="F1715" s="169" t="s">
        <v>365</v>
      </c>
      <c r="G1715" s="169" t="s">
        <v>291</v>
      </c>
      <c r="H1715" s="169" t="s">
        <v>366</v>
      </c>
      <c r="I1715" s="169" t="s">
        <v>1</v>
      </c>
      <c r="J1715" s="169" t="s">
        <v>1033</v>
      </c>
      <c r="K1715" s="169" t="s">
        <v>670</v>
      </c>
      <c r="L1715" s="169" t="s">
        <v>1048</v>
      </c>
      <c r="M1715" s="169" t="s">
        <v>281</v>
      </c>
      <c r="N1715" s="178">
        <v>-185891381</v>
      </c>
      <c r="O1715" s="169" t="s">
        <v>1096</v>
      </c>
      <c r="P1715" s="169" t="s">
        <v>447</v>
      </c>
      <c r="Q1715" s="169" t="s">
        <v>284</v>
      </c>
      <c r="R1715" s="169" t="s">
        <v>283</v>
      </c>
      <c r="S1715" s="169" t="s">
        <v>283</v>
      </c>
      <c r="T1715" s="169">
        <v>0</v>
      </c>
    </row>
    <row r="1716" spans="1:20" x14ac:dyDescent="0.2">
      <c r="A1716" s="169" t="str">
        <f t="shared" si="5"/>
        <v>641</v>
      </c>
      <c r="B1716" s="167" t="str">
        <f>_xlfn.XLOOKUP(I1716,Mapping!D:D,Mapping!E:E)</f>
        <v>Kinh doanh</v>
      </c>
      <c r="C1716" s="167" t="str">
        <f>_xlfn.XLOOKUP(F1716,Mapping!A:A,Mapping!F:F)</f>
        <v>Thưởng</v>
      </c>
      <c r="D1716" s="173">
        <v>45930</v>
      </c>
      <c r="E1716" s="169" t="s">
        <v>1097</v>
      </c>
      <c r="F1716" s="169" t="s">
        <v>365</v>
      </c>
      <c r="G1716" s="169" t="s">
        <v>291</v>
      </c>
      <c r="H1716" s="169" t="s">
        <v>366</v>
      </c>
      <c r="I1716" s="169" t="s">
        <v>1</v>
      </c>
      <c r="J1716" s="169" t="s">
        <v>1098</v>
      </c>
      <c r="K1716" s="169" t="s">
        <v>670</v>
      </c>
      <c r="L1716" s="169" t="s">
        <v>1048</v>
      </c>
      <c r="M1716" s="169" t="s">
        <v>281</v>
      </c>
      <c r="N1716" s="178">
        <v>10066555</v>
      </c>
      <c r="O1716" s="169" t="s">
        <v>1099</v>
      </c>
      <c r="P1716" s="169" t="s">
        <v>283</v>
      </c>
      <c r="Q1716" s="169" t="s">
        <v>370</v>
      </c>
      <c r="R1716" s="169" t="s">
        <v>283</v>
      </c>
      <c r="S1716" s="169" t="s">
        <v>283</v>
      </c>
      <c r="T1716" s="169">
        <v>0</v>
      </c>
    </row>
    <row r="1717" spans="1:20" x14ac:dyDescent="0.2">
      <c r="A1717" s="169" t="str">
        <f t="shared" si="5"/>
        <v>641</v>
      </c>
      <c r="B1717" s="167" t="str">
        <f>_xlfn.XLOOKUP(I1717,Mapping!D:D,Mapping!E:E)</f>
        <v>Kinh doanh</v>
      </c>
      <c r="C1717" s="167" t="str">
        <f>_xlfn.XLOOKUP(F1717,Mapping!A:A,Mapping!F:F)</f>
        <v>Thưởng</v>
      </c>
      <c r="D1717" s="173">
        <v>45930</v>
      </c>
      <c r="E1717" s="169" t="s">
        <v>1100</v>
      </c>
      <c r="F1717" s="169" t="s">
        <v>365</v>
      </c>
      <c r="G1717" s="169" t="s">
        <v>291</v>
      </c>
      <c r="H1717" s="169" t="s">
        <v>366</v>
      </c>
      <c r="I1717" s="169" t="s">
        <v>1</v>
      </c>
      <c r="J1717" s="169" t="s">
        <v>1101</v>
      </c>
      <c r="K1717" s="169" t="s">
        <v>670</v>
      </c>
      <c r="L1717" s="169" t="s">
        <v>1048</v>
      </c>
      <c r="M1717" s="169" t="s">
        <v>281</v>
      </c>
      <c r="N1717" s="178">
        <v>101478655</v>
      </c>
      <c r="O1717" s="169" t="s">
        <v>1102</v>
      </c>
      <c r="P1717" s="169" t="s">
        <v>283</v>
      </c>
      <c r="Q1717" s="169" t="s">
        <v>370</v>
      </c>
      <c r="R1717" s="169" t="s">
        <v>283</v>
      </c>
      <c r="S1717" s="169" t="s">
        <v>283</v>
      </c>
      <c r="T1717" s="169">
        <v>0</v>
      </c>
    </row>
    <row r="1718" spans="1:20" x14ac:dyDescent="0.2">
      <c r="A1718" s="169" t="str">
        <f t="shared" si="5"/>
        <v>642</v>
      </c>
      <c r="B1718" s="167" t="str">
        <f>_xlfn.XLOOKUP(I1718,Mapping!D:D,Mapping!E:E)</f>
        <v>Ban Giám Đốc</v>
      </c>
      <c r="C1718" s="167" t="str">
        <f>_xlfn.XLOOKUP(F1718,Mapping!A:A,Mapping!F:F)</f>
        <v>Lương Chính +T13</v>
      </c>
      <c r="D1718" s="173">
        <v>45930</v>
      </c>
      <c r="E1718" s="169" t="s">
        <v>1103</v>
      </c>
      <c r="F1718" s="169" t="s">
        <v>285</v>
      </c>
      <c r="G1718" s="169" t="s">
        <v>286</v>
      </c>
      <c r="H1718" s="169" t="s">
        <v>276</v>
      </c>
      <c r="I1718" s="169" t="s">
        <v>277</v>
      </c>
      <c r="J1718" s="169" t="s">
        <v>1104</v>
      </c>
      <c r="K1718" s="169" t="s">
        <v>1093</v>
      </c>
      <c r="L1718" s="169" t="s">
        <v>1048</v>
      </c>
      <c r="M1718" s="169" t="s">
        <v>281</v>
      </c>
      <c r="N1718" s="178">
        <v>113741250</v>
      </c>
      <c r="O1718" s="169" t="s">
        <v>1105</v>
      </c>
      <c r="P1718" s="169" t="s">
        <v>283</v>
      </c>
      <c r="Q1718" s="169" t="s">
        <v>284</v>
      </c>
      <c r="R1718" s="169" t="s">
        <v>283</v>
      </c>
      <c r="S1718" s="169" t="s">
        <v>283</v>
      </c>
      <c r="T1718" s="169">
        <v>0</v>
      </c>
    </row>
    <row r="1719" spans="1:20" x14ac:dyDescent="0.2">
      <c r="A1719" s="169" t="str">
        <f t="shared" si="5"/>
        <v>642</v>
      </c>
      <c r="B1719" s="167" t="str">
        <f>_xlfn.XLOOKUP(I1719,Mapping!D:D,Mapping!E:E)</f>
        <v>Ban Giám Đốc</v>
      </c>
      <c r="C1719" s="167" t="str">
        <f>_xlfn.XLOOKUP(F1719,Mapping!A:A,Mapping!F:F)</f>
        <v>Thưởng</v>
      </c>
      <c r="D1719" s="173">
        <v>45930</v>
      </c>
      <c r="E1719" s="169" t="s">
        <v>1103</v>
      </c>
      <c r="F1719" s="169" t="s">
        <v>292</v>
      </c>
      <c r="G1719" s="169" t="s">
        <v>77</v>
      </c>
      <c r="H1719" s="169" t="s">
        <v>276</v>
      </c>
      <c r="I1719" s="169" t="s">
        <v>277</v>
      </c>
      <c r="J1719" s="169" t="s">
        <v>1106</v>
      </c>
      <c r="K1719" s="169" t="s">
        <v>1093</v>
      </c>
      <c r="L1719" s="169" t="s">
        <v>1048</v>
      </c>
      <c r="M1719" s="169" t="s">
        <v>281</v>
      </c>
      <c r="N1719" s="178">
        <v>104641040</v>
      </c>
      <c r="O1719" s="169" t="s">
        <v>1105</v>
      </c>
      <c r="P1719" s="169" t="s">
        <v>283</v>
      </c>
      <c r="Q1719" s="169" t="s">
        <v>284</v>
      </c>
      <c r="R1719" s="169" t="s">
        <v>283</v>
      </c>
      <c r="S1719" s="169" t="s">
        <v>283</v>
      </c>
      <c r="T1719" s="169">
        <v>0</v>
      </c>
    </row>
    <row r="1720" spans="1:20" x14ac:dyDescent="0.2">
      <c r="A1720" s="169" t="str">
        <f t="shared" si="5"/>
        <v>642</v>
      </c>
      <c r="B1720" s="167" t="str">
        <f>_xlfn.XLOOKUP(I1720,Mapping!D:D,Mapping!E:E)</f>
        <v>Văn Phòng Giám Đốc</v>
      </c>
      <c r="C1720" s="167" t="str">
        <f>_xlfn.XLOOKUP(F1720,Mapping!A:A,Mapping!F:F)</f>
        <v>Lương Chính +T13</v>
      </c>
      <c r="D1720" s="173">
        <v>45930</v>
      </c>
      <c r="E1720" s="169" t="s">
        <v>1103</v>
      </c>
      <c r="F1720" s="169" t="s">
        <v>285</v>
      </c>
      <c r="G1720" s="169" t="s">
        <v>286</v>
      </c>
      <c r="H1720" s="169" t="s">
        <v>320</v>
      </c>
      <c r="I1720" s="169" t="s">
        <v>321</v>
      </c>
      <c r="J1720" s="169" t="s">
        <v>1104</v>
      </c>
      <c r="K1720" s="169" t="s">
        <v>1093</v>
      </c>
      <c r="L1720" s="169" t="s">
        <v>1048</v>
      </c>
      <c r="M1720" s="169" t="s">
        <v>281</v>
      </c>
      <c r="N1720" s="178">
        <v>9604167</v>
      </c>
      <c r="O1720" s="169" t="s">
        <v>1105</v>
      </c>
      <c r="P1720" s="169" t="s">
        <v>283</v>
      </c>
      <c r="Q1720" s="169" t="s">
        <v>284</v>
      </c>
      <c r="R1720" s="169" t="s">
        <v>283</v>
      </c>
      <c r="S1720" s="169" t="s">
        <v>283</v>
      </c>
      <c r="T1720" s="169">
        <v>0</v>
      </c>
    </row>
    <row r="1721" spans="1:20" x14ac:dyDescent="0.2">
      <c r="A1721" s="169" t="str">
        <f t="shared" si="5"/>
        <v>642</v>
      </c>
      <c r="B1721" s="167" t="str">
        <f>_xlfn.XLOOKUP(I1721,Mapping!D:D,Mapping!E:E)</f>
        <v>Văn Phòng Giám Đốc</v>
      </c>
      <c r="C1721" s="167" t="str">
        <f>_xlfn.XLOOKUP(F1721,Mapping!A:A,Mapping!F:F)</f>
        <v>Thưởng</v>
      </c>
      <c r="D1721" s="173">
        <v>45930</v>
      </c>
      <c r="E1721" s="169" t="s">
        <v>1103</v>
      </c>
      <c r="F1721" s="169" t="s">
        <v>292</v>
      </c>
      <c r="G1721" s="169" t="s">
        <v>77</v>
      </c>
      <c r="H1721" s="169" t="s">
        <v>320</v>
      </c>
      <c r="I1721" s="169" t="s">
        <v>321</v>
      </c>
      <c r="J1721" s="169" t="s">
        <v>1106</v>
      </c>
      <c r="K1721" s="169" t="s">
        <v>1093</v>
      </c>
      <c r="L1721" s="169" t="s">
        <v>1048</v>
      </c>
      <c r="M1721" s="169" t="s">
        <v>281</v>
      </c>
      <c r="N1721" s="178">
        <v>8835757</v>
      </c>
      <c r="O1721" s="169" t="s">
        <v>1105</v>
      </c>
      <c r="P1721" s="169" t="s">
        <v>283</v>
      </c>
      <c r="Q1721" s="169" t="s">
        <v>284</v>
      </c>
      <c r="R1721" s="169" t="s">
        <v>283</v>
      </c>
      <c r="S1721" s="169" t="s">
        <v>283</v>
      </c>
      <c r="T1721" s="169">
        <v>0</v>
      </c>
    </row>
    <row r="1722" spans="1:20" x14ac:dyDescent="0.2">
      <c r="A1722" s="169" t="str">
        <f t="shared" si="5"/>
        <v>642</v>
      </c>
      <c r="B1722" s="167" t="str">
        <f>_xlfn.XLOOKUP(I1722,Mapping!D:D,Mapping!E:E)</f>
        <v>Hành Chánh Nhân Sự</v>
      </c>
      <c r="C1722" s="167" t="str">
        <f>_xlfn.XLOOKUP(F1722,Mapping!A:A,Mapping!F:F)</f>
        <v>Lương Chính +T13</v>
      </c>
      <c r="D1722" s="173">
        <v>45930</v>
      </c>
      <c r="E1722" s="169" t="s">
        <v>1103</v>
      </c>
      <c r="F1722" s="169" t="s">
        <v>285</v>
      </c>
      <c r="G1722" s="169" t="s">
        <v>286</v>
      </c>
      <c r="H1722" s="169" t="s">
        <v>301</v>
      </c>
      <c r="I1722" s="169" t="s">
        <v>302</v>
      </c>
      <c r="J1722" s="169" t="s">
        <v>1104</v>
      </c>
      <c r="K1722" s="169" t="s">
        <v>1093</v>
      </c>
      <c r="L1722" s="169" t="s">
        <v>1048</v>
      </c>
      <c r="M1722" s="169" t="s">
        <v>281</v>
      </c>
      <c r="N1722" s="178">
        <v>41371426</v>
      </c>
      <c r="O1722" s="169" t="s">
        <v>1105</v>
      </c>
      <c r="P1722" s="169" t="s">
        <v>283</v>
      </c>
      <c r="Q1722" s="169" t="s">
        <v>284</v>
      </c>
      <c r="R1722" s="169" t="s">
        <v>283</v>
      </c>
      <c r="S1722" s="169" t="s">
        <v>283</v>
      </c>
      <c r="T1722" s="169">
        <v>0</v>
      </c>
    </row>
    <row r="1723" spans="1:20" x14ac:dyDescent="0.2">
      <c r="A1723" s="169" t="str">
        <f t="shared" si="5"/>
        <v>642</v>
      </c>
      <c r="B1723" s="167" t="str">
        <f>_xlfn.XLOOKUP(I1723,Mapping!D:D,Mapping!E:E)</f>
        <v>Hành Chánh Nhân Sự</v>
      </c>
      <c r="C1723" s="167" t="str">
        <f>_xlfn.XLOOKUP(F1723,Mapping!A:A,Mapping!F:F)</f>
        <v>Thưởng</v>
      </c>
      <c r="D1723" s="173">
        <v>45930</v>
      </c>
      <c r="E1723" s="169" t="s">
        <v>1103</v>
      </c>
      <c r="F1723" s="169" t="s">
        <v>292</v>
      </c>
      <c r="G1723" s="169" t="s">
        <v>77</v>
      </c>
      <c r="H1723" s="169" t="s">
        <v>301</v>
      </c>
      <c r="I1723" s="169" t="s">
        <v>302</v>
      </c>
      <c r="J1723" s="169" t="s">
        <v>1106</v>
      </c>
      <c r="K1723" s="169" t="s">
        <v>1093</v>
      </c>
      <c r="L1723" s="169" t="s">
        <v>1048</v>
      </c>
      <c r="M1723" s="169" t="s">
        <v>281</v>
      </c>
      <c r="N1723" s="178">
        <v>33041238</v>
      </c>
      <c r="O1723" s="169" t="s">
        <v>1105</v>
      </c>
      <c r="P1723" s="169" t="s">
        <v>283</v>
      </c>
      <c r="Q1723" s="169" t="s">
        <v>284</v>
      </c>
      <c r="R1723" s="169" t="s">
        <v>283</v>
      </c>
      <c r="S1723" s="169" t="s">
        <v>283</v>
      </c>
      <c r="T1723" s="169">
        <v>0</v>
      </c>
    </row>
    <row r="1724" spans="1:20" x14ac:dyDescent="0.2">
      <c r="A1724" s="169" t="str">
        <f t="shared" si="5"/>
        <v>642</v>
      </c>
      <c r="B1724" s="167" t="str">
        <f>_xlfn.XLOOKUP(I1724,Mapping!D:D,Mapping!E:E)</f>
        <v>Kế Toán</v>
      </c>
      <c r="C1724" s="167" t="str">
        <f>_xlfn.XLOOKUP(F1724,Mapping!A:A,Mapping!F:F)</f>
        <v>Lương Chính +T13</v>
      </c>
      <c r="D1724" s="173">
        <v>45930</v>
      </c>
      <c r="E1724" s="169" t="s">
        <v>1103</v>
      </c>
      <c r="F1724" s="169" t="s">
        <v>285</v>
      </c>
      <c r="G1724" s="169" t="s">
        <v>286</v>
      </c>
      <c r="H1724" s="169" t="s">
        <v>356</v>
      </c>
      <c r="I1724" s="169" t="s">
        <v>357</v>
      </c>
      <c r="J1724" s="169" t="s">
        <v>1104</v>
      </c>
      <c r="K1724" s="169" t="s">
        <v>1093</v>
      </c>
      <c r="L1724" s="169" t="s">
        <v>1048</v>
      </c>
      <c r="M1724" s="169" t="s">
        <v>281</v>
      </c>
      <c r="N1724" s="178">
        <v>44222096</v>
      </c>
      <c r="O1724" s="169" t="s">
        <v>1105</v>
      </c>
      <c r="P1724" s="169" t="s">
        <v>283</v>
      </c>
      <c r="Q1724" s="169" t="s">
        <v>284</v>
      </c>
      <c r="R1724" s="169" t="s">
        <v>283</v>
      </c>
      <c r="S1724" s="169" t="s">
        <v>283</v>
      </c>
      <c r="T1724" s="169">
        <v>0</v>
      </c>
    </row>
    <row r="1725" spans="1:20" x14ac:dyDescent="0.2">
      <c r="A1725" s="169" t="str">
        <f t="shared" si="5"/>
        <v>642</v>
      </c>
      <c r="B1725" s="167" t="str">
        <f>_xlfn.XLOOKUP(I1725,Mapping!D:D,Mapping!E:E)</f>
        <v>Kế Toán</v>
      </c>
      <c r="C1725" s="167" t="str">
        <f>_xlfn.XLOOKUP(F1725,Mapping!A:A,Mapping!F:F)</f>
        <v>Thưởng</v>
      </c>
      <c r="D1725" s="173">
        <v>45930</v>
      </c>
      <c r="E1725" s="169" t="s">
        <v>1103</v>
      </c>
      <c r="F1725" s="169" t="s">
        <v>292</v>
      </c>
      <c r="G1725" s="169" t="s">
        <v>77</v>
      </c>
      <c r="H1725" s="169" t="s">
        <v>356</v>
      </c>
      <c r="I1725" s="169" t="s">
        <v>357</v>
      </c>
      <c r="J1725" s="169" t="s">
        <v>1106</v>
      </c>
      <c r="K1725" s="169" t="s">
        <v>1093</v>
      </c>
      <c r="L1725" s="169" t="s">
        <v>1048</v>
      </c>
      <c r="M1725" s="169" t="s">
        <v>281</v>
      </c>
      <c r="N1725" s="178">
        <v>40240527</v>
      </c>
      <c r="O1725" s="169" t="s">
        <v>1105</v>
      </c>
      <c r="P1725" s="169" t="s">
        <v>283</v>
      </c>
      <c r="Q1725" s="169" t="s">
        <v>284</v>
      </c>
      <c r="R1725" s="169" t="s">
        <v>283</v>
      </c>
      <c r="S1725" s="169" t="s">
        <v>283</v>
      </c>
      <c r="T1725" s="169">
        <v>0</v>
      </c>
    </row>
    <row r="1726" spans="1:20" x14ac:dyDescent="0.2">
      <c r="A1726" s="169" t="str">
        <f t="shared" si="5"/>
        <v>641</v>
      </c>
      <c r="B1726" s="167" t="str">
        <f>_xlfn.XLOOKUP(I1726,Mapping!D:D,Mapping!E:E)</f>
        <v>Kinh doanh</v>
      </c>
      <c r="C1726" s="167" t="str">
        <f>_xlfn.XLOOKUP(F1726,Mapping!A:A,Mapping!F:F)</f>
        <v>Lương Chính +T13</v>
      </c>
      <c r="D1726" s="173">
        <v>45930</v>
      </c>
      <c r="E1726" s="169" t="s">
        <v>1103</v>
      </c>
      <c r="F1726" s="169" t="s">
        <v>384</v>
      </c>
      <c r="G1726" s="169" t="s">
        <v>286</v>
      </c>
      <c r="H1726" s="169" t="s">
        <v>366</v>
      </c>
      <c r="I1726" s="169" t="s">
        <v>1</v>
      </c>
      <c r="J1726" s="169" t="s">
        <v>1104</v>
      </c>
      <c r="K1726" s="169" t="s">
        <v>1093</v>
      </c>
      <c r="L1726" s="169" t="s">
        <v>1048</v>
      </c>
      <c r="M1726" s="169" t="s">
        <v>281</v>
      </c>
      <c r="N1726" s="178">
        <v>25338500</v>
      </c>
      <c r="O1726" s="169" t="s">
        <v>1105</v>
      </c>
      <c r="P1726" s="169" t="s">
        <v>283</v>
      </c>
      <c r="Q1726" s="169" t="s">
        <v>284</v>
      </c>
      <c r="R1726" s="169" t="s">
        <v>283</v>
      </c>
      <c r="S1726" s="169" t="s">
        <v>283</v>
      </c>
      <c r="T1726" s="169">
        <v>0</v>
      </c>
    </row>
    <row r="1727" spans="1:20" x14ac:dyDescent="0.2">
      <c r="A1727" s="169" t="str">
        <f t="shared" si="5"/>
        <v>641</v>
      </c>
      <c r="B1727" s="167" t="str">
        <f>_xlfn.XLOOKUP(I1727,Mapping!D:D,Mapping!E:E)</f>
        <v>Kinh doanh</v>
      </c>
      <c r="C1727" s="167" t="str">
        <f>_xlfn.XLOOKUP(F1727,Mapping!A:A,Mapping!F:F)</f>
        <v>Thưởng</v>
      </c>
      <c r="D1727" s="173">
        <v>45930</v>
      </c>
      <c r="E1727" s="169" t="s">
        <v>1103</v>
      </c>
      <c r="F1727" s="169" t="s">
        <v>394</v>
      </c>
      <c r="G1727" s="169" t="s">
        <v>77</v>
      </c>
      <c r="H1727" s="169" t="s">
        <v>366</v>
      </c>
      <c r="I1727" s="169" t="s">
        <v>1</v>
      </c>
      <c r="J1727" s="169" t="s">
        <v>1106</v>
      </c>
      <c r="K1727" s="169" t="s">
        <v>1093</v>
      </c>
      <c r="L1727" s="169" t="s">
        <v>1048</v>
      </c>
      <c r="M1727" s="169" t="s">
        <v>281</v>
      </c>
      <c r="N1727" s="178">
        <v>23311217</v>
      </c>
      <c r="O1727" s="169" t="s">
        <v>1105</v>
      </c>
      <c r="P1727" s="169" t="s">
        <v>283</v>
      </c>
      <c r="Q1727" s="169" t="s">
        <v>284</v>
      </c>
      <c r="R1727" s="169" t="s">
        <v>283</v>
      </c>
      <c r="S1727" s="169" t="s">
        <v>283</v>
      </c>
      <c r="T1727" s="169">
        <v>0</v>
      </c>
    </row>
    <row r="1728" spans="1:20" x14ac:dyDescent="0.2">
      <c r="A1728" s="169" t="str">
        <f t="shared" si="5"/>
        <v>642</v>
      </c>
      <c r="B1728" s="167" t="str">
        <f>_xlfn.XLOOKUP(I1728,Mapping!D:D,Mapping!E:E)</f>
        <v>Cung Ứng</v>
      </c>
      <c r="C1728" s="167" t="str">
        <f>_xlfn.XLOOKUP(F1728,Mapping!A:A,Mapping!F:F)</f>
        <v>Lương Chính +T13</v>
      </c>
      <c r="D1728" s="173">
        <v>45930</v>
      </c>
      <c r="E1728" s="169" t="s">
        <v>1103</v>
      </c>
      <c r="F1728" s="169" t="s">
        <v>285</v>
      </c>
      <c r="G1728" s="169" t="s">
        <v>286</v>
      </c>
      <c r="H1728" s="169" t="s">
        <v>380</v>
      </c>
      <c r="I1728" s="169" t="s">
        <v>381</v>
      </c>
      <c r="J1728" s="169" t="s">
        <v>1104</v>
      </c>
      <c r="K1728" s="169" t="s">
        <v>1093</v>
      </c>
      <c r="L1728" s="169" t="s">
        <v>1048</v>
      </c>
      <c r="M1728" s="169" t="s">
        <v>281</v>
      </c>
      <c r="N1728" s="178">
        <v>43677418</v>
      </c>
      <c r="O1728" s="169" t="s">
        <v>1105</v>
      </c>
      <c r="P1728" s="169" t="s">
        <v>283</v>
      </c>
      <c r="Q1728" s="169" t="s">
        <v>284</v>
      </c>
      <c r="R1728" s="169" t="s">
        <v>283</v>
      </c>
      <c r="S1728" s="169" t="s">
        <v>283</v>
      </c>
      <c r="T1728" s="169">
        <v>0</v>
      </c>
    </row>
    <row r="1729" spans="1:20" x14ac:dyDescent="0.2">
      <c r="A1729" s="169" t="str">
        <f t="shared" si="5"/>
        <v>642</v>
      </c>
      <c r="B1729" s="167" t="str">
        <f>_xlfn.XLOOKUP(I1729,Mapping!D:D,Mapping!E:E)</f>
        <v>Cung Ứng</v>
      </c>
      <c r="C1729" s="167" t="str">
        <f>_xlfn.XLOOKUP(F1729,Mapping!A:A,Mapping!F:F)</f>
        <v>Thưởng</v>
      </c>
      <c r="D1729" s="173">
        <v>45930</v>
      </c>
      <c r="E1729" s="169" t="s">
        <v>1103</v>
      </c>
      <c r="F1729" s="169" t="s">
        <v>292</v>
      </c>
      <c r="G1729" s="169" t="s">
        <v>77</v>
      </c>
      <c r="H1729" s="169" t="s">
        <v>380</v>
      </c>
      <c r="I1729" s="169" t="s">
        <v>381</v>
      </c>
      <c r="J1729" s="169" t="s">
        <v>1106</v>
      </c>
      <c r="K1729" s="169" t="s">
        <v>1093</v>
      </c>
      <c r="L1729" s="169" t="s">
        <v>1048</v>
      </c>
      <c r="M1729" s="169" t="s">
        <v>281</v>
      </c>
      <c r="N1729" s="178">
        <v>38329694</v>
      </c>
      <c r="O1729" s="169" t="s">
        <v>1105</v>
      </c>
      <c r="P1729" s="169" t="s">
        <v>283</v>
      </c>
      <c r="Q1729" s="169" t="s">
        <v>284</v>
      </c>
      <c r="R1729" s="169" t="s">
        <v>283</v>
      </c>
      <c r="S1729" s="169" t="s">
        <v>283</v>
      </c>
      <c r="T1729" s="169">
        <v>0</v>
      </c>
    </row>
    <row r="1730" spans="1:20" x14ac:dyDescent="0.2">
      <c r="A1730" s="169" t="str">
        <f t="shared" si="5"/>
        <v>642</v>
      </c>
      <c r="B1730" s="167" t="str">
        <f>_xlfn.XLOOKUP(I1730,Mapping!D:D,Mapping!E:E)</f>
        <v>Mua Hàng &amp; XNK</v>
      </c>
      <c r="C1730" s="167" t="str">
        <f>_xlfn.XLOOKUP(F1730,Mapping!A:A,Mapping!F:F)</f>
        <v>Lương Chính +T13</v>
      </c>
      <c r="D1730" s="173">
        <v>45930</v>
      </c>
      <c r="E1730" s="169" t="s">
        <v>1103</v>
      </c>
      <c r="F1730" s="169" t="s">
        <v>285</v>
      </c>
      <c r="G1730" s="169" t="s">
        <v>286</v>
      </c>
      <c r="H1730" s="169" t="s">
        <v>378</v>
      </c>
      <c r="I1730" s="169" t="s">
        <v>379</v>
      </c>
      <c r="J1730" s="169" t="s">
        <v>1104</v>
      </c>
      <c r="K1730" s="169" t="s">
        <v>1093</v>
      </c>
      <c r="L1730" s="169" t="s">
        <v>1048</v>
      </c>
      <c r="M1730" s="169" t="s">
        <v>281</v>
      </c>
      <c r="N1730" s="178">
        <v>11544417</v>
      </c>
      <c r="O1730" s="169" t="s">
        <v>1105</v>
      </c>
      <c r="P1730" s="169" t="s">
        <v>283</v>
      </c>
      <c r="Q1730" s="169" t="s">
        <v>284</v>
      </c>
      <c r="R1730" s="169" t="s">
        <v>283</v>
      </c>
      <c r="S1730" s="169" t="s">
        <v>283</v>
      </c>
      <c r="T1730" s="169">
        <v>0</v>
      </c>
    </row>
    <row r="1731" spans="1:20" x14ac:dyDescent="0.2">
      <c r="A1731" s="169" t="str">
        <f t="shared" si="5"/>
        <v>642</v>
      </c>
      <c r="B1731" s="167" t="str">
        <f>_xlfn.XLOOKUP(I1731,Mapping!D:D,Mapping!E:E)</f>
        <v>Mua Hàng &amp; XNK</v>
      </c>
      <c r="C1731" s="167" t="str">
        <f>_xlfn.XLOOKUP(F1731,Mapping!A:A,Mapping!F:F)</f>
        <v>Thưởng</v>
      </c>
      <c r="D1731" s="173">
        <v>45930</v>
      </c>
      <c r="E1731" s="169" t="s">
        <v>1103</v>
      </c>
      <c r="F1731" s="169" t="s">
        <v>292</v>
      </c>
      <c r="G1731" s="169" t="s">
        <v>77</v>
      </c>
      <c r="H1731" s="169" t="s">
        <v>378</v>
      </c>
      <c r="I1731" s="169" t="s">
        <v>379</v>
      </c>
      <c r="J1731" s="169" t="s">
        <v>1106</v>
      </c>
      <c r="K1731" s="169" t="s">
        <v>1093</v>
      </c>
      <c r="L1731" s="169" t="s">
        <v>1048</v>
      </c>
      <c r="M1731" s="169" t="s">
        <v>281</v>
      </c>
      <c r="N1731" s="178">
        <v>10620771</v>
      </c>
      <c r="O1731" s="169" t="s">
        <v>1105</v>
      </c>
      <c r="P1731" s="169" t="s">
        <v>283</v>
      </c>
      <c r="Q1731" s="169" t="s">
        <v>284</v>
      </c>
      <c r="R1731" s="169" t="s">
        <v>283</v>
      </c>
      <c r="S1731" s="169" t="s">
        <v>283</v>
      </c>
      <c r="T1731" s="169">
        <v>0</v>
      </c>
    </row>
    <row r="1732" spans="1:20" x14ac:dyDescent="0.2">
      <c r="A1732" s="169" t="str">
        <f t="shared" si="5"/>
        <v>627</v>
      </c>
      <c r="B1732" s="167" t="str">
        <f>_xlfn.XLOOKUP(I1732,Mapping!D:D,Mapping!E:E)</f>
        <v>Kỹ Thuật</v>
      </c>
      <c r="C1732" s="167" t="str">
        <f>_xlfn.XLOOKUP(F1732,Mapping!A:A,Mapping!F:F)</f>
        <v>Lương Chính +T13</v>
      </c>
      <c r="D1732" s="173">
        <v>45930</v>
      </c>
      <c r="E1732" s="169" t="s">
        <v>1103</v>
      </c>
      <c r="F1732" s="169" t="s">
        <v>388</v>
      </c>
      <c r="G1732" s="169" t="s">
        <v>286</v>
      </c>
      <c r="H1732" s="169" t="s">
        <v>376</v>
      </c>
      <c r="I1732" s="169" t="s">
        <v>377</v>
      </c>
      <c r="J1732" s="169" t="s">
        <v>1104</v>
      </c>
      <c r="K1732" s="169" t="s">
        <v>1093</v>
      </c>
      <c r="L1732" s="169" t="s">
        <v>1048</v>
      </c>
      <c r="M1732" s="169" t="s">
        <v>281</v>
      </c>
      <c r="N1732" s="178">
        <v>88727917</v>
      </c>
      <c r="O1732" s="169" t="s">
        <v>1105</v>
      </c>
      <c r="P1732" s="169" t="s">
        <v>283</v>
      </c>
      <c r="Q1732" s="169" t="s">
        <v>284</v>
      </c>
      <c r="R1732" s="169" t="s">
        <v>283</v>
      </c>
      <c r="S1732" s="169" t="s">
        <v>283</v>
      </c>
      <c r="T1732" s="169">
        <v>0</v>
      </c>
    </row>
    <row r="1733" spans="1:20" x14ac:dyDescent="0.2">
      <c r="A1733" s="169" t="str">
        <f t="shared" si="5"/>
        <v>627</v>
      </c>
      <c r="B1733" s="167" t="str">
        <f>_xlfn.XLOOKUP(I1733,Mapping!D:D,Mapping!E:E)</f>
        <v>Kỹ Thuật</v>
      </c>
      <c r="C1733" s="167" t="str">
        <f>_xlfn.XLOOKUP(F1733,Mapping!A:A,Mapping!F:F)</f>
        <v>Thưởng</v>
      </c>
      <c r="D1733" s="173">
        <v>45930</v>
      </c>
      <c r="E1733" s="169" t="s">
        <v>1103</v>
      </c>
      <c r="F1733" s="169" t="s">
        <v>395</v>
      </c>
      <c r="G1733" s="169" t="s">
        <v>77</v>
      </c>
      <c r="H1733" s="169" t="s">
        <v>376</v>
      </c>
      <c r="I1733" s="169" t="s">
        <v>377</v>
      </c>
      <c r="J1733" s="169" t="s">
        <v>1106</v>
      </c>
      <c r="K1733" s="169" t="s">
        <v>1093</v>
      </c>
      <c r="L1733" s="169" t="s">
        <v>1048</v>
      </c>
      <c r="M1733" s="169" t="s">
        <v>281</v>
      </c>
      <c r="N1733" s="178">
        <v>81628974</v>
      </c>
      <c r="O1733" s="169" t="s">
        <v>1105</v>
      </c>
      <c r="P1733" s="169" t="s">
        <v>283</v>
      </c>
      <c r="Q1733" s="169" t="s">
        <v>284</v>
      </c>
      <c r="R1733" s="169" t="s">
        <v>283</v>
      </c>
      <c r="S1733" s="169" t="s">
        <v>283</v>
      </c>
      <c r="T1733" s="169">
        <v>0</v>
      </c>
    </row>
    <row r="1734" spans="1:20" x14ac:dyDescent="0.2">
      <c r="A1734" s="169" t="str">
        <f t="shared" si="5"/>
        <v>627</v>
      </c>
      <c r="B1734" s="167" t="str">
        <f>_xlfn.XLOOKUP(I1734,Mapping!D:D,Mapping!E:E)</f>
        <v>Kiểm Soát Chất Lượng</v>
      </c>
      <c r="C1734" s="167" t="str">
        <f>_xlfn.XLOOKUP(F1734,Mapping!A:A,Mapping!F:F)</f>
        <v>Lương Chính +T13</v>
      </c>
      <c r="D1734" s="173">
        <v>45930</v>
      </c>
      <c r="E1734" s="169" t="s">
        <v>1103</v>
      </c>
      <c r="F1734" s="169" t="s">
        <v>388</v>
      </c>
      <c r="G1734" s="169" t="s">
        <v>286</v>
      </c>
      <c r="H1734" s="169" t="s">
        <v>411</v>
      </c>
      <c r="I1734" s="169" t="s">
        <v>412</v>
      </c>
      <c r="J1734" s="169" t="s">
        <v>1104</v>
      </c>
      <c r="K1734" s="169" t="s">
        <v>1093</v>
      </c>
      <c r="L1734" s="169" t="s">
        <v>1048</v>
      </c>
      <c r="M1734" s="169" t="s">
        <v>281</v>
      </c>
      <c r="N1734" s="178">
        <v>38509417</v>
      </c>
      <c r="O1734" s="169" t="s">
        <v>1105</v>
      </c>
      <c r="P1734" s="169" t="s">
        <v>283</v>
      </c>
      <c r="Q1734" s="169" t="s">
        <v>284</v>
      </c>
      <c r="R1734" s="169" t="s">
        <v>283</v>
      </c>
      <c r="S1734" s="169" t="s">
        <v>283</v>
      </c>
      <c r="T1734" s="169">
        <v>0</v>
      </c>
    </row>
    <row r="1735" spans="1:20" x14ac:dyDescent="0.2">
      <c r="A1735" s="169" t="str">
        <f t="shared" si="5"/>
        <v>627</v>
      </c>
      <c r="B1735" s="167" t="str">
        <f>_xlfn.XLOOKUP(I1735,Mapping!D:D,Mapping!E:E)</f>
        <v>Kiểm Soát Chất Lượng</v>
      </c>
      <c r="C1735" s="167" t="str">
        <f>_xlfn.XLOOKUP(F1735,Mapping!A:A,Mapping!F:F)</f>
        <v>Thưởng</v>
      </c>
      <c r="D1735" s="173">
        <v>45930</v>
      </c>
      <c r="E1735" s="169" t="s">
        <v>1103</v>
      </c>
      <c r="F1735" s="169" t="s">
        <v>395</v>
      </c>
      <c r="G1735" s="169" t="s">
        <v>77</v>
      </c>
      <c r="H1735" s="169" t="s">
        <v>411</v>
      </c>
      <c r="I1735" s="169" t="s">
        <v>412</v>
      </c>
      <c r="J1735" s="169" t="s">
        <v>1106</v>
      </c>
      <c r="K1735" s="169" t="s">
        <v>1093</v>
      </c>
      <c r="L1735" s="169" t="s">
        <v>1048</v>
      </c>
      <c r="M1735" s="169" t="s">
        <v>281</v>
      </c>
      <c r="N1735" s="178">
        <v>35428355</v>
      </c>
      <c r="O1735" s="169" t="s">
        <v>1105</v>
      </c>
      <c r="P1735" s="169" t="s">
        <v>283</v>
      </c>
      <c r="Q1735" s="169" t="s">
        <v>284</v>
      </c>
      <c r="R1735" s="169" t="s">
        <v>283</v>
      </c>
      <c r="S1735" s="169" t="s">
        <v>283</v>
      </c>
      <c r="T1735" s="169">
        <v>0</v>
      </c>
    </row>
    <row r="1736" spans="1:20" x14ac:dyDescent="0.2">
      <c r="A1736" s="169" t="str">
        <f t="shared" si="5"/>
        <v>627</v>
      </c>
      <c r="B1736" s="167" t="str">
        <f>_xlfn.XLOOKUP(I1736,Mapping!D:D,Mapping!E:E)</f>
        <v>Nghiên Cứu &amp; Phát Triển</v>
      </c>
      <c r="C1736" s="167" t="str">
        <f>_xlfn.XLOOKUP(F1736,Mapping!A:A,Mapping!F:F)</f>
        <v>Lương Chính +T13</v>
      </c>
      <c r="D1736" s="173">
        <v>45930</v>
      </c>
      <c r="E1736" s="169" t="s">
        <v>1103</v>
      </c>
      <c r="F1736" s="169" t="s">
        <v>388</v>
      </c>
      <c r="G1736" s="169" t="s">
        <v>286</v>
      </c>
      <c r="H1736" s="169" t="s">
        <v>418</v>
      </c>
      <c r="I1736" s="169" t="s">
        <v>419</v>
      </c>
      <c r="J1736" s="169" t="s">
        <v>1104</v>
      </c>
      <c r="K1736" s="169" t="s">
        <v>1093</v>
      </c>
      <c r="L1736" s="169" t="s">
        <v>1048</v>
      </c>
      <c r="M1736" s="169" t="s">
        <v>281</v>
      </c>
      <c r="N1736" s="178">
        <v>14000000</v>
      </c>
      <c r="O1736" s="169" t="s">
        <v>1105</v>
      </c>
      <c r="P1736" s="169" t="s">
        <v>283</v>
      </c>
      <c r="Q1736" s="169" t="s">
        <v>284</v>
      </c>
      <c r="R1736" s="169" t="s">
        <v>283</v>
      </c>
      <c r="S1736" s="169" t="s">
        <v>283</v>
      </c>
      <c r="T1736" s="169">
        <v>0</v>
      </c>
    </row>
    <row r="1737" spans="1:20" x14ac:dyDescent="0.2">
      <c r="A1737" s="169" t="str">
        <f t="shared" si="5"/>
        <v>627</v>
      </c>
      <c r="B1737" s="167" t="str">
        <f>_xlfn.XLOOKUP(I1737,Mapping!D:D,Mapping!E:E)</f>
        <v>Nghiên Cứu &amp; Phát Triển</v>
      </c>
      <c r="C1737" s="167" t="str">
        <f>_xlfn.XLOOKUP(F1737,Mapping!A:A,Mapping!F:F)</f>
        <v>Thưởng</v>
      </c>
      <c r="D1737" s="173">
        <v>45930</v>
      </c>
      <c r="E1737" s="169" t="s">
        <v>1103</v>
      </c>
      <c r="F1737" s="169" t="s">
        <v>395</v>
      </c>
      <c r="G1737" s="169" t="s">
        <v>77</v>
      </c>
      <c r="H1737" s="169" t="s">
        <v>418</v>
      </c>
      <c r="I1737" s="169" t="s">
        <v>419</v>
      </c>
      <c r="J1737" s="169" t="s">
        <v>1106</v>
      </c>
      <c r="K1737" s="169" t="s">
        <v>1093</v>
      </c>
      <c r="L1737" s="169" t="s">
        <v>1048</v>
      </c>
      <c r="M1737" s="169" t="s">
        <v>281</v>
      </c>
      <c r="N1737" s="178">
        <v>12879888</v>
      </c>
      <c r="O1737" s="169" t="s">
        <v>1105</v>
      </c>
      <c r="P1737" s="169" t="s">
        <v>283</v>
      </c>
      <c r="Q1737" s="169" t="s">
        <v>284</v>
      </c>
      <c r="R1737" s="169" t="s">
        <v>283</v>
      </c>
      <c r="S1737" s="169" t="s">
        <v>283</v>
      </c>
      <c r="T1737" s="169">
        <v>0</v>
      </c>
    </row>
    <row r="1738" spans="1:20" x14ac:dyDescent="0.2">
      <c r="A1738" s="169" t="str">
        <f t="shared" si="5"/>
        <v>627</v>
      </c>
      <c r="B1738" s="167" t="str">
        <f>_xlfn.XLOOKUP(I1738,Mapping!D:D,Mapping!E:E)</f>
        <v>Xưởng Sản Xuất</v>
      </c>
      <c r="C1738" s="167" t="str">
        <f>_xlfn.XLOOKUP(F1738,Mapping!A:A,Mapping!F:F)</f>
        <v>Lương Chính +T13</v>
      </c>
      <c r="D1738" s="173">
        <v>45930</v>
      </c>
      <c r="E1738" s="169" t="s">
        <v>1103</v>
      </c>
      <c r="F1738" s="169" t="s">
        <v>388</v>
      </c>
      <c r="G1738" s="169" t="s">
        <v>286</v>
      </c>
      <c r="H1738" s="169" t="s">
        <v>402</v>
      </c>
      <c r="I1738" s="169" t="s">
        <v>403</v>
      </c>
      <c r="J1738" s="169" t="s">
        <v>1104</v>
      </c>
      <c r="K1738" s="169" t="s">
        <v>1093</v>
      </c>
      <c r="L1738" s="169" t="s">
        <v>1048</v>
      </c>
      <c r="M1738" s="169" t="s">
        <v>281</v>
      </c>
      <c r="N1738" s="178">
        <v>36277837</v>
      </c>
      <c r="O1738" s="169" t="s">
        <v>1105</v>
      </c>
      <c r="P1738" s="169" t="s">
        <v>283</v>
      </c>
      <c r="Q1738" s="169" t="s">
        <v>284</v>
      </c>
      <c r="R1738" s="169" t="s">
        <v>283</v>
      </c>
      <c r="S1738" s="169" t="s">
        <v>283</v>
      </c>
      <c r="T1738" s="169">
        <v>0</v>
      </c>
    </row>
    <row r="1739" spans="1:20" x14ac:dyDescent="0.2">
      <c r="A1739" s="169" t="str">
        <f t="shared" si="5"/>
        <v>622</v>
      </c>
      <c r="B1739" s="167" t="str">
        <f>_xlfn.XLOOKUP(I1739,Mapping!D:D,Mapping!E:E)</f>
        <v>Xưởng Sản Xuất</v>
      </c>
      <c r="C1739" s="167" t="str">
        <f>_xlfn.XLOOKUP(F1739,Mapping!A:A,Mapping!F:F)</f>
        <v>Lương Chính +T13</v>
      </c>
      <c r="D1739" s="173">
        <v>45930</v>
      </c>
      <c r="E1739" s="169" t="s">
        <v>1103</v>
      </c>
      <c r="F1739" s="169" t="s">
        <v>420</v>
      </c>
      <c r="G1739" s="169" t="s">
        <v>286</v>
      </c>
      <c r="H1739" s="169" t="s">
        <v>402</v>
      </c>
      <c r="I1739" s="169" t="s">
        <v>403</v>
      </c>
      <c r="J1739" s="169" t="s">
        <v>1104</v>
      </c>
      <c r="K1739" s="169" t="s">
        <v>1093</v>
      </c>
      <c r="L1739" s="169" t="s">
        <v>1048</v>
      </c>
      <c r="M1739" s="169" t="s">
        <v>281</v>
      </c>
      <c r="N1739" s="178">
        <v>118661574</v>
      </c>
      <c r="O1739" s="169" t="s">
        <v>1105</v>
      </c>
      <c r="P1739" s="169" t="s">
        <v>283</v>
      </c>
      <c r="Q1739" s="169" t="s">
        <v>284</v>
      </c>
      <c r="R1739" s="169" t="s">
        <v>283</v>
      </c>
      <c r="S1739" s="169" t="s">
        <v>283</v>
      </c>
      <c r="T1739" s="169">
        <v>0</v>
      </c>
    </row>
    <row r="1740" spans="1:20" x14ac:dyDescent="0.2">
      <c r="A1740" s="169" t="str">
        <f t="shared" si="5"/>
        <v>627</v>
      </c>
      <c r="B1740" s="167" t="str">
        <f>_xlfn.XLOOKUP(I1740,Mapping!D:D,Mapping!E:E)</f>
        <v>Xưởng Sản Xuất</v>
      </c>
      <c r="C1740" s="167" t="str">
        <f>_xlfn.XLOOKUP(F1740,Mapping!A:A,Mapping!F:F)</f>
        <v>Thưởng</v>
      </c>
      <c r="D1740" s="173">
        <v>45930</v>
      </c>
      <c r="E1740" s="169" t="s">
        <v>1103</v>
      </c>
      <c r="F1740" s="169" t="s">
        <v>395</v>
      </c>
      <c r="G1740" s="169" t="s">
        <v>77</v>
      </c>
      <c r="H1740" s="169" t="s">
        <v>402</v>
      </c>
      <c r="I1740" s="169" t="s">
        <v>403</v>
      </c>
      <c r="J1740" s="169" t="s">
        <v>1106</v>
      </c>
      <c r="K1740" s="169" t="s">
        <v>1093</v>
      </c>
      <c r="L1740" s="169" t="s">
        <v>1048</v>
      </c>
      <c r="M1740" s="169" t="s">
        <v>281</v>
      </c>
      <c r="N1740" s="178">
        <v>32751792</v>
      </c>
      <c r="O1740" s="169" t="s">
        <v>1105</v>
      </c>
      <c r="P1740" s="169" t="s">
        <v>283</v>
      </c>
      <c r="Q1740" s="169" t="s">
        <v>284</v>
      </c>
      <c r="R1740" s="169" t="s">
        <v>283</v>
      </c>
      <c r="S1740" s="169" t="s">
        <v>283</v>
      </c>
      <c r="T1740" s="169">
        <v>0</v>
      </c>
    </row>
    <row r="1741" spans="1:20" x14ac:dyDescent="0.2">
      <c r="A1741" s="169" t="str">
        <f t="shared" si="5"/>
        <v>622</v>
      </c>
      <c r="B1741" s="167" t="str">
        <f>_xlfn.XLOOKUP(I1741,Mapping!D:D,Mapping!E:E)</f>
        <v>Xưởng Sản Xuất</v>
      </c>
      <c r="C1741" s="167" t="str">
        <f>_xlfn.XLOOKUP(F1741,Mapping!A:A,Mapping!F:F)</f>
        <v>Thưởng</v>
      </c>
      <c r="D1741" s="173">
        <v>45930</v>
      </c>
      <c r="E1741" s="169" t="s">
        <v>1103</v>
      </c>
      <c r="F1741" s="169" t="s">
        <v>426</v>
      </c>
      <c r="G1741" s="169" t="s">
        <v>77</v>
      </c>
      <c r="H1741" s="169" t="s">
        <v>402</v>
      </c>
      <c r="I1741" s="169" t="s">
        <v>403</v>
      </c>
      <c r="J1741" s="169" t="s">
        <v>1106</v>
      </c>
      <c r="K1741" s="169" t="s">
        <v>1093</v>
      </c>
      <c r="L1741" s="169" t="s">
        <v>1048</v>
      </c>
      <c r="M1741" s="169" t="s">
        <v>281</v>
      </c>
      <c r="N1741" s="178">
        <v>27027251</v>
      </c>
      <c r="O1741" s="169" t="s">
        <v>1105</v>
      </c>
      <c r="P1741" s="169" t="s">
        <v>283</v>
      </c>
      <c r="Q1741" s="169" t="s">
        <v>284</v>
      </c>
      <c r="R1741" s="169" t="s">
        <v>283</v>
      </c>
      <c r="S1741" s="169" t="s">
        <v>283</v>
      </c>
      <c r="T1741" s="169">
        <v>0</v>
      </c>
    </row>
    <row r="1742" spans="1:20" x14ac:dyDescent="0.2">
      <c r="A1742" s="169" t="str">
        <f t="shared" si="5"/>
        <v>627</v>
      </c>
      <c r="B1742" s="167" t="str">
        <f>_xlfn.XLOOKUP(I1742,Mapping!D:D,Mapping!E:E)</f>
        <v>Xưởng Sản Xuất</v>
      </c>
      <c r="C1742" s="167" t="str">
        <f>_xlfn.XLOOKUP(F1742,Mapping!A:A,Mapping!F:F)</f>
        <v>Lương Chính +T13</v>
      </c>
      <c r="D1742" s="173">
        <v>45930</v>
      </c>
      <c r="E1742" s="169" t="s">
        <v>1103</v>
      </c>
      <c r="F1742" s="169" t="s">
        <v>388</v>
      </c>
      <c r="G1742" s="169" t="s">
        <v>286</v>
      </c>
      <c r="H1742" s="169" t="s">
        <v>430</v>
      </c>
      <c r="I1742" s="169" t="s">
        <v>431</v>
      </c>
      <c r="J1742" s="169" t="s">
        <v>1104</v>
      </c>
      <c r="K1742" s="169" t="s">
        <v>1093</v>
      </c>
      <c r="L1742" s="169" t="s">
        <v>1048</v>
      </c>
      <c r="M1742" s="169" t="s">
        <v>281</v>
      </c>
      <c r="N1742" s="178">
        <v>11805449</v>
      </c>
      <c r="O1742" s="169" t="s">
        <v>1105</v>
      </c>
      <c r="P1742" s="169" t="s">
        <v>283</v>
      </c>
      <c r="Q1742" s="169" t="s">
        <v>284</v>
      </c>
      <c r="R1742" s="169" t="s">
        <v>283</v>
      </c>
      <c r="S1742" s="169" t="s">
        <v>283</v>
      </c>
      <c r="T1742" s="169">
        <v>0</v>
      </c>
    </row>
    <row r="1743" spans="1:20" x14ac:dyDescent="0.2">
      <c r="A1743" s="169" t="str">
        <f t="shared" si="5"/>
        <v>622</v>
      </c>
      <c r="B1743" s="167" t="str">
        <f>_xlfn.XLOOKUP(I1743,Mapping!D:D,Mapping!E:E)</f>
        <v>Xưởng Sản Xuất</v>
      </c>
      <c r="C1743" s="167" t="str">
        <f>_xlfn.XLOOKUP(F1743,Mapping!A:A,Mapping!F:F)</f>
        <v>Lương Chính +T13</v>
      </c>
      <c r="D1743" s="173">
        <v>45930</v>
      </c>
      <c r="E1743" s="169" t="s">
        <v>1103</v>
      </c>
      <c r="F1743" s="169" t="s">
        <v>420</v>
      </c>
      <c r="G1743" s="169" t="s">
        <v>286</v>
      </c>
      <c r="H1743" s="169" t="s">
        <v>430</v>
      </c>
      <c r="I1743" s="169" t="s">
        <v>431</v>
      </c>
      <c r="J1743" s="169" t="s">
        <v>1104</v>
      </c>
      <c r="K1743" s="169" t="s">
        <v>1093</v>
      </c>
      <c r="L1743" s="169" t="s">
        <v>1048</v>
      </c>
      <c r="M1743" s="169" t="s">
        <v>281</v>
      </c>
      <c r="N1743" s="178">
        <v>20638116</v>
      </c>
      <c r="O1743" s="169" t="s">
        <v>1105</v>
      </c>
      <c r="P1743" s="169" t="s">
        <v>283</v>
      </c>
      <c r="Q1743" s="169" t="s">
        <v>284</v>
      </c>
      <c r="R1743" s="169" t="s">
        <v>283</v>
      </c>
      <c r="S1743" s="169" t="s">
        <v>283</v>
      </c>
      <c r="T1743" s="169">
        <v>0</v>
      </c>
    </row>
    <row r="1744" spans="1:20" x14ac:dyDescent="0.2">
      <c r="A1744" s="169" t="str">
        <f t="shared" si="5"/>
        <v>627</v>
      </c>
      <c r="B1744" s="167" t="str">
        <f>_xlfn.XLOOKUP(I1744,Mapping!D:D,Mapping!E:E)</f>
        <v>Xưởng Sản Xuất</v>
      </c>
      <c r="C1744" s="167" t="str">
        <f>_xlfn.XLOOKUP(F1744,Mapping!A:A,Mapping!F:F)</f>
        <v>Thưởng</v>
      </c>
      <c r="D1744" s="173">
        <v>45930</v>
      </c>
      <c r="E1744" s="169" t="s">
        <v>1103</v>
      </c>
      <c r="F1744" s="169" t="s">
        <v>395</v>
      </c>
      <c r="G1744" s="169" t="s">
        <v>77</v>
      </c>
      <c r="H1744" s="169" t="s">
        <v>430</v>
      </c>
      <c r="I1744" s="169" t="s">
        <v>431</v>
      </c>
      <c r="J1744" s="169" t="s">
        <v>1106</v>
      </c>
      <c r="K1744" s="169" t="s">
        <v>1093</v>
      </c>
      <c r="L1744" s="169" t="s">
        <v>1048</v>
      </c>
      <c r="M1744" s="169" t="s">
        <v>281</v>
      </c>
      <c r="N1744" s="178">
        <v>10433629</v>
      </c>
      <c r="O1744" s="169" t="s">
        <v>1105</v>
      </c>
      <c r="P1744" s="169" t="s">
        <v>283</v>
      </c>
      <c r="Q1744" s="169" t="s">
        <v>284</v>
      </c>
      <c r="R1744" s="169" t="s">
        <v>283</v>
      </c>
      <c r="S1744" s="169" t="s">
        <v>283</v>
      </c>
      <c r="T1744" s="169">
        <v>0</v>
      </c>
    </row>
    <row r="1745" spans="1:20" x14ac:dyDescent="0.2">
      <c r="A1745" s="169" t="str">
        <f t="shared" si="5"/>
        <v>622</v>
      </c>
      <c r="B1745" s="167" t="str">
        <f>_xlfn.XLOOKUP(I1745,Mapping!D:D,Mapping!E:E)</f>
        <v>Xưởng Sản Xuất</v>
      </c>
      <c r="C1745" s="167" t="str">
        <f>_xlfn.XLOOKUP(F1745,Mapping!A:A,Mapping!F:F)</f>
        <v>Thưởng</v>
      </c>
      <c r="D1745" s="173">
        <v>45930</v>
      </c>
      <c r="E1745" s="169" t="s">
        <v>1103</v>
      </c>
      <c r="F1745" s="169" t="s">
        <v>426</v>
      </c>
      <c r="G1745" s="169" t="s">
        <v>77</v>
      </c>
      <c r="H1745" s="169" t="s">
        <v>430</v>
      </c>
      <c r="I1745" s="169" t="s">
        <v>431</v>
      </c>
      <c r="J1745" s="169" t="s">
        <v>1106</v>
      </c>
      <c r="K1745" s="169" t="s">
        <v>1093</v>
      </c>
      <c r="L1745" s="169" t="s">
        <v>1048</v>
      </c>
      <c r="M1745" s="169" t="s">
        <v>281</v>
      </c>
      <c r="N1745" s="178">
        <v>5184001</v>
      </c>
      <c r="O1745" s="169" t="s">
        <v>1105</v>
      </c>
      <c r="P1745" s="169" t="s">
        <v>283</v>
      </c>
      <c r="Q1745" s="169" t="s">
        <v>284</v>
      </c>
      <c r="R1745" s="169" t="s">
        <v>283</v>
      </c>
      <c r="S1745" s="169" t="s">
        <v>283</v>
      </c>
      <c r="T1745" s="169">
        <v>0</v>
      </c>
    </row>
    <row r="1746" spans="1:20" x14ac:dyDescent="0.2">
      <c r="A1746" s="169" t="str">
        <f t="shared" si="5"/>
        <v>627</v>
      </c>
      <c r="B1746" s="167" t="str">
        <f>_xlfn.XLOOKUP(I1746,Mapping!D:D,Mapping!E:E)</f>
        <v>Xưởng Sản Xuất</v>
      </c>
      <c r="C1746" s="167" t="str">
        <f>_xlfn.XLOOKUP(F1746,Mapping!A:A,Mapping!F:F)</f>
        <v>Lương Chính +T13</v>
      </c>
      <c r="D1746" s="173">
        <v>45930</v>
      </c>
      <c r="E1746" s="169" t="s">
        <v>1103</v>
      </c>
      <c r="F1746" s="169" t="s">
        <v>388</v>
      </c>
      <c r="G1746" s="169" t="s">
        <v>286</v>
      </c>
      <c r="H1746" s="169" t="s">
        <v>436</v>
      </c>
      <c r="I1746" s="169" t="s">
        <v>437</v>
      </c>
      <c r="J1746" s="169" t="s">
        <v>1104</v>
      </c>
      <c r="K1746" s="169" t="s">
        <v>1093</v>
      </c>
      <c r="L1746" s="169" t="s">
        <v>1048</v>
      </c>
      <c r="M1746" s="169" t="s">
        <v>281</v>
      </c>
      <c r="N1746" s="178">
        <v>28019073</v>
      </c>
      <c r="O1746" s="169" t="s">
        <v>1105</v>
      </c>
      <c r="P1746" s="169" t="s">
        <v>283</v>
      </c>
      <c r="Q1746" s="169" t="s">
        <v>284</v>
      </c>
      <c r="R1746" s="169" t="s">
        <v>283</v>
      </c>
      <c r="S1746" s="169" t="s">
        <v>283</v>
      </c>
      <c r="T1746" s="169">
        <v>0</v>
      </c>
    </row>
    <row r="1747" spans="1:20" x14ac:dyDescent="0.2">
      <c r="A1747" s="169" t="str">
        <f t="shared" si="5"/>
        <v>627</v>
      </c>
      <c r="B1747" s="167" t="str">
        <f>_xlfn.XLOOKUP(I1747,Mapping!D:D,Mapping!E:E)</f>
        <v>Xưởng Sản Xuất</v>
      </c>
      <c r="C1747" s="167" t="str">
        <f>_xlfn.XLOOKUP(F1747,Mapping!A:A,Mapping!F:F)</f>
        <v>Thưởng</v>
      </c>
      <c r="D1747" s="173">
        <v>45930</v>
      </c>
      <c r="E1747" s="169" t="s">
        <v>1103</v>
      </c>
      <c r="F1747" s="169" t="s">
        <v>395</v>
      </c>
      <c r="G1747" s="169" t="s">
        <v>77</v>
      </c>
      <c r="H1747" s="169" t="s">
        <v>436</v>
      </c>
      <c r="I1747" s="169" t="s">
        <v>437</v>
      </c>
      <c r="J1747" s="169" t="s">
        <v>1106</v>
      </c>
      <c r="K1747" s="169" t="s">
        <v>1093</v>
      </c>
      <c r="L1747" s="169" t="s">
        <v>1048</v>
      </c>
      <c r="M1747" s="169" t="s">
        <v>281</v>
      </c>
      <c r="N1747" s="178">
        <v>17898507</v>
      </c>
      <c r="O1747" s="169" t="s">
        <v>1105</v>
      </c>
      <c r="P1747" s="169" t="s">
        <v>283</v>
      </c>
      <c r="Q1747" s="169" t="s">
        <v>284</v>
      </c>
      <c r="R1747" s="169" t="s">
        <v>283</v>
      </c>
      <c r="S1747" s="169" t="s">
        <v>283</v>
      </c>
      <c r="T1747" s="169">
        <v>0</v>
      </c>
    </row>
    <row r="1748" spans="1:20" x14ac:dyDescent="0.2">
      <c r="A1748" s="169" t="str">
        <f t="shared" si="5"/>
        <v>642</v>
      </c>
      <c r="B1748" s="167" t="str">
        <f>_xlfn.XLOOKUP(I1748,Mapping!D:D,Mapping!E:E)</f>
        <v>Hành Chánh Nhân Sự</v>
      </c>
      <c r="C1748" s="167" t="str">
        <f>_xlfn.XLOOKUP(F1748,Mapping!A:A,Mapping!F:F)</f>
        <v>Lương Chính +T13</v>
      </c>
      <c r="D1748" s="173">
        <v>45930</v>
      </c>
      <c r="E1748" s="169" t="s">
        <v>1103</v>
      </c>
      <c r="F1748" s="169" t="s">
        <v>285</v>
      </c>
      <c r="G1748" s="169" t="s">
        <v>286</v>
      </c>
      <c r="H1748" s="169" t="s">
        <v>382</v>
      </c>
      <c r="I1748" s="169" t="s">
        <v>200</v>
      </c>
      <c r="J1748" s="169" t="s">
        <v>1104</v>
      </c>
      <c r="K1748" s="169" t="s">
        <v>1093</v>
      </c>
      <c r="L1748" s="169" t="s">
        <v>1048</v>
      </c>
      <c r="M1748" s="169" t="s">
        <v>281</v>
      </c>
      <c r="N1748" s="178">
        <v>6194250</v>
      </c>
      <c r="O1748" s="169" t="s">
        <v>1105</v>
      </c>
      <c r="P1748" s="169" t="s">
        <v>283</v>
      </c>
      <c r="Q1748" s="169" t="s">
        <v>284</v>
      </c>
      <c r="R1748" s="169" t="s">
        <v>283</v>
      </c>
      <c r="S1748" s="169" t="s">
        <v>283</v>
      </c>
      <c r="T1748" s="169">
        <v>0</v>
      </c>
    </row>
    <row r="1749" spans="1:20" x14ac:dyDescent="0.2">
      <c r="A1749" s="169" t="str">
        <f t="shared" si="5"/>
        <v>642</v>
      </c>
      <c r="B1749" s="167" t="str">
        <f>_xlfn.XLOOKUP(I1749,Mapping!D:D,Mapping!E:E)</f>
        <v>Hành Chánh Nhân Sự</v>
      </c>
      <c r="C1749" s="167" t="str">
        <f>_xlfn.XLOOKUP(F1749,Mapping!A:A,Mapping!F:F)</f>
        <v>Thưởng</v>
      </c>
      <c r="D1749" s="173">
        <v>45930</v>
      </c>
      <c r="E1749" s="169" t="s">
        <v>1103</v>
      </c>
      <c r="F1749" s="169" t="s">
        <v>292</v>
      </c>
      <c r="G1749" s="169" t="s">
        <v>77</v>
      </c>
      <c r="H1749" s="169" t="s">
        <v>382</v>
      </c>
      <c r="I1749" s="169" t="s">
        <v>200</v>
      </c>
      <c r="J1749" s="169" t="s">
        <v>1106</v>
      </c>
      <c r="K1749" s="169" t="s">
        <v>1093</v>
      </c>
      <c r="L1749" s="169" t="s">
        <v>1048</v>
      </c>
      <c r="M1749" s="169" t="s">
        <v>281</v>
      </c>
      <c r="N1749" s="178">
        <v>5698660</v>
      </c>
      <c r="O1749" s="169" t="s">
        <v>1105</v>
      </c>
      <c r="P1749" s="169" t="s">
        <v>283</v>
      </c>
      <c r="Q1749" s="169" t="s">
        <v>284</v>
      </c>
      <c r="R1749" s="169" t="s">
        <v>283</v>
      </c>
      <c r="S1749" s="169" t="s">
        <v>283</v>
      </c>
      <c r="T1749" s="169">
        <v>0</v>
      </c>
    </row>
    <row r="1750" spans="1:20" x14ac:dyDescent="0.2">
      <c r="A1750" s="169" t="str">
        <f t="shared" si="5"/>
        <v>642</v>
      </c>
      <c r="B1750" s="167" t="str">
        <f>_xlfn.XLOOKUP(I1750,Mapping!D:D,Mapping!E:E)</f>
        <v>Hành Chánh Nhân Sự</v>
      </c>
      <c r="C1750" s="167" t="str">
        <f>_xlfn.XLOOKUP(F1750,Mapping!A:A,Mapping!F:F)</f>
        <v>Lương Chính +T13</v>
      </c>
      <c r="D1750" s="173">
        <v>45930</v>
      </c>
      <c r="E1750" s="169" t="s">
        <v>1103</v>
      </c>
      <c r="F1750" s="169" t="s">
        <v>285</v>
      </c>
      <c r="G1750" s="169" t="s">
        <v>286</v>
      </c>
      <c r="H1750" s="169" t="s">
        <v>358</v>
      </c>
      <c r="I1750" s="169" t="s">
        <v>359</v>
      </c>
      <c r="J1750" s="169" t="s">
        <v>1104</v>
      </c>
      <c r="K1750" s="169" t="s">
        <v>1093</v>
      </c>
      <c r="L1750" s="169" t="s">
        <v>1048</v>
      </c>
      <c r="M1750" s="169" t="s">
        <v>281</v>
      </c>
      <c r="N1750" s="178">
        <v>8468167</v>
      </c>
      <c r="O1750" s="169" t="s">
        <v>1105</v>
      </c>
      <c r="P1750" s="169" t="s">
        <v>283</v>
      </c>
      <c r="Q1750" s="169" t="s">
        <v>284</v>
      </c>
      <c r="R1750" s="169" t="s">
        <v>283</v>
      </c>
      <c r="S1750" s="169" t="s">
        <v>283</v>
      </c>
      <c r="T1750" s="169">
        <v>0</v>
      </c>
    </row>
    <row r="1751" spans="1:20" x14ac:dyDescent="0.2">
      <c r="A1751" s="169" t="str">
        <f t="shared" si="5"/>
        <v>642</v>
      </c>
      <c r="B1751" s="167" t="str">
        <f>_xlfn.XLOOKUP(I1751,Mapping!D:D,Mapping!E:E)</f>
        <v>Hành Chánh Nhân Sự</v>
      </c>
      <c r="C1751" s="167" t="str">
        <f>_xlfn.XLOOKUP(F1751,Mapping!A:A,Mapping!F:F)</f>
        <v>Thưởng</v>
      </c>
      <c r="D1751" s="173">
        <v>45930</v>
      </c>
      <c r="E1751" s="169" t="s">
        <v>1103</v>
      </c>
      <c r="F1751" s="169" t="s">
        <v>292</v>
      </c>
      <c r="G1751" s="169" t="s">
        <v>77</v>
      </c>
      <c r="H1751" s="169" t="s">
        <v>358</v>
      </c>
      <c r="I1751" s="169" t="s">
        <v>359</v>
      </c>
      <c r="J1751" s="169" t="s">
        <v>1106</v>
      </c>
      <c r="K1751" s="169" t="s">
        <v>1093</v>
      </c>
      <c r="L1751" s="169" t="s">
        <v>1048</v>
      </c>
      <c r="M1751" s="169" t="s">
        <v>281</v>
      </c>
      <c r="N1751" s="178">
        <v>7790646</v>
      </c>
      <c r="O1751" s="169" t="s">
        <v>1105</v>
      </c>
      <c r="P1751" s="169" t="s">
        <v>283</v>
      </c>
      <c r="Q1751" s="169" t="s">
        <v>284</v>
      </c>
      <c r="R1751" s="169" t="s">
        <v>283</v>
      </c>
      <c r="S1751" s="169" t="s">
        <v>283</v>
      </c>
      <c r="T1751" s="169">
        <v>0</v>
      </c>
    </row>
    <row r="1752" spans="1:20" x14ac:dyDescent="0.2">
      <c r="A1752" s="169" t="str">
        <f t="shared" si="5"/>
        <v>622</v>
      </c>
      <c r="B1752" s="167" t="str">
        <f>_xlfn.XLOOKUP(I1752,Mapping!D:D,Mapping!E:E)</f>
        <v>Xưởng Sản Xuất</v>
      </c>
      <c r="C1752" s="167" t="str">
        <f>_xlfn.XLOOKUP(F1752,Mapping!A:A,Mapping!F:F)</f>
        <v>Lương Chính +T13</v>
      </c>
      <c r="D1752" s="173">
        <v>45930</v>
      </c>
      <c r="E1752" s="169" t="s">
        <v>1103</v>
      </c>
      <c r="F1752" s="169" t="s">
        <v>420</v>
      </c>
      <c r="G1752" s="169" t="s">
        <v>286</v>
      </c>
      <c r="H1752" s="169" t="s">
        <v>441</v>
      </c>
      <c r="I1752" s="169" t="s">
        <v>442</v>
      </c>
      <c r="J1752" s="169" t="s">
        <v>1104</v>
      </c>
      <c r="K1752" s="169" t="s">
        <v>1093</v>
      </c>
      <c r="L1752" s="169" t="s">
        <v>1048</v>
      </c>
      <c r="M1752" s="169" t="s">
        <v>281</v>
      </c>
      <c r="N1752" s="178">
        <v>531385</v>
      </c>
      <c r="O1752" s="169" t="s">
        <v>1105</v>
      </c>
      <c r="P1752" s="169" t="s">
        <v>283</v>
      </c>
      <c r="Q1752" s="169" t="s">
        <v>284</v>
      </c>
      <c r="R1752" s="169" t="s">
        <v>283</v>
      </c>
      <c r="S1752" s="169" t="s">
        <v>283</v>
      </c>
      <c r="T1752" s="169">
        <v>0</v>
      </c>
    </row>
    <row r="1753" spans="1:20" x14ac:dyDescent="0.2">
      <c r="A1753" s="169" t="str">
        <f t="shared" si="5"/>
        <v>622</v>
      </c>
      <c r="B1753" s="167" t="str">
        <f>_xlfn.XLOOKUP(I1753,Mapping!D:D,Mapping!E:E)</f>
        <v>Xưởng Sản Xuất</v>
      </c>
      <c r="C1753" s="167" t="str">
        <f>_xlfn.XLOOKUP(F1753,Mapping!A:A,Mapping!F:F)</f>
        <v>Thưởng</v>
      </c>
      <c r="D1753" s="173">
        <v>45930</v>
      </c>
      <c r="E1753" s="169" t="s">
        <v>1103</v>
      </c>
      <c r="F1753" s="169" t="s">
        <v>426</v>
      </c>
      <c r="G1753" s="169" t="s">
        <v>77</v>
      </c>
      <c r="H1753" s="169" t="s">
        <v>441</v>
      </c>
      <c r="I1753" s="169" t="s">
        <v>442</v>
      </c>
      <c r="J1753" s="169" t="s">
        <v>1106</v>
      </c>
      <c r="K1753" s="169" t="s">
        <v>1093</v>
      </c>
      <c r="L1753" s="169" t="s">
        <v>1048</v>
      </c>
      <c r="M1753" s="169" t="s">
        <v>281</v>
      </c>
      <c r="N1753" s="178">
        <v>78876</v>
      </c>
      <c r="O1753" s="169" t="s">
        <v>1105</v>
      </c>
      <c r="P1753" s="169" t="s">
        <v>283</v>
      </c>
      <c r="Q1753" s="169" t="s">
        <v>284</v>
      </c>
      <c r="R1753" s="169" t="s">
        <v>283</v>
      </c>
      <c r="S1753" s="169" t="s">
        <v>283</v>
      </c>
      <c r="T1753" s="169">
        <v>0</v>
      </c>
    </row>
    <row r="1754" spans="1:20" x14ac:dyDescent="0.2">
      <c r="A1754" s="169" t="str">
        <f t="shared" si="5"/>
        <v>642</v>
      </c>
      <c r="B1754" s="167" t="str">
        <f>_xlfn.XLOOKUP(I1754,Mapping!D:D,Mapping!E:E)</f>
        <v>Ban Giám Đốc</v>
      </c>
      <c r="C1754" s="167" t="str">
        <f>_xlfn.XLOOKUP(F1754,Mapping!A:A,Mapping!F:F)</f>
        <v>BHXH, BHYT, KPCĐ</v>
      </c>
      <c r="D1754" s="173">
        <v>45930</v>
      </c>
      <c r="E1754" s="169" t="s">
        <v>1107</v>
      </c>
      <c r="F1754" s="169" t="s">
        <v>295</v>
      </c>
      <c r="G1754" s="169" t="s">
        <v>296</v>
      </c>
      <c r="H1754" s="169" t="s">
        <v>276</v>
      </c>
      <c r="I1754" s="169" t="s">
        <v>277</v>
      </c>
      <c r="J1754" s="169" t="s">
        <v>1108</v>
      </c>
      <c r="K1754" s="169" t="s">
        <v>1093</v>
      </c>
      <c r="L1754" s="169" t="s">
        <v>1048</v>
      </c>
      <c r="M1754" s="169" t="s">
        <v>281</v>
      </c>
      <c r="N1754" s="178">
        <v>124851950</v>
      </c>
      <c r="O1754" s="169" t="s">
        <v>1109</v>
      </c>
      <c r="P1754" s="169" t="s">
        <v>283</v>
      </c>
      <c r="Q1754" s="169" t="s">
        <v>284</v>
      </c>
      <c r="R1754" s="169" t="s">
        <v>283</v>
      </c>
      <c r="S1754" s="169" t="s">
        <v>283</v>
      </c>
      <c r="T1754" s="169">
        <v>0</v>
      </c>
    </row>
    <row r="1755" spans="1:20" x14ac:dyDescent="0.2">
      <c r="A1755" s="169" t="str">
        <f t="shared" si="5"/>
        <v>642</v>
      </c>
      <c r="B1755" s="167" t="str">
        <f>_xlfn.XLOOKUP(I1755,Mapping!D:D,Mapping!E:E)</f>
        <v>Văn Phòng Giám Đốc</v>
      </c>
      <c r="C1755" s="167" t="str">
        <f>_xlfn.XLOOKUP(F1755,Mapping!A:A,Mapping!F:F)</f>
        <v>BHXH, BHYT, KPCĐ</v>
      </c>
      <c r="D1755" s="173">
        <v>45930</v>
      </c>
      <c r="E1755" s="169" t="s">
        <v>1107</v>
      </c>
      <c r="F1755" s="169" t="s">
        <v>295</v>
      </c>
      <c r="G1755" s="169" t="s">
        <v>296</v>
      </c>
      <c r="H1755" s="169" t="s">
        <v>320</v>
      </c>
      <c r="I1755" s="169" t="s">
        <v>321</v>
      </c>
      <c r="J1755" s="169" t="s">
        <v>1108</v>
      </c>
      <c r="K1755" s="169" t="s">
        <v>1093</v>
      </c>
      <c r="L1755" s="169" t="s">
        <v>1048</v>
      </c>
      <c r="M1755" s="169" t="s">
        <v>281</v>
      </c>
      <c r="N1755" s="178">
        <v>25643750</v>
      </c>
      <c r="O1755" s="169" t="s">
        <v>1109</v>
      </c>
      <c r="P1755" s="169" t="s">
        <v>283</v>
      </c>
      <c r="Q1755" s="169" t="s">
        <v>284</v>
      </c>
      <c r="R1755" s="169" t="s">
        <v>283</v>
      </c>
      <c r="S1755" s="169" t="s">
        <v>283</v>
      </c>
      <c r="T1755" s="169">
        <v>0</v>
      </c>
    </row>
    <row r="1756" spans="1:20" x14ac:dyDescent="0.2">
      <c r="A1756" s="169" t="str">
        <f t="shared" si="5"/>
        <v>642</v>
      </c>
      <c r="B1756" s="167" t="str">
        <f>_xlfn.XLOOKUP(I1756,Mapping!D:D,Mapping!E:E)</f>
        <v>Hành Chánh Nhân Sự</v>
      </c>
      <c r="C1756" s="167" t="str">
        <f>_xlfn.XLOOKUP(F1756,Mapping!A:A,Mapping!F:F)</f>
        <v>BHXH, BHYT, KPCĐ</v>
      </c>
      <c r="D1756" s="173">
        <v>45930</v>
      </c>
      <c r="E1756" s="169" t="s">
        <v>1107</v>
      </c>
      <c r="F1756" s="169" t="s">
        <v>295</v>
      </c>
      <c r="G1756" s="169" t="s">
        <v>296</v>
      </c>
      <c r="H1756" s="169" t="s">
        <v>301</v>
      </c>
      <c r="I1756" s="169" t="s">
        <v>302</v>
      </c>
      <c r="J1756" s="169" t="s">
        <v>1108</v>
      </c>
      <c r="K1756" s="169" t="s">
        <v>1093</v>
      </c>
      <c r="L1756" s="169" t="s">
        <v>1048</v>
      </c>
      <c r="M1756" s="169" t="s">
        <v>281</v>
      </c>
      <c r="N1756" s="178">
        <v>106296035</v>
      </c>
      <c r="O1756" s="169" t="s">
        <v>1109</v>
      </c>
      <c r="P1756" s="169" t="s">
        <v>283</v>
      </c>
      <c r="Q1756" s="169" t="s">
        <v>284</v>
      </c>
      <c r="R1756" s="169" t="s">
        <v>283</v>
      </c>
      <c r="S1756" s="169" t="s">
        <v>283</v>
      </c>
      <c r="T1756" s="169">
        <v>0</v>
      </c>
    </row>
    <row r="1757" spans="1:20" x14ac:dyDescent="0.2">
      <c r="A1757" s="169" t="str">
        <f t="shared" si="5"/>
        <v>642</v>
      </c>
      <c r="B1757" s="167" t="str">
        <f>_xlfn.XLOOKUP(I1757,Mapping!D:D,Mapping!E:E)</f>
        <v>Kế Toán</v>
      </c>
      <c r="C1757" s="167" t="str">
        <f>_xlfn.XLOOKUP(F1757,Mapping!A:A,Mapping!F:F)</f>
        <v>BHXH, BHYT, KPCĐ</v>
      </c>
      <c r="D1757" s="173">
        <v>45930</v>
      </c>
      <c r="E1757" s="169" t="s">
        <v>1107</v>
      </c>
      <c r="F1757" s="169" t="s">
        <v>295</v>
      </c>
      <c r="G1757" s="169" t="s">
        <v>296</v>
      </c>
      <c r="H1757" s="169" t="s">
        <v>356</v>
      </c>
      <c r="I1757" s="169" t="s">
        <v>357</v>
      </c>
      <c r="J1757" s="169" t="s">
        <v>1108</v>
      </c>
      <c r="K1757" s="169" t="s">
        <v>1093</v>
      </c>
      <c r="L1757" s="169" t="s">
        <v>1048</v>
      </c>
      <c r="M1757" s="169" t="s">
        <v>281</v>
      </c>
      <c r="N1757" s="178">
        <v>108135035</v>
      </c>
      <c r="O1757" s="169" t="s">
        <v>1109</v>
      </c>
      <c r="P1757" s="169" t="s">
        <v>283</v>
      </c>
      <c r="Q1757" s="169" t="s">
        <v>284</v>
      </c>
      <c r="R1757" s="169" t="s">
        <v>283</v>
      </c>
      <c r="S1757" s="169" t="s">
        <v>283</v>
      </c>
      <c r="T1757" s="169">
        <v>0</v>
      </c>
    </row>
    <row r="1758" spans="1:20" x14ac:dyDescent="0.2">
      <c r="A1758" s="169" t="str">
        <f t="shared" si="5"/>
        <v>641</v>
      </c>
      <c r="B1758" s="167" t="str">
        <f>_xlfn.XLOOKUP(I1758,Mapping!D:D,Mapping!E:E)</f>
        <v>Kinh doanh</v>
      </c>
      <c r="C1758" s="167" t="str">
        <f>_xlfn.XLOOKUP(F1758,Mapping!A:A,Mapping!F:F)</f>
        <v>BHXH, BHYT, KPCĐ</v>
      </c>
      <c r="D1758" s="173">
        <v>45930</v>
      </c>
      <c r="E1758" s="169" t="s">
        <v>1107</v>
      </c>
      <c r="F1758" s="169" t="s">
        <v>392</v>
      </c>
      <c r="G1758" s="169" t="s">
        <v>296</v>
      </c>
      <c r="H1758" s="169" t="s">
        <v>366</v>
      </c>
      <c r="I1758" s="169" t="s">
        <v>1</v>
      </c>
      <c r="J1758" s="169" t="s">
        <v>1108</v>
      </c>
      <c r="K1758" s="169" t="s">
        <v>1093</v>
      </c>
      <c r="L1758" s="169" t="s">
        <v>1048</v>
      </c>
      <c r="M1758" s="169" t="s">
        <v>281</v>
      </c>
      <c r="N1758" s="178">
        <v>59197445</v>
      </c>
      <c r="O1758" s="169" t="s">
        <v>1109</v>
      </c>
      <c r="P1758" s="169" t="s">
        <v>283</v>
      </c>
      <c r="Q1758" s="169" t="s">
        <v>284</v>
      </c>
      <c r="R1758" s="169" t="s">
        <v>283</v>
      </c>
      <c r="S1758" s="169" t="s">
        <v>283</v>
      </c>
      <c r="T1758" s="169">
        <v>0</v>
      </c>
    </row>
    <row r="1759" spans="1:20" x14ac:dyDescent="0.2">
      <c r="A1759" s="169" t="str">
        <f t="shared" si="5"/>
        <v>642</v>
      </c>
      <c r="B1759" s="167" t="str">
        <f>_xlfn.XLOOKUP(I1759,Mapping!D:D,Mapping!E:E)</f>
        <v>Cung Ứng</v>
      </c>
      <c r="C1759" s="167" t="str">
        <f>_xlfn.XLOOKUP(F1759,Mapping!A:A,Mapping!F:F)</f>
        <v>BHXH, BHYT, KPCĐ</v>
      </c>
      <c r="D1759" s="173">
        <v>45930</v>
      </c>
      <c r="E1759" s="169" t="s">
        <v>1107</v>
      </c>
      <c r="F1759" s="169" t="s">
        <v>295</v>
      </c>
      <c r="G1759" s="169" t="s">
        <v>296</v>
      </c>
      <c r="H1759" s="169" t="s">
        <v>380</v>
      </c>
      <c r="I1759" s="169" t="s">
        <v>381</v>
      </c>
      <c r="J1759" s="169" t="s">
        <v>1108</v>
      </c>
      <c r="K1759" s="169" t="s">
        <v>1093</v>
      </c>
      <c r="L1759" s="169" t="s">
        <v>1048</v>
      </c>
      <c r="M1759" s="169" t="s">
        <v>281</v>
      </c>
      <c r="N1759" s="178">
        <v>111458385</v>
      </c>
      <c r="O1759" s="169" t="s">
        <v>1109</v>
      </c>
      <c r="P1759" s="169" t="s">
        <v>283</v>
      </c>
      <c r="Q1759" s="169" t="s">
        <v>284</v>
      </c>
      <c r="R1759" s="169" t="s">
        <v>283</v>
      </c>
      <c r="S1759" s="169" t="s">
        <v>283</v>
      </c>
      <c r="T1759" s="169">
        <v>0</v>
      </c>
    </row>
    <row r="1760" spans="1:20" x14ac:dyDescent="0.2">
      <c r="A1760" s="169" t="str">
        <f t="shared" si="5"/>
        <v>642</v>
      </c>
      <c r="B1760" s="167" t="str">
        <f>_xlfn.XLOOKUP(I1760,Mapping!D:D,Mapping!E:E)</f>
        <v>Mua Hàng &amp; XNK</v>
      </c>
      <c r="C1760" s="167" t="str">
        <f>_xlfn.XLOOKUP(F1760,Mapping!A:A,Mapping!F:F)</f>
        <v>BHXH, BHYT, KPCĐ</v>
      </c>
      <c r="D1760" s="173">
        <v>45930</v>
      </c>
      <c r="E1760" s="169" t="s">
        <v>1107</v>
      </c>
      <c r="F1760" s="169" t="s">
        <v>295</v>
      </c>
      <c r="G1760" s="169" t="s">
        <v>296</v>
      </c>
      <c r="H1760" s="169" t="s">
        <v>378</v>
      </c>
      <c r="I1760" s="169" t="s">
        <v>379</v>
      </c>
      <c r="J1760" s="169" t="s">
        <v>1108</v>
      </c>
      <c r="K1760" s="169" t="s">
        <v>1093</v>
      </c>
      <c r="L1760" s="169" t="s">
        <v>1048</v>
      </c>
      <c r="M1760" s="169" t="s">
        <v>281</v>
      </c>
      <c r="N1760" s="178">
        <v>30675255</v>
      </c>
      <c r="O1760" s="169" t="s">
        <v>1109</v>
      </c>
      <c r="P1760" s="169" t="s">
        <v>283</v>
      </c>
      <c r="Q1760" s="169" t="s">
        <v>284</v>
      </c>
      <c r="R1760" s="169" t="s">
        <v>283</v>
      </c>
      <c r="S1760" s="169" t="s">
        <v>283</v>
      </c>
      <c r="T1760" s="169">
        <v>0</v>
      </c>
    </row>
    <row r="1761" spans="1:20" x14ac:dyDescent="0.2">
      <c r="A1761" s="169" t="str">
        <f t="shared" si="5"/>
        <v>627</v>
      </c>
      <c r="B1761" s="167" t="str">
        <f>_xlfn.XLOOKUP(I1761,Mapping!D:D,Mapping!E:E)</f>
        <v>Kỹ Thuật</v>
      </c>
      <c r="C1761" s="167" t="str">
        <f>_xlfn.XLOOKUP(F1761,Mapping!A:A,Mapping!F:F)</f>
        <v>BHXH, BHYT, KPCĐ</v>
      </c>
      <c r="D1761" s="173">
        <v>45930</v>
      </c>
      <c r="E1761" s="169" t="s">
        <v>1107</v>
      </c>
      <c r="F1761" s="169" t="s">
        <v>393</v>
      </c>
      <c r="G1761" s="169" t="s">
        <v>296</v>
      </c>
      <c r="H1761" s="169" t="s">
        <v>376</v>
      </c>
      <c r="I1761" s="169" t="s">
        <v>377</v>
      </c>
      <c r="J1761" s="169" t="s">
        <v>1108</v>
      </c>
      <c r="K1761" s="169" t="s">
        <v>1093</v>
      </c>
      <c r="L1761" s="169" t="s">
        <v>1048</v>
      </c>
      <c r="M1761" s="169" t="s">
        <v>281</v>
      </c>
      <c r="N1761" s="178">
        <v>240342725</v>
      </c>
      <c r="O1761" s="169" t="s">
        <v>1109</v>
      </c>
      <c r="P1761" s="169" t="s">
        <v>283</v>
      </c>
      <c r="Q1761" s="169" t="s">
        <v>284</v>
      </c>
      <c r="R1761" s="169" t="s">
        <v>283</v>
      </c>
      <c r="S1761" s="169" t="s">
        <v>283</v>
      </c>
      <c r="T1761" s="169">
        <v>0</v>
      </c>
    </row>
    <row r="1762" spans="1:20" x14ac:dyDescent="0.2">
      <c r="A1762" s="169" t="str">
        <f t="shared" si="5"/>
        <v>627</v>
      </c>
      <c r="B1762" s="167" t="str">
        <f>_xlfn.XLOOKUP(I1762,Mapping!D:D,Mapping!E:E)</f>
        <v>Kiểm Soát Chất Lượng</v>
      </c>
      <c r="C1762" s="167" t="str">
        <f>_xlfn.XLOOKUP(F1762,Mapping!A:A,Mapping!F:F)</f>
        <v>BHXH, BHYT, KPCĐ</v>
      </c>
      <c r="D1762" s="173">
        <v>45930</v>
      </c>
      <c r="E1762" s="169" t="s">
        <v>1107</v>
      </c>
      <c r="F1762" s="169" t="s">
        <v>393</v>
      </c>
      <c r="G1762" s="169" t="s">
        <v>296</v>
      </c>
      <c r="H1762" s="169" t="s">
        <v>411</v>
      </c>
      <c r="I1762" s="169" t="s">
        <v>412</v>
      </c>
      <c r="J1762" s="169" t="s">
        <v>1108</v>
      </c>
      <c r="K1762" s="169" t="s">
        <v>1093</v>
      </c>
      <c r="L1762" s="169" t="s">
        <v>1048</v>
      </c>
      <c r="M1762" s="169" t="s">
        <v>281</v>
      </c>
      <c r="N1762" s="178">
        <v>107006545</v>
      </c>
      <c r="O1762" s="169" t="s">
        <v>1109</v>
      </c>
      <c r="P1762" s="169" t="s">
        <v>283</v>
      </c>
      <c r="Q1762" s="169" t="s">
        <v>284</v>
      </c>
      <c r="R1762" s="169" t="s">
        <v>283</v>
      </c>
      <c r="S1762" s="169" t="s">
        <v>283</v>
      </c>
      <c r="T1762" s="169">
        <v>0</v>
      </c>
    </row>
    <row r="1763" spans="1:20" x14ac:dyDescent="0.2">
      <c r="A1763" s="169" t="str">
        <f t="shared" si="5"/>
        <v>627</v>
      </c>
      <c r="B1763" s="167" t="str">
        <f>_xlfn.XLOOKUP(I1763,Mapping!D:D,Mapping!E:E)</f>
        <v>Nghiên Cứu &amp; Phát Triển</v>
      </c>
      <c r="C1763" s="167" t="str">
        <f>_xlfn.XLOOKUP(F1763,Mapping!A:A,Mapping!F:F)</f>
        <v>BHXH, BHYT, KPCĐ</v>
      </c>
      <c r="D1763" s="173">
        <v>45930</v>
      </c>
      <c r="E1763" s="169" t="s">
        <v>1107</v>
      </c>
      <c r="F1763" s="169" t="s">
        <v>393</v>
      </c>
      <c r="G1763" s="169" t="s">
        <v>296</v>
      </c>
      <c r="H1763" s="169" t="s">
        <v>418</v>
      </c>
      <c r="I1763" s="169" t="s">
        <v>419</v>
      </c>
      <c r="J1763" s="169" t="s">
        <v>1108</v>
      </c>
      <c r="K1763" s="169" t="s">
        <v>1093</v>
      </c>
      <c r="L1763" s="169" t="s">
        <v>1048</v>
      </c>
      <c r="M1763" s="169" t="s">
        <v>281</v>
      </c>
      <c r="N1763" s="178">
        <v>30210000</v>
      </c>
      <c r="O1763" s="169" t="s">
        <v>1109</v>
      </c>
      <c r="P1763" s="169" t="s">
        <v>283</v>
      </c>
      <c r="Q1763" s="169" t="s">
        <v>284</v>
      </c>
      <c r="R1763" s="169" t="s">
        <v>283</v>
      </c>
      <c r="S1763" s="169" t="s">
        <v>283</v>
      </c>
      <c r="T1763" s="169">
        <v>0</v>
      </c>
    </row>
    <row r="1764" spans="1:20" x14ac:dyDescent="0.2">
      <c r="A1764" s="169" t="str">
        <f t="shared" si="5"/>
        <v>622</v>
      </c>
      <c r="B1764" s="167" t="str">
        <f>_xlfn.XLOOKUP(I1764,Mapping!D:D,Mapping!E:E)</f>
        <v>Xưởng Sản Xuất</v>
      </c>
      <c r="C1764" s="167" t="str">
        <f>_xlfn.XLOOKUP(F1764,Mapping!A:A,Mapping!F:F)</f>
        <v>BHXH, BHYT, KPCĐ</v>
      </c>
      <c r="D1764" s="173">
        <v>45930</v>
      </c>
      <c r="E1764" s="169" t="s">
        <v>1107</v>
      </c>
      <c r="F1764" s="169" t="s">
        <v>425</v>
      </c>
      <c r="G1764" s="169" t="s">
        <v>296</v>
      </c>
      <c r="H1764" s="169" t="s">
        <v>402</v>
      </c>
      <c r="I1764" s="169" t="s">
        <v>403</v>
      </c>
      <c r="J1764" s="169" t="s">
        <v>1108</v>
      </c>
      <c r="K1764" s="169" t="s">
        <v>1093</v>
      </c>
      <c r="L1764" s="169" t="s">
        <v>1048</v>
      </c>
      <c r="M1764" s="169" t="s">
        <v>281</v>
      </c>
      <c r="N1764" s="178">
        <v>285634725</v>
      </c>
      <c r="O1764" s="169" t="s">
        <v>1109</v>
      </c>
      <c r="P1764" s="169" t="s">
        <v>283</v>
      </c>
      <c r="Q1764" s="169" t="s">
        <v>284</v>
      </c>
      <c r="R1764" s="169" t="s">
        <v>283</v>
      </c>
      <c r="S1764" s="169" t="s">
        <v>283</v>
      </c>
      <c r="T1764" s="169">
        <v>0</v>
      </c>
    </row>
    <row r="1765" spans="1:20" x14ac:dyDescent="0.2">
      <c r="A1765" s="169" t="str">
        <f t="shared" si="5"/>
        <v>627</v>
      </c>
      <c r="B1765" s="167" t="str">
        <f>_xlfn.XLOOKUP(I1765,Mapping!D:D,Mapping!E:E)</f>
        <v>Xưởng Sản Xuất</v>
      </c>
      <c r="C1765" s="167" t="str">
        <f>_xlfn.XLOOKUP(F1765,Mapping!A:A,Mapping!F:F)</f>
        <v>BHXH, BHYT, KPCĐ</v>
      </c>
      <c r="D1765" s="173">
        <v>45930</v>
      </c>
      <c r="E1765" s="169" t="s">
        <v>1107</v>
      </c>
      <c r="F1765" s="169" t="s">
        <v>393</v>
      </c>
      <c r="G1765" s="169" t="s">
        <v>296</v>
      </c>
      <c r="H1765" s="169" t="s">
        <v>402</v>
      </c>
      <c r="I1765" s="169" t="s">
        <v>403</v>
      </c>
      <c r="J1765" s="169" t="s">
        <v>1108</v>
      </c>
      <c r="K1765" s="169" t="s">
        <v>1093</v>
      </c>
      <c r="L1765" s="169" t="s">
        <v>1048</v>
      </c>
      <c r="M1765" s="169" t="s">
        <v>281</v>
      </c>
      <c r="N1765" s="178">
        <v>88728985</v>
      </c>
      <c r="O1765" s="169" t="s">
        <v>1109</v>
      </c>
      <c r="P1765" s="169" t="s">
        <v>283</v>
      </c>
      <c r="Q1765" s="169" t="s">
        <v>284</v>
      </c>
      <c r="R1765" s="169" t="s">
        <v>283</v>
      </c>
      <c r="S1765" s="169" t="s">
        <v>283</v>
      </c>
      <c r="T1765" s="169">
        <v>0</v>
      </c>
    </row>
    <row r="1766" spans="1:20" x14ac:dyDescent="0.2">
      <c r="A1766" s="169" t="str">
        <f t="shared" si="5"/>
        <v>622</v>
      </c>
      <c r="B1766" s="167" t="str">
        <f>_xlfn.XLOOKUP(I1766,Mapping!D:D,Mapping!E:E)</f>
        <v>Xưởng Sản Xuất</v>
      </c>
      <c r="C1766" s="167" t="str">
        <f>_xlfn.XLOOKUP(F1766,Mapping!A:A,Mapping!F:F)</f>
        <v>BHXH, BHYT, KPCĐ</v>
      </c>
      <c r="D1766" s="173">
        <v>45930</v>
      </c>
      <c r="E1766" s="169" t="s">
        <v>1107</v>
      </c>
      <c r="F1766" s="169" t="s">
        <v>425</v>
      </c>
      <c r="G1766" s="169" t="s">
        <v>296</v>
      </c>
      <c r="H1766" s="169" t="s">
        <v>430</v>
      </c>
      <c r="I1766" s="169" t="s">
        <v>431</v>
      </c>
      <c r="J1766" s="169" t="s">
        <v>1108</v>
      </c>
      <c r="K1766" s="169" t="s">
        <v>1093</v>
      </c>
      <c r="L1766" s="169" t="s">
        <v>1048</v>
      </c>
      <c r="M1766" s="169" t="s">
        <v>281</v>
      </c>
      <c r="N1766" s="178">
        <v>49320845</v>
      </c>
      <c r="O1766" s="169" t="s">
        <v>1109</v>
      </c>
      <c r="P1766" s="169" t="s">
        <v>283</v>
      </c>
      <c r="Q1766" s="169" t="s">
        <v>284</v>
      </c>
      <c r="R1766" s="169" t="s">
        <v>283</v>
      </c>
      <c r="S1766" s="169" t="s">
        <v>283</v>
      </c>
      <c r="T1766" s="169">
        <v>0</v>
      </c>
    </row>
    <row r="1767" spans="1:20" x14ac:dyDescent="0.2">
      <c r="A1767" s="169" t="str">
        <f t="shared" si="5"/>
        <v>627</v>
      </c>
      <c r="B1767" s="167" t="str">
        <f>_xlfn.XLOOKUP(I1767,Mapping!D:D,Mapping!E:E)</f>
        <v>Xưởng Sản Xuất</v>
      </c>
      <c r="C1767" s="167" t="str">
        <f>_xlfn.XLOOKUP(F1767,Mapping!A:A,Mapping!F:F)</f>
        <v>BHXH, BHYT, KPCĐ</v>
      </c>
      <c r="D1767" s="173">
        <v>45930</v>
      </c>
      <c r="E1767" s="169" t="s">
        <v>1107</v>
      </c>
      <c r="F1767" s="169" t="s">
        <v>393</v>
      </c>
      <c r="G1767" s="169" t="s">
        <v>296</v>
      </c>
      <c r="H1767" s="169" t="s">
        <v>430</v>
      </c>
      <c r="I1767" s="169" t="s">
        <v>431</v>
      </c>
      <c r="J1767" s="169" t="s">
        <v>1108</v>
      </c>
      <c r="K1767" s="169" t="s">
        <v>1093</v>
      </c>
      <c r="L1767" s="169" t="s">
        <v>1048</v>
      </c>
      <c r="M1767" s="169" t="s">
        <v>281</v>
      </c>
      <c r="N1767" s="178">
        <v>29226495</v>
      </c>
      <c r="O1767" s="169" t="s">
        <v>1109</v>
      </c>
      <c r="P1767" s="169" t="s">
        <v>283</v>
      </c>
      <c r="Q1767" s="169" t="s">
        <v>284</v>
      </c>
      <c r="R1767" s="169" t="s">
        <v>283</v>
      </c>
      <c r="S1767" s="169" t="s">
        <v>283</v>
      </c>
      <c r="T1767" s="169">
        <v>0</v>
      </c>
    </row>
    <row r="1768" spans="1:20" x14ac:dyDescent="0.2">
      <c r="A1768" s="169" t="str">
        <f t="shared" si="5"/>
        <v>627</v>
      </c>
      <c r="B1768" s="167" t="str">
        <f>_xlfn.XLOOKUP(I1768,Mapping!D:D,Mapping!E:E)</f>
        <v>Xưởng Sản Xuất</v>
      </c>
      <c r="C1768" s="167" t="str">
        <f>_xlfn.XLOOKUP(F1768,Mapping!A:A,Mapping!F:F)</f>
        <v>BHXH, BHYT, KPCĐ</v>
      </c>
      <c r="D1768" s="173">
        <v>45930</v>
      </c>
      <c r="E1768" s="169" t="s">
        <v>1107</v>
      </c>
      <c r="F1768" s="169" t="s">
        <v>393</v>
      </c>
      <c r="G1768" s="169" t="s">
        <v>296</v>
      </c>
      <c r="H1768" s="169" t="s">
        <v>436</v>
      </c>
      <c r="I1768" s="169" t="s">
        <v>437</v>
      </c>
      <c r="J1768" s="169" t="s">
        <v>1108</v>
      </c>
      <c r="K1768" s="169" t="s">
        <v>1093</v>
      </c>
      <c r="L1768" s="169" t="s">
        <v>1048</v>
      </c>
      <c r="M1768" s="169" t="s">
        <v>281</v>
      </c>
      <c r="N1768" s="178">
        <v>61807360</v>
      </c>
      <c r="O1768" s="169" t="s">
        <v>1109</v>
      </c>
      <c r="P1768" s="169" t="s">
        <v>283</v>
      </c>
      <c r="Q1768" s="169" t="s">
        <v>284</v>
      </c>
      <c r="R1768" s="169" t="s">
        <v>283</v>
      </c>
      <c r="S1768" s="169" t="s">
        <v>283</v>
      </c>
      <c r="T1768" s="169">
        <v>0</v>
      </c>
    </row>
    <row r="1769" spans="1:20" x14ac:dyDescent="0.2">
      <c r="A1769" s="169" t="str">
        <f t="shared" si="5"/>
        <v>642</v>
      </c>
      <c r="B1769" s="167" t="str">
        <f>_xlfn.XLOOKUP(I1769,Mapping!D:D,Mapping!E:E)</f>
        <v>Hành Chánh Nhân Sự</v>
      </c>
      <c r="C1769" s="167" t="str">
        <f>_xlfn.XLOOKUP(F1769,Mapping!A:A,Mapping!F:F)</f>
        <v>BHXH, BHYT, KPCĐ</v>
      </c>
      <c r="D1769" s="173">
        <v>45930</v>
      </c>
      <c r="E1769" s="169" t="s">
        <v>1107</v>
      </c>
      <c r="F1769" s="169" t="s">
        <v>295</v>
      </c>
      <c r="G1769" s="169" t="s">
        <v>296</v>
      </c>
      <c r="H1769" s="169" t="s">
        <v>382</v>
      </c>
      <c r="I1769" s="169" t="s">
        <v>200</v>
      </c>
      <c r="J1769" s="169" t="s">
        <v>1108</v>
      </c>
      <c r="K1769" s="169" t="s">
        <v>1093</v>
      </c>
      <c r="L1769" s="169" t="s">
        <v>1048</v>
      </c>
      <c r="M1769" s="169" t="s">
        <v>281</v>
      </c>
      <c r="N1769" s="178">
        <v>17467785</v>
      </c>
      <c r="O1769" s="169" t="s">
        <v>1109</v>
      </c>
      <c r="P1769" s="169" t="s">
        <v>283</v>
      </c>
      <c r="Q1769" s="169" t="s">
        <v>284</v>
      </c>
      <c r="R1769" s="169" t="s">
        <v>283</v>
      </c>
      <c r="S1769" s="169" t="s">
        <v>283</v>
      </c>
      <c r="T1769" s="169">
        <v>0</v>
      </c>
    </row>
    <row r="1770" spans="1:20" x14ac:dyDescent="0.2">
      <c r="A1770" s="169" t="str">
        <f t="shared" ref="A1770:A1833" si="6">LEFT(F1770,3)</f>
        <v>642</v>
      </c>
      <c r="B1770" s="167" t="str">
        <f>_xlfn.XLOOKUP(I1770,Mapping!D:D,Mapping!E:E)</f>
        <v>Hành Chánh Nhân Sự</v>
      </c>
      <c r="C1770" s="167" t="str">
        <f>_xlfn.XLOOKUP(F1770,Mapping!A:A,Mapping!F:F)</f>
        <v>BHXH, BHYT, KPCĐ</v>
      </c>
      <c r="D1770" s="173">
        <v>45930</v>
      </c>
      <c r="E1770" s="169" t="s">
        <v>1107</v>
      </c>
      <c r="F1770" s="169" t="s">
        <v>295</v>
      </c>
      <c r="G1770" s="169" t="s">
        <v>296</v>
      </c>
      <c r="H1770" s="169" t="s">
        <v>358</v>
      </c>
      <c r="I1770" s="169" t="s">
        <v>359</v>
      </c>
      <c r="J1770" s="169" t="s">
        <v>1108</v>
      </c>
      <c r="K1770" s="169" t="s">
        <v>1093</v>
      </c>
      <c r="L1770" s="169" t="s">
        <v>1048</v>
      </c>
      <c r="M1770" s="169" t="s">
        <v>281</v>
      </c>
      <c r="N1770" s="178">
        <v>23880230</v>
      </c>
      <c r="O1770" s="169" t="s">
        <v>1109</v>
      </c>
      <c r="P1770" s="169" t="s">
        <v>283</v>
      </c>
      <c r="Q1770" s="169" t="s">
        <v>284</v>
      </c>
      <c r="R1770" s="169" t="s">
        <v>283</v>
      </c>
      <c r="S1770" s="169" t="s">
        <v>283</v>
      </c>
      <c r="T1770" s="169">
        <v>0</v>
      </c>
    </row>
    <row r="1771" spans="1:20" x14ac:dyDescent="0.2">
      <c r="A1771" s="169" t="str">
        <f t="shared" si="6"/>
        <v>622</v>
      </c>
      <c r="B1771" s="167" t="str">
        <f>_xlfn.XLOOKUP(I1771,Mapping!D:D,Mapping!E:E)</f>
        <v>Xưởng Sản Xuất</v>
      </c>
      <c r="C1771" s="167" t="str">
        <f>_xlfn.XLOOKUP(F1771,Mapping!A:A,Mapping!F:F)</f>
        <v>BHXH, BHYT, KPCĐ</v>
      </c>
      <c r="D1771" s="173">
        <v>45930</v>
      </c>
      <c r="E1771" s="169" t="s">
        <v>1107</v>
      </c>
      <c r="F1771" s="169" t="s">
        <v>425</v>
      </c>
      <c r="G1771" s="169" t="s">
        <v>296</v>
      </c>
      <c r="H1771" s="169" t="s">
        <v>441</v>
      </c>
      <c r="I1771" s="169" t="s">
        <v>442</v>
      </c>
      <c r="J1771" s="169" t="s">
        <v>1108</v>
      </c>
      <c r="K1771" s="169" t="s">
        <v>1093</v>
      </c>
      <c r="L1771" s="169" t="s">
        <v>1048</v>
      </c>
      <c r="M1771" s="169" t="s">
        <v>281</v>
      </c>
      <c r="N1771" s="178">
        <v>1308480</v>
      </c>
      <c r="O1771" s="169" t="s">
        <v>1109</v>
      </c>
      <c r="P1771" s="169" t="s">
        <v>283</v>
      </c>
      <c r="Q1771" s="169" t="s">
        <v>284</v>
      </c>
      <c r="R1771" s="169" t="s">
        <v>283</v>
      </c>
      <c r="S1771" s="169" t="s">
        <v>283</v>
      </c>
      <c r="T1771" s="169">
        <v>0</v>
      </c>
    </row>
    <row r="1772" spans="1:20" x14ac:dyDescent="0.2">
      <c r="A1772" s="169" t="str">
        <f t="shared" si="6"/>
        <v>642</v>
      </c>
      <c r="B1772" s="167" t="str">
        <f>_xlfn.XLOOKUP(I1772,Mapping!D:D,Mapping!E:E)</f>
        <v>Cung Ứng</v>
      </c>
      <c r="C1772" s="167" t="str">
        <f>_xlfn.XLOOKUP(F1772,Mapping!A:A,Mapping!F:F)</f>
        <v>Lương Chính +T13</v>
      </c>
      <c r="D1772" s="173">
        <v>45930</v>
      </c>
      <c r="E1772" s="169" t="s">
        <v>1110</v>
      </c>
      <c r="F1772" s="169" t="s">
        <v>274</v>
      </c>
      <c r="G1772" s="169" t="s">
        <v>275</v>
      </c>
      <c r="H1772" s="169" t="s">
        <v>380</v>
      </c>
      <c r="I1772" s="169" t="s">
        <v>381</v>
      </c>
      <c r="J1772" s="169" t="s">
        <v>1111</v>
      </c>
      <c r="K1772" s="169" t="s">
        <v>1093</v>
      </c>
      <c r="L1772" s="169" t="s">
        <v>1048</v>
      </c>
      <c r="M1772" s="169" t="s">
        <v>281</v>
      </c>
      <c r="N1772" s="178">
        <v>-276497</v>
      </c>
      <c r="O1772" s="169" t="s">
        <v>1112</v>
      </c>
      <c r="P1772" s="169" t="s">
        <v>283</v>
      </c>
      <c r="Q1772" s="169" t="s">
        <v>284</v>
      </c>
      <c r="R1772" s="169" t="s">
        <v>283</v>
      </c>
      <c r="S1772" s="169" t="s">
        <v>283</v>
      </c>
      <c r="T1772" s="169">
        <v>0</v>
      </c>
    </row>
    <row r="1773" spans="1:20" x14ac:dyDescent="0.2">
      <c r="A1773" s="169" t="str">
        <f t="shared" si="6"/>
        <v>642</v>
      </c>
      <c r="B1773" s="167" t="str">
        <f>_xlfn.XLOOKUP(I1773,Mapping!D:D,Mapping!E:E)</f>
        <v>Hành Chánh Nhân Sự</v>
      </c>
      <c r="C1773" s="167" t="str">
        <f>_xlfn.XLOOKUP(F1773,Mapping!A:A,Mapping!F:F)</f>
        <v>Khen thưởng BD khác</v>
      </c>
      <c r="D1773" s="173">
        <v>45930</v>
      </c>
      <c r="E1773" s="169" t="s">
        <v>1113</v>
      </c>
      <c r="F1773" s="169" t="s">
        <v>300</v>
      </c>
      <c r="G1773" s="169" t="s">
        <v>222</v>
      </c>
      <c r="H1773" s="169" t="s">
        <v>358</v>
      </c>
      <c r="I1773" s="169" t="s">
        <v>359</v>
      </c>
      <c r="J1773" s="169" t="s">
        <v>1092</v>
      </c>
      <c r="K1773" s="169" t="s">
        <v>1093</v>
      </c>
      <c r="L1773" s="169" t="s">
        <v>1048</v>
      </c>
      <c r="M1773" s="169" t="s">
        <v>281</v>
      </c>
      <c r="N1773" s="178">
        <v>2400000</v>
      </c>
      <c r="O1773" s="169" t="s">
        <v>1114</v>
      </c>
      <c r="P1773" s="169" t="s">
        <v>283</v>
      </c>
      <c r="Q1773" s="169" t="s">
        <v>284</v>
      </c>
      <c r="R1773" s="169" t="s">
        <v>283</v>
      </c>
      <c r="S1773" s="169" t="s">
        <v>283</v>
      </c>
      <c r="T1773" s="169">
        <v>0</v>
      </c>
    </row>
    <row r="1774" spans="1:20" x14ac:dyDescent="0.2">
      <c r="A1774" s="169" t="str">
        <f t="shared" si="6"/>
        <v>627</v>
      </c>
      <c r="B1774" s="167" t="str">
        <f>_xlfn.XLOOKUP(I1774,Mapping!D:D,Mapping!E:E)</f>
        <v>Kiểm Soát Chất Lượng</v>
      </c>
      <c r="C1774" s="167" t="str">
        <f>_xlfn.XLOOKUP(F1774,Mapping!A:A,Mapping!F:F)</f>
        <v>BHXH, BHYT, KPCĐ</v>
      </c>
      <c r="D1774" s="173">
        <v>45930</v>
      </c>
      <c r="E1774" s="169" t="s">
        <v>1115</v>
      </c>
      <c r="F1774" s="169" t="s">
        <v>393</v>
      </c>
      <c r="G1774" s="169" t="s">
        <v>296</v>
      </c>
      <c r="H1774" s="169" t="s">
        <v>411</v>
      </c>
      <c r="I1774" s="169" t="s">
        <v>412</v>
      </c>
      <c r="J1774" s="169" t="s">
        <v>1108</v>
      </c>
      <c r="K1774" s="169" t="s">
        <v>1093</v>
      </c>
      <c r="L1774" s="169" t="s">
        <v>1048</v>
      </c>
      <c r="M1774" s="169" t="s">
        <v>281</v>
      </c>
      <c r="N1774" s="178">
        <v>2998600</v>
      </c>
      <c r="O1774" s="169" t="s">
        <v>1116</v>
      </c>
      <c r="P1774" s="169" t="s">
        <v>283</v>
      </c>
      <c r="Q1774" s="169" t="s">
        <v>284</v>
      </c>
      <c r="R1774" s="169" t="s">
        <v>283</v>
      </c>
      <c r="S1774" s="169" t="s">
        <v>283</v>
      </c>
      <c r="T1774" s="169">
        <v>0</v>
      </c>
    </row>
    <row r="1775" spans="1:20" x14ac:dyDescent="0.2">
      <c r="A1775" s="169" t="str">
        <f t="shared" si="6"/>
        <v>622</v>
      </c>
      <c r="B1775" s="167" t="str">
        <f>_xlfn.XLOOKUP(I1775,Mapping!D:D,Mapping!E:E)</f>
        <v>Xưởng Sản Xuất</v>
      </c>
      <c r="C1775" s="167" t="str">
        <f>_xlfn.XLOOKUP(F1775,Mapping!A:A,Mapping!F:F)</f>
        <v>BHXH, BHYT, KPCĐ</v>
      </c>
      <c r="D1775" s="173">
        <v>45930</v>
      </c>
      <c r="E1775" s="169" t="s">
        <v>1115</v>
      </c>
      <c r="F1775" s="169" t="s">
        <v>425</v>
      </c>
      <c r="G1775" s="169" t="s">
        <v>296</v>
      </c>
      <c r="H1775" s="169" t="s">
        <v>402</v>
      </c>
      <c r="I1775" s="169" t="s">
        <v>403</v>
      </c>
      <c r="J1775" s="169" t="s">
        <v>1108</v>
      </c>
      <c r="K1775" s="169" t="s">
        <v>1093</v>
      </c>
      <c r="L1775" s="169" t="s">
        <v>1048</v>
      </c>
      <c r="M1775" s="169" t="s">
        <v>281</v>
      </c>
      <c r="N1775" s="178">
        <v>3595500</v>
      </c>
      <c r="O1775" s="169" t="s">
        <v>1116</v>
      </c>
      <c r="P1775" s="169" t="s">
        <v>283</v>
      </c>
      <c r="Q1775" s="169" t="s">
        <v>284</v>
      </c>
      <c r="R1775" s="169" t="s">
        <v>283</v>
      </c>
      <c r="S1775" s="169" t="s">
        <v>283</v>
      </c>
      <c r="T1775" s="169">
        <v>0</v>
      </c>
    </row>
    <row r="1776" spans="1:20" x14ac:dyDescent="0.2">
      <c r="A1776" s="169" t="str">
        <f t="shared" si="6"/>
        <v>642</v>
      </c>
      <c r="B1776" s="167" t="str">
        <f>_xlfn.XLOOKUP(I1776,Mapping!D:D,Mapping!E:E)</f>
        <v>Kế Toán</v>
      </c>
      <c r="C1776" s="167" t="str">
        <f>_xlfn.XLOOKUP(F1776,Mapping!A:A,Mapping!F:F)</f>
        <v>BHXH, BHYT, KPCĐ</v>
      </c>
      <c r="D1776" s="173">
        <v>45930</v>
      </c>
      <c r="E1776" s="169" t="s">
        <v>1115</v>
      </c>
      <c r="F1776" s="169" t="s">
        <v>295</v>
      </c>
      <c r="G1776" s="169" t="s">
        <v>296</v>
      </c>
      <c r="H1776" s="169" t="s">
        <v>356</v>
      </c>
      <c r="I1776" s="169" t="s">
        <v>357</v>
      </c>
      <c r="J1776" s="169" t="s">
        <v>1108</v>
      </c>
      <c r="K1776" s="169" t="s">
        <v>1093</v>
      </c>
      <c r="L1776" s="169" t="s">
        <v>1048</v>
      </c>
      <c r="M1776" s="169" t="s">
        <v>281</v>
      </c>
      <c r="N1776" s="178">
        <v>1527500</v>
      </c>
      <c r="O1776" s="169" t="s">
        <v>1116</v>
      </c>
      <c r="P1776" s="169" t="s">
        <v>283</v>
      </c>
      <c r="Q1776" s="169" t="s">
        <v>284</v>
      </c>
      <c r="R1776" s="169" t="s">
        <v>283</v>
      </c>
      <c r="S1776" s="169" t="s">
        <v>283</v>
      </c>
      <c r="T1776" s="169">
        <v>0</v>
      </c>
    </row>
    <row r="1777" spans="1:20" x14ac:dyDescent="0.2">
      <c r="A1777" s="169" t="str">
        <f t="shared" si="6"/>
        <v>642</v>
      </c>
      <c r="B1777" s="167" t="str">
        <f>_xlfn.XLOOKUP(I1777,Mapping!D:D,Mapping!E:E)</f>
        <v>Hành Chánh Nhân Sự</v>
      </c>
      <c r="C1777" s="167" t="str">
        <f>_xlfn.XLOOKUP(F1777,Mapping!A:A,Mapping!F:F)</f>
        <v>BHXH, BHYT, KPCĐ</v>
      </c>
      <c r="D1777" s="173">
        <v>45930</v>
      </c>
      <c r="E1777" s="169" t="s">
        <v>1117</v>
      </c>
      <c r="F1777" s="169" t="s">
        <v>295</v>
      </c>
      <c r="G1777" s="169" t="s">
        <v>296</v>
      </c>
      <c r="H1777" s="169" t="s">
        <v>301</v>
      </c>
      <c r="I1777" s="169" t="s">
        <v>302</v>
      </c>
      <c r="J1777" s="169" t="s">
        <v>1118</v>
      </c>
      <c r="K1777" s="169" t="s">
        <v>1093</v>
      </c>
      <c r="L1777" s="169" t="s">
        <v>1048</v>
      </c>
      <c r="M1777" s="169" t="s">
        <v>281</v>
      </c>
      <c r="N1777" s="178">
        <v>259965</v>
      </c>
      <c r="O1777" s="169" t="s">
        <v>1119</v>
      </c>
      <c r="P1777" s="169" t="s">
        <v>283</v>
      </c>
      <c r="Q1777" s="169" t="s">
        <v>284</v>
      </c>
      <c r="R1777" s="169" t="s">
        <v>283</v>
      </c>
      <c r="S1777" s="169" t="s">
        <v>283</v>
      </c>
      <c r="T1777" s="169">
        <v>0</v>
      </c>
    </row>
    <row r="1778" spans="1:20" x14ac:dyDescent="0.2">
      <c r="A1778" s="169" t="str">
        <f t="shared" si="6"/>
        <v>622</v>
      </c>
      <c r="B1778" s="167" t="str">
        <f>_xlfn.XLOOKUP(I1778,Mapping!D:D,Mapping!E:E)</f>
        <v>Xưởng Sản Xuất</v>
      </c>
      <c r="C1778" s="167" t="str">
        <f>_xlfn.XLOOKUP(F1778,Mapping!A:A,Mapping!F:F)</f>
        <v>BHXH, BHYT, KPCĐ</v>
      </c>
      <c r="D1778" s="173">
        <v>45930</v>
      </c>
      <c r="E1778" s="169" t="s">
        <v>1117</v>
      </c>
      <c r="F1778" s="169" t="s">
        <v>425</v>
      </c>
      <c r="G1778" s="169" t="s">
        <v>296</v>
      </c>
      <c r="H1778" s="169" t="s">
        <v>402</v>
      </c>
      <c r="I1778" s="169" t="s">
        <v>403</v>
      </c>
      <c r="J1778" s="169" t="s">
        <v>1118</v>
      </c>
      <c r="K1778" s="169" t="s">
        <v>1093</v>
      </c>
      <c r="L1778" s="169" t="s">
        <v>1048</v>
      </c>
      <c r="M1778" s="169" t="s">
        <v>281</v>
      </c>
      <c r="N1778" s="178">
        <v>-1953650</v>
      </c>
      <c r="O1778" s="169" t="s">
        <v>1119</v>
      </c>
      <c r="P1778" s="169" t="s">
        <v>283</v>
      </c>
      <c r="Q1778" s="169" t="s">
        <v>284</v>
      </c>
      <c r="R1778" s="169" t="s">
        <v>283</v>
      </c>
      <c r="S1778" s="169" t="s">
        <v>283</v>
      </c>
      <c r="T1778" s="169">
        <v>0</v>
      </c>
    </row>
    <row r="1779" spans="1:20" x14ac:dyDescent="0.2">
      <c r="A1779" s="169" t="str">
        <f t="shared" si="6"/>
        <v>627</v>
      </c>
      <c r="B1779" s="167" t="str">
        <f>_xlfn.XLOOKUP(I1779,Mapping!D:D,Mapping!E:E)</f>
        <v>Kỹ Thuật</v>
      </c>
      <c r="C1779" s="167" t="str">
        <f>_xlfn.XLOOKUP(F1779,Mapping!A:A,Mapping!F:F)</f>
        <v>BHXH, BHYT, KPCĐ</v>
      </c>
      <c r="D1779" s="173">
        <v>45930</v>
      </c>
      <c r="E1779" s="169" t="s">
        <v>1117</v>
      </c>
      <c r="F1779" s="169" t="s">
        <v>393</v>
      </c>
      <c r="G1779" s="169" t="s">
        <v>296</v>
      </c>
      <c r="H1779" s="169" t="s">
        <v>376</v>
      </c>
      <c r="I1779" s="169" t="s">
        <v>377</v>
      </c>
      <c r="J1779" s="169" t="s">
        <v>1118</v>
      </c>
      <c r="K1779" s="169" t="s">
        <v>1093</v>
      </c>
      <c r="L1779" s="169" t="s">
        <v>1048</v>
      </c>
      <c r="M1779" s="169" t="s">
        <v>281</v>
      </c>
      <c r="N1779" s="178">
        <v>2234815</v>
      </c>
      <c r="O1779" s="169" t="s">
        <v>1119</v>
      </c>
      <c r="P1779" s="169" t="s">
        <v>283</v>
      </c>
      <c r="Q1779" s="169" t="s">
        <v>284</v>
      </c>
      <c r="R1779" s="169" t="s">
        <v>283</v>
      </c>
      <c r="S1779" s="169" t="s">
        <v>283</v>
      </c>
      <c r="T1779" s="169">
        <v>0</v>
      </c>
    </row>
    <row r="1780" spans="1:20" x14ac:dyDescent="0.2">
      <c r="A1780" s="169" t="str">
        <f t="shared" si="6"/>
        <v>642</v>
      </c>
      <c r="B1780" s="167" t="str">
        <f>_xlfn.XLOOKUP(I1780,Mapping!D:D,Mapping!E:E)</f>
        <v>Kế Toán</v>
      </c>
      <c r="C1780" s="167" t="str">
        <f>_xlfn.XLOOKUP(F1780,Mapping!A:A,Mapping!F:F)</f>
        <v>BHXH, BHYT, KPCĐ</v>
      </c>
      <c r="D1780" s="173">
        <v>45930</v>
      </c>
      <c r="E1780" s="169" t="s">
        <v>1117</v>
      </c>
      <c r="F1780" s="169" t="s">
        <v>295</v>
      </c>
      <c r="G1780" s="169" t="s">
        <v>296</v>
      </c>
      <c r="H1780" s="169" t="s">
        <v>356</v>
      </c>
      <c r="I1780" s="169" t="s">
        <v>357</v>
      </c>
      <c r="J1780" s="169" t="s">
        <v>1118</v>
      </c>
      <c r="K1780" s="169" t="s">
        <v>1093</v>
      </c>
      <c r="L1780" s="169" t="s">
        <v>1048</v>
      </c>
      <c r="M1780" s="169" t="s">
        <v>281</v>
      </c>
      <c r="N1780" s="178">
        <v>960000</v>
      </c>
      <c r="O1780" s="169" t="s">
        <v>1119</v>
      </c>
      <c r="P1780" s="169" t="s">
        <v>283</v>
      </c>
      <c r="Q1780" s="169" t="s">
        <v>284</v>
      </c>
      <c r="R1780" s="169" t="s">
        <v>283</v>
      </c>
      <c r="S1780" s="169" t="s">
        <v>283</v>
      </c>
      <c r="T1780" s="169">
        <v>0</v>
      </c>
    </row>
    <row r="1781" spans="1:20" x14ac:dyDescent="0.2">
      <c r="A1781" s="169" t="str">
        <f t="shared" si="6"/>
        <v>622</v>
      </c>
      <c r="B1781" s="167" t="str">
        <f>_xlfn.XLOOKUP(I1781,Mapping!D:D,Mapping!E:E)</f>
        <v>Xưởng Sản Xuất</v>
      </c>
      <c r="C1781" s="167" t="str">
        <f>_xlfn.XLOOKUP(F1781,Mapping!A:A,Mapping!F:F)</f>
        <v>Phụ Cấp</v>
      </c>
      <c r="D1781" s="173">
        <v>45930</v>
      </c>
      <c r="E1781" s="169" t="s">
        <v>1120</v>
      </c>
      <c r="F1781" s="169" t="s">
        <v>414</v>
      </c>
      <c r="G1781" s="169" t="s">
        <v>415</v>
      </c>
      <c r="H1781" s="169" t="s">
        <v>441</v>
      </c>
      <c r="I1781" s="169" t="s">
        <v>442</v>
      </c>
      <c r="J1781" s="169" t="s">
        <v>416</v>
      </c>
      <c r="K1781" s="169" t="s">
        <v>416</v>
      </c>
      <c r="L1781" s="169" t="s">
        <v>1048</v>
      </c>
      <c r="M1781" s="169" t="s">
        <v>281</v>
      </c>
      <c r="N1781" s="178">
        <v>425000</v>
      </c>
      <c r="O1781" s="169" t="s">
        <v>1121</v>
      </c>
      <c r="P1781" s="169" t="s">
        <v>283</v>
      </c>
      <c r="Q1781" s="169" t="s">
        <v>348</v>
      </c>
      <c r="R1781" s="169" t="s">
        <v>283</v>
      </c>
      <c r="S1781" s="169" t="s">
        <v>283</v>
      </c>
      <c r="T1781" s="169">
        <v>0</v>
      </c>
    </row>
    <row r="1782" spans="1:20" x14ac:dyDescent="0.2">
      <c r="A1782" s="169" t="str">
        <f t="shared" si="6"/>
        <v>627</v>
      </c>
      <c r="B1782" s="167" t="str">
        <f>_xlfn.XLOOKUP(I1782,Mapping!D:D,Mapping!E:E)</f>
        <v>Xưởng Sản Xuất</v>
      </c>
      <c r="C1782" s="167" t="str">
        <f>_xlfn.XLOOKUP(F1782,Mapping!A:A,Mapping!F:F)</f>
        <v>Phụ Cấp</v>
      </c>
      <c r="D1782" s="173">
        <v>45930</v>
      </c>
      <c r="E1782" s="169" t="s">
        <v>1120</v>
      </c>
      <c r="F1782" s="169" t="s">
        <v>375</v>
      </c>
      <c r="G1782" s="169" t="s">
        <v>336</v>
      </c>
      <c r="H1782" s="169" t="s">
        <v>441</v>
      </c>
      <c r="I1782" s="169" t="s">
        <v>442</v>
      </c>
      <c r="J1782" s="169" t="s">
        <v>416</v>
      </c>
      <c r="K1782" s="169" t="s">
        <v>416</v>
      </c>
      <c r="L1782" s="169" t="s">
        <v>1048</v>
      </c>
      <c r="M1782" s="169" t="s">
        <v>281</v>
      </c>
      <c r="N1782" s="178">
        <v>-425000</v>
      </c>
      <c r="O1782" s="169" t="s">
        <v>1121</v>
      </c>
      <c r="P1782" s="169" t="s">
        <v>283</v>
      </c>
      <c r="Q1782" s="169" t="s">
        <v>348</v>
      </c>
      <c r="R1782" s="169" t="s">
        <v>283</v>
      </c>
      <c r="S1782" s="169" t="s">
        <v>283</v>
      </c>
      <c r="T1782" s="169">
        <v>0</v>
      </c>
    </row>
    <row r="1783" spans="1:20" x14ac:dyDescent="0.2">
      <c r="A1783" s="169" t="str">
        <f t="shared" si="6"/>
        <v>622</v>
      </c>
      <c r="B1783" s="167" t="str">
        <f>_xlfn.XLOOKUP(I1783,Mapping!D:D,Mapping!E:E)</f>
        <v>Xưởng Sản Xuất</v>
      </c>
      <c r="C1783" s="167" t="str">
        <f>_xlfn.XLOOKUP(F1783,Mapping!A:A,Mapping!F:F)</f>
        <v>Phụ Cấp</v>
      </c>
      <c r="D1783" s="173">
        <v>45930</v>
      </c>
      <c r="E1783" s="169" t="s">
        <v>1120</v>
      </c>
      <c r="F1783" s="169" t="s">
        <v>414</v>
      </c>
      <c r="G1783" s="169" t="s">
        <v>415</v>
      </c>
      <c r="H1783" s="169" t="s">
        <v>430</v>
      </c>
      <c r="I1783" s="169" t="s">
        <v>431</v>
      </c>
      <c r="J1783" s="169" t="s">
        <v>416</v>
      </c>
      <c r="K1783" s="169" t="s">
        <v>416</v>
      </c>
      <c r="L1783" s="169" t="s">
        <v>1048</v>
      </c>
      <c r="M1783" s="169" t="s">
        <v>281</v>
      </c>
      <c r="N1783" s="178">
        <v>20400000</v>
      </c>
      <c r="O1783" s="169" t="s">
        <v>1121</v>
      </c>
      <c r="P1783" s="169" t="s">
        <v>283</v>
      </c>
      <c r="Q1783" s="169" t="s">
        <v>348</v>
      </c>
      <c r="R1783" s="169" t="s">
        <v>283</v>
      </c>
      <c r="S1783" s="169" t="s">
        <v>283</v>
      </c>
      <c r="T1783" s="169">
        <v>0</v>
      </c>
    </row>
    <row r="1784" spans="1:20" x14ac:dyDescent="0.2">
      <c r="A1784" s="169" t="str">
        <f t="shared" si="6"/>
        <v>627</v>
      </c>
      <c r="B1784" s="167" t="str">
        <f>_xlfn.XLOOKUP(I1784,Mapping!D:D,Mapping!E:E)</f>
        <v>Xưởng Sản Xuất</v>
      </c>
      <c r="C1784" s="167" t="str">
        <f>_xlfn.XLOOKUP(F1784,Mapping!A:A,Mapping!F:F)</f>
        <v>Phụ Cấp</v>
      </c>
      <c r="D1784" s="173">
        <v>45930</v>
      </c>
      <c r="E1784" s="169" t="s">
        <v>1120</v>
      </c>
      <c r="F1784" s="169" t="s">
        <v>375</v>
      </c>
      <c r="G1784" s="169" t="s">
        <v>336</v>
      </c>
      <c r="H1784" s="169" t="s">
        <v>430</v>
      </c>
      <c r="I1784" s="169" t="s">
        <v>431</v>
      </c>
      <c r="J1784" s="169" t="s">
        <v>416</v>
      </c>
      <c r="K1784" s="169" t="s">
        <v>416</v>
      </c>
      <c r="L1784" s="169" t="s">
        <v>1048</v>
      </c>
      <c r="M1784" s="169" t="s">
        <v>281</v>
      </c>
      <c r="N1784" s="178">
        <v>-20400000</v>
      </c>
      <c r="O1784" s="169" t="s">
        <v>1121</v>
      </c>
      <c r="P1784" s="169" t="s">
        <v>283</v>
      </c>
      <c r="Q1784" s="169" t="s">
        <v>348</v>
      </c>
      <c r="R1784" s="169" t="s">
        <v>283</v>
      </c>
      <c r="S1784" s="169" t="s">
        <v>283</v>
      </c>
      <c r="T1784" s="169">
        <v>0</v>
      </c>
    </row>
    <row r="1785" spans="1:20" x14ac:dyDescent="0.2">
      <c r="A1785" s="169" t="str">
        <f t="shared" si="6"/>
        <v>622</v>
      </c>
      <c r="B1785" s="167" t="str">
        <f>_xlfn.XLOOKUP(I1785,Mapping!D:D,Mapping!E:E)</f>
        <v>Xưởng Sản Xuất</v>
      </c>
      <c r="C1785" s="167" t="str">
        <f>_xlfn.XLOOKUP(F1785,Mapping!A:A,Mapping!F:F)</f>
        <v>Phụ Cấp</v>
      </c>
      <c r="D1785" s="173">
        <v>45930</v>
      </c>
      <c r="E1785" s="169" t="s">
        <v>1120</v>
      </c>
      <c r="F1785" s="169" t="s">
        <v>414</v>
      </c>
      <c r="G1785" s="169" t="s">
        <v>415</v>
      </c>
      <c r="H1785" s="169" t="s">
        <v>441</v>
      </c>
      <c r="I1785" s="169" t="s">
        <v>442</v>
      </c>
      <c r="J1785" s="169" t="s">
        <v>416</v>
      </c>
      <c r="K1785" s="169" t="s">
        <v>416</v>
      </c>
      <c r="L1785" s="169" t="s">
        <v>1048</v>
      </c>
      <c r="M1785" s="169" t="s">
        <v>281</v>
      </c>
      <c r="N1785" s="178">
        <v>25000</v>
      </c>
      <c r="O1785" s="169" t="s">
        <v>1121</v>
      </c>
      <c r="P1785" s="169" t="s">
        <v>283</v>
      </c>
      <c r="Q1785" s="169" t="s">
        <v>348</v>
      </c>
      <c r="R1785" s="169" t="s">
        <v>283</v>
      </c>
      <c r="S1785" s="169" t="s">
        <v>283</v>
      </c>
      <c r="T1785" s="169">
        <v>0</v>
      </c>
    </row>
    <row r="1786" spans="1:20" x14ac:dyDescent="0.2">
      <c r="A1786" s="169" t="str">
        <f t="shared" si="6"/>
        <v>627</v>
      </c>
      <c r="B1786" s="167" t="str">
        <f>_xlfn.XLOOKUP(I1786,Mapping!D:D,Mapping!E:E)</f>
        <v>Xưởng Sản Xuất</v>
      </c>
      <c r="C1786" s="167" t="str">
        <f>_xlfn.XLOOKUP(F1786,Mapping!A:A,Mapping!F:F)</f>
        <v>Phụ Cấp</v>
      </c>
      <c r="D1786" s="173">
        <v>45930</v>
      </c>
      <c r="E1786" s="169" t="s">
        <v>1120</v>
      </c>
      <c r="F1786" s="169" t="s">
        <v>375</v>
      </c>
      <c r="G1786" s="169" t="s">
        <v>336</v>
      </c>
      <c r="H1786" s="169" t="s">
        <v>430</v>
      </c>
      <c r="I1786" s="169" t="s">
        <v>431</v>
      </c>
      <c r="J1786" s="169" t="s">
        <v>416</v>
      </c>
      <c r="K1786" s="169" t="s">
        <v>416</v>
      </c>
      <c r="L1786" s="169" t="s">
        <v>1048</v>
      </c>
      <c r="M1786" s="169" t="s">
        <v>281</v>
      </c>
      <c r="N1786" s="178">
        <v>-25000</v>
      </c>
      <c r="O1786" s="169" t="s">
        <v>1121</v>
      </c>
      <c r="P1786" s="169" t="s">
        <v>283</v>
      </c>
      <c r="Q1786" s="169" t="s">
        <v>348</v>
      </c>
      <c r="R1786" s="169" t="s">
        <v>283</v>
      </c>
      <c r="S1786" s="169" t="s">
        <v>283</v>
      </c>
      <c r="T1786" s="169">
        <v>0</v>
      </c>
    </row>
    <row r="1787" spans="1:20" x14ac:dyDescent="0.2">
      <c r="A1787" s="169" t="str">
        <f t="shared" si="6"/>
        <v>622</v>
      </c>
      <c r="B1787" s="167" t="str">
        <f>_xlfn.XLOOKUP(I1787,Mapping!D:D,Mapping!E:E)</f>
        <v>Xưởng Sản Xuất</v>
      </c>
      <c r="C1787" s="167" t="str">
        <f>_xlfn.XLOOKUP(F1787,Mapping!A:A,Mapping!F:F)</f>
        <v>Phụ Cấp</v>
      </c>
      <c r="D1787" s="173">
        <v>45930</v>
      </c>
      <c r="E1787" s="169" t="s">
        <v>1120</v>
      </c>
      <c r="F1787" s="169" t="s">
        <v>414</v>
      </c>
      <c r="G1787" s="169" t="s">
        <v>415</v>
      </c>
      <c r="H1787" s="169" t="s">
        <v>402</v>
      </c>
      <c r="I1787" s="169" t="s">
        <v>403</v>
      </c>
      <c r="J1787" s="169" t="s">
        <v>416</v>
      </c>
      <c r="K1787" s="169" t="s">
        <v>416</v>
      </c>
      <c r="L1787" s="169" t="s">
        <v>1048</v>
      </c>
      <c r="M1787" s="169" t="s">
        <v>281</v>
      </c>
      <c r="N1787" s="178">
        <v>138300000</v>
      </c>
      <c r="O1787" s="169" t="s">
        <v>1121</v>
      </c>
      <c r="P1787" s="169" t="s">
        <v>283</v>
      </c>
      <c r="Q1787" s="169" t="s">
        <v>348</v>
      </c>
      <c r="R1787" s="169" t="s">
        <v>283</v>
      </c>
      <c r="S1787" s="169" t="s">
        <v>283</v>
      </c>
      <c r="T1787" s="169">
        <v>0</v>
      </c>
    </row>
    <row r="1788" spans="1:20" x14ac:dyDescent="0.2">
      <c r="A1788" s="169" t="str">
        <f t="shared" si="6"/>
        <v>627</v>
      </c>
      <c r="B1788" s="167" t="str">
        <f>_xlfn.XLOOKUP(I1788,Mapping!D:D,Mapping!E:E)</f>
        <v>Xưởng Sản Xuất</v>
      </c>
      <c r="C1788" s="167" t="str">
        <f>_xlfn.XLOOKUP(F1788,Mapping!A:A,Mapping!F:F)</f>
        <v>Phụ Cấp</v>
      </c>
      <c r="D1788" s="173">
        <v>45930</v>
      </c>
      <c r="E1788" s="169" t="s">
        <v>1120</v>
      </c>
      <c r="F1788" s="169" t="s">
        <v>375</v>
      </c>
      <c r="G1788" s="169" t="s">
        <v>336</v>
      </c>
      <c r="H1788" s="169" t="s">
        <v>402</v>
      </c>
      <c r="I1788" s="169" t="s">
        <v>403</v>
      </c>
      <c r="J1788" s="169" t="s">
        <v>416</v>
      </c>
      <c r="K1788" s="169" t="s">
        <v>416</v>
      </c>
      <c r="L1788" s="169" t="s">
        <v>1048</v>
      </c>
      <c r="M1788" s="169" t="s">
        <v>281</v>
      </c>
      <c r="N1788" s="178">
        <v>-138300000</v>
      </c>
      <c r="O1788" s="169" t="s">
        <v>1121</v>
      </c>
      <c r="P1788" s="169" t="s">
        <v>283</v>
      </c>
      <c r="Q1788" s="169" t="s">
        <v>348</v>
      </c>
      <c r="R1788" s="169" t="s">
        <v>283</v>
      </c>
      <c r="S1788" s="169" t="s">
        <v>283</v>
      </c>
      <c r="T1788" s="169">
        <v>0</v>
      </c>
    </row>
    <row r="1789" spans="1:20" x14ac:dyDescent="0.2">
      <c r="A1789" s="169" t="str">
        <f t="shared" si="6"/>
        <v>642</v>
      </c>
      <c r="B1789" s="167" t="str">
        <f>_xlfn.XLOOKUP(I1789,Mapping!D:D,Mapping!E:E)</f>
        <v>Cung Ứng</v>
      </c>
      <c r="C1789" s="167" t="str">
        <f>_xlfn.XLOOKUP(F1789,Mapping!A:A,Mapping!F:F)</f>
        <v>Thưởng</v>
      </c>
      <c r="D1789" s="173">
        <v>45930</v>
      </c>
      <c r="E1789" s="169" t="s">
        <v>1122</v>
      </c>
      <c r="F1789" s="169" t="s">
        <v>290</v>
      </c>
      <c r="G1789" s="169" t="s">
        <v>291</v>
      </c>
      <c r="H1789" s="169" t="s">
        <v>380</v>
      </c>
      <c r="I1789" s="169" t="s">
        <v>381</v>
      </c>
      <c r="J1789" s="169" t="s">
        <v>1123</v>
      </c>
      <c r="K1789" s="169" t="s">
        <v>1124</v>
      </c>
      <c r="L1789" s="169" t="s">
        <v>1048</v>
      </c>
      <c r="M1789" s="169" t="s">
        <v>281</v>
      </c>
      <c r="N1789" s="178">
        <v>140000000</v>
      </c>
      <c r="O1789" s="169" t="s">
        <v>1125</v>
      </c>
      <c r="P1789" s="169" t="s">
        <v>283</v>
      </c>
      <c r="Q1789" s="169" t="s">
        <v>325</v>
      </c>
      <c r="R1789" s="169" t="s">
        <v>283</v>
      </c>
      <c r="S1789" s="169" t="s">
        <v>283</v>
      </c>
      <c r="T1789" s="169">
        <v>0</v>
      </c>
    </row>
    <row r="1790" spans="1:20" x14ac:dyDescent="0.2">
      <c r="A1790" s="169" t="str">
        <f t="shared" si="6"/>
        <v>642</v>
      </c>
      <c r="B1790" s="167" t="str">
        <f>_xlfn.XLOOKUP(I1790,Mapping!D:D,Mapping!E:E)</f>
        <v>Cung Ứng</v>
      </c>
      <c r="C1790" s="167" t="str">
        <f>_xlfn.XLOOKUP(F1790,Mapping!A:A,Mapping!F:F)</f>
        <v>Thưởng</v>
      </c>
      <c r="D1790" s="173">
        <v>45930</v>
      </c>
      <c r="E1790" s="169" t="s">
        <v>1126</v>
      </c>
      <c r="F1790" s="169" t="s">
        <v>290</v>
      </c>
      <c r="G1790" s="169" t="s">
        <v>291</v>
      </c>
      <c r="H1790" s="169" t="s">
        <v>380</v>
      </c>
      <c r="I1790" s="169" t="s">
        <v>381</v>
      </c>
      <c r="J1790" s="169" t="s">
        <v>1123</v>
      </c>
      <c r="K1790" s="169" t="s">
        <v>1124</v>
      </c>
      <c r="L1790" s="169" t="s">
        <v>1048</v>
      </c>
      <c r="M1790" s="169" t="s">
        <v>281</v>
      </c>
      <c r="N1790" s="178">
        <v>-140000000</v>
      </c>
      <c r="O1790" s="169" t="s">
        <v>1127</v>
      </c>
      <c r="P1790" s="169" t="s">
        <v>447</v>
      </c>
      <c r="Q1790" s="169" t="s">
        <v>284</v>
      </c>
      <c r="R1790" s="169" t="s">
        <v>283</v>
      </c>
      <c r="S1790" s="169" t="s">
        <v>283</v>
      </c>
      <c r="T1790" s="169">
        <v>0</v>
      </c>
    </row>
    <row r="1791" spans="1:20" x14ac:dyDescent="0.2">
      <c r="A1791" s="169" t="str">
        <f t="shared" si="6"/>
        <v>642</v>
      </c>
      <c r="B1791" s="167" t="str">
        <f>_xlfn.XLOOKUP(I1791,Mapping!D:D,Mapping!E:E)</f>
        <v>Cung Ứng</v>
      </c>
      <c r="C1791" s="167" t="str">
        <f>_xlfn.XLOOKUP(F1791,Mapping!A:A,Mapping!F:F)</f>
        <v>Thưởng</v>
      </c>
      <c r="D1791" s="173">
        <v>45930</v>
      </c>
      <c r="E1791" s="169" t="s">
        <v>1128</v>
      </c>
      <c r="F1791" s="169" t="s">
        <v>290</v>
      </c>
      <c r="G1791" s="169" t="s">
        <v>291</v>
      </c>
      <c r="H1791" s="169" t="s">
        <v>380</v>
      </c>
      <c r="I1791" s="169" t="s">
        <v>381</v>
      </c>
      <c r="J1791" s="169" t="s">
        <v>1123</v>
      </c>
      <c r="K1791" s="169" t="s">
        <v>1124</v>
      </c>
      <c r="L1791" s="169" t="s">
        <v>1048</v>
      </c>
      <c r="M1791" s="169" t="s">
        <v>281</v>
      </c>
      <c r="N1791" s="178">
        <v>140000000</v>
      </c>
      <c r="O1791" s="169" t="s">
        <v>1129</v>
      </c>
      <c r="P1791" s="169" t="s">
        <v>283</v>
      </c>
      <c r="Q1791" s="169" t="s">
        <v>325</v>
      </c>
      <c r="R1791" s="169" t="s">
        <v>283</v>
      </c>
      <c r="S1791" s="169" t="s">
        <v>283</v>
      </c>
      <c r="T1791" s="169">
        <v>0</v>
      </c>
    </row>
    <row r="1792" spans="1:20" x14ac:dyDescent="0.2">
      <c r="A1792" s="169" t="str">
        <f t="shared" si="6"/>
        <v>642</v>
      </c>
      <c r="B1792" s="167" t="str">
        <f>_xlfn.XLOOKUP(I1792,Mapping!D:D,Mapping!E:E)</f>
        <v>Ban Giám Đốc</v>
      </c>
      <c r="C1792" s="167" t="str">
        <f>_xlfn.XLOOKUP(F1792,Mapping!A:A,Mapping!F:F)</f>
        <v>Lương Chính +T13</v>
      </c>
      <c r="D1792" s="173">
        <v>45961</v>
      </c>
      <c r="E1792" s="169" t="s">
        <v>1130</v>
      </c>
      <c r="F1792" s="169" t="s">
        <v>274</v>
      </c>
      <c r="G1792" s="169" t="s">
        <v>275</v>
      </c>
      <c r="H1792" s="169" t="s">
        <v>276</v>
      </c>
      <c r="I1792" s="169" t="s">
        <v>277</v>
      </c>
      <c r="J1792" s="169" t="s">
        <v>1131</v>
      </c>
      <c r="K1792" s="169" t="s">
        <v>1132</v>
      </c>
      <c r="L1792" s="169" t="s">
        <v>1133</v>
      </c>
      <c r="M1792" s="169" t="s">
        <v>281</v>
      </c>
      <c r="N1792" s="178">
        <v>1487828639</v>
      </c>
      <c r="O1792" s="169" t="s">
        <v>1134</v>
      </c>
      <c r="P1792" s="169" t="s">
        <v>283</v>
      </c>
      <c r="Q1792" s="169" t="s">
        <v>284</v>
      </c>
      <c r="R1792" s="169" t="s">
        <v>283</v>
      </c>
      <c r="S1792" s="169" t="s">
        <v>283</v>
      </c>
      <c r="T1792" s="169">
        <v>0</v>
      </c>
    </row>
    <row r="1793" spans="1:20" x14ac:dyDescent="0.2">
      <c r="A1793" s="169" t="str">
        <f t="shared" si="6"/>
        <v>642</v>
      </c>
      <c r="B1793" s="167" t="str">
        <f>_xlfn.XLOOKUP(I1793,Mapping!D:D,Mapping!E:E)</f>
        <v>Ban Giám Đốc</v>
      </c>
      <c r="C1793" s="167" t="str">
        <f>_xlfn.XLOOKUP(F1793,Mapping!A:A,Mapping!F:F)</f>
        <v>Lương Chính +T13</v>
      </c>
      <c r="D1793" s="173">
        <v>45961</v>
      </c>
      <c r="E1793" s="169" t="s">
        <v>1130</v>
      </c>
      <c r="F1793" s="169" t="s">
        <v>285</v>
      </c>
      <c r="G1793" s="169" t="s">
        <v>286</v>
      </c>
      <c r="H1793" s="169" t="s">
        <v>276</v>
      </c>
      <c r="I1793" s="169" t="s">
        <v>277</v>
      </c>
      <c r="J1793" s="169" t="s">
        <v>1131</v>
      </c>
      <c r="K1793" s="169" t="s">
        <v>1132</v>
      </c>
      <c r="L1793" s="169" t="s">
        <v>1133</v>
      </c>
      <c r="M1793" s="169" t="s">
        <v>281</v>
      </c>
      <c r="N1793" s="178">
        <v>19540909</v>
      </c>
      <c r="O1793" s="169" t="s">
        <v>1134</v>
      </c>
      <c r="P1793" s="169" t="s">
        <v>283</v>
      </c>
      <c r="Q1793" s="169" t="s">
        <v>284</v>
      </c>
      <c r="R1793" s="169" t="s">
        <v>283</v>
      </c>
      <c r="S1793" s="169" t="s">
        <v>283</v>
      </c>
      <c r="T1793" s="169">
        <v>0</v>
      </c>
    </row>
    <row r="1794" spans="1:20" x14ac:dyDescent="0.2">
      <c r="A1794" s="169" t="str">
        <f t="shared" si="6"/>
        <v>642</v>
      </c>
      <c r="B1794" s="167" t="str">
        <f>_xlfn.XLOOKUP(I1794,Mapping!D:D,Mapping!E:E)</f>
        <v>Ban Giám Đốc</v>
      </c>
      <c r="C1794" s="167" t="str">
        <f>_xlfn.XLOOKUP(F1794,Mapping!A:A,Mapping!F:F)</f>
        <v>Lương Chính +T13</v>
      </c>
      <c r="D1794" s="173">
        <v>45961</v>
      </c>
      <c r="E1794" s="169" t="s">
        <v>1135</v>
      </c>
      <c r="F1794" s="169" t="s">
        <v>285</v>
      </c>
      <c r="G1794" s="169" t="s">
        <v>286</v>
      </c>
      <c r="H1794" s="169" t="s">
        <v>276</v>
      </c>
      <c r="I1794" s="169" t="s">
        <v>277</v>
      </c>
      <c r="J1794" s="169" t="s">
        <v>1136</v>
      </c>
      <c r="K1794" s="169" t="s">
        <v>1132</v>
      </c>
      <c r="L1794" s="169" t="s">
        <v>1133</v>
      </c>
      <c r="M1794" s="169" t="s">
        <v>281</v>
      </c>
      <c r="N1794" s="178">
        <v>117657917</v>
      </c>
      <c r="O1794" s="169" t="s">
        <v>1137</v>
      </c>
      <c r="P1794" s="169" t="s">
        <v>283</v>
      </c>
      <c r="Q1794" s="169" t="s">
        <v>284</v>
      </c>
      <c r="R1794" s="169" t="s">
        <v>283</v>
      </c>
      <c r="S1794" s="169" t="s">
        <v>283</v>
      </c>
      <c r="T1794" s="169">
        <v>0</v>
      </c>
    </row>
    <row r="1795" spans="1:20" x14ac:dyDescent="0.2">
      <c r="A1795" s="169" t="str">
        <f t="shared" si="6"/>
        <v>642</v>
      </c>
      <c r="B1795" s="167" t="str">
        <f>_xlfn.XLOOKUP(I1795,Mapping!D:D,Mapping!E:E)</f>
        <v>Ban Giám Đốc</v>
      </c>
      <c r="C1795" s="167" t="str">
        <f>_xlfn.XLOOKUP(F1795,Mapping!A:A,Mapping!F:F)</f>
        <v>Thưởng</v>
      </c>
      <c r="D1795" s="173">
        <v>45961</v>
      </c>
      <c r="E1795" s="169" t="s">
        <v>1135</v>
      </c>
      <c r="F1795" s="169" t="s">
        <v>292</v>
      </c>
      <c r="G1795" s="169" t="s">
        <v>77</v>
      </c>
      <c r="H1795" s="169" t="s">
        <v>276</v>
      </c>
      <c r="I1795" s="169" t="s">
        <v>277</v>
      </c>
      <c r="J1795" s="169" t="s">
        <v>1138</v>
      </c>
      <c r="K1795" s="169" t="s">
        <v>1132</v>
      </c>
      <c r="L1795" s="169" t="s">
        <v>1133</v>
      </c>
      <c r="M1795" s="169" t="s">
        <v>281</v>
      </c>
      <c r="N1795" s="178">
        <v>108244342</v>
      </c>
      <c r="O1795" s="169" t="s">
        <v>1137</v>
      </c>
      <c r="P1795" s="169" t="s">
        <v>283</v>
      </c>
      <c r="Q1795" s="169" t="s">
        <v>284</v>
      </c>
      <c r="R1795" s="169" t="s">
        <v>283</v>
      </c>
      <c r="S1795" s="169" t="s">
        <v>283</v>
      </c>
      <c r="T1795" s="169">
        <v>0</v>
      </c>
    </row>
    <row r="1796" spans="1:20" x14ac:dyDescent="0.2">
      <c r="A1796" s="169" t="str">
        <f t="shared" si="6"/>
        <v>642</v>
      </c>
      <c r="B1796" s="167" t="str">
        <f>_xlfn.XLOOKUP(I1796,Mapping!D:D,Mapping!E:E)</f>
        <v>Ban Giám Đốc</v>
      </c>
      <c r="C1796" s="167" t="str">
        <f>_xlfn.XLOOKUP(F1796,Mapping!A:A,Mapping!F:F)</f>
        <v>BHXH, BHYT, KPCĐ</v>
      </c>
      <c r="D1796" s="173">
        <v>45961</v>
      </c>
      <c r="E1796" s="169" t="s">
        <v>1139</v>
      </c>
      <c r="F1796" s="169" t="s">
        <v>295</v>
      </c>
      <c r="G1796" s="169" t="s">
        <v>296</v>
      </c>
      <c r="H1796" s="169" t="s">
        <v>276</v>
      </c>
      <c r="I1796" s="169" t="s">
        <v>277</v>
      </c>
      <c r="J1796" s="169" t="s">
        <v>1140</v>
      </c>
      <c r="K1796" s="169" t="s">
        <v>1132</v>
      </c>
      <c r="L1796" s="169" t="s">
        <v>1133</v>
      </c>
      <c r="M1796" s="169" t="s">
        <v>281</v>
      </c>
      <c r="N1796" s="178">
        <v>126066950</v>
      </c>
      <c r="O1796" s="169" t="s">
        <v>1141</v>
      </c>
      <c r="P1796" s="169" t="s">
        <v>283</v>
      </c>
      <c r="Q1796" s="169" t="s">
        <v>284</v>
      </c>
      <c r="R1796" s="169" t="s">
        <v>283</v>
      </c>
      <c r="S1796" s="169" t="s">
        <v>283</v>
      </c>
      <c r="T1796" s="169">
        <v>0</v>
      </c>
    </row>
    <row r="1797" spans="1:20" x14ac:dyDescent="0.2">
      <c r="A1797" s="169" t="str">
        <f t="shared" si="6"/>
        <v>642</v>
      </c>
      <c r="B1797" s="167" t="str">
        <f>_xlfn.XLOOKUP(I1797,Mapping!D:D,Mapping!E:E)</f>
        <v>Văn Phòng Giám Đốc</v>
      </c>
      <c r="C1797" s="167" t="str">
        <f>_xlfn.XLOOKUP(F1797,Mapping!A:A,Mapping!F:F)</f>
        <v>Lương Chính +T13</v>
      </c>
      <c r="D1797" s="173">
        <v>45961</v>
      </c>
      <c r="E1797" s="169" t="s">
        <v>1130</v>
      </c>
      <c r="F1797" s="169" t="s">
        <v>274</v>
      </c>
      <c r="G1797" s="169" t="s">
        <v>275</v>
      </c>
      <c r="H1797" s="169" t="s">
        <v>320</v>
      </c>
      <c r="I1797" s="169" t="s">
        <v>321</v>
      </c>
      <c r="J1797" s="169" t="s">
        <v>1131</v>
      </c>
      <c r="K1797" s="169" t="s">
        <v>1132</v>
      </c>
      <c r="L1797" s="169" t="s">
        <v>1133</v>
      </c>
      <c r="M1797" s="169" t="s">
        <v>281</v>
      </c>
      <c r="N1797" s="178">
        <v>104858823</v>
      </c>
      <c r="O1797" s="169" t="s">
        <v>1134</v>
      </c>
      <c r="P1797" s="169" t="s">
        <v>283</v>
      </c>
      <c r="Q1797" s="169" t="s">
        <v>284</v>
      </c>
      <c r="R1797" s="169" t="s">
        <v>283</v>
      </c>
      <c r="S1797" s="169" t="s">
        <v>283</v>
      </c>
      <c r="T1797" s="169">
        <v>0</v>
      </c>
    </row>
    <row r="1798" spans="1:20" x14ac:dyDescent="0.2">
      <c r="A1798" s="169" t="str">
        <f t="shared" si="6"/>
        <v>642</v>
      </c>
      <c r="B1798" s="167" t="str">
        <f>_xlfn.XLOOKUP(I1798,Mapping!D:D,Mapping!E:E)</f>
        <v>Văn Phòng Giám Đốc</v>
      </c>
      <c r="C1798" s="167" t="str">
        <f>_xlfn.XLOOKUP(F1798,Mapping!A:A,Mapping!F:F)</f>
        <v>Lương Chính +T13</v>
      </c>
      <c r="D1798" s="173">
        <v>45961</v>
      </c>
      <c r="E1798" s="169" t="s">
        <v>1130</v>
      </c>
      <c r="F1798" s="169" t="s">
        <v>285</v>
      </c>
      <c r="G1798" s="169" t="s">
        <v>286</v>
      </c>
      <c r="H1798" s="169" t="s">
        <v>320</v>
      </c>
      <c r="I1798" s="169" t="s">
        <v>321</v>
      </c>
      <c r="J1798" s="169" t="s">
        <v>1131</v>
      </c>
      <c r="K1798" s="169" t="s">
        <v>1132</v>
      </c>
      <c r="L1798" s="169" t="s">
        <v>1133</v>
      </c>
      <c r="M1798" s="169" t="s">
        <v>281</v>
      </c>
      <c r="N1798" s="178">
        <v>7348076</v>
      </c>
      <c r="O1798" s="169" t="s">
        <v>1134</v>
      </c>
      <c r="P1798" s="169" t="s">
        <v>283</v>
      </c>
      <c r="Q1798" s="169" t="s">
        <v>284</v>
      </c>
      <c r="R1798" s="169" t="s">
        <v>283</v>
      </c>
      <c r="S1798" s="169" t="s">
        <v>283</v>
      </c>
      <c r="T1798" s="169">
        <v>0</v>
      </c>
    </row>
    <row r="1799" spans="1:20" x14ac:dyDescent="0.2">
      <c r="A1799" s="169" t="str">
        <f t="shared" si="6"/>
        <v>642</v>
      </c>
      <c r="B1799" s="167" t="str">
        <f>_xlfn.XLOOKUP(I1799,Mapping!D:D,Mapping!E:E)</f>
        <v>Văn Phòng Giám Đốc</v>
      </c>
      <c r="C1799" s="167" t="str">
        <f>_xlfn.XLOOKUP(F1799,Mapping!A:A,Mapping!F:F)</f>
        <v>Lương Chính +T13</v>
      </c>
      <c r="D1799" s="173">
        <v>45961</v>
      </c>
      <c r="E1799" s="169" t="s">
        <v>1135</v>
      </c>
      <c r="F1799" s="169" t="s">
        <v>285</v>
      </c>
      <c r="G1799" s="169" t="s">
        <v>286</v>
      </c>
      <c r="H1799" s="169" t="s">
        <v>320</v>
      </c>
      <c r="I1799" s="169" t="s">
        <v>321</v>
      </c>
      <c r="J1799" s="169" t="s">
        <v>1136</v>
      </c>
      <c r="K1799" s="169" t="s">
        <v>1132</v>
      </c>
      <c r="L1799" s="169" t="s">
        <v>1133</v>
      </c>
      <c r="M1799" s="169" t="s">
        <v>281</v>
      </c>
      <c r="N1799" s="178">
        <v>9604167</v>
      </c>
      <c r="O1799" s="169" t="s">
        <v>1137</v>
      </c>
      <c r="P1799" s="169" t="s">
        <v>283</v>
      </c>
      <c r="Q1799" s="169" t="s">
        <v>284</v>
      </c>
      <c r="R1799" s="169" t="s">
        <v>283</v>
      </c>
      <c r="S1799" s="169" t="s">
        <v>283</v>
      </c>
      <c r="T1799" s="169">
        <v>0</v>
      </c>
    </row>
    <row r="1800" spans="1:20" x14ac:dyDescent="0.2">
      <c r="A1800" s="169" t="str">
        <f t="shared" si="6"/>
        <v>642</v>
      </c>
      <c r="B1800" s="167" t="str">
        <f>_xlfn.XLOOKUP(I1800,Mapping!D:D,Mapping!E:E)</f>
        <v>Văn Phòng Giám Đốc</v>
      </c>
      <c r="C1800" s="167" t="str">
        <f>_xlfn.XLOOKUP(F1800,Mapping!A:A,Mapping!F:F)</f>
        <v>Thưởng</v>
      </c>
      <c r="D1800" s="173">
        <v>45961</v>
      </c>
      <c r="E1800" s="169" t="s">
        <v>1135</v>
      </c>
      <c r="F1800" s="169" t="s">
        <v>292</v>
      </c>
      <c r="G1800" s="169" t="s">
        <v>77</v>
      </c>
      <c r="H1800" s="169" t="s">
        <v>320</v>
      </c>
      <c r="I1800" s="169" t="s">
        <v>321</v>
      </c>
      <c r="J1800" s="169" t="s">
        <v>1138</v>
      </c>
      <c r="K1800" s="169" t="s">
        <v>1132</v>
      </c>
      <c r="L1800" s="169" t="s">
        <v>1133</v>
      </c>
      <c r="M1800" s="169" t="s">
        <v>281</v>
      </c>
      <c r="N1800" s="178">
        <v>8835757</v>
      </c>
      <c r="O1800" s="169" t="s">
        <v>1137</v>
      </c>
      <c r="P1800" s="169" t="s">
        <v>283</v>
      </c>
      <c r="Q1800" s="169" t="s">
        <v>284</v>
      </c>
      <c r="R1800" s="169" t="s">
        <v>283</v>
      </c>
      <c r="S1800" s="169" t="s">
        <v>283</v>
      </c>
      <c r="T1800" s="169">
        <v>0</v>
      </c>
    </row>
    <row r="1801" spans="1:20" x14ac:dyDescent="0.2">
      <c r="A1801" s="169" t="str">
        <f t="shared" si="6"/>
        <v>642</v>
      </c>
      <c r="B1801" s="167" t="str">
        <f>_xlfn.XLOOKUP(I1801,Mapping!D:D,Mapping!E:E)</f>
        <v>Văn Phòng Giám Đốc</v>
      </c>
      <c r="C1801" s="167" t="str">
        <f>_xlfn.XLOOKUP(F1801,Mapping!A:A,Mapping!F:F)</f>
        <v>Phụ Cấp</v>
      </c>
      <c r="D1801" s="173">
        <v>45958</v>
      </c>
      <c r="E1801" s="169" t="s">
        <v>1142</v>
      </c>
      <c r="F1801" s="169" t="s">
        <v>335</v>
      </c>
      <c r="G1801" s="169" t="s">
        <v>336</v>
      </c>
      <c r="H1801" s="169" t="s">
        <v>320</v>
      </c>
      <c r="I1801" s="169" t="s">
        <v>321</v>
      </c>
      <c r="J1801" s="169" t="s">
        <v>1143</v>
      </c>
      <c r="K1801" s="169" t="s">
        <v>992</v>
      </c>
      <c r="L1801" s="169" t="s">
        <v>1133</v>
      </c>
      <c r="M1801" s="169" t="s">
        <v>281</v>
      </c>
      <c r="N1801" s="178">
        <v>1975000</v>
      </c>
      <c r="O1801" s="169" t="s">
        <v>1144</v>
      </c>
      <c r="P1801" s="169" t="s">
        <v>283</v>
      </c>
      <c r="Q1801" s="169" t="s">
        <v>306</v>
      </c>
      <c r="R1801" s="169" t="s">
        <v>283</v>
      </c>
      <c r="S1801" s="169" t="s">
        <v>283</v>
      </c>
      <c r="T1801" s="169">
        <v>0</v>
      </c>
    </row>
    <row r="1802" spans="1:20" x14ac:dyDescent="0.2">
      <c r="A1802" s="169" t="str">
        <f t="shared" si="6"/>
        <v>642</v>
      </c>
      <c r="B1802" s="167" t="str">
        <f>_xlfn.XLOOKUP(I1802,Mapping!D:D,Mapping!E:E)</f>
        <v>Văn Phòng Giám Đốc</v>
      </c>
      <c r="C1802" s="167" t="str">
        <f>_xlfn.XLOOKUP(F1802,Mapping!A:A,Mapping!F:F)</f>
        <v>BHXH, BHYT, KPCĐ</v>
      </c>
      <c r="D1802" s="173">
        <v>45961</v>
      </c>
      <c r="E1802" s="169" t="s">
        <v>1139</v>
      </c>
      <c r="F1802" s="169" t="s">
        <v>295</v>
      </c>
      <c r="G1802" s="169" t="s">
        <v>296</v>
      </c>
      <c r="H1802" s="169" t="s">
        <v>320</v>
      </c>
      <c r="I1802" s="169" t="s">
        <v>321</v>
      </c>
      <c r="J1802" s="169" t="s">
        <v>1140</v>
      </c>
      <c r="K1802" s="169" t="s">
        <v>1132</v>
      </c>
      <c r="L1802" s="169" t="s">
        <v>1133</v>
      </c>
      <c r="M1802" s="169" t="s">
        <v>281</v>
      </c>
      <c r="N1802" s="178">
        <v>34958750</v>
      </c>
      <c r="O1802" s="169" t="s">
        <v>1141</v>
      </c>
      <c r="P1802" s="169" t="s">
        <v>283</v>
      </c>
      <c r="Q1802" s="169" t="s">
        <v>284</v>
      </c>
      <c r="R1802" s="169" t="s">
        <v>283</v>
      </c>
      <c r="S1802" s="169" t="s">
        <v>283</v>
      </c>
      <c r="T1802" s="169">
        <v>0</v>
      </c>
    </row>
    <row r="1803" spans="1:20" x14ac:dyDescent="0.2">
      <c r="A1803" s="169" t="str">
        <f t="shared" si="6"/>
        <v>642</v>
      </c>
      <c r="B1803" s="167" t="str">
        <f>_xlfn.XLOOKUP(I1803,Mapping!D:D,Mapping!E:E)</f>
        <v>Hành Chánh Nhân Sự</v>
      </c>
      <c r="C1803" s="167" t="str">
        <f>_xlfn.XLOOKUP(F1803,Mapping!A:A,Mapping!F:F)</f>
        <v>Phụ Cấp</v>
      </c>
      <c r="D1803" s="173">
        <v>45961</v>
      </c>
      <c r="E1803" s="169" t="s">
        <v>1130</v>
      </c>
      <c r="F1803" s="169" t="s">
        <v>340</v>
      </c>
      <c r="G1803" s="169" t="s">
        <v>341</v>
      </c>
      <c r="H1803" s="169" t="s">
        <v>301</v>
      </c>
      <c r="I1803" s="169" t="s">
        <v>302</v>
      </c>
      <c r="J1803" s="169" t="s">
        <v>1131</v>
      </c>
      <c r="K1803" s="169" t="s">
        <v>1132</v>
      </c>
      <c r="L1803" s="169" t="s">
        <v>1133</v>
      </c>
      <c r="M1803" s="169" t="s">
        <v>281</v>
      </c>
      <c r="N1803" s="178">
        <v>6535049</v>
      </c>
      <c r="O1803" s="169" t="s">
        <v>1134</v>
      </c>
      <c r="P1803" s="169" t="s">
        <v>283</v>
      </c>
      <c r="Q1803" s="169" t="s">
        <v>284</v>
      </c>
      <c r="R1803" s="169" t="s">
        <v>283</v>
      </c>
      <c r="S1803" s="169" t="s">
        <v>283</v>
      </c>
      <c r="T1803" s="169">
        <v>0</v>
      </c>
    </row>
    <row r="1804" spans="1:20" x14ac:dyDescent="0.2">
      <c r="A1804" s="169" t="str">
        <f t="shared" si="6"/>
        <v>642</v>
      </c>
      <c r="B1804" s="167" t="str">
        <f>_xlfn.XLOOKUP(I1804,Mapping!D:D,Mapping!E:E)</f>
        <v>Hành Chánh Nhân Sự</v>
      </c>
      <c r="C1804" s="167" t="str">
        <f>_xlfn.XLOOKUP(F1804,Mapping!A:A,Mapping!F:F)</f>
        <v>Lương Chính +T13</v>
      </c>
      <c r="D1804" s="173">
        <v>45961</v>
      </c>
      <c r="E1804" s="169" t="s">
        <v>1130</v>
      </c>
      <c r="F1804" s="169" t="s">
        <v>274</v>
      </c>
      <c r="G1804" s="169" t="s">
        <v>275</v>
      </c>
      <c r="H1804" s="169" t="s">
        <v>301</v>
      </c>
      <c r="I1804" s="169" t="s">
        <v>302</v>
      </c>
      <c r="J1804" s="169" t="s">
        <v>1131</v>
      </c>
      <c r="K1804" s="169" t="s">
        <v>1132</v>
      </c>
      <c r="L1804" s="169" t="s">
        <v>1133</v>
      </c>
      <c r="M1804" s="169" t="s">
        <v>281</v>
      </c>
      <c r="N1804" s="178">
        <v>448770683</v>
      </c>
      <c r="O1804" s="169" t="s">
        <v>1134</v>
      </c>
      <c r="P1804" s="169" t="s">
        <v>283</v>
      </c>
      <c r="Q1804" s="169" t="s">
        <v>284</v>
      </c>
      <c r="R1804" s="169" t="s">
        <v>283</v>
      </c>
      <c r="S1804" s="169" t="s">
        <v>283</v>
      </c>
      <c r="T1804" s="169">
        <v>0</v>
      </c>
    </row>
    <row r="1805" spans="1:20" x14ac:dyDescent="0.2">
      <c r="A1805" s="169" t="str">
        <f t="shared" si="6"/>
        <v>642</v>
      </c>
      <c r="B1805" s="167" t="str">
        <f>_xlfn.XLOOKUP(I1805,Mapping!D:D,Mapping!E:E)</f>
        <v>Hành Chánh Nhân Sự</v>
      </c>
      <c r="C1805" s="167" t="str">
        <f>_xlfn.XLOOKUP(F1805,Mapping!A:A,Mapping!F:F)</f>
        <v>Lương Chính +T13</v>
      </c>
      <c r="D1805" s="173">
        <v>45958</v>
      </c>
      <c r="E1805" s="169" t="s">
        <v>1145</v>
      </c>
      <c r="F1805" s="169" t="s">
        <v>274</v>
      </c>
      <c r="G1805" s="169" t="s">
        <v>275</v>
      </c>
      <c r="H1805" s="169" t="s">
        <v>301</v>
      </c>
      <c r="I1805" s="169" t="s">
        <v>302</v>
      </c>
      <c r="J1805" s="169" t="s">
        <v>1146</v>
      </c>
      <c r="K1805" s="169" t="s">
        <v>405</v>
      </c>
      <c r="L1805" s="169" t="s">
        <v>1133</v>
      </c>
      <c r="M1805" s="169" t="s">
        <v>281</v>
      </c>
      <c r="N1805" s="178">
        <v>3902261</v>
      </c>
      <c r="O1805" s="169" t="s">
        <v>1147</v>
      </c>
      <c r="P1805" s="169" t="s">
        <v>283</v>
      </c>
      <c r="Q1805" s="169" t="s">
        <v>306</v>
      </c>
      <c r="R1805" s="169" t="s">
        <v>283</v>
      </c>
      <c r="S1805" s="169" t="s">
        <v>283</v>
      </c>
      <c r="T1805" s="169">
        <v>0</v>
      </c>
    </row>
    <row r="1806" spans="1:20" x14ac:dyDescent="0.2">
      <c r="A1806" s="169" t="str">
        <f t="shared" si="6"/>
        <v>642</v>
      </c>
      <c r="B1806" s="167" t="str">
        <f>_xlfn.XLOOKUP(I1806,Mapping!D:D,Mapping!E:E)</f>
        <v>Hành Chánh Nhân Sự</v>
      </c>
      <c r="C1806" s="167" t="str">
        <f>_xlfn.XLOOKUP(F1806,Mapping!A:A,Mapping!F:F)</f>
        <v>Lương Chính +T13</v>
      </c>
      <c r="D1806" s="173">
        <v>45961</v>
      </c>
      <c r="E1806" s="169" t="s">
        <v>1148</v>
      </c>
      <c r="F1806" s="169" t="s">
        <v>274</v>
      </c>
      <c r="G1806" s="169" t="s">
        <v>275</v>
      </c>
      <c r="H1806" s="169" t="s">
        <v>301</v>
      </c>
      <c r="I1806" s="169" t="s">
        <v>302</v>
      </c>
      <c r="J1806" s="169" t="s">
        <v>1149</v>
      </c>
      <c r="K1806" s="169" t="s">
        <v>328</v>
      </c>
      <c r="L1806" s="169" t="s">
        <v>1133</v>
      </c>
      <c r="M1806" s="169" t="s">
        <v>281</v>
      </c>
      <c r="N1806" s="178">
        <v>92500000</v>
      </c>
      <c r="O1806" s="169" t="s">
        <v>1150</v>
      </c>
      <c r="P1806" s="169" t="s">
        <v>283</v>
      </c>
      <c r="Q1806" s="169" t="s">
        <v>306</v>
      </c>
      <c r="R1806" s="169" t="s">
        <v>283</v>
      </c>
      <c r="S1806" s="169" t="s">
        <v>283</v>
      </c>
      <c r="T1806" s="169">
        <v>0</v>
      </c>
    </row>
    <row r="1807" spans="1:20" x14ac:dyDescent="0.2">
      <c r="A1807" s="169" t="str">
        <f t="shared" si="6"/>
        <v>642</v>
      </c>
      <c r="B1807" s="167" t="str">
        <f>_xlfn.XLOOKUP(I1807,Mapping!D:D,Mapping!E:E)</f>
        <v>Hành Chánh Nhân Sự</v>
      </c>
      <c r="C1807" s="167" t="str">
        <f>_xlfn.XLOOKUP(F1807,Mapping!A:A,Mapping!F:F)</f>
        <v>Lương Chính +T13</v>
      </c>
      <c r="D1807" s="173">
        <v>45961</v>
      </c>
      <c r="E1807" s="169" t="s">
        <v>1130</v>
      </c>
      <c r="F1807" s="169" t="s">
        <v>285</v>
      </c>
      <c r="G1807" s="169" t="s">
        <v>286</v>
      </c>
      <c r="H1807" s="169" t="s">
        <v>301</v>
      </c>
      <c r="I1807" s="169" t="s">
        <v>302</v>
      </c>
      <c r="J1807" s="169" t="s">
        <v>1131</v>
      </c>
      <c r="K1807" s="169" t="s">
        <v>1132</v>
      </c>
      <c r="L1807" s="169" t="s">
        <v>1133</v>
      </c>
      <c r="M1807" s="169" t="s">
        <v>281</v>
      </c>
      <c r="N1807" s="178">
        <v>18945674</v>
      </c>
      <c r="O1807" s="169" t="s">
        <v>1134</v>
      </c>
      <c r="P1807" s="169" t="s">
        <v>283</v>
      </c>
      <c r="Q1807" s="169" t="s">
        <v>284</v>
      </c>
      <c r="R1807" s="169" t="s">
        <v>283</v>
      </c>
      <c r="S1807" s="169" t="s">
        <v>283</v>
      </c>
      <c r="T1807" s="169">
        <v>0</v>
      </c>
    </row>
    <row r="1808" spans="1:20" x14ac:dyDescent="0.2">
      <c r="A1808" s="169" t="str">
        <f t="shared" si="6"/>
        <v>642</v>
      </c>
      <c r="B1808" s="167" t="str">
        <f>_xlfn.XLOOKUP(I1808,Mapping!D:D,Mapping!E:E)</f>
        <v>Hành Chánh Nhân Sự</v>
      </c>
      <c r="C1808" s="167" t="str">
        <f>_xlfn.XLOOKUP(F1808,Mapping!A:A,Mapping!F:F)</f>
        <v>Lương Chính +T13</v>
      </c>
      <c r="D1808" s="173">
        <v>45961</v>
      </c>
      <c r="E1808" s="169" t="s">
        <v>1135</v>
      </c>
      <c r="F1808" s="169" t="s">
        <v>285</v>
      </c>
      <c r="G1808" s="169" t="s">
        <v>286</v>
      </c>
      <c r="H1808" s="169" t="s">
        <v>301</v>
      </c>
      <c r="I1808" s="169" t="s">
        <v>302</v>
      </c>
      <c r="J1808" s="169" t="s">
        <v>1136</v>
      </c>
      <c r="K1808" s="169" t="s">
        <v>1132</v>
      </c>
      <c r="L1808" s="169" t="s">
        <v>1133</v>
      </c>
      <c r="M1808" s="169" t="s">
        <v>281</v>
      </c>
      <c r="N1808" s="178">
        <v>41796426</v>
      </c>
      <c r="O1808" s="169" t="s">
        <v>1137</v>
      </c>
      <c r="P1808" s="169" t="s">
        <v>283</v>
      </c>
      <c r="Q1808" s="169" t="s">
        <v>284</v>
      </c>
      <c r="R1808" s="169" t="s">
        <v>283</v>
      </c>
      <c r="S1808" s="169" t="s">
        <v>283</v>
      </c>
      <c r="T1808" s="169">
        <v>0</v>
      </c>
    </row>
    <row r="1809" spans="1:20" x14ac:dyDescent="0.2">
      <c r="A1809" s="169" t="str">
        <f t="shared" si="6"/>
        <v>642</v>
      </c>
      <c r="B1809" s="167" t="str">
        <f>_xlfn.XLOOKUP(I1809,Mapping!D:D,Mapping!E:E)</f>
        <v>Hành Chánh Nhân Sự</v>
      </c>
      <c r="C1809" s="167" t="str">
        <f>_xlfn.XLOOKUP(F1809,Mapping!A:A,Mapping!F:F)</f>
        <v>Lương Ngoài giờ</v>
      </c>
      <c r="D1809" s="173">
        <v>45961</v>
      </c>
      <c r="E1809" s="169" t="s">
        <v>1130</v>
      </c>
      <c r="F1809" s="169" t="s">
        <v>342</v>
      </c>
      <c r="G1809" s="169" t="s">
        <v>343</v>
      </c>
      <c r="H1809" s="169" t="s">
        <v>301</v>
      </c>
      <c r="I1809" s="169" t="s">
        <v>302</v>
      </c>
      <c r="J1809" s="169" t="s">
        <v>1131</v>
      </c>
      <c r="K1809" s="169" t="s">
        <v>1132</v>
      </c>
      <c r="L1809" s="169" t="s">
        <v>1133</v>
      </c>
      <c r="M1809" s="169" t="s">
        <v>281</v>
      </c>
      <c r="N1809" s="178">
        <v>81483867</v>
      </c>
      <c r="O1809" s="169" t="s">
        <v>1134</v>
      </c>
      <c r="P1809" s="169" t="s">
        <v>283</v>
      </c>
      <c r="Q1809" s="169" t="s">
        <v>284</v>
      </c>
      <c r="R1809" s="169" t="s">
        <v>283</v>
      </c>
      <c r="S1809" s="169" t="s">
        <v>283</v>
      </c>
      <c r="T1809" s="169">
        <v>0</v>
      </c>
    </row>
    <row r="1810" spans="1:20" x14ac:dyDescent="0.2">
      <c r="A1810" s="169" t="str">
        <f t="shared" si="6"/>
        <v>642</v>
      </c>
      <c r="B1810" s="167" t="str">
        <f>_xlfn.XLOOKUP(I1810,Mapping!D:D,Mapping!E:E)</f>
        <v>Hành Chánh Nhân Sự</v>
      </c>
      <c r="C1810" s="167" t="str">
        <f>_xlfn.XLOOKUP(F1810,Mapping!A:A,Mapping!F:F)</f>
        <v>Thưởng</v>
      </c>
      <c r="D1810" s="173">
        <v>45961</v>
      </c>
      <c r="E1810" s="169" t="s">
        <v>1135</v>
      </c>
      <c r="F1810" s="169" t="s">
        <v>292</v>
      </c>
      <c r="G1810" s="169" t="s">
        <v>77</v>
      </c>
      <c r="H1810" s="169" t="s">
        <v>301</v>
      </c>
      <c r="I1810" s="169" t="s">
        <v>302</v>
      </c>
      <c r="J1810" s="169" t="s">
        <v>1138</v>
      </c>
      <c r="K1810" s="169" t="s">
        <v>1132</v>
      </c>
      <c r="L1810" s="169" t="s">
        <v>1133</v>
      </c>
      <c r="M1810" s="169" t="s">
        <v>281</v>
      </c>
      <c r="N1810" s="178">
        <v>33113485</v>
      </c>
      <c r="O1810" s="169" t="s">
        <v>1137</v>
      </c>
      <c r="P1810" s="169" t="s">
        <v>283</v>
      </c>
      <c r="Q1810" s="169" t="s">
        <v>284</v>
      </c>
      <c r="R1810" s="169" t="s">
        <v>283</v>
      </c>
      <c r="S1810" s="169" t="s">
        <v>283</v>
      </c>
      <c r="T1810" s="169">
        <v>0</v>
      </c>
    </row>
    <row r="1811" spans="1:20" x14ac:dyDescent="0.2">
      <c r="A1811" s="169" t="str">
        <f t="shared" si="6"/>
        <v>642</v>
      </c>
      <c r="B1811" s="167" t="str">
        <f>_xlfn.XLOOKUP(I1811,Mapping!D:D,Mapping!E:E)</f>
        <v>Hành Chánh Nhân Sự</v>
      </c>
      <c r="C1811" s="167" t="str">
        <f>_xlfn.XLOOKUP(F1811,Mapping!A:A,Mapping!F:F)</f>
        <v>Phụ Cấp</v>
      </c>
      <c r="D1811" s="173">
        <v>45961</v>
      </c>
      <c r="E1811" s="169" t="s">
        <v>1130</v>
      </c>
      <c r="F1811" s="169" t="s">
        <v>335</v>
      </c>
      <c r="G1811" s="169" t="s">
        <v>336</v>
      </c>
      <c r="H1811" s="169" t="s">
        <v>301</v>
      </c>
      <c r="I1811" s="169" t="s">
        <v>302</v>
      </c>
      <c r="J1811" s="169" t="s">
        <v>1131</v>
      </c>
      <c r="K1811" s="169" t="s">
        <v>1132</v>
      </c>
      <c r="L1811" s="169" t="s">
        <v>1133</v>
      </c>
      <c r="M1811" s="169" t="s">
        <v>281</v>
      </c>
      <c r="N1811" s="178">
        <v>5280000</v>
      </c>
      <c r="O1811" s="169" t="s">
        <v>1134</v>
      </c>
      <c r="P1811" s="169" t="s">
        <v>283</v>
      </c>
      <c r="Q1811" s="169" t="s">
        <v>284</v>
      </c>
      <c r="R1811" s="169" t="s">
        <v>283</v>
      </c>
      <c r="S1811" s="169" t="s">
        <v>283</v>
      </c>
      <c r="T1811" s="169">
        <v>0</v>
      </c>
    </row>
    <row r="1812" spans="1:20" x14ac:dyDescent="0.2">
      <c r="A1812" s="169" t="str">
        <f t="shared" si="6"/>
        <v>642</v>
      </c>
      <c r="B1812" s="167" t="str">
        <f>_xlfn.XLOOKUP(I1812,Mapping!D:D,Mapping!E:E)</f>
        <v>Hành Chánh Nhân Sự</v>
      </c>
      <c r="C1812" s="167" t="str">
        <f>_xlfn.XLOOKUP(F1812,Mapping!A:A,Mapping!F:F)</f>
        <v>Phụ Cấp</v>
      </c>
      <c r="D1812" s="173">
        <v>45958</v>
      </c>
      <c r="E1812" s="169" t="s">
        <v>1142</v>
      </c>
      <c r="F1812" s="169" t="s">
        <v>335</v>
      </c>
      <c r="G1812" s="169" t="s">
        <v>336</v>
      </c>
      <c r="H1812" s="169" t="s">
        <v>301</v>
      </c>
      <c r="I1812" s="169" t="s">
        <v>302</v>
      </c>
      <c r="J1812" s="169" t="s">
        <v>1143</v>
      </c>
      <c r="K1812" s="169" t="s">
        <v>992</v>
      </c>
      <c r="L1812" s="169" t="s">
        <v>1133</v>
      </c>
      <c r="M1812" s="169" t="s">
        <v>281</v>
      </c>
      <c r="N1812" s="178">
        <v>26300000</v>
      </c>
      <c r="O1812" s="169" t="s">
        <v>1144</v>
      </c>
      <c r="P1812" s="169" t="s">
        <v>283</v>
      </c>
      <c r="Q1812" s="169" t="s">
        <v>306</v>
      </c>
      <c r="R1812" s="169" t="s">
        <v>283</v>
      </c>
      <c r="S1812" s="169" t="s">
        <v>283</v>
      </c>
      <c r="T1812" s="169">
        <v>0</v>
      </c>
    </row>
    <row r="1813" spans="1:20" x14ac:dyDescent="0.2">
      <c r="A1813" s="169" t="str">
        <f t="shared" si="6"/>
        <v>642</v>
      </c>
      <c r="B1813" s="167" t="str">
        <f>_xlfn.XLOOKUP(I1813,Mapping!D:D,Mapping!E:E)</f>
        <v>Hành Chánh Nhân Sự</v>
      </c>
      <c r="C1813" s="167" t="str">
        <f>_xlfn.XLOOKUP(F1813,Mapping!A:A,Mapping!F:F)</f>
        <v>Phụ Cấp</v>
      </c>
      <c r="D1813" s="173">
        <v>45961</v>
      </c>
      <c r="E1813" s="169" t="s">
        <v>1151</v>
      </c>
      <c r="F1813" s="169" t="s">
        <v>335</v>
      </c>
      <c r="G1813" s="169" t="s">
        <v>336</v>
      </c>
      <c r="H1813" s="169" t="s">
        <v>301</v>
      </c>
      <c r="I1813" s="169" t="s">
        <v>302</v>
      </c>
      <c r="J1813" s="169" t="s">
        <v>1152</v>
      </c>
      <c r="K1813" s="169" t="s">
        <v>1153</v>
      </c>
      <c r="L1813" s="169" t="s">
        <v>1133</v>
      </c>
      <c r="M1813" s="169" t="s">
        <v>281</v>
      </c>
      <c r="N1813" s="178">
        <v>1417000</v>
      </c>
      <c r="O1813" s="169" t="s">
        <v>1154</v>
      </c>
      <c r="P1813" s="169" t="s">
        <v>283</v>
      </c>
      <c r="Q1813" s="169" t="s">
        <v>306</v>
      </c>
      <c r="R1813" s="169" t="s">
        <v>283</v>
      </c>
      <c r="S1813" s="169" t="s">
        <v>283</v>
      </c>
      <c r="T1813" s="169">
        <v>0</v>
      </c>
    </row>
    <row r="1814" spans="1:20" x14ac:dyDescent="0.2">
      <c r="A1814" s="169" t="str">
        <f t="shared" si="6"/>
        <v>642</v>
      </c>
      <c r="B1814" s="167" t="str">
        <f>_xlfn.XLOOKUP(I1814,Mapping!D:D,Mapping!E:E)</f>
        <v>Hành Chánh Nhân Sự</v>
      </c>
      <c r="C1814" s="167" t="str">
        <f>_xlfn.XLOOKUP(F1814,Mapping!A:A,Mapping!F:F)</f>
        <v>BHXH, BHYT, KPCĐ</v>
      </c>
      <c r="D1814" s="173">
        <v>45961</v>
      </c>
      <c r="E1814" s="169" t="s">
        <v>1139</v>
      </c>
      <c r="F1814" s="169" t="s">
        <v>295</v>
      </c>
      <c r="G1814" s="169" t="s">
        <v>296</v>
      </c>
      <c r="H1814" s="169" t="s">
        <v>301</v>
      </c>
      <c r="I1814" s="169" t="s">
        <v>302</v>
      </c>
      <c r="J1814" s="169" t="s">
        <v>1140</v>
      </c>
      <c r="K1814" s="169" t="s">
        <v>1132</v>
      </c>
      <c r="L1814" s="169" t="s">
        <v>1133</v>
      </c>
      <c r="M1814" s="169" t="s">
        <v>281</v>
      </c>
      <c r="N1814" s="178">
        <v>112883030</v>
      </c>
      <c r="O1814" s="169" t="s">
        <v>1141</v>
      </c>
      <c r="P1814" s="169" t="s">
        <v>283</v>
      </c>
      <c r="Q1814" s="169" t="s">
        <v>284</v>
      </c>
      <c r="R1814" s="169" t="s">
        <v>283</v>
      </c>
      <c r="S1814" s="169" t="s">
        <v>283</v>
      </c>
      <c r="T1814" s="169">
        <v>0</v>
      </c>
    </row>
    <row r="1815" spans="1:20" x14ac:dyDescent="0.2">
      <c r="A1815" s="169" t="str">
        <f t="shared" si="6"/>
        <v>642</v>
      </c>
      <c r="B1815" s="167" t="str">
        <f>_xlfn.XLOOKUP(I1815,Mapping!D:D,Mapping!E:E)</f>
        <v>Hành Chánh Nhân Sự</v>
      </c>
      <c r="C1815" s="167" t="str">
        <f>_xlfn.XLOOKUP(F1815,Mapping!A:A,Mapping!F:F)</f>
        <v>Khen thưởng BD khác</v>
      </c>
      <c r="D1815" s="173">
        <v>45961</v>
      </c>
      <c r="E1815" s="169" t="s">
        <v>1155</v>
      </c>
      <c r="F1815" s="169" t="s">
        <v>300</v>
      </c>
      <c r="G1815" s="169" t="s">
        <v>222</v>
      </c>
      <c r="H1815" s="169" t="s">
        <v>301</v>
      </c>
      <c r="I1815" s="169" t="s">
        <v>302</v>
      </c>
      <c r="J1815" s="169" t="s">
        <v>1156</v>
      </c>
      <c r="K1815" s="169" t="s">
        <v>1157</v>
      </c>
      <c r="L1815" s="169" t="s">
        <v>1133</v>
      </c>
      <c r="M1815" s="169" t="s">
        <v>281</v>
      </c>
      <c r="N1815" s="178">
        <v>6000000</v>
      </c>
      <c r="O1815" s="169" t="s">
        <v>1158</v>
      </c>
      <c r="P1815" s="169" t="s">
        <v>283</v>
      </c>
      <c r="Q1815" s="169" t="s">
        <v>306</v>
      </c>
      <c r="R1815" s="169" t="s">
        <v>283</v>
      </c>
      <c r="S1815" s="169" t="s">
        <v>283</v>
      </c>
      <c r="T1815" s="169">
        <v>0</v>
      </c>
    </row>
    <row r="1816" spans="1:20" x14ac:dyDescent="0.2">
      <c r="A1816" s="169" t="str">
        <f t="shared" si="6"/>
        <v>642</v>
      </c>
      <c r="B1816" s="167" t="str">
        <f>_xlfn.XLOOKUP(I1816,Mapping!D:D,Mapping!E:E)</f>
        <v>Kế Toán</v>
      </c>
      <c r="C1816" s="167" t="str">
        <f>_xlfn.XLOOKUP(F1816,Mapping!A:A,Mapping!F:F)</f>
        <v>Lương Chính +T13</v>
      </c>
      <c r="D1816" s="173">
        <v>45961</v>
      </c>
      <c r="E1816" s="169" t="s">
        <v>1130</v>
      </c>
      <c r="F1816" s="169" t="s">
        <v>274</v>
      </c>
      <c r="G1816" s="169" t="s">
        <v>275</v>
      </c>
      <c r="H1816" s="169" t="s">
        <v>356</v>
      </c>
      <c r="I1816" s="169" t="s">
        <v>357</v>
      </c>
      <c r="J1816" s="169" t="s">
        <v>1131</v>
      </c>
      <c r="K1816" s="169" t="s">
        <v>1132</v>
      </c>
      <c r="L1816" s="169" t="s">
        <v>1133</v>
      </c>
      <c r="M1816" s="169" t="s">
        <v>281</v>
      </c>
      <c r="N1816" s="178">
        <v>520219272</v>
      </c>
      <c r="O1816" s="169" t="s">
        <v>1134</v>
      </c>
      <c r="P1816" s="169" t="s">
        <v>283</v>
      </c>
      <c r="Q1816" s="169" t="s">
        <v>284</v>
      </c>
      <c r="R1816" s="169" t="s">
        <v>283</v>
      </c>
      <c r="S1816" s="169" t="s">
        <v>283</v>
      </c>
      <c r="T1816" s="169">
        <v>0</v>
      </c>
    </row>
    <row r="1817" spans="1:20" x14ac:dyDescent="0.2">
      <c r="A1817" s="169" t="str">
        <f t="shared" si="6"/>
        <v>642</v>
      </c>
      <c r="B1817" s="167" t="str">
        <f>_xlfn.XLOOKUP(I1817,Mapping!D:D,Mapping!E:E)</f>
        <v>Kế Toán</v>
      </c>
      <c r="C1817" s="167" t="str">
        <f>_xlfn.XLOOKUP(F1817,Mapping!A:A,Mapping!F:F)</f>
        <v>Lương Chính +T13</v>
      </c>
      <c r="D1817" s="173">
        <v>45961</v>
      </c>
      <c r="E1817" s="169" t="s">
        <v>1130</v>
      </c>
      <c r="F1817" s="169" t="s">
        <v>285</v>
      </c>
      <c r="G1817" s="169" t="s">
        <v>286</v>
      </c>
      <c r="H1817" s="169" t="s">
        <v>356</v>
      </c>
      <c r="I1817" s="169" t="s">
        <v>357</v>
      </c>
      <c r="J1817" s="169" t="s">
        <v>1131</v>
      </c>
      <c r="K1817" s="169" t="s">
        <v>1132</v>
      </c>
      <c r="L1817" s="169" t="s">
        <v>1133</v>
      </c>
      <c r="M1817" s="169" t="s">
        <v>281</v>
      </c>
      <c r="N1817" s="178">
        <v>21847179</v>
      </c>
      <c r="O1817" s="169" t="s">
        <v>1134</v>
      </c>
      <c r="P1817" s="169" t="s">
        <v>283</v>
      </c>
      <c r="Q1817" s="169" t="s">
        <v>284</v>
      </c>
      <c r="R1817" s="169" t="s">
        <v>283</v>
      </c>
      <c r="S1817" s="169" t="s">
        <v>283</v>
      </c>
      <c r="T1817" s="169">
        <v>0</v>
      </c>
    </row>
    <row r="1818" spans="1:20" x14ac:dyDescent="0.2">
      <c r="A1818" s="169" t="str">
        <f t="shared" si="6"/>
        <v>642</v>
      </c>
      <c r="B1818" s="167" t="str">
        <f>_xlfn.XLOOKUP(I1818,Mapping!D:D,Mapping!E:E)</f>
        <v>Kế Toán</v>
      </c>
      <c r="C1818" s="167" t="str">
        <f>_xlfn.XLOOKUP(F1818,Mapping!A:A,Mapping!F:F)</f>
        <v>Lương Ngoài giờ</v>
      </c>
      <c r="D1818" s="173">
        <v>45961</v>
      </c>
      <c r="E1818" s="169" t="s">
        <v>1130</v>
      </c>
      <c r="F1818" s="169" t="s">
        <v>342</v>
      </c>
      <c r="G1818" s="169" t="s">
        <v>343</v>
      </c>
      <c r="H1818" s="169" t="s">
        <v>356</v>
      </c>
      <c r="I1818" s="169" t="s">
        <v>357</v>
      </c>
      <c r="J1818" s="169" t="s">
        <v>1131</v>
      </c>
      <c r="K1818" s="169" t="s">
        <v>1132</v>
      </c>
      <c r="L1818" s="169" t="s">
        <v>1133</v>
      </c>
      <c r="M1818" s="169" t="s">
        <v>281</v>
      </c>
      <c r="N1818" s="178">
        <v>47228200</v>
      </c>
      <c r="O1818" s="169" t="s">
        <v>1134</v>
      </c>
      <c r="P1818" s="169" t="s">
        <v>283</v>
      </c>
      <c r="Q1818" s="169" t="s">
        <v>284</v>
      </c>
      <c r="R1818" s="169" t="s">
        <v>283</v>
      </c>
      <c r="S1818" s="169" t="s">
        <v>283</v>
      </c>
      <c r="T1818" s="169">
        <v>0</v>
      </c>
    </row>
    <row r="1819" spans="1:20" x14ac:dyDescent="0.2">
      <c r="A1819" s="169" t="str">
        <f t="shared" si="6"/>
        <v>642</v>
      </c>
      <c r="B1819" s="167" t="str">
        <f>_xlfn.XLOOKUP(I1819,Mapping!D:D,Mapping!E:E)</f>
        <v>Kế Toán</v>
      </c>
      <c r="C1819" s="167" t="str">
        <f>_xlfn.XLOOKUP(F1819,Mapping!A:A,Mapping!F:F)</f>
        <v>Phụ Cấp</v>
      </c>
      <c r="D1819" s="173">
        <v>45961</v>
      </c>
      <c r="E1819" s="169" t="s">
        <v>1130</v>
      </c>
      <c r="F1819" s="169" t="s">
        <v>335</v>
      </c>
      <c r="G1819" s="169" t="s">
        <v>336</v>
      </c>
      <c r="H1819" s="169" t="s">
        <v>356</v>
      </c>
      <c r="I1819" s="169" t="s">
        <v>357</v>
      </c>
      <c r="J1819" s="169" t="s">
        <v>1131</v>
      </c>
      <c r="K1819" s="169" t="s">
        <v>1132</v>
      </c>
      <c r="L1819" s="169" t="s">
        <v>1133</v>
      </c>
      <c r="M1819" s="169" t="s">
        <v>281</v>
      </c>
      <c r="N1819" s="178">
        <v>2260000</v>
      </c>
      <c r="O1819" s="169" t="s">
        <v>1134</v>
      </c>
      <c r="P1819" s="169" t="s">
        <v>283</v>
      </c>
      <c r="Q1819" s="169" t="s">
        <v>284</v>
      </c>
      <c r="R1819" s="169" t="s">
        <v>283</v>
      </c>
      <c r="S1819" s="169" t="s">
        <v>283</v>
      </c>
      <c r="T1819" s="169">
        <v>0</v>
      </c>
    </row>
    <row r="1820" spans="1:20" x14ac:dyDescent="0.2">
      <c r="A1820" s="169" t="str">
        <f t="shared" si="6"/>
        <v>642</v>
      </c>
      <c r="B1820" s="167" t="str">
        <f>_xlfn.XLOOKUP(I1820,Mapping!D:D,Mapping!E:E)</f>
        <v>Hành Chánh Nhân Sự</v>
      </c>
      <c r="C1820" s="167" t="str">
        <f>_xlfn.XLOOKUP(F1820,Mapping!A:A,Mapping!F:F)</f>
        <v>Lương Chính +T13</v>
      </c>
      <c r="D1820" s="173">
        <v>45961</v>
      </c>
      <c r="E1820" s="169" t="s">
        <v>1130</v>
      </c>
      <c r="F1820" s="169" t="s">
        <v>274</v>
      </c>
      <c r="G1820" s="169" t="s">
        <v>275</v>
      </c>
      <c r="H1820" s="169" t="s">
        <v>358</v>
      </c>
      <c r="I1820" s="169" t="s">
        <v>359</v>
      </c>
      <c r="J1820" s="169" t="s">
        <v>1131</v>
      </c>
      <c r="K1820" s="169" t="s">
        <v>1132</v>
      </c>
      <c r="L1820" s="169" t="s">
        <v>1133</v>
      </c>
      <c r="M1820" s="169" t="s">
        <v>281</v>
      </c>
      <c r="N1820" s="178">
        <v>99960011</v>
      </c>
      <c r="O1820" s="169" t="s">
        <v>1134</v>
      </c>
      <c r="P1820" s="169" t="s">
        <v>283</v>
      </c>
      <c r="Q1820" s="169" t="s">
        <v>284</v>
      </c>
      <c r="R1820" s="169" t="s">
        <v>283</v>
      </c>
      <c r="S1820" s="169" t="s">
        <v>283</v>
      </c>
      <c r="T1820" s="169">
        <v>0</v>
      </c>
    </row>
    <row r="1821" spans="1:20" x14ac:dyDescent="0.2">
      <c r="A1821" s="169" t="str">
        <f t="shared" si="6"/>
        <v>642</v>
      </c>
      <c r="B1821" s="167" t="str">
        <f>_xlfn.XLOOKUP(I1821,Mapping!D:D,Mapping!E:E)</f>
        <v>Hành Chánh Nhân Sự</v>
      </c>
      <c r="C1821" s="167" t="str">
        <f>_xlfn.XLOOKUP(F1821,Mapping!A:A,Mapping!F:F)</f>
        <v>Lương Chính +T13</v>
      </c>
      <c r="D1821" s="173">
        <v>45961</v>
      </c>
      <c r="E1821" s="169" t="s">
        <v>1130</v>
      </c>
      <c r="F1821" s="169" t="s">
        <v>285</v>
      </c>
      <c r="G1821" s="169" t="s">
        <v>286</v>
      </c>
      <c r="H1821" s="169" t="s">
        <v>358</v>
      </c>
      <c r="I1821" s="169" t="s">
        <v>359</v>
      </c>
      <c r="J1821" s="169" t="s">
        <v>1131</v>
      </c>
      <c r="K1821" s="169" t="s">
        <v>1132</v>
      </c>
      <c r="L1821" s="169" t="s">
        <v>1133</v>
      </c>
      <c r="M1821" s="169" t="s">
        <v>281</v>
      </c>
      <c r="N1821" s="178">
        <v>3046153</v>
      </c>
      <c r="O1821" s="169" t="s">
        <v>1134</v>
      </c>
      <c r="P1821" s="169" t="s">
        <v>283</v>
      </c>
      <c r="Q1821" s="169" t="s">
        <v>284</v>
      </c>
      <c r="R1821" s="169" t="s">
        <v>283</v>
      </c>
      <c r="S1821" s="169" t="s">
        <v>283</v>
      </c>
      <c r="T1821" s="169">
        <v>0</v>
      </c>
    </row>
    <row r="1822" spans="1:20" x14ac:dyDescent="0.2">
      <c r="A1822" s="169" t="str">
        <f t="shared" si="6"/>
        <v>642</v>
      </c>
      <c r="B1822" s="167" t="str">
        <f>_xlfn.XLOOKUP(I1822,Mapping!D:D,Mapping!E:E)</f>
        <v>Kế Toán</v>
      </c>
      <c r="C1822" s="167" t="str">
        <f>_xlfn.XLOOKUP(F1822,Mapping!A:A,Mapping!F:F)</f>
        <v>Lương Chính +T13</v>
      </c>
      <c r="D1822" s="173">
        <v>45961</v>
      </c>
      <c r="E1822" s="169" t="s">
        <v>1135</v>
      </c>
      <c r="F1822" s="169" t="s">
        <v>285</v>
      </c>
      <c r="G1822" s="169" t="s">
        <v>286</v>
      </c>
      <c r="H1822" s="169" t="s">
        <v>356</v>
      </c>
      <c r="I1822" s="169" t="s">
        <v>357</v>
      </c>
      <c r="J1822" s="169" t="s">
        <v>1136</v>
      </c>
      <c r="K1822" s="169" t="s">
        <v>1132</v>
      </c>
      <c r="L1822" s="169" t="s">
        <v>1133</v>
      </c>
      <c r="M1822" s="169" t="s">
        <v>281</v>
      </c>
      <c r="N1822" s="178">
        <v>44763763</v>
      </c>
      <c r="O1822" s="169" t="s">
        <v>1137</v>
      </c>
      <c r="P1822" s="169" t="s">
        <v>283</v>
      </c>
      <c r="Q1822" s="169" t="s">
        <v>284</v>
      </c>
      <c r="R1822" s="169" t="s">
        <v>283</v>
      </c>
      <c r="S1822" s="169" t="s">
        <v>283</v>
      </c>
      <c r="T1822" s="169">
        <v>0</v>
      </c>
    </row>
    <row r="1823" spans="1:20" x14ac:dyDescent="0.2">
      <c r="A1823" s="169" t="str">
        <f t="shared" si="6"/>
        <v>642</v>
      </c>
      <c r="B1823" s="167" t="str">
        <f>_xlfn.XLOOKUP(I1823,Mapping!D:D,Mapping!E:E)</f>
        <v>Kế Toán</v>
      </c>
      <c r="C1823" s="167" t="str">
        <f>_xlfn.XLOOKUP(F1823,Mapping!A:A,Mapping!F:F)</f>
        <v>Thưởng</v>
      </c>
      <c r="D1823" s="173">
        <v>45961</v>
      </c>
      <c r="E1823" s="169" t="s">
        <v>1135</v>
      </c>
      <c r="F1823" s="169" t="s">
        <v>292</v>
      </c>
      <c r="G1823" s="169" t="s">
        <v>77</v>
      </c>
      <c r="H1823" s="169" t="s">
        <v>356</v>
      </c>
      <c r="I1823" s="169" t="s">
        <v>357</v>
      </c>
      <c r="J1823" s="169" t="s">
        <v>1138</v>
      </c>
      <c r="K1823" s="169" t="s">
        <v>1132</v>
      </c>
      <c r="L1823" s="169" t="s">
        <v>1133</v>
      </c>
      <c r="M1823" s="169" t="s">
        <v>281</v>
      </c>
      <c r="N1823" s="178">
        <v>40738856</v>
      </c>
      <c r="O1823" s="169" t="s">
        <v>1137</v>
      </c>
      <c r="P1823" s="169" t="s">
        <v>283</v>
      </c>
      <c r="Q1823" s="169" t="s">
        <v>284</v>
      </c>
      <c r="R1823" s="169" t="s">
        <v>283</v>
      </c>
      <c r="S1823" s="169" t="s">
        <v>283</v>
      </c>
      <c r="T1823" s="169">
        <v>0</v>
      </c>
    </row>
    <row r="1824" spans="1:20" x14ac:dyDescent="0.2">
      <c r="A1824" s="169" t="str">
        <f t="shared" si="6"/>
        <v>642</v>
      </c>
      <c r="B1824" s="167" t="str">
        <f>_xlfn.XLOOKUP(I1824,Mapping!D:D,Mapping!E:E)</f>
        <v>Hành Chánh Nhân Sự</v>
      </c>
      <c r="C1824" s="167" t="str">
        <f>_xlfn.XLOOKUP(F1824,Mapping!A:A,Mapping!F:F)</f>
        <v>Lương Chính +T13</v>
      </c>
      <c r="D1824" s="173">
        <v>45961</v>
      </c>
      <c r="E1824" s="169" t="s">
        <v>1135</v>
      </c>
      <c r="F1824" s="169" t="s">
        <v>285</v>
      </c>
      <c r="G1824" s="169" t="s">
        <v>286</v>
      </c>
      <c r="H1824" s="169" t="s">
        <v>358</v>
      </c>
      <c r="I1824" s="169" t="s">
        <v>359</v>
      </c>
      <c r="J1824" s="169" t="s">
        <v>1136</v>
      </c>
      <c r="K1824" s="169" t="s">
        <v>1132</v>
      </c>
      <c r="L1824" s="169" t="s">
        <v>1133</v>
      </c>
      <c r="M1824" s="169" t="s">
        <v>281</v>
      </c>
      <c r="N1824" s="178">
        <v>8468167</v>
      </c>
      <c r="O1824" s="169" t="s">
        <v>1137</v>
      </c>
      <c r="P1824" s="169" t="s">
        <v>283</v>
      </c>
      <c r="Q1824" s="169" t="s">
        <v>284</v>
      </c>
      <c r="R1824" s="169" t="s">
        <v>283</v>
      </c>
      <c r="S1824" s="169" t="s">
        <v>283</v>
      </c>
      <c r="T1824" s="169">
        <v>0</v>
      </c>
    </row>
    <row r="1825" spans="1:20" x14ac:dyDescent="0.2">
      <c r="A1825" s="169" t="str">
        <f t="shared" si="6"/>
        <v>642</v>
      </c>
      <c r="B1825" s="167" t="str">
        <f>_xlfn.XLOOKUP(I1825,Mapping!D:D,Mapping!E:E)</f>
        <v>Hành Chánh Nhân Sự</v>
      </c>
      <c r="C1825" s="167" t="str">
        <f>_xlfn.XLOOKUP(F1825,Mapping!A:A,Mapping!F:F)</f>
        <v>Thưởng</v>
      </c>
      <c r="D1825" s="173">
        <v>45961</v>
      </c>
      <c r="E1825" s="169" t="s">
        <v>1135</v>
      </c>
      <c r="F1825" s="169" t="s">
        <v>292</v>
      </c>
      <c r="G1825" s="169" t="s">
        <v>77</v>
      </c>
      <c r="H1825" s="169" t="s">
        <v>358</v>
      </c>
      <c r="I1825" s="169" t="s">
        <v>359</v>
      </c>
      <c r="J1825" s="169" t="s">
        <v>1138</v>
      </c>
      <c r="K1825" s="169" t="s">
        <v>1132</v>
      </c>
      <c r="L1825" s="169" t="s">
        <v>1133</v>
      </c>
      <c r="M1825" s="169" t="s">
        <v>281</v>
      </c>
      <c r="N1825" s="178">
        <v>7790646</v>
      </c>
      <c r="O1825" s="169" t="s">
        <v>1137</v>
      </c>
      <c r="P1825" s="169" t="s">
        <v>283</v>
      </c>
      <c r="Q1825" s="169" t="s">
        <v>284</v>
      </c>
      <c r="R1825" s="169" t="s">
        <v>283</v>
      </c>
      <c r="S1825" s="169" t="s">
        <v>283</v>
      </c>
      <c r="T1825" s="169">
        <v>0</v>
      </c>
    </row>
    <row r="1826" spans="1:20" x14ac:dyDescent="0.2">
      <c r="A1826" s="169" t="str">
        <f t="shared" si="6"/>
        <v>642</v>
      </c>
      <c r="B1826" s="167" t="str">
        <f>_xlfn.XLOOKUP(I1826,Mapping!D:D,Mapping!E:E)</f>
        <v>Kế Toán</v>
      </c>
      <c r="C1826" s="167" t="str">
        <f>_xlfn.XLOOKUP(F1826,Mapping!A:A,Mapping!F:F)</f>
        <v>BHXH, BHYT, KPCĐ</v>
      </c>
      <c r="D1826" s="173">
        <v>45961</v>
      </c>
      <c r="E1826" s="169" t="s">
        <v>1139</v>
      </c>
      <c r="F1826" s="169" t="s">
        <v>295</v>
      </c>
      <c r="G1826" s="169" t="s">
        <v>296</v>
      </c>
      <c r="H1826" s="169" t="s">
        <v>356</v>
      </c>
      <c r="I1826" s="169" t="s">
        <v>357</v>
      </c>
      <c r="J1826" s="169" t="s">
        <v>1140</v>
      </c>
      <c r="K1826" s="169" t="s">
        <v>1132</v>
      </c>
      <c r="L1826" s="169" t="s">
        <v>1133</v>
      </c>
      <c r="M1826" s="169" t="s">
        <v>281</v>
      </c>
      <c r="N1826" s="178">
        <v>113305035</v>
      </c>
      <c r="O1826" s="169" t="s">
        <v>1141</v>
      </c>
      <c r="P1826" s="169" t="s">
        <v>283</v>
      </c>
      <c r="Q1826" s="169" t="s">
        <v>284</v>
      </c>
      <c r="R1826" s="169" t="s">
        <v>283</v>
      </c>
      <c r="S1826" s="169" t="s">
        <v>283</v>
      </c>
      <c r="T1826" s="169">
        <v>0</v>
      </c>
    </row>
    <row r="1827" spans="1:20" x14ac:dyDescent="0.2">
      <c r="A1827" s="169" t="str">
        <f t="shared" si="6"/>
        <v>642</v>
      </c>
      <c r="B1827" s="167" t="str">
        <f>_xlfn.XLOOKUP(I1827,Mapping!D:D,Mapping!E:E)</f>
        <v>Hành Chánh Nhân Sự</v>
      </c>
      <c r="C1827" s="167" t="str">
        <f>_xlfn.XLOOKUP(F1827,Mapping!A:A,Mapping!F:F)</f>
        <v>BHXH, BHYT, KPCĐ</v>
      </c>
      <c r="D1827" s="173">
        <v>45961</v>
      </c>
      <c r="E1827" s="169" t="s">
        <v>1139</v>
      </c>
      <c r="F1827" s="169" t="s">
        <v>295</v>
      </c>
      <c r="G1827" s="169" t="s">
        <v>296</v>
      </c>
      <c r="H1827" s="169" t="s">
        <v>358</v>
      </c>
      <c r="I1827" s="169" t="s">
        <v>359</v>
      </c>
      <c r="J1827" s="169" t="s">
        <v>1140</v>
      </c>
      <c r="K1827" s="169" t="s">
        <v>1132</v>
      </c>
      <c r="L1827" s="169" t="s">
        <v>1133</v>
      </c>
      <c r="M1827" s="169" t="s">
        <v>281</v>
      </c>
      <c r="N1827" s="178">
        <v>23880230</v>
      </c>
      <c r="O1827" s="169" t="s">
        <v>1141</v>
      </c>
      <c r="P1827" s="169" t="s">
        <v>283</v>
      </c>
      <c r="Q1827" s="169" t="s">
        <v>284</v>
      </c>
      <c r="R1827" s="169" t="s">
        <v>283</v>
      </c>
      <c r="S1827" s="169" t="s">
        <v>283</v>
      </c>
      <c r="T1827" s="169">
        <v>0</v>
      </c>
    </row>
    <row r="1828" spans="1:20" x14ac:dyDescent="0.2">
      <c r="A1828" s="169" t="str">
        <f t="shared" si="6"/>
        <v>642</v>
      </c>
      <c r="B1828" s="167" t="str">
        <f>_xlfn.XLOOKUP(I1828,Mapping!D:D,Mapping!E:E)</f>
        <v>Kế Toán</v>
      </c>
      <c r="C1828" s="167" t="str">
        <f>_xlfn.XLOOKUP(F1828,Mapping!A:A,Mapping!F:F)</f>
        <v>Phụ Cấp</v>
      </c>
      <c r="D1828" s="173">
        <v>45958</v>
      </c>
      <c r="E1828" s="169" t="s">
        <v>1142</v>
      </c>
      <c r="F1828" s="169" t="s">
        <v>335</v>
      </c>
      <c r="G1828" s="169" t="s">
        <v>336</v>
      </c>
      <c r="H1828" s="169" t="s">
        <v>356</v>
      </c>
      <c r="I1828" s="169" t="s">
        <v>357</v>
      </c>
      <c r="J1828" s="169" t="s">
        <v>1143</v>
      </c>
      <c r="K1828" s="169" t="s">
        <v>992</v>
      </c>
      <c r="L1828" s="169" t="s">
        <v>1133</v>
      </c>
      <c r="M1828" s="169" t="s">
        <v>281</v>
      </c>
      <c r="N1828" s="178">
        <v>18200000</v>
      </c>
      <c r="O1828" s="169" t="s">
        <v>1144</v>
      </c>
      <c r="P1828" s="169" t="s">
        <v>283</v>
      </c>
      <c r="Q1828" s="169" t="s">
        <v>306</v>
      </c>
      <c r="R1828" s="169" t="s">
        <v>283</v>
      </c>
      <c r="S1828" s="169" t="s">
        <v>283</v>
      </c>
      <c r="T1828" s="169">
        <v>0</v>
      </c>
    </row>
    <row r="1829" spans="1:20" x14ac:dyDescent="0.2">
      <c r="A1829" s="169" t="str">
        <f t="shared" si="6"/>
        <v>642</v>
      </c>
      <c r="B1829" s="167" t="str">
        <f>_xlfn.XLOOKUP(I1829,Mapping!D:D,Mapping!E:E)</f>
        <v>Hành Chánh Nhân Sự</v>
      </c>
      <c r="C1829" s="167" t="str">
        <f>_xlfn.XLOOKUP(F1829,Mapping!A:A,Mapping!F:F)</f>
        <v>Phụ Cấp</v>
      </c>
      <c r="D1829" s="173">
        <v>45958</v>
      </c>
      <c r="E1829" s="169" t="s">
        <v>1142</v>
      </c>
      <c r="F1829" s="169" t="s">
        <v>335</v>
      </c>
      <c r="G1829" s="169" t="s">
        <v>336</v>
      </c>
      <c r="H1829" s="169" t="s">
        <v>358</v>
      </c>
      <c r="I1829" s="169" t="s">
        <v>359</v>
      </c>
      <c r="J1829" s="169" t="s">
        <v>1143</v>
      </c>
      <c r="K1829" s="169" t="s">
        <v>992</v>
      </c>
      <c r="L1829" s="169" t="s">
        <v>1133</v>
      </c>
      <c r="M1829" s="169" t="s">
        <v>281</v>
      </c>
      <c r="N1829" s="178">
        <v>3150000</v>
      </c>
      <c r="O1829" s="169" t="s">
        <v>1144</v>
      </c>
      <c r="P1829" s="169" t="s">
        <v>283</v>
      </c>
      <c r="Q1829" s="169" t="s">
        <v>306</v>
      </c>
      <c r="R1829" s="169" t="s">
        <v>283</v>
      </c>
      <c r="S1829" s="169" t="s">
        <v>283</v>
      </c>
      <c r="T1829" s="169">
        <v>0</v>
      </c>
    </row>
    <row r="1830" spans="1:20" x14ac:dyDescent="0.2">
      <c r="A1830" s="169" t="str">
        <f t="shared" si="6"/>
        <v>641</v>
      </c>
      <c r="B1830" s="167" t="str">
        <f>_xlfn.XLOOKUP(I1830,Mapping!D:D,Mapping!E:E)</f>
        <v>Kinh doanh</v>
      </c>
      <c r="C1830" s="167" t="str">
        <f>_xlfn.XLOOKUP(F1830,Mapping!A:A,Mapping!F:F)</f>
        <v>Phụ Cấp</v>
      </c>
      <c r="D1830" s="173">
        <v>45931</v>
      </c>
      <c r="E1830" s="169" t="s">
        <v>1159</v>
      </c>
      <c r="F1830" s="169" t="s">
        <v>385</v>
      </c>
      <c r="G1830" s="169" t="s">
        <v>336</v>
      </c>
      <c r="H1830" s="169" t="s">
        <v>366</v>
      </c>
      <c r="I1830" s="169" t="s">
        <v>1</v>
      </c>
      <c r="J1830" s="169" t="s">
        <v>1160</v>
      </c>
      <c r="K1830" s="169" t="s">
        <v>581</v>
      </c>
      <c r="L1830" s="169" t="s">
        <v>1133</v>
      </c>
      <c r="M1830" s="169" t="s">
        <v>281</v>
      </c>
      <c r="N1830" s="178">
        <v>7224000</v>
      </c>
      <c r="O1830" s="169" t="s">
        <v>1161</v>
      </c>
      <c r="P1830" s="169" t="s">
        <v>283</v>
      </c>
      <c r="Q1830" s="169" t="s">
        <v>306</v>
      </c>
      <c r="R1830" s="169" t="s">
        <v>283</v>
      </c>
      <c r="S1830" s="169" t="s">
        <v>283</v>
      </c>
      <c r="T1830" s="169">
        <v>0</v>
      </c>
    </row>
    <row r="1831" spans="1:20" x14ac:dyDescent="0.2">
      <c r="A1831" s="169" t="str">
        <f t="shared" si="6"/>
        <v>641</v>
      </c>
      <c r="B1831" s="167" t="str">
        <f>_xlfn.XLOOKUP(I1831,Mapping!D:D,Mapping!E:E)</f>
        <v>Kinh doanh</v>
      </c>
      <c r="C1831" s="167" t="str">
        <f>_xlfn.XLOOKUP(F1831,Mapping!A:A,Mapping!F:F)</f>
        <v>Thưởng</v>
      </c>
      <c r="D1831" s="173">
        <v>45959</v>
      </c>
      <c r="E1831" s="169" t="s">
        <v>1162</v>
      </c>
      <c r="F1831" s="169" t="s">
        <v>365</v>
      </c>
      <c r="G1831" s="169" t="s">
        <v>291</v>
      </c>
      <c r="H1831" s="169" t="s">
        <v>366</v>
      </c>
      <c r="I1831" s="169" t="s">
        <v>1</v>
      </c>
      <c r="J1831" s="169" t="s">
        <v>1163</v>
      </c>
      <c r="K1831" s="169" t="s">
        <v>1164</v>
      </c>
      <c r="L1831" s="169" t="s">
        <v>1133</v>
      </c>
      <c r="M1831" s="169" t="s">
        <v>281</v>
      </c>
      <c r="N1831" s="178">
        <v>7039732</v>
      </c>
      <c r="O1831" s="169" t="s">
        <v>1165</v>
      </c>
      <c r="P1831" s="169" t="s">
        <v>283</v>
      </c>
      <c r="Q1831" s="169" t="s">
        <v>370</v>
      </c>
      <c r="R1831" s="169" t="s">
        <v>283</v>
      </c>
      <c r="S1831" s="169" t="s">
        <v>283</v>
      </c>
      <c r="T1831" s="169">
        <v>0</v>
      </c>
    </row>
    <row r="1832" spans="1:20" x14ac:dyDescent="0.2">
      <c r="A1832" s="169" t="str">
        <f t="shared" si="6"/>
        <v>642</v>
      </c>
      <c r="B1832" s="167" t="str">
        <f>_xlfn.XLOOKUP(I1832,Mapping!D:D,Mapping!E:E)</f>
        <v>Hành Chánh Nhân Sự</v>
      </c>
      <c r="C1832" s="167" t="str">
        <f>_xlfn.XLOOKUP(F1832,Mapping!A:A,Mapping!F:F)</f>
        <v>Khen thưởng BD khác</v>
      </c>
      <c r="D1832" s="173">
        <v>45946</v>
      </c>
      <c r="E1832" s="169" t="s">
        <v>1166</v>
      </c>
      <c r="F1832" s="169" t="s">
        <v>300</v>
      </c>
      <c r="G1832" s="169" t="s">
        <v>222</v>
      </c>
      <c r="H1832" s="169" t="s">
        <v>382</v>
      </c>
      <c r="I1832" s="169" t="s">
        <v>200</v>
      </c>
      <c r="J1832" s="169" t="s">
        <v>1167</v>
      </c>
      <c r="K1832" s="169" t="s">
        <v>1168</v>
      </c>
      <c r="L1832" s="169" t="s">
        <v>1133</v>
      </c>
      <c r="M1832" s="169" t="s">
        <v>281</v>
      </c>
      <c r="N1832" s="178">
        <v>2000000</v>
      </c>
      <c r="O1832" s="169" t="s">
        <v>1169</v>
      </c>
      <c r="P1832" s="169" t="s">
        <v>283</v>
      </c>
      <c r="Q1832" s="169" t="s">
        <v>306</v>
      </c>
      <c r="R1832" s="169" t="s">
        <v>283</v>
      </c>
      <c r="S1832" s="169" t="s">
        <v>283</v>
      </c>
      <c r="T1832" s="169">
        <v>0</v>
      </c>
    </row>
    <row r="1833" spans="1:20" x14ac:dyDescent="0.2">
      <c r="A1833" s="169" t="str">
        <f t="shared" si="6"/>
        <v>642</v>
      </c>
      <c r="B1833" s="167" t="str">
        <f>_xlfn.XLOOKUP(I1833,Mapping!D:D,Mapping!E:E)</f>
        <v>Hành Chánh Nhân Sự</v>
      </c>
      <c r="C1833" s="167" t="str">
        <f>_xlfn.XLOOKUP(F1833,Mapping!A:A,Mapping!F:F)</f>
        <v>Khen thưởng BD khác</v>
      </c>
      <c r="D1833" s="173">
        <v>45961</v>
      </c>
      <c r="E1833" s="169" t="s">
        <v>1170</v>
      </c>
      <c r="F1833" s="169" t="s">
        <v>300</v>
      </c>
      <c r="G1833" s="169" t="s">
        <v>222</v>
      </c>
      <c r="H1833" s="169" t="s">
        <v>358</v>
      </c>
      <c r="I1833" s="169" t="s">
        <v>359</v>
      </c>
      <c r="J1833" s="169" t="s">
        <v>1171</v>
      </c>
      <c r="K1833" s="169" t="s">
        <v>1172</v>
      </c>
      <c r="L1833" s="169" t="s">
        <v>1133</v>
      </c>
      <c r="M1833" s="169" t="s">
        <v>281</v>
      </c>
      <c r="N1833" s="178">
        <v>1500000</v>
      </c>
      <c r="O1833" s="169" t="s">
        <v>1173</v>
      </c>
      <c r="P1833" s="169" t="s">
        <v>283</v>
      </c>
      <c r="Q1833" s="169" t="s">
        <v>764</v>
      </c>
      <c r="R1833" s="169" t="s">
        <v>283</v>
      </c>
      <c r="S1833" s="169" t="s">
        <v>283</v>
      </c>
      <c r="T1833" s="169">
        <v>0</v>
      </c>
    </row>
    <row r="1834" spans="1:20" x14ac:dyDescent="0.2">
      <c r="A1834" s="169" t="str">
        <f t="shared" ref="A1834:A1897" si="7">LEFT(F1834,3)</f>
        <v>641</v>
      </c>
      <c r="B1834" s="167" t="str">
        <f>_xlfn.XLOOKUP(I1834,Mapping!D:D,Mapping!E:E)</f>
        <v>Kinh doanh</v>
      </c>
      <c r="C1834" s="167" t="str">
        <f>_xlfn.XLOOKUP(F1834,Mapping!A:A,Mapping!F:F)</f>
        <v>Lương Chính +T13</v>
      </c>
      <c r="D1834" s="173">
        <v>45961</v>
      </c>
      <c r="E1834" s="169" t="s">
        <v>1130</v>
      </c>
      <c r="F1834" s="169" t="s">
        <v>383</v>
      </c>
      <c r="G1834" s="169" t="s">
        <v>275</v>
      </c>
      <c r="H1834" s="169" t="s">
        <v>366</v>
      </c>
      <c r="I1834" s="169" t="s">
        <v>1</v>
      </c>
      <c r="J1834" s="169" t="s">
        <v>1131</v>
      </c>
      <c r="K1834" s="169" t="s">
        <v>1132</v>
      </c>
      <c r="L1834" s="169" t="s">
        <v>1133</v>
      </c>
      <c r="M1834" s="169" t="s">
        <v>281</v>
      </c>
      <c r="N1834" s="178">
        <v>234421927</v>
      </c>
      <c r="O1834" s="169" t="s">
        <v>1134</v>
      </c>
      <c r="P1834" s="169" t="s">
        <v>283</v>
      </c>
      <c r="Q1834" s="169" t="s">
        <v>284</v>
      </c>
      <c r="R1834" s="169" t="s">
        <v>283</v>
      </c>
      <c r="S1834" s="169" t="s">
        <v>283</v>
      </c>
      <c r="T1834" s="169">
        <v>0</v>
      </c>
    </row>
    <row r="1835" spans="1:20" x14ac:dyDescent="0.2">
      <c r="A1835" s="169" t="str">
        <f t="shared" si="7"/>
        <v>641</v>
      </c>
      <c r="B1835" s="167" t="str">
        <f>_xlfn.XLOOKUP(I1835,Mapping!D:D,Mapping!E:E)</f>
        <v>Kinh doanh</v>
      </c>
      <c r="C1835" s="167" t="str">
        <f>_xlfn.XLOOKUP(F1835,Mapping!A:A,Mapping!F:F)</f>
        <v>Lương Chính +T13</v>
      </c>
      <c r="D1835" s="173">
        <v>45961</v>
      </c>
      <c r="E1835" s="169" t="s">
        <v>1130</v>
      </c>
      <c r="F1835" s="169" t="s">
        <v>384</v>
      </c>
      <c r="G1835" s="169" t="s">
        <v>286</v>
      </c>
      <c r="H1835" s="169" t="s">
        <v>366</v>
      </c>
      <c r="I1835" s="169" t="s">
        <v>1</v>
      </c>
      <c r="J1835" s="169" t="s">
        <v>1131</v>
      </c>
      <c r="K1835" s="169" t="s">
        <v>1132</v>
      </c>
      <c r="L1835" s="169" t="s">
        <v>1133</v>
      </c>
      <c r="M1835" s="169" t="s">
        <v>281</v>
      </c>
      <c r="N1835" s="178">
        <v>10147539</v>
      </c>
      <c r="O1835" s="169" t="s">
        <v>1134</v>
      </c>
      <c r="P1835" s="169" t="s">
        <v>283</v>
      </c>
      <c r="Q1835" s="169" t="s">
        <v>284</v>
      </c>
      <c r="R1835" s="169" t="s">
        <v>283</v>
      </c>
      <c r="S1835" s="169" t="s">
        <v>283</v>
      </c>
      <c r="T1835" s="169">
        <v>0</v>
      </c>
    </row>
    <row r="1836" spans="1:20" x14ac:dyDescent="0.2">
      <c r="A1836" s="169" t="str">
        <f t="shared" si="7"/>
        <v>641</v>
      </c>
      <c r="B1836" s="167" t="str">
        <f>_xlfn.XLOOKUP(I1836,Mapping!D:D,Mapping!E:E)</f>
        <v>Kinh doanh</v>
      </c>
      <c r="C1836" s="167" t="str">
        <f>_xlfn.XLOOKUP(F1836,Mapping!A:A,Mapping!F:F)</f>
        <v>Thưởng</v>
      </c>
      <c r="D1836" s="173">
        <v>45961</v>
      </c>
      <c r="E1836" s="169" t="s">
        <v>1130</v>
      </c>
      <c r="F1836" s="169" t="s">
        <v>365</v>
      </c>
      <c r="G1836" s="169" t="s">
        <v>291</v>
      </c>
      <c r="H1836" s="169" t="s">
        <v>366</v>
      </c>
      <c r="I1836" s="169" t="s">
        <v>1</v>
      </c>
      <c r="J1836" s="169" t="s">
        <v>1131</v>
      </c>
      <c r="K1836" s="169" t="s">
        <v>1132</v>
      </c>
      <c r="L1836" s="169" t="s">
        <v>1133</v>
      </c>
      <c r="M1836" s="169" t="s">
        <v>281</v>
      </c>
      <c r="N1836" s="178">
        <v>116240510</v>
      </c>
      <c r="O1836" s="169" t="s">
        <v>1134</v>
      </c>
      <c r="P1836" s="169" t="s">
        <v>283</v>
      </c>
      <c r="Q1836" s="169" t="s">
        <v>284</v>
      </c>
      <c r="R1836" s="169" t="s">
        <v>283</v>
      </c>
      <c r="S1836" s="169" t="s">
        <v>283</v>
      </c>
      <c r="T1836" s="169">
        <v>0</v>
      </c>
    </row>
    <row r="1837" spans="1:20" x14ac:dyDescent="0.2">
      <c r="A1837" s="169" t="str">
        <f t="shared" si="7"/>
        <v>642</v>
      </c>
      <c r="B1837" s="167" t="str">
        <f>_xlfn.XLOOKUP(I1837,Mapping!D:D,Mapping!E:E)</f>
        <v>Cung Ứng</v>
      </c>
      <c r="C1837" s="167" t="str">
        <f>_xlfn.XLOOKUP(F1837,Mapping!A:A,Mapping!F:F)</f>
        <v>Lương Chính +T13</v>
      </c>
      <c r="D1837" s="173">
        <v>45961</v>
      </c>
      <c r="E1837" s="169" t="s">
        <v>1130</v>
      </c>
      <c r="F1837" s="169" t="s">
        <v>274</v>
      </c>
      <c r="G1837" s="169" t="s">
        <v>275</v>
      </c>
      <c r="H1837" s="169" t="s">
        <v>380</v>
      </c>
      <c r="I1837" s="169" t="s">
        <v>381</v>
      </c>
      <c r="J1837" s="169" t="s">
        <v>1131</v>
      </c>
      <c r="K1837" s="169" t="s">
        <v>1132</v>
      </c>
      <c r="L1837" s="169" t="s">
        <v>1133</v>
      </c>
      <c r="M1837" s="169" t="s">
        <v>281</v>
      </c>
      <c r="N1837" s="178">
        <v>545750977</v>
      </c>
      <c r="O1837" s="169" t="s">
        <v>1134</v>
      </c>
      <c r="P1837" s="169" t="s">
        <v>283</v>
      </c>
      <c r="Q1837" s="169" t="s">
        <v>284</v>
      </c>
      <c r="R1837" s="169" t="s">
        <v>283</v>
      </c>
      <c r="S1837" s="169" t="s">
        <v>283</v>
      </c>
      <c r="T1837" s="169">
        <v>0</v>
      </c>
    </row>
    <row r="1838" spans="1:20" x14ac:dyDescent="0.2">
      <c r="A1838" s="169" t="str">
        <f t="shared" si="7"/>
        <v>642</v>
      </c>
      <c r="B1838" s="167" t="str">
        <f>_xlfn.XLOOKUP(I1838,Mapping!D:D,Mapping!E:E)</f>
        <v>Cung Ứng</v>
      </c>
      <c r="C1838" s="167" t="str">
        <f>_xlfn.XLOOKUP(F1838,Mapping!A:A,Mapping!F:F)</f>
        <v>Lương Chính +T13</v>
      </c>
      <c r="D1838" s="173">
        <v>45961</v>
      </c>
      <c r="E1838" s="169" t="s">
        <v>1130</v>
      </c>
      <c r="F1838" s="169" t="s">
        <v>285</v>
      </c>
      <c r="G1838" s="169" t="s">
        <v>286</v>
      </c>
      <c r="H1838" s="169" t="s">
        <v>380</v>
      </c>
      <c r="I1838" s="169" t="s">
        <v>381</v>
      </c>
      <c r="J1838" s="169" t="s">
        <v>1131</v>
      </c>
      <c r="K1838" s="169" t="s">
        <v>1132</v>
      </c>
      <c r="L1838" s="169" t="s">
        <v>1133</v>
      </c>
      <c r="M1838" s="169" t="s">
        <v>281</v>
      </c>
      <c r="N1838" s="178">
        <v>14117848</v>
      </c>
      <c r="O1838" s="169" t="s">
        <v>1134</v>
      </c>
      <c r="P1838" s="169" t="s">
        <v>283</v>
      </c>
      <c r="Q1838" s="169" t="s">
        <v>284</v>
      </c>
      <c r="R1838" s="169" t="s">
        <v>283</v>
      </c>
      <c r="S1838" s="169" t="s">
        <v>283</v>
      </c>
      <c r="T1838" s="169">
        <v>0</v>
      </c>
    </row>
    <row r="1839" spans="1:20" x14ac:dyDescent="0.2">
      <c r="A1839" s="169" t="str">
        <f t="shared" si="7"/>
        <v>642</v>
      </c>
      <c r="B1839" s="167" t="str">
        <f>_xlfn.XLOOKUP(I1839,Mapping!D:D,Mapping!E:E)</f>
        <v>Cung Ứng</v>
      </c>
      <c r="C1839" s="167" t="str">
        <f>_xlfn.XLOOKUP(F1839,Mapping!A:A,Mapping!F:F)</f>
        <v>Thưởng</v>
      </c>
      <c r="D1839" s="173">
        <v>45961</v>
      </c>
      <c r="E1839" s="169" t="s">
        <v>1130</v>
      </c>
      <c r="F1839" s="169" t="s">
        <v>290</v>
      </c>
      <c r="G1839" s="169" t="s">
        <v>291</v>
      </c>
      <c r="H1839" s="169" t="s">
        <v>380</v>
      </c>
      <c r="I1839" s="169" t="s">
        <v>381</v>
      </c>
      <c r="J1839" s="169" t="s">
        <v>1131</v>
      </c>
      <c r="K1839" s="169" t="s">
        <v>1132</v>
      </c>
      <c r="L1839" s="169" t="s">
        <v>1133</v>
      </c>
      <c r="M1839" s="169" t="s">
        <v>281</v>
      </c>
      <c r="N1839" s="178">
        <v>479656731</v>
      </c>
      <c r="O1839" s="169" t="s">
        <v>1134</v>
      </c>
      <c r="P1839" s="169" t="s">
        <v>283</v>
      </c>
      <c r="Q1839" s="169" t="s">
        <v>284</v>
      </c>
      <c r="R1839" s="169" t="s">
        <v>283</v>
      </c>
      <c r="S1839" s="169" t="s">
        <v>283</v>
      </c>
      <c r="T1839" s="169">
        <v>0</v>
      </c>
    </row>
    <row r="1840" spans="1:20" x14ac:dyDescent="0.2">
      <c r="A1840" s="169" t="str">
        <f t="shared" si="7"/>
        <v>642</v>
      </c>
      <c r="B1840" s="167" t="str">
        <f>_xlfn.XLOOKUP(I1840,Mapping!D:D,Mapping!E:E)</f>
        <v>Cung Ứng</v>
      </c>
      <c r="C1840" s="167" t="str">
        <f>_xlfn.XLOOKUP(F1840,Mapping!A:A,Mapping!F:F)</f>
        <v>Phụ Cấp</v>
      </c>
      <c r="D1840" s="173">
        <v>45961</v>
      </c>
      <c r="E1840" s="169" t="s">
        <v>1130</v>
      </c>
      <c r="F1840" s="169" t="s">
        <v>335</v>
      </c>
      <c r="G1840" s="169" t="s">
        <v>336</v>
      </c>
      <c r="H1840" s="169" t="s">
        <v>380</v>
      </c>
      <c r="I1840" s="169" t="s">
        <v>381</v>
      </c>
      <c r="J1840" s="169" t="s">
        <v>1131</v>
      </c>
      <c r="K1840" s="169" t="s">
        <v>1132</v>
      </c>
      <c r="L1840" s="169" t="s">
        <v>1133</v>
      </c>
      <c r="M1840" s="169" t="s">
        <v>281</v>
      </c>
      <c r="N1840" s="178">
        <v>13120000</v>
      </c>
      <c r="O1840" s="169" t="s">
        <v>1134</v>
      </c>
      <c r="P1840" s="169" t="s">
        <v>283</v>
      </c>
      <c r="Q1840" s="169" t="s">
        <v>284</v>
      </c>
      <c r="R1840" s="169" t="s">
        <v>283</v>
      </c>
      <c r="S1840" s="169" t="s">
        <v>283</v>
      </c>
      <c r="T1840" s="169">
        <v>0</v>
      </c>
    </row>
    <row r="1841" spans="1:20" x14ac:dyDescent="0.2">
      <c r="A1841" s="169" t="str">
        <f t="shared" si="7"/>
        <v>642</v>
      </c>
      <c r="B1841" s="167" t="str">
        <f>_xlfn.XLOOKUP(I1841,Mapping!D:D,Mapping!E:E)</f>
        <v>Mua Hàng &amp; XNK</v>
      </c>
      <c r="C1841" s="167" t="str">
        <f>_xlfn.XLOOKUP(F1841,Mapping!A:A,Mapping!F:F)</f>
        <v>Lương Chính +T13</v>
      </c>
      <c r="D1841" s="173">
        <v>45961</v>
      </c>
      <c r="E1841" s="169" t="s">
        <v>1130</v>
      </c>
      <c r="F1841" s="169" t="s">
        <v>274</v>
      </c>
      <c r="G1841" s="169" t="s">
        <v>275</v>
      </c>
      <c r="H1841" s="169" t="s">
        <v>378</v>
      </c>
      <c r="I1841" s="169" t="s">
        <v>379</v>
      </c>
      <c r="J1841" s="169" t="s">
        <v>1131</v>
      </c>
      <c r="K1841" s="169" t="s">
        <v>1132</v>
      </c>
      <c r="L1841" s="169" t="s">
        <v>1133</v>
      </c>
      <c r="M1841" s="169" t="s">
        <v>281</v>
      </c>
      <c r="N1841" s="178">
        <v>127435219</v>
      </c>
      <c r="O1841" s="169" t="s">
        <v>1134</v>
      </c>
      <c r="P1841" s="169" t="s">
        <v>283</v>
      </c>
      <c r="Q1841" s="169" t="s">
        <v>284</v>
      </c>
      <c r="R1841" s="169" t="s">
        <v>283</v>
      </c>
      <c r="S1841" s="169" t="s">
        <v>283</v>
      </c>
      <c r="T1841" s="169">
        <v>0</v>
      </c>
    </row>
    <row r="1842" spans="1:20" x14ac:dyDescent="0.2">
      <c r="A1842" s="169" t="str">
        <f t="shared" si="7"/>
        <v>642</v>
      </c>
      <c r="B1842" s="167" t="str">
        <f>_xlfn.XLOOKUP(I1842,Mapping!D:D,Mapping!E:E)</f>
        <v>Mua Hàng &amp; XNK</v>
      </c>
      <c r="C1842" s="167" t="str">
        <f>_xlfn.XLOOKUP(F1842,Mapping!A:A,Mapping!F:F)</f>
        <v>Lương Chính +T13</v>
      </c>
      <c r="D1842" s="173">
        <v>45961</v>
      </c>
      <c r="E1842" s="169" t="s">
        <v>1130</v>
      </c>
      <c r="F1842" s="169" t="s">
        <v>285</v>
      </c>
      <c r="G1842" s="169" t="s">
        <v>286</v>
      </c>
      <c r="H1842" s="169" t="s">
        <v>378</v>
      </c>
      <c r="I1842" s="169" t="s">
        <v>379</v>
      </c>
      <c r="J1842" s="169" t="s">
        <v>1131</v>
      </c>
      <c r="K1842" s="169" t="s">
        <v>1132</v>
      </c>
      <c r="L1842" s="169" t="s">
        <v>1133</v>
      </c>
      <c r="M1842" s="169" t="s">
        <v>281</v>
      </c>
      <c r="N1842" s="178">
        <v>4750288</v>
      </c>
      <c r="O1842" s="169" t="s">
        <v>1134</v>
      </c>
      <c r="P1842" s="169" t="s">
        <v>283</v>
      </c>
      <c r="Q1842" s="169" t="s">
        <v>284</v>
      </c>
      <c r="R1842" s="169" t="s">
        <v>283</v>
      </c>
      <c r="S1842" s="169" t="s">
        <v>283</v>
      </c>
      <c r="T1842" s="169">
        <v>0</v>
      </c>
    </row>
    <row r="1843" spans="1:20" x14ac:dyDescent="0.2">
      <c r="A1843" s="169" t="str">
        <f t="shared" si="7"/>
        <v>642</v>
      </c>
      <c r="B1843" s="167" t="str">
        <f>_xlfn.XLOOKUP(I1843,Mapping!D:D,Mapping!E:E)</f>
        <v>Mua Hàng &amp; XNK</v>
      </c>
      <c r="C1843" s="167" t="str">
        <f>_xlfn.XLOOKUP(F1843,Mapping!A:A,Mapping!F:F)</f>
        <v>Phụ Cấp</v>
      </c>
      <c r="D1843" s="173">
        <v>45961</v>
      </c>
      <c r="E1843" s="169" t="s">
        <v>1130</v>
      </c>
      <c r="F1843" s="169" t="s">
        <v>335</v>
      </c>
      <c r="G1843" s="169" t="s">
        <v>336</v>
      </c>
      <c r="H1843" s="169" t="s">
        <v>378</v>
      </c>
      <c r="I1843" s="169" t="s">
        <v>379</v>
      </c>
      <c r="J1843" s="169" t="s">
        <v>1131</v>
      </c>
      <c r="K1843" s="169" t="s">
        <v>1132</v>
      </c>
      <c r="L1843" s="169" t="s">
        <v>1133</v>
      </c>
      <c r="M1843" s="169" t="s">
        <v>281</v>
      </c>
      <c r="N1843" s="178">
        <v>950000</v>
      </c>
      <c r="O1843" s="169" t="s">
        <v>1134</v>
      </c>
      <c r="P1843" s="169" t="s">
        <v>283</v>
      </c>
      <c r="Q1843" s="169" t="s">
        <v>284</v>
      </c>
      <c r="R1843" s="169" t="s">
        <v>283</v>
      </c>
      <c r="S1843" s="169" t="s">
        <v>283</v>
      </c>
      <c r="T1843" s="169">
        <v>0</v>
      </c>
    </row>
    <row r="1844" spans="1:20" x14ac:dyDescent="0.2">
      <c r="A1844" s="169" t="str">
        <f t="shared" si="7"/>
        <v>627</v>
      </c>
      <c r="B1844" s="167" t="str">
        <f>_xlfn.XLOOKUP(I1844,Mapping!D:D,Mapping!E:E)</f>
        <v>Kỹ Thuật</v>
      </c>
      <c r="C1844" s="167" t="str">
        <f>_xlfn.XLOOKUP(F1844,Mapping!A:A,Mapping!F:F)</f>
        <v>Phụ Cấp</v>
      </c>
      <c r="D1844" s="173">
        <v>45961</v>
      </c>
      <c r="E1844" s="169" t="s">
        <v>1130</v>
      </c>
      <c r="F1844" s="169" t="s">
        <v>386</v>
      </c>
      <c r="G1844" s="169" t="s">
        <v>341</v>
      </c>
      <c r="H1844" s="169" t="s">
        <v>376</v>
      </c>
      <c r="I1844" s="169" t="s">
        <v>377</v>
      </c>
      <c r="J1844" s="169" t="s">
        <v>1131</v>
      </c>
      <c r="K1844" s="169" t="s">
        <v>1132</v>
      </c>
      <c r="L1844" s="169" t="s">
        <v>1133</v>
      </c>
      <c r="M1844" s="169" t="s">
        <v>281</v>
      </c>
      <c r="N1844" s="178">
        <v>49306719</v>
      </c>
      <c r="O1844" s="169" t="s">
        <v>1134</v>
      </c>
      <c r="P1844" s="169" t="s">
        <v>283</v>
      </c>
      <c r="Q1844" s="169" t="s">
        <v>284</v>
      </c>
      <c r="R1844" s="169" t="s">
        <v>283</v>
      </c>
      <c r="S1844" s="169" t="s">
        <v>283</v>
      </c>
      <c r="T1844" s="169">
        <v>0</v>
      </c>
    </row>
    <row r="1845" spans="1:20" x14ac:dyDescent="0.2">
      <c r="A1845" s="169" t="str">
        <f t="shared" si="7"/>
        <v>627</v>
      </c>
      <c r="B1845" s="167" t="str">
        <f>_xlfn.XLOOKUP(I1845,Mapping!D:D,Mapping!E:E)</f>
        <v>Kỹ Thuật</v>
      </c>
      <c r="C1845" s="167" t="str">
        <f>_xlfn.XLOOKUP(F1845,Mapping!A:A,Mapping!F:F)</f>
        <v>Lương Chính +T13</v>
      </c>
      <c r="D1845" s="173">
        <v>45961</v>
      </c>
      <c r="E1845" s="169" t="s">
        <v>1130</v>
      </c>
      <c r="F1845" s="169" t="s">
        <v>387</v>
      </c>
      <c r="G1845" s="169" t="s">
        <v>275</v>
      </c>
      <c r="H1845" s="169" t="s">
        <v>376</v>
      </c>
      <c r="I1845" s="169" t="s">
        <v>377</v>
      </c>
      <c r="J1845" s="169" t="s">
        <v>1131</v>
      </c>
      <c r="K1845" s="169" t="s">
        <v>1132</v>
      </c>
      <c r="L1845" s="169" t="s">
        <v>1133</v>
      </c>
      <c r="M1845" s="169" t="s">
        <v>281</v>
      </c>
      <c r="N1845" s="178">
        <v>1096139798</v>
      </c>
      <c r="O1845" s="169" t="s">
        <v>1134</v>
      </c>
      <c r="P1845" s="169" t="s">
        <v>283</v>
      </c>
      <c r="Q1845" s="169" t="s">
        <v>284</v>
      </c>
      <c r="R1845" s="169" t="s">
        <v>283</v>
      </c>
      <c r="S1845" s="169" t="s">
        <v>283</v>
      </c>
      <c r="T1845" s="169">
        <v>0</v>
      </c>
    </row>
    <row r="1846" spans="1:20" x14ac:dyDescent="0.2">
      <c r="A1846" s="169" t="str">
        <f t="shared" si="7"/>
        <v>627</v>
      </c>
      <c r="B1846" s="167" t="str">
        <f>_xlfn.XLOOKUP(I1846,Mapping!D:D,Mapping!E:E)</f>
        <v>Kỹ Thuật</v>
      </c>
      <c r="C1846" s="167" t="str">
        <f>_xlfn.XLOOKUP(F1846,Mapping!A:A,Mapping!F:F)</f>
        <v>Lương Chính +T13</v>
      </c>
      <c r="D1846" s="173">
        <v>45961</v>
      </c>
      <c r="E1846" s="169" t="s">
        <v>1130</v>
      </c>
      <c r="F1846" s="169" t="s">
        <v>388</v>
      </c>
      <c r="G1846" s="169" t="s">
        <v>286</v>
      </c>
      <c r="H1846" s="169" t="s">
        <v>376</v>
      </c>
      <c r="I1846" s="169" t="s">
        <v>377</v>
      </c>
      <c r="J1846" s="169" t="s">
        <v>1131</v>
      </c>
      <c r="K1846" s="169" t="s">
        <v>1132</v>
      </c>
      <c r="L1846" s="169" t="s">
        <v>1133</v>
      </c>
      <c r="M1846" s="169" t="s">
        <v>281</v>
      </c>
      <c r="N1846" s="178">
        <v>29629734</v>
      </c>
      <c r="O1846" s="169" t="s">
        <v>1134</v>
      </c>
      <c r="P1846" s="169" t="s">
        <v>283</v>
      </c>
      <c r="Q1846" s="169" t="s">
        <v>284</v>
      </c>
      <c r="R1846" s="169" t="s">
        <v>283</v>
      </c>
      <c r="S1846" s="169" t="s">
        <v>283</v>
      </c>
      <c r="T1846" s="169">
        <v>0</v>
      </c>
    </row>
    <row r="1847" spans="1:20" x14ac:dyDescent="0.2">
      <c r="A1847" s="169" t="str">
        <f t="shared" si="7"/>
        <v>627</v>
      </c>
      <c r="B1847" s="167" t="str">
        <f>_xlfn.XLOOKUP(I1847,Mapping!D:D,Mapping!E:E)</f>
        <v>Kỹ Thuật</v>
      </c>
      <c r="C1847" s="167" t="str">
        <f>_xlfn.XLOOKUP(F1847,Mapping!A:A,Mapping!F:F)</f>
        <v>Lương Ngoài giờ</v>
      </c>
      <c r="D1847" s="173">
        <v>45961</v>
      </c>
      <c r="E1847" s="169" t="s">
        <v>1130</v>
      </c>
      <c r="F1847" s="169" t="s">
        <v>389</v>
      </c>
      <c r="G1847" s="169" t="s">
        <v>390</v>
      </c>
      <c r="H1847" s="169" t="s">
        <v>376</v>
      </c>
      <c r="I1847" s="169" t="s">
        <v>377</v>
      </c>
      <c r="J1847" s="169" t="s">
        <v>1131</v>
      </c>
      <c r="K1847" s="169" t="s">
        <v>1132</v>
      </c>
      <c r="L1847" s="169" t="s">
        <v>1133</v>
      </c>
      <c r="M1847" s="169" t="s">
        <v>281</v>
      </c>
      <c r="N1847" s="178">
        <v>330753556</v>
      </c>
      <c r="O1847" s="169" t="s">
        <v>1134</v>
      </c>
      <c r="P1847" s="169" t="s">
        <v>283</v>
      </c>
      <c r="Q1847" s="169" t="s">
        <v>284</v>
      </c>
      <c r="R1847" s="169" t="s">
        <v>283</v>
      </c>
      <c r="S1847" s="169" t="s">
        <v>283</v>
      </c>
      <c r="T1847" s="169">
        <v>0</v>
      </c>
    </row>
    <row r="1848" spans="1:20" x14ac:dyDescent="0.2">
      <c r="A1848" s="169" t="str">
        <f t="shared" si="7"/>
        <v>627</v>
      </c>
      <c r="B1848" s="167" t="str">
        <f>_xlfn.XLOOKUP(I1848,Mapping!D:D,Mapping!E:E)</f>
        <v>Kỹ Thuật</v>
      </c>
      <c r="C1848" s="167" t="str">
        <f>_xlfn.XLOOKUP(F1848,Mapping!A:A,Mapping!F:F)</f>
        <v>Phụ Cấp</v>
      </c>
      <c r="D1848" s="173">
        <v>45961</v>
      </c>
      <c r="E1848" s="169" t="s">
        <v>1130</v>
      </c>
      <c r="F1848" s="169" t="s">
        <v>375</v>
      </c>
      <c r="G1848" s="169" t="s">
        <v>336</v>
      </c>
      <c r="H1848" s="169" t="s">
        <v>376</v>
      </c>
      <c r="I1848" s="169" t="s">
        <v>377</v>
      </c>
      <c r="J1848" s="169" t="s">
        <v>1131</v>
      </c>
      <c r="K1848" s="169" t="s">
        <v>1132</v>
      </c>
      <c r="L1848" s="169" t="s">
        <v>1133</v>
      </c>
      <c r="M1848" s="169" t="s">
        <v>281</v>
      </c>
      <c r="N1848" s="178">
        <v>8835000</v>
      </c>
      <c r="O1848" s="169" t="s">
        <v>1134</v>
      </c>
      <c r="P1848" s="169" t="s">
        <v>283</v>
      </c>
      <c r="Q1848" s="169" t="s">
        <v>284</v>
      </c>
      <c r="R1848" s="169" t="s">
        <v>283</v>
      </c>
      <c r="S1848" s="169" t="s">
        <v>283</v>
      </c>
      <c r="T1848" s="169">
        <v>0</v>
      </c>
    </row>
    <row r="1849" spans="1:20" x14ac:dyDescent="0.2">
      <c r="A1849" s="169" t="str">
        <f t="shared" si="7"/>
        <v>642</v>
      </c>
      <c r="B1849" s="167" t="str">
        <f>_xlfn.XLOOKUP(I1849,Mapping!D:D,Mapping!E:E)</f>
        <v>Hành Chánh Nhân Sự</v>
      </c>
      <c r="C1849" s="167" t="str">
        <f>_xlfn.XLOOKUP(F1849,Mapping!A:A,Mapping!F:F)</f>
        <v>Lương Chính +T13</v>
      </c>
      <c r="D1849" s="173">
        <v>45961</v>
      </c>
      <c r="E1849" s="169" t="s">
        <v>1130</v>
      </c>
      <c r="F1849" s="169" t="s">
        <v>274</v>
      </c>
      <c r="G1849" s="169" t="s">
        <v>275</v>
      </c>
      <c r="H1849" s="169" t="s">
        <v>382</v>
      </c>
      <c r="I1849" s="169" t="s">
        <v>200</v>
      </c>
      <c r="J1849" s="169" t="s">
        <v>1131</v>
      </c>
      <c r="K1849" s="169" t="s">
        <v>1132</v>
      </c>
      <c r="L1849" s="169" t="s">
        <v>1133</v>
      </c>
      <c r="M1849" s="169" t="s">
        <v>281</v>
      </c>
      <c r="N1849" s="178">
        <v>62716024</v>
      </c>
      <c r="O1849" s="169" t="s">
        <v>1134</v>
      </c>
      <c r="P1849" s="169" t="s">
        <v>283</v>
      </c>
      <c r="Q1849" s="169" t="s">
        <v>284</v>
      </c>
      <c r="R1849" s="169" t="s">
        <v>283</v>
      </c>
      <c r="S1849" s="169" t="s">
        <v>283</v>
      </c>
      <c r="T1849" s="169">
        <v>0</v>
      </c>
    </row>
    <row r="1850" spans="1:20" x14ac:dyDescent="0.2">
      <c r="A1850" s="169" t="str">
        <f t="shared" si="7"/>
        <v>642</v>
      </c>
      <c r="B1850" s="167" t="str">
        <f>_xlfn.XLOOKUP(I1850,Mapping!D:D,Mapping!E:E)</f>
        <v>Hành Chánh Nhân Sự</v>
      </c>
      <c r="C1850" s="167" t="str">
        <f>_xlfn.XLOOKUP(F1850,Mapping!A:A,Mapping!F:F)</f>
        <v>Lương Chính +T13</v>
      </c>
      <c r="D1850" s="173">
        <v>45961</v>
      </c>
      <c r="E1850" s="169" t="s">
        <v>1130</v>
      </c>
      <c r="F1850" s="169" t="s">
        <v>285</v>
      </c>
      <c r="G1850" s="169" t="s">
        <v>286</v>
      </c>
      <c r="H1850" s="169" t="s">
        <v>382</v>
      </c>
      <c r="I1850" s="169" t="s">
        <v>200</v>
      </c>
      <c r="J1850" s="169" t="s">
        <v>1131</v>
      </c>
      <c r="K1850" s="169" t="s">
        <v>1132</v>
      </c>
      <c r="L1850" s="169" t="s">
        <v>1133</v>
      </c>
      <c r="M1850" s="169" t="s">
        <v>281</v>
      </c>
      <c r="N1850" s="178">
        <v>1406385</v>
      </c>
      <c r="O1850" s="169" t="s">
        <v>1134</v>
      </c>
      <c r="P1850" s="169" t="s">
        <v>283</v>
      </c>
      <c r="Q1850" s="169" t="s">
        <v>284</v>
      </c>
      <c r="R1850" s="169" t="s">
        <v>283</v>
      </c>
      <c r="S1850" s="169" t="s">
        <v>283</v>
      </c>
      <c r="T1850" s="169">
        <v>0</v>
      </c>
    </row>
    <row r="1851" spans="1:20" x14ac:dyDescent="0.2">
      <c r="A1851" s="169" t="str">
        <f t="shared" si="7"/>
        <v>641</v>
      </c>
      <c r="B1851" s="167" t="str">
        <f>_xlfn.XLOOKUP(I1851,Mapping!D:D,Mapping!E:E)</f>
        <v>Kinh doanh</v>
      </c>
      <c r="C1851" s="167" t="str">
        <f>_xlfn.XLOOKUP(F1851,Mapping!A:A,Mapping!F:F)</f>
        <v>Lương Chính +T13</v>
      </c>
      <c r="D1851" s="173">
        <v>45961</v>
      </c>
      <c r="E1851" s="169" t="s">
        <v>1135</v>
      </c>
      <c r="F1851" s="169" t="s">
        <v>384</v>
      </c>
      <c r="G1851" s="169" t="s">
        <v>286</v>
      </c>
      <c r="H1851" s="169" t="s">
        <v>366</v>
      </c>
      <c r="I1851" s="169" t="s">
        <v>1</v>
      </c>
      <c r="J1851" s="169" t="s">
        <v>1136</v>
      </c>
      <c r="K1851" s="169" t="s">
        <v>1132</v>
      </c>
      <c r="L1851" s="169" t="s">
        <v>1133</v>
      </c>
      <c r="M1851" s="169" t="s">
        <v>281</v>
      </c>
      <c r="N1851" s="178">
        <v>25338500</v>
      </c>
      <c r="O1851" s="169" t="s">
        <v>1137</v>
      </c>
      <c r="P1851" s="169" t="s">
        <v>283</v>
      </c>
      <c r="Q1851" s="169" t="s">
        <v>284</v>
      </c>
      <c r="R1851" s="169" t="s">
        <v>283</v>
      </c>
      <c r="S1851" s="169" t="s">
        <v>283</v>
      </c>
      <c r="T1851" s="169">
        <v>0</v>
      </c>
    </row>
    <row r="1852" spans="1:20" x14ac:dyDescent="0.2">
      <c r="A1852" s="169" t="str">
        <f t="shared" si="7"/>
        <v>641</v>
      </c>
      <c r="B1852" s="167" t="str">
        <f>_xlfn.XLOOKUP(I1852,Mapping!D:D,Mapping!E:E)</f>
        <v>Kinh doanh</v>
      </c>
      <c r="C1852" s="167" t="str">
        <f>_xlfn.XLOOKUP(F1852,Mapping!A:A,Mapping!F:F)</f>
        <v>Thưởng</v>
      </c>
      <c r="D1852" s="173">
        <v>45961</v>
      </c>
      <c r="E1852" s="169" t="s">
        <v>1135</v>
      </c>
      <c r="F1852" s="169" t="s">
        <v>394</v>
      </c>
      <c r="G1852" s="169" t="s">
        <v>77</v>
      </c>
      <c r="H1852" s="169" t="s">
        <v>366</v>
      </c>
      <c r="I1852" s="169" t="s">
        <v>1</v>
      </c>
      <c r="J1852" s="169" t="s">
        <v>1138</v>
      </c>
      <c r="K1852" s="169" t="s">
        <v>1132</v>
      </c>
      <c r="L1852" s="169" t="s">
        <v>1133</v>
      </c>
      <c r="M1852" s="169" t="s">
        <v>281</v>
      </c>
      <c r="N1852" s="178">
        <v>23311217</v>
      </c>
      <c r="O1852" s="169" t="s">
        <v>1137</v>
      </c>
      <c r="P1852" s="169" t="s">
        <v>283</v>
      </c>
      <c r="Q1852" s="169" t="s">
        <v>284</v>
      </c>
      <c r="R1852" s="169" t="s">
        <v>283</v>
      </c>
      <c r="S1852" s="169" t="s">
        <v>283</v>
      </c>
      <c r="T1852" s="169">
        <v>0</v>
      </c>
    </row>
    <row r="1853" spans="1:20" x14ac:dyDescent="0.2">
      <c r="A1853" s="169" t="str">
        <f t="shared" si="7"/>
        <v>642</v>
      </c>
      <c r="B1853" s="167" t="str">
        <f>_xlfn.XLOOKUP(I1853,Mapping!D:D,Mapping!E:E)</f>
        <v>Cung Ứng</v>
      </c>
      <c r="C1853" s="167" t="str">
        <f>_xlfn.XLOOKUP(F1853,Mapping!A:A,Mapping!F:F)</f>
        <v>Lương Chính +T13</v>
      </c>
      <c r="D1853" s="173">
        <v>45961</v>
      </c>
      <c r="E1853" s="169" t="s">
        <v>1135</v>
      </c>
      <c r="F1853" s="169" t="s">
        <v>285</v>
      </c>
      <c r="G1853" s="169" t="s">
        <v>286</v>
      </c>
      <c r="H1853" s="169" t="s">
        <v>380</v>
      </c>
      <c r="I1853" s="169" t="s">
        <v>381</v>
      </c>
      <c r="J1853" s="169" t="s">
        <v>1136</v>
      </c>
      <c r="K1853" s="169" t="s">
        <v>1132</v>
      </c>
      <c r="L1853" s="169" t="s">
        <v>1133</v>
      </c>
      <c r="M1853" s="169" t="s">
        <v>281</v>
      </c>
      <c r="N1853" s="178">
        <v>41910752</v>
      </c>
      <c r="O1853" s="169" t="s">
        <v>1137</v>
      </c>
      <c r="P1853" s="169" t="s">
        <v>283</v>
      </c>
      <c r="Q1853" s="169" t="s">
        <v>284</v>
      </c>
      <c r="R1853" s="169" t="s">
        <v>283</v>
      </c>
      <c r="S1853" s="169" t="s">
        <v>283</v>
      </c>
      <c r="T1853" s="169">
        <v>0</v>
      </c>
    </row>
    <row r="1854" spans="1:20" x14ac:dyDescent="0.2">
      <c r="A1854" s="169" t="str">
        <f t="shared" si="7"/>
        <v>642</v>
      </c>
      <c r="B1854" s="167" t="str">
        <f>_xlfn.XLOOKUP(I1854,Mapping!D:D,Mapping!E:E)</f>
        <v>Cung Ứng</v>
      </c>
      <c r="C1854" s="167" t="str">
        <f>_xlfn.XLOOKUP(F1854,Mapping!A:A,Mapping!F:F)</f>
        <v>Thưởng</v>
      </c>
      <c r="D1854" s="173">
        <v>45961</v>
      </c>
      <c r="E1854" s="169" t="s">
        <v>1135</v>
      </c>
      <c r="F1854" s="169" t="s">
        <v>292</v>
      </c>
      <c r="G1854" s="169" t="s">
        <v>77</v>
      </c>
      <c r="H1854" s="169" t="s">
        <v>380</v>
      </c>
      <c r="I1854" s="169" t="s">
        <v>381</v>
      </c>
      <c r="J1854" s="169" t="s">
        <v>1138</v>
      </c>
      <c r="K1854" s="169" t="s">
        <v>1132</v>
      </c>
      <c r="L1854" s="169" t="s">
        <v>1133</v>
      </c>
      <c r="M1854" s="169" t="s">
        <v>281</v>
      </c>
      <c r="N1854" s="178">
        <v>36704375</v>
      </c>
      <c r="O1854" s="169" t="s">
        <v>1137</v>
      </c>
      <c r="P1854" s="169" t="s">
        <v>283</v>
      </c>
      <c r="Q1854" s="169" t="s">
        <v>284</v>
      </c>
      <c r="R1854" s="169" t="s">
        <v>283</v>
      </c>
      <c r="S1854" s="169" t="s">
        <v>283</v>
      </c>
      <c r="T1854" s="169">
        <v>0</v>
      </c>
    </row>
    <row r="1855" spans="1:20" x14ac:dyDescent="0.2">
      <c r="A1855" s="169" t="str">
        <f t="shared" si="7"/>
        <v>642</v>
      </c>
      <c r="B1855" s="167" t="str">
        <f>_xlfn.XLOOKUP(I1855,Mapping!D:D,Mapping!E:E)</f>
        <v>Mua Hàng &amp; XNK</v>
      </c>
      <c r="C1855" s="167" t="str">
        <f>_xlfn.XLOOKUP(F1855,Mapping!A:A,Mapping!F:F)</f>
        <v>Lương Chính +T13</v>
      </c>
      <c r="D1855" s="173">
        <v>45961</v>
      </c>
      <c r="E1855" s="169" t="s">
        <v>1135</v>
      </c>
      <c r="F1855" s="169" t="s">
        <v>285</v>
      </c>
      <c r="G1855" s="169" t="s">
        <v>286</v>
      </c>
      <c r="H1855" s="169" t="s">
        <v>378</v>
      </c>
      <c r="I1855" s="169" t="s">
        <v>379</v>
      </c>
      <c r="J1855" s="169" t="s">
        <v>1136</v>
      </c>
      <c r="K1855" s="169" t="s">
        <v>1132</v>
      </c>
      <c r="L1855" s="169" t="s">
        <v>1133</v>
      </c>
      <c r="M1855" s="169" t="s">
        <v>281</v>
      </c>
      <c r="N1855" s="178">
        <v>11544417</v>
      </c>
      <c r="O1855" s="169" t="s">
        <v>1137</v>
      </c>
      <c r="P1855" s="169" t="s">
        <v>283</v>
      </c>
      <c r="Q1855" s="169" t="s">
        <v>284</v>
      </c>
      <c r="R1855" s="169" t="s">
        <v>283</v>
      </c>
      <c r="S1855" s="169" t="s">
        <v>283</v>
      </c>
      <c r="T1855" s="169">
        <v>0</v>
      </c>
    </row>
    <row r="1856" spans="1:20" x14ac:dyDescent="0.2">
      <c r="A1856" s="169" t="str">
        <f t="shared" si="7"/>
        <v>642</v>
      </c>
      <c r="B1856" s="167" t="str">
        <f>_xlfn.XLOOKUP(I1856,Mapping!D:D,Mapping!E:E)</f>
        <v>Mua Hàng &amp; XNK</v>
      </c>
      <c r="C1856" s="167" t="str">
        <f>_xlfn.XLOOKUP(F1856,Mapping!A:A,Mapping!F:F)</f>
        <v>Thưởng</v>
      </c>
      <c r="D1856" s="173">
        <v>45961</v>
      </c>
      <c r="E1856" s="169" t="s">
        <v>1135</v>
      </c>
      <c r="F1856" s="169" t="s">
        <v>292</v>
      </c>
      <c r="G1856" s="169" t="s">
        <v>77</v>
      </c>
      <c r="H1856" s="169" t="s">
        <v>378</v>
      </c>
      <c r="I1856" s="169" t="s">
        <v>379</v>
      </c>
      <c r="J1856" s="169" t="s">
        <v>1138</v>
      </c>
      <c r="K1856" s="169" t="s">
        <v>1132</v>
      </c>
      <c r="L1856" s="169" t="s">
        <v>1133</v>
      </c>
      <c r="M1856" s="169" t="s">
        <v>281</v>
      </c>
      <c r="N1856" s="178">
        <v>10620771</v>
      </c>
      <c r="O1856" s="169" t="s">
        <v>1137</v>
      </c>
      <c r="P1856" s="169" t="s">
        <v>283</v>
      </c>
      <c r="Q1856" s="169" t="s">
        <v>284</v>
      </c>
      <c r="R1856" s="169" t="s">
        <v>283</v>
      </c>
      <c r="S1856" s="169" t="s">
        <v>283</v>
      </c>
      <c r="T1856" s="169">
        <v>0</v>
      </c>
    </row>
    <row r="1857" spans="1:20" x14ac:dyDescent="0.2">
      <c r="A1857" s="169" t="str">
        <f t="shared" si="7"/>
        <v>627</v>
      </c>
      <c r="B1857" s="167" t="str">
        <f>_xlfn.XLOOKUP(I1857,Mapping!D:D,Mapping!E:E)</f>
        <v>Kỹ Thuật</v>
      </c>
      <c r="C1857" s="167" t="str">
        <f>_xlfn.XLOOKUP(F1857,Mapping!A:A,Mapping!F:F)</f>
        <v>Lương Chính +T13</v>
      </c>
      <c r="D1857" s="173">
        <v>45961</v>
      </c>
      <c r="E1857" s="169" t="s">
        <v>1135</v>
      </c>
      <c r="F1857" s="169" t="s">
        <v>388</v>
      </c>
      <c r="G1857" s="169" t="s">
        <v>286</v>
      </c>
      <c r="H1857" s="169" t="s">
        <v>376</v>
      </c>
      <c r="I1857" s="169" t="s">
        <v>377</v>
      </c>
      <c r="J1857" s="169" t="s">
        <v>1136</v>
      </c>
      <c r="K1857" s="169" t="s">
        <v>1132</v>
      </c>
      <c r="L1857" s="169" t="s">
        <v>1133</v>
      </c>
      <c r="M1857" s="169" t="s">
        <v>281</v>
      </c>
      <c r="N1857" s="178">
        <v>88852917</v>
      </c>
      <c r="O1857" s="169" t="s">
        <v>1137</v>
      </c>
      <c r="P1857" s="169" t="s">
        <v>283</v>
      </c>
      <c r="Q1857" s="169" t="s">
        <v>284</v>
      </c>
      <c r="R1857" s="169" t="s">
        <v>283</v>
      </c>
      <c r="S1857" s="169" t="s">
        <v>283</v>
      </c>
      <c r="T1857" s="169">
        <v>0</v>
      </c>
    </row>
    <row r="1858" spans="1:20" x14ac:dyDescent="0.2">
      <c r="A1858" s="169" t="str">
        <f t="shared" si="7"/>
        <v>627</v>
      </c>
      <c r="B1858" s="167" t="str">
        <f>_xlfn.XLOOKUP(I1858,Mapping!D:D,Mapping!E:E)</f>
        <v>Kỹ Thuật</v>
      </c>
      <c r="C1858" s="167" t="str">
        <f>_xlfn.XLOOKUP(F1858,Mapping!A:A,Mapping!F:F)</f>
        <v>Thưởng</v>
      </c>
      <c r="D1858" s="173">
        <v>45961</v>
      </c>
      <c r="E1858" s="169" t="s">
        <v>1135</v>
      </c>
      <c r="F1858" s="169" t="s">
        <v>395</v>
      </c>
      <c r="G1858" s="169" t="s">
        <v>77</v>
      </c>
      <c r="H1858" s="169" t="s">
        <v>376</v>
      </c>
      <c r="I1858" s="169" t="s">
        <v>377</v>
      </c>
      <c r="J1858" s="169" t="s">
        <v>1138</v>
      </c>
      <c r="K1858" s="169" t="s">
        <v>1132</v>
      </c>
      <c r="L1858" s="169" t="s">
        <v>1133</v>
      </c>
      <c r="M1858" s="169" t="s">
        <v>281</v>
      </c>
      <c r="N1858" s="178">
        <v>81743973</v>
      </c>
      <c r="O1858" s="169" t="s">
        <v>1137</v>
      </c>
      <c r="P1858" s="169" t="s">
        <v>283</v>
      </c>
      <c r="Q1858" s="169" t="s">
        <v>284</v>
      </c>
      <c r="R1858" s="169" t="s">
        <v>283</v>
      </c>
      <c r="S1858" s="169" t="s">
        <v>283</v>
      </c>
      <c r="T1858" s="169">
        <v>0</v>
      </c>
    </row>
    <row r="1859" spans="1:20" x14ac:dyDescent="0.2">
      <c r="A1859" s="169" t="str">
        <f t="shared" si="7"/>
        <v>642</v>
      </c>
      <c r="B1859" s="167" t="str">
        <f>_xlfn.XLOOKUP(I1859,Mapping!D:D,Mapping!E:E)</f>
        <v>Hành Chánh Nhân Sự</v>
      </c>
      <c r="C1859" s="167" t="str">
        <f>_xlfn.XLOOKUP(F1859,Mapping!A:A,Mapping!F:F)</f>
        <v>Lương Chính +T13</v>
      </c>
      <c r="D1859" s="173">
        <v>45961</v>
      </c>
      <c r="E1859" s="169" t="s">
        <v>1135</v>
      </c>
      <c r="F1859" s="169" t="s">
        <v>285</v>
      </c>
      <c r="G1859" s="169" t="s">
        <v>286</v>
      </c>
      <c r="H1859" s="169" t="s">
        <v>382</v>
      </c>
      <c r="I1859" s="169" t="s">
        <v>200</v>
      </c>
      <c r="J1859" s="169" t="s">
        <v>1136</v>
      </c>
      <c r="K1859" s="169" t="s">
        <v>1132</v>
      </c>
      <c r="L1859" s="169" t="s">
        <v>1133</v>
      </c>
      <c r="M1859" s="169" t="s">
        <v>281</v>
      </c>
      <c r="N1859" s="178">
        <v>6194250</v>
      </c>
      <c r="O1859" s="169" t="s">
        <v>1137</v>
      </c>
      <c r="P1859" s="169" t="s">
        <v>283</v>
      </c>
      <c r="Q1859" s="169" t="s">
        <v>284</v>
      </c>
      <c r="R1859" s="169" t="s">
        <v>283</v>
      </c>
      <c r="S1859" s="169" t="s">
        <v>283</v>
      </c>
      <c r="T1859" s="169">
        <v>0</v>
      </c>
    </row>
    <row r="1860" spans="1:20" x14ac:dyDescent="0.2">
      <c r="A1860" s="169" t="str">
        <f t="shared" si="7"/>
        <v>642</v>
      </c>
      <c r="B1860" s="167" t="str">
        <f>_xlfn.XLOOKUP(I1860,Mapping!D:D,Mapping!E:E)</f>
        <v>Hành Chánh Nhân Sự</v>
      </c>
      <c r="C1860" s="167" t="str">
        <f>_xlfn.XLOOKUP(F1860,Mapping!A:A,Mapping!F:F)</f>
        <v>Thưởng</v>
      </c>
      <c r="D1860" s="173">
        <v>45961</v>
      </c>
      <c r="E1860" s="169" t="s">
        <v>1135</v>
      </c>
      <c r="F1860" s="169" t="s">
        <v>292</v>
      </c>
      <c r="G1860" s="169" t="s">
        <v>77</v>
      </c>
      <c r="H1860" s="169" t="s">
        <v>382</v>
      </c>
      <c r="I1860" s="169" t="s">
        <v>200</v>
      </c>
      <c r="J1860" s="169" t="s">
        <v>1138</v>
      </c>
      <c r="K1860" s="169" t="s">
        <v>1132</v>
      </c>
      <c r="L1860" s="169" t="s">
        <v>1133</v>
      </c>
      <c r="M1860" s="169" t="s">
        <v>281</v>
      </c>
      <c r="N1860" s="178">
        <v>5698660</v>
      </c>
      <c r="O1860" s="169" t="s">
        <v>1137</v>
      </c>
      <c r="P1860" s="169" t="s">
        <v>283</v>
      </c>
      <c r="Q1860" s="169" t="s">
        <v>284</v>
      </c>
      <c r="R1860" s="169" t="s">
        <v>283</v>
      </c>
      <c r="S1860" s="169" t="s">
        <v>283</v>
      </c>
      <c r="T1860" s="169">
        <v>0</v>
      </c>
    </row>
    <row r="1861" spans="1:20" x14ac:dyDescent="0.2">
      <c r="A1861" s="169" t="str">
        <f t="shared" si="7"/>
        <v>641</v>
      </c>
      <c r="B1861" s="167" t="str">
        <f>_xlfn.XLOOKUP(I1861,Mapping!D:D,Mapping!E:E)</f>
        <v>Kinh doanh</v>
      </c>
      <c r="C1861" s="167" t="str">
        <f>_xlfn.XLOOKUP(F1861,Mapping!A:A,Mapping!F:F)</f>
        <v>BHXH, BHYT, KPCĐ</v>
      </c>
      <c r="D1861" s="173">
        <v>45961</v>
      </c>
      <c r="E1861" s="169" t="s">
        <v>1139</v>
      </c>
      <c r="F1861" s="169" t="s">
        <v>392</v>
      </c>
      <c r="G1861" s="169" t="s">
        <v>296</v>
      </c>
      <c r="H1861" s="169" t="s">
        <v>366</v>
      </c>
      <c r="I1861" s="169" t="s">
        <v>1</v>
      </c>
      <c r="J1861" s="169" t="s">
        <v>1140</v>
      </c>
      <c r="K1861" s="169" t="s">
        <v>1132</v>
      </c>
      <c r="L1861" s="169" t="s">
        <v>1133</v>
      </c>
      <c r="M1861" s="169" t="s">
        <v>281</v>
      </c>
      <c r="N1861" s="178">
        <v>59197445</v>
      </c>
      <c r="O1861" s="169" t="s">
        <v>1141</v>
      </c>
      <c r="P1861" s="169" t="s">
        <v>283</v>
      </c>
      <c r="Q1861" s="169" t="s">
        <v>284</v>
      </c>
      <c r="R1861" s="169" t="s">
        <v>283</v>
      </c>
      <c r="S1861" s="169" t="s">
        <v>283</v>
      </c>
      <c r="T1861" s="169">
        <v>0</v>
      </c>
    </row>
    <row r="1862" spans="1:20" x14ac:dyDescent="0.2">
      <c r="A1862" s="169" t="str">
        <f t="shared" si="7"/>
        <v>642</v>
      </c>
      <c r="B1862" s="167" t="str">
        <f>_xlfn.XLOOKUP(I1862,Mapping!D:D,Mapping!E:E)</f>
        <v>Cung Ứng</v>
      </c>
      <c r="C1862" s="167" t="str">
        <f>_xlfn.XLOOKUP(F1862,Mapping!A:A,Mapping!F:F)</f>
        <v>BHXH, BHYT, KPCĐ</v>
      </c>
      <c r="D1862" s="173">
        <v>45961</v>
      </c>
      <c r="E1862" s="169" t="s">
        <v>1139</v>
      </c>
      <c r="F1862" s="169" t="s">
        <v>295</v>
      </c>
      <c r="G1862" s="169" t="s">
        <v>296</v>
      </c>
      <c r="H1862" s="169" t="s">
        <v>380</v>
      </c>
      <c r="I1862" s="169" t="s">
        <v>381</v>
      </c>
      <c r="J1862" s="169" t="s">
        <v>1140</v>
      </c>
      <c r="K1862" s="169" t="s">
        <v>1132</v>
      </c>
      <c r="L1862" s="169" t="s">
        <v>1133</v>
      </c>
      <c r="M1862" s="169" t="s">
        <v>281</v>
      </c>
      <c r="N1862" s="178">
        <v>113291385</v>
      </c>
      <c r="O1862" s="169" t="s">
        <v>1141</v>
      </c>
      <c r="P1862" s="169" t="s">
        <v>283</v>
      </c>
      <c r="Q1862" s="169" t="s">
        <v>284</v>
      </c>
      <c r="R1862" s="169" t="s">
        <v>283</v>
      </c>
      <c r="S1862" s="169" t="s">
        <v>283</v>
      </c>
      <c r="T1862" s="169">
        <v>0</v>
      </c>
    </row>
    <row r="1863" spans="1:20" x14ac:dyDescent="0.2">
      <c r="A1863" s="169" t="str">
        <f t="shared" si="7"/>
        <v>642</v>
      </c>
      <c r="B1863" s="167" t="str">
        <f>_xlfn.XLOOKUP(I1863,Mapping!D:D,Mapping!E:E)</f>
        <v>Mua Hàng &amp; XNK</v>
      </c>
      <c r="C1863" s="167" t="str">
        <f>_xlfn.XLOOKUP(F1863,Mapping!A:A,Mapping!F:F)</f>
        <v>BHXH, BHYT, KPCĐ</v>
      </c>
      <c r="D1863" s="173">
        <v>45961</v>
      </c>
      <c r="E1863" s="169" t="s">
        <v>1139</v>
      </c>
      <c r="F1863" s="169" t="s">
        <v>295</v>
      </c>
      <c r="G1863" s="169" t="s">
        <v>296</v>
      </c>
      <c r="H1863" s="169" t="s">
        <v>378</v>
      </c>
      <c r="I1863" s="169" t="s">
        <v>379</v>
      </c>
      <c r="J1863" s="169" t="s">
        <v>1140</v>
      </c>
      <c r="K1863" s="169" t="s">
        <v>1132</v>
      </c>
      <c r="L1863" s="169" t="s">
        <v>1133</v>
      </c>
      <c r="M1863" s="169" t="s">
        <v>281</v>
      </c>
      <c r="N1863" s="178">
        <v>32555255</v>
      </c>
      <c r="O1863" s="169" t="s">
        <v>1141</v>
      </c>
      <c r="P1863" s="169" t="s">
        <v>283</v>
      </c>
      <c r="Q1863" s="169" t="s">
        <v>284</v>
      </c>
      <c r="R1863" s="169" t="s">
        <v>283</v>
      </c>
      <c r="S1863" s="169" t="s">
        <v>283</v>
      </c>
      <c r="T1863" s="169">
        <v>0</v>
      </c>
    </row>
    <row r="1864" spans="1:20" x14ac:dyDescent="0.2">
      <c r="A1864" s="169" t="str">
        <f t="shared" si="7"/>
        <v>627</v>
      </c>
      <c r="B1864" s="167" t="str">
        <f>_xlfn.XLOOKUP(I1864,Mapping!D:D,Mapping!E:E)</f>
        <v>Kỹ Thuật</v>
      </c>
      <c r="C1864" s="167" t="str">
        <f>_xlfn.XLOOKUP(F1864,Mapping!A:A,Mapping!F:F)</f>
        <v>BHXH, BHYT, KPCĐ</v>
      </c>
      <c r="D1864" s="173">
        <v>45961</v>
      </c>
      <c r="E1864" s="169" t="s">
        <v>1139</v>
      </c>
      <c r="F1864" s="169" t="s">
        <v>393</v>
      </c>
      <c r="G1864" s="169" t="s">
        <v>296</v>
      </c>
      <c r="H1864" s="169" t="s">
        <v>376</v>
      </c>
      <c r="I1864" s="169" t="s">
        <v>377</v>
      </c>
      <c r="J1864" s="169" t="s">
        <v>1140</v>
      </c>
      <c r="K1864" s="169" t="s">
        <v>1132</v>
      </c>
      <c r="L1864" s="169" t="s">
        <v>1133</v>
      </c>
      <c r="M1864" s="169" t="s">
        <v>281</v>
      </c>
      <c r="N1864" s="178">
        <v>243985225</v>
      </c>
      <c r="O1864" s="169" t="s">
        <v>1141</v>
      </c>
      <c r="P1864" s="169" t="s">
        <v>283</v>
      </c>
      <c r="Q1864" s="169" t="s">
        <v>284</v>
      </c>
      <c r="R1864" s="169" t="s">
        <v>283</v>
      </c>
      <c r="S1864" s="169" t="s">
        <v>283</v>
      </c>
      <c r="T1864" s="169">
        <v>0</v>
      </c>
    </row>
    <row r="1865" spans="1:20" x14ac:dyDescent="0.2">
      <c r="A1865" s="169" t="str">
        <f t="shared" si="7"/>
        <v>642</v>
      </c>
      <c r="B1865" s="167" t="str">
        <f>_xlfn.XLOOKUP(I1865,Mapping!D:D,Mapping!E:E)</f>
        <v>Hành Chánh Nhân Sự</v>
      </c>
      <c r="C1865" s="167" t="str">
        <f>_xlfn.XLOOKUP(F1865,Mapping!A:A,Mapping!F:F)</f>
        <v>BHXH, BHYT, KPCĐ</v>
      </c>
      <c r="D1865" s="173">
        <v>45961</v>
      </c>
      <c r="E1865" s="169" t="s">
        <v>1139</v>
      </c>
      <c r="F1865" s="169" t="s">
        <v>295</v>
      </c>
      <c r="G1865" s="169" t="s">
        <v>296</v>
      </c>
      <c r="H1865" s="169" t="s">
        <v>382</v>
      </c>
      <c r="I1865" s="169" t="s">
        <v>200</v>
      </c>
      <c r="J1865" s="169" t="s">
        <v>1140</v>
      </c>
      <c r="K1865" s="169" t="s">
        <v>1132</v>
      </c>
      <c r="L1865" s="169" t="s">
        <v>1133</v>
      </c>
      <c r="M1865" s="169" t="s">
        <v>281</v>
      </c>
      <c r="N1865" s="178">
        <v>17467785</v>
      </c>
      <c r="O1865" s="169" t="s">
        <v>1141</v>
      </c>
      <c r="P1865" s="169" t="s">
        <v>283</v>
      </c>
      <c r="Q1865" s="169" t="s">
        <v>284</v>
      </c>
      <c r="R1865" s="169" t="s">
        <v>283</v>
      </c>
      <c r="S1865" s="169" t="s">
        <v>283</v>
      </c>
      <c r="T1865" s="169">
        <v>0</v>
      </c>
    </row>
    <row r="1866" spans="1:20" x14ac:dyDescent="0.2">
      <c r="A1866" s="169" t="str">
        <f t="shared" si="7"/>
        <v>642</v>
      </c>
      <c r="B1866" s="167" t="str">
        <f>_xlfn.XLOOKUP(I1866,Mapping!D:D,Mapping!E:E)</f>
        <v>Cung Ứng</v>
      </c>
      <c r="C1866" s="167" t="str">
        <f>_xlfn.XLOOKUP(F1866,Mapping!A:A,Mapping!F:F)</f>
        <v>Lương Chính +T13</v>
      </c>
      <c r="D1866" s="173">
        <v>45961</v>
      </c>
      <c r="E1866" s="169" t="s">
        <v>1174</v>
      </c>
      <c r="F1866" s="169" t="s">
        <v>274</v>
      </c>
      <c r="G1866" s="169" t="s">
        <v>275</v>
      </c>
      <c r="H1866" s="169" t="s">
        <v>380</v>
      </c>
      <c r="I1866" s="169" t="s">
        <v>381</v>
      </c>
      <c r="J1866" s="169" t="s">
        <v>1175</v>
      </c>
      <c r="K1866" s="169" t="s">
        <v>1132</v>
      </c>
      <c r="L1866" s="169" t="s">
        <v>1133</v>
      </c>
      <c r="M1866" s="169" t="s">
        <v>281</v>
      </c>
      <c r="N1866" s="178">
        <v>-259909</v>
      </c>
      <c r="O1866" s="169" t="s">
        <v>1176</v>
      </c>
      <c r="P1866" s="169" t="s">
        <v>283</v>
      </c>
      <c r="Q1866" s="169" t="s">
        <v>284</v>
      </c>
      <c r="R1866" s="169" t="s">
        <v>283</v>
      </c>
      <c r="S1866" s="169" t="s">
        <v>283</v>
      </c>
      <c r="T1866" s="169">
        <v>0</v>
      </c>
    </row>
    <row r="1867" spans="1:20" x14ac:dyDescent="0.2">
      <c r="A1867" s="169" t="str">
        <f t="shared" si="7"/>
        <v>641</v>
      </c>
      <c r="B1867" s="167" t="str">
        <f>_xlfn.XLOOKUP(I1867,Mapping!D:D,Mapping!E:E)</f>
        <v>Kinh doanh</v>
      </c>
      <c r="C1867" s="167" t="str">
        <f>_xlfn.XLOOKUP(F1867,Mapping!A:A,Mapping!F:F)</f>
        <v>Thưởng</v>
      </c>
      <c r="D1867" s="173">
        <v>45931</v>
      </c>
      <c r="E1867" s="169" t="s">
        <v>1177</v>
      </c>
      <c r="F1867" s="169" t="s">
        <v>365</v>
      </c>
      <c r="G1867" s="169" t="s">
        <v>291</v>
      </c>
      <c r="H1867" s="169" t="s">
        <v>366</v>
      </c>
      <c r="I1867" s="169" t="s">
        <v>1</v>
      </c>
      <c r="J1867" s="169" t="s">
        <v>1101</v>
      </c>
      <c r="K1867" s="169" t="s">
        <v>670</v>
      </c>
      <c r="L1867" s="169" t="s">
        <v>1133</v>
      </c>
      <c r="M1867" s="169" t="s">
        <v>281</v>
      </c>
      <c r="N1867" s="178">
        <v>-101478655</v>
      </c>
      <c r="O1867" s="169" t="s">
        <v>1178</v>
      </c>
      <c r="P1867" s="169" t="s">
        <v>447</v>
      </c>
      <c r="Q1867" s="169" t="s">
        <v>284</v>
      </c>
      <c r="R1867" s="169" t="s">
        <v>283</v>
      </c>
      <c r="S1867" s="169" t="s">
        <v>283</v>
      </c>
      <c r="T1867" s="169">
        <v>0</v>
      </c>
    </row>
    <row r="1868" spans="1:20" x14ac:dyDescent="0.2">
      <c r="A1868" s="169" t="str">
        <f t="shared" si="7"/>
        <v>641</v>
      </c>
      <c r="B1868" s="167" t="str">
        <f>_xlfn.XLOOKUP(I1868,Mapping!D:D,Mapping!E:E)</f>
        <v>Kinh doanh</v>
      </c>
      <c r="C1868" s="167" t="str">
        <f>_xlfn.XLOOKUP(F1868,Mapping!A:A,Mapping!F:F)</f>
        <v>Thưởng</v>
      </c>
      <c r="D1868" s="173">
        <v>45961</v>
      </c>
      <c r="E1868" s="169" t="s">
        <v>1179</v>
      </c>
      <c r="F1868" s="169" t="s">
        <v>365</v>
      </c>
      <c r="G1868" s="169" t="s">
        <v>291</v>
      </c>
      <c r="H1868" s="169" t="s">
        <v>366</v>
      </c>
      <c r="I1868" s="169" t="s">
        <v>1</v>
      </c>
      <c r="J1868" s="169" t="s">
        <v>1180</v>
      </c>
      <c r="K1868" s="169" t="s">
        <v>670</v>
      </c>
      <c r="L1868" s="169" t="s">
        <v>1133</v>
      </c>
      <c r="M1868" s="169" t="s">
        <v>281</v>
      </c>
      <c r="N1868" s="178">
        <v>18423547</v>
      </c>
      <c r="O1868" s="169" t="s">
        <v>1181</v>
      </c>
      <c r="P1868" s="169" t="s">
        <v>283</v>
      </c>
      <c r="Q1868" s="169" t="s">
        <v>370</v>
      </c>
      <c r="R1868" s="169" t="s">
        <v>283</v>
      </c>
      <c r="S1868" s="169" t="s">
        <v>283</v>
      </c>
      <c r="T1868" s="169">
        <v>0</v>
      </c>
    </row>
    <row r="1869" spans="1:20" x14ac:dyDescent="0.2">
      <c r="A1869" s="169" t="str">
        <f t="shared" si="7"/>
        <v>641</v>
      </c>
      <c r="B1869" s="167" t="str">
        <f>_xlfn.XLOOKUP(I1869,Mapping!D:D,Mapping!E:E)</f>
        <v>Kinh doanh</v>
      </c>
      <c r="C1869" s="167" t="str">
        <f>_xlfn.XLOOKUP(F1869,Mapping!A:A,Mapping!F:F)</f>
        <v>Thưởng</v>
      </c>
      <c r="D1869" s="173">
        <v>45961</v>
      </c>
      <c r="E1869" s="169" t="s">
        <v>1182</v>
      </c>
      <c r="F1869" s="169" t="s">
        <v>365</v>
      </c>
      <c r="G1869" s="169" t="s">
        <v>291</v>
      </c>
      <c r="H1869" s="169" t="s">
        <v>366</v>
      </c>
      <c r="I1869" s="169" t="s">
        <v>1</v>
      </c>
      <c r="J1869" s="169" t="s">
        <v>1183</v>
      </c>
      <c r="K1869" s="169" t="s">
        <v>670</v>
      </c>
      <c r="L1869" s="169" t="s">
        <v>1133</v>
      </c>
      <c r="M1869" s="169" t="s">
        <v>281</v>
      </c>
      <c r="N1869" s="178">
        <v>123235604</v>
      </c>
      <c r="O1869" s="169" t="s">
        <v>1184</v>
      </c>
      <c r="P1869" s="169" t="s">
        <v>283</v>
      </c>
      <c r="Q1869" s="169" t="s">
        <v>370</v>
      </c>
      <c r="R1869" s="169" t="s">
        <v>283</v>
      </c>
      <c r="S1869" s="169" t="s">
        <v>283</v>
      </c>
      <c r="T1869" s="169">
        <v>0</v>
      </c>
    </row>
    <row r="1870" spans="1:20" x14ac:dyDescent="0.2">
      <c r="A1870" s="169" t="str">
        <f t="shared" si="7"/>
        <v>627</v>
      </c>
      <c r="B1870" s="167" t="str">
        <f>_xlfn.XLOOKUP(I1870,Mapping!D:D,Mapping!E:E)</f>
        <v>Kỹ Thuật</v>
      </c>
      <c r="C1870" s="167" t="str">
        <f>_xlfn.XLOOKUP(F1870,Mapping!A:A,Mapping!F:F)</f>
        <v>Phụ Cấp</v>
      </c>
      <c r="D1870" s="173">
        <v>45958</v>
      </c>
      <c r="E1870" s="169" t="s">
        <v>1142</v>
      </c>
      <c r="F1870" s="169" t="s">
        <v>375</v>
      </c>
      <c r="G1870" s="169" t="s">
        <v>336</v>
      </c>
      <c r="H1870" s="169" t="s">
        <v>376</v>
      </c>
      <c r="I1870" s="169" t="s">
        <v>377</v>
      </c>
      <c r="J1870" s="169" t="s">
        <v>1143</v>
      </c>
      <c r="K1870" s="169" t="s">
        <v>992</v>
      </c>
      <c r="L1870" s="169" t="s">
        <v>1133</v>
      </c>
      <c r="M1870" s="169" t="s">
        <v>281</v>
      </c>
      <c r="N1870" s="178">
        <v>50625000</v>
      </c>
      <c r="O1870" s="169" t="s">
        <v>1144</v>
      </c>
      <c r="P1870" s="169" t="s">
        <v>283</v>
      </c>
      <c r="Q1870" s="169" t="s">
        <v>306</v>
      </c>
      <c r="R1870" s="169" t="s">
        <v>283</v>
      </c>
      <c r="S1870" s="169" t="s">
        <v>283</v>
      </c>
      <c r="T1870" s="169">
        <v>0</v>
      </c>
    </row>
    <row r="1871" spans="1:20" x14ac:dyDescent="0.2">
      <c r="A1871" s="169" t="str">
        <f t="shared" si="7"/>
        <v>642</v>
      </c>
      <c r="B1871" s="167" t="str">
        <f>_xlfn.XLOOKUP(I1871,Mapping!D:D,Mapping!E:E)</f>
        <v>Mua Hàng &amp; XNK</v>
      </c>
      <c r="C1871" s="167" t="str">
        <f>_xlfn.XLOOKUP(F1871,Mapping!A:A,Mapping!F:F)</f>
        <v>Phụ Cấp</v>
      </c>
      <c r="D1871" s="173">
        <v>45958</v>
      </c>
      <c r="E1871" s="169" t="s">
        <v>1142</v>
      </c>
      <c r="F1871" s="169" t="s">
        <v>335</v>
      </c>
      <c r="G1871" s="169" t="s">
        <v>336</v>
      </c>
      <c r="H1871" s="169" t="s">
        <v>378</v>
      </c>
      <c r="I1871" s="169" t="s">
        <v>379</v>
      </c>
      <c r="J1871" s="169" t="s">
        <v>1143</v>
      </c>
      <c r="K1871" s="169" t="s">
        <v>992</v>
      </c>
      <c r="L1871" s="169" t="s">
        <v>1133</v>
      </c>
      <c r="M1871" s="169" t="s">
        <v>281</v>
      </c>
      <c r="N1871" s="178">
        <v>4750000</v>
      </c>
      <c r="O1871" s="169" t="s">
        <v>1144</v>
      </c>
      <c r="P1871" s="169" t="s">
        <v>283</v>
      </c>
      <c r="Q1871" s="169" t="s">
        <v>306</v>
      </c>
      <c r="R1871" s="169" t="s">
        <v>283</v>
      </c>
      <c r="S1871" s="169" t="s">
        <v>283</v>
      </c>
      <c r="T1871" s="169">
        <v>0</v>
      </c>
    </row>
    <row r="1872" spans="1:20" x14ac:dyDescent="0.2">
      <c r="A1872" s="169" t="str">
        <f t="shared" si="7"/>
        <v>642</v>
      </c>
      <c r="B1872" s="167" t="str">
        <f>_xlfn.XLOOKUP(I1872,Mapping!D:D,Mapping!E:E)</f>
        <v>Cung Ứng</v>
      </c>
      <c r="C1872" s="167" t="str">
        <f>_xlfn.XLOOKUP(F1872,Mapping!A:A,Mapping!F:F)</f>
        <v>Phụ Cấp</v>
      </c>
      <c r="D1872" s="173">
        <v>45958</v>
      </c>
      <c r="E1872" s="169" t="s">
        <v>1142</v>
      </c>
      <c r="F1872" s="169" t="s">
        <v>335</v>
      </c>
      <c r="G1872" s="169" t="s">
        <v>336</v>
      </c>
      <c r="H1872" s="169" t="s">
        <v>380</v>
      </c>
      <c r="I1872" s="169" t="s">
        <v>381</v>
      </c>
      <c r="J1872" s="169" t="s">
        <v>1143</v>
      </c>
      <c r="K1872" s="169" t="s">
        <v>992</v>
      </c>
      <c r="L1872" s="169" t="s">
        <v>1133</v>
      </c>
      <c r="M1872" s="169" t="s">
        <v>281</v>
      </c>
      <c r="N1872" s="178">
        <v>3100000</v>
      </c>
      <c r="O1872" s="169" t="s">
        <v>1144</v>
      </c>
      <c r="P1872" s="169" t="s">
        <v>283</v>
      </c>
      <c r="Q1872" s="169" t="s">
        <v>306</v>
      </c>
      <c r="R1872" s="169" t="s">
        <v>283</v>
      </c>
      <c r="S1872" s="169" t="s">
        <v>283</v>
      </c>
      <c r="T1872" s="169">
        <v>0</v>
      </c>
    </row>
    <row r="1873" spans="1:20" x14ac:dyDescent="0.2">
      <c r="A1873" s="169" t="str">
        <f t="shared" si="7"/>
        <v>642</v>
      </c>
      <c r="B1873" s="167" t="str">
        <f>_xlfn.XLOOKUP(I1873,Mapping!D:D,Mapping!E:E)</f>
        <v>Hành Chánh Nhân Sự</v>
      </c>
      <c r="C1873" s="167" t="str">
        <f>_xlfn.XLOOKUP(F1873,Mapping!A:A,Mapping!F:F)</f>
        <v>Phụ Cấp</v>
      </c>
      <c r="D1873" s="173">
        <v>45958</v>
      </c>
      <c r="E1873" s="169" t="s">
        <v>1142</v>
      </c>
      <c r="F1873" s="169" t="s">
        <v>335</v>
      </c>
      <c r="G1873" s="169" t="s">
        <v>336</v>
      </c>
      <c r="H1873" s="169" t="s">
        <v>382</v>
      </c>
      <c r="I1873" s="169" t="s">
        <v>200</v>
      </c>
      <c r="J1873" s="169" t="s">
        <v>1143</v>
      </c>
      <c r="K1873" s="169" t="s">
        <v>992</v>
      </c>
      <c r="L1873" s="169" t="s">
        <v>1133</v>
      </c>
      <c r="M1873" s="169" t="s">
        <v>281</v>
      </c>
      <c r="N1873" s="178">
        <v>1750000</v>
      </c>
      <c r="O1873" s="169" t="s">
        <v>1144</v>
      </c>
      <c r="P1873" s="169" t="s">
        <v>283</v>
      </c>
      <c r="Q1873" s="169" t="s">
        <v>306</v>
      </c>
      <c r="R1873" s="169" t="s">
        <v>283</v>
      </c>
      <c r="S1873" s="169" t="s">
        <v>283</v>
      </c>
      <c r="T1873" s="169">
        <v>0</v>
      </c>
    </row>
    <row r="1874" spans="1:20" x14ac:dyDescent="0.2">
      <c r="A1874" s="169" t="str">
        <f t="shared" si="7"/>
        <v>627</v>
      </c>
      <c r="B1874" s="167" t="str">
        <f>_xlfn.XLOOKUP(I1874,Mapping!D:D,Mapping!E:E)</f>
        <v>Kỹ Thuật</v>
      </c>
      <c r="C1874" s="167" t="str">
        <f>_xlfn.XLOOKUP(F1874,Mapping!A:A,Mapping!F:F)</f>
        <v>Phụ Cấp</v>
      </c>
      <c r="D1874" s="173">
        <v>45961</v>
      </c>
      <c r="E1874" s="169" t="s">
        <v>1151</v>
      </c>
      <c r="F1874" s="169" t="s">
        <v>375</v>
      </c>
      <c r="G1874" s="169" t="s">
        <v>336</v>
      </c>
      <c r="H1874" s="169" t="s">
        <v>376</v>
      </c>
      <c r="I1874" s="169" t="s">
        <v>377</v>
      </c>
      <c r="J1874" s="169" t="s">
        <v>1185</v>
      </c>
      <c r="K1874" s="169" t="s">
        <v>1153</v>
      </c>
      <c r="L1874" s="169" t="s">
        <v>1133</v>
      </c>
      <c r="M1874" s="169" t="s">
        <v>281</v>
      </c>
      <c r="N1874" s="178">
        <v>8502000</v>
      </c>
      <c r="O1874" s="169" t="s">
        <v>1154</v>
      </c>
      <c r="P1874" s="169" t="s">
        <v>283</v>
      </c>
      <c r="Q1874" s="169" t="s">
        <v>306</v>
      </c>
      <c r="R1874" s="169" t="s">
        <v>283</v>
      </c>
      <c r="S1874" s="169" t="s">
        <v>283</v>
      </c>
      <c r="T1874" s="169">
        <v>0</v>
      </c>
    </row>
    <row r="1875" spans="1:20" x14ac:dyDescent="0.2">
      <c r="A1875" s="169" t="str">
        <f t="shared" si="7"/>
        <v>642</v>
      </c>
      <c r="B1875" s="167" t="str">
        <f>_xlfn.XLOOKUP(I1875,Mapping!D:D,Mapping!E:E)</f>
        <v>Cung Ứng</v>
      </c>
      <c r="C1875" s="167" t="str">
        <f>_xlfn.XLOOKUP(F1875,Mapping!A:A,Mapping!F:F)</f>
        <v>Thưởng</v>
      </c>
      <c r="D1875" s="173">
        <v>45931</v>
      </c>
      <c r="E1875" s="169" t="s">
        <v>1186</v>
      </c>
      <c r="F1875" s="169" t="s">
        <v>290</v>
      </c>
      <c r="G1875" s="169" t="s">
        <v>291</v>
      </c>
      <c r="H1875" s="169" t="s">
        <v>380</v>
      </c>
      <c r="I1875" s="169" t="s">
        <v>381</v>
      </c>
      <c r="J1875" s="169" t="s">
        <v>1123</v>
      </c>
      <c r="K1875" s="169" t="s">
        <v>1124</v>
      </c>
      <c r="L1875" s="169" t="s">
        <v>1133</v>
      </c>
      <c r="M1875" s="169" t="s">
        <v>281</v>
      </c>
      <c r="N1875" s="178">
        <v>-140000000</v>
      </c>
      <c r="O1875" s="169" t="s">
        <v>1187</v>
      </c>
      <c r="P1875" s="169" t="s">
        <v>447</v>
      </c>
      <c r="Q1875" s="169" t="s">
        <v>284</v>
      </c>
      <c r="R1875" s="169" t="s">
        <v>283</v>
      </c>
      <c r="S1875" s="169" t="s">
        <v>283</v>
      </c>
      <c r="T1875" s="169">
        <v>0</v>
      </c>
    </row>
    <row r="1876" spans="1:20" x14ac:dyDescent="0.2">
      <c r="A1876" s="169" t="str">
        <f t="shared" si="7"/>
        <v>627</v>
      </c>
      <c r="B1876" s="167" t="str">
        <f>_xlfn.XLOOKUP(I1876,Mapping!D:D,Mapping!E:E)</f>
        <v>Nghiên Cứu &amp; Phát Triển</v>
      </c>
      <c r="C1876" s="167" t="str">
        <f>_xlfn.XLOOKUP(F1876,Mapping!A:A,Mapping!F:F)</f>
        <v>Khen thưởng BD khác</v>
      </c>
      <c r="D1876" s="173">
        <v>45936</v>
      </c>
      <c r="E1876" s="169" t="s">
        <v>1188</v>
      </c>
      <c r="F1876" s="169" t="s">
        <v>435</v>
      </c>
      <c r="G1876" s="169" t="s">
        <v>222</v>
      </c>
      <c r="H1876" s="169" t="s">
        <v>418</v>
      </c>
      <c r="I1876" s="169" t="s">
        <v>419</v>
      </c>
      <c r="J1876" s="169" t="s">
        <v>1189</v>
      </c>
      <c r="K1876" s="169" t="s">
        <v>1190</v>
      </c>
      <c r="L1876" s="169" t="s">
        <v>1133</v>
      </c>
      <c r="M1876" s="169" t="s">
        <v>281</v>
      </c>
      <c r="N1876" s="178">
        <v>4200000</v>
      </c>
      <c r="O1876" s="169" t="s">
        <v>1191</v>
      </c>
      <c r="P1876" s="169" t="s">
        <v>283</v>
      </c>
      <c r="Q1876" s="169" t="s">
        <v>306</v>
      </c>
      <c r="R1876" s="169" t="s">
        <v>283</v>
      </c>
      <c r="S1876" s="169" t="s">
        <v>283</v>
      </c>
      <c r="T1876" s="169">
        <v>0</v>
      </c>
    </row>
    <row r="1877" spans="1:20" x14ac:dyDescent="0.2">
      <c r="A1877" s="169" t="str">
        <f t="shared" si="7"/>
        <v>627</v>
      </c>
      <c r="B1877" s="167" t="str">
        <f>_xlfn.XLOOKUP(I1877,Mapping!D:D,Mapping!E:E)</f>
        <v>Nghiên Cứu &amp; Phát Triển</v>
      </c>
      <c r="C1877" s="167" t="str">
        <f>_xlfn.XLOOKUP(F1877,Mapping!A:A,Mapping!F:F)</f>
        <v>Khen thưởng BD khác</v>
      </c>
      <c r="D1877" s="173">
        <v>45936</v>
      </c>
      <c r="E1877" s="169" t="s">
        <v>1188</v>
      </c>
      <c r="F1877" s="169" t="s">
        <v>435</v>
      </c>
      <c r="G1877" s="169" t="s">
        <v>222</v>
      </c>
      <c r="H1877" s="169" t="s">
        <v>418</v>
      </c>
      <c r="I1877" s="169" t="s">
        <v>419</v>
      </c>
      <c r="J1877" s="169" t="s">
        <v>1192</v>
      </c>
      <c r="K1877" s="169" t="s">
        <v>1190</v>
      </c>
      <c r="L1877" s="169" t="s">
        <v>1133</v>
      </c>
      <c r="M1877" s="169" t="s">
        <v>281</v>
      </c>
      <c r="N1877" s="178">
        <v>4400000</v>
      </c>
      <c r="O1877" s="169" t="s">
        <v>1191</v>
      </c>
      <c r="P1877" s="169" t="s">
        <v>283</v>
      </c>
      <c r="Q1877" s="169" t="s">
        <v>306</v>
      </c>
      <c r="R1877" s="169" t="s">
        <v>283</v>
      </c>
      <c r="S1877" s="169" t="s">
        <v>283</v>
      </c>
      <c r="T1877" s="169">
        <v>0</v>
      </c>
    </row>
    <row r="1878" spans="1:20" x14ac:dyDescent="0.2">
      <c r="A1878" s="169" t="str">
        <f t="shared" si="7"/>
        <v>627</v>
      </c>
      <c r="B1878" s="167" t="str">
        <f>_xlfn.XLOOKUP(I1878,Mapping!D:D,Mapping!E:E)</f>
        <v>Kiểm Soát Chất Lượng</v>
      </c>
      <c r="C1878" s="167" t="str">
        <f>_xlfn.XLOOKUP(F1878,Mapping!A:A,Mapping!F:F)</f>
        <v>Khen thưởng BD khác</v>
      </c>
      <c r="D1878" s="173">
        <v>45936</v>
      </c>
      <c r="E1878" s="169" t="s">
        <v>1188</v>
      </c>
      <c r="F1878" s="169" t="s">
        <v>435</v>
      </c>
      <c r="G1878" s="169" t="s">
        <v>222</v>
      </c>
      <c r="H1878" s="169" t="s">
        <v>411</v>
      </c>
      <c r="I1878" s="169" t="s">
        <v>412</v>
      </c>
      <c r="J1878" s="169" t="s">
        <v>1193</v>
      </c>
      <c r="K1878" s="169" t="s">
        <v>1190</v>
      </c>
      <c r="L1878" s="169" t="s">
        <v>1133</v>
      </c>
      <c r="M1878" s="169" t="s">
        <v>281</v>
      </c>
      <c r="N1878" s="178">
        <v>3600000</v>
      </c>
      <c r="O1878" s="169" t="s">
        <v>1191</v>
      </c>
      <c r="P1878" s="169" t="s">
        <v>283</v>
      </c>
      <c r="Q1878" s="169" t="s">
        <v>306</v>
      </c>
      <c r="R1878" s="169" t="s">
        <v>283</v>
      </c>
      <c r="S1878" s="169" t="s">
        <v>283</v>
      </c>
      <c r="T1878" s="169">
        <v>0</v>
      </c>
    </row>
    <row r="1879" spans="1:20" x14ac:dyDescent="0.2">
      <c r="A1879" s="169" t="str">
        <f t="shared" si="7"/>
        <v>627</v>
      </c>
      <c r="B1879" s="167" t="str">
        <f>_xlfn.XLOOKUP(I1879,Mapping!D:D,Mapping!E:E)</f>
        <v>Kiểm Soát Chất Lượng</v>
      </c>
      <c r="C1879" s="167" t="str">
        <f>_xlfn.XLOOKUP(F1879,Mapping!A:A,Mapping!F:F)</f>
        <v>Phụ Cấp</v>
      </c>
      <c r="D1879" s="173">
        <v>45961</v>
      </c>
      <c r="E1879" s="169" t="s">
        <v>1130</v>
      </c>
      <c r="F1879" s="169" t="s">
        <v>386</v>
      </c>
      <c r="G1879" s="169" t="s">
        <v>341</v>
      </c>
      <c r="H1879" s="169" t="s">
        <v>411</v>
      </c>
      <c r="I1879" s="169" t="s">
        <v>412</v>
      </c>
      <c r="J1879" s="169" t="s">
        <v>1131</v>
      </c>
      <c r="K1879" s="169" t="s">
        <v>1132</v>
      </c>
      <c r="L1879" s="169" t="s">
        <v>1133</v>
      </c>
      <c r="M1879" s="169" t="s">
        <v>281</v>
      </c>
      <c r="N1879" s="178">
        <v>26387828</v>
      </c>
      <c r="O1879" s="169" t="s">
        <v>1134</v>
      </c>
      <c r="P1879" s="169" t="s">
        <v>283</v>
      </c>
      <c r="Q1879" s="169" t="s">
        <v>284</v>
      </c>
      <c r="R1879" s="169" t="s">
        <v>283</v>
      </c>
      <c r="S1879" s="169" t="s">
        <v>283</v>
      </c>
      <c r="T1879" s="169">
        <v>0</v>
      </c>
    </row>
    <row r="1880" spans="1:20" x14ac:dyDescent="0.2">
      <c r="A1880" s="169" t="str">
        <f t="shared" si="7"/>
        <v>627</v>
      </c>
      <c r="B1880" s="167" t="str">
        <f>_xlfn.XLOOKUP(I1880,Mapping!D:D,Mapping!E:E)</f>
        <v>Kiểm Soát Chất Lượng</v>
      </c>
      <c r="C1880" s="167" t="str">
        <f>_xlfn.XLOOKUP(F1880,Mapping!A:A,Mapping!F:F)</f>
        <v>Lương Chính +T13</v>
      </c>
      <c r="D1880" s="173">
        <v>45961</v>
      </c>
      <c r="E1880" s="169" t="s">
        <v>1130</v>
      </c>
      <c r="F1880" s="169" t="s">
        <v>387</v>
      </c>
      <c r="G1880" s="169" t="s">
        <v>275</v>
      </c>
      <c r="H1880" s="169" t="s">
        <v>411</v>
      </c>
      <c r="I1880" s="169" t="s">
        <v>412</v>
      </c>
      <c r="J1880" s="169" t="s">
        <v>1131</v>
      </c>
      <c r="K1880" s="169" t="s">
        <v>1132</v>
      </c>
      <c r="L1880" s="169" t="s">
        <v>1133</v>
      </c>
      <c r="M1880" s="169" t="s">
        <v>281</v>
      </c>
      <c r="N1880" s="178">
        <v>490512884</v>
      </c>
      <c r="O1880" s="169" t="s">
        <v>1134</v>
      </c>
      <c r="P1880" s="169" t="s">
        <v>283</v>
      </c>
      <c r="Q1880" s="169" t="s">
        <v>284</v>
      </c>
      <c r="R1880" s="169" t="s">
        <v>283</v>
      </c>
      <c r="S1880" s="169" t="s">
        <v>283</v>
      </c>
      <c r="T1880" s="169">
        <v>0</v>
      </c>
    </row>
    <row r="1881" spans="1:20" x14ac:dyDescent="0.2">
      <c r="A1881" s="169" t="str">
        <f t="shared" si="7"/>
        <v>627</v>
      </c>
      <c r="B1881" s="167" t="str">
        <f>_xlfn.XLOOKUP(I1881,Mapping!D:D,Mapping!E:E)</f>
        <v>Kiểm Soát Chất Lượng</v>
      </c>
      <c r="C1881" s="167" t="str">
        <f>_xlfn.XLOOKUP(F1881,Mapping!A:A,Mapping!F:F)</f>
        <v>Lương Chính +T13</v>
      </c>
      <c r="D1881" s="173">
        <v>45961</v>
      </c>
      <c r="E1881" s="169" t="s">
        <v>1130</v>
      </c>
      <c r="F1881" s="169" t="s">
        <v>388</v>
      </c>
      <c r="G1881" s="169" t="s">
        <v>286</v>
      </c>
      <c r="H1881" s="169" t="s">
        <v>411</v>
      </c>
      <c r="I1881" s="169" t="s">
        <v>412</v>
      </c>
      <c r="J1881" s="169" t="s">
        <v>1131</v>
      </c>
      <c r="K1881" s="169" t="s">
        <v>1132</v>
      </c>
      <c r="L1881" s="169" t="s">
        <v>1133</v>
      </c>
      <c r="M1881" s="169" t="s">
        <v>281</v>
      </c>
      <c r="N1881" s="178">
        <v>14481656</v>
      </c>
      <c r="O1881" s="169" t="s">
        <v>1134</v>
      </c>
      <c r="P1881" s="169" t="s">
        <v>283</v>
      </c>
      <c r="Q1881" s="169" t="s">
        <v>284</v>
      </c>
      <c r="R1881" s="169" t="s">
        <v>283</v>
      </c>
      <c r="S1881" s="169" t="s">
        <v>283</v>
      </c>
      <c r="T1881" s="169">
        <v>0</v>
      </c>
    </row>
    <row r="1882" spans="1:20" x14ac:dyDescent="0.2">
      <c r="A1882" s="169" t="str">
        <f t="shared" si="7"/>
        <v>627</v>
      </c>
      <c r="B1882" s="167" t="str">
        <f>_xlfn.XLOOKUP(I1882,Mapping!D:D,Mapping!E:E)</f>
        <v>Kiểm Soát Chất Lượng</v>
      </c>
      <c r="C1882" s="167" t="str">
        <f>_xlfn.XLOOKUP(F1882,Mapping!A:A,Mapping!F:F)</f>
        <v>Lương Ngoài giờ</v>
      </c>
      <c r="D1882" s="173">
        <v>45961</v>
      </c>
      <c r="E1882" s="169" t="s">
        <v>1130</v>
      </c>
      <c r="F1882" s="169" t="s">
        <v>389</v>
      </c>
      <c r="G1882" s="169" t="s">
        <v>390</v>
      </c>
      <c r="H1882" s="169" t="s">
        <v>411</v>
      </c>
      <c r="I1882" s="169" t="s">
        <v>412</v>
      </c>
      <c r="J1882" s="169" t="s">
        <v>1131</v>
      </c>
      <c r="K1882" s="169" t="s">
        <v>1132</v>
      </c>
      <c r="L1882" s="169" t="s">
        <v>1133</v>
      </c>
      <c r="M1882" s="169" t="s">
        <v>281</v>
      </c>
      <c r="N1882" s="178">
        <v>174387546</v>
      </c>
      <c r="O1882" s="169" t="s">
        <v>1134</v>
      </c>
      <c r="P1882" s="169" t="s">
        <v>283</v>
      </c>
      <c r="Q1882" s="169" t="s">
        <v>284</v>
      </c>
      <c r="R1882" s="169" t="s">
        <v>283</v>
      </c>
      <c r="S1882" s="169" t="s">
        <v>283</v>
      </c>
      <c r="T1882" s="169">
        <v>0</v>
      </c>
    </row>
    <row r="1883" spans="1:20" x14ac:dyDescent="0.2">
      <c r="A1883" s="169" t="str">
        <f t="shared" si="7"/>
        <v>627</v>
      </c>
      <c r="B1883" s="167" t="str">
        <f>_xlfn.XLOOKUP(I1883,Mapping!D:D,Mapping!E:E)</f>
        <v>Kiểm Soát Chất Lượng</v>
      </c>
      <c r="C1883" s="167" t="str">
        <f>_xlfn.XLOOKUP(F1883,Mapping!A:A,Mapping!F:F)</f>
        <v>Phụ Cấp</v>
      </c>
      <c r="D1883" s="173">
        <v>45961</v>
      </c>
      <c r="E1883" s="169" t="s">
        <v>1130</v>
      </c>
      <c r="F1883" s="169" t="s">
        <v>375</v>
      </c>
      <c r="G1883" s="169" t="s">
        <v>336</v>
      </c>
      <c r="H1883" s="169" t="s">
        <v>411</v>
      </c>
      <c r="I1883" s="169" t="s">
        <v>412</v>
      </c>
      <c r="J1883" s="169" t="s">
        <v>1131</v>
      </c>
      <c r="K1883" s="169" t="s">
        <v>1132</v>
      </c>
      <c r="L1883" s="169" t="s">
        <v>1133</v>
      </c>
      <c r="M1883" s="169" t="s">
        <v>281</v>
      </c>
      <c r="N1883" s="178">
        <v>6470000</v>
      </c>
      <c r="O1883" s="169" t="s">
        <v>1134</v>
      </c>
      <c r="P1883" s="169" t="s">
        <v>283</v>
      </c>
      <c r="Q1883" s="169" t="s">
        <v>284</v>
      </c>
      <c r="R1883" s="169" t="s">
        <v>283</v>
      </c>
      <c r="S1883" s="169" t="s">
        <v>283</v>
      </c>
      <c r="T1883" s="169">
        <v>0</v>
      </c>
    </row>
    <row r="1884" spans="1:20" x14ac:dyDescent="0.2">
      <c r="A1884" s="169" t="str">
        <f t="shared" si="7"/>
        <v>627</v>
      </c>
      <c r="B1884" s="167" t="str">
        <f>_xlfn.XLOOKUP(I1884,Mapping!D:D,Mapping!E:E)</f>
        <v>Nghiên Cứu &amp; Phát Triển</v>
      </c>
      <c r="C1884" s="167" t="str">
        <f>_xlfn.XLOOKUP(F1884,Mapping!A:A,Mapping!F:F)</f>
        <v>Lương Chính +T13</v>
      </c>
      <c r="D1884" s="173">
        <v>45961</v>
      </c>
      <c r="E1884" s="169" t="s">
        <v>1130</v>
      </c>
      <c r="F1884" s="169" t="s">
        <v>387</v>
      </c>
      <c r="G1884" s="169" t="s">
        <v>275</v>
      </c>
      <c r="H1884" s="169" t="s">
        <v>418</v>
      </c>
      <c r="I1884" s="169" t="s">
        <v>419</v>
      </c>
      <c r="J1884" s="169" t="s">
        <v>1131</v>
      </c>
      <c r="K1884" s="169" t="s">
        <v>1132</v>
      </c>
      <c r="L1884" s="169" t="s">
        <v>1133</v>
      </c>
      <c r="M1884" s="169" t="s">
        <v>281</v>
      </c>
      <c r="N1884" s="178">
        <v>188987356</v>
      </c>
      <c r="O1884" s="169" t="s">
        <v>1134</v>
      </c>
      <c r="P1884" s="169" t="s">
        <v>283</v>
      </c>
      <c r="Q1884" s="169" t="s">
        <v>284</v>
      </c>
      <c r="R1884" s="169" t="s">
        <v>283</v>
      </c>
      <c r="S1884" s="169" t="s">
        <v>283</v>
      </c>
      <c r="T1884" s="169">
        <v>0</v>
      </c>
    </row>
    <row r="1885" spans="1:20" x14ac:dyDescent="0.2">
      <c r="A1885" s="169" t="str">
        <f t="shared" si="7"/>
        <v>627</v>
      </c>
      <c r="B1885" s="167" t="str">
        <f>_xlfn.XLOOKUP(I1885,Mapping!D:D,Mapping!E:E)</f>
        <v>Nghiên Cứu &amp; Phát Triển</v>
      </c>
      <c r="C1885" s="167" t="str">
        <f>_xlfn.XLOOKUP(F1885,Mapping!A:A,Mapping!F:F)</f>
        <v>Lương Chính +T13</v>
      </c>
      <c r="D1885" s="173">
        <v>45961</v>
      </c>
      <c r="E1885" s="169" t="s">
        <v>1130</v>
      </c>
      <c r="F1885" s="169" t="s">
        <v>388</v>
      </c>
      <c r="G1885" s="169" t="s">
        <v>286</v>
      </c>
      <c r="H1885" s="169" t="s">
        <v>418</v>
      </c>
      <c r="I1885" s="169" t="s">
        <v>419</v>
      </c>
      <c r="J1885" s="169" t="s">
        <v>1131</v>
      </c>
      <c r="K1885" s="169" t="s">
        <v>1132</v>
      </c>
      <c r="L1885" s="169" t="s">
        <v>1133</v>
      </c>
      <c r="M1885" s="169" t="s">
        <v>281</v>
      </c>
      <c r="N1885" s="178">
        <v>13096155</v>
      </c>
      <c r="O1885" s="169" t="s">
        <v>1134</v>
      </c>
      <c r="P1885" s="169" t="s">
        <v>283</v>
      </c>
      <c r="Q1885" s="169" t="s">
        <v>284</v>
      </c>
      <c r="R1885" s="169" t="s">
        <v>283</v>
      </c>
      <c r="S1885" s="169" t="s">
        <v>283</v>
      </c>
      <c r="T1885" s="169">
        <v>0</v>
      </c>
    </row>
    <row r="1886" spans="1:20" x14ac:dyDescent="0.2">
      <c r="A1886" s="169" t="str">
        <f t="shared" si="7"/>
        <v>627</v>
      </c>
      <c r="B1886" s="167" t="str">
        <f>_xlfn.XLOOKUP(I1886,Mapping!D:D,Mapping!E:E)</f>
        <v>Nghiên Cứu &amp; Phát Triển</v>
      </c>
      <c r="C1886" s="167" t="str">
        <f>_xlfn.XLOOKUP(F1886,Mapping!A:A,Mapping!F:F)</f>
        <v>Phụ Cấp</v>
      </c>
      <c r="D1886" s="173">
        <v>45961</v>
      </c>
      <c r="E1886" s="169" t="s">
        <v>1130</v>
      </c>
      <c r="F1886" s="169" t="s">
        <v>375</v>
      </c>
      <c r="G1886" s="169" t="s">
        <v>336</v>
      </c>
      <c r="H1886" s="169" t="s">
        <v>418</v>
      </c>
      <c r="I1886" s="169" t="s">
        <v>419</v>
      </c>
      <c r="J1886" s="169" t="s">
        <v>1131</v>
      </c>
      <c r="K1886" s="169" t="s">
        <v>1132</v>
      </c>
      <c r="L1886" s="169" t="s">
        <v>1133</v>
      </c>
      <c r="M1886" s="169" t="s">
        <v>281</v>
      </c>
      <c r="N1886" s="178">
        <v>900000</v>
      </c>
      <c r="O1886" s="169" t="s">
        <v>1134</v>
      </c>
      <c r="P1886" s="169" t="s">
        <v>283</v>
      </c>
      <c r="Q1886" s="169" t="s">
        <v>284</v>
      </c>
      <c r="R1886" s="169" t="s">
        <v>283</v>
      </c>
      <c r="S1886" s="169" t="s">
        <v>283</v>
      </c>
      <c r="T1886" s="169">
        <v>0</v>
      </c>
    </row>
    <row r="1887" spans="1:20" x14ac:dyDescent="0.2">
      <c r="A1887" s="169" t="str">
        <f t="shared" si="7"/>
        <v>622</v>
      </c>
      <c r="B1887" s="167" t="str">
        <f>_xlfn.XLOOKUP(I1887,Mapping!D:D,Mapping!E:E)</f>
        <v>Xưởng Sản Xuất</v>
      </c>
      <c r="C1887" s="167" t="str">
        <f>_xlfn.XLOOKUP(F1887,Mapping!A:A,Mapping!F:F)</f>
        <v>Lương Chính +T13</v>
      </c>
      <c r="D1887" s="173">
        <v>45961</v>
      </c>
      <c r="E1887" s="169" t="s">
        <v>1130</v>
      </c>
      <c r="F1887" s="169" t="s">
        <v>400</v>
      </c>
      <c r="G1887" s="169" t="s">
        <v>401</v>
      </c>
      <c r="H1887" s="169" t="s">
        <v>402</v>
      </c>
      <c r="I1887" s="169" t="s">
        <v>403</v>
      </c>
      <c r="J1887" s="169" t="s">
        <v>1131</v>
      </c>
      <c r="K1887" s="169" t="s">
        <v>1132</v>
      </c>
      <c r="L1887" s="169" t="s">
        <v>1133</v>
      </c>
      <c r="M1887" s="169" t="s">
        <v>281</v>
      </c>
      <c r="N1887" s="178">
        <v>1878689852</v>
      </c>
      <c r="O1887" s="169" t="s">
        <v>1134</v>
      </c>
      <c r="P1887" s="169" t="s">
        <v>283</v>
      </c>
      <c r="Q1887" s="169" t="s">
        <v>284</v>
      </c>
      <c r="R1887" s="169" t="s">
        <v>283</v>
      </c>
      <c r="S1887" s="169" t="s">
        <v>283</v>
      </c>
      <c r="T1887" s="169">
        <v>0</v>
      </c>
    </row>
    <row r="1888" spans="1:20" x14ac:dyDescent="0.2">
      <c r="A1888" s="169" t="str">
        <f t="shared" si="7"/>
        <v>622</v>
      </c>
      <c r="B1888" s="167" t="str">
        <f>_xlfn.XLOOKUP(I1888,Mapping!D:D,Mapping!E:E)</f>
        <v>Xưởng Sản Xuất</v>
      </c>
      <c r="C1888" s="167" t="str">
        <f>_xlfn.XLOOKUP(F1888,Mapping!A:A,Mapping!F:F)</f>
        <v>Lương Chính +T13</v>
      </c>
      <c r="D1888" s="173">
        <v>45961</v>
      </c>
      <c r="E1888" s="169" t="s">
        <v>1130</v>
      </c>
      <c r="F1888" s="169" t="s">
        <v>420</v>
      </c>
      <c r="G1888" s="169" t="s">
        <v>286</v>
      </c>
      <c r="H1888" s="169" t="s">
        <v>402</v>
      </c>
      <c r="I1888" s="169" t="s">
        <v>403</v>
      </c>
      <c r="J1888" s="169" t="s">
        <v>1131</v>
      </c>
      <c r="K1888" s="169" t="s">
        <v>1132</v>
      </c>
      <c r="L1888" s="169" t="s">
        <v>1133</v>
      </c>
      <c r="M1888" s="169" t="s">
        <v>281</v>
      </c>
      <c r="N1888" s="178">
        <v>39354961</v>
      </c>
      <c r="O1888" s="169" t="s">
        <v>1134</v>
      </c>
      <c r="P1888" s="169" t="s">
        <v>283</v>
      </c>
      <c r="Q1888" s="169" t="s">
        <v>284</v>
      </c>
      <c r="R1888" s="169" t="s">
        <v>283</v>
      </c>
      <c r="S1888" s="169" t="s">
        <v>283</v>
      </c>
      <c r="T1888" s="169">
        <v>0</v>
      </c>
    </row>
    <row r="1889" spans="1:20" x14ac:dyDescent="0.2">
      <c r="A1889" s="169" t="str">
        <f t="shared" si="7"/>
        <v>622</v>
      </c>
      <c r="B1889" s="167" t="str">
        <f>_xlfn.XLOOKUP(I1889,Mapping!D:D,Mapping!E:E)</f>
        <v>Xưởng Sản Xuất</v>
      </c>
      <c r="C1889" s="167" t="str">
        <f>_xlfn.XLOOKUP(F1889,Mapping!A:A,Mapping!F:F)</f>
        <v>Phụ Cấp</v>
      </c>
      <c r="D1889" s="173">
        <v>45961</v>
      </c>
      <c r="E1889" s="169" t="s">
        <v>1130</v>
      </c>
      <c r="F1889" s="169" t="s">
        <v>421</v>
      </c>
      <c r="G1889" s="169" t="s">
        <v>341</v>
      </c>
      <c r="H1889" s="169" t="s">
        <v>402</v>
      </c>
      <c r="I1889" s="169" t="s">
        <v>403</v>
      </c>
      <c r="J1889" s="169" t="s">
        <v>1131</v>
      </c>
      <c r="K1889" s="169" t="s">
        <v>1132</v>
      </c>
      <c r="L1889" s="169" t="s">
        <v>1133</v>
      </c>
      <c r="M1889" s="169" t="s">
        <v>281</v>
      </c>
      <c r="N1889" s="178">
        <v>154449182</v>
      </c>
      <c r="O1889" s="169" t="s">
        <v>1134</v>
      </c>
      <c r="P1889" s="169" t="s">
        <v>283</v>
      </c>
      <c r="Q1889" s="169" t="s">
        <v>284</v>
      </c>
      <c r="R1889" s="169" t="s">
        <v>283</v>
      </c>
      <c r="S1889" s="169" t="s">
        <v>283</v>
      </c>
      <c r="T1889" s="169">
        <v>0</v>
      </c>
    </row>
    <row r="1890" spans="1:20" x14ac:dyDescent="0.2">
      <c r="A1890" s="169" t="str">
        <f t="shared" si="7"/>
        <v>622</v>
      </c>
      <c r="B1890" s="167" t="str">
        <f>_xlfn.XLOOKUP(I1890,Mapping!D:D,Mapping!E:E)</f>
        <v>Xưởng Sản Xuất</v>
      </c>
      <c r="C1890" s="167" t="str">
        <f>_xlfn.XLOOKUP(F1890,Mapping!A:A,Mapping!F:F)</f>
        <v>Lương Ngoài giờ</v>
      </c>
      <c r="D1890" s="173">
        <v>45961</v>
      </c>
      <c r="E1890" s="169" t="s">
        <v>1130</v>
      </c>
      <c r="F1890" s="169" t="s">
        <v>422</v>
      </c>
      <c r="G1890" s="169" t="s">
        <v>423</v>
      </c>
      <c r="H1890" s="169" t="s">
        <v>402</v>
      </c>
      <c r="I1890" s="169" t="s">
        <v>403</v>
      </c>
      <c r="J1890" s="169" t="s">
        <v>1131</v>
      </c>
      <c r="K1890" s="169" t="s">
        <v>1132</v>
      </c>
      <c r="L1890" s="169" t="s">
        <v>1133</v>
      </c>
      <c r="M1890" s="169" t="s">
        <v>281</v>
      </c>
      <c r="N1890" s="178">
        <v>378771654</v>
      </c>
      <c r="O1890" s="169" t="s">
        <v>1134</v>
      </c>
      <c r="P1890" s="169" t="s">
        <v>283</v>
      </c>
      <c r="Q1890" s="169" t="s">
        <v>284</v>
      </c>
      <c r="R1890" s="169" t="s">
        <v>283</v>
      </c>
      <c r="S1890" s="169" t="s">
        <v>283</v>
      </c>
      <c r="T1890" s="169">
        <v>0</v>
      </c>
    </row>
    <row r="1891" spans="1:20" x14ac:dyDescent="0.2">
      <c r="A1891" s="169" t="str">
        <f t="shared" si="7"/>
        <v>622</v>
      </c>
      <c r="B1891" s="167" t="str">
        <f>_xlfn.XLOOKUP(I1891,Mapping!D:D,Mapping!E:E)</f>
        <v>Xưởng Sản Xuất</v>
      </c>
      <c r="C1891" s="167" t="str">
        <f>_xlfn.XLOOKUP(F1891,Mapping!A:A,Mapping!F:F)</f>
        <v>Phụ Cấp</v>
      </c>
      <c r="D1891" s="173">
        <v>45961</v>
      </c>
      <c r="E1891" s="169" t="s">
        <v>1130</v>
      </c>
      <c r="F1891" s="169" t="s">
        <v>414</v>
      </c>
      <c r="G1891" s="169" t="s">
        <v>415</v>
      </c>
      <c r="H1891" s="169" t="s">
        <v>402</v>
      </c>
      <c r="I1891" s="169" t="s">
        <v>403</v>
      </c>
      <c r="J1891" s="169" t="s">
        <v>1131</v>
      </c>
      <c r="K1891" s="169" t="s">
        <v>1132</v>
      </c>
      <c r="L1891" s="169" t="s">
        <v>1133</v>
      </c>
      <c r="M1891" s="169" t="s">
        <v>281</v>
      </c>
      <c r="N1891" s="178">
        <v>32690000</v>
      </c>
      <c r="O1891" s="169" t="s">
        <v>1134</v>
      </c>
      <c r="P1891" s="169" t="s">
        <v>283</v>
      </c>
      <c r="Q1891" s="169" t="s">
        <v>284</v>
      </c>
      <c r="R1891" s="169" t="s">
        <v>283</v>
      </c>
      <c r="S1891" s="169" t="s">
        <v>283</v>
      </c>
      <c r="T1891" s="169">
        <v>0</v>
      </c>
    </row>
    <row r="1892" spans="1:20" x14ac:dyDescent="0.2">
      <c r="A1892" s="169" t="str">
        <f t="shared" si="7"/>
        <v>627</v>
      </c>
      <c r="B1892" s="167" t="str">
        <f>_xlfn.XLOOKUP(I1892,Mapping!D:D,Mapping!E:E)</f>
        <v>Xưởng Sản Xuất</v>
      </c>
      <c r="C1892" s="167" t="str">
        <f>_xlfn.XLOOKUP(F1892,Mapping!A:A,Mapping!F:F)</f>
        <v>Phụ Cấp</v>
      </c>
      <c r="D1892" s="173">
        <v>45961</v>
      </c>
      <c r="E1892" s="169" t="s">
        <v>1130</v>
      </c>
      <c r="F1892" s="169" t="s">
        <v>386</v>
      </c>
      <c r="G1892" s="169" t="s">
        <v>341</v>
      </c>
      <c r="H1892" s="169" t="s">
        <v>402</v>
      </c>
      <c r="I1892" s="169" t="s">
        <v>403</v>
      </c>
      <c r="J1892" s="169" t="s">
        <v>1131</v>
      </c>
      <c r="K1892" s="169" t="s">
        <v>1132</v>
      </c>
      <c r="L1892" s="169" t="s">
        <v>1133</v>
      </c>
      <c r="M1892" s="169" t="s">
        <v>281</v>
      </c>
      <c r="N1892" s="178">
        <v>13613950</v>
      </c>
      <c r="O1892" s="169" t="s">
        <v>1134</v>
      </c>
      <c r="P1892" s="169" t="s">
        <v>283</v>
      </c>
      <c r="Q1892" s="169" t="s">
        <v>284</v>
      </c>
      <c r="R1892" s="169" t="s">
        <v>283</v>
      </c>
      <c r="S1892" s="169" t="s">
        <v>283</v>
      </c>
      <c r="T1892" s="169">
        <v>0</v>
      </c>
    </row>
    <row r="1893" spans="1:20" x14ac:dyDescent="0.2">
      <c r="A1893" s="169" t="str">
        <f t="shared" si="7"/>
        <v>627</v>
      </c>
      <c r="B1893" s="167" t="str">
        <f>_xlfn.XLOOKUP(I1893,Mapping!D:D,Mapping!E:E)</f>
        <v>Xưởng Sản Xuất</v>
      </c>
      <c r="C1893" s="167" t="str">
        <f>_xlfn.XLOOKUP(F1893,Mapping!A:A,Mapping!F:F)</f>
        <v>Lương Chính +T13</v>
      </c>
      <c r="D1893" s="173">
        <v>45961</v>
      </c>
      <c r="E1893" s="169" t="s">
        <v>1130</v>
      </c>
      <c r="F1893" s="169" t="s">
        <v>387</v>
      </c>
      <c r="G1893" s="169" t="s">
        <v>275</v>
      </c>
      <c r="H1893" s="169" t="s">
        <v>402</v>
      </c>
      <c r="I1893" s="169" t="s">
        <v>403</v>
      </c>
      <c r="J1893" s="169" t="s">
        <v>1131</v>
      </c>
      <c r="K1893" s="169" t="s">
        <v>1132</v>
      </c>
      <c r="L1893" s="169" t="s">
        <v>1133</v>
      </c>
      <c r="M1893" s="169" t="s">
        <v>281</v>
      </c>
      <c r="N1893" s="178">
        <v>459375592</v>
      </c>
      <c r="O1893" s="169" t="s">
        <v>1134</v>
      </c>
      <c r="P1893" s="169" t="s">
        <v>283</v>
      </c>
      <c r="Q1893" s="169" t="s">
        <v>284</v>
      </c>
      <c r="R1893" s="169" t="s">
        <v>283</v>
      </c>
      <c r="S1893" s="169" t="s">
        <v>283</v>
      </c>
      <c r="T1893" s="169">
        <v>0</v>
      </c>
    </row>
    <row r="1894" spans="1:20" x14ac:dyDescent="0.2">
      <c r="A1894" s="169" t="str">
        <f t="shared" si="7"/>
        <v>627</v>
      </c>
      <c r="B1894" s="167" t="str">
        <f>_xlfn.XLOOKUP(I1894,Mapping!D:D,Mapping!E:E)</f>
        <v>Xưởng Sản Xuất</v>
      </c>
      <c r="C1894" s="167" t="str">
        <f>_xlfn.XLOOKUP(F1894,Mapping!A:A,Mapping!F:F)</f>
        <v>Lương Chính +T13</v>
      </c>
      <c r="D1894" s="173">
        <v>45961</v>
      </c>
      <c r="E1894" s="169" t="s">
        <v>1130</v>
      </c>
      <c r="F1894" s="169" t="s">
        <v>388</v>
      </c>
      <c r="G1894" s="169" t="s">
        <v>286</v>
      </c>
      <c r="H1894" s="169" t="s">
        <v>402</v>
      </c>
      <c r="I1894" s="169" t="s">
        <v>403</v>
      </c>
      <c r="J1894" s="169" t="s">
        <v>1131</v>
      </c>
      <c r="K1894" s="169" t="s">
        <v>1132</v>
      </c>
      <c r="L1894" s="169" t="s">
        <v>1133</v>
      </c>
      <c r="M1894" s="169" t="s">
        <v>281</v>
      </c>
      <c r="N1894" s="178">
        <v>15327347</v>
      </c>
      <c r="O1894" s="169" t="s">
        <v>1134</v>
      </c>
      <c r="P1894" s="169" t="s">
        <v>283</v>
      </c>
      <c r="Q1894" s="169" t="s">
        <v>284</v>
      </c>
      <c r="R1894" s="169" t="s">
        <v>283</v>
      </c>
      <c r="S1894" s="169" t="s">
        <v>283</v>
      </c>
      <c r="T1894" s="169">
        <v>0</v>
      </c>
    </row>
    <row r="1895" spans="1:20" x14ac:dyDescent="0.2">
      <c r="A1895" s="169" t="str">
        <f t="shared" si="7"/>
        <v>627</v>
      </c>
      <c r="B1895" s="167" t="str">
        <f>_xlfn.XLOOKUP(I1895,Mapping!D:D,Mapping!E:E)</f>
        <v>Xưởng Sản Xuất</v>
      </c>
      <c r="C1895" s="167" t="str">
        <f>_xlfn.XLOOKUP(F1895,Mapping!A:A,Mapping!F:F)</f>
        <v>Lương Ngoài giờ</v>
      </c>
      <c r="D1895" s="173">
        <v>45961</v>
      </c>
      <c r="E1895" s="169" t="s">
        <v>1130</v>
      </c>
      <c r="F1895" s="169" t="s">
        <v>389</v>
      </c>
      <c r="G1895" s="169" t="s">
        <v>390</v>
      </c>
      <c r="H1895" s="169" t="s">
        <v>402</v>
      </c>
      <c r="I1895" s="169" t="s">
        <v>403</v>
      </c>
      <c r="J1895" s="169" t="s">
        <v>1131</v>
      </c>
      <c r="K1895" s="169" t="s">
        <v>1132</v>
      </c>
      <c r="L1895" s="169" t="s">
        <v>1133</v>
      </c>
      <c r="M1895" s="169" t="s">
        <v>281</v>
      </c>
      <c r="N1895" s="178">
        <v>47622279</v>
      </c>
      <c r="O1895" s="169" t="s">
        <v>1134</v>
      </c>
      <c r="P1895" s="169" t="s">
        <v>283</v>
      </c>
      <c r="Q1895" s="169" t="s">
        <v>284</v>
      </c>
      <c r="R1895" s="169" t="s">
        <v>283</v>
      </c>
      <c r="S1895" s="169" t="s">
        <v>283</v>
      </c>
      <c r="T1895" s="169">
        <v>0</v>
      </c>
    </row>
    <row r="1896" spans="1:20" x14ac:dyDescent="0.2">
      <c r="A1896" s="169" t="str">
        <f t="shared" si="7"/>
        <v>627</v>
      </c>
      <c r="B1896" s="167" t="str">
        <f>_xlfn.XLOOKUP(I1896,Mapping!D:D,Mapping!E:E)</f>
        <v>Xưởng Sản Xuất</v>
      </c>
      <c r="C1896" s="167" t="str">
        <f>_xlfn.XLOOKUP(F1896,Mapping!A:A,Mapping!F:F)</f>
        <v>Phụ Cấp</v>
      </c>
      <c r="D1896" s="173">
        <v>45961</v>
      </c>
      <c r="E1896" s="169" t="s">
        <v>1130</v>
      </c>
      <c r="F1896" s="169" t="s">
        <v>375</v>
      </c>
      <c r="G1896" s="169" t="s">
        <v>336</v>
      </c>
      <c r="H1896" s="169" t="s">
        <v>402</v>
      </c>
      <c r="I1896" s="169" t="s">
        <v>403</v>
      </c>
      <c r="J1896" s="169" t="s">
        <v>1131</v>
      </c>
      <c r="K1896" s="169" t="s">
        <v>1132</v>
      </c>
      <c r="L1896" s="169" t="s">
        <v>1133</v>
      </c>
      <c r="M1896" s="169" t="s">
        <v>281</v>
      </c>
      <c r="N1896" s="178">
        <v>2820000</v>
      </c>
      <c r="O1896" s="169" t="s">
        <v>1134</v>
      </c>
      <c r="P1896" s="169" t="s">
        <v>283</v>
      </c>
      <c r="Q1896" s="169" t="s">
        <v>284</v>
      </c>
      <c r="R1896" s="169" t="s">
        <v>283</v>
      </c>
      <c r="S1896" s="169" t="s">
        <v>283</v>
      </c>
      <c r="T1896" s="169">
        <v>0</v>
      </c>
    </row>
    <row r="1897" spans="1:20" x14ac:dyDescent="0.2">
      <c r="A1897" s="169" t="str">
        <f t="shared" si="7"/>
        <v>627</v>
      </c>
      <c r="B1897" s="167" t="str">
        <f>_xlfn.XLOOKUP(I1897,Mapping!D:D,Mapping!E:E)</f>
        <v>Kiểm Soát Chất Lượng</v>
      </c>
      <c r="C1897" s="167" t="str">
        <f>_xlfn.XLOOKUP(F1897,Mapping!A:A,Mapping!F:F)</f>
        <v>Lương Chính +T13</v>
      </c>
      <c r="D1897" s="173">
        <v>45961</v>
      </c>
      <c r="E1897" s="169" t="s">
        <v>1135</v>
      </c>
      <c r="F1897" s="169" t="s">
        <v>388</v>
      </c>
      <c r="G1897" s="169" t="s">
        <v>286</v>
      </c>
      <c r="H1897" s="169" t="s">
        <v>411</v>
      </c>
      <c r="I1897" s="169" t="s">
        <v>412</v>
      </c>
      <c r="J1897" s="169" t="s">
        <v>1136</v>
      </c>
      <c r="K1897" s="169" t="s">
        <v>1132</v>
      </c>
      <c r="L1897" s="169" t="s">
        <v>1133</v>
      </c>
      <c r="M1897" s="169" t="s">
        <v>281</v>
      </c>
      <c r="N1897" s="178">
        <v>38540750</v>
      </c>
      <c r="O1897" s="169" t="s">
        <v>1137</v>
      </c>
      <c r="P1897" s="169" t="s">
        <v>283</v>
      </c>
      <c r="Q1897" s="169" t="s">
        <v>284</v>
      </c>
      <c r="R1897" s="169" t="s">
        <v>283</v>
      </c>
      <c r="S1897" s="169" t="s">
        <v>283</v>
      </c>
      <c r="T1897" s="169">
        <v>0</v>
      </c>
    </row>
    <row r="1898" spans="1:20" x14ac:dyDescent="0.2">
      <c r="A1898" s="169" t="str">
        <f t="shared" ref="A1898:A1961" si="8">LEFT(F1898,3)</f>
        <v>627</v>
      </c>
      <c r="B1898" s="167" t="str">
        <f>_xlfn.XLOOKUP(I1898,Mapping!D:D,Mapping!E:E)</f>
        <v>Kiểm Soát Chất Lượng</v>
      </c>
      <c r="C1898" s="167" t="str">
        <f>_xlfn.XLOOKUP(F1898,Mapping!A:A,Mapping!F:F)</f>
        <v>Thưởng</v>
      </c>
      <c r="D1898" s="173">
        <v>45961</v>
      </c>
      <c r="E1898" s="169" t="s">
        <v>1135</v>
      </c>
      <c r="F1898" s="169" t="s">
        <v>395</v>
      </c>
      <c r="G1898" s="169" t="s">
        <v>77</v>
      </c>
      <c r="H1898" s="169" t="s">
        <v>411</v>
      </c>
      <c r="I1898" s="169" t="s">
        <v>412</v>
      </c>
      <c r="J1898" s="169" t="s">
        <v>1138</v>
      </c>
      <c r="K1898" s="169" t="s">
        <v>1132</v>
      </c>
      <c r="L1898" s="169" t="s">
        <v>1133</v>
      </c>
      <c r="M1898" s="169" t="s">
        <v>281</v>
      </c>
      <c r="N1898" s="178">
        <v>35457182</v>
      </c>
      <c r="O1898" s="169" t="s">
        <v>1137</v>
      </c>
      <c r="P1898" s="169" t="s">
        <v>283</v>
      </c>
      <c r="Q1898" s="169" t="s">
        <v>284</v>
      </c>
      <c r="R1898" s="169" t="s">
        <v>283</v>
      </c>
      <c r="S1898" s="169" t="s">
        <v>283</v>
      </c>
      <c r="T1898" s="169">
        <v>0</v>
      </c>
    </row>
    <row r="1899" spans="1:20" x14ac:dyDescent="0.2">
      <c r="A1899" s="169" t="str">
        <f t="shared" si="8"/>
        <v>627</v>
      </c>
      <c r="B1899" s="167" t="str">
        <f>_xlfn.XLOOKUP(I1899,Mapping!D:D,Mapping!E:E)</f>
        <v>Nghiên Cứu &amp; Phát Triển</v>
      </c>
      <c r="C1899" s="167" t="str">
        <f>_xlfn.XLOOKUP(F1899,Mapping!A:A,Mapping!F:F)</f>
        <v>Lương Chính +T13</v>
      </c>
      <c r="D1899" s="173">
        <v>45961</v>
      </c>
      <c r="E1899" s="169" t="s">
        <v>1135</v>
      </c>
      <c r="F1899" s="169" t="s">
        <v>388</v>
      </c>
      <c r="G1899" s="169" t="s">
        <v>286</v>
      </c>
      <c r="H1899" s="169" t="s">
        <v>418</v>
      </c>
      <c r="I1899" s="169" t="s">
        <v>419</v>
      </c>
      <c r="J1899" s="169" t="s">
        <v>1136</v>
      </c>
      <c r="K1899" s="169" t="s">
        <v>1132</v>
      </c>
      <c r="L1899" s="169" t="s">
        <v>1133</v>
      </c>
      <c r="M1899" s="169" t="s">
        <v>281</v>
      </c>
      <c r="N1899" s="178">
        <v>16916667</v>
      </c>
      <c r="O1899" s="169" t="s">
        <v>1137</v>
      </c>
      <c r="P1899" s="169" t="s">
        <v>283</v>
      </c>
      <c r="Q1899" s="169" t="s">
        <v>284</v>
      </c>
      <c r="R1899" s="169" t="s">
        <v>283</v>
      </c>
      <c r="S1899" s="169" t="s">
        <v>283</v>
      </c>
      <c r="T1899" s="169">
        <v>0</v>
      </c>
    </row>
    <row r="1900" spans="1:20" x14ac:dyDescent="0.2">
      <c r="A1900" s="169" t="str">
        <f t="shared" si="8"/>
        <v>627</v>
      </c>
      <c r="B1900" s="167" t="str">
        <f>_xlfn.XLOOKUP(I1900,Mapping!D:D,Mapping!E:E)</f>
        <v>Nghiên Cứu &amp; Phát Triển</v>
      </c>
      <c r="C1900" s="167" t="str">
        <f>_xlfn.XLOOKUP(F1900,Mapping!A:A,Mapping!F:F)</f>
        <v>Thưởng</v>
      </c>
      <c r="D1900" s="173">
        <v>45961</v>
      </c>
      <c r="E1900" s="169" t="s">
        <v>1135</v>
      </c>
      <c r="F1900" s="169" t="s">
        <v>395</v>
      </c>
      <c r="G1900" s="169" t="s">
        <v>77</v>
      </c>
      <c r="H1900" s="169" t="s">
        <v>418</v>
      </c>
      <c r="I1900" s="169" t="s">
        <v>419</v>
      </c>
      <c r="J1900" s="169" t="s">
        <v>1138</v>
      </c>
      <c r="K1900" s="169" t="s">
        <v>1132</v>
      </c>
      <c r="L1900" s="169" t="s">
        <v>1133</v>
      </c>
      <c r="M1900" s="169" t="s">
        <v>281</v>
      </c>
      <c r="N1900" s="178">
        <v>15563198</v>
      </c>
      <c r="O1900" s="169" t="s">
        <v>1137</v>
      </c>
      <c r="P1900" s="169" t="s">
        <v>283</v>
      </c>
      <c r="Q1900" s="169" t="s">
        <v>284</v>
      </c>
      <c r="R1900" s="169" t="s">
        <v>283</v>
      </c>
      <c r="S1900" s="169" t="s">
        <v>283</v>
      </c>
      <c r="T1900" s="169">
        <v>0</v>
      </c>
    </row>
    <row r="1901" spans="1:20" x14ac:dyDescent="0.2">
      <c r="A1901" s="169" t="str">
        <f t="shared" si="8"/>
        <v>627</v>
      </c>
      <c r="B1901" s="167" t="str">
        <f>_xlfn.XLOOKUP(I1901,Mapping!D:D,Mapping!E:E)</f>
        <v>Xưởng Sản Xuất</v>
      </c>
      <c r="C1901" s="167" t="str">
        <f>_xlfn.XLOOKUP(F1901,Mapping!A:A,Mapping!F:F)</f>
        <v>Lương Chính +T13</v>
      </c>
      <c r="D1901" s="173">
        <v>45961</v>
      </c>
      <c r="E1901" s="169" t="s">
        <v>1135</v>
      </c>
      <c r="F1901" s="169" t="s">
        <v>388</v>
      </c>
      <c r="G1901" s="169" t="s">
        <v>286</v>
      </c>
      <c r="H1901" s="169" t="s">
        <v>402</v>
      </c>
      <c r="I1901" s="169" t="s">
        <v>403</v>
      </c>
      <c r="J1901" s="169" t="s">
        <v>1136</v>
      </c>
      <c r="K1901" s="169" t="s">
        <v>1132</v>
      </c>
      <c r="L1901" s="169" t="s">
        <v>1133</v>
      </c>
      <c r="M1901" s="169" t="s">
        <v>281</v>
      </c>
      <c r="N1901" s="178">
        <v>39247542</v>
      </c>
      <c r="O1901" s="169" t="s">
        <v>1137</v>
      </c>
      <c r="P1901" s="169" t="s">
        <v>283</v>
      </c>
      <c r="Q1901" s="169" t="s">
        <v>284</v>
      </c>
      <c r="R1901" s="169" t="s">
        <v>283</v>
      </c>
      <c r="S1901" s="169" t="s">
        <v>283</v>
      </c>
      <c r="T1901" s="169">
        <v>0</v>
      </c>
    </row>
    <row r="1902" spans="1:20" x14ac:dyDescent="0.2">
      <c r="A1902" s="169" t="str">
        <f t="shared" si="8"/>
        <v>622</v>
      </c>
      <c r="B1902" s="167" t="str">
        <f>_xlfn.XLOOKUP(I1902,Mapping!D:D,Mapping!E:E)</f>
        <v>Xưởng Sản Xuất</v>
      </c>
      <c r="C1902" s="167" t="str">
        <f>_xlfn.XLOOKUP(F1902,Mapping!A:A,Mapping!F:F)</f>
        <v>Lương Chính +T13</v>
      </c>
      <c r="D1902" s="173">
        <v>45961</v>
      </c>
      <c r="E1902" s="169" t="s">
        <v>1135</v>
      </c>
      <c r="F1902" s="169" t="s">
        <v>420</v>
      </c>
      <c r="G1902" s="169" t="s">
        <v>286</v>
      </c>
      <c r="H1902" s="169" t="s">
        <v>402</v>
      </c>
      <c r="I1902" s="169" t="s">
        <v>403</v>
      </c>
      <c r="J1902" s="169" t="s">
        <v>1136</v>
      </c>
      <c r="K1902" s="169" t="s">
        <v>1132</v>
      </c>
      <c r="L1902" s="169" t="s">
        <v>1133</v>
      </c>
      <c r="M1902" s="169" t="s">
        <v>281</v>
      </c>
      <c r="N1902" s="178">
        <v>110743595</v>
      </c>
      <c r="O1902" s="169" t="s">
        <v>1137</v>
      </c>
      <c r="P1902" s="169" t="s">
        <v>283</v>
      </c>
      <c r="Q1902" s="169" t="s">
        <v>284</v>
      </c>
      <c r="R1902" s="169" t="s">
        <v>283</v>
      </c>
      <c r="S1902" s="169" t="s">
        <v>283</v>
      </c>
      <c r="T1902" s="169">
        <v>0</v>
      </c>
    </row>
    <row r="1903" spans="1:20" x14ac:dyDescent="0.2">
      <c r="A1903" s="169" t="str">
        <f t="shared" si="8"/>
        <v>627</v>
      </c>
      <c r="B1903" s="167" t="str">
        <f>_xlfn.XLOOKUP(I1903,Mapping!D:D,Mapping!E:E)</f>
        <v>Xưởng Sản Xuất</v>
      </c>
      <c r="C1903" s="167" t="str">
        <f>_xlfn.XLOOKUP(F1903,Mapping!A:A,Mapping!F:F)</f>
        <v>Thưởng</v>
      </c>
      <c r="D1903" s="173">
        <v>45961</v>
      </c>
      <c r="E1903" s="169" t="s">
        <v>1135</v>
      </c>
      <c r="F1903" s="169" t="s">
        <v>395</v>
      </c>
      <c r="G1903" s="169" t="s">
        <v>77</v>
      </c>
      <c r="H1903" s="169" t="s">
        <v>402</v>
      </c>
      <c r="I1903" s="169" t="s">
        <v>403</v>
      </c>
      <c r="J1903" s="169" t="s">
        <v>1138</v>
      </c>
      <c r="K1903" s="169" t="s">
        <v>1132</v>
      </c>
      <c r="L1903" s="169" t="s">
        <v>1133</v>
      </c>
      <c r="M1903" s="169" t="s">
        <v>281</v>
      </c>
      <c r="N1903" s="178">
        <v>35567581</v>
      </c>
      <c r="O1903" s="169" t="s">
        <v>1137</v>
      </c>
      <c r="P1903" s="169" t="s">
        <v>283</v>
      </c>
      <c r="Q1903" s="169" t="s">
        <v>284</v>
      </c>
      <c r="R1903" s="169" t="s">
        <v>283</v>
      </c>
      <c r="S1903" s="169" t="s">
        <v>283</v>
      </c>
      <c r="T1903" s="169">
        <v>0</v>
      </c>
    </row>
    <row r="1904" spans="1:20" x14ac:dyDescent="0.2">
      <c r="A1904" s="169" t="str">
        <f t="shared" si="8"/>
        <v>622</v>
      </c>
      <c r="B1904" s="167" t="str">
        <f>_xlfn.XLOOKUP(I1904,Mapping!D:D,Mapping!E:E)</f>
        <v>Xưởng Sản Xuất</v>
      </c>
      <c r="C1904" s="167" t="str">
        <f>_xlfn.XLOOKUP(F1904,Mapping!A:A,Mapping!F:F)</f>
        <v>Thưởng</v>
      </c>
      <c r="D1904" s="173">
        <v>45961</v>
      </c>
      <c r="E1904" s="169" t="s">
        <v>1135</v>
      </c>
      <c r="F1904" s="169" t="s">
        <v>426</v>
      </c>
      <c r="G1904" s="169" t="s">
        <v>77</v>
      </c>
      <c r="H1904" s="169" t="s">
        <v>402</v>
      </c>
      <c r="I1904" s="169" t="s">
        <v>403</v>
      </c>
      <c r="J1904" s="169" t="s">
        <v>1138</v>
      </c>
      <c r="K1904" s="169" t="s">
        <v>1132</v>
      </c>
      <c r="L1904" s="169" t="s">
        <v>1133</v>
      </c>
      <c r="M1904" s="169" t="s">
        <v>281</v>
      </c>
      <c r="N1904" s="178">
        <v>25715975</v>
      </c>
      <c r="O1904" s="169" t="s">
        <v>1137</v>
      </c>
      <c r="P1904" s="169" t="s">
        <v>283</v>
      </c>
      <c r="Q1904" s="169" t="s">
        <v>284</v>
      </c>
      <c r="R1904" s="169" t="s">
        <v>283</v>
      </c>
      <c r="S1904" s="169" t="s">
        <v>283</v>
      </c>
      <c r="T1904" s="169">
        <v>0</v>
      </c>
    </row>
    <row r="1905" spans="1:20" x14ac:dyDescent="0.2">
      <c r="A1905" s="169" t="str">
        <f t="shared" si="8"/>
        <v>627</v>
      </c>
      <c r="B1905" s="167" t="str">
        <f>_xlfn.XLOOKUP(I1905,Mapping!D:D,Mapping!E:E)</f>
        <v>Kiểm Soát Chất Lượng</v>
      </c>
      <c r="C1905" s="167" t="str">
        <f>_xlfn.XLOOKUP(F1905,Mapping!A:A,Mapping!F:F)</f>
        <v>BHXH, BHYT, KPCĐ</v>
      </c>
      <c r="D1905" s="173">
        <v>45961</v>
      </c>
      <c r="E1905" s="169" t="s">
        <v>1139</v>
      </c>
      <c r="F1905" s="169" t="s">
        <v>393</v>
      </c>
      <c r="G1905" s="169" t="s">
        <v>296</v>
      </c>
      <c r="H1905" s="169" t="s">
        <v>411</v>
      </c>
      <c r="I1905" s="169" t="s">
        <v>412</v>
      </c>
      <c r="J1905" s="169" t="s">
        <v>1140</v>
      </c>
      <c r="K1905" s="169" t="s">
        <v>1132</v>
      </c>
      <c r="L1905" s="169" t="s">
        <v>1133</v>
      </c>
      <c r="M1905" s="169" t="s">
        <v>281</v>
      </c>
      <c r="N1905" s="178">
        <v>105802405</v>
      </c>
      <c r="O1905" s="169" t="s">
        <v>1141</v>
      </c>
      <c r="P1905" s="169" t="s">
        <v>283</v>
      </c>
      <c r="Q1905" s="169" t="s">
        <v>284</v>
      </c>
      <c r="R1905" s="169" t="s">
        <v>283</v>
      </c>
      <c r="S1905" s="169" t="s">
        <v>283</v>
      </c>
      <c r="T1905" s="169">
        <v>0</v>
      </c>
    </row>
    <row r="1906" spans="1:20" x14ac:dyDescent="0.2">
      <c r="A1906" s="169" t="str">
        <f t="shared" si="8"/>
        <v>627</v>
      </c>
      <c r="B1906" s="167" t="str">
        <f>_xlfn.XLOOKUP(I1906,Mapping!D:D,Mapping!E:E)</f>
        <v>Nghiên Cứu &amp; Phát Triển</v>
      </c>
      <c r="C1906" s="167" t="str">
        <f>_xlfn.XLOOKUP(F1906,Mapping!A:A,Mapping!F:F)</f>
        <v>BHXH, BHYT, KPCĐ</v>
      </c>
      <c r="D1906" s="173">
        <v>45961</v>
      </c>
      <c r="E1906" s="169" t="s">
        <v>1139</v>
      </c>
      <c r="F1906" s="169" t="s">
        <v>393</v>
      </c>
      <c r="G1906" s="169" t="s">
        <v>296</v>
      </c>
      <c r="H1906" s="169" t="s">
        <v>418</v>
      </c>
      <c r="I1906" s="169" t="s">
        <v>419</v>
      </c>
      <c r="J1906" s="169" t="s">
        <v>1140</v>
      </c>
      <c r="K1906" s="169" t="s">
        <v>1132</v>
      </c>
      <c r="L1906" s="169" t="s">
        <v>1133</v>
      </c>
      <c r="M1906" s="169" t="s">
        <v>281</v>
      </c>
      <c r="N1906" s="178">
        <v>38435000</v>
      </c>
      <c r="O1906" s="169" t="s">
        <v>1141</v>
      </c>
      <c r="P1906" s="169" t="s">
        <v>283</v>
      </c>
      <c r="Q1906" s="169" t="s">
        <v>284</v>
      </c>
      <c r="R1906" s="169" t="s">
        <v>283</v>
      </c>
      <c r="S1906" s="169" t="s">
        <v>283</v>
      </c>
      <c r="T1906" s="169">
        <v>0</v>
      </c>
    </row>
    <row r="1907" spans="1:20" x14ac:dyDescent="0.2">
      <c r="A1907" s="169" t="str">
        <f t="shared" si="8"/>
        <v>622</v>
      </c>
      <c r="B1907" s="167" t="str">
        <f>_xlfn.XLOOKUP(I1907,Mapping!D:D,Mapping!E:E)</f>
        <v>Xưởng Sản Xuất</v>
      </c>
      <c r="C1907" s="167" t="str">
        <f>_xlfn.XLOOKUP(F1907,Mapping!A:A,Mapping!F:F)</f>
        <v>BHXH, BHYT, KPCĐ</v>
      </c>
      <c r="D1907" s="173">
        <v>45961</v>
      </c>
      <c r="E1907" s="169" t="s">
        <v>1139</v>
      </c>
      <c r="F1907" s="169" t="s">
        <v>425</v>
      </c>
      <c r="G1907" s="169" t="s">
        <v>296</v>
      </c>
      <c r="H1907" s="169" t="s">
        <v>402</v>
      </c>
      <c r="I1907" s="169" t="s">
        <v>403</v>
      </c>
      <c r="J1907" s="169" t="s">
        <v>1140</v>
      </c>
      <c r="K1907" s="169" t="s">
        <v>1132</v>
      </c>
      <c r="L1907" s="169" t="s">
        <v>1133</v>
      </c>
      <c r="M1907" s="169" t="s">
        <v>281</v>
      </c>
      <c r="N1907" s="178">
        <v>313434005</v>
      </c>
      <c r="O1907" s="169" t="s">
        <v>1141</v>
      </c>
      <c r="P1907" s="169" t="s">
        <v>283</v>
      </c>
      <c r="Q1907" s="169" t="s">
        <v>284</v>
      </c>
      <c r="R1907" s="169" t="s">
        <v>283</v>
      </c>
      <c r="S1907" s="169" t="s">
        <v>283</v>
      </c>
      <c r="T1907" s="169">
        <v>0</v>
      </c>
    </row>
    <row r="1908" spans="1:20" x14ac:dyDescent="0.2">
      <c r="A1908" s="169" t="str">
        <f t="shared" si="8"/>
        <v>627</v>
      </c>
      <c r="B1908" s="167" t="str">
        <f>_xlfn.XLOOKUP(I1908,Mapping!D:D,Mapping!E:E)</f>
        <v>Xưởng Sản Xuất</v>
      </c>
      <c r="C1908" s="167" t="str">
        <f>_xlfn.XLOOKUP(F1908,Mapping!A:A,Mapping!F:F)</f>
        <v>BHXH, BHYT, KPCĐ</v>
      </c>
      <c r="D1908" s="173">
        <v>45961</v>
      </c>
      <c r="E1908" s="169" t="s">
        <v>1139</v>
      </c>
      <c r="F1908" s="169" t="s">
        <v>393</v>
      </c>
      <c r="G1908" s="169" t="s">
        <v>296</v>
      </c>
      <c r="H1908" s="169" t="s">
        <v>402</v>
      </c>
      <c r="I1908" s="169" t="s">
        <v>403</v>
      </c>
      <c r="J1908" s="169" t="s">
        <v>1140</v>
      </c>
      <c r="K1908" s="169" t="s">
        <v>1132</v>
      </c>
      <c r="L1908" s="169" t="s">
        <v>1133</v>
      </c>
      <c r="M1908" s="169" t="s">
        <v>281</v>
      </c>
      <c r="N1908" s="178">
        <v>87458765</v>
      </c>
      <c r="O1908" s="169" t="s">
        <v>1141</v>
      </c>
      <c r="P1908" s="169" t="s">
        <v>283</v>
      </c>
      <c r="Q1908" s="169" t="s">
        <v>284</v>
      </c>
      <c r="R1908" s="169" t="s">
        <v>283</v>
      </c>
      <c r="S1908" s="169" t="s">
        <v>283</v>
      </c>
      <c r="T1908" s="169">
        <v>0</v>
      </c>
    </row>
    <row r="1909" spans="1:20" x14ac:dyDescent="0.2">
      <c r="A1909" s="169" t="str">
        <f t="shared" si="8"/>
        <v>627</v>
      </c>
      <c r="B1909" s="167" t="str">
        <f>_xlfn.XLOOKUP(I1909,Mapping!D:D,Mapping!E:E)</f>
        <v>Kiểm Soát Chất Lượng</v>
      </c>
      <c r="C1909" s="167" t="str">
        <f>_xlfn.XLOOKUP(F1909,Mapping!A:A,Mapping!F:F)</f>
        <v>BHXH, BHYT, KPCĐ</v>
      </c>
      <c r="D1909" s="173">
        <v>45961</v>
      </c>
      <c r="E1909" s="169" t="s">
        <v>1194</v>
      </c>
      <c r="F1909" s="169" t="s">
        <v>393</v>
      </c>
      <c r="G1909" s="169" t="s">
        <v>296</v>
      </c>
      <c r="H1909" s="169" t="s">
        <v>411</v>
      </c>
      <c r="I1909" s="169" t="s">
        <v>412</v>
      </c>
      <c r="J1909" s="169" t="s">
        <v>1140</v>
      </c>
      <c r="K1909" s="169" t="s">
        <v>1132</v>
      </c>
      <c r="L1909" s="169" t="s">
        <v>1133</v>
      </c>
      <c r="M1909" s="169" t="s">
        <v>281</v>
      </c>
      <c r="N1909" s="178">
        <v>2731640</v>
      </c>
      <c r="O1909" s="169" t="s">
        <v>1195</v>
      </c>
      <c r="P1909" s="169" t="s">
        <v>283</v>
      </c>
      <c r="Q1909" s="169" t="s">
        <v>284</v>
      </c>
      <c r="R1909" s="169" t="s">
        <v>283</v>
      </c>
      <c r="S1909" s="169" t="s">
        <v>283</v>
      </c>
      <c r="T1909" s="169">
        <v>0</v>
      </c>
    </row>
    <row r="1910" spans="1:20" x14ac:dyDescent="0.2">
      <c r="A1910" s="169" t="str">
        <f t="shared" si="8"/>
        <v>622</v>
      </c>
      <c r="B1910" s="167" t="str">
        <f>_xlfn.XLOOKUP(I1910,Mapping!D:D,Mapping!E:E)</f>
        <v>Xưởng Sản Xuất</v>
      </c>
      <c r="C1910" s="167" t="str">
        <f>_xlfn.XLOOKUP(F1910,Mapping!A:A,Mapping!F:F)</f>
        <v>BHXH, BHYT, KPCĐ</v>
      </c>
      <c r="D1910" s="173">
        <v>45961</v>
      </c>
      <c r="E1910" s="169" t="s">
        <v>1194</v>
      </c>
      <c r="F1910" s="169" t="s">
        <v>425</v>
      </c>
      <c r="G1910" s="169" t="s">
        <v>296</v>
      </c>
      <c r="H1910" s="169" t="s">
        <v>402</v>
      </c>
      <c r="I1910" s="169" t="s">
        <v>403</v>
      </c>
      <c r="J1910" s="169" t="s">
        <v>1140</v>
      </c>
      <c r="K1910" s="169" t="s">
        <v>1132</v>
      </c>
      <c r="L1910" s="169" t="s">
        <v>1133</v>
      </c>
      <c r="M1910" s="169" t="s">
        <v>281</v>
      </c>
      <c r="N1910" s="178">
        <v>1234455</v>
      </c>
      <c r="O1910" s="169" t="s">
        <v>1195</v>
      </c>
      <c r="P1910" s="169" t="s">
        <v>283</v>
      </c>
      <c r="Q1910" s="169" t="s">
        <v>284</v>
      </c>
      <c r="R1910" s="169" t="s">
        <v>283</v>
      </c>
      <c r="S1910" s="169" t="s">
        <v>283</v>
      </c>
      <c r="T1910" s="169">
        <v>0</v>
      </c>
    </row>
    <row r="1911" spans="1:20" x14ac:dyDescent="0.2">
      <c r="A1911" s="169" t="str">
        <f t="shared" si="8"/>
        <v>622</v>
      </c>
      <c r="B1911" s="167" t="str">
        <f>_xlfn.XLOOKUP(I1911,Mapping!D:D,Mapping!E:E)</f>
        <v>Xưởng Sản Xuất</v>
      </c>
      <c r="C1911" s="167" t="str">
        <f>_xlfn.XLOOKUP(F1911,Mapping!A:A,Mapping!F:F)</f>
        <v>BHXH, BHYT, KPCĐ</v>
      </c>
      <c r="D1911" s="173">
        <v>45961</v>
      </c>
      <c r="E1911" s="169" t="s">
        <v>1194</v>
      </c>
      <c r="F1911" s="169" t="s">
        <v>425</v>
      </c>
      <c r="G1911" s="169" t="s">
        <v>296</v>
      </c>
      <c r="H1911" s="169" t="s">
        <v>402</v>
      </c>
      <c r="I1911" s="169" t="s">
        <v>403</v>
      </c>
      <c r="J1911" s="169" t="s">
        <v>1140</v>
      </c>
      <c r="K1911" s="169" t="s">
        <v>1132</v>
      </c>
      <c r="L1911" s="169" t="s">
        <v>1133</v>
      </c>
      <c r="M1911" s="169" t="s">
        <v>281</v>
      </c>
      <c r="N1911" s="178">
        <v>4839825</v>
      </c>
      <c r="O1911" s="169" t="s">
        <v>1195</v>
      </c>
      <c r="P1911" s="169" t="s">
        <v>283</v>
      </c>
      <c r="Q1911" s="169" t="s">
        <v>284</v>
      </c>
      <c r="R1911" s="169" t="s">
        <v>283</v>
      </c>
      <c r="S1911" s="169" t="s">
        <v>283</v>
      </c>
      <c r="T1911" s="169">
        <v>0</v>
      </c>
    </row>
    <row r="1912" spans="1:20" x14ac:dyDescent="0.2">
      <c r="A1912" s="169" t="str">
        <f t="shared" si="8"/>
        <v>622</v>
      </c>
      <c r="B1912" s="167" t="str">
        <f>_xlfn.XLOOKUP(I1912,Mapping!D:D,Mapping!E:E)</f>
        <v>Xưởng Sản Xuất</v>
      </c>
      <c r="C1912" s="167" t="str">
        <f>_xlfn.XLOOKUP(F1912,Mapping!A:A,Mapping!F:F)</f>
        <v>BHXH, BHYT, KPCĐ</v>
      </c>
      <c r="D1912" s="173">
        <v>45961</v>
      </c>
      <c r="E1912" s="169" t="s">
        <v>1196</v>
      </c>
      <c r="F1912" s="169" t="s">
        <v>425</v>
      </c>
      <c r="G1912" s="169" t="s">
        <v>296</v>
      </c>
      <c r="H1912" s="169" t="s">
        <v>402</v>
      </c>
      <c r="I1912" s="169" t="s">
        <v>403</v>
      </c>
      <c r="J1912" s="169" t="s">
        <v>1197</v>
      </c>
      <c r="K1912" s="169" t="s">
        <v>1132</v>
      </c>
      <c r="L1912" s="169" t="s">
        <v>1133</v>
      </c>
      <c r="M1912" s="169" t="s">
        <v>281</v>
      </c>
      <c r="N1912" s="178">
        <v>13234500</v>
      </c>
      <c r="O1912" s="169" t="s">
        <v>1198</v>
      </c>
      <c r="P1912" s="169" t="s">
        <v>283</v>
      </c>
      <c r="Q1912" s="169" t="s">
        <v>284</v>
      </c>
      <c r="R1912" s="169" t="s">
        <v>283</v>
      </c>
      <c r="S1912" s="169" t="s">
        <v>283</v>
      </c>
      <c r="T1912" s="169">
        <v>0</v>
      </c>
    </row>
    <row r="1913" spans="1:20" x14ac:dyDescent="0.2">
      <c r="A1913" s="169" t="str">
        <f t="shared" si="8"/>
        <v>622</v>
      </c>
      <c r="B1913" s="167" t="str">
        <f>_xlfn.XLOOKUP(I1913,Mapping!D:D,Mapping!E:E)</f>
        <v>Xưởng Sản Xuất</v>
      </c>
      <c r="C1913" s="167" t="str">
        <f>_xlfn.XLOOKUP(F1913,Mapping!A:A,Mapping!F:F)</f>
        <v>BHXH, BHYT, KPCĐ</v>
      </c>
      <c r="D1913" s="173">
        <v>45961</v>
      </c>
      <c r="E1913" s="169" t="s">
        <v>1196</v>
      </c>
      <c r="F1913" s="169" t="s">
        <v>425</v>
      </c>
      <c r="G1913" s="169" t="s">
        <v>296</v>
      </c>
      <c r="H1913" s="169" t="s">
        <v>402</v>
      </c>
      <c r="I1913" s="169" t="s">
        <v>403</v>
      </c>
      <c r="J1913" s="169" t="s">
        <v>1197</v>
      </c>
      <c r="K1913" s="169" t="s">
        <v>1132</v>
      </c>
      <c r="L1913" s="169" t="s">
        <v>1133</v>
      </c>
      <c r="M1913" s="169" t="s">
        <v>281</v>
      </c>
      <c r="N1913" s="178">
        <v>6096960</v>
      </c>
      <c r="O1913" s="169" t="s">
        <v>1198</v>
      </c>
      <c r="P1913" s="169" t="s">
        <v>283</v>
      </c>
      <c r="Q1913" s="169" t="s">
        <v>284</v>
      </c>
      <c r="R1913" s="169" t="s">
        <v>283</v>
      </c>
      <c r="S1913" s="169" t="s">
        <v>283</v>
      </c>
      <c r="T1913" s="169">
        <v>0</v>
      </c>
    </row>
    <row r="1914" spans="1:20" x14ac:dyDescent="0.2">
      <c r="A1914" s="169" t="str">
        <f t="shared" si="8"/>
        <v>622</v>
      </c>
      <c r="B1914" s="167" t="str">
        <f>_xlfn.XLOOKUP(I1914,Mapping!D:D,Mapping!E:E)</f>
        <v>Xưởng Sản Xuất</v>
      </c>
      <c r="C1914" s="167" t="str">
        <f>_xlfn.XLOOKUP(F1914,Mapping!A:A,Mapping!F:F)</f>
        <v>BHXH, BHYT, KPCĐ</v>
      </c>
      <c r="D1914" s="173">
        <v>45961</v>
      </c>
      <c r="E1914" s="169" t="s">
        <v>1196</v>
      </c>
      <c r="F1914" s="169" t="s">
        <v>425</v>
      </c>
      <c r="G1914" s="169" t="s">
        <v>296</v>
      </c>
      <c r="H1914" s="169" t="s">
        <v>402</v>
      </c>
      <c r="I1914" s="169" t="s">
        <v>403</v>
      </c>
      <c r="J1914" s="169" t="s">
        <v>1197</v>
      </c>
      <c r="K1914" s="169" t="s">
        <v>1132</v>
      </c>
      <c r="L1914" s="169" t="s">
        <v>1133</v>
      </c>
      <c r="M1914" s="169" t="s">
        <v>281</v>
      </c>
      <c r="N1914" s="178">
        <v>2086000</v>
      </c>
      <c r="O1914" s="169" t="s">
        <v>1198</v>
      </c>
      <c r="P1914" s="169" t="s">
        <v>283</v>
      </c>
      <c r="Q1914" s="169" t="s">
        <v>284</v>
      </c>
      <c r="R1914" s="169" t="s">
        <v>283</v>
      </c>
      <c r="S1914" s="169" t="s">
        <v>283</v>
      </c>
      <c r="T1914" s="169">
        <v>0</v>
      </c>
    </row>
    <row r="1915" spans="1:20" x14ac:dyDescent="0.2">
      <c r="A1915" s="169" t="str">
        <f t="shared" si="8"/>
        <v>622</v>
      </c>
      <c r="B1915" s="167" t="str">
        <f>_xlfn.XLOOKUP(I1915,Mapping!D:D,Mapping!E:E)</f>
        <v>Xưởng Sản Xuất</v>
      </c>
      <c r="C1915" s="167" t="str">
        <f>_xlfn.XLOOKUP(F1915,Mapping!A:A,Mapping!F:F)</f>
        <v>Lương Chính +T13</v>
      </c>
      <c r="D1915" s="173">
        <v>45958</v>
      </c>
      <c r="E1915" s="169" t="s">
        <v>1145</v>
      </c>
      <c r="F1915" s="169" t="s">
        <v>400</v>
      </c>
      <c r="G1915" s="169" t="s">
        <v>401</v>
      </c>
      <c r="H1915" s="169" t="s">
        <v>402</v>
      </c>
      <c r="I1915" s="169" t="s">
        <v>403</v>
      </c>
      <c r="J1915" s="169" t="s">
        <v>1146</v>
      </c>
      <c r="K1915" s="169" t="s">
        <v>405</v>
      </c>
      <c r="L1915" s="169" t="s">
        <v>1133</v>
      </c>
      <c r="M1915" s="169" t="s">
        <v>281</v>
      </c>
      <c r="N1915" s="178">
        <v>131163172</v>
      </c>
      <c r="O1915" s="169" t="s">
        <v>1147</v>
      </c>
      <c r="P1915" s="169" t="s">
        <v>283</v>
      </c>
      <c r="Q1915" s="169" t="s">
        <v>306</v>
      </c>
      <c r="R1915" s="169" t="s">
        <v>283</v>
      </c>
      <c r="S1915" s="169" t="s">
        <v>283</v>
      </c>
      <c r="T1915" s="169">
        <v>0</v>
      </c>
    </row>
    <row r="1916" spans="1:20" x14ac:dyDescent="0.2">
      <c r="A1916" s="169" t="str">
        <f t="shared" si="8"/>
        <v>622</v>
      </c>
      <c r="B1916" s="167" t="str">
        <f>_xlfn.XLOOKUP(I1916,Mapping!D:D,Mapping!E:E)</f>
        <v>Xưởng Sản Xuất</v>
      </c>
      <c r="C1916" s="167" t="str">
        <f>_xlfn.XLOOKUP(F1916,Mapping!A:A,Mapping!F:F)</f>
        <v>Lương Chính +T13</v>
      </c>
      <c r="D1916" s="173">
        <v>45958</v>
      </c>
      <c r="E1916" s="169" t="s">
        <v>1199</v>
      </c>
      <c r="F1916" s="169" t="s">
        <v>400</v>
      </c>
      <c r="G1916" s="169" t="s">
        <v>401</v>
      </c>
      <c r="H1916" s="169" t="s">
        <v>402</v>
      </c>
      <c r="I1916" s="169" t="s">
        <v>403</v>
      </c>
      <c r="J1916" s="169" t="s">
        <v>1200</v>
      </c>
      <c r="K1916" s="169" t="s">
        <v>405</v>
      </c>
      <c r="L1916" s="169" t="s">
        <v>1133</v>
      </c>
      <c r="M1916" s="169" t="s">
        <v>281</v>
      </c>
      <c r="N1916" s="178">
        <v>85260834</v>
      </c>
      <c r="O1916" s="169" t="s">
        <v>1201</v>
      </c>
      <c r="P1916" s="169" t="s">
        <v>283</v>
      </c>
      <c r="Q1916" s="169" t="s">
        <v>306</v>
      </c>
      <c r="R1916" s="169" t="s">
        <v>283</v>
      </c>
      <c r="S1916" s="169" t="s">
        <v>283</v>
      </c>
      <c r="T1916" s="169">
        <v>0</v>
      </c>
    </row>
    <row r="1917" spans="1:20" x14ac:dyDescent="0.2">
      <c r="A1917" s="169" t="str">
        <f t="shared" si="8"/>
        <v>627</v>
      </c>
      <c r="B1917" s="167" t="str">
        <f>_xlfn.XLOOKUP(I1917,Mapping!D:D,Mapping!E:E)</f>
        <v>Xưởng Sản Xuất</v>
      </c>
      <c r="C1917" s="167" t="str">
        <f>_xlfn.XLOOKUP(F1917,Mapping!A:A,Mapping!F:F)</f>
        <v>Phụ Cấp</v>
      </c>
      <c r="D1917" s="173">
        <v>45958</v>
      </c>
      <c r="E1917" s="169" t="s">
        <v>1142</v>
      </c>
      <c r="F1917" s="169" t="s">
        <v>375</v>
      </c>
      <c r="G1917" s="169" t="s">
        <v>336</v>
      </c>
      <c r="H1917" s="169" t="s">
        <v>402</v>
      </c>
      <c r="I1917" s="169" t="s">
        <v>403</v>
      </c>
      <c r="J1917" s="169" t="s">
        <v>1143</v>
      </c>
      <c r="K1917" s="169" t="s">
        <v>992</v>
      </c>
      <c r="L1917" s="169" t="s">
        <v>1133</v>
      </c>
      <c r="M1917" s="169" t="s">
        <v>281</v>
      </c>
      <c r="N1917" s="178">
        <v>148775000</v>
      </c>
      <c r="O1917" s="169" t="s">
        <v>1144</v>
      </c>
      <c r="P1917" s="169" t="s">
        <v>283</v>
      </c>
      <c r="Q1917" s="169" t="s">
        <v>306</v>
      </c>
      <c r="R1917" s="169" t="s">
        <v>283</v>
      </c>
      <c r="S1917" s="169" t="s">
        <v>283</v>
      </c>
      <c r="T1917" s="169">
        <v>0</v>
      </c>
    </row>
    <row r="1918" spans="1:20" x14ac:dyDescent="0.2">
      <c r="A1918" s="169" t="str">
        <f t="shared" si="8"/>
        <v>627</v>
      </c>
      <c r="B1918" s="167" t="str">
        <f>_xlfn.XLOOKUP(I1918,Mapping!D:D,Mapping!E:E)</f>
        <v>Kiểm Soát Chất Lượng</v>
      </c>
      <c r="C1918" s="167" t="str">
        <f>_xlfn.XLOOKUP(F1918,Mapping!A:A,Mapping!F:F)</f>
        <v>Phụ Cấp</v>
      </c>
      <c r="D1918" s="173">
        <v>45958</v>
      </c>
      <c r="E1918" s="169" t="s">
        <v>1142</v>
      </c>
      <c r="F1918" s="169" t="s">
        <v>375</v>
      </c>
      <c r="G1918" s="169" t="s">
        <v>336</v>
      </c>
      <c r="H1918" s="169" t="s">
        <v>411</v>
      </c>
      <c r="I1918" s="169" t="s">
        <v>412</v>
      </c>
      <c r="J1918" s="169" t="s">
        <v>1143</v>
      </c>
      <c r="K1918" s="169" t="s">
        <v>992</v>
      </c>
      <c r="L1918" s="169" t="s">
        <v>1133</v>
      </c>
      <c r="M1918" s="169" t="s">
        <v>281</v>
      </c>
      <c r="N1918" s="178">
        <v>31675000</v>
      </c>
      <c r="O1918" s="169" t="s">
        <v>1144</v>
      </c>
      <c r="P1918" s="169" t="s">
        <v>283</v>
      </c>
      <c r="Q1918" s="169" t="s">
        <v>306</v>
      </c>
      <c r="R1918" s="169" t="s">
        <v>283</v>
      </c>
      <c r="S1918" s="169" t="s">
        <v>283</v>
      </c>
      <c r="T1918" s="169">
        <v>0</v>
      </c>
    </row>
    <row r="1919" spans="1:20" x14ac:dyDescent="0.2">
      <c r="A1919" s="169" t="str">
        <f t="shared" si="8"/>
        <v>622</v>
      </c>
      <c r="B1919" s="167" t="str">
        <f>_xlfn.XLOOKUP(I1919,Mapping!D:D,Mapping!E:E)</f>
        <v>Xưởng Sản Xuất</v>
      </c>
      <c r="C1919" s="167" t="str">
        <f>_xlfn.XLOOKUP(F1919,Mapping!A:A,Mapping!F:F)</f>
        <v>Phụ Cấp</v>
      </c>
      <c r="D1919" s="173">
        <v>45961</v>
      </c>
      <c r="E1919" s="169" t="s">
        <v>1151</v>
      </c>
      <c r="F1919" s="169" t="s">
        <v>414</v>
      </c>
      <c r="G1919" s="169" t="s">
        <v>415</v>
      </c>
      <c r="H1919" s="169" t="s">
        <v>402</v>
      </c>
      <c r="I1919" s="169" t="s">
        <v>403</v>
      </c>
      <c r="J1919" s="169" t="s">
        <v>1202</v>
      </c>
      <c r="K1919" s="169" t="s">
        <v>1153</v>
      </c>
      <c r="L1919" s="169" t="s">
        <v>1133</v>
      </c>
      <c r="M1919" s="169" t="s">
        <v>281</v>
      </c>
      <c r="N1919" s="178">
        <v>27521000</v>
      </c>
      <c r="O1919" s="169" t="s">
        <v>1154</v>
      </c>
      <c r="P1919" s="169" t="s">
        <v>283</v>
      </c>
      <c r="Q1919" s="169" t="s">
        <v>306</v>
      </c>
      <c r="R1919" s="169" t="s">
        <v>283</v>
      </c>
      <c r="S1919" s="169" t="s">
        <v>283</v>
      </c>
      <c r="T1919" s="169">
        <v>0</v>
      </c>
    </row>
    <row r="1920" spans="1:20" x14ac:dyDescent="0.2">
      <c r="A1920" s="169" t="str">
        <f t="shared" si="8"/>
        <v>627</v>
      </c>
      <c r="B1920" s="167" t="str">
        <f>_xlfn.XLOOKUP(I1920,Mapping!D:D,Mapping!E:E)</f>
        <v>Kiểm Soát Chất Lượng</v>
      </c>
      <c r="C1920" s="167" t="str">
        <f>_xlfn.XLOOKUP(F1920,Mapping!A:A,Mapping!F:F)</f>
        <v>Phụ Cấp</v>
      </c>
      <c r="D1920" s="173">
        <v>45961</v>
      </c>
      <c r="E1920" s="169" t="s">
        <v>1151</v>
      </c>
      <c r="F1920" s="169" t="s">
        <v>375</v>
      </c>
      <c r="G1920" s="169" t="s">
        <v>336</v>
      </c>
      <c r="H1920" s="169" t="s">
        <v>411</v>
      </c>
      <c r="I1920" s="169" t="s">
        <v>412</v>
      </c>
      <c r="J1920" s="169" t="s">
        <v>1203</v>
      </c>
      <c r="K1920" s="169" t="s">
        <v>1153</v>
      </c>
      <c r="L1920" s="169" t="s">
        <v>1133</v>
      </c>
      <c r="M1920" s="169" t="s">
        <v>281</v>
      </c>
      <c r="N1920" s="178">
        <v>4537000</v>
      </c>
      <c r="O1920" s="169" t="s">
        <v>1154</v>
      </c>
      <c r="P1920" s="169" t="s">
        <v>283</v>
      </c>
      <c r="Q1920" s="169" t="s">
        <v>306</v>
      </c>
      <c r="R1920" s="169" t="s">
        <v>283</v>
      </c>
      <c r="S1920" s="169" t="s">
        <v>283</v>
      </c>
      <c r="T1920" s="169">
        <v>0</v>
      </c>
    </row>
    <row r="1921" spans="1:20" x14ac:dyDescent="0.2">
      <c r="A1921" s="169" t="str">
        <f t="shared" si="8"/>
        <v>622</v>
      </c>
      <c r="B1921" s="167" t="str">
        <f>_xlfn.XLOOKUP(I1921,Mapping!D:D,Mapping!E:E)</f>
        <v>Xưởng Sản Xuất</v>
      </c>
      <c r="C1921" s="167" t="str">
        <f>_xlfn.XLOOKUP(F1921,Mapping!A:A,Mapping!F:F)</f>
        <v>Phụ Cấp</v>
      </c>
      <c r="D1921" s="173">
        <v>45960</v>
      </c>
      <c r="E1921" s="169" t="s">
        <v>1204</v>
      </c>
      <c r="F1921" s="169" t="s">
        <v>414</v>
      </c>
      <c r="G1921" s="169" t="s">
        <v>415</v>
      </c>
      <c r="H1921" s="169" t="s">
        <v>402</v>
      </c>
      <c r="I1921" s="169" t="s">
        <v>403</v>
      </c>
      <c r="J1921" s="169" t="s">
        <v>416</v>
      </c>
      <c r="K1921" s="169" t="s">
        <v>416</v>
      </c>
      <c r="L1921" s="169" t="s">
        <v>1133</v>
      </c>
      <c r="M1921" s="169" t="s">
        <v>281</v>
      </c>
      <c r="N1921" s="178">
        <v>126650000</v>
      </c>
      <c r="O1921" s="169" t="s">
        <v>1205</v>
      </c>
      <c r="P1921" s="169" t="s">
        <v>283</v>
      </c>
      <c r="Q1921" s="169" t="s">
        <v>348</v>
      </c>
      <c r="R1921" s="169" t="s">
        <v>283</v>
      </c>
      <c r="S1921" s="169" t="s">
        <v>283</v>
      </c>
      <c r="T1921" s="169">
        <v>0</v>
      </c>
    </row>
    <row r="1922" spans="1:20" x14ac:dyDescent="0.2">
      <c r="A1922" s="169" t="str">
        <f t="shared" si="8"/>
        <v>627</v>
      </c>
      <c r="B1922" s="167" t="str">
        <f>_xlfn.XLOOKUP(I1922,Mapping!D:D,Mapping!E:E)</f>
        <v>Xưởng Sản Xuất</v>
      </c>
      <c r="C1922" s="167" t="str">
        <f>_xlfn.XLOOKUP(F1922,Mapping!A:A,Mapping!F:F)</f>
        <v>Phụ Cấp</v>
      </c>
      <c r="D1922" s="173">
        <v>45960</v>
      </c>
      <c r="E1922" s="169" t="s">
        <v>1204</v>
      </c>
      <c r="F1922" s="169" t="s">
        <v>375</v>
      </c>
      <c r="G1922" s="169" t="s">
        <v>336</v>
      </c>
      <c r="H1922" s="169" t="s">
        <v>402</v>
      </c>
      <c r="I1922" s="169" t="s">
        <v>403</v>
      </c>
      <c r="J1922" s="169" t="s">
        <v>416</v>
      </c>
      <c r="K1922" s="169" t="s">
        <v>416</v>
      </c>
      <c r="L1922" s="169" t="s">
        <v>1133</v>
      </c>
      <c r="M1922" s="169" t="s">
        <v>281</v>
      </c>
      <c r="N1922" s="178">
        <v>-126650000</v>
      </c>
      <c r="O1922" s="169" t="s">
        <v>1205</v>
      </c>
      <c r="P1922" s="169" t="s">
        <v>283</v>
      </c>
      <c r="Q1922" s="169" t="s">
        <v>348</v>
      </c>
      <c r="R1922" s="169" t="s">
        <v>283</v>
      </c>
      <c r="S1922" s="169" t="s">
        <v>283</v>
      </c>
      <c r="T1922" s="169">
        <v>0</v>
      </c>
    </row>
    <row r="1923" spans="1:20" x14ac:dyDescent="0.2">
      <c r="A1923" s="169" t="str">
        <f t="shared" si="8"/>
        <v>622</v>
      </c>
      <c r="B1923" s="167" t="str">
        <f>_xlfn.XLOOKUP(I1923,Mapping!D:D,Mapping!E:E)</f>
        <v>Xưởng Sản Xuất</v>
      </c>
      <c r="C1923" s="167" t="str">
        <f>_xlfn.XLOOKUP(F1923,Mapping!A:A,Mapping!F:F)</f>
        <v>Lương Chính +T13</v>
      </c>
      <c r="D1923" s="173">
        <v>45961</v>
      </c>
      <c r="E1923" s="169" t="s">
        <v>1130</v>
      </c>
      <c r="F1923" s="169" t="s">
        <v>400</v>
      </c>
      <c r="G1923" s="169" t="s">
        <v>401</v>
      </c>
      <c r="H1923" s="169" t="s">
        <v>430</v>
      </c>
      <c r="I1923" s="169" t="s">
        <v>431</v>
      </c>
      <c r="J1923" s="169" t="s">
        <v>1131</v>
      </c>
      <c r="K1923" s="169" t="s">
        <v>1132</v>
      </c>
      <c r="L1923" s="169" t="s">
        <v>1133</v>
      </c>
      <c r="M1923" s="169" t="s">
        <v>281</v>
      </c>
      <c r="N1923" s="178">
        <v>304036176</v>
      </c>
      <c r="O1923" s="169" t="s">
        <v>1134</v>
      </c>
      <c r="P1923" s="169" t="s">
        <v>283</v>
      </c>
      <c r="Q1923" s="169" t="s">
        <v>284</v>
      </c>
      <c r="R1923" s="169" t="s">
        <v>283</v>
      </c>
      <c r="S1923" s="169" t="s">
        <v>283</v>
      </c>
      <c r="T1923" s="169">
        <v>0</v>
      </c>
    </row>
    <row r="1924" spans="1:20" x14ac:dyDescent="0.2">
      <c r="A1924" s="169" t="str">
        <f t="shared" si="8"/>
        <v>622</v>
      </c>
      <c r="B1924" s="167" t="str">
        <f>_xlfn.XLOOKUP(I1924,Mapping!D:D,Mapping!E:E)</f>
        <v>Xưởng Sản Xuất</v>
      </c>
      <c r="C1924" s="167" t="str">
        <f>_xlfn.XLOOKUP(F1924,Mapping!A:A,Mapping!F:F)</f>
        <v>Lương Chính +T13</v>
      </c>
      <c r="D1924" s="173">
        <v>45961</v>
      </c>
      <c r="E1924" s="169" t="s">
        <v>1130</v>
      </c>
      <c r="F1924" s="169" t="s">
        <v>420</v>
      </c>
      <c r="G1924" s="169" t="s">
        <v>286</v>
      </c>
      <c r="H1924" s="169" t="s">
        <v>430</v>
      </c>
      <c r="I1924" s="169" t="s">
        <v>431</v>
      </c>
      <c r="J1924" s="169" t="s">
        <v>1131</v>
      </c>
      <c r="K1924" s="169" t="s">
        <v>1132</v>
      </c>
      <c r="L1924" s="169" t="s">
        <v>1133</v>
      </c>
      <c r="M1924" s="169" t="s">
        <v>281</v>
      </c>
      <c r="N1924" s="178">
        <v>7655463</v>
      </c>
      <c r="O1924" s="169" t="s">
        <v>1134</v>
      </c>
      <c r="P1924" s="169" t="s">
        <v>283</v>
      </c>
      <c r="Q1924" s="169" t="s">
        <v>284</v>
      </c>
      <c r="R1924" s="169" t="s">
        <v>283</v>
      </c>
      <c r="S1924" s="169" t="s">
        <v>283</v>
      </c>
      <c r="T1924" s="169">
        <v>0</v>
      </c>
    </row>
    <row r="1925" spans="1:20" x14ac:dyDescent="0.2">
      <c r="A1925" s="169" t="str">
        <f t="shared" si="8"/>
        <v>622</v>
      </c>
      <c r="B1925" s="167" t="str">
        <f>_xlfn.XLOOKUP(I1925,Mapping!D:D,Mapping!E:E)</f>
        <v>Xưởng Sản Xuất</v>
      </c>
      <c r="C1925" s="167" t="str">
        <f>_xlfn.XLOOKUP(F1925,Mapping!A:A,Mapping!F:F)</f>
        <v>Phụ Cấp</v>
      </c>
      <c r="D1925" s="173">
        <v>45961</v>
      </c>
      <c r="E1925" s="169" t="s">
        <v>1130</v>
      </c>
      <c r="F1925" s="169" t="s">
        <v>421</v>
      </c>
      <c r="G1925" s="169" t="s">
        <v>341</v>
      </c>
      <c r="H1925" s="169" t="s">
        <v>430</v>
      </c>
      <c r="I1925" s="169" t="s">
        <v>431</v>
      </c>
      <c r="J1925" s="169" t="s">
        <v>1131</v>
      </c>
      <c r="K1925" s="169" t="s">
        <v>1132</v>
      </c>
      <c r="L1925" s="169" t="s">
        <v>1133</v>
      </c>
      <c r="M1925" s="169" t="s">
        <v>281</v>
      </c>
      <c r="N1925" s="178">
        <v>27139892</v>
      </c>
      <c r="O1925" s="169" t="s">
        <v>1134</v>
      </c>
      <c r="P1925" s="169" t="s">
        <v>283</v>
      </c>
      <c r="Q1925" s="169" t="s">
        <v>284</v>
      </c>
      <c r="R1925" s="169" t="s">
        <v>283</v>
      </c>
      <c r="S1925" s="169" t="s">
        <v>283</v>
      </c>
      <c r="T1925" s="169">
        <v>0</v>
      </c>
    </row>
    <row r="1926" spans="1:20" x14ac:dyDescent="0.2">
      <c r="A1926" s="169" t="str">
        <f t="shared" si="8"/>
        <v>622</v>
      </c>
      <c r="B1926" s="167" t="str">
        <f>_xlfn.XLOOKUP(I1926,Mapping!D:D,Mapping!E:E)</f>
        <v>Xưởng Sản Xuất</v>
      </c>
      <c r="C1926" s="167" t="str">
        <f>_xlfn.XLOOKUP(F1926,Mapping!A:A,Mapping!F:F)</f>
        <v>Lương Ngoài giờ</v>
      </c>
      <c r="D1926" s="173">
        <v>45961</v>
      </c>
      <c r="E1926" s="169" t="s">
        <v>1130</v>
      </c>
      <c r="F1926" s="169" t="s">
        <v>422</v>
      </c>
      <c r="G1926" s="169" t="s">
        <v>423</v>
      </c>
      <c r="H1926" s="169" t="s">
        <v>430</v>
      </c>
      <c r="I1926" s="169" t="s">
        <v>431</v>
      </c>
      <c r="J1926" s="169" t="s">
        <v>1131</v>
      </c>
      <c r="K1926" s="169" t="s">
        <v>1132</v>
      </c>
      <c r="L1926" s="169" t="s">
        <v>1133</v>
      </c>
      <c r="M1926" s="169" t="s">
        <v>281</v>
      </c>
      <c r="N1926" s="178">
        <v>54453471</v>
      </c>
      <c r="O1926" s="169" t="s">
        <v>1134</v>
      </c>
      <c r="P1926" s="169" t="s">
        <v>283</v>
      </c>
      <c r="Q1926" s="169" t="s">
        <v>284</v>
      </c>
      <c r="R1926" s="169" t="s">
        <v>283</v>
      </c>
      <c r="S1926" s="169" t="s">
        <v>283</v>
      </c>
      <c r="T1926" s="169">
        <v>0</v>
      </c>
    </row>
    <row r="1927" spans="1:20" x14ac:dyDescent="0.2">
      <c r="A1927" s="169" t="str">
        <f t="shared" si="8"/>
        <v>622</v>
      </c>
      <c r="B1927" s="167" t="str">
        <f>_xlfn.XLOOKUP(I1927,Mapping!D:D,Mapping!E:E)</f>
        <v>Xưởng Sản Xuất</v>
      </c>
      <c r="C1927" s="167" t="str">
        <f>_xlfn.XLOOKUP(F1927,Mapping!A:A,Mapping!F:F)</f>
        <v>Phụ Cấp</v>
      </c>
      <c r="D1927" s="173">
        <v>45961</v>
      </c>
      <c r="E1927" s="169" t="s">
        <v>1130</v>
      </c>
      <c r="F1927" s="169" t="s">
        <v>414</v>
      </c>
      <c r="G1927" s="169" t="s">
        <v>415</v>
      </c>
      <c r="H1927" s="169" t="s">
        <v>430</v>
      </c>
      <c r="I1927" s="169" t="s">
        <v>431</v>
      </c>
      <c r="J1927" s="169" t="s">
        <v>1131</v>
      </c>
      <c r="K1927" s="169" t="s">
        <v>1132</v>
      </c>
      <c r="L1927" s="169" t="s">
        <v>1133</v>
      </c>
      <c r="M1927" s="169" t="s">
        <v>281</v>
      </c>
      <c r="N1927" s="178">
        <v>4650000</v>
      </c>
      <c r="O1927" s="169" t="s">
        <v>1134</v>
      </c>
      <c r="P1927" s="169" t="s">
        <v>283</v>
      </c>
      <c r="Q1927" s="169" t="s">
        <v>284</v>
      </c>
      <c r="R1927" s="169" t="s">
        <v>283</v>
      </c>
      <c r="S1927" s="169" t="s">
        <v>283</v>
      </c>
      <c r="T1927" s="169">
        <v>0</v>
      </c>
    </row>
    <row r="1928" spans="1:20" x14ac:dyDescent="0.2">
      <c r="A1928" s="169" t="str">
        <f t="shared" si="8"/>
        <v>627</v>
      </c>
      <c r="B1928" s="167" t="str">
        <f>_xlfn.XLOOKUP(I1928,Mapping!D:D,Mapping!E:E)</f>
        <v>Xưởng Sản Xuất</v>
      </c>
      <c r="C1928" s="167" t="str">
        <f>_xlfn.XLOOKUP(F1928,Mapping!A:A,Mapping!F:F)</f>
        <v>Phụ Cấp</v>
      </c>
      <c r="D1928" s="173">
        <v>45961</v>
      </c>
      <c r="E1928" s="169" t="s">
        <v>1130</v>
      </c>
      <c r="F1928" s="169" t="s">
        <v>386</v>
      </c>
      <c r="G1928" s="169" t="s">
        <v>341</v>
      </c>
      <c r="H1928" s="169" t="s">
        <v>430</v>
      </c>
      <c r="I1928" s="169" t="s">
        <v>431</v>
      </c>
      <c r="J1928" s="169" t="s">
        <v>1131</v>
      </c>
      <c r="K1928" s="169" t="s">
        <v>1132</v>
      </c>
      <c r="L1928" s="169" t="s">
        <v>1133</v>
      </c>
      <c r="M1928" s="169" t="s">
        <v>281</v>
      </c>
      <c r="N1928" s="178">
        <v>7908693</v>
      </c>
      <c r="O1928" s="169" t="s">
        <v>1134</v>
      </c>
      <c r="P1928" s="169" t="s">
        <v>283</v>
      </c>
      <c r="Q1928" s="169" t="s">
        <v>284</v>
      </c>
      <c r="R1928" s="169" t="s">
        <v>283</v>
      </c>
      <c r="S1928" s="169" t="s">
        <v>283</v>
      </c>
      <c r="T1928" s="169">
        <v>0</v>
      </c>
    </row>
    <row r="1929" spans="1:20" x14ac:dyDescent="0.2">
      <c r="A1929" s="169" t="str">
        <f t="shared" si="8"/>
        <v>627</v>
      </c>
      <c r="B1929" s="167" t="str">
        <f>_xlfn.XLOOKUP(I1929,Mapping!D:D,Mapping!E:E)</f>
        <v>Xưởng Sản Xuất</v>
      </c>
      <c r="C1929" s="167" t="str">
        <f>_xlfn.XLOOKUP(F1929,Mapping!A:A,Mapping!F:F)</f>
        <v>Lương Chính +T13</v>
      </c>
      <c r="D1929" s="173">
        <v>45961</v>
      </c>
      <c r="E1929" s="169" t="s">
        <v>1130</v>
      </c>
      <c r="F1929" s="169" t="s">
        <v>387</v>
      </c>
      <c r="G1929" s="169" t="s">
        <v>275</v>
      </c>
      <c r="H1929" s="169" t="s">
        <v>430</v>
      </c>
      <c r="I1929" s="169" t="s">
        <v>431</v>
      </c>
      <c r="J1929" s="169" t="s">
        <v>1131</v>
      </c>
      <c r="K1929" s="169" t="s">
        <v>1132</v>
      </c>
      <c r="L1929" s="169" t="s">
        <v>1133</v>
      </c>
      <c r="M1929" s="169" t="s">
        <v>281</v>
      </c>
      <c r="N1929" s="178">
        <v>153016371</v>
      </c>
      <c r="O1929" s="169" t="s">
        <v>1134</v>
      </c>
      <c r="P1929" s="169" t="s">
        <v>283</v>
      </c>
      <c r="Q1929" s="169" t="s">
        <v>284</v>
      </c>
      <c r="R1929" s="169" t="s">
        <v>283</v>
      </c>
      <c r="S1929" s="169" t="s">
        <v>283</v>
      </c>
      <c r="T1929" s="169">
        <v>0</v>
      </c>
    </row>
    <row r="1930" spans="1:20" x14ac:dyDescent="0.2">
      <c r="A1930" s="169" t="str">
        <f t="shared" si="8"/>
        <v>627</v>
      </c>
      <c r="B1930" s="167" t="str">
        <f>_xlfn.XLOOKUP(I1930,Mapping!D:D,Mapping!E:E)</f>
        <v>Xưởng Sản Xuất</v>
      </c>
      <c r="C1930" s="167" t="str">
        <f>_xlfn.XLOOKUP(F1930,Mapping!A:A,Mapping!F:F)</f>
        <v>Lương Chính +T13</v>
      </c>
      <c r="D1930" s="173">
        <v>45961</v>
      </c>
      <c r="E1930" s="169" t="s">
        <v>1130</v>
      </c>
      <c r="F1930" s="169" t="s">
        <v>388</v>
      </c>
      <c r="G1930" s="169" t="s">
        <v>286</v>
      </c>
      <c r="H1930" s="169" t="s">
        <v>430</v>
      </c>
      <c r="I1930" s="169" t="s">
        <v>431</v>
      </c>
      <c r="J1930" s="169" t="s">
        <v>1131</v>
      </c>
      <c r="K1930" s="169" t="s">
        <v>1132</v>
      </c>
      <c r="L1930" s="169" t="s">
        <v>1133</v>
      </c>
      <c r="M1930" s="169" t="s">
        <v>281</v>
      </c>
      <c r="N1930" s="178">
        <v>6459077</v>
      </c>
      <c r="O1930" s="169" t="s">
        <v>1134</v>
      </c>
      <c r="P1930" s="169" t="s">
        <v>283</v>
      </c>
      <c r="Q1930" s="169" t="s">
        <v>284</v>
      </c>
      <c r="R1930" s="169" t="s">
        <v>283</v>
      </c>
      <c r="S1930" s="169" t="s">
        <v>283</v>
      </c>
      <c r="T1930" s="169">
        <v>0</v>
      </c>
    </row>
    <row r="1931" spans="1:20" x14ac:dyDescent="0.2">
      <c r="A1931" s="169" t="str">
        <f t="shared" si="8"/>
        <v>627</v>
      </c>
      <c r="B1931" s="167" t="str">
        <f>_xlfn.XLOOKUP(I1931,Mapping!D:D,Mapping!E:E)</f>
        <v>Xưởng Sản Xuất</v>
      </c>
      <c r="C1931" s="167" t="str">
        <f>_xlfn.XLOOKUP(F1931,Mapping!A:A,Mapping!F:F)</f>
        <v>Lương Ngoài giờ</v>
      </c>
      <c r="D1931" s="173">
        <v>45961</v>
      </c>
      <c r="E1931" s="169" t="s">
        <v>1130</v>
      </c>
      <c r="F1931" s="169" t="s">
        <v>389</v>
      </c>
      <c r="G1931" s="169" t="s">
        <v>390</v>
      </c>
      <c r="H1931" s="169" t="s">
        <v>430</v>
      </c>
      <c r="I1931" s="169" t="s">
        <v>431</v>
      </c>
      <c r="J1931" s="169" t="s">
        <v>1131</v>
      </c>
      <c r="K1931" s="169" t="s">
        <v>1132</v>
      </c>
      <c r="L1931" s="169" t="s">
        <v>1133</v>
      </c>
      <c r="M1931" s="169" t="s">
        <v>281</v>
      </c>
      <c r="N1931" s="178">
        <v>16286463</v>
      </c>
      <c r="O1931" s="169" t="s">
        <v>1134</v>
      </c>
      <c r="P1931" s="169" t="s">
        <v>283</v>
      </c>
      <c r="Q1931" s="169" t="s">
        <v>284</v>
      </c>
      <c r="R1931" s="169" t="s">
        <v>283</v>
      </c>
      <c r="S1931" s="169" t="s">
        <v>283</v>
      </c>
      <c r="T1931" s="169">
        <v>0</v>
      </c>
    </row>
    <row r="1932" spans="1:20" x14ac:dyDescent="0.2">
      <c r="A1932" s="169" t="str">
        <f t="shared" si="8"/>
        <v>627</v>
      </c>
      <c r="B1932" s="167" t="str">
        <f>_xlfn.XLOOKUP(I1932,Mapping!D:D,Mapping!E:E)</f>
        <v>Xưởng Sản Xuất</v>
      </c>
      <c r="C1932" s="167" t="str">
        <f>_xlfn.XLOOKUP(F1932,Mapping!A:A,Mapping!F:F)</f>
        <v>Phụ Cấp</v>
      </c>
      <c r="D1932" s="173">
        <v>45961</v>
      </c>
      <c r="E1932" s="169" t="s">
        <v>1130</v>
      </c>
      <c r="F1932" s="169" t="s">
        <v>375</v>
      </c>
      <c r="G1932" s="169" t="s">
        <v>336</v>
      </c>
      <c r="H1932" s="169" t="s">
        <v>430</v>
      </c>
      <c r="I1932" s="169" t="s">
        <v>431</v>
      </c>
      <c r="J1932" s="169" t="s">
        <v>1131</v>
      </c>
      <c r="K1932" s="169" t="s">
        <v>1132</v>
      </c>
      <c r="L1932" s="169" t="s">
        <v>1133</v>
      </c>
      <c r="M1932" s="169" t="s">
        <v>281</v>
      </c>
      <c r="N1932" s="178">
        <v>980000</v>
      </c>
      <c r="O1932" s="169" t="s">
        <v>1134</v>
      </c>
      <c r="P1932" s="169" t="s">
        <v>283</v>
      </c>
      <c r="Q1932" s="169" t="s">
        <v>284</v>
      </c>
      <c r="R1932" s="169" t="s">
        <v>283</v>
      </c>
      <c r="S1932" s="169" t="s">
        <v>283</v>
      </c>
      <c r="T1932" s="169">
        <v>0</v>
      </c>
    </row>
    <row r="1933" spans="1:20" x14ac:dyDescent="0.2">
      <c r="A1933" s="169" t="str">
        <f t="shared" si="8"/>
        <v>627</v>
      </c>
      <c r="B1933" s="167" t="str">
        <f>_xlfn.XLOOKUP(I1933,Mapping!D:D,Mapping!E:E)</f>
        <v>Xưởng Sản Xuất</v>
      </c>
      <c r="C1933" s="167" t="str">
        <f>_xlfn.XLOOKUP(F1933,Mapping!A:A,Mapping!F:F)</f>
        <v>Lương Chính +T13</v>
      </c>
      <c r="D1933" s="173">
        <v>45961</v>
      </c>
      <c r="E1933" s="169" t="s">
        <v>1135</v>
      </c>
      <c r="F1933" s="169" t="s">
        <v>388</v>
      </c>
      <c r="G1933" s="169" t="s">
        <v>286</v>
      </c>
      <c r="H1933" s="169" t="s">
        <v>430</v>
      </c>
      <c r="I1933" s="169" t="s">
        <v>431</v>
      </c>
      <c r="J1933" s="169" t="s">
        <v>1136</v>
      </c>
      <c r="K1933" s="169" t="s">
        <v>1132</v>
      </c>
      <c r="L1933" s="169" t="s">
        <v>1133</v>
      </c>
      <c r="M1933" s="169" t="s">
        <v>281</v>
      </c>
      <c r="N1933" s="178">
        <v>11805449</v>
      </c>
      <c r="O1933" s="169" t="s">
        <v>1137</v>
      </c>
      <c r="P1933" s="169" t="s">
        <v>283</v>
      </c>
      <c r="Q1933" s="169" t="s">
        <v>284</v>
      </c>
      <c r="R1933" s="169" t="s">
        <v>283</v>
      </c>
      <c r="S1933" s="169" t="s">
        <v>283</v>
      </c>
      <c r="T1933" s="169">
        <v>0</v>
      </c>
    </row>
    <row r="1934" spans="1:20" x14ac:dyDescent="0.2">
      <c r="A1934" s="169" t="str">
        <f t="shared" si="8"/>
        <v>622</v>
      </c>
      <c r="B1934" s="167" t="str">
        <f>_xlfn.XLOOKUP(I1934,Mapping!D:D,Mapping!E:E)</f>
        <v>Xưởng Sản Xuất</v>
      </c>
      <c r="C1934" s="167" t="str">
        <f>_xlfn.XLOOKUP(F1934,Mapping!A:A,Mapping!F:F)</f>
        <v>Lương Chính +T13</v>
      </c>
      <c r="D1934" s="173">
        <v>45961</v>
      </c>
      <c r="E1934" s="169" t="s">
        <v>1135</v>
      </c>
      <c r="F1934" s="169" t="s">
        <v>420</v>
      </c>
      <c r="G1934" s="169" t="s">
        <v>286</v>
      </c>
      <c r="H1934" s="169" t="s">
        <v>430</v>
      </c>
      <c r="I1934" s="169" t="s">
        <v>431</v>
      </c>
      <c r="J1934" s="169" t="s">
        <v>1136</v>
      </c>
      <c r="K1934" s="169" t="s">
        <v>1132</v>
      </c>
      <c r="L1934" s="169" t="s">
        <v>1133</v>
      </c>
      <c r="M1934" s="169" t="s">
        <v>281</v>
      </c>
      <c r="N1934" s="178">
        <v>19410224</v>
      </c>
      <c r="O1934" s="169" t="s">
        <v>1137</v>
      </c>
      <c r="P1934" s="169" t="s">
        <v>283</v>
      </c>
      <c r="Q1934" s="169" t="s">
        <v>284</v>
      </c>
      <c r="R1934" s="169" t="s">
        <v>283</v>
      </c>
      <c r="S1934" s="169" t="s">
        <v>283</v>
      </c>
      <c r="T1934" s="169">
        <v>0</v>
      </c>
    </row>
    <row r="1935" spans="1:20" x14ac:dyDescent="0.2">
      <c r="A1935" s="169" t="str">
        <f t="shared" si="8"/>
        <v>627</v>
      </c>
      <c r="B1935" s="167" t="str">
        <f>_xlfn.XLOOKUP(I1935,Mapping!D:D,Mapping!E:E)</f>
        <v>Xưởng Sản Xuất</v>
      </c>
      <c r="C1935" s="167" t="str">
        <f>_xlfn.XLOOKUP(F1935,Mapping!A:A,Mapping!F:F)</f>
        <v>Thưởng</v>
      </c>
      <c r="D1935" s="173">
        <v>45961</v>
      </c>
      <c r="E1935" s="169" t="s">
        <v>1135</v>
      </c>
      <c r="F1935" s="169" t="s">
        <v>395</v>
      </c>
      <c r="G1935" s="169" t="s">
        <v>77</v>
      </c>
      <c r="H1935" s="169" t="s">
        <v>430</v>
      </c>
      <c r="I1935" s="169" t="s">
        <v>431</v>
      </c>
      <c r="J1935" s="169" t="s">
        <v>1138</v>
      </c>
      <c r="K1935" s="169" t="s">
        <v>1132</v>
      </c>
      <c r="L1935" s="169" t="s">
        <v>1133</v>
      </c>
      <c r="M1935" s="169" t="s">
        <v>281</v>
      </c>
      <c r="N1935" s="178">
        <v>10433629</v>
      </c>
      <c r="O1935" s="169" t="s">
        <v>1137</v>
      </c>
      <c r="P1935" s="169" t="s">
        <v>283</v>
      </c>
      <c r="Q1935" s="169" t="s">
        <v>284</v>
      </c>
      <c r="R1935" s="169" t="s">
        <v>283</v>
      </c>
      <c r="S1935" s="169" t="s">
        <v>283</v>
      </c>
      <c r="T1935" s="169">
        <v>0</v>
      </c>
    </row>
    <row r="1936" spans="1:20" x14ac:dyDescent="0.2">
      <c r="A1936" s="169" t="str">
        <f t="shared" si="8"/>
        <v>622</v>
      </c>
      <c r="B1936" s="167" t="str">
        <f>_xlfn.XLOOKUP(I1936,Mapping!D:D,Mapping!E:E)</f>
        <v>Xưởng Sản Xuất</v>
      </c>
      <c r="C1936" s="167" t="str">
        <f>_xlfn.XLOOKUP(F1936,Mapping!A:A,Mapping!F:F)</f>
        <v>Thưởng</v>
      </c>
      <c r="D1936" s="173">
        <v>45961</v>
      </c>
      <c r="E1936" s="169" t="s">
        <v>1135</v>
      </c>
      <c r="F1936" s="169" t="s">
        <v>426</v>
      </c>
      <c r="G1936" s="169" t="s">
        <v>77</v>
      </c>
      <c r="H1936" s="169" t="s">
        <v>430</v>
      </c>
      <c r="I1936" s="169" t="s">
        <v>431</v>
      </c>
      <c r="J1936" s="169" t="s">
        <v>1138</v>
      </c>
      <c r="K1936" s="169" t="s">
        <v>1132</v>
      </c>
      <c r="L1936" s="169" t="s">
        <v>1133</v>
      </c>
      <c r="M1936" s="169" t="s">
        <v>281</v>
      </c>
      <c r="N1936" s="178">
        <v>4969712</v>
      </c>
      <c r="O1936" s="169" t="s">
        <v>1137</v>
      </c>
      <c r="P1936" s="169" t="s">
        <v>283</v>
      </c>
      <c r="Q1936" s="169" t="s">
        <v>284</v>
      </c>
      <c r="R1936" s="169" t="s">
        <v>283</v>
      </c>
      <c r="S1936" s="169" t="s">
        <v>283</v>
      </c>
      <c r="T1936" s="169">
        <v>0</v>
      </c>
    </row>
    <row r="1937" spans="1:20" x14ac:dyDescent="0.2">
      <c r="A1937" s="169" t="str">
        <f t="shared" si="8"/>
        <v>622</v>
      </c>
      <c r="B1937" s="167" t="str">
        <f>_xlfn.XLOOKUP(I1937,Mapping!D:D,Mapping!E:E)</f>
        <v>Xưởng Sản Xuất</v>
      </c>
      <c r="C1937" s="167" t="str">
        <f>_xlfn.XLOOKUP(F1937,Mapping!A:A,Mapping!F:F)</f>
        <v>BHXH, BHYT, KPCĐ</v>
      </c>
      <c r="D1937" s="173">
        <v>45961</v>
      </c>
      <c r="E1937" s="169" t="s">
        <v>1139</v>
      </c>
      <c r="F1937" s="169" t="s">
        <v>425</v>
      </c>
      <c r="G1937" s="169" t="s">
        <v>296</v>
      </c>
      <c r="H1937" s="169" t="s">
        <v>430</v>
      </c>
      <c r="I1937" s="169" t="s">
        <v>431</v>
      </c>
      <c r="J1937" s="169" t="s">
        <v>1140</v>
      </c>
      <c r="K1937" s="169" t="s">
        <v>1132</v>
      </c>
      <c r="L1937" s="169" t="s">
        <v>1133</v>
      </c>
      <c r="M1937" s="169" t="s">
        <v>281</v>
      </c>
      <c r="N1937" s="178">
        <v>52871575</v>
      </c>
      <c r="O1937" s="169" t="s">
        <v>1141</v>
      </c>
      <c r="P1937" s="169" t="s">
        <v>283</v>
      </c>
      <c r="Q1937" s="169" t="s">
        <v>284</v>
      </c>
      <c r="R1937" s="169" t="s">
        <v>283</v>
      </c>
      <c r="S1937" s="169" t="s">
        <v>283</v>
      </c>
      <c r="T1937" s="169">
        <v>0</v>
      </c>
    </row>
    <row r="1938" spans="1:20" x14ac:dyDescent="0.2">
      <c r="A1938" s="169" t="str">
        <f t="shared" si="8"/>
        <v>627</v>
      </c>
      <c r="B1938" s="167" t="str">
        <f>_xlfn.XLOOKUP(I1938,Mapping!D:D,Mapping!E:E)</f>
        <v>Xưởng Sản Xuất</v>
      </c>
      <c r="C1938" s="167" t="str">
        <f>_xlfn.XLOOKUP(F1938,Mapping!A:A,Mapping!F:F)</f>
        <v>BHXH, BHYT, KPCĐ</v>
      </c>
      <c r="D1938" s="173">
        <v>45961</v>
      </c>
      <c r="E1938" s="169" t="s">
        <v>1139</v>
      </c>
      <c r="F1938" s="169" t="s">
        <v>393</v>
      </c>
      <c r="G1938" s="169" t="s">
        <v>296</v>
      </c>
      <c r="H1938" s="169" t="s">
        <v>430</v>
      </c>
      <c r="I1938" s="169" t="s">
        <v>431</v>
      </c>
      <c r="J1938" s="169" t="s">
        <v>1140</v>
      </c>
      <c r="K1938" s="169" t="s">
        <v>1132</v>
      </c>
      <c r="L1938" s="169" t="s">
        <v>1133</v>
      </c>
      <c r="M1938" s="169" t="s">
        <v>281</v>
      </c>
      <c r="N1938" s="178">
        <v>28078995</v>
      </c>
      <c r="O1938" s="169" t="s">
        <v>1141</v>
      </c>
      <c r="P1938" s="169" t="s">
        <v>283</v>
      </c>
      <c r="Q1938" s="169" t="s">
        <v>284</v>
      </c>
      <c r="R1938" s="169" t="s">
        <v>283</v>
      </c>
      <c r="S1938" s="169" t="s">
        <v>283</v>
      </c>
      <c r="T1938" s="169">
        <v>0</v>
      </c>
    </row>
    <row r="1939" spans="1:20" x14ac:dyDescent="0.2">
      <c r="A1939" s="169" t="str">
        <f t="shared" si="8"/>
        <v>622</v>
      </c>
      <c r="B1939" s="167" t="str">
        <f>_xlfn.XLOOKUP(I1939,Mapping!D:D,Mapping!E:E)</f>
        <v>Xưởng Sản Xuất</v>
      </c>
      <c r="C1939" s="167" t="str">
        <f>_xlfn.XLOOKUP(F1939,Mapping!A:A,Mapping!F:F)</f>
        <v>Lương Chính +T13</v>
      </c>
      <c r="D1939" s="173">
        <v>45958</v>
      </c>
      <c r="E1939" s="169" t="s">
        <v>1199</v>
      </c>
      <c r="F1939" s="169" t="s">
        <v>400</v>
      </c>
      <c r="G1939" s="169" t="s">
        <v>401</v>
      </c>
      <c r="H1939" s="169" t="s">
        <v>430</v>
      </c>
      <c r="I1939" s="169" t="s">
        <v>431</v>
      </c>
      <c r="J1939" s="169" t="s">
        <v>1200</v>
      </c>
      <c r="K1939" s="169" t="s">
        <v>405</v>
      </c>
      <c r="L1939" s="169" t="s">
        <v>1133</v>
      </c>
      <c r="M1939" s="169" t="s">
        <v>281</v>
      </c>
      <c r="N1939" s="178">
        <v>7203333</v>
      </c>
      <c r="O1939" s="169" t="s">
        <v>1201</v>
      </c>
      <c r="P1939" s="169" t="s">
        <v>283</v>
      </c>
      <c r="Q1939" s="169" t="s">
        <v>306</v>
      </c>
      <c r="R1939" s="169" t="s">
        <v>283</v>
      </c>
      <c r="S1939" s="169" t="s">
        <v>283</v>
      </c>
      <c r="T1939" s="169">
        <v>0</v>
      </c>
    </row>
    <row r="1940" spans="1:20" x14ac:dyDescent="0.2">
      <c r="A1940" s="169" t="str">
        <f t="shared" si="8"/>
        <v>627</v>
      </c>
      <c r="B1940" s="167" t="str">
        <f>_xlfn.XLOOKUP(I1940,Mapping!D:D,Mapping!E:E)</f>
        <v>Xưởng Sản Xuất</v>
      </c>
      <c r="C1940" s="167" t="str">
        <f>_xlfn.XLOOKUP(F1940,Mapping!A:A,Mapping!F:F)</f>
        <v>Phụ Cấp</v>
      </c>
      <c r="D1940" s="173">
        <v>45958</v>
      </c>
      <c r="E1940" s="169" t="s">
        <v>1142</v>
      </c>
      <c r="F1940" s="169" t="s">
        <v>375</v>
      </c>
      <c r="G1940" s="169" t="s">
        <v>336</v>
      </c>
      <c r="H1940" s="169" t="s">
        <v>430</v>
      </c>
      <c r="I1940" s="169" t="s">
        <v>431</v>
      </c>
      <c r="J1940" s="169" t="s">
        <v>1143</v>
      </c>
      <c r="K1940" s="169" t="s">
        <v>992</v>
      </c>
      <c r="L1940" s="169" t="s">
        <v>1133</v>
      </c>
      <c r="M1940" s="169" t="s">
        <v>281</v>
      </c>
      <c r="N1940" s="178">
        <v>27200000</v>
      </c>
      <c r="O1940" s="169" t="s">
        <v>1144</v>
      </c>
      <c r="P1940" s="169" t="s">
        <v>283</v>
      </c>
      <c r="Q1940" s="169" t="s">
        <v>306</v>
      </c>
      <c r="R1940" s="169" t="s">
        <v>283</v>
      </c>
      <c r="S1940" s="169" t="s">
        <v>283</v>
      </c>
      <c r="T1940" s="169">
        <v>0</v>
      </c>
    </row>
    <row r="1941" spans="1:20" x14ac:dyDescent="0.2">
      <c r="A1941" s="169" t="str">
        <f t="shared" si="8"/>
        <v>622</v>
      </c>
      <c r="B1941" s="167" t="str">
        <f>_xlfn.XLOOKUP(I1941,Mapping!D:D,Mapping!E:E)</f>
        <v>Xưởng Sản Xuất</v>
      </c>
      <c r="C1941" s="167" t="str">
        <f>_xlfn.XLOOKUP(F1941,Mapping!A:A,Mapping!F:F)</f>
        <v>Phụ Cấp</v>
      </c>
      <c r="D1941" s="173">
        <v>45961</v>
      </c>
      <c r="E1941" s="169" t="s">
        <v>1151</v>
      </c>
      <c r="F1941" s="169" t="s">
        <v>414</v>
      </c>
      <c r="G1941" s="169" t="s">
        <v>415</v>
      </c>
      <c r="H1941" s="169" t="s">
        <v>430</v>
      </c>
      <c r="I1941" s="169" t="s">
        <v>431</v>
      </c>
      <c r="J1941" s="169" t="s">
        <v>1206</v>
      </c>
      <c r="K1941" s="169" t="s">
        <v>1153</v>
      </c>
      <c r="L1941" s="169" t="s">
        <v>1133</v>
      </c>
      <c r="M1941" s="169" t="s">
        <v>281</v>
      </c>
      <c r="N1941" s="178">
        <v>5200000</v>
      </c>
      <c r="O1941" s="169" t="s">
        <v>1154</v>
      </c>
      <c r="P1941" s="169" t="s">
        <v>283</v>
      </c>
      <c r="Q1941" s="169" t="s">
        <v>306</v>
      </c>
      <c r="R1941" s="169" t="s">
        <v>283</v>
      </c>
      <c r="S1941" s="169" t="s">
        <v>283</v>
      </c>
      <c r="T1941" s="169">
        <v>0</v>
      </c>
    </row>
    <row r="1942" spans="1:20" x14ac:dyDescent="0.2">
      <c r="A1942" s="169" t="str">
        <f t="shared" si="8"/>
        <v>622</v>
      </c>
      <c r="B1942" s="167" t="str">
        <f>_xlfn.XLOOKUP(I1942,Mapping!D:D,Mapping!E:E)</f>
        <v>Xưởng Sản Xuất</v>
      </c>
      <c r="C1942" s="167" t="str">
        <f>_xlfn.XLOOKUP(F1942,Mapping!A:A,Mapping!F:F)</f>
        <v>Phụ Cấp</v>
      </c>
      <c r="D1942" s="173">
        <v>45960</v>
      </c>
      <c r="E1942" s="169" t="s">
        <v>1204</v>
      </c>
      <c r="F1942" s="169" t="s">
        <v>414</v>
      </c>
      <c r="G1942" s="169" t="s">
        <v>415</v>
      </c>
      <c r="H1942" s="169" t="s">
        <v>430</v>
      </c>
      <c r="I1942" s="169" t="s">
        <v>431</v>
      </c>
      <c r="J1942" s="169" t="s">
        <v>416</v>
      </c>
      <c r="K1942" s="169" t="s">
        <v>416</v>
      </c>
      <c r="L1942" s="169" t="s">
        <v>1133</v>
      </c>
      <c r="M1942" s="169" t="s">
        <v>281</v>
      </c>
      <c r="N1942" s="178">
        <v>20100000</v>
      </c>
      <c r="O1942" s="169" t="s">
        <v>1205</v>
      </c>
      <c r="P1942" s="169" t="s">
        <v>283</v>
      </c>
      <c r="Q1942" s="169" t="s">
        <v>348</v>
      </c>
      <c r="R1942" s="169" t="s">
        <v>283</v>
      </c>
      <c r="S1942" s="169" t="s">
        <v>283</v>
      </c>
      <c r="T1942" s="169">
        <v>0</v>
      </c>
    </row>
    <row r="1943" spans="1:20" x14ac:dyDescent="0.2">
      <c r="A1943" s="169" t="str">
        <f t="shared" si="8"/>
        <v>627</v>
      </c>
      <c r="B1943" s="167" t="str">
        <f>_xlfn.XLOOKUP(I1943,Mapping!D:D,Mapping!E:E)</f>
        <v>Xưởng Sản Xuất</v>
      </c>
      <c r="C1943" s="167" t="str">
        <f>_xlfn.XLOOKUP(F1943,Mapping!A:A,Mapping!F:F)</f>
        <v>Phụ Cấp</v>
      </c>
      <c r="D1943" s="173">
        <v>45960</v>
      </c>
      <c r="E1943" s="169" t="s">
        <v>1204</v>
      </c>
      <c r="F1943" s="169" t="s">
        <v>375</v>
      </c>
      <c r="G1943" s="169" t="s">
        <v>336</v>
      </c>
      <c r="H1943" s="169" t="s">
        <v>430</v>
      </c>
      <c r="I1943" s="169" t="s">
        <v>431</v>
      </c>
      <c r="J1943" s="169" t="s">
        <v>416</v>
      </c>
      <c r="K1943" s="169" t="s">
        <v>416</v>
      </c>
      <c r="L1943" s="169" t="s">
        <v>1133</v>
      </c>
      <c r="M1943" s="169" t="s">
        <v>281</v>
      </c>
      <c r="N1943" s="178">
        <v>-20100000</v>
      </c>
      <c r="O1943" s="169" t="s">
        <v>1205</v>
      </c>
      <c r="P1943" s="169" t="s">
        <v>283</v>
      </c>
      <c r="Q1943" s="169" t="s">
        <v>348</v>
      </c>
      <c r="R1943" s="169" t="s">
        <v>283</v>
      </c>
      <c r="S1943" s="169" t="s">
        <v>283</v>
      </c>
      <c r="T1943" s="169">
        <v>0</v>
      </c>
    </row>
    <row r="1944" spans="1:20" x14ac:dyDescent="0.2">
      <c r="A1944" s="169" t="str">
        <f t="shared" si="8"/>
        <v>627</v>
      </c>
      <c r="B1944" s="167" t="str">
        <f>_xlfn.XLOOKUP(I1944,Mapping!D:D,Mapping!E:E)</f>
        <v>Xưởng Sản Xuất</v>
      </c>
      <c r="C1944" s="167" t="str">
        <f>_xlfn.XLOOKUP(F1944,Mapping!A:A,Mapping!F:F)</f>
        <v>Khen thưởng BD khác</v>
      </c>
      <c r="D1944" s="173">
        <v>45954</v>
      </c>
      <c r="E1944" s="169" t="s">
        <v>1207</v>
      </c>
      <c r="F1944" s="169" t="s">
        <v>435</v>
      </c>
      <c r="G1944" s="169" t="s">
        <v>222</v>
      </c>
      <c r="H1944" s="169" t="s">
        <v>436</v>
      </c>
      <c r="I1944" s="169" t="s">
        <v>437</v>
      </c>
      <c r="J1944" s="169" t="s">
        <v>1208</v>
      </c>
      <c r="K1944" s="169" t="s">
        <v>1052</v>
      </c>
      <c r="L1944" s="169" t="s">
        <v>1133</v>
      </c>
      <c r="M1944" s="169" t="s">
        <v>281</v>
      </c>
      <c r="N1944" s="178">
        <v>4900000</v>
      </c>
      <c r="O1944" s="169" t="s">
        <v>1209</v>
      </c>
      <c r="P1944" s="169" t="s">
        <v>283</v>
      </c>
      <c r="Q1944" s="169" t="s">
        <v>964</v>
      </c>
      <c r="R1944" s="169" t="s">
        <v>283</v>
      </c>
      <c r="S1944" s="169" t="s">
        <v>283</v>
      </c>
      <c r="T1944" s="169">
        <v>0</v>
      </c>
    </row>
    <row r="1945" spans="1:20" x14ac:dyDescent="0.2">
      <c r="A1945" s="169" t="str">
        <f t="shared" si="8"/>
        <v>627</v>
      </c>
      <c r="B1945" s="167" t="str">
        <f>_xlfn.XLOOKUP(I1945,Mapping!D:D,Mapping!E:E)</f>
        <v>Xưởng Sản Xuất</v>
      </c>
      <c r="C1945" s="167" t="str">
        <f>_xlfn.XLOOKUP(F1945,Mapping!A:A,Mapping!F:F)</f>
        <v>Phụ Cấp</v>
      </c>
      <c r="D1945" s="173">
        <v>45961</v>
      </c>
      <c r="E1945" s="169" t="s">
        <v>1130</v>
      </c>
      <c r="F1945" s="169" t="s">
        <v>386</v>
      </c>
      <c r="G1945" s="169" t="s">
        <v>341</v>
      </c>
      <c r="H1945" s="169" t="s">
        <v>436</v>
      </c>
      <c r="I1945" s="169" t="s">
        <v>437</v>
      </c>
      <c r="J1945" s="169" t="s">
        <v>1131</v>
      </c>
      <c r="K1945" s="169" t="s">
        <v>1132</v>
      </c>
      <c r="L1945" s="169" t="s">
        <v>1133</v>
      </c>
      <c r="M1945" s="169" t="s">
        <v>281</v>
      </c>
      <c r="N1945" s="178">
        <v>7905173</v>
      </c>
      <c r="O1945" s="169" t="s">
        <v>1134</v>
      </c>
      <c r="P1945" s="169" t="s">
        <v>283</v>
      </c>
      <c r="Q1945" s="169" t="s">
        <v>284</v>
      </c>
      <c r="R1945" s="169" t="s">
        <v>283</v>
      </c>
      <c r="S1945" s="169" t="s">
        <v>283</v>
      </c>
      <c r="T1945" s="169">
        <v>0</v>
      </c>
    </row>
    <row r="1946" spans="1:20" x14ac:dyDescent="0.2">
      <c r="A1946" s="169" t="str">
        <f t="shared" si="8"/>
        <v>627</v>
      </c>
      <c r="B1946" s="167" t="str">
        <f>_xlfn.XLOOKUP(I1946,Mapping!D:D,Mapping!E:E)</f>
        <v>Xưởng Sản Xuất</v>
      </c>
      <c r="C1946" s="167" t="str">
        <f>_xlfn.XLOOKUP(F1946,Mapping!A:A,Mapping!F:F)</f>
        <v>Lương Chính +T13</v>
      </c>
      <c r="D1946" s="173">
        <v>45961</v>
      </c>
      <c r="E1946" s="169" t="s">
        <v>1130</v>
      </c>
      <c r="F1946" s="169" t="s">
        <v>387</v>
      </c>
      <c r="G1946" s="169" t="s">
        <v>275</v>
      </c>
      <c r="H1946" s="169" t="s">
        <v>436</v>
      </c>
      <c r="I1946" s="169" t="s">
        <v>437</v>
      </c>
      <c r="J1946" s="169" t="s">
        <v>1131</v>
      </c>
      <c r="K1946" s="169" t="s">
        <v>1132</v>
      </c>
      <c r="L1946" s="169" t="s">
        <v>1133</v>
      </c>
      <c r="M1946" s="169" t="s">
        <v>281</v>
      </c>
      <c r="N1946" s="178">
        <v>413151995</v>
      </c>
      <c r="O1946" s="169" t="s">
        <v>1134</v>
      </c>
      <c r="P1946" s="169" t="s">
        <v>283</v>
      </c>
      <c r="Q1946" s="169" t="s">
        <v>284</v>
      </c>
      <c r="R1946" s="169" t="s">
        <v>283</v>
      </c>
      <c r="S1946" s="169" t="s">
        <v>283</v>
      </c>
      <c r="T1946" s="169">
        <v>0</v>
      </c>
    </row>
    <row r="1947" spans="1:20" x14ac:dyDescent="0.2">
      <c r="A1947" s="169" t="str">
        <f t="shared" si="8"/>
        <v>627</v>
      </c>
      <c r="B1947" s="167" t="str">
        <f>_xlfn.XLOOKUP(I1947,Mapping!D:D,Mapping!E:E)</f>
        <v>Xưởng Sản Xuất</v>
      </c>
      <c r="C1947" s="167" t="str">
        <f>_xlfn.XLOOKUP(F1947,Mapping!A:A,Mapping!F:F)</f>
        <v>Lương Chính +T13</v>
      </c>
      <c r="D1947" s="173">
        <v>45961</v>
      </c>
      <c r="E1947" s="169" t="s">
        <v>1130</v>
      </c>
      <c r="F1947" s="169" t="s">
        <v>388</v>
      </c>
      <c r="G1947" s="169" t="s">
        <v>286</v>
      </c>
      <c r="H1947" s="169" t="s">
        <v>436</v>
      </c>
      <c r="I1947" s="169" t="s">
        <v>437</v>
      </c>
      <c r="J1947" s="169" t="s">
        <v>1131</v>
      </c>
      <c r="K1947" s="169" t="s">
        <v>1132</v>
      </c>
      <c r="L1947" s="169" t="s">
        <v>1133</v>
      </c>
      <c r="M1947" s="169" t="s">
        <v>281</v>
      </c>
      <c r="N1947" s="178">
        <v>10419406</v>
      </c>
      <c r="O1947" s="169" t="s">
        <v>1134</v>
      </c>
      <c r="P1947" s="169" t="s">
        <v>283</v>
      </c>
      <c r="Q1947" s="169" t="s">
        <v>284</v>
      </c>
      <c r="R1947" s="169" t="s">
        <v>283</v>
      </c>
      <c r="S1947" s="169" t="s">
        <v>283</v>
      </c>
      <c r="T1947" s="169">
        <v>0</v>
      </c>
    </row>
    <row r="1948" spans="1:20" x14ac:dyDescent="0.2">
      <c r="A1948" s="169" t="str">
        <f t="shared" si="8"/>
        <v>627</v>
      </c>
      <c r="B1948" s="167" t="str">
        <f>_xlfn.XLOOKUP(I1948,Mapping!D:D,Mapping!E:E)</f>
        <v>Xưởng Sản Xuất</v>
      </c>
      <c r="C1948" s="167" t="str">
        <f>_xlfn.XLOOKUP(F1948,Mapping!A:A,Mapping!F:F)</f>
        <v>Lương Ngoài giờ</v>
      </c>
      <c r="D1948" s="173">
        <v>45961</v>
      </c>
      <c r="E1948" s="169" t="s">
        <v>1130</v>
      </c>
      <c r="F1948" s="169" t="s">
        <v>389</v>
      </c>
      <c r="G1948" s="169" t="s">
        <v>390</v>
      </c>
      <c r="H1948" s="169" t="s">
        <v>436</v>
      </c>
      <c r="I1948" s="169" t="s">
        <v>437</v>
      </c>
      <c r="J1948" s="169" t="s">
        <v>1131</v>
      </c>
      <c r="K1948" s="169" t="s">
        <v>1132</v>
      </c>
      <c r="L1948" s="169" t="s">
        <v>1133</v>
      </c>
      <c r="M1948" s="169" t="s">
        <v>281</v>
      </c>
      <c r="N1948" s="178">
        <v>45231254</v>
      </c>
      <c r="O1948" s="169" t="s">
        <v>1134</v>
      </c>
      <c r="P1948" s="169" t="s">
        <v>283</v>
      </c>
      <c r="Q1948" s="169" t="s">
        <v>284</v>
      </c>
      <c r="R1948" s="169" t="s">
        <v>283</v>
      </c>
      <c r="S1948" s="169" t="s">
        <v>283</v>
      </c>
      <c r="T1948" s="169">
        <v>0</v>
      </c>
    </row>
    <row r="1949" spans="1:20" x14ac:dyDescent="0.2">
      <c r="A1949" s="169" t="str">
        <f t="shared" si="8"/>
        <v>627</v>
      </c>
      <c r="B1949" s="167" t="str">
        <f>_xlfn.XLOOKUP(I1949,Mapping!D:D,Mapping!E:E)</f>
        <v>Xưởng Sản Xuất</v>
      </c>
      <c r="C1949" s="167" t="str">
        <f>_xlfn.XLOOKUP(F1949,Mapping!A:A,Mapping!F:F)</f>
        <v>Phụ Cấp</v>
      </c>
      <c r="D1949" s="173">
        <v>45961</v>
      </c>
      <c r="E1949" s="169" t="s">
        <v>1130</v>
      </c>
      <c r="F1949" s="169" t="s">
        <v>375</v>
      </c>
      <c r="G1949" s="169" t="s">
        <v>336</v>
      </c>
      <c r="H1949" s="169" t="s">
        <v>436</v>
      </c>
      <c r="I1949" s="169" t="s">
        <v>437</v>
      </c>
      <c r="J1949" s="169" t="s">
        <v>1131</v>
      </c>
      <c r="K1949" s="169" t="s">
        <v>1132</v>
      </c>
      <c r="L1949" s="169" t="s">
        <v>1133</v>
      </c>
      <c r="M1949" s="169" t="s">
        <v>281</v>
      </c>
      <c r="N1949" s="178">
        <v>3195000</v>
      </c>
      <c r="O1949" s="169" t="s">
        <v>1134</v>
      </c>
      <c r="P1949" s="169" t="s">
        <v>283</v>
      </c>
      <c r="Q1949" s="169" t="s">
        <v>284</v>
      </c>
      <c r="R1949" s="169" t="s">
        <v>283</v>
      </c>
      <c r="S1949" s="169" t="s">
        <v>283</v>
      </c>
      <c r="T1949" s="169">
        <v>0</v>
      </c>
    </row>
    <row r="1950" spans="1:20" x14ac:dyDescent="0.2">
      <c r="A1950" s="169" t="str">
        <f t="shared" si="8"/>
        <v>642</v>
      </c>
      <c r="B1950" s="167" t="str">
        <f>_xlfn.XLOOKUP(I1950,Mapping!D:D,Mapping!E:E)</f>
        <v>Tư vấn dịch vụ</v>
      </c>
      <c r="C1950" s="167" t="str">
        <f>_xlfn.XLOOKUP(F1950,Mapping!A:A,Mapping!F:F)</f>
        <v>Lương Chính +T13</v>
      </c>
      <c r="D1950" s="173">
        <v>45961</v>
      </c>
      <c r="E1950" s="169" t="s">
        <v>1130</v>
      </c>
      <c r="F1950" s="169" t="s">
        <v>274</v>
      </c>
      <c r="G1950" s="169" t="s">
        <v>275</v>
      </c>
      <c r="H1950" s="169" t="s">
        <v>443</v>
      </c>
      <c r="I1950" s="169" t="s">
        <v>444</v>
      </c>
      <c r="J1950" s="169" t="s">
        <v>1131</v>
      </c>
      <c r="K1950" s="169" t="s">
        <v>1132</v>
      </c>
      <c r="L1950" s="169" t="s">
        <v>1133</v>
      </c>
      <c r="M1950" s="169" t="s">
        <v>281</v>
      </c>
      <c r="N1950" s="178">
        <v>70504808</v>
      </c>
      <c r="O1950" s="169" t="s">
        <v>1134</v>
      </c>
      <c r="P1950" s="169" t="s">
        <v>283</v>
      </c>
      <c r="Q1950" s="169" t="s">
        <v>284</v>
      </c>
      <c r="R1950" s="169" t="s">
        <v>283</v>
      </c>
      <c r="S1950" s="169" t="s">
        <v>283</v>
      </c>
      <c r="T1950" s="169">
        <v>0</v>
      </c>
    </row>
    <row r="1951" spans="1:20" x14ac:dyDescent="0.2">
      <c r="A1951" s="169" t="str">
        <f t="shared" si="8"/>
        <v>622</v>
      </c>
      <c r="B1951" s="167" t="str">
        <f>_xlfn.XLOOKUP(I1951,Mapping!D:D,Mapping!E:E)</f>
        <v>Xưởng Sản Xuất</v>
      </c>
      <c r="C1951" s="167" t="str">
        <f>_xlfn.XLOOKUP(F1951,Mapping!A:A,Mapping!F:F)</f>
        <v>Lương Chính +T13</v>
      </c>
      <c r="D1951" s="173">
        <v>45961</v>
      </c>
      <c r="E1951" s="169" t="s">
        <v>1130</v>
      </c>
      <c r="F1951" s="169" t="s">
        <v>400</v>
      </c>
      <c r="G1951" s="169" t="s">
        <v>401</v>
      </c>
      <c r="H1951" s="169" t="s">
        <v>441</v>
      </c>
      <c r="I1951" s="169" t="s">
        <v>442</v>
      </c>
      <c r="J1951" s="169" t="s">
        <v>1131</v>
      </c>
      <c r="K1951" s="169" t="s">
        <v>1132</v>
      </c>
      <c r="L1951" s="169" t="s">
        <v>1133</v>
      </c>
      <c r="M1951" s="169" t="s">
        <v>281</v>
      </c>
      <c r="N1951" s="178">
        <v>8267865</v>
      </c>
      <c r="O1951" s="169" t="s">
        <v>1134</v>
      </c>
      <c r="P1951" s="169" t="s">
        <v>283</v>
      </c>
      <c r="Q1951" s="169" t="s">
        <v>284</v>
      </c>
      <c r="R1951" s="169" t="s">
        <v>283</v>
      </c>
      <c r="S1951" s="169" t="s">
        <v>283</v>
      </c>
      <c r="T1951" s="169">
        <v>0</v>
      </c>
    </row>
    <row r="1952" spans="1:20" x14ac:dyDescent="0.2">
      <c r="A1952" s="169" t="str">
        <f t="shared" si="8"/>
        <v>622</v>
      </c>
      <c r="B1952" s="167" t="str">
        <f>_xlfn.XLOOKUP(I1952,Mapping!D:D,Mapping!E:E)</f>
        <v>Xưởng Sản Xuất</v>
      </c>
      <c r="C1952" s="167" t="str">
        <f>_xlfn.XLOOKUP(F1952,Mapping!A:A,Mapping!F:F)</f>
        <v>Phụ Cấp</v>
      </c>
      <c r="D1952" s="173">
        <v>45961</v>
      </c>
      <c r="E1952" s="169" t="s">
        <v>1130</v>
      </c>
      <c r="F1952" s="169" t="s">
        <v>421</v>
      </c>
      <c r="G1952" s="169" t="s">
        <v>341</v>
      </c>
      <c r="H1952" s="169" t="s">
        <v>441</v>
      </c>
      <c r="I1952" s="169" t="s">
        <v>442</v>
      </c>
      <c r="J1952" s="169" t="s">
        <v>1131</v>
      </c>
      <c r="K1952" s="169" t="s">
        <v>1132</v>
      </c>
      <c r="L1952" s="169" t="s">
        <v>1133</v>
      </c>
      <c r="M1952" s="169" t="s">
        <v>281</v>
      </c>
      <c r="N1952" s="178">
        <v>787015</v>
      </c>
      <c r="O1952" s="169" t="s">
        <v>1134</v>
      </c>
      <c r="P1952" s="169" t="s">
        <v>283</v>
      </c>
      <c r="Q1952" s="169" t="s">
        <v>284</v>
      </c>
      <c r="R1952" s="169" t="s">
        <v>283</v>
      </c>
      <c r="S1952" s="169" t="s">
        <v>283</v>
      </c>
      <c r="T1952" s="169">
        <v>0</v>
      </c>
    </row>
    <row r="1953" spans="1:20" x14ac:dyDescent="0.2">
      <c r="A1953" s="169" t="str">
        <f t="shared" si="8"/>
        <v>622</v>
      </c>
      <c r="B1953" s="167" t="str">
        <f>_xlfn.XLOOKUP(I1953,Mapping!D:D,Mapping!E:E)</f>
        <v>Xưởng Sản Xuất</v>
      </c>
      <c r="C1953" s="167" t="str">
        <f>_xlfn.XLOOKUP(F1953,Mapping!A:A,Mapping!F:F)</f>
        <v>Lương Ngoài giờ</v>
      </c>
      <c r="D1953" s="173">
        <v>45961</v>
      </c>
      <c r="E1953" s="169" t="s">
        <v>1130</v>
      </c>
      <c r="F1953" s="169" t="s">
        <v>422</v>
      </c>
      <c r="G1953" s="169" t="s">
        <v>423</v>
      </c>
      <c r="H1953" s="169" t="s">
        <v>441</v>
      </c>
      <c r="I1953" s="169" t="s">
        <v>442</v>
      </c>
      <c r="J1953" s="169" t="s">
        <v>1131</v>
      </c>
      <c r="K1953" s="169" t="s">
        <v>1132</v>
      </c>
      <c r="L1953" s="169" t="s">
        <v>1133</v>
      </c>
      <c r="M1953" s="169" t="s">
        <v>281</v>
      </c>
      <c r="N1953" s="178">
        <v>1288436</v>
      </c>
      <c r="O1953" s="169" t="s">
        <v>1134</v>
      </c>
      <c r="P1953" s="169" t="s">
        <v>283</v>
      </c>
      <c r="Q1953" s="169" t="s">
        <v>284</v>
      </c>
      <c r="R1953" s="169" t="s">
        <v>283</v>
      </c>
      <c r="S1953" s="169" t="s">
        <v>283</v>
      </c>
      <c r="T1953" s="169">
        <v>0</v>
      </c>
    </row>
    <row r="1954" spans="1:20" x14ac:dyDescent="0.2">
      <c r="A1954" s="169" t="str">
        <f t="shared" si="8"/>
        <v>622</v>
      </c>
      <c r="B1954" s="167" t="str">
        <f>_xlfn.XLOOKUP(I1954,Mapping!D:D,Mapping!E:E)</f>
        <v>Xưởng Sản Xuất</v>
      </c>
      <c r="C1954" s="167" t="str">
        <f>_xlfn.XLOOKUP(F1954,Mapping!A:A,Mapping!F:F)</f>
        <v>Phụ Cấp</v>
      </c>
      <c r="D1954" s="173">
        <v>45961</v>
      </c>
      <c r="E1954" s="169" t="s">
        <v>1130</v>
      </c>
      <c r="F1954" s="169" t="s">
        <v>414</v>
      </c>
      <c r="G1954" s="169" t="s">
        <v>415</v>
      </c>
      <c r="H1954" s="169" t="s">
        <v>441</v>
      </c>
      <c r="I1954" s="169" t="s">
        <v>442</v>
      </c>
      <c r="J1954" s="169" t="s">
        <v>1131</v>
      </c>
      <c r="K1954" s="169" t="s">
        <v>1132</v>
      </c>
      <c r="L1954" s="169" t="s">
        <v>1133</v>
      </c>
      <c r="M1954" s="169" t="s">
        <v>281</v>
      </c>
      <c r="N1954" s="178">
        <v>120000</v>
      </c>
      <c r="O1954" s="169" t="s">
        <v>1134</v>
      </c>
      <c r="P1954" s="169" t="s">
        <v>283</v>
      </c>
      <c r="Q1954" s="169" t="s">
        <v>284</v>
      </c>
      <c r="R1954" s="169" t="s">
        <v>283</v>
      </c>
      <c r="S1954" s="169" t="s">
        <v>283</v>
      </c>
      <c r="T1954" s="169">
        <v>0</v>
      </c>
    </row>
    <row r="1955" spans="1:20" x14ac:dyDescent="0.2">
      <c r="A1955" s="169" t="str">
        <f t="shared" si="8"/>
        <v>627</v>
      </c>
      <c r="B1955" s="167" t="str">
        <f>_xlfn.XLOOKUP(I1955,Mapping!D:D,Mapping!E:E)</f>
        <v>Xưởng Sản Xuất</v>
      </c>
      <c r="C1955" s="167" t="str">
        <f>_xlfn.XLOOKUP(F1955,Mapping!A:A,Mapping!F:F)</f>
        <v>Lương Chính +T13</v>
      </c>
      <c r="D1955" s="173">
        <v>45961</v>
      </c>
      <c r="E1955" s="169" t="s">
        <v>1135</v>
      </c>
      <c r="F1955" s="169" t="s">
        <v>388</v>
      </c>
      <c r="G1955" s="169" t="s">
        <v>286</v>
      </c>
      <c r="H1955" s="169" t="s">
        <v>436</v>
      </c>
      <c r="I1955" s="169" t="s">
        <v>437</v>
      </c>
      <c r="J1955" s="169" t="s">
        <v>1136</v>
      </c>
      <c r="K1955" s="169" t="s">
        <v>1132</v>
      </c>
      <c r="L1955" s="169" t="s">
        <v>1133</v>
      </c>
      <c r="M1955" s="169" t="s">
        <v>281</v>
      </c>
      <c r="N1955" s="178">
        <v>26903881</v>
      </c>
      <c r="O1955" s="169" t="s">
        <v>1137</v>
      </c>
      <c r="P1955" s="169" t="s">
        <v>283</v>
      </c>
      <c r="Q1955" s="169" t="s">
        <v>284</v>
      </c>
      <c r="R1955" s="169" t="s">
        <v>283</v>
      </c>
      <c r="S1955" s="169" t="s">
        <v>283</v>
      </c>
      <c r="T1955" s="169">
        <v>0</v>
      </c>
    </row>
    <row r="1956" spans="1:20" x14ac:dyDescent="0.2">
      <c r="A1956" s="169" t="str">
        <f t="shared" si="8"/>
        <v>627</v>
      </c>
      <c r="B1956" s="167" t="str">
        <f>_xlfn.XLOOKUP(I1956,Mapping!D:D,Mapping!E:E)</f>
        <v>Xưởng Sản Xuất</v>
      </c>
      <c r="C1956" s="167" t="str">
        <f>_xlfn.XLOOKUP(F1956,Mapping!A:A,Mapping!F:F)</f>
        <v>Thưởng</v>
      </c>
      <c r="D1956" s="173">
        <v>45961</v>
      </c>
      <c r="E1956" s="169" t="s">
        <v>1135</v>
      </c>
      <c r="F1956" s="169" t="s">
        <v>395</v>
      </c>
      <c r="G1956" s="169" t="s">
        <v>77</v>
      </c>
      <c r="H1956" s="169" t="s">
        <v>436</v>
      </c>
      <c r="I1956" s="169" t="s">
        <v>437</v>
      </c>
      <c r="J1956" s="169" t="s">
        <v>1138</v>
      </c>
      <c r="K1956" s="169" t="s">
        <v>1132</v>
      </c>
      <c r="L1956" s="169" t="s">
        <v>1133</v>
      </c>
      <c r="M1956" s="169" t="s">
        <v>281</v>
      </c>
      <c r="N1956" s="178">
        <v>17988833</v>
      </c>
      <c r="O1956" s="169" t="s">
        <v>1137</v>
      </c>
      <c r="P1956" s="169" t="s">
        <v>283</v>
      </c>
      <c r="Q1956" s="169" t="s">
        <v>284</v>
      </c>
      <c r="R1956" s="169" t="s">
        <v>283</v>
      </c>
      <c r="S1956" s="169" t="s">
        <v>283</v>
      </c>
      <c r="T1956" s="169">
        <v>0</v>
      </c>
    </row>
    <row r="1957" spans="1:20" x14ac:dyDescent="0.2">
      <c r="A1957" s="169" t="str">
        <f t="shared" si="8"/>
        <v>622</v>
      </c>
      <c r="B1957" s="167" t="str">
        <f>_xlfn.XLOOKUP(I1957,Mapping!D:D,Mapping!E:E)</f>
        <v>Xưởng Sản Xuất</v>
      </c>
      <c r="C1957" s="167" t="str">
        <f>_xlfn.XLOOKUP(F1957,Mapping!A:A,Mapping!F:F)</f>
        <v>Lương Chính +T13</v>
      </c>
      <c r="D1957" s="173">
        <v>45961</v>
      </c>
      <c r="E1957" s="169" t="s">
        <v>1135</v>
      </c>
      <c r="F1957" s="169" t="s">
        <v>420</v>
      </c>
      <c r="G1957" s="169" t="s">
        <v>286</v>
      </c>
      <c r="H1957" s="169" t="s">
        <v>441</v>
      </c>
      <c r="I1957" s="169" t="s">
        <v>442</v>
      </c>
      <c r="J1957" s="169" t="s">
        <v>1136</v>
      </c>
      <c r="K1957" s="169" t="s">
        <v>1132</v>
      </c>
      <c r="L1957" s="169" t="s">
        <v>1133</v>
      </c>
      <c r="M1957" s="169" t="s">
        <v>281</v>
      </c>
      <c r="N1957" s="178">
        <v>531385</v>
      </c>
      <c r="O1957" s="169" t="s">
        <v>1137</v>
      </c>
      <c r="P1957" s="169" t="s">
        <v>283</v>
      </c>
      <c r="Q1957" s="169" t="s">
        <v>284</v>
      </c>
      <c r="R1957" s="169" t="s">
        <v>283</v>
      </c>
      <c r="S1957" s="169" t="s">
        <v>283</v>
      </c>
      <c r="T1957" s="169">
        <v>0</v>
      </c>
    </row>
    <row r="1958" spans="1:20" x14ac:dyDescent="0.2">
      <c r="A1958" s="169" t="str">
        <f t="shared" si="8"/>
        <v>622</v>
      </c>
      <c r="B1958" s="167" t="str">
        <f>_xlfn.XLOOKUP(I1958,Mapping!D:D,Mapping!E:E)</f>
        <v>Xưởng Sản Xuất</v>
      </c>
      <c r="C1958" s="167" t="str">
        <f>_xlfn.XLOOKUP(F1958,Mapping!A:A,Mapping!F:F)</f>
        <v>Thưởng</v>
      </c>
      <c r="D1958" s="173">
        <v>45961</v>
      </c>
      <c r="E1958" s="169" t="s">
        <v>1135</v>
      </c>
      <c r="F1958" s="169" t="s">
        <v>426</v>
      </c>
      <c r="G1958" s="169" t="s">
        <v>77</v>
      </c>
      <c r="H1958" s="169" t="s">
        <v>441</v>
      </c>
      <c r="I1958" s="169" t="s">
        <v>442</v>
      </c>
      <c r="J1958" s="169" t="s">
        <v>1138</v>
      </c>
      <c r="K1958" s="169" t="s">
        <v>1132</v>
      </c>
      <c r="L1958" s="169" t="s">
        <v>1133</v>
      </c>
      <c r="M1958" s="169" t="s">
        <v>281</v>
      </c>
      <c r="N1958" s="178">
        <v>78876</v>
      </c>
      <c r="O1958" s="169" t="s">
        <v>1137</v>
      </c>
      <c r="P1958" s="169" t="s">
        <v>283</v>
      </c>
      <c r="Q1958" s="169" t="s">
        <v>284</v>
      </c>
      <c r="R1958" s="169" t="s">
        <v>283</v>
      </c>
      <c r="S1958" s="169" t="s">
        <v>283</v>
      </c>
      <c r="T1958" s="169">
        <v>0</v>
      </c>
    </row>
    <row r="1959" spans="1:20" x14ac:dyDescent="0.2">
      <c r="A1959" s="169" t="str">
        <f t="shared" si="8"/>
        <v>627</v>
      </c>
      <c r="B1959" s="167" t="str">
        <f>_xlfn.XLOOKUP(I1959,Mapping!D:D,Mapping!E:E)</f>
        <v>Xưởng Sản Xuất</v>
      </c>
      <c r="C1959" s="167" t="str">
        <f>_xlfn.XLOOKUP(F1959,Mapping!A:A,Mapping!F:F)</f>
        <v>BHXH, BHYT, KPCĐ</v>
      </c>
      <c r="D1959" s="173">
        <v>45961</v>
      </c>
      <c r="E1959" s="169" t="s">
        <v>1139</v>
      </c>
      <c r="F1959" s="169" t="s">
        <v>393</v>
      </c>
      <c r="G1959" s="169" t="s">
        <v>296</v>
      </c>
      <c r="H1959" s="169" t="s">
        <v>436</v>
      </c>
      <c r="I1959" s="169" t="s">
        <v>437</v>
      </c>
      <c r="J1959" s="169" t="s">
        <v>1140</v>
      </c>
      <c r="K1959" s="169" t="s">
        <v>1132</v>
      </c>
      <c r="L1959" s="169" t="s">
        <v>1133</v>
      </c>
      <c r="M1959" s="169" t="s">
        <v>281</v>
      </c>
      <c r="N1959" s="178">
        <v>65126170</v>
      </c>
      <c r="O1959" s="169" t="s">
        <v>1141</v>
      </c>
      <c r="P1959" s="169" t="s">
        <v>283</v>
      </c>
      <c r="Q1959" s="169" t="s">
        <v>284</v>
      </c>
      <c r="R1959" s="169" t="s">
        <v>283</v>
      </c>
      <c r="S1959" s="169" t="s">
        <v>283</v>
      </c>
      <c r="T1959" s="169">
        <v>0</v>
      </c>
    </row>
    <row r="1960" spans="1:20" x14ac:dyDescent="0.2">
      <c r="A1960" s="169" t="str">
        <f t="shared" si="8"/>
        <v>622</v>
      </c>
      <c r="B1960" s="167" t="str">
        <f>_xlfn.XLOOKUP(I1960,Mapping!D:D,Mapping!E:E)</f>
        <v>Xưởng Sản Xuất</v>
      </c>
      <c r="C1960" s="167" t="str">
        <f>_xlfn.XLOOKUP(F1960,Mapping!A:A,Mapping!F:F)</f>
        <v>BHXH, BHYT, KPCĐ</v>
      </c>
      <c r="D1960" s="173">
        <v>45961</v>
      </c>
      <c r="E1960" s="169" t="s">
        <v>1139</v>
      </c>
      <c r="F1960" s="169" t="s">
        <v>425</v>
      </c>
      <c r="G1960" s="169" t="s">
        <v>296</v>
      </c>
      <c r="H1960" s="169" t="s">
        <v>441</v>
      </c>
      <c r="I1960" s="169" t="s">
        <v>442</v>
      </c>
      <c r="J1960" s="169" t="s">
        <v>1140</v>
      </c>
      <c r="K1960" s="169" t="s">
        <v>1132</v>
      </c>
      <c r="L1960" s="169" t="s">
        <v>1133</v>
      </c>
      <c r="M1960" s="169" t="s">
        <v>281</v>
      </c>
      <c r="N1960" s="178">
        <v>1308480</v>
      </c>
      <c r="O1960" s="169" t="s">
        <v>1141</v>
      </c>
      <c r="P1960" s="169" t="s">
        <v>283</v>
      </c>
      <c r="Q1960" s="169" t="s">
        <v>284</v>
      </c>
      <c r="R1960" s="169" t="s">
        <v>283</v>
      </c>
      <c r="S1960" s="169" t="s">
        <v>283</v>
      </c>
      <c r="T1960" s="169">
        <v>0</v>
      </c>
    </row>
    <row r="1961" spans="1:20" x14ac:dyDescent="0.2">
      <c r="A1961" s="169" t="str">
        <f t="shared" si="8"/>
        <v>627</v>
      </c>
      <c r="B1961" s="167" t="str">
        <f>_xlfn.XLOOKUP(I1961,Mapping!D:D,Mapping!E:E)</f>
        <v>Xưởng Sản Xuất</v>
      </c>
      <c r="C1961" s="167" t="str">
        <f>_xlfn.XLOOKUP(F1961,Mapping!A:A,Mapping!F:F)</f>
        <v>BHXH, BHYT, KPCĐ</v>
      </c>
      <c r="D1961" s="173">
        <v>45961</v>
      </c>
      <c r="E1961" s="169" t="s">
        <v>1194</v>
      </c>
      <c r="F1961" s="169" t="s">
        <v>393</v>
      </c>
      <c r="G1961" s="169" t="s">
        <v>296</v>
      </c>
      <c r="H1961" s="169" t="s">
        <v>436</v>
      </c>
      <c r="I1961" s="169" t="s">
        <v>437</v>
      </c>
      <c r="J1961" s="169" t="s">
        <v>1140</v>
      </c>
      <c r="K1961" s="169" t="s">
        <v>1132</v>
      </c>
      <c r="L1961" s="169" t="s">
        <v>1133</v>
      </c>
      <c r="M1961" s="169" t="s">
        <v>281</v>
      </c>
      <c r="N1961" s="178">
        <v>1198500</v>
      </c>
      <c r="O1961" s="169" t="s">
        <v>1195</v>
      </c>
      <c r="P1961" s="169" t="s">
        <v>283</v>
      </c>
      <c r="Q1961" s="169" t="s">
        <v>284</v>
      </c>
      <c r="R1961" s="169" t="s">
        <v>283</v>
      </c>
      <c r="S1961" s="169" t="s">
        <v>283</v>
      </c>
      <c r="T1961" s="169">
        <v>0</v>
      </c>
    </row>
    <row r="1962" spans="1:20" x14ac:dyDescent="0.2">
      <c r="A1962" s="169" t="str">
        <f t="shared" ref="A1962:A2025" si="9">LEFT(F1962,3)</f>
        <v>627</v>
      </c>
      <c r="B1962" s="167" t="str">
        <f>_xlfn.XLOOKUP(I1962,Mapping!D:D,Mapping!E:E)</f>
        <v>Xưởng Sản Xuất</v>
      </c>
      <c r="C1962" s="167" t="str">
        <f>_xlfn.XLOOKUP(F1962,Mapping!A:A,Mapping!F:F)</f>
        <v>Lương Chính +T13</v>
      </c>
      <c r="D1962" s="173">
        <v>45958</v>
      </c>
      <c r="E1962" s="169" t="s">
        <v>1145</v>
      </c>
      <c r="F1962" s="169" t="s">
        <v>387</v>
      </c>
      <c r="G1962" s="169" t="s">
        <v>275</v>
      </c>
      <c r="H1962" s="169" t="s">
        <v>436</v>
      </c>
      <c r="I1962" s="169" t="s">
        <v>437</v>
      </c>
      <c r="J1962" s="169" t="s">
        <v>1146</v>
      </c>
      <c r="K1962" s="169" t="s">
        <v>405</v>
      </c>
      <c r="L1962" s="169" t="s">
        <v>1133</v>
      </c>
      <c r="M1962" s="169" t="s">
        <v>281</v>
      </c>
      <c r="N1962" s="178">
        <v>363559</v>
      </c>
      <c r="O1962" s="169" t="s">
        <v>1147</v>
      </c>
      <c r="P1962" s="169" t="s">
        <v>283</v>
      </c>
      <c r="Q1962" s="169" t="s">
        <v>306</v>
      </c>
      <c r="R1962" s="169" t="s">
        <v>283</v>
      </c>
      <c r="S1962" s="169" t="s">
        <v>283</v>
      </c>
      <c r="T1962" s="169">
        <v>0</v>
      </c>
    </row>
    <row r="1963" spans="1:20" x14ac:dyDescent="0.2">
      <c r="A1963" s="169" t="str">
        <f t="shared" si="9"/>
        <v>627</v>
      </c>
      <c r="B1963" s="167" t="str">
        <f>_xlfn.XLOOKUP(I1963,Mapping!D:D,Mapping!E:E)</f>
        <v>Xưởng Sản Xuất</v>
      </c>
      <c r="C1963" s="167" t="str">
        <f>_xlfn.XLOOKUP(F1963,Mapping!A:A,Mapping!F:F)</f>
        <v>Phụ Cấp</v>
      </c>
      <c r="D1963" s="173">
        <v>45958</v>
      </c>
      <c r="E1963" s="169" t="s">
        <v>1142</v>
      </c>
      <c r="F1963" s="169" t="s">
        <v>375</v>
      </c>
      <c r="G1963" s="169" t="s">
        <v>336</v>
      </c>
      <c r="H1963" s="169" t="s">
        <v>441</v>
      </c>
      <c r="I1963" s="169" t="s">
        <v>442</v>
      </c>
      <c r="J1963" s="169" t="s">
        <v>1143</v>
      </c>
      <c r="K1963" s="169" t="s">
        <v>992</v>
      </c>
      <c r="L1963" s="169" t="s">
        <v>1133</v>
      </c>
      <c r="M1963" s="169" t="s">
        <v>281</v>
      </c>
      <c r="N1963" s="178">
        <v>525000</v>
      </c>
      <c r="O1963" s="169" t="s">
        <v>1144</v>
      </c>
      <c r="P1963" s="169" t="s">
        <v>283</v>
      </c>
      <c r="Q1963" s="169" t="s">
        <v>306</v>
      </c>
      <c r="R1963" s="169" t="s">
        <v>283</v>
      </c>
      <c r="S1963" s="169" t="s">
        <v>283</v>
      </c>
      <c r="T1963" s="169">
        <v>0</v>
      </c>
    </row>
    <row r="1964" spans="1:20" x14ac:dyDescent="0.2">
      <c r="A1964" s="169" t="str">
        <f t="shared" si="9"/>
        <v>627</v>
      </c>
      <c r="B1964" s="167" t="str">
        <f>_xlfn.XLOOKUP(I1964,Mapping!D:D,Mapping!E:E)</f>
        <v>Xưởng Sản Xuất</v>
      </c>
      <c r="C1964" s="167" t="str">
        <f>_xlfn.XLOOKUP(F1964,Mapping!A:A,Mapping!F:F)</f>
        <v>Phụ Cấp</v>
      </c>
      <c r="D1964" s="173">
        <v>45958</v>
      </c>
      <c r="E1964" s="169" t="s">
        <v>1142</v>
      </c>
      <c r="F1964" s="169" t="s">
        <v>375</v>
      </c>
      <c r="G1964" s="169" t="s">
        <v>336</v>
      </c>
      <c r="H1964" s="169" t="s">
        <v>436</v>
      </c>
      <c r="I1964" s="169" t="s">
        <v>437</v>
      </c>
      <c r="J1964" s="169" t="s">
        <v>1143</v>
      </c>
      <c r="K1964" s="169" t="s">
        <v>992</v>
      </c>
      <c r="L1964" s="169" t="s">
        <v>1133</v>
      </c>
      <c r="M1964" s="169" t="s">
        <v>281</v>
      </c>
      <c r="N1964" s="178">
        <v>27475000</v>
      </c>
      <c r="O1964" s="169" t="s">
        <v>1144</v>
      </c>
      <c r="P1964" s="169" t="s">
        <v>283</v>
      </c>
      <c r="Q1964" s="169" t="s">
        <v>306</v>
      </c>
      <c r="R1964" s="169" t="s">
        <v>283</v>
      </c>
      <c r="S1964" s="169" t="s">
        <v>283</v>
      </c>
      <c r="T1964" s="169">
        <v>0</v>
      </c>
    </row>
    <row r="1965" spans="1:20" x14ac:dyDescent="0.2">
      <c r="A1965" s="169" t="str">
        <f t="shared" si="9"/>
        <v>627</v>
      </c>
      <c r="B1965" s="167" t="str">
        <f>_xlfn.XLOOKUP(I1965,Mapping!D:D,Mapping!E:E)</f>
        <v>Xưởng Sản Xuất</v>
      </c>
      <c r="C1965" s="167" t="str">
        <f>_xlfn.XLOOKUP(F1965,Mapping!A:A,Mapping!F:F)</f>
        <v>Phụ Cấp</v>
      </c>
      <c r="D1965" s="173">
        <v>45961</v>
      </c>
      <c r="E1965" s="169" t="s">
        <v>1151</v>
      </c>
      <c r="F1965" s="169" t="s">
        <v>375</v>
      </c>
      <c r="G1965" s="169" t="s">
        <v>336</v>
      </c>
      <c r="H1965" s="169" t="s">
        <v>436</v>
      </c>
      <c r="I1965" s="169" t="s">
        <v>437</v>
      </c>
      <c r="J1965" s="169" t="s">
        <v>1210</v>
      </c>
      <c r="K1965" s="169" t="s">
        <v>1153</v>
      </c>
      <c r="L1965" s="169" t="s">
        <v>1133</v>
      </c>
      <c r="M1965" s="169" t="s">
        <v>281</v>
      </c>
      <c r="N1965" s="178">
        <v>5096000</v>
      </c>
      <c r="O1965" s="169" t="s">
        <v>1154</v>
      </c>
      <c r="P1965" s="169" t="s">
        <v>283</v>
      </c>
      <c r="Q1965" s="169" t="s">
        <v>306</v>
      </c>
      <c r="R1965" s="169" t="s">
        <v>283</v>
      </c>
      <c r="S1965" s="169" t="s">
        <v>283</v>
      </c>
      <c r="T1965" s="169">
        <v>0</v>
      </c>
    </row>
    <row r="1966" spans="1:20" x14ac:dyDescent="0.2">
      <c r="A1966" s="169" t="str">
        <f t="shared" si="9"/>
        <v>622</v>
      </c>
      <c r="B1966" s="167" t="str">
        <f>_xlfn.XLOOKUP(I1966,Mapping!D:D,Mapping!E:E)</f>
        <v>Xưởng Sản Xuất</v>
      </c>
      <c r="C1966" s="167" t="str">
        <f>_xlfn.XLOOKUP(F1966,Mapping!A:A,Mapping!F:F)</f>
        <v>Phụ Cấp</v>
      </c>
      <c r="D1966" s="173">
        <v>45960</v>
      </c>
      <c r="E1966" s="169" t="s">
        <v>1204</v>
      </c>
      <c r="F1966" s="169" t="s">
        <v>414</v>
      </c>
      <c r="G1966" s="169" t="s">
        <v>415</v>
      </c>
      <c r="H1966" s="169" t="s">
        <v>441</v>
      </c>
      <c r="I1966" s="169" t="s">
        <v>442</v>
      </c>
      <c r="J1966" s="169" t="s">
        <v>416</v>
      </c>
      <c r="K1966" s="169" t="s">
        <v>416</v>
      </c>
      <c r="L1966" s="169" t="s">
        <v>1133</v>
      </c>
      <c r="M1966" s="169" t="s">
        <v>281</v>
      </c>
      <c r="N1966" s="178">
        <v>500000</v>
      </c>
      <c r="O1966" s="169" t="s">
        <v>1205</v>
      </c>
      <c r="P1966" s="169" t="s">
        <v>283</v>
      </c>
      <c r="Q1966" s="169" t="s">
        <v>348</v>
      </c>
      <c r="R1966" s="169" t="s">
        <v>283</v>
      </c>
      <c r="S1966" s="169" t="s">
        <v>283</v>
      </c>
      <c r="T1966" s="169">
        <v>0</v>
      </c>
    </row>
    <row r="1967" spans="1:20" x14ac:dyDescent="0.2">
      <c r="A1967" s="169" t="str">
        <f t="shared" si="9"/>
        <v>627</v>
      </c>
      <c r="B1967" s="167" t="str">
        <f>_xlfn.XLOOKUP(I1967,Mapping!D:D,Mapping!E:E)</f>
        <v>Xưởng Sản Xuất</v>
      </c>
      <c r="C1967" s="167" t="str">
        <f>_xlfn.XLOOKUP(F1967,Mapping!A:A,Mapping!F:F)</f>
        <v>Phụ Cấp</v>
      </c>
      <c r="D1967" s="173">
        <v>45960</v>
      </c>
      <c r="E1967" s="169" t="s">
        <v>1204</v>
      </c>
      <c r="F1967" s="169" t="s">
        <v>375</v>
      </c>
      <c r="G1967" s="169" t="s">
        <v>336</v>
      </c>
      <c r="H1967" s="169" t="s">
        <v>441</v>
      </c>
      <c r="I1967" s="169" t="s">
        <v>442</v>
      </c>
      <c r="J1967" s="169" t="s">
        <v>416</v>
      </c>
      <c r="K1967" s="169" t="s">
        <v>416</v>
      </c>
      <c r="L1967" s="169" t="s">
        <v>1133</v>
      </c>
      <c r="M1967" s="169" t="s">
        <v>281</v>
      </c>
      <c r="N1967" s="178">
        <v>-500000</v>
      </c>
      <c r="O1967" s="169" t="s">
        <v>1205</v>
      </c>
      <c r="P1967" s="169" t="s">
        <v>283</v>
      </c>
      <c r="Q1967" s="169" t="s">
        <v>348</v>
      </c>
      <c r="R1967" s="169" t="s">
        <v>283</v>
      </c>
      <c r="S1967" s="169" t="s">
        <v>283</v>
      </c>
      <c r="T1967" s="169">
        <v>0</v>
      </c>
    </row>
    <row r="1968" spans="1:20" x14ac:dyDescent="0.2">
      <c r="A1968" s="169" t="str">
        <f t="shared" si="9"/>
        <v>641</v>
      </c>
      <c r="B1968" s="167" t="str">
        <f>_xlfn.XLOOKUP(I1968,Mapping!D:D,Mapping!E:E)</f>
        <v>Kinh doanh</v>
      </c>
      <c r="C1968" s="167" t="str">
        <f>_xlfn.XLOOKUP(F1968,Mapping!A:A,Mapping!F:F)</f>
        <v>Lương Chính +T13</v>
      </c>
      <c r="D1968" s="173">
        <v>45965</v>
      </c>
      <c r="E1968" s="169" t="s">
        <v>1211</v>
      </c>
      <c r="F1968" s="169" t="s">
        <v>383</v>
      </c>
      <c r="G1968" s="169" t="s">
        <v>275</v>
      </c>
      <c r="H1968" s="169" t="s">
        <v>366</v>
      </c>
      <c r="I1968" s="169" t="s">
        <v>1</v>
      </c>
      <c r="J1968" s="169" t="s">
        <v>1212</v>
      </c>
      <c r="K1968" s="169" t="s">
        <v>1070</v>
      </c>
      <c r="L1968" s="169" t="s">
        <v>1213</v>
      </c>
      <c r="M1968" s="169" t="s">
        <v>281</v>
      </c>
      <c r="N1968" s="178">
        <v>105388000</v>
      </c>
      <c r="O1968" s="169" t="s">
        <v>1214</v>
      </c>
      <c r="P1968" s="169" t="s">
        <v>283</v>
      </c>
      <c r="Q1968" s="169" t="s">
        <v>973</v>
      </c>
      <c r="R1968" s="169" t="s">
        <v>283</v>
      </c>
      <c r="S1968" s="169" t="s">
        <v>283</v>
      </c>
      <c r="T1968" s="169">
        <v>0</v>
      </c>
    </row>
    <row r="1969" spans="1:20" x14ac:dyDescent="0.2">
      <c r="A1969" s="169" t="str">
        <f t="shared" si="9"/>
        <v>641</v>
      </c>
      <c r="B1969" s="167" t="str">
        <f>_xlfn.XLOOKUP(I1969,Mapping!D:D,Mapping!E:E)</f>
        <v>Kinh doanh</v>
      </c>
      <c r="C1969" s="167" t="str">
        <f>_xlfn.XLOOKUP(F1969,Mapping!A:A,Mapping!F:F)</f>
        <v>Phụ Cấp</v>
      </c>
      <c r="D1969" s="173">
        <v>45962</v>
      </c>
      <c r="E1969" s="169" t="s">
        <v>1215</v>
      </c>
      <c r="F1969" s="169" t="s">
        <v>385</v>
      </c>
      <c r="G1969" s="169" t="s">
        <v>336</v>
      </c>
      <c r="H1969" s="169" t="s">
        <v>366</v>
      </c>
      <c r="I1969" s="169" t="s">
        <v>1</v>
      </c>
      <c r="J1969" s="169" t="s">
        <v>1216</v>
      </c>
      <c r="K1969" s="169" t="s">
        <v>581</v>
      </c>
      <c r="L1969" s="169" t="s">
        <v>1213</v>
      </c>
      <c r="M1969" s="169" t="s">
        <v>281</v>
      </c>
      <c r="N1969" s="178">
        <v>6412000</v>
      </c>
      <c r="O1969" s="169" t="s">
        <v>1217</v>
      </c>
      <c r="P1969" s="169" t="s">
        <v>283</v>
      </c>
      <c r="Q1969" s="169" t="s">
        <v>306</v>
      </c>
      <c r="R1969" s="169" t="s">
        <v>283</v>
      </c>
      <c r="S1969" s="169" t="s">
        <v>283</v>
      </c>
      <c r="T1969" s="169">
        <v>0</v>
      </c>
    </row>
    <row r="1970" spans="1:20" x14ac:dyDescent="0.2">
      <c r="A1970" s="169" t="str">
        <f t="shared" si="9"/>
        <v>627</v>
      </c>
      <c r="B1970" s="167" t="str">
        <f>_xlfn.XLOOKUP(I1970,Mapping!D:D,Mapping!E:E)</f>
        <v>Xưởng Sản Xuất</v>
      </c>
      <c r="C1970" s="167" t="str">
        <f>_xlfn.XLOOKUP(F1970,Mapping!A:A,Mapping!F:F)</f>
        <v>Khen thưởng BD khác</v>
      </c>
      <c r="D1970" s="173">
        <v>45988</v>
      </c>
      <c r="E1970" s="169" t="s">
        <v>1218</v>
      </c>
      <c r="F1970" s="169" t="s">
        <v>435</v>
      </c>
      <c r="G1970" s="169" t="s">
        <v>222</v>
      </c>
      <c r="H1970" s="169" t="s">
        <v>436</v>
      </c>
      <c r="I1970" s="169" t="s">
        <v>437</v>
      </c>
      <c r="J1970" s="169" t="s">
        <v>1219</v>
      </c>
      <c r="K1970" s="169" t="s">
        <v>1052</v>
      </c>
      <c r="L1970" s="169" t="s">
        <v>1213</v>
      </c>
      <c r="M1970" s="169" t="s">
        <v>281</v>
      </c>
      <c r="N1970" s="178">
        <v>5000000</v>
      </c>
      <c r="O1970" s="169" t="s">
        <v>1220</v>
      </c>
      <c r="P1970" s="169" t="s">
        <v>283</v>
      </c>
      <c r="Q1970" s="169" t="s">
        <v>964</v>
      </c>
      <c r="R1970" s="169" t="s">
        <v>283</v>
      </c>
      <c r="S1970" s="169" t="s">
        <v>283</v>
      </c>
      <c r="T1970" s="169">
        <v>0</v>
      </c>
    </row>
    <row r="1971" spans="1:20" x14ac:dyDescent="0.2">
      <c r="A1971" s="169" t="str">
        <f t="shared" si="9"/>
        <v>641</v>
      </c>
      <c r="B1971" s="167" t="str">
        <f>_xlfn.XLOOKUP(I1971,Mapping!D:D,Mapping!E:E)</f>
        <v>Kinh doanh</v>
      </c>
      <c r="C1971" s="167" t="str">
        <f>_xlfn.XLOOKUP(F1971,Mapping!A:A,Mapping!F:F)</f>
        <v>Thưởng</v>
      </c>
      <c r="D1971" s="173">
        <v>45990</v>
      </c>
      <c r="E1971" s="169" t="s">
        <v>1221</v>
      </c>
      <c r="F1971" s="169" t="s">
        <v>365</v>
      </c>
      <c r="G1971" s="169" t="s">
        <v>291</v>
      </c>
      <c r="H1971" s="169" t="s">
        <v>366</v>
      </c>
      <c r="I1971" s="169" t="s">
        <v>1</v>
      </c>
      <c r="J1971" s="169" t="s">
        <v>1222</v>
      </c>
      <c r="K1971" s="169" t="s">
        <v>1223</v>
      </c>
      <c r="L1971" s="169" t="s">
        <v>1213</v>
      </c>
      <c r="M1971" s="169" t="s">
        <v>281</v>
      </c>
      <c r="N1971" s="178">
        <v>-3492428</v>
      </c>
      <c r="O1971" s="169" t="s">
        <v>1224</v>
      </c>
      <c r="P1971" s="169" t="s">
        <v>283</v>
      </c>
      <c r="Q1971" s="169" t="s">
        <v>370</v>
      </c>
      <c r="R1971" s="169" t="s">
        <v>283</v>
      </c>
      <c r="S1971" s="169" t="s">
        <v>283</v>
      </c>
      <c r="T1971" s="169">
        <v>0</v>
      </c>
    </row>
    <row r="1972" spans="1:20" x14ac:dyDescent="0.2">
      <c r="A1972" s="169" t="str">
        <f t="shared" si="9"/>
        <v>627</v>
      </c>
      <c r="B1972" s="167" t="str">
        <f>_xlfn.XLOOKUP(I1972,Mapping!D:D,Mapping!E:E)</f>
        <v>Xưởng Sản Xuất</v>
      </c>
      <c r="C1972" s="167" t="str">
        <f>_xlfn.XLOOKUP(F1972,Mapping!A:A,Mapping!F:F)</f>
        <v>Khen thưởng BD khác</v>
      </c>
      <c r="D1972" s="173">
        <v>45988</v>
      </c>
      <c r="E1972" s="169" t="s">
        <v>1225</v>
      </c>
      <c r="F1972" s="169" t="s">
        <v>435</v>
      </c>
      <c r="G1972" s="169" t="s">
        <v>222</v>
      </c>
      <c r="H1972" s="169" t="s">
        <v>436</v>
      </c>
      <c r="I1972" s="169" t="s">
        <v>437</v>
      </c>
      <c r="J1972" s="169" t="s">
        <v>1226</v>
      </c>
      <c r="K1972" s="169" t="s">
        <v>1052</v>
      </c>
      <c r="L1972" s="169" t="s">
        <v>1213</v>
      </c>
      <c r="M1972" s="169" t="s">
        <v>281</v>
      </c>
      <c r="N1972" s="178">
        <v>-5000000</v>
      </c>
      <c r="O1972" s="169" t="s">
        <v>1227</v>
      </c>
      <c r="P1972" s="169" t="s">
        <v>447</v>
      </c>
      <c r="Q1972" s="169" t="s">
        <v>284</v>
      </c>
      <c r="R1972" s="169" t="s">
        <v>283</v>
      </c>
      <c r="S1972" s="169" t="s">
        <v>283</v>
      </c>
      <c r="T1972" s="169">
        <v>0</v>
      </c>
    </row>
    <row r="1973" spans="1:20" x14ac:dyDescent="0.2">
      <c r="A1973" s="169" t="str">
        <f t="shared" si="9"/>
        <v>642</v>
      </c>
      <c r="B1973" s="167" t="str">
        <f>_xlfn.XLOOKUP(I1973,Mapping!D:D,Mapping!E:E)</f>
        <v>Hành Chánh Nhân Sự</v>
      </c>
      <c r="C1973" s="167" t="str">
        <f>_xlfn.XLOOKUP(F1973,Mapping!A:A,Mapping!F:F)</f>
        <v>Khen thưởng BD khác</v>
      </c>
      <c r="D1973" s="173">
        <v>45991</v>
      </c>
      <c r="E1973" s="169" t="s">
        <v>1228</v>
      </c>
      <c r="F1973" s="169" t="s">
        <v>300</v>
      </c>
      <c r="G1973" s="169" t="s">
        <v>222</v>
      </c>
      <c r="H1973" s="169" t="s">
        <v>358</v>
      </c>
      <c r="I1973" s="169" t="s">
        <v>359</v>
      </c>
      <c r="J1973" s="169" t="s">
        <v>1229</v>
      </c>
      <c r="K1973" s="169" t="s">
        <v>1230</v>
      </c>
      <c r="L1973" s="169" t="s">
        <v>1213</v>
      </c>
      <c r="M1973" s="169" t="s">
        <v>281</v>
      </c>
      <c r="N1973" s="178">
        <v>5000000</v>
      </c>
      <c r="O1973" s="169" t="s">
        <v>1231</v>
      </c>
      <c r="P1973" s="169" t="s">
        <v>283</v>
      </c>
      <c r="Q1973" s="169" t="s">
        <v>964</v>
      </c>
      <c r="R1973" s="169" t="s">
        <v>283</v>
      </c>
      <c r="S1973" s="169" t="s">
        <v>283</v>
      </c>
      <c r="T1973" s="169">
        <v>0</v>
      </c>
    </row>
    <row r="1974" spans="1:20" x14ac:dyDescent="0.2">
      <c r="A1974" s="169" t="str">
        <f t="shared" si="9"/>
        <v>642</v>
      </c>
      <c r="B1974" s="167" t="str">
        <f>_xlfn.XLOOKUP(I1974,Mapping!D:D,Mapping!E:E)</f>
        <v>Hành Chánh Nhân Sự</v>
      </c>
      <c r="C1974" s="167" t="str">
        <f>_xlfn.XLOOKUP(F1974,Mapping!A:A,Mapping!F:F)</f>
        <v>Khen thưởng BD khác</v>
      </c>
      <c r="D1974" s="173">
        <v>45991</v>
      </c>
      <c r="E1974" s="169" t="s">
        <v>1232</v>
      </c>
      <c r="F1974" s="169" t="s">
        <v>300</v>
      </c>
      <c r="G1974" s="169" t="s">
        <v>222</v>
      </c>
      <c r="H1974" s="169" t="s">
        <v>358</v>
      </c>
      <c r="I1974" s="169" t="s">
        <v>359</v>
      </c>
      <c r="J1974" s="169" t="s">
        <v>1233</v>
      </c>
      <c r="K1974" s="169" t="s">
        <v>1233</v>
      </c>
      <c r="L1974" s="169" t="s">
        <v>1213</v>
      </c>
      <c r="M1974" s="169" t="s">
        <v>281</v>
      </c>
      <c r="N1974" s="178">
        <v>1500000</v>
      </c>
      <c r="O1974" s="169" t="s">
        <v>1234</v>
      </c>
      <c r="P1974" s="169" t="s">
        <v>283</v>
      </c>
      <c r="Q1974" s="169" t="s">
        <v>964</v>
      </c>
      <c r="R1974" s="169" t="s">
        <v>283</v>
      </c>
      <c r="S1974" s="169" t="s">
        <v>283</v>
      </c>
      <c r="T1974" s="169">
        <v>0</v>
      </c>
    </row>
    <row r="1975" spans="1:20" x14ac:dyDescent="0.2">
      <c r="A1975" s="169" t="str">
        <f t="shared" si="9"/>
        <v>627</v>
      </c>
      <c r="B1975" s="167" t="str">
        <f>_xlfn.XLOOKUP(I1975,Mapping!D:D,Mapping!E:E)</f>
        <v>Xưởng Sản Xuất</v>
      </c>
      <c r="C1975" s="167" t="str">
        <f>_xlfn.XLOOKUP(F1975,Mapping!A:A,Mapping!F:F)</f>
        <v>Phụ Cấp</v>
      </c>
      <c r="D1975" s="173">
        <v>45989</v>
      </c>
      <c r="E1975" s="169" t="s">
        <v>1235</v>
      </c>
      <c r="F1975" s="169" t="s">
        <v>375</v>
      </c>
      <c r="G1975" s="169" t="s">
        <v>336</v>
      </c>
      <c r="H1975" s="169" t="s">
        <v>402</v>
      </c>
      <c r="I1975" s="169" t="s">
        <v>403</v>
      </c>
      <c r="J1975" s="169" t="s">
        <v>1236</v>
      </c>
      <c r="K1975" s="169" t="s">
        <v>992</v>
      </c>
      <c r="L1975" s="169" t="s">
        <v>1213</v>
      </c>
      <c r="M1975" s="169" t="s">
        <v>281</v>
      </c>
      <c r="N1975" s="178">
        <v>130175000</v>
      </c>
      <c r="O1975" s="169" t="s">
        <v>1237</v>
      </c>
      <c r="P1975" s="169" t="s">
        <v>283</v>
      </c>
      <c r="Q1975" s="169" t="s">
        <v>306</v>
      </c>
      <c r="R1975" s="169" t="s">
        <v>283</v>
      </c>
      <c r="S1975" s="169" t="s">
        <v>283</v>
      </c>
      <c r="T1975" s="169">
        <v>0</v>
      </c>
    </row>
    <row r="1976" spans="1:20" x14ac:dyDescent="0.2">
      <c r="A1976" s="169" t="str">
        <f t="shared" si="9"/>
        <v>642</v>
      </c>
      <c r="B1976" s="167" t="str">
        <f>_xlfn.XLOOKUP(I1976,Mapping!D:D,Mapping!E:E)</f>
        <v>Hành Chánh Nhân Sự</v>
      </c>
      <c r="C1976" s="167" t="str">
        <f>_xlfn.XLOOKUP(F1976,Mapping!A:A,Mapping!F:F)</f>
        <v>Phụ Cấp</v>
      </c>
      <c r="D1976" s="173">
        <v>45989</v>
      </c>
      <c r="E1976" s="169" t="s">
        <v>1235</v>
      </c>
      <c r="F1976" s="169" t="s">
        <v>335</v>
      </c>
      <c r="G1976" s="169" t="s">
        <v>336</v>
      </c>
      <c r="H1976" s="169" t="s">
        <v>301</v>
      </c>
      <c r="I1976" s="169" t="s">
        <v>302</v>
      </c>
      <c r="J1976" s="169" t="s">
        <v>1236</v>
      </c>
      <c r="K1976" s="169" t="s">
        <v>992</v>
      </c>
      <c r="L1976" s="169" t="s">
        <v>1213</v>
      </c>
      <c r="M1976" s="169" t="s">
        <v>281</v>
      </c>
      <c r="N1976" s="178">
        <v>25900000</v>
      </c>
      <c r="O1976" s="169" t="s">
        <v>1237</v>
      </c>
      <c r="P1976" s="169" t="s">
        <v>283</v>
      </c>
      <c r="Q1976" s="169" t="s">
        <v>306</v>
      </c>
      <c r="R1976" s="169" t="s">
        <v>283</v>
      </c>
      <c r="S1976" s="169" t="s">
        <v>283</v>
      </c>
      <c r="T1976" s="169">
        <v>0</v>
      </c>
    </row>
    <row r="1977" spans="1:20" x14ac:dyDescent="0.2">
      <c r="A1977" s="169" t="str">
        <f t="shared" si="9"/>
        <v>642</v>
      </c>
      <c r="B1977" s="167" t="str">
        <f>_xlfn.XLOOKUP(I1977,Mapping!D:D,Mapping!E:E)</f>
        <v>Kế Toán</v>
      </c>
      <c r="C1977" s="167" t="str">
        <f>_xlfn.XLOOKUP(F1977,Mapping!A:A,Mapping!F:F)</f>
        <v>Phụ Cấp</v>
      </c>
      <c r="D1977" s="173">
        <v>45989</v>
      </c>
      <c r="E1977" s="169" t="s">
        <v>1235</v>
      </c>
      <c r="F1977" s="169" t="s">
        <v>335</v>
      </c>
      <c r="G1977" s="169" t="s">
        <v>336</v>
      </c>
      <c r="H1977" s="169" t="s">
        <v>356</v>
      </c>
      <c r="I1977" s="169" t="s">
        <v>357</v>
      </c>
      <c r="J1977" s="169" t="s">
        <v>1236</v>
      </c>
      <c r="K1977" s="169" t="s">
        <v>992</v>
      </c>
      <c r="L1977" s="169" t="s">
        <v>1213</v>
      </c>
      <c r="M1977" s="169" t="s">
        <v>281</v>
      </c>
      <c r="N1977" s="178">
        <v>17025000</v>
      </c>
      <c r="O1977" s="169" t="s">
        <v>1237</v>
      </c>
      <c r="P1977" s="169" t="s">
        <v>283</v>
      </c>
      <c r="Q1977" s="169" t="s">
        <v>306</v>
      </c>
      <c r="R1977" s="169" t="s">
        <v>283</v>
      </c>
      <c r="S1977" s="169" t="s">
        <v>283</v>
      </c>
      <c r="T1977" s="169">
        <v>0</v>
      </c>
    </row>
    <row r="1978" spans="1:20" x14ac:dyDescent="0.2">
      <c r="A1978" s="169" t="str">
        <f t="shared" si="9"/>
        <v>642</v>
      </c>
      <c r="B1978" s="167" t="str">
        <f>_xlfn.XLOOKUP(I1978,Mapping!D:D,Mapping!E:E)</f>
        <v>Văn Phòng Giám Đốc</v>
      </c>
      <c r="C1978" s="167" t="str">
        <f>_xlfn.XLOOKUP(F1978,Mapping!A:A,Mapping!F:F)</f>
        <v>Phụ Cấp</v>
      </c>
      <c r="D1978" s="173">
        <v>45989</v>
      </c>
      <c r="E1978" s="169" t="s">
        <v>1235</v>
      </c>
      <c r="F1978" s="169" t="s">
        <v>335</v>
      </c>
      <c r="G1978" s="169" t="s">
        <v>336</v>
      </c>
      <c r="H1978" s="169" t="s">
        <v>320</v>
      </c>
      <c r="I1978" s="169" t="s">
        <v>321</v>
      </c>
      <c r="J1978" s="169" t="s">
        <v>1236</v>
      </c>
      <c r="K1978" s="169" t="s">
        <v>992</v>
      </c>
      <c r="L1978" s="169" t="s">
        <v>1213</v>
      </c>
      <c r="M1978" s="169" t="s">
        <v>281</v>
      </c>
      <c r="N1978" s="178">
        <v>2025000</v>
      </c>
      <c r="O1978" s="169" t="s">
        <v>1237</v>
      </c>
      <c r="P1978" s="169" t="s">
        <v>283</v>
      </c>
      <c r="Q1978" s="169" t="s">
        <v>306</v>
      </c>
      <c r="R1978" s="169" t="s">
        <v>283</v>
      </c>
      <c r="S1978" s="169" t="s">
        <v>283</v>
      </c>
      <c r="T1978" s="169">
        <v>0</v>
      </c>
    </row>
    <row r="1979" spans="1:20" x14ac:dyDescent="0.2">
      <c r="A1979" s="169" t="str">
        <f t="shared" si="9"/>
        <v>627</v>
      </c>
      <c r="B1979" s="167" t="str">
        <f>_xlfn.XLOOKUP(I1979,Mapping!D:D,Mapping!E:E)</f>
        <v>Kỹ Thuật</v>
      </c>
      <c r="C1979" s="167" t="str">
        <f>_xlfn.XLOOKUP(F1979,Mapping!A:A,Mapping!F:F)</f>
        <v>Phụ Cấp</v>
      </c>
      <c r="D1979" s="173">
        <v>45989</v>
      </c>
      <c r="E1979" s="169" t="s">
        <v>1235</v>
      </c>
      <c r="F1979" s="169" t="s">
        <v>375</v>
      </c>
      <c r="G1979" s="169" t="s">
        <v>336</v>
      </c>
      <c r="H1979" s="169" t="s">
        <v>376</v>
      </c>
      <c r="I1979" s="169" t="s">
        <v>377</v>
      </c>
      <c r="J1979" s="169" t="s">
        <v>1236</v>
      </c>
      <c r="K1979" s="169" t="s">
        <v>992</v>
      </c>
      <c r="L1979" s="169" t="s">
        <v>1213</v>
      </c>
      <c r="M1979" s="169" t="s">
        <v>281</v>
      </c>
      <c r="N1979" s="178">
        <v>49650000</v>
      </c>
      <c r="O1979" s="169" t="s">
        <v>1237</v>
      </c>
      <c r="P1979" s="169" t="s">
        <v>283</v>
      </c>
      <c r="Q1979" s="169" t="s">
        <v>306</v>
      </c>
      <c r="R1979" s="169" t="s">
        <v>283</v>
      </c>
      <c r="S1979" s="169" t="s">
        <v>283</v>
      </c>
      <c r="T1979" s="169">
        <v>0</v>
      </c>
    </row>
    <row r="1980" spans="1:20" x14ac:dyDescent="0.2">
      <c r="A1980" s="169" t="str">
        <f t="shared" si="9"/>
        <v>627</v>
      </c>
      <c r="B1980" s="167" t="str">
        <f>_xlfn.XLOOKUP(I1980,Mapping!D:D,Mapping!E:E)</f>
        <v>Kiểm Soát Chất Lượng</v>
      </c>
      <c r="C1980" s="167" t="str">
        <f>_xlfn.XLOOKUP(F1980,Mapping!A:A,Mapping!F:F)</f>
        <v>Phụ Cấp</v>
      </c>
      <c r="D1980" s="173">
        <v>45989</v>
      </c>
      <c r="E1980" s="169" t="s">
        <v>1235</v>
      </c>
      <c r="F1980" s="169" t="s">
        <v>375</v>
      </c>
      <c r="G1980" s="169" t="s">
        <v>336</v>
      </c>
      <c r="H1980" s="169" t="s">
        <v>411</v>
      </c>
      <c r="I1980" s="169" t="s">
        <v>412</v>
      </c>
      <c r="J1980" s="169" t="s">
        <v>1236</v>
      </c>
      <c r="K1980" s="169" t="s">
        <v>992</v>
      </c>
      <c r="L1980" s="169" t="s">
        <v>1213</v>
      </c>
      <c r="M1980" s="169" t="s">
        <v>281</v>
      </c>
      <c r="N1980" s="178">
        <v>33150000</v>
      </c>
      <c r="O1980" s="169" t="s">
        <v>1237</v>
      </c>
      <c r="P1980" s="169" t="s">
        <v>283</v>
      </c>
      <c r="Q1980" s="169" t="s">
        <v>306</v>
      </c>
      <c r="R1980" s="169" t="s">
        <v>283</v>
      </c>
      <c r="S1980" s="169" t="s">
        <v>283</v>
      </c>
      <c r="T1980" s="169">
        <v>0</v>
      </c>
    </row>
    <row r="1981" spans="1:20" x14ac:dyDescent="0.2">
      <c r="A1981" s="169" t="str">
        <f t="shared" si="9"/>
        <v>627</v>
      </c>
      <c r="B1981" s="167" t="str">
        <f>_xlfn.XLOOKUP(I1981,Mapping!D:D,Mapping!E:E)</f>
        <v>Xưởng Sản Xuất</v>
      </c>
      <c r="C1981" s="167" t="str">
        <f>_xlfn.XLOOKUP(F1981,Mapping!A:A,Mapping!F:F)</f>
        <v>Phụ Cấp</v>
      </c>
      <c r="D1981" s="173">
        <v>45989</v>
      </c>
      <c r="E1981" s="169" t="s">
        <v>1235</v>
      </c>
      <c r="F1981" s="169" t="s">
        <v>375</v>
      </c>
      <c r="G1981" s="169" t="s">
        <v>336</v>
      </c>
      <c r="H1981" s="169" t="s">
        <v>441</v>
      </c>
      <c r="I1981" s="169" t="s">
        <v>442</v>
      </c>
      <c r="J1981" s="169" t="s">
        <v>1236</v>
      </c>
      <c r="K1981" s="169" t="s">
        <v>992</v>
      </c>
      <c r="L1981" s="169" t="s">
        <v>1213</v>
      </c>
      <c r="M1981" s="169" t="s">
        <v>281</v>
      </c>
      <c r="N1981" s="178">
        <v>400000</v>
      </c>
      <c r="O1981" s="169" t="s">
        <v>1237</v>
      </c>
      <c r="P1981" s="169" t="s">
        <v>283</v>
      </c>
      <c r="Q1981" s="169" t="s">
        <v>306</v>
      </c>
      <c r="R1981" s="169" t="s">
        <v>283</v>
      </c>
      <c r="S1981" s="169" t="s">
        <v>283</v>
      </c>
      <c r="T1981" s="169">
        <v>0</v>
      </c>
    </row>
    <row r="1982" spans="1:20" x14ac:dyDescent="0.2">
      <c r="A1982" s="169" t="str">
        <f t="shared" si="9"/>
        <v>627</v>
      </c>
      <c r="B1982" s="167" t="str">
        <f>_xlfn.XLOOKUP(I1982,Mapping!D:D,Mapping!E:E)</f>
        <v>Xưởng Sản Xuất</v>
      </c>
      <c r="C1982" s="167" t="str">
        <f>_xlfn.XLOOKUP(F1982,Mapping!A:A,Mapping!F:F)</f>
        <v>Phụ Cấp</v>
      </c>
      <c r="D1982" s="173">
        <v>45989</v>
      </c>
      <c r="E1982" s="169" t="s">
        <v>1235</v>
      </c>
      <c r="F1982" s="169" t="s">
        <v>375</v>
      </c>
      <c r="G1982" s="169" t="s">
        <v>336</v>
      </c>
      <c r="H1982" s="169" t="s">
        <v>430</v>
      </c>
      <c r="I1982" s="169" t="s">
        <v>431</v>
      </c>
      <c r="J1982" s="169" t="s">
        <v>1236</v>
      </c>
      <c r="K1982" s="169" t="s">
        <v>992</v>
      </c>
      <c r="L1982" s="169" t="s">
        <v>1213</v>
      </c>
      <c r="M1982" s="169" t="s">
        <v>281</v>
      </c>
      <c r="N1982" s="178">
        <v>25025000</v>
      </c>
      <c r="O1982" s="169" t="s">
        <v>1237</v>
      </c>
      <c r="P1982" s="169" t="s">
        <v>283</v>
      </c>
      <c r="Q1982" s="169" t="s">
        <v>306</v>
      </c>
      <c r="R1982" s="169" t="s">
        <v>283</v>
      </c>
      <c r="S1982" s="169" t="s">
        <v>283</v>
      </c>
      <c r="T1982" s="169">
        <v>0</v>
      </c>
    </row>
    <row r="1983" spans="1:20" x14ac:dyDescent="0.2">
      <c r="A1983" s="169" t="str">
        <f t="shared" si="9"/>
        <v>627</v>
      </c>
      <c r="B1983" s="167" t="str">
        <f>_xlfn.XLOOKUP(I1983,Mapping!D:D,Mapping!E:E)</f>
        <v>Xưởng Sản Xuất</v>
      </c>
      <c r="C1983" s="167" t="str">
        <f>_xlfn.XLOOKUP(F1983,Mapping!A:A,Mapping!F:F)</f>
        <v>Phụ Cấp</v>
      </c>
      <c r="D1983" s="173">
        <v>45989</v>
      </c>
      <c r="E1983" s="169" t="s">
        <v>1235</v>
      </c>
      <c r="F1983" s="169" t="s">
        <v>375</v>
      </c>
      <c r="G1983" s="169" t="s">
        <v>336</v>
      </c>
      <c r="H1983" s="169" t="s">
        <v>436</v>
      </c>
      <c r="I1983" s="169" t="s">
        <v>437</v>
      </c>
      <c r="J1983" s="169" t="s">
        <v>1236</v>
      </c>
      <c r="K1983" s="169" t="s">
        <v>992</v>
      </c>
      <c r="L1983" s="169" t="s">
        <v>1213</v>
      </c>
      <c r="M1983" s="169" t="s">
        <v>281</v>
      </c>
      <c r="N1983" s="178">
        <v>25700000</v>
      </c>
      <c r="O1983" s="169" t="s">
        <v>1237</v>
      </c>
      <c r="P1983" s="169" t="s">
        <v>283</v>
      </c>
      <c r="Q1983" s="169" t="s">
        <v>306</v>
      </c>
      <c r="R1983" s="169" t="s">
        <v>283</v>
      </c>
      <c r="S1983" s="169" t="s">
        <v>283</v>
      </c>
      <c r="T1983" s="169">
        <v>0</v>
      </c>
    </row>
    <row r="1984" spans="1:20" x14ac:dyDescent="0.2">
      <c r="A1984" s="169" t="str">
        <f t="shared" si="9"/>
        <v>642</v>
      </c>
      <c r="B1984" s="167" t="str">
        <f>_xlfn.XLOOKUP(I1984,Mapping!D:D,Mapping!E:E)</f>
        <v>Mua Hàng &amp; XNK</v>
      </c>
      <c r="C1984" s="167" t="str">
        <f>_xlfn.XLOOKUP(F1984,Mapping!A:A,Mapping!F:F)</f>
        <v>Phụ Cấp</v>
      </c>
      <c r="D1984" s="173">
        <v>45989</v>
      </c>
      <c r="E1984" s="169" t="s">
        <v>1235</v>
      </c>
      <c r="F1984" s="169" t="s">
        <v>335</v>
      </c>
      <c r="G1984" s="169" t="s">
        <v>336</v>
      </c>
      <c r="H1984" s="169" t="s">
        <v>378</v>
      </c>
      <c r="I1984" s="169" t="s">
        <v>379</v>
      </c>
      <c r="J1984" s="169" t="s">
        <v>1236</v>
      </c>
      <c r="K1984" s="169" t="s">
        <v>992</v>
      </c>
      <c r="L1984" s="169" t="s">
        <v>1213</v>
      </c>
      <c r="M1984" s="169" t="s">
        <v>281</v>
      </c>
      <c r="N1984" s="178">
        <v>4750000</v>
      </c>
      <c r="O1984" s="169" t="s">
        <v>1237</v>
      </c>
      <c r="P1984" s="169" t="s">
        <v>283</v>
      </c>
      <c r="Q1984" s="169" t="s">
        <v>306</v>
      </c>
      <c r="R1984" s="169" t="s">
        <v>283</v>
      </c>
      <c r="S1984" s="169" t="s">
        <v>283</v>
      </c>
      <c r="T1984" s="169">
        <v>0</v>
      </c>
    </row>
    <row r="1985" spans="1:20" x14ac:dyDescent="0.2">
      <c r="A1985" s="169" t="str">
        <f t="shared" si="9"/>
        <v>642</v>
      </c>
      <c r="B1985" s="167" t="str">
        <f>_xlfn.XLOOKUP(I1985,Mapping!D:D,Mapping!E:E)</f>
        <v>Cung Ứng</v>
      </c>
      <c r="C1985" s="167" t="str">
        <f>_xlfn.XLOOKUP(F1985,Mapping!A:A,Mapping!F:F)</f>
        <v>Phụ Cấp</v>
      </c>
      <c r="D1985" s="173">
        <v>45989</v>
      </c>
      <c r="E1985" s="169" t="s">
        <v>1235</v>
      </c>
      <c r="F1985" s="169" t="s">
        <v>335</v>
      </c>
      <c r="G1985" s="169" t="s">
        <v>336</v>
      </c>
      <c r="H1985" s="169" t="s">
        <v>380</v>
      </c>
      <c r="I1985" s="169" t="s">
        <v>381</v>
      </c>
      <c r="J1985" s="169" t="s">
        <v>1236</v>
      </c>
      <c r="K1985" s="169" t="s">
        <v>992</v>
      </c>
      <c r="L1985" s="169" t="s">
        <v>1213</v>
      </c>
      <c r="M1985" s="169" t="s">
        <v>281</v>
      </c>
      <c r="N1985" s="178">
        <v>2450000</v>
      </c>
      <c r="O1985" s="169" t="s">
        <v>1237</v>
      </c>
      <c r="P1985" s="169" t="s">
        <v>283</v>
      </c>
      <c r="Q1985" s="169" t="s">
        <v>306</v>
      </c>
      <c r="R1985" s="169" t="s">
        <v>283</v>
      </c>
      <c r="S1985" s="169" t="s">
        <v>283</v>
      </c>
      <c r="T1985" s="169">
        <v>0</v>
      </c>
    </row>
    <row r="1986" spans="1:20" x14ac:dyDescent="0.2">
      <c r="A1986" s="169" t="str">
        <f t="shared" si="9"/>
        <v>642</v>
      </c>
      <c r="B1986" s="167" t="str">
        <f>_xlfn.XLOOKUP(I1986,Mapping!D:D,Mapping!E:E)</f>
        <v>Hành Chánh Nhân Sự</v>
      </c>
      <c r="C1986" s="167" t="str">
        <f>_xlfn.XLOOKUP(F1986,Mapping!A:A,Mapping!F:F)</f>
        <v>Phụ Cấp</v>
      </c>
      <c r="D1986" s="173">
        <v>45989</v>
      </c>
      <c r="E1986" s="169" t="s">
        <v>1235</v>
      </c>
      <c r="F1986" s="169" t="s">
        <v>335</v>
      </c>
      <c r="G1986" s="169" t="s">
        <v>336</v>
      </c>
      <c r="H1986" s="169" t="s">
        <v>382</v>
      </c>
      <c r="I1986" s="169" t="s">
        <v>200</v>
      </c>
      <c r="J1986" s="169" t="s">
        <v>1236</v>
      </c>
      <c r="K1986" s="169" t="s">
        <v>992</v>
      </c>
      <c r="L1986" s="169" t="s">
        <v>1213</v>
      </c>
      <c r="M1986" s="169" t="s">
        <v>281</v>
      </c>
      <c r="N1986" s="178">
        <v>1750000</v>
      </c>
      <c r="O1986" s="169" t="s">
        <v>1237</v>
      </c>
      <c r="P1986" s="169" t="s">
        <v>283</v>
      </c>
      <c r="Q1986" s="169" t="s">
        <v>306</v>
      </c>
      <c r="R1986" s="169" t="s">
        <v>283</v>
      </c>
      <c r="S1986" s="169" t="s">
        <v>283</v>
      </c>
      <c r="T1986" s="169">
        <v>0</v>
      </c>
    </row>
    <row r="1987" spans="1:20" x14ac:dyDescent="0.2">
      <c r="A1987" s="169" t="str">
        <f t="shared" si="9"/>
        <v>642</v>
      </c>
      <c r="B1987" s="167" t="str">
        <f>_xlfn.XLOOKUP(I1987,Mapping!D:D,Mapping!E:E)</f>
        <v>Hành Chánh Nhân Sự</v>
      </c>
      <c r="C1987" s="167" t="str">
        <f>_xlfn.XLOOKUP(F1987,Mapping!A:A,Mapping!F:F)</f>
        <v>Phụ Cấp</v>
      </c>
      <c r="D1987" s="173">
        <v>45989</v>
      </c>
      <c r="E1987" s="169" t="s">
        <v>1235</v>
      </c>
      <c r="F1987" s="169" t="s">
        <v>335</v>
      </c>
      <c r="G1987" s="169" t="s">
        <v>336</v>
      </c>
      <c r="H1987" s="169" t="s">
        <v>358</v>
      </c>
      <c r="I1987" s="169" t="s">
        <v>359</v>
      </c>
      <c r="J1987" s="169" t="s">
        <v>1236</v>
      </c>
      <c r="K1987" s="169" t="s">
        <v>992</v>
      </c>
      <c r="L1987" s="169" t="s">
        <v>1213</v>
      </c>
      <c r="M1987" s="169" t="s">
        <v>281</v>
      </c>
      <c r="N1987" s="178">
        <v>2975000</v>
      </c>
      <c r="O1987" s="169" t="s">
        <v>1237</v>
      </c>
      <c r="P1987" s="169" t="s">
        <v>283</v>
      </c>
      <c r="Q1987" s="169" t="s">
        <v>306</v>
      </c>
      <c r="R1987" s="169" t="s">
        <v>283</v>
      </c>
      <c r="S1987" s="169" t="s">
        <v>283</v>
      </c>
      <c r="T1987" s="169">
        <v>0</v>
      </c>
    </row>
    <row r="1988" spans="1:20" x14ac:dyDescent="0.2">
      <c r="A1988" s="169" t="str">
        <f t="shared" si="9"/>
        <v>642</v>
      </c>
      <c r="B1988" s="167" t="str">
        <f>_xlfn.XLOOKUP(I1988,Mapping!D:D,Mapping!E:E)</f>
        <v>Ban Giám Đốc</v>
      </c>
      <c r="C1988" s="167" t="str">
        <f>_xlfn.XLOOKUP(F1988,Mapping!A:A,Mapping!F:F)</f>
        <v>Lương Chính +T13</v>
      </c>
      <c r="D1988" s="173">
        <v>45991</v>
      </c>
      <c r="E1988" s="169" t="s">
        <v>1238</v>
      </c>
      <c r="F1988" s="169" t="s">
        <v>274</v>
      </c>
      <c r="G1988" s="169" t="s">
        <v>275</v>
      </c>
      <c r="H1988" s="169" t="s">
        <v>276</v>
      </c>
      <c r="I1988" s="169" t="s">
        <v>277</v>
      </c>
      <c r="J1988" s="169" t="s">
        <v>1239</v>
      </c>
      <c r="K1988" s="169" t="s">
        <v>1240</v>
      </c>
      <c r="L1988" s="169" t="s">
        <v>1213</v>
      </c>
      <c r="M1988" s="169" t="s">
        <v>281</v>
      </c>
      <c r="N1988" s="178">
        <v>1510044424</v>
      </c>
      <c r="O1988" s="169" t="s">
        <v>1241</v>
      </c>
      <c r="P1988" s="169" t="s">
        <v>283</v>
      </c>
      <c r="Q1988" s="169" t="s">
        <v>284</v>
      </c>
      <c r="R1988" s="169" t="s">
        <v>283</v>
      </c>
      <c r="S1988" s="169" t="s">
        <v>283</v>
      </c>
      <c r="T1988" s="169">
        <v>0</v>
      </c>
    </row>
    <row r="1989" spans="1:20" x14ac:dyDescent="0.2">
      <c r="A1989" s="169" t="str">
        <f t="shared" si="9"/>
        <v>642</v>
      </c>
      <c r="B1989" s="167" t="str">
        <f>_xlfn.XLOOKUP(I1989,Mapping!D:D,Mapping!E:E)</f>
        <v>Ban Giám Đốc</v>
      </c>
      <c r="C1989" s="167" t="str">
        <f>_xlfn.XLOOKUP(F1989,Mapping!A:A,Mapping!F:F)</f>
        <v>Lương Chính +T13</v>
      </c>
      <c r="D1989" s="173">
        <v>45991</v>
      </c>
      <c r="E1989" s="169" t="s">
        <v>1238</v>
      </c>
      <c r="F1989" s="169" t="s">
        <v>285</v>
      </c>
      <c r="G1989" s="169" t="s">
        <v>286</v>
      </c>
      <c r="H1989" s="169" t="s">
        <v>276</v>
      </c>
      <c r="I1989" s="169" t="s">
        <v>277</v>
      </c>
      <c r="J1989" s="169" t="s">
        <v>1239</v>
      </c>
      <c r="K1989" s="169" t="s">
        <v>1240</v>
      </c>
      <c r="L1989" s="169" t="s">
        <v>1213</v>
      </c>
      <c r="M1989" s="169" t="s">
        <v>281</v>
      </c>
      <c r="N1989" s="178">
        <v>30613637</v>
      </c>
      <c r="O1989" s="169" t="s">
        <v>1241</v>
      </c>
      <c r="P1989" s="169" t="s">
        <v>283</v>
      </c>
      <c r="Q1989" s="169" t="s">
        <v>284</v>
      </c>
      <c r="R1989" s="169" t="s">
        <v>283</v>
      </c>
      <c r="S1989" s="169" t="s">
        <v>283</v>
      </c>
      <c r="T1989" s="169">
        <v>0</v>
      </c>
    </row>
    <row r="1990" spans="1:20" x14ac:dyDescent="0.2">
      <c r="A1990" s="169" t="str">
        <f t="shared" si="9"/>
        <v>642</v>
      </c>
      <c r="B1990" s="167" t="str">
        <f>_xlfn.XLOOKUP(I1990,Mapping!D:D,Mapping!E:E)</f>
        <v>Văn Phòng Giám Đốc</v>
      </c>
      <c r="C1990" s="167" t="str">
        <f>_xlfn.XLOOKUP(F1990,Mapping!A:A,Mapping!F:F)</f>
        <v>Lương Chính +T13</v>
      </c>
      <c r="D1990" s="173">
        <v>45991</v>
      </c>
      <c r="E1990" s="169" t="s">
        <v>1238</v>
      </c>
      <c r="F1990" s="169" t="s">
        <v>274</v>
      </c>
      <c r="G1990" s="169" t="s">
        <v>275</v>
      </c>
      <c r="H1990" s="169" t="s">
        <v>320</v>
      </c>
      <c r="I1990" s="169" t="s">
        <v>321</v>
      </c>
      <c r="J1990" s="169" t="s">
        <v>1239</v>
      </c>
      <c r="K1990" s="169" t="s">
        <v>1240</v>
      </c>
      <c r="L1990" s="169" t="s">
        <v>1213</v>
      </c>
      <c r="M1990" s="169" t="s">
        <v>281</v>
      </c>
      <c r="N1990" s="178">
        <v>108959592</v>
      </c>
      <c r="O1990" s="169" t="s">
        <v>1241</v>
      </c>
      <c r="P1990" s="169" t="s">
        <v>283</v>
      </c>
      <c r="Q1990" s="169" t="s">
        <v>284</v>
      </c>
      <c r="R1990" s="169" t="s">
        <v>283</v>
      </c>
      <c r="S1990" s="169" t="s">
        <v>283</v>
      </c>
      <c r="T1990" s="169">
        <v>0</v>
      </c>
    </row>
    <row r="1991" spans="1:20" x14ac:dyDescent="0.2">
      <c r="A1991" s="169" t="str">
        <f t="shared" si="9"/>
        <v>642</v>
      </c>
      <c r="B1991" s="167" t="str">
        <f>_xlfn.XLOOKUP(I1991,Mapping!D:D,Mapping!E:E)</f>
        <v>Văn Phòng Giám Đốc</v>
      </c>
      <c r="C1991" s="167" t="str">
        <f>_xlfn.XLOOKUP(F1991,Mapping!A:A,Mapping!F:F)</f>
        <v>Lương Chính +T13</v>
      </c>
      <c r="D1991" s="173">
        <v>45991</v>
      </c>
      <c r="E1991" s="169" t="s">
        <v>1238</v>
      </c>
      <c r="F1991" s="169" t="s">
        <v>285</v>
      </c>
      <c r="G1991" s="169" t="s">
        <v>286</v>
      </c>
      <c r="H1991" s="169" t="s">
        <v>320</v>
      </c>
      <c r="I1991" s="169" t="s">
        <v>321</v>
      </c>
      <c r="J1991" s="169" t="s">
        <v>1239</v>
      </c>
      <c r="K1991" s="169" t="s">
        <v>1240</v>
      </c>
      <c r="L1991" s="169" t="s">
        <v>1213</v>
      </c>
      <c r="M1991" s="169" t="s">
        <v>281</v>
      </c>
      <c r="N1991" s="178">
        <v>4432692</v>
      </c>
      <c r="O1991" s="169" t="s">
        <v>1241</v>
      </c>
      <c r="P1991" s="169" t="s">
        <v>283</v>
      </c>
      <c r="Q1991" s="169" t="s">
        <v>284</v>
      </c>
      <c r="R1991" s="169" t="s">
        <v>283</v>
      </c>
      <c r="S1991" s="169" t="s">
        <v>283</v>
      </c>
      <c r="T1991" s="169">
        <v>0</v>
      </c>
    </row>
    <row r="1992" spans="1:20" x14ac:dyDescent="0.2">
      <c r="A1992" s="169" t="str">
        <f t="shared" si="9"/>
        <v>642</v>
      </c>
      <c r="B1992" s="167" t="str">
        <f>_xlfn.XLOOKUP(I1992,Mapping!D:D,Mapping!E:E)</f>
        <v>Hành Chánh Nhân Sự</v>
      </c>
      <c r="C1992" s="167" t="str">
        <f>_xlfn.XLOOKUP(F1992,Mapping!A:A,Mapping!F:F)</f>
        <v>Phụ Cấp</v>
      </c>
      <c r="D1992" s="173">
        <v>45991</v>
      </c>
      <c r="E1992" s="169" t="s">
        <v>1238</v>
      </c>
      <c r="F1992" s="169" t="s">
        <v>340</v>
      </c>
      <c r="G1992" s="169" t="s">
        <v>341</v>
      </c>
      <c r="H1992" s="169" t="s">
        <v>301</v>
      </c>
      <c r="I1992" s="169" t="s">
        <v>302</v>
      </c>
      <c r="J1992" s="169" t="s">
        <v>1239</v>
      </c>
      <c r="K1992" s="169" t="s">
        <v>1240</v>
      </c>
      <c r="L1992" s="169" t="s">
        <v>1213</v>
      </c>
      <c r="M1992" s="169" t="s">
        <v>281</v>
      </c>
      <c r="N1992" s="178">
        <v>6883812</v>
      </c>
      <c r="O1992" s="169" t="s">
        <v>1241</v>
      </c>
      <c r="P1992" s="169" t="s">
        <v>283</v>
      </c>
      <c r="Q1992" s="169" t="s">
        <v>284</v>
      </c>
      <c r="R1992" s="169" t="s">
        <v>283</v>
      </c>
      <c r="S1992" s="169" t="s">
        <v>283</v>
      </c>
      <c r="T1992" s="169">
        <v>0</v>
      </c>
    </row>
    <row r="1993" spans="1:20" x14ac:dyDescent="0.2">
      <c r="A1993" s="169" t="str">
        <f t="shared" si="9"/>
        <v>642</v>
      </c>
      <c r="B1993" s="167" t="str">
        <f>_xlfn.XLOOKUP(I1993,Mapping!D:D,Mapping!E:E)</f>
        <v>Hành Chánh Nhân Sự</v>
      </c>
      <c r="C1993" s="167" t="str">
        <f>_xlfn.XLOOKUP(F1993,Mapping!A:A,Mapping!F:F)</f>
        <v>Lương Chính +T13</v>
      </c>
      <c r="D1993" s="173">
        <v>45991</v>
      </c>
      <c r="E1993" s="169" t="s">
        <v>1238</v>
      </c>
      <c r="F1993" s="169" t="s">
        <v>274</v>
      </c>
      <c r="G1993" s="169" t="s">
        <v>275</v>
      </c>
      <c r="H1993" s="169" t="s">
        <v>301</v>
      </c>
      <c r="I1993" s="169" t="s">
        <v>302</v>
      </c>
      <c r="J1993" s="169" t="s">
        <v>1239</v>
      </c>
      <c r="K1993" s="169" t="s">
        <v>1240</v>
      </c>
      <c r="L1993" s="169" t="s">
        <v>1213</v>
      </c>
      <c r="M1993" s="169" t="s">
        <v>281</v>
      </c>
      <c r="N1993" s="178">
        <v>468316605</v>
      </c>
      <c r="O1993" s="169" t="s">
        <v>1241</v>
      </c>
      <c r="P1993" s="169" t="s">
        <v>283</v>
      </c>
      <c r="Q1993" s="169" t="s">
        <v>284</v>
      </c>
      <c r="R1993" s="169" t="s">
        <v>283</v>
      </c>
      <c r="S1993" s="169" t="s">
        <v>283</v>
      </c>
      <c r="T1993" s="169">
        <v>0</v>
      </c>
    </row>
    <row r="1994" spans="1:20" x14ac:dyDescent="0.2">
      <c r="A1994" s="169" t="str">
        <f t="shared" si="9"/>
        <v>642</v>
      </c>
      <c r="B1994" s="167" t="str">
        <f>_xlfn.XLOOKUP(I1994,Mapping!D:D,Mapping!E:E)</f>
        <v>Hành Chánh Nhân Sự</v>
      </c>
      <c r="C1994" s="167" t="str">
        <f>_xlfn.XLOOKUP(F1994,Mapping!A:A,Mapping!F:F)</f>
        <v>Lương Chính +T13</v>
      </c>
      <c r="D1994" s="173">
        <v>45991</v>
      </c>
      <c r="E1994" s="169" t="s">
        <v>1238</v>
      </c>
      <c r="F1994" s="169" t="s">
        <v>285</v>
      </c>
      <c r="G1994" s="169" t="s">
        <v>286</v>
      </c>
      <c r="H1994" s="169" t="s">
        <v>301</v>
      </c>
      <c r="I1994" s="169" t="s">
        <v>302</v>
      </c>
      <c r="J1994" s="169" t="s">
        <v>1239</v>
      </c>
      <c r="K1994" s="169" t="s">
        <v>1240</v>
      </c>
      <c r="L1994" s="169" t="s">
        <v>1213</v>
      </c>
      <c r="M1994" s="169" t="s">
        <v>281</v>
      </c>
      <c r="N1994" s="178">
        <v>18676173</v>
      </c>
      <c r="O1994" s="169" t="s">
        <v>1241</v>
      </c>
      <c r="P1994" s="169" t="s">
        <v>283</v>
      </c>
      <c r="Q1994" s="169" t="s">
        <v>284</v>
      </c>
      <c r="R1994" s="169" t="s">
        <v>283</v>
      </c>
      <c r="S1994" s="169" t="s">
        <v>283</v>
      </c>
      <c r="T1994" s="169">
        <v>0</v>
      </c>
    </row>
    <row r="1995" spans="1:20" x14ac:dyDescent="0.2">
      <c r="A1995" s="169" t="str">
        <f t="shared" si="9"/>
        <v>642</v>
      </c>
      <c r="B1995" s="167" t="str">
        <f>_xlfn.XLOOKUP(I1995,Mapping!D:D,Mapping!E:E)</f>
        <v>Hành Chánh Nhân Sự</v>
      </c>
      <c r="C1995" s="167" t="str">
        <f>_xlfn.XLOOKUP(F1995,Mapping!A:A,Mapping!F:F)</f>
        <v>Lương Ngoài giờ</v>
      </c>
      <c r="D1995" s="173">
        <v>45991</v>
      </c>
      <c r="E1995" s="169" t="s">
        <v>1238</v>
      </c>
      <c r="F1995" s="169" t="s">
        <v>342</v>
      </c>
      <c r="G1995" s="169" t="s">
        <v>343</v>
      </c>
      <c r="H1995" s="169" t="s">
        <v>301</v>
      </c>
      <c r="I1995" s="169" t="s">
        <v>302</v>
      </c>
      <c r="J1995" s="169" t="s">
        <v>1239</v>
      </c>
      <c r="K1995" s="169" t="s">
        <v>1240</v>
      </c>
      <c r="L1995" s="169" t="s">
        <v>1213</v>
      </c>
      <c r="M1995" s="169" t="s">
        <v>281</v>
      </c>
      <c r="N1995" s="178">
        <v>81374538</v>
      </c>
      <c r="O1995" s="169" t="s">
        <v>1241</v>
      </c>
      <c r="P1995" s="169" t="s">
        <v>283</v>
      </c>
      <c r="Q1995" s="169" t="s">
        <v>284</v>
      </c>
      <c r="R1995" s="169" t="s">
        <v>283</v>
      </c>
      <c r="S1995" s="169" t="s">
        <v>283</v>
      </c>
      <c r="T1995" s="169">
        <v>0</v>
      </c>
    </row>
    <row r="1996" spans="1:20" x14ac:dyDescent="0.2">
      <c r="A1996" s="169" t="str">
        <f t="shared" si="9"/>
        <v>642</v>
      </c>
      <c r="B1996" s="167" t="str">
        <f>_xlfn.XLOOKUP(I1996,Mapping!D:D,Mapping!E:E)</f>
        <v>Hành Chánh Nhân Sự</v>
      </c>
      <c r="C1996" s="167" t="str">
        <f>_xlfn.XLOOKUP(F1996,Mapping!A:A,Mapping!F:F)</f>
        <v>Phụ Cấp</v>
      </c>
      <c r="D1996" s="173">
        <v>45991</v>
      </c>
      <c r="E1996" s="169" t="s">
        <v>1238</v>
      </c>
      <c r="F1996" s="169" t="s">
        <v>335</v>
      </c>
      <c r="G1996" s="169" t="s">
        <v>336</v>
      </c>
      <c r="H1996" s="169" t="s">
        <v>301</v>
      </c>
      <c r="I1996" s="169" t="s">
        <v>302</v>
      </c>
      <c r="J1996" s="169" t="s">
        <v>1239</v>
      </c>
      <c r="K1996" s="169" t="s">
        <v>1240</v>
      </c>
      <c r="L1996" s="169" t="s">
        <v>1213</v>
      </c>
      <c r="M1996" s="169" t="s">
        <v>281</v>
      </c>
      <c r="N1996" s="178">
        <v>4205000</v>
      </c>
      <c r="O1996" s="169" t="s">
        <v>1241</v>
      </c>
      <c r="P1996" s="169" t="s">
        <v>283</v>
      </c>
      <c r="Q1996" s="169" t="s">
        <v>284</v>
      </c>
      <c r="R1996" s="169" t="s">
        <v>283</v>
      </c>
      <c r="S1996" s="169" t="s">
        <v>283</v>
      </c>
      <c r="T1996" s="169">
        <v>0</v>
      </c>
    </row>
    <row r="1997" spans="1:20" x14ac:dyDescent="0.2">
      <c r="A1997" s="169" t="str">
        <f t="shared" si="9"/>
        <v>642</v>
      </c>
      <c r="B1997" s="167" t="str">
        <f>_xlfn.XLOOKUP(I1997,Mapping!D:D,Mapping!E:E)</f>
        <v>Kế Toán</v>
      </c>
      <c r="C1997" s="167" t="str">
        <f>_xlfn.XLOOKUP(F1997,Mapping!A:A,Mapping!F:F)</f>
        <v>Lương Chính +T13</v>
      </c>
      <c r="D1997" s="173">
        <v>45991</v>
      </c>
      <c r="E1997" s="169" t="s">
        <v>1238</v>
      </c>
      <c r="F1997" s="169" t="s">
        <v>274</v>
      </c>
      <c r="G1997" s="169" t="s">
        <v>275</v>
      </c>
      <c r="H1997" s="169" t="s">
        <v>356</v>
      </c>
      <c r="I1997" s="169" t="s">
        <v>357</v>
      </c>
      <c r="J1997" s="169" t="s">
        <v>1239</v>
      </c>
      <c r="K1997" s="169" t="s">
        <v>1240</v>
      </c>
      <c r="L1997" s="169" t="s">
        <v>1213</v>
      </c>
      <c r="M1997" s="169" t="s">
        <v>281</v>
      </c>
      <c r="N1997" s="178">
        <v>518698094</v>
      </c>
      <c r="O1997" s="169" t="s">
        <v>1241</v>
      </c>
      <c r="P1997" s="169" t="s">
        <v>283</v>
      </c>
      <c r="Q1997" s="169" t="s">
        <v>284</v>
      </c>
      <c r="R1997" s="169" t="s">
        <v>283</v>
      </c>
      <c r="S1997" s="169" t="s">
        <v>283</v>
      </c>
      <c r="T1997" s="169">
        <v>0</v>
      </c>
    </row>
    <row r="1998" spans="1:20" x14ac:dyDescent="0.2">
      <c r="A1998" s="169" t="str">
        <f t="shared" si="9"/>
        <v>642</v>
      </c>
      <c r="B1998" s="167" t="str">
        <f>_xlfn.XLOOKUP(I1998,Mapping!D:D,Mapping!E:E)</f>
        <v>Kế Toán</v>
      </c>
      <c r="C1998" s="167" t="str">
        <f>_xlfn.XLOOKUP(F1998,Mapping!A:A,Mapping!F:F)</f>
        <v>Lương Chính +T13</v>
      </c>
      <c r="D1998" s="173">
        <v>45991</v>
      </c>
      <c r="E1998" s="169" t="s">
        <v>1238</v>
      </c>
      <c r="F1998" s="169" t="s">
        <v>285</v>
      </c>
      <c r="G1998" s="169" t="s">
        <v>286</v>
      </c>
      <c r="H1998" s="169" t="s">
        <v>356</v>
      </c>
      <c r="I1998" s="169" t="s">
        <v>357</v>
      </c>
      <c r="J1998" s="169" t="s">
        <v>1239</v>
      </c>
      <c r="K1998" s="169" t="s">
        <v>1240</v>
      </c>
      <c r="L1998" s="169" t="s">
        <v>1213</v>
      </c>
      <c r="M1998" s="169" t="s">
        <v>281</v>
      </c>
      <c r="N1998" s="178">
        <v>12801433</v>
      </c>
      <c r="O1998" s="169" t="s">
        <v>1241</v>
      </c>
      <c r="P1998" s="169" t="s">
        <v>283</v>
      </c>
      <c r="Q1998" s="169" t="s">
        <v>284</v>
      </c>
      <c r="R1998" s="169" t="s">
        <v>283</v>
      </c>
      <c r="S1998" s="169" t="s">
        <v>283</v>
      </c>
      <c r="T1998" s="169">
        <v>0</v>
      </c>
    </row>
    <row r="1999" spans="1:20" x14ac:dyDescent="0.2">
      <c r="A1999" s="169" t="str">
        <f t="shared" si="9"/>
        <v>642</v>
      </c>
      <c r="B1999" s="167" t="str">
        <f>_xlfn.XLOOKUP(I1999,Mapping!D:D,Mapping!E:E)</f>
        <v>Kế Toán</v>
      </c>
      <c r="C1999" s="167" t="str">
        <f>_xlfn.XLOOKUP(F1999,Mapping!A:A,Mapping!F:F)</f>
        <v>Lương Ngoài giờ</v>
      </c>
      <c r="D1999" s="173">
        <v>45991</v>
      </c>
      <c r="E1999" s="169" t="s">
        <v>1238</v>
      </c>
      <c r="F1999" s="169" t="s">
        <v>342</v>
      </c>
      <c r="G1999" s="169" t="s">
        <v>343</v>
      </c>
      <c r="H1999" s="169" t="s">
        <v>356</v>
      </c>
      <c r="I1999" s="169" t="s">
        <v>357</v>
      </c>
      <c r="J1999" s="169" t="s">
        <v>1239</v>
      </c>
      <c r="K1999" s="169" t="s">
        <v>1240</v>
      </c>
      <c r="L1999" s="169" t="s">
        <v>1213</v>
      </c>
      <c r="M1999" s="169" t="s">
        <v>281</v>
      </c>
      <c r="N1999" s="178">
        <v>51796508</v>
      </c>
      <c r="O1999" s="169" t="s">
        <v>1241</v>
      </c>
      <c r="P1999" s="169" t="s">
        <v>283</v>
      </c>
      <c r="Q1999" s="169" t="s">
        <v>284</v>
      </c>
      <c r="R1999" s="169" t="s">
        <v>283</v>
      </c>
      <c r="S1999" s="169" t="s">
        <v>283</v>
      </c>
      <c r="T1999" s="169">
        <v>0</v>
      </c>
    </row>
    <row r="2000" spans="1:20" x14ac:dyDescent="0.2">
      <c r="A2000" s="169" t="str">
        <f t="shared" si="9"/>
        <v>642</v>
      </c>
      <c r="B2000" s="167" t="str">
        <f>_xlfn.XLOOKUP(I2000,Mapping!D:D,Mapping!E:E)</f>
        <v>Kế Toán</v>
      </c>
      <c r="C2000" s="167" t="str">
        <f>_xlfn.XLOOKUP(F2000,Mapping!A:A,Mapping!F:F)</f>
        <v>Phụ Cấp</v>
      </c>
      <c r="D2000" s="173">
        <v>45991</v>
      </c>
      <c r="E2000" s="169" t="s">
        <v>1238</v>
      </c>
      <c r="F2000" s="169" t="s">
        <v>335</v>
      </c>
      <c r="G2000" s="169" t="s">
        <v>336</v>
      </c>
      <c r="H2000" s="169" t="s">
        <v>356</v>
      </c>
      <c r="I2000" s="169" t="s">
        <v>357</v>
      </c>
      <c r="J2000" s="169" t="s">
        <v>1239</v>
      </c>
      <c r="K2000" s="169" t="s">
        <v>1240</v>
      </c>
      <c r="L2000" s="169" t="s">
        <v>1213</v>
      </c>
      <c r="M2000" s="169" t="s">
        <v>281</v>
      </c>
      <c r="N2000" s="178">
        <v>2430000</v>
      </c>
      <c r="O2000" s="169" t="s">
        <v>1241</v>
      </c>
      <c r="P2000" s="169" t="s">
        <v>283</v>
      </c>
      <c r="Q2000" s="169" t="s">
        <v>284</v>
      </c>
      <c r="R2000" s="169" t="s">
        <v>283</v>
      </c>
      <c r="S2000" s="169" t="s">
        <v>283</v>
      </c>
      <c r="T2000" s="169">
        <v>0</v>
      </c>
    </row>
    <row r="2001" spans="1:20" x14ac:dyDescent="0.2">
      <c r="A2001" s="169" t="str">
        <f t="shared" si="9"/>
        <v>641</v>
      </c>
      <c r="B2001" s="167" t="str">
        <f>_xlfn.XLOOKUP(I2001,Mapping!D:D,Mapping!E:E)</f>
        <v>Kinh doanh</v>
      </c>
      <c r="C2001" s="167" t="str">
        <f>_xlfn.XLOOKUP(F2001,Mapping!A:A,Mapping!F:F)</f>
        <v>Lương Chính +T13</v>
      </c>
      <c r="D2001" s="173">
        <v>45991</v>
      </c>
      <c r="E2001" s="169" t="s">
        <v>1238</v>
      </c>
      <c r="F2001" s="169" t="s">
        <v>383</v>
      </c>
      <c r="G2001" s="169" t="s">
        <v>275</v>
      </c>
      <c r="H2001" s="169" t="s">
        <v>366</v>
      </c>
      <c r="I2001" s="169" t="s">
        <v>1</v>
      </c>
      <c r="J2001" s="169" t="s">
        <v>1239</v>
      </c>
      <c r="K2001" s="169" t="s">
        <v>1240</v>
      </c>
      <c r="L2001" s="169" t="s">
        <v>1213</v>
      </c>
      <c r="M2001" s="169" t="s">
        <v>281</v>
      </c>
      <c r="N2001" s="178">
        <v>262578198</v>
      </c>
      <c r="O2001" s="169" t="s">
        <v>1241</v>
      </c>
      <c r="P2001" s="169" t="s">
        <v>283</v>
      </c>
      <c r="Q2001" s="169" t="s">
        <v>284</v>
      </c>
      <c r="R2001" s="169" t="s">
        <v>283</v>
      </c>
      <c r="S2001" s="169" t="s">
        <v>283</v>
      </c>
      <c r="T2001" s="169">
        <v>0</v>
      </c>
    </row>
    <row r="2002" spans="1:20" x14ac:dyDescent="0.2">
      <c r="A2002" s="169" t="str">
        <f t="shared" si="9"/>
        <v>641</v>
      </c>
      <c r="B2002" s="167" t="str">
        <f>_xlfn.XLOOKUP(I2002,Mapping!D:D,Mapping!E:E)</f>
        <v>Kinh doanh</v>
      </c>
      <c r="C2002" s="167" t="str">
        <f>_xlfn.XLOOKUP(F2002,Mapping!A:A,Mapping!F:F)</f>
        <v>Lương Chính +T13</v>
      </c>
      <c r="D2002" s="173">
        <v>45991</v>
      </c>
      <c r="E2002" s="169" t="s">
        <v>1238</v>
      </c>
      <c r="F2002" s="169" t="s">
        <v>384</v>
      </c>
      <c r="G2002" s="169" t="s">
        <v>286</v>
      </c>
      <c r="H2002" s="169" t="s">
        <v>366</v>
      </c>
      <c r="I2002" s="169" t="s">
        <v>1</v>
      </c>
      <c r="J2002" s="169" t="s">
        <v>1239</v>
      </c>
      <c r="K2002" s="169" t="s">
        <v>1240</v>
      </c>
      <c r="L2002" s="169" t="s">
        <v>1213</v>
      </c>
      <c r="M2002" s="169" t="s">
        <v>281</v>
      </c>
      <c r="N2002" s="178">
        <v>5652885</v>
      </c>
      <c r="O2002" s="169" t="s">
        <v>1241</v>
      </c>
      <c r="P2002" s="169" t="s">
        <v>283</v>
      </c>
      <c r="Q2002" s="169" t="s">
        <v>284</v>
      </c>
      <c r="R2002" s="169" t="s">
        <v>283</v>
      </c>
      <c r="S2002" s="169" t="s">
        <v>283</v>
      </c>
      <c r="T2002" s="169">
        <v>0</v>
      </c>
    </row>
    <row r="2003" spans="1:20" x14ac:dyDescent="0.2">
      <c r="A2003" s="169" t="str">
        <f t="shared" si="9"/>
        <v>641</v>
      </c>
      <c r="B2003" s="167" t="str">
        <f>_xlfn.XLOOKUP(I2003,Mapping!D:D,Mapping!E:E)</f>
        <v>Kinh doanh</v>
      </c>
      <c r="C2003" s="167" t="str">
        <f>_xlfn.XLOOKUP(F2003,Mapping!A:A,Mapping!F:F)</f>
        <v>Thưởng</v>
      </c>
      <c r="D2003" s="173">
        <v>45991</v>
      </c>
      <c r="E2003" s="169" t="s">
        <v>1238</v>
      </c>
      <c r="F2003" s="169" t="s">
        <v>365</v>
      </c>
      <c r="G2003" s="169" t="s">
        <v>291</v>
      </c>
      <c r="H2003" s="169" t="s">
        <v>366</v>
      </c>
      <c r="I2003" s="169" t="s">
        <v>1</v>
      </c>
      <c r="J2003" s="169" t="s">
        <v>1239</v>
      </c>
      <c r="K2003" s="169" t="s">
        <v>1240</v>
      </c>
      <c r="L2003" s="169" t="s">
        <v>1213</v>
      </c>
      <c r="M2003" s="169" t="s">
        <v>281</v>
      </c>
      <c r="N2003" s="178">
        <v>134708119</v>
      </c>
      <c r="O2003" s="169" t="s">
        <v>1241</v>
      </c>
      <c r="P2003" s="169" t="s">
        <v>283</v>
      </c>
      <c r="Q2003" s="169" t="s">
        <v>284</v>
      </c>
      <c r="R2003" s="169" t="s">
        <v>283</v>
      </c>
      <c r="S2003" s="169" t="s">
        <v>283</v>
      </c>
      <c r="T2003" s="169">
        <v>0</v>
      </c>
    </row>
    <row r="2004" spans="1:20" x14ac:dyDescent="0.2">
      <c r="A2004" s="169" t="str">
        <f t="shared" si="9"/>
        <v>641</v>
      </c>
      <c r="B2004" s="167" t="str">
        <f>_xlfn.XLOOKUP(I2004,Mapping!D:D,Mapping!E:E)</f>
        <v>Kinh doanh</v>
      </c>
      <c r="C2004" s="167" t="str">
        <f>_xlfn.XLOOKUP(F2004,Mapping!A:A,Mapping!F:F)</f>
        <v>Phụ Cấp</v>
      </c>
      <c r="D2004" s="173">
        <v>45991</v>
      </c>
      <c r="E2004" s="169" t="s">
        <v>1238</v>
      </c>
      <c r="F2004" s="169" t="s">
        <v>385</v>
      </c>
      <c r="G2004" s="169" t="s">
        <v>336</v>
      </c>
      <c r="H2004" s="169" t="s">
        <v>366</v>
      </c>
      <c r="I2004" s="169" t="s">
        <v>1</v>
      </c>
      <c r="J2004" s="169" t="s">
        <v>1239</v>
      </c>
      <c r="K2004" s="169" t="s">
        <v>1240</v>
      </c>
      <c r="L2004" s="169" t="s">
        <v>1213</v>
      </c>
      <c r="M2004" s="169" t="s">
        <v>281</v>
      </c>
      <c r="N2004" s="178">
        <v>100000</v>
      </c>
      <c r="O2004" s="169" t="s">
        <v>1241</v>
      </c>
      <c r="P2004" s="169" t="s">
        <v>283</v>
      </c>
      <c r="Q2004" s="169" t="s">
        <v>284</v>
      </c>
      <c r="R2004" s="169" t="s">
        <v>283</v>
      </c>
      <c r="S2004" s="169" t="s">
        <v>283</v>
      </c>
      <c r="T2004" s="169">
        <v>0</v>
      </c>
    </row>
    <row r="2005" spans="1:20" x14ac:dyDescent="0.2">
      <c r="A2005" s="169" t="str">
        <f t="shared" si="9"/>
        <v>642</v>
      </c>
      <c r="B2005" s="167" t="str">
        <f>_xlfn.XLOOKUP(I2005,Mapping!D:D,Mapping!E:E)</f>
        <v>Cung Ứng</v>
      </c>
      <c r="C2005" s="167" t="str">
        <f>_xlfn.XLOOKUP(F2005,Mapping!A:A,Mapping!F:F)</f>
        <v>Lương Chính +T13</v>
      </c>
      <c r="D2005" s="173">
        <v>45991</v>
      </c>
      <c r="E2005" s="169" t="s">
        <v>1238</v>
      </c>
      <c r="F2005" s="169" t="s">
        <v>274</v>
      </c>
      <c r="G2005" s="169" t="s">
        <v>275</v>
      </c>
      <c r="H2005" s="169" t="s">
        <v>380</v>
      </c>
      <c r="I2005" s="169" t="s">
        <v>381</v>
      </c>
      <c r="J2005" s="169" t="s">
        <v>1239</v>
      </c>
      <c r="K2005" s="169" t="s">
        <v>1240</v>
      </c>
      <c r="L2005" s="169" t="s">
        <v>1213</v>
      </c>
      <c r="M2005" s="169" t="s">
        <v>281</v>
      </c>
      <c r="N2005" s="178">
        <v>551878790</v>
      </c>
      <c r="O2005" s="169" t="s">
        <v>1241</v>
      </c>
      <c r="P2005" s="169" t="s">
        <v>283</v>
      </c>
      <c r="Q2005" s="169" t="s">
        <v>284</v>
      </c>
      <c r="R2005" s="169" t="s">
        <v>283</v>
      </c>
      <c r="S2005" s="169" t="s">
        <v>283</v>
      </c>
      <c r="T2005" s="169">
        <v>0</v>
      </c>
    </row>
    <row r="2006" spans="1:20" x14ac:dyDescent="0.2">
      <c r="A2006" s="169" t="str">
        <f t="shared" si="9"/>
        <v>642</v>
      </c>
      <c r="B2006" s="167" t="str">
        <f>_xlfn.XLOOKUP(I2006,Mapping!D:D,Mapping!E:E)</f>
        <v>Cung Ứng</v>
      </c>
      <c r="C2006" s="167" t="str">
        <f>_xlfn.XLOOKUP(F2006,Mapping!A:A,Mapping!F:F)</f>
        <v>Lương Chính +T13</v>
      </c>
      <c r="D2006" s="173">
        <v>45991</v>
      </c>
      <c r="E2006" s="169" t="s">
        <v>1238</v>
      </c>
      <c r="F2006" s="169" t="s">
        <v>285</v>
      </c>
      <c r="G2006" s="169" t="s">
        <v>286</v>
      </c>
      <c r="H2006" s="169" t="s">
        <v>380</v>
      </c>
      <c r="I2006" s="169" t="s">
        <v>381</v>
      </c>
      <c r="J2006" s="169" t="s">
        <v>1239</v>
      </c>
      <c r="K2006" s="169" t="s">
        <v>1240</v>
      </c>
      <c r="L2006" s="169" t="s">
        <v>1213</v>
      </c>
      <c r="M2006" s="169" t="s">
        <v>281</v>
      </c>
      <c r="N2006" s="178">
        <v>7227616</v>
      </c>
      <c r="O2006" s="169" t="s">
        <v>1241</v>
      </c>
      <c r="P2006" s="169" t="s">
        <v>283</v>
      </c>
      <c r="Q2006" s="169" t="s">
        <v>284</v>
      </c>
      <c r="R2006" s="169" t="s">
        <v>283</v>
      </c>
      <c r="S2006" s="169" t="s">
        <v>283</v>
      </c>
      <c r="T2006" s="169">
        <v>0</v>
      </c>
    </row>
    <row r="2007" spans="1:20" x14ac:dyDescent="0.2">
      <c r="A2007" s="169" t="str">
        <f t="shared" si="9"/>
        <v>642</v>
      </c>
      <c r="B2007" s="167" t="str">
        <f>_xlfn.XLOOKUP(I2007,Mapping!D:D,Mapping!E:E)</f>
        <v>Cung Ứng</v>
      </c>
      <c r="C2007" s="167" t="str">
        <f>_xlfn.XLOOKUP(F2007,Mapping!A:A,Mapping!F:F)</f>
        <v>Thưởng</v>
      </c>
      <c r="D2007" s="173">
        <v>45991</v>
      </c>
      <c r="E2007" s="169" t="s">
        <v>1238</v>
      </c>
      <c r="F2007" s="169" t="s">
        <v>290</v>
      </c>
      <c r="G2007" s="169" t="s">
        <v>291</v>
      </c>
      <c r="H2007" s="169" t="s">
        <v>380</v>
      </c>
      <c r="I2007" s="169" t="s">
        <v>381</v>
      </c>
      <c r="J2007" s="169" t="s">
        <v>1239</v>
      </c>
      <c r="K2007" s="169" t="s">
        <v>1240</v>
      </c>
      <c r="L2007" s="169" t="s">
        <v>1213</v>
      </c>
      <c r="M2007" s="169" t="s">
        <v>281</v>
      </c>
      <c r="N2007" s="178">
        <v>326907079</v>
      </c>
      <c r="O2007" s="169" t="s">
        <v>1241</v>
      </c>
      <c r="P2007" s="169" t="s">
        <v>283</v>
      </c>
      <c r="Q2007" s="169" t="s">
        <v>284</v>
      </c>
      <c r="R2007" s="169" t="s">
        <v>283</v>
      </c>
      <c r="S2007" s="169" t="s">
        <v>283</v>
      </c>
      <c r="T2007" s="169">
        <v>0</v>
      </c>
    </row>
    <row r="2008" spans="1:20" x14ac:dyDescent="0.2">
      <c r="A2008" s="169" t="str">
        <f t="shared" si="9"/>
        <v>642</v>
      </c>
      <c r="B2008" s="167" t="str">
        <f>_xlfn.XLOOKUP(I2008,Mapping!D:D,Mapping!E:E)</f>
        <v>Cung Ứng</v>
      </c>
      <c r="C2008" s="167" t="str">
        <f>_xlfn.XLOOKUP(F2008,Mapping!A:A,Mapping!F:F)</f>
        <v>Phụ Cấp</v>
      </c>
      <c r="D2008" s="173">
        <v>45991</v>
      </c>
      <c r="E2008" s="169" t="s">
        <v>1238</v>
      </c>
      <c r="F2008" s="169" t="s">
        <v>335</v>
      </c>
      <c r="G2008" s="169" t="s">
        <v>336</v>
      </c>
      <c r="H2008" s="169" t="s">
        <v>380</v>
      </c>
      <c r="I2008" s="169" t="s">
        <v>381</v>
      </c>
      <c r="J2008" s="169" t="s">
        <v>1239</v>
      </c>
      <c r="K2008" s="169" t="s">
        <v>1240</v>
      </c>
      <c r="L2008" s="169" t="s">
        <v>1213</v>
      </c>
      <c r="M2008" s="169" t="s">
        <v>281</v>
      </c>
      <c r="N2008" s="178">
        <v>11240000</v>
      </c>
      <c r="O2008" s="169" t="s">
        <v>1241</v>
      </c>
      <c r="P2008" s="169" t="s">
        <v>283</v>
      </c>
      <c r="Q2008" s="169" t="s">
        <v>284</v>
      </c>
      <c r="R2008" s="169" t="s">
        <v>283</v>
      </c>
      <c r="S2008" s="169" t="s">
        <v>283</v>
      </c>
      <c r="T2008" s="169">
        <v>0</v>
      </c>
    </row>
    <row r="2009" spans="1:20" x14ac:dyDescent="0.2">
      <c r="A2009" s="169" t="str">
        <f t="shared" si="9"/>
        <v>642</v>
      </c>
      <c r="B2009" s="167" t="str">
        <f>_xlfn.XLOOKUP(I2009,Mapping!D:D,Mapping!E:E)</f>
        <v>Mua Hàng &amp; XNK</v>
      </c>
      <c r="C2009" s="167" t="str">
        <f>_xlfn.XLOOKUP(F2009,Mapping!A:A,Mapping!F:F)</f>
        <v>Lương Chính +T13</v>
      </c>
      <c r="D2009" s="173">
        <v>45991</v>
      </c>
      <c r="E2009" s="169" t="s">
        <v>1238</v>
      </c>
      <c r="F2009" s="169" t="s">
        <v>274</v>
      </c>
      <c r="G2009" s="169" t="s">
        <v>275</v>
      </c>
      <c r="H2009" s="169" t="s">
        <v>378</v>
      </c>
      <c r="I2009" s="169" t="s">
        <v>379</v>
      </c>
      <c r="J2009" s="169" t="s">
        <v>1239</v>
      </c>
      <c r="K2009" s="169" t="s">
        <v>1240</v>
      </c>
      <c r="L2009" s="169" t="s">
        <v>1213</v>
      </c>
      <c r="M2009" s="169" t="s">
        <v>281</v>
      </c>
      <c r="N2009" s="178">
        <v>169079468</v>
      </c>
      <c r="O2009" s="169" t="s">
        <v>1241</v>
      </c>
      <c r="P2009" s="169" t="s">
        <v>283</v>
      </c>
      <c r="Q2009" s="169" t="s">
        <v>284</v>
      </c>
      <c r="R2009" s="169" t="s">
        <v>283</v>
      </c>
      <c r="S2009" s="169" t="s">
        <v>283</v>
      </c>
      <c r="T2009" s="169">
        <v>0</v>
      </c>
    </row>
    <row r="2010" spans="1:20" x14ac:dyDescent="0.2">
      <c r="A2010" s="169" t="str">
        <f t="shared" si="9"/>
        <v>642</v>
      </c>
      <c r="B2010" s="167" t="str">
        <f>_xlfn.XLOOKUP(I2010,Mapping!D:D,Mapping!E:E)</f>
        <v>Mua Hàng &amp; XNK</v>
      </c>
      <c r="C2010" s="167" t="str">
        <f>_xlfn.XLOOKUP(F2010,Mapping!A:A,Mapping!F:F)</f>
        <v>Lương Chính +T13</v>
      </c>
      <c r="D2010" s="173">
        <v>45991</v>
      </c>
      <c r="E2010" s="169" t="s">
        <v>1238</v>
      </c>
      <c r="F2010" s="169" t="s">
        <v>285</v>
      </c>
      <c r="G2010" s="169" t="s">
        <v>286</v>
      </c>
      <c r="H2010" s="169" t="s">
        <v>378</v>
      </c>
      <c r="I2010" s="169" t="s">
        <v>379</v>
      </c>
      <c r="J2010" s="169" t="s">
        <v>1239</v>
      </c>
      <c r="K2010" s="169" t="s">
        <v>1240</v>
      </c>
      <c r="L2010" s="169" t="s">
        <v>1213</v>
      </c>
      <c r="M2010" s="169" t="s">
        <v>281</v>
      </c>
      <c r="N2010" s="178">
        <v>7811923</v>
      </c>
      <c r="O2010" s="169" t="s">
        <v>1241</v>
      </c>
      <c r="P2010" s="169" t="s">
        <v>283</v>
      </c>
      <c r="Q2010" s="169" t="s">
        <v>284</v>
      </c>
      <c r="R2010" s="169" t="s">
        <v>283</v>
      </c>
      <c r="S2010" s="169" t="s">
        <v>283</v>
      </c>
      <c r="T2010" s="169">
        <v>0</v>
      </c>
    </row>
    <row r="2011" spans="1:20" x14ac:dyDescent="0.2">
      <c r="A2011" s="169" t="str">
        <f t="shared" si="9"/>
        <v>642</v>
      </c>
      <c r="B2011" s="167" t="str">
        <f>_xlfn.XLOOKUP(I2011,Mapping!D:D,Mapping!E:E)</f>
        <v>Mua Hàng &amp; XNK</v>
      </c>
      <c r="C2011" s="167" t="str">
        <f>_xlfn.XLOOKUP(F2011,Mapping!A:A,Mapping!F:F)</f>
        <v>Phụ Cấp</v>
      </c>
      <c r="D2011" s="173">
        <v>45991</v>
      </c>
      <c r="E2011" s="169" t="s">
        <v>1238</v>
      </c>
      <c r="F2011" s="169" t="s">
        <v>335</v>
      </c>
      <c r="G2011" s="169" t="s">
        <v>336</v>
      </c>
      <c r="H2011" s="169" t="s">
        <v>378</v>
      </c>
      <c r="I2011" s="169" t="s">
        <v>379</v>
      </c>
      <c r="J2011" s="169" t="s">
        <v>1239</v>
      </c>
      <c r="K2011" s="169" t="s">
        <v>1240</v>
      </c>
      <c r="L2011" s="169" t="s">
        <v>1213</v>
      </c>
      <c r="M2011" s="169" t="s">
        <v>281</v>
      </c>
      <c r="N2011" s="178">
        <v>500000</v>
      </c>
      <c r="O2011" s="169" t="s">
        <v>1241</v>
      </c>
      <c r="P2011" s="169" t="s">
        <v>283</v>
      </c>
      <c r="Q2011" s="169" t="s">
        <v>284</v>
      </c>
      <c r="R2011" s="169" t="s">
        <v>283</v>
      </c>
      <c r="S2011" s="169" t="s">
        <v>283</v>
      </c>
      <c r="T2011" s="169">
        <v>0</v>
      </c>
    </row>
    <row r="2012" spans="1:20" x14ac:dyDescent="0.2">
      <c r="A2012" s="169" t="str">
        <f t="shared" si="9"/>
        <v>627</v>
      </c>
      <c r="B2012" s="167" t="str">
        <f>_xlfn.XLOOKUP(I2012,Mapping!D:D,Mapping!E:E)</f>
        <v>Kỹ Thuật</v>
      </c>
      <c r="C2012" s="167" t="str">
        <f>_xlfn.XLOOKUP(F2012,Mapping!A:A,Mapping!F:F)</f>
        <v>Phụ Cấp</v>
      </c>
      <c r="D2012" s="173">
        <v>45991</v>
      </c>
      <c r="E2012" s="169" t="s">
        <v>1238</v>
      </c>
      <c r="F2012" s="169" t="s">
        <v>386</v>
      </c>
      <c r="G2012" s="169" t="s">
        <v>341</v>
      </c>
      <c r="H2012" s="169" t="s">
        <v>376</v>
      </c>
      <c r="I2012" s="169" t="s">
        <v>377</v>
      </c>
      <c r="J2012" s="169" t="s">
        <v>1239</v>
      </c>
      <c r="K2012" s="169" t="s">
        <v>1240</v>
      </c>
      <c r="L2012" s="169" t="s">
        <v>1213</v>
      </c>
      <c r="M2012" s="169" t="s">
        <v>281</v>
      </c>
      <c r="N2012" s="178">
        <v>44779857</v>
      </c>
      <c r="O2012" s="169" t="s">
        <v>1241</v>
      </c>
      <c r="P2012" s="169" t="s">
        <v>283</v>
      </c>
      <c r="Q2012" s="169" t="s">
        <v>284</v>
      </c>
      <c r="R2012" s="169" t="s">
        <v>283</v>
      </c>
      <c r="S2012" s="169" t="s">
        <v>283</v>
      </c>
      <c r="T2012" s="169">
        <v>0</v>
      </c>
    </row>
    <row r="2013" spans="1:20" x14ac:dyDescent="0.2">
      <c r="A2013" s="169" t="str">
        <f t="shared" si="9"/>
        <v>627</v>
      </c>
      <c r="B2013" s="167" t="str">
        <f>_xlfn.XLOOKUP(I2013,Mapping!D:D,Mapping!E:E)</f>
        <v>Kỹ Thuật</v>
      </c>
      <c r="C2013" s="167" t="str">
        <f>_xlfn.XLOOKUP(F2013,Mapping!A:A,Mapping!F:F)</f>
        <v>Lương Chính +T13</v>
      </c>
      <c r="D2013" s="173">
        <v>45991</v>
      </c>
      <c r="E2013" s="169" t="s">
        <v>1238</v>
      </c>
      <c r="F2013" s="169" t="s">
        <v>387</v>
      </c>
      <c r="G2013" s="169" t="s">
        <v>275</v>
      </c>
      <c r="H2013" s="169" t="s">
        <v>376</v>
      </c>
      <c r="I2013" s="169" t="s">
        <v>377</v>
      </c>
      <c r="J2013" s="169" t="s">
        <v>1239</v>
      </c>
      <c r="K2013" s="169" t="s">
        <v>1240</v>
      </c>
      <c r="L2013" s="169" t="s">
        <v>1213</v>
      </c>
      <c r="M2013" s="169" t="s">
        <v>281</v>
      </c>
      <c r="N2013" s="178">
        <v>1088094565</v>
      </c>
      <c r="O2013" s="169" t="s">
        <v>1241</v>
      </c>
      <c r="P2013" s="169" t="s">
        <v>283</v>
      </c>
      <c r="Q2013" s="169" t="s">
        <v>284</v>
      </c>
      <c r="R2013" s="169" t="s">
        <v>283</v>
      </c>
      <c r="S2013" s="169" t="s">
        <v>283</v>
      </c>
      <c r="T2013" s="169">
        <v>0</v>
      </c>
    </row>
    <row r="2014" spans="1:20" x14ac:dyDescent="0.2">
      <c r="A2014" s="169" t="str">
        <f t="shared" si="9"/>
        <v>627</v>
      </c>
      <c r="B2014" s="167" t="str">
        <f>_xlfn.XLOOKUP(I2014,Mapping!D:D,Mapping!E:E)</f>
        <v>Kỹ Thuật</v>
      </c>
      <c r="C2014" s="167" t="str">
        <f>_xlfn.XLOOKUP(F2014,Mapping!A:A,Mapping!F:F)</f>
        <v>Lương Chính +T13</v>
      </c>
      <c r="D2014" s="173">
        <v>45991</v>
      </c>
      <c r="E2014" s="169" t="s">
        <v>1238</v>
      </c>
      <c r="F2014" s="169" t="s">
        <v>388</v>
      </c>
      <c r="G2014" s="169" t="s">
        <v>286</v>
      </c>
      <c r="H2014" s="169" t="s">
        <v>376</v>
      </c>
      <c r="I2014" s="169" t="s">
        <v>377</v>
      </c>
      <c r="J2014" s="169" t="s">
        <v>1239</v>
      </c>
      <c r="K2014" s="169" t="s">
        <v>1240</v>
      </c>
      <c r="L2014" s="169" t="s">
        <v>1213</v>
      </c>
      <c r="M2014" s="169" t="s">
        <v>281</v>
      </c>
      <c r="N2014" s="178">
        <v>56746504</v>
      </c>
      <c r="O2014" s="169" t="s">
        <v>1241</v>
      </c>
      <c r="P2014" s="169" t="s">
        <v>283</v>
      </c>
      <c r="Q2014" s="169" t="s">
        <v>284</v>
      </c>
      <c r="R2014" s="169" t="s">
        <v>283</v>
      </c>
      <c r="S2014" s="169" t="s">
        <v>283</v>
      </c>
      <c r="T2014" s="169">
        <v>0</v>
      </c>
    </row>
    <row r="2015" spans="1:20" x14ac:dyDescent="0.2">
      <c r="A2015" s="169" t="str">
        <f t="shared" si="9"/>
        <v>627</v>
      </c>
      <c r="B2015" s="167" t="str">
        <f>_xlfn.XLOOKUP(I2015,Mapping!D:D,Mapping!E:E)</f>
        <v>Kỹ Thuật</v>
      </c>
      <c r="C2015" s="167" t="str">
        <f>_xlfn.XLOOKUP(F2015,Mapping!A:A,Mapping!F:F)</f>
        <v>Lương Ngoài giờ</v>
      </c>
      <c r="D2015" s="173">
        <v>45991</v>
      </c>
      <c r="E2015" s="169" t="s">
        <v>1238</v>
      </c>
      <c r="F2015" s="169" t="s">
        <v>389</v>
      </c>
      <c r="G2015" s="169" t="s">
        <v>390</v>
      </c>
      <c r="H2015" s="169" t="s">
        <v>376</v>
      </c>
      <c r="I2015" s="169" t="s">
        <v>377</v>
      </c>
      <c r="J2015" s="169" t="s">
        <v>1239</v>
      </c>
      <c r="K2015" s="169" t="s">
        <v>1240</v>
      </c>
      <c r="L2015" s="169" t="s">
        <v>1213</v>
      </c>
      <c r="M2015" s="169" t="s">
        <v>281</v>
      </c>
      <c r="N2015" s="178">
        <v>275445780</v>
      </c>
      <c r="O2015" s="169" t="s">
        <v>1241</v>
      </c>
      <c r="P2015" s="169" t="s">
        <v>283</v>
      </c>
      <c r="Q2015" s="169" t="s">
        <v>284</v>
      </c>
      <c r="R2015" s="169" t="s">
        <v>283</v>
      </c>
      <c r="S2015" s="169" t="s">
        <v>283</v>
      </c>
      <c r="T2015" s="169">
        <v>0</v>
      </c>
    </row>
    <row r="2016" spans="1:20" x14ac:dyDescent="0.2">
      <c r="A2016" s="169" t="str">
        <f t="shared" si="9"/>
        <v>627</v>
      </c>
      <c r="B2016" s="167" t="str">
        <f>_xlfn.XLOOKUP(I2016,Mapping!D:D,Mapping!E:E)</f>
        <v>Kỹ Thuật</v>
      </c>
      <c r="C2016" s="167" t="str">
        <f>_xlfn.XLOOKUP(F2016,Mapping!A:A,Mapping!F:F)</f>
        <v>Phụ Cấp</v>
      </c>
      <c r="D2016" s="173">
        <v>45991</v>
      </c>
      <c r="E2016" s="169" t="s">
        <v>1238</v>
      </c>
      <c r="F2016" s="169" t="s">
        <v>375</v>
      </c>
      <c r="G2016" s="169" t="s">
        <v>336</v>
      </c>
      <c r="H2016" s="169" t="s">
        <v>376</v>
      </c>
      <c r="I2016" s="169" t="s">
        <v>377</v>
      </c>
      <c r="J2016" s="169" t="s">
        <v>1239</v>
      </c>
      <c r="K2016" s="169" t="s">
        <v>1240</v>
      </c>
      <c r="L2016" s="169" t="s">
        <v>1213</v>
      </c>
      <c r="M2016" s="169" t="s">
        <v>281</v>
      </c>
      <c r="N2016" s="178">
        <v>275000</v>
      </c>
      <c r="O2016" s="169" t="s">
        <v>1241</v>
      </c>
      <c r="P2016" s="169" t="s">
        <v>283</v>
      </c>
      <c r="Q2016" s="169" t="s">
        <v>284</v>
      </c>
      <c r="R2016" s="169" t="s">
        <v>283</v>
      </c>
      <c r="S2016" s="169" t="s">
        <v>283</v>
      </c>
      <c r="T2016" s="169">
        <v>0</v>
      </c>
    </row>
    <row r="2017" spans="1:20" x14ac:dyDescent="0.2">
      <c r="A2017" s="169" t="str">
        <f t="shared" si="9"/>
        <v>627</v>
      </c>
      <c r="B2017" s="167" t="str">
        <f>_xlfn.XLOOKUP(I2017,Mapping!D:D,Mapping!E:E)</f>
        <v>Kiểm Soát Chất Lượng</v>
      </c>
      <c r="C2017" s="167" t="str">
        <f>_xlfn.XLOOKUP(F2017,Mapping!A:A,Mapping!F:F)</f>
        <v>Phụ Cấp</v>
      </c>
      <c r="D2017" s="173">
        <v>45991</v>
      </c>
      <c r="E2017" s="169" t="s">
        <v>1238</v>
      </c>
      <c r="F2017" s="169" t="s">
        <v>386</v>
      </c>
      <c r="G2017" s="169" t="s">
        <v>341</v>
      </c>
      <c r="H2017" s="169" t="s">
        <v>411</v>
      </c>
      <c r="I2017" s="169" t="s">
        <v>412</v>
      </c>
      <c r="J2017" s="169" t="s">
        <v>1239</v>
      </c>
      <c r="K2017" s="169" t="s">
        <v>1240</v>
      </c>
      <c r="L2017" s="169" t="s">
        <v>1213</v>
      </c>
      <c r="M2017" s="169" t="s">
        <v>281</v>
      </c>
      <c r="N2017" s="178">
        <v>26352312</v>
      </c>
      <c r="O2017" s="169" t="s">
        <v>1241</v>
      </c>
      <c r="P2017" s="169" t="s">
        <v>283</v>
      </c>
      <c r="Q2017" s="169" t="s">
        <v>284</v>
      </c>
      <c r="R2017" s="169" t="s">
        <v>283</v>
      </c>
      <c r="S2017" s="169" t="s">
        <v>283</v>
      </c>
      <c r="T2017" s="169">
        <v>0</v>
      </c>
    </row>
    <row r="2018" spans="1:20" x14ac:dyDescent="0.2">
      <c r="A2018" s="169" t="str">
        <f t="shared" si="9"/>
        <v>627</v>
      </c>
      <c r="B2018" s="167" t="str">
        <f>_xlfn.XLOOKUP(I2018,Mapping!D:D,Mapping!E:E)</f>
        <v>Kiểm Soát Chất Lượng</v>
      </c>
      <c r="C2018" s="167" t="str">
        <f>_xlfn.XLOOKUP(F2018,Mapping!A:A,Mapping!F:F)</f>
        <v>Lương Chính +T13</v>
      </c>
      <c r="D2018" s="173">
        <v>45991</v>
      </c>
      <c r="E2018" s="169" t="s">
        <v>1238</v>
      </c>
      <c r="F2018" s="169" t="s">
        <v>387</v>
      </c>
      <c r="G2018" s="169" t="s">
        <v>275</v>
      </c>
      <c r="H2018" s="169" t="s">
        <v>411</v>
      </c>
      <c r="I2018" s="169" t="s">
        <v>412</v>
      </c>
      <c r="J2018" s="169" t="s">
        <v>1239</v>
      </c>
      <c r="K2018" s="169" t="s">
        <v>1240</v>
      </c>
      <c r="L2018" s="169" t="s">
        <v>1213</v>
      </c>
      <c r="M2018" s="169" t="s">
        <v>281</v>
      </c>
      <c r="N2018" s="178">
        <v>498475148</v>
      </c>
      <c r="O2018" s="169" t="s">
        <v>1241</v>
      </c>
      <c r="P2018" s="169" t="s">
        <v>283</v>
      </c>
      <c r="Q2018" s="169" t="s">
        <v>284</v>
      </c>
      <c r="R2018" s="169" t="s">
        <v>283</v>
      </c>
      <c r="S2018" s="169" t="s">
        <v>283</v>
      </c>
      <c r="T2018" s="169">
        <v>0</v>
      </c>
    </row>
    <row r="2019" spans="1:20" x14ac:dyDescent="0.2">
      <c r="A2019" s="169" t="str">
        <f t="shared" si="9"/>
        <v>627</v>
      </c>
      <c r="B2019" s="167" t="str">
        <f>_xlfn.XLOOKUP(I2019,Mapping!D:D,Mapping!E:E)</f>
        <v>Kiểm Soát Chất Lượng</v>
      </c>
      <c r="C2019" s="167" t="str">
        <f>_xlfn.XLOOKUP(F2019,Mapping!A:A,Mapping!F:F)</f>
        <v>Lương Chính +T13</v>
      </c>
      <c r="D2019" s="173">
        <v>45991</v>
      </c>
      <c r="E2019" s="169" t="s">
        <v>1238</v>
      </c>
      <c r="F2019" s="169" t="s">
        <v>388</v>
      </c>
      <c r="G2019" s="169" t="s">
        <v>286</v>
      </c>
      <c r="H2019" s="169" t="s">
        <v>411</v>
      </c>
      <c r="I2019" s="169" t="s">
        <v>412</v>
      </c>
      <c r="J2019" s="169" t="s">
        <v>1239</v>
      </c>
      <c r="K2019" s="169" t="s">
        <v>1240</v>
      </c>
      <c r="L2019" s="169" t="s">
        <v>1213</v>
      </c>
      <c r="M2019" s="169" t="s">
        <v>281</v>
      </c>
      <c r="N2019" s="178">
        <v>17819594</v>
      </c>
      <c r="O2019" s="169" t="s">
        <v>1241</v>
      </c>
      <c r="P2019" s="169" t="s">
        <v>283</v>
      </c>
      <c r="Q2019" s="169" t="s">
        <v>284</v>
      </c>
      <c r="R2019" s="169" t="s">
        <v>283</v>
      </c>
      <c r="S2019" s="169" t="s">
        <v>283</v>
      </c>
      <c r="T2019" s="169">
        <v>0</v>
      </c>
    </row>
    <row r="2020" spans="1:20" x14ac:dyDescent="0.2">
      <c r="A2020" s="169" t="str">
        <f t="shared" si="9"/>
        <v>627</v>
      </c>
      <c r="B2020" s="167" t="str">
        <f>_xlfn.XLOOKUP(I2020,Mapping!D:D,Mapping!E:E)</f>
        <v>Kiểm Soát Chất Lượng</v>
      </c>
      <c r="C2020" s="167" t="str">
        <f>_xlfn.XLOOKUP(F2020,Mapping!A:A,Mapping!F:F)</f>
        <v>Lương Ngoài giờ</v>
      </c>
      <c r="D2020" s="173">
        <v>45991</v>
      </c>
      <c r="E2020" s="169" t="s">
        <v>1238</v>
      </c>
      <c r="F2020" s="169" t="s">
        <v>389</v>
      </c>
      <c r="G2020" s="169" t="s">
        <v>390</v>
      </c>
      <c r="H2020" s="169" t="s">
        <v>411</v>
      </c>
      <c r="I2020" s="169" t="s">
        <v>412</v>
      </c>
      <c r="J2020" s="169" t="s">
        <v>1239</v>
      </c>
      <c r="K2020" s="169" t="s">
        <v>1240</v>
      </c>
      <c r="L2020" s="169" t="s">
        <v>1213</v>
      </c>
      <c r="M2020" s="169" t="s">
        <v>281</v>
      </c>
      <c r="N2020" s="178">
        <v>151663660</v>
      </c>
      <c r="O2020" s="169" t="s">
        <v>1241</v>
      </c>
      <c r="P2020" s="169" t="s">
        <v>283</v>
      </c>
      <c r="Q2020" s="169" t="s">
        <v>284</v>
      </c>
      <c r="R2020" s="169" t="s">
        <v>283</v>
      </c>
      <c r="S2020" s="169" t="s">
        <v>283</v>
      </c>
      <c r="T2020" s="169">
        <v>0</v>
      </c>
    </row>
    <row r="2021" spans="1:20" x14ac:dyDescent="0.2">
      <c r="A2021" s="169" t="str">
        <f t="shared" si="9"/>
        <v>627</v>
      </c>
      <c r="B2021" s="167" t="str">
        <f>_xlfn.XLOOKUP(I2021,Mapping!D:D,Mapping!E:E)</f>
        <v>Kiểm Soát Chất Lượng</v>
      </c>
      <c r="C2021" s="167" t="str">
        <f>_xlfn.XLOOKUP(F2021,Mapping!A:A,Mapping!F:F)</f>
        <v>Phụ Cấp</v>
      </c>
      <c r="D2021" s="173">
        <v>45991</v>
      </c>
      <c r="E2021" s="169" t="s">
        <v>1238</v>
      </c>
      <c r="F2021" s="169" t="s">
        <v>375</v>
      </c>
      <c r="G2021" s="169" t="s">
        <v>336</v>
      </c>
      <c r="H2021" s="169" t="s">
        <v>411</v>
      </c>
      <c r="I2021" s="169" t="s">
        <v>412</v>
      </c>
      <c r="J2021" s="169" t="s">
        <v>1239</v>
      </c>
      <c r="K2021" s="169" t="s">
        <v>1240</v>
      </c>
      <c r="L2021" s="169" t="s">
        <v>1213</v>
      </c>
      <c r="M2021" s="169" t="s">
        <v>281</v>
      </c>
      <c r="N2021" s="178">
        <v>500000</v>
      </c>
      <c r="O2021" s="169" t="s">
        <v>1241</v>
      </c>
      <c r="P2021" s="169" t="s">
        <v>283</v>
      </c>
      <c r="Q2021" s="169" t="s">
        <v>284</v>
      </c>
      <c r="R2021" s="169" t="s">
        <v>283</v>
      </c>
      <c r="S2021" s="169" t="s">
        <v>283</v>
      </c>
      <c r="T2021" s="169">
        <v>0</v>
      </c>
    </row>
    <row r="2022" spans="1:20" x14ac:dyDescent="0.2">
      <c r="A2022" s="169" t="str">
        <f t="shared" si="9"/>
        <v>627</v>
      </c>
      <c r="B2022" s="167" t="str">
        <f>_xlfn.XLOOKUP(I2022,Mapping!D:D,Mapping!E:E)</f>
        <v>Nghiên Cứu &amp; Phát Triển</v>
      </c>
      <c r="C2022" s="167" t="str">
        <f>_xlfn.XLOOKUP(F2022,Mapping!A:A,Mapping!F:F)</f>
        <v>Lương Chính +T13</v>
      </c>
      <c r="D2022" s="173">
        <v>45991</v>
      </c>
      <c r="E2022" s="169" t="s">
        <v>1238</v>
      </c>
      <c r="F2022" s="169" t="s">
        <v>387</v>
      </c>
      <c r="G2022" s="169" t="s">
        <v>275</v>
      </c>
      <c r="H2022" s="169" t="s">
        <v>418</v>
      </c>
      <c r="I2022" s="169" t="s">
        <v>419</v>
      </c>
      <c r="J2022" s="169" t="s">
        <v>1239</v>
      </c>
      <c r="K2022" s="169" t="s">
        <v>1240</v>
      </c>
      <c r="L2022" s="169" t="s">
        <v>1213</v>
      </c>
      <c r="M2022" s="169" t="s">
        <v>281</v>
      </c>
      <c r="N2022" s="178">
        <v>182451396</v>
      </c>
      <c r="O2022" s="169" t="s">
        <v>1241</v>
      </c>
      <c r="P2022" s="169" t="s">
        <v>283</v>
      </c>
      <c r="Q2022" s="169" t="s">
        <v>284</v>
      </c>
      <c r="R2022" s="169" t="s">
        <v>283</v>
      </c>
      <c r="S2022" s="169" t="s">
        <v>283</v>
      </c>
      <c r="T2022" s="169">
        <v>0</v>
      </c>
    </row>
    <row r="2023" spans="1:20" x14ac:dyDescent="0.2">
      <c r="A2023" s="169" t="str">
        <f t="shared" si="9"/>
        <v>627</v>
      </c>
      <c r="B2023" s="167" t="str">
        <f>_xlfn.XLOOKUP(I2023,Mapping!D:D,Mapping!E:E)</f>
        <v>Nghiên Cứu &amp; Phát Triển</v>
      </c>
      <c r="C2023" s="167" t="str">
        <f>_xlfn.XLOOKUP(F2023,Mapping!A:A,Mapping!F:F)</f>
        <v>Lương Chính +T13</v>
      </c>
      <c r="D2023" s="173">
        <v>45991</v>
      </c>
      <c r="E2023" s="169" t="s">
        <v>1238</v>
      </c>
      <c r="F2023" s="169" t="s">
        <v>388</v>
      </c>
      <c r="G2023" s="169" t="s">
        <v>286</v>
      </c>
      <c r="H2023" s="169" t="s">
        <v>418</v>
      </c>
      <c r="I2023" s="169" t="s">
        <v>419</v>
      </c>
      <c r="J2023" s="169" t="s">
        <v>1239</v>
      </c>
      <c r="K2023" s="169" t="s">
        <v>1240</v>
      </c>
      <c r="L2023" s="169" t="s">
        <v>1213</v>
      </c>
      <c r="M2023" s="169" t="s">
        <v>281</v>
      </c>
      <c r="N2023" s="178">
        <v>12076922</v>
      </c>
      <c r="O2023" s="169" t="s">
        <v>1241</v>
      </c>
      <c r="P2023" s="169" t="s">
        <v>283</v>
      </c>
      <c r="Q2023" s="169" t="s">
        <v>284</v>
      </c>
      <c r="R2023" s="169" t="s">
        <v>283</v>
      </c>
      <c r="S2023" s="169" t="s">
        <v>283</v>
      </c>
      <c r="T2023" s="169">
        <v>0</v>
      </c>
    </row>
    <row r="2024" spans="1:20" x14ac:dyDescent="0.2">
      <c r="A2024" s="169" t="str">
        <f t="shared" si="9"/>
        <v>627</v>
      </c>
      <c r="B2024" s="167" t="str">
        <f>_xlfn.XLOOKUP(I2024,Mapping!D:D,Mapping!E:E)</f>
        <v>Nghiên Cứu &amp; Phát Triển</v>
      </c>
      <c r="C2024" s="167" t="str">
        <f>_xlfn.XLOOKUP(F2024,Mapping!A:A,Mapping!F:F)</f>
        <v>Phụ Cấp</v>
      </c>
      <c r="D2024" s="173">
        <v>45991</v>
      </c>
      <c r="E2024" s="169" t="s">
        <v>1238</v>
      </c>
      <c r="F2024" s="169" t="s">
        <v>375</v>
      </c>
      <c r="G2024" s="169" t="s">
        <v>336</v>
      </c>
      <c r="H2024" s="169" t="s">
        <v>418</v>
      </c>
      <c r="I2024" s="169" t="s">
        <v>419</v>
      </c>
      <c r="J2024" s="169" t="s">
        <v>1239</v>
      </c>
      <c r="K2024" s="169" t="s">
        <v>1240</v>
      </c>
      <c r="L2024" s="169" t="s">
        <v>1213</v>
      </c>
      <c r="M2024" s="169" t="s">
        <v>281</v>
      </c>
      <c r="N2024" s="178">
        <v>800000</v>
      </c>
      <c r="O2024" s="169" t="s">
        <v>1241</v>
      </c>
      <c r="P2024" s="169" t="s">
        <v>283</v>
      </c>
      <c r="Q2024" s="169" t="s">
        <v>284</v>
      </c>
      <c r="R2024" s="169" t="s">
        <v>283</v>
      </c>
      <c r="S2024" s="169" t="s">
        <v>283</v>
      </c>
      <c r="T2024" s="169">
        <v>0</v>
      </c>
    </row>
    <row r="2025" spans="1:20" x14ac:dyDescent="0.2">
      <c r="A2025" s="169" t="str">
        <f t="shared" si="9"/>
        <v>622</v>
      </c>
      <c r="B2025" s="167" t="str">
        <f>_xlfn.XLOOKUP(I2025,Mapping!D:D,Mapping!E:E)</f>
        <v>Xưởng Sản Xuất</v>
      </c>
      <c r="C2025" s="167" t="str">
        <f>_xlfn.XLOOKUP(F2025,Mapping!A:A,Mapping!F:F)</f>
        <v>Lương Chính +T13</v>
      </c>
      <c r="D2025" s="173">
        <v>45991</v>
      </c>
      <c r="E2025" s="169" t="s">
        <v>1238</v>
      </c>
      <c r="F2025" s="169" t="s">
        <v>400</v>
      </c>
      <c r="G2025" s="169" t="s">
        <v>401</v>
      </c>
      <c r="H2025" s="169" t="s">
        <v>402</v>
      </c>
      <c r="I2025" s="169" t="s">
        <v>403</v>
      </c>
      <c r="J2025" s="169" t="s">
        <v>1239</v>
      </c>
      <c r="K2025" s="169" t="s">
        <v>1240</v>
      </c>
      <c r="L2025" s="169" t="s">
        <v>1213</v>
      </c>
      <c r="M2025" s="169" t="s">
        <v>281</v>
      </c>
      <c r="N2025" s="178">
        <v>1712520007</v>
      </c>
      <c r="O2025" s="169" t="s">
        <v>1241</v>
      </c>
      <c r="P2025" s="169" t="s">
        <v>283</v>
      </c>
      <c r="Q2025" s="169" t="s">
        <v>284</v>
      </c>
      <c r="R2025" s="169" t="s">
        <v>283</v>
      </c>
      <c r="S2025" s="169" t="s">
        <v>283</v>
      </c>
      <c r="T2025" s="169">
        <v>0</v>
      </c>
    </row>
    <row r="2026" spans="1:20" x14ac:dyDescent="0.2">
      <c r="A2026" s="169" t="str">
        <f t="shared" ref="A2026:A2089" si="10">LEFT(F2026,3)</f>
        <v>622</v>
      </c>
      <c r="B2026" s="167" t="str">
        <f>_xlfn.XLOOKUP(I2026,Mapping!D:D,Mapping!E:E)</f>
        <v>Xưởng Sản Xuất</v>
      </c>
      <c r="C2026" s="167" t="str">
        <f>_xlfn.XLOOKUP(F2026,Mapping!A:A,Mapping!F:F)</f>
        <v>Lương Chính +T13</v>
      </c>
      <c r="D2026" s="173">
        <v>45991</v>
      </c>
      <c r="E2026" s="169" t="s">
        <v>1238</v>
      </c>
      <c r="F2026" s="169" t="s">
        <v>420</v>
      </c>
      <c r="G2026" s="169" t="s">
        <v>286</v>
      </c>
      <c r="H2026" s="169" t="s">
        <v>402</v>
      </c>
      <c r="I2026" s="169" t="s">
        <v>403</v>
      </c>
      <c r="J2026" s="169" t="s">
        <v>1239</v>
      </c>
      <c r="K2026" s="169" t="s">
        <v>1240</v>
      </c>
      <c r="L2026" s="169" t="s">
        <v>1213</v>
      </c>
      <c r="M2026" s="169" t="s">
        <v>281</v>
      </c>
      <c r="N2026" s="178">
        <v>61182322</v>
      </c>
      <c r="O2026" s="169" t="s">
        <v>1241</v>
      </c>
      <c r="P2026" s="169" t="s">
        <v>283</v>
      </c>
      <c r="Q2026" s="169" t="s">
        <v>284</v>
      </c>
      <c r="R2026" s="169" t="s">
        <v>283</v>
      </c>
      <c r="S2026" s="169" t="s">
        <v>283</v>
      </c>
      <c r="T2026" s="169">
        <v>0</v>
      </c>
    </row>
    <row r="2027" spans="1:20" x14ac:dyDescent="0.2">
      <c r="A2027" s="169" t="str">
        <f t="shared" si="10"/>
        <v>622</v>
      </c>
      <c r="B2027" s="167" t="str">
        <f>_xlfn.XLOOKUP(I2027,Mapping!D:D,Mapping!E:E)</f>
        <v>Xưởng Sản Xuất</v>
      </c>
      <c r="C2027" s="167" t="str">
        <f>_xlfn.XLOOKUP(F2027,Mapping!A:A,Mapping!F:F)</f>
        <v>Phụ Cấp</v>
      </c>
      <c r="D2027" s="173">
        <v>45991</v>
      </c>
      <c r="E2027" s="169" t="s">
        <v>1238</v>
      </c>
      <c r="F2027" s="169" t="s">
        <v>421</v>
      </c>
      <c r="G2027" s="169" t="s">
        <v>341</v>
      </c>
      <c r="H2027" s="169" t="s">
        <v>402</v>
      </c>
      <c r="I2027" s="169" t="s">
        <v>403</v>
      </c>
      <c r="J2027" s="169" t="s">
        <v>1239</v>
      </c>
      <c r="K2027" s="169" t="s">
        <v>1240</v>
      </c>
      <c r="L2027" s="169" t="s">
        <v>1213</v>
      </c>
      <c r="M2027" s="169" t="s">
        <v>281</v>
      </c>
      <c r="N2027" s="178">
        <v>141034499</v>
      </c>
      <c r="O2027" s="169" t="s">
        <v>1241</v>
      </c>
      <c r="P2027" s="169" t="s">
        <v>283</v>
      </c>
      <c r="Q2027" s="169" t="s">
        <v>284</v>
      </c>
      <c r="R2027" s="169" t="s">
        <v>283</v>
      </c>
      <c r="S2027" s="169" t="s">
        <v>283</v>
      </c>
      <c r="T2027" s="169">
        <v>0</v>
      </c>
    </row>
    <row r="2028" spans="1:20" x14ac:dyDescent="0.2">
      <c r="A2028" s="169" t="str">
        <f t="shared" si="10"/>
        <v>622</v>
      </c>
      <c r="B2028" s="167" t="str">
        <f>_xlfn.XLOOKUP(I2028,Mapping!D:D,Mapping!E:E)</f>
        <v>Xưởng Sản Xuất</v>
      </c>
      <c r="C2028" s="167" t="str">
        <f>_xlfn.XLOOKUP(F2028,Mapping!A:A,Mapping!F:F)</f>
        <v>Lương Ngoài giờ</v>
      </c>
      <c r="D2028" s="173">
        <v>45991</v>
      </c>
      <c r="E2028" s="169" t="s">
        <v>1238</v>
      </c>
      <c r="F2028" s="169" t="s">
        <v>422</v>
      </c>
      <c r="G2028" s="169" t="s">
        <v>423</v>
      </c>
      <c r="H2028" s="169" t="s">
        <v>402</v>
      </c>
      <c r="I2028" s="169" t="s">
        <v>403</v>
      </c>
      <c r="J2028" s="169" t="s">
        <v>1239</v>
      </c>
      <c r="K2028" s="169" t="s">
        <v>1240</v>
      </c>
      <c r="L2028" s="169" t="s">
        <v>1213</v>
      </c>
      <c r="M2028" s="169" t="s">
        <v>281</v>
      </c>
      <c r="N2028" s="178">
        <v>309548280</v>
      </c>
      <c r="O2028" s="169" t="s">
        <v>1241</v>
      </c>
      <c r="P2028" s="169" t="s">
        <v>283</v>
      </c>
      <c r="Q2028" s="169" t="s">
        <v>284</v>
      </c>
      <c r="R2028" s="169" t="s">
        <v>283</v>
      </c>
      <c r="S2028" s="169" t="s">
        <v>283</v>
      </c>
      <c r="T2028" s="169">
        <v>0</v>
      </c>
    </row>
    <row r="2029" spans="1:20" x14ac:dyDescent="0.2">
      <c r="A2029" s="169" t="str">
        <f t="shared" si="10"/>
        <v>622</v>
      </c>
      <c r="B2029" s="167" t="str">
        <f>_xlfn.XLOOKUP(I2029,Mapping!D:D,Mapping!E:E)</f>
        <v>Xưởng Sản Xuất</v>
      </c>
      <c r="C2029" s="167" t="str">
        <f>_xlfn.XLOOKUP(F2029,Mapping!A:A,Mapping!F:F)</f>
        <v>Phụ Cấp</v>
      </c>
      <c r="D2029" s="173">
        <v>45991</v>
      </c>
      <c r="E2029" s="169" t="s">
        <v>1238</v>
      </c>
      <c r="F2029" s="169" t="s">
        <v>414</v>
      </c>
      <c r="G2029" s="169" t="s">
        <v>415</v>
      </c>
      <c r="H2029" s="169" t="s">
        <v>402</v>
      </c>
      <c r="I2029" s="169" t="s">
        <v>403</v>
      </c>
      <c r="J2029" s="169" t="s">
        <v>1239</v>
      </c>
      <c r="K2029" s="169" t="s">
        <v>1240</v>
      </c>
      <c r="L2029" s="169" t="s">
        <v>1213</v>
      </c>
      <c r="M2029" s="169" t="s">
        <v>281</v>
      </c>
      <c r="N2029" s="178">
        <v>70000</v>
      </c>
      <c r="O2029" s="169" t="s">
        <v>1241</v>
      </c>
      <c r="P2029" s="169" t="s">
        <v>283</v>
      </c>
      <c r="Q2029" s="169" t="s">
        <v>284</v>
      </c>
      <c r="R2029" s="169" t="s">
        <v>283</v>
      </c>
      <c r="S2029" s="169" t="s">
        <v>283</v>
      </c>
      <c r="T2029" s="169">
        <v>0</v>
      </c>
    </row>
    <row r="2030" spans="1:20" x14ac:dyDescent="0.2">
      <c r="A2030" s="169" t="str">
        <f t="shared" si="10"/>
        <v>627</v>
      </c>
      <c r="B2030" s="167" t="str">
        <f>_xlfn.XLOOKUP(I2030,Mapping!D:D,Mapping!E:E)</f>
        <v>Xưởng Sản Xuất</v>
      </c>
      <c r="C2030" s="167" t="str">
        <f>_xlfn.XLOOKUP(F2030,Mapping!A:A,Mapping!F:F)</f>
        <v>Phụ Cấp</v>
      </c>
      <c r="D2030" s="173">
        <v>45991</v>
      </c>
      <c r="E2030" s="169" t="s">
        <v>1238</v>
      </c>
      <c r="F2030" s="169" t="s">
        <v>386</v>
      </c>
      <c r="G2030" s="169" t="s">
        <v>341</v>
      </c>
      <c r="H2030" s="169" t="s">
        <v>402</v>
      </c>
      <c r="I2030" s="169" t="s">
        <v>403</v>
      </c>
      <c r="J2030" s="169" t="s">
        <v>1239</v>
      </c>
      <c r="K2030" s="169" t="s">
        <v>1240</v>
      </c>
      <c r="L2030" s="169" t="s">
        <v>1213</v>
      </c>
      <c r="M2030" s="169" t="s">
        <v>281</v>
      </c>
      <c r="N2030" s="178">
        <v>11340623</v>
      </c>
      <c r="O2030" s="169" t="s">
        <v>1241</v>
      </c>
      <c r="P2030" s="169" t="s">
        <v>283</v>
      </c>
      <c r="Q2030" s="169" t="s">
        <v>284</v>
      </c>
      <c r="R2030" s="169" t="s">
        <v>283</v>
      </c>
      <c r="S2030" s="169" t="s">
        <v>283</v>
      </c>
      <c r="T2030" s="169">
        <v>0</v>
      </c>
    </row>
    <row r="2031" spans="1:20" x14ac:dyDescent="0.2">
      <c r="A2031" s="169" t="str">
        <f t="shared" si="10"/>
        <v>627</v>
      </c>
      <c r="B2031" s="167" t="str">
        <f>_xlfn.XLOOKUP(I2031,Mapping!D:D,Mapping!E:E)</f>
        <v>Xưởng Sản Xuất</v>
      </c>
      <c r="C2031" s="167" t="str">
        <f>_xlfn.XLOOKUP(F2031,Mapping!A:A,Mapping!F:F)</f>
        <v>Lương Chính +T13</v>
      </c>
      <c r="D2031" s="173">
        <v>45991</v>
      </c>
      <c r="E2031" s="169" t="s">
        <v>1238</v>
      </c>
      <c r="F2031" s="169" t="s">
        <v>387</v>
      </c>
      <c r="G2031" s="169" t="s">
        <v>275</v>
      </c>
      <c r="H2031" s="169" t="s">
        <v>402</v>
      </c>
      <c r="I2031" s="169" t="s">
        <v>403</v>
      </c>
      <c r="J2031" s="169" t="s">
        <v>1239</v>
      </c>
      <c r="K2031" s="169" t="s">
        <v>1240</v>
      </c>
      <c r="L2031" s="169" t="s">
        <v>1213</v>
      </c>
      <c r="M2031" s="169" t="s">
        <v>281</v>
      </c>
      <c r="N2031" s="178">
        <v>408030574</v>
      </c>
      <c r="O2031" s="169" t="s">
        <v>1241</v>
      </c>
      <c r="P2031" s="169" t="s">
        <v>283</v>
      </c>
      <c r="Q2031" s="169" t="s">
        <v>284</v>
      </c>
      <c r="R2031" s="169" t="s">
        <v>283</v>
      </c>
      <c r="S2031" s="169" t="s">
        <v>283</v>
      </c>
      <c r="T2031" s="169">
        <v>0</v>
      </c>
    </row>
    <row r="2032" spans="1:20" x14ac:dyDescent="0.2">
      <c r="A2032" s="169" t="str">
        <f t="shared" si="10"/>
        <v>627</v>
      </c>
      <c r="B2032" s="167" t="str">
        <f>_xlfn.XLOOKUP(I2032,Mapping!D:D,Mapping!E:E)</f>
        <v>Xưởng Sản Xuất</v>
      </c>
      <c r="C2032" s="167" t="str">
        <f>_xlfn.XLOOKUP(F2032,Mapping!A:A,Mapping!F:F)</f>
        <v>Lương Chính +T13</v>
      </c>
      <c r="D2032" s="173">
        <v>45991</v>
      </c>
      <c r="E2032" s="169" t="s">
        <v>1238</v>
      </c>
      <c r="F2032" s="169" t="s">
        <v>388</v>
      </c>
      <c r="G2032" s="169" t="s">
        <v>286</v>
      </c>
      <c r="H2032" s="169" t="s">
        <v>402</v>
      </c>
      <c r="I2032" s="169" t="s">
        <v>403</v>
      </c>
      <c r="J2032" s="169" t="s">
        <v>1239</v>
      </c>
      <c r="K2032" s="169" t="s">
        <v>1240</v>
      </c>
      <c r="L2032" s="169" t="s">
        <v>1213</v>
      </c>
      <c r="M2032" s="169" t="s">
        <v>281</v>
      </c>
      <c r="N2032" s="178">
        <v>18417520</v>
      </c>
      <c r="O2032" s="169" t="s">
        <v>1241</v>
      </c>
      <c r="P2032" s="169" t="s">
        <v>283</v>
      </c>
      <c r="Q2032" s="169" t="s">
        <v>284</v>
      </c>
      <c r="R2032" s="169" t="s">
        <v>283</v>
      </c>
      <c r="S2032" s="169" t="s">
        <v>283</v>
      </c>
      <c r="T2032" s="169">
        <v>0</v>
      </c>
    </row>
    <row r="2033" spans="1:20" x14ac:dyDescent="0.2">
      <c r="A2033" s="169" t="str">
        <f t="shared" si="10"/>
        <v>627</v>
      </c>
      <c r="B2033" s="167" t="str">
        <f>_xlfn.XLOOKUP(I2033,Mapping!D:D,Mapping!E:E)</f>
        <v>Xưởng Sản Xuất</v>
      </c>
      <c r="C2033" s="167" t="str">
        <f>_xlfn.XLOOKUP(F2033,Mapping!A:A,Mapping!F:F)</f>
        <v>Lương Ngoài giờ</v>
      </c>
      <c r="D2033" s="173">
        <v>45991</v>
      </c>
      <c r="E2033" s="169" t="s">
        <v>1238</v>
      </c>
      <c r="F2033" s="169" t="s">
        <v>389</v>
      </c>
      <c r="G2033" s="169" t="s">
        <v>390</v>
      </c>
      <c r="H2033" s="169" t="s">
        <v>402</v>
      </c>
      <c r="I2033" s="169" t="s">
        <v>403</v>
      </c>
      <c r="J2033" s="169" t="s">
        <v>1239</v>
      </c>
      <c r="K2033" s="169" t="s">
        <v>1240</v>
      </c>
      <c r="L2033" s="169" t="s">
        <v>1213</v>
      </c>
      <c r="M2033" s="169" t="s">
        <v>281</v>
      </c>
      <c r="N2033" s="178">
        <v>41479091</v>
      </c>
      <c r="O2033" s="169" t="s">
        <v>1241</v>
      </c>
      <c r="P2033" s="169" t="s">
        <v>283</v>
      </c>
      <c r="Q2033" s="169" t="s">
        <v>284</v>
      </c>
      <c r="R2033" s="169" t="s">
        <v>283</v>
      </c>
      <c r="S2033" s="169" t="s">
        <v>283</v>
      </c>
      <c r="T2033" s="169">
        <v>0</v>
      </c>
    </row>
    <row r="2034" spans="1:20" x14ac:dyDescent="0.2">
      <c r="A2034" s="169" t="str">
        <f t="shared" si="10"/>
        <v>627</v>
      </c>
      <c r="B2034" s="167" t="str">
        <f>_xlfn.XLOOKUP(I2034,Mapping!D:D,Mapping!E:E)</f>
        <v>Xưởng Sản Xuất</v>
      </c>
      <c r="C2034" s="167" t="str">
        <f>_xlfn.XLOOKUP(F2034,Mapping!A:A,Mapping!F:F)</f>
        <v>Phụ Cấp</v>
      </c>
      <c r="D2034" s="173">
        <v>45991</v>
      </c>
      <c r="E2034" s="169" t="s">
        <v>1238</v>
      </c>
      <c r="F2034" s="169" t="s">
        <v>375</v>
      </c>
      <c r="G2034" s="169" t="s">
        <v>336</v>
      </c>
      <c r="H2034" s="169" t="s">
        <v>402</v>
      </c>
      <c r="I2034" s="169" t="s">
        <v>403</v>
      </c>
      <c r="J2034" s="169" t="s">
        <v>1239</v>
      </c>
      <c r="K2034" s="169" t="s">
        <v>1240</v>
      </c>
      <c r="L2034" s="169" t="s">
        <v>1213</v>
      </c>
      <c r="M2034" s="169" t="s">
        <v>281</v>
      </c>
      <c r="N2034" s="178">
        <v>520000</v>
      </c>
      <c r="O2034" s="169" t="s">
        <v>1241</v>
      </c>
      <c r="P2034" s="169" t="s">
        <v>283</v>
      </c>
      <c r="Q2034" s="169" t="s">
        <v>284</v>
      </c>
      <c r="R2034" s="169" t="s">
        <v>283</v>
      </c>
      <c r="S2034" s="169" t="s">
        <v>283</v>
      </c>
      <c r="T2034" s="169">
        <v>0</v>
      </c>
    </row>
    <row r="2035" spans="1:20" x14ac:dyDescent="0.2">
      <c r="A2035" s="169" t="str">
        <f t="shared" si="10"/>
        <v>622</v>
      </c>
      <c r="B2035" s="167" t="str">
        <f>_xlfn.XLOOKUP(I2035,Mapping!D:D,Mapping!E:E)</f>
        <v>Xưởng Sản Xuất</v>
      </c>
      <c r="C2035" s="167" t="str">
        <f>_xlfn.XLOOKUP(F2035,Mapping!A:A,Mapping!F:F)</f>
        <v>Lương Chính +T13</v>
      </c>
      <c r="D2035" s="173">
        <v>45991</v>
      </c>
      <c r="E2035" s="169" t="s">
        <v>1238</v>
      </c>
      <c r="F2035" s="169" t="s">
        <v>400</v>
      </c>
      <c r="G2035" s="169" t="s">
        <v>401</v>
      </c>
      <c r="H2035" s="169" t="s">
        <v>430</v>
      </c>
      <c r="I2035" s="169" t="s">
        <v>431</v>
      </c>
      <c r="J2035" s="169" t="s">
        <v>1239</v>
      </c>
      <c r="K2035" s="169" t="s">
        <v>1240</v>
      </c>
      <c r="L2035" s="169" t="s">
        <v>1213</v>
      </c>
      <c r="M2035" s="169" t="s">
        <v>281</v>
      </c>
      <c r="N2035" s="178">
        <v>291472917</v>
      </c>
      <c r="O2035" s="169" t="s">
        <v>1241</v>
      </c>
      <c r="P2035" s="169" t="s">
        <v>283</v>
      </c>
      <c r="Q2035" s="169" t="s">
        <v>284</v>
      </c>
      <c r="R2035" s="169" t="s">
        <v>283</v>
      </c>
      <c r="S2035" s="169" t="s">
        <v>283</v>
      </c>
      <c r="T2035" s="169">
        <v>0</v>
      </c>
    </row>
    <row r="2036" spans="1:20" x14ac:dyDescent="0.2">
      <c r="A2036" s="169" t="str">
        <f t="shared" si="10"/>
        <v>622</v>
      </c>
      <c r="B2036" s="167" t="str">
        <f>_xlfn.XLOOKUP(I2036,Mapping!D:D,Mapping!E:E)</f>
        <v>Xưởng Sản Xuất</v>
      </c>
      <c r="C2036" s="167" t="str">
        <f>_xlfn.XLOOKUP(F2036,Mapping!A:A,Mapping!F:F)</f>
        <v>Lương Chính +T13</v>
      </c>
      <c r="D2036" s="173">
        <v>45991</v>
      </c>
      <c r="E2036" s="169" t="s">
        <v>1238</v>
      </c>
      <c r="F2036" s="169" t="s">
        <v>420</v>
      </c>
      <c r="G2036" s="169" t="s">
        <v>286</v>
      </c>
      <c r="H2036" s="169" t="s">
        <v>430</v>
      </c>
      <c r="I2036" s="169" t="s">
        <v>431</v>
      </c>
      <c r="J2036" s="169" t="s">
        <v>1239</v>
      </c>
      <c r="K2036" s="169" t="s">
        <v>1240</v>
      </c>
      <c r="L2036" s="169" t="s">
        <v>1213</v>
      </c>
      <c r="M2036" s="169" t="s">
        <v>281</v>
      </c>
      <c r="N2036" s="178">
        <v>9163390</v>
      </c>
      <c r="O2036" s="169" t="s">
        <v>1241</v>
      </c>
      <c r="P2036" s="169" t="s">
        <v>283</v>
      </c>
      <c r="Q2036" s="169" t="s">
        <v>284</v>
      </c>
      <c r="R2036" s="169" t="s">
        <v>283</v>
      </c>
      <c r="S2036" s="169" t="s">
        <v>283</v>
      </c>
      <c r="T2036" s="169">
        <v>0</v>
      </c>
    </row>
    <row r="2037" spans="1:20" x14ac:dyDescent="0.2">
      <c r="A2037" s="169" t="str">
        <f t="shared" si="10"/>
        <v>622</v>
      </c>
      <c r="B2037" s="167" t="str">
        <f>_xlfn.XLOOKUP(I2037,Mapping!D:D,Mapping!E:E)</f>
        <v>Xưởng Sản Xuất</v>
      </c>
      <c r="C2037" s="167" t="str">
        <f>_xlfn.XLOOKUP(F2037,Mapping!A:A,Mapping!F:F)</f>
        <v>Phụ Cấp</v>
      </c>
      <c r="D2037" s="173">
        <v>45991</v>
      </c>
      <c r="E2037" s="169" t="s">
        <v>1238</v>
      </c>
      <c r="F2037" s="169" t="s">
        <v>421</v>
      </c>
      <c r="G2037" s="169" t="s">
        <v>341</v>
      </c>
      <c r="H2037" s="169" t="s">
        <v>430</v>
      </c>
      <c r="I2037" s="169" t="s">
        <v>431</v>
      </c>
      <c r="J2037" s="169" t="s">
        <v>1239</v>
      </c>
      <c r="K2037" s="169" t="s">
        <v>1240</v>
      </c>
      <c r="L2037" s="169" t="s">
        <v>1213</v>
      </c>
      <c r="M2037" s="169" t="s">
        <v>281</v>
      </c>
      <c r="N2037" s="178">
        <v>25530774</v>
      </c>
      <c r="O2037" s="169" t="s">
        <v>1241</v>
      </c>
      <c r="P2037" s="169" t="s">
        <v>283</v>
      </c>
      <c r="Q2037" s="169" t="s">
        <v>284</v>
      </c>
      <c r="R2037" s="169" t="s">
        <v>283</v>
      </c>
      <c r="S2037" s="169" t="s">
        <v>283</v>
      </c>
      <c r="T2037" s="169">
        <v>0</v>
      </c>
    </row>
    <row r="2038" spans="1:20" x14ac:dyDescent="0.2">
      <c r="A2038" s="169" t="str">
        <f t="shared" si="10"/>
        <v>622</v>
      </c>
      <c r="B2038" s="167" t="str">
        <f>_xlfn.XLOOKUP(I2038,Mapping!D:D,Mapping!E:E)</f>
        <v>Xưởng Sản Xuất</v>
      </c>
      <c r="C2038" s="167" t="str">
        <f>_xlfn.XLOOKUP(F2038,Mapping!A:A,Mapping!F:F)</f>
        <v>Lương Ngoài giờ</v>
      </c>
      <c r="D2038" s="173">
        <v>45991</v>
      </c>
      <c r="E2038" s="169" t="s">
        <v>1238</v>
      </c>
      <c r="F2038" s="169" t="s">
        <v>422</v>
      </c>
      <c r="G2038" s="169" t="s">
        <v>423</v>
      </c>
      <c r="H2038" s="169" t="s">
        <v>430</v>
      </c>
      <c r="I2038" s="169" t="s">
        <v>431</v>
      </c>
      <c r="J2038" s="169" t="s">
        <v>1239</v>
      </c>
      <c r="K2038" s="169" t="s">
        <v>1240</v>
      </c>
      <c r="L2038" s="169" t="s">
        <v>1213</v>
      </c>
      <c r="M2038" s="169" t="s">
        <v>281</v>
      </c>
      <c r="N2038" s="178">
        <v>48317817</v>
      </c>
      <c r="O2038" s="169" t="s">
        <v>1241</v>
      </c>
      <c r="P2038" s="169" t="s">
        <v>283</v>
      </c>
      <c r="Q2038" s="169" t="s">
        <v>284</v>
      </c>
      <c r="R2038" s="169" t="s">
        <v>283</v>
      </c>
      <c r="S2038" s="169" t="s">
        <v>283</v>
      </c>
      <c r="T2038" s="169">
        <v>0</v>
      </c>
    </row>
    <row r="2039" spans="1:20" x14ac:dyDescent="0.2">
      <c r="A2039" s="169" t="str">
        <f t="shared" si="10"/>
        <v>622</v>
      </c>
      <c r="B2039" s="167" t="str">
        <f>_xlfn.XLOOKUP(I2039,Mapping!D:D,Mapping!E:E)</f>
        <v>Xưởng Sản Xuất</v>
      </c>
      <c r="C2039" s="167" t="str">
        <f>_xlfn.XLOOKUP(F2039,Mapping!A:A,Mapping!F:F)</f>
        <v>Phụ Cấp</v>
      </c>
      <c r="D2039" s="173">
        <v>45991</v>
      </c>
      <c r="E2039" s="169" t="s">
        <v>1238</v>
      </c>
      <c r="F2039" s="169" t="s">
        <v>414</v>
      </c>
      <c r="G2039" s="169" t="s">
        <v>415</v>
      </c>
      <c r="H2039" s="169" t="s">
        <v>430</v>
      </c>
      <c r="I2039" s="169" t="s">
        <v>431</v>
      </c>
      <c r="J2039" s="169" t="s">
        <v>1239</v>
      </c>
      <c r="K2039" s="169" t="s">
        <v>1240</v>
      </c>
      <c r="L2039" s="169" t="s">
        <v>1213</v>
      </c>
      <c r="M2039" s="169" t="s">
        <v>281</v>
      </c>
      <c r="N2039" s="178">
        <v>90000</v>
      </c>
      <c r="O2039" s="169" t="s">
        <v>1241</v>
      </c>
      <c r="P2039" s="169" t="s">
        <v>283</v>
      </c>
      <c r="Q2039" s="169" t="s">
        <v>284</v>
      </c>
      <c r="R2039" s="169" t="s">
        <v>283</v>
      </c>
      <c r="S2039" s="169" t="s">
        <v>283</v>
      </c>
      <c r="T2039" s="169">
        <v>0</v>
      </c>
    </row>
    <row r="2040" spans="1:20" x14ac:dyDescent="0.2">
      <c r="A2040" s="169" t="str">
        <f t="shared" si="10"/>
        <v>627</v>
      </c>
      <c r="B2040" s="167" t="str">
        <f>_xlfn.XLOOKUP(I2040,Mapping!D:D,Mapping!E:E)</f>
        <v>Xưởng Sản Xuất</v>
      </c>
      <c r="C2040" s="167" t="str">
        <f>_xlfn.XLOOKUP(F2040,Mapping!A:A,Mapping!F:F)</f>
        <v>Phụ Cấp</v>
      </c>
      <c r="D2040" s="173">
        <v>45991</v>
      </c>
      <c r="E2040" s="169" t="s">
        <v>1238</v>
      </c>
      <c r="F2040" s="169" t="s">
        <v>386</v>
      </c>
      <c r="G2040" s="169" t="s">
        <v>341</v>
      </c>
      <c r="H2040" s="169" t="s">
        <v>430</v>
      </c>
      <c r="I2040" s="169" t="s">
        <v>431</v>
      </c>
      <c r="J2040" s="169" t="s">
        <v>1239</v>
      </c>
      <c r="K2040" s="169" t="s">
        <v>1240</v>
      </c>
      <c r="L2040" s="169" t="s">
        <v>1213</v>
      </c>
      <c r="M2040" s="169" t="s">
        <v>281</v>
      </c>
      <c r="N2040" s="178">
        <v>7884029</v>
      </c>
      <c r="O2040" s="169" t="s">
        <v>1241</v>
      </c>
      <c r="P2040" s="169" t="s">
        <v>283</v>
      </c>
      <c r="Q2040" s="169" t="s">
        <v>284</v>
      </c>
      <c r="R2040" s="169" t="s">
        <v>283</v>
      </c>
      <c r="S2040" s="169" t="s">
        <v>283</v>
      </c>
      <c r="T2040" s="169">
        <v>0</v>
      </c>
    </row>
    <row r="2041" spans="1:20" x14ac:dyDescent="0.2">
      <c r="A2041" s="169" t="str">
        <f t="shared" si="10"/>
        <v>627</v>
      </c>
      <c r="B2041" s="167" t="str">
        <f>_xlfn.XLOOKUP(I2041,Mapping!D:D,Mapping!E:E)</f>
        <v>Xưởng Sản Xuất</v>
      </c>
      <c r="C2041" s="167" t="str">
        <f>_xlfn.XLOOKUP(F2041,Mapping!A:A,Mapping!F:F)</f>
        <v>Lương Chính +T13</v>
      </c>
      <c r="D2041" s="173">
        <v>45991</v>
      </c>
      <c r="E2041" s="169" t="s">
        <v>1238</v>
      </c>
      <c r="F2041" s="169" t="s">
        <v>387</v>
      </c>
      <c r="G2041" s="169" t="s">
        <v>275</v>
      </c>
      <c r="H2041" s="169" t="s">
        <v>430</v>
      </c>
      <c r="I2041" s="169" t="s">
        <v>431</v>
      </c>
      <c r="J2041" s="169" t="s">
        <v>1239</v>
      </c>
      <c r="K2041" s="169" t="s">
        <v>1240</v>
      </c>
      <c r="L2041" s="169" t="s">
        <v>1213</v>
      </c>
      <c r="M2041" s="169" t="s">
        <v>281</v>
      </c>
      <c r="N2041" s="178">
        <v>152188537</v>
      </c>
      <c r="O2041" s="169" t="s">
        <v>1241</v>
      </c>
      <c r="P2041" s="169" t="s">
        <v>283</v>
      </c>
      <c r="Q2041" s="169" t="s">
        <v>284</v>
      </c>
      <c r="R2041" s="169" t="s">
        <v>283</v>
      </c>
      <c r="S2041" s="169" t="s">
        <v>283</v>
      </c>
      <c r="T2041" s="169">
        <v>0</v>
      </c>
    </row>
    <row r="2042" spans="1:20" x14ac:dyDescent="0.2">
      <c r="A2042" s="169" t="str">
        <f t="shared" si="10"/>
        <v>627</v>
      </c>
      <c r="B2042" s="167" t="str">
        <f>_xlfn.XLOOKUP(I2042,Mapping!D:D,Mapping!E:E)</f>
        <v>Xưởng Sản Xuất</v>
      </c>
      <c r="C2042" s="167" t="str">
        <f>_xlfn.XLOOKUP(F2042,Mapping!A:A,Mapping!F:F)</f>
        <v>Lương Chính +T13</v>
      </c>
      <c r="D2042" s="173">
        <v>45991</v>
      </c>
      <c r="E2042" s="169" t="s">
        <v>1238</v>
      </c>
      <c r="F2042" s="169" t="s">
        <v>388</v>
      </c>
      <c r="G2042" s="169" t="s">
        <v>286</v>
      </c>
      <c r="H2042" s="169" t="s">
        <v>430</v>
      </c>
      <c r="I2042" s="169" t="s">
        <v>431</v>
      </c>
      <c r="J2042" s="169" t="s">
        <v>1239</v>
      </c>
      <c r="K2042" s="169" t="s">
        <v>1240</v>
      </c>
      <c r="L2042" s="169" t="s">
        <v>1213</v>
      </c>
      <c r="M2042" s="169" t="s">
        <v>281</v>
      </c>
      <c r="N2042" s="178">
        <v>3964270</v>
      </c>
      <c r="O2042" s="169" t="s">
        <v>1241</v>
      </c>
      <c r="P2042" s="169" t="s">
        <v>283</v>
      </c>
      <c r="Q2042" s="169" t="s">
        <v>284</v>
      </c>
      <c r="R2042" s="169" t="s">
        <v>283</v>
      </c>
      <c r="S2042" s="169" t="s">
        <v>283</v>
      </c>
      <c r="T2042" s="169">
        <v>0</v>
      </c>
    </row>
    <row r="2043" spans="1:20" x14ac:dyDescent="0.2">
      <c r="A2043" s="169" t="str">
        <f t="shared" si="10"/>
        <v>627</v>
      </c>
      <c r="B2043" s="167" t="str">
        <f>_xlfn.XLOOKUP(I2043,Mapping!D:D,Mapping!E:E)</f>
        <v>Xưởng Sản Xuất</v>
      </c>
      <c r="C2043" s="167" t="str">
        <f>_xlfn.XLOOKUP(F2043,Mapping!A:A,Mapping!F:F)</f>
        <v>Lương Ngoài giờ</v>
      </c>
      <c r="D2043" s="173">
        <v>45991</v>
      </c>
      <c r="E2043" s="169" t="s">
        <v>1238</v>
      </c>
      <c r="F2043" s="169" t="s">
        <v>389</v>
      </c>
      <c r="G2043" s="169" t="s">
        <v>390</v>
      </c>
      <c r="H2043" s="169" t="s">
        <v>430</v>
      </c>
      <c r="I2043" s="169" t="s">
        <v>431</v>
      </c>
      <c r="J2043" s="169" t="s">
        <v>1239</v>
      </c>
      <c r="K2043" s="169" t="s">
        <v>1240</v>
      </c>
      <c r="L2043" s="169" t="s">
        <v>1213</v>
      </c>
      <c r="M2043" s="169" t="s">
        <v>281</v>
      </c>
      <c r="N2043" s="178">
        <v>15360117</v>
      </c>
      <c r="O2043" s="169" t="s">
        <v>1241</v>
      </c>
      <c r="P2043" s="169" t="s">
        <v>283</v>
      </c>
      <c r="Q2043" s="169" t="s">
        <v>284</v>
      </c>
      <c r="R2043" s="169" t="s">
        <v>283</v>
      </c>
      <c r="S2043" s="169" t="s">
        <v>283</v>
      </c>
      <c r="T2043" s="169">
        <v>0</v>
      </c>
    </row>
    <row r="2044" spans="1:20" x14ac:dyDescent="0.2">
      <c r="A2044" s="169" t="str">
        <f t="shared" si="10"/>
        <v>627</v>
      </c>
      <c r="B2044" s="167" t="str">
        <f>_xlfn.XLOOKUP(I2044,Mapping!D:D,Mapping!E:E)</f>
        <v>Xưởng Sản Xuất</v>
      </c>
      <c r="C2044" s="167" t="str">
        <f>_xlfn.XLOOKUP(F2044,Mapping!A:A,Mapping!F:F)</f>
        <v>Phụ Cấp</v>
      </c>
      <c r="D2044" s="173">
        <v>45991</v>
      </c>
      <c r="E2044" s="169" t="s">
        <v>1238</v>
      </c>
      <c r="F2044" s="169" t="s">
        <v>386</v>
      </c>
      <c r="G2044" s="169" t="s">
        <v>341</v>
      </c>
      <c r="H2044" s="169" t="s">
        <v>436</v>
      </c>
      <c r="I2044" s="169" t="s">
        <v>437</v>
      </c>
      <c r="J2044" s="169" t="s">
        <v>1239</v>
      </c>
      <c r="K2044" s="169" t="s">
        <v>1240</v>
      </c>
      <c r="L2044" s="169" t="s">
        <v>1213</v>
      </c>
      <c r="M2044" s="169" t="s">
        <v>281</v>
      </c>
      <c r="N2044" s="178">
        <v>7749877</v>
      </c>
      <c r="O2044" s="169" t="s">
        <v>1241</v>
      </c>
      <c r="P2044" s="169" t="s">
        <v>283</v>
      </c>
      <c r="Q2044" s="169" t="s">
        <v>284</v>
      </c>
      <c r="R2044" s="169" t="s">
        <v>283</v>
      </c>
      <c r="S2044" s="169" t="s">
        <v>283</v>
      </c>
      <c r="T2044" s="169">
        <v>0</v>
      </c>
    </row>
    <row r="2045" spans="1:20" x14ac:dyDescent="0.2">
      <c r="A2045" s="169" t="str">
        <f t="shared" si="10"/>
        <v>627</v>
      </c>
      <c r="B2045" s="167" t="str">
        <f>_xlfn.XLOOKUP(I2045,Mapping!D:D,Mapping!E:E)</f>
        <v>Xưởng Sản Xuất</v>
      </c>
      <c r="C2045" s="167" t="str">
        <f>_xlfn.XLOOKUP(F2045,Mapping!A:A,Mapping!F:F)</f>
        <v>Lương Chính +T13</v>
      </c>
      <c r="D2045" s="173">
        <v>45991</v>
      </c>
      <c r="E2045" s="169" t="s">
        <v>1238</v>
      </c>
      <c r="F2045" s="169" t="s">
        <v>387</v>
      </c>
      <c r="G2045" s="169" t="s">
        <v>275</v>
      </c>
      <c r="H2045" s="169" t="s">
        <v>436</v>
      </c>
      <c r="I2045" s="169" t="s">
        <v>437</v>
      </c>
      <c r="J2045" s="169" t="s">
        <v>1239</v>
      </c>
      <c r="K2045" s="169" t="s">
        <v>1240</v>
      </c>
      <c r="L2045" s="169" t="s">
        <v>1213</v>
      </c>
      <c r="M2045" s="169" t="s">
        <v>281</v>
      </c>
      <c r="N2045" s="178">
        <v>381800224</v>
      </c>
      <c r="O2045" s="169" t="s">
        <v>1241</v>
      </c>
      <c r="P2045" s="169" t="s">
        <v>283</v>
      </c>
      <c r="Q2045" s="169" t="s">
        <v>284</v>
      </c>
      <c r="R2045" s="169" t="s">
        <v>283</v>
      </c>
      <c r="S2045" s="169" t="s">
        <v>283</v>
      </c>
      <c r="T2045" s="169">
        <v>0</v>
      </c>
    </row>
    <row r="2046" spans="1:20" x14ac:dyDescent="0.2">
      <c r="A2046" s="169" t="str">
        <f t="shared" si="10"/>
        <v>627</v>
      </c>
      <c r="B2046" s="167" t="str">
        <f>_xlfn.XLOOKUP(I2046,Mapping!D:D,Mapping!E:E)</f>
        <v>Xưởng Sản Xuất</v>
      </c>
      <c r="C2046" s="167" t="str">
        <f>_xlfn.XLOOKUP(F2046,Mapping!A:A,Mapping!F:F)</f>
        <v>Lương Chính +T13</v>
      </c>
      <c r="D2046" s="173">
        <v>45991</v>
      </c>
      <c r="E2046" s="169" t="s">
        <v>1238</v>
      </c>
      <c r="F2046" s="169" t="s">
        <v>388</v>
      </c>
      <c r="G2046" s="169" t="s">
        <v>286</v>
      </c>
      <c r="H2046" s="169" t="s">
        <v>436</v>
      </c>
      <c r="I2046" s="169" t="s">
        <v>437</v>
      </c>
      <c r="J2046" s="169" t="s">
        <v>1239</v>
      </c>
      <c r="K2046" s="169" t="s">
        <v>1240</v>
      </c>
      <c r="L2046" s="169" t="s">
        <v>1213</v>
      </c>
      <c r="M2046" s="169" t="s">
        <v>281</v>
      </c>
      <c r="N2046" s="178">
        <v>13895869</v>
      </c>
      <c r="O2046" s="169" t="s">
        <v>1241</v>
      </c>
      <c r="P2046" s="169" t="s">
        <v>283</v>
      </c>
      <c r="Q2046" s="169" t="s">
        <v>284</v>
      </c>
      <c r="R2046" s="169" t="s">
        <v>283</v>
      </c>
      <c r="S2046" s="169" t="s">
        <v>283</v>
      </c>
      <c r="T2046" s="169">
        <v>0</v>
      </c>
    </row>
    <row r="2047" spans="1:20" x14ac:dyDescent="0.2">
      <c r="A2047" s="169" t="str">
        <f t="shared" si="10"/>
        <v>627</v>
      </c>
      <c r="B2047" s="167" t="str">
        <f>_xlfn.XLOOKUP(I2047,Mapping!D:D,Mapping!E:E)</f>
        <v>Xưởng Sản Xuất</v>
      </c>
      <c r="C2047" s="167" t="str">
        <f>_xlfn.XLOOKUP(F2047,Mapping!A:A,Mapping!F:F)</f>
        <v>Lương Ngoài giờ</v>
      </c>
      <c r="D2047" s="173">
        <v>45991</v>
      </c>
      <c r="E2047" s="169" t="s">
        <v>1238</v>
      </c>
      <c r="F2047" s="169" t="s">
        <v>389</v>
      </c>
      <c r="G2047" s="169" t="s">
        <v>390</v>
      </c>
      <c r="H2047" s="169" t="s">
        <v>436</v>
      </c>
      <c r="I2047" s="169" t="s">
        <v>437</v>
      </c>
      <c r="J2047" s="169" t="s">
        <v>1239</v>
      </c>
      <c r="K2047" s="169" t="s">
        <v>1240</v>
      </c>
      <c r="L2047" s="169" t="s">
        <v>1213</v>
      </c>
      <c r="M2047" s="169" t="s">
        <v>281</v>
      </c>
      <c r="N2047" s="178">
        <v>36729146</v>
      </c>
      <c r="O2047" s="169" t="s">
        <v>1241</v>
      </c>
      <c r="P2047" s="169" t="s">
        <v>283</v>
      </c>
      <c r="Q2047" s="169" t="s">
        <v>284</v>
      </c>
      <c r="R2047" s="169" t="s">
        <v>283</v>
      </c>
      <c r="S2047" s="169" t="s">
        <v>283</v>
      </c>
      <c r="T2047" s="169">
        <v>0</v>
      </c>
    </row>
    <row r="2048" spans="1:20" x14ac:dyDescent="0.2">
      <c r="A2048" s="169" t="str">
        <f t="shared" si="10"/>
        <v>627</v>
      </c>
      <c r="B2048" s="167" t="str">
        <f>_xlfn.XLOOKUP(I2048,Mapping!D:D,Mapping!E:E)</f>
        <v>Xưởng Sản Xuất</v>
      </c>
      <c r="C2048" s="167" t="str">
        <f>_xlfn.XLOOKUP(F2048,Mapping!A:A,Mapping!F:F)</f>
        <v>Phụ Cấp</v>
      </c>
      <c r="D2048" s="173">
        <v>45991</v>
      </c>
      <c r="E2048" s="169" t="s">
        <v>1238</v>
      </c>
      <c r="F2048" s="169" t="s">
        <v>375</v>
      </c>
      <c r="G2048" s="169" t="s">
        <v>336</v>
      </c>
      <c r="H2048" s="169" t="s">
        <v>436</v>
      </c>
      <c r="I2048" s="169" t="s">
        <v>437</v>
      </c>
      <c r="J2048" s="169" t="s">
        <v>1239</v>
      </c>
      <c r="K2048" s="169" t="s">
        <v>1240</v>
      </c>
      <c r="L2048" s="169" t="s">
        <v>1213</v>
      </c>
      <c r="M2048" s="169" t="s">
        <v>281</v>
      </c>
      <c r="N2048" s="178">
        <v>250000</v>
      </c>
      <c r="O2048" s="169" t="s">
        <v>1241</v>
      </c>
      <c r="P2048" s="169" t="s">
        <v>283</v>
      </c>
      <c r="Q2048" s="169" t="s">
        <v>284</v>
      </c>
      <c r="R2048" s="169" t="s">
        <v>283</v>
      </c>
      <c r="S2048" s="169" t="s">
        <v>283</v>
      </c>
      <c r="T2048" s="169">
        <v>0</v>
      </c>
    </row>
    <row r="2049" spans="1:20" x14ac:dyDescent="0.2">
      <c r="A2049" s="169" t="str">
        <f t="shared" si="10"/>
        <v>642</v>
      </c>
      <c r="B2049" s="167" t="str">
        <f>_xlfn.XLOOKUP(I2049,Mapping!D:D,Mapping!E:E)</f>
        <v>Hành Chánh Nhân Sự</v>
      </c>
      <c r="C2049" s="167" t="str">
        <f>_xlfn.XLOOKUP(F2049,Mapping!A:A,Mapping!F:F)</f>
        <v>Lương Chính +T13</v>
      </c>
      <c r="D2049" s="173">
        <v>45991</v>
      </c>
      <c r="E2049" s="169" t="s">
        <v>1238</v>
      </c>
      <c r="F2049" s="169" t="s">
        <v>274</v>
      </c>
      <c r="G2049" s="169" t="s">
        <v>275</v>
      </c>
      <c r="H2049" s="169" t="s">
        <v>382</v>
      </c>
      <c r="I2049" s="169" t="s">
        <v>200</v>
      </c>
      <c r="J2049" s="169" t="s">
        <v>1239</v>
      </c>
      <c r="K2049" s="169" t="s">
        <v>1240</v>
      </c>
      <c r="L2049" s="169" t="s">
        <v>1213</v>
      </c>
      <c r="M2049" s="169" t="s">
        <v>281</v>
      </c>
      <c r="N2049" s="178">
        <v>65842235</v>
      </c>
      <c r="O2049" s="169" t="s">
        <v>1241</v>
      </c>
      <c r="P2049" s="169" t="s">
        <v>283</v>
      </c>
      <c r="Q2049" s="169" t="s">
        <v>284</v>
      </c>
      <c r="R2049" s="169" t="s">
        <v>283</v>
      </c>
      <c r="S2049" s="169" t="s">
        <v>283</v>
      </c>
      <c r="T2049" s="169">
        <v>0</v>
      </c>
    </row>
    <row r="2050" spans="1:20" x14ac:dyDescent="0.2">
      <c r="A2050" s="169" t="str">
        <f t="shared" si="10"/>
        <v>642</v>
      </c>
      <c r="B2050" s="167" t="str">
        <f>_xlfn.XLOOKUP(I2050,Mapping!D:D,Mapping!E:E)</f>
        <v>Hành Chánh Nhân Sự</v>
      </c>
      <c r="C2050" s="167" t="str">
        <f>_xlfn.XLOOKUP(F2050,Mapping!A:A,Mapping!F:F)</f>
        <v>Lương Chính +T13</v>
      </c>
      <c r="D2050" s="173">
        <v>45991</v>
      </c>
      <c r="E2050" s="169" t="s">
        <v>1238</v>
      </c>
      <c r="F2050" s="169" t="s">
        <v>285</v>
      </c>
      <c r="G2050" s="169" t="s">
        <v>286</v>
      </c>
      <c r="H2050" s="169" t="s">
        <v>382</v>
      </c>
      <c r="I2050" s="169" t="s">
        <v>200</v>
      </c>
      <c r="J2050" s="169" t="s">
        <v>1239</v>
      </c>
      <c r="K2050" s="169" t="s">
        <v>1240</v>
      </c>
      <c r="L2050" s="169" t="s">
        <v>1213</v>
      </c>
      <c r="M2050" s="169" t="s">
        <v>281</v>
      </c>
      <c r="N2050" s="178">
        <v>1386461</v>
      </c>
      <c r="O2050" s="169" t="s">
        <v>1241</v>
      </c>
      <c r="P2050" s="169" t="s">
        <v>283</v>
      </c>
      <c r="Q2050" s="169" t="s">
        <v>284</v>
      </c>
      <c r="R2050" s="169" t="s">
        <v>283</v>
      </c>
      <c r="S2050" s="169" t="s">
        <v>283</v>
      </c>
      <c r="T2050" s="169">
        <v>0</v>
      </c>
    </row>
    <row r="2051" spans="1:20" x14ac:dyDescent="0.2">
      <c r="A2051" s="169" t="str">
        <f t="shared" si="10"/>
        <v>642</v>
      </c>
      <c r="B2051" s="167" t="str">
        <f>_xlfn.XLOOKUP(I2051,Mapping!D:D,Mapping!E:E)</f>
        <v>Hành Chánh Nhân Sự</v>
      </c>
      <c r="C2051" s="167" t="str">
        <f>_xlfn.XLOOKUP(F2051,Mapping!A:A,Mapping!F:F)</f>
        <v>Lương Chính +T13</v>
      </c>
      <c r="D2051" s="173">
        <v>45991</v>
      </c>
      <c r="E2051" s="169" t="s">
        <v>1238</v>
      </c>
      <c r="F2051" s="169" t="s">
        <v>274</v>
      </c>
      <c r="G2051" s="169" t="s">
        <v>275</v>
      </c>
      <c r="H2051" s="169" t="s">
        <v>358</v>
      </c>
      <c r="I2051" s="169" t="s">
        <v>359</v>
      </c>
      <c r="J2051" s="169" t="s">
        <v>1239</v>
      </c>
      <c r="K2051" s="169" t="s">
        <v>1240</v>
      </c>
      <c r="L2051" s="169" t="s">
        <v>1213</v>
      </c>
      <c r="M2051" s="169" t="s">
        <v>281</v>
      </c>
      <c r="N2051" s="178">
        <v>97243165</v>
      </c>
      <c r="O2051" s="169" t="s">
        <v>1241</v>
      </c>
      <c r="P2051" s="169" t="s">
        <v>283</v>
      </c>
      <c r="Q2051" s="169" t="s">
        <v>284</v>
      </c>
      <c r="R2051" s="169" t="s">
        <v>283</v>
      </c>
      <c r="S2051" s="169" t="s">
        <v>283</v>
      </c>
      <c r="T2051" s="169">
        <v>0</v>
      </c>
    </row>
    <row r="2052" spans="1:20" x14ac:dyDescent="0.2">
      <c r="A2052" s="169" t="str">
        <f t="shared" si="10"/>
        <v>642</v>
      </c>
      <c r="B2052" s="167" t="str">
        <f>_xlfn.XLOOKUP(I2052,Mapping!D:D,Mapping!E:E)</f>
        <v>Hành Chánh Nhân Sự</v>
      </c>
      <c r="C2052" s="167" t="str">
        <f>_xlfn.XLOOKUP(F2052,Mapping!A:A,Mapping!F:F)</f>
        <v>Lương Chính +T13</v>
      </c>
      <c r="D2052" s="173">
        <v>45991</v>
      </c>
      <c r="E2052" s="169" t="s">
        <v>1238</v>
      </c>
      <c r="F2052" s="169" t="s">
        <v>285</v>
      </c>
      <c r="G2052" s="169" t="s">
        <v>286</v>
      </c>
      <c r="H2052" s="169" t="s">
        <v>358</v>
      </c>
      <c r="I2052" s="169" t="s">
        <v>359</v>
      </c>
      <c r="J2052" s="169" t="s">
        <v>1239</v>
      </c>
      <c r="K2052" s="169" t="s">
        <v>1240</v>
      </c>
      <c r="L2052" s="169" t="s">
        <v>1213</v>
      </c>
      <c r="M2052" s="169" t="s">
        <v>281</v>
      </c>
      <c r="N2052" s="178">
        <v>3823769</v>
      </c>
      <c r="O2052" s="169" t="s">
        <v>1241</v>
      </c>
      <c r="P2052" s="169" t="s">
        <v>283</v>
      </c>
      <c r="Q2052" s="169" t="s">
        <v>284</v>
      </c>
      <c r="R2052" s="169" t="s">
        <v>283</v>
      </c>
      <c r="S2052" s="169" t="s">
        <v>283</v>
      </c>
      <c r="T2052" s="169">
        <v>0</v>
      </c>
    </row>
    <row r="2053" spans="1:20" x14ac:dyDescent="0.2">
      <c r="A2053" s="169" t="str">
        <f t="shared" si="10"/>
        <v>642</v>
      </c>
      <c r="B2053" s="167" t="str">
        <f>_xlfn.XLOOKUP(I2053,Mapping!D:D,Mapping!E:E)</f>
        <v>Hành Chánh Nhân Sự</v>
      </c>
      <c r="C2053" s="167" t="str">
        <f>_xlfn.XLOOKUP(F2053,Mapping!A:A,Mapping!F:F)</f>
        <v>Phụ Cấp</v>
      </c>
      <c r="D2053" s="173">
        <v>45991</v>
      </c>
      <c r="E2053" s="169" t="s">
        <v>1238</v>
      </c>
      <c r="F2053" s="169" t="s">
        <v>335</v>
      </c>
      <c r="G2053" s="169" t="s">
        <v>336</v>
      </c>
      <c r="H2053" s="169" t="s">
        <v>358</v>
      </c>
      <c r="I2053" s="169" t="s">
        <v>359</v>
      </c>
      <c r="J2053" s="169" t="s">
        <v>1239</v>
      </c>
      <c r="K2053" s="169" t="s">
        <v>1240</v>
      </c>
      <c r="L2053" s="169" t="s">
        <v>1213</v>
      </c>
      <c r="M2053" s="169" t="s">
        <v>281</v>
      </c>
      <c r="N2053" s="178">
        <v>300000</v>
      </c>
      <c r="O2053" s="169" t="s">
        <v>1241</v>
      </c>
      <c r="P2053" s="169" t="s">
        <v>283</v>
      </c>
      <c r="Q2053" s="169" t="s">
        <v>284</v>
      </c>
      <c r="R2053" s="169" t="s">
        <v>283</v>
      </c>
      <c r="S2053" s="169" t="s">
        <v>283</v>
      </c>
      <c r="T2053" s="169">
        <v>0</v>
      </c>
    </row>
    <row r="2054" spans="1:20" x14ac:dyDescent="0.2">
      <c r="A2054" s="169" t="str">
        <f t="shared" si="10"/>
        <v>642</v>
      </c>
      <c r="B2054" s="167" t="str">
        <f>_xlfn.XLOOKUP(I2054,Mapping!D:D,Mapping!E:E)</f>
        <v>Tư vấn dịch vụ</v>
      </c>
      <c r="C2054" s="167" t="str">
        <f>_xlfn.XLOOKUP(F2054,Mapping!A:A,Mapping!F:F)</f>
        <v>Lương Chính +T13</v>
      </c>
      <c r="D2054" s="173">
        <v>45991</v>
      </c>
      <c r="E2054" s="169" t="s">
        <v>1238</v>
      </c>
      <c r="F2054" s="169" t="s">
        <v>274</v>
      </c>
      <c r="G2054" s="169" t="s">
        <v>275</v>
      </c>
      <c r="H2054" s="169" t="s">
        <v>443</v>
      </c>
      <c r="I2054" s="169" t="s">
        <v>444</v>
      </c>
      <c r="J2054" s="169" t="s">
        <v>1239</v>
      </c>
      <c r="K2054" s="169" t="s">
        <v>1240</v>
      </c>
      <c r="L2054" s="169" t="s">
        <v>1213</v>
      </c>
      <c r="M2054" s="169" t="s">
        <v>281</v>
      </c>
      <c r="N2054" s="178">
        <v>70504808</v>
      </c>
      <c r="O2054" s="169" t="s">
        <v>1241</v>
      </c>
      <c r="P2054" s="169" t="s">
        <v>283</v>
      </c>
      <c r="Q2054" s="169" t="s">
        <v>284</v>
      </c>
      <c r="R2054" s="169" t="s">
        <v>283</v>
      </c>
      <c r="S2054" s="169" t="s">
        <v>283</v>
      </c>
      <c r="T2054" s="169">
        <v>0</v>
      </c>
    </row>
    <row r="2055" spans="1:20" x14ac:dyDescent="0.2">
      <c r="A2055" s="169" t="str">
        <f t="shared" si="10"/>
        <v>622</v>
      </c>
      <c r="B2055" s="167" t="str">
        <f>_xlfn.XLOOKUP(I2055,Mapping!D:D,Mapping!E:E)</f>
        <v>Xưởng Sản Xuất</v>
      </c>
      <c r="C2055" s="167" t="str">
        <f>_xlfn.XLOOKUP(F2055,Mapping!A:A,Mapping!F:F)</f>
        <v>Lương Chính +T13</v>
      </c>
      <c r="D2055" s="173">
        <v>45991</v>
      </c>
      <c r="E2055" s="169" t="s">
        <v>1238</v>
      </c>
      <c r="F2055" s="169" t="s">
        <v>400</v>
      </c>
      <c r="G2055" s="169" t="s">
        <v>401</v>
      </c>
      <c r="H2055" s="169" t="s">
        <v>441</v>
      </c>
      <c r="I2055" s="169" t="s">
        <v>442</v>
      </c>
      <c r="J2055" s="169" t="s">
        <v>1239</v>
      </c>
      <c r="K2055" s="169" t="s">
        <v>1240</v>
      </c>
      <c r="L2055" s="169" t="s">
        <v>1213</v>
      </c>
      <c r="M2055" s="169" t="s">
        <v>281</v>
      </c>
      <c r="N2055" s="178">
        <v>7886577</v>
      </c>
      <c r="O2055" s="169" t="s">
        <v>1241</v>
      </c>
      <c r="P2055" s="169" t="s">
        <v>283</v>
      </c>
      <c r="Q2055" s="169" t="s">
        <v>284</v>
      </c>
      <c r="R2055" s="169" t="s">
        <v>283</v>
      </c>
      <c r="S2055" s="169" t="s">
        <v>283</v>
      </c>
      <c r="T2055" s="169">
        <v>0</v>
      </c>
    </row>
    <row r="2056" spans="1:20" x14ac:dyDescent="0.2">
      <c r="A2056" s="169" t="str">
        <f t="shared" si="10"/>
        <v>622</v>
      </c>
      <c r="B2056" s="167" t="str">
        <f>_xlfn.XLOOKUP(I2056,Mapping!D:D,Mapping!E:E)</f>
        <v>Xưởng Sản Xuất</v>
      </c>
      <c r="C2056" s="167" t="str">
        <f>_xlfn.XLOOKUP(F2056,Mapping!A:A,Mapping!F:F)</f>
        <v>Phụ Cấp</v>
      </c>
      <c r="D2056" s="173">
        <v>45991</v>
      </c>
      <c r="E2056" s="169" t="s">
        <v>1238</v>
      </c>
      <c r="F2056" s="169" t="s">
        <v>421</v>
      </c>
      <c r="G2056" s="169" t="s">
        <v>341</v>
      </c>
      <c r="H2056" s="169" t="s">
        <v>441</v>
      </c>
      <c r="I2056" s="169" t="s">
        <v>442</v>
      </c>
      <c r="J2056" s="169" t="s">
        <v>1239</v>
      </c>
      <c r="K2056" s="169" t="s">
        <v>1240</v>
      </c>
      <c r="L2056" s="169" t="s">
        <v>1213</v>
      </c>
      <c r="M2056" s="169" t="s">
        <v>281</v>
      </c>
      <c r="N2056" s="178">
        <v>851262</v>
      </c>
      <c r="O2056" s="169" t="s">
        <v>1241</v>
      </c>
      <c r="P2056" s="169" t="s">
        <v>283</v>
      </c>
      <c r="Q2056" s="169" t="s">
        <v>284</v>
      </c>
      <c r="R2056" s="169" t="s">
        <v>283</v>
      </c>
      <c r="S2056" s="169" t="s">
        <v>283</v>
      </c>
      <c r="T2056" s="169">
        <v>0</v>
      </c>
    </row>
    <row r="2057" spans="1:20" x14ac:dyDescent="0.2">
      <c r="A2057" s="169" t="str">
        <f t="shared" si="10"/>
        <v>622</v>
      </c>
      <c r="B2057" s="167" t="str">
        <f>_xlfn.XLOOKUP(I2057,Mapping!D:D,Mapping!E:E)</f>
        <v>Xưởng Sản Xuất</v>
      </c>
      <c r="C2057" s="167" t="str">
        <f>_xlfn.XLOOKUP(F2057,Mapping!A:A,Mapping!F:F)</f>
        <v>Lương Ngoài giờ</v>
      </c>
      <c r="D2057" s="173">
        <v>45991</v>
      </c>
      <c r="E2057" s="169" t="s">
        <v>1238</v>
      </c>
      <c r="F2057" s="169" t="s">
        <v>422</v>
      </c>
      <c r="G2057" s="169" t="s">
        <v>423</v>
      </c>
      <c r="H2057" s="169" t="s">
        <v>441</v>
      </c>
      <c r="I2057" s="169" t="s">
        <v>442</v>
      </c>
      <c r="J2057" s="169" t="s">
        <v>1239</v>
      </c>
      <c r="K2057" s="169" t="s">
        <v>1240</v>
      </c>
      <c r="L2057" s="169" t="s">
        <v>1213</v>
      </c>
      <c r="M2057" s="169" t="s">
        <v>281</v>
      </c>
      <c r="N2057" s="178">
        <v>1434373</v>
      </c>
      <c r="O2057" s="169" t="s">
        <v>1241</v>
      </c>
      <c r="P2057" s="169" t="s">
        <v>283</v>
      </c>
      <c r="Q2057" s="169" t="s">
        <v>284</v>
      </c>
      <c r="R2057" s="169" t="s">
        <v>283</v>
      </c>
      <c r="S2057" s="169" t="s">
        <v>283</v>
      </c>
      <c r="T2057" s="169">
        <v>0</v>
      </c>
    </row>
    <row r="2058" spans="1:20" x14ac:dyDescent="0.2">
      <c r="A2058" s="169" t="str">
        <f t="shared" si="10"/>
        <v>642</v>
      </c>
      <c r="B2058" s="167" t="str">
        <f>_xlfn.XLOOKUP(I2058,Mapping!D:D,Mapping!E:E)</f>
        <v>Ban Giám Đốc</v>
      </c>
      <c r="C2058" s="167" t="str">
        <f>_xlfn.XLOOKUP(F2058,Mapping!A:A,Mapping!F:F)</f>
        <v>Lương Chính +T13</v>
      </c>
      <c r="D2058" s="173">
        <v>45991</v>
      </c>
      <c r="E2058" s="169" t="s">
        <v>1242</v>
      </c>
      <c r="F2058" s="169" t="s">
        <v>285</v>
      </c>
      <c r="G2058" s="169" t="s">
        <v>286</v>
      </c>
      <c r="H2058" s="169" t="s">
        <v>276</v>
      </c>
      <c r="I2058" s="169" t="s">
        <v>277</v>
      </c>
      <c r="J2058" s="169" t="s">
        <v>1243</v>
      </c>
      <c r="K2058" s="169" t="s">
        <v>1240</v>
      </c>
      <c r="L2058" s="169" t="s">
        <v>1213</v>
      </c>
      <c r="M2058" s="169" t="s">
        <v>281</v>
      </c>
      <c r="N2058" s="178">
        <v>125991250</v>
      </c>
      <c r="O2058" s="169" t="s">
        <v>1244</v>
      </c>
      <c r="P2058" s="169" t="s">
        <v>283</v>
      </c>
      <c r="Q2058" s="169" t="s">
        <v>284</v>
      </c>
      <c r="R2058" s="169" t="s">
        <v>283</v>
      </c>
      <c r="S2058" s="169" t="s">
        <v>283</v>
      </c>
      <c r="T2058" s="169">
        <v>0</v>
      </c>
    </row>
    <row r="2059" spans="1:20" x14ac:dyDescent="0.2">
      <c r="A2059" s="169" t="str">
        <f t="shared" si="10"/>
        <v>642</v>
      </c>
      <c r="B2059" s="167" t="str">
        <f>_xlfn.XLOOKUP(I2059,Mapping!D:D,Mapping!E:E)</f>
        <v>Ban Giám Đốc</v>
      </c>
      <c r="C2059" s="167" t="str">
        <f>_xlfn.XLOOKUP(F2059,Mapping!A:A,Mapping!F:F)</f>
        <v>Thưởng</v>
      </c>
      <c r="D2059" s="173">
        <v>45991</v>
      </c>
      <c r="E2059" s="169" t="s">
        <v>1242</v>
      </c>
      <c r="F2059" s="169" t="s">
        <v>292</v>
      </c>
      <c r="G2059" s="169" t="s">
        <v>77</v>
      </c>
      <c r="H2059" s="169" t="s">
        <v>276</v>
      </c>
      <c r="I2059" s="169" t="s">
        <v>277</v>
      </c>
      <c r="J2059" s="169" t="s">
        <v>1245</v>
      </c>
      <c r="K2059" s="169" t="s">
        <v>1240</v>
      </c>
      <c r="L2059" s="169" t="s">
        <v>1213</v>
      </c>
      <c r="M2059" s="169" t="s">
        <v>281</v>
      </c>
      <c r="N2059" s="178">
        <v>115910942</v>
      </c>
      <c r="O2059" s="169" t="s">
        <v>1244</v>
      </c>
      <c r="P2059" s="169" t="s">
        <v>283</v>
      </c>
      <c r="Q2059" s="169" t="s">
        <v>284</v>
      </c>
      <c r="R2059" s="169" t="s">
        <v>283</v>
      </c>
      <c r="S2059" s="169" t="s">
        <v>283</v>
      </c>
      <c r="T2059" s="169">
        <v>0</v>
      </c>
    </row>
    <row r="2060" spans="1:20" x14ac:dyDescent="0.2">
      <c r="A2060" s="169" t="str">
        <f t="shared" si="10"/>
        <v>642</v>
      </c>
      <c r="B2060" s="167" t="str">
        <f>_xlfn.XLOOKUP(I2060,Mapping!D:D,Mapping!E:E)</f>
        <v>Văn Phòng Giám Đốc</v>
      </c>
      <c r="C2060" s="167" t="str">
        <f>_xlfn.XLOOKUP(F2060,Mapping!A:A,Mapping!F:F)</f>
        <v>Lương Chính +T13</v>
      </c>
      <c r="D2060" s="173">
        <v>45991</v>
      </c>
      <c r="E2060" s="169" t="s">
        <v>1242</v>
      </c>
      <c r="F2060" s="169" t="s">
        <v>285</v>
      </c>
      <c r="G2060" s="169" t="s">
        <v>286</v>
      </c>
      <c r="H2060" s="169" t="s">
        <v>320</v>
      </c>
      <c r="I2060" s="169" t="s">
        <v>321</v>
      </c>
      <c r="J2060" s="169" t="s">
        <v>1243</v>
      </c>
      <c r="K2060" s="169" t="s">
        <v>1240</v>
      </c>
      <c r="L2060" s="169" t="s">
        <v>1213</v>
      </c>
      <c r="M2060" s="169" t="s">
        <v>281</v>
      </c>
      <c r="N2060" s="178">
        <v>9604167</v>
      </c>
      <c r="O2060" s="169" t="s">
        <v>1244</v>
      </c>
      <c r="P2060" s="169" t="s">
        <v>283</v>
      </c>
      <c r="Q2060" s="169" t="s">
        <v>284</v>
      </c>
      <c r="R2060" s="169" t="s">
        <v>283</v>
      </c>
      <c r="S2060" s="169" t="s">
        <v>283</v>
      </c>
      <c r="T2060" s="169">
        <v>0</v>
      </c>
    </row>
    <row r="2061" spans="1:20" x14ac:dyDescent="0.2">
      <c r="A2061" s="169" t="str">
        <f t="shared" si="10"/>
        <v>642</v>
      </c>
      <c r="B2061" s="167" t="str">
        <f>_xlfn.XLOOKUP(I2061,Mapping!D:D,Mapping!E:E)</f>
        <v>Văn Phòng Giám Đốc</v>
      </c>
      <c r="C2061" s="167" t="str">
        <f>_xlfn.XLOOKUP(F2061,Mapping!A:A,Mapping!F:F)</f>
        <v>Thưởng</v>
      </c>
      <c r="D2061" s="173">
        <v>45991</v>
      </c>
      <c r="E2061" s="169" t="s">
        <v>1242</v>
      </c>
      <c r="F2061" s="169" t="s">
        <v>292</v>
      </c>
      <c r="G2061" s="169" t="s">
        <v>77</v>
      </c>
      <c r="H2061" s="169" t="s">
        <v>320</v>
      </c>
      <c r="I2061" s="169" t="s">
        <v>321</v>
      </c>
      <c r="J2061" s="169" t="s">
        <v>1245</v>
      </c>
      <c r="K2061" s="169" t="s">
        <v>1240</v>
      </c>
      <c r="L2061" s="169" t="s">
        <v>1213</v>
      </c>
      <c r="M2061" s="169" t="s">
        <v>281</v>
      </c>
      <c r="N2061" s="178">
        <v>8835757</v>
      </c>
      <c r="O2061" s="169" t="s">
        <v>1244</v>
      </c>
      <c r="P2061" s="169" t="s">
        <v>283</v>
      </c>
      <c r="Q2061" s="169" t="s">
        <v>284</v>
      </c>
      <c r="R2061" s="169" t="s">
        <v>283</v>
      </c>
      <c r="S2061" s="169" t="s">
        <v>283</v>
      </c>
      <c r="T2061" s="169">
        <v>0</v>
      </c>
    </row>
    <row r="2062" spans="1:20" x14ac:dyDescent="0.2">
      <c r="A2062" s="169" t="str">
        <f t="shared" si="10"/>
        <v>642</v>
      </c>
      <c r="B2062" s="167" t="str">
        <f>_xlfn.XLOOKUP(I2062,Mapping!D:D,Mapping!E:E)</f>
        <v>Hành Chánh Nhân Sự</v>
      </c>
      <c r="C2062" s="167" t="str">
        <f>_xlfn.XLOOKUP(F2062,Mapping!A:A,Mapping!F:F)</f>
        <v>Lương Chính +T13</v>
      </c>
      <c r="D2062" s="173">
        <v>45991</v>
      </c>
      <c r="E2062" s="169" t="s">
        <v>1242</v>
      </c>
      <c r="F2062" s="169" t="s">
        <v>285</v>
      </c>
      <c r="G2062" s="169" t="s">
        <v>286</v>
      </c>
      <c r="H2062" s="169" t="s">
        <v>301</v>
      </c>
      <c r="I2062" s="169" t="s">
        <v>302</v>
      </c>
      <c r="J2062" s="169" t="s">
        <v>1243</v>
      </c>
      <c r="K2062" s="169" t="s">
        <v>1240</v>
      </c>
      <c r="L2062" s="169" t="s">
        <v>1213</v>
      </c>
      <c r="M2062" s="169" t="s">
        <v>281</v>
      </c>
      <c r="N2062" s="178">
        <v>41796426</v>
      </c>
      <c r="O2062" s="169" t="s">
        <v>1244</v>
      </c>
      <c r="P2062" s="169" t="s">
        <v>283</v>
      </c>
      <c r="Q2062" s="169" t="s">
        <v>284</v>
      </c>
      <c r="R2062" s="169" t="s">
        <v>283</v>
      </c>
      <c r="S2062" s="169" t="s">
        <v>283</v>
      </c>
      <c r="T2062" s="169">
        <v>0</v>
      </c>
    </row>
    <row r="2063" spans="1:20" x14ac:dyDescent="0.2">
      <c r="A2063" s="169" t="str">
        <f t="shared" si="10"/>
        <v>642</v>
      </c>
      <c r="B2063" s="167" t="str">
        <f>_xlfn.XLOOKUP(I2063,Mapping!D:D,Mapping!E:E)</f>
        <v>Hành Chánh Nhân Sự</v>
      </c>
      <c r="C2063" s="167" t="str">
        <f>_xlfn.XLOOKUP(F2063,Mapping!A:A,Mapping!F:F)</f>
        <v>Thưởng</v>
      </c>
      <c r="D2063" s="173">
        <v>45991</v>
      </c>
      <c r="E2063" s="169" t="s">
        <v>1242</v>
      </c>
      <c r="F2063" s="169" t="s">
        <v>292</v>
      </c>
      <c r="G2063" s="169" t="s">
        <v>77</v>
      </c>
      <c r="H2063" s="169" t="s">
        <v>301</v>
      </c>
      <c r="I2063" s="169" t="s">
        <v>302</v>
      </c>
      <c r="J2063" s="169" t="s">
        <v>1245</v>
      </c>
      <c r="K2063" s="169" t="s">
        <v>1240</v>
      </c>
      <c r="L2063" s="169" t="s">
        <v>1213</v>
      </c>
      <c r="M2063" s="169" t="s">
        <v>281</v>
      </c>
      <c r="N2063" s="178">
        <v>33113485</v>
      </c>
      <c r="O2063" s="169" t="s">
        <v>1244</v>
      </c>
      <c r="P2063" s="169" t="s">
        <v>283</v>
      </c>
      <c r="Q2063" s="169" t="s">
        <v>284</v>
      </c>
      <c r="R2063" s="169" t="s">
        <v>283</v>
      </c>
      <c r="S2063" s="169" t="s">
        <v>283</v>
      </c>
      <c r="T2063" s="169">
        <v>0</v>
      </c>
    </row>
    <row r="2064" spans="1:20" x14ac:dyDescent="0.2">
      <c r="A2064" s="169" t="str">
        <f t="shared" si="10"/>
        <v>642</v>
      </c>
      <c r="B2064" s="167" t="str">
        <f>_xlfn.XLOOKUP(I2064,Mapping!D:D,Mapping!E:E)</f>
        <v>Kế Toán</v>
      </c>
      <c r="C2064" s="167" t="str">
        <f>_xlfn.XLOOKUP(F2064,Mapping!A:A,Mapping!F:F)</f>
        <v>Lương Chính +T13</v>
      </c>
      <c r="D2064" s="173">
        <v>45991</v>
      </c>
      <c r="E2064" s="169" t="s">
        <v>1242</v>
      </c>
      <c r="F2064" s="169" t="s">
        <v>285</v>
      </c>
      <c r="G2064" s="169" t="s">
        <v>286</v>
      </c>
      <c r="H2064" s="169" t="s">
        <v>356</v>
      </c>
      <c r="I2064" s="169" t="s">
        <v>357</v>
      </c>
      <c r="J2064" s="169" t="s">
        <v>1243</v>
      </c>
      <c r="K2064" s="169" t="s">
        <v>1240</v>
      </c>
      <c r="L2064" s="169" t="s">
        <v>1213</v>
      </c>
      <c r="M2064" s="169" t="s">
        <v>281</v>
      </c>
      <c r="N2064" s="178">
        <v>43430430</v>
      </c>
      <c r="O2064" s="169" t="s">
        <v>1244</v>
      </c>
      <c r="P2064" s="169" t="s">
        <v>283</v>
      </c>
      <c r="Q2064" s="169" t="s">
        <v>284</v>
      </c>
      <c r="R2064" s="169" t="s">
        <v>283</v>
      </c>
      <c r="S2064" s="169" t="s">
        <v>283</v>
      </c>
      <c r="T2064" s="169">
        <v>0</v>
      </c>
    </row>
    <row r="2065" spans="1:20" x14ac:dyDescent="0.2">
      <c r="A2065" s="169" t="str">
        <f t="shared" si="10"/>
        <v>642</v>
      </c>
      <c r="B2065" s="167" t="str">
        <f>_xlfn.XLOOKUP(I2065,Mapping!D:D,Mapping!E:E)</f>
        <v>Kế Toán</v>
      </c>
      <c r="C2065" s="167" t="str">
        <f>_xlfn.XLOOKUP(F2065,Mapping!A:A,Mapping!F:F)</f>
        <v>Thưởng</v>
      </c>
      <c r="D2065" s="173">
        <v>45991</v>
      </c>
      <c r="E2065" s="169" t="s">
        <v>1242</v>
      </c>
      <c r="F2065" s="169" t="s">
        <v>292</v>
      </c>
      <c r="G2065" s="169" t="s">
        <v>77</v>
      </c>
      <c r="H2065" s="169" t="s">
        <v>356</v>
      </c>
      <c r="I2065" s="169" t="s">
        <v>357</v>
      </c>
      <c r="J2065" s="169" t="s">
        <v>1245</v>
      </c>
      <c r="K2065" s="169" t="s">
        <v>1240</v>
      </c>
      <c r="L2065" s="169" t="s">
        <v>1213</v>
      </c>
      <c r="M2065" s="169" t="s">
        <v>281</v>
      </c>
      <c r="N2065" s="178">
        <v>39512200</v>
      </c>
      <c r="O2065" s="169" t="s">
        <v>1244</v>
      </c>
      <c r="P2065" s="169" t="s">
        <v>283</v>
      </c>
      <c r="Q2065" s="169" t="s">
        <v>284</v>
      </c>
      <c r="R2065" s="169" t="s">
        <v>283</v>
      </c>
      <c r="S2065" s="169" t="s">
        <v>283</v>
      </c>
      <c r="T2065" s="169">
        <v>0</v>
      </c>
    </row>
    <row r="2066" spans="1:20" x14ac:dyDescent="0.2">
      <c r="A2066" s="169" t="str">
        <f t="shared" si="10"/>
        <v>641</v>
      </c>
      <c r="B2066" s="167" t="str">
        <f>_xlfn.XLOOKUP(I2066,Mapping!D:D,Mapping!E:E)</f>
        <v>Kinh doanh</v>
      </c>
      <c r="C2066" s="167" t="str">
        <f>_xlfn.XLOOKUP(F2066,Mapping!A:A,Mapping!F:F)</f>
        <v>Lương Chính +T13</v>
      </c>
      <c r="D2066" s="173">
        <v>45991</v>
      </c>
      <c r="E2066" s="169" t="s">
        <v>1242</v>
      </c>
      <c r="F2066" s="169" t="s">
        <v>384</v>
      </c>
      <c r="G2066" s="169" t="s">
        <v>286</v>
      </c>
      <c r="H2066" s="169" t="s">
        <v>366</v>
      </c>
      <c r="I2066" s="169" t="s">
        <v>1</v>
      </c>
      <c r="J2066" s="169" t="s">
        <v>1243</v>
      </c>
      <c r="K2066" s="169" t="s">
        <v>1240</v>
      </c>
      <c r="L2066" s="169" t="s">
        <v>1213</v>
      </c>
      <c r="M2066" s="169" t="s">
        <v>281</v>
      </c>
      <c r="N2066" s="178">
        <v>25338500</v>
      </c>
      <c r="O2066" s="169" t="s">
        <v>1244</v>
      </c>
      <c r="P2066" s="169" t="s">
        <v>283</v>
      </c>
      <c r="Q2066" s="169" t="s">
        <v>284</v>
      </c>
      <c r="R2066" s="169" t="s">
        <v>283</v>
      </c>
      <c r="S2066" s="169" t="s">
        <v>283</v>
      </c>
      <c r="T2066" s="169">
        <v>0</v>
      </c>
    </row>
    <row r="2067" spans="1:20" x14ac:dyDescent="0.2">
      <c r="A2067" s="169" t="str">
        <f t="shared" si="10"/>
        <v>641</v>
      </c>
      <c r="B2067" s="167" t="str">
        <f>_xlfn.XLOOKUP(I2067,Mapping!D:D,Mapping!E:E)</f>
        <v>Kinh doanh</v>
      </c>
      <c r="C2067" s="167" t="str">
        <f>_xlfn.XLOOKUP(F2067,Mapping!A:A,Mapping!F:F)</f>
        <v>Thưởng</v>
      </c>
      <c r="D2067" s="173">
        <v>45991</v>
      </c>
      <c r="E2067" s="169" t="s">
        <v>1242</v>
      </c>
      <c r="F2067" s="169" t="s">
        <v>394</v>
      </c>
      <c r="G2067" s="169" t="s">
        <v>77</v>
      </c>
      <c r="H2067" s="169" t="s">
        <v>366</v>
      </c>
      <c r="I2067" s="169" t="s">
        <v>1</v>
      </c>
      <c r="J2067" s="169" t="s">
        <v>1245</v>
      </c>
      <c r="K2067" s="169" t="s">
        <v>1240</v>
      </c>
      <c r="L2067" s="169" t="s">
        <v>1213</v>
      </c>
      <c r="M2067" s="169" t="s">
        <v>281</v>
      </c>
      <c r="N2067" s="178">
        <v>23311217</v>
      </c>
      <c r="O2067" s="169" t="s">
        <v>1244</v>
      </c>
      <c r="P2067" s="169" t="s">
        <v>283</v>
      </c>
      <c r="Q2067" s="169" t="s">
        <v>284</v>
      </c>
      <c r="R2067" s="169" t="s">
        <v>283</v>
      </c>
      <c r="S2067" s="169" t="s">
        <v>283</v>
      </c>
      <c r="T2067" s="169">
        <v>0</v>
      </c>
    </row>
    <row r="2068" spans="1:20" x14ac:dyDescent="0.2">
      <c r="A2068" s="169" t="str">
        <f t="shared" si="10"/>
        <v>642</v>
      </c>
      <c r="B2068" s="167" t="str">
        <f>_xlfn.XLOOKUP(I2068,Mapping!D:D,Mapping!E:E)</f>
        <v>Cung Ứng</v>
      </c>
      <c r="C2068" s="167" t="str">
        <f>_xlfn.XLOOKUP(F2068,Mapping!A:A,Mapping!F:F)</f>
        <v>Lương Chính +T13</v>
      </c>
      <c r="D2068" s="173">
        <v>45991</v>
      </c>
      <c r="E2068" s="169" t="s">
        <v>1242</v>
      </c>
      <c r="F2068" s="169" t="s">
        <v>285</v>
      </c>
      <c r="G2068" s="169" t="s">
        <v>286</v>
      </c>
      <c r="H2068" s="169" t="s">
        <v>380</v>
      </c>
      <c r="I2068" s="169" t="s">
        <v>381</v>
      </c>
      <c r="J2068" s="169" t="s">
        <v>1243</v>
      </c>
      <c r="K2068" s="169" t="s">
        <v>1240</v>
      </c>
      <c r="L2068" s="169" t="s">
        <v>1213</v>
      </c>
      <c r="M2068" s="169" t="s">
        <v>281</v>
      </c>
      <c r="N2068" s="178">
        <v>41719637</v>
      </c>
      <c r="O2068" s="169" t="s">
        <v>1244</v>
      </c>
      <c r="P2068" s="169" t="s">
        <v>283</v>
      </c>
      <c r="Q2068" s="169" t="s">
        <v>284</v>
      </c>
      <c r="R2068" s="169" t="s">
        <v>283</v>
      </c>
      <c r="S2068" s="169" t="s">
        <v>283</v>
      </c>
      <c r="T2068" s="169">
        <v>0</v>
      </c>
    </row>
    <row r="2069" spans="1:20" x14ac:dyDescent="0.2">
      <c r="A2069" s="169" t="str">
        <f t="shared" si="10"/>
        <v>642</v>
      </c>
      <c r="B2069" s="167" t="str">
        <f>_xlfn.XLOOKUP(I2069,Mapping!D:D,Mapping!E:E)</f>
        <v>Cung Ứng</v>
      </c>
      <c r="C2069" s="167" t="str">
        <f>_xlfn.XLOOKUP(F2069,Mapping!A:A,Mapping!F:F)</f>
        <v>Thưởng</v>
      </c>
      <c r="D2069" s="173">
        <v>45991</v>
      </c>
      <c r="E2069" s="169" t="s">
        <v>1242</v>
      </c>
      <c r="F2069" s="169" t="s">
        <v>292</v>
      </c>
      <c r="G2069" s="169" t="s">
        <v>77</v>
      </c>
      <c r="H2069" s="169" t="s">
        <v>380</v>
      </c>
      <c r="I2069" s="169" t="s">
        <v>381</v>
      </c>
      <c r="J2069" s="169" t="s">
        <v>1245</v>
      </c>
      <c r="K2069" s="169" t="s">
        <v>1240</v>
      </c>
      <c r="L2069" s="169" t="s">
        <v>1213</v>
      </c>
      <c r="M2069" s="169" t="s">
        <v>281</v>
      </c>
      <c r="N2069" s="178">
        <v>36656075</v>
      </c>
      <c r="O2069" s="169" t="s">
        <v>1244</v>
      </c>
      <c r="P2069" s="169" t="s">
        <v>283</v>
      </c>
      <c r="Q2069" s="169" t="s">
        <v>284</v>
      </c>
      <c r="R2069" s="169" t="s">
        <v>283</v>
      </c>
      <c r="S2069" s="169" t="s">
        <v>283</v>
      </c>
      <c r="T2069" s="169">
        <v>0</v>
      </c>
    </row>
    <row r="2070" spans="1:20" x14ac:dyDescent="0.2">
      <c r="A2070" s="169" t="str">
        <f t="shared" si="10"/>
        <v>642</v>
      </c>
      <c r="B2070" s="167" t="str">
        <f>_xlfn.XLOOKUP(I2070,Mapping!D:D,Mapping!E:E)</f>
        <v>Mua Hàng &amp; XNK</v>
      </c>
      <c r="C2070" s="167" t="str">
        <f>_xlfn.XLOOKUP(F2070,Mapping!A:A,Mapping!F:F)</f>
        <v>Lương Chính +T13</v>
      </c>
      <c r="D2070" s="173">
        <v>45991</v>
      </c>
      <c r="E2070" s="169" t="s">
        <v>1242</v>
      </c>
      <c r="F2070" s="169" t="s">
        <v>285</v>
      </c>
      <c r="G2070" s="169" t="s">
        <v>286</v>
      </c>
      <c r="H2070" s="169" t="s">
        <v>378</v>
      </c>
      <c r="I2070" s="169" t="s">
        <v>379</v>
      </c>
      <c r="J2070" s="169" t="s">
        <v>1243</v>
      </c>
      <c r="K2070" s="169" t="s">
        <v>1240</v>
      </c>
      <c r="L2070" s="169" t="s">
        <v>1213</v>
      </c>
      <c r="M2070" s="169" t="s">
        <v>281</v>
      </c>
      <c r="N2070" s="178">
        <v>16127750</v>
      </c>
      <c r="O2070" s="169" t="s">
        <v>1244</v>
      </c>
      <c r="P2070" s="169" t="s">
        <v>283</v>
      </c>
      <c r="Q2070" s="169" t="s">
        <v>284</v>
      </c>
      <c r="R2070" s="169" t="s">
        <v>283</v>
      </c>
      <c r="S2070" s="169" t="s">
        <v>283</v>
      </c>
      <c r="T2070" s="169">
        <v>0</v>
      </c>
    </row>
    <row r="2071" spans="1:20" x14ac:dyDescent="0.2">
      <c r="A2071" s="169" t="str">
        <f t="shared" si="10"/>
        <v>642</v>
      </c>
      <c r="B2071" s="167" t="str">
        <f>_xlfn.XLOOKUP(I2071,Mapping!D:D,Mapping!E:E)</f>
        <v>Mua Hàng &amp; XNK</v>
      </c>
      <c r="C2071" s="167" t="str">
        <f>_xlfn.XLOOKUP(F2071,Mapping!A:A,Mapping!F:F)</f>
        <v>Thưởng</v>
      </c>
      <c r="D2071" s="173">
        <v>45991</v>
      </c>
      <c r="E2071" s="169" t="s">
        <v>1242</v>
      </c>
      <c r="F2071" s="169" t="s">
        <v>292</v>
      </c>
      <c r="G2071" s="169" t="s">
        <v>77</v>
      </c>
      <c r="H2071" s="169" t="s">
        <v>378</v>
      </c>
      <c r="I2071" s="169" t="s">
        <v>379</v>
      </c>
      <c r="J2071" s="169" t="s">
        <v>1245</v>
      </c>
      <c r="K2071" s="169" t="s">
        <v>1240</v>
      </c>
      <c r="L2071" s="169" t="s">
        <v>1213</v>
      </c>
      <c r="M2071" s="169" t="s">
        <v>281</v>
      </c>
      <c r="N2071" s="178">
        <v>14837401</v>
      </c>
      <c r="O2071" s="169" t="s">
        <v>1244</v>
      </c>
      <c r="P2071" s="169" t="s">
        <v>283</v>
      </c>
      <c r="Q2071" s="169" t="s">
        <v>284</v>
      </c>
      <c r="R2071" s="169" t="s">
        <v>283</v>
      </c>
      <c r="S2071" s="169" t="s">
        <v>283</v>
      </c>
      <c r="T2071" s="169">
        <v>0</v>
      </c>
    </row>
    <row r="2072" spans="1:20" x14ac:dyDescent="0.2">
      <c r="A2072" s="169" t="str">
        <f t="shared" si="10"/>
        <v>627</v>
      </c>
      <c r="B2072" s="167" t="str">
        <f>_xlfn.XLOOKUP(I2072,Mapping!D:D,Mapping!E:E)</f>
        <v>Kỹ Thuật</v>
      </c>
      <c r="C2072" s="167" t="str">
        <f>_xlfn.XLOOKUP(F2072,Mapping!A:A,Mapping!F:F)</f>
        <v>Lương Chính +T13</v>
      </c>
      <c r="D2072" s="173">
        <v>45991</v>
      </c>
      <c r="E2072" s="169" t="s">
        <v>1242</v>
      </c>
      <c r="F2072" s="169" t="s">
        <v>388</v>
      </c>
      <c r="G2072" s="169" t="s">
        <v>286</v>
      </c>
      <c r="H2072" s="169" t="s">
        <v>376</v>
      </c>
      <c r="I2072" s="169" t="s">
        <v>377</v>
      </c>
      <c r="J2072" s="169" t="s">
        <v>1243</v>
      </c>
      <c r="K2072" s="169" t="s">
        <v>1240</v>
      </c>
      <c r="L2072" s="169" t="s">
        <v>1213</v>
      </c>
      <c r="M2072" s="169" t="s">
        <v>281</v>
      </c>
      <c r="N2072" s="178">
        <v>88852917</v>
      </c>
      <c r="O2072" s="169" t="s">
        <v>1244</v>
      </c>
      <c r="P2072" s="169" t="s">
        <v>283</v>
      </c>
      <c r="Q2072" s="169" t="s">
        <v>284</v>
      </c>
      <c r="R2072" s="169" t="s">
        <v>283</v>
      </c>
      <c r="S2072" s="169" t="s">
        <v>283</v>
      </c>
      <c r="T2072" s="169">
        <v>0</v>
      </c>
    </row>
    <row r="2073" spans="1:20" x14ac:dyDescent="0.2">
      <c r="A2073" s="169" t="str">
        <f t="shared" si="10"/>
        <v>627</v>
      </c>
      <c r="B2073" s="167" t="str">
        <f>_xlfn.XLOOKUP(I2073,Mapping!D:D,Mapping!E:E)</f>
        <v>Kỹ Thuật</v>
      </c>
      <c r="C2073" s="167" t="str">
        <f>_xlfn.XLOOKUP(F2073,Mapping!A:A,Mapping!F:F)</f>
        <v>Thưởng</v>
      </c>
      <c r="D2073" s="173">
        <v>45991</v>
      </c>
      <c r="E2073" s="169" t="s">
        <v>1242</v>
      </c>
      <c r="F2073" s="169" t="s">
        <v>395</v>
      </c>
      <c r="G2073" s="169" t="s">
        <v>77</v>
      </c>
      <c r="H2073" s="169" t="s">
        <v>376</v>
      </c>
      <c r="I2073" s="169" t="s">
        <v>377</v>
      </c>
      <c r="J2073" s="169" t="s">
        <v>1245</v>
      </c>
      <c r="K2073" s="169" t="s">
        <v>1240</v>
      </c>
      <c r="L2073" s="169" t="s">
        <v>1213</v>
      </c>
      <c r="M2073" s="169" t="s">
        <v>281</v>
      </c>
      <c r="N2073" s="178">
        <v>81743973</v>
      </c>
      <c r="O2073" s="169" t="s">
        <v>1244</v>
      </c>
      <c r="P2073" s="169" t="s">
        <v>283</v>
      </c>
      <c r="Q2073" s="169" t="s">
        <v>284</v>
      </c>
      <c r="R2073" s="169" t="s">
        <v>283</v>
      </c>
      <c r="S2073" s="169" t="s">
        <v>283</v>
      </c>
      <c r="T2073" s="169">
        <v>0</v>
      </c>
    </row>
    <row r="2074" spans="1:20" x14ac:dyDescent="0.2">
      <c r="A2074" s="169" t="str">
        <f t="shared" si="10"/>
        <v>627</v>
      </c>
      <c r="B2074" s="167" t="str">
        <f>_xlfn.XLOOKUP(I2074,Mapping!D:D,Mapping!E:E)</f>
        <v>Kiểm Soát Chất Lượng</v>
      </c>
      <c r="C2074" s="167" t="str">
        <f>_xlfn.XLOOKUP(F2074,Mapping!A:A,Mapping!F:F)</f>
        <v>Lương Chính +T13</v>
      </c>
      <c r="D2074" s="173">
        <v>45991</v>
      </c>
      <c r="E2074" s="169" t="s">
        <v>1242</v>
      </c>
      <c r="F2074" s="169" t="s">
        <v>388</v>
      </c>
      <c r="G2074" s="169" t="s">
        <v>286</v>
      </c>
      <c r="H2074" s="169" t="s">
        <v>411</v>
      </c>
      <c r="I2074" s="169" t="s">
        <v>412</v>
      </c>
      <c r="J2074" s="169" t="s">
        <v>1243</v>
      </c>
      <c r="K2074" s="169" t="s">
        <v>1240</v>
      </c>
      <c r="L2074" s="169" t="s">
        <v>1213</v>
      </c>
      <c r="M2074" s="169" t="s">
        <v>281</v>
      </c>
      <c r="N2074" s="178">
        <v>38540750</v>
      </c>
      <c r="O2074" s="169" t="s">
        <v>1244</v>
      </c>
      <c r="P2074" s="169" t="s">
        <v>283</v>
      </c>
      <c r="Q2074" s="169" t="s">
        <v>284</v>
      </c>
      <c r="R2074" s="169" t="s">
        <v>283</v>
      </c>
      <c r="S2074" s="169" t="s">
        <v>283</v>
      </c>
      <c r="T2074" s="169">
        <v>0</v>
      </c>
    </row>
    <row r="2075" spans="1:20" x14ac:dyDescent="0.2">
      <c r="A2075" s="169" t="str">
        <f t="shared" si="10"/>
        <v>627</v>
      </c>
      <c r="B2075" s="167" t="str">
        <f>_xlfn.XLOOKUP(I2075,Mapping!D:D,Mapping!E:E)</f>
        <v>Kiểm Soát Chất Lượng</v>
      </c>
      <c r="C2075" s="167" t="str">
        <f>_xlfn.XLOOKUP(F2075,Mapping!A:A,Mapping!F:F)</f>
        <v>Thưởng</v>
      </c>
      <c r="D2075" s="173">
        <v>45991</v>
      </c>
      <c r="E2075" s="169" t="s">
        <v>1242</v>
      </c>
      <c r="F2075" s="169" t="s">
        <v>395</v>
      </c>
      <c r="G2075" s="169" t="s">
        <v>77</v>
      </c>
      <c r="H2075" s="169" t="s">
        <v>411</v>
      </c>
      <c r="I2075" s="169" t="s">
        <v>412</v>
      </c>
      <c r="J2075" s="169" t="s">
        <v>1245</v>
      </c>
      <c r="K2075" s="169" t="s">
        <v>1240</v>
      </c>
      <c r="L2075" s="169" t="s">
        <v>1213</v>
      </c>
      <c r="M2075" s="169" t="s">
        <v>281</v>
      </c>
      <c r="N2075" s="178">
        <v>35457182</v>
      </c>
      <c r="O2075" s="169" t="s">
        <v>1244</v>
      </c>
      <c r="P2075" s="169" t="s">
        <v>283</v>
      </c>
      <c r="Q2075" s="169" t="s">
        <v>284</v>
      </c>
      <c r="R2075" s="169" t="s">
        <v>283</v>
      </c>
      <c r="S2075" s="169" t="s">
        <v>283</v>
      </c>
      <c r="T2075" s="169">
        <v>0</v>
      </c>
    </row>
    <row r="2076" spans="1:20" x14ac:dyDescent="0.2">
      <c r="A2076" s="169" t="str">
        <f t="shared" si="10"/>
        <v>627</v>
      </c>
      <c r="B2076" s="167" t="str">
        <f>_xlfn.XLOOKUP(I2076,Mapping!D:D,Mapping!E:E)</f>
        <v>Nghiên Cứu &amp; Phát Triển</v>
      </c>
      <c r="C2076" s="167" t="str">
        <f>_xlfn.XLOOKUP(F2076,Mapping!A:A,Mapping!F:F)</f>
        <v>Lương Chính +T13</v>
      </c>
      <c r="D2076" s="173">
        <v>45991</v>
      </c>
      <c r="E2076" s="169" t="s">
        <v>1242</v>
      </c>
      <c r="F2076" s="169" t="s">
        <v>388</v>
      </c>
      <c r="G2076" s="169" t="s">
        <v>286</v>
      </c>
      <c r="H2076" s="169" t="s">
        <v>418</v>
      </c>
      <c r="I2076" s="169" t="s">
        <v>419</v>
      </c>
      <c r="J2076" s="169" t="s">
        <v>1243</v>
      </c>
      <c r="K2076" s="169" t="s">
        <v>1240</v>
      </c>
      <c r="L2076" s="169" t="s">
        <v>1213</v>
      </c>
      <c r="M2076" s="169" t="s">
        <v>281</v>
      </c>
      <c r="N2076" s="178">
        <v>16916667</v>
      </c>
      <c r="O2076" s="169" t="s">
        <v>1244</v>
      </c>
      <c r="P2076" s="169" t="s">
        <v>283</v>
      </c>
      <c r="Q2076" s="169" t="s">
        <v>284</v>
      </c>
      <c r="R2076" s="169" t="s">
        <v>283</v>
      </c>
      <c r="S2076" s="169" t="s">
        <v>283</v>
      </c>
      <c r="T2076" s="169">
        <v>0</v>
      </c>
    </row>
    <row r="2077" spans="1:20" x14ac:dyDescent="0.2">
      <c r="A2077" s="169" t="str">
        <f t="shared" si="10"/>
        <v>627</v>
      </c>
      <c r="B2077" s="167" t="str">
        <f>_xlfn.XLOOKUP(I2077,Mapping!D:D,Mapping!E:E)</f>
        <v>Nghiên Cứu &amp; Phát Triển</v>
      </c>
      <c r="C2077" s="167" t="str">
        <f>_xlfn.XLOOKUP(F2077,Mapping!A:A,Mapping!F:F)</f>
        <v>Thưởng</v>
      </c>
      <c r="D2077" s="173">
        <v>45991</v>
      </c>
      <c r="E2077" s="169" t="s">
        <v>1242</v>
      </c>
      <c r="F2077" s="169" t="s">
        <v>395</v>
      </c>
      <c r="G2077" s="169" t="s">
        <v>77</v>
      </c>
      <c r="H2077" s="169" t="s">
        <v>418</v>
      </c>
      <c r="I2077" s="169" t="s">
        <v>419</v>
      </c>
      <c r="J2077" s="169" t="s">
        <v>1245</v>
      </c>
      <c r="K2077" s="169" t="s">
        <v>1240</v>
      </c>
      <c r="L2077" s="169" t="s">
        <v>1213</v>
      </c>
      <c r="M2077" s="169" t="s">
        <v>281</v>
      </c>
      <c r="N2077" s="178">
        <v>15563198</v>
      </c>
      <c r="O2077" s="169" t="s">
        <v>1244</v>
      </c>
      <c r="P2077" s="169" t="s">
        <v>283</v>
      </c>
      <c r="Q2077" s="169" t="s">
        <v>284</v>
      </c>
      <c r="R2077" s="169" t="s">
        <v>283</v>
      </c>
      <c r="S2077" s="169" t="s">
        <v>283</v>
      </c>
      <c r="T2077" s="169">
        <v>0</v>
      </c>
    </row>
    <row r="2078" spans="1:20" x14ac:dyDescent="0.2">
      <c r="A2078" s="169" t="str">
        <f t="shared" si="10"/>
        <v>627</v>
      </c>
      <c r="B2078" s="167" t="str">
        <f>_xlfn.XLOOKUP(I2078,Mapping!D:D,Mapping!E:E)</f>
        <v>Xưởng Sản Xuất</v>
      </c>
      <c r="C2078" s="167" t="str">
        <f>_xlfn.XLOOKUP(F2078,Mapping!A:A,Mapping!F:F)</f>
        <v>Lương Chính +T13</v>
      </c>
      <c r="D2078" s="173">
        <v>45991</v>
      </c>
      <c r="E2078" s="169" t="s">
        <v>1242</v>
      </c>
      <c r="F2078" s="169" t="s">
        <v>388</v>
      </c>
      <c r="G2078" s="169" t="s">
        <v>286</v>
      </c>
      <c r="H2078" s="169" t="s">
        <v>402</v>
      </c>
      <c r="I2078" s="169" t="s">
        <v>403</v>
      </c>
      <c r="J2078" s="169" t="s">
        <v>1243</v>
      </c>
      <c r="K2078" s="169" t="s">
        <v>1240</v>
      </c>
      <c r="L2078" s="169" t="s">
        <v>1213</v>
      </c>
      <c r="M2078" s="169" t="s">
        <v>281</v>
      </c>
      <c r="N2078" s="178">
        <v>34131170</v>
      </c>
      <c r="O2078" s="169" t="s">
        <v>1244</v>
      </c>
      <c r="P2078" s="169" t="s">
        <v>283</v>
      </c>
      <c r="Q2078" s="169" t="s">
        <v>284</v>
      </c>
      <c r="R2078" s="169" t="s">
        <v>283</v>
      </c>
      <c r="S2078" s="169" t="s">
        <v>283</v>
      </c>
      <c r="T2078" s="169">
        <v>0</v>
      </c>
    </row>
    <row r="2079" spans="1:20" x14ac:dyDescent="0.2">
      <c r="A2079" s="169" t="str">
        <f t="shared" si="10"/>
        <v>622</v>
      </c>
      <c r="B2079" s="167" t="str">
        <f>_xlfn.XLOOKUP(I2079,Mapping!D:D,Mapping!E:E)</f>
        <v>Xưởng Sản Xuất</v>
      </c>
      <c r="C2079" s="167" t="str">
        <f>_xlfn.XLOOKUP(F2079,Mapping!A:A,Mapping!F:F)</f>
        <v>Lương Chính +T13</v>
      </c>
      <c r="D2079" s="173">
        <v>45991</v>
      </c>
      <c r="E2079" s="169" t="s">
        <v>1242</v>
      </c>
      <c r="F2079" s="169" t="s">
        <v>420</v>
      </c>
      <c r="G2079" s="169" t="s">
        <v>286</v>
      </c>
      <c r="H2079" s="169" t="s">
        <v>402</v>
      </c>
      <c r="I2079" s="169" t="s">
        <v>403</v>
      </c>
      <c r="J2079" s="169" t="s">
        <v>1243</v>
      </c>
      <c r="K2079" s="169" t="s">
        <v>1240</v>
      </c>
      <c r="L2079" s="169" t="s">
        <v>1213</v>
      </c>
      <c r="M2079" s="169" t="s">
        <v>281</v>
      </c>
      <c r="N2079" s="178">
        <v>105711883</v>
      </c>
      <c r="O2079" s="169" t="s">
        <v>1244</v>
      </c>
      <c r="P2079" s="169" t="s">
        <v>283</v>
      </c>
      <c r="Q2079" s="169" t="s">
        <v>284</v>
      </c>
      <c r="R2079" s="169" t="s">
        <v>283</v>
      </c>
      <c r="S2079" s="169" t="s">
        <v>283</v>
      </c>
      <c r="T2079" s="169">
        <v>0</v>
      </c>
    </row>
    <row r="2080" spans="1:20" x14ac:dyDescent="0.2">
      <c r="A2080" s="169" t="str">
        <f t="shared" si="10"/>
        <v>627</v>
      </c>
      <c r="B2080" s="167" t="str">
        <f>_xlfn.XLOOKUP(I2080,Mapping!D:D,Mapping!E:E)</f>
        <v>Xưởng Sản Xuất</v>
      </c>
      <c r="C2080" s="167" t="str">
        <f>_xlfn.XLOOKUP(F2080,Mapping!A:A,Mapping!F:F)</f>
        <v>Thưởng</v>
      </c>
      <c r="D2080" s="173">
        <v>45991</v>
      </c>
      <c r="E2080" s="169" t="s">
        <v>1242</v>
      </c>
      <c r="F2080" s="169" t="s">
        <v>395</v>
      </c>
      <c r="G2080" s="169" t="s">
        <v>77</v>
      </c>
      <c r="H2080" s="169" t="s">
        <v>402</v>
      </c>
      <c r="I2080" s="169" t="s">
        <v>403</v>
      </c>
      <c r="J2080" s="169" t="s">
        <v>1245</v>
      </c>
      <c r="K2080" s="169" t="s">
        <v>1240</v>
      </c>
      <c r="L2080" s="169" t="s">
        <v>1213</v>
      </c>
      <c r="M2080" s="169" t="s">
        <v>281</v>
      </c>
      <c r="N2080" s="178">
        <v>30905675</v>
      </c>
      <c r="O2080" s="169" t="s">
        <v>1244</v>
      </c>
      <c r="P2080" s="169" t="s">
        <v>283</v>
      </c>
      <c r="Q2080" s="169" t="s">
        <v>284</v>
      </c>
      <c r="R2080" s="169" t="s">
        <v>283</v>
      </c>
      <c r="S2080" s="169" t="s">
        <v>283</v>
      </c>
      <c r="T2080" s="169">
        <v>0</v>
      </c>
    </row>
    <row r="2081" spans="1:20" x14ac:dyDescent="0.2">
      <c r="A2081" s="169" t="str">
        <f t="shared" si="10"/>
        <v>622</v>
      </c>
      <c r="B2081" s="167" t="str">
        <f>_xlfn.XLOOKUP(I2081,Mapping!D:D,Mapping!E:E)</f>
        <v>Xưởng Sản Xuất</v>
      </c>
      <c r="C2081" s="167" t="str">
        <f>_xlfn.XLOOKUP(F2081,Mapping!A:A,Mapping!F:F)</f>
        <v>Thưởng</v>
      </c>
      <c r="D2081" s="173">
        <v>45991</v>
      </c>
      <c r="E2081" s="169" t="s">
        <v>1242</v>
      </c>
      <c r="F2081" s="169" t="s">
        <v>426</v>
      </c>
      <c r="G2081" s="169" t="s">
        <v>77</v>
      </c>
      <c r="H2081" s="169" t="s">
        <v>402</v>
      </c>
      <c r="I2081" s="169" t="s">
        <v>403</v>
      </c>
      <c r="J2081" s="169" t="s">
        <v>1245</v>
      </c>
      <c r="K2081" s="169" t="s">
        <v>1240</v>
      </c>
      <c r="L2081" s="169" t="s">
        <v>1213</v>
      </c>
      <c r="M2081" s="169" t="s">
        <v>281</v>
      </c>
      <c r="N2081" s="178">
        <v>24270687</v>
      </c>
      <c r="O2081" s="169" t="s">
        <v>1244</v>
      </c>
      <c r="P2081" s="169" t="s">
        <v>283</v>
      </c>
      <c r="Q2081" s="169" t="s">
        <v>284</v>
      </c>
      <c r="R2081" s="169" t="s">
        <v>283</v>
      </c>
      <c r="S2081" s="169" t="s">
        <v>283</v>
      </c>
      <c r="T2081" s="169">
        <v>0</v>
      </c>
    </row>
    <row r="2082" spans="1:20" x14ac:dyDescent="0.2">
      <c r="A2082" s="169" t="str">
        <f t="shared" si="10"/>
        <v>627</v>
      </c>
      <c r="B2082" s="167" t="str">
        <f>_xlfn.XLOOKUP(I2082,Mapping!D:D,Mapping!E:E)</f>
        <v>Xưởng Sản Xuất</v>
      </c>
      <c r="C2082" s="167" t="str">
        <f>_xlfn.XLOOKUP(F2082,Mapping!A:A,Mapping!F:F)</f>
        <v>Lương Chính +T13</v>
      </c>
      <c r="D2082" s="173">
        <v>45991</v>
      </c>
      <c r="E2082" s="169" t="s">
        <v>1242</v>
      </c>
      <c r="F2082" s="169" t="s">
        <v>388</v>
      </c>
      <c r="G2082" s="169" t="s">
        <v>286</v>
      </c>
      <c r="H2082" s="169" t="s">
        <v>430</v>
      </c>
      <c r="I2082" s="169" t="s">
        <v>431</v>
      </c>
      <c r="J2082" s="169" t="s">
        <v>1243</v>
      </c>
      <c r="K2082" s="169" t="s">
        <v>1240</v>
      </c>
      <c r="L2082" s="169" t="s">
        <v>1213</v>
      </c>
      <c r="M2082" s="169" t="s">
        <v>281</v>
      </c>
      <c r="N2082" s="178">
        <v>11805449</v>
      </c>
      <c r="O2082" s="169" t="s">
        <v>1244</v>
      </c>
      <c r="P2082" s="169" t="s">
        <v>283</v>
      </c>
      <c r="Q2082" s="169" t="s">
        <v>284</v>
      </c>
      <c r="R2082" s="169" t="s">
        <v>283</v>
      </c>
      <c r="S2082" s="169" t="s">
        <v>283</v>
      </c>
      <c r="T2082" s="169">
        <v>0</v>
      </c>
    </row>
    <row r="2083" spans="1:20" x14ac:dyDescent="0.2">
      <c r="A2083" s="169" t="str">
        <f t="shared" si="10"/>
        <v>622</v>
      </c>
      <c r="B2083" s="167" t="str">
        <f>_xlfn.XLOOKUP(I2083,Mapping!D:D,Mapping!E:E)</f>
        <v>Xưởng Sản Xuất</v>
      </c>
      <c r="C2083" s="167" t="str">
        <f>_xlfn.XLOOKUP(F2083,Mapping!A:A,Mapping!F:F)</f>
        <v>Lương Chính +T13</v>
      </c>
      <c r="D2083" s="173">
        <v>45991</v>
      </c>
      <c r="E2083" s="169" t="s">
        <v>1242</v>
      </c>
      <c r="F2083" s="169" t="s">
        <v>420</v>
      </c>
      <c r="G2083" s="169" t="s">
        <v>286</v>
      </c>
      <c r="H2083" s="169" t="s">
        <v>430</v>
      </c>
      <c r="I2083" s="169" t="s">
        <v>431</v>
      </c>
      <c r="J2083" s="169" t="s">
        <v>1243</v>
      </c>
      <c r="K2083" s="169" t="s">
        <v>1240</v>
      </c>
      <c r="L2083" s="169" t="s">
        <v>1213</v>
      </c>
      <c r="M2083" s="169" t="s">
        <v>281</v>
      </c>
      <c r="N2083" s="178">
        <v>18135224</v>
      </c>
      <c r="O2083" s="169" t="s">
        <v>1244</v>
      </c>
      <c r="P2083" s="169" t="s">
        <v>283</v>
      </c>
      <c r="Q2083" s="169" t="s">
        <v>284</v>
      </c>
      <c r="R2083" s="169" t="s">
        <v>283</v>
      </c>
      <c r="S2083" s="169" t="s">
        <v>283</v>
      </c>
      <c r="T2083" s="169">
        <v>0</v>
      </c>
    </row>
    <row r="2084" spans="1:20" x14ac:dyDescent="0.2">
      <c r="A2084" s="169" t="str">
        <f t="shared" si="10"/>
        <v>627</v>
      </c>
      <c r="B2084" s="167" t="str">
        <f>_xlfn.XLOOKUP(I2084,Mapping!D:D,Mapping!E:E)</f>
        <v>Xưởng Sản Xuất</v>
      </c>
      <c r="C2084" s="167" t="str">
        <f>_xlfn.XLOOKUP(F2084,Mapping!A:A,Mapping!F:F)</f>
        <v>Thưởng</v>
      </c>
      <c r="D2084" s="173">
        <v>45991</v>
      </c>
      <c r="E2084" s="169" t="s">
        <v>1242</v>
      </c>
      <c r="F2084" s="169" t="s">
        <v>395</v>
      </c>
      <c r="G2084" s="169" t="s">
        <v>77</v>
      </c>
      <c r="H2084" s="169" t="s">
        <v>430</v>
      </c>
      <c r="I2084" s="169" t="s">
        <v>431</v>
      </c>
      <c r="J2084" s="169" t="s">
        <v>1245</v>
      </c>
      <c r="K2084" s="169" t="s">
        <v>1240</v>
      </c>
      <c r="L2084" s="169" t="s">
        <v>1213</v>
      </c>
      <c r="M2084" s="169" t="s">
        <v>281</v>
      </c>
      <c r="N2084" s="178">
        <v>10433629</v>
      </c>
      <c r="O2084" s="169" t="s">
        <v>1244</v>
      </c>
      <c r="P2084" s="169" t="s">
        <v>283</v>
      </c>
      <c r="Q2084" s="169" t="s">
        <v>284</v>
      </c>
      <c r="R2084" s="169" t="s">
        <v>283</v>
      </c>
      <c r="S2084" s="169" t="s">
        <v>283</v>
      </c>
      <c r="T2084" s="169">
        <v>0</v>
      </c>
    </row>
    <row r="2085" spans="1:20" x14ac:dyDescent="0.2">
      <c r="A2085" s="169" t="str">
        <f t="shared" si="10"/>
        <v>622</v>
      </c>
      <c r="B2085" s="167" t="str">
        <f>_xlfn.XLOOKUP(I2085,Mapping!D:D,Mapping!E:E)</f>
        <v>Xưởng Sản Xuất</v>
      </c>
      <c r="C2085" s="167" t="str">
        <f>_xlfn.XLOOKUP(F2085,Mapping!A:A,Mapping!F:F)</f>
        <v>Thưởng</v>
      </c>
      <c r="D2085" s="173">
        <v>45991</v>
      </c>
      <c r="E2085" s="169" t="s">
        <v>1242</v>
      </c>
      <c r="F2085" s="169" t="s">
        <v>426</v>
      </c>
      <c r="G2085" s="169" t="s">
        <v>77</v>
      </c>
      <c r="H2085" s="169" t="s">
        <v>430</v>
      </c>
      <c r="I2085" s="169" t="s">
        <v>431</v>
      </c>
      <c r="J2085" s="169" t="s">
        <v>1245</v>
      </c>
      <c r="K2085" s="169" t="s">
        <v>1240</v>
      </c>
      <c r="L2085" s="169" t="s">
        <v>1213</v>
      </c>
      <c r="M2085" s="169" t="s">
        <v>281</v>
      </c>
      <c r="N2085" s="178">
        <v>4752972</v>
      </c>
      <c r="O2085" s="169" t="s">
        <v>1244</v>
      </c>
      <c r="P2085" s="169" t="s">
        <v>283</v>
      </c>
      <c r="Q2085" s="169" t="s">
        <v>284</v>
      </c>
      <c r="R2085" s="169" t="s">
        <v>283</v>
      </c>
      <c r="S2085" s="169" t="s">
        <v>283</v>
      </c>
      <c r="T2085" s="169">
        <v>0</v>
      </c>
    </row>
    <row r="2086" spans="1:20" x14ac:dyDescent="0.2">
      <c r="A2086" s="169" t="str">
        <f t="shared" si="10"/>
        <v>627</v>
      </c>
      <c r="B2086" s="167" t="str">
        <f>_xlfn.XLOOKUP(I2086,Mapping!D:D,Mapping!E:E)</f>
        <v>Xưởng Sản Xuất</v>
      </c>
      <c r="C2086" s="167" t="str">
        <f>_xlfn.XLOOKUP(F2086,Mapping!A:A,Mapping!F:F)</f>
        <v>Lương Chính +T13</v>
      </c>
      <c r="D2086" s="173">
        <v>45991</v>
      </c>
      <c r="E2086" s="169" t="s">
        <v>1242</v>
      </c>
      <c r="F2086" s="169" t="s">
        <v>388</v>
      </c>
      <c r="G2086" s="169" t="s">
        <v>286</v>
      </c>
      <c r="H2086" s="169" t="s">
        <v>436</v>
      </c>
      <c r="I2086" s="169" t="s">
        <v>437</v>
      </c>
      <c r="J2086" s="169" t="s">
        <v>1243</v>
      </c>
      <c r="K2086" s="169" t="s">
        <v>1240</v>
      </c>
      <c r="L2086" s="169" t="s">
        <v>1213</v>
      </c>
      <c r="M2086" s="169" t="s">
        <v>281</v>
      </c>
      <c r="N2086" s="178">
        <v>25228881</v>
      </c>
      <c r="O2086" s="169" t="s">
        <v>1244</v>
      </c>
      <c r="P2086" s="169" t="s">
        <v>283</v>
      </c>
      <c r="Q2086" s="169" t="s">
        <v>284</v>
      </c>
      <c r="R2086" s="169" t="s">
        <v>283</v>
      </c>
      <c r="S2086" s="169" t="s">
        <v>283</v>
      </c>
      <c r="T2086" s="169">
        <v>0</v>
      </c>
    </row>
    <row r="2087" spans="1:20" x14ac:dyDescent="0.2">
      <c r="A2087" s="169" t="str">
        <f t="shared" si="10"/>
        <v>627</v>
      </c>
      <c r="B2087" s="167" t="str">
        <f>_xlfn.XLOOKUP(I2087,Mapping!D:D,Mapping!E:E)</f>
        <v>Xưởng Sản Xuất</v>
      </c>
      <c r="C2087" s="167" t="str">
        <f>_xlfn.XLOOKUP(F2087,Mapping!A:A,Mapping!F:F)</f>
        <v>Thưởng</v>
      </c>
      <c r="D2087" s="173">
        <v>45991</v>
      </c>
      <c r="E2087" s="169" t="s">
        <v>1242</v>
      </c>
      <c r="F2087" s="169" t="s">
        <v>395</v>
      </c>
      <c r="G2087" s="169" t="s">
        <v>77</v>
      </c>
      <c r="H2087" s="169" t="s">
        <v>436</v>
      </c>
      <c r="I2087" s="169" t="s">
        <v>437</v>
      </c>
      <c r="J2087" s="169" t="s">
        <v>1245</v>
      </c>
      <c r="K2087" s="169" t="s">
        <v>1240</v>
      </c>
      <c r="L2087" s="169" t="s">
        <v>1213</v>
      </c>
      <c r="M2087" s="169" t="s">
        <v>281</v>
      </c>
      <c r="N2087" s="178">
        <v>16779597</v>
      </c>
      <c r="O2087" s="169" t="s">
        <v>1244</v>
      </c>
      <c r="P2087" s="169" t="s">
        <v>283</v>
      </c>
      <c r="Q2087" s="169" t="s">
        <v>284</v>
      </c>
      <c r="R2087" s="169" t="s">
        <v>283</v>
      </c>
      <c r="S2087" s="169" t="s">
        <v>283</v>
      </c>
      <c r="T2087" s="169">
        <v>0</v>
      </c>
    </row>
    <row r="2088" spans="1:20" x14ac:dyDescent="0.2">
      <c r="A2088" s="169" t="str">
        <f t="shared" si="10"/>
        <v>642</v>
      </c>
      <c r="B2088" s="167" t="str">
        <f>_xlfn.XLOOKUP(I2088,Mapping!D:D,Mapping!E:E)</f>
        <v>Hành Chánh Nhân Sự</v>
      </c>
      <c r="C2088" s="167" t="str">
        <f>_xlfn.XLOOKUP(F2088,Mapping!A:A,Mapping!F:F)</f>
        <v>Lương Chính +T13</v>
      </c>
      <c r="D2088" s="173">
        <v>45991</v>
      </c>
      <c r="E2088" s="169" t="s">
        <v>1242</v>
      </c>
      <c r="F2088" s="169" t="s">
        <v>285</v>
      </c>
      <c r="G2088" s="169" t="s">
        <v>286</v>
      </c>
      <c r="H2088" s="169" t="s">
        <v>382</v>
      </c>
      <c r="I2088" s="169" t="s">
        <v>200</v>
      </c>
      <c r="J2088" s="169" t="s">
        <v>1243</v>
      </c>
      <c r="K2088" s="169" t="s">
        <v>1240</v>
      </c>
      <c r="L2088" s="169" t="s">
        <v>1213</v>
      </c>
      <c r="M2088" s="169" t="s">
        <v>281</v>
      </c>
      <c r="N2088" s="178">
        <v>6194250</v>
      </c>
      <c r="O2088" s="169" t="s">
        <v>1244</v>
      </c>
      <c r="P2088" s="169" t="s">
        <v>283</v>
      </c>
      <c r="Q2088" s="169" t="s">
        <v>284</v>
      </c>
      <c r="R2088" s="169" t="s">
        <v>283</v>
      </c>
      <c r="S2088" s="169" t="s">
        <v>283</v>
      </c>
      <c r="T2088" s="169">
        <v>0</v>
      </c>
    </row>
    <row r="2089" spans="1:20" x14ac:dyDescent="0.2">
      <c r="A2089" s="169" t="str">
        <f t="shared" si="10"/>
        <v>642</v>
      </c>
      <c r="B2089" s="167" t="str">
        <f>_xlfn.XLOOKUP(I2089,Mapping!D:D,Mapping!E:E)</f>
        <v>Hành Chánh Nhân Sự</v>
      </c>
      <c r="C2089" s="167" t="str">
        <f>_xlfn.XLOOKUP(F2089,Mapping!A:A,Mapping!F:F)</f>
        <v>Thưởng</v>
      </c>
      <c r="D2089" s="173">
        <v>45991</v>
      </c>
      <c r="E2089" s="169" t="s">
        <v>1242</v>
      </c>
      <c r="F2089" s="169" t="s">
        <v>292</v>
      </c>
      <c r="G2089" s="169" t="s">
        <v>77</v>
      </c>
      <c r="H2089" s="169" t="s">
        <v>382</v>
      </c>
      <c r="I2089" s="169" t="s">
        <v>200</v>
      </c>
      <c r="J2089" s="169" t="s">
        <v>1245</v>
      </c>
      <c r="K2089" s="169" t="s">
        <v>1240</v>
      </c>
      <c r="L2089" s="169" t="s">
        <v>1213</v>
      </c>
      <c r="M2089" s="169" t="s">
        <v>281</v>
      </c>
      <c r="N2089" s="178">
        <v>5698660</v>
      </c>
      <c r="O2089" s="169" t="s">
        <v>1244</v>
      </c>
      <c r="P2089" s="169" t="s">
        <v>283</v>
      </c>
      <c r="Q2089" s="169" t="s">
        <v>284</v>
      </c>
      <c r="R2089" s="169" t="s">
        <v>283</v>
      </c>
      <c r="S2089" s="169" t="s">
        <v>283</v>
      </c>
      <c r="T2089" s="169">
        <v>0</v>
      </c>
    </row>
    <row r="2090" spans="1:20" x14ac:dyDescent="0.2">
      <c r="A2090" s="169" t="str">
        <f t="shared" ref="A2090:A2153" si="11">LEFT(F2090,3)</f>
        <v>642</v>
      </c>
      <c r="B2090" s="167" t="str">
        <f>_xlfn.XLOOKUP(I2090,Mapping!D:D,Mapping!E:E)</f>
        <v>Hành Chánh Nhân Sự</v>
      </c>
      <c r="C2090" s="167" t="str">
        <f>_xlfn.XLOOKUP(F2090,Mapping!A:A,Mapping!F:F)</f>
        <v>Lương Chính +T13</v>
      </c>
      <c r="D2090" s="173">
        <v>45991</v>
      </c>
      <c r="E2090" s="169" t="s">
        <v>1242</v>
      </c>
      <c r="F2090" s="169" t="s">
        <v>285</v>
      </c>
      <c r="G2090" s="169" t="s">
        <v>286</v>
      </c>
      <c r="H2090" s="169" t="s">
        <v>358</v>
      </c>
      <c r="I2090" s="169" t="s">
        <v>359</v>
      </c>
      <c r="J2090" s="169" t="s">
        <v>1243</v>
      </c>
      <c r="K2090" s="169" t="s">
        <v>1240</v>
      </c>
      <c r="L2090" s="169" t="s">
        <v>1213</v>
      </c>
      <c r="M2090" s="169" t="s">
        <v>281</v>
      </c>
      <c r="N2090" s="178">
        <v>8468167</v>
      </c>
      <c r="O2090" s="169" t="s">
        <v>1244</v>
      </c>
      <c r="P2090" s="169" t="s">
        <v>283</v>
      </c>
      <c r="Q2090" s="169" t="s">
        <v>284</v>
      </c>
      <c r="R2090" s="169" t="s">
        <v>283</v>
      </c>
      <c r="S2090" s="169" t="s">
        <v>283</v>
      </c>
      <c r="T2090" s="169">
        <v>0</v>
      </c>
    </row>
    <row r="2091" spans="1:20" x14ac:dyDescent="0.2">
      <c r="A2091" s="169" t="str">
        <f t="shared" si="11"/>
        <v>642</v>
      </c>
      <c r="B2091" s="167" t="str">
        <f>_xlfn.XLOOKUP(I2091,Mapping!D:D,Mapping!E:E)</f>
        <v>Hành Chánh Nhân Sự</v>
      </c>
      <c r="C2091" s="167" t="str">
        <f>_xlfn.XLOOKUP(F2091,Mapping!A:A,Mapping!F:F)</f>
        <v>Thưởng</v>
      </c>
      <c r="D2091" s="173">
        <v>45991</v>
      </c>
      <c r="E2091" s="169" t="s">
        <v>1242</v>
      </c>
      <c r="F2091" s="169" t="s">
        <v>292</v>
      </c>
      <c r="G2091" s="169" t="s">
        <v>77</v>
      </c>
      <c r="H2091" s="169" t="s">
        <v>358</v>
      </c>
      <c r="I2091" s="169" t="s">
        <v>359</v>
      </c>
      <c r="J2091" s="169" t="s">
        <v>1245</v>
      </c>
      <c r="K2091" s="169" t="s">
        <v>1240</v>
      </c>
      <c r="L2091" s="169" t="s">
        <v>1213</v>
      </c>
      <c r="M2091" s="169" t="s">
        <v>281</v>
      </c>
      <c r="N2091" s="178">
        <v>7790646</v>
      </c>
      <c r="O2091" s="169" t="s">
        <v>1244</v>
      </c>
      <c r="P2091" s="169" t="s">
        <v>283</v>
      </c>
      <c r="Q2091" s="169" t="s">
        <v>284</v>
      </c>
      <c r="R2091" s="169" t="s">
        <v>283</v>
      </c>
      <c r="S2091" s="169" t="s">
        <v>283</v>
      </c>
      <c r="T2091" s="169">
        <v>0</v>
      </c>
    </row>
    <row r="2092" spans="1:20" x14ac:dyDescent="0.2">
      <c r="A2092" s="169" t="str">
        <f t="shared" si="11"/>
        <v>622</v>
      </c>
      <c r="B2092" s="167" t="str">
        <f>_xlfn.XLOOKUP(I2092,Mapping!D:D,Mapping!E:E)</f>
        <v>Xưởng Sản Xuất</v>
      </c>
      <c r="C2092" s="167" t="str">
        <f>_xlfn.XLOOKUP(F2092,Mapping!A:A,Mapping!F:F)</f>
        <v>Lương Chính +T13</v>
      </c>
      <c r="D2092" s="173">
        <v>45991</v>
      </c>
      <c r="E2092" s="169" t="s">
        <v>1242</v>
      </c>
      <c r="F2092" s="169" t="s">
        <v>420</v>
      </c>
      <c r="G2092" s="169" t="s">
        <v>286</v>
      </c>
      <c r="H2092" s="169" t="s">
        <v>441</v>
      </c>
      <c r="I2092" s="169" t="s">
        <v>442</v>
      </c>
      <c r="J2092" s="169" t="s">
        <v>1243</v>
      </c>
      <c r="K2092" s="169" t="s">
        <v>1240</v>
      </c>
      <c r="L2092" s="169" t="s">
        <v>1213</v>
      </c>
      <c r="M2092" s="169" t="s">
        <v>281</v>
      </c>
      <c r="N2092" s="178">
        <v>531385</v>
      </c>
      <c r="O2092" s="169" t="s">
        <v>1244</v>
      </c>
      <c r="P2092" s="169" t="s">
        <v>283</v>
      </c>
      <c r="Q2092" s="169" t="s">
        <v>284</v>
      </c>
      <c r="R2092" s="169" t="s">
        <v>283</v>
      </c>
      <c r="S2092" s="169" t="s">
        <v>283</v>
      </c>
      <c r="T2092" s="169">
        <v>0</v>
      </c>
    </row>
    <row r="2093" spans="1:20" x14ac:dyDescent="0.2">
      <c r="A2093" s="169" t="str">
        <f t="shared" si="11"/>
        <v>622</v>
      </c>
      <c r="B2093" s="167" t="str">
        <f>_xlfn.XLOOKUP(I2093,Mapping!D:D,Mapping!E:E)</f>
        <v>Xưởng Sản Xuất</v>
      </c>
      <c r="C2093" s="167" t="str">
        <f>_xlfn.XLOOKUP(F2093,Mapping!A:A,Mapping!F:F)</f>
        <v>Thưởng</v>
      </c>
      <c r="D2093" s="173">
        <v>45991</v>
      </c>
      <c r="E2093" s="169" t="s">
        <v>1242</v>
      </c>
      <c r="F2093" s="169" t="s">
        <v>426</v>
      </c>
      <c r="G2093" s="169" t="s">
        <v>77</v>
      </c>
      <c r="H2093" s="169" t="s">
        <v>441</v>
      </c>
      <c r="I2093" s="169" t="s">
        <v>442</v>
      </c>
      <c r="J2093" s="169" t="s">
        <v>1245</v>
      </c>
      <c r="K2093" s="169" t="s">
        <v>1240</v>
      </c>
      <c r="L2093" s="169" t="s">
        <v>1213</v>
      </c>
      <c r="M2093" s="169" t="s">
        <v>281</v>
      </c>
      <c r="N2093" s="178">
        <v>78876</v>
      </c>
      <c r="O2093" s="169" t="s">
        <v>1244</v>
      </c>
      <c r="P2093" s="169" t="s">
        <v>283</v>
      </c>
      <c r="Q2093" s="169" t="s">
        <v>284</v>
      </c>
      <c r="R2093" s="169" t="s">
        <v>283</v>
      </c>
      <c r="S2093" s="169" t="s">
        <v>283</v>
      </c>
      <c r="T2093" s="169">
        <v>0</v>
      </c>
    </row>
    <row r="2094" spans="1:20" x14ac:dyDescent="0.2">
      <c r="A2094" s="169" t="str">
        <f t="shared" si="11"/>
        <v>642</v>
      </c>
      <c r="B2094" s="167" t="str">
        <f>_xlfn.XLOOKUP(I2094,Mapping!D:D,Mapping!E:E)</f>
        <v>Ban Giám Đốc</v>
      </c>
      <c r="C2094" s="167" t="str">
        <f>_xlfn.XLOOKUP(F2094,Mapping!A:A,Mapping!F:F)</f>
        <v>BHXH, BHYT, KPCĐ</v>
      </c>
      <c r="D2094" s="173">
        <v>45991</v>
      </c>
      <c r="E2094" s="169" t="s">
        <v>1246</v>
      </c>
      <c r="F2094" s="169" t="s">
        <v>295</v>
      </c>
      <c r="G2094" s="169" t="s">
        <v>296</v>
      </c>
      <c r="H2094" s="169" t="s">
        <v>276</v>
      </c>
      <c r="I2094" s="169" t="s">
        <v>277</v>
      </c>
      <c r="J2094" s="169" t="s">
        <v>1247</v>
      </c>
      <c r="K2094" s="169" t="s">
        <v>1240</v>
      </c>
      <c r="L2094" s="169" t="s">
        <v>1213</v>
      </c>
      <c r="M2094" s="169" t="s">
        <v>281</v>
      </c>
      <c r="N2094" s="178">
        <v>126066950</v>
      </c>
      <c r="O2094" s="169" t="s">
        <v>1248</v>
      </c>
      <c r="P2094" s="169" t="s">
        <v>283</v>
      </c>
      <c r="Q2094" s="169" t="s">
        <v>284</v>
      </c>
      <c r="R2094" s="169" t="s">
        <v>283</v>
      </c>
      <c r="S2094" s="169" t="s">
        <v>283</v>
      </c>
      <c r="T2094" s="169">
        <v>0</v>
      </c>
    </row>
    <row r="2095" spans="1:20" x14ac:dyDescent="0.2">
      <c r="A2095" s="169" t="str">
        <f t="shared" si="11"/>
        <v>642</v>
      </c>
      <c r="B2095" s="167" t="str">
        <f>_xlfn.XLOOKUP(I2095,Mapping!D:D,Mapping!E:E)</f>
        <v>Văn Phòng Giám Đốc</v>
      </c>
      <c r="C2095" s="167" t="str">
        <f>_xlfn.XLOOKUP(F2095,Mapping!A:A,Mapping!F:F)</f>
        <v>BHXH, BHYT, KPCĐ</v>
      </c>
      <c r="D2095" s="173">
        <v>45991</v>
      </c>
      <c r="E2095" s="169" t="s">
        <v>1246</v>
      </c>
      <c r="F2095" s="169" t="s">
        <v>295</v>
      </c>
      <c r="G2095" s="169" t="s">
        <v>296</v>
      </c>
      <c r="H2095" s="169" t="s">
        <v>320</v>
      </c>
      <c r="I2095" s="169" t="s">
        <v>321</v>
      </c>
      <c r="J2095" s="169" t="s">
        <v>1247</v>
      </c>
      <c r="K2095" s="169" t="s">
        <v>1240</v>
      </c>
      <c r="L2095" s="169" t="s">
        <v>1213</v>
      </c>
      <c r="M2095" s="169" t="s">
        <v>281</v>
      </c>
      <c r="N2095" s="178">
        <v>34958750</v>
      </c>
      <c r="O2095" s="169" t="s">
        <v>1248</v>
      </c>
      <c r="P2095" s="169" t="s">
        <v>283</v>
      </c>
      <c r="Q2095" s="169" t="s">
        <v>284</v>
      </c>
      <c r="R2095" s="169" t="s">
        <v>283</v>
      </c>
      <c r="S2095" s="169" t="s">
        <v>283</v>
      </c>
      <c r="T2095" s="169">
        <v>0</v>
      </c>
    </row>
    <row r="2096" spans="1:20" x14ac:dyDescent="0.2">
      <c r="A2096" s="169" t="str">
        <f t="shared" si="11"/>
        <v>642</v>
      </c>
      <c r="B2096" s="167" t="str">
        <f>_xlfn.XLOOKUP(I2096,Mapping!D:D,Mapping!E:E)</f>
        <v>Hành Chánh Nhân Sự</v>
      </c>
      <c r="C2096" s="167" t="str">
        <f>_xlfn.XLOOKUP(F2096,Mapping!A:A,Mapping!F:F)</f>
        <v>BHXH, BHYT, KPCĐ</v>
      </c>
      <c r="D2096" s="173">
        <v>45991</v>
      </c>
      <c r="E2096" s="169" t="s">
        <v>1246</v>
      </c>
      <c r="F2096" s="169" t="s">
        <v>295</v>
      </c>
      <c r="G2096" s="169" t="s">
        <v>296</v>
      </c>
      <c r="H2096" s="169" t="s">
        <v>301</v>
      </c>
      <c r="I2096" s="169" t="s">
        <v>302</v>
      </c>
      <c r="J2096" s="169" t="s">
        <v>1247</v>
      </c>
      <c r="K2096" s="169" t="s">
        <v>1240</v>
      </c>
      <c r="L2096" s="169" t="s">
        <v>1213</v>
      </c>
      <c r="M2096" s="169" t="s">
        <v>281</v>
      </c>
      <c r="N2096" s="178">
        <v>112460165</v>
      </c>
      <c r="O2096" s="169" t="s">
        <v>1248</v>
      </c>
      <c r="P2096" s="169" t="s">
        <v>283</v>
      </c>
      <c r="Q2096" s="169" t="s">
        <v>284</v>
      </c>
      <c r="R2096" s="169" t="s">
        <v>283</v>
      </c>
      <c r="S2096" s="169" t="s">
        <v>283</v>
      </c>
      <c r="T2096" s="169">
        <v>0</v>
      </c>
    </row>
    <row r="2097" spans="1:20" x14ac:dyDescent="0.2">
      <c r="A2097" s="169" t="str">
        <f t="shared" si="11"/>
        <v>642</v>
      </c>
      <c r="B2097" s="167" t="str">
        <f>_xlfn.XLOOKUP(I2097,Mapping!D:D,Mapping!E:E)</f>
        <v>Kế Toán</v>
      </c>
      <c r="C2097" s="167" t="str">
        <f>_xlfn.XLOOKUP(F2097,Mapping!A:A,Mapping!F:F)</f>
        <v>BHXH, BHYT, KPCĐ</v>
      </c>
      <c r="D2097" s="173">
        <v>45991</v>
      </c>
      <c r="E2097" s="169" t="s">
        <v>1246</v>
      </c>
      <c r="F2097" s="169" t="s">
        <v>295</v>
      </c>
      <c r="G2097" s="169" t="s">
        <v>296</v>
      </c>
      <c r="H2097" s="169" t="s">
        <v>356</v>
      </c>
      <c r="I2097" s="169" t="s">
        <v>357</v>
      </c>
      <c r="J2097" s="169" t="s">
        <v>1247</v>
      </c>
      <c r="K2097" s="169" t="s">
        <v>1240</v>
      </c>
      <c r="L2097" s="169" t="s">
        <v>1213</v>
      </c>
      <c r="M2097" s="169" t="s">
        <v>281</v>
      </c>
      <c r="N2097" s="178">
        <v>113305035</v>
      </c>
      <c r="O2097" s="169" t="s">
        <v>1248</v>
      </c>
      <c r="P2097" s="169" t="s">
        <v>283</v>
      </c>
      <c r="Q2097" s="169" t="s">
        <v>284</v>
      </c>
      <c r="R2097" s="169" t="s">
        <v>283</v>
      </c>
      <c r="S2097" s="169" t="s">
        <v>283</v>
      </c>
      <c r="T2097" s="169">
        <v>0</v>
      </c>
    </row>
    <row r="2098" spans="1:20" x14ac:dyDescent="0.2">
      <c r="A2098" s="169" t="str">
        <f t="shared" si="11"/>
        <v>641</v>
      </c>
      <c r="B2098" s="167" t="str">
        <f>_xlfn.XLOOKUP(I2098,Mapping!D:D,Mapping!E:E)</f>
        <v>Kinh doanh</v>
      </c>
      <c r="C2098" s="167" t="str">
        <f>_xlfn.XLOOKUP(F2098,Mapping!A:A,Mapping!F:F)</f>
        <v>BHXH, BHYT, KPCĐ</v>
      </c>
      <c r="D2098" s="173">
        <v>45991</v>
      </c>
      <c r="E2098" s="169" t="s">
        <v>1246</v>
      </c>
      <c r="F2098" s="169" t="s">
        <v>392</v>
      </c>
      <c r="G2098" s="169" t="s">
        <v>296</v>
      </c>
      <c r="H2098" s="169" t="s">
        <v>366</v>
      </c>
      <c r="I2098" s="169" t="s">
        <v>1</v>
      </c>
      <c r="J2098" s="169" t="s">
        <v>1247</v>
      </c>
      <c r="K2098" s="169" t="s">
        <v>1240</v>
      </c>
      <c r="L2098" s="169" t="s">
        <v>1213</v>
      </c>
      <c r="M2098" s="169" t="s">
        <v>281</v>
      </c>
      <c r="N2098" s="178">
        <v>65072445</v>
      </c>
      <c r="O2098" s="169" t="s">
        <v>1248</v>
      </c>
      <c r="P2098" s="169" t="s">
        <v>283</v>
      </c>
      <c r="Q2098" s="169" t="s">
        <v>284</v>
      </c>
      <c r="R2098" s="169" t="s">
        <v>283</v>
      </c>
      <c r="S2098" s="169" t="s">
        <v>283</v>
      </c>
      <c r="T2098" s="169">
        <v>0</v>
      </c>
    </row>
    <row r="2099" spans="1:20" x14ac:dyDescent="0.2">
      <c r="A2099" s="169" t="str">
        <f t="shared" si="11"/>
        <v>642</v>
      </c>
      <c r="B2099" s="167" t="str">
        <f>_xlfn.XLOOKUP(I2099,Mapping!D:D,Mapping!E:E)</f>
        <v>Cung Ứng</v>
      </c>
      <c r="C2099" s="167" t="str">
        <f>_xlfn.XLOOKUP(F2099,Mapping!A:A,Mapping!F:F)</f>
        <v>BHXH, BHYT, KPCĐ</v>
      </c>
      <c r="D2099" s="173">
        <v>45991</v>
      </c>
      <c r="E2099" s="169" t="s">
        <v>1246</v>
      </c>
      <c r="F2099" s="169" t="s">
        <v>295</v>
      </c>
      <c r="G2099" s="169" t="s">
        <v>296</v>
      </c>
      <c r="H2099" s="169" t="s">
        <v>380</v>
      </c>
      <c r="I2099" s="169" t="s">
        <v>381</v>
      </c>
      <c r="J2099" s="169" t="s">
        <v>1247</v>
      </c>
      <c r="K2099" s="169" t="s">
        <v>1240</v>
      </c>
      <c r="L2099" s="169" t="s">
        <v>1213</v>
      </c>
      <c r="M2099" s="169" t="s">
        <v>281</v>
      </c>
      <c r="N2099" s="178">
        <v>115375835</v>
      </c>
      <c r="O2099" s="169" t="s">
        <v>1248</v>
      </c>
      <c r="P2099" s="169" t="s">
        <v>283</v>
      </c>
      <c r="Q2099" s="169" t="s">
        <v>284</v>
      </c>
      <c r="R2099" s="169" t="s">
        <v>283</v>
      </c>
      <c r="S2099" s="169" t="s">
        <v>283</v>
      </c>
      <c r="T2099" s="169">
        <v>0</v>
      </c>
    </row>
    <row r="2100" spans="1:20" x14ac:dyDescent="0.2">
      <c r="A2100" s="169" t="str">
        <f t="shared" si="11"/>
        <v>642</v>
      </c>
      <c r="B2100" s="167" t="str">
        <f>_xlfn.XLOOKUP(I2100,Mapping!D:D,Mapping!E:E)</f>
        <v>Mua Hàng &amp; XNK</v>
      </c>
      <c r="C2100" s="167" t="str">
        <f>_xlfn.XLOOKUP(F2100,Mapping!A:A,Mapping!F:F)</f>
        <v>BHXH, BHYT, KPCĐ</v>
      </c>
      <c r="D2100" s="173">
        <v>45991</v>
      </c>
      <c r="E2100" s="169" t="s">
        <v>1246</v>
      </c>
      <c r="F2100" s="169" t="s">
        <v>295</v>
      </c>
      <c r="G2100" s="169" t="s">
        <v>296</v>
      </c>
      <c r="H2100" s="169" t="s">
        <v>378</v>
      </c>
      <c r="I2100" s="169" t="s">
        <v>379</v>
      </c>
      <c r="J2100" s="169" t="s">
        <v>1247</v>
      </c>
      <c r="K2100" s="169" t="s">
        <v>1240</v>
      </c>
      <c r="L2100" s="169" t="s">
        <v>1213</v>
      </c>
      <c r="M2100" s="169" t="s">
        <v>281</v>
      </c>
      <c r="N2100" s="178">
        <v>32555255</v>
      </c>
      <c r="O2100" s="169" t="s">
        <v>1248</v>
      </c>
      <c r="P2100" s="169" t="s">
        <v>283</v>
      </c>
      <c r="Q2100" s="169" t="s">
        <v>284</v>
      </c>
      <c r="R2100" s="169" t="s">
        <v>283</v>
      </c>
      <c r="S2100" s="169" t="s">
        <v>283</v>
      </c>
      <c r="T2100" s="169">
        <v>0</v>
      </c>
    </row>
    <row r="2101" spans="1:20" x14ac:dyDescent="0.2">
      <c r="A2101" s="169" t="str">
        <f t="shared" si="11"/>
        <v>627</v>
      </c>
      <c r="B2101" s="167" t="str">
        <f>_xlfn.XLOOKUP(I2101,Mapping!D:D,Mapping!E:E)</f>
        <v>Kỹ Thuật</v>
      </c>
      <c r="C2101" s="167" t="str">
        <f>_xlfn.XLOOKUP(F2101,Mapping!A:A,Mapping!F:F)</f>
        <v>BHXH, BHYT, KPCĐ</v>
      </c>
      <c r="D2101" s="173">
        <v>45991</v>
      </c>
      <c r="E2101" s="169" t="s">
        <v>1246</v>
      </c>
      <c r="F2101" s="169" t="s">
        <v>393</v>
      </c>
      <c r="G2101" s="169" t="s">
        <v>296</v>
      </c>
      <c r="H2101" s="169" t="s">
        <v>376</v>
      </c>
      <c r="I2101" s="169" t="s">
        <v>377</v>
      </c>
      <c r="J2101" s="169" t="s">
        <v>1247</v>
      </c>
      <c r="K2101" s="169" t="s">
        <v>1240</v>
      </c>
      <c r="L2101" s="169" t="s">
        <v>1213</v>
      </c>
      <c r="M2101" s="169" t="s">
        <v>281</v>
      </c>
      <c r="N2101" s="178">
        <v>250565225</v>
      </c>
      <c r="O2101" s="169" t="s">
        <v>1248</v>
      </c>
      <c r="P2101" s="169" t="s">
        <v>283</v>
      </c>
      <c r="Q2101" s="169" t="s">
        <v>284</v>
      </c>
      <c r="R2101" s="169" t="s">
        <v>283</v>
      </c>
      <c r="S2101" s="169" t="s">
        <v>283</v>
      </c>
      <c r="T2101" s="169">
        <v>0</v>
      </c>
    </row>
    <row r="2102" spans="1:20" x14ac:dyDescent="0.2">
      <c r="A2102" s="169" t="str">
        <f t="shared" si="11"/>
        <v>627</v>
      </c>
      <c r="B2102" s="167" t="str">
        <f>_xlfn.XLOOKUP(I2102,Mapping!D:D,Mapping!E:E)</f>
        <v>Kỹ Thuật</v>
      </c>
      <c r="C2102" s="167" t="str">
        <f>_xlfn.XLOOKUP(F2102,Mapping!A:A,Mapping!F:F)</f>
        <v>BHXH, BHYT, KPCĐ</v>
      </c>
      <c r="D2102" s="173">
        <v>45991</v>
      </c>
      <c r="E2102" s="169" t="s">
        <v>1246</v>
      </c>
      <c r="F2102" s="169" t="s">
        <v>393</v>
      </c>
      <c r="G2102" s="169" t="s">
        <v>296</v>
      </c>
      <c r="H2102" s="169" t="s">
        <v>376</v>
      </c>
      <c r="I2102" s="169" t="s">
        <v>377</v>
      </c>
      <c r="J2102" s="169" t="s">
        <v>1247</v>
      </c>
      <c r="K2102" s="169" t="s">
        <v>1240</v>
      </c>
      <c r="L2102" s="169" t="s">
        <v>1213</v>
      </c>
      <c r="M2102" s="169" t="s">
        <v>281</v>
      </c>
      <c r="N2102" s="178">
        <v>105864915</v>
      </c>
      <c r="O2102" s="169" t="s">
        <v>1248</v>
      </c>
      <c r="P2102" s="169" t="s">
        <v>283</v>
      </c>
      <c r="Q2102" s="169" t="s">
        <v>284</v>
      </c>
      <c r="R2102" s="169" t="s">
        <v>283</v>
      </c>
      <c r="S2102" s="169" t="s">
        <v>283</v>
      </c>
      <c r="T2102" s="169">
        <v>0</v>
      </c>
    </row>
    <row r="2103" spans="1:20" x14ac:dyDescent="0.2">
      <c r="A2103" s="169" t="str">
        <f t="shared" si="11"/>
        <v>627</v>
      </c>
      <c r="B2103" s="167" t="str">
        <f>_xlfn.XLOOKUP(I2103,Mapping!D:D,Mapping!E:E)</f>
        <v>Kỹ Thuật</v>
      </c>
      <c r="C2103" s="167" t="str">
        <f>_xlfn.XLOOKUP(F2103,Mapping!A:A,Mapping!F:F)</f>
        <v>BHXH, BHYT, KPCĐ</v>
      </c>
      <c r="D2103" s="173">
        <v>45991</v>
      </c>
      <c r="E2103" s="169" t="s">
        <v>1246</v>
      </c>
      <c r="F2103" s="169" t="s">
        <v>393</v>
      </c>
      <c r="G2103" s="169" t="s">
        <v>296</v>
      </c>
      <c r="H2103" s="169" t="s">
        <v>376</v>
      </c>
      <c r="I2103" s="169" t="s">
        <v>377</v>
      </c>
      <c r="J2103" s="169" t="s">
        <v>1247</v>
      </c>
      <c r="K2103" s="169" t="s">
        <v>1240</v>
      </c>
      <c r="L2103" s="169" t="s">
        <v>1213</v>
      </c>
      <c r="M2103" s="169" t="s">
        <v>281</v>
      </c>
      <c r="N2103" s="178">
        <v>38435000</v>
      </c>
      <c r="O2103" s="169" t="s">
        <v>1248</v>
      </c>
      <c r="P2103" s="169" t="s">
        <v>283</v>
      </c>
      <c r="Q2103" s="169" t="s">
        <v>284</v>
      </c>
      <c r="R2103" s="169" t="s">
        <v>283</v>
      </c>
      <c r="S2103" s="169" t="s">
        <v>283</v>
      </c>
      <c r="T2103" s="169">
        <v>0</v>
      </c>
    </row>
    <row r="2104" spans="1:20" x14ac:dyDescent="0.2">
      <c r="A2104" s="169" t="str">
        <f t="shared" si="11"/>
        <v>622</v>
      </c>
      <c r="B2104" s="167" t="str">
        <f>_xlfn.XLOOKUP(I2104,Mapping!D:D,Mapping!E:E)</f>
        <v>Xưởng Sản Xuất</v>
      </c>
      <c r="C2104" s="167" t="str">
        <f>_xlfn.XLOOKUP(F2104,Mapping!A:A,Mapping!F:F)</f>
        <v>BHXH, BHYT, KPCĐ</v>
      </c>
      <c r="D2104" s="173">
        <v>45991</v>
      </c>
      <c r="E2104" s="169" t="s">
        <v>1246</v>
      </c>
      <c r="F2104" s="169" t="s">
        <v>425</v>
      </c>
      <c r="G2104" s="169" t="s">
        <v>296</v>
      </c>
      <c r="H2104" s="169" t="s">
        <v>402</v>
      </c>
      <c r="I2104" s="169" t="s">
        <v>403</v>
      </c>
      <c r="J2104" s="169" t="s">
        <v>1247</v>
      </c>
      <c r="K2104" s="169" t="s">
        <v>1240</v>
      </c>
      <c r="L2104" s="169" t="s">
        <v>1213</v>
      </c>
      <c r="M2104" s="169" t="s">
        <v>281</v>
      </c>
      <c r="N2104" s="178">
        <v>295584300</v>
      </c>
      <c r="O2104" s="169" t="s">
        <v>1248</v>
      </c>
      <c r="P2104" s="169" t="s">
        <v>283</v>
      </c>
      <c r="Q2104" s="169" t="s">
        <v>284</v>
      </c>
      <c r="R2104" s="169" t="s">
        <v>283</v>
      </c>
      <c r="S2104" s="169" t="s">
        <v>283</v>
      </c>
      <c r="T2104" s="169">
        <v>0</v>
      </c>
    </row>
    <row r="2105" spans="1:20" x14ac:dyDescent="0.2">
      <c r="A2105" s="169" t="str">
        <f t="shared" si="11"/>
        <v>627</v>
      </c>
      <c r="B2105" s="167" t="str">
        <f>_xlfn.XLOOKUP(I2105,Mapping!D:D,Mapping!E:E)</f>
        <v>Xưởng Sản Xuất</v>
      </c>
      <c r="C2105" s="167" t="str">
        <f>_xlfn.XLOOKUP(F2105,Mapping!A:A,Mapping!F:F)</f>
        <v>BHXH, BHYT, KPCĐ</v>
      </c>
      <c r="D2105" s="173">
        <v>45991</v>
      </c>
      <c r="E2105" s="169" t="s">
        <v>1246</v>
      </c>
      <c r="F2105" s="169" t="s">
        <v>393</v>
      </c>
      <c r="G2105" s="169" t="s">
        <v>296</v>
      </c>
      <c r="H2105" s="169" t="s">
        <v>402</v>
      </c>
      <c r="I2105" s="169" t="s">
        <v>403</v>
      </c>
      <c r="J2105" s="169" t="s">
        <v>1247</v>
      </c>
      <c r="K2105" s="169" t="s">
        <v>1240</v>
      </c>
      <c r="L2105" s="169" t="s">
        <v>1213</v>
      </c>
      <c r="M2105" s="169" t="s">
        <v>281</v>
      </c>
      <c r="N2105" s="178">
        <v>87230015</v>
      </c>
      <c r="O2105" s="169" t="s">
        <v>1248</v>
      </c>
      <c r="P2105" s="169" t="s">
        <v>283</v>
      </c>
      <c r="Q2105" s="169" t="s">
        <v>284</v>
      </c>
      <c r="R2105" s="169" t="s">
        <v>283</v>
      </c>
      <c r="S2105" s="169" t="s">
        <v>283</v>
      </c>
      <c r="T2105" s="169">
        <v>0</v>
      </c>
    </row>
    <row r="2106" spans="1:20" x14ac:dyDescent="0.2">
      <c r="A2106" s="169" t="str">
        <f t="shared" si="11"/>
        <v>622</v>
      </c>
      <c r="B2106" s="167" t="str">
        <f>_xlfn.XLOOKUP(I2106,Mapping!D:D,Mapping!E:E)</f>
        <v>Xưởng Sản Xuất</v>
      </c>
      <c r="C2106" s="167" t="str">
        <f>_xlfn.XLOOKUP(F2106,Mapping!A:A,Mapping!F:F)</f>
        <v>BHXH, BHYT, KPCĐ</v>
      </c>
      <c r="D2106" s="173">
        <v>45991</v>
      </c>
      <c r="E2106" s="169" t="s">
        <v>1246</v>
      </c>
      <c r="F2106" s="169" t="s">
        <v>425</v>
      </c>
      <c r="G2106" s="169" t="s">
        <v>296</v>
      </c>
      <c r="H2106" s="169" t="s">
        <v>430</v>
      </c>
      <c r="I2106" s="169" t="s">
        <v>431</v>
      </c>
      <c r="J2106" s="169" t="s">
        <v>1247</v>
      </c>
      <c r="K2106" s="169" t="s">
        <v>1240</v>
      </c>
      <c r="L2106" s="169" t="s">
        <v>1213</v>
      </c>
      <c r="M2106" s="169" t="s">
        <v>281</v>
      </c>
      <c r="N2106" s="178">
        <v>51656500</v>
      </c>
      <c r="O2106" s="169" t="s">
        <v>1248</v>
      </c>
      <c r="P2106" s="169" t="s">
        <v>283</v>
      </c>
      <c r="Q2106" s="169" t="s">
        <v>284</v>
      </c>
      <c r="R2106" s="169" t="s">
        <v>283</v>
      </c>
      <c r="S2106" s="169" t="s">
        <v>283</v>
      </c>
      <c r="T2106" s="169">
        <v>0</v>
      </c>
    </row>
    <row r="2107" spans="1:20" x14ac:dyDescent="0.2">
      <c r="A2107" s="169" t="str">
        <f t="shared" si="11"/>
        <v>627</v>
      </c>
      <c r="B2107" s="167" t="str">
        <f>_xlfn.XLOOKUP(I2107,Mapping!D:D,Mapping!E:E)</f>
        <v>Xưởng Sản Xuất</v>
      </c>
      <c r="C2107" s="167" t="str">
        <f>_xlfn.XLOOKUP(F2107,Mapping!A:A,Mapping!F:F)</f>
        <v>BHXH, BHYT, KPCĐ</v>
      </c>
      <c r="D2107" s="173">
        <v>45991</v>
      </c>
      <c r="E2107" s="169" t="s">
        <v>1246</v>
      </c>
      <c r="F2107" s="169" t="s">
        <v>393</v>
      </c>
      <c r="G2107" s="169" t="s">
        <v>296</v>
      </c>
      <c r="H2107" s="169" t="s">
        <v>430</v>
      </c>
      <c r="I2107" s="169" t="s">
        <v>431</v>
      </c>
      <c r="J2107" s="169" t="s">
        <v>1247</v>
      </c>
      <c r="K2107" s="169" t="s">
        <v>1240</v>
      </c>
      <c r="L2107" s="169" t="s">
        <v>1213</v>
      </c>
      <c r="M2107" s="169" t="s">
        <v>281</v>
      </c>
      <c r="N2107" s="178">
        <v>26931495</v>
      </c>
      <c r="O2107" s="169" t="s">
        <v>1248</v>
      </c>
      <c r="P2107" s="169" t="s">
        <v>283</v>
      </c>
      <c r="Q2107" s="169" t="s">
        <v>284</v>
      </c>
      <c r="R2107" s="169" t="s">
        <v>283</v>
      </c>
      <c r="S2107" s="169" t="s">
        <v>283</v>
      </c>
      <c r="T2107" s="169">
        <v>0</v>
      </c>
    </row>
    <row r="2108" spans="1:20" x14ac:dyDescent="0.2">
      <c r="A2108" s="169" t="str">
        <f t="shared" si="11"/>
        <v>627</v>
      </c>
      <c r="B2108" s="167" t="str">
        <f>_xlfn.XLOOKUP(I2108,Mapping!D:D,Mapping!E:E)</f>
        <v>Xưởng Sản Xuất</v>
      </c>
      <c r="C2108" s="167" t="str">
        <f>_xlfn.XLOOKUP(F2108,Mapping!A:A,Mapping!F:F)</f>
        <v>BHXH, BHYT, KPCĐ</v>
      </c>
      <c r="D2108" s="173">
        <v>45991</v>
      </c>
      <c r="E2108" s="169" t="s">
        <v>1246</v>
      </c>
      <c r="F2108" s="169" t="s">
        <v>393</v>
      </c>
      <c r="G2108" s="169" t="s">
        <v>296</v>
      </c>
      <c r="H2108" s="169" t="s">
        <v>436</v>
      </c>
      <c r="I2108" s="169" t="s">
        <v>437</v>
      </c>
      <c r="J2108" s="169" t="s">
        <v>1247</v>
      </c>
      <c r="K2108" s="169" t="s">
        <v>1240</v>
      </c>
      <c r="L2108" s="169" t="s">
        <v>1213</v>
      </c>
      <c r="M2108" s="169" t="s">
        <v>281</v>
      </c>
      <c r="N2108" s="178">
        <v>63128670</v>
      </c>
      <c r="O2108" s="169" t="s">
        <v>1248</v>
      </c>
      <c r="P2108" s="169" t="s">
        <v>283</v>
      </c>
      <c r="Q2108" s="169" t="s">
        <v>284</v>
      </c>
      <c r="R2108" s="169" t="s">
        <v>283</v>
      </c>
      <c r="S2108" s="169" t="s">
        <v>283</v>
      </c>
      <c r="T2108" s="169">
        <v>0</v>
      </c>
    </row>
    <row r="2109" spans="1:20" x14ac:dyDescent="0.2">
      <c r="A2109" s="169" t="str">
        <f t="shared" si="11"/>
        <v>642</v>
      </c>
      <c r="B2109" s="167" t="str">
        <f>_xlfn.XLOOKUP(I2109,Mapping!D:D,Mapping!E:E)</f>
        <v>Hành Chánh Nhân Sự</v>
      </c>
      <c r="C2109" s="167" t="str">
        <f>_xlfn.XLOOKUP(F2109,Mapping!A:A,Mapping!F:F)</f>
        <v>BHXH, BHYT, KPCĐ</v>
      </c>
      <c r="D2109" s="173">
        <v>45991</v>
      </c>
      <c r="E2109" s="169" t="s">
        <v>1246</v>
      </c>
      <c r="F2109" s="169" t="s">
        <v>295</v>
      </c>
      <c r="G2109" s="169" t="s">
        <v>296</v>
      </c>
      <c r="H2109" s="169" t="s">
        <v>382</v>
      </c>
      <c r="I2109" s="169" t="s">
        <v>200</v>
      </c>
      <c r="J2109" s="169" t="s">
        <v>1247</v>
      </c>
      <c r="K2109" s="169" t="s">
        <v>1240</v>
      </c>
      <c r="L2109" s="169" t="s">
        <v>1213</v>
      </c>
      <c r="M2109" s="169" t="s">
        <v>281</v>
      </c>
      <c r="N2109" s="178">
        <v>17467785</v>
      </c>
      <c r="O2109" s="169" t="s">
        <v>1248</v>
      </c>
      <c r="P2109" s="169" t="s">
        <v>283</v>
      </c>
      <c r="Q2109" s="169" t="s">
        <v>284</v>
      </c>
      <c r="R2109" s="169" t="s">
        <v>283</v>
      </c>
      <c r="S2109" s="169" t="s">
        <v>283</v>
      </c>
      <c r="T2109" s="169">
        <v>0</v>
      </c>
    </row>
    <row r="2110" spans="1:20" x14ac:dyDescent="0.2">
      <c r="A2110" s="169" t="str">
        <f t="shared" si="11"/>
        <v>642</v>
      </c>
      <c r="B2110" s="167" t="str">
        <f>_xlfn.XLOOKUP(I2110,Mapping!D:D,Mapping!E:E)</f>
        <v>Hành Chánh Nhân Sự</v>
      </c>
      <c r="C2110" s="167" t="str">
        <f>_xlfn.XLOOKUP(F2110,Mapping!A:A,Mapping!F:F)</f>
        <v>BHXH, BHYT, KPCĐ</v>
      </c>
      <c r="D2110" s="173">
        <v>45991</v>
      </c>
      <c r="E2110" s="169" t="s">
        <v>1246</v>
      </c>
      <c r="F2110" s="169" t="s">
        <v>295</v>
      </c>
      <c r="G2110" s="169" t="s">
        <v>296</v>
      </c>
      <c r="H2110" s="169" t="s">
        <v>358</v>
      </c>
      <c r="I2110" s="169" t="s">
        <v>359</v>
      </c>
      <c r="J2110" s="169" t="s">
        <v>1247</v>
      </c>
      <c r="K2110" s="169" t="s">
        <v>1240</v>
      </c>
      <c r="L2110" s="169" t="s">
        <v>1213</v>
      </c>
      <c r="M2110" s="169" t="s">
        <v>281</v>
      </c>
      <c r="N2110" s="178">
        <v>23880230</v>
      </c>
      <c r="O2110" s="169" t="s">
        <v>1248</v>
      </c>
      <c r="P2110" s="169" t="s">
        <v>283</v>
      </c>
      <c r="Q2110" s="169" t="s">
        <v>284</v>
      </c>
      <c r="R2110" s="169" t="s">
        <v>283</v>
      </c>
      <c r="S2110" s="169" t="s">
        <v>283</v>
      </c>
      <c r="T2110" s="169">
        <v>0</v>
      </c>
    </row>
    <row r="2111" spans="1:20" x14ac:dyDescent="0.2">
      <c r="A2111" s="169" t="str">
        <f t="shared" si="11"/>
        <v>622</v>
      </c>
      <c r="B2111" s="167" t="str">
        <f>_xlfn.XLOOKUP(I2111,Mapping!D:D,Mapping!E:E)</f>
        <v>Xưởng Sản Xuất</v>
      </c>
      <c r="C2111" s="167" t="str">
        <f>_xlfn.XLOOKUP(F2111,Mapping!A:A,Mapping!F:F)</f>
        <v>BHXH, BHYT, KPCĐ</v>
      </c>
      <c r="D2111" s="173">
        <v>45991</v>
      </c>
      <c r="E2111" s="169" t="s">
        <v>1246</v>
      </c>
      <c r="F2111" s="169" t="s">
        <v>425</v>
      </c>
      <c r="G2111" s="169" t="s">
        <v>296</v>
      </c>
      <c r="H2111" s="169" t="s">
        <v>441</v>
      </c>
      <c r="I2111" s="169" t="s">
        <v>442</v>
      </c>
      <c r="J2111" s="169" t="s">
        <v>1247</v>
      </c>
      <c r="K2111" s="169" t="s">
        <v>1240</v>
      </c>
      <c r="L2111" s="169" t="s">
        <v>1213</v>
      </c>
      <c r="M2111" s="169" t="s">
        <v>281</v>
      </c>
      <c r="N2111" s="178">
        <v>1308480</v>
      </c>
      <c r="O2111" s="169" t="s">
        <v>1248</v>
      </c>
      <c r="P2111" s="169" t="s">
        <v>283</v>
      </c>
      <c r="Q2111" s="169" t="s">
        <v>284</v>
      </c>
      <c r="R2111" s="169" t="s">
        <v>283</v>
      </c>
      <c r="S2111" s="169" t="s">
        <v>283</v>
      </c>
      <c r="T2111" s="169">
        <v>0</v>
      </c>
    </row>
    <row r="2112" spans="1:20" x14ac:dyDescent="0.2">
      <c r="A2112" s="169" t="str">
        <f t="shared" si="11"/>
        <v>627</v>
      </c>
      <c r="B2112" s="167" t="str">
        <f>_xlfn.XLOOKUP(I2112,Mapping!D:D,Mapping!E:E)</f>
        <v>Xưởng Sản Xuất</v>
      </c>
      <c r="C2112" s="167" t="str">
        <f>_xlfn.XLOOKUP(F2112,Mapping!A:A,Mapping!F:F)</f>
        <v>BHXH, BHYT, KPCĐ</v>
      </c>
      <c r="D2112" s="173">
        <v>45991</v>
      </c>
      <c r="E2112" s="169" t="s">
        <v>1249</v>
      </c>
      <c r="F2112" s="169" t="s">
        <v>393</v>
      </c>
      <c r="G2112" s="169" t="s">
        <v>296</v>
      </c>
      <c r="H2112" s="169" t="s">
        <v>436</v>
      </c>
      <c r="I2112" s="169" t="s">
        <v>437</v>
      </c>
      <c r="J2112" s="169" t="s">
        <v>1247</v>
      </c>
      <c r="K2112" s="169" t="s">
        <v>1240</v>
      </c>
      <c r="L2112" s="169" t="s">
        <v>1213</v>
      </c>
      <c r="M2112" s="169" t="s">
        <v>281</v>
      </c>
      <c r="N2112" s="178">
        <v>2755000</v>
      </c>
      <c r="O2112" s="169" t="s">
        <v>1250</v>
      </c>
      <c r="P2112" s="169" t="s">
        <v>283</v>
      </c>
      <c r="Q2112" s="169" t="s">
        <v>284</v>
      </c>
      <c r="R2112" s="169" t="s">
        <v>283</v>
      </c>
      <c r="S2112" s="169" t="s">
        <v>283</v>
      </c>
      <c r="T2112" s="169">
        <v>0</v>
      </c>
    </row>
    <row r="2113" spans="1:20" x14ac:dyDescent="0.2">
      <c r="A2113" s="169" t="str">
        <f t="shared" si="11"/>
        <v>622</v>
      </c>
      <c r="B2113" s="167" t="str">
        <f>_xlfn.XLOOKUP(I2113,Mapping!D:D,Mapping!E:E)</f>
        <v>Xưởng Sản Xuất</v>
      </c>
      <c r="C2113" s="167" t="str">
        <f>_xlfn.XLOOKUP(F2113,Mapping!A:A,Mapping!F:F)</f>
        <v>BHXH, BHYT, KPCĐ</v>
      </c>
      <c r="D2113" s="173">
        <v>45991</v>
      </c>
      <c r="E2113" s="169" t="s">
        <v>1249</v>
      </c>
      <c r="F2113" s="169" t="s">
        <v>425</v>
      </c>
      <c r="G2113" s="169" t="s">
        <v>296</v>
      </c>
      <c r="H2113" s="169" t="s">
        <v>430</v>
      </c>
      <c r="I2113" s="169" t="s">
        <v>431</v>
      </c>
      <c r="J2113" s="169" t="s">
        <v>1247</v>
      </c>
      <c r="K2113" s="169" t="s">
        <v>1240</v>
      </c>
      <c r="L2113" s="169" t="s">
        <v>1213</v>
      </c>
      <c r="M2113" s="169" t="s">
        <v>281</v>
      </c>
      <c r="N2113" s="178">
        <v>688500</v>
      </c>
      <c r="O2113" s="169" t="s">
        <v>1250</v>
      </c>
      <c r="P2113" s="169" t="s">
        <v>283</v>
      </c>
      <c r="Q2113" s="169" t="s">
        <v>284</v>
      </c>
      <c r="R2113" s="169" t="s">
        <v>283</v>
      </c>
      <c r="S2113" s="169" t="s">
        <v>283</v>
      </c>
      <c r="T2113" s="169">
        <v>0</v>
      </c>
    </row>
    <row r="2114" spans="1:20" x14ac:dyDescent="0.2">
      <c r="A2114" s="169" t="str">
        <f t="shared" si="11"/>
        <v>622</v>
      </c>
      <c r="B2114" s="167" t="str">
        <f>_xlfn.XLOOKUP(I2114,Mapping!D:D,Mapping!E:E)</f>
        <v>Xưởng Sản Xuất</v>
      </c>
      <c r="C2114" s="167" t="str">
        <f>_xlfn.XLOOKUP(F2114,Mapping!A:A,Mapping!F:F)</f>
        <v>BHXH, BHYT, KPCĐ</v>
      </c>
      <c r="D2114" s="173">
        <v>45991</v>
      </c>
      <c r="E2114" s="169" t="s">
        <v>1249</v>
      </c>
      <c r="F2114" s="169" t="s">
        <v>425</v>
      </c>
      <c r="G2114" s="169" t="s">
        <v>296</v>
      </c>
      <c r="H2114" s="169" t="s">
        <v>402</v>
      </c>
      <c r="I2114" s="169" t="s">
        <v>403</v>
      </c>
      <c r="J2114" s="169" t="s">
        <v>1247</v>
      </c>
      <c r="K2114" s="169" t="s">
        <v>1240</v>
      </c>
      <c r="L2114" s="169" t="s">
        <v>1213</v>
      </c>
      <c r="M2114" s="169" t="s">
        <v>281</v>
      </c>
      <c r="N2114" s="178">
        <v>-8184090</v>
      </c>
      <c r="O2114" s="169" t="s">
        <v>1250</v>
      </c>
      <c r="P2114" s="169" t="s">
        <v>283</v>
      </c>
      <c r="Q2114" s="169" t="s">
        <v>284</v>
      </c>
      <c r="R2114" s="169" t="s">
        <v>283</v>
      </c>
      <c r="S2114" s="169" t="s">
        <v>283</v>
      </c>
      <c r="T2114" s="169">
        <v>0</v>
      </c>
    </row>
    <row r="2115" spans="1:20" x14ac:dyDescent="0.2">
      <c r="A2115" s="169" t="str">
        <f t="shared" si="11"/>
        <v>642</v>
      </c>
      <c r="B2115" s="167" t="str">
        <f>_xlfn.XLOOKUP(I2115,Mapping!D:D,Mapping!E:E)</f>
        <v>Hành Chánh Nhân Sự</v>
      </c>
      <c r="C2115" s="167" t="str">
        <f>_xlfn.XLOOKUP(F2115,Mapping!A:A,Mapping!F:F)</f>
        <v>Lương Chính +T13</v>
      </c>
      <c r="D2115" s="173">
        <v>45991</v>
      </c>
      <c r="E2115" s="169" t="s">
        <v>1251</v>
      </c>
      <c r="F2115" s="169" t="s">
        <v>274</v>
      </c>
      <c r="G2115" s="169" t="s">
        <v>275</v>
      </c>
      <c r="H2115" s="169" t="s">
        <v>301</v>
      </c>
      <c r="I2115" s="169" t="s">
        <v>302</v>
      </c>
      <c r="J2115" s="169" t="s">
        <v>1252</v>
      </c>
      <c r="K2115" s="169" t="s">
        <v>328</v>
      </c>
      <c r="L2115" s="169" t="s">
        <v>1213</v>
      </c>
      <c r="M2115" s="169" t="s">
        <v>281</v>
      </c>
      <c r="N2115" s="178">
        <v>90958333</v>
      </c>
      <c r="O2115" s="169" t="s">
        <v>1253</v>
      </c>
      <c r="P2115" s="169" t="s">
        <v>283</v>
      </c>
      <c r="Q2115" s="169" t="s">
        <v>306</v>
      </c>
      <c r="R2115" s="169" t="s">
        <v>283</v>
      </c>
      <c r="S2115" s="169" t="s">
        <v>283</v>
      </c>
      <c r="T2115" s="169">
        <v>0</v>
      </c>
    </row>
    <row r="2116" spans="1:20" x14ac:dyDescent="0.2">
      <c r="A2116" s="169" t="str">
        <f t="shared" si="11"/>
        <v>642</v>
      </c>
      <c r="B2116" s="167" t="str">
        <f>_xlfn.XLOOKUP(I2116,Mapping!D:D,Mapping!E:E)</f>
        <v>Hành Chánh Nhân Sự</v>
      </c>
      <c r="C2116" s="167" t="str">
        <f>_xlfn.XLOOKUP(F2116,Mapping!A:A,Mapping!F:F)</f>
        <v>Khen thưởng BD khác</v>
      </c>
      <c r="D2116" s="173">
        <v>45991</v>
      </c>
      <c r="E2116" s="169" t="s">
        <v>1254</v>
      </c>
      <c r="F2116" s="169" t="s">
        <v>300</v>
      </c>
      <c r="G2116" s="169" t="s">
        <v>222</v>
      </c>
      <c r="H2116" s="169" t="s">
        <v>358</v>
      </c>
      <c r="I2116" s="169" t="s">
        <v>359</v>
      </c>
      <c r="J2116" s="169" t="s">
        <v>1255</v>
      </c>
      <c r="K2116" s="169" t="s">
        <v>1240</v>
      </c>
      <c r="L2116" s="169" t="s">
        <v>1213</v>
      </c>
      <c r="M2116" s="169" t="s">
        <v>281</v>
      </c>
      <c r="N2116" s="178">
        <v>5000000</v>
      </c>
      <c r="O2116" s="169" t="s">
        <v>1256</v>
      </c>
      <c r="P2116" s="169" t="s">
        <v>283</v>
      </c>
      <c r="Q2116" s="169" t="s">
        <v>284</v>
      </c>
      <c r="R2116" s="169" t="s">
        <v>283</v>
      </c>
      <c r="S2116" s="169" t="s">
        <v>283</v>
      </c>
      <c r="T2116" s="169">
        <v>0</v>
      </c>
    </row>
    <row r="2117" spans="1:20" x14ac:dyDescent="0.2">
      <c r="A2117" s="169" t="str">
        <f t="shared" si="11"/>
        <v>642</v>
      </c>
      <c r="B2117" s="167" t="str">
        <f>_xlfn.XLOOKUP(I2117,Mapping!D:D,Mapping!E:E)</f>
        <v>Hành Chánh Nhân Sự</v>
      </c>
      <c r="C2117" s="167" t="str">
        <f>_xlfn.XLOOKUP(F2117,Mapping!A:A,Mapping!F:F)</f>
        <v>Khen thưởng BD khác</v>
      </c>
      <c r="D2117" s="173">
        <v>45991</v>
      </c>
      <c r="E2117" s="169" t="s">
        <v>1257</v>
      </c>
      <c r="F2117" s="169" t="s">
        <v>300</v>
      </c>
      <c r="G2117" s="169" t="s">
        <v>222</v>
      </c>
      <c r="H2117" s="169" t="s">
        <v>301</v>
      </c>
      <c r="I2117" s="169" t="s">
        <v>302</v>
      </c>
      <c r="J2117" s="169" t="s">
        <v>1258</v>
      </c>
      <c r="K2117" s="169" t="s">
        <v>1259</v>
      </c>
      <c r="L2117" s="169" t="s">
        <v>1213</v>
      </c>
      <c r="M2117" s="169" t="s">
        <v>281</v>
      </c>
      <c r="N2117" s="178">
        <v>6000000</v>
      </c>
      <c r="O2117" s="169" t="s">
        <v>1260</v>
      </c>
      <c r="P2117" s="169" t="s">
        <v>283</v>
      </c>
      <c r="Q2117" s="169" t="s">
        <v>306</v>
      </c>
      <c r="R2117" s="169" t="s">
        <v>283</v>
      </c>
      <c r="S2117" s="169" t="s">
        <v>283</v>
      </c>
      <c r="T2117" s="169">
        <v>0</v>
      </c>
    </row>
    <row r="2118" spans="1:20" x14ac:dyDescent="0.2">
      <c r="A2118" s="169" t="str">
        <f t="shared" si="11"/>
        <v>641</v>
      </c>
      <c r="B2118" s="167" t="str">
        <f>_xlfn.XLOOKUP(I2118,Mapping!D:D,Mapping!E:E)</f>
        <v>Kinh doanh</v>
      </c>
      <c r="C2118" s="167" t="str">
        <f>_xlfn.XLOOKUP(F2118,Mapping!A:A,Mapping!F:F)</f>
        <v>Thưởng</v>
      </c>
      <c r="D2118" s="173">
        <v>45962</v>
      </c>
      <c r="E2118" s="169" t="s">
        <v>1261</v>
      </c>
      <c r="F2118" s="169" t="s">
        <v>365</v>
      </c>
      <c r="G2118" s="169" t="s">
        <v>291</v>
      </c>
      <c r="H2118" s="169" t="s">
        <v>366</v>
      </c>
      <c r="I2118" s="169" t="s">
        <v>1</v>
      </c>
      <c r="J2118" s="169" t="s">
        <v>1183</v>
      </c>
      <c r="K2118" s="169" t="s">
        <v>670</v>
      </c>
      <c r="L2118" s="169" t="s">
        <v>1213</v>
      </c>
      <c r="M2118" s="169" t="s">
        <v>281</v>
      </c>
      <c r="N2118" s="178">
        <v>-123235604</v>
      </c>
      <c r="O2118" s="169" t="s">
        <v>1262</v>
      </c>
      <c r="P2118" s="169" t="s">
        <v>447</v>
      </c>
      <c r="Q2118" s="169" t="s">
        <v>284</v>
      </c>
      <c r="R2118" s="169" t="s">
        <v>283</v>
      </c>
      <c r="S2118" s="169" t="s">
        <v>283</v>
      </c>
      <c r="T2118" s="169">
        <v>0</v>
      </c>
    </row>
    <row r="2119" spans="1:20" x14ac:dyDescent="0.2">
      <c r="A2119" s="169" t="str">
        <f t="shared" si="11"/>
        <v>641</v>
      </c>
      <c r="B2119" s="167" t="str">
        <f>_xlfn.XLOOKUP(I2119,Mapping!D:D,Mapping!E:E)</f>
        <v>Kinh doanh</v>
      </c>
      <c r="C2119" s="167" t="str">
        <f>_xlfn.XLOOKUP(F2119,Mapping!A:A,Mapping!F:F)</f>
        <v>Thưởng</v>
      </c>
      <c r="D2119" s="173">
        <v>45991</v>
      </c>
      <c r="E2119" s="169" t="s">
        <v>1263</v>
      </c>
      <c r="F2119" s="169" t="s">
        <v>365</v>
      </c>
      <c r="G2119" s="169" t="s">
        <v>291</v>
      </c>
      <c r="H2119" s="169" t="s">
        <v>366</v>
      </c>
      <c r="I2119" s="169" t="s">
        <v>1</v>
      </c>
      <c r="J2119" s="169" t="s">
        <v>1264</v>
      </c>
      <c r="K2119" s="169" t="s">
        <v>670</v>
      </c>
      <c r="L2119" s="169" t="s">
        <v>1213</v>
      </c>
      <c r="M2119" s="169" t="s">
        <v>281</v>
      </c>
      <c r="N2119" s="178">
        <v>127947294</v>
      </c>
      <c r="O2119" s="169" t="s">
        <v>1265</v>
      </c>
      <c r="P2119" s="169" t="s">
        <v>283</v>
      </c>
      <c r="Q2119" s="169" t="s">
        <v>370</v>
      </c>
      <c r="R2119" s="169" t="s">
        <v>283</v>
      </c>
      <c r="S2119" s="169" t="s">
        <v>283</v>
      </c>
      <c r="T2119" s="169">
        <v>0</v>
      </c>
    </row>
    <row r="2120" spans="1:20" x14ac:dyDescent="0.2">
      <c r="A2120" s="169" t="str">
        <f t="shared" si="11"/>
        <v>641</v>
      </c>
      <c r="B2120" s="167" t="str">
        <f>_xlfn.XLOOKUP(I2120,Mapping!D:D,Mapping!E:E)</f>
        <v>Kinh doanh</v>
      </c>
      <c r="C2120" s="167" t="str">
        <f>_xlfn.XLOOKUP(F2120,Mapping!A:A,Mapping!F:F)</f>
        <v>Thưởng</v>
      </c>
      <c r="D2120" s="173">
        <v>45991</v>
      </c>
      <c r="E2120" s="169" t="s">
        <v>1266</v>
      </c>
      <c r="F2120" s="169" t="s">
        <v>365</v>
      </c>
      <c r="G2120" s="169" t="s">
        <v>291</v>
      </c>
      <c r="H2120" s="169" t="s">
        <v>366</v>
      </c>
      <c r="I2120" s="169" t="s">
        <v>1</v>
      </c>
      <c r="J2120" s="169" t="s">
        <v>1267</v>
      </c>
      <c r="K2120" s="169" t="s">
        <v>670</v>
      </c>
      <c r="L2120" s="169" t="s">
        <v>1213</v>
      </c>
      <c r="M2120" s="169" t="s">
        <v>281</v>
      </c>
      <c r="N2120" s="178">
        <v>14344366</v>
      </c>
      <c r="O2120" s="169" t="s">
        <v>1268</v>
      </c>
      <c r="P2120" s="169" t="s">
        <v>283</v>
      </c>
      <c r="Q2120" s="169" t="s">
        <v>370</v>
      </c>
      <c r="R2120" s="169" t="s">
        <v>283</v>
      </c>
      <c r="S2120" s="169" t="s">
        <v>283</v>
      </c>
      <c r="T2120" s="169">
        <v>0</v>
      </c>
    </row>
    <row r="2121" spans="1:20" x14ac:dyDescent="0.2">
      <c r="A2121" s="169" t="str">
        <f t="shared" si="11"/>
        <v>622</v>
      </c>
      <c r="B2121" s="167" t="str">
        <f>_xlfn.XLOOKUP(I2121,Mapping!D:D,Mapping!E:E)</f>
        <v>Xưởng Sản Xuất</v>
      </c>
      <c r="C2121" s="167" t="str">
        <f>_xlfn.XLOOKUP(F2121,Mapping!A:A,Mapping!F:F)</f>
        <v>Lương Chính +T13</v>
      </c>
      <c r="D2121" s="173">
        <v>45991</v>
      </c>
      <c r="E2121" s="169" t="s">
        <v>1269</v>
      </c>
      <c r="F2121" s="169" t="s">
        <v>400</v>
      </c>
      <c r="G2121" s="169" t="s">
        <v>401</v>
      </c>
      <c r="H2121" s="169" t="s">
        <v>402</v>
      </c>
      <c r="I2121" s="169" t="s">
        <v>403</v>
      </c>
      <c r="J2121" s="169" t="s">
        <v>1270</v>
      </c>
      <c r="K2121" s="169" t="s">
        <v>405</v>
      </c>
      <c r="L2121" s="169" t="s">
        <v>1213</v>
      </c>
      <c r="M2121" s="169" t="s">
        <v>281</v>
      </c>
      <c r="N2121" s="178">
        <v>83728953</v>
      </c>
      <c r="O2121" s="169" t="s">
        <v>1271</v>
      </c>
      <c r="P2121" s="169" t="s">
        <v>283</v>
      </c>
      <c r="Q2121" s="169" t="s">
        <v>306</v>
      </c>
      <c r="R2121" s="169" t="s">
        <v>283</v>
      </c>
      <c r="S2121" s="169" t="s">
        <v>283</v>
      </c>
      <c r="T2121" s="169">
        <v>0</v>
      </c>
    </row>
    <row r="2122" spans="1:20" x14ac:dyDescent="0.2">
      <c r="A2122" s="169" t="str">
        <f t="shared" si="11"/>
        <v>642</v>
      </c>
      <c r="B2122" s="167" t="str">
        <f>_xlfn.XLOOKUP(I2122,Mapping!D:D,Mapping!E:E)</f>
        <v>Hành Chánh Nhân Sự</v>
      </c>
      <c r="C2122" s="167" t="str">
        <f>_xlfn.XLOOKUP(F2122,Mapping!A:A,Mapping!F:F)</f>
        <v>Lương Chính +T13</v>
      </c>
      <c r="D2122" s="173">
        <v>45991</v>
      </c>
      <c r="E2122" s="169" t="s">
        <v>1269</v>
      </c>
      <c r="F2122" s="169" t="s">
        <v>274</v>
      </c>
      <c r="G2122" s="169" t="s">
        <v>275</v>
      </c>
      <c r="H2122" s="169" t="s">
        <v>301</v>
      </c>
      <c r="I2122" s="169" t="s">
        <v>302</v>
      </c>
      <c r="J2122" s="169" t="s">
        <v>1270</v>
      </c>
      <c r="K2122" s="169" t="s">
        <v>405</v>
      </c>
      <c r="L2122" s="169" t="s">
        <v>1213</v>
      </c>
      <c r="M2122" s="169" t="s">
        <v>281</v>
      </c>
      <c r="N2122" s="178">
        <v>5601172</v>
      </c>
      <c r="O2122" s="169" t="s">
        <v>1271</v>
      </c>
      <c r="P2122" s="169" t="s">
        <v>283</v>
      </c>
      <c r="Q2122" s="169" t="s">
        <v>306</v>
      </c>
      <c r="R2122" s="169" t="s">
        <v>283</v>
      </c>
      <c r="S2122" s="169" t="s">
        <v>283</v>
      </c>
      <c r="T2122" s="169">
        <v>0</v>
      </c>
    </row>
    <row r="2123" spans="1:20" x14ac:dyDescent="0.2">
      <c r="A2123" s="169" t="str">
        <f t="shared" si="11"/>
        <v>622</v>
      </c>
      <c r="B2123" s="167" t="str">
        <f>_xlfn.XLOOKUP(I2123,Mapping!D:D,Mapping!E:E)</f>
        <v>Xưởng Sản Xuất</v>
      </c>
      <c r="C2123" s="167" t="str">
        <f>_xlfn.XLOOKUP(F2123,Mapping!A:A,Mapping!F:F)</f>
        <v>Phụ Cấp</v>
      </c>
      <c r="D2123" s="173">
        <v>45991</v>
      </c>
      <c r="E2123" s="169" t="s">
        <v>1272</v>
      </c>
      <c r="F2123" s="169" t="s">
        <v>414</v>
      </c>
      <c r="G2123" s="169" t="s">
        <v>415</v>
      </c>
      <c r="H2123" s="169" t="s">
        <v>441</v>
      </c>
      <c r="I2123" s="169" t="s">
        <v>442</v>
      </c>
      <c r="J2123" s="169" t="s">
        <v>416</v>
      </c>
      <c r="K2123" s="169" t="s">
        <v>416</v>
      </c>
      <c r="L2123" s="169" t="s">
        <v>1213</v>
      </c>
      <c r="M2123" s="169" t="s">
        <v>281</v>
      </c>
      <c r="N2123" s="178">
        <v>400000</v>
      </c>
      <c r="O2123" s="169" t="s">
        <v>1273</v>
      </c>
      <c r="P2123" s="169" t="s">
        <v>283</v>
      </c>
      <c r="Q2123" s="169" t="s">
        <v>348</v>
      </c>
      <c r="R2123" s="169" t="s">
        <v>283</v>
      </c>
      <c r="S2123" s="169" t="s">
        <v>283</v>
      </c>
      <c r="T2123" s="169">
        <v>0</v>
      </c>
    </row>
    <row r="2124" spans="1:20" x14ac:dyDescent="0.2">
      <c r="A2124" s="169" t="str">
        <f t="shared" si="11"/>
        <v>627</v>
      </c>
      <c r="B2124" s="167" t="str">
        <f>_xlfn.XLOOKUP(I2124,Mapping!D:D,Mapping!E:E)</f>
        <v>Xưởng Sản Xuất</v>
      </c>
      <c r="C2124" s="167" t="str">
        <f>_xlfn.XLOOKUP(F2124,Mapping!A:A,Mapping!F:F)</f>
        <v>Phụ Cấp</v>
      </c>
      <c r="D2124" s="173">
        <v>45991</v>
      </c>
      <c r="E2124" s="169" t="s">
        <v>1272</v>
      </c>
      <c r="F2124" s="169" t="s">
        <v>375</v>
      </c>
      <c r="G2124" s="169" t="s">
        <v>336</v>
      </c>
      <c r="H2124" s="169" t="s">
        <v>441</v>
      </c>
      <c r="I2124" s="169" t="s">
        <v>442</v>
      </c>
      <c r="J2124" s="169" t="s">
        <v>416</v>
      </c>
      <c r="K2124" s="169" t="s">
        <v>416</v>
      </c>
      <c r="L2124" s="169" t="s">
        <v>1213</v>
      </c>
      <c r="M2124" s="169" t="s">
        <v>281</v>
      </c>
      <c r="N2124" s="178">
        <v>-400000</v>
      </c>
      <c r="O2124" s="169" t="s">
        <v>1273</v>
      </c>
      <c r="P2124" s="169" t="s">
        <v>283</v>
      </c>
      <c r="Q2124" s="169" t="s">
        <v>348</v>
      </c>
      <c r="R2124" s="169" t="s">
        <v>283</v>
      </c>
      <c r="S2124" s="169" t="s">
        <v>283</v>
      </c>
      <c r="T2124" s="169">
        <v>0</v>
      </c>
    </row>
    <row r="2125" spans="1:20" x14ac:dyDescent="0.2">
      <c r="A2125" s="169" t="str">
        <f t="shared" si="11"/>
        <v>622</v>
      </c>
      <c r="B2125" s="167" t="str">
        <f>_xlfn.XLOOKUP(I2125,Mapping!D:D,Mapping!E:E)</f>
        <v>Xưởng Sản Xuất</v>
      </c>
      <c r="C2125" s="167" t="str">
        <f>_xlfn.XLOOKUP(F2125,Mapping!A:A,Mapping!F:F)</f>
        <v>Phụ Cấp</v>
      </c>
      <c r="D2125" s="173">
        <v>45991</v>
      </c>
      <c r="E2125" s="169" t="s">
        <v>1272</v>
      </c>
      <c r="F2125" s="169" t="s">
        <v>414</v>
      </c>
      <c r="G2125" s="169" t="s">
        <v>415</v>
      </c>
      <c r="H2125" s="169" t="s">
        <v>441</v>
      </c>
      <c r="I2125" s="169" t="s">
        <v>442</v>
      </c>
      <c r="J2125" s="169" t="s">
        <v>416</v>
      </c>
      <c r="K2125" s="169" t="s">
        <v>416</v>
      </c>
      <c r="L2125" s="169" t="s">
        <v>1213</v>
      </c>
      <c r="M2125" s="169" t="s">
        <v>281</v>
      </c>
      <c r="N2125" s="178">
        <v>75000</v>
      </c>
      <c r="O2125" s="169" t="s">
        <v>1273</v>
      </c>
      <c r="P2125" s="169" t="s">
        <v>283</v>
      </c>
      <c r="Q2125" s="169" t="s">
        <v>348</v>
      </c>
      <c r="R2125" s="169" t="s">
        <v>283</v>
      </c>
      <c r="S2125" s="169" t="s">
        <v>283</v>
      </c>
      <c r="T2125" s="169">
        <v>0</v>
      </c>
    </row>
    <row r="2126" spans="1:20" x14ac:dyDescent="0.2">
      <c r="A2126" s="169" t="str">
        <f t="shared" si="11"/>
        <v>627</v>
      </c>
      <c r="B2126" s="167" t="str">
        <f>_xlfn.XLOOKUP(I2126,Mapping!D:D,Mapping!E:E)</f>
        <v>Xưởng Sản Xuất</v>
      </c>
      <c r="C2126" s="167" t="str">
        <f>_xlfn.XLOOKUP(F2126,Mapping!A:A,Mapping!F:F)</f>
        <v>Phụ Cấp</v>
      </c>
      <c r="D2126" s="173">
        <v>45991</v>
      </c>
      <c r="E2126" s="169" t="s">
        <v>1272</v>
      </c>
      <c r="F2126" s="169" t="s">
        <v>375</v>
      </c>
      <c r="G2126" s="169" t="s">
        <v>336</v>
      </c>
      <c r="H2126" s="169" t="s">
        <v>430</v>
      </c>
      <c r="I2126" s="169" t="s">
        <v>431</v>
      </c>
      <c r="J2126" s="169" t="s">
        <v>416</v>
      </c>
      <c r="K2126" s="169" t="s">
        <v>416</v>
      </c>
      <c r="L2126" s="169" t="s">
        <v>1213</v>
      </c>
      <c r="M2126" s="169" t="s">
        <v>281</v>
      </c>
      <c r="N2126" s="178">
        <v>-75000</v>
      </c>
      <c r="O2126" s="169" t="s">
        <v>1273</v>
      </c>
      <c r="P2126" s="169" t="s">
        <v>283</v>
      </c>
      <c r="Q2126" s="169" t="s">
        <v>348</v>
      </c>
      <c r="R2126" s="169" t="s">
        <v>283</v>
      </c>
      <c r="S2126" s="169" t="s">
        <v>283</v>
      </c>
      <c r="T2126" s="169">
        <v>0</v>
      </c>
    </row>
    <row r="2127" spans="1:20" x14ac:dyDescent="0.2">
      <c r="A2127" s="169" t="str">
        <f t="shared" si="11"/>
        <v>622</v>
      </c>
      <c r="B2127" s="167" t="str">
        <f>_xlfn.XLOOKUP(I2127,Mapping!D:D,Mapping!E:E)</f>
        <v>Xưởng Sản Xuất</v>
      </c>
      <c r="C2127" s="167" t="str">
        <f>_xlfn.XLOOKUP(F2127,Mapping!A:A,Mapping!F:F)</f>
        <v>Phụ Cấp</v>
      </c>
      <c r="D2127" s="173">
        <v>45991</v>
      </c>
      <c r="E2127" s="169" t="s">
        <v>1272</v>
      </c>
      <c r="F2127" s="169" t="s">
        <v>414</v>
      </c>
      <c r="G2127" s="169" t="s">
        <v>415</v>
      </c>
      <c r="H2127" s="169" t="s">
        <v>430</v>
      </c>
      <c r="I2127" s="169" t="s">
        <v>431</v>
      </c>
      <c r="J2127" s="169" t="s">
        <v>416</v>
      </c>
      <c r="K2127" s="169" t="s">
        <v>416</v>
      </c>
      <c r="L2127" s="169" t="s">
        <v>1213</v>
      </c>
      <c r="M2127" s="169" t="s">
        <v>281</v>
      </c>
      <c r="N2127" s="178">
        <v>18800000</v>
      </c>
      <c r="O2127" s="169" t="s">
        <v>1273</v>
      </c>
      <c r="P2127" s="169" t="s">
        <v>283</v>
      </c>
      <c r="Q2127" s="169" t="s">
        <v>348</v>
      </c>
      <c r="R2127" s="169" t="s">
        <v>283</v>
      </c>
      <c r="S2127" s="169" t="s">
        <v>283</v>
      </c>
      <c r="T2127" s="169">
        <v>0</v>
      </c>
    </row>
    <row r="2128" spans="1:20" x14ac:dyDescent="0.2">
      <c r="A2128" s="169" t="str">
        <f t="shared" si="11"/>
        <v>627</v>
      </c>
      <c r="B2128" s="167" t="str">
        <f>_xlfn.XLOOKUP(I2128,Mapping!D:D,Mapping!E:E)</f>
        <v>Xưởng Sản Xuất</v>
      </c>
      <c r="C2128" s="167" t="str">
        <f>_xlfn.XLOOKUP(F2128,Mapping!A:A,Mapping!F:F)</f>
        <v>Phụ Cấp</v>
      </c>
      <c r="D2128" s="173">
        <v>45991</v>
      </c>
      <c r="E2128" s="169" t="s">
        <v>1272</v>
      </c>
      <c r="F2128" s="169" t="s">
        <v>375</v>
      </c>
      <c r="G2128" s="169" t="s">
        <v>336</v>
      </c>
      <c r="H2128" s="169" t="s">
        <v>430</v>
      </c>
      <c r="I2128" s="169" t="s">
        <v>431</v>
      </c>
      <c r="J2128" s="169" t="s">
        <v>416</v>
      </c>
      <c r="K2128" s="169" t="s">
        <v>416</v>
      </c>
      <c r="L2128" s="169" t="s">
        <v>1213</v>
      </c>
      <c r="M2128" s="169" t="s">
        <v>281</v>
      </c>
      <c r="N2128" s="178">
        <v>-18800000</v>
      </c>
      <c r="O2128" s="169" t="s">
        <v>1273</v>
      </c>
      <c r="P2128" s="169" t="s">
        <v>283</v>
      </c>
      <c r="Q2128" s="169" t="s">
        <v>348</v>
      </c>
      <c r="R2128" s="169" t="s">
        <v>283</v>
      </c>
      <c r="S2128" s="169" t="s">
        <v>283</v>
      </c>
      <c r="T2128" s="169">
        <v>0</v>
      </c>
    </row>
    <row r="2129" spans="1:20" x14ac:dyDescent="0.2">
      <c r="A2129" s="169" t="str">
        <f t="shared" si="11"/>
        <v>622</v>
      </c>
      <c r="B2129" s="167" t="str">
        <f>_xlfn.XLOOKUP(I2129,Mapping!D:D,Mapping!E:E)</f>
        <v>Xưởng Sản Xuất</v>
      </c>
      <c r="C2129" s="167" t="str">
        <f>_xlfn.XLOOKUP(F2129,Mapping!A:A,Mapping!F:F)</f>
        <v>Phụ Cấp</v>
      </c>
      <c r="D2129" s="173">
        <v>45991</v>
      </c>
      <c r="E2129" s="169" t="s">
        <v>1272</v>
      </c>
      <c r="F2129" s="169" t="s">
        <v>414</v>
      </c>
      <c r="G2129" s="169" t="s">
        <v>415</v>
      </c>
      <c r="H2129" s="169" t="s">
        <v>402</v>
      </c>
      <c r="I2129" s="169" t="s">
        <v>403</v>
      </c>
      <c r="J2129" s="169" t="s">
        <v>416</v>
      </c>
      <c r="K2129" s="169" t="s">
        <v>416</v>
      </c>
      <c r="L2129" s="169" t="s">
        <v>1213</v>
      </c>
      <c r="M2129" s="169" t="s">
        <v>281</v>
      </c>
      <c r="N2129" s="178">
        <v>112650000</v>
      </c>
      <c r="O2129" s="169" t="s">
        <v>1273</v>
      </c>
      <c r="P2129" s="169" t="s">
        <v>283</v>
      </c>
      <c r="Q2129" s="169" t="s">
        <v>348</v>
      </c>
      <c r="R2129" s="169" t="s">
        <v>283</v>
      </c>
      <c r="S2129" s="169" t="s">
        <v>283</v>
      </c>
      <c r="T2129" s="169">
        <v>0</v>
      </c>
    </row>
    <row r="2130" spans="1:20" x14ac:dyDescent="0.2">
      <c r="A2130" s="169" t="str">
        <f t="shared" si="11"/>
        <v>627</v>
      </c>
      <c r="B2130" s="167" t="str">
        <f>_xlfn.XLOOKUP(I2130,Mapping!D:D,Mapping!E:E)</f>
        <v>Xưởng Sản Xuất</v>
      </c>
      <c r="C2130" s="167" t="str">
        <f>_xlfn.XLOOKUP(F2130,Mapping!A:A,Mapping!F:F)</f>
        <v>Phụ Cấp</v>
      </c>
      <c r="D2130" s="173">
        <v>45991</v>
      </c>
      <c r="E2130" s="169" t="s">
        <v>1272</v>
      </c>
      <c r="F2130" s="169" t="s">
        <v>375</v>
      </c>
      <c r="G2130" s="169" t="s">
        <v>336</v>
      </c>
      <c r="H2130" s="169" t="s">
        <v>402</v>
      </c>
      <c r="I2130" s="169" t="s">
        <v>403</v>
      </c>
      <c r="J2130" s="169" t="s">
        <v>416</v>
      </c>
      <c r="K2130" s="169" t="s">
        <v>416</v>
      </c>
      <c r="L2130" s="169" t="s">
        <v>1213</v>
      </c>
      <c r="M2130" s="169" t="s">
        <v>281</v>
      </c>
      <c r="N2130" s="178">
        <v>-112650000</v>
      </c>
      <c r="O2130" s="169" t="s">
        <v>1273</v>
      </c>
      <c r="P2130" s="169" t="s">
        <v>283</v>
      </c>
      <c r="Q2130" s="169" t="s">
        <v>348</v>
      </c>
      <c r="R2130" s="169" t="s">
        <v>283</v>
      </c>
      <c r="S2130" s="169" t="s">
        <v>283</v>
      </c>
      <c r="T2130" s="169">
        <v>0</v>
      </c>
    </row>
    <row r="2131" spans="1:20" x14ac:dyDescent="0.2">
      <c r="A2131" s="169" t="str">
        <f t="shared" si="11"/>
        <v>622</v>
      </c>
      <c r="B2131" s="167" t="str">
        <f>_xlfn.XLOOKUP(I2131,Mapping!D:D,Mapping!E:E)</f>
        <v>Xưởng Sản Xuất</v>
      </c>
      <c r="C2131" s="167" t="str">
        <f>_xlfn.XLOOKUP(F2131,Mapping!A:A,Mapping!F:F)</f>
        <v>Phụ Cấp</v>
      </c>
      <c r="D2131" s="173">
        <v>45991</v>
      </c>
      <c r="E2131" s="169" t="s">
        <v>1274</v>
      </c>
      <c r="F2131" s="169" t="s">
        <v>414</v>
      </c>
      <c r="G2131" s="169" t="s">
        <v>415</v>
      </c>
      <c r="H2131" s="169" t="s">
        <v>402</v>
      </c>
      <c r="I2131" s="169" t="s">
        <v>403</v>
      </c>
      <c r="J2131" s="169" t="s">
        <v>1275</v>
      </c>
      <c r="K2131" s="169" t="s">
        <v>1276</v>
      </c>
      <c r="L2131" s="169" t="s">
        <v>1213</v>
      </c>
      <c r="M2131" s="169" t="s">
        <v>281</v>
      </c>
      <c r="N2131" s="178">
        <v>63011000</v>
      </c>
      <c r="O2131" s="169" t="s">
        <v>1277</v>
      </c>
      <c r="P2131" s="169" t="s">
        <v>283</v>
      </c>
      <c r="Q2131" s="169" t="s">
        <v>306</v>
      </c>
      <c r="R2131" s="169" t="s">
        <v>283</v>
      </c>
      <c r="S2131" s="169" t="s">
        <v>283</v>
      </c>
      <c r="T2131" s="169">
        <v>0</v>
      </c>
    </row>
    <row r="2132" spans="1:20" x14ac:dyDescent="0.2">
      <c r="A2132" s="169" t="str">
        <f t="shared" si="11"/>
        <v>622</v>
      </c>
      <c r="B2132" s="167" t="str">
        <f>_xlfn.XLOOKUP(I2132,Mapping!D:D,Mapping!E:E)</f>
        <v>Xưởng Sản Xuất</v>
      </c>
      <c r="C2132" s="167" t="str">
        <f>_xlfn.XLOOKUP(F2132,Mapping!A:A,Mapping!F:F)</f>
        <v>Phụ Cấp</v>
      </c>
      <c r="D2132" s="173">
        <v>45991</v>
      </c>
      <c r="E2132" s="169" t="s">
        <v>1274</v>
      </c>
      <c r="F2132" s="169" t="s">
        <v>414</v>
      </c>
      <c r="G2132" s="169" t="s">
        <v>415</v>
      </c>
      <c r="H2132" s="169" t="s">
        <v>430</v>
      </c>
      <c r="I2132" s="169" t="s">
        <v>431</v>
      </c>
      <c r="J2132" s="169" t="s">
        <v>1278</v>
      </c>
      <c r="K2132" s="169" t="s">
        <v>1276</v>
      </c>
      <c r="L2132" s="169" t="s">
        <v>1213</v>
      </c>
      <c r="M2132" s="169" t="s">
        <v>281</v>
      </c>
      <c r="N2132" s="178">
        <v>11973000</v>
      </c>
      <c r="O2132" s="169" t="s">
        <v>1277</v>
      </c>
      <c r="P2132" s="169" t="s">
        <v>283</v>
      </c>
      <c r="Q2132" s="169" t="s">
        <v>306</v>
      </c>
      <c r="R2132" s="169" t="s">
        <v>283</v>
      </c>
      <c r="S2132" s="169" t="s">
        <v>283</v>
      </c>
      <c r="T2132" s="169">
        <v>0</v>
      </c>
    </row>
    <row r="2133" spans="1:20" x14ac:dyDescent="0.2">
      <c r="A2133" s="169" t="str">
        <f t="shared" si="11"/>
        <v>627</v>
      </c>
      <c r="B2133" s="167" t="str">
        <f>_xlfn.XLOOKUP(I2133,Mapping!D:D,Mapping!E:E)</f>
        <v>Kỹ Thuật</v>
      </c>
      <c r="C2133" s="167" t="str">
        <f>_xlfn.XLOOKUP(F2133,Mapping!A:A,Mapping!F:F)</f>
        <v>Phụ Cấp</v>
      </c>
      <c r="D2133" s="173">
        <v>45991</v>
      </c>
      <c r="E2133" s="169" t="s">
        <v>1274</v>
      </c>
      <c r="F2133" s="169" t="s">
        <v>375</v>
      </c>
      <c r="G2133" s="169" t="s">
        <v>336</v>
      </c>
      <c r="H2133" s="169" t="s">
        <v>376</v>
      </c>
      <c r="I2133" s="169" t="s">
        <v>377</v>
      </c>
      <c r="J2133" s="169" t="s">
        <v>1279</v>
      </c>
      <c r="K2133" s="169" t="s">
        <v>1276</v>
      </c>
      <c r="L2133" s="169" t="s">
        <v>1213</v>
      </c>
      <c r="M2133" s="169" t="s">
        <v>281</v>
      </c>
      <c r="N2133" s="178">
        <v>20358000</v>
      </c>
      <c r="O2133" s="169" t="s">
        <v>1277</v>
      </c>
      <c r="P2133" s="169" t="s">
        <v>283</v>
      </c>
      <c r="Q2133" s="169" t="s">
        <v>306</v>
      </c>
      <c r="R2133" s="169" t="s">
        <v>283</v>
      </c>
      <c r="S2133" s="169" t="s">
        <v>283</v>
      </c>
      <c r="T2133" s="169">
        <v>0</v>
      </c>
    </row>
    <row r="2134" spans="1:20" x14ac:dyDescent="0.2">
      <c r="A2134" s="169" t="str">
        <f t="shared" si="11"/>
        <v>627</v>
      </c>
      <c r="B2134" s="167" t="str">
        <f>_xlfn.XLOOKUP(I2134,Mapping!D:D,Mapping!E:E)</f>
        <v>Xưởng Sản Xuất</v>
      </c>
      <c r="C2134" s="167" t="str">
        <f>_xlfn.XLOOKUP(F2134,Mapping!A:A,Mapping!F:F)</f>
        <v>Phụ Cấp</v>
      </c>
      <c r="D2134" s="173">
        <v>45991</v>
      </c>
      <c r="E2134" s="169" t="s">
        <v>1274</v>
      </c>
      <c r="F2134" s="169" t="s">
        <v>375</v>
      </c>
      <c r="G2134" s="169" t="s">
        <v>336</v>
      </c>
      <c r="H2134" s="169" t="s">
        <v>436</v>
      </c>
      <c r="I2134" s="169" t="s">
        <v>437</v>
      </c>
      <c r="J2134" s="169" t="s">
        <v>1280</v>
      </c>
      <c r="K2134" s="169" t="s">
        <v>1276</v>
      </c>
      <c r="L2134" s="169" t="s">
        <v>1213</v>
      </c>
      <c r="M2134" s="169" t="s">
        <v>281</v>
      </c>
      <c r="N2134" s="178">
        <v>11778000</v>
      </c>
      <c r="O2134" s="169" t="s">
        <v>1277</v>
      </c>
      <c r="P2134" s="169" t="s">
        <v>283</v>
      </c>
      <c r="Q2134" s="169" t="s">
        <v>306</v>
      </c>
      <c r="R2134" s="169" t="s">
        <v>283</v>
      </c>
      <c r="S2134" s="169" t="s">
        <v>283</v>
      </c>
      <c r="T2134" s="169">
        <v>0</v>
      </c>
    </row>
    <row r="2135" spans="1:20" x14ac:dyDescent="0.2">
      <c r="A2135" s="169" t="str">
        <f t="shared" si="11"/>
        <v>627</v>
      </c>
      <c r="B2135" s="167" t="str">
        <f>_xlfn.XLOOKUP(I2135,Mapping!D:D,Mapping!E:E)</f>
        <v>Kiểm Soát Chất Lượng</v>
      </c>
      <c r="C2135" s="167" t="str">
        <f>_xlfn.XLOOKUP(F2135,Mapping!A:A,Mapping!F:F)</f>
        <v>Phụ Cấp</v>
      </c>
      <c r="D2135" s="173">
        <v>45991</v>
      </c>
      <c r="E2135" s="169" t="s">
        <v>1274</v>
      </c>
      <c r="F2135" s="169" t="s">
        <v>375</v>
      </c>
      <c r="G2135" s="169" t="s">
        <v>336</v>
      </c>
      <c r="H2135" s="169" t="s">
        <v>411</v>
      </c>
      <c r="I2135" s="169" t="s">
        <v>412</v>
      </c>
      <c r="J2135" s="169" t="s">
        <v>1281</v>
      </c>
      <c r="K2135" s="169" t="s">
        <v>1276</v>
      </c>
      <c r="L2135" s="169" t="s">
        <v>1213</v>
      </c>
      <c r="M2135" s="169" t="s">
        <v>281</v>
      </c>
      <c r="N2135" s="178">
        <v>11102000</v>
      </c>
      <c r="O2135" s="169" t="s">
        <v>1277</v>
      </c>
      <c r="P2135" s="169" t="s">
        <v>283</v>
      </c>
      <c r="Q2135" s="169" t="s">
        <v>306</v>
      </c>
      <c r="R2135" s="169" t="s">
        <v>283</v>
      </c>
      <c r="S2135" s="169" t="s">
        <v>283</v>
      </c>
      <c r="T2135" s="169">
        <v>0</v>
      </c>
    </row>
    <row r="2136" spans="1:20" x14ac:dyDescent="0.2">
      <c r="A2136" s="169" t="str">
        <f t="shared" si="11"/>
        <v>642</v>
      </c>
      <c r="B2136" s="167" t="str">
        <f>_xlfn.XLOOKUP(I2136,Mapping!D:D,Mapping!E:E)</f>
        <v>Hành Chánh Nhân Sự</v>
      </c>
      <c r="C2136" s="167" t="str">
        <f>_xlfn.XLOOKUP(F2136,Mapping!A:A,Mapping!F:F)</f>
        <v>Phụ Cấp</v>
      </c>
      <c r="D2136" s="173">
        <v>45991</v>
      </c>
      <c r="E2136" s="169" t="s">
        <v>1274</v>
      </c>
      <c r="F2136" s="169" t="s">
        <v>335</v>
      </c>
      <c r="G2136" s="169" t="s">
        <v>336</v>
      </c>
      <c r="H2136" s="169" t="s">
        <v>301</v>
      </c>
      <c r="I2136" s="169" t="s">
        <v>302</v>
      </c>
      <c r="J2136" s="169" t="s">
        <v>1282</v>
      </c>
      <c r="K2136" s="169" t="s">
        <v>1276</v>
      </c>
      <c r="L2136" s="169" t="s">
        <v>1213</v>
      </c>
      <c r="M2136" s="169" t="s">
        <v>281</v>
      </c>
      <c r="N2136" s="178">
        <v>3484000</v>
      </c>
      <c r="O2136" s="169" t="s">
        <v>1277</v>
      </c>
      <c r="P2136" s="169" t="s">
        <v>283</v>
      </c>
      <c r="Q2136" s="169" t="s">
        <v>306</v>
      </c>
      <c r="R2136" s="169" t="s">
        <v>283</v>
      </c>
      <c r="S2136" s="169" t="s">
        <v>283</v>
      </c>
      <c r="T2136" s="169">
        <v>0</v>
      </c>
    </row>
    <row r="2137" spans="1:20" x14ac:dyDescent="0.2">
      <c r="A2137" s="169" t="str">
        <f t="shared" si="11"/>
        <v>642</v>
      </c>
      <c r="B2137" s="167" t="str">
        <f>_xlfn.XLOOKUP(I2137,Mapping!D:D,Mapping!E:E)</f>
        <v>Ban Giám Đốc</v>
      </c>
      <c r="C2137" s="167" t="str">
        <f>_xlfn.XLOOKUP(F2137,Mapping!A:A,Mapping!F:F)</f>
        <v>BHXH, BHYT, KPCĐ</v>
      </c>
      <c r="D2137" s="173">
        <v>45991</v>
      </c>
      <c r="E2137" s="169" t="s">
        <v>1283</v>
      </c>
      <c r="F2137" s="169" t="s">
        <v>295</v>
      </c>
      <c r="G2137" s="169" t="s">
        <v>296</v>
      </c>
      <c r="H2137" s="169" t="s">
        <v>276</v>
      </c>
      <c r="I2137" s="169" t="s">
        <v>277</v>
      </c>
      <c r="J2137" s="169" t="s">
        <v>1247</v>
      </c>
      <c r="K2137" s="169" t="s">
        <v>1240</v>
      </c>
      <c r="L2137" s="169" t="s">
        <v>1213</v>
      </c>
      <c r="M2137" s="169" t="s">
        <v>281</v>
      </c>
      <c r="N2137" s="178">
        <v>-126066950</v>
      </c>
      <c r="O2137" s="169" t="s">
        <v>1284</v>
      </c>
      <c r="P2137" s="169" t="s">
        <v>447</v>
      </c>
      <c r="Q2137" s="169" t="s">
        <v>284</v>
      </c>
      <c r="R2137" s="169" t="s">
        <v>283</v>
      </c>
      <c r="S2137" s="169" t="s">
        <v>283</v>
      </c>
      <c r="T2137" s="169">
        <v>0</v>
      </c>
    </row>
    <row r="2138" spans="1:20" x14ac:dyDescent="0.2">
      <c r="A2138" s="169" t="str">
        <f t="shared" si="11"/>
        <v>642</v>
      </c>
      <c r="B2138" s="167" t="str">
        <f>_xlfn.XLOOKUP(I2138,Mapping!D:D,Mapping!E:E)</f>
        <v>Văn Phòng Giám Đốc</v>
      </c>
      <c r="C2138" s="167" t="str">
        <f>_xlfn.XLOOKUP(F2138,Mapping!A:A,Mapping!F:F)</f>
        <v>BHXH, BHYT, KPCĐ</v>
      </c>
      <c r="D2138" s="173">
        <v>45991</v>
      </c>
      <c r="E2138" s="169" t="s">
        <v>1283</v>
      </c>
      <c r="F2138" s="169" t="s">
        <v>295</v>
      </c>
      <c r="G2138" s="169" t="s">
        <v>296</v>
      </c>
      <c r="H2138" s="169" t="s">
        <v>320</v>
      </c>
      <c r="I2138" s="169" t="s">
        <v>321</v>
      </c>
      <c r="J2138" s="169" t="s">
        <v>1247</v>
      </c>
      <c r="K2138" s="169" t="s">
        <v>1240</v>
      </c>
      <c r="L2138" s="169" t="s">
        <v>1213</v>
      </c>
      <c r="M2138" s="169" t="s">
        <v>281</v>
      </c>
      <c r="N2138" s="178">
        <v>-34958750</v>
      </c>
      <c r="O2138" s="169" t="s">
        <v>1284</v>
      </c>
      <c r="P2138" s="169" t="s">
        <v>447</v>
      </c>
      <c r="Q2138" s="169" t="s">
        <v>284</v>
      </c>
      <c r="R2138" s="169" t="s">
        <v>283</v>
      </c>
      <c r="S2138" s="169" t="s">
        <v>283</v>
      </c>
      <c r="T2138" s="169">
        <v>0</v>
      </c>
    </row>
    <row r="2139" spans="1:20" x14ac:dyDescent="0.2">
      <c r="A2139" s="169" t="str">
        <f t="shared" si="11"/>
        <v>642</v>
      </c>
      <c r="B2139" s="167" t="str">
        <f>_xlfn.XLOOKUP(I2139,Mapping!D:D,Mapping!E:E)</f>
        <v>Hành Chánh Nhân Sự</v>
      </c>
      <c r="C2139" s="167" t="str">
        <f>_xlfn.XLOOKUP(F2139,Mapping!A:A,Mapping!F:F)</f>
        <v>BHXH, BHYT, KPCĐ</v>
      </c>
      <c r="D2139" s="173">
        <v>45991</v>
      </c>
      <c r="E2139" s="169" t="s">
        <v>1283</v>
      </c>
      <c r="F2139" s="169" t="s">
        <v>295</v>
      </c>
      <c r="G2139" s="169" t="s">
        <v>296</v>
      </c>
      <c r="H2139" s="169" t="s">
        <v>301</v>
      </c>
      <c r="I2139" s="169" t="s">
        <v>302</v>
      </c>
      <c r="J2139" s="169" t="s">
        <v>1247</v>
      </c>
      <c r="K2139" s="169" t="s">
        <v>1240</v>
      </c>
      <c r="L2139" s="169" t="s">
        <v>1213</v>
      </c>
      <c r="M2139" s="169" t="s">
        <v>281</v>
      </c>
      <c r="N2139" s="178">
        <v>-112460165</v>
      </c>
      <c r="O2139" s="169" t="s">
        <v>1284</v>
      </c>
      <c r="P2139" s="169" t="s">
        <v>447</v>
      </c>
      <c r="Q2139" s="169" t="s">
        <v>284</v>
      </c>
      <c r="R2139" s="169" t="s">
        <v>283</v>
      </c>
      <c r="S2139" s="169" t="s">
        <v>283</v>
      </c>
      <c r="T2139" s="169">
        <v>0</v>
      </c>
    </row>
    <row r="2140" spans="1:20" x14ac:dyDescent="0.2">
      <c r="A2140" s="169" t="str">
        <f t="shared" si="11"/>
        <v>642</v>
      </c>
      <c r="B2140" s="167" t="str">
        <f>_xlfn.XLOOKUP(I2140,Mapping!D:D,Mapping!E:E)</f>
        <v>Kế Toán</v>
      </c>
      <c r="C2140" s="167" t="str">
        <f>_xlfn.XLOOKUP(F2140,Mapping!A:A,Mapping!F:F)</f>
        <v>BHXH, BHYT, KPCĐ</v>
      </c>
      <c r="D2140" s="173">
        <v>45991</v>
      </c>
      <c r="E2140" s="169" t="s">
        <v>1283</v>
      </c>
      <c r="F2140" s="169" t="s">
        <v>295</v>
      </c>
      <c r="G2140" s="169" t="s">
        <v>296</v>
      </c>
      <c r="H2140" s="169" t="s">
        <v>356</v>
      </c>
      <c r="I2140" s="169" t="s">
        <v>357</v>
      </c>
      <c r="J2140" s="169" t="s">
        <v>1247</v>
      </c>
      <c r="K2140" s="169" t="s">
        <v>1240</v>
      </c>
      <c r="L2140" s="169" t="s">
        <v>1213</v>
      </c>
      <c r="M2140" s="169" t="s">
        <v>281</v>
      </c>
      <c r="N2140" s="178">
        <v>-113305035</v>
      </c>
      <c r="O2140" s="169" t="s">
        <v>1284</v>
      </c>
      <c r="P2140" s="169" t="s">
        <v>447</v>
      </c>
      <c r="Q2140" s="169" t="s">
        <v>284</v>
      </c>
      <c r="R2140" s="169" t="s">
        <v>283</v>
      </c>
      <c r="S2140" s="169" t="s">
        <v>283</v>
      </c>
      <c r="T2140" s="169">
        <v>0</v>
      </c>
    </row>
    <row r="2141" spans="1:20" x14ac:dyDescent="0.2">
      <c r="A2141" s="169" t="str">
        <f t="shared" si="11"/>
        <v>641</v>
      </c>
      <c r="B2141" s="167" t="str">
        <f>_xlfn.XLOOKUP(I2141,Mapping!D:D,Mapping!E:E)</f>
        <v>Kinh doanh</v>
      </c>
      <c r="C2141" s="167" t="str">
        <f>_xlfn.XLOOKUP(F2141,Mapping!A:A,Mapping!F:F)</f>
        <v>BHXH, BHYT, KPCĐ</v>
      </c>
      <c r="D2141" s="173">
        <v>45991</v>
      </c>
      <c r="E2141" s="169" t="s">
        <v>1283</v>
      </c>
      <c r="F2141" s="169" t="s">
        <v>392</v>
      </c>
      <c r="G2141" s="169" t="s">
        <v>296</v>
      </c>
      <c r="H2141" s="169" t="s">
        <v>366</v>
      </c>
      <c r="I2141" s="169" t="s">
        <v>1</v>
      </c>
      <c r="J2141" s="169" t="s">
        <v>1247</v>
      </c>
      <c r="K2141" s="169" t="s">
        <v>1240</v>
      </c>
      <c r="L2141" s="169" t="s">
        <v>1213</v>
      </c>
      <c r="M2141" s="169" t="s">
        <v>281</v>
      </c>
      <c r="N2141" s="178">
        <v>-65072445</v>
      </c>
      <c r="O2141" s="169" t="s">
        <v>1284</v>
      </c>
      <c r="P2141" s="169" t="s">
        <v>447</v>
      </c>
      <c r="Q2141" s="169" t="s">
        <v>284</v>
      </c>
      <c r="R2141" s="169" t="s">
        <v>283</v>
      </c>
      <c r="S2141" s="169" t="s">
        <v>283</v>
      </c>
      <c r="T2141" s="169">
        <v>0</v>
      </c>
    </row>
    <row r="2142" spans="1:20" x14ac:dyDescent="0.2">
      <c r="A2142" s="169" t="str">
        <f t="shared" si="11"/>
        <v>642</v>
      </c>
      <c r="B2142" s="167" t="str">
        <f>_xlfn.XLOOKUP(I2142,Mapping!D:D,Mapping!E:E)</f>
        <v>Cung Ứng</v>
      </c>
      <c r="C2142" s="167" t="str">
        <f>_xlfn.XLOOKUP(F2142,Mapping!A:A,Mapping!F:F)</f>
        <v>BHXH, BHYT, KPCĐ</v>
      </c>
      <c r="D2142" s="173">
        <v>45991</v>
      </c>
      <c r="E2142" s="169" t="s">
        <v>1283</v>
      </c>
      <c r="F2142" s="169" t="s">
        <v>295</v>
      </c>
      <c r="G2142" s="169" t="s">
        <v>296</v>
      </c>
      <c r="H2142" s="169" t="s">
        <v>380</v>
      </c>
      <c r="I2142" s="169" t="s">
        <v>381</v>
      </c>
      <c r="J2142" s="169" t="s">
        <v>1247</v>
      </c>
      <c r="K2142" s="169" t="s">
        <v>1240</v>
      </c>
      <c r="L2142" s="169" t="s">
        <v>1213</v>
      </c>
      <c r="M2142" s="169" t="s">
        <v>281</v>
      </c>
      <c r="N2142" s="178">
        <v>-115375835</v>
      </c>
      <c r="O2142" s="169" t="s">
        <v>1284</v>
      </c>
      <c r="P2142" s="169" t="s">
        <v>447</v>
      </c>
      <c r="Q2142" s="169" t="s">
        <v>284</v>
      </c>
      <c r="R2142" s="169" t="s">
        <v>283</v>
      </c>
      <c r="S2142" s="169" t="s">
        <v>283</v>
      </c>
      <c r="T2142" s="169">
        <v>0</v>
      </c>
    </row>
    <row r="2143" spans="1:20" x14ac:dyDescent="0.2">
      <c r="A2143" s="169" t="str">
        <f t="shared" si="11"/>
        <v>642</v>
      </c>
      <c r="B2143" s="167" t="str">
        <f>_xlfn.XLOOKUP(I2143,Mapping!D:D,Mapping!E:E)</f>
        <v>Mua Hàng &amp; XNK</v>
      </c>
      <c r="C2143" s="167" t="str">
        <f>_xlfn.XLOOKUP(F2143,Mapping!A:A,Mapping!F:F)</f>
        <v>BHXH, BHYT, KPCĐ</v>
      </c>
      <c r="D2143" s="173">
        <v>45991</v>
      </c>
      <c r="E2143" s="169" t="s">
        <v>1283</v>
      </c>
      <c r="F2143" s="169" t="s">
        <v>295</v>
      </c>
      <c r="G2143" s="169" t="s">
        <v>296</v>
      </c>
      <c r="H2143" s="169" t="s">
        <v>378</v>
      </c>
      <c r="I2143" s="169" t="s">
        <v>379</v>
      </c>
      <c r="J2143" s="169" t="s">
        <v>1247</v>
      </c>
      <c r="K2143" s="169" t="s">
        <v>1240</v>
      </c>
      <c r="L2143" s="169" t="s">
        <v>1213</v>
      </c>
      <c r="M2143" s="169" t="s">
        <v>281</v>
      </c>
      <c r="N2143" s="178">
        <v>-32555255</v>
      </c>
      <c r="O2143" s="169" t="s">
        <v>1284</v>
      </c>
      <c r="P2143" s="169" t="s">
        <v>447</v>
      </c>
      <c r="Q2143" s="169" t="s">
        <v>284</v>
      </c>
      <c r="R2143" s="169" t="s">
        <v>283</v>
      </c>
      <c r="S2143" s="169" t="s">
        <v>283</v>
      </c>
      <c r="T2143" s="169">
        <v>0</v>
      </c>
    </row>
    <row r="2144" spans="1:20" x14ac:dyDescent="0.2">
      <c r="A2144" s="169" t="str">
        <f t="shared" si="11"/>
        <v>627</v>
      </c>
      <c r="B2144" s="167" t="str">
        <f>_xlfn.XLOOKUP(I2144,Mapping!D:D,Mapping!E:E)</f>
        <v>Kỹ Thuật</v>
      </c>
      <c r="C2144" s="167" t="str">
        <f>_xlfn.XLOOKUP(F2144,Mapping!A:A,Mapping!F:F)</f>
        <v>BHXH, BHYT, KPCĐ</v>
      </c>
      <c r="D2144" s="173">
        <v>45991</v>
      </c>
      <c r="E2144" s="169" t="s">
        <v>1283</v>
      </c>
      <c r="F2144" s="169" t="s">
        <v>393</v>
      </c>
      <c r="G2144" s="169" t="s">
        <v>296</v>
      </c>
      <c r="H2144" s="169" t="s">
        <v>376</v>
      </c>
      <c r="I2144" s="169" t="s">
        <v>377</v>
      </c>
      <c r="J2144" s="169" t="s">
        <v>1247</v>
      </c>
      <c r="K2144" s="169" t="s">
        <v>1240</v>
      </c>
      <c r="L2144" s="169" t="s">
        <v>1213</v>
      </c>
      <c r="M2144" s="169" t="s">
        <v>281</v>
      </c>
      <c r="N2144" s="178">
        <v>-250565225</v>
      </c>
      <c r="O2144" s="169" t="s">
        <v>1284</v>
      </c>
      <c r="P2144" s="169" t="s">
        <v>447</v>
      </c>
      <c r="Q2144" s="169" t="s">
        <v>284</v>
      </c>
      <c r="R2144" s="169" t="s">
        <v>283</v>
      </c>
      <c r="S2144" s="169" t="s">
        <v>283</v>
      </c>
      <c r="T2144" s="169">
        <v>0</v>
      </c>
    </row>
    <row r="2145" spans="1:20" x14ac:dyDescent="0.2">
      <c r="A2145" s="169" t="str">
        <f t="shared" si="11"/>
        <v>627</v>
      </c>
      <c r="B2145" s="167" t="str">
        <f>_xlfn.XLOOKUP(I2145,Mapping!D:D,Mapping!E:E)</f>
        <v>Kỹ Thuật</v>
      </c>
      <c r="C2145" s="167" t="str">
        <f>_xlfn.XLOOKUP(F2145,Mapping!A:A,Mapping!F:F)</f>
        <v>BHXH, BHYT, KPCĐ</v>
      </c>
      <c r="D2145" s="173">
        <v>45991</v>
      </c>
      <c r="E2145" s="169" t="s">
        <v>1283</v>
      </c>
      <c r="F2145" s="169" t="s">
        <v>393</v>
      </c>
      <c r="G2145" s="169" t="s">
        <v>296</v>
      </c>
      <c r="H2145" s="169" t="s">
        <v>376</v>
      </c>
      <c r="I2145" s="169" t="s">
        <v>377</v>
      </c>
      <c r="J2145" s="169" t="s">
        <v>1247</v>
      </c>
      <c r="K2145" s="169" t="s">
        <v>1240</v>
      </c>
      <c r="L2145" s="169" t="s">
        <v>1213</v>
      </c>
      <c r="M2145" s="169" t="s">
        <v>281</v>
      </c>
      <c r="N2145" s="178">
        <v>-105864915</v>
      </c>
      <c r="O2145" s="169" t="s">
        <v>1284</v>
      </c>
      <c r="P2145" s="169" t="s">
        <v>447</v>
      </c>
      <c r="Q2145" s="169" t="s">
        <v>284</v>
      </c>
      <c r="R2145" s="169" t="s">
        <v>283</v>
      </c>
      <c r="S2145" s="169" t="s">
        <v>283</v>
      </c>
      <c r="T2145" s="169">
        <v>0</v>
      </c>
    </row>
    <row r="2146" spans="1:20" x14ac:dyDescent="0.2">
      <c r="A2146" s="169" t="str">
        <f t="shared" si="11"/>
        <v>627</v>
      </c>
      <c r="B2146" s="167" t="str">
        <f>_xlfn.XLOOKUP(I2146,Mapping!D:D,Mapping!E:E)</f>
        <v>Kỹ Thuật</v>
      </c>
      <c r="C2146" s="167" t="str">
        <f>_xlfn.XLOOKUP(F2146,Mapping!A:A,Mapping!F:F)</f>
        <v>BHXH, BHYT, KPCĐ</v>
      </c>
      <c r="D2146" s="173">
        <v>45991</v>
      </c>
      <c r="E2146" s="169" t="s">
        <v>1283</v>
      </c>
      <c r="F2146" s="169" t="s">
        <v>393</v>
      </c>
      <c r="G2146" s="169" t="s">
        <v>296</v>
      </c>
      <c r="H2146" s="169" t="s">
        <v>376</v>
      </c>
      <c r="I2146" s="169" t="s">
        <v>377</v>
      </c>
      <c r="J2146" s="169" t="s">
        <v>1247</v>
      </c>
      <c r="K2146" s="169" t="s">
        <v>1240</v>
      </c>
      <c r="L2146" s="169" t="s">
        <v>1213</v>
      </c>
      <c r="M2146" s="169" t="s">
        <v>281</v>
      </c>
      <c r="N2146" s="178">
        <v>-38435000</v>
      </c>
      <c r="O2146" s="169" t="s">
        <v>1284</v>
      </c>
      <c r="P2146" s="169" t="s">
        <v>447</v>
      </c>
      <c r="Q2146" s="169" t="s">
        <v>284</v>
      </c>
      <c r="R2146" s="169" t="s">
        <v>283</v>
      </c>
      <c r="S2146" s="169" t="s">
        <v>283</v>
      </c>
      <c r="T2146" s="169">
        <v>0</v>
      </c>
    </row>
    <row r="2147" spans="1:20" x14ac:dyDescent="0.2">
      <c r="A2147" s="169" t="str">
        <f t="shared" si="11"/>
        <v>622</v>
      </c>
      <c r="B2147" s="167" t="str">
        <f>_xlfn.XLOOKUP(I2147,Mapping!D:D,Mapping!E:E)</f>
        <v>Xưởng Sản Xuất</v>
      </c>
      <c r="C2147" s="167" t="str">
        <f>_xlfn.XLOOKUP(F2147,Mapping!A:A,Mapping!F:F)</f>
        <v>BHXH, BHYT, KPCĐ</v>
      </c>
      <c r="D2147" s="173">
        <v>45991</v>
      </c>
      <c r="E2147" s="169" t="s">
        <v>1283</v>
      </c>
      <c r="F2147" s="169" t="s">
        <v>425</v>
      </c>
      <c r="G2147" s="169" t="s">
        <v>296</v>
      </c>
      <c r="H2147" s="169" t="s">
        <v>402</v>
      </c>
      <c r="I2147" s="169" t="s">
        <v>403</v>
      </c>
      <c r="J2147" s="169" t="s">
        <v>1247</v>
      </c>
      <c r="K2147" s="169" t="s">
        <v>1240</v>
      </c>
      <c r="L2147" s="169" t="s">
        <v>1213</v>
      </c>
      <c r="M2147" s="169" t="s">
        <v>281</v>
      </c>
      <c r="N2147" s="178">
        <v>-295584300</v>
      </c>
      <c r="O2147" s="169" t="s">
        <v>1284</v>
      </c>
      <c r="P2147" s="169" t="s">
        <v>447</v>
      </c>
      <c r="Q2147" s="169" t="s">
        <v>284</v>
      </c>
      <c r="R2147" s="169" t="s">
        <v>283</v>
      </c>
      <c r="S2147" s="169" t="s">
        <v>283</v>
      </c>
      <c r="T2147" s="169">
        <v>0</v>
      </c>
    </row>
    <row r="2148" spans="1:20" x14ac:dyDescent="0.2">
      <c r="A2148" s="169" t="str">
        <f t="shared" si="11"/>
        <v>627</v>
      </c>
      <c r="B2148" s="167" t="str">
        <f>_xlfn.XLOOKUP(I2148,Mapping!D:D,Mapping!E:E)</f>
        <v>Xưởng Sản Xuất</v>
      </c>
      <c r="C2148" s="167" t="str">
        <f>_xlfn.XLOOKUP(F2148,Mapping!A:A,Mapping!F:F)</f>
        <v>BHXH, BHYT, KPCĐ</v>
      </c>
      <c r="D2148" s="173">
        <v>45991</v>
      </c>
      <c r="E2148" s="169" t="s">
        <v>1283</v>
      </c>
      <c r="F2148" s="169" t="s">
        <v>393</v>
      </c>
      <c r="G2148" s="169" t="s">
        <v>296</v>
      </c>
      <c r="H2148" s="169" t="s">
        <v>402</v>
      </c>
      <c r="I2148" s="169" t="s">
        <v>403</v>
      </c>
      <c r="J2148" s="169" t="s">
        <v>1247</v>
      </c>
      <c r="K2148" s="169" t="s">
        <v>1240</v>
      </c>
      <c r="L2148" s="169" t="s">
        <v>1213</v>
      </c>
      <c r="M2148" s="169" t="s">
        <v>281</v>
      </c>
      <c r="N2148" s="178">
        <v>-87230015</v>
      </c>
      <c r="O2148" s="169" t="s">
        <v>1284</v>
      </c>
      <c r="P2148" s="169" t="s">
        <v>447</v>
      </c>
      <c r="Q2148" s="169" t="s">
        <v>284</v>
      </c>
      <c r="R2148" s="169" t="s">
        <v>283</v>
      </c>
      <c r="S2148" s="169" t="s">
        <v>283</v>
      </c>
      <c r="T2148" s="169">
        <v>0</v>
      </c>
    </row>
    <row r="2149" spans="1:20" x14ac:dyDescent="0.2">
      <c r="A2149" s="169" t="str">
        <f t="shared" si="11"/>
        <v>622</v>
      </c>
      <c r="B2149" s="167" t="str">
        <f>_xlfn.XLOOKUP(I2149,Mapping!D:D,Mapping!E:E)</f>
        <v>Xưởng Sản Xuất</v>
      </c>
      <c r="C2149" s="167" t="str">
        <f>_xlfn.XLOOKUP(F2149,Mapping!A:A,Mapping!F:F)</f>
        <v>BHXH, BHYT, KPCĐ</v>
      </c>
      <c r="D2149" s="173">
        <v>45991</v>
      </c>
      <c r="E2149" s="169" t="s">
        <v>1283</v>
      </c>
      <c r="F2149" s="169" t="s">
        <v>425</v>
      </c>
      <c r="G2149" s="169" t="s">
        <v>296</v>
      </c>
      <c r="H2149" s="169" t="s">
        <v>430</v>
      </c>
      <c r="I2149" s="169" t="s">
        <v>431</v>
      </c>
      <c r="J2149" s="169" t="s">
        <v>1247</v>
      </c>
      <c r="K2149" s="169" t="s">
        <v>1240</v>
      </c>
      <c r="L2149" s="169" t="s">
        <v>1213</v>
      </c>
      <c r="M2149" s="169" t="s">
        <v>281</v>
      </c>
      <c r="N2149" s="178">
        <v>-51656500</v>
      </c>
      <c r="O2149" s="169" t="s">
        <v>1284</v>
      </c>
      <c r="P2149" s="169" t="s">
        <v>447</v>
      </c>
      <c r="Q2149" s="169" t="s">
        <v>284</v>
      </c>
      <c r="R2149" s="169" t="s">
        <v>283</v>
      </c>
      <c r="S2149" s="169" t="s">
        <v>283</v>
      </c>
      <c r="T2149" s="169">
        <v>0</v>
      </c>
    </row>
    <row r="2150" spans="1:20" x14ac:dyDescent="0.2">
      <c r="A2150" s="169" t="str">
        <f t="shared" si="11"/>
        <v>627</v>
      </c>
      <c r="B2150" s="167" t="str">
        <f>_xlfn.XLOOKUP(I2150,Mapping!D:D,Mapping!E:E)</f>
        <v>Xưởng Sản Xuất</v>
      </c>
      <c r="C2150" s="167" t="str">
        <f>_xlfn.XLOOKUP(F2150,Mapping!A:A,Mapping!F:F)</f>
        <v>BHXH, BHYT, KPCĐ</v>
      </c>
      <c r="D2150" s="173">
        <v>45991</v>
      </c>
      <c r="E2150" s="169" t="s">
        <v>1283</v>
      </c>
      <c r="F2150" s="169" t="s">
        <v>393</v>
      </c>
      <c r="G2150" s="169" t="s">
        <v>296</v>
      </c>
      <c r="H2150" s="169" t="s">
        <v>430</v>
      </c>
      <c r="I2150" s="169" t="s">
        <v>431</v>
      </c>
      <c r="J2150" s="169" t="s">
        <v>1247</v>
      </c>
      <c r="K2150" s="169" t="s">
        <v>1240</v>
      </c>
      <c r="L2150" s="169" t="s">
        <v>1213</v>
      </c>
      <c r="M2150" s="169" t="s">
        <v>281</v>
      </c>
      <c r="N2150" s="178">
        <v>-26931495</v>
      </c>
      <c r="O2150" s="169" t="s">
        <v>1284</v>
      </c>
      <c r="P2150" s="169" t="s">
        <v>447</v>
      </c>
      <c r="Q2150" s="169" t="s">
        <v>284</v>
      </c>
      <c r="R2150" s="169" t="s">
        <v>283</v>
      </c>
      <c r="S2150" s="169" t="s">
        <v>283</v>
      </c>
      <c r="T2150" s="169">
        <v>0</v>
      </c>
    </row>
    <row r="2151" spans="1:20" x14ac:dyDescent="0.2">
      <c r="A2151" s="169" t="str">
        <f t="shared" si="11"/>
        <v>627</v>
      </c>
      <c r="B2151" s="167" t="str">
        <f>_xlfn.XLOOKUP(I2151,Mapping!D:D,Mapping!E:E)</f>
        <v>Xưởng Sản Xuất</v>
      </c>
      <c r="C2151" s="167" t="str">
        <f>_xlfn.XLOOKUP(F2151,Mapping!A:A,Mapping!F:F)</f>
        <v>BHXH, BHYT, KPCĐ</v>
      </c>
      <c r="D2151" s="173">
        <v>45991</v>
      </c>
      <c r="E2151" s="169" t="s">
        <v>1283</v>
      </c>
      <c r="F2151" s="169" t="s">
        <v>393</v>
      </c>
      <c r="G2151" s="169" t="s">
        <v>296</v>
      </c>
      <c r="H2151" s="169" t="s">
        <v>436</v>
      </c>
      <c r="I2151" s="169" t="s">
        <v>437</v>
      </c>
      <c r="J2151" s="169" t="s">
        <v>1247</v>
      </c>
      <c r="K2151" s="169" t="s">
        <v>1240</v>
      </c>
      <c r="L2151" s="169" t="s">
        <v>1213</v>
      </c>
      <c r="M2151" s="169" t="s">
        <v>281</v>
      </c>
      <c r="N2151" s="178">
        <v>-63128670</v>
      </c>
      <c r="O2151" s="169" t="s">
        <v>1284</v>
      </c>
      <c r="P2151" s="169" t="s">
        <v>447</v>
      </c>
      <c r="Q2151" s="169" t="s">
        <v>284</v>
      </c>
      <c r="R2151" s="169" t="s">
        <v>283</v>
      </c>
      <c r="S2151" s="169" t="s">
        <v>283</v>
      </c>
      <c r="T2151" s="169">
        <v>0</v>
      </c>
    </row>
    <row r="2152" spans="1:20" x14ac:dyDescent="0.2">
      <c r="A2152" s="169" t="str">
        <f t="shared" si="11"/>
        <v>642</v>
      </c>
      <c r="B2152" s="167" t="str">
        <f>_xlfn.XLOOKUP(I2152,Mapping!D:D,Mapping!E:E)</f>
        <v>Hành Chánh Nhân Sự</v>
      </c>
      <c r="C2152" s="167" t="str">
        <f>_xlfn.XLOOKUP(F2152,Mapping!A:A,Mapping!F:F)</f>
        <v>BHXH, BHYT, KPCĐ</v>
      </c>
      <c r="D2152" s="173">
        <v>45991</v>
      </c>
      <c r="E2152" s="169" t="s">
        <v>1283</v>
      </c>
      <c r="F2152" s="169" t="s">
        <v>295</v>
      </c>
      <c r="G2152" s="169" t="s">
        <v>296</v>
      </c>
      <c r="H2152" s="169" t="s">
        <v>382</v>
      </c>
      <c r="I2152" s="169" t="s">
        <v>200</v>
      </c>
      <c r="J2152" s="169" t="s">
        <v>1247</v>
      </c>
      <c r="K2152" s="169" t="s">
        <v>1240</v>
      </c>
      <c r="L2152" s="169" t="s">
        <v>1213</v>
      </c>
      <c r="M2152" s="169" t="s">
        <v>281</v>
      </c>
      <c r="N2152" s="178">
        <v>-17467785</v>
      </c>
      <c r="O2152" s="169" t="s">
        <v>1284</v>
      </c>
      <c r="P2152" s="169" t="s">
        <v>447</v>
      </c>
      <c r="Q2152" s="169" t="s">
        <v>284</v>
      </c>
      <c r="R2152" s="169" t="s">
        <v>283</v>
      </c>
      <c r="S2152" s="169" t="s">
        <v>283</v>
      </c>
      <c r="T2152" s="169">
        <v>0</v>
      </c>
    </row>
    <row r="2153" spans="1:20" x14ac:dyDescent="0.2">
      <c r="A2153" s="169" t="str">
        <f t="shared" si="11"/>
        <v>642</v>
      </c>
      <c r="B2153" s="167" t="str">
        <f>_xlfn.XLOOKUP(I2153,Mapping!D:D,Mapping!E:E)</f>
        <v>Hành Chánh Nhân Sự</v>
      </c>
      <c r="C2153" s="167" t="str">
        <f>_xlfn.XLOOKUP(F2153,Mapping!A:A,Mapping!F:F)</f>
        <v>BHXH, BHYT, KPCĐ</v>
      </c>
      <c r="D2153" s="173">
        <v>45991</v>
      </c>
      <c r="E2153" s="169" t="s">
        <v>1283</v>
      </c>
      <c r="F2153" s="169" t="s">
        <v>295</v>
      </c>
      <c r="G2153" s="169" t="s">
        <v>296</v>
      </c>
      <c r="H2153" s="169" t="s">
        <v>358</v>
      </c>
      <c r="I2153" s="169" t="s">
        <v>359</v>
      </c>
      <c r="J2153" s="169" t="s">
        <v>1247</v>
      </c>
      <c r="K2153" s="169" t="s">
        <v>1240</v>
      </c>
      <c r="L2153" s="169" t="s">
        <v>1213</v>
      </c>
      <c r="M2153" s="169" t="s">
        <v>281</v>
      </c>
      <c r="N2153" s="178">
        <v>-23880230</v>
      </c>
      <c r="O2153" s="169" t="s">
        <v>1284</v>
      </c>
      <c r="P2153" s="169" t="s">
        <v>447</v>
      </c>
      <c r="Q2153" s="169" t="s">
        <v>284</v>
      </c>
      <c r="R2153" s="169" t="s">
        <v>283</v>
      </c>
      <c r="S2153" s="169" t="s">
        <v>283</v>
      </c>
      <c r="T2153" s="169">
        <v>0</v>
      </c>
    </row>
    <row r="2154" spans="1:20" x14ac:dyDescent="0.2">
      <c r="A2154" s="169" t="str">
        <f t="shared" ref="A2154:A2217" si="12">LEFT(F2154,3)</f>
        <v>622</v>
      </c>
      <c r="B2154" s="167" t="str">
        <f>_xlfn.XLOOKUP(I2154,Mapping!D:D,Mapping!E:E)</f>
        <v>Xưởng Sản Xuất</v>
      </c>
      <c r="C2154" s="167" t="str">
        <f>_xlfn.XLOOKUP(F2154,Mapping!A:A,Mapping!F:F)</f>
        <v>BHXH, BHYT, KPCĐ</v>
      </c>
      <c r="D2154" s="173">
        <v>45991</v>
      </c>
      <c r="E2154" s="169" t="s">
        <v>1283</v>
      </c>
      <c r="F2154" s="169" t="s">
        <v>425</v>
      </c>
      <c r="G2154" s="169" t="s">
        <v>296</v>
      </c>
      <c r="H2154" s="169" t="s">
        <v>441</v>
      </c>
      <c r="I2154" s="169" t="s">
        <v>442</v>
      </c>
      <c r="J2154" s="169" t="s">
        <v>1247</v>
      </c>
      <c r="K2154" s="169" t="s">
        <v>1240</v>
      </c>
      <c r="L2154" s="169" t="s">
        <v>1213</v>
      </c>
      <c r="M2154" s="169" t="s">
        <v>281</v>
      </c>
      <c r="N2154" s="178">
        <v>-1308480</v>
      </c>
      <c r="O2154" s="169" t="s">
        <v>1284</v>
      </c>
      <c r="P2154" s="169" t="s">
        <v>447</v>
      </c>
      <c r="Q2154" s="169" t="s">
        <v>284</v>
      </c>
      <c r="R2154" s="169" t="s">
        <v>283</v>
      </c>
      <c r="S2154" s="169" t="s">
        <v>283</v>
      </c>
      <c r="T2154" s="169">
        <v>0</v>
      </c>
    </row>
    <row r="2155" spans="1:20" x14ac:dyDescent="0.2">
      <c r="A2155" s="169" t="str">
        <f t="shared" si="12"/>
        <v>642</v>
      </c>
      <c r="B2155" s="167" t="str">
        <f>_xlfn.XLOOKUP(I2155,Mapping!D:D,Mapping!E:E)</f>
        <v>Ban Giám Đốc</v>
      </c>
      <c r="C2155" s="167" t="str">
        <f>_xlfn.XLOOKUP(F2155,Mapping!A:A,Mapping!F:F)</f>
        <v>BHXH, BHYT, KPCĐ</v>
      </c>
      <c r="D2155" s="173">
        <v>45991</v>
      </c>
      <c r="E2155" s="169" t="s">
        <v>1285</v>
      </c>
      <c r="F2155" s="169" t="s">
        <v>295</v>
      </c>
      <c r="G2155" s="169" t="s">
        <v>296</v>
      </c>
      <c r="H2155" s="169" t="s">
        <v>276</v>
      </c>
      <c r="I2155" s="169" t="s">
        <v>277</v>
      </c>
      <c r="J2155" s="169" t="s">
        <v>1247</v>
      </c>
      <c r="K2155" s="169" t="s">
        <v>1240</v>
      </c>
      <c r="L2155" s="169" t="s">
        <v>1213</v>
      </c>
      <c r="M2155" s="169" t="s">
        <v>281</v>
      </c>
      <c r="N2155" s="178">
        <v>126066950</v>
      </c>
      <c r="O2155" s="169" t="s">
        <v>1286</v>
      </c>
      <c r="P2155" s="169" t="s">
        <v>283</v>
      </c>
      <c r="Q2155" s="169" t="s">
        <v>284</v>
      </c>
      <c r="R2155" s="169" t="s">
        <v>283</v>
      </c>
      <c r="S2155" s="169" t="s">
        <v>283</v>
      </c>
      <c r="T2155" s="169">
        <v>0</v>
      </c>
    </row>
    <row r="2156" spans="1:20" x14ac:dyDescent="0.2">
      <c r="A2156" s="169" t="str">
        <f t="shared" si="12"/>
        <v>642</v>
      </c>
      <c r="B2156" s="167" t="str">
        <f>_xlfn.XLOOKUP(I2156,Mapping!D:D,Mapping!E:E)</f>
        <v>Văn Phòng Giám Đốc</v>
      </c>
      <c r="C2156" s="167" t="str">
        <f>_xlfn.XLOOKUP(F2156,Mapping!A:A,Mapping!F:F)</f>
        <v>BHXH, BHYT, KPCĐ</v>
      </c>
      <c r="D2156" s="173">
        <v>45991</v>
      </c>
      <c r="E2156" s="169" t="s">
        <v>1285</v>
      </c>
      <c r="F2156" s="169" t="s">
        <v>295</v>
      </c>
      <c r="G2156" s="169" t="s">
        <v>296</v>
      </c>
      <c r="H2156" s="169" t="s">
        <v>320</v>
      </c>
      <c r="I2156" s="169" t="s">
        <v>321</v>
      </c>
      <c r="J2156" s="169" t="s">
        <v>1247</v>
      </c>
      <c r="K2156" s="169" t="s">
        <v>1240</v>
      </c>
      <c r="L2156" s="169" t="s">
        <v>1213</v>
      </c>
      <c r="M2156" s="169" t="s">
        <v>281</v>
      </c>
      <c r="N2156" s="178">
        <v>34958750</v>
      </c>
      <c r="O2156" s="169" t="s">
        <v>1286</v>
      </c>
      <c r="P2156" s="169" t="s">
        <v>283</v>
      </c>
      <c r="Q2156" s="169" t="s">
        <v>284</v>
      </c>
      <c r="R2156" s="169" t="s">
        <v>283</v>
      </c>
      <c r="S2156" s="169" t="s">
        <v>283</v>
      </c>
      <c r="T2156" s="169">
        <v>0</v>
      </c>
    </row>
    <row r="2157" spans="1:20" x14ac:dyDescent="0.2">
      <c r="A2157" s="169" t="str">
        <f t="shared" si="12"/>
        <v>642</v>
      </c>
      <c r="B2157" s="167" t="str">
        <f>_xlfn.XLOOKUP(I2157,Mapping!D:D,Mapping!E:E)</f>
        <v>Hành Chánh Nhân Sự</v>
      </c>
      <c r="C2157" s="167" t="str">
        <f>_xlfn.XLOOKUP(F2157,Mapping!A:A,Mapping!F:F)</f>
        <v>BHXH, BHYT, KPCĐ</v>
      </c>
      <c r="D2157" s="173">
        <v>45991</v>
      </c>
      <c r="E2157" s="169" t="s">
        <v>1285</v>
      </c>
      <c r="F2157" s="169" t="s">
        <v>295</v>
      </c>
      <c r="G2157" s="169" t="s">
        <v>296</v>
      </c>
      <c r="H2157" s="169" t="s">
        <v>301</v>
      </c>
      <c r="I2157" s="169" t="s">
        <v>302</v>
      </c>
      <c r="J2157" s="169" t="s">
        <v>1247</v>
      </c>
      <c r="K2157" s="169" t="s">
        <v>1240</v>
      </c>
      <c r="L2157" s="169" t="s">
        <v>1213</v>
      </c>
      <c r="M2157" s="169" t="s">
        <v>281</v>
      </c>
      <c r="N2157" s="178">
        <v>112460165</v>
      </c>
      <c r="O2157" s="169" t="s">
        <v>1286</v>
      </c>
      <c r="P2157" s="169" t="s">
        <v>283</v>
      </c>
      <c r="Q2157" s="169" t="s">
        <v>284</v>
      </c>
      <c r="R2157" s="169" t="s">
        <v>283</v>
      </c>
      <c r="S2157" s="169" t="s">
        <v>283</v>
      </c>
      <c r="T2157" s="169">
        <v>0</v>
      </c>
    </row>
    <row r="2158" spans="1:20" x14ac:dyDescent="0.2">
      <c r="A2158" s="169" t="str">
        <f t="shared" si="12"/>
        <v>642</v>
      </c>
      <c r="B2158" s="167" t="str">
        <f>_xlfn.XLOOKUP(I2158,Mapping!D:D,Mapping!E:E)</f>
        <v>Kế Toán</v>
      </c>
      <c r="C2158" s="167" t="str">
        <f>_xlfn.XLOOKUP(F2158,Mapping!A:A,Mapping!F:F)</f>
        <v>BHXH, BHYT, KPCĐ</v>
      </c>
      <c r="D2158" s="173">
        <v>45991</v>
      </c>
      <c r="E2158" s="169" t="s">
        <v>1285</v>
      </c>
      <c r="F2158" s="169" t="s">
        <v>295</v>
      </c>
      <c r="G2158" s="169" t="s">
        <v>296</v>
      </c>
      <c r="H2158" s="169" t="s">
        <v>356</v>
      </c>
      <c r="I2158" s="169" t="s">
        <v>357</v>
      </c>
      <c r="J2158" s="169" t="s">
        <v>1247</v>
      </c>
      <c r="K2158" s="169" t="s">
        <v>1240</v>
      </c>
      <c r="L2158" s="169" t="s">
        <v>1213</v>
      </c>
      <c r="M2158" s="169" t="s">
        <v>281</v>
      </c>
      <c r="N2158" s="178">
        <v>113305035</v>
      </c>
      <c r="O2158" s="169" t="s">
        <v>1286</v>
      </c>
      <c r="P2158" s="169" t="s">
        <v>283</v>
      </c>
      <c r="Q2158" s="169" t="s">
        <v>284</v>
      </c>
      <c r="R2158" s="169" t="s">
        <v>283</v>
      </c>
      <c r="S2158" s="169" t="s">
        <v>283</v>
      </c>
      <c r="T2158" s="169">
        <v>0</v>
      </c>
    </row>
    <row r="2159" spans="1:20" x14ac:dyDescent="0.2">
      <c r="A2159" s="169" t="str">
        <f t="shared" si="12"/>
        <v>641</v>
      </c>
      <c r="B2159" s="167" t="str">
        <f>_xlfn.XLOOKUP(I2159,Mapping!D:D,Mapping!E:E)</f>
        <v>Kinh doanh</v>
      </c>
      <c r="C2159" s="167" t="str">
        <f>_xlfn.XLOOKUP(F2159,Mapping!A:A,Mapping!F:F)</f>
        <v>BHXH, BHYT, KPCĐ</v>
      </c>
      <c r="D2159" s="173">
        <v>45991</v>
      </c>
      <c r="E2159" s="169" t="s">
        <v>1285</v>
      </c>
      <c r="F2159" s="169" t="s">
        <v>392</v>
      </c>
      <c r="G2159" s="169" t="s">
        <v>296</v>
      </c>
      <c r="H2159" s="169" t="s">
        <v>366</v>
      </c>
      <c r="I2159" s="169" t="s">
        <v>1</v>
      </c>
      <c r="J2159" s="169" t="s">
        <v>1247</v>
      </c>
      <c r="K2159" s="169" t="s">
        <v>1240</v>
      </c>
      <c r="L2159" s="169" t="s">
        <v>1213</v>
      </c>
      <c r="M2159" s="169" t="s">
        <v>281</v>
      </c>
      <c r="N2159" s="178">
        <v>65072445</v>
      </c>
      <c r="O2159" s="169" t="s">
        <v>1286</v>
      </c>
      <c r="P2159" s="169" t="s">
        <v>283</v>
      </c>
      <c r="Q2159" s="169" t="s">
        <v>284</v>
      </c>
      <c r="R2159" s="169" t="s">
        <v>283</v>
      </c>
      <c r="S2159" s="169" t="s">
        <v>283</v>
      </c>
      <c r="T2159" s="169">
        <v>0</v>
      </c>
    </row>
    <row r="2160" spans="1:20" x14ac:dyDescent="0.2">
      <c r="A2160" s="169" t="str">
        <f t="shared" si="12"/>
        <v>642</v>
      </c>
      <c r="B2160" s="167" t="str">
        <f>_xlfn.XLOOKUP(I2160,Mapping!D:D,Mapping!E:E)</f>
        <v>Cung Ứng</v>
      </c>
      <c r="C2160" s="167" t="str">
        <f>_xlfn.XLOOKUP(F2160,Mapping!A:A,Mapping!F:F)</f>
        <v>BHXH, BHYT, KPCĐ</v>
      </c>
      <c r="D2160" s="173">
        <v>45991</v>
      </c>
      <c r="E2160" s="169" t="s">
        <v>1285</v>
      </c>
      <c r="F2160" s="169" t="s">
        <v>295</v>
      </c>
      <c r="G2160" s="169" t="s">
        <v>296</v>
      </c>
      <c r="H2160" s="169" t="s">
        <v>380</v>
      </c>
      <c r="I2160" s="169" t="s">
        <v>381</v>
      </c>
      <c r="J2160" s="169" t="s">
        <v>1247</v>
      </c>
      <c r="K2160" s="169" t="s">
        <v>1240</v>
      </c>
      <c r="L2160" s="169" t="s">
        <v>1213</v>
      </c>
      <c r="M2160" s="169" t="s">
        <v>281</v>
      </c>
      <c r="N2160" s="178">
        <v>115375835</v>
      </c>
      <c r="O2160" s="169" t="s">
        <v>1286</v>
      </c>
      <c r="P2160" s="169" t="s">
        <v>283</v>
      </c>
      <c r="Q2160" s="169" t="s">
        <v>284</v>
      </c>
      <c r="R2160" s="169" t="s">
        <v>283</v>
      </c>
      <c r="S2160" s="169" t="s">
        <v>283</v>
      </c>
      <c r="T2160" s="169">
        <v>0</v>
      </c>
    </row>
    <row r="2161" spans="1:20" x14ac:dyDescent="0.2">
      <c r="A2161" s="169" t="str">
        <f t="shared" si="12"/>
        <v>642</v>
      </c>
      <c r="B2161" s="167" t="str">
        <f>_xlfn.XLOOKUP(I2161,Mapping!D:D,Mapping!E:E)</f>
        <v>Mua Hàng &amp; XNK</v>
      </c>
      <c r="C2161" s="167" t="str">
        <f>_xlfn.XLOOKUP(F2161,Mapping!A:A,Mapping!F:F)</f>
        <v>BHXH, BHYT, KPCĐ</v>
      </c>
      <c r="D2161" s="173">
        <v>45991</v>
      </c>
      <c r="E2161" s="169" t="s">
        <v>1285</v>
      </c>
      <c r="F2161" s="169" t="s">
        <v>295</v>
      </c>
      <c r="G2161" s="169" t="s">
        <v>296</v>
      </c>
      <c r="H2161" s="169" t="s">
        <v>378</v>
      </c>
      <c r="I2161" s="169" t="s">
        <v>379</v>
      </c>
      <c r="J2161" s="169" t="s">
        <v>1247</v>
      </c>
      <c r="K2161" s="169" t="s">
        <v>1240</v>
      </c>
      <c r="L2161" s="169" t="s">
        <v>1213</v>
      </c>
      <c r="M2161" s="169" t="s">
        <v>281</v>
      </c>
      <c r="N2161" s="178">
        <v>32555255</v>
      </c>
      <c r="O2161" s="169" t="s">
        <v>1286</v>
      </c>
      <c r="P2161" s="169" t="s">
        <v>283</v>
      </c>
      <c r="Q2161" s="169" t="s">
        <v>284</v>
      </c>
      <c r="R2161" s="169" t="s">
        <v>283</v>
      </c>
      <c r="S2161" s="169" t="s">
        <v>283</v>
      </c>
      <c r="T2161" s="169">
        <v>0</v>
      </c>
    </row>
    <row r="2162" spans="1:20" x14ac:dyDescent="0.2">
      <c r="A2162" s="169" t="str">
        <f t="shared" si="12"/>
        <v>627</v>
      </c>
      <c r="B2162" s="167" t="str">
        <f>_xlfn.XLOOKUP(I2162,Mapping!D:D,Mapping!E:E)</f>
        <v>Kỹ Thuật</v>
      </c>
      <c r="C2162" s="167" t="str">
        <f>_xlfn.XLOOKUP(F2162,Mapping!A:A,Mapping!F:F)</f>
        <v>BHXH, BHYT, KPCĐ</v>
      </c>
      <c r="D2162" s="173">
        <v>45991</v>
      </c>
      <c r="E2162" s="169" t="s">
        <v>1285</v>
      </c>
      <c r="F2162" s="169" t="s">
        <v>393</v>
      </c>
      <c r="G2162" s="169" t="s">
        <v>296</v>
      </c>
      <c r="H2162" s="169" t="s">
        <v>376</v>
      </c>
      <c r="I2162" s="169" t="s">
        <v>377</v>
      </c>
      <c r="J2162" s="169" t="s">
        <v>1247</v>
      </c>
      <c r="K2162" s="169" t="s">
        <v>1240</v>
      </c>
      <c r="L2162" s="169" t="s">
        <v>1213</v>
      </c>
      <c r="M2162" s="169" t="s">
        <v>281</v>
      </c>
      <c r="N2162" s="178">
        <v>250565225</v>
      </c>
      <c r="O2162" s="169" t="s">
        <v>1286</v>
      </c>
      <c r="P2162" s="169" t="s">
        <v>283</v>
      </c>
      <c r="Q2162" s="169" t="s">
        <v>284</v>
      </c>
      <c r="R2162" s="169" t="s">
        <v>283</v>
      </c>
      <c r="S2162" s="169" t="s">
        <v>283</v>
      </c>
      <c r="T2162" s="169">
        <v>0</v>
      </c>
    </row>
    <row r="2163" spans="1:20" x14ac:dyDescent="0.2">
      <c r="A2163" s="169" t="str">
        <f t="shared" si="12"/>
        <v>627</v>
      </c>
      <c r="B2163" s="167" t="str">
        <f>_xlfn.XLOOKUP(I2163,Mapping!D:D,Mapping!E:E)</f>
        <v>Kiểm Soát Chất Lượng</v>
      </c>
      <c r="C2163" s="167" t="str">
        <f>_xlfn.XLOOKUP(F2163,Mapping!A:A,Mapping!F:F)</f>
        <v>BHXH, BHYT, KPCĐ</v>
      </c>
      <c r="D2163" s="173">
        <v>45991</v>
      </c>
      <c r="E2163" s="169" t="s">
        <v>1285</v>
      </c>
      <c r="F2163" s="169" t="s">
        <v>393</v>
      </c>
      <c r="G2163" s="169" t="s">
        <v>296</v>
      </c>
      <c r="H2163" s="169" t="s">
        <v>411</v>
      </c>
      <c r="I2163" s="169" t="s">
        <v>412</v>
      </c>
      <c r="J2163" s="169" t="s">
        <v>1247</v>
      </c>
      <c r="K2163" s="169" t="s">
        <v>1240</v>
      </c>
      <c r="L2163" s="169" t="s">
        <v>1213</v>
      </c>
      <c r="M2163" s="169" t="s">
        <v>281</v>
      </c>
      <c r="N2163" s="178">
        <v>105864915</v>
      </c>
      <c r="O2163" s="169" t="s">
        <v>1286</v>
      </c>
      <c r="P2163" s="169" t="s">
        <v>283</v>
      </c>
      <c r="Q2163" s="169" t="s">
        <v>284</v>
      </c>
      <c r="R2163" s="169" t="s">
        <v>283</v>
      </c>
      <c r="S2163" s="169" t="s">
        <v>283</v>
      </c>
      <c r="T2163" s="169">
        <v>0</v>
      </c>
    </row>
    <row r="2164" spans="1:20" x14ac:dyDescent="0.2">
      <c r="A2164" s="169" t="str">
        <f t="shared" si="12"/>
        <v>627</v>
      </c>
      <c r="B2164" s="167" t="str">
        <f>_xlfn.XLOOKUP(I2164,Mapping!D:D,Mapping!E:E)</f>
        <v>Nghiên Cứu &amp; Phát Triển</v>
      </c>
      <c r="C2164" s="167" t="str">
        <f>_xlfn.XLOOKUP(F2164,Mapping!A:A,Mapping!F:F)</f>
        <v>BHXH, BHYT, KPCĐ</v>
      </c>
      <c r="D2164" s="173">
        <v>45991</v>
      </c>
      <c r="E2164" s="169" t="s">
        <v>1285</v>
      </c>
      <c r="F2164" s="169" t="s">
        <v>393</v>
      </c>
      <c r="G2164" s="169" t="s">
        <v>296</v>
      </c>
      <c r="H2164" s="169" t="s">
        <v>418</v>
      </c>
      <c r="I2164" s="169" t="s">
        <v>419</v>
      </c>
      <c r="J2164" s="169" t="s">
        <v>1247</v>
      </c>
      <c r="K2164" s="169" t="s">
        <v>1240</v>
      </c>
      <c r="L2164" s="169" t="s">
        <v>1213</v>
      </c>
      <c r="M2164" s="169" t="s">
        <v>281</v>
      </c>
      <c r="N2164" s="178">
        <v>38435000</v>
      </c>
      <c r="O2164" s="169" t="s">
        <v>1286</v>
      </c>
      <c r="P2164" s="169" t="s">
        <v>283</v>
      </c>
      <c r="Q2164" s="169" t="s">
        <v>284</v>
      </c>
      <c r="R2164" s="169" t="s">
        <v>283</v>
      </c>
      <c r="S2164" s="169" t="s">
        <v>283</v>
      </c>
      <c r="T2164" s="169">
        <v>0</v>
      </c>
    </row>
    <row r="2165" spans="1:20" x14ac:dyDescent="0.2">
      <c r="A2165" s="169" t="str">
        <f t="shared" si="12"/>
        <v>622</v>
      </c>
      <c r="B2165" s="167" t="str">
        <f>_xlfn.XLOOKUP(I2165,Mapping!D:D,Mapping!E:E)</f>
        <v>Xưởng Sản Xuất</v>
      </c>
      <c r="C2165" s="167" t="str">
        <f>_xlfn.XLOOKUP(F2165,Mapping!A:A,Mapping!F:F)</f>
        <v>BHXH, BHYT, KPCĐ</v>
      </c>
      <c r="D2165" s="173">
        <v>45991</v>
      </c>
      <c r="E2165" s="169" t="s">
        <v>1285</v>
      </c>
      <c r="F2165" s="169" t="s">
        <v>425</v>
      </c>
      <c r="G2165" s="169" t="s">
        <v>296</v>
      </c>
      <c r="H2165" s="169" t="s">
        <v>402</v>
      </c>
      <c r="I2165" s="169" t="s">
        <v>403</v>
      </c>
      <c r="J2165" s="169" t="s">
        <v>1247</v>
      </c>
      <c r="K2165" s="169" t="s">
        <v>1240</v>
      </c>
      <c r="L2165" s="169" t="s">
        <v>1213</v>
      </c>
      <c r="M2165" s="169" t="s">
        <v>281</v>
      </c>
      <c r="N2165" s="178">
        <v>295584300</v>
      </c>
      <c r="O2165" s="169" t="s">
        <v>1286</v>
      </c>
      <c r="P2165" s="169" t="s">
        <v>283</v>
      </c>
      <c r="Q2165" s="169" t="s">
        <v>284</v>
      </c>
      <c r="R2165" s="169" t="s">
        <v>283</v>
      </c>
      <c r="S2165" s="169" t="s">
        <v>283</v>
      </c>
      <c r="T2165" s="169">
        <v>0</v>
      </c>
    </row>
    <row r="2166" spans="1:20" x14ac:dyDescent="0.2">
      <c r="A2166" s="169" t="str">
        <f t="shared" si="12"/>
        <v>627</v>
      </c>
      <c r="B2166" s="167" t="str">
        <f>_xlfn.XLOOKUP(I2166,Mapping!D:D,Mapping!E:E)</f>
        <v>Xưởng Sản Xuất</v>
      </c>
      <c r="C2166" s="167" t="str">
        <f>_xlfn.XLOOKUP(F2166,Mapping!A:A,Mapping!F:F)</f>
        <v>BHXH, BHYT, KPCĐ</v>
      </c>
      <c r="D2166" s="173">
        <v>45991</v>
      </c>
      <c r="E2166" s="169" t="s">
        <v>1285</v>
      </c>
      <c r="F2166" s="169" t="s">
        <v>393</v>
      </c>
      <c r="G2166" s="169" t="s">
        <v>296</v>
      </c>
      <c r="H2166" s="169" t="s">
        <v>402</v>
      </c>
      <c r="I2166" s="169" t="s">
        <v>403</v>
      </c>
      <c r="J2166" s="169" t="s">
        <v>1247</v>
      </c>
      <c r="K2166" s="169" t="s">
        <v>1240</v>
      </c>
      <c r="L2166" s="169" t="s">
        <v>1213</v>
      </c>
      <c r="M2166" s="169" t="s">
        <v>281</v>
      </c>
      <c r="N2166" s="178">
        <v>87230015</v>
      </c>
      <c r="O2166" s="169" t="s">
        <v>1286</v>
      </c>
      <c r="P2166" s="169" t="s">
        <v>283</v>
      </c>
      <c r="Q2166" s="169" t="s">
        <v>284</v>
      </c>
      <c r="R2166" s="169" t="s">
        <v>283</v>
      </c>
      <c r="S2166" s="169" t="s">
        <v>283</v>
      </c>
      <c r="T2166" s="169">
        <v>0</v>
      </c>
    </row>
    <row r="2167" spans="1:20" x14ac:dyDescent="0.2">
      <c r="A2167" s="169" t="str">
        <f t="shared" si="12"/>
        <v>622</v>
      </c>
      <c r="B2167" s="167" t="str">
        <f>_xlfn.XLOOKUP(I2167,Mapping!D:D,Mapping!E:E)</f>
        <v>Xưởng Sản Xuất</v>
      </c>
      <c r="C2167" s="167" t="str">
        <f>_xlfn.XLOOKUP(F2167,Mapping!A:A,Mapping!F:F)</f>
        <v>BHXH, BHYT, KPCĐ</v>
      </c>
      <c r="D2167" s="173">
        <v>45991</v>
      </c>
      <c r="E2167" s="169" t="s">
        <v>1285</v>
      </c>
      <c r="F2167" s="169" t="s">
        <v>425</v>
      </c>
      <c r="G2167" s="169" t="s">
        <v>296</v>
      </c>
      <c r="H2167" s="169" t="s">
        <v>430</v>
      </c>
      <c r="I2167" s="169" t="s">
        <v>431</v>
      </c>
      <c r="J2167" s="169" t="s">
        <v>1247</v>
      </c>
      <c r="K2167" s="169" t="s">
        <v>1240</v>
      </c>
      <c r="L2167" s="169" t="s">
        <v>1213</v>
      </c>
      <c r="M2167" s="169" t="s">
        <v>281</v>
      </c>
      <c r="N2167" s="178">
        <v>51656500</v>
      </c>
      <c r="O2167" s="169" t="s">
        <v>1286</v>
      </c>
      <c r="P2167" s="169" t="s">
        <v>283</v>
      </c>
      <c r="Q2167" s="169" t="s">
        <v>284</v>
      </c>
      <c r="R2167" s="169" t="s">
        <v>283</v>
      </c>
      <c r="S2167" s="169" t="s">
        <v>283</v>
      </c>
      <c r="T2167" s="169">
        <v>0</v>
      </c>
    </row>
    <row r="2168" spans="1:20" x14ac:dyDescent="0.2">
      <c r="A2168" s="169" t="str">
        <f t="shared" si="12"/>
        <v>627</v>
      </c>
      <c r="B2168" s="167" t="str">
        <f>_xlfn.XLOOKUP(I2168,Mapping!D:D,Mapping!E:E)</f>
        <v>Xưởng Sản Xuất</v>
      </c>
      <c r="C2168" s="167" t="str">
        <f>_xlfn.XLOOKUP(F2168,Mapping!A:A,Mapping!F:F)</f>
        <v>BHXH, BHYT, KPCĐ</v>
      </c>
      <c r="D2168" s="173">
        <v>45991</v>
      </c>
      <c r="E2168" s="169" t="s">
        <v>1285</v>
      </c>
      <c r="F2168" s="169" t="s">
        <v>393</v>
      </c>
      <c r="G2168" s="169" t="s">
        <v>296</v>
      </c>
      <c r="H2168" s="169" t="s">
        <v>430</v>
      </c>
      <c r="I2168" s="169" t="s">
        <v>431</v>
      </c>
      <c r="J2168" s="169" t="s">
        <v>1247</v>
      </c>
      <c r="K2168" s="169" t="s">
        <v>1240</v>
      </c>
      <c r="L2168" s="169" t="s">
        <v>1213</v>
      </c>
      <c r="M2168" s="169" t="s">
        <v>281</v>
      </c>
      <c r="N2168" s="178">
        <v>26931495</v>
      </c>
      <c r="O2168" s="169" t="s">
        <v>1286</v>
      </c>
      <c r="P2168" s="169" t="s">
        <v>283</v>
      </c>
      <c r="Q2168" s="169" t="s">
        <v>284</v>
      </c>
      <c r="R2168" s="169" t="s">
        <v>283</v>
      </c>
      <c r="S2168" s="169" t="s">
        <v>283</v>
      </c>
      <c r="T2168" s="169">
        <v>0</v>
      </c>
    </row>
    <row r="2169" spans="1:20" x14ac:dyDescent="0.2">
      <c r="A2169" s="169" t="str">
        <f t="shared" si="12"/>
        <v>627</v>
      </c>
      <c r="B2169" s="167" t="str">
        <f>_xlfn.XLOOKUP(I2169,Mapping!D:D,Mapping!E:E)</f>
        <v>Xưởng Sản Xuất</v>
      </c>
      <c r="C2169" s="167" t="str">
        <f>_xlfn.XLOOKUP(F2169,Mapping!A:A,Mapping!F:F)</f>
        <v>BHXH, BHYT, KPCĐ</v>
      </c>
      <c r="D2169" s="173">
        <v>45991</v>
      </c>
      <c r="E2169" s="169" t="s">
        <v>1285</v>
      </c>
      <c r="F2169" s="169" t="s">
        <v>393</v>
      </c>
      <c r="G2169" s="169" t="s">
        <v>296</v>
      </c>
      <c r="H2169" s="169" t="s">
        <v>436</v>
      </c>
      <c r="I2169" s="169" t="s">
        <v>437</v>
      </c>
      <c r="J2169" s="169" t="s">
        <v>1247</v>
      </c>
      <c r="K2169" s="169" t="s">
        <v>1240</v>
      </c>
      <c r="L2169" s="169" t="s">
        <v>1213</v>
      </c>
      <c r="M2169" s="169" t="s">
        <v>281</v>
      </c>
      <c r="N2169" s="178">
        <v>63128670</v>
      </c>
      <c r="O2169" s="169" t="s">
        <v>1286</v>
      </c>
      <c r="P2169" s="169" t="s">
        <v>283</v>
      </c>
      <c r="Q2169" s="169" t="s">
        <v>284</v>
      </c>
      <c r="R2169" s="169" t="s">
        <v>283</v>
      </c>
      <c r="S2169" s="169" t="s">
        <v>283</v>
      </c>
      <c r="T2169" s="169">
        <v>0</v>
      </c>
    </row>
    <row r="2170" spans="1:20" x14ac:dyDescent="0.2">
      <c r="A2170" s="169" t="str">
        <f t="shared" si="12"/>
        <v>642</v>
      </c>
      <c r="B2170" s="167" t="str">
        <f>_xlfn.XLOOKUP(I2170,Mapping!D:D,Mapping!E:E)</f>
        <v>Hành Chánh Nhân Sự</v>
      </c>
      <c r="C2170" s="167" t="str">
        <f>_xlfn.XLOOKUP(F2170,Mapping!A:A,Mapping!F:F)</f>
        <v>BHXH, BHYT, KPCĐ</v>
      </c>
      <c r="D2170" s="173">
        <v>45991</v>
      </c>
      <c r="E2170" s="169" t="s">
        <v>1285</v>
      </c>
      <c r="F2170" s="169" t="s">
        <v>295</v>
      </c>
      <c r="G2170" s="169" t="s">
        <v>296</v>
      </c>
      <c r="H2170" s="169" t="s">
        <v>382</v>
      </c>
      <c r="I2170" s="169" t="s">
        <v>200</v>
      </c>
      <c r="J2170" s="169" t="s">
        <v>1247</v>
      </c>
      <c r="K2170" s="169" t="s">
        <v>1240</v>
      </c>
      <c r="L2170" s="169" t="s">
        <v>1213</v>
      </c>
      <c r="M2170" s="169" t="s">
        <v>281</v>
      </c>
      <c r="N2170" s="178">
        <v>17467785</v>
      </c>
      <c r="O2170" s="169" t="s">
        <v>1286</v>
      </c>
      <c r="P2170" s="169" t="s">
        <v>283</v>
      </c>
      <c r="Q2170" s="169" t="s">
        <v>284</v>
      </c>
      <c r="R2170" s="169" t="s">
        <v>283</v>
      </c>
      <c r="S2170" s="169" t="s">
        <v>283</v>
      </c>
      <c r="T2170" s="169">
        <v>0</v>
      </c>
    </row>
    <row r="2171" spans="1:20" x14ac:dyDescent="0.2">
      <c r="A2171" s="169" t="str">
        <f t="shared" si="12"/>
        <v>642</v>
      </c>
      <c r="B2171" s="167" t="str">
        <f>_xlfn.XLOOKUP(I2171,Mapping!D:D,Mapping!E:E)</f>
        <v>Hành Chánh Nhân Sự</v>
      </c>
      <c r="C2171" s="167" t="str">
        <f>_xlfn.XLOOKUP(F2171,Mapping!A:A,Mapping!F:F)</f>
        <v>BHXH, BHYT, KPCĐ</v>
      </c>
      <c r="D2171" s="173">
        <v>45991</v>
      </c>
      <c r="E2171" s="169" t="s">
        <v>1285</v>
      </c>
      <c r="F2171" s="169" t="s">
        <v>295</v>
      </c>
      <c r="G2171" s="169" t="s">
        <v>296</v>
      </c>
      <c r="H2171" s="169" t="s">
        <v>358</v>
      </c>
      <c r="I2171" s="169" t="s">
        <v>359</v>
      </c>
      <c r="J2171" s="169" t="s">
        <v>1247</v>
      </c>
      <c r="K2171" s="169" t="s">
        <v>1240</v>
      </c>
      <c r="L2171" s="169" t="s">
        <v>1213</v>
      </c>
      <c r="M2171" s="169" t="s">
        <v>281</v>
      </c>
      <c r="N2171" s="178">
        <v>23880230</v>
      </c>
      <c r="O2171" s="169" t="s">
        <v>1286</v>
      </c>
      <c r="P2171" s="169" t="s">
        <v>283</v>
      </c>
      <c r="Q2171" s="169" t="s">
        <v>284</v>
      </c>
      <c r="R2171" s="169" t="s">
        <v>283</v>
      </c>
      <c r="S2171" s="169" t="s">
        <v>283</v>
      </c>
      <c r="T2171" s="169">
        <v>0</v>
      </c>
    </row>
    <row r="2172" spans="1:20" x14ac:dyDescent="0.2">
      <c r="A2172" s="169" t="str">
        <f t="shared" si="12"/>
        <v>622</v>
      </c>
      <c r="B2172" s="167" t="str">
        <f>_xlfn.XLOOKUP(I2172,Mapping!D:D,Mapping!E:E)</f>
        <v>Xưởng Sản Xuất</v>
      </c>
      <c r="C2172" s="167" t="str">
        <f>_xlfn.XLOOKUP(F2172,Mapping!A:A,Mapping!F:F)</f>
        <v>BHXH, BHYT, KPCĐ</v>
      </c>
      <c r="D2172" s="173">
        <v>45991</v>
      </c>
      <c r="E2172" s="169" t="s">
        <v>1285</v>
      </c>
      <c r="F2172" s="169" t="s">
        <v>425</v>
      </c>
      <c r="G2172" s="169" t="s">
        <v>296</v>
      </c>
      <c r="H2172" s="169" t="s">
        <v>441</v>
      </c>
      <c r="I2172" s="169" t="s">
        <v>442</v>
      </c>
      <c r="J2172" s="169" t="s">
        <v>1247</v>
      </c>
      <c r="K2172" s="169" t="s">
        <v>1240</v>
      </c>
      <c r="L2172" s="169" t="s">
        <v>1213</v>
      </c>
      <c r="M2172" s="169" t="s">
        <v>281</v>
      </c>
      <c r="N2172" s="178">
        <v>1308480</v>
      </c>
      <c r="O2172" s="169" t="s">
        <v>1286</v>
      </c>
      <c r="P2172" s="169" t="s">
        <v>283</v>
      </c>
      <c r="Q2172" s="169" t="s">
        <v>284</v>
      </c>
      <c r="R2172" s="169" t="s">
        <v>283</v>
      </c>
      <c r="S2172" s="169" t="s">
        <v>283</v>
      </c>
      <c r="T2172" s="169">
        <v>0</v>
      </c>
    </row>
    <row r="2173" spans="1:20" x14ac:dyDescent="0.2">
      <c r="A2173" s="169" t="str">
        <f t="shared" si="12"/>
        <v>642</v>
      </c>
      <c r="B2173" s="167" t="str">
        <f>_xlfn.XLOOKUP(I2173,Mapping!D:D,Mapping!E:E)</f>
        <v>Hành Chánh Nhân Sự</v>
      </c>
      <c r="C2173" s="167" t="str">
        <f>_xlfn.XLOOKUP(F2173,Mapping!A:A,Mapping!F:F)</f>
        <v>Khen thưởng BD khác</v>
      </c>
      <c r="D2173" s="173">
        <v>45991</v>
      </c>
      <c r="E2173" s="169" t="s">
        <v>1287</v>
      </c>
      <c r="F2173" s="169" t="s">
        <v>300</v>
      </c>
      <c r="G2173" s="169" t="s">
        <v>222</v>
      </c>
      <c r="H2173" s="169" t="s">
        <v>358</v>
      </c>
      <c r="I2173" s="169" t="s">
        <v>359</v>
      </c>
      <c r="J2173" s="169" t="s">
        <v>1229</v>
      </c>
      <c r="K2173" s="169" t="s">
        <v>1230</v>
      </c>
      <c r="L2173" s="169" t="s">
        <v>1213</v>
      </c>
      <c r="M2173" s="169" t="s">
        <v>281</v>
      </c>
      <c r="N2173" s="178">
        <v>-5000000</v>
      </c>
      <c r="O2173" s="169" t="s">
        <v>1288</v>
      </c>
      <c r="P2173" s="169" t="s">
        <v>447</v>
      </c>
      <c r="Q2173" s="169" t="s">
        <v>284</v>
      </c>
      <c r="R2173" s="169" t="s">
        <v>283</v>
      </c>
      <c r="S2173" s="169" t="s">
        <v>283</v>
      </c>
      <c r="T2173" s="169">
        <v>0</v>
      </c>
    </row>
    <row r="2174" spans="1:20" x14ac:dyDescent="0.2">
      <c r="A2174" s="169" t="str">
        <f t="shared" si="12"/>
        <v>627</v>
      </c>
      <c r="B2174" s="167" t="str">
        <f>_xlfn.XLOOKUP(I2174,Mapping!D:D,Mapping!E:E)</f>
        <v>Xưởng Sản Xuất</v>
      </c>
      <c r="C2174" s="167" t="str">
        <f>_xlfn.XLOOKUP(F2174,Mapping!A:A,Mapping!F:F)</f>
        <v>Khen thưởng BD khác</v>
      </c>
      <c r="D2174" s="173">
        <v>45991</v>
      </c>
      <c r="E2174" s="169" t="s">
        <v>1289</v>
      </c>
      <c r="F2174" s="169" t="s">
        <v>435</v>
      </c>
      <c r="G2174" s="169" t="s">
        <v>222</v>
      </c>
      <c r="H2174" s="169" t="s">
        <v>436</v>
      </c>
      <c r="I2174" s="169" t="s">
        <v>437</v>
      </c>
      <c r="J2174" s="169" t="s">
        <v>1229</v>
      </c>
      <c r="K2174" s="169" t="s">
        <v>1290</v>
      </c>
      <c r="L2174" s="169" t="s">
        <v>1213</v>
      </c>
      <c r="M2174" s="169" t="s">
        <v>281</v>
      </c>
      <c r="N2174" s="178">
        <v>5000000</v>
      </c>
      <c r="O2174" s="169" t="s">
        <v>1291</v>
      </c>
      <c r="P2174" s="169" t="s">
        <v>283</v>
      </c>
      <c r="Q2174" s="169" t="s">
        <v>964</v>
      </c>
      <c r="R2174" s="169" t="s">
        <v>283</v>
      </c>
      <c r="S2174" s="169" t="s">
        <v>283</v>
      </c>
      <c r="T2174" s="169">
        <v>0</v>
      </c>
    </row>
    <row r="2175" spans="1:20" x14ac:dyDescent="0.2">
      <c r="A2175" s="169" t="str">
        <f t="shared" si="12"/>
        <v>641</v>
      </c>
      <c r="B2175" s="167" t="str">
        <f>_xlfn.XLOOKUP(I2175,Mapping!D:D,Mapping!E:E)</f>
        <v>Kinh doanh</v>
      </c>
      <c r="C2175" s="167" t="str">
        <f>_xlfn.XLOOKUP(F2175,Mapping!A:A,Mapping!F:F)</f>
        <v>Phụ Cấp</v>
      </c>
      <c r="D2175" s="173">
        <v>45992</v>
      </c>
      <c r="E2175" s="169" t="s">
        <v>1336</v>
      </c>
      <c r="F2175" s="169" t="s">
        <v>385</v>
      </c>
      <c r="G2175" s="169" t="s">
        <v>336</v>
      </c>
      <c r="H2175" s="169" t="s">
        <v>366</v>
      </c>
      <c r="I2175" s="169" t="s">
        <v>1</v>
      </c>
      <c r="J2175" s="169" t="s">
        <v>1337</v>
      </c>
      <c r="K2175" s="169" t="s">
        <v>581</v>
      </c>
      <c r="L2175" s="169" t="s">
        <v>1338</v>
      </c>
      <c r="M2175" s="169" t="s">
        <v>281</v>
      </c>
      <c r="N2175" s="178">
        <v>6384000</v>
      </c>
      <c r="O2175" s="169" t="s">
        <v>1339</v>
      </c>
      <c r="P2175" s="169" t="s">
        <v>283</v>
      </c>
      <c r="Q2175" s="169" t="s">
        <v>306</v>
      </c>
      <c r="R2175" s="169" t="s">
        <v>283</v>
      </c>
      <c r="S2175" s="169" t="s">
        <v>283</v>
      </c>
      <c r="T2175" s="169">
        <v>0</v>
      </c>
    </row>
    <row r="2176" spans="1:20" x14ac:dyDescent="0.2">
      <c r="A2176" s="169" t="str">
        <f t="shared" si="12"/>
        <v>642</v>
      </c>
      <c r="B2176" s="167" t="str">
        <f>_xlfn.XLOOKUP(I2176,Mapping!D:D,Mapping!E:E)</f>
        <v>Hành Chánh Nhân Sự</v>
      </c>
      <c r="C2176" s="167" t="str">
        <f>_xlfn.XLOOKUP(F2176,Mapping!A:A,Mapping!F:F)</f>
        <v>Khen thưởng BD khác</v>
      </c>
      <c r="D2176" s="173">
        <v>46011</v>
      </c>
      <c r="E2176" s="169" t="s">
        <v>1340</v>
      </c>
      <c r="F2176" s="169" t="s">
        <v>300</v>
      </c>
      <c r="G2176" s="169" t="s">
        <v>222</v>
      </c>
      <c r="H2176" s="169" t="s">
        <v>382</v>
      </c>
      <c r="I2176" s="169" t="s">
        <v>200</v>
      </c>
      <c r="J2176" s="169" t="s">
        <v>1341</v>
      </c>
      <c r="K2176" s="169" t="s">
        <v>1342</v>
      </c>
      <c r="L2176" s="169" t="s">
        <v>1338</v>
      </c>
      <c r="M2176" s="169" t="s">
        <v>281</v>
      </c>
      <c r="N2176" s="178">
        <v>3500000</v>
      </c>
      <c r="O2176" s="169" t="s">
        <v>1343</v>
      </c>
      <c r="P2176" s="169" t="s">
        <v>283</v>
      </c>
      <c r="Q2176" s="169" t="s">
        <v>1344</v>
      </c>
      <c r="R2176" s="169" t="s">
        <v>283</v>
      </c>
      <c r="S2176" s="169" t="s">
        <v>283</v>
      </c>
      <c r="T2176" s="169">
        <v>0</v>
      </c>
    </row>
    <row r="2177" spans="1:20" x14ac:dyDescent="0.2">
      <c r="A2177" s="169" t="str">
        <f t="shared" si="12"/>
        <v>641</v>
      </c>
      <c r="B2177" s="167" t="str">
        <f>_xlfn.XLOOKUP(I2177,Mapping!D:D,Mapping!E:E)</f>
        <v>Kinh doanh</v>
      </c>
      <c r="C2177" s="167" t="str">
        <f>_xlfn.XLOOKUP(F2177,Mapping!A:A,Mapping!F:F)</f>
        <v>Lương Chính +T13</v>
      </c>
      <c r="D2177" s="173">
        <v>46016</v>
      </c>
      <c r="E2177" s="169" t="s">
        <v>1345</v>
      </c>
      <c r="F2177" s="169" t="s">
        <v>383</v>
      </c>
      <c r="G2177" s="169" t="s">
        <v>275</v>
      </c>
      <c r="H2177" s="169" t="s">
        <v>366</v>
      </c>
      <c r="I2177" s="169" t="s">
        <v>1</v>
      </c>
      <c r="J2177" s="169" t="s">
        <v>1346</v>
      </c>
      <c r="K2177" s="169" t="s">
        <v>1347</v>
      </c>
      <c r="L2177" s="169" t="s">
        <v>1338</v>
      </c>
      <c r="M2177" s="169" t="s">
        <v>281</v>
      </c>
      <c r="N2177" s="178">
        <v>105612000</v>
      </c>
      <c r="O2177" s="169" t="s">
        <v>1348</v>
      </c>
      <c r="P2177" s="169" t="s">
        <v>283</v>
      </c>
      <c r="Q2177" s="169" t="s">
        <v>973</v>
      </c>
      <c r="R2177" s="169" t="s">
        <v>283</v>
      </c>
      <c r="S2177" s="169" t="s">
        <v>283</v>
      </c>
      <c r="T2177" s="169">
        <v>0</v>
      </c>
    </row>
    <row r="2178" spans="1:20" x14ac:dyDescent="0.2">
      <c r="A2178" s="169" t="str">
        <f t="shared" si="12"/>
        <v>641</v>
      </c>
      <c r="B2178" s="167" t="str">
        <f>_xlfn.XLOOKUP(I2178,Mapping!D:D,Mapping!E:E)</f>
        <v>Kinh doanh</v>
      </c>
      <c r="C2178" s="167" t="str">
        <f>_xlfn.XLOOKUP(F2178,Mapping!A:A,Mapping!F:F)</f>
        <v>Lương Chính +T13</v>
      </c>
      <c r="D2178" s="173">
        <v>46016</v>
      </c>
      <c r="E2178" s="169" t="s">
        <v>1349</v>
      </c>
      <c r="F2178" s="169" t="s">
        <v>383</v>
      </c>
      <c r="G2178" s="169" t="s">
        <v>275</v>
      </c>
      <c r="H2178" s="169" t="s">
        <v>366</v>
      </c>
      <c r="I2178" s="169" t="s">
        <v>1</v>
      </c>
      <c r="J2178" s="169" t="s">
        <v>1350</v>
      </c>
      <c r="K2178" s="169" t="s">
        <v>1347</v>
      </c>
      <c r="L2178" s="169" t="s">
        <v>1338</v>
      </c>
      <c r="M2178" s="169" t="s">
        <v>281</v>
      </c>
      <c r="N2178" s="178">
        <v>105612000</v>
      </c>
      <c r="O2178" s="169" t="s">
        <v>1351</v>
      </c>
      <c r="P2178" s="169" t="s">
        <v>283</v>
      </c>
      <c r="Q2178" s="169" t="s">
        <v>973</v>
      </c>
      <c r="R2178" s="169" t="s">
        <v>283</v>
      </c>
      <c r="S2178" s="169" t="s">
        <v>283</v>
      </c>
      <c r="T2178" s="169">
        <v>0</v>
      </c>
    </row>
    <row r="2179" spans="1:20" x14ac:dyDescent="0.2">
      <c r="A2179" s="169" t="str">
        <f t="shared" si="12"/>
        <v>641</v>
      </c>
      <c r="B2179" s="167" t="str">
        <f>_xlfn.XLOOKUP(I2179,Mapping!D:D,Mapping!E:E)</f>
        <v>Kinh doanh</v>
      </c>
      <c r="C2179" s="167" t="str">
        <f>_xlfn.XLOOKUP(F2179,Mapping!A:A,Mapping!F:F)</f>
        <v>Thưởng</v>
      </c>
      <c r="D2179" s="173">
        <v>46022</v>
      </c>
      <c r="E2179" s="169" t="s">
        <v>1352</v>
      </c>
      <c r="F2179" s="169" t="s">
        <v>365</v>
      </c>
      <c r="G2179" s="169" t="s">
        <v>291</v>
      </c>
      <c r="H2179" s="169" t="s">
        <v>366</v>
      </c>
      <c r="I2179" s="169" t="s">
        <v>1</v>
      </c>
      <c r="J2179" s="169" t="s">
        <v>1353</v>
      </c>
      <c r="K2179" s="169" t="s">
        <v>1354</v>
      </c>
      <c r="L2179" s="169" t="s">
        <v>1338</v>
      </c>
      <c r="M2179" s="169" t="s">
        <v>281</v>
      </c>
      <c r="N2179" s="178">
        <v>-360087</v>
      </c>
      <c r="O2179" s="169" t="s">
        <v>1355</v>
      </c>
      <c r="P2179" s="169" t="s">
        <v>283</v>
      </c>
      <c r="Q2179" s="169" t="s">
        <v>370</v>
      </c>
      <c r="R2179" s="169" t="s">
        <v>283</v>
      </c>
      <c r="S2179" s="169" t="s">
        <v>283</v>
      </c>
      <c r="T2179" s="169">
        <v>0</v>
      </c>
    </row>
    <row r="2180" spans="1:20" x14ac:dyDescent="0.2">
      <c r="A2180" s="169" t="str">
        <f t="shared" si="12"/>
        <v>642</v>
      </c>
      <c r="B2180" s="167" t="str">
        <f>_xlfn.XLOOKUP(I2180,Mapping!D:D,Mapping!E:E)</f>
        <v>Ban Giám Đốc</v>
      </c>
      <c r="C2180" s="167" t="str">
        <f>_xlfn.XLOOKUP(F2180,Mapping!A:A,Mapping!F:F)</f>
        <v>Lương Chính +T13</v>
      </c>
      <c r="D2180" s="173">
        <v>46022</v>
      </c>
      <c r="E2180" s="169" t="s">
        <v>1356</v>
      </c>
      <c r="F2180" s="169" t="s">
        <v>274</v>
      </c>
      <c r="G2180" s="169" t="s">
        <v>275</v>
      </c>
      <c r="H2180" s="169" t="s">
        <v>276</v>
      </c>
      <c r="I2180" s="169" t="s">
        <v>277</v>
      </c>
      <c r="J2180" s="169" t="s">
        <v>1357</v>
      </c>
      <c r="K2180" s="169" t="s">
        <v>1358</v>
      </c>
      <c r="L2180" s="169" t="s">
        <v>1338</v>
      </c>
      <c r="M2180" s="169" t="s">
        <v>281</v>
      </c>
      <c r="N2180" s="178">
        <v>1548796818</v>
      </c>
      <c r="O2180" s="169" t="s">
        <v>1359</v>
      </c>
      <c r="P2180" s="169" t="s">
        <v>283</v>
      </c>
      <c r="Q2180" s="169" t="s">
        <v>284</v>
      </c>
      <c r="R2180" s="169" t="s">
        <v>283</v>
      </c>
      <c r="S2180" s="169" t="s">
        <v>283</v>
      </c>
      <c r="T2180" s="169">
        <v>0</v>
      </c>
    </row>
    <row r="2181" spans="1:20" x14ac:dyDescent="0.2">
      <c r="A2181" s="169" t="str">
        <f t="shared" si="12"/>
        <v>642</v>
      </c>
      <c r="B2181" s="167" t="str">
        <f>_xlfn.XLOOKUP(I2181,Mapping!D:D,Mapping!E:E)</f>
        <v>Ban Giám Đốc</v>
      </c>
      <c r="C2181" s="167" t="str">
        <f>_xlfn.XLOOKUP(F2181,Mapping!A:A,Mapping!F:F)</f>
        <v>Lương Chính +T13</v>
      </c>
      <c r="D2181" s="173">
        <v>46022</v>
      </c>
      <c r="E2181" s="169" t="s">
        <v>1356</v>
      </c>
      <c r="F2181" s="169" t="s">
        <v>285</v>
      </c>
      <c r="G2181" s="169" t="s">
        <v>286</v>
      </c>
      <c r="H2181" s="169" t="s">
        <v>276</v>
      </c>
      <c r="I2181" s="169" t="s">
        <v>277</v>
      </c>
      <c r="J2181" s="169" t="s">
        <v>1357</v>
      </c>
      <c r="K2181" s="169" t="s">
        <v>1358</v>
      </c>
      <c r="L2181" s="169" t="s">
        <v>1338</v>
      </c>
      <c r="M2181" s="169" t="s">
        <v>281</v>
      </c>
      <c r="N2181" s="178">
        <v>64815797</v>
      </c>
      <c r="O2181" s="169" t="s">
        <v>1359</v>
      </c>
      <c r="P2181" s="169" t="s">
        <v>283</v>
      </c>
      <c r="Q2181" s="169" t="s">
        <v>284</v>
      </c>
      <c r="R2181" s="169" t="s">
        <v>283</v>
      </c>
      <c r="S2181" s="169" t="s">
        <v>283</v>
      </c>
      <c r="T2181" s="169">
        <v>0</v>
      </c>
    </row>
    <row r="2182" spans="1:20" x14ac:dyDescent="0.2">
      <c r="A2182" s="169" t="str">
        <f t="shared" si="12"/>
        <v>642</v>
      </c>
      <c r="B2182" s="167" t="str">
        <f>_xlfn.XLOOKUP(I2182,Mapping!D:D,Mapping!E:E)</f>
        <v>Ban Giám Đốc</v>
      </c>
      <c r="C2182" s="167" t="str">
        <f>_xlfn.XLOOKUP(F2182,Mapping!A:A,Mapping!F:F)</f>
        <v>Phụ Cấp</v>
      </c>
      <c r="D2182" s="173">
        <v>46022</v>
      </c>
      <c r="E2182" s="169" t="s">
        <v>1356</v>
      </c>
      <c r="F2182" s="169" t="s">
        <v>335</v>
      </c>
      <c r="G2182" s="169" t="s">
        <v>336</v>
      </c>
      <c r="H2182" s="169" t="s">
        <v>276</v>
      </c>
      <c r="I2182" s="169" t="s">
        <v>277</v>
      </c>
      <c r="J2182" s="169" t="s">
        <v>1357</v>
      </c>
      <c r="K2182" s="169" t="s">
        <v>1358</v>
      </c>
      <c r="L2182" s="169" t="s">
        <v>1338</v>
      </c>
      <c r="M2182" s="169" t="s">
        <v>281</v>
      </c>
      <c r="N2182" s="178">
        <v>150000</v>
      </c>
      <c r="O2182" s="169" t="s">
        <v>1359</v>
      </c>
      <c r="P2182" s="169" t="s">
        <v>283</v>
      </c>
      <c r="Q2182" s="169" t="s">
        <v>284</v>
      </c>
      <c r="R2182" s="169" t="s">
        <v>283</v>
      </c>
      <c r="S2182" s="169" t="s">
        <v>283</v>
      </c>
      <c r="T2182" s="169">
        <v>0</v>
      </c>
    </row>
    <row r="2183" spans="1:20" x14ac:dyDescent="0.2">
      <c r="A2183" s="169" t="str">
        <f t="shared" si="12"/>
        <v>642</v>
      </c>
      <c r="B2183" s="167" t="str">
        <f>_xlfn.XLOOKUP(I2183,Mapping!D:D,Mapping!E:E)</f>
        <v>Văn Phòng Giám Đốc</v>
      </c>
      <c r="C2183" s="167" t="str">
        <f>_xlfn.XLOOKUP(F2183,Mapping!A:A,Mapping!F:F)</f>
        <v>Lương Chính +T13</v>
      </c>
      <c r="D2183" s="173">
        <v>46022</v>
      </c>
      <c r="E2183" s="169" t="s">
        <v>1356</v>
      </c>
      <c r="F2183" s="169" t="s">
        <v>274</v>
      </c>
      <c r="G2183" s="169" t="s">
        <v>275</v>
      </c>
      <c r="H2183" s="169" t="s">
        <v>320</v>
      </c>
      <c r="I2183" s="169" t="s">
        <v>321</v>
      </c>
      <c r="J2183" s="169" t="s">
        <v>1357</v>
      </c>
      <c r="K2183" s="169" t="s">
        <v>1358</v>
      </c>
      <c r="L2183" s="169" t="s">
        <v>1338</v>
      </c>
      <c r="M2183" s="169" t="s">
        <v>281</v>
      </c>
      <c r="N2183" s="178">
        <v>108017669</v>
      </c>
      <c r="O2183" s="169" t="s">
        <v>1359</v>
      </c>
      <c r="P2183" s="169" t="s">
        <v>283</v>
      </c>
      <c r="Q2183" s="169" t="s">
        <v>284</v>
      </c>
      <c r="R2183" s="169" t="s">
        <v>283</v>
      </c>
      <c r="S2183" s="169" t="s">
        <v>283</v>
      </c>
      <c r="T2183" s="169">
        <v>0</v>
      </c>
    </row>
    <row r="2184" spans="1:20" x14ac:dyDescent="0.2">
      <c r="A2184" s="169" t="str">
        <f t="shared" si="12"/>
        <v>642</v>
      </c>
      <c r="B2184" s="167" t="str">
        <f>_xlfn.XLOOKUP(I2184,Mapping!D:D,Mapping!E:E)</f>
        <v>Văn Phòng Giám Đốc</v>
      </c>
      <c r="C2184" s="167" t="str">
        <f>_xlfn.XLOOKUP(F2184,Mapping!A:A,Mapping!F:F)</f>
        <v>Lương Chính +T13</v>
      </c>
      <c r="D2184" s="173">
        <v>46022</v>
      </c>
      <c r="E2184" s="169" t="s">
        <v>1356</v>
      </c>
      <c r="F2184" s="169" t="s">
        <v>285</v>
      </c>
      <c r="G2184" s="169" t="s">
        <v>286</v>
      </c>
      <c r="H2184" s="169" t="s">
        <v>320</v>
      </c>
      <c r="I2184" s="169" t="s">
        <v>321</v>
      </c>
      <c r="J2184" s="169" t="s">
        <v>1357</v>
      </c>
      <c r="K2184" s="169" t="s">
        <v>1358</v>
      </c>
      <c r="L2184" s="169" t="s">
        <v>1338</v>
      </c>
      <c r="M2184" s="169" t="s">
        <v>281</v>
      </c>
      <c r="N2184" s="178">
        <v>8303846</v>
      </c>
      <c r="O2184" s="169" t="s">
        <v>1359</v>
      </c>
      <c r="P2184" s="169" t="s">
        <v>283</v>
      </c>
      <c r="Q2184" s="169" t="s">
        <v>284</v>
      </c>
      <c r="R2184" s="169" t="s">
        <v>283</v>
      </c>
      <c r="S2184" s="169" t="s">
        <v>283</v>
      </c>
      <c r="T2184" s="169">
        <v>0</v>
      </c>
    </row>
    <row r="2185" spans="1:20" x14ac:dyDescent="0.2">
      <c r="A2185" s="169" t="str">
        <f t="shared" si="12"/>
        <v>642</v>
      </c>
      <c r="B2185" s="167" t="str">
        <f>_xlfn.XLOOKUP(I2185,Mapping!D:D,Mapping!E:E)</f>
        <v>Hành Chánh Nhân Sự</v>
      </c>
      <c r="C2185" s="167" t="str">
        <f>_xlfn.XLOOKUP(F2185,Mapping!A:A,Mapping!F:F)</f>
        <v>Phụ Cấp</v>
      </c>
      <c r="D2185" s="173">
        <v>46022</v>
      </c>
      <c r="E2185" s="169" t="s">
        <v>1356</v>
      </c>
      <c r="F2185" s="169" t="s">
        <v>340</v>
      </c>
      <c r="G2185" s="169" t="s">
        <v>341</v>
      </c>
      <c r="H2185" s="169" t="s">
        <v>301</v>
      </c>
      <c r="I2185" s="169" t="s">
        <v>302</v>
      </c>
      <c r="J2185" s="169" t="s">
        <v>1357</v>
      </c>
      <c r="K2185" s="169" t="s">
        <v>1358</v>
      </c>
      <c r="L2185" s="169" t="s">
        <v>1338</v>
      </c>
      <c r="M2185" s="169" t="s">
        <v>281</v>
      </c>
      <c r="N2185" s="178">
        <v>6563053</v>
      </c>
      <c r="O2185" s="169" t="s">
        <v>1359</v>
      </c>
      <c r="P2185" s="169" t="s">
        <v>283</v>
      </c>
      <c r="Q2185" s="169" t="s">
        <v>284</v>
      </c>
      <c r="R2185" s="169" t="s">
        <v>283</v>
      </c>
      <c r="S2185" s="169" t="s">
        <v>283</v>
      </c>
      <c r="T2185" s="169">
        <v>0</v>
      </c>
    </row>
    <row r="2186" spans="1:20" x14ac:dyDescent="0.2">
      <c r="A2186" s="169" t="str">
        <f t="shared" si="12"/>
        <v>642</v>
      </c>
      <c r="B2186" s="167" t="str">
        <f>_xlfn.XLOOKUP(I2186,Mapping!D:D,Mapping!E:E)</f>
        <v>Hành Chánh Nhân Sự</v>
      </c>
      <c r="C2186" s="167" t="str">
        <f>_xlfn.XLOOKUP(F2186,Mapping!A:A,Mapping!F:F)</f>
        <v>Lương Chính +T13</v>
      </c>
      <c r="D2186" s="173">
        <v>46022</v>
      </c>
      <c r="E2186" s="169" t="s">
        <v>1356</v>
      </c>
      <c r="F2186" s="169" t="s">
        <v>274</v>
      </c>
      <c r="G2186" s="169" t="s">
        <v>275</v>
      </c>
      <c r="H2186" s="169" t="s">
        <v>301</v>
      </c>
      <c r="I2186" s="169" t="s">
        <v>302</v>
      </c>
      <c r="J2186" s="169" t="s">
        <v>1357</v>
      </c>
      <c r="K2186" s="169" t="s">
        <v>1358</v>
      </c>
      <c r="L2186" s="169" t="s">
        <v>1338</v>
      </c>
      <c r="M2186" s="169" t="s">
        <v>281</v>
      </c>
      <c r="N2186" s="178">
        <v>462176030</v>
      </c>
      <c r="O2186" s="169" t="s">
        <v>1359</v>
      </c>
      <c r="P2186" s="169" t="s">
        <v>283</v>
      </c>
      <c r="Q2186" s="169" t="s">
        <v>284</v>
      </c>
      <c r="R2186" s="169" t="s">
        <v>283</v>
      </c>
      <c r="S2186" s="169" t="s">
        <v>283</v>
      </c>
      <c r="T2186" s="169">
        <v>0</v>
      </c>
    </row>
    <row r="2187" spans="1:20" x14ac:dyDescent="0.2">
      <c r="A2187" s="169" t="str">
        <f t="shared" si="12"/>
        <v>642</v>
      </c>
      <c r="B2187" s="167" t="str">
        <f>_xlfn.XLOOKUP(I2187,Mapping!D:D,Mapping!E:E)</f>
        <v>Hành Chánh Nhân Sự</v>
      </c>
      <c r="C2187" s="167" t="str">
        <f>_xlfn.XLOOKUP(F2187,Mapping!A:A,Mapping!F:F)</f>
        <v>Lương Chính +T13</v>
      </c>
      <c r="D2187" s="173">
        <v>46022</v>
      </c>
      <c r="E2187" s="169" t="s">
        <v>1356</v>
      </c>
      <c r="F2187" s="169" t="s">
        <v>285</v>
      </c>
      <c r="G2187" s="169" t="s">
        <v>286</v>
      </c>
      <c r="H2187" s="169" t="s">
        <v>301</v>
      </c>
      <c r="I2187" s="169" t="s">
        <v>302</v>
      </c>
      <c r="J2187" s="169" t="s">
        <v>1357</v>
      </c>
      <c r="K2187" s="169" t="s">
        <v>1358</v>
      </c>
      <c r="L2187" s="169" t="s">
        <v>1338</v>
      </c>
      <c r="M2187" s="169" t="s">
        <v>281</v>
      </c>
      <c r="N2187" s="178">
        <v>15884518</v>
      </c>
      <c r="O2187" s="169" t="s">
        <v>1359</v>
      </c>
      <c r="P2187" s="169" t="s">
        <v>283</v>
      </c>
      <c r="Q2187" s="169" t="s">
        <v>284</v>
      </c>
      <c r="R2187" s="169" t="s">
        <v>283</v>
      </c>
      <c r="S2187" s="169" t="s">
        <v>283</v>
      </c>
      <c r="T2187" s="169">
        <v>0</v>
      </c>
    </row>
    <row r="2188" spans="1:20" x14ac:dyDescent="0.2">
      <c r="A2188" s="169" t="str">
        <f t="shared" si="12"/>
        <v>642</v>
      </c>
      <c r="B2188" s="167" t="str">
        <f>_xlfn.XLOOKUP(I2188,Mapping!D:D,Mapping!E:E)</f>
        <v>Hành Chánh Nhân Sự</v>
      </c>
      <c r="C2188" s="167" t="str">
        <f>_xlfn.XLOOKUP(F2188,Mapping!A:A,Mapping!F:F)</f>
        <v>Lương Ngoài giờ</v>
      </c>
      <c r="D2188" s="173">
        <v>46022</v>
      </c>
      <c r="E2188" s="169" t="s">
        <v>1356</v>
      </c>
      <c r="F2188" s="169" t="s">
        <v>342</v>
      </c>
      <c r="G2188" s="169" t="s">
        <v>343</v>
      </c>
      <c r="H2188" s="169" t="s">
        <v>301</v>
      </c>
      <c r="I2188" s="169" t="s">
        <v>302</v>
      </c>
      <c r="J2188" s="169" t="s">
        <v>1357</v>
      </c>
      <c r="K2188" s="169" t="s">
        <v>1358</v>
      </c>
      <c r="L2188" s="169" t="s">
        <v>1338</v>
      </c>
      <c r="M2188" s="169" t="s">
        <v>281</v>
      </c>
      <c r="N2188" s="178">
        <v>74783511</v>
      </c>
      <c r="O2188" s="169" t="s">
        <v>1359</v>
      </c>
      <c r="P2188" s="169" t="s">
        <v>283</v>
      </c>
      <c r="Q2188" s="169" t="s">
        <v>284</v>
      </c>
      <c r="R2188" s="169" t="s">
        <v>283</v>
      </c>
      <c r="S2188" s="169" t="s">
        <v>283</v>
      </c>
      <c r="T2188" s="169">
        <v>0</v>
      </c>
    </row>
    <row r="2189" spans="1:20" x14ac:dyDescent="0.2">
      <c r="A2189" s="169" t="str">
        <f t="shared" si="12"/>
        <v>642</v>
      </c>
      <c r="B2189" s="167" t="str">
        <f>_xlfn.XLOOKUP(I2189,Mapping!D:D,Mapping!E:E)</f>
        <v>Hành Chánh Nhân Sự</v>
      </c>
      <c r="C2189" s="167" t="str">
        <f>_xlfn.XLOOKUP(F2189,Mapping!A:A,Mapping!F:F)</f>
        <v>Phụ Cấp</v>
      </c>
      <c r="D2189" s="173">
        <v>46022</v>
      </c>
      <c r="E2189" s="169" t="s">
        <v>1356</v>
      </c>
      <c r="F2189" s="169" t="s">
        <v>335</v>
      </c>
      <c r="G2189" s="169" t="s">
        <v>336</v>
      </c>
      <c r="H2189" s="169" t="s">
        <v>301</v>
      </c>
      <c r="I2189" s="169" t="s">
        <v>302</v>
      </c>
      <c r="J2189" s="169" t="s">
        <v>1357</v>
      </c>
      <c r="K2189" s="169" t="s">
        <v>1358</v>
      </c>
      <c r="L2189" s="169" t="s">
        <v>1338</v>
      </c>
      <c r="M2189" s="169" t="s">
        <v>281</v>
      </c>
      <c r="N2189" s="178">
        <v>3340000</v>
      </c>
      <c r="O2189" s="169" t="s">
        <v>1359</v>
      </c>
      <c r="P2189" s="169" t="s">
        <v>283</v>
      </c>
      <c r="Q2189" s="169" t="s">
        <v>284</v>
      </c>
      <c r="R2189" s="169" t="s">
        <v>283</v>
      </c>
      <c r="S2189" s="169" t="s">
        <v>283</v>
      </c>
      <c r="T2189" s="169">
        <v>0</v>
      </c>
    </row>
    <row r="2190" spans="1:20" x14ac:dyDescent="0.2">
      <c r="A2190" s="169" t="str">
        <f t="shared" si="12"/>
        <v>642</v>
      </c>
      <c r="B2190" s="167" t="str">
        <f>_xlfn.XLOOKUP(I2190,Mapping!D:D,Mapping!E:E)</f>
        <v>Kế Toán</v>
      </c>
      <c r="C2190" s="167" t="str">
        <f>_xlfn.XLOOKUP(F2190,Mapping!A:A,Mapping!F:F)</f>
        <v>Lương Chính +T13</v>
      </c>
      <c r="D2190" s="173">
        <v>46022</v>
      </c>
      <c r="E2190" s="169" t="s">
        <v>1356</v>
      </c>
      <c r="F2190" s="169" t="s">
        <v>274</v>
      </c>
      <c r="G2190" s="169" t="s">
        <v>275</v>
      </c>
      <c r="H2190" s="169" t="s">
        <v>356</v>
      </c>
      <c r="I2190" s="169" t="s">
        <v>357</v>
      </c>
      <c r="J2190" s="169" t="s">
        <v>1357</v>
      </c>
      <c r="K2190" s="169" t="s">
        <v>1358</v>
      </c>
      <c r="L2190" s="169" t="s">
        <v>1338</v>
      </c>
      <c r="M2190" s="169" t="s">
        <v>281</v>
      </c>
      <c r="N2190" s="178">
        <v>521475106</v>
      </c>
      <c r="O2190" s="169" t="s">
        <v>1359</v>
      </c>
      <c r="P2190" s="169" t="s">
        <v>283</v>
      </c>
      <c r="Q2190" s="169" t="s">
        <v>284</v>
      </c>
      <c r="R2190" s="169" t="s">
        <v>283</v>
      </c>
      <c r="S2190" s="169" t="s">
        <v>283</v>
      </c>
      <c r="T2190" s="169">
        <v>0</v>
      </c>
    </row>
    <row r="2191" spans="1:20" x14ac:dyDescent="0.2">
      <c r="A2191" s="169" t="str">
        <f t="shared" si="12"/>
        <v>642</v>
      </c>
      <c r="B2191" s="167" t="str">
        <f>_xlfn.XLOOKUP(I2191,Mapping!D:D,Mapping!E:E)</f>
        <v>Kế Toán</v>
      </c>
      <c r="C2191" s="167" t="str">
        <f>_xlfn.XLOOKUP(F2191,Mapping!A:A,Mapping!F:F)</f>
        <v>Lương Chính +T13</v>
      </c>
      <c r="D2191" s="173">
        <v>46022</v>
      </c>
      <c r="E2191" s="169" t="s">
        <v>1356</v>
      </c>
      <c r="F2191" s="169" t="s">
        <v>285</v>
      </c>
      <c r="G2191" s="169" t="s">
        <v>286</v>
      </c>
      <c r="H2191" s="169" t="s">
        <v>356</v>
      </c>
      <c r="I2191" s="169" t="s">
        <v>357</v>
      </c>
      <c r="J2191" s="169" t="s">
        <v>1357</v>
      </c>
      <c r="K2191" s="169" t="s">
        <v>1358</v>
      </c>
      <c r="L2191" s="169" t="s">
        <v>1338</v>
      </c>
      <c r="M2191" s="169" t="s">
        <v>281</v>
      </c>
      <c r="N2191" s="178">
        <v>11374366</v>
      </c>
      <c r="O2191" s="169" t="s">
        <v>1359</v>
      </c>
      <c r="P2191" s="169" t="s">
        <v>283</v>
      </c>
      <c r="Q2191" s="169" t="s">
        <v>284</v>
      </c>
      <c r="R2191" s="169" t="s">
        <v>283</v>
      </c>
      <c r="S2191" s="169" t="s">
        <v>283</v>
      </c>
      <c r="T2191" s="169">
        <v>0</v>
      </c>
    </row>
    <row r="2192" spans="1:20" x14ac:dyDescent="0.2">
      <c r="A2192" s="169" t="str">
        <f t="shared" si="12"/>
        <v>642</v>
      </c>
      <c r="B2192" s="167" t="str">
        <f>_xlfn.XLOOKUP(I2192,Mapping!D:D,Mapping!E:E)</f>
        <v>Kế Toán</v>
      </c>
      <c r="C2192" s="167" t="str">
        <f>_xlfn.XLOOKUP(F2192,Mapping!A:A,Mapping!F:F)</f>
        <v>Lương Ngoài giờ</v>
      </c>
      <c r="D2192" s="173">
        <v>46022</v>
      </c>
      <c r="E2192" s="169" t="s">
        <v>1356</v>
      </c>
      <c r="F2192" s="169" t="s">
        <v>342</v>
      </c>
      <c r="G2192" s="169" t="s">
        <v>343</v>
      </c>
      <c r="H2192" s="169" t="s">
        <v>356</v>
      </c>
      <c r="I2192" s="169" t="s">
        <v>357</v>
      </c>
      <c r="J2192" s="169" t="s">
        <v>1357</v>
      </c>
      <c r="K2192" s="169" t="s">
        <v>1358</v>
      </c>
      <c r="L2192" s="169" t="s">
        <v>1338</v>
      </c>
      <c r="M2192" s="169" t="s">
        <v>281</v>
      </c>
      <c r="N2192" s="178">
        <v>51263863</v>
      </c>
      <c r="O2192" s="169" t="s">
        <v>1359</v>
      </c>
      <c r="P2192" s="169" t="s">
        <v>283</v>
      </c>
      <c r="Q2192" s="169" t="s">
        <v>284</v>
      </c>
      <c r="R2192" s="169" t="s">
        <v>283</v>
      </c>
      <c r="S2192" s="169" t="s">
        <v>283</v>
      </c>
      <c r="T2192" s="169">
        <v>0</v>
      </c>
    </row>
    <row r="2193" spans="1:20" x14ac:dyDescent="0.2">
      <c r="A2193" s="169" t="str">
        <f t="shared" si="12"/>
        <v>642</v>
      </c>
      <c r="B2193" s="167" t="str">
        <f>_xlfn.XLOOKUP(I2193,Mapping!D:D,Mapping!E:E)</f>
        <v>Kế Toán</v>
      </c>
      <c r="C2193" s="167" t="str">
        <f>_xlfn.XLOOKUP(F2193,Mapping!A:A,Mapping!F:F)</f>
        <v>Phụ Cấp</v>
      </c>
      <c r="D2193" s="173">
        <v>46022</v>
      </c>
      <c r="E2193" s="169" t="s">
        <v>1356</v>
      </c>
      <c r="F2193" s="169" t="s">
        <v>335</v>
      </c>
      <c r="G2193" s="169" t="s">
        <v>336</v>
      </c>
      <c r="H2193" s="169" t="s">
        <v>356</v>
      </c>
      <c r="I2193" s="169" t="s">
        <v>357</v>
      </c>
      <c r="J2193" s="169" t="s">
        <v>1357</v>
      </c>
      <c r="K2193" s="169" t="s">
        <v>1358</v>
      </c>
      <c r="L2193" s="169" t="s">
        <v>1338</v>
      </c>
      <c r="M2193" s="169" t="s">
        <v>281</v>
      </c>
      <c r="N2193" s="178">
        <v>2605000</v>
      </c>
      <c r="O2193" s="169" t="s">
        <v>1359</v>
      </c>
      <c r="P2193" s="169" t="s">
        <v>283</v>
      </c>
      <c r="Q2193" s="169" t="s">
        <v>284</v>
      </c>
      <c r="R2193" s="169" t="s">
        <v>283</v>
      </c>
      <c r="S2193" s="169" t="s">
        <v>283</v>
      </c>
      <c r="T2193" s="169">
        <v>0</v>
      </c>
    </row>
    <row r="2194" spans="1:20" x14ac:dyDescent="0.2">
      <c r="A2194" s="169" t="str">
        <f t="shared" si="12"/>
        <v>641</v>
      </c>
      <c r="B2194" s="167" t="str">
        <f>_xlfn.XLOOKUP(I2194,Mapping!D:D,Mapping!E:E)</f>
        <v>Kinh doanh</v>
      </c>
      <c r="C2194" s="167" t="str">
        <f>_xlfn.XLOOKUP(F2194,Mapping!A:A,Mapping!F:F)</f>
        <v>Lương Chính +T13</v>
      </c>
      <c r="D2194" s="173">
        <v>46022</v>
      </c>
      <c r="E2194" s="169" t="s">
        <v>1356</v>
      </c>
      <c r="F2194" s="169" t="s">
        <v>383</v>
      </c>
      <c r="G2194" s="169" t="s">
        <v>275</v>
      </c>
      <c r="H2194" s="169" t="s">
        <v>366</v>
      </c>
      <c r="I2194" s="169" t="s">
        <v>1</v>
      </c>
      <c r="J2194" s="169" t="s">
        <v>1357</v>
      </c>
      <c r="K2194" s="169" t="s">
        <v>1358</v>
      </c>
      <c r="L2194" s="169" t="s">
        <v>1338</v>
      </c>
      <c r="M2194" s="169" t="s">
        <v>281</v>
      </c>
      <c r="N2194" s="178">
        <v>253835697</v>
      </c>
      <c r="O2194" s="169" t="s">
        <v>1359</v>
      </c>
      <c r="P2194" s="169" t="s">
        <v>283</v>
      </c>
      <c r="Q2194" s="169" t="s">
        <v>284</v>
      </c>
      <c r="R2194" s="169" t="s">
        <v>283</v>
      </c>
      <c r="S2194" s="169" t="s">
        <v>283</v>
      </c>
      <c r="T2194" s="169">
        <v>0</v>
      </c>
    </row>
    <row r="2195" spans="1:20" x14ac:dyDescent="0.2">
      <c r="A2195" s="169" t="str">
        <f t="shared" si="12"/>
        <v>641</v>
      </c>
      <c r="B2195" s="167" t="str">
        <f>_xlfn.XLOOKUP(I2195,Mapping!D:D,Mapping!E:E)</f>
        <v>Kinh doanh</v>
      </c>
      <c r="C2195" s="167" t="str">
        <f>_xlfn.XLOOKUP(F2195,Mapping!A:A,Mapping!F:F)</f>
        <v>Lương Chính +T13</v>
      </c>
      <c r="D2195" s="173">
        <v>46022</v>
      </c>
      <c r="E2195" s="169" t="s">
        <v>1356</v>
      </c>
      <c r="F2195" s="169" t="s">
        <v>384</v>
      </c>
      <c r="G2195" s="169" t="s">
        <v>286</v>
      </c>
      <c r="H2195" s="169" t="s">
        <v>366</v>
      </c>
      <c r="I2195" s="169" t="s">
        <v>1</v>
      </c>
      <c r="J2195" s="169" t="s">
        <v>1357</v>
      </c>
      <c r="K2195" s="169" t="s">
        <v>1358</v>
      </c>
      <c r="L2195" s="169" t="s">
        <v>1338</v>
      </c>
      <c r="M2195" s="169" t="s">
        <v>281</v>
      </c>
      <c r="N2195" s="178">
        <v>5857308</v>
      </c>
      <c r="O2195" s="169" t="s">
        <v>1359</v>
      </c>
      <c r="P2195" s="169" t="s">
        <v>283</v>
      </c>
      <c r="Q2195" s="169" t="s">
        <v>284</v>
      </c>
      <c r="R2195" s="169" t="s">
        <v>283</v>
      </c>
      <c r="S2195" s="169" t="s">
        <v>283</v>
      </c>
      <c r="T2195" s="169">
        <v>0</v>
      </c>
    </row>
    <row r="2196" spans="1:20" x14ac:dyDescent="0.2">
      <c r="A2196" s="169" t="str">
        <f t="shared" si="12"/>
        <v>641</v>
      </c>
      <c r="B2196" s="167" t="str">
        <f>_xlfn.XLOOKUP(I2196,Mapping!D:D,Mapping!E:E)</f>
        <v>Kinh doanh</v>
      </c>
      <c r="C2196" s="167" t="str">
        <f>_xlfn.XLOOKUP(F2196,Mapping!A:A,Mapping!F:F)</f>
        <v>Thưởng</v>
      </c>
      <c r="D2196" s="173">
        <v>46022</v>
      </c>
      <c r="E2196" s="169" t="s">
        <v>1356</v>
      </c>
      <c r="F2196" s="169" t="s">
        <v>365</v>
      </c>
      <c r="G2196" s="169" t="s">
        <v>291</v>
      </c>
      <c r="H2196" s="169" t="s">
        <v>366</v>
      </c>
      <c r="I2196" s="169" t="s">
        <v>1</v>
      </c>
      <c r="J2196" s="169" t="s">
        <v>1357</v>
      </c>
      <c r="K2196" s="169" t="s">
        <v>1358</v>
      </c>
      <c r="L2196" s="169" t="s">
        <v>1338</v>
      </c>
      <c r="M2196" s="169" t="s">
        <v>281</v>
      </c>
      <c r="N2196" s="178">
        <v>124706515</v>
      </c>
      <c r="O2196" s="169" t="s">
        <v>1359</v>
      </c>
      <c r="P2196" s="169" t="s">
        <v>283</v>
      </c>
      <c r="Q2196" s="169" t="s">
        <v>284</v>
      </c>
      <c r="R2196" s="169" t="s">
        <v>283</v>
      </c>
      <c r="S2196" s="169" t="s">
        <v>283</v>
      </c>
      <c r="T2196" s="169">
        <v>0</v>
      </c>
    </row>
    <row r="2197" spans="1:20" x14ac:dyDescent="0.2">
      <c r="A2197" s="169" t="str">
        <f t="shared" si="12"/>
        <v>641</v>
      </c>
      <c r="B2197" s="167" t="str">
        <f>_xlfn.XLOOKUP(I2197,Mapping!D:D,Mapping!E:E)</f>
        <v>Kinh doanh</v>
      </c>
      <c r="C2197" s="167" t="str">
        <f>_xlfn.XLOOKUP(F2197,Mapping!A:A,Mapping!F:F)</f>
        <v>Phụ Cấp</v>
      </c>
      <c r="D2197" s="173">
        <v>46022</v>
      </c>
      <c r="E2197" s="169" t="s">
        <v>1356</v>
      </c>
      <c r="F2197" s="169" t="s">
        <v>385</v>
      </c>
      <c r="G2197" s="169" t="s">
        <v>336</v>
      </c>
      <c r="H2197" s="169" t="s">
        <v>366</v>
      </c>
      <c r="I2197" s="169" t="s">
        <v>1</v>
      </c>
      <c r="J2197" s="169" t="s">
        <v>1357</v>
      </c>
      <c r="K2197" s="169" t="s">
        <v>1358</v>
      </c>
      <c r="L2197" s="169" t="s">
        <v>1338</v>
      </c>
      <c r="M2197" s="169" t="s">
        <v>281</v>
      </c>
      <c r="N2197" s="178">
        <v>75000</v>
      </c>
      <c r="O2197" s="169" t="s">
        <v>1359</v>
      </c>
      <c r="P2197" s="169" t="s">
        <v>283</v>
      </c>
      <c r="Q2197" s="169" t="s">
        <v>284</v>
      </c>
      <c r="R2197" s="169" t="s">
        <v>283</v>
      </c>
      <c r="S2197" s="169" t="s">
        <v>283</v>
      </c>
      <c r="T2197" s="169">
        <v>0</v>
      </c>
    </row>
    <row r="2198" spans="1:20" x14ac:dyDescent="0.2">
      <c r="A2198" s="169" t="str">
        <f t="shared" si="12"/>
        <v>642</v>
      </c>
      <c r="B2198" s="167" t="str">
        <f>_xlfn.XLOOKUP(I2198,Mapping!D:D,Mapping!E:E)</f>
        <v>Cung Ứng</v>
      </c>
      <c r="C2198" s="167" t="str">
        <f>_xlfn.XLOOKUP(F2198,Mapping!A:A,Mapping!F:F)</f>
        <v>Lương Chính +T13</v>
      </c>
      <c r="D2198" s="173">
        <v>46022</v>
      </c>
      <c r="E2198" s="169" t="s">
        <v>1356</v>
      </c>
      <c r="F2198" s="169" t="s">
        <v>274</v>
      </c>
      <c r="G2198" s="169" t="s">
        <v>275</v>
      </c>
      <c r="H2198" s="169" t="s">
        <v>380</v>
      </c>
      <c r="I2198" s="169" t="s">
        <v>381</v>
      </c>
      <c r="J2198" s="169" t="s">
        <v>1357</v>
      </c>
      <c r="K2198" s="169" t="s">
        <v>1358</v>
      </c>
      <c r="L2198" s="169" t="s">
        <v>1338</v>
      </c>
      <c r="M2198" s="169" t="s">
        <v>281</v>
      </c>
      <c r="N2198" s="178">
        <v>545870650</v>
      </c>
      <c r="O2198" s="169" t="s">
        <v>1359</v>
      </c>
      <c r="P2198" s="169" t="s">
        <v>283</v>
      </c>
      <c r="Q2198" s="169" t="s">
        <v>284</v>
      </c>
      <c r="R2198" s="169" t="s">
        <v>283</v>
      </c>
      <c r="S2198" s="169" t="s">
        <v>283</v>
      </c>
      <c r="T2198" s="169">
        <v>0</v>
      </c>
    </row>
    <row r="2199" spans="1:20" x14ac:dyDescent="0.2">
      <c r="A2199" s="169" t="str">
        <f t="shared" si="12"/>
        <v>642</v>
      </c>
      <c r="B2199" s="167" t="str">
        <f>_xlfn.XLOOKUP(I2199,Mapping!D:D,Mapping!E:E)</f>
        <v>Cung Ứng</v>
      </c>
      <c r="C2199" s="167" t="str">
        <f>_xlfn.XLOOKUP(F2199,Mapping!A:A,Mapping!F:F)</f>
        <v>Lương Chính +T13</v>
      </c>
      <c r="D2199" s="173">
        <v>46022</v>
      </c>
      <c r="E2199" s="169" t="s">
        <v>1356</v>
      </c>
      <c r="F2199" s="169" t="s">
        <v>285</v>
      </c>
      <c r="G2199" s="169" t="s">
        <v>286</v>
      </c>
      <c r="H2199" s="169" t="s">
        <v>380</v>
      </c>
      <c r="I2199" s="169" t="s">
        <v>381</v>
      </c>
      <c r="J2199" s="169" t="s">
        <v>1357</v>
      </c>
      <c r="K2199" s="169" t="s">
        <v>1358</v>
      </c>
      <c r="L2199" s="169" t="s">
        <v>1338</v>
      </c>
      <c r="M2199" s="169" t="s">
        <v>281</v>
      </c>
      <c r="N2199" s="178">
        <v>15892272</v>
      </c>
      <c r="O2199" s="169" t="s">
        <v>1359</v>
      </c>
      <c r="P2199" s="169" t="s">
        <v>283</v>
      </c>
      <c r="Q2199" s="169" t="s">
        <v>284</v>
      </c>
      <c r="R2199" s="169" t="s">
        <v>283</v>
      </c>
      <c r="S2199" s="169" t="s">
        <v>283</v>
      </c>
      <c r="T2199" s="169">
        <v>0</v>
      </c>
    </row>
    <row r="2200" spans="1:20" x14ac:dyDescent="0.2">
      <c r="A2200" s="169" t="str">
        <f t="shared" si="12"/>
        <v>642</v>
      </c>
      <c r="B2200" s="167" t="str">
        <f>_xlfn.XLOOKUP(I2200,Mapping!D:D,Mapping!E:E)</f>
        <v>Cung Ứng</v>
      </c>
      <c r="C2200" s="167" t="str">
        <f>_xlfn.XLOOKUP(F2200,Mapping!A:A,Mapping!F:F)</f>
        <v>Thưởng</v>
      </c>
      <c r="D2200" s="173">
        <v>46022</v>
      </c>
      <c r="E2200" s="169" t="s">
        <v>1356</v>
      </c>
      <c r="F2200" s="169" t="s">
        <v>290</v>
      </c>
      <c r="G2200" s="169" t="s">
        <v>291</v>
      </c>
      <c r="H2200" s="169" t="s">
        <v>380</v>
      </c>
      <c r="I2200" s="169" t="s">
        <v>381</v>
      </c>
      <c r="J2200" s="169" t="s">
        <v>1357</v>
      </c>
      <c r="K2200" s="169" t="s">
        <v>1358</v>
      </c>
      <c r="L2200" s="169" t="s">
        <v>1338</v>
      </c>
      <c r="M2200" s="169" t="s">
        <v>281</v>
      </c>
      <c r="N2200" s="178">
        <v>354463413</v>
      </c>
      <c r="O2200" s="169" t="s">
        <v>1359</v>
      </c>
      <c r="P2200" s="169" t="s">
        <v>283</v>
      </c>
      <c r="Q2200" s="169" t="s">
        <v>284</v>
      </c>
      <c r="R2200" s="169" t="s">
        <v>283</v>
      </c>
      <c r="S2200" s="169" t="s">
        <v>283</v>
      </c>
      <c r="T2200" s="169">
        <v>0</v>
      </c>
    </row>
    <row r="2201" spans="1:20" x14ac:dyDescent="0.2">
      <c r="A2201" s="169" t="str">
        <f t="shared" si="12"/>
        <v>642</v>
      </c>
      <c r="B2201" s="167" t="str">
        <f>_xlfn.XLOOKUP(I2201,Mapping!D:D,Mapping!E:E)</f>
        <v>Cung Ứng</v>
      </c>
      <c r="C2201" s="167" t="str">
        <f>_xlfn.XLOOKUP(F2201,Mapping!A:A,Mapping!F:F)</f>
        <v>Phụ Cấp</v>
      </c>
      <c r="D2201" s="173">
        <v>46022</v>
      </c>
      <c r="E2201" s="169" t="s">
        <v>1356</v>
      </c>
      <c r="F2201" s="169" t="s">
        <v>335</v>
      </c>
      <c r="G2201" s="169" t="s">
        <v>336</v>
      </c>
      <c r="H2201" s="169" t="s">
        <v>380</v>
      </c>
      <c r="I2201" s="169" t="s">
        <v>381</v>
      </c>
      <c r="J2201" s="169" t="s">
        <v>1357</v>
      </c>
      <c r="K2201" s="169" t="s">
        <v>1358</v>
      </c>
      <c r="L2201" s="169" t="s">
        <v>1338</v>
      </c>
      <c r="M2201" s="169" t="s">
        <v>281</v>
      </c>
      <c r="N2201" s="178">
        <v>11235000</v>
      </c>
      <c r="O2201" s="169" t="s">
        <v>1359</v>
      </c>
      <c r="P2201" s="169" t="s">
        <v>283</v>
      </c>
      <c r="Q2201" s="169" t="s">
        <v>284</v>
      </c>
      <c r="R2201" s="169" t="s">
        <v>283</v>
      </c>
      <c r="S2201" s="169" t="s">
        <v>283</v>
      </c>
      <c r="T2201" s="169">
        <v>0</v>
      </c>
    </row>
    <row r="2202" spans="1:20" x14ac:dyDescent="0.2">
      <c r="A2202" s="169" t="str">
        <f t="shared" si="12"/>
        <v>642</v>
      </c>
      <c r="B2202" s="167" t="str">
        <f>_xlfn.XLOOKUP(I2202,Mapping!D:D,Mapping!E:E)</f>
        <v>Mua Hàng &amp; XNK</v>
      </c>
      <c r="C2202" s="167" t="str">
        <f>_xlfn.XLOOKUP(F2202,Mapping!A:A,Mapping!F:F)</f>
        <v>Lương Chính +T13</v>
      </c>
      <c r="D2202" s="173">
        <v>46022</v>
      </c>
      <c r="E2202" s="169" t="s">
        <v>1356</v>
      </c>
      <c r="F2202" s="169" t="s">
        <v>274</v>
      </c>
      <c r="G2202" s="169" t="s">
        <v>275</v>
      </c>
      <c r="H2202" s="169" t="s">
        <v>378</v>
      </c>
      <c r="I2202" s="169" t="s">
        <v>379</v>
      </c>
      <c r="J2202" s="169" t="s">
        <v>1357</v>
      </c>
      <c r="K2202" s="169" t="s">
        <v>1358</v>
      </c>
      <c r="L2202" s="169" t="s">
        <v>1338</v>
      </c>
      <c r="M2202" s="169" t="s">
        <v>281</v>
      </c>
      <c r="N2202" s="178">
        <v>166908467</v>
      </c>
      <c r="O2202" s="169" t="s">
        <v>1359</v>
      </c>
      <c r="P2202" s="169" t="s">
        <v>283</v>
      </c>
      <c r="Q2202" s="169" t="s">
        <v>284</v>
      </c>
      <c r="R2202" s="169" t="s">
        <v>283</v>
      </c>
      <c r="S2202" s="169" t="s">
        <v>283</v>
      </c>
      <c r="T2202" s="169">
        <v>0</v>
      </c>
    </row>
    <row r="2203" spans="1:20" x14ac:dyDescent="0.2">
      <c r="A2203" s="169" t="str">
        <f t="shared" si="12"/>
        <v>642</v>
      </c>
      <c r="B2203" s="167" t="str">
        <f>_xlfn.XLOOKUP(I2203,Mapping!D:D,Mapping!E:E)</f>
        <v>Mua Hàng &amp; XNK</v>
      </c>
      <c r="C2203" s="167" t="str">
        <f>_xlfn.XLOOKUP(F2203,Mapping!A:A,Mapping!F:F)</f>
        <v>Lương Chính +T13</v>
      </c>
      <c r="D2203" s="173">
        <v>46022</v>
      </c>
      <c r="E2203" s="169" t="s">
        <v>1356</v>
      </c>
      <c r="F2203" s="169" t="s">
        <v>285</v>
      </c>
      <c r="G2203" s="169" t="s">
        <v>286</v>
      </c>
      <c r="H2203" s="169" t="s">
        <v>378</v>
      </c>
      <c r="I2203" s="169" t="s">
        <v>379</v>
      </c>
      <c r="J2203" s="169" t="s">
        <v>1357</v>
      </c>
      <c r="K2203" s="169" t="s">
        <v>1358</v>
      </c>
      <c r="L2203" s="169" t="s">
        <v>1338</v>
      </c>
      <c r="M2203" s="169" t="s">
        <v>281</v>
      </c>
      <c r="N2203" s="178">
        <v>8428538</v>
      </c>
      <c r="O2203" s="169" t="s">
        <v>1359</v>
      </c>
      <c r="P2203" s="169" t="s">
        <v>283</v>
      </c>
      <c r="Q2203" s="169" t="s">
        <v>284</v>
      </c>
      <c r="R2203" s="169" t="s">
        <v>283</v>
      </c>
      <c r="S2203" s="169" t="s">
        <v>283</v>
      </c>
      <c r="T2203" s="169">
        <v>0</v>
      </c>
    </row>
    <row r="2204" spans="1:20" x14ac:dyDescent="0.2">
      <c r="A2204" s="169" t="str">
        <f t="shared" si="12"/>
        <v>642</v>
      </c>
      <c r="B2204" s="167" t="str">
        <f>_xlfn.XLOOKUP(I2204,Mapping!D:D,Mapping!E:E)</f>
        <v>Mua Hàng &amp; XNK</v>
      </c>
      <c r="C2204" s="167" t="str">
        <f>_xlfn.XLOOKUP(F2204,Mapping!A:A,Mapping!F:F)</f>
        <v>Phụ Cấp</v>
      </c>
      <c r="D2204" s="173">
        <v>46022</v>
      </c>
      <c r="E2204" s="169" t="s">
        <v>1356</v>
      </c>
      <c r="F2204" s="169" t="s">
        <v>335</v>
      </c>
      <c r="G2204" s="169" t="s">
        <v>336</v>
      </c>
      <c r="H2204" s="169" t="s">
        <v>378</v>
      </c>
      <c r="I2204" s="169" t="s">
        <v>379</v>
      </c>
      <c r="J2204" s="169" t="s">
        <v>1357</v>
      </c>
      <c r="K2204" s="169" t="s">
        <v>1358</v>
      </c>
      <c r="L2204" s="169" t="s">
        <v>1338</v>
      </c>
      <c r="M2204" s="169" t="s">
        <v>281</v>
      </c>
      <c r="N2204" s="178">
        <v>1250000</v>
      </c>
      <c r="O2204" s="169" t="s">
        <v>1359</v>
      </c>
      <c r="P2204" s="169" t="s">
        <v>283</v>
      </c>
      <c r="Q2204" s="169" t="s">
        <v>284</v>
      </c>
      <c r="R2204" s="169" t="s">
        <v>283</v>
      </c>
      <c r="S2204" s="169" t="s">
        <v>283</v>
      </c>
      <c r="T2204" s="169">
        <v>0</v>
      </c>
    </row>
    <row r="2205" spans="1:20" x14ac:dyDescent="0.2">
      <c r="A2205" s="169" t="str">
        <f t="shared" si="12"/>
        <v>627</v>
      </c>
      <c r="B2205" s="167" t="str">
        <f>_xlfn.XLOOKUP(I2205,Mapping!D:D,Mapping!E:E)</f>
        <v>Kỹ Thuật</v>
      </c>
      <c r="C2205" s="167" t="str">
        <f>_xlfn.XLOOKUP(F2205,Mapping!A:A,Mapping!F:F)</f>
        <v>Phụ Cấp</v>
      </c>
      <c r="D2205" s="173">
        <v>46022</v>
      </c>
      <c r="E2205" s="169" t="s">
        <v>1356</v>
      </c>
      <c r="F2205" s="169" t="s">
        <v>386</v>
      </c>
      <c r="G2205" s="169" t="s">
        <v>341</v>
      </c>
      <c r="H2205" s="169" t="s">
        <v>376</v>
      </c>
      <c r="I2205" s="169" t="s">
        <v>377</v>
      </c>
      <c r="J2205" s="169" t="s">
        <v>1357</v>
      </c>
      <c r="K2205" s="169" t="s">
        <v>1358</v>
      </c>
      <c r="L2205" s="169" t="s">
        <v>1338</v>
      </c>
      <c r="M2205" s="169" t="s">
        <v>281</v>
      </c>
      <c r="N2205" s="178">
        <v>45918625</v>
      </c>
      <c r="O2205" s="169" t="s">
        <v>1359</v>
      </c>
      <c r="P2205" s="169" t="s">
        <v>283</v>
      </c>
      <c r="Q2205" s="169" t="s">
        <v>284</v>
      </c>
      <c r="R2205" s="169" t="s">
        <v>283</v>
      </c>
      <c r="S2205" s="169" t="s">
        <v>283</v>
      </c>
      <c r="T2205" s="169">
        <v>0</v>
      </c>
    </row>
    <row r="2206" spans="1:20" x14ac:dyDescent="0.2">
      <c r="A2206" s="169" t="str">
        <f t="shared" si="12"/>
        <v>627</v>
      </c>
      <c r="B2206" s="167" t="str">
        <f>_xlfn.XLOOKUP(I2206,Mapping!D:D,Mapping!E:E)</f>
        <v>Kỹ Thuật</v>
      </c>
      <c r="C2206" s="167" t="str">
        <f>_xlfn.XLOOKUP(F2206,Mapping!A:A,Mapping!F:F)</f>
        <v>Lương Chính +T13</v>
      </c>
      <c r="D2206" s="173">
        <v>46022</v>
      </c>
      <c r="E2206" s="169" t="s">
        <v>1356</v>
      </c>
      <c r="F2206" s="169" t="s">
        <v>387</v>
      </c>
      <c r="G2206" s="169" t="s">
        <v>275</v>
      </c>
      <c r="H2206" s="169" t="s">
        <v>376</v>
      </c>
      <c r="I2206" s="169" t="s">
        <v>377</v>
      </c>
      <c r="J2206" s="169" t="s">
        <v>1357</v>
      </c>
      <c r="K2206" s="169" t="s">
        <v>1358</v>
      </c>
      <c r="L2206" s="169" t="s">
        <v>1338</v>
      </c>
      <c r="M2206" s="169" t="s">
        <v>281</v>
      </c>
      <c r="N2206" s="178">
        <v>1147018991</v>
      </c>
      <c r="O2206" s="169" t="s">
        <v>1359</v>
      </c>
      <c r="P2206" s="169" t="s">
        <v>283</v>
      </c>
      <c r="Q2206" s="169" t="s">
        <v>284</v>
      </c>
      <c r="R2206" s="169" t="s">
        <v>283</v>
      </c>
      <c r="S2206" s="169" t="s">
        <v>283</v>
      </c>
      <c r="T2206" s="169">
        <v>0</v>
      </c>
    </row>
    <row r="2207" spans="1:20" x14ac:dyDescent="0.2">
      <c r="A2207" s="169" t="str">
        <f t="shared" si="12"/>
        <v>627</v>
      </c>
      <c r="B2207" s="167" t="str">
        <f>_xlfn.XLOOKUP(I2207,Mapping!D:D,Mapping!E:E)</f>
        <v>Kỹ Thuật</v>
      </c>
      <c r="C2207" s="167" t="str">
        <f>_xlfn.XLOOKUP(F2207,Mapping!A:A,Mapping!F:F)</f>
        <v>Lương Chính +T13</v>
      </c>
      <c r="D2207" s="173">
        <v>46022</v>
      </c>
      <c r="E2207" s="169" t="s">
        <v>1356</v>
      </c>
      <c r="F2207" s="169" t="s">
        <v>388</v>
      </c>
      <c r="G2207" s="169" t="s">
        <v>286</v>
      </c>
      <c r="H2207" s="169" t="s">
        <v>376</v>
      </c>
      <c r="I2207" s="169" t="s">
        <v>377</v>
      </c>
      <c r="J2207" s="169" t="s">
        <v>1357</v>
      </c>
      <c r="K2207" s="169" t="s">
        <v>1358</v>
      </c>
      <c r="L2207" s="169" t="s">
        <v>1338</v>
      </c>
      <c r="M2207" s="169" t="s">
        <v>281</v>
      </c>
      <c r="N2207" s="178">
        <v>37455731</v>
      </c>
      <c r="O2207" s="169" t="s">
        <v>1359</v>
      </c>
      <c r="P2207" s="169" t="s">
        <v>283</v>
      </c>
      <c r="Q2207" s="169" t="s">
        <v>284</v>
      </c>
      <c r="R2207" s="169" t="s">
        <v>283</v>
      </c>
      <c r="S2207" s="169" t="s">
        <v>283</v>
      </c>
      <c r="T2207" s="169">
        <v>0</v>
      </c>
    </row>
    <row r="2208" spans="1:20" x14ac:dyDescent="0.2">
      <c r="A2208" s="169" t="str">
        <f t="shared" si="12"/>
        <v>627</v>
      </c>
      <c r="B2208" s="167" t="str">
        <f>_xlfn.XLOOKUP(I2208,Mapping!D:D,Mapping!E:E)</f>
        <v>Kỹ Thuật</v>
      </c>
      <c r="C2208" s="167" t="str">
        <f>_xlfn.XLOOKUP(F2208,Mapping!A:A,Mapping!F:F)</f>
        <v>Lương Ngoài giờ</v>
      </c>
      <c r="D2208" s="173">
        <v>46022</v>
      </c>
      <c r="E2208" s="169" t="s">
        <v>1356</v>
      </c>
      <c r="F2208" s="169" t="s">
        <v>389</v>
      </c>
      <c r="G2208" s="169" t="s">
        <v>390</v>
      </c>
      <c r="H2208" s="169" t="s">
        <v>376</v>
      </c>
      <c r="I2208" s="169" t="s">
        <v>377</v>
      </c>
      <c r="J2208" s="169" t="s">
        <v>1357</v>
      </c>
      <c r="K2208" s="169" t="s">
        <v>1358</v>
      </c>
      <c r="L2208" s="169" t="s">
        <v>1338</v>
      </c>
      <c r="M2208" s="169" t="s">
        <v>281</v>
      </c>
      <c r="N2208" s="178">
        <v>297663882</v>
      </c>
      <c r="O2208" s="169" t="s">
        <v>1359</v>
      </c>
      <c r="P2208" s="169" t="s">
        <v>283</v>
      </c>
      <c r="Q2208" s="169" t="s">
        <v>284</v>
      </c>
      <c r="R2208" s="169" t="s">
        <v>283</v>
      </c>
      <c r="S2208" s="169" t="s">
        <v>283</v>
      </c>
      <c r="T2208" s="169">
        <v>0</v>
      </c>
    </row>
    <row r="2209" spans="1:20" x14ac:dyDescent="0.2">
      <c r="A2209" s="169" t="str">
        <f t="shared" si="12"/>
        <v>627</v>
      </c>
      <c r="B2209" s="167" t="str">
        <f>_xlfn.XLOOKUP(I2209,Mapping!D:D,Mapping!E:E)</f>
        <v>Kỹ Thuật</v>
      </c>
      <c r="C2209" s="167" t="str">
        <f>_xlfn.XLOOKUP(F2209,Mapping!A:A,Mapping!F:F)</f>
        <v>Phụ Cấp</v>
      </c>
      <c r="D2209" s="173">
        <v>46022</v>
      </c>
      <c r="E2209" s="169" t="s">
        <v>1356</v>
      </c>
      <c r="F2209" s="169" t="s">
        <v>375</v>
      </c>
      <c r="G2209" s="169" t="s">
        <v>336</v>
      </c>
      <c r="H2209" s="169" t="s">
        <v>376</v>
      </c>
      <c r="I2209" s="169" t="s">
        <v>377</v>
      </c>
      <c r="J2209" s="169" t="s">
        <v>1357</v>
      </c>
      <c r="K2209" s="169" t="s">
        <v>1358</v>
      </c>
      <c r="L2209" s="169" t="s">
        <v>1338</v>
      </c>
      <c r="M2209" s="169" t="s">
        <v>281</v>
      </c>
      <c r="N2209" s="178">
        <v>325000</v>
      </c>
      <c r="O2209" s="169" t="s">
        <v>1359</v>
      </c>
      <c r="P2209" s="169" t="s">
        <v>283</v>
      </c>
      <c r="Q2209" s="169" t="s">
        <v>284</v>
      </c>
      <c r="R2209" s="169" t="s">
        <v>283</v>
      </c>
      <c r="S2209" s="169" t="s">
        <v>283</v>
      </c>
      <c r="T2209" s="169">
        <v>0</v>
      </c>
    </row>
    <row r="2210" spans="1:20" x14ac:dyDescent="0.2">
      <c r="A2210" s="169" t="str">
        <f t="shared" si="12"/>
        <v>627</v>
      </c>
      <c r="B2210" s="167" t="str">
        <f>_xlfn.XLOOKUP(I2210,Mapping!D:D,Mapping!E:E)</f>
        <v>Kiểm Soát Chất Lượng</v>
      </c>
      <c r="C2210" s="167" t="str">
        <f>_xlfn.XLOOKUP(F2210,Mapping!A:A,Mapping!F:F)</f>
        <v>Phụ Cấp</v>
      </c>
      <c r="D2210" s="173">
        <v>46022</v>
      </c>
      <c r="E2210" s="169" t="s">
        <v>1356</v>
      </c>
      <c r="F2210" s="169" t="s">
        <v>386</v>
      </c>
      <c r="G2210" s="169" t="s">
        <v>341</v>
      </c>
      <c r="H2210" s="169" t="s">
        <v>411</v>
      </c>
      <c r="I2210" s="169" t="s">
        <v>412</v>
      </c>
      <c r="J2210" s="169" t="s">
        <v>1357</v>
      </c>
      <c r="K2210" s="169" t="s">
        <v>1358</v>
      </c>
      <c r="L2210" s="169" t="s">
        <v>1338</v>
      </c>
      <c r="M2210" s="169" t="s">
        <v>281</v>
      </c>
      <c r="N2210" s="178">
        <v>25912395</v>
      </c>
      <c r="O2210" s="169" t="s">
        <v>1359</v>
      </c>
      <c r="P2210" s="169" t="s">
        <v>283</v>
      </c>
      <c r="Q2210" s="169" t="s">
        <v>284</v>
      </c>
      <c r="R2210" s="169" t="s">
        <v>283</v>
      </c>
      <c r="S2210" s="169" t="s">
        <v>283</v>
      </c>
      <c r="T2210" s="169">
        <v>0</v>
      </c>
    </row>
    <row r="2211" spans="1:20" x14ac:dyDescent="0.2">
      <c r="A2211" s="169" t="str">
        <f t="shared" si="12"/>
        <v>627</v>
      </c>
      <c r="B2211" s="167" t="str">
        <f>_xlfn.XLOOKUP(I2211,Mapping!D:D,Mapping!E:E)</f>
        <v>Kiểm Soát Chất Lượng</v>
      </c>
      <c r="C2211" s="167" t="str">
        <f>_xlfn.XLOOKUP(F2211,Mapping!A:A,Mapping!F:F)</f>
        <v>Lương Chính +T13</v>
      </c>
      <c r="D2211" s="173">
        <v>46022</v>
      </c>
      <c r="E2211" s="169" t="s">
        <v>1356</v>
      </c>
      <c r="F2211" s="169" t="s">
        <v>387</v>
      </c>
      <c r="G2211" s="169" t="s">
        <v>275</v>
      </c>
      <c r="H2211" s="169" t="s">
        <v>411</v>
      </c>
      <c r="I2211" s="169" t="s">
        <v>412</v>
      </c>
      <c r="J2211" s="169" t="s">
        <v>1357</v>
      </c>
      <c r="K2211" s="169" t="s">
        <v>1358</v>
      </c>
      <c r="L2211" s="169" t="s">
        <v>1338</v>
      </c>
      <c r="M2211" s="169" t="s">
        <v>281</v>
      </c>
      <c r="N2211" s="178">
        <v>496597160</v>
      </c>
      <c r="O2211" s="169" t="s">
        <v>1359</v>
      </c>
      <c r="P2211" s="169" t="s">
        <v>283</v>
      </c>
      <c r="Q2211" s="169" t="s">
        <v>284</v>
      </c>
      <c r="R2211" s="169" t="s">
        <v>283</v>
      </c>
      <c r="S2211" s="169" t="s">
        <v>283</v>
      </c>
      <c r="T2211" s="169">
        <v>0</v>
      </c>
    </row>
    <row r="2212" spans="1:20" x14ac:dyDescent="0.2">
      <c r="A2212" s="169" t="str">
        <f t="shared" si="12"/>
        <v>627</v>
      </c>
      <c r="B2212" s="167" t="str">
        <f>_xlfn.XLOOKUP(I2212,Mapping!D:D,Mapping!E:E)</f>
        <v>Kiểm Soát Chất Lượng</v>
      </c>
      <c r="C2212" s="167" t="str">
        <f>_xlfn.XLOOKUP(F2212,Mapping!A:A,Mapping!F:F)</f>
        <v>Lương Chính +T13</v>
      </c>
      <c r="D2212" s="173">
        <v>46022</v>
      </c>
      <c r="E2212" s="169" t="s">
        <v>1356</v>
      </c>
      <c r="F2212" s="169" t="s">
        <v>388</v>
      </c>
      <c r="G2212" s="169" t="s">
        <v>286</v>
      </c>
      <c r="H2212" s="169" t="s">
        <v>411</v>
      </c>
      <c r="I2212" s="169" t="s">
        <v>412</v>
      </c>
      <c r="J2212" s="169" t="s">
        <v>1357</v>
      </c>
      <c r="K2212" s="169" t="s">
        <v>1358</v>
      </c>
      <c r="L2212" s="169" t="s">
        <v>1338</v>
      </c>
      <c r="M2212" s="169" t="s">
        <v>281</v>
      </c>
      <c r="N2212" s="178">
        <v>18214443</v>
      </c>
      <c r="O2212" s="169" t="s">
        <v>1359</v>
      </c>
      <c r="P2212" s="169" t="s">
        <v>283</v>
      </c>
      <c r="Q2212" s="169" t="s">
        <v>284</v>
      </c>
      <c r="R2212" s="169" t="s">
        <v>283</v>
      </c>
      <c r="S2212" s="169" t="s">
        <v>283</v>
      </c>
      <c r="T2212" s="169">
        <v>0</v>
      </c>
    </row>
    <row r="2213" spans="1:20" x14ac:dyDescent="0.2">
      <c r="A2213" s="169" t="str">
        <f t="shared" si="12"/>
        <v>627</v>
      </c>
      <c r="B2213" s="167" t="str">
        <f>_xlfn.XLOOKUP(I2213,Mapping!D:D,Mapping!E:E)</f>
        <v>Kiểm Soát Chất Lượng</v>
      </c>
      <c r="C2213" s="167" t="str">
        <f>_xlfn.XLOOKUP(F2213,Mapping!A:A,Mapping!F:F)</f>
        <v>Lương Ngoài giờ</v>
      </c>
      <c r="D2213" s="173">
        <v>46022</v>
      </c>
      <c r="E2213" s="169" t="s">
        <v>1356</v>
      </c>
      <c r="F2213" s="169" t="s">
        <v>389</v>
      </c>
      <c r="G2213" s="169" t="s">
        <v>390</v>
      </c>
      <c r="H2213" s="169" t="s">
        <v>411</v>
      </c>
      <c r="I2213" s="169" t="s">
        <v>412</v>
      </c>
      <c r="J2213" s="169" t="s">
        <v>1357</v>
      </c>
      <c r="K2213" s="169" t="s">
        <v>1358</v>
      </c>
      <c r="L2213" s="169" t="s">
        <v>1338</v>
      </c>
      <c r="M2213" s="169" t="s">
        <v>281</v>
      </c>
      <c r="N2213" s="178">
        <v>154590071</v>
      </c>
      <c r="O2213" s="169" t="s">
        <v>1359</v>
      </c>
      <c r="P2213" s="169" t="s">
        <v>283</v>
      </c>
      <c r="Q2213" s="169" t="s">
        <v>284</v>
      </c>
      <c r="R2213" s="169" t="s">
        <v>283</v>
      </c>
      <c r="S2213" s="169" t="s">
        <v>283</v>
      </c>
      <c r="T2213" s="169">
        <v>0</v>
      </c>
    </row>
    <row r="2214" spans="1:20" x14ac:dyDescent="0.2">
      <c r="A2214" s="169" t="str">
        <f t="shared" si="12"/>
        <v>627</v>
      </c>
      <c r="B2214" s="167" t="str">
        <f>_xlfn.XLOOKUP(I2214,Mapping!D:D,Mapping!E:E)</f>
        <v>Kiểm Soát Chất Lượng</v>
      </c>
      <c r="C2214" s="167" t="str">
        <f>_xlfn.XLOOKUP(F2214,Mapping!A:A,Mapping!F:F)</f>
        <v>Phụ Cấp</v>
      </c>
      <c r="D2214" s="173">
        <v>46022</v>
      </c>
      <c r="E2214" s="169" t="s">
        <v>1356</v>
      </c>
      <c r="F2214" s="169" t="s">
        <v>375</v>
      </c>
      <c r="G2214" s="169" t="s">
        <v>336</v>
      </c>
      <c r="H2214" s="169" t="s">
        <v>411</v>
      </c>
      <c r="I2214" s="169" t="s">
        <v>412</v>
      </c>
      <c r="J2214" s="169" t="s">
        <v>1357</v>
      </c>
      <c r="K2214" s="169" t="s">
        <v>1358</v>
      </c>
      <c r="L2214" s="169" t="s">
        <v>1338</v>
      </c>
      <c r="M2214" s="169" t="s">
        <v>281</v>
      </c>
      <c r="N2214" s="178">
        <v>375000</v>
      </c>
      <c r="O2214" s="169" t="s">
        <v>1359</v>
      </c>
      <c r="P2214" s="169" t="s">
        <v>283</v>
      </c>
      <c r="Q2214" s="169" t="s">
        <v>284</v>
      </c>
      <c r="R2214" s="169" t="s">
        <v>283</v>
      </c>
      <c r="S2214" s="169" t="s">
        <v>283</v>
      </c>
      <c r="T2214" s="169">
        <v>0</v>
      </c>
    </row>
    <row r="2215" spans="1:20" x14ac:dyDescent="0.2">
      <c r="A2215" s="169" t="str">
        <f t="shared" si="12"/>
        <v>627</v>
      </c>
      <c r="B2215" s="167" t="str">
        <f>_xlfn.XLOOKUP(I2215,Mapping!D:D,Mapping!E:E)</f>
        <v>Nghiên Cứu &amp; Phát Triển</v>
      </c>
      <c r="C2215" s="167" t="str">
        <f>_xlfn.XLOOKUP(F2215,Mapping!A:A,Mapping!F:F)</f>
        <v>Lương Chính +T13</v>
      </c>
      <c r="D2215" s="173">
        <v>46022</v>
      </c>
      <c r="E2215" s="169" t="s">
        <v>1356</v>
      </c>
      <c r="F2215" s="169" t="s">
        <v>387</v>
      </c>
      <c r="G2215" s="169" t="s">
        <v>275</v>
      </c>
      <c r="H2215" s="169" t="s">
        <v>418</v>
      </c>
      <c r="I2215" s="169" t="s">
        <v>419</v>
      </c>
      <c r="J2215" s="169" t="s">
        <v>1357</v>
      </c>
      <c r="K2215" s="169" t="s">
        <v>1358</v>
      </c>
      <c r="L2215" s="169" t="s">
        <v>1338</v>
      </c>
      <c r="M2215" s="169" t="s">
        <v>281</v>
      </c>
      <c r="N2215" s="178">
        <v>180214858</v>
      </c>
      <c r="O2215" s="169" t="s">
        <v>1359</v>
      </c>
      <c r="P2215" s="169" t="s">
        <v>283</v>
      </c>
      <c r="Q2215" s="169" t="s">
        <v>284</v>
      </c>
      <c r="R2215" s="169" t="s">
        <v>283</v>
      </c>
      <c r="S2215" s="169" t="s">
        <v>283</v>
      </c>
      <c r="T2215" s="169">
        <v>0</v>
      </c>
    </row>
    <row r="2216" spans="1:20" x14ac:dyDescent="0.2">
      <c r="A2216" s="169" t="str">
        <f t="shared" si="12"/>
        <v>627</v>
      </c>
      <c r="B2216" s="167" t="str">
        <f>_xlfn.XLOOKUP(I2216,Mapping!D:D,Mapping!E:E)</f>
        <v>Nghiên Cứu &amp; Phát Triển</v>
      </c>
      <c r="C2216" s="167" t="str">
        <f>_xlfn.XLOOKUP(F2216,Mapping!A:A,Mapping!F:F)</f>
        <v>Lương Chính +T13</v>
      </c>
      <c r="D2216" s="173">
        <v>46022</v>
      </c>
      <c r="E2216" s="169" t="s">
        <v>1356</v>
      </c>
      <c r="F2216" s="169" t="s">
        <v>388</v>
      </c>
      <c r="G2216" s="169" t="s">
        <v>286</v>
      </c>
      <c r="H2216" s="169" t="s">
        <v>418</v>
      </c>
      <c r="I2216" s="169" t="s">
        <v>419</v>
      </c>
      <c r="J2216" s="169" t="s">
        <v>1357</v>
      </c>
      <c r="K2216" s="169" t="s">
        <v>1358</v>
      </c>
      <c r="L2216" s="169" t="s">
        <v>1338</v>
      </c>
      <c r="M2216" s="169" t="s">
        <v>281</v>
      </c>
      <c r="N2216" s="178">
        <v>14500000</v>
      </c>
      <c r="O2216" s="169" t="s">
        <v>1359</v>
      </c>
      <c r="P2216" s="169" t="s">
        <v>283</v>
      </c>
      <c r="Q2216" s="169" t="s">
        <v>284</v>
      </c>
      <c r="R2216" s="169" t="s">
        <v>283</v>
      </c>
      <c r="S2216" s="169" t="s">
        <v>283</v>
      </c>
      <c r="T2216" s="169">
        <v>0</v>
      </c>
    </row>
    <row r="2217" spans="1:20" x14ac:dyDescent="0.2">
      <c r="A2217" s="169" t="str">
        <f t="shared" si="12"/>
        <v>627</v>
      </c>
      <c r="B2217" s="167" t="str">
        <f>_xlfn.XLOOKUP(I2217,Mapping!D:D,Mapping!E:E)</f>
        <v>Nghiên Cứu &amp; Phát Triển</v>
      </c>
      <c r="C2217" s="167" t="str">
        <f>_xlfn.XLOOKUP(F2217,Mapping!A:A,Mapping!F:F)</f>
        <v>Phụ Cấp</v>
      </c>
      <c r="D2217" s="173">
        <v>46022</v>
      </c>
      <c r="E2217" s="169" t="s">
        <v>1356</v>
      </c>
      <c r="F2217" s="169" t="s">
        <v>375</v>
      </c>
      <c r="G2217" s="169" t="s">
        <v>336</v>
      </c>
      <c r="H2217" s="169" t="s">
        <v>418</v>
      </c>
      <c r="I2217" s="169" t="s">
        <v>419</v>
      </c>
      <c r="J2217" s="169" t="s">
        <v>1357</v>
      </c>
      <c r="K2217" s="169" t="s">
        <v>1358</v>
      </c>
      <c r="L2217" s="169" t="s">
        <v>1338</v>
      </c>
      <c r="M2217" s="169" t="s">
        <v>281</v>
      </c>
      <c r="N2217" s="178">
        <v>1200000</v>
      </c>
      <c r="O2217" s="169" t="s">
        <v>1359</v>
      </c>
      <c r="P2217" s="169" t="s">
        <v>283</v>
      </c>
      <c r="Q2217" s="169" t="s">
        <v>284</v>
      </c>
      <c r="R2217" s="169" t="s">
        <v>283</v>
      </c>
      <c r="S2217" s="169" t="s">
        <v>283</v>
      </c>
      <c r="T2217" s="169">
        <v>0</v>
      </c>
    </row>
    <row r="2218" spans="1:20" x14ac:dyDescent="0.2">
      <c r="A2218" s="169" t="str">
        <f t="shared" ref="A2218:A2281" si="13">LEFT(F2218,3)</f>
        <v>622</v>
      </c>
      <c r="B2218" s="167" t="str">
        <f>_xlfn.XLOOKUP(I2218,Mapping!D:D,Mapping!E:E)</f>
        <v>Xưởng Sản Xuất</v>
      </c>
      <c r="C2218" s="167" t="str">
        <f>_xlfn.XLOOKUP(F2218,Mapping!A:A,Mapping!F:F)</f>
        <v>Lương Chính +T13</v>
      </c>
      <c r="D2218" s="173">
        <v>46022</v>
      </c>
      <c r="E2218" s="169" t="s">
        <v>1356</v>
      </c>
      <c r="F2218" s="169" t="s">
        <v>400</v>
      </c>
      <c r="G2218" s="169" t="s">
        <v>401</v>
      </c>
      <c r="H2218" s="169" t="s">
        <v>402</v>
      </c>
      <c r="I2218" s="169" t="s">
        <v>403</v>
      </c>
      <c r="J2218" s="169" t="s">
        <v>1357</v>
      </c>
      <c r="K2218" s="169" t="s">
        <v>1358</v>
      </c>
      <c r="L2218" s="169" t="s">
        <v>1338</v>
      </c>
      <c r="M2218" s="169" t="s">
        <v>281</v>
      </c>
      <c r="N2218" s="178">
        <v>1637624055</v>
      </c>
      <c r="O2218" s="169" t="s">
        <v>1359</v>
      </c>
      <c r="P2218" s="169" t="s">
        <v>283</v>
      </c>
      <c r="Q2218" s="169" t="s">
        <v>284</v>
      </c>
      <c r="R2218" s="169" t="s">
        <v>283</v>
      </c>
      <c r="S2218" s="169" t="s">
        <v>283</v>
      </c>
      <c r="T2218" s="169">
        <v>0</v>
      </c>
    </row>
    <row r="2219" spans="1:20" x14ac:dyDescent="0.2">
      <c r="A2219" s="169" t="str">
        <f t="shared" si="13"/>
        <v>622</v>
      </c>
      <c r="B2219" s="167" t="str">
        <f>_xlfn.XLOOKUP(I2219,Mapping!D:D,Mapping!E:E)</f>
        <v>Xưởng Sản Xuất</v>
      </c>
      <c r="C2219" s="167" t="str">
        <f>_xlfn.XLOOKUP(F2219,Mapping!A:A,Mapping!F:F)</f>
        <v>Lương Chính +T13</v>
      </c>
      <c r="D2219" s="173">
        <v>46022</v>
      </c>
      <c r="E2219" s="169" t="s">
        <v>1356</v>
      </c>
      <c r="F2219" s="169" t="s">
        <v>420</v>
      </c>
      <c r="G2219" s="169" t="s">
        <v>286</v>
      </c>
      <c r="H2219" s="169" t="s">
        <v>402</v>
      </c>
      <c r="I2219" s="169" t="s">
        <v>403</v>
      </c>
      <c r="J2219" s="169" t="s">
        <v>1357</v>
      </c>
      <c r="K2219" s="169" t="s">
        <v>1358</v>
      </c>
      <c r="L2219" s="169" t="s">
        <v>1338</v>
      </c>
      <c r="M2219" s="169" t="s">
        <v>281</v>
      </c>
      <c r="N2219" s="178">
        <v>31913419</v>
      </c>
      <c r="O2219" s="169" t="s">
        <v>1359</v>
      </c>
      <c r="P2219" s="169" t="s">
        <v>283</v>
      </c>
      <c r="Q2219" s="169" t="s">
        <v>284</v>
      </c>
      <c r="R2219" s="169" t="s">
        <v>283</v>
      </c>
      <c r="S2219" s="169" t="s">
        <v>283</v>
      </c>
      <c r="T2219" s="169">
        <v>0</v>
      </c>
    </row>
    <row r="2220" spans="1:20" x14ac:dyDescent="0.2">
      <c r="A2220" s="169" t="str">
        <f t="shared" si="13"/>
        <v>622</v>
      </c>
      <c r="B2220" s="167" t="str">
        <f>_xlfn.XLOOKUP(I2220,Mapping!D:D,Mapping!E:E)</f>
        <v>Xưởng Sản Xuất</v>
      </c>
      <c r="C2220" s="167" t="str">
        <f>_xlfn.XLOOKUP(F2220,Mapping!A:A,Mapping!F:F)</f>
        <v>Phụ Cấp</v>
      </c>
      <c r="D2220" s="173">
        <v>46022</v>
      </c>
      <c r="E2220" s="169" t="s">
        <v>1356</v>
      </c>
      <c r="F2220" s="169" t="s">
        <v>421</v>
      </c>
      <c r="G2220" s="169" t="s">
        <v>341</v>
      </c>
      <c r="H2220" s="169" t="s">
        <v>402</v>
      </c>
      <c r="I2220" s="169" t="s">
        <v>403</v>
      </c>
      <c r="J2220" s="169" t="s">
        <v>1357</v>
      </c>
      <c r="K2220" s="169" t="s">
        <v>1358</v>
      </c>
      <c r="L2220" s="169" t="s">
        <v>1338</v>
      </c>
      <c r="M2220" s="169" t="s">
        <v>281</v>
      </c>
      <c r="N2220" s="178">
        <v>131232600</v>
      </c>
      <c r="O2220" s="169" t="s">
        <v>1359</v>
      </c>
      <c r="P2220" s="169" t="s">
        <v>283</v>
      </c>
      <c r="Q2220" s="169" t="s">
        <v>284</v>
      </c>
      <c r="R2220" s="169" t="s">
        <v>283</v>
      </c>
      <c r="S2220" s="169" t="s">
        <v>283</v>
      </c>
      <c r="T2220" s="169">
        <v>0</v>
      </c>
    </row>
    <row r="2221" spans="1:20" x14ac:dyDescent="0.2">
      <c r="A2221" s="169" t="str">
        <f t="shared" si="13"/>
        <v>622</v>
      </c>
      <c r="B2221" s="167" t="str">
        <f>_xlfn.XLOOKUP(I2221,Mapping!D:D,Mapping!E:E)</f>
        <v>Xưởng Sản Xuất</v>
      </c>
      <c r="C2221" s="167" t="str">
        <f>_xlfn.XLOOKUP(F2221,Mapping!A:A,Mapping!F:F)</f>
        <v>Lương Ngoài giờ</v>
      </c>
      <c r="D2221" s="173">
        <v>46022</v>
      </c>
      <c r="E2221" s="169" t="s">
        <v>1356</v>
      </c>
      <c r="F2221" s="169" t="s">
        <v>422</v>
      </c>
      <c r="G2221" s="169" t="s">
        <v>423</v>
      </c>
      <c r="H2221" s="169" t="s">
        <v>402</v>
      </c>
      <c r="I2221" s="169" t="s">
        <v>403</v>
      </c>
      <c r="J2221" s="169" t="s">
        <v>1357</v>
      </c>
      <c r="K2221" s="169" t="s">
        <v>1358</v>
      </c>
      <c r="L2221" s="169" t="s">
        <v>1338</v>
      </c>
      <c r="M2221" s="169" t="s">
        <v>281</v>
      </c>
      <c r="N2221" s="178">
        <v>323901348</v>
      </c>
      <c r="O2221" s="169" t="s">
        <v>1359</v>
      </c>
      <c r="P2221" s="169" t="s">
        <v>283</v>
      </c>
      <c r="Q2221" s="169" t="s">
        <v>284</v>
      </c>
      <c r="R2221" s="169" t="s">
        <v>283</v>
      </c>
      <c r="S2221" s="169" t="s">
        <v>283</v>
      </c>
      <c r="T2221" s="169">
        <v>0</v>
      </c>
    </row>
    <row r="2222" spans="1:20" x14ac:dyDescent="0.2">
      <c r="A2222" s="169" t="str">
        <f t="shared" si="13"/>
        <v>627</v>
      </c>
      <c r="B2222" s="167" t="str">
        <f>_xlfn.XLOOKUP(I2222,Mapping!D:D,Mapping!E:E)</f>
        <v>Xưởng Sản Xuất</v>
      </c>
      <c r="C2222" s="167" t="str">
        <f>_xlfn.XLOOKUP(F2222,Mapping!A:A,Mapping!F:F)</f>
        <v>Phụ Cấp</v>
      </c>
      <c r="D2222" s="173">
        <v>46022</v>
      </c>
      <c r="E2222" s="169" t="s">
        <v>1356</v>
      </c>
      <c r="F2222" s="169" t="s">
        <v>386</v>
      </c>
      <c r="G2222" s="169" t="s">
        <v>341</v>
      </c>
      <c r="H2222" s="169" t="s">
        <v>402</v>
      </c>
      <c r="I2222" s="169" t="s">
        <v>403</v>
      </c>
      <c r="J2222" s="169" t="s">
        <v>1357</v>
      </c>
      <c r="K2222" s="169" t="s">
        <v>1358</v>
      </c>
      <c r="L2222" s="169" t="s">
        <v>1338</v>
      </c>
      <c r="M2222" s="169" t="s">
        <v>281</v>
      </c>
      <c r="N2222" s="178">
        <v>11979043</v>
      </c>
      <c r="O2222" s="169" t="s">
        <v>1359</v>
      </c>
      <c r="P2222" s="169" t="s">
        <v>283</v>
      </c>
      <c r="Q2222" s="169" t="s">
        <v>284</v>
      </c>
      <c r="R2222" s="169" t="s">
        <v>283</v>
      </c>
      <c r="S2222" s="169" t="s">
        <v>283</v>
      </c>
      <c r="T2222" s="169">
        <v>0</v>
      </c>
    </row>
    <row r="2223" spans="1:20" x14ac:dyDescent="0.2">
      <c r="A2223" s="169" t="str">
        <f t="shared" si="13"/>
        <v>627</v>
      </c>
      <c r="B2223" s="167" t="str">
        <f>_xlfn.XLOOKUP(I2223,Mapping!D:D,Mapping!E:E)</f>
        <v>Xưởng Sản Xuất</v>
      </c>
      <c r="C2223" s="167" t="str">
        <f>_xlfn.XLOOKUP(F2223,Mapping!A:A,Mapping!F:F)</f>
        <v>Lương Chính +T13</v>
      </c>
      <c r="D2223" s="173">
        <v>46022</v>
      </c>
      <c r="E2223" s="169" t="s">
        <v>1356</v>
      </c>
      <c r="F2223" s="169" t="s">
        <v>387</v>
      </c>
      <c r="G2223" s="169" t="s">
        <v>275</v>
      </c>
      <c r="H2223" s="169" t="s">
        <v>402</v>
      </c>
      <c r="I2223" s="169" t="s">
        <v>403</v>
      </c>
      <c r="J2223" s="169" t="s">
        <v>1357</v>
      </c>
      <c r="K2223" s="169" t="s">
        <v>1358</v>
      </c>
      <c r="L2223" s="169" t="s">
        <v>1338</v>
      </c>
      <c r="M2223" s="169" t="s">
        <v>281</v>
      </c>
      <c r="N2223" s="178">
        <v>414926434</v>
      </c>
      <c r="O2223" s="169" t="s">
        <v>1359</v>
      </c>
      <c r="P2223" s="169" t="s">
        <v>283</v>
      </c>
      <c r="Q2223" s="169" t="s">
        <v>284</v>
      </c>
      <c r="R2223" s="169" t="s">
        <v>283</v>
      </c>
      <c r="S2223" s="169" t="s">
        <v>283</v>
      </c>
      <c r="T2223" s="169">
        <v>0</v>
      </c>
    </row>
    <row r="2224" spans="1:20" x14ac:dyDescent="0.2">
      <c r="A2224" s="169" t="str">
        <f t="shared" si="13"/>
        <v>627</v>
      </c>
      <c r="B2224" s="167" t="str">
        <f>_xlfn.XLOOKUP(I2224,Mapping!D:D,Mapping!E:E)</f>
        <v>Xưởng Sản Xuất</v>
      </c>
      <c r="C2224" s="167" t="str">
        <f>_xlfn.XLOOKUP(F2224,Mapping!A:A,Mapping!F:F)</f>
        <v>Lương Chính +T13</v>
      </c>
      <c r="D2224" s="173">
        <v>46022</v>
      </c>
      <c r="E2224" s="169" t="s">
        <v>1356</v>
      </c>
      <c r="F2224" s="169" t="s">
        <v>388</v>
      </c>
      <c r="G2224" s="169" t="s">
        <v>286</v>
      </c>
      <c r="H2224" s="169" t="s">
        <v>402</v>
      </c>
      <c r="I2224" s="169" t="s">
        <v>403</v>
      </c>
      <c r="J2224" s="169" t="s">
        <v>1357</v>
      </c>
      <c r="K2224" s="169" t="s">
        <v>1358</v>
      </c>
      <c r="L2224" s="169" t="s">
        <v>1338</v>
      </c>
      <c r="M2224" s="169" t="s">
        <v>281</v>
      </c>
      <c r="N2224" s="178">
        <v>18815675</v>
      </c>
      <c r="O2224" s="169" t="s">
        <v>1359</v>
      </c>
      <c r="P2224" s="169" t="s">
        <v>283</v>
      </c>
      <c r="Q2224" s="169" t="s">
        <v>284</v>
      </c>
      <c r="R2224" s="169" t="s">
        <v>283</v>
      </c>
      <c r="S2224" s="169" t="s">
        <v>283</v>
      </c>
      <c r="T2224" s="169">
        <v>0</v>
      </c>
    </row>
    <row r="2225" spans="1:20" x14ac:dyDescent="0.2">
      <c r="A2225" s="169" t="str">
        <f t="shared" si="13"/>
        <v>627</v>
      </c>
      <c r="B2225" s="167" t="str">
        <f>_xlfn.XLOOKUP(I2225,Mapping!D:D,Mapping!E:E)</f>
        <v>Xưởng Sản Xuất</v>
      </c>
      <c r="C2225" s="167" t="str">
        <f>_xlfn.XLOOKUP(F2225,Mapping!A:A,Mapping!F:F)</f>
        <v>Lương Ngoài giờ</v>
      </c>
      <c r="D2225" s="173">
        <v>46022</v>
      </c>
      <c r="E2225" s="169" t="s">
        <v>1356</v>
      </c>
      <c r="F2225" s="169" t="s">
        <v>389</v>
      </c>
      <c r="G2225" s="169" t="s">
        <v>390</v>
      </c>
      <c r="H2225" s="169" t="s">
        <v>402</v>
      </c>
      <c r="I2225" s="169" t="s">
        <v>403</v>
      </c>
      <c r="J2225" s="169" t="s">
        <v>1357</v>
      </c>
      <c r="K2225" s="169" t="s">
        <v>1358</v>
      </c>
      <c r="L2225" s="169" t="s">
        <v>1338</v>
      </c>
      <c r="M2225" s="169" t="s">
        <v>281</v>
      </c>
      <c r="N2225" s="178">
        <v>42197614</v>
      </c>
      <c r="O2225" s="169" t="s">
        <v>1359</v>
      </c>
      <c r="P2225" s="169" t="s">
        <v>283</v>
      </c>
      <c r="Q2225" s="169" t="s">
        <v>284</v>
      </c>
      <c r="R2225" s="169" t="s">
        <v>283</v>
      </c>
      <c r="S2225" s="169" t="s">
        <v>283</v>
      </c>
      <c r="T2225" s="169">
        <v>0</v>
      </c>
    </row>
    <row r="2226" spans="1:20" x14ac:dyDescent="0.2">
      <c r="A2226" s="169" t="str">
        <f t="shared" si="13"/>
        <v>627</v>
      </c>
      <c r="B2226" s="167" t="str">
        <f>_xlfn.XLOOKUP(I2226,Mapping!D:D,Mapping!E:E)</f>
        <v>Xưởng Sản Xuất</v>
      </c>
      <c r="C2226" s="167" t="str">
        <f>_xlfn.XLOOKUP(F2226,Mapping!A:A,Mapping!F:F)</f>
        <v>Phụ Cấp</v>
      </c>
      <c r="D2226" s="173">
        <v>46022</v>
      </c>
      <c r="E2226" s="169" t="s">
        <v>1356</v>
      </c>
      <c r="F2226" s="169" t="s">
        <v>375</v>
      </c>
      <c r="G2226" s="169" t="s">
        <v>336</v>
      </c>
      <c r="H2226" s="169" t="s">
        <v>402</v>
      </c>
      <c r="I2226" s="169" t="s">
        <v>403</v>
      </c>
      <c r="J2226" s="169" t="s">
        <v>1357</v>
      </c>
      <c r="K2226" s="169" t="s">
        <v>1358</v>
      </c>
      <c r="L2226" s="169" t="s">
        <v>1338</v>
      </c>
      <c r="M2226" s="169" t="s">
        <v>281</v>
      </c>
      <c r="N2226" s="178">
        <v>510000</v>
      </c>
      <c r="O2226" s="169" t="s">
        <v>1359</v>
      </c>
      <c r="P2226" s="169" t="s">
        <v>283</v>
      </c>
      <c r="Q2226" s="169" t="s">
        <v>284</v>
      </c>
      <c r="R2226" s="169" t="s">
        <v>283</v>
      </c>
      <c r="S2226" s="169" t="s">
        <v>283</v>
      </c>
      <c r="T2226" s="169">
        <v>0</v>
      </c>
    </row>
    <row r="2227" spans="1:20" x14ac:dyDescent="0.2">
      <c r="A2227" s="169" t="str">
        <f t="shared" si="13"/>
        <v>622</v>
      </c>
      <c r="B2227" s="167" t="str">
        <f>_xlfn.XLOOKUP(I2227,Mapping!D:D,Mapping!E:E)</f>
        <v>Xưởng Sản Xuất</v>
      </c>
      <c r="C2227" s="167" t="str">
        <f>_xlfn.XLOOKUP(F2227,Mapping!A:A,Mapping!F:F)</f>
        <v>Lương Chính +T13</v>
      </c>
      <c r="D2227" s="173">
        <v>46022</v>
      </c>
      <c r="E2227" s="169" t="s">
        <v>1356</v>
      </c>
      <c r="F2227" s="169" t="s">
        <v>400</v>
      </c>
      <c r="G2227" s="169" t="s">
        <v>401</v>
      </c>
      <c r="H2227" s="169" t="s">
        <v>430</v>
      </c>
      <c r="I2227" s="169" t="s">
        <v>431</v>
      </c>
      <c r="J2227" s="169" t="s">
        <v>1357</v>
      </c>
      <c r="K2227" s="169" t="s">
        <v>1358</v>
      </c>
      <c r="L2227" s="169" t="s">
        <v>1338</v>
      </c>
      <c r="M2227" s="169" t="s">
        <v>281</v>
      </c>
      <c r="N2227" s="178">
        <v>275523659</v>
      </c>
      <c r="O2227" s="169" t="s">
        <v>1359</v>
      </c>
      <c r="P2227" s="169" t="s">
        <v>283</v>
      </c>
      <c r="Q2227" s="169" t="s">
        <v>284</v>
      </c>
      <c r="R2227" s="169" t="s">
        <v>283</v>
      </c>
      <c r="S2227" s="169" t="s">
        <v>283</v>
      </c>
      <c r="T2227" s="169">
        <v>0</v>
      </c>
    </row>
    <row r="2228" spans="1:20" x14ac:dyDescent="0.2">
      <c r="A2228" s="169" t="str">
        <f t="shared" si="13"/>
        <v>622</v>
      </c>
      <c r="B2228" s="167" t="str">
        <f>_xlfn.XLOOKUP(I2228,Mapping!D:D,Mapping!E:E)</f>
        <v>Xưởng Sản Xuất</v>
      </c>
      <c r="C2228" s="167" t="str">
        <f>_xlfn.XLOOKUP(F2228,Mapping!A:A,Mapping!F:F)</f>
        <v>Lương Chính +T13</v>
      </c>
      <c r="D2228" s="173">
        <v>46022</v>
      </c>
      <c r="E2228" s="169" t="s">
        <v>1356</v>
      </c>
      <c r="F2228" s="169" t="s">
        <v>420</v>
      </c>
      <c r="G2228" s="169" t="s">
        <v>286</v>
      </c>
      <c r="H2228" s="169" t="s">
        <v>430</v>
      </c>
      <c r="I2228" s="169" t="s">
        <v>431</v>
      </c>
      <c r="J2228" s="169" t="s">
        <v>1357</v>
      </c>
      <c r="K2228" s="169" t="s">
        <v>1358</v>
      </c>
      <c r="L2228" s="169" t="s">
        <v>1338</v>
      </c>
      <c r="M2228" s="169" t="s">
        <v>281</v>
      </c>
      <c r="N2228" s="178">
        <v>5787504</v>
      </c>
      <c r="O2228" s="169" t="s">
        <v>1359</v>
      </c>
      <c r="P2228" s="169" t="s">
        <v>283</v>
      </c>
      <c r="Q2228" s="169" t="s">
        <v>284</v>
      </c>
      <c r="R2228" s="169" t="s">
        <v>283</v>
      </c>
      <c r="S2228" s="169" t="s">
        <v>283</v>
      </c>
      <c r="T2228" s="169">
        <v>0</v>
      </c>
    </row>
    <row r="2229" spans="1:20" x14ac:dyDescent="0.2">
      <c r="A2229" s="169" t="str">
        <f t="shared" si="13"/>
        <v>622</v>
      </c>
      <c r="B2229" s="167" t="str">
        <f>_xlfn.XLOOKUP(I2229,Mapping!D:D,Mapping!E:E)</f>
        <v>Xưởng Sản Xuất</v>
      </c>
      <c r="C2229" s="167" t="str">
        <f>_xlfn.XLOOKUP(F2229,Mapping!A:A,Mapping!F:F)</f>
        <v>Phụ Cấp</v>
      </c>
      <c r="D2229" s="173">
        <v>46022</v>
      </c>
      <c r="E2229" s="169" t="s">
        <v>1356</v>
      </c>
      <c r="F2229" s="169" t="s">
        <v>421</v>
      </c>
      <c r="G2229" s="169" t="s">
        <v>341</v>
      </c>
      <c r="H2229" s="169" t="s">
        <v>430</v>
      </c>
      <c r="I2229" s="169" t="s">
        <v>431</v>
      </c>
      <c r="J2229" s="169" t="s">
        <v>1357</v>
      </c>
      <c r="K2229" s="169" t="s">
        <v>1358</v>
      </c>
      <c r="L2229" s="169" t="s">
        <v>1338</v>
      </c>
      <c r="M2229" s="169" t="s">
        <v>281</v>
      </c>
      <c r="N2229" s="178">
        <v>23927427</v>
      </c>
      <c r="O2229" s="169" t="s">
        <v>1359</v>
      </c>
      <c r="P2229" s="169" t="s">
        <v>283</v>
      </c>
      <c r="Q2229" s="169" t="s">
        <v>284</v>
      </c>
      <c r="R2229" s="169" t="s">
        <v>283</v>
      </c>
      <c r="S2229" s="169" t="s">
        <v>283</v>
      </c>
      <c r="T2229" s="169">
        <v>0</v>
      </c>
    </row>
    <row r="2230" spans="1:20" x14ac:dyDescent="0.2">
      <c r="A2230" s="169" t="str">
        <f t="shared" si="13"/>
        <v>622</v>
      </c>
      <c r="B2230" s="167" t="str">
        <f>_xlfn.XLOOKUP(I2230,Mapping!D:D,Mapping!E:E)</f>
        <v>Xưởng Sản Xuất</v>
      </c>
      <c r="C2230" s="167" t="str">
        <f>_xlfn.XLOOKUP(F2230,Mapping!A:A,Mapping!F:F)</f>
        <v>Lương Ngoài giờ</v>
      </c>
      <c r="D2230" s="173">
        <v>46022</v>
      </c>
      <c r="E2230" s="169" t="s">
        <v>1356</v>
      </c>
      <c r="F2230" s="169" t="s">
        <v>422</v>
      </c>
      <c r="G2230" s="169" t="s">
        <v>423</v>
      </c>
      <c r="H2230" s="169" t="s">
        <v>430</v>
      </c>
      <c r="I2230" s="169" t="s">
        <v>431</v>
      </c>
      <c r="J2230" s="169" t="s">
        <v>1357</v>
      </c>
      <c r="K2230" s="169" t="s">
        <v>1358</v>
      </c>
      <c r="L2230" s="169" t="s">
        <v>1338</v>
      </c>
      <c r="M2230" s="169" t="s">
        <v>281</v>
      </c>
      <c r="N2230" s="178">
        <v>46350421</v>
      </c>
      <c r="O2230" s="169" t="s">
        <v>1359</v>
      </c>
      <c r="P2230" s="169" t="s">
        <v>283</v>
      </c>
      <c r="Q2230" s="169" t="s">
        <v>284</v>
      </c>
      <c r="R2230" s="169" t="s">
        <v>283</v>
      </c>
      <c r="S2230" s="169" t="s">
        <v>283</v>
      </c>
      <c r="T2230" s="169">
        <v>0</v>
      </c>
    </row>
    <row r="2231" spans="1:20" x14ac:dyDescent="0.2">
      <c r="A2231" s="169" t="str">
        <f t="shared" si="13"/>
        <v>627</v>
      </c>
      <c r="B2231" s="167" t="str">
        <f>_xlfn.XLOOKUP(I2231,Mapping!D:D,Mapping!E:E)</f>
        <v>Xưởng Sản Xuất</v>
      </c>
      <c r="C2231" s="167" t="str">
        <f>_xlfn.XLOOKUP(F2231,Mapping!A:A,Mapping!F:F)</f>
        <v>Phụ Cấp</v>
      </c>
      <c r="D2231" s="173">
        <v>46022</v>
      </c>
      <c r="E2231" s="169" t="s">
        <v>1356</v>
      </c>
      <c r="F2231" s="169" t="s">
        <v>386</v>
      </c>
      <c r="G2231" s="169" t="s">
        <v>341</v>
      </c>
      <c r="H2231" s="169" t="s">
        <v>430</v>
      </c>
      <c r="I2231" s="169" t="s">
        <v>431</v>
      </c>
      <c r="J2231" s="169" t="s">
        <v>1357</v>
      </c>
      <c r="K2231" s="169" t="s">
        <v>1358</v>
      </c>
      <c r="L2231" s="169" t="s">
        <v>1338</v>
      </c>
      <c r="M2231" s="169" t="s">
        <v>281</v>
      </c>
      <c r="N2231" s="178">
        <v>7726899</v>
      </c>
      <c r="O2231" s="169" t="s">
        <v>1359</v>
      </c>
      <c r="P2231" s="169" t="s">
        <v>283</v>
      </c>
      <c r="Q2231" s="169" t="s">
        <v>284</v>
      </c>
      <c r="R2231" s="169" t="s">
        <v>283</v>
      </c>
      <c r="S2231" s="169" t="s">
        <v>283</v>
      </c>
      <c r="T2231" s="169">
        <v>0</v>
      </c>
    </row>
    <row r="2232" spans="1:20" x14ac:dyDescent="0.2">
      <c r="A2232" s="169" t="str">
        <f t="shared" si="13"/>
        <v>627</v>
      </c>
      <c r="B2232" s="167" t="str">
        <f>_xlfn.XLOOKUP(I2232,Mapping!D:D,Mapping!E:E)</f>
        <v>Xưởng Sản Xuất</v>
      </c>
      <c r="C2232" s="167" t="str">
        <f>_xlfn.XLOOKUP(F2232,Mapping!A:A,Mapping!F:F)</f>
        <v>Lương Chính +T13</v>
      </c>
      <c r="D2232" s="173">
        <v>46022</v>
      </c>
      <c r="E2232" s="169" t="s">
        <v>1356</v>
      </c>
      <c r="F2232" s="169" t="s">
        <v>387</v>
      </c>
      <c r="G2232" s="169" t="s">
        <v>275</v>
      </c>
      <c r="H2232" s="169" t="s">
        <v>430</v>
      </c>
      <c r="I2232" s="169" t="s">
        <v>431</v>
      </c>
      <c r="J2232" s="169" t="s">
        <v>1357</v>
      </c>
      <c r="K2232" s="169" t="s">
        <v>1358</v>
      </c>
      <c r="L2232" s="169" t="s">
        <v>1338</v>
      </c>
      <c r="M2232" s="169" t="s">
        <v>281</v>
      </c>
      <c r="N2232" s="178">
        <v>153452790</v>
      </c>
      <c r="O2232" s="169" t="s">
        <v>1359</v>
      </c>
      <c r="P2232" s="169" t="s">
        <v>283</v>
      </c>
      <c r="Q2232" s="169" t="s">
        <v>284</v>
      </c>
      <c r="R2232" s="169" t="s">
        <v>283</v>
      </c>
      <c r="S2232" s="169" t="s">
        <v>283</v>
      </c>
      <c r="T2232" s="169">
        <v>0</v>
      </c>
    </row>
    <row r="2233" spans="1:20" x14ac:dyDescent="0.2">
      <c r="A2233" s="169" t="str">
        <f t="shared" si="13"/>
        <v>627</v>
      </c>
      <c r="B2233" s="167" t="str">
        <f>_xlfn.XLOOKUP(I2233,Mapping!D:D,Mapping!E:E)</f>
        <v>Xưởng Sản Xuất</v>
      </c>
      <c r="C2233" s="167" t="str">
        <f>_xlfn.XLOOKUP(F2233,Mapping!A:A,Mapping!F:F)</f>
        <v>Lương Chính +T13</v>
      </c>
      <c r="D2233" s="173">
        <v>46022</v>
      </c>
      <c r="E2233" s="169" t="s">
        <v>1356</v>
      </c>
      <c r="F2233" s="169" t="s">
        <v>388</v>
      </c>
      <c r="G2233" s="169" t="s">
        <v>286</v>
      </c>
      <c r="H2233" s="169" t="s">
        <v>430</v>
      </c>
      <c r="I2233" s="169" t="s">
        <v>431</v>
      </c>
      <c r="J2233" s="169" t="s">
        <v>1357</v>
      </c>
      <c r="K2233" s="169" t="s">
        <v>1358</v>
      </c>
      <c r="L2233" s="169" t="s">
        <v>1338</v>
      </c>
      <c r="M2233" s="169" t="s">
        <v>281</v>
      </c>
      <c r="N2233" s="178">
        <v>2573558</v>
      </c>
      <c r="O2233" s="169" t="s">
        <v>1359</v>
      </c>
      <c r="P2233" s="169" t="s">
        <v>283</v>
      </c>
      <c r="Q2233" s="169" t="s">
        <v>284</v>
      </c>
      <c r="R2233" s="169" t="s">
        <v>283</v>
      </c>
      <c r="S2233" s="169" t="s">
        <v>283</v>
      </c>
      <c r="T2233" s="169">
        <v>0</v>
      </c>
    </row>
    <row r="2234" spans="1:20" x14ac:dyDescent="0.2">
      <c r="A2234" s="169" t="str">
        <f t="shared" si="13"/>
        <v>627</v>
      </c>
      <c r="B2234" s="167" t="str">
        <f>_xlfn.XLOOKUP(I2234,Mapping!D:D,Mapping!E:E)</f>
        <v>Xưởng Sản Xuất</v>
      </c>
      <c r="C2234" s="167" t="str">
        <f>_xlfn.XLOOKUP(F2234,Mapping!A:A,Mapping!F:F)</f>
        <v>Lương Ngoài giờ</v>
      </c>
      <c r="D2234" s="173">
        <v>46022</v>
      </c>
      <c r="E2234" s="169" t="s">
        <v>1356</v>
      </c>
      <c r="F2234" s="169" t="s">
        <v>389</v>
      </c>
      <c r="G2234" s="169" t="s">
        <v>390</v>
      </c>
      <c r="H2234" s="169" t="s">
        <v>430</v>
      </c>
      <c r="I2234" s="169" t="s">
        <v>431</v>
      </c>
      <c r="J2234" s="169" t="s">
        <v>1357</v>
      </c>
      <c r="K2234" s="169" t="s">
        <v>1358</v>
      </c>
      <c r="L2234" s="169" t="s">
        <v>1338</v>
      </c>
      <c r="M2234" s="169" t="s">
        <v>281</v>
      </c>
      <c r="N2234" s="178">
        <v>16281804</v>
      </c>
      <c r="O2234" s="169" t="s">
        <v>1359</v>
      </c>
      <c r="P2234" s="169" t="s">
        <v>283</v>
      </c>
      <c r="Q2234" s="169" t="s">
        <v>284</v>
      </c>
      <c r="R2234" s="169" t="s">
        <v>283</v>
      </c>
      <c r="S2234" s="169" t="s">
        <v>283</v>
      </c>
      <c r="T2234" s="169">
        <v>0</v>
      </c>
    </row>
    <row r="2235" spans="1:20" x14ac:dyDescent="0.2">
      <c r="A2235" s="169" t="str">
        <f t="shared" si="13"/>
        <v>627</v>
      </c>
      <c r="B2235" s="167" t="str">
        <f>_xlfn.XLOOKUP(I2235,Mapping!D:D,Mapping!E:E)</f>
        <v>Xưởng Sản Xuất</v>
      </c>
      <c r="C2235" s="167" t="str">
        <f>_xlfn.XLOOKUP(F2235,Mapping!A:A,Mapping!F:F)</f>
        <v>Phụ Cấp</v>
      </c>
      <c r="D2235" s="173">
        <v>46022</v>
      </c>
      <c r="E2235" s="169" t="s">
        <v>1356</v>
      </c>
      <c r="F2235" s="169" t="s">
        <v>386</v>
      </c>
      <c r="G2235" s="169" t="s">
        <v>341</v>
      </c>
      <c r="H2235" s="169" t="s">
        <v>436</v>
      </c>
      <c r="I2235" s="169" t="s">
        <v>437</v>
      </c>
      <c r="J2235" s="169" t="s">
        <v>1357</v>
      </c>
      <c r="K2235" s="169" t="s">
        <v>1358</v>
      </c>
      <c r="L2235" s="169" t="s">
        <v>1338</v>
      </c>
      <c r="M2235" s="169" t="s">
        <v>281</v>
      </c>
      <c r="N2235" s="178">
        <v>7203034</v>
      </c>
      <c r="O2235" s="169" t="s">
        <v>1359</v>
      </c>
      <c r="P2235" s="169" t="s">
        <v>283</v>
      </c>
      <c r="Q2235" s="169" t="s">
        <v>284</v>
      </c>
      <c r="R2235" s="169" t="s">
        <v>283</v>
      </c>
      <c r="S2235" s="169" t="s">
        <v>283</v>
      </c>
      <c r="T2235" s="169">
        <v>0</v>
      </c>
    </row>
    <row r="2236" spans="1:20" x14ac:dyDescent="0.2">
      <c r="A2236" s="169" t="str">
        <f t="shared" si="13"/>
        <v>627</v>
      </c>
      <c r="B2236" s="167" t="str">
        <f>_xlfn.XLOOKUP(I2236,Mapping!D:D,Mapping!E:E)</f>
        <v>Xưởng Sản Xuất</v>
      </c>
      <c r="C2236" s="167" t="str">
        <f>_xlfn.XLOOKUP(F2236,Mapping!A:A,Mapping!F:F)</f>
        <v>Lương Chính +T13</v>
      </c>
      <c r="D2236" s="173">
        <v>46022</v>
      </c>
      <c r="E2236" s="169" t="s">
        <v>1356</v>
      </c>
      <c r="F2236" s="169" t="s">
        <v>387</v>
      </c>
      <c r="G2236" s="169" t="s">
        <v>275</v>
      </c>
      <c r="H2236" s="169" t="s">
        <v>436</v>
      </c>
      <c r="I2236" s="169" t="s">
        <v>437</v>
      </c>
      <c r="J2236" s="169" t="s">
        <v>1357</v>
      </c>
      <c r="K2236" s="169" t="s">
        <v>1358</v>
      </c>
      <c r="L2236" s="169" t="s">
        <v>1338</v>
      </c>
      <c r="M2236" s="169" t="s">
        <v>281</v>
      </c>
      <c r="N2236" s="178">
        <v>358734943</v>
      </c>
      <c r="O2236" s="169" t="s">
        <v>1359</v>
      </c>
      <c r="P2236" s="169" t="s">
        <v>283</v>
      </c>
      <c r="Q2236" s="169" t="s">
        <v>284</v>
      </c>
      <c r="R2236" s="169" t="s">
        <v>283</v>
      </c>
      <c r="S2236" s="169" t="s">
        <v>283</v>
      </c>
      <c r="T2236" s="169">
        <v>0</v>
      </c>
    </row>
    <row r="2237" spans="1:20" x14ac:dyDescent="0.2">
      <c r="A2237" s="169" t="str">
        <f t="shared" si="13"/>
        <v>627</v>
      </c>
      <c r="B2237" s="167" t="str">
        <f>_xlfn.XLOOKUP(I2237,Mapping!D:D,Mapping!E:E)</f>
        <v>Xưởng Sản Xuất</v>
      </c>
      <c r="C2237" s="167" t="str">
        <f>_xlfn.XLOOKUP(F2237,Mapping!A:A,Mapping!F:F)</f>
        <v>Lương Chính +T13</v>
      </c>
      <c r="D2237" s="173">
        <v>46022</v>
      </c>
      <c r="E2237" s="169" t="s">
        <v>1356</v>
      </c>
      <c r="F2237" s="169" t="s">
        <v>388</v>
      </c>
      <c r="G2237" s="169" t="s">
        <v>286</v>
      </c>
      <c r="H2237" s="169" t="s">
        <v>436</v>
      </c>
      <c r="I2237" s="169" t="s">
        <v>437</v>
      </c>
      <c r="J2237" s="169" t="s">
        <v>1357</v>
      </c>
      <c r="K2237" s="169" t="s">
        <v>1358</v>
      </c>
      <c r="L2237" s="169" t="s">
        <v>1338</v>
      </c>
      <c r="M2237" s="169" t="s">
        <v>281</v>
      </c>
      <c r="N2237" s="178">
        <v>13299810</v>
      </c>
      <c r="O2237" s="169" t="s">
        <v>1359</v>
      </c>
      <c r="P2237" s="169" t="s">
        <v>283</v>
      </c>
      <c r="Q2237" s="169" t="s">
        <v>284</v>
      </c>
      <c r="R2237" s="169" t="s">
        <v>283</v>
      </c>
      <c r="S2237" s="169" t="s">
        <v>283</v>
      </c>
      <c r="T2237" s="169">
        <v>0</v>
      </c>
    </row>
    <row r="2238" spans="1:20" x14ac:dyDescent="0.2">
      <c r="A2238" s="169" t="str">
        <f t="shared" si="13"/>
        <v>627</v>
      </c>
      <c r="B2238" s="167" t="str">
        <f>_xlfn.XLOOKUP(I2238,Mapping!D:D,Mapping!E:E)</f>
        <v>Xưởng Sản Xuất</v>
      </c>
      <c r="C2238" s="167" t="str">
        <f>_xlfn.XLOOKUP(F2238,Mapping!A:A,Mapping!F:F)</f>
        <v>Lương Ngoài giờ</v>
      </c>
      <c r="D2238" s="173">
        <v>46022</v>
      </c>
      <c r="E2238" s="169" t="s">
        <v>1356</v>
      </c>
      <c r="F2238" s="169" t="s">
        <v>389</v>
      </c>
      <c r="G2238" s="169" t="s">
        <v>390</v>
      </c>
      <c r="H2238" s="169" t="s">
        <v>436</v>
      </c>
      <c r="I2238" s="169" t="s">
        <v>437</v>
      </c>
      <c r="J2238" s="169" t="s">
        <v>1357</v>
      </c>
      <c r="K2238" s="169" t="s">
        <v>1358</v>
      </c>
      <c r="L2238" s="169" t="s">
        <v>1338</v>
      </c>
      <c r="M2238" s="169" t="s">
        <v>281</v>
      </c>
      <c r="N2238" s="178">
        <v>35413911</v>
      </c>
      <c r="O2238" s="169" t="s">
        <v>1359</v>
      </c>
      <c r="P2238" s="169" t="s">
        <v>283</v>
      </c>
      <c r="Q2238" s="169" t="s">
        <v>284</v>
      </c>
      <c r="R2238" s="169" t="s">
        <v>283</v>
      </c>
      <c r="S2238" s="169" t="s">
        <v>283</v>
      </c>
      <c r="T2238" s="169">
        <v>0</v>
      </c>
    </row>
    <row r="2239" spans="1:20" x14ac:dyDescent="0.2">
      <c r="A2239" s="169" t="str">
        <f t="shared" si="13"/>
        <v>627</v>
      </c>
      <c r="B2239" s="167" t="str">
        <f>_xlfn.XLOOKUP(I2239,Mapping!D:D,Mapping!E:E)</f>
        <v>Xưởng Sản Xuất</v>
      </c>
      <c r="C2239" s="167" t="str">
        <f>_xlfn.XLOOKUP(F2239,Mapping!A:A,Mapping!F:F)</f>
        <v>Phụ Cấp</v>
      </c>
      <c r="D2239" s="173">
        <v>46022</v>
      </c>
      <c r="E2239" s="169" t="s">
        <v>1356</v>
      </c>
      <c r="F2239" s="169" t="s">
        <v>375</v>
      </c>
      <c r="G2239" s="169" t="s">
        <v>336</v>
      </c>
      <c r="H2239" s="169" t="s">
        <v>436</v>
      </c>
      <c r="I2239" s="169" t="s">
        <v>437</v>
      </c>
      <c r="J2239" s="169" t="s">
        <v>1357</v>
      </c>
      <c r="K2239" s="169" t="s">
        <v>1358</v>
      </c>
      <c r="L2239" s="169" t="s">
        <v>1338</v>
      </c>
      <c r="M2239" s="169" t="s">
        <v>281</v>
      </c>
      <c r="N2239" s="178">
        <v>725000</v>
      </c>
      <c r="O2239" s="169" t="s">
        <v>1359</v>
      </c>
      <c r="P2239" s="169" t="s">
        <v>283</v>
      </c>
      <c r="Q2239" s="169" t="s">
        <v>284</v>
      </c>
      <c r="R2239" s="169" t="s">
        <v>283</v>
      </c>
      <c r="S2239" s="169" t="s">
        <v>283</v>
      </c>
      <c r="T2239" s="169">
        <v>0</v>
      </c>
    </row>
    <row r="2240" spans="1:20" x14ac:dyDescent="0.2">
      <c r="A2240" s="169" t="str">
        <f t="shared" si="13"/>
        <v>642</v>
      </c>
      <c r="B2240" s="167" t="str">
        <f>_xlfn.XLOOKUP(I2240,Mapping!D:D,Mapping!E:E)</f>
        <v>Hành Chánh Nhân Sự</v>
      </c>
      <c r="C2240" s="167" t="str">
        <f>_xlfn.XLOOKUP(F2240,Mapping!A:A,Mapping!F:F)</f>
        <v>Lương Chính +T13</v>
      </c>
      <c r="D2240" s="173">
        <v>46022</v>
      </c>
      <c r="E2240" s="169" t="s">
        <v>1356</v>
      </c>
      <c r="F2240" s="169" t="s">
        <v>274</v>
      </c>
      <c r="G2240" s="169" t="s">
        <v>275</v>
      </c>
      <c r="H2240" s="169" t="s">
        <v>382</v>
      </c>
      <c r="I2240" s="169" t="s">
        <v>200</v>
      </c>
      <c r="J2240" s="169" t="s">
        <v>1357</v>
      </c>
      <c r="K2240" s="169" t="s">
        <v>1358</v>
      </c>
      <c r="L2240" s="169" t="s">
        <v>1338</v>
      </c>
      <c r="M2240" s="169" t="s">
        <v>281</v>
      </c>
      <c r="N2240" s="178">
        <v>62103927</v>
      </c>
      <c r="O2240" s="169" t="s">
        <v>1359</v>
      </c>
      <c r="P2240" s="169" t="s">
        <v>283</v>
      </c>
      <c r="Q2240" s="169" t="s">
        <v>284</v>
      </c>
      <c r="R2240" s="169" t="s">
        <v>283</v>
      </c>
      <c r="S2240" s="169" t="s">
        <v>283</v>
      </c>
      <c r="T2240" s="169">
        <v>0</v>
      </c>
    </row>
    <row r="2241" spans="1:20" x14ac:dyDescent="0.2">
      <c r="A2241" s="169" t="str">
        <f t="shared" si="13"/>
        <v>642</v>
      </c>
      <c r="B2241" s="167" t="str">
        <f>_xlfn.XLOOKUP(I2241,Mapping!D:D,Mapping!E:E)</f>
        <v>Hành Chánh Nhân Sự</v>
      </c>
      <c r="C2241" s="167" t="str">
        <f>_xlfn.XLOOKUP(F2241,Mapping!A:A,Mapping!F:F)</f>
        <v>Lương Chính +T13</v>
      </c>
      <c r="D2241" s="173">
        <v>46022</v>
      </c>
      <c r="E2241" s="169" t="s">
        <v>1356</v>
      </c>
      <c r="F2241" s="169" t="s">
        <v>285</v>
      </c>
      <c r="G2241" s="169" t="s">
        <v>286</v>
      </c>
      <c r="H2241" s="169" t="s">
        <v>382</v>
      </c>
      <c r="I2241" s="169" t="s">
        <v>200</v>
      </c>
      <c r="J2241" s="169" t="s">
        <v>1357</v>
      </c>
      <c r="K2241" s="169" t="s">
        <v>1358</v>
      </c>
      <c r="L2241" s="169" t="s">
        <v>1338</v>
      </c>
      <c r="M2241" s="169" t="s">
        <v>281</v>
      </c>
      <c r="N2241" s="178">
        <v>5080615</v>
      </c>
      <c r="O2241" s="169" t="s">
        <v>1359</v>
      </c>
      <c r="P2241" s="169" t="s">
        <v>283</v>
      </c>
      <c r="Q2241" s="169" t="s">
        <v>284</v>
      </c>
      <c r="R2241" s="169" t="s">
        <v>283</v>
      </c>
      <c r="S2241" s="169" t="s">
        <v>283</v>
      </c>
      <c r="T2241" s="169">
        <v>0</v>
      </c>
    </row>
    <row r="2242" spans="1:20" x14ac:dyDescent="0.2">
      <c r="A2242" s="169" t="str">
        <f t="shared" si="13"/>
        <v>642</v>
      </c>
      <c r="B2242" s="167" t="str">
        <f>_xlfn.XLOOKUP(I2242,Mapping!D:D,Mapping!E:E)</f>
        <v>Hành Chánh Nhân Sự</v>
      </c>
      <c r="C2242" s="167" t="str">
        <f>_xlfn.XLOOKUP(F2242,Mapping!A:A,Mapping!F:F)</f>
        <v>Phụ Cấp</v>
      </c>
      <c r="D2242" s="173">
        <v>46022</v>
      </c>
      <c r="E2242" s="169" t="s">
        <v>1356</v>
      </c>
      <c r="F2242" s="169" t="s">
        <v>335</v>
      </c>
      <c r="G2242" s="169" t="s">
        <v>336</v>
      </c>
      <c r="H2242" s="169" t="s">
        <v>382</v>
      </c>
      <c r="I2242" s="169" t="s">
        <v>200</v>
      </c>
      <c r="J2242" s="169" t="s">
        <v>1357</v>
      </c>
      <c r="K2242" s="169" t="s">
        <v>1358</v>
      </c>
      <c r="L2242" s="169" t="s">
        <v>1338</v>
      </c>
      <c r="M2242" s="169" t="s">
        <v>281</v>
      </c>
      <c r="N2242" s="178">
        <v>75000</v>
      </c>
      <c r="O2242" s="169" t="s">
        <v>1359</v>
      </c>
      <c r="P2242" s="169" t="s">
        <v>283</v>
      </c>
      <c r="Q2242" s="169" t="s">
        <v>284</v>
      </c>
      <c r="R2242" s="169" t="s">
        <v>283</v>
      </c>
      <c r="S2242" s="169" t="s">
        <v>283</v>
      </c>
      <c r="T2242" s="169">
        <v>0</v>
      </c>
    </row>
    <row r="2243" spans="1:20" x14ac:dyDescent="0.2">
      <c r="A2243" s="169" t="str">
        <f t="shared" si="13"/>
        <v>642</v>
      </c>
      <c r="B2243" s="167" t="str">
        <f>_xlfn.XLOOKUP(I2243,Mapping!D:D,Mapping!E:E)</f>
        <v>Hành Chánh Nhân Sự</v>
      </c>
      <c r="C2243" s="167" t="str">
        <f>_xlfn.XLOOKUP(F2243,Mapping!A:A,Mapping!F:F)</f>
        <v>Lương Chính +T13</v>
      </c>
      <c r="D2243" s="173">
        <v>46022</v>
      </c>
      <c r="E2243" s="169" t="s">
        <v>1356</v>
      </c>
      <c r="F2243" s="169" t="s">
        <v>274</v>
      </c>
      <c r="G2243" s="169" t="s">
        <v>275</v>
      </c>
      <c r="H2243" s="169" t="s">
        <v>358</v>
      </c>
      <c r="I2243" s="169" t="s">
        <v>359</v>
      </c>
      <c r="J2243" s="169" t="s">
        <v>1357</v>
      </c>
      <c r="K2243" s="169" t="s">
        <v>1358</v>
      </c>
      <c r="L2243" s="169" t="s">
        <v>1338</v>
      </c>
      <c r="M2243" s="169" t="s">
        <v>281</v>
      </c>
      <c r="N2243" s="178">
        <v>98986587</v>
      </c>
      <c r="O2243" s="169" t="s">
        <v>1359</v>
      </c>
      <c r="P2243" s="169" t="s">
        <v>283</v>
      </c>
      <c r="Q2243" s="169" t="s">
        <v>284</v>
      </c>
      <c r="R2243" s="169" t="s">
        <v>283</v>
      </c>
      <c r="S2243" s="169" t="s">
        <v>283</v>
      </c>
      <c r="T2243" s="169">
        <v>0</v>
      </c>
    </row>
    <row r="2244" spans="1:20" x14ac:dyDescent="0.2">
      <c r="A2244" s="169" t="str">
        <f t="shared" si="13"/>
        <v>642</v>
      </c>
      <c r="B2244" s="167" t="str">
        <f>_xlfn.XLOOKUP(I2244,Mapping!D:D,Mapping!E:E)</f>
        <v>Hành Chánh Nhân Sự</v>
      </c>
      <c r="C2244" s="167" t="str">
        <f>_xlfn.XLOOKUP(F2244,Mapping!A:A,Mapping!F:F)</f>
        <v>Lương Chính +T13</v>
      </c>
      <c r="D2244" s="173">
        <v>46022</v>
      </c>
      <c r="E2244" s="169" t="s">
        <v>1356</v>
      </c>
      <c r="F2244" s="169" t="s">
        <v>285</v>
      </c>
      <c r="G2244" s="169" t="s">
        <v>286</v>
      </c>
      <c r="H2244" s="169" t="s">
        <v>358</v>
      </c>
      <c r="I2244" s="169" t="s">
        <v>359</v>
      </c>
      <c r="J2244" s="169" t="s">
        <v>1357</v>
      </c>
      <c r="K2244" s="169" t="s">
        <v>1358</v>
      </c>
      <c r="L2244" s="169" t="s">
        <v>1338</v>
      </c>
      <c r="M2244" s="169" t="s">
        <v>281</v>
      </c>
      <c r="N2244" s="178">
        <v>3101500</v>
      </c>
      <c r="O2244" s="169" t="s">
        <v>1359</v>
      </c>
      <c r="P2244" s="169" t="s">
        <v>283</v>
      </c>
      <c r="Q2244" s="169" t="s">
        <v>284</v>
      </c>
      <c r="R2244" s="169" t="s">
        <v>283</v>
      </c>
      <c r="S2244" s="169" t="s">
        <v>283</v>
      </c>
      <c r="T2244" s="169">
        <v>0</v>
      </c>
    </row>
    <row r="2245" spans="1:20" x14ac:dyDescent="0.2">
      <c r="A2245" s="169" t="str">
        <f t="shared" si="13"/>
        <v>642</v>
      </c>
      <c r="B2245" s="167" t="str">
        <f>_xlfn.XLOOKUP(I2245,Mapping!D:D,Mapping!E:E)</f>
        <v>Hành Chánh Nhân Sự</v>
      </c>
      <c r="C2245" s="167" t="str">
        <f>_xlfn.XLOOKUP(F2245,Mapping!A:A,Mapping!F:F)</f>
        <v>Phụ Cấp</v>
      </c>
      <c r="D2245" s="173">
        <v>46022</v>
      </c>
      <c r="E2245" s="169" t="s">
        <v>1356</v>
      </c>
      <c r="F2245" s="169" t="s">
        <v>335</v>
      </c>
      <c r="G2245" s="169" t="s">
        <v>336</v>
      </c>
      <c r="H2245" s="169" t="s">
        <v>358</v>
      </c>
      <c r="I2245" s="169" t="s">
        <v>359</v>
      </c>
      <c r="J2245" s="169" t="s">
        <v>1357</v>
      </c>
      <c r="K2245" s="169" t="s">
        <v>1358</v>
      </c>
      <c r="L2245" s="169" t="s">
        <v>1338</v>
      </c>
      <c r="M2245" s="169" t="s">
        <v>281</v>
      </c>
      <c r="N2245" s="178">
        <v>50000</v>
      </c>
      <c r="O2245" s="169" t="s">
        <v>1359</v>
      </c>
      <c r="P2245" s="169" t="s">
        <v>283</v>
      </c>
      <c r="Q2245" s="169" t="s">
        <v>284</v>
      </c>
      <c r="R2245" s="169" t="s">
        <v>283</v>
      </c>
      <c r="S2245" s="169" t="s">
        <v>283</v>
      </c>
      <c r="T2245" s="169">
        <v>0</v>
      </c>
    </row>
    <row r="2246" spans="1:20" x14ac:dyDescent="0.2">
      <c r="A2246" s="169" t="str">
        <f t="shared" si="13"/>
        <v>642</v>
      </c>
      <c r="B2246" s="167" t="str">
        <f>_xlfn.XLOOKUP(I2246,Mapping!D:D,Mapping!E:E)</f>
        <v>Tư vấn dịch vụ</v>
      </c>
      <c r="C2246" s="167" t="str">
        <f>_xlfn.XLOOKUP(F2246,Mapping!A:A,Mapping!F:F)</f>
        <v>Lương Chính +T13</v>
      </c>
      <c r="D2246" s="173">
        <v>46022</v>
      </c>
      <c r="E2246" s="169" t="s">
        <v>1356</v>
      </c>
      <c r="F2246" s="169" t="s">
        <v>274</v>
      </c>
      <c r="G2246" s="169" t="s">
        <v>275</v>
      </c>
      <c r="H2246" s="169" t="s">
        <v>443</v>
      </c>
      <c r="I2246" s="169" t="s">
        <v>444</v>
      </c>
      <c r="J2246" s="169" t="s">
        <v>1357</v>
      </c>
      <c r="K2246" s="169" t="s">
        <v>1358</v>
      </c>
      <c r="L2246" s="169" t="s">
        <v>1338</v>
      </c>
      <c r="M2246" s="169" t="s">
        <v>281</v>
      </c>
      <c r="N2246" s="178">
        <v>70000000</v>
      </c>
      <c r="O2246" s="169" t="s">
        <v>1359</v>
      </c>
      <c r="P2246" s="169" t="s">
        <v>283</v>
      </c>
      <c r="Q2246" s="169" t="s">
        <v>284</v>
      </c>
      <c r="R2246" s="169" t="s">
        <v>283</v>
      </c>
      <c r="S2246" s="169" t="s">
        <v>283</v>
      </c>
      <c r="T2246" s="169">
        <v>0</v>
      </c>
    </row>
    <row r="2247" spans="1:20" x14ac:dyDescent="0.2">
      <c r="A2247" s="169" t="str">
        <f t="shared" si="13"/>
        <v>622</v>
      </c>
      <c r="B2247" s="167" t="str">
        <f>_xlfn.XLOOKUP(I2247,Mapping!D:D,Mapping!E:E)</f>
        <v>Xưởng Sản Xuất</v>
      </c>
      <c r="C2247" s="167" t="str">
        <f>_xlfn.XLOOKUP(F2247,Mapping!A:A,Mapping!F:F)</f>
        <v>Lương Chính +T13</v>
      </c>
      <c r="D2247" s="173">
        <v>46022</v>
      </c>
      <c r="E2247" s="169" t="s">
        <v>1356</v>
      </c>
      <c r="F2247" s="169" t="s">
        <v>400</v>
      </c>
      <c r="G2247" s="169" t="s">
        <v>401</v>
      </c>
      <c r="H2247" s="169" t="s">
        <v>441</v>
      </c>
      <c r="I2247" s="169" t="s">
        <v>442</v>
      </c>
      <c r="J2247" s="169" t="s">
        <v>1357</v>
      </c>
      <c r="K2247" s="169" t="s">
        <v>1358</v>
      </c>
      <c r="L2247" s="169" t="s">
        <v>1338</v>
      </c>
      <c r="M2247" s="169" t="s">
        <v>281</v>
      </c>
      <c r="N2247" s="178">
        <v>7886577</v>
      </c>
      <c r="O2247" s="169" t="s">
        <v>1359</v>
      </c>
      <c r="P2247" s="169" t="s">
        <v>283</v>
      </c>
      <c r="Q2247" s="169" t="s">
        <v>284</v>
      </c>
      <c r="R2247" s="169" t="s">
        <v>283</v>
      </c>
      <c r="S2247" s="169" t="s">
        <v>283</v>
      </c>
      <c r="T2247" s="169">
        <v>0</v>
      </c>
    </row>
    <row r="2248" spans="1:20" x14ac:dyDescent="0.2">
      <c r="A2248" s="169" t="str">
        <f t="shared" si="13"/>
        <v>622</v>
      </c>
      <c r="B2248" s="167" t="str">
        <f>_xlfn.XLOOKUP(I2248,Mapping!D:D,Mapping!E:E)</f>
        <v>Xưởng Sản Xuất</v>
      </c>
      <c r="C2248" s="167" t="str">
        <f>_xlfn.XLOOKUP(F2248,Mapping!A:A,Mapping!F:F)</f>
        <v>Phụ Cấp</v>
      </c>
      <c r="D2248" s="173">
        <v>46022</v>
      </c>
      <c r="E2248" s="169" t="s">
        <v>1356</v>
      </c>
      <c r="F2248" s="169" t="s">
        <v>421</v>
      </c>
      <c r="G2248" s="169" t="s">
        <v>341</v>
      </c>
      <c r="H2248" s="169" t="s">
        <v>441</v>
      </c>
      <c r="I2248" s="169" t="s">
        <v>442</v>
      </c>
      <c r="J2248" s="169" t="s">
        <v>1357</v>
      </c>
      <c r="K2248" s="169" t="s">
        <v>1358</v>
      </c>
      <c r="L2248" s="169" t="s">
        <v>1338</v>
      </c>
      <c r="M2248" s="169" t="s">
        <v>281</v>
      </c>
      <c r="N2248" s="178">
        <v>706708</v>
      </c>
      <c r="O2248" s="169" t="s">
        <v>1359</v>
      </c>
      <c r="P2248" s="169" t="s">
        <v>283</v>
      </c>
      <c r="Q2248" s="169" t="s">
        <v>284</v>
      </c>
      <c r="R2248" s="169" t="s">
        <v>283</v>
      </c>
      <c r="S2248" s="169" t="s">
        <v>283</v>
      </c>
      <c r="T2248" s="169">
        <v>0</v>
      </c>
    </row>
    <row r="2249" spans="1:20" x14ac:dyDescent="0.2">
      <c r="A2249" s="169" t="str">
        <f t="shared" si="13"/>
        <v>622</v>
      </c>
      <c r="B2249" s="167" t="str">
        <f>_xlfn.XLOOKUP(I2249,Mapping!D:D,Mapping!E:E)</f>
        <v>Xưởng Sản Xuất</v>
      </c>
      <c r="C2249" s="167" t="str">
        <f>_xlfn.XLOOKUP(F2249,Mapping!A:A,Mapping!F:F)</f>
        <v>Lương Ngoài giờ</v>
      </c>
      <c r="D2249" s="173">
        <v>46022</v>
      </c>
      <c r="E2249" s="169" t="s">
        <v>1356</v>
      </c>
      <c r="F2249" s="169" t="s">
        <v>422</v>
      </c>
      <c r="G2249" s="169" t="s">
        <v>423</v>
      </c>
      <c r="H2249" s="169" t="s">
        <v>441</v>
      </c>
      <c r="I2249" s="169" t="s">
        <v>442</v>
      </c>
      <c r="J2249" s="169" t="s">
        <v>1357</v>
      </c>
      <c r="K2249" s="169" t="s">
        <v>1358</v>
      </c>
      <c r="L2249" s="169" t="s">
        <v>1338</v>
      </c>
      <c r="M2249" s="169" t="s">
        <v>281</v>
      </c>
      <c r="N2249" s="178">
        <v>1357055</v>
      </c>
      <c r="O2249" s="169" t="s">
        <v>1359</v>
      </c>
      <c r="P2249" s="169" t="s">
        <v>283</v>
      </c>
      <c r="Q2249" s="169" t="s">
        <v>284</v>
      </c>
      <c r="R2249" s="169" t="s">
        <v>283</v>
      </c>
      <c r="S2249" s="169" t="s">
        <v>283</v>
      </c>
      <c r="T2249" s="169">
        <v>0</v>
      </c>
    </row>
    <row r="2250" spans="1:20" x14ac:dyDescent="0.2">
      <c r="A2250" s="169" t="str">
        <f t="shared" si="13"/>
        <v>642</v>
      </c>
      <c r="B2250" s="167" t="str">
        <f>_xlfn.XLOOKUP(I2250,Mapping!D:D,Mapping!E:E)</f>
        <v>Ban Giám Đốc</v>
      </c>
      <c r="C2250" s="167" t="str">
        <f>_xlfn.XLOOKUP(F2250,Mapping!A:A,Mapping!F:F)</f>
        <v>Lương Chính +T13</v>
      </c>
      <c r="D2250" s="173">
        <v>46022</v>
      </c>
      <c r="E2250" s="169" t="s">
        <v>1360</v>
      </c>
      <c r="F2250" s="169" t="s">
        <v>285</v>
      </c>
      <c r="G2250" s="169" t="s">
        <v>286</v>
      </c>
      <c r="H2250" s="169" t="s">
        <v>276</v>
      </c>
      <c r="I2250" s="169" t="s">
        <v>277</v>
      </c>
      <c r="J2250" s="169" t="s">
        <v>1361</v>
      </c>
      <c r="K2250" s="169" t="s">
        <v>1358</v>
      </c>
      <c r="L2250" s="169" t="s">
        <v>1338</v>
      </c>
      <c r="M2250" s="169" t="s">
        <v>281</v>
      </c>
      <c r="N2250" s="178">
        <v>125991250</v>
      </c>
      <c r="O2250" s="169" t="s">
        <v>1362</v>
      </c>
      <c r="P2250" s="169" t="s">
        <v>283</v>
      </c>
      <c r="Q2250" s="169" t="s">
        <v>284</v>
      </c>
      <c r="R2250" s="169" t="s">
        <v>283</v>
      </c>
      <c r="S2250" s="169" t="s">
        <v>283</v>
      </c>
      <c r="T2250" s="169">
        <v>0</v>
      </c>
    </row>
    <row r="2251" spans="1:20" x14ac:dyDescent="0.2">
      <c r="A2251" s="169" t="str">
        <f t="shared" si="13"/>
        <v>642</v>
      </c>
      <c r="B2251" s="167" t="str">
        <f>_xlfn.XLOOKUP(I2251,Mapping!D:D,Mapping!E:E)</f>
        <v>Ban Giám Đốc</v>
      </c>
      <c r="C2251" s="167" t="str">
        <f>_xlfn.XLOOKUP(F2251,Mapping!A:A,Mapping!F:F)</f>
        <v>Thưởng</v>
      </c>
      <c r="D2251" s="173">
        <v>46022</v>
      </c>
      <c r="E2251" s="169" t="s">
        <v>1360</v>
      </c>
      <c r="F2251" s="169" t="s">
        <v>292</v>
      </c>
      <c r="G2251" s="169" t="s">
        <v>77</v>
      </c>
      <c r="H2251" s="169" t="s">
        <v>276</v>
      </c>
      <c r="I2251" s="169" t="s">
        <v>277</v>
      </c>
      <c r="J2251" s="169" t="s">
        <v>1363</v>
      </c>
      <c r="K2251" s="169" t="s">
        <v>1358</v>
      </c>
      <c r="L2251" s="169" t="s">
        <v>1338</v>
      </c>
      <c r="M2251" s="169" t="s">
        <v>281</v>
      </c>
      <c r="N2251" s="178">
        <v>115910942</v>
      </c>
      <c r="O2251" s="169" t="s">
        <v>1362</v>
      </c>
      <c r="P2251" s="169" t="s">
        <v>283</v>
      </c>
      <c r="Q2251" s="169" t="s">
        <v>284</v>
      </c>
      <c r="R2251" s="169" t="s">
        <v>283</v>
      </c>
      <c r="S2251" s="169" t="s">
        <v>283</v>
      </c>
      <c r="T2251" s="169">
        <v>0</v>
      </c>
    </row>
    <row r="2252" spans="1:20" x14ac:dyDescent="0.2">
      <c r="A2252" s="169" t="str">
        <f t="shared" si="13"/>
        <v>642</v>
      </c>
      <c r="B2252" s="167" t="str">
        <f>_xlfn.XLOOKUP(I2252,Mapping!D:D,Mapping!E:E)</f>
        <v>Văn Phòng Giám Đốc</v>
      </c>
      <c r="C2252" s="167" t="str">
        <f>_xlfn.XLOOKUP(F2252,Mapping!A:A,Mapping!F:F)</f>
        <v>Lương Chính +T13</v>
      </c>
      <c r="D2252" s="173">
        <v>46022</v>
      </c>
      <c r="E2252" s="169" t="s">
        <v>1360</v>
      </c>
      <c r="F2252" s="169" t="s">
        <v>285</v>
      </c>
      <c r="G2252" s="169" t="s">
        <v>286</v>
      </c>
      <c r="H2252" s="169" t="s">
        <v>320</v>
      </c>
      <c r="I2252" s="169" t="s">
        <v>321</v>
      </c>
      <c r="J2252" s="169" t="s">
        <v>1361</v>
      </c>
      <c r="K2252" s="169" t="s">
        <v>1358</v>
      </c>
      <c r="L2252" s="169" t="s">
        <v>1338</v>
      </c>
      <c r="M2252" s="169" t="s">
        <v>281</v>
      </c>
      <c r="N2252" s="178">
        <v>9604167</v>
      </c>
      <c r="O2252" s="169" t="s">
        <v>1362</v>
      </c>
      <c r="P2252" s="169" t="s">
        <v>283</v>
      </c>
      <c r="Q2252" s="169" t="s">
        <v>284</v>
      </c>
      <c r="R2252" s="169" t="s">
        <v>283</v>
      </c>
      <c r="S2252" s="169" t="s">
        <v>283</v>
      </c>
      <c r="T2252" s="169">
        <v>0</v>
      </c>
    </row>
    <row r="2253" spans="1:20" x14ac:dyDescent="0.2">
      <c r="A2253" s="169" t="str">
        <f t="shared" si="13"/>
        <v>642</v>
      </c>
      <c r="B2253" s="167" t="str">
        <f>_xlfn.XLOOKUP(I2253,Mapping!D:D,Mapping!E:E)</f>
        <v>Văn Phòng Giám Đốc</v>
      </c>
      <c r="C2253" s="167" t="str">
        <f>_xlfn.XLOOKUP(F2253,Mapping!A:A,Mapping!F:F)</f>
        <v>Thưởng</v>
      </c>
      <c r="D2253" s="173">
        <v>46022</v>
      </c>
      <c r="E2253" s="169" t="s">
        <v>1360</v>
      </c>
      <c r="F2253" s="169" t="s">
        <v>292</v>
      </c>
      <c r="G2253" s="169" t="s">
        <v>77</v>
      </c>
      <c r="H2253" s="169" t="s">
        <v>320</v>
      </c>
      <c r="I2253" s="169" t="s">
        <v>321</v>
      </c>
      <c r="J2253" s="169" t="s">
        <v>1363</v>
      </c>
      <c r="K2253" s="169" t="s">
        <v>1358</v>
      </c>
      <c r="L2253" s="169" t="s">
        <v>1338</v>
      </c>
      <c r="M2253" s="169" t="s">
        <v>281</v>
      </c>
      <c r="N2253" s="178">
        <v>8835757</v>
      </c>
      <c r="O2253" s="169" t="s">
        <v>1362</v>
      </c>
      <c r="P2253" s="169" t="s">
        <v>283</v>
      </c>
      <c r="Q2253" s="169" t="s">
        <v>284</v>
      </c>
      <c r="R2253" s="169" t="s">
        <v>283</v>
      </c>
      <c r="S2253" s="169" t="s">
        <v>283</v>
      </c>
      <c r="T2253" s="169">
        <v>0</v>
      </c>
    </row>
    <row r="2254" spans="1:20" x14ac:dyDescent="0.2">
      <c r="A2254" s="169" t="str">
        <f t="shared" si="13"/>
        <v>642</v>
      </c>
      <c r="B2254" s="167" t="str">
        <f>_xlfn.XLOOKUP(I2254,Mapping!D:D,Mapping!E:E)</f>
        <v>Hành Chánh Nhân Sự</v>
      </c>
      <c r="C2254" s="167" t="str">
        <f>_xlfn.XLOOKUP(F2254,Mapping!A:A,Mapping!F:F)</f>
        <v>Lương Chính +T13</v>
      </c>
      <c r="D2254" s="173">
        <v>46022</v>
      </c>
      <c r="E2254" s="169" t="s">
        <v>1360</v>
      </c>
      <c r="F2254" s="169" t="s">
        <v>285</v>
      </c>
      <c r="G2254" s="169" t="s">
        <v>286</v>
      </c>
      <c r="H2254" s="169" t="s">
        <v>301</v>
      </c>
      <c r="I2254" s="169" t="s">
        <v>302</v>
      </c>
      <c r="J2254" s="169" t="s">
        <v>1361</v>
      </c>
      <c r="K2254" s="169" t="s">
        <v>1358</v>
      </c>
      <c r="L2254" s="169" t="s">
        <v>1338</v>
      </c>
      <c r="M2254" s="169" t="s">
        <v>281</v>
      </c>
      <c r="N2254" s="178">
        <v>41796426</v>
      </c>
      <c r="O2254" s="169" t="s">
        <v>1362</v>
      </c>
      <c r="P2254" s="169" t="s">
        <v>283</v>
      </c>
      <c r="Q2254" s="169" t="s">
        <v>284</v>
      </c>
      <c r="R2254" s="169" t="s">
        <v>283</v>
      </c>
      <c r="S2254" s="169" t="s">
        <v>283</v>
      </c>
      <c r="T2254" s="169">
        <v>0</v>
      </c>
    </row>
    <row r="2255" spans="1:20" x14ac:dyDescent="0.2">
      <c r="A2255" s="169" t="str">
        <f t="shared" si="13"/>
        <v>642</v>
      </c>
      <c r="B2255" s="167" t="str">
        <f>_xlfn.XLOOKUP(I2255,Mapping!D:D,Mapping!E:E)</f>
        <v>Hành Chánh Nhân Sự</v>
      </c>
      <c r="C2255" s="167" t="str">
        <f>_xlfn.XLOOKUP(F2255,Mapping!A:A,Mapping!F:F)</f>
        <v>Thưởng</v>
      </c>
      <c r="D2255" s="173">
        <v>46022</v>
      </c>
      <c r="E2255" s="169" t="s">
        <v>1360</v>
      </c>
      <c r="F2255" s="169" t="s">
        <v>292</v>
      </c>
      <c r="G2255" s="169" t="s">
        <v>77</v>
      </c>
      <c r="H2255" s="169" t="s">
        <v>301</v>
      </c>
      <c r="I2255" s="169" t="s">
        <v>302</v>
      </c>
      <c r="J2255" s="169" t="s">
        <v>1363</v>
      </c>
      <c r="K2255" s="169" t="s">
        <v>1358</v>
      </c>
      <c r="L2255" s="169" t="s">
        <v>1338</v>
      </c>
      <c r="M2255" s="169" t="s">
        <v>281</v>
      </c>
      <c r="N2255" s="178">
        <v>33113485</v>
      </c>
      <c r="O2255" s="169" t="s">
        <v>1362</v>
      </c>
      <c r="P2255" s="169" t="s">
        <v>283</v>
      </c>
      <c r="Q2255" s="169" t="s">
        <v>284</v>
      </c>
      <c r="R2255" s="169" t="s">
        <v>283</v>
      </c>
      <c r="S2255" s="169" t="s">
        <v>283</v>
      </c>
      <c r="T2255" s="169">
        <v>0</v>
      </c>
    </row>
    <row r="2256" spans="1:20" x14ac:dyDescent="0.2">
      <c r="A2256" s="169" t="str">
        <f t="shared" si="13"/>
        <v>642</v>
      </c>
      <c r="B2256" s="167" t="str">
        <f>_xlfn.XLOOKUP(I2256,Mapping!D:D,Mapping!E:E)</f>
        <v>Kế Toán</v>
      </c>
      <c r="C2256" s="167" t="str">
        <f>_xlfn.XLOOKUP(F2256,Mapping!A:A,Mapping!F:F)</f>
        <v>Lương Chính +T13</v>
      </c>
      <c r="D2256" s="173">
        <v>46022</v>
      </c>
      <c r="E2256" s="169" t="s">
        <v>1360</v>
      </c>
      <c r="F2256" s="169" t="s">
        <v>285</v>
      </c>
      <c r="G2256" s="169" t="s">
        <v>286</v>
      </c>
      <c r="H2256" s="169" t="s">
        <v>356</v>
      </c>
      <c r="I2256" s="169" t="s">
        <v>357</v>
      </c>
      <c r="J2256" s="169" t="s">
        <v>1361</v>
      </c>
      <c r="K2256" s="169" t="s">
        <v>1358</v>
      </c>
      <c r="L2256" s="169" t="s">
        <v>1338</v>
      </c>
      <c r="M2256" s="169" t="s">
        <v>281</v>
      </c>
      <c r="N2256" s="178">
        <v>43503763</v>
      </c>
      <c r="O2256" s="169" t="s">
        <v>1362</v>
      </c>
      <c r="P2256" s="169" t="s">
        <v>283</v>
      </c>
      <c r="Q2256" s="169" t="s">
        <v>284</v>
      </c>
      <c r="R2256" s="169" t="s">
        <v>283</v>
      </c>
      <c r="S2256" s="169" t="s">
        <v>283</v>
      </c>
      <c r="T2256" s="169">
        <v>0</v>
      </c>
    </row>
    <row r="2257" spans="1:20" x14ac:dyDescent="0.2">
      <c r="A2257" s="169" t="str">
        <f t="shared" si="13"/>
        <v>642</v>
      </c>
      <c r="B2257" s="167" t="str">
        <f>_xlfn.XLOOKUP(I2257,Mapping!D:D,Mapping!E:E)</f>
        <v>Kế Toán</v>
      </c>
      <c r="C2257" s="167" t="str">
        <f>_xlfn.XLOOKUP(F2257,Mapping!A:A,Mapping!F:F)</f>
        <v>Thưởng</v>
      </c>
      <c r="D2257" s="173">
        <v>46022</v>
      </c>
      <c r="E2257" s="169" t="s">
        <v>1360</v>
      </c>
      <c r="F2257" s="169" t="s">
        <v>292</v>
      </c>
      <c r="G2257" s="169" t="s">
        <v>77</v>
      </c>
      <c r="H2257" s="169" t="s">
        <v>356</v>
      </c>
      <c r="I2257" s="169" t="s">
        <v>357</v>
      </c>
      <c r="J2257" s="169" t="s">
        <v>1363</v>
      </c>
      <c r="K2257" s="169" t="s">
        <v>1358</v>
      </c>
      <c r="L2257" s="169" t="s">
        <v>1338</v>
      </c>
      <c r="M2257" s="169" t="s">
        <v>281</v>
      </c>
      <c r="N2257" s="178">
        <v>39579666</v>
      </c>
      <c r="O2257" s="169" t="s">
        <v>1362</v>
      </c>
      <c r="P2257" s="169" t="s">
        <v>283</v>
      </c>
      <c r="Q2257" s="169" t="s">
        <v>284</v>
      </c>
      <c r="R2257" s="169" t="s">
        <v>283</v>
      </c>
      <c r="S2257" s="169" t="s">
        <v>283</v>
      </c>
      <c r="T2257" s="169">
        <v>0</v>
      </c>
    </row>
    <row r="2258" spans="1:20" x14ac:dyDescent="0.2">
      <c r="A2258" s="169" t="str">
        <f t="shared" si="13"/>
        <v>641</v>
      </c>
      <c r="B2258" s="167" t="str">
        <f>_xlfn.XLOOKUP(I2258,Mapping!D:D,Mapping!E:E)</f>
        <v>Kinh doanh</v>
      </c>
      <c r="C2258" s="167" t="str">
        <f>_xlfn.XLOOKUP(F2258,Mapping!A:A,Mapping!F:F)</f>
        <v>Lương Chính +T13</v>
      </c>
      <c r="D2258" s="173">
        <v>46022</v>
      </c>
      <c r="E2258" s="169" t="s">
        <v>1360</v>
      </c>
      <c r="F2258" s="169" t="s">
        <v>384</v>
      </c>
      <c r="G2258" s="169" t="s">
        <v>286</v>
      </c>
      <c r="H2258" s="169" t="s">
        <v>366</v>
      </c>
      <c r="I2258" s="169" t="s">
        <v>1</v>
      </c>
      <c r="J2258" s="169" t="s">
        <v>1361</v>
      </c>
      <c r="K2258" s="169" t="s">
        <v>1358</v>
      </c>
      <c r="L2258" s="169" t="s">
        <v>1338</v>
      </c>
      <c r="M2258" s="169" t="s">
        <v>281</v>
      </c>
      <c r="N2258" s="178">
        <v>25338500</v>
      </c>
      <c r="O2258" s="169" t="s">
        <v>1362</v>
      </c>
      <c r="P2258" s="169" t="s">
        <v>283</v>
      </c>
      <c r="Q2258" s="169" t="s">
        <v>284</v>
      </c>
      <c r="R2258" s="169" t="s">
        <v>283</v>
      </c>
      <c r="S2258" s="169" t="s">
        <v>283</v>
      </c>
      <c r="T2258" s="169">
        <v>0</v>
      </c>
    </row>
    <row r="2259" spans="1:20" x14ac:dyDescent="0.2">
      <c r="A2259" s="169" t="str">
        <f t="shared" si="13"/>
        <v>641</v>
      </c>
      <c r="B2259" s="167" t="str">
        <f>_xlfn.XLOOKUP(I2259,Mapping!D:D,Mapping!E:E)</f>
        <v>Kinh doanh</v>
      </c>
      <c r="C2259" s="167" t="str">
        <f>_xlfn.XLOOKUP(F2259,Mapping!A:A,Mapping!F:F)</f>
        <v>Thưởng</v>
      </c>
      <c r="D2259" s="173">
        <v>46022</v>
      </c>
      <c r="E2259" s="169" t="s">
        <v>1360</v>
      </c>
      <c r="F2259" s="169" t="s">
        <v>394</v>
      </c>
      <c r="G2259" s="169" t="s">
        <v>77</v>
      </c>
      <c r="H2259" s="169" t="s">
        <v>366</v>
      </c>
      <c r="I2259" s="169" t="s">
        <v>1</v>
      </c>
      <c r="J2259" s="169" t="s">
        <v>1363</v>
      </c>
      <c r="K2259" s="169" t="s">
        <v>1358</v>
      </c>
      <c r="L2259" s="169" t="s">
        <v>1338</v>
      </c>
      <c r="M2259" s="169" t="s">
        <v>281</v>
      </c>
      <c r="N2259" s="178">
        <v>23311217</v>
      </c>
      <c r="O2259" s="169" t="s">
        <v>1362</v>
      </c>
      <c r="P2259" s="169" t="s">
        <v>283</v>
      </c>
      <c r="Q2259" s="169" t="s">
        <v>284</v>
      </c>
      <c r="R2259" s="169" t="s">
        <v>283</v>
      </c>
      <c r="S2259" s="169" t="s">
        <v>283</v>
      </c>
      <c r="T2259" s="169">
        <v>0</v>
      </c>
    </row>
    <row r="2260" spans="1:20" x14ac:dyDescent="0.2">
      <c r="A2260" s="169" t="str">
        <f t="shared" si="13"/>
        <v>642</v>
      </c>
      <c r="B2260" s="167" t="str">
        <f>_xlfn.XLOOKUP(I2260,Mapping!D:D,Mapping!E:E)</f>
        <v>Cung Ứng</v>
      </c>
      <c r="C2260" s="167" t="str">
        <f>_xlfn.XLOOKUP(F2260,Mapping!A:A,Mapping!F:F)</f>
        <v>Lương Chính +T13</v>
      </c>
      <c r="D2260" s="173">
        <v>46022</v>
      </c>
      <c r="E2260" s="169" t="s">
        <v>1360</v>
      </c>
      <c r="F2260" s="169" t="s">
        <v>285</v>
      </c>
      <c r="G2260" s="169" t="s">
        <v>286</v>
      </c>
      <c r="H2260" s="169" t="s">
        <v>380</v>
      </c>
      <c r="I2260" s="169" t="s">
        <v>381</v>
      </c>
      <c r="J2260" s="169" t="s">
        <v>1361</v>
      </c>
      <c r="K2260" s="169" t="s">
        <v>1358</v>
      </c>
      <c r="L2260" s="169" t="s">
        <v>1338</v>
      </c>
      <c r="M2260" s="169" t="s">
        <v>281</v>
      </c>
      <c r="N2260" s="178">
        <v>42636303</v>
      </c>
      <c r="O2260" s="169" t="s">
        <v>1362</v>
      </c>
      <c r="P2260" s="169" t="s">
        <v>283</v>
      </c>
      <c r="Q2260" s="169" t="s">
        <v>284</v>
      </c>
      <c r="R2260" s="169" t="s">
        <v>283</v>
      </c>
      <c r="S2260" s="169" t="s">
        <v>283</v>
      </c>
      <c r="T2260" s="169">
        <v>0</v>
      </c>
    </row>
    <row r="2261" spans="1:20" x14ac:dyDescent="0.2">
      <c r="A2261" s="169" t="str">
        <f t="shared" si="13"/>
        <v>642</v>
      </c>
      <c r="B2261" s="167" t="str">
        <f>_xlfn.XLOOKUP(I2261,Mapping!D:D,Mapping!E:E)</f>
        <v>Cung Ứng</v>
      </c>
      <c r="C2261" s="167" t="str">
        <f>_xlfn.XLOOKUP(F2261,Mapping!A:A,Mapping!F:F)</f>
        <v>Thưởng</v>
      </c>
      <c r="D2261" s="173">
        <v>46022</v>
      </c>
      <c r="E2261" s="169" t="s">
        <v>1360</v>
      </c>
      <c r="F2261" s="169" t="s">
        <v>292</v>
      </c>
      <c r="G2261" s="169" t="s">
        <v>77</v>
      </c>
      <c r="H2261" s="169" t="s">
        <v>380</v>
      </c>
      <c r="I2261" s="169" t="s">
        <v>381</v>
      </c>
      <c r="J2261" s="169" t="s">
        <v>1363</v>
      </c>
      <c r="K2261" s="169" t="s">
        <v>1358</v>
      </c>
      <c r="L2261" s="169" t="s">
        <v>1338</v>
      </c>
      <c r="M2261" s="169" t="s">
        <v>281</v>
      </c>
      <c r="N2261" s="178">
        <v>37499401</v>
      </c>
      <c r="O2261" s="169" t="s">
        <v>1362</v>
      </c>
      <c r="P2261" s="169" t="s">
        <v>283</v>
      </c>
      <c r="Q2261" s="169" t="s">
        <v>284</v>
      </c>
      <c r="R2261" s="169" t="s">
        <v>283</v>
      </c>
      <c r="S2261" s="169" t="s">
        <v>283</v>
      </c>
      <c r="T2261" s="169">
        <v>0</v>
      </c>
    </row>
    <row r="2262" spans="1:20" x14ac:dyDescent="0.2">
      <c r="A2262" s="169" t="str">
        <f t="shared" si="13"/>
        <v>642</v>
      </c>
      <c r="B2262" s="167" t="str">
        <f>_xlfn.XLOOKUP(I2262,Mapping!D:D,Mapping!E:E)</f>
        <v>Mua Hàng &amp; XNK</v>
      </c>
      <c r="C2262" s="167" t="str">
        <f>_xlfn.XLOOKUP(F2262,Mapping!A:A,Mapping!F:F)</f>
        <v>Lương Chính +T13</v>
      </c>
      <c r="D2262" s="173">
        <v>46022</v>
      </c>
      <c r="E2262" s="169" t="s">
        <v>1360</v>
      </c>
      <c r="F2262" s="169" t="s">
        <v>285</v>
      </c>
      <c r="G2262" s="169" t="s">
        <v>286</v>
      </c>
      <c r="H2262" s="169" t="s">
        <v>378</v>
      </c>
      <c r="I2262" s="169" t="s">
        <v>379</v>
      </c>
      <c r="J2262" s="169" t="s">
        <v>1361</v>
      </c>
      <c r="K2262" s="169" t="s">
        <v>1358</v>
      </c>
      <c r="L2262" s="169" t="s">
        <v>1338</v>
      </c>
      <c r="M2262" s="169" t="s">
        <v>281</v>
      </c>
      <c r="N2262" s="178">
        <v>16127750</v>
      </c>
      <c r="O2262" s="169" t="s">
        <v>1362</v>
      </c>
      <c r="P2262" s="169" t="s">
        <v>283</v>
      </c>
      <c r="Q2262" s="169" t="s">
        <v>284</v>
      </c>
      <c r="R2262" s="169" t="s">
        <v>283</v>
      </c>
      <c r="S2262" s="169" t="s">
        <v>283</v>
      </c>
      <c r="T2262" s="169">
        <v>0</v>
      </c>
    </row>
    <row r="2263" spans="1:20" x14ac:dyDescent="0.2">
      <c r="A2263" s="169" t="str">
        <f t="shared" si="13"/>
        <v>642</v>
      </c>
      <c r="B2263" s="167" t="str">
        <f>_xlfn.XLOOKUP(I2263,Mapping!D:D,Mapping!E:E)</f>
        <v>Mua Hàng &amp; XNK</v>
      </c>
      <c r="C2263" s="167" t="str">
        <f>_xlfn.XLOOKUP(F2263,Mapping!A:A,Mapping!F:F)</f>
        <v>Thưởng</v>
      </c>
      <c r="D2263" s="173">
        <v>46022</v>
      </c>
      <c r="E2263" s="169" t="s">
        <v>1360</v>
      </c>
      <c r="F2263" s="169" t="s">
        <v>292</v>
      </c>
      <c r="G2263" s="169" t="s">
        <v>77</v>
      </c>
      <c r="H2263" s="169" t="s">
        <v>378</v>
      </c>
      <c r="I2263" s="169" t="s">
        <v>379</v>
      </c>
      <c r="J2263" s="169" t="s">
        <v>1363</v>
      </c>
      <c r="K2263" s="169" t="s">
        <v>1358</v>
      </c>
      <c r="L2263" s="169" t="s">
        <v>1338</v>
      </c>
      <c r="M2263" s="169" t="s">
        <v>281</v>
      </c>
      <c r="N2263" s="178">
        <v>14837401</v>
      </c>
      <c r="O2263" s="169" t="s">
        <v>1362</v>
      </c>
      <c r="P2263" s="169" t="s">
        <v>283</v>
      </c>
      <c r="Q2263" s="169" t="s">
        <v>284</v>
      </c>
      <c r="R2263" s="169" t="s">
        <v>283</v>
      </c>
      <c r="S2263" s="169" t="s">
        <v>283</v>
      </c>
      <c r="T2263" s="169">
        <v>0</v>
      </c>
    </row>
    <row r="2264" spans="1:20" x14ac:dyDescent="0.2">
      <c r="A2264" s="169" t="str">
        <f t="shared" si="13"/>
        <v>627</v>
      </c>
      <c r="B2264" s="167" t="str">
        <f>_xlfn.XLOOKUP(I2264,Mapping!D:D,Mapping!E:E)</f>
        <v>Kỹ Thuật</v>
      </c>
      <c r="C2264" s="167" t="str">
        <f>_xlfn.XLOOKUP(F2264,Mapping!A:A,Mapping!F:F)</f>
        <v>Lương Chính +T13</v>
      </c>
      <c r="D2264" s="173">
        <v>46022</v>
      </c>
      <c r="E2264" s="169" t="s">
        <v>1360</v>
      </c>
      <c r="F2264" s="169" t="s">
        <v>388</v>
      </c>
      <c r="G2264" s="169" t="s">
        <v>286</v>
      </c>
      <c r="H2264" s="169" t="s">
        <v>376</v>
      </c>
      <c r="I2264" s="169" t="s">
        <v>377</v>
      </c>
      <c r="J2264" s="169" t="s">
        <v>1361</v>
      </c>
      <c r="K2264" s="169" t="s">
        <v>1358</v>
      </c>
      <c r="L2264" s="169" t="s">
        <v>1338</v>
      </c>
      <c r="M2264" s="169" t="s">
        <v>281</v>
      </c>
      <c r="N2264" s="178">
        <v>93436250</v>
      </c>
      <c r="O2264" s="169" t="s">
        <v>1362</v>
      </c>
      <c r="P2264" s="169" t="s">
        <v>283</v>
      </c>
      <c r="Q2264" s="169" t="s">
        <v>284</v>
      </c>
      <c r="R2264" s="169" t="s">
        <v>283</v>
      </c>
      <c r="S2264" s="169" t="s">
        <v>283</v>
      </c>
      <c r="T2264" s="169">
        <v>0</v>
      </c>
    </row>
    <row r="2265" spans="1:20" x14ac:dyDescent="0.2">
      <c r="A2265" s="169" t="str">
        <f t="shared" si="13"/>
        <v>627</v>
      </c>
      <c r="B2265" s="167" t="str">
        <f>_xlfn.XLOOKUP(I2265,Mapping!D:D,Mapping!E:E)</f>
        <v>Kỹ Thuật</v>
      </c>
      <c r="C2265" s="167" t="str">
        <f>_xlfn.XLOOKUP(F2265,Mapping!A:A,Mapping!F:F)</f>
        <v>Thưởng</v>
      </c>
      <c r="D2265" s="173">
        <v>46022</v>
      </c>
      <c r="E2265" s="169" t="s">
        <v>1360</v>
      </c>
      <c r="F2265" s="169" t="s">
        <v>395</v>
      </c>
      <c r="G2265" s="169" t="s">
        <v>77</v>
      </c>
      <c r="H2265" s="169" t="s">
        <v>376</v>
      </c>
      <c r="I2265" s="169" t="s">
        <v>377</v>
      </c>
      <c r="J2265" s="169" t="s">
        <v>1363</v>
      </c>
      <c r="K2265" s="169" t="s">
        <v>1358</v>
      </c>
      <c r="L2265" s="169" t="s">
        <v>1338</v>
      </c>
      <c r="M2265" s="169" t="s">
        <v>281</v>
      </c>
      <c r="N2265" s="178">
        <v>85960603</v>
      </c>
      <c r="O2265" s="169" t="s">
        <v>1362</v>
      </c>
      <c r="P2265" s="169" t="s">
        <v>283</v>
      </c>
      <c r="Q2265" s="169" t="s">
        <v>284</v>
      </c>
      <c r="R2265" s="169" t="s">
        <v>283</v>
      </c>
      <c r="S2265" s="169" t="s">
        <v>283</v>
      </c>
      <c r="T2265" s="169">
        <v>0</v>
      </c>
    </row>
    <row r="2266" spans="1:20" x14ac:dyDescent="0.2">
      <c r="A2266" s="169" t="str">
        <f t="shared" si="13"/>
        <v>627</v>
      </c>
      <c r="B2266" s="167" t="str">
        <f>_xlfn.XLOOKUP(I2266,Mapping!D:D,Mapping!E:E)</f>
        <v>Kiểm Soát Chất Lượng</v>
      </c>
      <c r="C2266" s="167" t="str">
        <f>_xlfn.XLOOKUP(F2266,Mapping!A:A,Mapping!F:F)</f>
        <v>Lương Chính +T13</v>
      </c>
      <c r="D2266" s="173">
        <v>46022</v>
      </c>
      <c r="E2266" s="169" t="s">
        <v>1360</v>
      </c>
      <c r="F2266" s="169" t="s">
        <v>388</v>
      </c>
      <c r="G2266" s="169" t="s">
        <v>286</v>
      </c>
      <c r="H2266" s="169" t="s">
        <v>411</v>
      </c>
      <c r="I2266" s="169" t="s">
        <v>412</v>
      </c>
      <c r="J2266" s="169" t="s">
        <v>1361</v>
      </c>
      <c r="K2266" s="169" t="s">
        <v>1358</v>
      </c>
      <c r="L2266" s="169" t="s">
        <v>1338</v>
      </c>
      <c r="M2266" s="169" t="s">
        <v>281</v>
      </c>
      <c r="N2266" s="178">
        <v>38540750</v>
      </c>
      <c r="O2266" s="169" t="s">
        <v>1362</v>
      </c>
      <c r="P2266" s="169" t="s">
        <v>283</v>
      </c>
      <c r="Q2266" s="169" t="s">
        <v>284</v>
      </c>
      <c r="R2266" s="169" t="s">
        <v>283</v>
      </c>
      <c r="S2266" s="169" t="s">
        <v>283</v>
      </c>
      <c r="T2266" s="169">
        <v>0</v>
      </c>
    </row>
    <row r="2267" spans="1:20" x14ac:dyDescent="0.2">
      <c r="A2267" s="169" t="str">
        <f t="shared" si="13"/>
        <v>627</v>
      </c>
      <c r="B2267" s="167" t="str">
        <f>_xlfn.XLOOKUP(I2267,Mapping!D:D,Mapping!E:E)</f>
        <v>Kiểm Soát Chất Lượng</v>
      </c>
      <c r="C2267" s="167" t="str">
        <f>_xlfn.XLOOKUP(F2267,Mapping!A:A,Mapping!F:F)</f>
        <v>Thưởng</v>
      </c>
      <c r="D2267" s="173">
        <v>46022</v>
      </c>
      <c r="E2267" s="169" t="s">
        <v>1360</v>
      </c>
      <c r="F2267" s="169" t="s">
        <v>395</v>
      </c>
      <c r="G2267" s="169" t="s">
        <v>77</v>
      </c>
      <c r="H2267" s="169" t="s">
        <v>411</v>
      </c>
      <c r="I2267" s="169" t="s">
        <v>412</v>
      </c>
      <c r="J2267" s="169" t="s">
        <v>1363</v>
      </c>
      <c r="K2267" s="169" t="s">
        <v>1358</v>
      </c>
      <c r="L2267" s="169" t="s">
        <v>1338</v>
      </c>
      <c r="M2267" s="169" t="s">
        <v>281</v>
      </c>
      <c r="N2267" s="178">
        <v>35457182</v>
      </c>
      <c r="O2267" s="169" t="s">
        <v>1362</v>
      </c>
      <c r="P2267" s="169" t="s">
        <v>283</v>
      </c>
      <c r="Q2267" s="169" t="s">
        <v>284</v>
      </c>
      <c r="R2267" s="169" t="s">
        <v>283</v>
      </c>
      <c r="S2267" s="169" t="s">
        <v>283</v>
      </c>
      <c r="T2267" s="169">
        <v>0</v>
      </c>
    </row>
    <row r="2268" spans="1:20" x14ac:dyDescent="0.2">
      <c r="A2268" s="169" t="str">
        <f t="shared" si="13"/>
        <v>627</v>
      </c>
      <c r="B2268" s="167" t="str">
        <f>_xlfn.XLOOKUP(I2268,Mapping!D:D,Mapping!E:E)</f>
        <v>Nghiên Cứu &amp; Phát Triển</v>
      </c>
      <c r="C2268" s="167" t="str">
        <f>_xlfn.XLOOKUP(F2268,Mapping!A:A,Mapping!F:F)</f>
        <v>Lương Chính +T13</v>
      </c>
      <c r="D2268" s="173">
        <v>46022</v>
      </c>
      <c r="E2268" s="169" t="s">
        <v>1360</v>
      </c>
      <c r="F2268" s="169" t="s">
        <v>388</v>
      </c>
      <c r="G2268" s="169" t="s">
        <v>286</v>
      </c>
      <c r="H2268" s="169" t="s">
        <v>418</v>
      </c>
      <c r="I2268" s="169" t="s">
        <v>419</v>
      </c>
      <c r="J2268" s="169" t="s">
        <v>1361</v>
      </c>
      <c r="K2268" s="169" t="s">
        <v>1358</v>
      </c>
      <c r="L2268" s="169" t="s">
        <v>1338</v>
      </c>
      <c r="M2268" s="169" t="s">
        <v>281</v>
      </c>
      <c r="N2268" s="178">
        <v>16916667</v>
      </c>
      <c r="O2268" s="169" t="s">
        <v>1362</v>
      </c>
      <c r="P2268" s="169" t="s">
        <v>283</v>
      </c>
      <c r="Q2268" s="169" t="s">
        <v>284</v>
      </c>
      <c r="R2268" s="169" t="s">
        <v>283</v>
      </c>
      <c r="S2268" s="169" t="s">
        <v>283</v>
      </c>
      <c r="T2268" s="169">
        <v>0</v>
      </c>
    </row>
    <row r="2269" spans="1:20" x14ac:dyDescent="0.2">
      <c r="A2269" s="169" t="str">
        <f t="shared" si="13"/>
        <v>627</v>
      </c>
      <c r="B2269" s="167" t="str">
        <f>_xlfn.XLOOKUP(I2269,Mapping!D:D,Mapping!E:E)</f>
        <v>Nghiên Cứu &amp; Phát Triển</v>
      </c>
      <c r="C2269" s="167" t="str">
        <f>_xlfn.XLOOKUP(F2269,Mapping!A:A,Mapping!F:F)</f>
        <v>Thưởng</v>
      </c>
      <c r="D2269" s="173">
        <v>46022</v>
      </c>
      <c r="E2269" s="169" t="s">
        <v>1360</v>
      </c>
      <c r="F2269" s="169" t="s">
        <v>395</v>
      </c>
      <c r="G2269" s="169" t="s">
        <v>77</v>
      </c>
      <c r="H2269" s="169" t="s">
        <v>418</v>
      </c>
      <c r="I2269" s="169" t="s">
        <v>419</v>
      </c>
      <c r="J2269" s="169" t="s">
        <v>1363</v>
      </c>
      <c r="K2269" s="169" t="s">
        <v>1358</v>
      </c>
      <c r="L2269" s="169" t="s">
        <v>1338</v>
      </c>
      <c r="M2269" s="169" t="s">
        <v>281</v>
      </c>
      <c r="N2269" s="178">
        <v>15563198</v>
      </c>
      <c r="O2269" s="169" t="s">
        <v>1362</v>
      </c>
      <c r="P2269" s="169" t="s">
        <v>283</v>
      </c>
      <c r="Q2269" s="169" t="s">
        <v>284</v>
      </c>
      <c r="R2269" s="169" t="s">
        <v>283</v>
      </c>
      <c r="S2269" s="169" t="s">
        <v>283</v>
      </c>
      <c r="T2269" s="169">
        <v>0</v>
      </c>
    </row>
    <row r="2270" spans="1:20" x14ac:dyDescent="0.2">
      <c r="A2270" s="169" t="str">
        <f t="shared" si="13"/>
        <v>627</v>
      </c>
      <c r="B2270" s="167" t="str">
        <f>_xlfn.XLOOKUP(I2270,Mapping!D:D,Mapping!E:E)</f>
        <v>Xưởng Sản Xuất</v>
      </c>
      <c r="C2270" s="167" t="str">
        <f>_xlfn.XLOOKUP(F2270,Mapping!A:A,Mapping!F:F)</f>
        <v>Lương Chính +T13</v>
      </c>
      <c r="D2270" s="173">
        <v>46022</v>
      </c>
      <c r="E2270" s="169" t="s">
        <v>1360</v>
      </c>
      <c r="F2270" s="169" t="s">
        <v>388</v>
      </c>
      <c r="G2270" s="169" t="s">
        <v>286</v>
      </c>
      <c r="H2270" s="169" t="s">
        <v>402</v>
      </c>
      <c r="I2270" s="169" t="s">
        <v>403</v>
      </c>
      <c r="J2270" s="169" t="s">
        <v>1361</v>
      </c>
      <c r="K2270" s="169" t="s">
        <v>1358</v>
      </c>
      <c r="L2270" s="169" t="s">
        <v>1338</v>
      </c>
      <c r="M2270" s="169" t="s">
        <v>281</v>
      </c>
      <c r="N2270" s="178">
        <v>33970618</v>
      </c>
      <c r="O2270" s="169" t="s">
        <v>1362</v>
      </c>
      <c r="P2270" s="169" t="s">
        <v>283</v>
      </c>
      <c r="Q2270" s="169" t="s">
        <v>284</v>
      </c>
      <c r="R2270" s="169" t="s">
        <v>283</v>
      </c>
      <c r="S2270" s="169" t="s">
        <v>283</v>
      </c>
      <c r="T2270" s="169">
        <v>0</v>
      </c>
    </row>
    <row r="2271" spans="1:20" x14ac:dyDescent="0.2">
      <c r="A2271" s="169" t="str">
        <f t="shared" si="13"/>
        <v>622</v>
      </c>
      <c r="B2271" s="167" t="str">
        <f>_xlfn.XLOOKUP(I2271,Mapping!D:D,Mapping!E:E)</f>
        <v>Xưởng Sản Xuất</v>
      </c>
      <c r="C2271" s="167" t="str">
        <f>_xlfn.XLOOKUP(F2271,Mapping!A:A,Mapping!F:F)</f>
        <v>Lương Chính +T13</v>
      </c>
      <c r="D2271" s="173">
        <v>46022</v>
      </c>
      <c r="E2271" s="169" t="s">
        <v>1360</v>
      </c>
      <c r="F2271" s="169" t="s">
        <v>420</v>
      </c>
      <c r="G2271" s="169" t="s">
        <v>286</v>
      </c>
      <c r="H2271" s="169" t="s">
        <v>402</v>
      </c>
      <c r="I2271" s="169" t="s">
        <v>403</v>
      </c>
      <c r="J2271" s="169" t="s">
        <v>1361</v>
      </c>
      <c r="K2271" s="169" t="s">
        <v>1358</v>
      </c>
      <c r="L2271" s="169" t="s">
        <v>1338</v>
      </c>
      <c r="M2271" s="169" t="s">
        <v>281</v>
      </c>
      <c r="N2271" s="178">
        <v>99822601</v>
      </c>
      <c r="O2271" s="169" t="s">
        <v>1362</v>
      </c>
      <c r="P2271" s="169" t="s">
        <v>283</v>
      </c>
      <c r="Q2271" s="169" t="s">
        <v>284</v>
      </c>
      <c r="R2271" s="169" t="s">
        <v>283</v>
      </c>
      <c r="S2271" s="169" t="s">
        <v>283</v>
      </c>
      <c r="T2271" s="169">
        <v>0</v>
      </c>
    </row>
    <row r="2272" spans="1:20" x14ac:dyDescent="0.2">
      <c r="A2272" s="169" t="str">
        <f t="shared" si="13"/>
        <v>627</v>
      </c>
      <c r="B2272" s="167" t="str">
        <f>_xlfn.XLOOKUP(I2272,Mapping!D:D,Mapping!E:E)</f>
        <v>Xưởng Sản Xuất</v>
      </c>
      <c r="C2272" s="167" t="str">
        <f>_xlfn.XLOOKUP(F2272,Mapping!A:A,Mapping!F:F)</f>
        <v>Thưởng</v>
      </c>
      <c r="D2272" s="173">
        <v>46022</v>
      </c>
      <c r="E2272" s="169" t="s">
        <v>1360</v>
      </c>
      <c r="F2272" s="169" t="s">
        <v>395</v>
      </c>
      <c r="G2272" s="169" t="s">
        <v>77</v>
      </c>
      <c r="H2272" s="169" t="s">
        <v>402</v>
      </c>
      <c r="I2272" s="169" t="s">
        <v>403</v>
      </c>
      <c r="J2272" s="169" t="s">
        <v>1363</v>
      </c>
      <c r="K2272" s="169" t="s">
        <v>1358</v>
      </c>
      <c r="L2272" s="169" t="s">
        <v>1338</v>
      </c>
      <c r="M2272" s="169" t="s">
        <v>281</v>
      </c>
      <c r="N2272" s="178">
        <v>30864122</v>
      </c>
      <c r="O2272" s="169" t="s">
        <v>1362</v>
      </c>
      <c r="P2272" s="169" t="s">
        <v>283</v>
      </c>
      <c r="Q2272" s="169" t="s">
        <v>284</v>
      </c>
      <c r="R2272" s="169" t="s">
        <v>283</v>
      </c>
      <c r="S2272" s="169" t="s">
        <v>283</v>
      </c>
      <c r="T2272" s="169">
        <v>0</v>
      </c>
    </row>
    <row r="2273" spans="1:20" x14ac:dyDescent="0.2">
      <c r="A2273" s="169" t="str">
        <f t="shared" si="13"/>
        <v>622</v>
      </c>
      <c r="B2273" s="167" t="str">
        <f>_xlfn.XLOOKUP(I2273,Mapping!D:D,Mapping!E:E)</f>
        <v>Xưởng Sản Xuất</v>
      </c>
      <c r="C2273" s="167" t="str">
        <f>_xlfn.XLOOKUP(F2273,Mapping!A:A,Mapping!F:F)</f>
        <v>Thưởng</v>
      </c>
      <c r="D2273" s="173">
        <v>46022</v>
      </c>
      <c r="E2273" s="169" t="s">
        <v>1360</v>
      </c>
      <c r="F2273" s="169" t="s">
        <v>426</v>
      </c>
      <c r="G2273" s="169" t="s">
        <v>77</v>
      </c>
      <c r="H2273" s="169" t="s">
        <v>402</v>
      </c>
      <c r="I2273" s="169" t="s">
        <v>403</v>
      </c>
      <c r="J2273" s="169" t="s">
        <v>1363</v>
      </c>
      <c r="K2273" s="169" t="s">
        <v>1358</v>
      </c>
      <c r="L2273" s="169" t="s">
        <v>1338</v>
      </c>
      <c r="M2273" s="169" t="s">
        <v>281</v>
      </c>
      <c r="N2273" s="178">
        <v>23258441</v>
      </c>
      <c r="O2273" s="169" t="s">
        <v>1362</v>
      </c>
      <c r="P2273" s="169" t="s">
        <v>283</v>
      </c>
      <c r="Q2273" s="169" t="s">
        <v>284</v>
      </c>
      <c r="R2273" s="169" t="s">
        <v>283</v>
      </c>
      <c r="S2273" s="169" t="s">
        <v>283</v>
      </c>
      <c r="T2273" s="169">
        <v>0</v>
      </c>
    </row>
    <row r="2274" spans="1:20" x14ac:dyDescent="0.2">
      <c r="A2274" s="169" t="str">
        <f t="shared" si="13"/>
        <v>627</v>
      </c>
      <c r="B2274" s="167" t="str">
        <f>_xlfn.XLOOKUP(I2274,Mapping!D:D,Mapping!E:E)</f>
        <v>Xưởng Sản Xuất</v>
      </c>
      <c r="C2274" s="167" t="str">
        <f>_xlfn.XLOOKUP(F2274,Mapping!A:A,Mapping!F:F)</f>
        <v>Lương Chính +T13</v>
      </c>
      <c r="D2274" s="173">
        <v>46022</v>
      </c>
      <c r="E2274" s="169" t="s">
        <v>1360</v>
      </c>
      <c r="F2274" s="169" t="s">
        <v>388</v>
      </c>
      <c r="G2274" s="169" t="s">
        <v>286</v>
      </c>
      <c r="H2274" s="169" t="s">
        <v>430</v>
      </c>
      <c r="I2274" s="169" t="s">
        <v>431</v>
      </c>
      <c r="J2274" s="169" t="s">
        <v>1361</v>
      </c>
      <c r="K2274" s="169" t="s">
        <v>1358</v>
      </c>
      <c r="L2274" s="169" t="s">
        <v>1338</v>
      </c>
      <c r="M2274" s="169" t="s">
        <v>281</v>
      </c>
      <c r="N2274" s="178">
        <v>11805449</v>
      </c>
      <c r="O2274" s="169" t="s">
        <v>1362</v>
      </c>
      <c r="P2274" s="169" t="s">
        <v>283</v>
      </c>
      <c r="Q2274" s="169" t="s">
        <v>284</v>
      </c>
      <c r="R2274" s="169" t="s">
        <v>283</v>
      </c>
      <c r="S2274" s="169" t="s">
        <v>283</v>
      </c>
      <c r="T2274" s="169">
        <v>0</v>
      </c>
    </row>
    <row r="2275" spans="1:20" x14ac:dyDescent="0.2">
      <c r="A2275" s="169" t="str">
        <f t="shared" si="13"/>
        <v>622</v>
      </c>
      <c r="B2275" s="167" t="str">
        <f>_xlfn.XLOOKUP(I2275,Mapping!D:D,Mapping!E:E)</f>
        <v>Xưởng Sản Xuất</v>
      </c>
      <c r="C2275" s="167" t="str">
        <f>_xlfn.XLOOKUP(F2275,Mapping!A:A,Mapping!F:F)</f>
        <v>Lương Chính +T13</v>
      </c>
      <c r="D2275" s="173">
        <v>46022</v>
      </c>
      <c r="E2275" s="169" t="s">
        <v>1360</v>
      </c>
      <c r="F2275" s="169" t="s">
        <v>420</v>
      </c>
      <c r="G2275" s="169" t="s">
        <v>286</v>
      </c>
      <c r="H2275" s="169" t="s">
        <v>430</v>
      </c>
      <c r="I2275" s="169" t="s">
        <v>431</v>
      </c>
      <c r="J2275" s="169" t="s">
        <v>1361</v>
      </c>
      <c r="K2275" s="169" t="s">
        <v>1358</v>
      </c>
      <c r="L2275" s="169" t="s">
        <v>1338</v>
      </c>
      <c r="M2275" s="169" t="s">
        <v>281</v>
      </c>
      <c r="N2275" s="178">
        <v>17710224</v>
      </c>
      <c r="O2275" s="169" t="s">
        <v>1362</v>
      </c>
      <c r="P2275" s="169" t="s">
        <v>283</v>
      </c>
      <c r="Q2275" s="169" t="s">
        <v>284</v>
      </c>
      <c r="R2275" s="169" t="s">
        <v>283</v>
      </c>
      <c r="S2275" s="169" t="s">
        <v>283</v>
      </c>
      <c r="T2275" s="169">
        <v>0</v>
      </c>
    </row>
    <row r="2276" spans="1:20" x14ac:dyDescent="0.2">
      <c r="A2276" s="169" t="str">
        <f t="shared" si="13"/>
        <v>627</v>
      </c>
      <c r="B2276" s="167" t="str">
        <f>_xlfn.XLOOKUP(I2276,Mapping!D:D,Mapping!E:E)</f>
        <v>Xưởng Sản Xuất</v>
      </c>
      <c r="C2276" s="167" t="str">
        <f>_xlfn.XLOOKUP(F2276,Mapping!A:A,Mapping!F:F)</f>
        <v>Thưởng</v>
      </c>
      <c r="D2276" s="173">
        <v>46022</v>
      </c>
      <c r="E2276" s="169" t="s">
        <v>1360</v>
      </c>
      <c r="F2276" s="169" t="s">
        <v>395</v>
      </c>
      <c r="G2276" s="169" t="s">
        <v>77</v>
      </c>
      <c r="H2276" s="169" t="s">
        <v>430</v>
      </c>
      <c r="I2276" s="169" t="s">
        <v>431</v>
      </c>
      <c r="J2276" s="169" t="s">
        <v>1363</v>
      </c>
      <c r="K2276" s="169" t="s">
        <v>1358</v>
      </c>
      <c r="L2276" s="169" t="s">
        <v>1338</v>
      </c>
      <c r="M2276" s="169" t="s">
        <v>281</v>
      </c>
      <c r="N2276" s="178">
        <v>10433629</v>
      </c>
      <c r="O2276" s="169" t="s">
        <v>1362</v>
      </c>
      <c r="P2276" s="169" t="s">
        <v>283</v>
      </c>
      <c r="Q2276" s="169" t="s">
        <v>284</v>
      </c>
      <c r="R2276" s="169" t="s">
        <v>283</v>
      </c>
      <c r="S2276" s="169" t="s">
        <v>283</v>
      </c>
      <c r="T2276" s="169">
        <v>0</v>
      </c>
    </row>
    <row r="2277" spans="1:20" x14ac:dyDescent="0.2">
      <c r="A2277" s="169" t="str">
        <f t="shared" si="13"/>
        <v>622</v>
      </c>
      <c r="B2277" s="167" t="str">
        <f>_xlfn.XLOOKUP(I2277,Mapping!D:D,Mapping!E:E)</f>
        <v>Xưởng Sản Xuất</v>
      </c>
      <c r="C2277" s="167" t="str">
        <f>_xlfn.XLOOKUP(F2277,Mapping!A:A,Mapping!F:F)</f>
        <v>Thưởng</v>
      </c>
      <c r="D2277" s="173">
        <v>46022</v>
      </c>
      <c r="E2277" s="169" t="s">
        <v>1360</v>
      </c>
      <c r="F2277" s="169" t="s">
        <v>426</v>
      </c>
      <c r="G2277" s="169" t="s">
        <v>77</v>
      </c>
      <c r="H2277" s="169" t="s">
        <v>430</v>
      </c>
      <c r="I2277" s="169" t="s">
        <v>431</v>
      </c>
      <c r="J2277" s="169" t="s">
        <v>1363</v>
      </c>
      <c r="K2277" s="169" t="s">
        <v>1358</v>
      </c>
      <c r="L2277" s="169" t="s">
        <v>1338</v>
      </c>
      <c r="M2277" s="169" t="s">
        <v>281</v>
      </c>
      <c r="N2277" s="178">
        <v>4680725</v>
      </c>
      <c r="O2277" s="169" t="s">
        <v>1362</v>
      </c>
      <c r="P2277" s="169" t="s">
        <v>283</v>
      </c>
      <c r="Q2277" s="169" t="s">
        <v>284</v>
      </c>
      <c r="R2277" s="169" t="s">
        <v>283</v>
      </c>
      <c r="S2277" s="169" t="s">
        <v>283</v>
      </c>
      <c r="T2277" s="169">
        <v>0</v>
      </c>
    </row>
    <row r="2278" spans="1:20" x14ac:dyDescent="0.2">
      <c r="A2278" s="169" t="str">
        <f t="shared" si="13"/>
        <v>627</v>
      </c>
      <c r="B2278" s="167" t="str">
        <f>_xlfn.XLOOKUP(I2278,Mapping!D:D,Mapping!E:E)</f>
        <v>Xưởng Sản Xuất</v>
      </c>
      <c r="C2278" s="167" t="str">
        <f>_xlfn.XLOOKUP(F2278,Mapping!A:A,Mapping!F:F)</f>
        <v>Lương Chính +T13</v>
      </c>
      <c r="D2278" s="173">
        <v>46022</v>
      </c>
      <c r="E2278" s="169" t="s">
        <v>1360</v>
      </c>
      <c r="F2278" s="169" t="s">
        <v>388</v>
      </c>
      <c r="G2278" s="169" t="s">
        <v>286</v>
      </c>
      <c r="H2278" s="169" t="s">
        <v>436</v>
      </c>
      <c r="I2278" s="169" t="s">
        <v>437</v>
      </c>
      <c r="J2278" s="169" t="s">
        <v>1361</v>
      </c>
      <c r="K2278" s="169" t="s">
        <v>1358</v>
      </c>
      <c r="L2278" s="169" t="s">
        <v>1338</v>
      </c>
      <c r="M2278" s="169" t="s">
        <v>281</v>
      </c>
      <c r="N2278" s="178">
        <v>24803881</v>
      </c>
      <c r="O2278" s="169" t="s">
        <v>1362</v>
      </c>
      <c r="P2278" s="169" t="s">
        <v>283</v>
      </c>
      <c r="Q2278" s="169" t="s">
        <v>284</v>
      </c>
      <c r="R2278" s="169" t="s">
        <v>283</v>
      </c>
      <c r="S2278" s="169" t="s">
        <v>283</v>
      </c>
      <c r="T2278" s="169">
        <v>0</v>
      </c>
    </row>
    <row r="2279" spans="1:20" x14ac:dyDescent="0.2">
      <c r="A2279" s="169" t="str">
        <f t="shared" si="13"/>
        <v>627</v>
      </c>
      <c r="B2279" s="167" t="str">
        <f>_xlfn.XLOOKUP(I2279,Mapping!D:D,Mapping!E:E)</f>
        <v>Xưởng Sản Xuất</v>
      </c>
      <c r="C2279" s="167" t="str">
        <f>_xlfn.XLOOKUP(F2279,Mapping!A:A,Mapping!F:F)</f>
        <v>Thưởng</v>
      </c>
      <c r="D2279" s="173">
        <v>46022</v>
      </c>
      <c r="E2279" s="169" t="s">
        <v>1360</v>
      </c>
      <c r="F2279" s="169" t="s">
        <v>395</v>
      </c>
      <c r="G2279" s="169" t="s">
        <v>77</v>
      </c>
      <c r="H2279" s="169" t="s">
        <v>436</v>
      </c>
      <c r="I2279" s="169" t="s">
        <v>437</v>
      </c>
      <c r="J2279" s="169" t="s">
        <v>1363</v>
      </c>
      <c r="K2279" s="169" t="s">
        <v>1358</v>
      </c>
      <c r="L2279" s="169" t="s">
        <v>1338</v>
      </c>
      <c r="M2279" s="169" t="s">
        <v>281</v>
      </c>
      <c r="N2279" s="178">
        <v>16388600</v>
      </c>
      <c r="O2279" s="169" t="s">
        <v>1362</v>
      </c>
      <c r="P2279" s="169" t="s">
        <v>283</v>
      </c>
      <c r="Q2279" s="169" t="s">
        <v>284</v>
      </c>
      <c r="R2279" s="169" t="s">
        <v>283</v>
      </c>
      <c r="S2279" s="169" t="s">
        <v>283</v>
      </c>
      <c r="T2279" s="169">
        <v>0</v>
      </c>
    </row>
    <row r="2280" spans="1:20" x14ac:dyDescent="0.2">
      <c r="A2280" s="169" t="str">
        <f t="shared" si="13"/>
        <v>642</v>
      </c>
      <c r="B2280" s="167" t="str">
        <f>_xlfn.XLOOKUP(I2280,Mapping!D:D,Mapping!E:E)</f>
        <v>Hành Chánh Nhân Sự</v>
      </c>
      <c r="C2280" s="167" t="str">
        <f>_xlfn.XLOOKUP(F2280,Mapping!A:A,Mapping!F:F)</f>
        <v>Lương Chính +T13</v>
      </c>
      <c r="D2280" s="173">
        <v>46022</v>
      </c>
      <c r="E2280" s="169" t="s">
        <v>1360</v>
      </c>
      <c r="F2280" s="169" t="s">
        <v>285</v>
      </c>
      <c r="G2280" s="169" t="s">
        <v>286</v>
      </c>
      <c r="H2280" s="169" t="s">
        <v>382</v>
      </c>
      <c r="I2280" s="169" t="s">
        <v>200</v>
      </c>
      <c r="J2280" s="169" t="s">
        <v>1361</v>
      </c>
      <c r="K2280" s="169" t="s">
        <v>1358</v>
      </c>
      <c r="L2280" s="169" t="s">
        <v>1338</v>
      </c>
      <c r="M2280" s="169" t="s">
        <v>281</v>
      </c>
      <c r="N2280" s="178">
        <v>6194250</v>
      </c>
      <c r="O2280" s="169" t="s">
        <v>1362</v>
      </c>
      <c r="P2280" s="169" t="s">
        <v>283</v>
      </c>
      <c r="Q2280" s="169" t="s">
        <v>284</v>
      </c>
      <c r="R2280" s="169" t="s">
        <v>283</v>
      </c>
      <c r="S2280" s="169" t="s">
        <v>283</v>
      </c>
      <c r="T2280" s="169">
        <v>0</v>
      </c>
    </row>
    <row r="2281" spans="1:20" x14ac:dyDescent="0.2">
      <c r="A2281" s="169" t="str">
        <f t="shared" si="13"/>
        <v>642</v>
      </c>
      <c r="B2281" s="167" t="str">
        <f>_xlfn.XLOOKUP(I2281,Mapping!D:D,Mapping!E:E)</f>
        <v>Hành Chánh Nhân Sự</v>
      </c>
      <c r="C2281" s="167" t="str">
        <f>_xlfn.XLOOKUP(F2281,Mapping!A:A,Mapping!F:F)</f>
        <v>Thưởng</v>
      </c>
      <c r="D2281" s="173">
        <v>46022</v>
      </c>
      <c r="E2281" s="169" t="s">
        <v>1360</v>
      </c>
      <c r="F2281" s="169" t="s">
        <v>292</v>
      </c>
      <c r="G2281" s="169" t="s">
        <v>77</v>
      </c>
      <c r="H2281" s="169" t="s">
        <v>382</v>
      </c>
      <c r="I2281" s="169" t="s">
        <v>200</v>
      </c>
      <c r="J2281" s="169" t="s">
        <v>1363</v>
      </c>
      <c r="K2281" s="169" t="s">
        <v>1358</v>
      </c>
      <c r="L2281" s="169" t="s">
        <v>1338</v>
      </c>
      <c r="M2281" s="169" t="s">
        <v>281</v>
      </c>
      <c r="N2281" s="178">
        <v>5698660</v>
      </c>
      <c r="O2281" s="169" t="s">
        <v>1362</v>
      </c>
      <c r="P2281" s="169" t="s">
        <v>283</v>
      </c>
      <c r="Q2281" s="169" t="s">
        <v>284</v>
      </c>
      <c r="R2281" s="169" t="s">
        <v>283</v>
      </c>
      <c r="S2281" s="169" t="s">
        <v>283</v>
      </c>
      <c r="T2281" s="169">
        <v>0</v>
      </c>
    </row>
    <row r="2282" spans="1:20" x14ac:dyDescent="0.2">
      <c r="A2282" s="169" t="str">
        <f t="shared" ref="A2282:A2345" si="14">LEFT(F2282,3)</f>
        <v>642</v>
      </c>
      <c r="B2282" s="167" t="str">
        <f>_xlfn.XLOOKUP(I2282,Mapping!D:D,Mapping!E:E)</f>
        <v>Hành Chánh Nhân Sự</v>
      </c>
      <c r="C2282" s="167" t="str">
        <f>_xlfn.XLOOKUP(F2282,Mapping!A:A,Mapping!F:F)</f>
        <v>Lương Chính +T13</v>
      </c>
      <c r="D2282" s="173">
        <v>46022</v>
      </c>
      <c r="E2282" s="169" t="s">
        <v>1360</v>
      </c>
      <c r="F2282" s="169" t="s">
        <v>285</v>
      </c>
      <c r="G2282" s="169" t="s">
        <v>286</v>
      </c>
      <c r="H2282" s="169" t="s">
        <v>358</v>
      </c>
      <c r="I2282" s="169" t="s">
        <v>359</v>
      </c>
      <c r="J2282" s="169" t="s">
        <v>1361</v>
      </c>
      <c r="K2282" s="169" t="s">
        <v>1358</v>
      </c>
      <c r="L2282" s="169" t="s">
        <v>1338</v>
      </c>
      <c r="M2282" s="169" t="s">
        <v>281</v>
      </c>
      <c r="N2282" s="178">
        <v>8468167</v>
      </c>
      <c r="O2282" s="169" t="s">
        <v>1362</v>
      </c>
      <c r="P2282" s="169" t="s">
        <v>283</v>
      </c>
      <c r="Q2282" s="169" t="s">
        <v>284</v>
      </c>
      <c r="R2282" s="169" t="s">
        <v>283</v>
      </c>
      <c r="S2282" s="169" t="s">
        <v>283</v>
      </c>
      <c r="T2282" s="169">
        <v>0</v>
      </c>
    </row>
    <row r="2283" spans="1:20" x14ac:dyDescent="0.2">
      <c r="A2283" s="169" t="str">
        <f t="shared" si="14"/>
        <v>642</v>
      </c>
      <c r="B2283" s="167" t="str">
        <f>_xlfn.XLOOKUP(I2283,Mapping!D:D,Mapping!E:E)</f>
        <v>Hành Chánh Nhân Sự</v>
      </c>
      <c r="C2283" s="167" t="str">
        <f>_xlfn.XLOOKUP(F2283,Mapping!A:A,Mapping!F:F)</f>
        <v>Thưởng</v>
      </c>
      <c r="D2283" s="173">
        <v>46022</v>
      </c>
      <c r="E2283" s="169" t="s">
        <v>1360</v>
      </c>
      <c r="F2283" s="169" t="s">
        <v>292</v>
      </c>
      <c r="G2283" s="169" t="s">
        <v>77</v>
      </c>
      <c r="H2283" s="169" t="s">
        <v>358</v>
      </c>
      <c r="I2283" s="169" t="s">
        <v>359</v>
      </c>
      <c r="J2283" s="169" t="s">
        <v>1363</v>
      </c>
      <c r="K2283" s="169" t="s">
        <v>1358</v>
      </c>
      <c r="L2283" s="169" t="s">
        <v>1338</v>
      </c>
      <c r="M2283" s="169" t="s">
        <v>281</v>
      </c>
      <c r="N2283" s="178">
        <v>7790646</v>
      </c>
      <c r="O2283" s="169" t="s">
        <v>1362</v>
      </c>
      <c r="P2283" s="169" t="s">
        <v>283</v>
      </c>
      <c r="Q2283" s="169" t="s">
        <v>284</v>
      </c>
      <c r="R2283" s="169" t="s">
        <v>283</v>
      </c>
      <c r="S2283" s="169" t="s">
        <v>283</v>
      </c>
      <c r="T2283" s="169">
        <v>0</v>
      </c>
    </row>
    <row r="2284" spans="1:20" x14ac:dyDescent="0.2">
      <c r="A2284" s="169" t="str">
        <f t="shared" si="14"/>
        <v>642</v>
      </c>
      <c r="B2284" s="167" t="str">
        <f>_xlfn.XLOOKUP(I2284,Mapping!D:D,Mapping!E:E)</f>
        <v>Tư vấn dịch vụ</v>
      </c>
      <c r="C2284" s="167" t="str">
        <f>_xlfn.XLOOKUP(F2284,Mapping!A:A,Mapping!F:F)</f>
        <v>Lương Chính +T13</v>
      </c>
      <c r="D2284" s="173">
        <v>46022</v>
      </c>
      <c r="E2284" s="169" t="s">
        <v>1360</v>
      </c>
      <c r="F2284" s="169" t="s">
        <v>285</v>
      </c>
      <c r="G2284" s="169" t="s">
        <v>286</v>
      </c>
      <c r="H2284" s="169" t="s">
        <v>443</v>
      </c>
      <c r="I2284" s="169" t="s">
        <v>444</v>
      </c>
      <c r="J2284" s="169" t="s">
        <v>1361</v>
      </c>
      <c r="K2284" s="169" t="s">
        <v>1358</v>
      </c>
      <c r="L2284" s="169" t="s">
        <v>1338</v>
      </c>
      <c r="M2284" s="169" t="s">
        <v>281</v>
      </c>
      <c r="N2284" s="178">
        <v>5833333</v>
      </c>
      <c r="O2284" s="169" t="s">
        <v>1362</v>
      </c>
      <c r="P2284" s="169" t="s">
        <v>283</v>
      </c>
      <c r="Q2284" s="169" t="s">
        <v>284</v>
      </c>
      <c r="R2284" s="169" t="s">
        <v>283</v>
      </c>
      <c r="S2284" s="169" t="s">
        <v>283</v>
      </c>
      <c r="T2284" s="169">
        <v>0</v>
      </c>
    </row>
    <row r="2285" spans="1:20" x14ac:dyDescent="0.2">
      <c r="A2285" s="169" t="str">
        <f t="shared" si="14"/>
        <v>642</v>
      </c>
      <c r="B2285" s="167" t="str">
        <f>_xlfn.XLOOKUP(I2285,Mapping!D:D,Mapping!E:E)</f>
        <v>Tư vấn dịch vụ</v>
      </c>
      <c r="C2285" s="167" t="str">
        <f>_xlfn.XLOOKUP(F2285,Mapping!A:A,Mapping!F:F)</f>
        <v>Thưởng</v>
      </c>
      <c r="D2285" s="173">
        <v>46022</v>
      </c>
      <c r="E2285" s="169" t="s">
        <v>1360</v>
      </c>
      <c r="F2285" s="169" t="s">
        <v>292</v>
      </c>
      <c r="G2285" s="169" t="s">
        <v>77</v>
      </c>
      <c r="H2285" s="169" t="s">
        <v>443</v>
      </c>
      <c r="I2285" s="169" t="s">
        <v>444</v>
      </c>
      <c r="J2285" s="169" t="s">
        <v>1363</v>
      </c>
      <c r="K2285" s="169" t="s">
        <v>1358</v>
      </c>
      <c r="L2285" s="169" t="s">
        <v>1338</v>
      </c>
      <c r="M2285" s="169" t="s">
        <v>281</v>
      </c>
      <c r="N2285" s="178">
        <v>5366620</v>
      </c>
      <c r="O2285" s="169" t="s">
        <v>1362</v>
      </c>
      <c r="P2285" s="169" t="s">
        <v>283</v>
      </c>
      <c r="Q2285" s="169" t="s">
        <v>284</v>
      </c>
      <c r="R2285" s="169" t="s">
        <v>283</v>
      </c>
      <c r="S2285" s="169" t="s">
        <v>283</v>
      </c>
      <c r="T2285" s="169">
        <v>0</v>
      </c>
    </row>
    <row r="2286" spans="1:20" x14ac:dyDescent="0.2">
      <c r="A2286" s="169" t="str">
        <f t="shared" si="14"/>
        <v>622</v>
      </c>
      <c r="B2286" s="167" t="str">
        <f>_xlfn.XLOOKUP(I2286,Mapping!D:D,Mapping!E:E)</f>
        <v>Xưởng Sản Xuất</v>
      </c>
      <c r="C2286" s="167" t="str">
        <f>_xlfn.XLOOKUP(F2286,Mapping!A:A,Mapping!F:F)</f>
        <v>Lương Chính +T13</v>
      </c>
      <c r="D2286" s="173">
        <v>46022</v>
      </c>
      <c r="E2286" s="169" t="s">
        <v>1360</v>
      </c>
      <c r="F2286" s="169" t="s">
        <v>420</v>
      </c>
      <c r="G2286" s="169" t="s">
        <v>286</v>
      </c>
      <c r="H2286" s="169" t="s">
        <v>441</v>
      </c>
      <c r="I2286" s="169" t="s">
        <v>442</v>
      </c>
      <c r="J2286" s="169" t="s">
        <v>1361</v>
      </c>
      <c r="K2286" s="169" t="s">
        <v>1358</v>
      </c>
      <c r="L2286" s="169" t="s">
        <v>1338</v>
      </c>
      <c r="M2286" s="169" t="s">
        <v>281</v>
      </c>
      <c r="N2286" s="178">
        <v>531385</v>
      </c>
      <c r="O2286" s="169" t="s">
        <v>1362</v>
      </c>
      <c r="P2286" s="169" t="s">
        <v>283</v>
      </c>
      <c r="Q2286" s="169" t="s">
        <v>284</v>
      </c>
      <c r="R2286" s="169" t="s">
        <v>283</v>
      </c>
      <c r="S2286" s="169" t="s">
        <v>283</v>
      </c>
      <c r="T2286" s="169">
        <v>0</v>
      </c>
    </row>
    <row r="2287" spans="1:20" x14ac:dyDescent="0.2">
      <c r="A2287" s="169" t="str">
        <f t="shared" si="14"/>
        <v>622</v>
      </c>
      <c r="B2287" s="167" t="str">
        <f>_xlfn.XLOOKUP(I2287,Mapping!D:D,Mapping!E:E)</f>
        <v>Xưởng Sản Xuất</v>
      </c>
      <c r="C2287" s="167" t="str">
        <f>_xlfn.XLOOKUP(F2287,Mapping!A:A,Mapping!F:F)</f>
        <v>Thưởng</v>
      </c>
      <c r="D2287" s="173">
        <v>46022</v>
      </c>
      <c r="E2287" s="169" t="s">
        <v>1360</v>
      </c>
      <c r="F2287" s="169" t="s">
        <v>426</v>
      </c>
      <c r="G2287" s="169" t="s">
        <v>77</v>
      </c>
      <c r="H2287" s="169" t="s">
        <v>441</v>
      </c>
      <c r="I2287" s="169" t="s">
        <v>442</v>
      </c>
      <c r="J2287" s="169" t="s">
        <v>1363</v>
      </c>
      <c r="K2287" s="169" t="s">
        <v>1358</v>
      </c>
      <c r="L2287" s="169" t="s">
        <v>1338</v>
      </c>
      <c r="M2287" s="169" t="s">
        <v>281</v>
      </c>
      <c r="N2287" s="178">
        <v>78876</v>
      </c>
      <c r="O2287" s="169" t="s">
        <v>1362</v>
      </c>
      <c r="P2287" s="169" t="s">
        <v>283</v>
      </c>
      <c r="Q2287" s="169" t="s">
        <v>284</v>
      </c>
      <c r="R2287" s="169" t="s">
        <v>283</v>
      </c>
      <c r="S2287" s="169" t="s">
        <v>283</v>
      </c>
      <c r="T2287" s="169">
        <v>0</v>
      </c>
    </row>
    <row r="2288" spans="1:20" x14ac:dyDescent="0.2">
      <c r="A2288" s="169" t="str">
        <f t="shared" si="14"/>
        <v>642</v>
      </c>
      <c r="B2288" s="167" t="str">
        <f>_xlfn.XLOOKUP(I2288,Mapping!D:D,Mapping!E:E)</f>
        <v>Ban Giám Đốc</v>
      </c>
      <c r="C2288" s="167" t="str">
        <f>_xlfn.XLOOKUP(F2288,Mapping!A:A,Mapping!F:F)</f>
        <v>BHXH, BHYT, KPCĐ</v>
      </c>
      <c r="D2288" s="173">
        <v>46022</v>
      </c>
      <c r="E2288" s="169" t="s">
        <v>1364</v>
      </c>
      <c r="F2288" s="169" t="s">
        <v>295</v>
      </c>
      <c r="G2288" s="169" t="s">
        <v>296</v>
      </c>
      <c r="H2288" s="169" t="s">
        <v>276</v>
      </c>
      <c r="I2288" s="169" t="s">
        <v>277</v>
      </c>
      <c r="J2288" s="169" t="s">
        <v>1365</v>
      </c>
      <c r="K2288" s="169" t="s">
        <v>1358</v>
      </c>
      <c r="L2288" s="169" t="s">
        <v>1338</v>
      </c>
      <c r="M2288" s="169" t="s">
        <v>281</v>
      </c>
      <c r="N2288" s="178">
        <v>137066950</v>
      </c>
      <c r="O2288" s="169" t="s">
        <v>1366</v>
      </c>
      <c r="P2288" s="169" t="s">
        <v>283</v>
      </c>
      <c r="Q2288" s="169" t="s">
        <v>284</v>
      </c>
      <c r="R2288" s="169" t="s">
        <v>283</v>
      </c>
      <c r="S2288" s="169" t="s">
        <v>283</v>
      </c>
      <c r="T2288" s="169">
        <v>0</v>
      </c>
    </row>
    <row r="2289" spans="1:20" x14ac:dyDescent="0.2">
      <c r="A2289" s="169" t="str">
        <f t="shared" si="14"/>
        <v>642</v>
      </c>
      <c r="B2289" s="167" t="str">
        <f>_xlfn.XLOOKUP(I2289,Mapping!D:D,Mapping!E:E)</f>
        <v>Văn Phòng Giám Đốc</v>
      </c>
      <c r="C2289" s="167" t="str">
        <f>_xlfn.XLOOKUP(F2289,Mapping!A:A,Mapping!F:F)</f>
        <v>BHXH, BHYT, KPCĐ</v>
      </c>
      <c r="D2289" s="173">
        <v>46022</v>
      </c>
      <c r="E2289" s="169" t="s">
        <v>1364</v>
      </c>
      <c r="F2289" s="169" t="s">
        <v>295</v>
      </c>
      <c r="G2289" s="169" t="s">
        <v>296</v>
      </c>
      <c r="H2289" s="169" t="s">
        <v>320</v>
      </c>
      <c r="I2289" s="169" t="s">
        <v>321</v>
      </c>
      <c r="J2289" s="169" t="s">
        <v>1365</v>
      </c>
      <c r="K2289" s="169" t="s">
        <v>1358</v>
      </c>
      <c r="L2289" s="169" t="s">
        <v>1338</v>
      </c>
      <c r="M2289" s="169" t="s">
        <v>281</v>
      </c>
      <c r="N2289" s="178">
        <v>34958750</v>
      </c>
      <c r="O2289" s="169" t="s">
        <v>1366</v>
      </c>
      <c r="P2289" s="169" t="s">
        <v>283</v>
      </c>
      <c r="Q2289" s="169" t="s">
        <v>284</v>
      </c>
      <c r="R2289" s="169" t="s">
        <v>283</v>
      </c>
      <c r="S2289" s="169" t="s">
        <v>283</v>
      </c>
      <c r="T2289" s="169">
        <v>0</v>
      </c>
    </row>
    <row r="2290" spans="1:20" x14ac:dyDescent="0.2">
      <c r="A2290" s="169" t="str">
        <f t="shared" si="14"/>
        <v>642</v>
      </c>
      <c r="B2290" s="167" t="str">
        <f>_xlfn.XLOOKUP(I2290,Mapping!D:D,Mapping!E:E)</f>
        <v>Hành Chánh Nhân Sự</v>
      </c>
      <c r="C2290" s="167" t="str">
        <f>_xlfn.XLOOKUP(F2290,Mapping!A:A,Mapping!F:F)</f>
        <v>BHXH, BHYT, KPCĐ</v>
      </c>
      <c r="D2290" s="173">
        <v>46022</v>
      </c>
      <c r="E2290" s="169" t="s">
        <v>1364</v>
      </c>
      <c r="F2290" s="169" t="s">
        <v>295</v>
      </c>
      <c r="G2290" s="169" t="s">
        <v>296</v>
      </c>
      <c r="H2290" s="169" t="s">
        <v>301</v>
      </c>
      <c r="I2290" s="169" t="s">
        <v>302</v>
      </c>
      <c r="J2290" s="169" t="s">
        <v>1365</v>
      </c>
      <c r="K2290" s="169" t="s">
        <v>1358</v>
      </c>
      <c r="L2290" s="169" t="s">
        <v>1338</v>
      </c>
      <c r="M2290" s="169" t="s">
        <v>281</v>
      </c>
      <c r="N2290" s="178">
        <v>110171480</v>
      </c>
      <c r="O2290" s="169" t="s">
        <v>1366</v>
      </c>
      <c r="P2290" s="169" t="s">
        <v>283</v>
      </c>
      <c r="Q2290" s="169" t="s">
        <v>284</v>
      </c>
      <c r="R2290" s="169" t="s">
        <v>283</v>
      </c>
      <c r="S2290" s="169" t="s">
        <v>283</v>
      </c>
      <c r="T2290" s="169">
        <v>0</v>
      </c>
    </row>
    <row r="2291" spans="1:20" x14ac:dyDescent="0.2">
      <c r="A2291" s="169" t="str">
        <f t="shared" si="14"/>
        <v>642</v>
      </c>
      <c r="B2291" s="167" t="str">
        <f>_xlfn.XLOOKUP(I2291,Mapping!D:D,Mapping!E:E)</f>
        <v>Kế Toán</v>
      </c>
      <c r="C2291" s="167" t="str">
        <f>_xlfn.XLOOKUP(F2291,Mapping!A:A,Mapping!F:F)</f>
        <v>BHXH, BHYT, KPCĐ</v>
      </c>
      <c r="D2291" s="173">
        <v>46022</v>
      </c>
      <c r="E2291" s="169" t="s">
        <v>1364</v>
      </c>
      <c r="F2291" s="169" t="s">
        <v>295</v>
      </c>
      <c r="G2291" s="169" t="s">
        <v>296</v>
      </c>
      <c r="H2291" s="169" t="s">
        <v>356</v>
      </c>
      <c r="I2291" s="169" t="s">
        <v>357</v>
      </c>
      <c r="J2291" s="169" t="s">
        <v>1365</v>
      </c>
      <c r="K2291" s="169" t="s">
        <v>1358</v>
      </c>
      <c r="L2291" s="169" t="s">
        <v>1338</v>
      </c>
      <c r="M2291" s="169" t="s">
        <v>281</v>
      </c>
      <c r="N2291" s="178">
        <v>115039335</v>
      </c>
      <c r="O2291" s="169" t="s">
        <v>1366</v>
      </c>
      <c r="P2291" s="169" t="s">
        <v>283</v>
      </c>
      <c r="Q2291" s="169" t="s">
        <v>284</v>
      </c>
      <c r="R2291" s="169" t="s">
        <v>283</v>
      </c>
      <c r="S2291" s="169" t="s">
        <v>283</v>
      </c>
      <c r="T2291" s="169">
        <v>0</v>
      </c>
    </row>
    <row r="2292" spans="1:20" x14ac:dyDescent="0.2">
      <c r="A2292" s="169" t="str">
        <f t="shared" si="14"/>
        <v>641</v>
      </c>
      <c r="B2292" s="167" t="str">
        <f>_xlfn.XLOOKUP(I2292,Mapping!D:D,Mapping!E:E)</f>
        <v>Kinh doanh</v>
      </c>
      <c r="C2292" s="167" t="str">
        <f>_xlfn.XLOOKUP(F2292,Mapping!A:A,Mapping!F:F)</f>
        <v>BHXH, BHYT, KPCĐ</v>
      </c>
      <c r="D2292" s="173">
        <v>46022</v>
      </c>
      <c r="E2292" s="169" t="s">
        <v>1364</v>
      </c>
      <c r="F2292" s="169" t="s">
        <v>392</v>
      </c>
      <c r="G2292" s="169" t="s">
        <v>296</v>
      </c>
      <c r="H2292" s="169" t="s">
        <v>366</v>
      </c>
      <c r="I2292" s="169" t="s">
        <v>1</v>
      </c>
      <c r="J2292" s="169" t="s">
        <v>1365</v>
      </c>
      <c r="K2292" s="169" t="s">
        <v>1358</v>
      </c>
      <c r="L2292" s="169" t="s">
        <v>1338</v>
      </c>
      <c r="M2292" s="169" t="s">
        <v>281</v>
      </c>
      <c r="N2292" s="178">
        <v>65072445</v>
      </c>
      <c r="O2292" s="169" t="s">
        <v>1366</v>
      </c>
      <c r="P2292" s="169" t="s">
        <v>283</v>
      </c>
      <c r="Q2292" s="169" t="s">
        <v>284</v>
      </c>
      <c r="R2292" s="169" t="s">
        <v>283</v>
      </c>
      <c r="S2292" s="169" t="s">
        <v>283</v>
      </c>
      <c r="T2292" s="169">
        <v>0</v>
      </c>
    </row>
    <row r="2293" spans="1:20" x14ac:dyDescent="0.2">
      <c r="A2293" s="169" t="str">
        <f t="shared" si="14"/>
        <v>642</v>
      </c>
      <c r="B2293" s="167" t="str">
        <f>_xlfn.XLOOKUP(I2293,Mapping!D:D,Mapping!E:E)</f>
        <v>Cung Ứng</v>
      </c>
      <c r="C2293" s="167" t="str">
        <f>_xlfn.XLOOKUP(F2293,Mapping!A:A,Mapping!F:F)</f>
        <v>BHXH, BHYT, KPCĐ</v>
      </c>
      <c r="D2293" s="173">
        <v>46022</v>
      </c>
      <c r="E2293" s="169" t="s">
        <v>1364</v>
      </c>
      <c r="F2293" s="169" t="s">
        <v>295</v>
      </c>
      <c r="G2293" s="169" t="s">
        <v>296</v>
      </c>
      <c r="H2293" s="169" t="s">
        <v>380</v>
      </c>
      <c r="I2293" s="169" t="s">
        <v>381</v>
      </c>
      <c r="J2293" s="169" t="s">
        <v>1365</v>
      </c>
      <c r="K2293" s="169" t="s">
        <v>1358</v>
      </c>
      <c r="L2293" s="169" t="s">
        <v>1338</v>
      </c>
      <c r="M2293" s="169" t="s">
        <v>281</v>
      </c>
      <c r="N2293" s="178">
        <v>116574335</v>
      </c>
      <c r="O2293" s="169" t="s">
        <v>1366</v>
      </c>
      <c r="P2293" s="169" t="s">
        <v>283</v>
      </c>
      <c r="Q2293" s="169" t="s">
        <v>284</v>
      </c>
      <c r="R2293" s="169" t="s">
        <v>283</v>
      </c>
      <c r="S2293" s="169" t="s">
        <v>283</v>
      </c>
      <c r="T2293" s="169">
        <v>0</v>
      </c>
    </row>
    <row r="2294" spans="1:20" x14ac:dyDescent="0.2">
      <c r="A2294" s="169" t="str">
        <f t="shared" si="14"/>
        <v>642</v>
      </c>
      <c r="B2294" s="167" t="str">
        <f>_xlfn.XLOOKUP(I2294,Mapping!D:D,Mapping!E:E)</f>
        <v>Mua Hàng &amp; XNK</v>
      </c>
      <c r="C2294" s="167" t="str">
        <f>_xlfn.XLOOKUP(F2294,Mapping!A:A,Mapping!F:F)</f>
        <v>BHXH, BHYT, KPCĐ</v>
      </c>
      <c r="D2294" s="173">
        <v>46022</v>
      </c>
      <c r="E2294" s="169" t="s">
        <v>1364</v>
      </c>
      <c r="F2294" s="169" t="s">
        <v>295</v>
      </c>
      <c r="G2294" s="169" t="s">
        <v>296</v>
      </c>
      <c r="H2294" s="169" t="s">
        <v>378</v>
      </c>
      <c r="I2294" s="169" t="s">
        <v>379</v>
      </c>
      <c r="J2294" s="169" t="s">
        <v>1365</v>
      </c>
      <c r="K2294" s="169" t="s">
        <v>1358</v>
      </c>
      <c r="L2294" s="169" t="s">
        <v>1338</v>
      </c>
      <c r="M2294" s="169" t="s">
        <v>281</v>
      </c>
      <c r="N2294" s="178">
        <v>43635255</v>
      </c>
      <c r="O2294" s="169" t="s">
        <v>1366</v>
      </c>
      <c r="P2294" s="169" t="s">
        <v>283</v>
      </c>
      <c r="Q2294" s="169" t="s">
        <v>284</v>
      </c>
      <c r="R2294" s="169" t="s">
        <v>283</v>
      </c>
      <c r="S2294" s="169" t="s">
        <v>283</v>
      </c>
      <c r="T2294" s="169">
        <v>0</v>
      </c>
    </row>
    <row r="2295" spans="1:20" x14ac:dyDescent="0.2">
      <c r="A2295" s="169" t="str">
        <f t="shared" si="14"/>
        <v>627</v>
      </c>
      <c r="B2295" s="167" t="str">
        <f>_xlfn.XLOOKUP(I2295,Mapping!D:D,Mapping!E:E)</f>
        <v>Kỹ Thuật</v>
      </c>
      <c r="C2295" s="167" t="str">
        <f>_xlfn.XLOOKUP(F2295,Mapping!A:A,Mapping!F:F)</f>
        <v>BHXH, BHYT, KPCĐ</v>
      </c>
      <c r="D2295" s="173">
        <v>46022</v>
      </c>
      <c r="E2295" s="169" t="s">
        <v>1364</v>
      </c>
      <c r="F2295" s="169" t="s">
        <v>393</v>
      </c>
      <c r="G2295" s="169" t="s">
        <v>296</v>
      </c>
      <c r="H2295" s="169" t="s">
        <v>376</v>
      </c>
      <c r="I2295" s="169" t="s">
        <v>377</v>
      </c>
      <c r="J2295" s="169" t="s">
        <v>1365</v>
      </c>
      <c r="K2295" s="169" t="s">
        <v>1358</v>
      </c>
      <c r="L2295" s="169" t="s">
        <v>1338</v>
      </c>
      <c r="M2295" s="169" t="s">
        <v>281</v>
      </c>
      <c r="N2295" s="178">
        <v>261645225</v>
      </c>
      <c r="O2295" s="169" t="s">
        <v>1366</v>
      </c>
      <c r="P2295" s="169" t="s">
        <v>283</v>
      </c>
      <c r="Q2295" s="169" t="s">
        <v>284</v>
      </c>
      <c r="R2295" s="169" t="s">
        <v>283</v>
      </c>
      <c r="S2295" s="169" t="s">
        <v>283</v>
      </c>
      <c r="T2295" s="169">
        <v>0</v>
      </c>
    </row>
    <row r="2296" spans="1:20" x14ac:dyDescent="0.2">
      <c r="A2296" s="169" t="str">
        <f t="shared" si="14"/>
        <v>627</v>
      </c>
      <c r="B2296" s="167" t="str">
        <f>_xlfn.XLOOKUP(I2296,Mapping!D:D,Mapping!E:E)</f>
        <v>Kiểm Soát Chất Lượng</v>
      </c>
      <c r="C2296" s="167" t="str">
        <f>_xlfn.XLOOKUP(F2296,Mapping!A:A,Mapping!F:F)</f>
        <v>BHXH, BHYT, KPCĐ</v>
      </c>
      <c r="D2296" s="173">
        <v>46022</v>
      </c>
      <c r="E2296" s="169" t="s">
        <v>1364</v>
      </c>
      <c r="F2296" s="169" t="s">
        <v>393</v>
      </c>
      <c r="G2296" s="169" t="s">
        <v>296</v>
      </c>
      <c r="H2296" s="169" t="s">
        <v>411</v>
      </c>
      <c r="I2296" s="169" t="s">
        <v>412</v>
      </c>
      <c r="J2296" s="169" t="s">
        <v>1365</v>
      </c>
      <c r="K2296" s="169" t="s">
        <v>1358</v>
      </c>
      <c r="L2296" s="169" t="s">
        <v>1338</v>
      </c>
      <c r="M2296" s="169" t="s">
        <v>281</v>
      </c>
      <c r="N2296" s="178">
        <v>105984915</v>
      </c>
      <c r="O2296" s="169" t="s">
        <v>1366</v>
      </c>
      <c r="P2296" s="169" t="s">
        <v>283</v>
      </c>
      <c r="Q2296" s="169" t="s">
        <v>284</v>
      </c>
      <c r="R2296" s="169" t="s">
        <v>283</v>
      </c>
      <c r="S2296" s="169" t="s">
        <v>283</v>
      </c>
      <c r="T2296" s="169">
        <v>0</v>
      </c>
    </row>
    <row r="2297" spans="1:20" x14ac:dyDescent="0.2">
      <c r="A2297" s="169" t="str">
        <f t="shared" si="14"/>
        <v>627</v>
      </c>
      <c r="B2297" s="167" t="str">
        <f>_xlfn.XLOOKUP(I2297,Mapping!D:D,Mapping!E:E)</f>
        <v>Nghiên Cứu &amp; Phát Triển</v>
      </c>
      <c r="C2297" s="167" t="str">
        <f>_xlfn.XLOOKUP(F2297,Mapping!A:A,Mapping!F:F)</f>
        <v>BHXH, BHYT, KPCĐ</v>
      </c>
      <c r="D2297" s="173">
        <v>46022</v>
      </c>
      <c r="E2297" s="169" t="s">
        <v>1364</v>
      </c>
      <c r="F2297" s="169" t="s">
        <v>393</v>
      </c>
      <c r="G2297" s="169" t="s">
        <v>296</v>
      </c>
      <c r="H2297" s="169" t="s">
        <v>418</v>
      </c>
      <c r="I2297" s="169" t="s">
        <v>419</v>
      </c>
      <c r="J2297" s="169" t="s">
        <v>1365</v>
      </c>
      <c r="K2297" s="169" t="s">
        <v>1358</v>
      </c>
      <c r="L2297" s="169" t="s">
        <v>1338</v>
      </c>
      <c r="M2297" s="169" t="s">
        <v>281</v>
      </c>
      <c r="N2297" s="178">
        <v>38435000</v>
      </c>
      <c r="O2297" s="169" t="s">
        <v>1366</v>
      </c>
      <c r="P2297" s="169" t="s">
        <v>283</v>
      </c>
      <c r="Q2297" s="169" t="s">
        <v>284</v>
      </c>
      <c r="R2297" s="169" t="s">
        <v>283</v>
      </c>
      <c r="S2297" s="169" t="s">
        <v>283</v>
      </c>
      <c r="T2297" s="169">
        <v>0</v>
      </c>
    </row>
    <row r="2298" spans="1:20" x14ac:dyDescent="0.2">
      <c r="A2298" s="169" t="str">
        <f t="shared" si="14"/>
        <v>622</v>
      </c>
      <c r="B2298" s="167" t="str">
        <f>_xlfn.XLOOKUP(I2298,Mapping!D:D,Mapping!E:E)</f>
        <v>Xưởng Sản Xuất</v>
      </c>
      <c r="C2298" s="167" t="str">
        <f>_xlfn.XLOOKUP(F2298,Mapping!A:A,Mapping!F:F)</f>
        <v>BHXH, BHYT, KPCĐ</v>
      </c>
      <c r="D2298" s="173">
        <v>46022</v>
      </c>
      <c r="E2298" s="169" t="s">
        <v>1364</v>
      </c>
      <c r="F2298" s="169" t="s">
        <v>425</v>
      </c>
      <c r="G2298" s="169" t="s">
        <v>296</v>
      </c>
      <c r="H2298" s="169" t="s">
        <v>402</v>
      </c>
      <c r="I2298" s="169" t="s">
        <v>403</v>
      </c>
      <c r="J2298" s="169" t="s">
        <v>1365</v>
      </c>
      <c r="K2298" s="169" t="s">
        <v>1358</v>
      </c>
      <c r="L2298" s="169" t="s">
        <v>1338</v>
      </c>
      <c r="M2298" s="169" t="s">
        <v>281</v>
      </c>
      <c r="N2298" s="178">
        <v>277488490</v>
      </c>
      <c r="O2298" s="169" t="s">
        <v>1366</v>
      </c>
      <c r="P2298" s="169" t="s">
        <v>283</v>
      </c>
      <c r="Q2298" s="169" t="s">
        <v>284</v>
      </c>
      <c r="R2298" s="169" t="s">
        <v>283</v>
      </c>
      <c r="S2298" s="169" t="s">
        <v>283</v>
      </c>
      <c r="T2298" s="169">
        <v>0</v>
      </c>
    </row>
    <row r="2299" spans="1:20" x14ac:dyDescent="0.2">
      <c r="A2299" s="169" t="str">
        <f t="shared" si="14"/>
        <v>627</v>
      </c>
      <c r="B2299" s="167" t="str">
        <f>_xlfn.XLOOKUP(I2299,Mapping!D:D,Mapping!E:E)</f>
        <v>Xưởng Sản Xuất</v>
      </c>
      <c r="C2299" s="167" t="str">
        <f>_xlfn.XLOOKUP(F2299,Mapping!A:A,Mapping!F:F)</f>
        <v>BHXH, BHYT, KPCĐ</v>
      </c>
      <c r="D2299" s="173">
        <v>46022</v>
      </c>
      <c r="E2299" s="169" t="s">
        <v>1364</v>
      </c>
      <c r="F2299" s="169" t="s">
        <v>393</v>
      </c>
      <c r="G2299" s="169" t="s">
        <v>296</v>
      </c>
      <c r="H2299" s="169" t="s">
        <v>402</v>
      </c>
      <c r="I2299" s="169" t="s">
        <v>403</v>
      </c>
      <c r="J2299" s="169" t="s">
        <v>1365</v>
      </c>
      <c r="K2299" s="169" t="s">
        <v>1358</v>
      </c>
      <c r="L2299" s="169" t="s">
        <v>1338</v>
      </c>
      <c r="M2299" s="169" t="s">
        <v>281</v>
      </c>
      <c r="N2299" s="178">
        <v>87395265</v>
      </c>
      <c r="O2299" s="169" t="s">
        <v>1366</v>
      </c>
      <c r="P2299" s="169" t="s">
        <v>283</v>
      </c>
      <c r="Q2299" s="169" t="s">
        <v>284</v>
      </c>
      <c r="R2299" s="169" t="s">
        <v>283</v>
      </c>
      <c r="S2299" s="169" t="s">
        <v>283</v>
      </c>
      <c r="T2299" s="169">
        <v>0</v>
      </c>
    </row>
    <row r="2300" spans="1:20" x14ac:dyDescent="0.2">
      <c r="A2300" s="169" t="str">
        <f t="shared" si="14"/>
        <v>622</v>
      </c>
      <c r="B2300" s="167" t="str">
        <f>_xlfn.XLOOKUP(I2300,Mapping!D:D,Mapping!E:E)</f>
        <v>Xưởng Sản Xuất</v>
      </c>
      <c r="C2300" s="167" t="str">
        <f>_xlfn.XLOOKUP(F2300,Mapping!A:A,Mapping!F:F)</f>
        <v>BHXH, BHYT, KPCĐ</v>
      </c>
      <c r="D2300" s="173">
        <v>46022</v>
      </c>
      <c r="E2300" s="169" t="s">
        <v>1364</v>
      </c>
      <c r="F2300" s="169" t="s">
        <v>425</v>
      </c>
      <c r="G2300" s="169" t="s">
        <v>296</v>
      </c>
      <c r="H2300" s="169" t="s">
        <v>430</v>
      </c>
      <c r="I2300" s="169" t="s">
        <v>431</v>
      </c>
      <c r="J2300" s="169" t="s">
        <v>1365</v>
      </c>
      <c r="K2300" s="169" t="s">
        <v>1358</v>
      </c>
      <c r="L2300" s="169" t="s">
        <v>1338</v>
      </c>
      <c r="M2300" s="169" t="s">
        <v>281</v>
      </c>
      <c r="N2300" s="178">
        <v>50458000</v>
      </c>
      <c r="O2300" s="169" t="s">
        <v>1366</v>
      </c>
      <c r="P2300" s="169" t="s">
        <v>283</v>
      </c>
      <c r="Q2300" s="169" t="s">
        <v>284</v>
      </c>
      <c r="R2300" s="169" t="s">
        <v>283</v>
      </c>
      <c r="S2300" s="169" t="s">
        <v>283</v>
      </c>
      <c r="T2300" s="169">
        <v>0</v>
      </c>
    </row>
    <row r="2301" spans="1:20" x14ac:dyDescent="0.2">
      <c r="A2301" s="169" t="str">
        <f t="shared" si="14"/>
        <v>627</v>
      </c>
      <c r="B2301" s="167" t="str">
        <f>_xlfn.XLOOKUP(I2301,Mapping!D:D,Mapping!E:E)</f>
        <v>Xưởng Sản Xuất</v>
      </c>
      <c r="C2301" s="167" t="str">
        <f>_xlfn.XLOOKUP(F2301,Mapping!A:A,Mapping!F:F)</f>
        <v>BHXH, BHYT, KPCĐ</v>
      </c>
      <c r="D2301" s="173">
        <v>46022</v>
      </c>
      <c r="E2301" s="169" t="s">
        <v>1364</v>
      </c>
      <c r="F2301" s="169" t="s">
        <v>393</v>
      </c>
      <c r="G2301" s="169" t="s">
        <v>296</v>
      </c>
      <c r="H2301" s="169" t="s">
        <v>430</v>
      </c>
      <c r="I2301" s="169" t="s">
        <v>431</v>
      </c>
      <c r="J2301" s="169" t="s">
        <v>1365</v>
      </c>
      <c r="K2301" s="169" t="s">
        <v>1358</v>
      </c>
      <c r="L2301" s="169" t="s">
        <v>1338</v>
      </c>
      <c r="M2301" s="169" t="s">
        <v>281</v>
      </c>
      <c r="N2301" s="178">
        <v>26931495</v>
      </c>
      <c r="O2301" s="169" t="s">
        <v>1366</v>
      </c>
      <c r="P2301" s="169" t="s">
        <v>283</v>
      </c>
      <c r="Q2301" s="169" t="s">
        <v>284</v>
      </c>
      <c r="R2301" s="169" t="s">
        <v>283</v>
      </c>
      <c r="S2301" s="169" t="s">
        <v>283</v>
      </c>
      <c r="T2301" s="169">
        <v>0</v>
      </c>
    </row>
    <row r="2302" spans="1:20" x14ac:dyDescent="0.2">
      <c r="A2302" s="169" t="str">
        <f t="shared" si="14"/>
        <v>627</v>
      </c>
      <c r="B2302" s="167" t="str">
        <f>_xlfn.XLOOKUP(I2302,Mapping!D:D,Mapping!E:E)</f>
        <v>Xưởng Sản Xuất</v>
      </c>
      <c r="C2302" s="167" t="str">
        <f>_xlfn.XLOOKUP(F2302,Mapping!A:A,Mapping!F:F)</f>
        <v>BHXH, BHYT, KPCĐ</v>
      </c>
      <c r="D2302" s="173">
        <v>46022</v>
      </c>
      <c r="E2302" s="169" t="s">
        <v>1364</v>
      </c>
      <c r="F2302" s="169" t="s">
        <v>393</v>
      </c>
      <c r="G2302" s="169" t="s">
        <v>296</v>
      </c>
      <c r="H2302" s="169" t="s">
        <v>436</v>
      </c>
      <c r="I2302" s="169" t="s">
        <v>437</v>
      </c>
      <c r="J2302" s="169" t="s">
        <v>1365</v>
      </c>
      <c r="K2302" s="169" t="s">
        <v>1358</v>
      </c>
      <c r="L2302" s="169" t="s">
        <v>1338</v>
      </c>
      <c r="M2302" s="169" t="s">
        <v>281</v>
      </c>
      <c r="N2302" s="178">
        <v>59533170</v>
      </c>
      <c r="O2302" s="169" t="s">
        <v>1366</v>
      </c>
      <c r="P2302" s="169" t="s">
        <v>283</v>
      </c>
      <c r="Q2302" s="169" t="s">
        <v>284</v>
      </c>
      <c r="R2302" s="169" t="s">
        <v>283</v>
      </c>
      <c r="S2302" s="169" t="s">
        <v>283</v>
      </c>
      <c r="T2302" s="169">
        <v>0</v>
      </c>
    </row>
    <row r="2303" spans="1:20" x14ac:dyDescent="0.2">
      <c r="A2303" s="169" t="str">
        <f t="shared" si="14"/>
        <v>642</v>
      </c>
      <c r="B2303" s="167" t="str">
        <f>_xlfn.XLOOKUP(I2303,Mapping!D:D,Mapping!E:E)</f>
        <v>Hành Chánh Nhân Sự</v>
      </c>
      <c r="C2303" s="167" t="str">
        <f>_xlfn.XLOOKUP(F2303,Mapping!A:A,Mapping!F:F)</f>
        <v>BHXH, BHYT, KPCĐ</v>
      </c>
      <c r="D2303" s="173">
        <v>46022</v>
      </c>
      <c r="E2303" s="169" t="s">
        <v>1364</v>
      </c>
      <c r="F2303" s="169" t="s">
        <v>295</v>
      </c>
      <c r="G2303" s="169" t="s">
        <v>296</v>
      </c>
      <c r="H2303" s="169" t="s">
        <v>382</v>
      </c>
      <c r="I2303" s="169" t="s">
        <v>200</v>
      </c>
      <c r="J2303" s="169" t="s">
        <v>1365</v>
      </c>
      <c r="K2303" s="169" t="s">
        <v>1358</v>
      </c>
      <c r="L2303" s="169" t="s">
        <v>1338</v>
      </c>
      <c r="M2303" s="169" t="s">
        <v>281</v>
      </c>
      <c r="N2303" s="178">
        <v>17467785</v>
      </c>
      <c r="O2303" s="169" t="s">
        <v>1366</v>
      </c>
      <c r="P2303" s="169" t="s">
        <v>283</v>
      </c>
      <c r="Q2303" s="169" t="s">
        <v>284</v>
      </c>
      <c r="R2303" s="169" t="s">
        <v>283</v>
      </c>
      <c r="S2303" s="169" t="s">
        <v>283</v>
      </c>
      <c r="T2303" s="169">
        <v>0</v>
      </c>
    </row>
    <row r="2304" spans="1:20" x14ac:dyDescent="0.2">
      <c r="A2304" s="169" t="str">
        <f t="shared" si="14"/>
        <v>642</v>
      </c>
      <c r="B2304" s="167" t="str">
        <f>_xlfn.XLOOKUP(I2304,Mapping!D:D,Mapping!E:E)</f>
        <v>Hành Chánh Nhân Sự</v>
      </c>
      <c r="C2304" s="167" t="str">
        <f>_xlfn.XLOOKUP(F2304,Mapping!A:A,Mapping!F:F)</f>
        <v>BHXH, BHYT, KPCĐ</v>
      </c>
      <c r="D2304" s="173">
        <v>46022</v>
      </c>
      <c r="E2304" s="169" t="s">
        <v>1364</v>
      </c>
      <c r="F2304" s="169" t="s">
        <v>295</v>
      </c>
      <c r="G2304" s="169" t="s">
        <v>296</v>
      </c>
      <c r="H2304" s="169" t="s">
        <v>358</v>
      </c>
      <c r="I2304" s="169" t="s">
        <v>359</v>
      </c>
      <c r="J2304" s="169" t="s">
        <v>1365</v>
      </c>
      <c r="K2304" s="169" t="s">
        <v>1358</v>
      </c>
      <c r="L2304" s="169" t="s">
        <v>1338</v>
      </c>
      <c r="M2304" s="169" t="s">
        <v>281</v>
      </c>
      <c r="N2304" s="178">
        <v>23880230</v>
      </c>
      <c r="O2304" s="169" t="s">
        <v>1366</v>
      </c>
      <c r="P2304" s="169" t="s">
        <v>283</v>
      </c>
      <c r="Q2304" s="169" t="s">
        <v>284</v>
      </c>
      <c r="R2304" s="169" t="s">
        <v>283</v>
      </c>
      <c r="S2304" s="169" t="s">
        <v>283</v>
      </c>
      <c r="T2304" s="169">
        <v>0</v>
      </c>
    </row>
    <row r="2305" spans="1:20" x14ac:dyDescent="0.2">
      <c r="A2305" s="169" t="str">
        <f t="shared" si="14"/>
        <v>622</v>
      </c>
      <c r="B2305" s="167" t="str">
        <f>_xlfn.XLOOKUP(I2305,Mapping!D:D,Mapping!E:E)</f>
        <v>Xưởng Sản Xuất</v>
      </c>
      <c r="C2305" s="167" t="str">
        <f>_xlfn.XLOOKUP(F2305,Mapping!A:A,Mapping!F:F)</f>
        <v>BHXH, BHYT, KPCĐ</v>
      </c>
      <c r="D2305" s="173">
        <v>46022</v>
      </c>
      <c r="E2305" s="169" t="s">
        <v>1364</v>
      </c>
      <c r="F2305" s="169" t="s">
        <v>425</v>
      </c>
      <c r="G2305" s="169" t="s">
        <v>296</v>
      </c>
      <c r="H2305" s="169" t="s">
        <v>441</v>
      </c>
      <c r="I2305" s="169" t="s">
        <v>442</v>
      </c>
      <c r="J2305" s="169" t="s">
        <v>1365</v>
      </c>
      <c r="K2305" s="169" t="s">
        <v>1358</v>
      </c>
      <c r="L2305" s="169" t="s">
        <v>1338</v>
      </c>
      <c r="M2305" s="169" t="s">
        <v>281</v>
      </c>
      <c r="N2305" s="178">
        <v>1308480</v>
      </c>
      <c r="O2305" s="169" t="s">
        <v>1366</v>
      </c>
      <c r="P2305" s="169" t="s">
        <v>283</v>
      </c>
      <c r="Q2305" s="169" t="s">
        <v>284</v>
      </c>
      <c r="R2305" s="169" t="s">
        <v>283</v>
      </c>
      <c r="S2305" s="169" t="s">
        <v>283</v>
      </c>
      <c r="T2305" s="169">
        <v>0</v>
      </c>
    </row>
    <row r="2306" spans="1:20" x14ac:dyDescent="0.2">
      <c r="A2306" s="169" t="str">
        <f t="shared" si="14"/>
        <v>642</v>
      </c>
      <c r="B2306" s="167" t="str">
        <f>_xlfn.XLOOKUP(I2306,Mapping!D:D,Mapping!E:E)</f>
        <v>Cung Ứng</v>
      </c>
      <c r="C2306" s="167" t="str">
        <f>_xlfn.XLOOKUP(F2306,Mapping!A:A,Mapping!F:F)</f>
        <v>Lương Chính +T13</v>
      </c>
      <c r="D2306" s="173">
        <v>46022</v>
      </c>
      <c r="E2306" s="169" t="s">
        <v>1367</v>
      </c>
      <c r="F2306" s="169" t="s">
        <v>274</v>
      </c>
      <c r="G2306" s="169" t="s">
        <v>275</v>
      </c>
      <c r="H2306" s="169" t="s">
        <v>380</v>
      </c>
      <c r="I2306" s="169" t="s">
        <v>381</v>
      </c>
      <c r="J2306" s="169" t="s">
        <v>1368</v>
      </c>
      <c r="K2306" s="169" t="s">
        <v>1358</v>
      </c>
      <c r="L2306" s="169" t="s">
        <v>1338</v>
      </c>
      <c r="M2306" s="169" t="s">
        <v>281</v>
      </c>
      <c r="N2306" s="178">
        <v>-98944</v>
      </c>
      <c r="O2306" s="169" t="s">
        <v>1369</v>
      </c>
      <c r="P2306" s="169" t="s">
        <v>283</v>
      </c>
      <c r="Q2306" s="169" t="s">
        <v>284</v>
      </c>
      <c r="R2306" s="169" t="s">
        <v>283</v>
      </c>
      <c r="S2306" s="169" t="s">
        <v>283</v>
      </c>
      <c r="T2306" s="169">
        <v>0</v>
      </c>
    </row>
    <row r="2307" spans="1:20" x14ac:dyDescent="0.2">
      <c r="A2307" s="169" t="str">
        <f t="shared" si="14"/>
        <v>622</v>
      </c>
      <c r="B2307" s="167" t="str">
        <f>_xlfn.XLOOKUP(I2307,Mapping!D:D,Mapping!E:E)</f>
        <v>Xưởng Sản Xuất</v>
      </c>
      <c r="C2307" s="167" t="str">
        <f>_xlfn.XLOOKUP(F2307,Mapping!A:A,Mapping!F:F)</f>
        <v>BHXH, BHYT, KPCĐ</v>
      </c>
      <c r="D2307" s="173">
        <v>46022</v>
      </c>
      <c r="E2307" s="169" t="s">
        <v>1370</v>
      </c>
      <c r="F2307" s="169" t="s">
        <v>425</v>
      </c>
      <c r="G2307" s="169" t="s">
        <v>296</v>
      </c>
      <c r="H2307" s="169" t="s">
        <v>402</v>
      </c>
      <c r="I2307" s="169" t="s">
        <v>403</v>
      </c>
      <c r="J2307" s="169" t="s">
        <v>1365</v>
      </c>
      <c r="K2307" s="169" t="s">
        <v>1358</v>
      </c>
      <c r="L2307" s="169" t="s">
        <v>1338</v>
      </c>
      <c r="M2307" s="169" t="s">
        <v>281</v>
      </c>
      <c r="N2307" s="178">
        <v>1198500</v>
      </c>
      <c r="O2307" s="169" t="s">
        <v>1371</v>
      </c>
      <c r="P2307" s="169" t="s">
        <v>283</v>
      </c>
      <c r="Q2307" s="169" t="s">
        <v>284</v>
      </c>
      <c r="R2307" s="169" t="s">
        <v>283</v>
      </c>
      <c r="S2307" s="169" t="s">
        <v>283</v>
      </c>
      <c r="T2307" s="169">
        <v>0</v>
      </c>
    </row>
    <row r="2308" spans="1:20" x14ac:dyDescent="0.2">
      <c r="A2308" s="169" t="str">
        <f t="shared" si="14"/>
        <v>642</v>
      </c>
      <c r="B2308" s="167" t="str">
        <f>_xlfn.XLOOKUP(I2308,Mapping!D:D,Mapping!E:E)</f>
        <v>Hành Chánh Nhân Sự</v>
      </c>
      <c r="C2308" s="167" t="str">
        <f>_xlfn.XLOOKUP(F2308,Mapping!A:A,Mapping!F:F)</f>
        <v>Khen thưởng BD khác</v>
      </c>
      <c r="D2308" s="173">
        <v>46022</v>
      </c>
      <c r="E2308" s="169" t="s">
        <v>1372</v>
      </c>
      <c r="F2308" s="169" t="s">
        <v>300</v>
      </c>
      <c r="G2308" s="169" t="s">
        <v>222</v>
      </c>
      <c r="H2308" s="169" t="s">
        <v>358</v>
      </c>
      <c r="I2308" s="169" t="s">
        <v>359</v>
      </c>
      <c r="J2308" s="169" t="s">
        <v>1373</v>
      </c>
      <c r="K2308" s="169" t="s">
        <v>1358</v>
      </c>
      <c r="L2308" s="169" t="s">
        <v>1338</v>
      </c>
      <c r="M2308" s="169" t="s">
        <v>281</v>
      </c>
      <c r="N2308" s="178">
        <v>5000000</v>
      </c>
      <c r="O2308" s="169" t="s">
        <v>1374</v>
      </c>
      <c r="P2308" s="169" t="s">
        <v>283</v>
      </c>
      <c r="Q2308" s="169" t="s">
        <v>284</v>
      </c>
      <c r="R2308" s="169" t="s">
        <v>283</v>
      </c>
      <c r="S2308" s="169" t="s">
        <v>283</v>
      </c>
      <c r="T2308" s="169">
        <v>0</v>
      </c>
    </row>
    <row r="2309" spans="1:20" x14ac:dyDescent="0.2">
      <c r="A2309" s="169" t="str">
        <f t="shared" si="14"/>
        <v>627</v>
      </c>
      <c r="B2309" s="167" t="str">
        <f>_xlfn.XLOOKUP(I2309,Mapping!D:D,Mapping!E:E)</f>
        <v>Kỹ Thuật</v>
      </c>
      <c r="C2309" s="167" t="str">
        <f>_xlfn.XLOOKUP(F2309,Mapping!A:A,Mapping!F:F)</f>
        <v>BHXH, BHYT, KPCĐ</v>
      </c>
      <c r="D2309" s="173">
        <v>46022</v>
      </c>
      <c r="E2309" s="169" t="s">
        <v>1375</v>
      </c>
      <c r="F2309" s="169" t="s">
        <v>393</v>
      </c>
      <c r="G2309" s="169" t="s">
        <v>296</v>
      </c>
      <c r="H2309" s="169" t="s">
        <v>376</v>
      </c>
      <c r="I2309" s="169" t="s">
        <v>377</v>
      </c>
      <c r="J2309" s="169" t="s">
        <v>283</v>
      </c>
      <c r="K2309" s="169" t="s">
        <v>1358</v>
      </c>
      <c r="L2309" s="169" t="s">
        <v>1338</v>
      </c>
      <c r="M2309" s="169" t="s">
        <v>281</v>
      </c>
      <c r="N2309" s="178">
        <v>229500</v>
      </c>
      <c r="O2309" s="169" t="s">
        <v>1376</v>
      </c>
      <c r="P2309" s="169" t="s">
        <v>283</v>
      </c>
      <c r="Q2309" s="169" t="s">
        <v>284</v>
      </c>
      <c r="R2309" s="169" t="s">
        <v>283</v>
      </c>
      <c r="S2309" s="169" t="s">
        <v>283</v>
      </c>
      <c r="T2309" s="169">
        <v>0</v>
      </c>
    </row>
    <row r="2310" spans="1:20" x14ac:dyDescent="0.2">
      <c r="A2310" s="169" t="str">
        <f t="shared" si="14"/>
        <v>627</v>
      </c>
      <c r="B2310" s="167" t="str">
        <f>_xlfn.XLOOKUP(I2310,Mapping!D:D,Mapping!E:E)</f>
        <v>Xưởng Sản Xuất</v>
      </c>
      <c r="C2310" s="167" t="str">
        <f>_xlfn.XLOOKUP(F2310,Mapping!A:A,Mapping!F:F)</f>
        <v>BHXH, BHYT, KPCĐ</v>
      </c>
      <c r="D2310" s="173">
        <v>46022</v>
      </c>
      <c r="E2310" s="169" t="s">
        <v>1375</v>
      </c>
      <c r="F2310" s="169" t="s">
        <v>393</v>
      </c>
      <c r="G2310" s="169" t="s">
        <v>296</v>
      </c>
      <c r="H2310" s="169" t="s">
        <v>402</v>
      </c>
      <c r="I2310" s="169" t="s">
        <v>403</v>
      </c>
      <c r="J2310" s="169" t="s">
        <v>1365</v>
      </c>
      <c r="K2310" s="169" t="s">
        <v>1358</v>
      </c>
      <c r="L2310" s="169" t="s">
        <v>1338</v>
      </c>
      <c r="M2310" s="169" t="s">
        <v>281</v>
      </c>
      <c r="N2310" s="178">
        <v>515250</v>
      </c>
      <c r="O2310" s="169" t="s">
        <v>1376</v>
      </c>
      <c r="P2310" s="169" t="s">
        <v>283</v>
      </c>
      <c r="Q2310" s="169" t="s">
        <v>284</v>
      </c>
      <c r="R2310" s="169" t="s">
        <v>283</v>
      </c>
      <c r="S2310" s="169" t="s">
        <v>283</v>
      </c>
      <c r="T2310" s="169">
        <v>0</v>
      </c>
    </row>
    <row r="2311" spans="1:20" x14ac:dyDescent="0.2">
      <c r="A2311" s="169" t="str">
        <f t="shared" si="14"/>
        <v>627</v>
      </c>
      <c r="B2311" s="167" t="str">
        <f>_xlfn.XLOOKUP(I2311,Mapping!D:D,Mapping!E:E)</f>
        <v>Xưởng Sản Xuất</v>
      </c>
      <c r="C2311" s="167" t="str">
        <f>_xlfn.XLOOKUP(F2311,Mapping!A:A,Mapping!F:F)</f>
        <v>BHXH, BHYT, KPCĐ</v>
      </c>
      <c r="D2311" s="173">
        <v>46022</v>
      </c>
      <c r="E2311" s="169" t="s">
        <v>1375</v>
      </c>
      <c r="F2311" s="169" t="s">
        <v>393</v>
      </c>
      <c r="G2311" s="169" t="s">
        <v>296</v>
      </c>
      <c r="H2311" s="169" t="s">
        <v>436</v>
      </c>
      <c r="I2311" s="169" t="s">
        <v>437</v>
      </c>
      <c r="J2311" s="169" t="s">
        <v>1365</v>
      </c>
      <c r="K2311" s="169" t="s">
        <v>1358</v>
      </c>
      <c r="L2311" s="169" t="s">
        <v>1338</v>
      </c>
      <c r="M2311" s="169" t="s">
        <v>281</v>
      </c>
      <c r="N2311" s="178">
        <v>935550</v>
      </c>
      <c r="O2311" s="169" t="s">
        <v>1376</v>
      </c>
      <c r="P2311" s="169" t="s">
        <v>283</v>
      </c>
      <c r="Q2311" s="169" t="s">
        <v>284</v>
      </c>
      <c r="R2311" s="169" t="s">
        <v>283</v>
      </c>
      <c r="S2311" s="169" t="s">
        <v>283</v>
      </c>
      <c r="T2311" s="169">
        <v>0</v>
      </c>
    </row>
    <row r="2312" spans="1:20" x14ac:dyDescent="0.2">
      <c r="A2312" s="169" t="str">
        <f t="shared" si="14"/>
        <v>622</v>
      </c>
      <c r="B2312" s="167" t="str">
        <f>_xlfn.XLOOKUP(I2312,Mapping!D:D,Mapping!E:E)</f>
        <v>Xưởng Sản Xuất</v>
      </c>
      <c r="C2312" s="167" t="str">
        <f>_xlfn.XLOOKUP(F2312,Mapping!A:A,Mapping!F:F)</f>
        <v>BHXH, BHYT, KPCĐ</v>
      </c>
      <c r="D2312" s="173">
        <v>46022</v>
      </c>
      <c r="E2312" s="169" t="s">
        <v>1375</v>
      </c>
      <c r="F2312" s="169" t="s">
        <v>425</v>
      </c>
      <c r="G2312" s="169" t="s">
        <v>296</v>
      </c>
      <c r="H2312" s="169" t="s">
        <v>430</v>
      </c>
      <c r="I2312" s="169" t="s">
        <v>431</v>
      </c>
      <c r="J2312" s="169" t="s">
        <v>1365</v>
      </c>
      <c r="K2312" s="169" t="s">
        <v>1358</v>
      </c>
      <c r="L2312" s="169" t="s">
        <v>1338</v>
      </c>
      <c r="M2312" s="169" t="s">
        <v>281</v>
      </c>
      <c r="N2312" s="178">
        <v>229500</v>
      </c>
      <c r="O2312" s="169" t="s">
        <v>1376</v>
      </c>
      <c r="P2312" s="169" t="s">
        <v>283</v>
      </c>
      <c r="Q2312" s="169" t="s">
        <v>284</v>
      </c>
      <c r="R2312" s="169" t="s">
        <v>283</v>
      </c>
      <c r="S2312" s="169" t="s">
        <v>283</v>
      </c>
      <c r="T2312" s="169">
        <v>0</v>
      </c>
    </row>
    <row r="2313" spans="1:20" x14ac:dyDescent="0.2">
      <c r="A2313" s="169" t="str">
        <f t="shared" si="14"/>
        <v>622</v>
      </c>
      <c r="B2313" s="167" t="str">
        <f>_xlfn.XLOOKUP(I2313,Mapping!D:D,Mapping!E:E)</f>
        <v>Xưởng Sản Xuất</v>
      </c>
      <c r="C2313" s="167" t="str">
        <f>_xlfn.XLOOKUP(F2313,Mapping!A:A,Mapping!F:F)</f>
        <v>BHXH, BHYT, KPCĐ</v>
      </c>
      <c r="D2313" s="173">
        <v>46022</v>
      </c>
      <c r="E2313" s="169" t="s">
        <v>1375</v>
      </c>
      <c r="F2313" s="169" t="s">
        <v>425</v>
      </c>
      <c r="G2313" s="169" t="s">
        <v>296</v>
      </c>
      <c r="H2313" s="169" t="s">
        <v>402</v>
      </c>
      <c r="I2313" s="169" t="s">
        <v>403</v>
      </c>
      <c r="J2313" s="169" t="s">
        <v>1365</v>
      </c>
      <c r="K2313" s="169" t="s">
        <v>1358</v>
      </c>
      <c r="L2313" s="169" t="s">
        <v>1338</v>
      </c>
      <c r="M2313" s="169" t="s">
        <v>281</v>
      </c>
      <c r="N2313" s="178">
        <v>2757915</v>
      </c>
      <c r="O2313" s="169" t="s">
        <v>1376</v>
      </c>
      <c r="P2313" s="169" t="s">
        <v>283</v>
      </c>
      <c r="Q2313" s="169" t="s">
        <v>284</v>
      </c>
      <c r="R2313" s="169" t="s">
        <v>283</v>
      </c>
      <c r="S2313" s="169" t="s">
        <v>283</v>
      </c>
      <c r="T2313" s="169">
        <v>0</v>
      </c>
    </row>
    <row r="2314" spans="1:20" x14ac:dyDescent="0.2">
      <c r="A2314" s="169" t="str">
        <f t="shared" si="14"/>
        <v>642</v>
      </c>
      <c r="B2314" s="167" t="str">
        <f>_xlfn.XLOOKUP(I2314,Mapping!D:D,Mapping!E:E)</f>
        <v>Tư vấn dịch vụ</v>
      </c>
      <c r="C2314" s="167" t="str">
        <f>_xlfn.XLOOKUP(F2314,Mapping!A:A,Mapping!F:F)</f>
        <v>Lương Chính +T13</v>
      </c>
      <c r="D2314" s="173">
        <v>46022</v>
      </c>
      <c r="E2314" s="169" t="s">
        <v>1377</v>
      </c>
      <c r="F2314" s="169" t="s">
        <v>285</v>
      </c>
      <c r="G2314" s="169" t="s">
        <v>286</v>
      </c>
      <c r="H2314" s="169" t="s">
        <v>443</v>
      </c>
      <c r="I2314" s="169" t="s">
        <v>444</v>
      </c>
      <c r="J2314" s="169" t="s">
        <v>1378</v>
      </c>
      <c r="K2314" s="169" t="s">
        <v>1358</v>
      </c>
      <c r="L2314" s="169" t="s">
        <v>1338</v>
      </c>
      <c r="M2314" s="169" t="s">
        <v>281</v>
      </c>
      <c r="N2314" s="178">
        <v>-5833333</v>
      </c>
      <c r="O2314" s="169" t="s">
        <v>1379</v>
      </c>
      <c r="P2314" s="169" t="s">
        <v>283</v>
      </c>
      <c r="Q2314" s="169" t="s">
        <v>284</v>
      </c>
      <c r="R2314" s="169" t="s">
        <v>283</v>
      </c>
      <c r="S2314" s="169" t="s">
        <v>283</v>
      </c>
      <c r="T2314" s="169">
        <v>0</v>
      </c>
    </row>
    <row r="2315" spans="1:20" x14ac:dyDescent="0.2">
      <c r="A2315" s="169" t="str">
        <f t="shared" si="14"/>
        <v>642</v>
      </c>
      <c r="B2315" s="167" t="str">
        <f>_xlfn.XLOOKUP(I2315,Mapping!D:D,Mapping!E:E)</f>
        <v>Tư vấn dịch vụ</v>
      </c>
      <c r="C2315" s="167" t="str">
        <f>_xlfn.XLOOKUP(F2315,Mapping!A:A,Mapping!F:F)</f>
        <v>Thưởng</v>
      </c>
      <c r="D2315" s="173">
        <v>46022</v>
      </c>
      <c r="E2315" s="169" t="s">
        <v>1377</v>
      </c>
      <c r="F2315" s="169" t="s">
        <v>292</v>
      </c>
      <c r="G2315" s="169" t="s">
        <v>77</v>
      </c>
      <c r="H2315" s="169" t="s">
        <v>443</v>
      </c>
      <c r="I2315" s="169" t="s">
        <v>444</v>
      </c>
      <c r="J2315" s="169" t="s">
        <v>1380</v>
      </c>
      <c r="K2315" s="169" t="s">
        <v>1358</v>
      </c>
      <c r="L2315" s="169" t="s">
        <v>1338</v>
      </c>
      <c r="M2315" s="169" t="s">
        <v>281</v>
      </c>
      <c r="N2315" s="178">
        <v>-5366620</v>
      </c>
      <c r="O2315" s="169" t="s">
        <v>1379</v>
      </c>
      <c r="P2315" s="169" t="s">
        <v>283</v>
      </c>
      <c r="Q2315" s="169" t="s">
        <v>284</v>
      </c>
      <c r="R2315" s="169" t="s">
        <v>283</v>
      </c>
      <c r="S2315" s="169" t="s">
        <v>283</v>
      </c>
      <c r="T2315" s="169">
        <v>0</v>
      </c>
    </row>
    <row r="2316" spans="1:20" x14ac:dyDescent="0.2">
      <c r="A2316" s="169" t="str">
        <f t="shared" si="14"/>
        <v>642</v>
      </c>
      <c r="B2316" s="167" t="str">
        <f>_xlfn.XLOOKUP(I2316,Mapping!D:D,Mapping!E:E)</f>
        <v>Ban Giám Đốc</v>
      </c>
      <c r="C2316" s="167" t="str">
        <f>_xlfn.XLOOKUP(F2316,Mapping!A:A,Mapping!F:F)</f>
        <v>Lương Chính +T13</v>
      </c>
      <c r="D2316" s="173">
        <v>46022</v>
      </c>
      <c r="E2316" s="169" t="s">
        <v>1381</v>
      </c>
      <c r="F2316" s="169" t="s">
        <v>285</v>
      </c>
      <c r="G2316" s="169" t="s">
        <v>286</v>
      </c>
      <c r="H2316" s="169" t="s">
        <v>276</v>
      </c>
      <c r="I2316" s="169" t="s">
        <v>277</v>
      </c>
      <c r="J2316" s="169" t="s">
        <v>1382</v>
      </c>
      <c r="K2316" s="169" t="s">
        <v>1383</v>
      </c>
      <c r="L2316" s="169" t="s">
        <v>1338</v>
      </c>
      <c r="M2316" s="169" t="s">
        <v>281</v>
      </c>
      <c r="N2316" s="178">
        <v>31329833</v>
      </c>
      <c r="O2316" s="169" t="s">
        <v>1384</v>
      </c>
      <c r="P2316" s="169" t="s">
        <v>283</v>
      </c>
      <c r="Q2316" s="169" t="s">
        <v>284</v>
      </c>
      <c r="R2316" s="169" t="s">
        <v>283</v>
      </c>
      <c r="S2316" s="169" t="s">
        <v>283</v>
      </c>
      <c r="T2316" s="169">
        <v>0</v>
      </c>
    </row>
    <row r="2317" spans="1:20" x14ac:dyDescent="0.2">
      <c r="A2317" s="169" t="str">
        <f t="shared" si="14"/>
        <v>642</v>
      </c>
      <c r="B2317" s="167" t="str">
        <f>_xlfn.XLOOKUP(I2317,Mapping!D:D,Mapping!E:E)</f>
        <v>Văn Phòng Giám Đốc</v>
      </c>
      <c r="C2317" s="167" t="str">
        <f>_xlfn.XLOOKUP(F2317,Mapping!A:A,Mapping!F:F)</f>
        <v>Lương Chính +T13</v>
      </c>
      <c r="D2317" s="173">
        <v>46022</v>
      </c>
      <c r="E2317" s="169" t="s">
        <v>1381</v>
      </c>
      <c r="F2317" s="169" t="s">
        <v>285</v>
      </c>
      <c r="G2317" s="169" t="s">
        <v>286</v>
      </c>
      <c r="H2317" s="169" t="s">
        <v>320</v>
      </c>
      <c r="I2317" s="169" t="s">
        <v>321</v>
      </c>
      <c r="J2317" s="169" t="s">
        <v>1382</v>
      </c>
      <c r="K2317" s="169" t="s">
        <v>1383</v>
      </c>
      <c r="L2317" s="169" t="s">
        <v>1338</v>
      </c>
      <c r="M2317" s="169" t="s">
        <v>281</v>
      </c>
      <c r="N2317" s="178">
        <v>9083333</v>
      </c>
      <c r="O2317" s="169" t="s">
        <v>1384</v>
      </c>
      <c r="P2317" s="169" t="s">
        <v>283</v>
      </c>
      <c r="Q2317" s="169" t="s">
        <v>284</v>
      </c>
      <c r="R2317" s="169" t="s">
        <v>283</v>
      </c>
      <c r="S2317" s="169" t="s">
        <v>283</v>
      </c>
      <c r="T2317" s="169">
        <v>0</v>
      </c>
    </row>
    <row r="2318" spans="1:20" x14ac:dyDescent="0.2">
      <c r="A2318" s="169" t="str">
        <f t="shared" si="14"/>
        <v>642</v>
      </c>
      <c r="B2318" s="167" t="str">
        <f>_xlfn.XLOOKUP(I2318,Mapping!D:D,Mapping!E:E)</f>
        <v>Hành Chánh Nhân Sự</v>
      </c>
      <c r="C2318" s="167" t="str">
        <f>_xlfn.XLOOKUP(F2318,Mapping!A:A,Mapping!F:F)</f>
        <v>Lương Chính +T13</v>
      </c>
      <c r="D2318" s="173">
        <v>46022</v>
      </c>
      <c r="E2318" s="169" t="s">
        <v>1381</v>
      </c>
      <c r="F2318" s="169" t="s">
        <v>285</v>
      </c>
      <c r="G2318" s="169" t="s">
        <v>286</v>
      </c>
      <c r="H2318" s="169" t="s">
        <v>358</v>
      </c>
      <c r="I2318" s="169" t="s">
        <v>359</v>
      </c>
      <c r="J2318" s="169" t="s">
        <v>1382</v>
      </c>
      <c r="K2318" s="169" t="s">
        <v>1383</v>
      </c>
      <c r="L2318" s="169" t="s">
        <v>1338</v>
      </c>
      <c r="M2318" s="169" t="s">
        <v>281</v>
      </c>
      <c r="N2318" s="178">
        <v>6551498</v>
      </c>
      <c r="O2318" s="169" t="s">
        <v>1384</v>
      </c>
      <c r="P2318" s="169" t="s">
        <v>283</v>
      </c>
      <c r="Q2318" s="169" t="s">
        <v>284</v>
      </c>
      <c r="R2318" s="169" t="s">
        <v>283</v>
      </c>
      <c r="S2318" s="169" t="s">
        <v>283</v>
      </c>
      <c r="T2318" s="169">
        <v>0</v>
      </c>
    </row>
    <row r="2319" spans="1:20" x14ac:dyDescent="0.2">
      <c r="A2319" s="169" t="str">
        <f t="shared" si="14"/>
        <v>642</v>
      </c>
      <c r="B2319" s="167" t="str">
        <f>_xlfn.XLOOKUP(I2319,Mapping!D:D,Mapping!E:E)</f>
        <v>Hành Chánh Nhân Sự</v>
      </c>
      <c r="C2319" s="167" t="str">
        <f>_xlfn.XLOOKUP(F2319,Mapping!A:A,Mapping!F:F)</f>
        <v>Lương Chính +T13</v>
      </c>
      <c r="D2319" s="173">
        <v>46022</v>
      </c>
      <c r="E2319" s="169" t="s">
        <v>1381</v>
      </c>
      <c r="F2319" s="169" t="s">
        <v>285</v>
      </c>
      <c r="G2319" s="169" t="s">
        <v>286</v>
      </c>
      <c r="H2319" s="169" t="s">
        <v>382</v>
      </c>
      <c r="I2319" s="169" t="s">
        <v>200</v>
      </c>
      <c r="J2319" s="169" t="s">
        <v>1382</v>
      </c>
      <c r="K2319" s="169" t="s">
        <v>1383</v>
      </c>
      <c r="L2319" s="169" t="s">
        <v>1338</v>
      </c>
      <c r="M2319" s="169" t="s">
        <v>281</v>
      </c>
      <c r="N2319" s="178">
        <v>6194250</v>
      </c>
      <c r="O2319" s="169" t="s">
        <v>1384</v>
      </c>
      <c r="P2319" s="169" t="s">
        <v>283</v>
      </c>
      <c r="Q2319" s="169" t="s">
        <v>284</v>
      </c>
      <c r="R2319" s="169" t="s">
        <v>283</v>
      </c>
      <c r="S2319" s="169" t="s">
        <v>283</v>
      </c>
      <c r="T2319" s="169">
        <v>0</v>
      </c>
    </row>
    <row r="2320" spans="1:20" x14ac:dyDescent="0.2">
      <c r="A2320" s="169" t="str">
        <f t="shared" si="14"/>
        <v>642</v>
      </c>
      <c r="B2320" s="167" t="str">
        <f>_xlfn.XLOOKUP(I2320,Mapping!D:D,Mapping!E:E)</f>
        <v>Hành Chánh Nhân Sự</v>
      </c>
      <c r="C2320" s="167" t="str">
        <f>_xlfn.XLOOKUP(F2320,Mapping!A:A,Mapping!F:F)</f>
        <v>Lương Chính +T13</v>
      </c>
      <c r="D2320" s="173">
        <v>46022</v>
      </c>
      <c r="E2320" s="169" t="s">
        <v>1381</v>
      </c>
      <c r="F2320" s="169" t="s">
        <v>285</v>
      </c>
      <c r="G2320" s="169" t="s">
        <v>286</v>
      </c>
      <c r="H2320" s="169" t="s">
        <v>301</v>
      </c>
      <c r="I2320" s="169" t="s">
        <v>302</v>
      </c>
      <c r="J2320" s="169" t="s">
        <v>1382</v>
      </c>
      <c r="K2320" s="169" t="s">
        <v>1383</v>
      </c>
      <c r="L2320" s="169" t="s">
        <v>1338</v>
      </c>
      <c r="M2320" s="169" t="s">
        <v>281</v>
      </c>
      <c r="N2320" s="178">
        <v>-43593914</v>
      </c>
      <c r="O2320" s="169" t="s">
        <v>1384</v>
      </c>
      <c r="P2320" s="169" t="s">
        <v>283</v>
      </c>
      <c r="Q2320" s="169" t="s">
        <v>284</v>
      </c>
      <c r="R2320" s="169" t="s">
        <v>283</v>
      </c>
      <c r="S2320" s="169" t="s">
        <v>283</v>
      </c>
      <c r="T2320" s="169">
        <v>0</v>
      </c>
    </row>
    <row r="2321" spans="1:20" x14ac:dyDescent="0.2">
      <c r="A2321" s="169" t="str">
        <f t="shared" si="14"/>
        <v>642</v>
      </c>
      <c r="B2321" s="167" t="str">
        <f>_xlfn.XLOOKUP(I2321,Mapping!D:D,Mapping!E:E)</f>
        <v>Kế Toán</v>
      </c>
      <c r="C2321" s="167" t="str">
        <f>_xlfn.XLOOKUP(F2321,Mapping!A:A,Mapping!F:F)</f>
        <v>Lương Chính +T13</v>
      </c>
      <c r="D2321" s="173">
        <v>46022</v>
      </c>
      <c r="E2321" s="169" t="s">
        <v>1381</v>
      </c>
      <c r="F2321" s="169" t="s">
        <v>285</v>
      </c>
      <c r="G2321" s="169" t="s">
        <v>286</v>
      </c>
      <c r="H2321" s="169" t="s">
        <v>356</v>
      </c>
      <c r="I2321" s="169" t="s">
        <v>357</v>
      </c>
      <c r="J2321" s="169" t="s">
        <v>1382</v>
      </c>
      <c r="K2321" s="169" t="s">
        <v>1383</v>
      </c>
      <c r="L2321" s="169" t="s">
        <v>1338</v>
      </c>
      <c r="M2321" s="169" t="s">
        <v>281</v>
      </c>
      <c r="N2321" s="178">
        <v>-8491574</v>
      </c>
      <c r="O2321" s="169" t="s">
        <v>1384</v>
      </c>
      <c r="P2321" s="169" t="s">
        <v>283</v>
      </c>
      <c r="Q2321" s="169" t="s">
        <v>284</v>
      </c>
      <c r="R2321" s="169" t="s">
        <v>283</v>
      </c>
      <c r="S2321" s="169" t="s">
        <v>283</v>
      </c>
      <c r="T2321" s="169">
        <v>0</v>
      </c>
    </row>
    <row r="2322" spans="1:20" x14ac:dyDescent="0.2">
      <c r="A2322" s="169" t="str">
        <f t="shared" si="14"/>
        <v>641</v>
      </c>
      <c r="B2322" s="167" t="str">
        <f>_xlfn.XLOOKUP(I2322,Mapping!D:D,Mapping!E:E)</f>
        <v>Kinh doanh</v>
      </c>
      <c r="C2322" s="167" t="str">
        <f>_xlfn.XLOOKUP(F2322,Mapping!A:A,Mapping!F:F)</f>
        <v>Lương Chính +T13</v>
      </c>
      <c r="D2322" s="173">
        <v>46022</v>
      </c>
      <c r="E2322" s="169" t="s">
        <v>1381</v>
      </c>
      <c r="F2322" s="169" t="s">
        <v>384</v>
      </c>
      <c r="G2322" s="169" t="s">
        <v>286</v>
      </c>
      <c r="H2322" s="169" t="s">
        <v>366</v>
      </c>
      <c r="I2322" s="169" t="s">
        <v>1</v>
      </c>
      <c r="J2322" s="169" t="s">
        <v>1382</v>
      </c>
      <c r="K2322" s="169" t="s">
        <v>1383</v>
      </c>
      <c r="L2322" s="169" t="s">
        <v>1338</v>
      </c>
      <c r="M2322" s="169" t="s">
        <v>281</v>
      </c>
      <c r="N2322" s="178">
        <v>-22666667</v>
      </c>
      <c r="O2322" s="169" t="s">
        <v>1384</v>
      </c>
      <c r="P2322" s="169" t="s">
        <v>283</v>
      </c>
      <c r="Q2322" s="169" t="s">
        <v>284</v>
      </c>
      <c r="R2322" s="169" t="s">
        <v>283</v>
      </c>
      <c r="S2322" s="169" t="s">
        <v>283</v>
      </c>
      <c r="T2322" s="169">
        <v>0</v>
      </c>
    </row>
    <row r="2323" spans="1:20" x14ac:dyDescent="0.2">
      <c r="A2323" s="169" t="str">
        <f t="shared" si="14"/>
        <v>642</v>
      </c>
      <c r="B2323" s="167" t="str">
        <f>_xlfn.XLOOKUP(I2323,Mapping!D:D,Mapping!E:E)</f>
        <v>Cung Ứng</v>
      </c>
      <c r="C2323" s="167" t="str">
        <f>_xlfn.XLOOKUP(F2323,Mapping!A:A,Mapping!F:F)</f>
        <v>Lương Chính +T13</v>
      </c>
      <c r="D2323" s="173">
        <v>46022</v>
      </c>
      <c r="E2323" s="169" t="s">
        <v>1381</v>
      </c>
      <c r="F2323" s="169" t="s">
        <v>285</v>
      </c>
      <c r="G2323" s="169" t="s">
        <v>286</v>
      </c>
      <c r="H2323" s="169" t="s">
        <v>380</v>
      </c>
      <c r="I2323" s="169" t="s">
        <v>381</v>
      </c>
      <c r="J2323" s="169" t="s">
        <v>1382</v>
      </c>
      <c r="K2323" s="169" t="s">
        <v>1383</v>
      </c>
      <c r="L2323" s="169" t="s">
        <v>1338</v>
      </c>
      <c r="M2323" s="169" t="s">
        <v>281</v>
      </c>
      <c r="N2323" s="178">
        <v>-37969123</v>
      </c>
      <c r="O2323" s="169" t="s">
        <v>1384</v>
      </c>
      <c r="P2323" s="169" t="s">
        <v>283</v>
      </c>
      <c r="Q2323" s="169" t="s">
        <v>284</v>
      </c>
      <c r="R2323" s="169" t="s">
        <v>283</v>
      </c>
      <c r="S2323" s="169" t="s">
        <v>283</v>
      </c>
      <c r="T2323" s="169">
        <v>0</v>
      </c>
    </row>
    <row r="2324" spans="1:20" x14ac:dyDescent="0.2">
      <c r="A2324" s="169" t="str">
        <f t="shared" si="14"/>
        <v>642</v>
      </c>
      <c r="B2324" s="167" t="str">
        <f>_xlfn.XLOOKUP(I2324,Mapping!D:D,Mapping!E:E)</f>
        <v>Mua Hàng &amp; XNK</v>
      </c>
      <c r="C2324" s="167" t="str">
        <f>_xlfn.XLOOKUP(F2324,Mapping!A:A,Mapping!F:F)</f>
        <v>Lương Chính +T13</v>
      </c>
      <c r="D2324" s="173">
        <v>46022</v>
      </c>
      <c r="E2324" s="169" t="s">
        <v>1381</v>
      </c>
      <c r="F2324" s="169" t="s">
        <v>285</v>
      </c>
      <c r="G2324" s="169" t="s">
        <v>286</v>
      </c>
      <c r="H2324" s="169" t="s">
        <v>378</v>
      </c>
      <c r="I2324" s="169" t="s">
        <v>379</v>
      </c>
      <c r="J2324" s="169" t="s">
        <v>1382</v>
      </c>
      <c r="K2324" s="169" t="s">
        <v>1383</v>
      </c>
      <c r="L2324" s="169" t="s">
        <v>1338</v>
      </c>
      <c r="M2324" s="169" t="s">
        <v>281</v>
      </c>
      <c r="N2324" s="178">
        <v>-8950002</v>
      </c>
      <c r="O2324" s="169" t="s">
        <v>1384</v>
      </c>
      <c r="P2324" s="169" t="s">
        <v>283</v>
      </c>
      <c r="Q2324" s="169" t="s">
        <v>284</v>
      </c>
      <c r="R2324" s="169" t="s">
        <v>283</v>
      </c>
      <c r="S2324" s="169" t="s">
        <v>283</v>
      </c>
      <c r="T2324" s="169">
        <v>0</v>
      </c>
    </row>
    <row r="2325" spans="1:20" x14ac:dyDescent="0.2">
      <c r="A2325" s="169" t="str">
        <f t="shared" si="14"/>
        <v>627</v>
      </c>
      <c r="B2325" s="167" t="str">
        <f>_xlfn.XLOOKUP(I2325,Mapping!D:D,Mapping!E:E)</f>
        <v>Xưởng Sản Xuất</v>
      </c>
      <c r="C2325" s="167" t="str">
        <f>_xlfn.XLOOKUP(F2325,Mapping!A:A,Mapping!F:F)</f>
        <v>Phụ Cấp</v>
      </c>
      <c r="D2325" s="173">
        <v>46021</v>
      </c>
      <c r="E2325" s="169" t="s">
        <v>1385</v>
      </c>
      <c r="F2325" s="169" t="s">
        <v>375</v>
      </c>
      <c r="G2325" s="169" t="s">
        <v>336</v>
      </c>
      <c r="H2325" s="169" t="s">
        <v>402</v>
      </c>
      <c r="I2325" s="169" t="s">
        <v>403</v>
      </c>
      <c r="J2325" s="169" t="s">
        <v>1386</v>
      </c>
      <c r="K2325" s="169" t="s">
        <v>992</v>
      </c>
      <c r="L2325" s="169" t="s">
        <v>1338</v>
      </c>
      <c r="M2325" s="169" t="s">
        <v>281</v>
      </c>
      <c r="N2325" s="178">
        <v>124600000</v>
      </c>
      <c r="O2325" s="169" t="s">
        <v>1387</v>
      </c>
      <c r="P2325" s="169" t="s">
        <v>283</v>
      </c>
      <c r="Q2325" s="169" t="s">
        <v>306</v>
      </c>
      <c r="R2325" s="169" t="s">
        <v>283</v>
      </c>
      <c r="S2325" s="169" t="s">
        <v>283</v>
      </c>
      <c r="T2325" s="169">
        <v>0</v>
      </c>
    </row>
    <row r="2326" spans="1:20" x14ac:dyDescent="0.2">
      <c r="A2326" s="169" t="str">
        <f t="shared" si="14"/>
        <v>642</v>
      </c>
      <c r="B2326" s="167" t="str">
        <f>_xlfn.XLOOKUP(I2326,Mapping!D:D,Mapping!E:E)</f>
        <v>Hành Chánh Nhân Sự</v>
      </c>
      <c r="C2326" s="167" t="str">
        <f>_xlfn.XLOOKUP(F2326,Mapping!A:A,Mapping!F:F)</f>
        <v>Phụ Cấp</v>
      </c>
      <c r="D2326" s="173">
        <v>46021</v>
      </c>
      <c r="E2326" s="169" t="s">
        <v>1385</v>
      </c>
      <c r="F2326" s="169" t="s">
        <v>335</v>
      </c>
      <c r="G2326" s="169" t="s">
        <v>336</v>
      </c>
      <c r="H2326" s="169" t="s">
        <v>301</v>
      </c>
      <c r="I2326" s="169" t="s">
        <v>302</v>
      </c>
      <c r="J2326" s="169" t="s">
        <v>1386</v>
      </c>
      <c r="K2326" s="169" t="s">
        <v>992</v>
      </c>
      <c r="L2326" s="169" t="s">
        <v>1338</v>
      </c>
      <c r="M2326" s="169" t="s">
        <v>281</v>
      </c>
      <c r="N2326" s="178">
        <v>25075000</v>
      </c>
      <c r="O2326" s="169" t="s">
        <v>1387</v>
      </c>
      <c r="P2326" s="169" t="s">
        <v>283</v>
      </c>
      <c r="Q2326" s="169" t="s">
        <v>306</v>
      </c>
      <c r="R2326" s="169" t="s">
        <v>283</v>
      </c>
      <c r="S2326" s="169" t="s">
        <v>283</v>
      </c>
      <c r="T2326" s="169">
        <v>0</v>
      </c>
    </row>
    <row r="2327" spans="1:20" x14ac:dyDescent="0.2">
      <c r="A2327" s="169" t="str">
        <f t="shared" si="14"/>
        <v>642</v>
      </c>
      <c r="B2327" s="167" t="str">
        <f>_xlfn.XLOOKUP(I2327,Mapping!D:D,Mapping!E:E)</f>
        <v>Kế Toán</v>
      </c>
      <c r="C2327" s="167" t="str">
        <f>_xlfn.XLOOKUP(F2327,Mapping!A:A,Mapping!F:F)</f>
        <v>Phụ Cấp</v>
      </c>
      <c r="D2327" s="173">
        <v>46021</v>
      </c>
      <c r="E2327" s="169" t="s">
        <v>1385</v>
      </c>
      <c r="F2327" s="169" t="s">
        <v>335</v>
      </c>
      <c r="G2327" s="169" t="s">
        <v>336</v>
      </c>
      <c r="H2327" s="169" t="s">
        <v>356</v>
      </c>
      <c r="I2327" s="169" t="s">
        <v>357</v>
      </c>
      <c r="J2327" s="169" t="s">
        <v>1386</v>
      </c>
      <c r="K2327" s="169" t="s">
        <v>992</v>
      </c>
      <c r="L2327" s="169" t="s">
        <v>1338</v>
      </c>
      <c r="M2327" s="169" t="s">
        <v>281</v>
      </c>
      <c r="N2327" s="178">
        <v>17150000</v>
      </c>
      <c r="O2327" s="169" t="s">
        <v>1387</v>
      </c>
      <c r="P2327" s="169" t="s">
        <v>283</v>
      </c>
      <c r="Q2327" s="169" t="s">
        <v>306</v>
      </c>
      <c r="R2327" s="169" t="s">
        <v>283</v>
      </c>
      <c r="S2327" s="169" t="s">
        <v>283</v>
      </c>
      <c r="T2327" s="169">
        <v>0</v>
      </c>
    </row>
    <row r="2328" spans="1:20" x14ac:dyDescent="0.2">
      <c r="A2328" s="169" t="str">
        <f t="shared" si="14"/>
        <v>642</v>
      </c>
      <c r="B2328" s="167" t="str">
        <f>_xlfn.XLOOKUP(I2328,Mapping!D:D,Mapping!E:E)</f>
        <v>Văn Phòng Giám Đốc</v>
      </c>
      <c r="C2328" s="167" t="str">
        <f>_xlfn.XLOOKUP(F2328,Mapping!A:A,Mapping!F:F)</f>
        <v>Phụ Cấp</v>
      </c>
      <c r="D2328" s="173">
        <v>46021</v>
      </c>
      <c r="E2328" s="169" t="s">
        <v>1385</v>
      </c>
      <c r="F2328" s="169" t="s">
        <v>335</v>
      </c>
      <c r="G2328" s="169" t="s">
        <v>336</v>
      </c>
      <c r="H2328" s="169" t="s">
        <v>320</v>
      </c>
      <c r="I2328" s="169" t="s">
        <v>321</v>
      </c>
      <c r="J2328" s="169" t="s">
        <v>1386</v>
      </c>
      <c r="K2328" s="169" t="s">
        <v>992</v>
      </c>
      <c r="L2328" s="169" t="s">
        <v>1338</v>
      </c>
      <c r="M2328" s="169" t="s">
        <v>281</v>
      </c>
      <c r="N2328" s="178">
        <v>2300000</v>
      </c>
      <c r="O2328" s="169" t="s">
        <v>1387</v>
      </c>
      <c r="P2328" s="169" t="s">
        <v>283</v>
      </c>
      <c r="Q2328" s="169" t="s">
        <v>306</v>
      </c>
      <c r="R2328" s="169" t="s">
        <v>283</v>
      </c>
      <c r="S2328" s="169" t="s">
        <v>283</v>
      </c>
      <c r="T2328" s="169">
        <v>0</v>
      </c>
    </row>
    <row r="2329" spans="1:20" x14ac:dyDescent="0.2">
      <c r="A2329" s="169" t="str">
        <f t="shared" si="14"/>
        <v>627</v>
      </c>
      <c r="B2329" s="167" t="str">
        <f>_xlfn.XLOOKUP(I2329,Mapping!D:D,Mapping!E:E)</f>
        <v>Kỹ Thuật</v>
      </c>
      <c r="C2329" s="167" t="str">
        <f>_xlfn.XLOOKUP(F2329,Mapping!A:A,Mapping!F:F)</f>
        <v>Phụ Cấp</v>
      </c>
      <c r="D2329" s="173">
        <v>46021</v>
      </c>
      <c r="E2329" s="169" t="s">
        <v>1385</v>
      </c>
      <c r="F2329" s="169" t="s">
        <v>375</v>
      </c>
      <c r="G2329" s="169" t="s">
        <v>336</v>
      </c>
      <c r="H2329" s="169" t="s">
        <v>376</v>
      </c>
      <c r="I2329" s="169" t="s">
        <v>377</v>
      </c>
      <c r="J2329" s="169" t="s">
        <v>1386</v>
      </c>
      <c r="K2329" s="169" t="s">
        <v>992</v>
      </c>
      <c r="L2329" s="169" t="s">
        <v>1338</v>
      </c>
      <c r="M2329" s="169" t="s">
        <v>281</v>
      </c>
      <c r="N2329" s="178">
        <v>50575000</v>
      </c>
      <c r="O2329" s="169" t="s">
        <v>1387</v>
      </c>
      <c r="P2329" s="169" t="s">
        <v>283</v>
      </c>
      <c r="Q2329" s="169" t="s">
        <v>306</v>
      </c>
      <c r="R2329" s="169" t="s">
        <v>283</v>
      </c>
      <c r="S2329" s="169" t="s">
        <v>283</v>
      </c>
      <c r="T2329" s="169">
        <v>0</v>
      </c>
    </row>
    <row r="2330" spans="1:20" x14ac:dyDescent="0.2">
      <c r="A2330" s="169" t="str">
        <f t="shared" si="14"/>
        <v>627</v>
      </c>
      <c r="B2330" s="167" t="str">
        <f>_xlfn.XLOOKUP(I2330,Mapping!D:D,Mapping!E:E)</f>
        <v>Kiểm Soát Chất Lượng</v>
      </c>
      <c r="C2330" s="167" t="str">
        <f>_xlfn.XLOOKUP(F2330,Mapping!A:A,Mapping!F:F)</f>
        <v>Phụ Cấp</v>
      </c>
      <c r="D2330" s="173">
        <v>46021</v>
      </c>
      <c r="E2330" s="169" t="s">
        <v>1385</v>
      </c>
      <c r="F2330" s="169" t="s">
        <v>375</v>
      </c>
      <c r="G2330" s="169" t="s">
        <v>336</v>
      </c>
      <c r="H2330" s="169" t="s">
        <v>411</v>
      </c>
      <c r="I2330" s="169" t="s">
        <v>412</v>
      </c>
      <c r="J2330" s="169" t="s">
        <v>1386</v>
      </c>
      <c r="K2330" s="169" t="s">
        <v>992</v>
      </c>
      <c r="L2330" s="169" t="s">
        <v>1338</v>
      </c>
      <c r="M2330" s="169" t="s">
        <v>281</v>
      </c>
      <c r="N2330" s="178">
        <v>30775000</v>
      </c>
      <c r="O2330" s="169" t="s">
        <v>1387</v>
      </c>
      <c r="P2330" s="169" t="s">
        <v>283</v>
      </c>
      <c r="Q2330" s="169" t="s">
        <v>306</v>
      </c>
      <c r="R2330" s="169" t="s">
        <v>283</v>
      </c>
      <c r="S2330" s="169" t="s">
        <v>283</v>
      </c>
      <c r="T2330" s="169">
        <v>0</v>
      </c>
    </row>
    <row r="2331" spans="1:20" x14ac:dyDescent="0.2">
      <c r="A2331" s="169" t="str">
        <f t="shared" si="14"/>
        <v>627</v>
      </c>
      <c r="B2331" s="167" t="str">
        <f>_xlfn.XLOOKUP(I2331,Mapping!D:D,Mapping!E:E)</f>
        <v>Xưởng Sản Xuất</v>
      </c>
      <c r="C2331" s="167" t="str">
        <f>_xlfn.XLOOKUP(F2331,Mapping!A:A,Mapping!F:F)</f>
        <v>Phụ Cấp</v>
      </c>
      <c r="D2331" s="173">
        <v>46021</v>
      </c>
      <c r="E2331" s="169" t="s">
        <v>1385</v>
      </c>
      <c r="F2331" s="169" t="s">
        <v>375</v>
      </c>
      <c r="G2331" s="169" t="s">
        <v>336</v>
      </c>
      <c r="H2331" s="169" t="s">
        <v>441</v>
      </c>
      <c r="I2331" s="169" t="s">
        <v>442</v>
      </c>
      <c r="J2331" s="169" t="s">
        <v>1386</v>
      </c>
      <c r="K2331" s="169" t="s">
        <v>992</v>
      </c>
      <c r="L2331" s="169" t="s">
        <v>1338</v>
      </c>
      <c r="M2331" s="169" t="s">
        <v>281</v>
      </c>
      <c r="N2331" s="178">
        <v>475000</v>
      </c>
      <c r="O2331" s="169" t="s">
        <v>1387</v>
      </c>
      <c r="P2331" s="169" t="s">
        <v>283</v>
      </c>
      <c r="Q2331" s="169" t="s">
        <v>306</v>
      </c>
      <c r="R2331" s="169" t="s">
        <v>283</v>
      </c>
      <c r="S2331" s="169" t="s">
        <v>283</v>
      </c>
      <c r="T2331" s="169">
        <v>0</v>
      </c>
    </row>
    <row r="2332" spans="1:20" x14ac:dyDescent="0.2">
      <c r="A2332" s="169" t="str">
        <f t="shared" si="14"/>
        <v>627</v>
      </c>
      <c r="B2332" s="167" t="str">
        <f>_xlfn.XLOOKUP(I2332,Mapping!D:D,Mapping!E:E)</f>
        <v>Xưởng Sản Xuất</v>
      </c>
      <c r="C2332" s="167" t="str">
        <f>_xlfn.XLOOKUP(F2332,Mapping!A:A,Mapping!F:F)</f>
        <v>Phụ Cấp</v>
      </c>
      <c r="D2332" s="173">
        <v>46021</v>
      </c>
      <c r="E2332" s="169" t="s">
        <v>1385</v>
      </c>
      <c r="F2332" s="169" t="s">
        <v>375</v>
      </c>
      <c r="G2332" s="169" t="s">
        <v>336</v>
      </c>
      <c r="H2332" s="169" t="s">
        <v>430</v>
      </c>
      <c r="I2332" s="169" t="s">
        <v>431</v>
      </c>
      <c r="J2332" s="169" t="s">
        <v>1386</v>
      </c>
      <c r="K2332" s="169" t="s">
        <v>992</v>
      </c>
      <c r="L2332" s="169" t="s">
        <v>1338</v>
      </c>
      <c r="M2332" s="169" t="s">
        <v>281</v>
      </c>
      <c r="N2332" s="178">
        <v>24425000</v>
      </c>
      <c r="O2332" s="169" t="s">
        <v>1387</v>
      </c>
      <c r="P2332" s="169" t="s">
        <v>283</v>
      </c>
      <c r="Q2332" s="169" t="s">
        <v>306</v>
      </c>
      <c r="R2332" s="169" t="s">
        <v>283</v>
      </c>
      <c r="S2332" s="169" t="s">
        <v>283</v>
      </c>
      <c r="T2332" s="169">
        <v>0</v>
      </c>
    </row>
    <row r="2333" spans="1:20" x14ac:dyDescent="0.2">
      <c r="A2333" s="169" t="str">
        <f t="shared" si="14"/>
        <v>627</v>
      </c>
      <c r="B2333" s="167" t="str">
        <f>_xlfn.XLOOKUP(I2333,Mapping!D:D,Mapping!E:E)</f>
        <v>Xưởng Sản Xuất</v>
      </c>
      <c r="C2333" s="167" t="str">
        <f>_xlfn.XLOOKUP(F2333,Mapping!A:A,Mapping!F:F)</f>
        <v>Phụ Cấp</v>
      </c>
      <c r="D2333" s="173">
        <v>46021</v>
      </c>
      <c r="E2333" s="169" t="s">
        <v>1385</v>
      </c>
      <c r="F2333" s="169" t="s">
        <v>375</v>
      </c>
      <c r="G2333" s="169" t="s">
        <v>336</v>
      </c>
      <c r="H2333" s="169" t="s">
        <v>436</v>
      </c>
      <c r="I2333" s="169" t="s">
        <v>437</v>
      </c>
      <c r="J2333" s="169" t="s">
        <v>1386</v>
      </c>
      <c r="K2333" s="169" t="s">
        <v>992</v>
      </c>
      <c r="L2333" s="169" t="s">
        <v>1338</v>
      </c>
      <c r="M2333" s="169" t="s">
        <v>281</v>
      </c>
      <c r="N2333" s="178">
        <v>22950000</v>
      </c>
      <c r="O2333" s="169" t="s">
        <v>1387</v>
      </c>
      <c r="P2333" s="169" t="s">
        <v>283</v>
      </c>
      <c r="Q2333" s="169" t="s">
        <v>306</v>
      </c>
      <c r="R2333" s="169" t="s">
        <v>283</v>
      </c>
      <c r="S2333" s="169" t="s">
        <v>283</v>
      </c>
      <c r="T2333" s="169">
        <v>0</v>
      </c>
    </row>
    <row r="2334" spans="1:20" x14ac:dyDescent="0.2">
      <c r="A2334" s="169" t="str">
        <f t="shared" si="14"/>
        <v>642</v>
      </c>
      <c r="B2334" s="167" t="str">
        <f>_xlfn.XLOOKUP(I2334,Mapping!D:D,Mapping!E:E)</f>
        <v>Mua Hàng &amp; XNK</v>
      </c>
      <c r="C2334" s="167" t="str">
        <f>_xlfn.XLOOKUP(F2334,Mapping!A:A,Mapping!F:F)</f>
        <v>Phụ Cấp</v>
      </c>
      <c r="D2334" s="173">
        <v>46021</v>
      </c>
      <c r="E2334" s="169" t="s">
        <v>1385</v>
      </c>
      <c r="F2334" s="169" t="s">
        <v>335</v>
      </c>
      <c r="G2334" s="169" t="s">
        <v>336</v>
      </c>
      <c r="H2334" s="169" t="s">
        <v>378</v>
      </c>
      <c r="I2334" s="169" t="s">
        <v>379</v>
      </c>
      <c r="J2334" s="169" t="s">
        <v>1386</v>
      </c>
      <c r="K2334" s="169" t="s">
        <v>992</v>
      </c>
      <c r="L2334" s="169" t="s">
        <v>1338</v>
      </c>
      <c r="M2334" s="169" t="s">
        <v>281</v>
      </c>
      <c r="N2334" s="178">
        <v>4750000</v>
      </c>
      <c r="O2334" s="169" t="s">
        <v>1387</v>
      </c>
      <c r="P2334" s="169" t="s">
        <v>283</v>
      </c>
      <c r="Q2334" s="169" t="s">
        <v>306</v>
      </c>
      <c r="R2334" s="169" t="s">
        <v>283</v>
      </c>
      <c r="S2334" s="169" t="s">
        <v>283</v>
      </c>
      <c r="T2334" s="169">
        <v>0</v>
      </c>
    </row>
    <row r="2335" spans="1:20" x14ac:dyDescent="0.2">
      <c r="A2335" s="169" t="str">
        <f t="shared" si="14"/>
        <v>642</v>
      </c>
      <c r="B2335" s="167" t="str">
        <f>_xlfn.XLOOKUP(I2335,Mapping!D:D,Mapping!E:E)</f>
        <v>Cung Ứng</v>
      </c>
      <c r="C2335" s="167" t="str">
        <f>_xlfn.XLOOKUP(F2335,Mapping!A:A,Mapping!F:F)</f>
        <v>Phụ Cấp</v>
      </c>
      <c r="D2335" s="173">
        <v>46021</v>
      </c>
      <c r="E2335" s="169" t="s">
        <v>1385</v>
      </c>
      <c r="F2335" s="169" t="s">
        <v>335</v>
      </c>
      <c r="G2335" s="169" t="s">
        <v>336</v>
      </c>
      <c r="H2335" s="169" t="s">
        <v>380</v>
      </c>
      <c r="I2335" s="169" t="s">
        <v>381</v>
      </c>
      <c r="J2335" s="169" t="s">
        <v>1386</v>
      </c>
      <c r="K2335" s="169" t="s">
        <v>992</v>
      </c>
      <c r="L2335" s="169" t="s">
        <v>1338</v>
      </c>
      <c r="M2335" s="169" t="s">
        <v>281</v>
      </c>
      <c r="N2335" s="178">
        <v>3850000</v>
      </c>
      <c r="O2335" s="169" t="s">
        <v>1387</v>
      </c>
      <c r="P2335" s="169" t="s">
        <v>283</v>
      </c>
      <c r="Q2335" s="169" t="s">
        <v>306</v>
      </c>
      <c r="R2335" s="169" t="s">
        <v>283</v>
      </c>
      <c r="S2335" s="169" t="s">
        <v>283</v>
      </c>
      <c r="T2335" s="169">
        <v>0</v>
      </c>
    </row>
    <row r="2336" spans="1:20" x14ac:dyDescent="0.2">
      <c r="A2336" s="169" t="str">
        <f t="shared" si="14"/>
        <v>642</v>
      </c>
      <c r="B2336" s="167" t="str">
        <f>_xlfn.XLOOKUP(I2336,Mapping!D:D,Mapping!E:E)</f>
        <v>Hành Chánh Nhân Sự</v>
      </c>
      <c r="C2336" s="167" t="str">
        <f>_xlfn.XLOOKUP(F2336,Mapping!A:A,Mapping!F:F)</f>
        <v>Phụ Cấp</v>
      </c>
      <c r="D2336" s="173">
        <v>46021</v>
      </c>
      <c r="E2336" s="169" t="s">
        <v>1385</v>
      </c>
      <c r="F2336" s="169" t="s">
        <v>335</v>
      </c>
      <c r="G2336" s="169" t="s">
        <v>336</v>
      </c>
      <c r="H2336" s="169" t="s">
        <v>382</v>
      </c>
      <c r="I2336" s="169" t="s">
        <v>200</v>
      </c>
      <c r="J2336" s="169" t="s">
        <v>1386</v>
      </c>
      <c r="K2336" s="169" t="s">
        <v>992</v>
      </c>
      <c r="L2336" s="169" t="s">
        <v>1338</v>
      </c>
      <c r="M2336" s="169" t="s">
        <v>281</v>
      </c>
      <c r="N2336" s="178">
        <v>1525000</v>
      </c>
      <c r="O2336" s="169" t="s">
        <v>1387</v>
      </c>
      <c r="P2336" s="169" t="s">
        <v>283</v>
      </c>
      <c r="Q2336" s="169" t="s">
        <v>306</v>
      </c>
      <c r="R2336" s="169" t="s">
        <v>283</v>
      </c>
      <c r="S2336" s="169" t="s">
        <v>283</v>
      </c>
      <c r="T2336" s="169">
        <v>0</v>
      </c>
    </row>
    <row r="2337" spans="1:20" x14ac:dyDescent="0.2">
      <c r="A2337" s="169" t="str">
        <f t="shared" si="14"/>
        <v>642</v>
      </c>
      <c r="B2337" s="167" t="str">
        <f>_xlfn.XLOOKUP(I2337,Mapping!D:D,Mapping!E:E)</f>
        <v>Hành Chánh Nhân Sự</v>
      </c>
      <c r="C2337" s="167" t="str">
        <f>_xlfn.XLOOKUP(F2337,Mapping!A:A,Mapping!F:F)</f>
        <v>Phụ Cấp</v>
      </c>
      <c r="D2337" s="173">
        <v>46021</v>
      </c>
      <c r="E2337" s="169" t="s">
        <v>1385</v>
      </c>
      <c r="F2337" s="169" t="s">
        <v>335</v>
      </c>
      <c r="G2337" s="169" t="s">
        <v>336</v>
      </c>
      <c r="H2337" s="169" t="s">
        <v>358</v>
      </c>
      <c r="I2337" s="169" t="s">
        <v>359</v>
      </c>
      <c r="J2337" s="169" t="s">
        <v>1386</v>
      </c>
      <c r="K2337" s="169" t="s">
        <v>992</v>
      </c>
      <c r="L2337" s="169" t="s">
        <v>1338</v>
      </c>
      <c r="M2337" s="169" t="s">
        <v>281</v>
      </c>
      <c r="N2337" s="178">
        <v>3050000</v>
      </c>
      <c r="O2337" s="169" t="s">
        <v>1387</v>
      </c>
      <c r="P2337" s="169" t="s">
        <v>283</v>
      </c>
      <c r="Q2337" s="169" t="s">
        <v>306</v>
      </c>
      <c r="R2337" s="169" t="s">
        <v>283</v>
      </c>
      <c r="S2337" s="169" t="s">
        <v>283</v>
      </c>
      <c r="T2337" s="169">
        <v>0</v>
      </c>
    </row>
    <row r="2338" spans="1:20" x14ac:dyDescent="0.2">
      <c r="A2338" s="169" t="str">
        <f t="shared" si="14"/>
        <v>642</v>
      </c>
      <c r="B2338" s="167" t="str">
        <f>_xlfn.XLOOKUP(I2338,Mapping!D:D,Mapping!E:E)</f>
        <v>Hành Chánh Nhân Sự</v>
      </c>
      <c r="C2338" s="167" t="str">
        <f>_xlfn.XLOOKUP(F2338,Mapping!A:A,Mapping!F:F)</f>
        <v>Lương Chính +T13</v>
      </c>
      <c r="D2338" s="173">
        <v>46022</v>
      </c>
      <c r="E2338" s="169" t="s">
        <v>1388</v>
      </c>
      <c r="F2338" s="169" t="s">
        <v>274</v>
      </c>
      <c r="G2338" s="169" t="s">
        <v>275</v>
      </c>
      <c r="H2338" s="169" t="s">
        <v>301</v>
      </c>
      <c r="I2338" s="169" t="s">
        <v>302</v>
      </c>
      <c r="J2338" s="169" t="s">
        <v>1389</v>
      </c>
      <c r="K2338" s="169" t="s">
        <v>328</v>
      </c>
      <c r="L2338" s="169" t="s">
        <v>1338</v>
      </c>
      <c r="M2338" s="169" t="s">
        <v>281</v>
      </c>
      <c r="N2338" s="178">
        <v>91306452</v>
      </c>
      <c r="O2338" s="169" t="s">
        <v>1390</v>
      </c>
      <c r="P2338" s="169" t="s">
        <v>283</v>
      </c>
      <c r="Q2338" s="169" t="s">
        <v>306</v>
      </c>
      <c r="R2338" s="169" t="s">
        <v>283</v>
      </c>
      <c r="S2338" s="169" t="s">
        <v>283</v>
      </c>
      <c r="T2338" s="169">
        <v>0</v>
      </c>
    </row>
    <row r="2339" spans="1:20" x14ac:dyDescent="0.2">
      <c r="A2339" s="169" t="str">
        <f t="shared" si="14"/>
        <v>642</v>
      </c>
      <c r="B2339" s="167" t="str">
        <f>_xlfn.XLOOKUP(I2339,Mapping!D:D,Mapping!E:E)</f>
        <v>Hành Chánh Nhân Sự</v>
      </c>
      <c r="C2339" s="167" t="str">
        <f>_xlfn.XLOOKUP(F2339,Mapping!A:A,Mapping!F:F)</f>
        <v>Khen thưởng BD khác</v>
      </c>
      <c r="D2339" s="173">
        <v>46022</v>
      </c>
      <c r="E2339" s="169" t="s">
        <v>1391</v>
      </c>
      <c r="F2339" s="169" t="s">
        <v>300</v>
      </c>
      <c r="G2339" s="169" t="s">
        <v>222</v>
      </c>
      <c r="H2339" s="169" t="s">
        <v>301</v>
      </c>
      <c r="I2339" s="169" t="s">
        <v>302</v>
      </c>
      <c r="J2339" s="169" t="s">
        <v>1392</v>
      </c>
      <c r="K2339" s="169" t="s">
        <v>1393</v>
      </c>
      <c r="L2339" s="169" t="s">
        <v>1338</v>
      </c>
      <c r="M2339" s="169" t="s">
        <v>281</v>
      </c>
      <c r="N2339" s="178">
        <v>6000000</v>
      </c>
      <c r="O2339" s="169" t="s">
        <v>1394</v>
      </c>
      <c r="P2339" s="169" t="s">
        <v>283</v>
      </c>
      <c r="Q2339" s="169" t="s">
        <v>306</v>
      </c>
      <c r="R2339" s="169" t="s">
        <v>283</v>
      </c>
      <c r="S2339" s="169" t="s">
        <v>283</v>
      </c>
      <c r="T2339" s="169">
        <v>0</v>
      </c>
    </row>
    <row r="2340" spans="1:20" x14ac:dyDescent="0.2">
      <c r="A2340" s="169" t="str">
        <f t="shared" si="14"/>
        <v>642</v>
      </c>
      <c r="B2340" s="167" t="str">
        <f>_xlfn.XLOOKUP(I2340,Mapping!D:D,Mapping!E:E)</f>
        <v>Hành Chánh Nhân Sự</v>
      </c>
      <c r="C2340" s="167" t="str">
        <f>_xlfn.XLOOKUP(F2340,Mapping!A:A,Mapping!F:F)</f>
        <v>Khen thưởng BD khác</v>
      </c>
      <c r="D2340" s="173">
        <v>46022</v>
      </c>
      <c r="E2340" s="169" t="s">
        <v>1391</v>
      </c>
      <c r="F2340" s="169" t="s">
        <v>300</v>
      </c>
      <c r="G2340" s="169" t="s">
        <v>222</v>
      </c>
      <c r="H2340" s="169" t="s">
        <v>301</v>
      </c>
      <c r="I2340" s="169" t="s">
        <v>302</v>
      </c>
      <c r="J2340" s="169" t="s">
        <v>1395</v>
      </c>
      <c r="K2340" s="169" t="s">
        <v>1393</v>
      </c>
      <c r="L2340" s="169" t="s">
        <v>1338</v>
      </c>
      <c r="M2340" s="169" t="s">
        <v>281</v>
      </c>
      <c r="N2340" s="178">
        <v>6000000</v>
      </c>
      <c r="O2340" s="169" t="s">
        <v>1394</v>
      </c>
      <c r="P2340" s="169" t="s">
        <v>283</v>
      </c>
      <c r="Q2340" s="169" t="s">
        <v>306</v>
      </c>
      <c r="R2340" s="169" t="s">
        <v>283</v>
      </c>
      <c r="S2340" s="169" t="s">
        <v>283</v>
      </c>
      <c r="T2340" s="169">
        <v>0</v>
      </c>
    </row>
    <row r="2341" spans="1:20" x14ac:dyDescent="0.2">
      <c r="A2341" s="169" t="str">
        <f t="shared" si="14"/>
        <v>641</v>
      </c>
      <c r="B2341" s="167" t="str">
        <f>_xlfn.XLOOKUP(I2341,Mapping!D:D,Mapping!E:E)</f>
        <v>Kinh doanh</v>
      </c>
      <c r="C2341" s="167" t="str">
        <f>_xlfn.XLOOKUP(F2341,Mapping!A:A,Mapping!F:F)</f>
        <v>Thưởng</v>
      </c>
      <c r="D2341" s="173">
        <v>46022</v>
      </c>
      <c r="E2341" s="169" t="s">
        <v>1396</v>
      </c>
      <c r="F2341" s="169" t="s">
        <v>365</v>
      </c>
      <c r="G2341" s="169" t="s">
        <v>291</v>
      </c>
      <c r="H2341" s="169" t="s">
        <v>366</v>
      </c>
      <c r="I2341" s="169" t="s">
        <v>1</v>
      </c>
      <c r="J2341" s="169" t="s">
        <v>1397</v>
      </c>
      <c r="K2341" s="169" t="s">
        <v>670</v>
      </c>
      <c r="L2341" s="169" t="s">
        <v>1338</v>
      </c>
      <c r="M2341" s="169" t="s">
        <v>281</v>
      </c>
      <c r="N2341" s="178">
        <v>12715225</v>
      </c>
      <c r="O2341" s="169" t="s">
        <v>1398</v>
      </c>
      <c r="P2341" s="169" t="s">
        <v>283</v>
      </c>
      <c r="Q2341" s="169" t="s">
        <v>370</v>
      </c>
      <c r="R2341" s="169" t="s">
        <v>283</v>
      </c>
      <c r="S2341" s="169" t="s">
        <v>283</v>
      </c>
      <c r="T2341" s="169">
        <v>0</v>
      </c>
    </row>
    <row r="2342" spans="1:20" x14ac:dyDescent="0.2">
      <c r="A2342" s="169" t="str">
        <f t="shared" si="14"/>
        <v>641</v>
      </c>
      <c r="B2342" s="167" t="str">
        <f>_xlfn.XLOOKUP(I2342,Mapping!D:D,Mapping!E:E)</f>
        <v>Kinh doanh</v>
      </c>
      <c r="C2342" s="167" t="str">
        <f>_xlfn.XLOOKUP(F2342,Mapping!A:A,Mapping!F:F)</f>
        <v>Thưởng</v>
      </c>
      <c r="D2342" s="173">
        <v>46022</v>
      </c>
      <c r="E2342" s="169" t="s">
        <v>1399</v>
      </c>
      <c r="F2342" s="169" t="s">
        <v>365</v>
      </c>
      <c r="G2342" s="169" t="s">
        <v>291</v>
      </c>
      <c r="H2342" s="169" t="s">
        <v>366</v>
      </c>
      <c r="I2342" s="169" t="s">
        <v>1</v>
      </c>
      <c r="J2342" s="169" t="s">
        <v>1397</v>
      </c>
      <c r="K2342" s="169" t="s">
        <v>670</v>
      </c>
      <c r="L2342" s="169" t="s">
        <v>1338</v>
      </c>
      <c r="M2342" s="169" t="s">
        <v>281</v>
      </c>
      <c r="N2342" s="178">
        <v>93802143</v>
      </c>
      <c r="O2342" s="169" t="s">
        <v>1400</v>
      </c>
      <c r="P2342" s="169" t="s">
        <v>283</v>
      </c>
      <c r="Q2342" s="169" t="s">
        <v>370</v>
      </c>
      <c r="R2342" s="169" t="s">
        <v>283</v>
      </c>
      <c r="S2342" s="169" t="s">
        <v>283</v>
      </c>
      <c r="T2342" s="169">
        <v>0</v>
      </c>
    </row>
    <row r="2343" spans="1:20" x14ac:dyDescent="0.2">
      <c r="A2343" s="169" t="str">
        <f t="shared" si="14"/>
        <v>641</v>
      </c>
      <c r="B2343" s="167" t="str">
        <f>_xlfn.XLOOKUP(I2343,Mapping!D:D,Mapping!E:E)</f>
        <v>Kinh doanh</v>
      </c>
      <c r="C2343" s="167" t="str">
        <f>_xlfn.XLOOKUP(F2343,Mapping!A:A,Mapping!F:F)</f>
        <v>Thưởng</v>
      </c>
      <c r="D2343" s="173">
        <v>45992</v>
      </c>
      <c r="E2343" s="169" t="s">
        <v>1401</v>
      </c>
      <c r="F2343" s="169" t="s">
        <v>365</v>
      </c>
      <c r="G2343" s="169" t="s">
        <v>291</v>
      </c>
      <c r="H2343" s="169" t="s">
        <v>366</v>
      </c>
      <c r="I2343" s="169" t="s">
        <v>1</v>
      </c>
      <c r="J2343" s="169" t="s">
        <v>1264</v>
      </c>
      <c r="K2343" s="169" t="s">
        <v>670</v>
      </c>
      <c r="L2343" s="169" t="s">
        <v>1338</v>
      </c>
      <c r="M2343" s="169" t="s">
        <v>281</v>
      </c>
      <c r="N2343" s="178">
        <v>-127947294</v>
      </c>
      <c r="O2343" s="169" t="s">
        <v>1402</v>
      </c>
      <c r="P2343" s="169" t="s">
        <v>447</v>
      </c>
      <c r="Q2343" s="169" t="s">
        <v>284</v>
      </c>
      <c r="R2343" s="169" t="s">
        <v>283</v>
      </c>
      <c r="S2343" s="169" t="s">
        <v>283</v>
      </c>
      <c r="T2343" s="169">
        <v>0</v>
      </c>
    </row>
    <row r="2344" spans="1:20" x14ac:dyDescent="0.2">
      <c r="A2344" s="169" t="str">
        <f t="shared" si="14"/>
        <v>627</v>
      </c>
      <c r="B2344" s="167" t="str">
        <f>_xlfn.XLOOKUP(I2344,Mapping!D:D,Mapping!E:E)</f>
        <v>Xưởng Sản Xuất</v>
      </c>
      <c r="C2344" s="167" t="str">
        <f>_xlfn.XLOOKUP(F2344,Mapping!A:A,Mapping!F:F)</f>
        <v>Khen thưởng BD khác</v>
      </c>
      <c r="D2344" s="173">
        <v>46022</v>
      </c>
      <c r="E2344" s="169" t="s">
        <v>1403</v>
      </c>
      <c r="F2344" s="169" t="s">
        <v>435</v>
      </c>
      <c r="G2344" s="169" t="s">
        <v>222</v>
      </c>
      <c r="H2344" s="169" t="s">
        <v>436</v>
      </c>
      <c r="I2344" s="169" t="s">
        <v>437</v>
      </c>
      <c r="J2344" s="169" t="s">
        <v>1404</v>
      </c>
      <c r="K2344" s="169" t="s">
        <v>1052</v>
      </c>
      <c r="L2344" s="169" t="s">
        <v>1338</v>
      </c>
      <c r="M2344" s="169" t="s">
        <v>281</v>
      </c>
      <c r="N2344" s="178">
        <v>4200000</v>
      </c>
      <c r="O2344" s="169" t="s">
        <v>1405</v>
      </c>
      <c r="P2344" s="169" t="s">
        <v>283</v>
      </c>
      <c r="Q2344" s="169" t="s">
        <v>964</v>
      </c>
      <c r="R2344" s="169" t="s">
        <v>283</v>
      </c>
      <c r="S2344" s="169" t="s">
        <v>283</v>
      </c>
      <c r="T2344" s="169">
        <v>0</v>
      </c>
    </row>
    <row r="2345" spans="1:20" x14ac:dyDescent="0.2">
      <c r="A2345" s="169" t="str">
        <f t="shared" si="14"/>
        <v>622</v>
      </c>
      <c r="B2345" s="167" t="str">
        <f>_xlfn.XLOOKUP(I2345,Mapping!D:D,Mapping!E:E)</f>
        <v>Xưởng Sản Xuất</v>
      </c>
      <c r="C2345" s="167" t="str">
        <f>_xlfn.XLOOKUP(F2345,Mapping!A:A,Mapping!F:F)</f>
        <v>Lương Chính +T13</v>
      </c>
      <c r="D2345" s="173">
        <v>46020</v>
      </c>
      <c r="E2345" s="169" t="s">
        <v>1406</v>
      </c>
      <c r="F2345" s="169" t="s">
        <v>400</v>
      </c>
      <c r="G2345" s="169" t="s">
        <v>401</v>
      </c>
      <c r="H2345" s="169" t="s">
        <v>402</v>
      </c>
      <c r="I2345" s="169" t="s">
        <v>403</v>
      </c>
      <c r="J2345" s="169" t="s">
        <v>1407</v>
      </c>
      <c r="K2345" s="169" t="s">
        <v>405</v>
      </c>
      <c r="L2345" s="169" t="s">
        <v>1338</v>
      </c>
      <c r="M2345" s="169" t="s">
        <v>281</v>
      </c>
      <c r="N2345" s="178">
        <v>78478616</v>
      </c>
      <c r="O2345" s="169" t="s">
        <v>1408</v>
      </c>
      <c r="P2345" s="169" t="s">
        <v>283</v>
      </c>
      <c r="Q2345" s="169" t="s">
        <v>306</v>
      </c>
      <c r="R2345" s="169" t="s">
        <v>283</v>
      </c>
      <c r="S2345" s="169" t="s">
        <v>283</v>
      </c>
      <c r="T2345" s="169">
        <v>0</v>
      </c>
    </row>
    <row r="2346" spans="1:20" x14ac:dyDescent="0.2">
      <c r="A2346" s="169" t="str">
        <f t="shared" ref="A2346:A2361" si="15">LEFT(F2346,3)</f>
        <v>642</v>
      </c>
      <c r="B2346" s="167" t="str">
        <f>_xlfn.XLOOKUP(I2346,Mapping!D:D,Mapping!E:E)</f>
        <v>Hành Chánh Nhân Sự</v>
      </c>
      <c r="C2346" s="167" t="str">
        <f>_xlfn.XLOOKUP(F2346,Mapping!A:A,Mapping!F:F)</f>
        <v>Lương Chính +T13</v>
      </c>
      <c r="D2346" s="173">
        <v>46020</v>
      </c>
      <c r="E2346" s="169" t="s">
        <v>1406</v>
      </c>
      <c r="F2346" s="169" t="s">
        <v>274</v>
      </c>
      <c r="G2346" s="169" t="s">
        <v>275</v>
      </c>
      <c r="H2346" s="169" t="s">
        <v>301</v>
      </c>
      <c r="I2346" s="169" t="s">
        <v>302</v>
      </c>
      <c r="J2346" s="169" t="s">
        <v>1407</v>
      </c>
      <c r="K2346" s="169" t="s">
        <v>405</v>
      </c>
      <c r="L2346" s="169" t="s">
        <v>1338</v>
      </c>
      <c r="M2346" s="169" t="s">
        <v>281</v>
      </c>
      <c r="N2346" s="178">
        <v>481895</v>
      </c>
      <c r="O2346" s="169" t="s">
        <v>1408</v>
      </c>
      <c r="P2346" s="169" t="s">
        <v>283</v>
      </c>
      <c r="Q2346" s="169" t="s">
        <v>306</v>
      </c>
      <c r="R2346" s="169" t="s">
        <v>283</v>
      </c>
      <c r="S2346" s="169" t="s">
        <v>283</v>
      </c>
      <c r="T2346" s="169">
        <v>0</v>
      </c>
    </row>
    <row r="2347" spans="1:20" x14ac:dyDescent="0.2">
      <c r="A2347" s="169" t="str">
        <f t="shared" si="15"/>
        <v>642</v>
      </c>
      <c r="B2347" s="167" t="str">
        <f>_xlfn.XLOOKUP(I2347,Mapping!D:D,Mapping!E:E)</f>
        <v>Hành Chánh Nhân Sự</v>
      </c>
      <c r="C2347" s="167" t="str">
        <f>_xlfn.XLOOKUP(F2347,Mapping!A:A,Mapping!F:F)</f>
        <v>Khen thưởng BD khác</v>
      </c>
      <c r="D2347" s="173">
        <v>45994</v>
      </c>
      <c r="E2347" s="169" t="s">
        <v>1409</v>
      </c>
      <c r="F2347" s="169" t="s">
        <v>300</v>
      </c>
      <c r="G2347" s="169" t="s">
        <v>222</v>
      </c>
      <c r="H2347" s="169" t="s">
        <v>382</v>
      </c>
      <c r="I2347" s="169" t="s">
        <v>200</v>
      </c>
      <c r="J2347" s="169" t="s">
        <v>1410</v>
      </c>
      <c r="K2347" s="169" t="s">
        <v>1410</v>
      </c>
      <c r="L2347" s="169" t="s">
        <v>1338</v>
      </c>
      <c r="M2347" s="169" t="s">
        <v>281</v>
      </c>
      <c r="N2347" s="178">
        <v>3000000</v>
      </c>
      <c r="O2347" s="169" t="s">
        <v>1411</v>
      </c>
      <c r="P2347" s="169" t="s">
        <v>283</v>
      </c>
      <c r="Q2347" s="169" t="s">
        <v>306</v>
      </c>
      <c r="R2347" s="169" t="s">
        <v>283</v>
      </c>
      <c r="S2347" s="169" t="s">
        <v>283</v>
      </c>
      <c r="T2347" s="169">
        <v>0</v>
      </c>
    </row>
    <row r="2348" spans="1:20" x14ac:dyDescent="0.2">
      <c r="A2348" s="169" t="str">
        <f t="shared" si="15"/>
        <v>642</v>
      </c>
      <c r="B2348" s="167" t="str">
        <f>_xlfn.XLOOKUP(I2348,Mapping!D:D,Mapping!E:E)</f>
        <v>Hành Chánh Nhân Sự</v>
      </c>
      <c r="C2348" s="167" t="str">
        <f>_xlfn.XLOOKUP(F2348,Mapping!A:A,Mapping!F:F)</f>
        <v>Khen thưởng BD khác</v>
      </c>
      <c r="D2348" s="173">
        <v>46022</v>
      </c>
      <c r="E2348" s="169" t="s">
        <v>1412</v>
      </c>
      <c r="F2348" s="169" t="s">
        <v>300</v>
      </c>
      <c r="G2348" s="169" t="s">
        <v>222</v>
      </c>
      <c r="H2348" s="169" t="s">
        <v>358</v>
      </c>
      <c r="I2348" s="169" t="s">
        <v>359</v>
      </c>
      <c r="J2348" s="169" t="s">
        <v>1413</v>
      </c>
      <c r="K2348" s="169" t="s">
        <v>1414</v>
      </c>
      <c r="L2348" s="169" t="s">
        <v>1338</v>
      </c>
      <c r="M2348" s="169" t="s">
        <v>281</v>
      </c>
      <c r="N2348" s="178">
        <v>1500000000</v>
      </c>
      <c r="O2348" s="169" t="s">
        <v>1415</v>
      </c>
      <c r="P2348" s="169" t="s">
        <v>283</v>
      </c>
      <c r="Q2348" s="169" t="s">
        <v>306</v>
      </c>
      <c r="R2348" s="169" t="s">
        <v>283</v>
      </c>
      <c r="S2348" s="169" t="s">
        <v>283</v>
      </c>
      <c r="T2348" s="169">
        <v>0</v>
      </c>
    </row>
    <row r="2349" spans="1:20" x14ac:dyDescent="0.2">
      <c r="A2349" s="169" t="str">
        <f t="shared" si="15"/>
        <v>642</v>
      </c>
      <c r="B2349" s="167" t="str">
        <f>_xlfn.XLOOKUP(I2349,Mapping!D:D,Mapping!E:E)</f>
        <v>Hành Chánh Nhân Sự</v>
      </c>
      <c r="C2349" s="167" t="str">
        <f>_xlfn.XLOOKUP(F2349,Mapping!A:A,Mapping!F:F)</f>
        <v>BHXH, BHYT, KPCĐ</v>
      </c>
      <c r="D2349" s="173">
        <v>46022</v>
      </c>
      <c r="E2349" s="169" t="s">
        <v>1416</v>
      </c>
      <c r="F2349" s="169" t="s">
        <v>295</v>
      </c>
      <c r="G2349" s="169" t="s">
        <v>296</v>
      </c>
      <c r="H2349" s="169" t="s">
        <v>301</v>
      </c>
      <c r="I2349" s="169" t="s">
        <v>302</v>
      </c>
      <c r="J2349" s="169" t="s">
        <v>1417</v>
      </c>
      <c r="K2349" s="169" t="s">
        <v>1240</v>
      </c>
      <c r="L2349" s="169" t="s">
        <v>1338</v>
      </c>
      <c r="M2349" s="169" t="s">
        <v>281</v>
      </c>
      <c r="N2349" s="178">
        <v>1658000</v>
      </c>
      <c r="O2349" s="169" t="s">
        <v>1418</v>
      </c>
      <c r="P2349" s="169" t="s">
        <v>283</v>
      </c>
      <c r="Q2349" s="169" t="s">
        <v>284</v>
      </c>
      <c r="R2349" s="169" t="s">
        <v>283</v>
      </c>
      <c r="S2349" s="169" t="s">
        <v>283</v>
      </c>
      <c r="T2349" s="169">
        <v>0</v>
      </c>
    </row>
    <row r="2350" spans="1:20" x14ac:dyDescent="0.2">
      <c r="A2350" s="169" t="str">
        <f t="shared" si="15"/>
        <v>622</v>
      </c>
      <c r="B2350" s="167" t="str">
        <f>_xlfn.XLOOKUP(I2350,Mapping!D:D,Mapping!E:E)</f>
        <v>Xưởng Sản Xuất</v>
      </c>
      <c r="C2350" s="167" t="str">
        <f>_xlfn.XLOOKUP(F2350,Mapping!A:A,Mapping!F:F)</f>
        <v>Phụ Cấp</v>
      </c>
      <c r="D2350" s="173">
        <v>46022</v>
      </c>
      <c r="E2350" s="169" t="s">
        <v>1419</v>
      </c>
      <c r="F2350" s="169" t="s">
        <v>414</v>
      </c>
      <c r="G2350" s="169" t="s">
        <v>415</v>
      </c>
      <c r="H2350" s="169" t="s">
        <v>402</v>
      </c>
      <c r="I2350" s="169" t="s">
        <v>403</v>
      </c>
      <c r="J2350" s="169" t="s">
        <v>1420</v>
      </c>
      <c r="K2350" s="169" t="s">
        <v>1421</v>
      </c>
      <c r="L2350" s="169" t="s">
        <v>1338</v>
      </c>
      <c r="M2350" s="169" t="s">
        <v>281</v>
      </c>
      <c r="N2350" s="178">
        <v>63947000</v>
      </c>
      <c r="O2350" s="169" t="s">
        <v>1422</v>
      </c>
      <c r="P2350" s="169" t="s">
        <v>283</v>
      </c>
      <c r="Q2350" s="169" t="s">
        <v>306</v>
      </c>
      <c r="R2350" s="169" t="s">
        <v>283</v>
      </c>
      <c r="S2350" s="169" t="s">
        <v>283</v>
      </c>
      <c r="T2350" s="169">
        <v>0</v>
      </c>
    </row>
    <row r="2351" spans="1:20" x14ac:dyDescent="0.2">
      <c r="A2351" s="169" t="str">
        <f t="shared" si="15"/>
        <v>622</v>
      </c>
      <c r="B2351" s="167" t="str">
        <f>_xlfn.XLOOKUP(I2351,Mapping!D:D,Mapping!E:E)</f>
        <v>Xưởng Sản Xuất</v>
      </c>
      <c r="C2351" s="167" t="str">
        <f>_xlfn.XLOOKUP(F2351,Mapping!A:A,Mapping!F:F)</f>
        <v>Phụ Cấp</v>
      </c>
      <c r="D2351" s="173">
        <v>46022</v>
      </c>
      <c r="E2351" s="169" t="s">
        <v>1419</v>
      </c>
      <c r="F2351" s="169" t="s">
        <v>414</v>
      </c>
      <c r="G2351" s="169" t="s">
        <v>415</v>
      </c>
      <c r="H2351" s="169" t="s">
        <v>430</v>
      </c>
      <c r="I2351" s="169" t="s">
        <v>431</v>
      </c>
      <c r="J2351" s="169" t="s">
        <v>1423</v>
      </c>
      <c r="K2351" s="169" t="s">
        <v>1421</v>
      </c>
      <c r="L2351" s="169" t="s">
        <v>1338</v>
      </c>
      <c r="M2351" s="169" t="s">
        <v>281</v>
      </c>
      <c r="N2351" s="178">
        <v>12480000</v>
      </c>
      <c r="O2351" s="169" t="s">
        <v>1422</v>
      </c>
      <c r="P2351" s="169" t="s">
        <v>283</v>
      </c>
      <c r="Q2351" s="169" t="s">
        <v>306</v>
      </c>
      <c r="R2351" s="169" t="s">
        <v>283</v>
      </c>
      <c r="S2351" s="169" t="s">
        <v>283</v>
      </c>
      <c r="T2351" s="169">
        <v>0</v>
      </c>
    </row>
    <row r="2352" spans="1:20" x14ac:dyDescent="0.2">
      <c r="A2352" s="169" t="str">
        <f t="shared" si="15"/>
        <v>627</v>
      </c>
      <c r="B2352" s="167" t="str">
        <f>_xlfn.XLOOKUP(I2352,Mapping!D:D,Mapping!E:E)</f>
        <v>Kỹ Thuật</v>
      </c>
      <c r="C2352" s="167" t="str">
        <f>_xlfn.XLOOKUP(F2352,Mapping!A:A,Mapping!F:F)</f>
        <v>Phụ Cấp</v>
      </c>
      <c r="D2352" s="173">
        <v>46022</v>
      </c>
      <c r="E2352" s="169" t="s">
        <v>1419</v>
      </c>
      <c r="F2352" s="169" t="s">
        <v>375</v>
      </c>
      <c r="G2352" s="169" t="s">
        <v>336</v>
      </c>
      <c r="H2352" s="169" t="s">
        <v>376</v>
      </c>
      <c r="I2352" s="169" t="s">
        <v>377</v>
      </c>
      <c r="J2352" s="169" t="s">
        <v>1424</v>
      </c>
      <c r="K2352" s="169" t="s">
        <v>1421</v>
      </c>
      <c r="L2352" s="169" t="s">
        <v>1338</v>
      </c>
      <c r="M2352" s="169" t="s">
        <v>281</v>
      </c>
      <c r="N2352" s="178">
        <v>22061000</v>
      </c>
      <c r="O2352" s="169" t="s">
        <v>1422</v>
      </c>
      <c r="P2352" s="169" t="s">
        <v>283</v>
      </c>
      <c r="Q2352" s="169" t="s">
        <v>306</v>
      </c>
      <c r="R2352" s="169" t="s">
        <v>283</v>
      </c>
      <c r="S2352" s="169" t="s">
        <v>283</v>
      </c>
      <c r="T2352" s="169">
        <v>0</v>
      </c>
    </row>
    <row r="2353" spans="1:20" x14ac:dyDescent="0.2">
      <c r="A2353" s="169" t="str">
        <f t="shared" si="15"/>
        <v>627</v>
      </c>
      <c r="B2353" s="167" t="str">
        <f>_xlfn.XLOOKUP(I2353,Mapping!D:D,Mapping!E:E)</f>
        <v>Xưởng Sản Xuất</v>
      </c>
      <c r="C2353" s="167" t="str">
        <f>_xlfn.XLOOKUP(F2353,Mapping!A:A,Mapping!F:F)</f>
        <v>Phụ Cấp</v>
      </c>
      <c r="D2353" s="173">
        <v>46022</v>
      </c>
      <c r="E2353" s="169" t="s">
        <v>1419</v>
      </c>
      <c r="F2353" s="169" t="s">
        <v>375</v>
      </c>
      <c r="G2353" s="169" t="s">
        <v>336</v>
      </c>
      <c r="H2353" s="169" t="s">
        <v>436</v>
      </c>
      <c r="I2353" s="169" t="s">
        <v>437</v>
      </c>
      <c r="J2353" s="169" t="s">
        <v>1425</v>
      </c>
      <c r="K2353" s="169" t="s">
        <v>1421</v>
      </c>
      <c r="L2353" s="169" t="s">
        <v>1338</v>
      </c>
      <c r="M2353" s="169" t="s">
        <v>281</v>
      </c>
      <c r="N2353" s="178">
        <v>12194000</v>
      </c>
      <c r="O2353" s="169" t="s">
        <v>1422</v>
      </c>
      <c r="P2353" s="169" t="s">
        <v>283</v>
      </c>
      <c r="Q2353" s="169" t="s">
        <v>306</v>
      </c>
      <c r="R2353" s="169" t="s">
        <v>283</v>
      </c>
      <c r="S2353" s="169" t="s">
        <v>283</v>
      </c>
      <c r="T2353" s="169">
        <v>0</v>
      </c>
    </row>
    <row r="2354" spans="1:20" x14ac:dyDescent="0.2">
      <c r="A2354" s="169" t="str">
        <f t="shared" si="15"/>
        <v>627</v>
      </c>
      <c r="B2354" s="167" t="str">
        <f>_xlfn.XLOOKUP(I2354,Mapping!D:D,Mapping!E:E)</f>
        <v>Kiểm Soát Chất Lượng</v>
      </c>
      <c r="C2354" s="167" t="str">
        <f>_xlfn.XLOOKUP(F2354,Mapping!A:A,Mapping!F:F)</f>
        <v>Phụ Cấp</v>
      </c>
      <c r="D2354" s="173">
        <v>46022</v>
      </c>
      <c r="E2354" s="169" t="s">
        <v>1419</v>
      </c>
      <c r="F2354" s="169" t="s">
        <v>375</v>
      </c>
      <c r="G2354" s="169" t="s">
        <v>336</v>
      </c>
      <c r="H2354" s="169" t="s">
        <v>411</v>
      </c>
      <c r="I2354" s="169" t="s">
        <v>412</v>
      </c>
      <c r="J2354" s="169" t="s">
        <v>1426</v>
      </c>
      <c r="K2354" s="169" t="s">
        <v>1421</v>
      </c>
      <c r="L2354" s="169" t="s">
        <v>1338</v>
      </c>
      <c r="M2354" s="169" t="s">
        <v>281</v>
      </c>
      <c r="N2354" s="178">
        <v>11843000</v>
      </c>
      <c r="O2354" s="169" t="s">
        <v>1422</v>
      </c>
      <c r="P2354" s="169" t="s">
        <v>283</v>
      </c>
      <c r="Q2354" s="169" t="s">
        <v>306</v>
      </c>
      <c r="R2354" s="169" t="s">
        <v>283</v>
      </c>
      <c r="S2354" s="169" t="s">
        <v>283</v>
      </c>
      <c r="T2354" s="169">
        <v>0</v>
      </c>
    </row>
    <row r="2355" spans="1:20" x14ac:dyDescent="0.2">
      <c r="A2355" s="169" t="str">
        <f t="shared" si="15"/>
        <v>642</v>
      </c>
      <c r="B2355" s="167" t="str">
        <f>_xlfn.XLOOKUP(I2355,Mapping!D:D,Mapping!E:E)</f>
        <v>Hành Chánh Nhân Sự</v>
      </c>
      <c r="C2355" s="167" t="str">
        <f>_xlfn.XLOOKUP(F2355,Mapping!A:A,Mapping!F:F)</f>
        <v>Phụ Cấp</v>
      </c>
      <c r="D2355" s="173">
        <v>46022</v>
      </c>
      <c r="E2355" s="169" t="s">
        <v>1419</v>
      </c>
      <c r="F2355" s="169" t="s">
        <v>335</v>
      </c>
      <c r="G2355" s="169" t="s">
        <v>336</v>
      </c>
      <c r="H2355" s="169" t="s">
        <v>301</v>
      </c>
      <c r="I2355" s="169" t="s">
        <v>302</v>
      </c>
      <c r="J2355" s="169" t="s">
        <v>1427</v>
      </c>
      <c r="K2355" s="169" t="s">
        <v>1421</v>
      </c>
      <c r="L2355" s="169" t="s">
        <v>1338</v>
      </c>
      <c r="M2355" s="169" t="s">
        <v>281</v>
      </c>
      <c r="N2355" s="178">
        <v>3770000</v>
      </c>
      <c r="O2355" s="169" t="s">
        <v>1422</v>
      </c>
      <c r="P2355" s="169" t="s">
        <v>283</v>
      </c>
      <c r="Q2355" s="169" t="s">
        <v>306</v>
      </c>
      <c r="R2355" s="169" t="s">
        <v>283</v>
      </c>
      <c r="S2355" s="169" t="s">
        <v>283</v>
      </c>
      <c r="T2355" s="169">
        <v>0</v>
      </c>
    </row>
    <row r="2356" spans="1:20" x14ac:dyDescent="0.2">
      <c r="A2356" s="169" t="str">
        <f t="shared" si="15"/>
        <v>622</v>
      </c>
      <c r="B2356" s="167" t="str">
        <f>_xlfn.XLOOKUP(I2356,Mapping!D:D,Mapping!E:E)</f>
        <v>Xưởng Sản Xuất</v>
      </c>
      <c r="C2356" s="167" t="str">
        <f>_xlfn.XLOOKUP(F2356,Mapping!A:A,Mapping!F:F)</f>
        <v>Phụ Cấp</v>
      </c>
      <c r="D2356" s="173">
        <v>46022</v>
      </c>
      <c r="E2356" s="169" t="s">
        <v>1428</v>
      </c>
      <c r="F2356" s="169" t="s">
        <v>414</v>
      </c>
      <c r="G2356" s="169" t="s">
        <v>415</v>
      </c>
      <c r="H2356" s="169" t="s">
        <v>441</v>
      </c>
      <c r="I2356" s="169" t="s">
        <v>442</v>
      </c>
      <c r="J2356" s="169" t="s">
        <v>416</v>
      </c>
      <c r="K2356" s="169" t="s">
        <v>416</v>
      </c>
      <c r="L2356" s="169" t="s">
        <v>1338</v>
      </c>
      <c r="M2356" s="169" t="s">
        <v>281</v>
      </c>
      <c r="N2356" s="178">
        <v>475000</v>
      </c>
      <c r="O2356" s="169" t="s">
        <v>1429</v>
      </c>
      <c r="P2356" s="169" t="s">
        <v>283</v>
      </c>
      <c r="Q2356" s="169" t="s">
        <v>348</v>
      </c>
      <c r="R2356" s="169" t="s">
        <v>283</v>
      </c>
      <c r="S2356" s="169" t="s">
        <v>283</v>
      </c>
      <c r="T2356" s="169">
        <v>0</v>
      </c>
    </row>
    <row r="2357" spans="1:20" x14ac:dyDescent="0.2">
      <c r="A2357" s="169" t="str">
        <f t="shared" si="15"/>
        <v>627</v>
      </c>
      <c r="B2357" s="167" t="str">
        <f>_xlfn.XLOOKUP(I2357,Mapping!D:D,Mapping!E:E)</f>
        <v>Xưởng Sản Xuất</v>
      </c>
      <c r="C2357" s="167" t="str">
        <f>_xlfn.XLOOKUP(F2357,Mapping!A:A,Mapping!F:F)</f>
        <v>Phụ Cấp</v>
      </c>
      <c r="D2357" s="173">
        <v>46022</v>
      </c>
      <c r="E2357" s="169" t="s">
        <v>1428</v>
      </c>
      <c r="F2357" s="169" t="s">
        <v>375</v>
      </c>
      <c r="G2357" s="169" t="s">
        <v>336</v>
      </c>
      <c r="H2357" s="169" t="s">
        <v>441</v>
      </c>
      <c r="I2357" s="169" t="s">
        <v>442</v>
      </c>
      <c r="J2357" s="169" t="s">
        <v>416</v>
      </c>
      <c r="K2357" s="169" t="s">
        <v>416</v>
      </c>
      <c r="L2357" s="169" t="s">
        <v>1338</v>
      </c>
      <c r="M2357" s="169" t="s">
        <v>281</v>
      </c>
      <c r="N2357" s="178">
        <v>-475000</v>
      </c>
      <c r="O2357" s="169" t="s">
        <v>1429</v>
      </c>
      <c r="P2357" s="169" t="s">
        <v>283</v>
      </c>
      <c r="Q2357" s="169" t="s">
        <v>348</v>
      </c>
      <c r="R2357" s="169" t="s">
        <v>283</v>
      </c>
      <c r="S2357" s="169" t="s">
        <v>283</v>
      </c>
      <c r="T2357" s="169">
        <v>0</v>
      </c>
    </row>
    <row r="2358" spans="1:20" x14ac:dyDescent="0.2">
      <c r="A2358" s="169" t="str">
        <f t="shared" si="15"/>
        <v>622</v>
      </c>
      <c r="B2358" s="167" t="str">
        <f>_xlfn.XLOOKUP(I2358,Mapping!D:D,Mapping!E:E)</f>
        <v>Xưởng Sản Xuất</v>
      </c>
      <c r="C2358" s="167" t="str">
        <f>_xlfn.XLOOKUP(F2358,Mapping!A:A,Mapping!F:F)</f>
        <v>Phụ Cấp</v>
      </c>
      <c r="D2358" s="173">
        <v>46022</v>
      </c>
      <c r="E2358" s="169" t="s">
        <v>1428</v>
      </c>
      <c r="F2358" s="169" t="s">
        <v>414</v>
      </c>
      <c r="G2358" s="169" t="s">
        <v>415</v>
      </c>
      <c r="H2358" s="169" t="s">
        <v>430</v>
      </c>
      <c r="I2358" s="169" t="s">
        <v>431</v>
      </c>
      <c r="J2358" s="169" t="s">
        <v>416</v>
      </c>
      <c r="K2358" s="169" t="s">
        <v>416</v>
      </c>
      <c r="L2358" s="169" t="s">
        <v>1338</v>
      </c>
      <c r="M2358" s="169" t="s">
        <v>281</v>
      </c>
      <c r="N2358" s="178">
        <v>17875000</v>
      </c>
      <c r="O2358" s="169" t="s">
        <v>1429</v>
      </c>
      <c r="P2358" s="169" t="s">
        <v>283</v>
      </c>
      <c r="Q2358" s="169" t="s">
        <v>348</v>
      </c>
      <c r="R2358" s="169" t="s">
        <v>283</v>
      </c>
      <c r="S2358" s="169" t="s">
        <v>283</v>
      </c>
      <c r="T2358" s="169">
        <v>0</v>
      </c>
    </row>
    <row r="2359" spans="1:20" x14ac:dyDescent="0.2">
      <c r="A2359" s="169" t="str">
        <f t="shared" si="15"/>
        <v>627</v>
      </c>
      <c r="B2359" s="167" t="str">
        <f>_xlfn.XLOOKUP(I2359,Mapping!D:D,Mapping!E:E)</f>
        <v>Xưởng Sản Xuất</v>
      </c>
      <c r="C2359" s="167" t="str">
        <f>_xlfn.XLOOKUP(F2359,Mapping!A:A,Mapping!F:F)</f>
        <v>Phụ Cấp</v>
      </c>
      <c r="D2359" s="173">
        <v>46022</v>
      </c>
      <c r="E2359" s="169" t="s">
        <v>1428</v>
      </c>
      <c r="F2359" s="169" t="s">
        <v>375</v>
      </c>
      <c r="G2359" s="169" t="s">
        <v>336</v>
      </c>
      <c r="H2359" s="169" t="s">
        <v>430</v>
      </c>
      <c r="I2359" s="169" t="s">
        <v>431</v>
      </c>
      <c r="J2359" s="169" t="s">
        <v>416</v>
      </c>
      <c r="K2359" s="169" t="s">
        <v>416</v>
      </c>
      <c r="L2359" s="169" t="s">
        <v>1338</v>
      </c>
      <c r="M2359" s="169" t="s">
        <v>281</v>
      </c>
      <c r="N2359" s="178">
        <v>-17875000</v>
      </c>
      <c r="O2359" s="169" t="s">
        <v>1429</v>
      </c>
      <c r="P2359" s="169" t="s">
        <v>283</v>
      </c>
      <c r="Q2359" s="169" t="s">
        <v>348</v>
      </c>
      <c r="R2359" s="169" t="s">
        <v>283</v>
      </c>
      <c r="S2359" s="169" t="s">
        <v>283</v>
      </c>
      <c r="T2359" s="169">
        <v>0</v>
      </c>
    </row>
    <row r="2360" spans="1:20" x14ac:dyDescent="0.2">
      <c r="A2360" s="169" t="str">
        <f t="shared" si="15"/>
        <v>622</v>
      </c>
      <c r="B2360" s="167" t="str">
        <f>_xlfn.XLOOKUP(I2360,Mapping!D:D,Mapping!E:E)</f>
        <v>Xưởng Sản Xuất</v>
      </c>
      <c r="C2360" s="167" t="str">
        <f>_xlfn.XLOOKUP(F2360,Mapping!A:A,Mapping!F:F)</f>
        <v>Phụ Cấp</v>
      </c>
      <c r="D2360" s="173">
        <v>46022</v>
      </c>
      <c r="E2360" s="169" t="s">
        <v>1428</v>
      </c>
      <c r="F2360" s="169" t="s">
        <v>414</v>
      </c>
      <c r="G2360" s="169" t="s">
        <v>415</v>
      </c>
      <c r="H2360" s="169" t="s">
        <v>402</v>
      </c>
      <c r="I2360" s="169" t="s">
        <v>403</v>
      </c>
      <c r="J2360" s="169" t="s">
        <v>416</v>
      </c>
      <c r="K2360" s="169" t="s">
        <v>416</v>
      </c>
      <c r="L2360" s="169" t="s">
        <v>1338</v>
      </c>
      <c r="M2360" s="169" t="s">
        <v>281</v>
      </c>
      <c r="N2360" s="178">
        <v>107275000</v>
      </c>
      <c r="O2360" s="169" t="s">
        <v>1429</v>
      </c>
      <c r="P2360" s="169" t="s">
        <v>283</v>
      </c>
      <c r="Q2360" s="169" t="s">
        <v>348</v>
      </c>
      <c r="R2360" s="169" t="s">
        <v>283</v>
      </c>
      <c r="S2360" s="169" t="s">
        <v>283</v>
      </c>
      <c r="T2360" s="169">
        <v>0</v>
      </c>
    </row>
    <row r="2361" spans="1:20" x14ac:dyDescent="0.2">
      <c r="A2361" s="169" t="str">
        <f t="shared" si="15"/>
        <v>627</v>
      </c>
      <c r="B2361" s="167" t="str">
        <f>_xlfn.XLOOKUP(I2361,Mapping!D:D,Mapping!E:E)</f>
        <v>Xưởng Sản Xuất</v>
      </c>
      <c r="C2361" s="167" t="str">
        <f>_xlfn.XLOOKUP(F2361,Mapping!A:A,Mapping!F:F)</f>
        <v>Phụ Cấp</v>
      </c>
      <c r="D2361" s="173">
        <v>46022</v>
      </c>
      <c r="E2361" s="169" t="s">
        <v>1428</v>
      </c>
      <c r="F2361" s="169" t="s">
        <v>375</v>
      </c>
      <c r="G2361" s="169" t="s">
        <v>336</v>
      </c>
      <c r="H2361" s="169" t="s">
        <v>402</v>
      </c>
      <c r="I2361" s="169" t="s">
        <v>403</v>
      </c>
      <c r="J2361" s="169" t="s">
        <v>416</v>
      </c>
      <c r="K2361" s="169" t="s">
        <v>416</v>
      </c>
      <c r="L2361" s="169" t="s">
        <v>1338</v>
      </c>
      <c r="M2361" s="169" t="s">
        <v>281</v>
      </c>
      <c r="N2361" s="178">
        <v>-107275000</v>
      </c>
      <c r="O2361" s="169" t="s">
        <v>1429</v>
      </c>
      <c r="P2361" s="169" t="s">
        <v>283</v>
      </c>
      <c r="Q2361" s="169" t="s">
        <v>348</v>
      </c>
      <c r="R2361" s="169" t="s">
        <v>283</v>
      </c>
      <c r="S2361" s="169" t="s">
        <v>283</v>
      </c>
      <c r="T2361" s="169">
        <v>0</v>
      </c>
    </row>
  </sheetData>
  <autoFilter ref="A2:T2361" xr:uid="{A95656F1-EBF0-45F7-8115-ADCAF8E1B5AE}"/>
  <conditionalFormatting sqref="D3:J3">
    <cfRule type="timePeriod" dxfId="3" priority="2" timePeriod="lastMonth">
      <formula>AND(MONTH(D3)=MONTH(EDATE(TODAY(),0-1)),YEAR(D3)=YEAR(EDATE(TODAY(),0-1)))</formula>
    </cfRule>
  </conditionalFormatting>
  <conditionalFormatting sqref="D211:J212">
    <cfRule type="timePeriod" dxfId="2" priority="1" timePeriod="lastMonth">
      <formula>AND(MONTH(D211)=MONTH(EDATE(TODAY(),0-1)),YEAR(D211)=YEAR(EDATE(TODAY(),0-1)))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F34A-B2BE-4E09-A0D0-F2525E3BE533}">
  <sheetPr>
    <tabColor rgb="FF00B050"/>
  </sheetPr>
  <dimension ref="A1:O172"/>
  <sheetViews>
    <sheetView showGridLines="0" workbookViewId="0">
      <pane ySplit="4" topLeftCell="A169" activePane="bottomLeft" state="frozen"/>
      <selection activeCell="E20" sqref="E20"/>
      <selection pane="bottomLeft" activeCell="F170" sqref="F170"/>
    </sheetView>
  </sheetViews>
  <sheetFormatPr defaultRowHeight="15" outlineLevelRow="1" outlineLevelCol="1" x14ac:dyDescent="0.25"/>
  <cols>
    <col min="1" max="1" width="6.7109375" customWidth="1"/>
    <col min="2" max="2" width="4.42578125" customWidth="1"/>
    <col min="3" max="3" width="20.7109375" customWidth="1"/>
    <col min="4" max="4" width="7" style="131" customWidth="1"/>
    <col min="5" max="5" width="17.28515625" customWidth="1" outlineLevel="1"/>
    <col min="6" max="6" width="16" customWidth="1" outlineLevel="1"/>
    <col min="7" max="7" width="15.5703125" customWidth="1" outlineLevel="1"/>
    <col min="8" max="8" width="14.7109375" customWidth="1" outlineLevel="1"/>
    <col min="9" max="9" width="17.28515625" customWidth="1" outlineLevel="1"/>
    <col min="10" max="10" width="15.5703125" customWidth="1" outlineLevel="1"/>
    <col min="11" max="11" width="22.7109375" bestFit="1" customWidth="1"/>
    <col min="12" max="12" width="12" customWidth="1"/>
    <col min="13" max="13" width="2.5703125" customWidth="1"/>
    <col min="14" max="14" width="24.7109375" bestFit="1" customWidth="1"/>
    <col min="15" max="15" width="10.28515625" customWidth="1"/>
  </cols>
  <sheetData>
    <row r="1" spans="1:15" ht="21" x14ac:dyDescent="0.35">
      <c r="A1" s="165" t="s">
        <v>254</v>
      </c>
      <c r="B1" s="8" t="s">
        <v>173</v>
      </c>
    </row>
    <row r="3" spans="1:15" ht="18.75" x14ac:dyDescent="0.3">
      <c r="K3" s="281">
        <f>SUM(K18,K32,K46,K60,K74,K88,K102,K116,K130,K144,K158)</f>
        <v>152749563246</v>
      </c>
      <c r="N3" s="281">
        <f>SUM(N18:N158)</f>
        <v>1437767702455.0742</v>
      </c>
      <c r="O3" s="282">
        <f>K3/$N$3</f>
        <v>0.10624078075002728</v>
      </c>
    </row>
    <row r="4" spans="1:15" s="13" customFormat="1" ht="30" x14ac:dyDescent="0.25">
      <c r="A4" s="12" t="s">
        <v>172</v>
      </c>
      <c r="B4" s="12" t="s">
        <v>14</v>
      </c>
      <c r="C4" s="12" t="s">
        <v>11</v>
      </c>
      <c r="D4" s="12" t="s">
        <v>220</v>
      </c>
      <c r="E4" s="12" t="s">
        <v>22</v>
      </c>
      <c r="F4" s="12" t="s">
        <v>23</v>
      </c>
      <c r="G4" s="12" t="s">
        <v>24</v>
      </c>
      <c r="H4" s="12" t="s">
        <v>25</v>
      </c>
      <c r="I4" s="12" t="s">
        <v>170</v>
      </c>
      <c r="J4" s="12" t="s">
        <v>222</v>
      </c>
      <c r="K4" s="12" t="s">
        <v>171</v>
      </c>
      <c r="L4" s="184" t="s">
        <v>688</v>
      </c>
      <c r="N4" s="248" t="s">
        <v>1039</v>
      </c>
      <c r="O4" s="248" t="s">
        <v>1040</v>
      </c>
    </row>
    <row r="5" spans="1:15" outlineLevel="1" x14ac:dyDescent="0.25">
      <c r="A5" s="14">
        <v>1</v>
      </c>
      <c r="B5" s="1">
        <v>1</v>
      </c>
      <c r="C5" s="2" t="s">
        <v>0</v>
      </c>
      <c r="D5" s="132">
        <v>11</v>
      </c>
      <c r="E5" s="72">
        <v>1264140856</v>
      </c>
      <c r="F5" s="72"/>
      <c r="G5" s="72">
        <v>87812330</v>
      </c>
      <c r="H5" s="72"/>
      <c r="I5" s="72">
        <v>101568010</v>
      </c>
      <c r="J5" s="72"/>
      <c r="K5" s="76">
        <f>SUM(E5:J5)</f>
        <v>1453521196</v>
      </c>
      <c r="L5" s="179"/>
      <c r="N5" s="129"/>
      <c r="O5" s="249">
        <f>K5/$N$18</f>
        <v>1.2698666060137387E-2</v>
      </c>
    </row>
    <row r="6" spans="1:15" outlineLevel="1" x14ac:dyDescent="0.25">
      <c r="A6" s="15">
        <v>1</v>
      </c>
      <c r="B6" s="3">
        <v>2</v>
      </c>
      <c r="C6" s="7" t="s">
        <v>1</v>
      </c>
      <c r="D6" s="133">
        <v>9</v>
      </c>
      <c r="E6" s="73">
        <v>266365959</v>
      </c>
      <c r="F6" s="73"/>
      <c r="G6" s="73">
        <v>66215507</v>
      </c>
      <c r="H6" s="73"/>
      <c r="I6" s="73">
        <v>51324945</v>
      </c>
      <c r="J6" s="73"/>
      <c r="K6" s="76">
        <f>SUM(E6:J6)</f>
        <v>383906411</v>
      </c>
      <c r="L6" s="179"/>
      <c r="O6" s="249">
        <f t="shared" ref="O6:O18" si="0">K6/$N$18</f>
        <v>3.3539925837000688E-3</v>
      </c>
    </row>
    <row r="7" spans="1:15" outlineLevel="1" x14ac:dyDescent="0.25">
      <c r="A7" s="15">
        <v>1</v>
      </c>
      <c r="B7" s="3">
        <v>3</v>
      </c>
      <c r="C7" s="7" t="s">
        <v>2</v>
      </c>
      <c r="D7" s="133">
        <v>6</v>
      </c>
      <c r="E7" s="73">
        <v>164395004</v>
      </c>
      <c r="F7" s="73"/>
      <c r="G7" s="73">
        <v>8470467</v>
      </c>
      <c r="H7" s="73">
        <v>3850000</v>
      </c>
      <c r="I7" s="73">
        <v>16645755</v>
      </c>
      <c r="J7" s="73"/>
      <c r="K7" s="76">
        <f t="shared" ref="K7:K17" si="1">SUM(E7:J7)</f>
        <v>193361226</v>
      </c>
      <c r="L7" s="179"/>
      <c r="O7" s="249">
        <f t="shared" si="0"/>
        <v>1.6892974417641411E-3</v>
      </c>
    </row>
    <row r="8" spans="1:15" outlineLevel="1" x14ac:dyDescent="0.25">
      <c r="A8" s="15">
        <v>1</v>
      </c>
      <c r="B8" s="3">
        <v>4</v>
      </c>
      <c r="C8" s="7" t="s">
        <v>3</v>
      </c>
      <c r="D8" s="133">
        <v>24</v>
      </c>
      <c r="E8" s="73">
        <v>473875397</v>
      </c>
      <c r="F8" s="73">
        <v>46152955</v>
      </c>
      <c r="G8" s="73">
        <v>38217504</v>
      </c>
      <c r="H8" s="73">
        <v>16375385</v>
      </c>
      <c r="I8" s="73">
        <v>86246195</v>
      </c>
      <c r="J8" s="73"/>
      <c r="K8" s="76">
        <f t="shared" si="1"/>
        <v>660867436</v>
      </c>
      <c r="L8" s="179"/>
      <c r="O8" s="249">
        <f t="shared" si="0"/>
        <v>5.7736584116405395E-3</v>
      </c>
    </row>
    <row r="9" spans="1:15" outlineLevel="1" x14ac:dyDescent="0.25">
      <c r="A9" s="15">
        <v>1</v>
      </c>
      <c r="B9" s="3">
        <v>5</v>
      </c>
      <c r="C9" s="7" t="s">
        <v>4</v>
      </c>
      <c r="D9" s="133">
        <v>6</v>
      </c>
      <c r="E9" s="73">
        <v>158791577</v>
      </c>
      <c r="F9" s="73"/>
      <c r="G9" s="73">
        <v>13123786</v>
      </c>
      <c r="H9" s="73">
        <v>50000</v>
      </c>
      <c r="I9" s="73">
        <v>35154315</v>
      </c>
      <c r="J9" s="73"/>
      <c r="K9" s="76">
        <f t="shared" si="1"/>
        <v>207119678</v>
      </c>
      <c r="L9" s="179"/>
      <c r="O9" s="249">
        <f t="shared" si="0"/>
        <v>1.8094979506615907E-3</v>
      </c>
    </row>
    <row r="10" spans="1:15" outlineLevel="1" x14ac:dyDescent="0.25">
      <c r="A10" s="15">
        <v>1</v>
      </c>
      <c r="B10" s="3">
        <v>6</v>
      </c>
      <c r="C10" s="7" t="s">
        <v>5</v>
      </c>
      <c r="D10" s="133">
        <v>4</v>
      </c>
      <c r="E10" s="73">
        <v>99254688</v>
      </c>
      <c r="F10" s="73"/>
      <c r="G10" s="73">
        <v>8838430</v>
      </c>
      <c r="H10" s="73">
        <v>5550000</v>
      </c>
      <c r="I10" s="73">
        <v>30888225</v>
      </c>
      <c r="J10" s="73">
        <v>4792753</v>
      </c>
      <c r="K10" s="76">
        <f t="shared" si="1"/>
        <v>149324096</v>
      </c>
      <c r="L10" s="179"/>
      <c r="O10" s="249">
        <f t="shared" si="0"/>
        <v>1.3045677180726141E-3</v>
      </c>
    </row>
    <row r="11" spans="1:15" outlineLevel="1" x14ac:dyDescent="0.25">
      <c r="A11" s="15">
        <v>1</v>
      </c>
      <c r="B11" s="3">
        <v>7</v>
      </c>
      <c r="C11" s="7" t="s">
        <v>6</v>
      </c>
      <c r="D11" s="133">
        <v>47</v>
      </c>
      <c r="E11" s="73">
        <v>534769107</v>
      </c>
      <c r="F11" s="73">
        <v>158408018</v>
      </c>
      <c r="G11" s="73">
        <v>52061339</v>
      </c>
      <c r="H11" s="73">
        <v>59537328</v>
      </c>
      <c r="I11" s="73">
        <v>101945350</v>
      </c>
      <c r="J11" s="73"/>
      <c r="K11" s="76">
        <f t="shared" si="1"/>
        <v>906721142</v>
      </c>
      <c r="L11" s="179"/>
      <c r="O11" s="249">
        <f t="shared" si="0"/>
        <v>7.9215556151576143E-3</v>
      </c>
    </row>
    <row r="12" spans="1:15" outlineLevel="1" x14ac:dyDescent="0.25">
      <c r="A12" s="15">
        <v>1</v>
      </c>
      <c r="B12" s="3">
        <v>8</v>
      </c>
      <c r="C12" s="7" t="s">
        <v>7</v>
      </c>
      <c r="D12" s="133">
        <v>72</v>
      </c>
      <c r="E12" s="73">
        <v>1110867901</v>
      </c>
      <c r="F12" s="73">
        <v>275691629</v>
      </c>
      <c r="G12" s="73">
        <v>99942604</v>
      </c>
      <c r="H12" s="73">
        <v>93620134</v>
      </c>
      <c r="I12" s="73">
        <v>228967370</v>
      </c>
      <c r="J12" s="73">
        <v>4500000</v>
      </c>
      <c r="K12" s="76">
        <f t="shared" si="1"/>
        <v>1813589638</v>
      </c>
      <c r="L12" s="179"/>
      <c r="O12" s="249">
        <f t="shared" si="0"/>
        <v>1.5844398586319239E-2</v>
      </c>
    </row>
    <row r="13" spans="1:15" outlineLevel="1" x14ac:dyDescent="0.25">
      <c r="A13" s="15">
        <v>1</v>
      </c>
      <c r="B13" s="3">
        <v>9</v>
      </c>
      <c r="C13" s="7" t="s">
        <v>9</v>
      </c>
      <c r="D13" s="133">
        <v>43</v>
      </c>
      <c r="E13" s="73">
        <v>727256871</v>
      </c>
      <c r="F13" s="73">
        <v>100517421</v>
      </c>
      <c r="G13" s="73">
        <v>54907749</v>
      </c>
      <c r="H13" s="73">
        <v>44467681</v>
      </c>
      <c r="I13" s="73">
        <v>103648325</v>
      </c>
      <c r="J13" s="73">
        <v>5400000</v>
      </c>
      <c r="K13" s="76">
        <f t="shared" si="1"/>
        <v>1036198047</v>
      </c>
      <c r="L13" s="179"/>
      <c r="O13" s="249">
        <f t="shared" si="0"/>
        <v>9.0527286476664113E-3</v>
      </c>
    </row>
    <row r="14" spans="1:15" outlineLevel="1" x14ac:dyDescent="0.25">
      <c r="A14" s="15">
        <v>1</v>
      </c>
      <c r="B14" s="3">
        <v>10</v>
      </c>
      <c r="C14" s="7" t="s">
        <v>10</v>
      </c>
      <c r="D14" s="133">
        <v>36</v>
      </c>
      <c r="E14" s="73">
        <v>543777219</v>
      </c>
      <c r="F14" s="73"/>
      <c r="G14" s="73">
        <v>198877610</v>
      </c>
      <c r="H14" s="73">
        <v>13970000</v>
      </c>
      <c r="I14" s="73">
        <v>98662635</v>
      </c>
      <c r="J14" s="73"/>
      <c r="K14" s="76">
        <f t="shared" si="1"/>
        <v>855287464</v>
      </c>
      <c r="L14" s="179"/>
      <c r="O14" s="249">
        <f t="shared" si="0"/>
        <v>7.4722060611476472E-3</v>
      </c>
    </row>
    <row r="15" spans="1:15" outlineLevel="1" x14ac:dyDescent="0.25">
      <c r="A15" s="15">
        <v>1</v>
      </c>
      <c r="B15" s="3">
        <v>11</v>
      </c>
      <c r="C15" s="7" t="s">
        <v>8</v>
      </c>
      <c r="D15" s="133">
        <v>91</v>
      </c>
      <c r="E15" s="73">
        <v>1231903621</v>
      </c>
      <c r="F15" s="73">
        <v>121068303</v>
      </c>
      <c r="G15" s="73">
        <v>91899296</v>
      </c>
      <c r="H15" s="73">
        <v>107240314</v>
      </c>
      <c r="I15" s="73">
        <v>188011260</v>
      </c>
      <c r="J15" s="73">
        <v>5150000</v>
      </c>
      <c r="K15" s="76">
        <f t="shared" si="1"/>
        <v>1745272794</v>
      </c>
      <c r="L15" s="180">
        <f>K15+K16</f>
        <v>4703024708</v>
      </c>
      <c r="O15" s="249">
        <f t="shared" si="0"/>
        <v>1.5247549506563199E-2</v>
      </c>
    </row>
    <row r="16" spans="1:15" outlineLevel="1" x14ac:dyDescent="0.25">
      <c r="A16" s="15">
        <v>1</v>
      </c>
      <c r="B16" s="3">
        <v>12</v>
      </c>
      <c r="C16" s="7" t="s">
        <v>8</v>
      </c>
      <c r="D16" s="133">
        <v>218</v>
      </c>
      <c r="E16" s="73">
        <v>1950381801</v>
      </c>
      <c r="F16" s="73">
        <v>326525959</v>
      </c>
      <c r="G16" s="73">
        <v>131737986</v>
      </c>
      <c r="H16" s="73">
        <v>258406333</v>
      </c>
      <c r="I16" s="73">
        <v>290699835</v>
      </c>
      <c r="J16" s="73"/>
      <c r="K16" s="76">
        <f t="shared" si="1"/>
        <v>2957751914</v>
      </c>
      <c r="L16" s="179"/>
      <c r="O16" s="249">
        <f t="shared" si="0"/>
        <v>2.5840355096285912E-2</v>
      </c>
    </row>
    <row r="17" spans="1:15" outlineLevel="1" x14ac:dyDescent="0.25">
      <c r="A17" s="70">
        <v>1</v>
      </c>
      <c r="B17" s="3">
        <v>13</v>
      </c>
      <c r="C17" s="71" t="s">
        <v>221</v>
      </c>
      <c r="D17" s="134">
        <v>2</v>
      </c>
      <c r="E17" s="74">
        <v>113750000</v>
      </c>
      <c r="F17" s="74"/>
      <c r="G17" s="74">
        <v>8049930</v>
      </c>
      <c r="H17" s="74"/>
      <c r="I17" s="74"/>
      <c r="J17" s="74"/>
      <c r="K17" s="76">
        <f t="shared" si="1"/>
        <v>121799930</v>
      </c>
      <c r="L17" s="179"/>
      <c r="O17" s="249">
        <f t="shared" si="0"/>
        <v>1.0641032559239746E-3</v>
      </c>
    </row>
    <row r="18" spans="1:15" x14ac:dyDescent="0.25">
      <c r="A18" s="17">
        <v>1</v>
      </c>
      <c r="B18" s="18"/>
      <c r="C18" s="19" t="s">
        <v>17</v>
      </c>
      <c r="D18" s="136">
        <v>569</v>
      </c>
      <c r="E18" s="75">
        <v>8639530001</v>
      </c>
      <c r="F18" s="75">
        <v>1028364285</v>
      </c>
      <c r="G18" s="75">
        <v>860154538</v>
      </c>
      <c r="H18" s="75">
        <v>603067175</v>
      </c>
      <c r="I18" s="75">
        <v>1333762220</v>
      </c>
      <c r="J18" s="75">
        <v>19842753</v>
      </c>
      <c r="K18" s="75">
        <f t="shared" ref="K18" si="2">SUM(K5:K17)</f>
        <v>12484720972</v>
      </c>
      <c r="L18" s="179"/>
      <c r="N18" s="75">
        <v>114462510402</v>
      </c>
      <c r="O18" s="250">
        <f t="shared" si="0"/>
        <v>0.10907257693504034</v>
      </c>
    </row>
    <row r="19" spans="1:15" outlineLevel="1" x14ac:dyDescent="0.25">
      <c r="A19" s="14">
        <v>2</v>
      </c>
      <c r="B19" s="1">
        <v>1</v>
      </c>
      <c r="C19" s="2" t="s">
        <v>0</v>
      </c>
      <c r="D19" s="132">
        <v>11</v>
      </c>
      <c r="E19" s="72">
        <v>1282964721</v>
      </c>
      <c r="F19" s="72"/>
      <c r="G19" s="72">
        <v>95992326</v>
      </c>
      <c r="H19" s="72"/>
      <c r="I19" s="72">
        <v>112158010</v>
      </c>
      <c r="J19" s="72"/>
      <c r="K19" s="128">
        <f>SUM(E19:J19)</f>
        <v>1491115057</v>
      </c>
      <c r="L19" s="179"/>
      <c r="O19" s="251">
        <f>K19/$N$32</f>
        <v>7.9314858063983616E-3</v>
      </c>
    </row>
    <row r="20" spans="1:15" outlineLevel="1" x14ac:dyDescent="0.25">
      <c r="A20" s="15">
        <v>2</v>
      </c>
      <c r="B20" s="3">
        <v>2</v>
      </c>
      <c r="C20" s="7" t="s">
        <v>1</v>
      </c>
      <c r="D20" s="133">
        <v>9</v>
      </c>
      <c r="E20" s="73">
        <v>256598460</v>
      </c>
      <c r="F20" s="73"/>
      <c r="G20" s="73">
        <v>58223048</v>
      </c>
      <c r="H20" s="73">
        <v>50000</v>
      </c>
      <c r="I20" s="73">
        <v>57199945</v>
      </c>
      <c r="J20" s="73"/>
      <c r="K20" s="128">
        <f>SUM(E20:J20)</f>
        <v>372071453</v>
      </c>
      <c r="L20" s="179"/>
      <c r="O20" s="251">
        <f t="shared" ref="O20:O32" si="3">K20/$N$32</f>
        <v>1.9791091469311848E-3</v>
      </c>
    </row>
    <row r="21" spans="1:15" outlineLevel="1" x14ac:dyDescent="0.25">
      <c r="A21" s="15">
        <v>2</v>
      </c>
      <c r="B21" s="3">
        <v>3</v>
      </c>
      <c r="C21" s="7" t="s">
        <v>2</v>
      </c>
      <c r="D21" s="133">
        <v>7</v>
      </c>
      <c r="E21" s="73">
        <v>100998488</v>
      </c>
      <c r="F21" s="73">
        <v>10838778</v>
      </c>
      <c r="G21" s="73"/>
      <c r="H21" s="73">
        <v>2900000</v>
      </c>
      <c r="I21" s="73">
        <v>22638255</v>
      </c>
      <c r="J21" s="73"/>
      <c r="K21" s="128">
        <f t="shared" ref="K21:K31" si="4">SUM(E21:J21)</f>
        <v>137375521</v>
      </c>
      <c r="L21" s="179"/>
      <c r="O21" s="251">
        <f t="shared" si="3"/>
        <v>7.3072295115190436E-4</v>
      </c>
    </row>
    <row r="22" spans="1:15" outlineLevel="1" x14ac:dyDescent="0.25">
      <c r="A22" s="15">
        <v>2</v>
      </c>
      <c r="B22" s="3">
        <v>4</v>
      </c>
      <c r="C22" s="7" t="s">
        <v>3</v>
      </c>
      <c r="D22" s="133">
        <v>23</v>
      </c>
      <c r="E22" s="73">
        <v>449665471</v>
      </c>
      <c r="F22" s="73">
        <v>36055040</v>
      </c>
      <c r="G22" s="73">
        <v>42644566</v>
      </c>
      <c r="H22" s="73">
        <v>12820000</v>
      </c>
      <c r="I22" s="73">
        <v>87773695</v>
      </c>
      <c r="J22" s="73"/>
      <c r="K22" s="128">
        <f t="shared" si="4"/>
        <v>628958772</v>
      </c>
      <c r="L22" s="179"/>
      <c r="O22" s="251">
        <f t="shared" si="3"/>
        <v>3.3455349736487461E-3</v>
      </c>
    </row>
    <row r="23" spans="1:15" outlineLevel="1" x14ac:dyDescent="0.25">
      <c r="A23" s="15">
        <v>2</v>
      </c>
      <c r="B23" s="3">
        <v>5</v>
      </c>
      <c r="C23" s="7" t="s">
        <v>4</v>
      </c>
      <c r="D23" s="133">
        <v>6</v>
      </c>
      <c r="E23" s="73">
        <v>156797884</v>
      </c>
      <c r="F23" s="73"/>
      <c r="G23" s="73">
        <v>14923786</v>
      </c>
      <c r="H23" s="73"/>
      <c r="I23" s="73">
        <v>35154315</v>
      </c>
      <c r="J23" s="73"/>
      <c r="K23" s="128">
        <f t="shared" si="4"/>
        <v>206875985</v>
      </c>
      <c r="L23" s="179"/>
      <c r="O23" s="251">
        <f t="shared" si="3"/>
        <v>1.1004073300778026E-3</v>
      </c>
    </row>
    <row r="24" spans="1:15" outlineLevel="1" x14ac:dyDescent="0.25">
      <c r="A24" s="15">
        <v>2</v>
      </c>
      <c r="B24" s="3">
        <v>6</v>
      </c>
      <c r="C24" s="7" t="s">
        <v>5</v>
      </c>
      <c r="D24" s="133">
        <v>3</v>
      </c>
      <c r="E24" s="73">
        <v>87674558</v>
      </c>
      <c r="F24" s="73"/>
      <c r="G24" s="73">
        <v>8189109</v>
      </c>
      <c r="H24" s="73">
        <v>2400000</v>
      </c>
      <c r="I24" s="73">
        <v>20503750</v>
      </c>
      <c r="J24" s="73"/>
      <c r="K24" s="128">
        <f t="shared" si="4"/>
        <v>118767417</v>
      </c>
      <c r="L24" s="179"/>
      <c r="O24" s="251">
        <f t="shared" si="3"/>
        <v>6.3174339081071694E-4</v>
      </c>
    </row>
    <row r="25" spans="1:15" outlineLevel="1" x14ac:dyDescent="0.25">
      <c r="A25" s="15">
        <v>2</v>
      </c>
      <c r="B25" s="3">
        <v>7</v>
      </c>
      <c r="C25" s="7" t="s">
        <v>6</v>
      </c>
      <c r="D25" s="133">
        <v>47</v>
      </c>
      <c r="E25" s="73">
        <v>514268646</v>
      </c>
      <c r="F25" s="73">
        <v>134337444</v>
      </c>
      <c r="G25" s="73">
        <v>66215238</v>
      </c>
      <c r="H25" s="73">
        <v>50273803</v>
      </c>
      <c r="I25" s="73">
        <v>106643940</v>
      </c>
      <c r="J25" s="73"/>
      <c r="K25" s="128">
        <f t="shared" si="4"/>
        <v>871739071</v>
      </c>
      <c r="L25" s="179"/>
      <c r="O25" s="251">
        <f t="shared" si="3"/>
        <v>4.6369232448300558E-3</v>
      </c>
    </row>
    <row r="26" spans="1:15" outlineLevel="1" x14ac:dyDescent="0.25">
      <c r="A26" s="15">
        <v>2</v>
      </c>
      <c r="B26" s="3">
        <v>8</v>
      </c>
      <c r="C26" s="7" t="s">
        <v>7</v>
      </c>
      <c r="D26" s="133">
        <v>71</v>
      </c>
      <c r="E26" s="73">
        <v>1030234344</v>
      </c>
      <c r="F26" s="73">
        <v>279940724</v>
      </c>
      <c r="G26" s="73">
        <v>189713746</v>
      </c>
      <c r="H26" s="73">
        <v>82048756</v>
      </c>
      <c r="I26" s="73">
        <v>217149870</v>
      </c>
      <c r="J26" s="73"/>
      <c r="K26" s="128">
        <f t="shared" si="4"/>
        <v>1799087440</v>
      </c>
      <c r="L26" s="179"/>
      <c r="O26" s="251">
        <f t="shared" si="3"/>
        <v>9.5696414759156734E-3</v>
      </c>
    </row>
    <row r="27" spans="1:15" outlineLevel="1" x14ac:dyDescent="0.25">
      <c r="A27" s="15">
        <v>2</v>
      </c>
      <c r="B27" s="3">
        <v>9</v>
      </c>
      <c r="C27" s="7" t="s">
        <v>9</v>
      </c>
      <c r="D27" s="133">
        <v>43</v>
      </c>
      <c r="E27" s="73">
        <v>697796771</v>
      </c>
      <c r="F27" s="73">
        <v>141925157</v>
      </c>
      <c r="G27" s="73">
        <v>62132823</v>
      </c>
      <c r="H27" s="73">
        <v>46573980</v>
      </c>
      <c r="I27" s="73">
        <v>132056975</v>
      </c>
      <c r="J27" s="73">
        <v>13881191</v>
      </c>
      <c r="K27" s="128">
        <f t="shared" si="4"/>
        <v>1094366897</v>
      </c>
      <c r="L27" s="179"/>
      <c r="O27" s="251">
        <f t="shared" si="3"/>
        <v>5.8211172033974827E-3</v>
      </c>
    </row>
    <row r="28" spans="1:15" outlineLevel="1" x14ac:dyDescent="0.25">
      <c r="A28" s="15">
        <v>2</v>
      </c>
      <c r="B28" s="3">
        <v>10</v>
      </c>
      <c r="C28" s="7" t="s">
        <v>10</v>
      </c>
      <c r="D28" s="133">
        <v>37</v>
      </c>
      <c r="E28" s="73">
        <v>527553705</v>
      </c>
      <c r="F28" s="73"/>
      <c r="G28" s="73">
        <v>280249130</v>
      </c>
      <c r="H28" s="73">
        <v>11800000</v>
      </c>
      <c r="I28" s="73">
        <v>98662635</v>
      </c>
      <c r="J28" s="73"/>
      <c r="K28" s="128">
        <f t="shared" si="4"/>
        <v>918265470</v>
      </c>
      <c r="L28" s="179"/>
      <c r="O28" s="251">
        <f t="shared" si="3"/>
        <v>4.8844048000319541E-3</v>
      </c>
    </row>
    <row r="29" spans="1:15" outlineLevel="1" x14ac:dyDescent="0.25">
      <c r="A29" s="15">
        <v>2</v>
      </c>
      <c r="B29" s="3">
        <v>11</v>
      </c>
      <c r="C29" s="7" t="s">
        <v>8</v>
      </c>
      <c r="D29" s="133">
        <v>92</v>
      </c>
      <c r="E29" s="73">
        <v>2002581833</v>
      </c>
      <c r="F29" s="73">
        <v>301395737</v>
      </c>
      <c r="G29" s="73">
        <v>128601782</v>
      </c>
      <c r="H29" s="73">
        <v>240936665</v>
      </c>
      <c r="I29" s="73">
        <v>282778795</v>
      </c>
      <c r="J29" s="73"/>
      <c r="K29" s="128">
        <f t="shared" si="4"/>
        <v>2956294812</v>
      </c>
      <c r="L29" s="180"/>
      <c r="O29" s="251">
        <f t="shared" si="3"/>
        <v>1.5725017483280038E-2</v>
      </c>
    </row>
    <row r="30" spans="1:15" outlineLevel="1" x14ac:dyDescent="0.25">
      <c r="A30" s="15">
        <v>2</v>
      </c>
      <c r="B30" s="3">
        <v>12</v>
      </c>
      <c r="C30" s="7" t="s">
        <v>8</v>
      </c>
      <c r="D30" s="133">
        <v>233</v>
      </c>
      <c r="E30" s="73">
        <v>1097100836</v>
      </c>
      <c r="F30" s="73">
        <v>118641454</v>
      </c>
      <c r="G30" s="73">
        <v>102701901</v>
      </c>
      <c r="H30" s="73">
        <v>74369452</v>
      </c>
      <c r="I30" s="73">
        <v>184031815</v>
      </c>
      <c r="J30" s="73">
        <v>7500000</v>
      </c>
      <c r="K30" s="128">
        <f t="shared" si="4"/>
        <v>1584345458</v>
      </c>
      <c r="L30" s="179"/>
      <c r="O30" s="251">
        <f t="shared" si="3"/>
        <v>8.427393616318845E-3</v>
      </c>
    </row>
    <row r="31" spans="1:15" outlineLevel="1" x14ac:dyDescent="0.25">
      <c r="A31" s="16">
        <v>2</v>
      </c>
      <c r="B31" s="3">
        <v>13</v>
      </c>
      <c r="C31" s="4" t="s">
        <v>221</v>
      </c>
      <c r="D31" s="135">
        <v>3</v>
      </c>
      <c r="E31" s="125">
        <v>243750000</v>
      </c>
      <c r="F31" s="125"/>
      <c r="G31" s="125">
        <v>17249850</v>
      </c>
      <c r="H31" s="125"/>
      <c r="I31" s="125"/>
      <c r="J31" s="125"/>
      <c r="K31" s="128">
        <f t="shared" si="4"/>
        <v>260999850</v>
      </c>
      <c r="L31" s="179"/>
      <c r="O31" s="251">
        <f t="shared" si="3"/>
        <v>1.3883010543210559E-3</v>
      </c>
    </row>
    <row r="32" spans="1:15" x14ac:dyDescent="0.25">
      <c r="A32" s="17">
        <v>2</v>
      </c>
      <c r="B32" s="18"/>
      <c r="C32" s="19" t="s">
        <v>17</v>
      </c>
      <c r="D32" s="136">
        <f>SUM(D19:D31)</f>
        <v>585</v>
      </c>
      <c r="E32" s="75">
        <f>SUM(E19:E31)</f>
        <v>8447985717</v>
      </c>
      <c r="F32" s="75">
        <f t="shared" ref="F32" si="5">SUM(F19:F31)</f>
        <v>1023134334</v>
      </c>
      <c r="G32" s="75">
        <f t="shared" ref="G32" si="6">SUM(G19:G31)</f>
        <v>1066837305</v>
      </c>
      <c r="H32" s="75">
        <f t="shared" ref="H32" si="7">SUM(H19:H31)</f>
        <v>524172656</v>
      </c>
      <c r="I32" s="75">
        <f t="shared" ref="I32" si="8">SUM(I19:I31)</f>
        <v>1356752000</v>
      </c>
      <c r="J32" s="75">
        <f t="shared" ref="J32" si="9">SUM(J19:J31)</f>
        <v>21381191</v>
      </c>
      <c r="K32" s="75">
        <f>SUM(K19:K31)</f>
        <v>12440263203</v>
      </c>
      <c r="L32" s="181">
        <f>K32/K18</f>
        <v>0.99643902582206623</v>
      </c>
      <c r="N32" s="75">
        <v>187999461059</v>
      </c>
      <c r="O32" s="250">
        <f t="shared" si="3"/>
        <v>6.6171802477113822E-2</v>
      </c>
    </row>
    <row r="33" spans="1:15" outlineLevel="1" x14ac:dyDescent="0.25">
      <c r="A33" s="14">
        <v>3</v>
      </c>
      <c r="B33" s="1">
        <v>1</v>
      </c>
      <c r="C33" s="2" t="s">
        <v>0</v>
      </c>
      <c r="D33" s="132">
        <v>11</v>
      </c>
      <c r="E33" s="72">
        <v>1290464719</v>
      </c>
      <c r="F33" s="72"/>
      <c r="G33" s="72">
        <v>86272326</v>
      </c>
      <c r="H33" s="72"/>
      <c r="I33" s="72">
        <v>123680010</v>
      </c>
      <c r="J33" s="72"/>
      <c r="K33" s="128">
        <f>SUM(E33:J33)</f>
        <v>1500417055</v>
      </c>
      <c r="L33" s="182"/>
      <c r="O33" s="251">
        <f>K33/$N$46</f>
        <v>9.9859153087505405E-3</v>
      </c>
    </row>
    <row r="34" spans="1:15" outlineLevel="1" x14ac:dyDescent="0.25">
      <c r="A34" s="15">
        <v>3</v>
      </c>
      <c r="B34" s="3">
        <v>2</v>
      </c>
      <c r="C34" s="7" t="s">
        <v>1</v>
      </c>
      <c r="D34" s="133">
        <v>9</v>
      </c>
      <c r="E34" s="73">
        <v>247831117</v>
      </c>
      <c r="F34" s="73"/>
      <c r="G34" s="73">
        <v>348973474</v>
      </c>
      <c r="H34" s="73">
        <v>10262739</v>
      </c>
      <c r="I34" s="73">
        <v>62369945</v>
      </c>
      <c r="J34" s="73"/>
      <c r="K34" s="128">
        <f>SUM(E34:J34)</f>
        <v>669437275</v>
      </c>
      <c r="L34" s="182"/>
      <c r="O34" s="251">
        <f t="shared" ref="O34:O46" si="10">K34/$N$46</f>
        <v>4.4553905265164728E-3</v>
      </c>
    </row>
    <row r="35" spans="1:15" outlineLevel="1" x14ac:dyDescent="0.25">
      <c r="A35" s="15">
        <v>3</v>
      </c>
      <c r="B35" s="3">
        <v>3</v>
      </c>
      <c r="C35" s="7" t="s">
        <v>2</v>
      </c>
      <c r="D35" s="133">
        <v>7</v>
      </c>
      <c r="E35" s="73">
        <v>116437913</v>
      </c>
      <c r="F35" s="73"/>
      <c r="G35" s="73">
        <v>9838778</v>
      </c>
      <c r="H35" s="73">
        <v>4550000</v>
      </c>
      <c r="I35" s="73">
        <v>22638255</v>
      </c>
      <c r="J35" s="73"/>
      <c r="K35" s="128">
        <f t="shared" ref="K35:K45" si="11">SUM(E35:J35)</f>
        <v>153464946</v>
      </c>
      <c r="L35" s="182"/>
      <c r="O35" s="251">
        <f t="shared" si="10"/>
        <v>1.0213746561405057E-3</v>
      </c>
    </row>
    <row r="36" spans="1:15" outlineLevel="1" x14ac:dyDescent="0.25">
      <c r="A36" s="15">
        <v>3</v>
      </c>
      <c r="B36" s="3">
        <v>4</v>
      </c>
      <c r="C36" s="7" t="s">
        <v>3</v>
      </c>
      <c r="D36" s="133">
        <v>23</v>
      </c>
      <c r="E36" s="73">
        <v>420976789</v>
      </c>
      <c r="F36" s="73">
        <v>43454986</v>
      </c>
      <c r="G36" s="73">
        <v>30991234</v>
      </c>
      <c r="H36" s="73">
        <v>13730000</v>
      </c>
      <c r="I36" s="73">
        <v>85188695</v>
      </c>
      <c r="J36" s="73"/>
      <c r="K36" s="128">
        <f t="shared" si="11"/>
        <v>594341704</v>
      </c>
      <c r="L36" s="182"/>
      <c r="O36" s="251">
        <f t="shared" si="10"/>
        <v>3.9555974792638456E-3</v>
      </c>
    </row>
    <row r="37" spans="1:15" outlineLevel="1" x14ac:dyDescent="0.25">
      <c r="A37" s="15">
        <v>3</v>
      </c>
      <c r="B37" s="3">
        <v>5</v>
      </c>
      <c r="C37" s="7" t="s">
        <v>4</v>
      </c>
      <c r="D37" s="133">
        <v>7</v>
      </c>
      <c r="E37" s="73">
        <v>161901104</v>
      </c>
      <c r="F37" s="73"/>
      <c r="G37" s="73">
        <v>12805445</v>
      </c>
      <c r="H37" s="73"/>
      <c r="I37" s="73">
        <v>35154315</v>
      </c>
      <c r="J37" s="73"/>
      <c r="K37" s="128">
        <f t="shared" si="11"/>
        <v>209860864</v>
      </c>
      <c r="L37" s="182"/>
      <c r="O37" s="251">
        <f t="shared" si="10"/>
        <v>1.3967135387735348E-3</v>
      </c>
    </row>
    <row r="38" spans="1:15" outlineLevel="1" x14ac:dyDescent="0.25">
      <c r="A38" s="15">
        <v>3</v>
      </c>
      <c r="B38" s="3">
        <v>6</v>
      </c>
      <c r="C38" s="7" t="s">
        <v>5</v>
      </c>
      <c r="D38" s="133">
        <v>3</v>
      </c>
      <c r="E38" s="73">
        <v>84618789</v>
      </c>
      <c r="F38" s="73"/>
      <c r="G38" s="73">
        <v>6689109</v>
      </c>
      <c r="H38" s="73">
        <v>1750000</v>
      </c>
      <c r="I38" s="73">
        <v>20503750</v>
      </c>
      <c r="J38" s="73"/>
      <c r="K38" s="128">
        <f t="shared" si="11"/>
        <v>113561648</v>
      </c>
      <c r="L38" s="182"/>
      <c r="O38" s="251">
        <f t="shared" si="10"/>
        <v>7.5580119238923232E-4</v>
      </c>
    </row>
    <row r="39" spans="1:15" outlineLevel="1" x14ac:dyDescent="0.25">
      <c r="A39" s="15">
        <v>3</v>
      </c>
      <c r="B39" s="3">
        <v>7</v>
      </c>
      <c r="C39" s="7" t="s">
        <v>6</v>
      </c>
      <c r="D39" s="133">
        <v>53</v>
      </c>
      <c r="E39" s="73">
        <v>538848633</v>
      </c>
      <c r="F39" s="73">
        <v>176485897</v>
      </c>
      <c r="G39" s="73">
        <v>38457122</v>
      </c>
      <c r="H39" s="73">
        <v>63690810</v>
      </c>
      <c r="I39" s="73">
        <v>105552365</v>
      </c>
      <c r="J39" s="73"/>
      <c r="K39" s="128">
        <f t="shared" si="11"/>
        <v>923034827</v>
      </c>
      <c r="L39" s="182"/>
      <c r="O39" s="251">
        <f t="shared" si="10"/>
        <v>6.1431903741251508E-3</v>
      </c>
    </row>
    <row r="40" spans="1:15" outlineLevel="1" x14ac:dyDescent="0.25">
      <c r="A40" s="15">
        <v>3</v>
      </c>
      <c r="B40" s="3">
        <v>8</v>
      </c>
      <c r="C40" s="7" t="s">
        <v>7</v>
      </c>
      <c r="D40" s="133">
        <v>76</v>
      </c>
      <c r="E40" s="73">
        <v>985747351</v>
      </c>
      <c r="F40" s="73">
        <v>291038225</v>
      </c>
      <c r="G40" s="73">
        <v>73263716</v>
      </c>
      <c r="H40" s="73">
        <v>92181120</v>
      </c>
      <c r="I40" s="73">
        <v>213996170</v>
      </c>
      <c r="J40" s="73"/>
      <c r="K40" s="128">
        <f t="shared" si="11"/>
        <v>1656226582</v>
      </c>
      <c r="L40" s="182"/>
      <c r="O40" s="251">
        <f t="shared" si="10"/>
        <v>1.1022894151222097E-2</v>
      </c>
    </row>
    <row r="41" spans="1:15" outlineLevel="1" x14ac:dyDescent="0.25">
      <c r="A41" s="15">
        <v>3</v>
      </c>
      <c r="B41" s="3">
        <v>9</v>
      </c>
      <c r="C41" s="7" t="s">
        <v>9</v>
      </c>
      <c r="D41" s="133">
        <v>43</v>
      </c>
      <c r="E41" s="73">
        <v>716066208</v>
      </c>
      <c r="F41" s="73">
        <v>85045966</v>
      </c>
      <c r="G41" s="73">
        <v>43613230</v>
      </c>
      <c r="H41" s="73">
        <v>48658512</v>
      </c>
      <c r="I41" s="73">
        <v>139741165</v>
      </c>
      <c r="J41" s="73">
        <v>14276937</v>
      </c>
      <c r="K41" s="128">
        <f t="shared" si="11"/>
        <v>1047402018</v>
      </c>
      <c r="L41" s="182"/>
      <c r="O41" s="251">
        <f t="shared" si="10"/>
        <v>6.9709070628782011E-3</v>
      </c>
    </row>
    <row r="42" spans="1:15" outlineLevel="1" x14ac:dyDescent="0.25">
      <c r="A42" s="15">
        <v>3</v>
      </c>
      <c r="B42" s="3">
        <v>10</v>
      </c>
      <c r="C42" s="7" t="s">
        <v>10</v>
      </c>
      <c r="D42" s="133">
        <v>36</v>
      </c>
      <c r="E42" s="73">
        <v>510664003</v>
      </c>
      <c r="F42" s="73"/>
      <c r="G42" s="73">
        <v>214602372</v>
      </c>
      <c r="H42" s="73">
        <v>16390000</v>
      </c>
      <c r="I42" s="73">
        <v>102246385</v>
      </c>
      <c r="J42" s="73"/>
      <c r="K42" s="128">
        <f t="shared" si="11"/>
        <v>843902760</v>
      </c>
      <c r="L42" s="182"/>
      <c r="O42" s="251">
        <f t="shared" si="10"/>
        <v>5.6165327247502091E-3</v>
      </c>
    </row>
    <row r="43" spans="1:15" outlineLevel="1" x14ac:dyDescent="0.25">
      <c r="A43" s="15">
        <v>3</v>
      </c>
      <c r="B43" s="3">
        <v>11</v>
      </c>
      <c r="C43" s="7" t="s">
        <v>8</v>
      </c>
      <c r="D43" s="133">
        <v>94</v>
      </c>
      <c r="E43" s="73">
        <v>1985974828</v>
      </c>
      <c r="F43" s="73">
        <v>353064382</v>
      </c>
      <c r="G43" s="73">
        <v>29468425</v>
      </c>
      <c r="H43" s="73">
        <v>273008624</v>
      </c>
      <c r="I43" s="73">
        <v>287845515</v>
      </c>
      <c r="J43" s="73"/>
      <c r="K43" s="128">
        <f t="shared" si="11"/>
        <v>2929361774</v>
      </c>
      <c r="L43" s="182"/>
      <c r="O43" s="251">
        <f t="shared" si="10"/>
        <v>1.9496151744193047E-2</v>
      </c>
    </row>
    <row r="44" spans="1:15" outlineLevel="1" x14ac:dyDescent="0.25">
      <c r="A44" s="15">
        <v>3</v>
      </c>
      <c r="B44" s="3">
        <v>12</v>
      </c>
      <c r="C44" s="7" t="s">
        <v>8</v>
      </c>
      <c r="D44" s="133">
        <v>237</v>
      </c>
      <c r="E44" s="73">
        <v>1095606795</v>
      </c>
      <c r="F44" s="73">
        <v>136207241</v>
      </c>
      <c r="G44" s="73">
        <v>61591156</v>
      </c>
      <c r="H44" s="73">
        <v>104061083</v>
      </c>
      <c r="I44" s="73">
        <v>164185645</v>
      </c>
      <c r="J44" s="73">
        <v>7800000</v>
      </c>
      <c r="K44" s="128">
        <f t="shared" si="11"/>
        <v>1569451920</v>
      </c>
      <c r="L44" s="182"/>
      <c r="O44" s="251">
        <f t="shared" si="10"/>
        <v>1.0445371773167381E-2</v>
      </c>
    </row>
    <row r="45" spans="1:15" outlineLevel="1" x14ac:dyDescent="0.25">
      <c r="A45" s="16">
        <v>3</v>
      </c>
      <c r="B45" s="3">
        <v>13</v>
      </c>
      <c r="C45" s="4" t="s">
        <v>221</v>
      </c>
      <c r="D45" s="135">
        <v>3</v>
      </c>
      <c r="E45" s="125">
        <v>243750000</v>
      </c>
      <c r="F45" s="125"/>
      <c r="G45" s="125">
        <v>17249850</v>
      </c>
      <c r="H45" s="125"/>
      <c r="I45" s="125"/>
      <c r="J45" s="125"/>
      <c r="K45" s="128">
        <f t="shared" si="11"/>
        <v>260999850</v>
      </c>
      <c r="L45" s="182"/>
      <c r="O45" s="251">
        <f t="shared" si="10"/>
        <v>1.7370652972860236E-3</v>
      </c>
    </row>
    <row r="46" spans="1:15" x14ac:dyDescent="0.25">
      <c r="A46" s="17">
        <v>3</v>
      </c>
      <c r="B46" s="18"/>
      <c r="C46" s="19" t="s">
        <v>17</v>
      </c>
      <c r="D46" s="136">
        <f>SUM(D33:D45)</f>
        <v>602</v>
      </c>
      <c r="E46" s="75">
        <f>SUM(E33:E45)</f>
        <v>8398888249</v>
      </c>
      <c r="F46" s="75">
        <f t="shared" ref="F46:J46" si="12">SUM(F33:F45)</f>
        <v>1085296697</v>
      </c>
      <c r="G46" s="75">
        <f t="shared" si="12"/>
        <v>973816237</v>
      </c>
      <c r="H46" s="75">
        <f t="shared" si="12"/>
        <v>628282888</v>
      </c>
      <c r="I46" s="75">
        <f t="shared" si="12"/>
        <v>1363102215</v>
      </c>
      <c r="J46" s="75">
        <f t="shared" si="12"/>
        <v>22076937</v>
      </c>
      <c r="K46" s="75">
        <f>SUM(K33:K45)</f>
        <v>12471463223</v>
      </c>
      <c r="L46" s="183">
        <f>K46/K32</f>
        <v>1.0025079871294424</v>
      </c>
      <c r="N46" s="75">
        <v>150253332680</v>
      </c>
      <c r="O46" s="250">
        <f t="shared" si="10"/>
        <v>8.3002905829456242E-2</v>
      </c>
    </row>
    <row r="47" spans="1:15" outlineLevel="1" x14ac:dyDescent="0.25">
      <c r="A47" s="14">
        <v>4</v>
      </c>
      <c r="B47" s="1">
        <v>1</v>
      </c>
      <c r="C47" s="2" t="s">
        <v>0</v>
      </c>
      <c r="D47" s="132">
        <v>12</v>
      </c>
      <c r="E47" s="72">
        <v>1442416935</v>
      </c>
      <c r="F47" s="72">
        <v>0</v>
      </c>
      <c r="G47" s="72">
        <v>98638906</v>
      </c>
      <c r="H47" s="72">
        <v>375000</v>
      </c>
      <c r="I47" s="72">
        <v>123680010</v>
      </c>
      <c r="J47" s="72">
        <v>0</v>
      </c>
      <c r="K47" s="128">
        <f>SUM(E47:J47)</f>
        <v>1665110851</v>
      </c>
      <c r="L47" s="182"/>
      <c r="O47" s="251">
        <f t="shared" ref="O47:O59" si="13">K47/$N$60</f>
        <v>1.3275257109661967E-2</v>
      </c>
    </row>
    <row r="48" spans="1:15" outlineLevel="1" x14ac:dyDescent="0.25">
      <c r="A48" s="15">
        <v>4</v>
      </c>
      <c r="B48" s="3">
        <v>2</v>
      </c>
      <c r="C48" s="7" t="s">
        <v>1</v>
      </c>
      <c r="D48" s="133">
        <v>9</v>
      </c>
      <c r="E48" s="73">
        <v>287280846</v>
      </c>
      <c r="F48" s="73">
        <v>0</v>
      </c>
      <c r="G48" s="73">
        <v>381576034</v>
      </c>
      <c r="H48" s="73">
        <v>5859296</v>
      </c>
      <c r="I48" s="73">
        <v>62369945</v>
      </c>
      <c r="J48" s="73">
        <v>0</v>
      </c>
      <c r="K48" s="128">
        <f>SUM(E48:J48)</f>
        <v>737086121</v>
      </c>
      <c r="L48" s="182"/>
      <c r="O48" s="251">
        <f t="shared" si="13"/>
        <v>5.8764903023494934E-3</v>
      </c>
    </row>
    <row r="49" spans="1:15" outlineLevel="1" x14ac:dyDescent="0.25">
      <c r="A49" s="15">
        <v>4</v>
      </c>
      <c r="B49" s="3">
        <v>3</v>
      </c>
      <c r="C49" s="7" t="s">
        <v>2</v>
      </c>
      <c r="D49" s="133">
        <v>7</v>
      </c>
      <c r="E49" s="73">
        <v>131069211</v>
      </c>
      <c r="F49" s="73">
        <v>0</v>
      </c>
      <c r="G49" s="73">
        <v>11015778</v>
      </c>
      <c r="H49" s="73">
        <v>4025000</v>
      </c>
      <c r="I49" s="73">
        <v>19512755</v>
      </c>
      <c r="J49" s="73">
        <v>0</v>
      </c>
      <c r="K49" s="128">
        <f t="shared" ref="K49:K59" si="14">SUM(E49:J49)</f>
        <v>165622744</v>
      </c>
      <c r="L49" s="182"/>
      <c r="O49" s="251">
        <f t="shared" si="13"/>
        <v>1.3204433257325064E-3</v>
      </c>
    </row>
    <row r="50" spans="1:15" outlineLevel="1" x14ac:dyDescent="0.25">
      <c r="A50" s="15">
        <v>4</v>
      </c>
      <c r="B50" s="3">
        <v>4</v>
      </c>
      <c r="C50" s="7" t="s">
        <v>3</v>
      </c>
      <c r="D50" s="133">
        <v>23</v>
      </c>
      <c r="E50" s="73">
        <v>477805323</v>
      </c>
      <c r="F50" s="73">
        <v>49665984</v>
      </c>
      <c r="G50" s="73">
        <v>35967566</v>
      </c>
      <c r="H50" s="73">
        <v>15845000</v>
      </c>
      <c r="I50" s="73">
        <v>85893695</v>
      </c>
      <c r="J50" s="73">
        <v>0</v>
      </c>
      <c r="K50" s="128">
        <f t="shared" si="14"/>
        <v>665177568</v>
      </c>
      <c r="L50" s="182"/>
      <c r="O50" s="251">
        <f t="shared" si="13"/>
        <v>5.303192417175388E-3</v>
      </c>
    </row>
    <row r="51" spans="1:15" outlineLevel="1" x14ac:dyDescent="0.25">
      <c r="A51" s="15">
        <v>4</v>
      </c>
      <c r="B51" s="3">
        <v>5</v>
      </c>
      <c r="C51" s="7" t="s">
        <v>4</v>
      </c>
      <c r="D51" s="133">
        <v>7</v>
      </c>
      <c r="E51" s="73">
        <v>178612873</v>
      </c>
      <c r="F51" s="73">
        <v>0</v>
      </c>
      <c r="G51" s="73">
        <v>14205445</v>
      </c>
      <c r="H51" s="73">
        <v>275000</v>
      </c>
      <c r="I51" s="73">
        <v>35154315</v>
      </c>
      <c r="J51" s="73">
        <v>0</v>
      </c>
      <c r="K51" s="128">
        <f t="shared" si="14"/>
        <v>228247633</v>
      </c>
      <c r="L51" s="182"/>
      <c r="O51" s="251">
        <f t="shared" si="13"/>
        <v>1.8197263028626829E-3</v>
      </c>
    </row>
    <row r="52" spans="1:15" outlineLevel="1" x14ac:dyDescent="0.25">
      <c r="A52" s="15">
        <v>4</v>
      </c>
      <c r="B52" s="3">
        <v>6</v>
      </c>
      <c r="C52" s="7" t="s">
        <v>5</v>
      </c>
      <c r="D52" s="133">
        <v>3</v>
      </c>
      <c r="E52" s="73">
        <v>96916867</v>
      </c>
      <c r="F52" s="73">
        <v>0</v>
      </c>
      <c r="G52" s="73">
        <v>7689109</v>
      </c>
      <c r="H52" s="73">
        <v>1750000</v>
      </c>
      <c r="I52" s="73">
        <v>20503750</v>
      </c>
      <c r="J52" s="73">
        <v>0</v>
      </c>
      <c r="K52" s="128">
        <f t="shared" si="14"/>
        <v>126859726</v>
      </c>
      <c r="L52" s="182"/>
      <c r="O52" s="251">
        <f t="shared" si="13"/>
        <v>1.0114014202116741E-3</v>
      </c>
    </row>
    <row r="53" spans="1:15" outlineLevel="1" x14ac:dyDescent="0.25">
      <c r="A53" s="15">
        <v>4</v>
      </c>
      <c r="B53" s="3">
        <v>7</v>
      </c>
      <c r="C53" s="7" t="s">
        <v>6</v>
      </c>
      <c r="D53" s="133">
        <v>51</v>
      </c>
      <c r="E53" s="73">
        <v>590766488</v>
      </c>
      <c r="F53" s="73">
        <v>193569297</v>
      </c>
      <c r="G53" s="73">
        <v>47831705</v>
      </c>
      <c r="H53" s="73">
        <v>72069180</v>
      </c>
      <c r="I53" s="73">
        <v>94425115</v>
      </c>
      <c r="J53" s="73">
        <v>0</v>
      </c>
      <c r="K53" s="128">
        <f t="shared" si="14"/>
        <v>998661785</v>
      </c>
      <c r="L53" s="182"/>
      <c r="O53" s="251">
        <f t="shared" si="13"/>
        <v>7.9619275518546008E-3</v>
      </c>
    </row>
    <row r="54" spans="1:15" outlineLevel="1" x14ac:dyDescent="0.25">
      <c r="A54" s="15">
        <v>4</v>
      </c>
      <c r="B54" s="3">
        <v>8</v>
      </c>
      <c r="C54" s="7" t="s">
        <v>7</v>
      </c>
      <c r="D54" s="133">
        <v>82</v>
      </c>
      <c r="E54" s="73">
        <v>1206029303</v>
      </c>
      <c r="F54" s="73">
        <v>330007588</v>
      </c>
      <c r="G54" s="73">
        <v>97158663</v>
      </c>
      <c r="H54" s="73">
        <v>106234352</v>
      </c>
      <c r="I54" s="73">
        <v>213996170</v>
      </c>
      <c r="J54" s="73">
        <v>0</v>
      </c>
      <c r="K54" s="128">
        <f t="shared" si="14"/>
        <v>1953426076</v>
      </c>
      <c r="L54" s="182"/>
      <c r="O54" s="251">
        <f t="shared" si="13"/>
        <v>1.5573878092286889E-2</v>
      </c>
    </row>
    <row r="55" spans="1:15" outlineLevel="1" x14ac:dyDescent="0.25">
      <c r="A55" s="15">
        <v>4</v>
      </c>
      <c r="B55" s="3">
        <v>9</v>
      </c>
      <c r="C55" s="7" t="s">
        <v>9</v>
      </c>
      <c r="D55" s="133">
        <v>44</v>
      </c>
      <c r="E55" s="73">
        <v>801989161</v>
      </c>
      <c r="F55" s="73">
        <v>100572213</v>
      </c>
      <c r="G55" s="73">
        <v>55002631</v>
      </c>
      <c r="H55" s="73">
        <v>49250834</v>
      </c>
      <c r="I55" s="73">
        <v>142587315</v>
      </c>
      <c r="J55" s="73">
        <v>6900000</v>
      </c>
      <c r="K55" s="128">
        <f t="shared" si="14"/>
        <v>1156302154</v>
      </c>
      <c r="L55" s="182"/>
      <c r="O55" s="251">
        <f t="shared" si="13"/>
        <v>9.2187306218004753E-3</v>
      </c>
    </row>
    <row r="56" spans="1:15" outlineLevel="1" x14ac:dyDescent="0.25">
      <c r="A56" s="15">
        <v>4</v>
      </c>
      <c r="B56" s="3">
        <v>10</v>
      </c>
      <c r="C56" s="7" t="s">
        <v>10</v>
      </c>
      <c r="D56" s="133">
        <v>37</v>
      </c>
      <c r="E56" s="73">
        <v>578126133</v>
      </c>
      <c r="F56" s="73">
        <v>0</v>
      </c>
      <c r="G56" s="73">
        <v>293172475</v>
      </c>
      <c r="H56" s="73">
        <v>14454444</v>
      </c>
      <c r="I56" s="73">
        <v>104831385</v>
      </c>
      <c r="J56" s="73">
        <v>0</v>
      </c>
      <c r="K56" s="128">
        <f t="shared" si="14"/>
        <v>990584437</v>
      </c>
      <c r="L56" s="182"/>
      <c r="O56" s="251">
        <f t="shared" si="13"/>
        <v>7.8975301146510558E-3</v>
      </c>
    </row>
    <row r="57" spans="1:15" outlineLevel="1" x14ac:dyDescent="0.25">
      <c r="A57" s="15">
        <v>4</v>
      </c>
      <c r="B57" s="3">
        <v>11</v>
      </c>
      <c r="C57" s="7" t="s">
        <v>8</v>
      </c>
      <c r="D57" s="133">
        <v>93</v>
      </c>
      <c r="E57" s="73">
        <v>1199442565</v>
      </c>
      <c r="F57" s="73">
        <v>141188360</v>
      </c>
      <c r="G57" s="73">
        <v>79294618</v>
      </c>
      <c r="H57" s="73">
        <v>110596969</v>
      </c>
      <c r="I57" s="73">
        <v>174794240</v>
      </c>
      <c r="J57" s="73">
        <v>12500000</v>
      </c>
      <c r="K57" s="128">
        <f t="shared" si="14"/>
        <v>1717816752</v>
      </c>
      <c r="L57" s="182"/>
      <c r="O57" s="251">
        <f t="shared" si="13"/>
        <v>1.3695459996785781E-2</v>
      </c>
    </row>
    <row r="58" spans="1:15" outlineLevel="1" x14ac:dyDescent="0.25">
      <c r="A58" s="15">
        <v>4</v>
      </c>
      <c r="B58" s="3">
        <v>12</v>
      </c>
      <c r="C58" s="7" t="s">
        <v>8</v>
      </c>
      <c r="D58" s="133">
        <v>244</v>
      </c>
      <c r="E58" s="73">
        <v>2029999294</v>
      </c>
      <c r="F58" s="73">
        <v>367893640</v>
      </c>
      <c r="G58" s="73">
        <v>76331440</v>
      </c>
      <c r="H58" s="73">
        <v>312218140</v>
      </c>
      <c r="I58" s="73">
        <v>296698100</v>
      </c>
      <c r="J58" s="73">
        <v>0</v>
      </c>
      <c r="K58" s="128">
        <f t="shared" si="14"/>
        <v>3083140614</v>
      </c>
      <c r="L58" s="182"/>
      <c r="O58" s="251">
        <f t="shared" si="13"/>
        <v>2.4580636377157971E-2</v>
      </c>
    </row>
    <row r="59" spans="1:15" outlineLevel="1" x14ac:dyDescent="0.25">
      <c r="A59" s="16">
        <v>4</v>
      </c>
      <c r="B59" s="3">
        <v>13</v>
      </c>
      <c r="C59" s="4" t="s">
        <v>221</v>
      </c>
      <c r="D59" s="135">
        <v>2</v>
      </c>
      <c r="E59" s="125">
        <v>228717947</v>
      </c>
      <c r="F59" s="125">
        <v>0</v>
      </c>
      <c r="G59" s="125">
        <v>14566540</v>
      </c>
      <c r="H59" s="125">
        <v>0</v>
      </c>
      <c r="I59" s="125">
        <v>0</v>
      </c>
      <c r="J59" s="125">
        <v>0</v>
      </c>
      <c r="K59" s="128">
        <f t="shared" si="14"/>
        <v>243284487</v>
      </c>
      <c r="L59" s="182"/>
      <c r="O59" s="251">
        <f t="shared" si="13"/>
        <v>1.9396090739409965E-3</v>
      </c>
    </row>
    <row r="60" spans="1:15" x14ac:dyDescent="0.25">
      <c r="A60" s="17">
        <v>4</v>
      </c>
      <c r="B60" s="18"/>
      <c r="C60" s="19" t="s">
        <v>17</v>
      </c>
      <c r="D60" s="136">
        <f>SUM(D47:D59)</f>
        <v>614</v>
      </c>
      <c r="E60" s="75">
        <f>SUM(E47:E59)</f>
        <v>9249172946</v>
      </c>
      <c r="F60" s="75">
        <f t="shared" ref="F60:J60" si="15">SUM(F47:F59)</f>
        <v>1182897082</v>
      </c>
      <c r="G60" s="75">
        <f t="shared" si="15"/>
        <v>1212450910</v>
      </c>
      <c r="H60" s="75">
        <f t="shared" si="15"/>
        <v>692953215</v>
      </c>
      <c r="I60" s="75">
        <f t="shared" si="15"/>
        <v>1374446795</v>
      </c>
      <c r="J60" s="75">
        <f t="shared" si="15"/>
        <v>19400000</v>
      </c>
      <c r="K60" s="75">
        <f>SUM(K47:K59)</f>
        <v>13731320948</v>
      </c>
      <c r="L60" s="181">
        <f>K60/K46</f>
        <v>1.1010192390798665</v>
      </c>
      <c r="N60" s="75">
        <v>125429649855</v>
      </c>
      <c r="O60" s="250">
        <f>K60/$N$60</f>
        <v>0.10947428270647148</v>
      </c>
    </row>
    <row r="61" spans="1:15" outlineLevel="1" x14ac:dyDescent="0.25">
      <c r="A61" s="14">
        <v>5</v>
      </c>
      <c r="B61" s="1">
        <v>1</v>
      </c>
      <c r="C61" s="2" t="s">
        <v>0</v>
      </c>
      <c r="D61" s="132">
        <v>13</v>
      </c>
      <c r="E61" s="72">
        <v>1609479872</v>
      </c>
      <c r="F61" s="72">
        <v>0</v>
      </c>
      <c r="G61" s="72">
        <v>110338806</v>
      </c>
      <c r="H61" s="72">
        <v>0</v>
      </c>
      <c r="I61" s="72">
        <v>124672010</v>
      </c>
      <c r="J61" s="72">
        <v>0</v>
      </c>
      <c r="K61" s="128">
        <f>SUM(E61:J61)</f>
        <v>1844490688</v>
      </c>
      <c r="L61" s="182"/>
      <c r="O61" s="251">
        <f t="shared" ref="O61:O73" si="16">K61/$N$74</f>
        <v>1.2129449224901005E-2</v>
      </c>
    </row>
    <row r="62" spans="1:15" outlineLevel="1" x14ac:dyDescent="0.25">
      <c r="A62" s="15">
        <v>5</v>
      </c>
      <c r="B62" s="3">
        <v>2</v>
      </c>
      <c r="C62" s="7" t="s">
        <v>1</v>
      </c>
      <c r="D62" s="133">
        <v>8</v>
      </c>
      <c r="E62" s="73">
        <v>237599375</v>
      </c>
      <c r="F62" s="73">
        <v>0</v>
      </c>
      <c r="G62" s="73">
        <v>236892509</v>
      </c>
      <c r="H62" s="73">
        <v>5135890</v>
      </c>
      <c r="I62" s="73">
        <v>56494945</v>
      </c>
      <c r="J62" s="73">
        <v>0</v>
      </c>
      <c r="K62" s="128">
        <f>SUM(E62:J62)</f>
        <v>536122719</v>
      </c>
      <c r="L62" s="182"/>
      <c r="O62" s="251">
        <f t="shared" si="16"/>
        <v>3.5255658056357552E-3</v>
      </c>
    </row>
    <row r="63" spans="1:15" outlineLevel="1" x14ac:dyDescent="0.25">
      <c r="A63" s="15">
        <v>5</v>
      </c>
      <c r="B63" s="3">
        <v>3</v>
      </c>
      <c r="C63" s="7" t="s">
        <v>2</v>
      </c>
      <c r="D63" s="133">
        <v>8</v>
      </c>
      <c r="E63" s="73">
        <v>127895390</v>
      </c>
      <c r="F63" s="73">
        <v>0</v>
      </c>
      <c r="G63" s="73">
        <v>12327435</v>
      </c>
      <c r="H63" s="73">
        <v>3300000</v>
      </c>
      <c r="I63" s="73">
        <v>27385255</v>
      </c>
      <c r="J63" s="73">
        <v>0</v>
      </c>
      <c r="K63" s="128">
        <f t="shared" ref="K63:K73" si="17">SUM(E63:J63)</f>
        <v>170908080</v>
      </c>
      <c r="L63" s="182"/>
      <c r="O63" s="251">
        <f t="shared" si="16"/>
        <v>1.1238988041371552E-3</v>
      </c>
    </row>
    <row r="64" spans="1:15" outlineLevel="1" x14ac:dyDescent="0.25">
      <c r="A64" s="15">
        <v>5</v>
      </c>
      <c r="B64" s="3">
        <v>4</v>
      </c>
      <c r="C64" s="7" t="s">
        <v>3</v>
      </c>
      <c r="D64" s="133">
        <v>26</v>
      </c>
      <c r="E64" s="73">
        <v>491526305</v>
      </c>
      <c r="F64" s="73">
        <v>58349279</v>
      </c>
      <c r="G64" s="73">
        <v>40165489</v>
      </c>
      <c r="H64" s="73">
        <v>15325000</v>
      </c>
      <c r="I64" s="73">
        <v>91781855</v>
      </c>
      <c r="J64" s="73">
        <v>0</v>
      </c>
      <c r="K64" s="128">
        <f t="shared" si="17"/>
        <v>697147928</v>
      </c>
      <c r="L64" s="182"/>
      <c r="O64" s="251">
        <f t="shared" si="16"/>
        <v>4.5844744296811221E-3</v>
      </c>
    </row>
    <row r="65" spans="1:15" outlineLevel="1" x14ac:dyDescent="0.25">
      <c r="A65" s="15">
        <v>5</v>
      </c>
      <c r="B65" s="3">
        <v>5</v>
      </c>
      <c r="C65" s="7" t="s">
        <v>4</v>
      </c>
      <c r="D65" s="133">
        <v>7</v>
      </c>
      <c r="E65" s="73">
        <v>162722420</v>
      </c>
      <c r="F65" s="73">
        <v>0</v>
      </c>
      <c r="G65" s="73">
        <v>14320444</v>
      </c>
      <c r="H65" s="73">
        <v>100000</v>
      </c>
      <c r="I65" s="73">
        <v>38209315</v>
      </c>
      <c r="J65" s="73">
        <v>0</v>
      </c>
      <c r="K65" s="128">
        <f t="shared" si="17"/>
        <v>215352179</v>
      </c>
      <c r="L65" s="182"/>
      <c r="O65" s="251">
        <f t="shared" si="16"/>
        <v>1.4161650897162416E-3</v>
      </c>
    </row>
    <row r="66" spans="1:15" outlineLevel="1" x14ac:dyDescent="0.25">
      <c r="A66" s="15">
        <v>5</v>
      </c>
      <c r="B66" s="3">
        <v>6</v>
      </c>
      <c r="C66" s="7" t="s">
        <v>5</v>
      </c>
      <c r="D66" s="133">
        <v>3</v>
      </c>
      <c r="E66" s="73">
        <v>89882252</v>
      </c>
      <c r="F66" s="73">
        <v>0</v>
      </c>
      <c r="G66" s="73">
        <v>7289109</v>
      </c>
      <c r="H66" s="73">
        <v>1625000</v>
      </c>
      <c r="I66" s="73">
        <v>20503750</v>
      </c>
      <c r="J66" s="73">
        <v>0</v>
      </c>
      <c r="K66" s="128">
        <f t="shared" si="17"/>
        <v>119300111</v>
      </c>
      <c r="L66" s="182"/>
      <c r="O66" s="251">
        <f t="shared" si="16"/>
        <v>7.8452260470265585E-4</v>
      </c>
    </row>
    <row r="67" spans="1:15" outlineLevel="1" x14ac:dyDescent="0.25">
      <c r="A67" s="15">
        <v>5</v>
      </c>
      <c r="B67" s="3">
        <v>7</v>
      </c>
      <c r="C67" s="7" t="s">
        <v>6</v>
      </c>
      <c r="D67" s="133">
        <v>50</v>
      </c>
      <c r="E67" s="73">
        <v>513367085</v>
      </c>
      <c r="F67" s="73">
        <v>211357684</v>
      </c>
      <c r="G67" s="73">
        <v>45880093</v>
      </c>
      <c r="H67" s="73">
        <v>67350590</v>
      </c>
      <c r="I67" s="73">
        <v>101197920</v>
      </c>
      <c r="J67" s="73">
        <v>0</v>
      </c>
      <c r="K67" s="128">
        <f t="shared" si="17"/>
        <v>939153372</v>
      </c>
      <c r="L67" s="182"/>
      <c r="O67" s="251">
        <f t="shared" si="16"/>
        <v>6.1759125238091545E-3</v>
      </c>
    </row>
    <row r="68" spans="1:15" outlineLevel="1" x14ac:dyDescent="0.25">
      <c r="A68" s="15">
        <v>5</v>
      </c>
      <c r="B68" s="3">
        <v>8</v>
      </c>
      <c r="C68" s="7" t="s">
        <v>7</v>
      </c>
      <c r="D68" s="133">
        <v>82</v>
      </c>
      <c r="E68" s="73">
        <v>1135241933</v>
      </c>
      <c r="F68" s="73">
        <v>443431514</v>
      </c>
      <c r="G68" s="73">
        <v>94362005</v>
      </c>
      <c r="H68" s="73">
        <v>105452328</v>
      </c>
      <c r="I68" s="73">
        <v>212116170</v>
      </c>
      <c r="J68" s="73">
        <v>0</v>
      </c>
      <c r="K68" s="128">
        <f t="shared" si="17"/>
        <v>1990603950</v>
      </c>
      <c r="L68" s="182"/>
      <c r="O68" s="251">
        <f t="shared" si="16"/>
        <v>1.3090296251152652E-2</v>
      </c>
    </row>
    <row r="69" spans="1:15" outlineLevel="1" x14ac:dyDescent="0.25">
      <c r="A69" s="15">
        <v>5</v>
      </c>
      <c r="B69" s="3">
        <v>9</v>
      </c>
      <c r="C69" s="7" t="s">
        <v>9</v>
      </c>
      <c r="D69" s="133">
        <v>44</v>
      </c>
      <c r="E69" s="73">
        <v>739749846</v>
      </c>
      <c r="F69" s="73">
        <v>102736172</v>
      </c>
      <c r="G69" s="73">
        <v>54393324</v>
      </c>
      <c r="H69" s="73">
        <v>43231386</v>
      </c>
      <c r="I69" s="73">
        <v>138199055</v>
      </c>
      <c r="J69" s="73">
        <v>14525000</v>
      </c>
      <c r="K69" s="128">
        <f t="shared" si="17"/>
        <v>1092834783</v>
      </c>
      <c r="L69" s="182"/>
      <c r="O69" s="251">
        <f t="shared" si="16"/>
        <v>7.1865280198173632E-3</v>
      </c>
    </row>
    <row r="70" spans="1:15" outlineLevel="1" x14ac:dyDescent="0.25">
      <c r="A70" s="15">
        <v>5</v>
      </c>
      <c r="B70" s="3">
        <v>10</v>
      </c>
      <c r="C70" s="7" t="s">
        <v>10</v>
      </c>
      <c r="D70" s="133">
        <v>38</v>
      </c>
      <c r="E70" s="73">
        <v>547684567</v>
      </c>
      <c r="F70" s="73">
        <v>0</v>
      </c>
      <c r="G70" s="73">
        <v>283652720</v>
      </c>
      <c r="H70" s="73">
        <v>12670000</v>
      </c>
      <c r="I70" s="73">
        <v>104831385</v>
      </c>
      <c r="J70" s="73">
        <v>0</v>
      </c>
      <c r="K70" s="128">
        <f t="shared" si="17"/>
        <v>948838672</v>
      </c>
      <c r="L70" s="182"/>
      <c r="O70" s="251">
        <f t="shared" si="16"/>
        <v>6.2396034686007032E-3</v>
      </c>
    </row>
    <row r="71" spans="1:15" outlineLevel="1" x14ac:dyDescent="0.25">
      <c r="A71" s="15">
        <v>5</v>
      </c>
      <c r="B71" s="3">
        <v>11</v>
      </c>
      <c r="C71" s="7" t="s">
        <v>8</v>
      </c>
      <c r="D71" s="133">
        <v>87</v>
      </c>
      <c r="E71" s="73">
        <v>1127834970</v>
      </c>
      <c r="F71" s="73">
        <v>157998496</v>
      </c>
      <c r="G71" s="73">
        <v>77882960</v>
      </c>
      <c r="H71" s="73">
        <v>97975647</v>
      </c>
      <c r="I71" s="73">
        <v>178627425</v>
      </c>
      <c r="J71" s="73">
        <v>10650000</v>
      </c>
      <c r="K71" s="128">
        <f t="shared" si="17"/>
        <v>1650969498</v>
      </c>
      <c r="L71" s="182"/>
      <c r="O71" s="251">
        <f t="shared" si="16"/>
        <v>1.0856845647491445E-2</v>
      </c>
    </row>
    <row r="72" spans="1:15" outlineLevel="1" x14ac:dyDescent="0.25">
      <c r="A72" s="15">
        <v>5</v>
      </c>
      <c r="B72" s="3">
        <v>12</v>
      </c>
      <c r="C72" s="7" t="s">
        <v>8</v>
      </c>
      <c r="D72" s="133">
        <v>241</v>
      </c>
      <c r="E72" s="73">
        <v>2141451938</v>
      </c>
      <c r="F72" s="73">
        <v>583268535</v>
      </c>
      <c r="G72" s="73">
        <v>73227195</v>
      </c>
      <c r="H72" s="73">
        <v>320151262</v>
      </c>
      <c r="I72" s="73">
        <v>292494940</v>
      </c>
      <c r="J72" s="73">
        <v>0</v>
      </c>
      <c r="K72" s="128">
        <f t="shared" si="17"/>
        <v>3410593870</v>
      </c>
      <c r="L72" s="182"/>
      <c r="O72" s="251">
        <f t="shared" si="16"/>
        <v>2.242821036834837E-2</v>
      </c>
    </row>
    <row r="73" spans="1:15" outlineLevel="1" x14ac:dyDescent="0.25">
      <c r="A73" s="16">
        <v>5</v>
      </c>
      <c r="B73" s="3">
        <v>13</v>
      </c>
      <c r="C73" s="4" t="s">
        <v>221</v>
      </c>
      <c r="D73" s="135">
        <v>2</v>
      </c>
      <c r="E73" s="125">
        <v>205833333</v>
      </c>
      <c r="F73" s="125">
        <v>0</v>
      </c>
      <c r="G73" s="125">
        <v>14566540</v>
      </c>
      <c r="H73" s="125">
        <v>0</v>
      </c>
      <c r="I73" s="125">
        <v>0</v>
      </c>
      <c r="J73" s="125">
        <v>0</v>
      </c>
      <c r="K73" s="128">
        <f t="shared" si="17"/>
        <v>220399873</v>
      </c>
      <c r="L73" s="182"/>
      <c r="O73" s="251">
        <f t="shared" si="16"/>
        <v>1.4493589401781408E-3</v>
      </c>
    </row>
    <row r="74" spans="1:15" x14ac:dyDescent="0.25">
      <c r="A74" s="17">
        <v>5</v>
      </c>
      <c r="B74" s="18"/>
      <c r="C74" s="19" t="s">
        <v>17</v>
      </c>
      <c r="D74" s="136">
        <f>SUM(D61:D73)</f>
        <v>609</v>
      </c>
      <c r="E74" s="75">
        <f>SUM(E61:E73)</f>
        <v>9130269286</v>
      </c>
      <c r="F74" s="75">
        <f t="shared" ref="F74:J74" si="18">SUM(F61:F73)</f>
        <v>1557141680</v>
      </c>
      <c r="G74" s="75">
        <f t="shared" si="18"/>
        <v>1065298629</v>
      </c>
      <c r="H74" s="75">
        <f t="shared" si="18"/>
        <v>672317103</v>
      </c>
      <c r="I74" s="75">
        <f t="shared" si="18"/>
        <v>1386514025</v>
      </c>
      <c r="J74" s="75">
        <f t="shared" si="18"/>
        <v>25175000</v>
      </c>
      <c r="K74" s="75">
        <f>SUM(K61:K73)</f>
        <v>13836715723</v>
      </c>
      <c r="L74" s="181">
        <f>K74/K60</f>
        <v>1.007675501533984</v>
      </c>
      <c r="N74" s="75">
        <v>152067142852.07407</v>
      </c>
      <c r="O74" s="250">
        <f>K74/$N$74</f>
        <v>9.0990831178171763E-2</v>
      </c>
    </row>
    <row r="75" spans="1:15" outlineLevel="1" x14ac:dyDescent="0.25">
      <c r="A75" s="14">
        <v>6</v>
      </c>
      <c r="B75" s="1">
        <v>1</v>
      </c>
      <c r="C75" s="2" t="s">
        <v>0</v>
      </c>
      <c r="D75" s="132">
        <v>12</v>
      </c>
      <c r="E75" s="72">
        <v>1570186120</v>
      </c>
      <c r="F75" s="72">
        <v>0</v>
      </c>
      <c r="G75" s="72">
        <v>104564834</v>
      </c>
      <c r="H75" s="72">
        <v>0</v>
      </c>
      <c r="I75" s="72">
        <v>168309455</v>
      </c>
      <c r="J75" s="72">
        <v>0</v>
      </c>
      <c r="K75" s="128">
        <f>SUM(E75:J75)</f>
        <v>1843060409</v>
      </c>
      <c r="L75" s="182"/>
      <c r="O75" s="251">
        <f t="shared" ref="O75:O87" si="19">K75/$N$88</f>
        <v>1.5470394686360453E-2</v>
      </c>
    </row>
    <row r="76" spans="1:15" outlineLevel="1" x14ac:dyDescent="0.25">
      <c r="A76" s="15">
        <v>6</v>
      </c>
      <c r="B76" s="3">
        <v>2</v>
      </c>
      <c r="C76" s="7" t="s">
        <v>1</v>
      </c>
      <c r="D76" s="133">
        <v>8</v>
      </c>
      <c r="E76" s="73">
        <v>261541743</v>
      </c>
      <c r="F76" s="73">
        <v>0</v>
      </c>
      <c r="G76" s="73">
        <v>165981145</v>
      </c>
      <c r="H76" s="73">
        <v>4949048</v>
      </c>
      <c r="I76" s="73">
        <v>56494945</v>
      </c>
      <c r="J76" s="73">
        <v>0</v>
      </c>
      <c r="K76" s="128">
        <f>SUM(E76:J76)</f>
        <v>488966881</v>
      </c>
      <c r="L76" s="182"/>
      <c r="O76" s="251">
        <f t="shared" si="19"/>
        <v>4.1043205098920035E-3</v>
      </c>
    </row>
    <row r="77" spans="1:15" outlineLevel="1" x14ac:dyDescent="0.25">
      <c r="A77" s="15">
        <v>6</v>
      </c>
      <c r="B77" s="3">
        <v>3</v>
      </c>
      <c r="C77" s="7" t="s">
        <v>2</v>
      </c>
      <c r="D77" s="133">
        <v>8</v>
      </c>
      <c r="E77" s="73">
        <v>152250832</v>
      </c>
      <c r="F77" s="73">
        <v>0</v>
      </c>
      <c r="G77" s="73">
        <v>10927435</v>
      </c>
      <c r="H77" s="73">
        <v>5325000</v>
      </c>
      <c r="I77" s="73">
        <v>27385255</v>
      </c>
      <c r="J77" s="73">
        <v>0</v>
      </c>
      <c r="K77" s="128">
        <f t="shared" ref="K77:K87" si="20">SUM(E77:J77)</f>
        <v>195888522</v>
      </c>
      <c r="L77" s="182"/>
      <c r="O77" s="251">
        <f t="shared" si="19"/>
        <v>1.6442612163277187E-3</v>
      </c>
    </row>
    <row r="78" spans="1:15" outlineLevel="1" x14ac:dyDescent="0.25">
      <c r="A78" s="15">
        <v>6</v>
      </c>
      <c r="B78" s="3">
        <v>4</v>
      </c>
      <c r="C78" s="7" t="s">
        <v>3</v>
      </c>
      <c r="D78" s="133">
        <v>25</v>
      </c>
      <c r="E78" s="73">
        <v>531704267</v>
      </c>
      <c r="F78" s="73">
        <v>48849223</v>
      </c>
      <c r="G78" s="73">
        <v>34852210</v>
      </c>
      <c r="H78" s="73">
        <v>17165000</v>
      </c>
      <c r="I78" s="73">
        <v>95261030</v>
      </c>
      <c r="J78" s="73">
        <v>0</v>
      </c>
      <c r="K78" s="128">
        <f t="shared" si="20"/>
        <v>727831730</v>
      </c>
      <c r="L78" s="182"/>
      <c r="O78" s="251">
        <f t="shared" si="19"/>
        <v>6.1093190832881353E-3</v>
      </c>
    </row>
    <row r="79" spans="1:15" outlineLevel="1" x14ac:dyDescent="0.25">
      <c r="A79" s="15">
        <v>6</v>
      </c>
      <c r="B79" s="3">
        <v>5</v>
      </c>
      <c r="C79" s="7" t="s">
        <v>4</v>
      </c>
      <c r="D79" s="133">
        <v>6</v>
      </c>
      <c r="E79" s="73">
        <v>153541240</v>
      </c>
      <c r="F79" s="73">
        <v>0</v>
      </c>
      <c r="G79" s="73">
        <v>10029829</v>
      </c>
      <c r="H79" s="73">
        <v>200000</v>
      </c>
      <c r="I79" s="73">
        <v>26528875</v>
      </c>
      <c r="J79" s="73">
        <v>0</v>
      </c>
      <c r="K79" s="128">
        <f t="shared" si="20"/>
        <v>190299944</v>
      </c>
      <c r="L79" s="182"/>
      <c r="O79" s="251">
        <f t="shared" si="19"/>
        <v>1.5973514639542625E-3</v>
      </c>
    </row>
    <row r="80" spans="1:15" outlineLevel="1" x14ac:dyDescent="0.25">
      <c r="A80" s="15">
        <v>6</v>
      </c>
      <c r="B80" s="3">
        <v>6</v>
      </c>
      <c r="C80" s="7" t="s">
        <v>5</v>
      </c>
      <c r="D80" s="133">
        <v>4</v>
      </c>
      <c r="E80" s="73">
        <v>138811579</v>
      </c>
      <c r="F80" s="73">
        <v>0</v>
      </c>
      <c r="G80" s="73">
        <v>9863081</v>
      </c>
      <c r="H80" s="73">
        <v>2000000</v>
      </c>
      <c r="I80" s="73">
        <v>20917750</v>
      </c>
      <c r="J80" s="73">
        <v>0</v>
      </c>
      <c r="K80" s="128">
        <f t="shared" si="20"/>
        <v>171592410</v>
      </c>
      <c r="L80" s="182"/>
      <c r="O80" s="251">
        <f t="shared" si="19"/>
        <v>1.4403230056491243E-3</v>
      </c>
    </row>
    <row r="81" spans="1:15" outlineLevel="1" x14ac:dyDescent="0.25">
      <c r="A81" s="15">
        <v>6</v>
      </c>
      <c r="B81" s="3">
        <v>7</v>
      </c>
      <c r="C81" s="7" t="s">
        <v>6</v>
      </c>
      <c r="D81" s="133">
        <v>54</v>
      </c>
      <c r="E81" s="73">
        <v>610360827</v>
      </c>
      <c r="F81" s="73">
        <v>202181562</v>
      </c>
      <c r="G81" s="73">
        <v>41045520</v>
      </c>
      <c r="H81" s="73">
        <v>72097483</v>
      </c>
      <c r="I81" s="73">
        <v>107367035</v>
      </c>
      <c r="J81" s="73">
        <v>0</v>
      </c>
      <c r="K81" s="128">
        <f t="shared" si="20"/>
        <v>1033052427</v>
      </c>
      <c r="L81" s="182"/>
      <c r="O81" s="251">
        <f t="shared" si="19"/>
        <v>8.6712994860889386E-3</v>
      </c>
    </row>
    <row r="82" spans="1:15" outlineLevel="1" x14ac:dyDescent="0.25">
      <c r="A82" s="15">
        <v>6</v>
      </c>
      <c r="B82" s="3">
        <v>8</v>
      </c>
      <c r="C82" s="7" t="s">
        <v>7</v>
      </c>
      <c r="D82" s="133">
        <v>84</v>
      </c>
      <c r="E82" s="73">
        <v>1245502404</v>
      </c>
      <c r="F82" s="73">
        <v>361637450</v>
      </c>
      <c r="G82" s="73">
        <v>80393654</v>
      </c>
      <c r="H82" s="73">
        <v>109078812</v>
      </c>
      <c r="I82" s="73">
        <v>237026170</v>
      </c>
      <c r="J82" s="73">
        <v>0</v>
      </c>
      <c r="K82" s="128">
        <f t="shared" si="20"/>
        <v>2033638490</v>
      </c>
      <c r="L82" s="182"/>
      <c r="O82" s="251">
        <f t="shared" si="19"/>
        <v>1.7070080793903101E-2</v>
      </c>
    </row>
    <row r="83" spans="1:15" outlineLevel="1" x14ac:dyDescent="0.25">
      <c r="A83" s="15">
        <v>6</v>
      </c>
      <c r="B83" s="3">
        <v>9</v>
      </c>
      <c r="C83" s="7" t="s">
        <v>9</v>
      </c>
      <c r="D83" s="133">
        <v>45</v>
      </c>
      <c r="E83" s="73">
        <v>810444512</v>
      </c>
      <c r="F83" s="73">
        <v>89191644</v>
      </c>
      <c r="G83" s="73">
        <v>46533151</v>
      </c>
      <c r="H83" s="73">
        <v>52999057</v>
      </c>
      <c r="I83" s="73">
        <v>148440275</v>
      </c>
      <c r="J83" s="73">
        <v>16100000</v>
      </c>
      <c r="K83" s="128">
        <f t="shared" si="20"/>
        <v>1163708639</v>
      </c>
      <c r="L83" s="182"/>
      <c r="O83" s="251">
        <f t="shared" si="19"/>
        <v>9.7680096959086461E-3</v>
      </c>
    </row>
    <row r="84" spans="1:15" outlineLevel="1" x14ac:dyDescent="0.25">
      <c r="A84" s="15">
        <v>6</v>
      </c>
      <c r="B84" s="3">
        <v>10</v>
      </c>
      <c r="C84" s="7" t="s">
        <v>10</v>
      </c>
      <c r="D84" s="133">
        <v>38</v>
      </c>
      <c r="E84" s="73">
        <v>600038223</v>
      </c>
      <c r="F84" s="73">
        <v>0</v>
      </c>
      <c r="G84" s="73">
        <v>294441408</v>
      </c>
      <c r="H84" s="73">
        <v>14850000</v>
      </c>
      <c r="I84" s="73">
        <v>104623615</v>
      </c>
      <c r="J84" s="73">
        <v>0</v>
      </c>
      <c r="K84" s="128">
        <f t="shared" si="20"/>
        <v>1013953246</v>
      </c>
      <c r="L84" s="182"/>
      <c r="O84" s="251">
        <f t="shared" si="19"/>
        <v>8.510983596922532E-3</v>
      </c>
    </row>
    <row r="85" spans="1:15" outlineLevel="1" x14ac:dyDescent="0.25">
      <c r="A85" s="15">
        <v>6</v>
      </c>
      <c r="B85" s="3">
        <v>11</v>
      </c>
      <c r="C85" s="7" t="s">
        <v>8</v>
      </c>
      <c r="D85" s="133">
        <v>86</v>
      </c>
      <c r="E85" s="73">
        <v>1153979957</v>
      </c>
      <c r="F85" s="73">
        <v>133593595</v>
      </c>
      <c r="G85" s="73">
        <v>58865212</v>
      </c>
      <c r="H85" s="73">
        <v>109346073</v>
      </c>
      <c r="I85" s="73">
        <v>171449385</v>
      </c>
      <c r="J85" s="73">
        <v>9850000</v>
      </c>
      <c r="K85" s="128">
        <f t="shared" si="20"/>
        <v>1637084222</v>
      </c>
      <c r="L85" s="182"/>
      <c r="O85" s="251">
        <f t="shared" si="19"/>
        <v>1.3741459002363789E-2</v>
      </c>
    </row>
    <row r="86" spans="1:15" outlineLevel="1" x14ac:dyDescent="0.25">
      <c r="A86" s="15">
        <v>6</v>
      </c>
      <c r="B86" s="3">
        <v>12</v>
      </c>
      <c r="C86" s="7" t="s">
        <v>8</v>
      </c>
      <c r="D86" s="133">
        <v>249</v>
      </c>
      <c r="E86" s="73">
        <v>2364274241</v>
      </c>
      <c r="F86" s="73">
        <v>409683221</v>
      </c>
      <c r="G86" s="73">
        <v>28131827</v>
      </c>
      <c r="H86" s="73">
        <v>381076801</v>
      </c>
      <c r="I86" s="73">
        <v>280832080</v>
      </c>
      <c r="J86" s="73">
        <v>0</v>
      </c>
      <c r="K86" s="128">
        <f t="shared" si="20"/>
        <v>3463998170</v>
      </c>
      <c r="L86" s="182"/>
      <c r="O86" s="251">
        <f t="shared" si="19"/>
        <v>2.9076322523691262E-2</v>
      </c>
    </row>
    <row r="87" spans="1:15" outlineLevel="1" x14ac:dyDescent="0.25">
      <c r="A87" s="16">
        <v>6</v>
      </c>
      <c r="B87" s="3">
        <v>13</v>
      </c>
      <c r="C87" s="4" t="s">
        <v>221</v>
      </c>
      <c r="D87" s="135">
        <v>2</v>
      </c>
      <c r="E87" s="125">
        <v>205833333</v>
      </c>
      <c r="F87" s="125">
        <v>0</v>
      </c>
      <c r="G87" s="125">
        <v>14566540</v>
      </c>
      <c r="H87" s="125">
        <v>0</v>
      </c>
      <c r="I87" s="125">
        <v>0</v>
      </c>
      <c r="J87" s="125">
        <v>0</v>
      </c>
      <c r="K87" s="128">
        <f t="shared" si="20"/>
        <v>220399873</v>
      </c>
      <c r="L87" s="182"/>
      <c r="O87" s="251">
        <f t="shared" si="19"/>
        <v>1.8500061134641402E-3</v>
      </c>
    </row>
    <row r="88" spans="1:15" x14ac:dyDescent="0.25">
      <c r="A88" s="17">
        <v>6</v>
      </c>
      <c r="B88" s="18"/>
      <c r="C88" s="19" t="s">
        <v>17</v>
      </c>
      <c r="D88" s="136">
        <f>SUM(D75:D87)</f>
        <v>621</v>
      </c>
      <c r="E88" s="75">
        <f>SUM(E75:E87)</f>
        <v>9798469278</v>
      </c>
      <c r="F88" s="75">
        <f t="shared" ref="F88:J88" si="21">SUM(F75:F87)</f>
        <v>1245136695</v>
      </c>
      <c r="G88" s="75">
        <f t="shared" si="21"/>
        <v>900195846</v>
      </c>
      <c r="H88" s="75">
        <f t="shared" si="21"/>
        <v>769087274</v>
      </c>
      <c r="I88" s="75">
        <f t="shared" si="21"/>
        <v>1444635870</v>
      </c>
      <c r="J88" s="75">
        <f t="shared" si="21"/>
        <v>25950000</v>
      </c>
      <c r="K88" s="75">
        <f>SUM(K75:K87)</f>
        <v>14183474963</v>
      </c>
      <c r="L88" s="181">
        <f>K88/K74</f>
        <v>1.0250608053921062</v>
      </c>
      <c r="N88" s="75">
        <v>119134672797</v>
      </c>
      <c r="O88" s="250">
        <f>K88/$N$88</f>
        <v>0.1190541311778141</v>
      </c>
    </row>
    <row r="89" spans="1:15" outlineLevel="1" x14ac:dyDescent="0.25">
      <c r="A89" s="14">
        <v>7</v>
      </c>
      <c r="B89" s="1">
        <v>1</v>
      </c>
      <c r="C89" s="2" t="s">
        <v>0</v>
      </c>
      <c r="D89" s="132">
        <v>11</v>
      </c>
      <c r="E89" s="72">
        <v>1523534065</v>
      </c>
      <c r="F89" s="72">
        <v>0</v>
      </c>
      <c r="G89" s="72">
        <v>99198214</v>
      </c>
      <c r="H89" s="72">
        <v>0</v>
      </c>
      <c r="I89" s="72">
        <v>137186010</v>
      </c>
      <c r="J89" s="72">
        <v>0</v>
      </c>
      <c r="K89" s="128">
        <f>SUM(E89:J89)</f>
        <v>1759918289</v>
      </c>
      <c r="L89" s="182"/>
      <c r="O89" s="251">
        <f t="shared" ref="O89:O101" si="22">K89/$N$102</f>
        <v>1.2753825245805995E-2</v>
      </c>
    </row>
    <row r="90" spans="1:15" outlineLevel="1" x14ac:dyDescent="0.25">
      <c r="A90" s="15">
        <v>7</v>
      </c>
      <c r="B90" s="3">
        <v>2</v>
      </c>
      <c r="C90" s="7" t="s">
        <v>1</v>
      </c>
      <c r="D90" s="133">
        <v>9</v>
      </c>
      <c r="E90" s="73">
        <v>266495012</v>
      </c>
      <c r="F90" s="73">
        <v>0</v>
      </c>
      <c r="G90" s="73">
        <v>119761001</v>
      </c>
      <c r="H90" s="73">
        <v>5320000</v>
      </c>
      <c r="I90" s="73">
        <v>56494945</v>
      </c>
      <c r="J90" s="73">
        <v>0</v>
      </c>
      <c r="K90" s="128">
        <f>SUM(E90:J90)</f>
        <v>448070958</v>
      </c>
      <c r="L90" s="182"/>
      <c r="O90" s="251">
        <f t="shared" si="22"/>
        <v>3.2470931927754275E-3</v>
      </c>
    </row>
    <row r="91" spans="1:15" outlineLevel="1" x14ac:dyDescent="0.25">
      <c r="A91" s="15">
        <v>7</v>
      </c>
      <c r="B91" s="3">
        <v>3</v>
      </c>
      <c r="C91" s="7" t="s">
        <v>2</v>
      </c>
      <c r="D91" s="133">
        <v>7</v>
      </c>
      <c r="E91" s="73">
        <v>137843621</v>
      </c>
      <c r="F91" s="73">
        <v>0</v>
      </c>
      <c r="G91" s="73">
        <v>10007443</v>
      </c>
      <c r="H91" s="73">
        <v>5050000</v>
      </c>
      <c r="I91" s="73">
        <v>27620255</v>
      </c>
      <c r="J91" s="73">
        <v>0</v>
      </c>
      <c r="K91" s="128">
        <f t="shared" ref="K91:K101" si="23">SUM(E91:J91)</f>
        <v>180521319</v>
      </c>
      <c r="L91" s="182"/>
      <c r="O91" s="251">
        <f t="shared" si="22"/>
        <v>1.3082069605496313E-3</v>
      </c>
    </row>
    <row r="92" spans="1:15" outlineLevel="1" x14ac:dyDescent="0.25">
      <c r="A92" s="15">
        <v>7</v>
      </c>
      <c r="B92" s="3">
        <v>4</v>
      </c>
      <c r="C92" s="7" t="s">
        <v>3</v>
      </c>
      <c r="D92" s="133">
        <v>28</v>
      </c>
      <c r="E92" s="73">
        <v>543300706</v>
      </c>
      <c r="F92" s="73">
        <v>52196018</v>
      </c>
      <c r="G92" s="73">
        <v>39052204</v>
      </c>
      <c r="H92" s="73">
        <v>18325000</v>
      </c>
      <c r="I92" s="73">
        <v>100027535</v>
      </c>
      <c r="J92" s="73">
        <v>0</v>
      </c>
      <c r="K92" s="128">
        <f t="shared" si="23"/>
        <v>752901463</v>
      </c>
      <c r="L92" s="182"/>
      <c r="O92" s="251">
        <f t="shared" si="22"/>
        <v>5.456147450953428E-3</v>
      </c>
    </row>
    <row r="93" spans="1:15" outlineLevel="1" x14ac:dyDescent="0.25">
      <c r="A93" s="15">
        <v>7</v>
      </c>
      <c r="B93" s="3">
        <v>5</v>
      </c>
      <c r="C93" s="7" t="s">
        <v>4</v>
      </c>
      <c r="D93" s="133">
        <v>7</v>
      </c>
      <c r="E93" s="73">
        <v>191042357</v>
      </c>
      <c r="F93" s="73">
        <v>0</v>
      </c>
      <c r="G93" s="73">
        <v>12879888</v>
      </c>
      <c r="H93" s="73">
        <v>350000</v>
      </c>
      <c r="I93" s="73">
        <v>28279475</v>
      </c>
      <c r="J93" s="73">
        <v>3200000</v>
      </c>
      <c r="K93" s="128">
        <f t="shared" si="23"/>
        <v>235751720</v>
      </c>
      <c r="L93" s="182"/>
      <c r="O93" s="251">
        <f t="shared" si="22"/>
        <v>1.7084521804626726E-3</v>
      </c>
    </row>
    <row r="94" spans="1:15" outlineLevel="1" x14ac:dyDescent="0.25">
      <c r="A94" s="15">
        <v>7</v>
      </c>
      <c r="B94" s="3">
        <v>6</v>
      </c>
      <c r="C94" s="7" t="s">
        <v>5</v>
      </c>
      <c r="D94" s="133">
        <v>4</v>
      </c>
      <c r="E94" s="73">
        <v>106985298</v>
      </c>
      <c r="F94" s="73">
        <v>0</v>
      </c>
      <c r="G94" s="73">
        <v>8835757</v>
      </c>
      <c r="H94" s="73">
        <v>1475000</v>
      </c>
      <c r="I94" s="73">
        <v>22379750</v>
      </c>
      <c r="J94" s="73">
        <v>0</v>
      </c>
      <c r="K94" s="128">
        <f t="shared" si="23"/>
        <v>139675805</v>
      </c>
      <c r="L94" s="182"/>
      <c r="O94" s="251">
        <f t="shared" si="22"/>
        <v>1.0122065434353103E-3</v>
      </c>
    </row>
    <row r="95" spans="1:15" outlineLevel="1" x14ac:dyDescent="0.25">
      <c r="A95" s="15">
        <v>7</v>
      </c>
      <c r="B95" s="3">
        <v>7</v>
      </c>
      <c r="C95" s="7" t="s">
        <v>6</v>
      </c>
      <c r="D95" s="133">
        <v>51</v>
      </c>
      <c r="E95" s="73">
        <v>610524201</v>
      </c>
      <c r="F95" s="73">
        <v>196909674</v>
      </c>
      <c r="G95" s="73">
        <v>36904942</v>
      </c>
      <c r="H95" s="73">
        <v>70526480</v>
      </c>
      <c r="I95" s="73">
        <v>108894535</v>
      </c>
      <c r="J95" s="73">
        <v>9600000</v>
      </c>
      <c r="K95" s="128">
        <f t="shared" si="23"/>
        <v>1033359832</v>
      </c>
      <c r="L95" s="182"/>
      <c r="O95" s="251">
        <f t="shared" si="22"/>
        <v>7.4885810300045373E-3</v>
      </c>
    </row>
    <row r="96" spans="1:15" outlineLevel="1" x14ac:dyDescent="0.25">
      <c r="A96" s="15">
        <v>7</v>
      </c>
      <c r="B96" s="3">
        <v>8</v>
      </c>
      <c r="C96" s="7" t="s">
        <v>7</v>
      </c>
      <c r="D96" s="133">
        <v>85</v>
      </c>
      <c r="E96" s="73">
        <v>1241887613</v>
      </c>
      <c r="F96" s="73">
        <v>358041860</v>
      </c>
      <c r="G96" s="73">
        <v>81773642</v>
      </c>
      <c r="H96" s="73">
        <v>108962086</v>
      </c>
      <c r="I96" s="73">
        <v>242548670</v>
      </c>
      <c r="J96" s="73">
        <v>4800000</v>
      </c>
      <c r="K96" s="128">
        <f t="shared" si="23"/>
        <v>2038013871</v>
      </c>
      <c r="L96" s="182"/>
      <c r="O96" s="251">
        <f t="shared" si="22"/>
        <v>1.476913611371795E-2</v>
      </c>
    </row>
    <row r="97" spans="1:15" outlineLevel="1" x14ac:dyDescent="0.25">
      <c r="A97" s="15">
        <v>7</v>
      </c>
      <c r="B97" s="3">
        <v>9</v>
      </c>
      <c r="C97" s="7" t="s">
        <v>9</v>
      </c>
      <c r="D97" s="133">
        <v>45</v>
      </c>
      <c r="E97" s="73">
        <v>793708480</v>
      </c>
      <c r="F97" s="73">
        <v>83690926</v>
      </c>
      <c r="G97" s="73">
        <v>46198761</v>
      </c>
      <c r="H97" s="73">
        <v>55762130</v>
      </c>
      <c r="I97" s="73">
        <v>144700080</v>
      </c>
      <c r="J97" s="73">
        <v>15700000</v>
      </c>
      <c r="K97" s="128">
        <f t="shared" si="23"/>
        <v>1139760377</v>
      </c>
      <c r="L97" s="182"/>
      <c r="O97" s="251">
        <f t="shared" si="22"/>
        <v>8.2596474854588885E-3</v>
      </c>
    </row>
    <row r="98" spans="1:15" outlineLevel="1" x14ac:dyDescent="0.25">
      <c r="A98" s="15">
        <v>7</v>
      </c>
      <c r="B98" s="3">
        <v>10</v>
      </c>
      <c r="C98" s="7" t="s">
        <v>10</v>
      </c>
      <c r="D98" s="133">
        <v>38</v>
      </c>
      <c r="E98" s="73">
        <v>579809683</v>
      </c>
      <c r="F98" s="73">
        <v>0</v>
      </c>
      <c r="G98" s="73">
        <v>319682849</v>
      </c>
      <c r="H98" s="73">
        <v>15300000</v>
      </c>
      <c r="I98" s="73">
        <v>108285885</v>
      </c>
      <c r="J98" s="73">
        <v>4700000</v>
      </c>
      <c r="K98" s="128">
        <f t="shared" si="23"/>
        <v>1027778417</v>
      </c>
      <c r="L98" s="182"/>
      <c r="O98" s="251">
        <f t="shared" si="22"/>
        <v>7.4481334751497217E-3</v>
      </c>
    </row>
    <row r="99" spans="1:15" outlineLevel="1" x14ac:dyDescent="0.25">
      <c r="A99" s="15">
        <v>7</v>
      </c>
      <c r="B99" s="3">
        <v>11</v>
      </c>
      <c r="C99" s="7" t="s">
        <v>8</v>
      </c>
      <c r="D99" s="133">
        <v>89</v>
      </c>
      <c r="E99" s="73">
        <v>1121736495</v>
      </c>
      <c r="F99" s="73">
        <v>129105084</v>
      </c>
      <c r="G99" s="73">
        <v>60276824</v>
      </c>
      <c r="H99" s="73">
        <v>102593135</v>
      </c>
      <c r="I99" s="73">
        <v>171691410</v>
      </c>
      <c r="J99" s="73">
        <v>20350000</v>
      </c>
      <c r="K99" s="128">
        <f t="shared" si="23"/>
        <v>1605752948</v>
      </c>
      <c r="L99" s="182"/>
      <c r="O99" s="251">
        <f t="shared" si="22"/>
        <v>1.1636615526261971E-2</v>
      </c>
    </row>
    <row r="100" spans="1:15" outlineLevel="1" x14ac:dyDescent="0.25">
      <c r="A100" s="15">
        <v>7</v>
      </c>
      <c r="B100" s="3">
        <v>12</v>
      </c>
      <c r="C100" s="7" t="s">
        <v>8</v>
      </c>
      <c r="D100" s="133">
        <v>259</v>
      </c>
      <c r="E100" s="73">
        <v>3261586503</v>
      </c>
      <c r="F100" s="73">
        <v>382580514</v>
      </c>
      <c r="G100" s="73">
        <v>28837017</v>
      </c>
      <c r="H100" s="73">
        <v>359402843</v>
      </c>
      <c r="I100" s="73">
        <v>299633675</v>
      </c>
      <c r="J100" s="73">
        <v>0</v>
      </c>
      <c r="K100" s="128">
        <f t="shared" si="23"/>
        <v>4332040552</v>
      </c>
      <c r="L100" s="182"/>
      <c r="O100" s="251">
        <f t="shared" si="22"/>
        <v>3.1393553043503226E-2</v>
      </c>
    </row>
    <row r="101" spans="1:15" outlineLevel="1" x14ac:dyDescent="0.25">
      <c r="A101" s="16">
        <v>7</v>
      </c>
      <c r="B101" s="3">
        <v>13</v>
      </c>
      <c r="C101" s="4" t="s">
        <v>221</v>
      </c>
      <c r="D101" s="135">
        <v>2</v>
      </c>
      <c r="E101" s="125">
        <v>96250001</v>
      </c>
      <c r="F101" s="125">
        <v>0</v>
      </c>
      <c r="G101" s="125">
        <v>-86249250</v>
      </c>
      <c r="H101" s="125">
        <v>0</v>
      </c>
      <c r="I101" s="125">
        <v>0</v>
      </c>
      <c r="J101" s="125">
        <v>0</v>
      </c>
      <c r="K101" s="128">
        <f t="shared" si="23"/>
        <v>10000751</v>
      </c>
      <c r="L101" s="182"/>
      <c r="O101" s="251">
        <f t="shared" si="22"/>
        <v>7.2473723000681631E-5</v>
      </c>
    </row>
    <row r="102" spans="1:15" x14ac:dyDescent="0.25">
      <c r="A102" s="17">
        <v>7</v>
      </c>
      <c r="B102" s="18"/>
      <c r="C102" s="19" t="s">
        <v>17</v>
      </c>
      <c r="D102" s="136">
        <f>SUM(D89:D101)</f>
        <v>635</v>
      </c>
      <c r="E102" s="75">
        <f>SUM(E89:E101)</f>
        <v>10474704035</v>
      </c>
      <c r="F102" s="75">
        <f t="shared" ref="F102:J102" si="24">SUM(F89:F101)</f>
        <v>1202524076</v>
      </c>
      <c r="G102" s="75">
        <f t="shared" si="24"/>
        <v>777159292</v>
      </c>
      <c r="H102" s="75">
        <f t="shared" si="24"/>
        <v>743066674</v>
      </c>
      <c r="I102" s="75">
        <f t="shared" si="24"/>
        <v>1447742225</v>
      </c>
      <c r="J102" s="75">
        <f t="shared" si="24"/>
        <v>58350000</v>
      </c>
      <c r="K102" s="75">
        <f>SUM(K89:K101)</f>
        <v>14703546302</v>
      </c>
      <c r="L102" s="181">
        <f>K102/K88</f>
        <v>1.0366674133353564</v>
      </c>
      <c r="N102" s="75">
        <v>137991406898</v>
      </c>
      <c r="O102" s="250">
        <f>K102/$N$102</f>
        <v>0.10655407197107944</v>
      </c>
    </row>
    <row r="103" spans="1:15" outlineLevel="1" x14ac:dyDescent="0.25">
      <c r="A103" s="14">
        <v>8</v>
      </c>
      <c r="B103" s="1">
        <v>1</v>
      </c>
      <c r="C103" s="2" t="s">
        <v>0</v>
      </c>
      <c r="D103" s="132">
        <v>10</v>
      </c>
      <c r="E103" s="72">
        <v>1590905792</v>
      </c>
      <c r="F103" s="72">
        <v>0</v>
      </c>
      <c r="G103" s="72">
        <v>93907800</v>
      </c>
      <c r="H103" s="72">
        <v>0</v>
      </c>
      <c r="I103" s="72">
        <v>125965950</v>
      </c>
      <c r="J103" s="72">
        <v>0</v>
      </c>
      <c r="K103" s="128">
        <f>SUM(E103:J103)</f>
        <v>1810779542</v>
      </c>
      <c r="L103" s="182"/>
    </row>
    <row r="104" spans="1:15" outlineLevel="1" x14ac:dyDescent="0.25">
      <c r="A104" s="14">
        <v>8</v>
      </c>
      <c r="B104" s="3">
        <v>2</v>
      </c>
      <c r="C104" s="7" t="s">
        <v>1</v>
      </c>
      <c r="D104" s="133">
        <v>9</v>
      </c>
      <c r="E104" s="73">
        <v>475216203</v>
      </c>
      <c r="F104" s="73">
        <v>0</v>
      </c>
      <c r="G104" s="73">
        <v>235280655</v>
      </c>
      <c r="H104" s="73">
        <v>50000</v>
      </c>
      <c r="I104" s="73">
        <v>56494945</v>
      </c>
      <c r="J104" s="73">
        <v>0</v>
      </c>
      <c r="K104" s="128">
        <f>SUM(E104:J104)</f>
        <v>767041803</v>
      </c>
      <c r="L104" s="182"/>
    </row>
    <row r="105" spans="1:15" outlineLevel="1" x14ac:dyDescent="0.25">
      <c r="A105" s="14">
        <v>8</v>
      </c>
      <c r="B105" s="3">
        <v>3</v>
      </c>
      <c r="C105" s="7" t="s">
        <v>2</v>
      </c>
      <c r="D105" s="133">
        <v>8</v>
      </c>
      <c r="E105" s="73">
        <v>139846653</v>
      </c>
      <c r="F105" s="73">
        <v>0</v>
      </c>
      <c r="G105" s="73">
        <v>10620771</v>
      </c>
      <c r="H105" s="73">
        <v>5075000</v>
      </c>
      <c r="I105" s="73">
        <v>30675255</v>
      </c>
      <c r="J105" s="73">
        <v>0</v>
      </c>
      <c r="K105" s="128">
        <f t="shared" ref="K105:K115" si="25">SUM(E105:J105)</f>
        <v>186217679</v>
      </c>
      <c r="L105" s="182"/>
    </row>
    <row r="106" spans="1:15" outlineLevel="1" x14ac:dyDescent="0.25">
      <c r="A106" s="14">
        <v>8</v>
      </c>
      <c r="B106" s="3">
        <v>4</v>
      </c>
      <c r="C106" s="7" t="s">
        <v>3</v>
      </c>
      <c r="D106" s="133">
        <v>28</v>
      </c>
      <c r="E106" s="73">
        <v>573820857</v>
      </c>
      <c r="F106" s="73">
        <v>49682613</v>
      </c>
      <c r="G106" s="73">
        <v>39282202</v>
      </c>
      <c r="H106" s="73">
        <v>18725000</v>
      </c>
      <c r="I106" s="73">
        <v>100057535</v>
      </c>
      <c r="J106" s="73">
        <v>0</v>
      </c>
      <c r="K106" s="128">
        <f t="shared" si="25"/>
        <v>781568207</v>
      </c>
      <c r="L106" s="182"/>
    </row>
    <row r="107" spans="1:15" outlineLevel="1" x14ac:dyDescent="0.25">
      <c r="A107" s="14">
        <v>8</v>
      </c>
      <c r="B107" s="3">
        <v>5</v>
      </c>
      <c r="C107" s="7" t="s">
        <v>4</v>
      </c>
      <c r="D107" s="133">
        <v>7</v>
      </c>
      <c r="E107" s="73">
        <v>179977162</v>
      </c>
      <c r="F107" s="73">
        <v>0</v>
      </c>
      <c r="G107" s="73">
        <v>12879888</v>
      </c>
      <c r="H107" s="73">
        <v>250000</v>
      </c>
      <c r="I107" s="73">
        <v>28195325</v>
      </c>
      <c r="J107" s="73">
        <v>12600000</v>
      </c>
      <c r="K107" s="128">
        <f t="shared" si="25"/>
        <v>233902375</v>
      </c>
      <c r="L107" s="182"/>
    </row>
    <row r="108" spans="1:15" outlineLevel="1" x14ac:dyDescent="0.25">
      <c r="A108" s="14">
        <v>8</v>
      </c>
      <c r="B108" s="3">
        <v>6</v>
      </c>
      <c r="C108" s="7" t="s">
        <v>5</v>
      </c>
      <c r="D108" s="133">
        <v>4</v>
      </c>
      <c r="E108" s="73">
        <v>122441066</v>
      </c>
      <c r="F108" s="73">
        <v>0</v>
      </c>
      <c r="G108" s="73">
        <v>8835757</v>
      </c>
      <c r="H108" s="73">
        <v>1750000</v>
      </c>
      <c r="I108" s="73">
        <v>25643750</v>
      </c>
      <c r="J108" s="73">
        <v>0</v>
      </c>
      <c r="K108" s="128">
        <f t="shared" si="25"/>
        <v>158670573</v>
      </c>
      <c r="L108" s="182"/>
    </row>
    <row r="109" spans="1:15" outlineLevel="1" x14ac:dyDescent="0.25">
      <c r="A109" s="14">
        <v>8</v>
      </c>
      <c r="B109" s="3">
        <v>7</v>
      </c>
      <c r="C109" s="7" t="s">
        <v>6</v>
      </c>
      <c r="D109" s="133">
        <v>51</v>
      </c>
      <c r="E109" s="73">
        <v>576587314</v>
      </c>
      <c r="F109" s="73">
        <v>191485300</v>
      </c>
      <c r="G109" s="73">
        <v>36904942</v>
      </c>
      <c r="H109" s="73">
        <v>71535945</v>
      </c>
      <c r="I109" s="73">
        <v>105729515</v>
      </c>
      <c r="J109" s="73">
        <v>35800000</v>
      </c>
      <c r="K109" s="128">
        <f t="shared" si="25"/>
        <v>1018043016</v>
      </c>
      <c r="L109" s="182"/>
    </row>
    <row r="110" spans="1:15" outlineLevel="1" x14ac:dyDescent="0.25">
      <c r="A110" s="14">
        <v>8</v>
      </c>
      <c r="B110" s="3">
        <v>8</v>
      </c>
      <c r="C110" s="7" t="s">
        <v>7</v>
      </c>
      <c r="D110" s="133">
        <v>85</v>
      </c>
      <c r="E110" s="73">
        <v>1257100301</v>
      </c>
      <c r="F110" s="73">
        <v>406556893</v>
      </c>
      <c r="G110" s="73">
        <v>82330237</v>
      </c>
      <c r="H110" s="73">
        <v>115255106</v>
      </c>
      <c r="I110" s="73">
        <v>246678770</v>
      </c>
      <c r="J110" s="73">
        <v>18600000</v>
      </c>
      <c r="K110" s="128">
        <f t="shared" si="25"/>
        <v>2126521307</v>
      </c>
      <c r="L110" s="182"/>
    </row>
    <row r="111" spans="1:15" outlineLevel="1" x14ac:dyDescent="0.25">
      <c r="A111" s="14">
        <v>8</v>
      </c>
      <c r="B111" s="3">
        <v>9</v>
      </c>
      <c r="C111" s="7" t="s">
        <v>9</v>
      </c>
      <c r="D111" s="133">
        <v>43</v>
      </c>
      <c r="E111" s="73">
        <v>808738124</v>
      </c>
      <c r="F111" s="73">
        <v>85259084</v>
      </c>
      <c r="G111" s="73">
        <v>45687218</v>
      </c>
      <c r="H111" s="73">
        <v>50604293</v>
      </c>
      <c r="I111" s="73">
        <v>145678130</v>
      </c>
      <c r="J111" s="73">
        <v>15600000</v>
      </c>
      <c r="K111" s="128">
        <f t="shared" si="25"/>
        <v>1151566849</v>
      </c>
      <c r="L111" s="182"/>
    </row>
    <row r="112" spans="1:15" outlineLevel="1" x14ac:dyDescent="0.25">
      <c r="A112" s="14">
        <v>8</v>
      </c>
      <c r="B112" s="3">
        <v>10</v>
      </c>
      <c r="C112" s="7" t="s">
        <v>10</v>
      </c>
      <c r="D112" s="133">
        <v>41</v>
      </c>
      <c r="E112" s="73">
        <v>597346464</v>
      </c>
      <c r="F112" s="73">
        <v>0</v>
      </c>
      <c r="G112" s="73">
        <v>349218908</v>
      </c>
      <c r="H112" s="73">
        <v>15205000</v>
      </c>
      <c r="I112" s="73">
        <v>111458385</v>
      </c>
      <c r="J112" s="73">
        <v>19000000</v>
      </c>
      <c r="K112" s="128">
        <f t="shared" si="25"/>
        <v>1092228757</v>
      </c>
      <c r="L112" s="182"/>
    </row>
    <row r="113" spans="1:15" outlineLevel="1" x14ac:dyDescent="0.25">
      <c r="A113" s="14">
        <v>8</v>
      </c>
      <c r="B113" s="3">
        <v>11</v>
      </c>
      <c r="C113" s="7" t="s">
        <v>8</v>
      </c>
      <c r="D113" s="133">
        <v>90</v>
      </c>
      <c r="E113" s="73">
        <v>1122126593</v>
      </c>
      <c r="F113" s="73">
        <v>138622566</v>
      </c>
      <c r="G113" s="73">
        <v>61053541</v>
      </c>
      <c r="H113" s="73">
        <v>98343923</v>
      </c>
      <c r="I113" s="73">
        <v>178716300</v>
      </c>
      <c r="J113" s="73">
        <v>45150000</v>
      </c>
      <c r="K113" s="128">
        <f t="shared" si="25"/>
        <v>1644012923</v>
      </c>
      <c r="L113" s="182"/>
    </row>
    <row r="114" spans="1:15" outlineLevel="1" x14ac:dyDescent="0.25">
      <c r="A114" s="14">
        <v>8</v>
      </c>
      <c r="B114" s="3">
        <v>12</v>
      </c>
      <c r="C114" s="7" t="s">
        <v>8</v>
      </c>
      <c r="D114" s="133">
        <v>285</v>
      </c>
      <c r="E114" s="73">
        <v>2696931208</v>
      </c>
      <c r="F114" s="73">
        <v>409675223</v>
      </c>
      <c r="G114" s="73">
        <v>31016273</v>
      </c>
      <c r="H114" s="73">
        <v>358214630</v>
      </c>
      <c r="I114" s="73">
        <v>317736665</v>
      </c>
      <c r="J114" s="73">
        <v>0</v>
      </c>
      <c r="K114" s="128">
        <f t="shared" si="25"/>
        <v>3813573999</v>
      </c>
      <c r="L114" s="182"/>
    </row>
    <row r="115" spans="1:15" outlineLevel="1" x14ac:dyDescent="0.25">
      <c r="A115" s="14">
        <v>8</v>
      </c>
      <c r="B115" s="3">
        <v>13</v>
      </c>
      <c r="C115" s="4" t="s">
        <v>221</v>
      </c>
      <c r="D115" s="135">
        <v>2</v>
      </c>
      <c r="E115" s="125">
        <v>190000000</v>
      </c>
      <c r="F115" s="125">
        <v>0</v>
      </c>
      <c r="G115" s="125">
        <v>0</v>
      </c>
      <c r="H115" s="125">
        <v>0</v>
      </c>
      <c r="I115" s="125">
        <v>0</v>
      </c>
      <c r="J115" s="125">
        <v>0</v>
      </c>
      <c r="K115" s="128">
        <f t="shared" si="25"/>
        <v>190000000</v>
      </c>
      <c r="L115" s="182"/>
    </row>
    <row r="116" spans="1:15" x14ac:dyDescent="0.25">
      <c r="A116" s="17">
        <v>8</v>
      </c>
      <c r="B116" s="18"/>
      <c r="C116" s="19" t="s">
        <v>17</v>
      </c>
      <c r="D116" s="136">
        <f>SUM(D103:D115)</f>
        <v>663</v>
      </c>
      <c r="E116" s="75">
        <f>SUM(E103:E115)</f>
        <v>10331037737</v>
      </c>
      <c r="F116" s="75">
        <f t="shared" ref="F116:J116" si="26">SUM(F103:F115)</f>
        <v>1281281679</v>
      </c>
      <c r="G116" s="75">
        <f t="shared" si="26"/>
        <v>1007018192</v>
      </c>
      <c r="H116" s="75">
        <f t="shared" si="26"/>
        <v>735008897</v>
      </c>
      <c r="I116" s="75">
        <f t="shared" si="26"/>
        <v>1473030525</v>
      </c>
      <c r="J116" s="75">
        <f t="shared" si="26"/>
        <v>146750000</v>
      </c>
      <c r="K116" s="75">
        <f>SUM(K103:K115)</f>
        <v>14974127030</v>
      </c>
      <c r="L116" s="181">
        <f>K116/K102</f>
        <v>1.0184024127542071</v>
      </c>
      <c r="N116" s="75">
        <v>168442653383</v>
      </c>
      <c r="O116" s="250">
        <f>K116/$N$116</f>
        <v>8.8897477742482869E-2</v>
      </c>
    </row>
    <row r="117" spans="1:15" outlineLevel="1" x14ac:dyDescent="0.25">
      <c r="A117" s="14">
        <v>9</v>
      </c>
      <c r="B117" s="1">
        <v>1</v>
      </c>
      <c r="C117" s="2" t="s">
        <v>0</v>
      </c>
      <c r="D117" s="132">
        <v>11</v>
      </c>
      <c r="E117" s="72">
        <v>1573990230</v>
      </c>
      <c r="F117" s="72">
        <v>0</v>
      </c>
      <c r="G117" s="72">
        <v>106841040</v>
      </c>
      <c r="H117" s="72">
        <v>0</v>
      </c>
      <c r="I117" s="72">
        <v>124851950</v>
      </c>
      <c r="J117" s="72">
        <v>0</v>
      </c>
      <c r="K117" s="128">
        <f>SUM(E117:J117)</f>
        <v>1805683220</v>
      </c>
      <c r="L117" s="182"/>
    </row>
    <row r="118" spans="1:15" outlineLevel="1" x14ac:dyDescent="0.25">
      <c r="A118" s="14">
        <v>9</v>
      </c>
      <c r="B118" s="3">
        <v>2</v>
      </c>
      <c r="C118" s="7" t="s">
        <v>1</v>
      </c>
      <c r="D118" s="133">
        <v>9</v>
      </c>
      <c r="E118" s="73">
        <v>399776005</v>
      </c>
      <c r="F118" s="73">
        <v>0</v>
      </c>
      <c r="G118" s="73">
        <v>76442565</v>
      </c>
      <c r="H118" s="73">
        <v>7056000</v>
      </c>
      <c r="I118" s="73">
        <v>59197445</v>
      </c>
      <c r="J118" s="73">
        <v>0</v>
      </c>
      <c r="K118" s="128">
        <f>SUM(E118:J118)</f>
        <v>542472015</v>
      </c>
      <c r="L118" s="182"/>
    </row>
    <row r="119" spans="1:15" outlineLevel="1" x14ac:dyDescent="0.25">
      <c r="A119" s="14">
        <v>9</v>
      </c>
      <c r="B119" s="3">
        <v>3</v>
      </c>
      <c r="C119" s="7" t="s">
        <v>2</v>
      </c>
      <c r="D119" s="133">
        <v>8</v>
      </c>
      <c r="E119" s="73">
        <v>141497366</v>
      </c>
      <c r="F119" s="73">
        <v>0</v>
      </c>
      <c r="G119" s="73">
        <v>12220771</v>
      </c>
      <c r="H119" s="73">
        <v>5675000</v>
      </c>
      <c r="I119" s="73">
        <v>30675255</v>
      </c>
      <c r="J119" s="73">
        <v>0</v>
      </c>
      <c r="K119" s="128">
        <f t="shared" ref="K119:K129" si="27">SUM(E119:J119)</f>
        <v>190068392</v>
      </c>
      <c r="L119" s="182"/>
    </row>
    <row r="120" spans="1:15" outlineLevel="1" x14ac:dyDescent="0.25">
      <c r="A120" s="14">
        <v>9</v>
      </c>
      <c r="B120" s="3">
        <v>4</v>
      </c>
      <c r="C120" s="7" t="s">
        <v>3</v>
      </c>
      <c r="D120" s="133">
        <v>28</v>
      </c>
      <c r="E120" s="73">
        <v>597812873</v>
      </c>
      <c r="F120" s="73">
        <v>58786665</v>
      </c>
      <c r="G120" s="73">
        <v>45640527</v>
      </c>
      <c r="H120" s="73">
        <v>19245000</v>
      </c>
      <c r="I120" s="73">
        <v>110622535</v>
      </c>
      <c r="J120" s="73">
        <v>0</v>
      </c>
      <c r="K120" s="128">
        <f t="shared" si="27"/>
        <v>832107600</v>
      </c>
      <c r="L120" s="182"/>
    </row>
    <row r="121" spans="1:15" outlineLevel="1" x14ac:dyDescent="0.25">
      <c r="A121" s="14">
        <v>9</v>
      </c>
      <c r="B121" s="3">
        <v>5</v>
      </c>
      <c r="C121" s="7" t="s">
        <v>4</v>
      </c>
      <c r="D121" s="133">
        <v>7</v>
      </c>
      <c r="E121" s="73">
        <v>186279472</v>
      </c>
      <c r="F121" s="73">
        <v>0</v>
      </c>
      <c r="G121" s="73">
        <v>14279888</v>
      </c>
      <c r="H121" s="73">
        <v>400000</v>
      </c>
      <c r="I121" s="73">
        <v>30210000</v>
      </c>
      <c r="J121" s="73">
        <v>7600000</v>
      </c>
      <c r="K121" s="128">
        <f t="shared" si="27"/>
        <v>238769360</v>
      </c>
      <c r="L121" s="182"/>
    </row>
    <row r="122" spans="1:15" outlineLevel="1" x14ac:dyDescent="0.25">
      <c r="A122" s="14">
        <v>9</v>
      </c>
      <c r="B122" s="3">
        <v>6</v>
      </c>
      <c r="C122" s="7" t="s">
        <v>5</v>
      </c>
      <c r="D122" s="133">
        <v>4</v>
      </c>
      <c r="E122" s="73">
        <v>120889911</v>
      </c>
      <c r="F122" s="73">
        <v>0</v>
      </c>
      <c r="G122" s="73">
        <v>9635757</v>
      </c>
      <c r="H122" s="73">
        <v>1475000</v>
      </c>
      <c r="I122" s="73">
        <v>25643750</v>
      </c>
      <c r="J122" s="73">
        <v>0</v>
      </c>
      <c r="K122" s="128">
        <f t="shared" si="27"/>
        <v>157644418</v>
      </c>
      <c r="L122" s="182"/>
    </row>
    <row r="123" spans="1:15" outlineLevel="1" x14ac:dyDescent="0.25">
      <c r="A123" s="14">
        <v>9</v>
      </c>
      <c r="B123" s="3">
        <v>7</v>
      </c>
      <c r="C123" s="7" t="s">
        <v>6</v>
      </c>
      <c r="D123" s="133">
        <v>48</v>
      </c>
      <c r="E123" s="73">
        <v>580257239</v>
      </c>
      <c r="F123" s="73">
        <v>220295183</v>
      </c>
      <c r="G123" s="73">
        <v>45028355</v>
      </c>
      <c r="H123" s="73">
        <v>71928013</v>
      </c>
      <c r="I123" s="73">
        <v>110005145</v>
      </c>
      <c r="J123" s="73">
        <v>3600000</v>
      </c>
      <c r="K123" s="128">
        <f t="shared" si="27"/>
        <v>1031113935</v>
      </c>
      <c r="L123" s="182"/>
    </row>
    <row r="124" spans="1:15" outlineLevel="1" x14ac:dyDescent="0.25">
      <c r="A124" s="14">
        <v>9</v>
      </c>
      <c r="B124" s="3">
        <v>8</v>
      </c>
      <c r="C124" s="7" t="s">
        <v>7</v>
      </c>
      <c r="D124" s="133">
        <v>85</v>
      </c>
      <c r="E124" s="73">
        <v>1278208503</v>
      </c>
      <c r="F124" s="73">
        <v>492192168</v>
      </c>
      <c r="G124" s="73">
        <v>98628974</v>
      </c>
      <c r="H124" s="73">
        <v>117764692</v>
      </c>
      <c r="I124" s="73">
        <v>242577540</v>
      </c>
      <c r="J124" s="73">
        <v>0</v>
      </c>
      <c r="K124" s="128">
        <f t="shared" si="27"/>
        <v>2229371877</v>
      </c>
      <c r="L124" s="182"/>
    </row>
    <row r="125" spans="1:15" outlineLevel="1" x14ac:dyDescent="0.25">
      <c r="A125" s="14">
        <v>9</v>
      </c>
      <c r="B125" s="3">
        <v>9</v>
      </c>
      <c r="C125" s="7" t="s">
        <v>9</v>
      </c>
      <c r="D125" s="133">
        <v>43</v>
      </c>
      <c r="E125" s="73">
        <v>837010606</v>
      </c>
      <c r="F125" s="73">
        <v>98974549</v>
      </c>
      <c r="G125" s="73">
        <v>55130544</v>
      </c>
      <c r="H125" s="73">
        <v>45803435</v>
      </c>
      <c r="I125" s="73">
        <v>147904015</v>
      </c>
      <c r="J125" s="73">
        <v>9900000</v>
      </c>
      <c r="K125" s="128">
        <f t="shared" si="27"/>
        <v>1194723149</v>
      </c>
      <c r="L125" s="182"/>
    </row>
    <row r="126" spans="1:15" outlineLevel="1" x14ac:dyDescent="0.25">
      <c r="A126" s="14">
        <v>9</v>
      </c>
      <c r="B126" s="3">
        <v>10</v>
      </c>
      <c r="C126" s="7" t="s">
        <v>10</v>
      </c>
      <c r="D126" s="133">
        <v>43</v>
      </c>
      <c r="E126" s="73">
        <v>634145499</v>
      </c>
      <c r="F126" s="73">
        <v>0</v>
      </c>
      <c r="G126" s="73">
        <v>193360802</v>
      </c>
      <c r="H126" s="73">
        <v>15950000</v>
      </c>
      <c r="I126" s="73">
        <v>111458385</v>
      </c>
      <c r="J126" s="73">
        <v>0</v>
      </c>
      <c r="K126" s="128">
        <f t="shared" si="27"/>
        <v>954914686</v>
      </c>
      <c r="L126" s="182"/>
    </row>
    <row r="127" spans="1:15" outlineLevel="1" x14ac:dyDescent="0.25">
      <c r="A127" s="14">
        <v>9</v>
      </c>
      <c r="B127" s="3">
        <v>11</v>
      </c>
      <c r="C127" s="7" t="s">
        <v>8</v>
      </c>
      <c r="D127" s="133">
        <v>92</v>
      </c>
      <c r="E127" s="73">
        <v>1177591275</v>
      </c>
      <c r="F127" s="73">
        <v>165783729</v>
      </c>
      <c r="G127" s="73">
        <v>78483928</v>
      </c>
      <c r="H127" s="73">
        <v>96907625</v>
      </c>
      <c r="I127" s="73">
        <v>179762840</v>
      </c>
      <c r="J127" s="73">
        <v>23000000</v>
      </c>
      <c r="K127" s="128">
        <f t="shared" si="27"/>
        <v>1721529397</v>
      </c>
      <c r="L127" s="182"/>
    </row>
    <row r="128" spans="1:15" outlineLevel="1" x14ac:dyDescent="0.25">
      <c r="A128" s="14">
        <v>9</v>
      </c>
      <c r="B128" s="3">
        <v>12</v>
      </c>
      <c r="C128" s="7" t="s">
        <v>8</v>
      </c>
      <c r="D128" s="133">
        <v>303</v>
      </c>
      <c r="E128" s="73">
        <v>2848121254</v>
      </c>
      <c r="F128" s="73">
        <v>681336938</v>
      </c>
      <c r="G128" s="73">
        <v>88290128</v>
      </c>
      <c r="H128" s="73">
        <v>405339865</v>
      </c>
      <c r="I128" s="73">
        <v>337905900</v>
      </c>
      <c r="J128" s="73">
        <v>0</v>
      </c>
      <c r="K128" s="128">
        <f t="shared" si="27"/>
        <v>4360994085</v>
      </c>
      <c r="L128" s="182"/>
    </row>
    <row r="129" spans="1:15" outlineLevel="1" x14ac:dyDescent="0.25">
      <c r="A129" s="14">
        <v>9</v>
      </c>
      <c r="B129" s="3">
        <v>13</v>
      </c>
      <c r="C129" s="4" t="s">
        <v>221</v>
      </c>
      <c r="D129" s="135">
        <v>1</v>
      </c>
      <c r="E129" s="125">
        <v>70000000</v>
      </c>
      <c r="F129" s="125">
        <v>0</v>
      </c>
      <c r="G129" s="125">
        <v>0</v>
      </c>
      <c r="H129" s="125">
        <v>0</v>
      </c>
      <c r="I129" s="125">
        <v>0</v>
      </c>
      <c r="J129" s="125">
        <v>0</v>
      </c>
      <c r="K129" s="128">
        <f t="shared" si="27"/>
        <v>70000000</v>
      </c>
      <c r="L129" s="182"/>
    </row>
    <row r="130" spans="1:15" x14ac:dyDescent="0.25">
      <c r="A130" s="14">
        <v>9</v>
      </c>
      <c r="B130" s="18"/>
      <c r="C130" s="19" t="s">
        <v>17</v>
      </c>
      <c r="D130" s="136">
        <f>SUM(D117:D129)</f>
        <v>682</v>
      </c>
      <c r="E130" s="75">
        <f>SUM(E117:E129)</f>
        <v>10445580233</v>
      </c>
      <c r="F130" s="75">
        <f t="shared" ref="F130:J130" si="28">SUM(F117:F129)</f>
        <v>1717369232</v>
      </c>
      <c r="G130" s="75">
        <f t="shared" si="28"/>
        <v>823983279</v>
      </c>
      <c r="H130" s="75">
        <f t="shared" si="28"/>
        <v>787544630</v>
      </c>
      <c r="I130" s="75">
        <f t="shared" si="28"/>
        <v>1510814760</v>
      </c>
      <c r="J130" s="75">
        <f t="shared" si="28"/>
        <v>44100000</v>
      </c>
      <c r="K130" s="75">
        <f>SUM(K117:K129)</f>
        <v>15329392134</v>
      </c>
      <c r="L130" s="181">
        <f>K130/K116</f>
        <v>1.0237252631347551</v>
      </c>
      <c r="N130" s="75">
        <v>84710435067</v>
      </c>
      <c r="O130" s="250">
        <f>K130/N130</f>
        <v>0.18096226423433581</v>
      </c>
    </row>
    <row r="131" spans="1:15" outlineLevel="1" x14ac:dyDescent="0.25">
      <c r="A131" s="14">
        <v>10</v>
      </c>
      <c r="B131" s="1">
        <v>1</v>
      </c>
      <c r="C131" s="2" t="s">
        <v>0</v>
      </c>
      <c r="D131" s="132">
        <v>12</v>
      </c>
      <c r="E131" s="72">
        <v>1625027465</v>
      </c>
      <c r="F131" s="72">
        <v>0</v>
      </c>
      <c r="G131" s="72">
        <v>108244342</v>
      </c>
      <c r="H131" s="72">
        <v>0</v>
      </c>
      <c r="I131" s="72">
        <v>126066950</v>
      </c>
      <c r="J131" s="72">
        <v>0</v>
      </c>
      <c r="K131" s="128">
        <f>SUM(E131:J131)</f>
        <v>1859338757</v>
      </c>
      <c r="L131" s="182"/>
    </row>
    <row r="132" spans="1:15" outlineLevel="1" x14ac:dyDescent="0.25">
      <c r="A132" s="14">
        <v>10</v>
      </c>
      <c r="B132" s="3">
        <v>2</v>
      </c>
      <c r="C132" s="7" t="s">
        <v>1</v>
      </c>
      <c r="D132" s="133">
        <v>9</v>
      </c>
      <c r="E132" s="73">
        <v>269907966</v>
      </c>
      <c r="F132" s="73">
        <v>0</v>
      </c>
      <c r="G132" s="73">
        <v>186771955</v>
      </c>
      <c r="H132" s="73">
        <v>7224000</v>
      </c>
      <c r="I132" s="73">
        <v>59197445</v>
      </c>
      <c r="J132" s="73">
        <v>0</v>
      </c>
      <c r="K132" s="128">
        <f>SUM(E132:J132)</f>
        <v>523101366</v>
      </c>
      <c r="L132" s="182"/>
    </row>
    <row r="133" spans="1:15" outlineLevel="1" x14ac:dyDescent="0.25">
      <c r="A133" s="14">
        <v>10</v>
      </c>
      <c r="B133" s="3">
        <v>3</v>
      </c>
      <c r="C133" s="7" t="s">
        <v>2</v>
      </c>
      <c r="D133" s="133">
        <v>8</v>
      </c>
      <c r="E133" s="73">
        <v>143729924</v>
      </c>
      <c r="F133" s="73">
        <v>0</v>
      </c>
      <c r="G133" s="73">
        <v>10620771</v>
      </c>
      <c r="H133" s="73">
        <v>5700000</v>
      </c>
      <c r="I133" s="73">
        <v>32555255</v>
      </c>
      <c r="J133" s="73">
        <v>0</v>
      </c>
      <c r="K133" s="128">
        <f t="shared" ref="K133:K143" si="29">SUM(E133:J133)</f>
        <v>192605950</v>
      </c>
      <c r="L133" s="182"/>
    </row>
    <row r="134" spans="1:15" outlineLevel="1" x14ac:dyDescent="0.25">
      <c r="A134" s="14">
        <v>10</v>
      </c>
      <c r="B134" s="3">
        <v>4</v>
      </c>
      <c r="C134" s="7" t="s">
        <v>3</v>
      </c>
      <c r="D134" s="133">
        <v>29</v>
      </c>
      <c r="E134" s="73">
        <v>586830214</v>
      </c>
      <c r="F134" s="73">
        <v>47228200</v>
      </c>
      <c r="G134" s="73">
        <v>40738856</v>
      </c>
      <c r="H134" s="73">
        <v>20460000</v>
      </c>
      <c r="I134" s="73">
        <v>113305035</v>
      </c>
      <c r="J134" s="73">
        <v>0</v>
      </c>
      <c r="K134" s="128">
        <f t="shared" si="29"/>
        <v>808562305</v>
      </c>
      <c r="L134" s="182"/>
    </row>
    <row r="135" spans="1:15" outlineLevel="1" x14ac:dyDescent="0.25">
      <c r="A135" s="14">
        <v>10</v>
      </c>
      <c r="B135" s="3">
        <v>5</v>
      </c>
      <c r="C135" s="7" t="s">
        <v>4</v>
      </c>
      <c r="D135" s="133">
        <v>8</v>
      </c>
      <c r="E135" s="73">
        <v>219000178</v>
      </c>
      <c r="F135" s="73">
        <v>0</v>
      </c>
      <c r="G135" s="73">
        <v>15563198</v>
      </c>
      <c r="H135" s="73">
        <v>900000</v>
      </c>
      <c r="I135" s="73">
        <v>38435000</v>
      </c>
      <c r="J135" s="73">
        <v>8600000</v>
      </c>
      <c r="K135" s="128">
        <f t="shared" si="29"/>
        <v>282498376</v>
      </c>
      <c r="L135" s="182"/>
    </row>
    <row r="136" spans="1:15" outlineLevel="1" x14ac:dyDescent="0.25">
      <c r="A136" s="14">
        <v>10</v>
      </c>
      <c r="B136" s="3">
        <v>6</v>
      </c>
      <c r="C136" s="7" t="s">
        <v>5</v>
      </c>
      <c r="D136" s="133">
        <v>4</v>
      </c>
      <c r="E136" s="73">
        <v>121811066</v>
      </c>
      <c r="F136" s="73">
        <v>0</v>
      </c>
      <c r="G136" s="73">
        <v>8835757</v>
      </c>
      <c r="H136" s="73">
        <v>1975000</v>
      </c>
      <c r="I136" s="73">
        <v>34958750</v>
      </c>
      <c r="J136" s="73">
        <v>0</v>
      </c>
      <c r="K136" s="128">
        <f t="shared" si="29"/>
        <v>167580573</v>
      </c>
      <c r="L136" s="182"/>
    </row>
    <row r="137" spans="1:15" outlineLevel="1" x14ac:dyDescent="0.25">
      <c r="A137" s="14">
        <v>10</v>
      </c>
      <c r="B137" s="3">
        <v>7</v>
      </c>
      <c r="C137" s="7" t="s">
        <v>6</v>
      </c>
      <c r="D137" s="133">
        <v>48</v>
      </c>
      <c r="E137" s="73">
        <v>543535290</v>
      </c>
      <c r="F137" s="73">
        <v>174387546</v>
      </c>
      <c r="G137" s="73">
        <v>35457182</v>
      </c>
      <c r="H137" s="73">
        <v>69069828</v>
      </c>
      <c r="I137" s="73">
        <v>108534045</v>
      </c>
      <c r="J137" s="73">
        <v>3600000</v>
      </c>
      <c r="K137" s="128">
        <f t="shared" si="29"/>
        <v>934583891</v>
      </c>
      <c r="L137" s="182"/>
    </row>
    <row r="138" spans="1:15" outlineLevel="1" x14ac:dyDescent="0.25">
      <c r="A138" s="14">
        <v>10</v>
      </c>
      <c r="B138" s="3">
        <v>8</v>
      </c>
      <c r="C138" s="7" t="s">
        <v>7</v>
      </c>
      <c r="D138" s="133">
        <v>85</v>
      </c>
      <c r="E138" s="73">
        <v>1214622449</v>
      </c>
      <c r="F138" s="73">
        <v>330753556</v>
      </c>
      <c r="G138" s="73">
        <v>81743973</v>
      </c>
      <c r="H138" s="73">
        <v>117268719</v>
      </c>
      <c r="I138" s="73">
        <v>243985225</v>
      </c>
      <c r="J138" s="73">
        <v>0</v>
      </c>
      <c r="K138" s="128">
        <f t="shared" si="29"/>
        <v>1988373922</v>
      </c>
      <c r="L138" s="182"/>
    </row>
    <row r="139" spans="1:15" outlineLevel="1" x14ac:dyDescent="0.25">
      <c r="A139" s="14">
        <v>10</v>
      </c>
      <c r="B139" s="3">
        <v>9</v>
      </c>
      <c r="C139" s="7" t="s">
        <v>9</v>
      </c>
      <c r="D139" s="133">
        <v>44</v>
      </c>
      <c r="E139" s="73">
        <v>787706034</v>
      </c>
      <c r="F139" s="73">
        <v>81483867</v>
      </c>
      <c r="G139" s="73">
        <v>46602791</v>
      </c>
      <c r="H139" s="73">
        <v>44432049</v>
      </c>
      <c r="I139" s="73">
        <v>154231045</v>
      </c>
      <c r="J139" s="73">
        <v>9500000</v>
      </c>
      <c r="K139" s="128">
        <f t="shared" si="29"/>
        <v>1123955786</v>
      </c>
      <c r="L139" s="182"/>
    </row>
    <row r="140" spans="1:15" outlineLevel="1" x14ac:dyDescent="0.25">
      <c r="A140" s="14">
        <v>10</v>
      </c>
      <c r="B140" s="3">
        <v>10</v>
      </c>
      <c r="C140" s="7" t="s">
        <v>10</v>
      </c>
      <c r="D140" s="133">
        <v>43</v>
      </c>
      <c r="E140" s="73">
        <v>601519668</v>
      </c>
      <c r="F140" s="73">
        <v>0</v>
      </c>
      <c r="G140" s="73">
        <v>376361106</v>
      </c>
      <c r="H140" s="73">
        <v>16220000</v>
      </c>
      <c r="I140" s="73">
        <v>113291385</v>
      </c>
      <c r="J140" s="73">
        <v>0</v>
      </c>
      <c r="K140" s="128">
        <f t="shared" si="29"/>
        <v>1107392159</v>
      </c>
      <c r="L140" s="182"/>
    </row>
    <row r="141" spans="1:15" outlineLevel="1" x14ac:dyDescent="0.25">
      <c r="A141" s="14">
        <v>10</v>
      </c>
      <c r="B141" s="3">
        <v>11</v>
      </c>
      <c r="C141" s="7" t="s">
        <v>8</v>
      </c>
      <c r="D141" s="133">
        <v>87</v>
      </c>
      <c r="E141" s="73">
        <v>1136070219</v>
      </c>
      <c r="F141" s="73">
        <v>109139996</v>
      </c>
      <c r="G141" s="73">
        <v>63990043</v>
      </c>
      <c r="H141" s="73">
        <v>98243816</v>
      </c>
      <c r="I141" s="73">
        <v>181862430</v>
      </c>
      <c r="J141" s="73">
        <v>4900000</v>
      </c>
      <c r="K141" s="128">
        <f t="shared" si="29"/>
        <v>1594206504</v>
      </c>
      <c r="L141" s="182"/>
    </row>
    <row r="142" spans="1:15" outlineLevel="1" x14ac:dyDescent="0.25">
      <c r="A142" s="14">
        <v>10</v>
      </c>
      <c r="B142" s="3">
        <v>12</v>
      </c>
      <c r="C142" s="7" t="s">
        <v>8</v>
      </c>
      <c r="D142" s="133">
        <v>282</v>
      </c>
      <c r="E142" s="73">
        <v>2592316860</v>
      </c>
      <c r="F142" s="73">
        <v>434513561</v>
      </c>
      <c r="G142" s="73">
        <v>30764563</v>
      </c>
      <c r="H142" s="73">
        <v>399807089</v>
      </c>
      <c r="I142" s="73">
        <v>395105800</v>
      </c>
      <c r="J142" s="73">
        <v>0</v>
      </c>
      <c r="K142" s="128">
        <f t="shared" si="29"/>
        <v>3852507873</v>
      </c>
      <c r="L142" s="182"/>
    </row>
    <row r="143" spans="1:15" outlineLevel="1" x14ac:dyDescent="0.25">
      <c r="A143" s="14">
        <v>10</v>
      </c>
      <c r="B143" s="3">
        <v>13</v>
      </c>
      <c r="C143" s="4" t="s">
        <v>221</v>
      </c>
      <c r="D143" s="135">
        <v>1</v>
      </c>
      <c r="E143" s="125">
        <v>70504808</v>
      </c>
      <c r="F143" s="125">
        <v>0</v>
      </c>
      <c r="G143" s="125">
        <v>0</v>
      </c>
      <c r="H143" s="125">
        <v>0</v>
      </c>
      <c r="I143" s="125">
        <v>0</v>
      </c>
      <c r="J143" s="125">
        <v>0</v>
      </c>
      <c r="K143" s="128">
        <f t="shared" si="29"/>
        <v>70504808</v>
      </c>
      <c r="L143" s="182"/>
    </row>
    <row r="144" spans="1:15" x14ac:dyDescent="0.25">
      <c r="A144" s="14">
        <v>10</v>
      </c>
      <c r="B144" s="18"/>
      <c r="C144" s="19" t="s">
        <v>17</v>
      </c>
      <c r="D144" s="136">
        <f>SUM(D131:D143)</f>
        <v>660</v>
      </c>
      <c r="E144" s="75">
        <f>SUM(E131:E143)</f>
        <v>9912582141</v>
      </c>
      <c r="F144" s="75">
        <f t="shared" ref="F144:J144" si="30">SUM(F131:F143)</f>
        <v>1177506726</v>
      </c>
      <c r="G144" s="75">
        <f t="shared" si="30"/>
        <v>1005694537</v>
      </c>
      <c r="H144" s="75">
        <f t="shared" si="30"/>
        <v>781300501</v>
      </c>
      <c r="I144" s="75">
        <f t="shared" si="30"/>
        <v>1601528365</v>
      </c>
      <c r="J144" s="75">
        <f t="shared" si="30"/>
        <v>26600000</v>
      </c>
      <c r="K144" s="75">
        <f>SUM(K131:K143)</f>
        <v>14505212270</v>
      </c>
      <c r="L144" s="181">
        <f>K144/K130</f>
        <v>0.94623531991382748</v>
      </c>
      <c r="N144" s="75">
        <v>108928556660</v>
      </c>
      <c r="O144" s="250">
        <f>K144/N144</f>
        <v>0.13316262250013366</v>
      </c>
    </row>
    <row r="145" spans="1:15" outlineLevel="1" x14ac:dyDescent="0.25">
      <c r="A145" s="14">
        <v>11</v>
      </c>
      <c r="B145" s="1">
        <v>1</v>
      </c>
      <c r="C145" s="2" t="s">
        <v>0</v>
      </c>
      <c r="D145" s="132">
        <v>13</v>
      </c>
      <c r="E145" s="72">
        <v>1666649311</v>
      </c>
      <c r="F145" s="72">
        <v>0</v>
      </c>
      <c r="G145" s="72">
        <v>115910942</v>
      </c>
      <c r="H145" s="72">
        <v>0</v>
      </c>
      <c r="I145" s="72">
        <v>126066950</v>
      </c>
      <c r="J145" s="72">
        <v>0</v>
      </c>
      <c r="K145" s="128">
        <f>SUM(E145:J145)</f>
        <v>1908627203</v>
      </c>
      <c r="L145" s="182"/>
    </row>
    <row r="146" spans="1:15" outlineLevel="1" x14ac:dyDescent="0.25">
      <c r="A146" s="14">
        <v>11</v>
      </c>
      <c r="B146" s="3">
        <v>2</v>
      </c>
      <c r="C146" s="7" t="s">
        <v>1</v>
      </c>
      <c r="D146" s="133">
        <v>9</v>
      </c>
      <c r="E146" s="73">
        <v>398957583</v>
      </c>
      <c r="F146" s="73">
        <v>0</v>
      </c>
      <c r="G146" s="73">
        <v>173582964</v>
      </c>
      <c r="H146" s="73">
        <v>6512000</v>
      </c>
      <c r="I146" s="73">
        <v>65072445</v>
      </c>
      <c r="J146" s="73">
        <v>0</v>
      </c>
      <c r="K146" s="128">
        <f>SUM(E146:J146)</f>
        <v>644124992</v>
      </c>
      <c r="L146" s="182"/>
    </row>
    <row r="147" spans="1:15" outlineLevel="1" x14ac:dyDescent="0.25">
      <c r="A147" s="14">
        <v>11</v>
      </c>
      <c r="B147" s="3">
        <v>3</v>
      </c>
      <c r="C147" s="7" t="s">
        <v>2</v>
      </c>
      <c r="D147" s="133">
        <v>9</v>
      </c>
      <c r="E147" s="73">
        <v>193019141</v>
      </c>
      <c r="F147" s="73">
        <v>0</v>
      </c>
      <c r="G147" s="73">
        <v>14837401</v>
      </c>
      <c r="H147" s="73">
        <v>5250000</v>
      </c>
      <c r="I147" s="73">
        <v>32555255</v>
      </c>
      <c r="J147" s="73">
        <v>0</v>
      </c>
      <c r="K147" s="128">
        <f t="shared" ref="K147:K157" si="31">SUM(E147:J147)</f>
        <v>245661797</v>
      </c>
      <c r="L147" s="182"/>
    </row>
    <row r="148" spans="1:15" outlineLevel="1" x14ac:dyDescent="0.25">
      <c r="A148" s="14">
        <v>11</v>
      </c>
      <c r="B148" s="3">
        <v>4</v>
      </c>
      <c r="C148" s="7" t="s">
        <v>3</v>
      </c>
      <c r="D148" s="133">
        <v>29</v>
      </c>
      <c r="E148" s="73">
        <v>574929957</v>
      </c>
      <c r="F148" s="73">
        <v>51796508</v>
      </c>
      <c r="G148" s="73">
        <v>39512200</v>
      </c>
      <c r="H148" s="73">
        <v>19455000</v>
      </c>
      <c r="I148" s="73">
        <v>113305035</v>
      </c>
      <c r="J148" s="73">
        <v>0</v>
      </c>
      <c r="K148" s="128">
        <f t="shared" si="31"/>
        <v>798998700</v>
      </c>
      <c r="L148" s="182"/>
    </row>
    <row r="149" spans="1:15" outlineLevel="1" x14ac:dyDescent="0.25">
      <c r="A149" s="14">
        <v>11</v>
      </c>
      <c r="B149" s="3">
        <v>5</v>
      </c>
      <c r="C149" s="7" t="s">
        <v>4</v>
      </c>
      <c r="D149" s="133">
        <v>8</v>
      </c>
      <c r="E149" s="73">
        <v>211444985</v>
      </c>
      <c r="F149" s="73">
        <v>0</v>
      </c>
      <c r="G149" s="73">
        <v>15563198</v>
      </c>
      <c r="H149" s="73">
        <v>800000</v>
      </c>
      <c r="I149" s="73">
        <v>38435000</v>
      </c>
      <c r="J149" s="73">
        <v>0</v>
      </c>
      <c r="K149" s="128">
        <f t="shared" si="31"/>
        <v>266243183</v>
      </c>
      <c r="L149" s="182"/>
    </row>
    <row r="150" spans="1:15" outlineLevel="1" x14ac:dyDescent="0.25">
      <c r="A150" s="14">
        <v>11</v>
      </c>
      <c r="B150" s="3">
        <v>6</v>
      </c>
      <c r="C150" s="7" t="s">
        <v>5</v>
      </c>
      <c r="D150" s="133">
        <v>4</v>
      </c>
      <c r="E150" s="73">
        <v>122996451</v>
      </c>
      <c r="F150" s="73">
        <v>0</v>
      </c>
      <c r="G150" s="73">
        <v>8835757</v>
      </c>
      <c r="H150" s="73">
        <v>2025000</v>
      </c>
      <c r="I150" s="73">
        <v>34958750</v>
      </c>
      <c r="J150" s="73">
        <v>0</v>
      </c>
      <c r="K150" s="128">
        <f t="shared" si="31"/>
        <v>168815958</v>
      </c>
      <c r="L150" s="182"/>
    </row>
    <row r="151" spans="1:15" outlineLevel="1" x14ac:dyDescent="0.25">
      <c r="A151" s="14">
        <v>11</v>
      </c>
      <c r="B151" s="3">
        <v>7</v>
      </c>
      <c r="C151" s="7" t="s">
        <v>6</v>
      </c>
      <c r="D151" s="133">
        <v>48</v>
      </c>
      <c r="E151" s="73">
        <v>554835492</v>
      </c>
      <c r="F151" s="73">
        <v>151663660</v>
      </c>
      <c r="G151" s="73">
        <v>35457182</v>
      </c>
      <c r="H151" s="73">
        <v>71104312</v>
      </c>
      <c r="I151" s="73">
        <v>105864915</v>
      </c>
      <c r="J151" s="73">
        <v>0</v>
      </c>
      <c r="K151" s="128">
        <f t="shared" si="31"/>
        <v>918925561</v>
      </c>
      <c r="L151" s="182"/>
    </row>
    <row r="152" spans="1:15" outlineLevel="1" x14ac:dyDescent="0.25">
      <c r="A152" s="14">
        <v>11</v>
      </c>
      <c r="B152" s="3">
        <v>8</v>
      </c>
      <c r="C152" s="7" t="s">
        <v>7</v>
      </c>
      <c r="D152" s="133">
        <v>85</v>
      </c>
      <c r="E152" s="73">
        <v>1233693986</v>
      </c>
      <c r="F152" s="73">
        <v>275445780</v>
      </c>
      <c r="G152" s="73">
        <v>81743973</v>
      </c>
      <c r="H152" s="73">
        <v>115062857</v>
      </c>
      <c r="I152" s="73">
        <v>250565225</v>
      </c>
      <c r="J152" s="73">
        <v>0</v>
      </c>
      <c r="K152" s="128">
        <f t="shared" si="31"/>
        <v>1956511821</v>
      </c>
      <c r="L152" s="182"/>
    </row>
    <row r="153" spans="1:15" outlineLevel="1" x14ac:dyDescent="0.25">
      <c r="A153" s="14">
        <v>11</v>
      </c>
      <c r="B153" s="3">
        <v>9</v>
      </c>
      <c r="C153" s="7" t="s">
        <v>9</v>
      </c>
      <c r="D153" s="133">
        <v>44</v>
      </c>
      <c r="E153" s="73">
        <v>808306756</v>
      </c>
      <c r="F153" s="73">
        <v>81374538</v>
      </c>
      <c r="G153" s="73">
        <v>46602791</v>
      </c>
      <c r="H153" s="73">
        <v>45497812</v>
      </c>
      <c r="I153" s="73">
        <v>153808180</v>
      </c>
      <c r="J153" s="73">
        <v>12500000</v>
      </c>
      <c r="K153" s="128">
        <f t="shared" si="31"/>
        <v>1148090077</v>
      </c>
      <c r="L153" s="182"/>
    </row>
    <row r="154" spans="1:15" outlineLevel="1" x14ac:dyDescent="0.25">
      <c r="A154" s="14">
        <v>11</v>
      </c>
      <c r="B154" s="3">
        <v>10</v>
      </c>
      <c r="C154" s="7" t="s">
        <v>10</v>
      </c>
      <c r="D154" s="133">
        <v>43</v>
      </c>
      <c r="E154" s="73">
        <v>600826043</v>
      </c>
      <c r="F154" s="73">
        <v>0</v>
      </c>
      <c r="G154" s="73">
        <v>363563154</v>
      </c>
      <c r="H154" s="73">
        <v>13690000</v>
      </c>
      <c r="I154" s="73">
        <v>115375835</v>
      </c>
      <c r="J154" s="73">
        <v>0</v>
      </c>
      <c r="K154" s="128">
        <f t="shared" si="31"/>
        <v>1093455032</v>
      </c>
      <c r="L154" s="182"/>
    </row>
    <row r="155" spans="1:15" outlineLevel="1" x14ac:dyDescent="0.25">
      <c r="A155" s="14">
        <v>11</v>
      </c>
      <c r="B155" s="3">
        <v>11</v>
      </c>
      <c r="C155" s="7" t="s">
        <v>8</v>
      </c>
      <c r="D155" s="133">
        <v>83</v>
      </c>
      <c r="E155" s="73">
        <v>1049462494</v>
      </c>
      <c r="F155" s="73">
        <v>93568354</v>
      </c>
      <c r="G155" s="73">
        <v>58118901</v>
      </c>
      <c r="H155" s="73">
        <v>88897529</v>
      </c>
      <c r="I155" s="73">
        <v>180045180</v>
      </c>
      <c r="J155" s="73">
        <v>5000000</v>
      </c>
      <c r="K155" s="128">
        <f t="shared" si="31"/>
        <v>1475092458</v>
      </c>
      <c r="L155" s="182"/>
    </row>
    <row r="156" spans="1:15" outlineLevel="1" x14ac:dyDescent="0.25">
      <c r="A156" s="14">
        <v>11</v>
      </c>
      <c r="B156" s="3">
        <v>12</v>
      </c>
      <c r="C156" s="7" t="s">
        <v>8</v>
      </c>
      <c r="D156" s="133">
        <v>268</v>
      </c>
      <c r="E156" s="73">
        <v>2290332658</v>
      </c>
      <c r="F156" s="73">
        <v>359300470</v>
      </c>
      <c r="G156" s="73">
        <v>29102535</v>
      </c>
      <c r="H156" s="73">
        <v>374485535</v>
      </c>
      <c r="I156" s="73">
        <v>341053690</v>
      </c>
      <c r="J156" s="73">
        <v>0</v>
      </c>
      <c r="K156" s="128">
        <f t="shared" si="31"/>
        <v>3394274888</v>
      </c>
      <c r="L156" s="182"/>
    </row>
    <row r="157" spans="1:15" outlineLevel="1" x14ac:dyDescent="0.25">
      <c r="A157" s="14">
        <v>11</v>
      </c>
      <c r="B157" s="3">
        <v>13</v>
      </c>
      <c r="C157" s="4" t="s">
        <v>221</v>
      </c>
      <c r="D157" s="135">
        <v>1</v>
      </c>
      <c r="E157" s="125">
        <v>70504808</v>
      </c>
      <c r="F157" s="125">
        <v>0</v>
      </c>
      <c r="G157" s="125">
        <v>0</v>
      </c>
      <c r="H157" s="125">
        <v>0</v>
      </c>
      <c r="I157" s="125">
        <v>0</v>
      </c>
      <c r="J157" s="125">
        <v>0</v>
      </c>
      <c r="K157" s="128">
        <f t="shared" si="31"/>
        <v>70504808</v>
      </c>
      <c r="L157" s="182"/>
    </row>
    <row r="158" spans="1:15" x14ac:dyDescent="0.25">
      <c r="A158" s="14">
        <v>11</v>
      </c>
      <c r="B158" s="18"/>
      <c r="C158" s="19" t="s">
        <v>17</v>
      </c>
      <c r="D158" s="136">
        <f>SUM(D145:D157)</f>
        <v>644</v>
      </c>
      <c r="E158" s="75">
        <f>SUM(E145:E157)</f>
        <v>9775959665</v>
      </c>
      <c r="F158" s="75">
        <f t="shared" ref="F158:J158" si="32">SUM(F145:F157)</f>
        <v>1013149310</v>
      </c>
      <c r="G158" s="75">
        <f t="shared" si="32"/>
        <v>982830998</v>
      </c>
      <c r="H158" s="75">
        <f t="shared" si="32"/>
        <v>742780045</v>
      </c>
      <c r="I158" s="75">
        <f t="shared" si="32"/>
        <v>1557106460</v>
      </c>
      <c r="J158" s="75">
        <f t="shared" si="32"/>
        <v>17500000</v>
      </c>
      <c r="K158" s="75">
        <f>SUM(K145:K157)</f>
        <v>14089326478</v>
      </c>
      <c r="L158" s="181">
        <f>K158/K144</f>
        <v>0.97132852768655142</v>
      </c>
      <c r="N158" s="75">
        <v>88347880802</v>
      </c>
      <c r="O158" s="250">
        <f>K158/N158</f>
        <v>0.15947554542452647</v>
      </c>
    </row>
    <row r="159" spans="1:15" outlineLevel="1" x14ac:dyDescent="0.25">
      <c r="A159" s="14">
        <v>12</v>
      </c>
      <c r="B159" s="1">
        <v>1</v>
      </c>
      <c r="C159" s="2" t="s">
        <v>0</v>
      </c>
      <c r="D159" s="132">
        <f>VLOOKUP(C159,'02. ĐỊNH BIÊN'!$C$6:$AT$47,14,0)</f>
        <v>0</v>
      </c>
      <c r="E159" s="72">
        <f>SUMIFS('Data&gt;&gt; 2025'!$N:$N,'Data&gt;&gt; 2025'!$L:$L,'01. CP Nhân sự 2025'!$A159,'Data&gt;&gt; 2025'!$B:$B,'01. CP Nhân sự 2025'!$C159,'Data&gt;&gt; 2025'!$C:$C,'01. CP Nhân sự 2025'!E$4)</f>
        <v>1770933698</v>
      </c>
      <c r="F159" s="72">
        <f>SUMIFS('Data&gt;&gt; 2025'!$N:$N,'Data&gt;&gt; 2025'!$L:$L,'01. CP Nhân sự 2025'!$A159,'Data&gt;&gt; 2025'!$B:$B,'01. CP Nhân sự 2025'!$C159,'Data&gt;&gt; 2025'!$C:$C,'01. CP Nhân sự 2025'!F$4)</f>
        <v>0</v>
      </c>
      <c r="G159" s="72">
        <f>SUMIFS('Data&gt;&gt; 2025'!$N:$N,'Data&gt;&gt; 2025'!$L:$L,'01. CP Nhân sự 2025'!$A159,'Data&gt;&gt; 2025'!$B:$B,'01. CP Nhân sự 2025'!$C159,'Data&gt;&gt; 2025'!$C:$C,'01. CP Nhân sự 2025'!G$4)</f>
        <v>1267668967</v>
      </c>
      <c r="H159" s="72">
        <f>SUMIFS('Data&gt;&gt; 2025'!$N:$N,'Data&gt;&gt; 2025'!$L:$L,'01. CP Nhân sự 2025'!$A159,'Data&gt;&gt; 2025'!$B:$B,'01. CP Nhân sự 2025'!$C159,'Data&gt;&gt; 2025'!$C:$C,'01. CP Nhân sự 2025'!H$4)</f>
        <v>150000</v>
      </c>
      <c r="I159" s="72">
        <f>SUMIFS('Data&gt;&gt; 2025'!$N:$N,'Data&gt;&gt; 2025'!$L:$L,'01. CP Nhân sự 2025'!$A159,'Data&gt;&gt; 2025'!$B:$B,'01. CP Nhân sự 2025'!$C159,'Data&gt;&gt; 2025'!$C:$C,'01. CP Nhân sự 2025'!I$4)</f>
        <v>137066950</v>
      </c>
      <c r="J159" s="72">
        <f>SUMIFS('Data&gt;&gt; 2025'!$N:$N,'Data&gt;&gt; 2025'!$L:$L,'01. CP Nhân sự 2025'!$A159,'Data&gt;&gt; 2025'!$B:$B,'01. CP Nhân sự 2025'!$C159,'Data&gt;&gt; 2025'!$C:$C,'01. CP Nhân sự 2025'!J$4)</f>
        <v>1656873038</v>
      </c>
      <c r="K159" s="128">
        <f>SUM(E159:J159)</f>
        <v>4832692653</v>
      </c>
      <c r="L159" s="182"/>
    </row>
    <row r="160" spans="1:15" outlineLevel="1" x14ac:dyDescent="0.25">
      <c r="A160" s="14">
        <v>12</v>
      </c>
      <c r="B160" s="3">
        <v>2</v>
      </c>
      <c r="C160" s="7" t="s">
        <v>1</v>
      </c>
      <c r="D160" s="133">
        <f>VLOOKUP(C160,'02. ĐỊNH BIÊN'!$C$6:$AT$47,14,0)</f>
        <v>0</v>
      </c>
      <c r="E160" s="73">
        <f>SUMIFS('Data&gt;&gt; 2025'!$N:$N,'Data&gt;&gt; 2025'!$L:$L,'01. CP Nhân sự 2025'!$A160,'Data&gt;&gt; 2025'!$B:$B,'01. CP Nhân sự 2025'!$C160,'Data&gt;&gt; 2025'!$C:$C,'01. CP Nhân sự 2025'!E$4)</f>
        <v>473588838</v>
      </c>
      <c r="F160" s="73">
        <f>SUMIFS('Data&gt;&gt; 2025'!$N:$N,'Data&gt;&gt; 2025'!$L:$L,'01. CP Nhân sự 2025'!$A160,'Data&gt;&gt; 2025'!$B:$B,'01. CP Nhân sự 2025'!$C160,'Data&gt;&gt; 2025'!$C:$C,'01. CP Nhân sự 2025'!F$4)</f>
        <v>0</v>
      </c>
      <c r="G160" s="73">
        <f>SUMIFS('Data&gt;&gt; 2025'!$N:$N,'Data&gt;&gt; 2025'!$L:$L,'01. CP Nhân sự 2025'!$A160,'Data&gt;&gt; 2025'!$B:$B,'01. CP Nhân sự 2025'!$C160,'Data&gt;&gt; 2025'!$C:$C,'01. CP Nhân sự 2025'!G$4)</f>
        <v>225223031</v>
      </c>
      <c r="H160" s="73">
        <f>SUMIFS('Data&gt;&gt; 2025'!$N:$N,'Data&gt;&gt; 2025'!$L:$L,'01. CP Nhân sự 2025'!$A160,'Data&gt;&gt; 2025'!$B:$B,'01. CP Nhân sự 2025'!$C160,'Data&gt;&gt; 2025'!$C:$C,'01. CP Nhân sự 2025'!H$4)</f>
        <v>6459000</v>
      </c>
      <c r="I160" s="73">
        <f>SUMIFS('Data&gt;&gt; 2025'!$N:$N,'Data&gt;&gt; 2025'!$L:$L,'01. CP Nhân sự 2025'!$A160,'Data&gt;&gt; 2025'!$B:$B,'01. CP Nhân sự 2025'!$C160,'Data&gt;&gt; 2025'!$C:$C,'01. CP Nhân sự 2025'!I$4)</f>
        <v>65072445</v>
      </c>
      <c r="J160" s="73">
        <f>SUMIFS('Data&gt;&gt; 2025'!$N:$N,'Data&gt;&gt; 2025'!$L:$L,'01. CP Nhân sự 2025'!$A160,'Data&gt;&gt; 2025'!$B:$B,'01. CP Nhân sự 2025'!$C160,'Data&gt;&gt; 2025'!$C:$C,'01. CP Nhân sự 2025'!J$4)</f>
        <v>0</v>
      </c>
      <c r="K160" s="128">
        <f>SUM(E160:J160)</f>
        <v>770343314</v>
      </c>
      <c r="L160" s="182"/>
    </row>
    <row r="161" spans="1:15" outlineLevel="1" x14ac:dyDescent="0.25">
      <c r="A161" s="14">
        <v>12</v>
      </c>
      <c r="B161" s="3">
        <v>3</v>
      </c>
      <c r="C161" s="7" t="s">
        <v>2</v>
      </c>
      <c r="D161" s="133">
        <f>VLOOKUP(C161,'02. ĐỊNH BIÊN'!$C$6:$AT$47,14,0)</f>
        <v>0</v>
      </c>
      <c r="E161" s="73">
        <f>SUMIFS('Data&gt;&gt; 2025'!$N:$N,'Data&gt;&gt; 2025'!$L:$L,'01. CP Nhân sự 2025'!$A161,'Data&gt;&gt; 2025'!$B:$B,'01. CP Nhân sự 2025'!$C161,'Data&gt;&gt; 2025'!$C:$C,'01. CP Nhân sự 2025'!E$4)</f>
        <v>182514753</v>
      </c>
      <c r="F161" s="73">
        <f>SUMIFS('Data&gt;&gt; 2025'!$N:$N,'Data&gt;&gt; 2025'!$L:$L,'01. CP Nhân sự 2025'!$A161,'Data&gt;&gt; 2025'!$B:$B,'01. CP Nhân sự 2025'!$C161,'Data&gt;&gt; 2025'!$C:$C,'01. CP Nhân sự 2025'!F$4)</f>
        <v>0</v>
      </c>
      <c r="G161" s="73">
        <f>SUMIFS('Data&gt;&gt; 2025'!$N:$N,'Data&gt;&gt; 2025'!$L:$L,'01. CP Nhân sự 2025'!$A161,'Data&gt;&gt; 2025'!$B:$B,'01. CP Nhân sự 2025'!$C161,'Data&gt;&gt; 2025'!$C:$C,'01. CP Nhân sự 2025'!G$4)</f>
        <v>63272005</v>
      </c>
      <c r="H161" s="73">
        <f>SUMIFS('Data&gt;&gt; 2025'!$N:$N,'Data&gt;&gt; 2025'!$L:$L,'01. CP Nhân sự 2025'!$A161,'Data&gt;&gt; 2025'!$B:$B,'01. CP Nhân sự 2025'!$C161,'Data&gt;&gt; 2025'!$C:$C,'01. CP Nhân sự 2025'!H$4)</f>
        <v>6000000</v>
      </c>
      <c r="I161" s="73">
        <f>SUMIFS('Data&gt;&gt; 2025'!$N:$N,'Data&gt;&gt; 2025'!$L:$L,'01. CP Nhân sự 2025'!$A161,'Data&gt;&gt; 2025'!$B:$B,'01. CP Nhân sự 2025'!$C161,'Data&gt;&gt; 2025'!$C:$C,'01. CP Nhân sự 2025'!I$4)</f>
        <v>43635255</v>
      </c>
      <c r="J161" s="73">
        <f>SUMIFS('Data&gt;&gt; 2025'!$N:$N,'Data&gt;&gt; 2025'!$L:$L,'01. CP Nhân sự 2025'!$A161,'Data&gt;&gt; 2025'!$B:$B,'01. CP Nhân sự 2025'!$C161,'Data&gt;&gt; 2025'!$C:$C,'01. CP Nhân sự 2025'!J$4)</f>
        <v>0</v>
      </c>
      <c r="K161" s="128">
        <f t="shared" ref="K161:K171" si="33">SUM(E161:J161)</f>
        <v>295422013</v>
      </c>
      <c r="L161" s="182"/>
    </row>
    <row r="162" spans="1:15" outlineLevel="1" x14ac:dyDescent="0.25">
      <c r="A162" s="14">
        <v>12</v>
      </c>
      <c r="B162" s="3">
        <v>4</v>
      </c>
      <c r="C162" s="7" t="s">
        <v>3</v>
      </c>
      <c r="D162" s="133">
        <f>VLOOKUP(C162,'02. ĐỊNH BIÊN'!$C$6:$AT$47,14,0)</f>
        <v>0</v>
      </c>
      <c r="E162" s="73">
        <f>SUMIFS('Data&gt;&gt; 2025'!$N:$N,'Data&gt;&gt; 2025'!$L:$L,'01. CP Nhân sự 2025'!$A162,'Data&gt;&gt; 2025'!$B:$B,'01. CP Nhân sự 2025'!$C162,'Data&gt;&gt; 2025'!$C:$C,'01. CP Nhân sự 2025'!E$4)</f>
        <v>567861661</v>
      </c>
      <c r="F162" s="73">
        <f>SUMIFS('Data&gt;&gt; 2025'!$N:$N,'Data&gt;&gt; 2025'!$L:$L,'01. CP Nhân sự 2025'!$A162,'Data&gt;&gt; 2025'!$B:$B,'01. CP Nhân sự 2025'!$C162,'Data&gt;&gt; 2025'!$C:$C,'01. CP Nhân sự 2025'!F$4)</f>
        <v>51263863</v>
      </c>
      <c r="G162" s="73">
        <f>SUMIFS('Data&gt;&gt; 2025'!$N:$N,'Data&gt;&gt; 2025'!$L:$L,'01. CP Nhân sự 2025'!$A162,'Data&gt;&gt; 2025'!$B:$B,'01. CP Nhân sự 2025'!$C162,'Data&gt;&gt; 2025'!$C:$C,'01. CP Nhân sự 2025'!G$4)</f>
        <v>394127526</v>
      </c>
      <c r="H162" s="73">
        <f>SUMIFS('Data&gt;&gt; 2025'!$N:$N,'Data&gt;&gt; 2025'!$L:$L,'01. CP Nhân sự 2025'!$A162,'Data&gt;&gt; 2025'!$B:$B,'01. CP Nhân sự 2025'!$C162,'Data&gt;&gt; 2025'!$C:$C,'01. CP Nhân sự 2025'!H$4)</f>
        <v>19755000</v>
      </c>
      <c r="I162" s="73">
        <f>SUMIFS('Data&gt;&gt; 2025'!$N:$N,'Data&gt;&gt; 2025'!$L:$L,'01. CP Nhân sự 2025'!$A162,'Data&gt;&gt; 2025'!$B:$B,'01. CP Nhân sự 2025'!$C162,'Data&gt;&gt; 2025'!$C:$C,'01. CP Nhân sự 2025'!I$4)</f>
        <v>115039335</v>
      </c>
      <c r="J162" s="73">
        <f>SUMIFS('Data&gt;&gt; 2025'!$N:$N,'Data&gt;&gt; 2025'!$L:$L,'01. CP Nhân sự 2025'!$A162,'Data&gt;&gt; 2025'!$B:$B,'01. CP Nhân sự 2025'!$C162,'Data&gt;&gt; 2025'!$C:$C,'01. CP Nhân sự 2025'!J$4)</f>
        <v>0</v>
      </c>
      <c r="K162" s="128">
        <f t="shared" si="33"/>
        <v>1148047385</v>
      </c>
      <c r="L162" s="182"/>
    </row>
    <row r="163" spans="1:15" outlineLevel="1" x14ac:dyDescent="0.25">
      <c r="A163" s="14">
        <v>12</v>
      </c>
      <c r="B163" s="3">
        <v>5</v>
      </c>
      <c r="C163" s="7" t="s">
        <v>4</v>
      </c>
      <c r="D163" s="133">
        <f>VLOOKUP(C163,'02. ĐỊNH BIÊN'!$C$6:$AT$47,14,0)</f>
        <v>0</v>
      </c>
      <c r="E163" s="73">
        <f>SUMIFS('Data&gt;&gt; 2025'!$N:$N,'Data&gt;&gt; 2025'!$L:$L,'01. CP Nhân sự 2025'!$A163,'Data&gt;&gt; 2025'!$B:$B,'01. CP Nhân sự 2025'!$C163,'Data&gt;&gt; 2025'!$C:$C,'01. CP Nhân sự 2025'!E$4)</f>
        <v>230509025</v>
      </c>
      <c r="F163" s="73">
        <f>SUMIFS('Data&gt;&gt; 2025'!$N:$N,'Data&gt;&gt; 2025'!$L:$L,'01. CP Nhân sự 2025'!$A163,'Data&gt;&gt; 2025'!$B:$B,'01. CP Nhân sự 2025'!$C163,'Data&gt;&gt; 2025'!$C:$C,'01. CP Nhân sự 2025'!F$4)</f>
        <v>0</v>
      </c>
      <c r="G163" s="73">
        <f>SUMIFS('Data&gt;&gt; 2025'!$N:$N,'Data&gt;&gt; 2025'!$L:$L,'01. CP Nhân sự 2025'!$A163,'Data&gt;&gt; 2025'!$B:$B,'01. CP Nhân sự 2025'!$C163,'Data&gt;&gt; 2025'!$C:$C,'01. CP Nhân sự 2025'!G$4)</f>
        <v>72346038</v>
      </c>
      <c r="H163" s="73">
        <f>SUMIFS('Data&gt;&gt; 2025'!$N:$N,'Data&gt;&gt; 2025'!$L:$L,'01. CP Nhân sự 2025'!$A163,'Data&gt;&gt; 2025'!$B:$B,'01. CP Nhân sự 2025'!$C163,'Data&gt;&gt; 2025'!$C:$C,'01. CP Nhân sự 2025'!H$4)</f>
        <v>1200000</v>
      </c>
      <c r="I163" s="73">
        <f>SUMIFS('Data&gt;&gt; 2025'!$N:$N,'Data&gt;&gt; 2025'!$L:$L,'01. CP Nhân sự 2025'!$A163,'Data&gt;&gt; 2025'!$B:$B,'01. CP Nhân sự 2025'!$C163,'Data&gt;&gt; 2025'!$C:$C,'01. CP Nhân sự 2025'!I$4)</f>
        <v>38435000</v>
      </c>
      <c r="J163" s="73">
        <f>SUMIFS('Data&gt;&gt; 2025'!$N:$N,'Data&gt;&gt; 2025'!$L:$L,'01. CP Nhân sự 2025'!$A163,'Data&gt;&gt; 2025'!$B:$B,'01. CP Nhân sự 2025'!$C163,'Data&gt;&gt; 2025'!$C:$C,'01. CP Nhân sự 2025'!J$4)</f>
        <v>0</v>
      </c>
      <c r="K163" s="128">
        <f t="shared" si="33"/>
        <v>342490063</v>
      </c>
      <c r="L163" s="182"/>
    </row>
    <row r="164" spans="1:15" outlineLevel="1" x14ac:dyDescent="0.25">
      <c r="A164" s="14">
        <v>12</v>
      </c>
      <c r="B164" s="3">
        <v>6</v>
      </c>
      <c r="C164" s="7" t="s">
        <v>5</v>
      </c>
      <c r="D164" s="133">
        <f>VLOOKUP(C164,'02. ĐỊNH BIÊN'!$C$6:$AT$47,14,0)</f>
        <v>0</v>
      </c>
      <c r="E164" s="73">
        <f>SUMIFS('Data&gt;&gt; 2025'!$N:$N,'Data&gt;&gt; 2025'!$L:$L,'01. CP Nhân sự 2025'!$A164,'Data&gt;&gt; 2025'!$B:$B,'01. CP Nhân sự 2025'!$C164,'Data&gt;&gt; 2025'!$C:$C,'01. CP Nhân sự 2025'!E$4)</f>
        <v>135009015</v>
      </c>
      <c r="F164" s="73">
        <f>SUMIFS('Data&gt;&gt; 2025'!$N:$N,'Data&gt;&gt; 2025'!$L:$L,'01. CP Nhân sự 2025'!$A164,'Data&gt;&gt; 2025'!$B:$B,'01. CP Nhân sự 2025'!$C164,'Data&gt;&gt; 2025'!$C:$C,'01. CP Nhân sự 2025'!F$4)</f>
        <v>0</v>
      </c>
      <c r="G164" s="73">
        <f>SUMIFS('Data&gt;&gt; 2025'!$N:$N,'Data&gt;&gt; 2025'!$L:$L,'01. CP Nhân sự 2025'!$A164,'Data&gt;&gt; 2025'!$B:$B,'01. CP Nhân sự 2025'!$C164,'Data&gt;&gt; 2025'!$C:$C,'01. CP Nhân sự 2025'!G$4)</f>
        <v>69213268</v>
      </c>
      <c r="H164" s="73">
        <f>SUMIFS('Data&gt;&gt; 2025'!$N:$N,'Data&gt;&gt; 2025'!$L:$L,'01. CP Nhân sự 2025'!$A164,'Data&gt;&gt; 2025'!$B:$B,'01. CP Nhân sự 2025'!$C164,'Data&gt;&gt; 2025'!$C:$C,'01. CP Nhân sự 2025'!H$4)</f>
        <v>2300000</v>
      </c>
      <c r="I164" s="73">
        <f>SUMIFS('Data&gt;&gt; 2025'!$N:$N,'Data&gt;&gt; 2025'!$L:$L,'01. CP Nhân sự 2025'!$A164,'Data&gt;&gt; 2025'!$B:$B,'01. CP Nhân sự 2025'!$C164,'Data&gt;&gt; 2025'!$C:$C,'01. CP Nhân sự 2025'!I$4)</f>
        <v>34958750</v>
      </c>
      <c r="J164" s="73">
        <f>SUMIFS('Data&gt;&gt; 2025'!$N:$N,'Data&gt;&gt; 2025'!$L:$L,'01. CP Nhân sự 2025'!$A164,'Data&gt;&gt; 2025'!$B:$B,'01. CP Nhân sự 2025'!$C164,'Data&gt;&gt; 2025'!$C:$C,'01. CP Nhân sự 2025'!J$4)</f>
        <v>0</v>
      </c>
      <c r="K164" s="128">
        <f t="shared" si="33"/>
        <v>241481033</v>
      </c>
      <c r="L164" s="182"/>
    </row>
    <row r="165" spans="1:15" outlineLevel="1" x14ac:dyDescent="0.25">
      <c r="A165" s="14">
        <v>12</v>
      </c>
      <c r="B165" s="3">
        <v>7</v>
      </c>
      <c r="C165" s="7" t="s">
        <v>6</v>
      </c>
      <c r="D165" s="133">
        <f>VLOOKUP(C165,'02. ĐỊNH BIÊN'!$C$6:$AT$47,14,0)</f>
        <v>0</v>
      </c>
      <c r="E165" s="73">
        <f>SUMIFS('Data&gt;&gt; 2025'!$N:$N,'Data&gt;&gt; 2025'!$L:$L,'01. CP Nhân sự 2025'!$A165,'Data&gt;&gt; 2025'!$B:$B,'01. CP Nhân sự 2025'!$C165,'Data&gt;&gt; 2025'!$C:$C,'01. CP Nhân sự 2025'!E$4)</f>
        <v>498745770</v>
      </c>
      <c r="F165" s="73">
        <f>SUMIFS('Data&gt;&gt; 2025'!$N:$N,'Data&gt;&gt; 2025'!$L:$L,'01. CP Nhân sự 2025'!$A165,'Data&gt;&gt; 2025'!$B:$B,'01. CP Nhân sự 2025'!$C165,'Data&gt;&gt; 2025'!$C:$C,'01. CP Nhân sự 2025'!F$4)</f>
        <v>154590071</v>
      </c>
      <c r="G165" s="73">
        <f>SUMIFS('Data&gt;&gt; 2025'!$N:$N,'Data&gt;&gt; 2025'!$L:$L,'01. CP Nhân sự 2025'!$A165,'Data&gt;&gt; 2025'!$B:$B,'01. CP Nhân sự 2025'!$C165,'Data&gt;&gt; 2025'!$C:$C,'01. CP Nhân sự 2025'!G$4)</f>
        <v>255338714</v>
      </c>
      <c r="H165" s="73">
        <f>SUMIFS('Data&gt;&gt; 2025'!$N:$N,'Data&gt;&gt; 2025'!$L:$L,'01. CP Nhân sự 2025'!$A165,'Data&gt;&gt; 2025'!$B:$B,'01. CP Nhân sự 2025'!$C165,'Data&gt;&gt; 2025'!$C:$C,'01. CP Nhân sự 2025'!H$4)</f>
        <v>68905395</v>
      </c>
      <c r="I165" s="73">
        <f>SUMIFS('Data&gt;&gt; 2025'!$N:$N,'Data&gt;&gt; 2025'!$L:$L,'01. CP Nhân sự 2025'!$A165,'Data&gt;&gt; 2025'!$B:$B,'01. CP Nhân sự 2025'!$C165,'Data&gt;&gt; 2025'!$C:$C,'01. CP Nhân sự 2025'!I$4)</f>
        <v>105984915</v>
      </c>
      <c r="J165" s="73">
        <f>SUMIFS('Data&gt;&gt; 2025'!$N:$N,'Data&gt;&gt; 2025'!$L:$L,'01. CP Nhân sự 2025'!$A165,'Data&gt;&gt; 2025'!$B:$B,'01. CP Nhân sự 2025'!$C165,'Data&gt;&gt; 2025'!$C:$C,'01. CP Nhân sự 2025'!J$4)</f>
        <v>0</v>
      </c>
      <c r="K165" s="128">
        <f t="shared" si="33"/>
        <v>1083564865</v>
      </c>
      <c r="L165" s="182"/>
    </row>
    <row r="166" spans="1:15" outlineLevel="1" x14ac:dyDescent="0.25">
      <c r="A166" s="14">
        <v>12</v>
      </c>
      <c r="B166" s="3">
        <v>8</v>
      </c>
      <c r="C166" s="7" t="s">
        <v>7</v>
      </c>
      <c r="D166" s="133">
        <f>VLOOKUP(C166,'02. ĐỊNH BIÊN'!$C$6:$AT$47,14,0)</f>
        <v>0</v>
      </c>
      <c r="E166" s="73">
        <f>SUMIFS('Data&gt;&gt; 2025'!$N:$N,'Data&gt;&gt; 2025'!$L:$L,'01. CP Nhân sự 2025'!$A166,'Data&gt;&gt; 2025'!$B:$B,'01. CP Nhân sự 2025'!$C166,'Data&gt;&gt; 2025'!$C:$C,'01. CP Nhân sự 2025'!E$4)</f>
        <v>1294679635</v>
      </c>
      <c r="F166" s="73">
        <f>SUMIFS('Data&gt;&gt; 2025'!$N:$N,'Data&gt;&gt; 2025'!$L:$L,'01. CP Nhân sự 2025'!$A166,'Data&gt;&gt; 2025'!$B:$B,'01. CP Nhân sự 2025'!$C166,'Data&gt;&gt; 2025'!$C:$C,'01. CP Nhân sự 2025'!F$4)</f>
        <v>297663882</v>
      </c>
      <c r="G166" s="73">
        <f>SUMIFS('Data&gt;&gt; 2025'!$N:$N,'Data&gt;&gt; 2025'!$L:$L,'01. CP Nhân sự 2025'!$A166,'Data&gt;&gt; 2025'!$B:$B,'01. CP Nhân sự 2025'!$C166,'Data&gt;&gt; 2025'!$C:$C,'01. CP Nhân sự 2025'!G$4)</f>
        <v>631439729</v>
      </c>
      <c r="H166" s="73">
        <f>SUMIFS('Data&gt;&gt; 2025'!$N:$N,'Data&gt;&gt; 2025'!$L:$L,'01. CP Nhân sự 2025'!$A166,'Data&gt;&gt; 2025'!$B:$B,'01. CP Nhân sự 2025'!$C166,'Data&gt;&gt; 2025'!$C:$C,'01. CP Nhân sự 2025'!H$4)</f>
        <v>118879625</v>
      </c>
      <c r="I166" s="73">
        <f>SUMIFS('Data&gt;&gt; 2025'!$N:$N,'Data&gt;&gt; 2025'!$L:$L,'01. CP Nhân sự 2025'!$A166,'Data&gt;&gt; 2025'!$B:$B,'01. CP Nhân sự 2025'!$C166,'Data&gt;&gt; 2025'!$C:$C,'01. CP Nhân sự 2025'!I$4)</f>
        <v>261874725</v>
      </c>
      <c r="J166" s="73">
        <f>SUMIFS('Data&gt;&gt; 2025'!$N:$N,'Data&gt;&gt; 2025'!$L:$L,'01. CP Nhân sự 2025'!$A166,'Data&gt;&gt; 2025'!$B:$B,'01. CP Nhân sự 2025'!$C166,'Data&gt;&gt; 2025'!$C:$C,'01. CP Nhân sự 2025'!J$4)</f>
        <v>0</v>
      </c>
      <c r="K166" s="128">
        <f t="shared" si="33"/>
        <v>2604537596</v>
      </c>
      <c r="L166" s="182"/>
    </row>
    <row r="167" spans="1:15" outlineLevel="1" x14ac:dyDescent="0.25">
      <c r="A167" s="14">
        <v>12</v>
      </c>
      <c r="B167" s="3">
        <v>9</v>
      </c>
      <c r="C167" s="7" t="s">
        <v>9</v>
      </c>
      <c r="D167" s="133">
        <f>VLOOKUP(C167,'02. ĐỊNH BIÊN'!$C$6:$AT$47,14,0)</f>
        <v>0</v>
      </c>
      <c r="E167" s="73">
        <f>SUMIFS('Data&gt;&gt; 2025'!$N:$N,'Data&gt;&gt; 2025'!$L:$L,'01. CP Nhân sự 2025'!$A167,'Data&gt;&gt; 2025'!$B:$B,'01. CP Nhân sự 2025'!$C167,'Data&gt;&gt; 2025'!$C:$C,'01. CP Nhân sự 2025'!E$4)</f>
        <v>791340046</v>
      </c>
      <c r="F167" s="73">
        <f>SUMIFS('Data&gt;&gt; 2025'!$N:$N,'Data&gt;&gt; 2025'!$L:$L,'01. CP Nhân sự 2025'!$A167,'Data&gt;&gt; 2025'!$B:$B,'01. CP Nhân sự 2025'!$C167,'Data&gt;&gt; 2025'!$C:$C,'01. CP Nhân sự 2025'!F$4)</f>
        <v>74783511</v>
      </c>
      <c r="G167" s="73">
        <f>SUMIFS('Data&gt;&gt; 2025'!$N:$N,'Data&gt;&gt; 2025'!$L:$L,'01. CP Nhân sự 2025'!$A167,'Data&gt;&gt; 2025'!$B:$B,'01. CP Nhân sự 2025'!$C167,'Data&gt;&gt; 2025'!$C:$C,'01. CP Nhân sự 2025'!G$4)</f>
        <v>355305154</v>
      </c>
      <c r="H167" s="73">
        <f>SUMIFS('Data&gt;&gt; 2025'!$N:$N,'Data&gt;&gt; 2025'!$L:$L,'01. CP Nhân sự 2025'!$A167,'Data&gt;&gt; 2025'!$B:$B,'01. CP Nhân sự 2025'!$C167,'Data&gt;&gt; 2025'!$C:$C,'01. CP Nhân sự 2025'!H$4)</f>
        <v>43448053</v>
      </c>
      <c r="I167" s="73">
        <f>SUMIFS('Data&gt;&gt; 2025'!$N:$N,'Data&gt;&gt; 2025'!$L:$L,'01. CP Nhân sự 2025'!$A167,'Data&gt;&gt; 2025'!$B:$B,'01. CP Nhân sự 2025'!$C167,'Data&gt;&gt; 2025'!$C:$C,'01. CP Nhân sự 2025'!I$4)</f>
        <v>153177495</v>
      </c>
      <c r="J167" s="73">
        <f>SUMIFS('Data&gt;&gt; 2025'!$N:$N,'Data&gt;&gt; 2025'!$L:$L,'01. CP Nhân sự 2025'!$A167,'Data&gt;&gt; 2025'!$B:$B,'01. CP Nhân sự 2025'!$C167,'Data&gt;&gt; 2025'!$C:$C,'01. CP Nhân sự 2025'!J$4)</f>
        <v>1580526669</v>
      </c>
      <c r="K167" s="128">
        <f t="shared" si="33"/>
        <v>2998580928</v>
      </c>
      <c r="L167" s="182"/>
    </row>
    <row r="168" spans="1:15" outlineLevel="1" x14ac:dyDescent="0.25">
      <c r="A168" s="14">
        <v>12</v>
      </c>
      <c r="B168" s="3">
        <v>10</v>
      </c>
      <c r="C168" s="7" t="s">
        <v>10</v>
      </c>
      <c r="D168" s="133">
        <f>VLOOKUP(C168,'02. ĐỊNH BIÊN'!$C$6:$AT$47,14,0)</f>
        <v>0</v>
      </c>
      <c r="E168" s="73">
        <f>SUMIFS('Data&gt;&gt; 2025'!$N:$N,'Data&gt;&gt; 2025'!$L:$L,'01. CP Nhân sự 2025'!$A168,'Data&gt;&gt; 2025'!$B:$B,'01. CP Nhân sự 2025'!$C168,'Data&gt;&gt; 2025'!$C:$C,'01. CP Nhân sự 2025'!E$4)</f>
        <v>570832235</v>
      </c>
      <c r="F168" s="73">
        <f>SUMIFS('Data&gt;&gt; 2025'!$N:$N,'Data&gt;&gt; 2025'!$L:$L,'01. CP Nhân sự 2025'!$A168,'Data&gt;&gt; 2025'!$B:$B,'01. CP Nhân sự 2025'!$C168,'Data&gt;&gt; 2025'!$C:$C,'01. CP Nhân sự 2025'!F$4)</f>
        <v>0</v>
      </c>
      <c r="G168" s="73">
        <f>SUMIFS('Data&gt;&gt; 2025'!$N:$N,'Data&gt;&gt; 2025'!$L:$L,'01. CP Nhân sự 2025'!$A168,'Data&gt;&gt; 2025'!$B:$B,'01. CP Nhân sự 2025'!$C168,'Data&gt;&gt; 2025'!$C:$C,'01. CP Nhân sự 2025'!G$4)</f>
        <v>511400463</v>
      </c>
      <c r="H168" s="73">
        <f>SUMIFS('Data&gt;&gt; 2025'!$N:$N,'Data&gt;&gt; 2025'!$L:$L,'01. CP Nhân sự 2025'!$A168,'Data&gt;&gt; 2025'!$B:$B,'01. CP Nhân sự 2025'!$C168,'Data&gt;&gt; 2025'!$C:$C,'01. CP Nhân sự 2025'!H$4)</f>
        <v>15085000</v>
      </c>
      <c r="I168" s="73">
        <f>SUMIFS('Data&gt;&gt; 2025'!$N:$N,'Data&gt;&gt; 2025'!$L:$L,'01. CP Nhân sự 2025'!$A168,'Data&gt;&gt; 2025'!$B:$B,'01. CP Nhân sự 2025'!$C168,'Data&gt;&gt; 2025'!$C:$C,'01. CP Nhân sự 2025'!I$4)</f>
        <v>116574335</v>
      </c>
      <c r="J168" s="73">
        <f>SUMIFS('Data&gt;&gt; 2025'!$N:$N,'Data&gt;&gt; 2025'!$L:$L,'01. CP Nhân sự 2025'!$A168,'Data&gt;&gt; 2025'!$B:$B,'01. CP Nhân sự 2025'!$C168,'Data&gt;&gt; 2025'!$C:$C,'01. CP Nhân sự 2025'!J$4)</f>
        <v>0</v>
      </c>
      <c r="K168" s="128">
        <f t="shared" si="33"/>
        <v>1213892033</v>
      </c>
      <c r="L168" s="182"/>
    </row>
    <row r="169" spans="1:15" outlineLevel="1" x14ac:dyDescent="0.25">
      <c r="A169" s="14">
        <v>12</v>
      </c>
      <c r="B169" s="3">
        <v>11</v>
      </c>
      <c r="C169" s="7" t="s">
        <v>8</v>
      </c>
      <c r="D169" s="133">
        <f>VLOOKUP(C169,'02. ĐỊNH BIÊN'!$C$6:$AT$47,14,0)</f>
        <v>0</v>
      </c>
      <c r="E169" s="73">
        <f>SUMIFS('Data&gt;&gt; 2025'!$N:$N,'Data&gt;&gt; 2025'!$L:$L,'01. CP Nhân sự 2025'!$A169,'Data&gt;&gt; 2025'!$B:$B,'01. CP Nhân sự 2025'!$C169,'Data&gt;&gt; 2025'!$C:$C,'01. CP Nhân sự 2025'!E$4,'Data&gt;&gt; 2025'!$A:$A,627)</f>
        <v>962751759</v>
      </c>
      <c r="F169" s="73">
        <f>SUMIFS('Data&gt;&gt; 2025'!$N:$N,'Data&gt;&gt; 2025'!$L:$L,'01. CP Nhân sự 2025'!$A169,'Data&gt;&gt; 2025'!$B:$B,'01. CP Nhân sự 2025'!$C169,'Data&gt;&gt; 2025'!$C:$C,'01. CP Nhân sự 2025'!F$4,'Data&gt;&gt; 2025'!$A:$A,627)</f>
        <v>93893329</v>
      </c>
      <c r="G169" s="73">
        <f>SUMIFS('Data&gt;&gt; 2025'!$N:$N,'Data&gt;&gt; 2025'!$L:$L,'01. CP Nhân sự 2025'!$A169,'Data&gt;&gt; 2025'!$B:$B,'01. CP Nhân sự 2025'!$C169,'Data&gt;&gt; 2025'!$C:$C,'01. CP Nhân sự 2025'!G$4,'Data&gt;&gt; 2025'!$A:$A,627)</f>
        <v>556437251</v>
      </c>
      <c r="H169" s="73">
        <f>SUMIFS('Data&gt;&gt; 2025'!$N:$N,'Data&gt;&gt; 2025'!$L:$L,'01. CP Nhân sự 2025'!$A169,'Data&gt;&gt; 2025'!$B:$B,'01. CP Nhân sự 2025'!$C169,'Data&gt;&gt; 2025'!$C:$C,'01. CP Nhân sự 2025'!H$4,'Data&gt;&gt; 2025'!$A:$A,627)</f>
        <v>87162976</v>
      </c>
      <c r="I169" s="73">
        <f>SUMIFS('Data&gt;&gt; 2025'!$N:$N,'Data&gt;&gt; 2025'!$L:$L,'01. CP Nhân sự 2025'!$A169,'Data&gt;&gt; 2025'!$B:$B,'01. CP Nhân sự 2025'!$C169,'Data&gt;&gt; 2025'!$C:$C,'01. CP Nhân sự 2025'!I$4,'Data&gt;&gt; 2025'!$A:$A,627)</f>
        <v>175310730</v>
      </c>
      <c r="J169" s="73">
        <f>SUMIFS('Data&gt;&gt; 2025'!$N:$N,'Data&gt;&gt; 2025'!$L:$L,'01. CP Nhân sự 2025'!$A169,'Data&gt;&gt; 2025'!$B:$B,'01. CP Nhân sự 2025'!$C169,'Data&gt;&gt; 2025'!$C:$C,'01. CP Nhân sự 2025'!J$4,'Data&gt;&gt; 2025'!$A:$A,627)</f>
        <v>4200000</v>
      </c>
      <c r="K169" s="128">
        <f t="shared" si="33"/>
        <v>1879756045</v>
      </c>
      <c r="L169" s="182"/>
    </row>
    <row r="170" spans="1:15" outlineLevel="1" x14ac:dyDescent="0.25">
      <c r="A170" s="14">
        <v>12</v>
      </c>
      <c r="B170" s="3">
        <v>12</v>
      </c>
      <c r="C170" s="7" t="s">
        <v>8</v>
      </c>
      <c r="D170" s="133">
        <v>253</v>
      </c>
      <c r="E170" s="73">
        <f>SUMIFS('Data&gt;&gt; 2025'!$N:$N,'Data&gt;&gt; 2025'!$L:$L,'01. CP Nhân sự 2025'!$A170,'Data&gt;&gt; 2025'!$B:$B,'01. CP Nhân sự 2025'!$C170,'Data&gt;&gt; 2025'!$C:$C,'01. CP Nhân sự 2025'!E$4,'Data&gt;&gt; 2025'!$A:$A,622)</f>
        <v>1909157650</v>
      </c>
      <c r="F170" s="73">
        <f>SUMIFS('Data&gt;&gt; 2025'!$N:$N,'Data&gt;&gt; 2025'!$L:$L,'01. CP Nhân sự 2025'!$A170,'Data&gt;&gt; 2025'!$B:$B,'01. CP Nhân sự 2025'!$C170,'Data&gt;&gt; 2025'!$C:$C,'01. CP Nhân sự 2025'!F$4,'Data&gt;&gt; 2025'!$A:$A,622)</f>
        <v>371608824</v>
      </c>
      <c r="G170" s="73">
        <f>SUMIFS('Data&gt;&gt; 2025'!$N:$N,'Data&gt;&gt; 2025'!$L:$L,'01. CP Nhân sự 2025'!$A170,'Data&gt;&gt; 2025'!$B:$B,'01. CP Nhân sự 2025'!$C170,'Data&gt;&gt; 2025'!$C:$C,'01. CP Nhân sự 2025'!G$4,'Data&gt;&gt; 2025'!$A:$A,622)</f>
        <v>28018042</v>
      </c>
      <c r="H170" s="73">
        <f>SUMIFS('Data&gt;&gt; 2025'!$N:$N,'Data&gt;&gt; 2025'!$L:$L,'01. CP Nhân sự 2025'!$A170,'Data&gt;&gt; 2025'!$B:$B,'01. CP Nhân sự 2025'!$C170,'Data&gt;&gt; 2025'!$C:$C,'01. CP Nhân sự 2025'!H$4,'Data&gt;&gt; 2025'!$A:$A,622)</f>
        <v>357918735</v>
      </c>
      <c r="I170" s="73">
        <f>SUMIFS('Data&gt;&gt; 2025'!$N:$N,'Data&gt;&gt; 2025'!$L:$L,'01. CP Nhân sự 2025'!$A170,'Data&gt;&gt; 2025'!$B:$B,'01. CP Nhân sự 2025'!$C170,'Data&gt;&gt; 2025'!$C:$C,'01. CP Nhân sự 2025'!I$4,'Data&gt;&gt; 2025'!$A:$A,622)</f>
        <v>333440885</v>
      </c>
      <c r="J170" s="73">
        <f>SUMIFS('Data&gt;&gt; 2025'!$N:$N,'Data&gt;&gt; 2025'!$L:$L,'01. CP Nhân sự 2025'!$A170,'Data&gt;&gt; 2025'!$B:$B,'01. CP Nhân sự 2025'!$C170,'Data&gt;&gt; 2025'!$C:$C,'01. CP Nhân sự 2025'!J$4,'Data&gt;&gt; 2025'!$A:$A,622)</f>
        <v>0</v>
      </c>
      <c r="K170" s="128">
        <f t="shared" si="33"/>
        <v>3000144136</v>
      </c>
      <c r="L170" s="182"/>
    </row>
    <row r="171" spans="1:15" outlineLevel="1" x14ac:dyDescent="0.25">
      <c r="A171" s="14">
        <v>12</v>
      </c>
      <c r="B171" s="3">
        <v>13</v>
      </c>
      <c r="C171" s="4" t="s">
        <v>221</v>
      </c>
      <c r="D171" s="135">
        <f>VLOOKUP(C171,'02. ĐỊNH BIÊN'!$C$6:$AT$47,14,0)</f>
        <v>0</v>
      </c>
      <c r="E171" s="125">
        <f>SUMIFS('Data&gt;&gt; 2025'!$N:$N,'Data&gt;&gt; 2025'!$L:$L,'01. CP Nhân sự 2025'!$A171,'Data&gt;&gt; 2025'!$B:$B,'01. CP Nhân sự 2025'!$C171,'Data&gt;&gt; 2025'!$C:$C,'01. CP Nhân sự 2025'!E$4)</f>
        <v>70000000</v>
      </c>
      <c r="F171" s="125">
        <f>SUMIFS('Data&gt;&gt; 2025'!$N:$N,'Data&gt;&gt; 2025'!$L:$L,'01. CP Nhân sự 2025'!$A171,'Data&gt;&gt; 2025'!$B:$B,'01. CP Nhân sự 2025'!$C171,'Data&gt;&gt; 2025'!$C:$C,'01. CP Nhân sự 2025'!F$4)</f>
        <v>0</v>
      </c>
      <c r="G171" s="125">
        <f>SUMIFS('Data&gt;&gt; 2025'!$N:$N,'Data&gt;&gt; 2025'!$L:$L,'01. CP Nhân sự 2025'!$A171,'Data&gt;&gt; 2025'!$B:$B,'01. CP Nhân sự 2025'!$C171,'Data&gt;&gt; 2025'!$C:$C,'01. CP Nhân sự 2025'!G$4)</f>
        <v>0</v>
      </c>
      <c r="H171" s="125">
        <f>SUMIFS('Data&gt;&gt; 2025'!$N:$N,'Data&gt;&gt; 2025'!$L:$L,'01. CP Nhân sự 2025'!$A171,'Data&gt;&gt; 2025'!$B:$B,'01. CP Nhân sự 2025'!$C171,'Data&gt;&gt; 2025'!$C:$C,'01. CP Nhân sự 2025'!H$4)</f>
        <v>0</v>
      </c>
      <c r="I171" s="125">
        <f>SUMIFS('Data&gt;&gt; 2025'!$N:$N,'Data&gt;&gt; 2025'!$L:$L,'01. CP Nhân sự 2025'!$A171,'Data&gt;&gt; 2025'!$B:$B,'01. CP Nhân sự 2025'!$C171,'Data&gt;&gt; 2025'!$C:$C,'01. CP Nhân sự 2025'!I$4)</f>
        <v>0</v>
      </c>
      <c r="J171" s="125">
        <f>SUMIFS('Data&gt;&gt; 2025'!$N:$N,'Data&gt;&gt; 2025'!$L:$L,'01. CP Nhân sự 2025'!$A171,'Data&gt;&gt; 2025'!$B:$B,'01. CP Nhân sự 2025'!$C171,'Data&gt;&gt; 2025'!$C:$C,'01. CP Nhân sự 2025'!J$4)</f>
        <v>0</v>
      </c>
      <c r="K171" s="128">
        <f t="shared" si="33"/>
        <v>70000000</v>
      </c>
      <c r="L171" s="182"/>
    </row>
    <row r="172" spans="1:15" x14ac:dyDescent="0.25">
      <c r="A172" s="14">
        <v>12</v>
      </c>
      <c r="B172" s="18"/>
      <c r="C172" s="19" t="s">
        <v>17</v>
      </c>
      <c r="D172" s="136">
        <f>SUM(D159:D171)</f>
        <v>253</v>
      </c>
      <c r="E172" s="75">
        <f>SUM(E159:E171)</f>
        <v>9457924085</v>
      </c>
      <c r="F172" s="75">
        <f t="shared" ref="F172:J172" si="34">SUM(F159:F171)</f>
        <v>1043803480</v>
      </c>
      <c r="G172" s="75">
        <f t="shared" si="34"/>
        <v>4429790188</v>
      </c>
      <c r="H172" s="75">
        <f t="shared" si="34"/>
        <v>727263784</v>
      </c>
      <c r="I172" s="75">
        <f t="shared" si="34"/>
        <v>1580570820</v>
      </c>
      <c r="J172" s="75">
        <f t="shared" si="34"/>
        <v>3241599707</v>
      </c>
      <c r="K172" s="75">
        <f>SUM(K159:K171)</f>
        <v>20480952064</v>
      </c>
      <c r="L172" s="181">
        <f>K172/K158</f>
        <v>1.4536501866132709</v>
      </c>
      <c r="N172" s="75">
        <v>118664294581</v>
      </c>
      <c r="O172" s="250">
        <f>K172/N172</f>
        <v>0.1725957427743334</v>
      </c>
    </row>
  </sheetData>
  <autoFilter ref="A4:L144" xr:uid="{EFE0F34A-B2BE-4E09-A0D0-F2525E3BE533}"/>
  <hyperlinks>
    <hyperlink ref="A1" location="'00. DM'!A1" display="00. DM" xr:uid="{B77BB2D2-42B0-47BE-940B-664F5140670E}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E25C-8342-41BB-8B11-398AE6F72317}">
  <sheetPr>
    <tabColor rgb="FF00B050"/>
  </sheetPr>
  <dimension ref="B4:K18"/>
  <sheetViews>
    <sheetView workbookViewId="0">
      <selection activeCell="E10" sqref="E10"/>
    </sheetView>
  </sheetViews>
  <sheetFormatPr defaultRowHeight="15" x14ac:dyDescent="0.25"/>
  <cols>
    <col min="2" max="2" width="4" bestFit="1" customWidth="1"/>
    <col min="3" max="3" width="25.7109375" customWidth="1"/>
    <col min="4" max="4" width="5.28515625" bestFit="1" customWidth="1"/>
    <col min="5" max="6" width="14.28515625" bestFit="1" customWidth="1"/>
    <col min="7" max="8" width="12.5703125" bestFit="1" customWidth="1"/>
    <col min="9" max="9" width="14.28515625" bestFit="1" customWidth="1"/>
    <col min="10" max="10" width="11.5703125" bestFit="1" customWidth="1"/>
    <col min="11" max="11" width="15.28515625" bestFit="1" customWidth="1"/>
  </cols>
  <sheetData>
    <row r="4" spans="2:11" ht="45" x14ac:dyDescent="0.25">
      <c r="B4" s="12" t="s">
        <v>14</v>
      </c>
      <c r="C4" s="12" t="s">
        <v>11</v>
      </c>
      <c r="D4" s="12" t="s">
        <v>220</v>
      </c>
      <c r="E4" s="12" t="s">
        <v>22</v>
      </c>
      <c r="F4" s="12" t="s">
        <v>23</v>
      </c>
      <c r="G4" s="12" t="s">
        <v>24</v>
      </c>
      <c r="H4" s="12" t="s">
        <v>25</v>
      </c>
      <c r="I4" s="12" t="s">
        <v>170</v>
      </c>
      <c r="J4" s="12" t="s">
        <v>222</v>
      </c>
      <c r="K4" s="12" t="s">
        <v>171</v>
      </c>
    </row>
    <row r="5" spans="2:11" x14ac:dyDescent="0.25">
      <c r="B5" s="1">
        <v>1</v>
      </c>
      <c r="C5" s="2" t="s">
        <v>0</v>
      </c>
      <c r="D5" s="132"/>
      <c r="E5" s="72"/>
      <c r="F5" s="72"/>
      <c r="G5" s="72"/>
      <c r="H5" s="72"/>
      <c r="I5" s="72"/>
      <c r="J5" s="72"/>
      <c r="K5" s="76">
        <f>SUM(E5:J5)</f>
        <v>0</v>
      </c>
    </row>
    <row r="6" spans="2:11" x14ac:dyDescent="0.25">
      <c r="B6" s="3">
        <v>2</v>
      </c>
      <c r="C6" s="7" t="s">
        <v>1</v>
      </c>
      <c r="D6" s="133"/>
      <c r="E6" s="73"/>
      <c r="F6" s="73"/>
      <c r="G6" s="73"/>
      <c r="H6" s="73"/>
      <c r="I6" s="73"/>
      <c r="J6" s="73"/>
      <c r="K6" s="76">
        <f>SUM(E6:J6)</f>
        <v>0</v>
      </c>
    </row>
    <row r="7" spans="2:11" x14ac:dyDescent="0.25">
      <c r="B7" s="3">
        <v>3</v>
      </c>
      <c r="C7" s="7" t="s">
        <v>2</v>
      </c>
      <c r="D7" s="133"/>
      <c r="E7" s="73"/>
      <c r="F7" s="73"/>
      <c r="G7" s="73"/>
      <c r="H7" s="73"/>
      <c r="I7" s="73"/>
      <c r="J7" s="73"/>
      <c r="K7" s="76">
        <f t="shared" ref="K7:K17" si="0">SUM(E7:J7)</f>
        <v>0</v>
      </c>
    </row>
    <row r="8" spans="2:11" x14ac:dyDescent="0.25">
      <c r="B8" s="3">
        <v>4</v>
      </c>
      <c r="C8" s="7" t="s">
        <v>3</v>
      </c>
      <c r="D8" s="133"/>
      <c r="E8" s="73"/>
      <c r="F8" s="73"/>
      <c r="G8" s="73"/>
      <c r="H8" s="73"/>
      <c r="I8" s="73"/>
      <c r="J8" s="73"/>
      <c r="K8" s="76">
        <f t="shared" si="0"/>
        <v>0</v>
      </c>
    </row>
    <row r="9" spans="2:11" x14ac:dyDescent="0.25">
      <c r="B9" s="3">
        <v>5</v>
      </c>
      <c r="C9" s="7" t="s">
        <v>4</v>
      </c>
      <c r="D9" s="133"/>
      <c r="E9" s="73"/>
      <c r="F9" s="73"/>
      <c r="G9" s="73"/>
      <c r="H9" s="73"/>
      <c r="I9" s="73"/>
      <c r="J9" s="73"/>
      <c r="K9" s="76">
        <f t="shared" si="0"/>
        <v>0</v>
      </c>
    </row>
    <row r="10" spans="2:11" x14ac:dyDescent="0.25">
      <c r="B10" s="3">
        <v>6</v>
      </c>
      <c r="C10" s="7" t="s">
        <v>5</v>
      </c>
      <c r="D10" s="133"/>
      <c r="E10" s="73"/>
      <c r="F10" s="73"/>
      <c r="G10" s="73"/>
      <c r="H10" s="73"/>
      <c r="I10" s="73"/>
      <c r="J10" s="73"/>
      <c r="K10" s="76">
        <f t="shared" si="0"/>
        <v>0</v>
      </c>
    </row>
    <row r="11" spans="2:11" x14ac:dyDescent="0.25">
      <c r="B11" s="3">
        <v>7</v>
      </c>
      <c r="C11" s="7" t="s">
        <v>6</v>
      </c>
      <c r="D11" s="133"/>
      <c r="E11" s="73"/>
      <c r="F11" s="73"/>
      <c r="G11" s="73"/>
      <c r="H11" s="73"/>
      <c r="I11" s="73"/>
      <c r="J11" s="73"/>
      <c r="K11" s="76">
        <f t="shared" si="0"/>
        <v>0</v>
      </c>
    </row>
    <row r="12" spans="2:11" x14ac:dyDescent="0.25">
      <c r="B12" s="3">
        <v>8</v>
      </c>
      <c r="C12" s="7" t="s">
        <v>7</v>
      </c>
      <c r="D12" s="133"/>
      <c r="E12" s="73"/>
      <c r="F12" s="73"/>
      <c r="G12" s="73"/>
      <c r="H12" s="73"/>
      <c r="I12" s="73"/>
      <c r="J12" s="73"/>
      <c r="K12" s="76">
        <f t="shared" si="0"/>
        <v>0</v>
      </c>
    </row>
    <row r="13" spans="2:11" x14ac:dyDescent="0.25">
      <c r="B13" s="3">
        <v>9</v>
      </c>
      <c r="C13" s="7" t="s">
        <v>9</v>
      </c>
      <c r="D13" s="133"/>
      <c r="E13" s="73"/>
      <c r="F13" s="73"/>
      <c r="G13" s="73"/>
      <c r="H13" s="73"/>
      <c r="I13" s="73"/>
      <c r="J13" s="73"/>
      <c r="K13" s="76">
        <f t="shared" si="0"/>
        <v>0</v>
      </c>
    </row>
    <row r="14" spans="2:11" x14ac:dyDescent="0.25">
      <c r="B14" s="3">
        <v>10</v>
      </c>
      <c r="C14" s="7" t="s">
        <v>10</v>
      </c>
      <c r="D14" s="133"/>
      <c r="E14" s="73"/>
      <c r="F14" s="73"/>
      <c r="G14" s="73"/>
      <c r="H14" s="73"/>
      <c r="I14" s="73"/>
      <c r="J14" s="73"/>
      <c r="K14" s="76">
        <f t="shared" si="0"/>
        <v>0</v>
      </c>
    </row>
    <row r="15" spans="2:11" x14ac:dyDescent="0.25">
      <c r="B15" s="3">
        <v>11</v>
      </c>
      <c r="C15" s="7" t="s">
        <v>8</v>
      </c>
      <c r="D15" s="133"/>
      <c r="E15" s="73"/>
      <c r="F15" s="73"/>
      <c r="G15" s="73"/>
      <c r="H15" s="73"/>
      <c r="I15" s="73"/>
      <c r="J15" s="73"/>
      <c r="K15" s="76">
        <f t="shared" si="0"/>
        <v>0</v>
      </c>
    </row>
    <row r="16" spans="2:11" x14ac:dyDescent="0.25">
      <c r="B16" s="3">
        <v>12</v>
      </c>
      <c r="C16" s="7" t="s">
        <v>8</v>
      </c>
      <c r="D16" s="133"/>
      <c r="E16" s="73"/>
      <c r="F16" s="73"/>
      <c r="G16" s="73"/>
      <c r="H16" s="73"/>
      <c r="I16" s="73"/>
      <c r="J16" s="73"/>
      <c r="K16" s="76">
        <f t="shared" si="0"/>
        <v>0</v>
      </c>
    </row>
    <row r="17" spans="2:11" x14ac:dyDescent="0.25">
      <c r="B17" s="3">
        <v>13</v>
      </c>
      <c r="C17" s="71" t="s">
        <v>221</v>
      </c>
      <c r="D17" s="134"/>
      <c r="E17" s="74"/>
      <c r="F17" s="74"/>
      <c r="G17" s="74"/>
      <c r="H17" s="74"/>
      <c r="I17" s="74"/>
      <c r="J17" s="74"/>
      <c r="K17" s="76">
        <f t="shared" si="0"/>
        <v>0</v>
      </c>
    </row>
    <row r="18" spans="2:11" x14ac:dyDescent="0.25">
      <c r="B18" s="18"/>
      <c r="C18" s="19" t="s">
        <v>17</v>
      </c>
      <c r="D18" s="136">
        <f>SUM(D5:D17)</f>
        <v>0</v>
      </c>
      <c r="E18" s="75">
        <f t="shared" ref="E18:K18" si="1">SUM(E5:E17)</f>
        <v>0</v>
      </c>
      <c r="F18" s="75">
        <f t="shared" si="1"/>
        <v>0</v>
      </c>
      <c r="G18" s="75">
        <f t="shared" si="1"/>
        <v>0</v>
      </c>
      <c r="H18" s="75">
        <f t="shared" si="1"/>
        <v>0</v>
      </c>
      <c r="I18" s="75">
        <f t="shared" si="1"/>
        <v>0</v>
      </c>
      <c r="J18" s="75">
        <f t="shared" si="1"/>
        <v>0</v>
      </c>
      <c r="K18" s="75">
        <f t="shared" si="1"/>
        <v>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E209-A82D-42F9-AB68-036301BE14E7}">
  <sheetPr filterMode="1"/>
  <dimension ref="A1:T847"/>
  <sheetViews>
    <sheetView workbookViewId="0">
      <pane xSplit="9" ySplit="2" topLeftCell="J343" activePane="bottomRight" state="frozen"/>
      <selection pane="topRight" activeCell="H1" sqref="H1"/>
      <selection pane="bottomLeft" activeCell="A2" sqref="A2"/>
      <selection pane="bottomRight" activeCell="N1" sqref="N1"/>
    </sheetView>
  </sheetViews>
  <sheetFormatPr defaultColWidth="8.7109375" defaultRowHeight="12.75" x14ac:dyDescent="0.2"/>
  <cols>
    <col min="1" max="1" width="4.42578125" style="169" customWidth="1"/>
    <col min="2" max="2" width="19" style="167" customWidth="1"/>
    <col min="3" max="3" width="17.42578125" style="167" bestFit="1" customWidth="1"/>
    <col min="4" max="4" width="11.28515625" style="169" bestFit="1" customWidth="1"/>
    <col min="5" max="5" width="11.7109375" style="169" hidden="1" customWidth="1"/>
    <col min="6" max="6" width="11.7109375" style="169" bestFit="1" customWidth="1"/>
    <col min="7" max="7" width="19.42578125" style="169" bestFit="1" customWidth="1"/>
    <col min="8" max="8" width="10.7109375" style="169" customWidth="1"/>
    <col min="9" max="9" width="19.28515625" style="169" bestFit="1" customWidth="1"/>
    <col min="10" max="10" width="35" style="169" customWidth="1"/>
    <col min="11" max="11" width="23.42578125" style="169" customWidth="1"/>
    <col min="12" max="12" width="5.7109375" style="169" customWidth="1"/>
    <col min="13" max="13" width="6.42578125" style="169" customWidth="1"/>
    <col min="14" max="14" width="15.28515625" style="178" customWidth="1"/>
    <col min="15" max="15" width="13.28515625" style="169" customWidth="1"/>
    <col min="16" max="16" width="5.28515625" style="169" customWidth="1"/>
    <col min="17" max="17" width="9.42578125" style="169" customWidth="1"/>
    <col min="18" max="16384" width="8.7109375" style="169"/>
  </cols>
  <sheetData>
    <row r="1" spans="1:20" x14ac:dyDescent="0.2">
      <c r="I1" s="375"/>
      <c r="N1" s="170">
        <f>SUBTOTAL(9,N3:N7942)</f>
        <v>65553003</v>
      </c>
    </row>
    <row r="2" spans="1:20" ht="23.65" customHeight="1" x14ac:dyDescent="0.2">
      <c r="B2" s="168" t="s">
        <v>11</v>
      </c>
      <c r="C2" s="168" t="s">
        <v>628</v>
      </c>
      <c r="D2" s="171" t="s">
        <v>256</v>
      </c>
      <c r="E2" s="171" t="s">
        <v>257</v>
      </c>
      <c r="F2" s="171" t="s">
        <v>258</v>
      </c>
      <c r="G2" s="171" t="s">
        <v>259</v>
      </c>
      <c r="H2" s="171" t="s">
        <v>260</v>
      </c>
      <c r="I2" s="171" t="s">
        <v>261</v>
      </c>
      <c r="J2" s="171" t="s">
        <v>262</v>
      </c>
      <c r="K2" s="171" t="s">
        <v>263</v>
      </c>
      <c r="L2" s="171" t="s">
        <v>264</v>
      </c>
      <c r="M2" s="171" t="s">
        <v>265</v>
      </c>
      <c r="N2" s="176" t="s">
        <v>266</v>
      </c>
      <c r="O2" s="171" t="s">
        <v>267</v>
      </c>
      <c r="P2" s="172" t="s">
        <v>268</v>
      </c>
      <c r="Q2" s="171" t="s">
        <v>269</v>
      </c>
      <c r="R2" s="171" t="s">
        <v>270</v>
      </c>
      <c r="S2" s="171" t="s">
        <v>271</v>
      </c>
      <c r="T2" s="171" t="s">
        <v>272</v>
      </c>
    </row>
    <row r="3" spans="1:20" hidden="1" x14ac:dyDescent="0.2">
      <c r="A3" s="169" t="str">
        <f>LEFT(F3,3)</f>
        <v>642</v>
      </c>
      <c r="B3" s="167" t="str">
        <f>_xlfn.XLOOKUP(I3,Mapping!D:D,Mapping!E:E)</f>
        <v>Ban Giám Đốc</v>
      </c>
      <c r="C3" s="167" t="str">
        <f>_xlfn.XLOOKUP(F3,Mapping!A:A,Mapping!F:F)</f>
        <v>Lương Chính +T13</v>
      </c>
      <c r="D3" s="173">
        <v>46053</v>
      </c>
      <c r="E3" s="174" t="s">
        <v>1450</v>
      </c>
      <c r="F3" s="174" t="s">
        <v>274</v>
      </c>
      <c r="G3" s="174" t="s">
        <v>275</v>
      </c>
      <c r="H3" s="174" t="s">
        <v>276</v>
      </c>
      <c r="I3" s="174" t="s">
        <v>277</v>
      </c>
      <c r="J3" s="174" t="s">
        <v>1451</v>
      </c>
      <c r="K3" s="174" t="s">
        <v>1452</v>
      </c>
      <c r="L3" s="174" t="s">
        <v>458</v>
      </c>
      <c r="M3" s="174" t="s">
        <v>1453</v>
      </c>
      <c r="N3" s="177">
        <v>1477717709</v>
      </c>
      <c r="O3" s="174" t="s">
        <v>1454</v>
      </c>
      <c r="P3" s="174" t="s">
        <v>283</v>
      </c>
      <c r="Q3" s="174" t="s">
        <v>284</v>
      </c>
      <c r="R3" s="174" t="s">
        <v>283</v>
      </c>
      <c r="S3" s="174" t="s">
        <v>283</v>
      </c>
      <c r="T3" s="175">
        <v>0</v>
      </c>
    </row>
    <row r="4" spans="1:20" hidden="1" x14ac:dyDescent="0.2">
      <c r="A4" s="169" t="str">
        <f t="shared" ref="A4:A67" si="0">LEFT(F4,3)</f>
        <v>642</v>
      </c>
      <c r="B4" s="167" t="str">
        <f>_xlfn.XLOOKUP(I4,Mapping!D:D,Mapping!E:E)</f>
        <v>Ban Giám Đốc</v>
      </c>
      <c r="C4" s="167" t="str">
        <f>_xlfn.XLOOKUP(F4,Mapping!A:A,Mapping!F:F)</f>
        <v>Lương Chính +T13</v>
      </c>
      <c r="D4" s="173">
        <v>46053</v>
      </c>
      <c r="E4" s="174" t="s">
        <v>1450</v>
      </c>
      <c r="F4" s="174" t="s">
        <v>285</v>
      </c>
      <c r="G4" s="174" t="s">
        <v>286</v>
      </c>
      <c r="H4" s="174" t="s">
        <v>276</v>
      </c>
      <c r="I4" s="174" t="s">
        <v>277</v>
      </c>
      <c r="J4" s="174" t="s">
        <v>1451</v>
      </c>
      <c r="K4" s="174" t="s">
        <v>1452</v>
      </c>
      <c r="L4" s="174" t="s">
        <v>458</v>
      </c>
      <c r="M4" s="174" t="s">
        <v>1453</v>
      </c>
      <c r="N4" s="177">
        <v>147679271</v>
      </c>
      <c r="O4" s="174" t="s">
        <v>1454</v>
      </c>
      <c r="P4" s="174" t="s">
        <v>283</v>
      </c>
      <c r="Q4" s="174" t="s">
        <v>284</v>
      </c>
      <c r="R4" s="174" t="s">
        <v>283</v>
      </c>
      <c r="S4" s="174" t="s">
        <v>283</v>
      </c>
      <c r="T4" s="175">
        <v>0</v>
      </c>
    </row>
    <row r="5" spans="1:20" hidden="1" x14ac:dyDescent="0.2">
      <c r="A5" s="169" t="str">
        <f t="shared" si="0"/>
        <v>642</v>
      </c>
      <c r="B5" s="167" t="str">
        <f>_xlfn.XLOOKUP(I5,Mapping!D:D,Mapping!E:E)</f>
        <v>Ban Giám Đốc</v>
      </c>
      <c r="C5" s="167" t="str">
        <f>_xlfn.XLOOKUP(F5,Mapping!A:A,Mapping!F:F)</f>
        <v>Lương Chính +T13</v>
      </c>
      <c r="D5" s="173">
        <v>46053</v>
      </c>
      <c r="E5" s="174" t="s">
        <v>1455</v>
      </c>
      <c r="F5" s="174" t="s">
        <v>285</v>
      </c>
      <c r="G5" s="174" t="s">
        <v>286</v>
      </c>
      <c r="H5" s="174" t="s">
        <v>276</v>
      </c>
      <c r="I5" s="174" t="s">
        <v>277</v>
      </c>
      <c r="J5" s="174" t="s">
        <v>1456</v>
      </c>
      <c r="K5" s="174" t="s">
        <v>1452</v>
      </c>
      <c r="L5" s="174" t="s">
        <v>458</v>
      </c>
      <c r="M5" s="174" t="s">
        <v>1453</v>
      </c>
      <c r="N5" s="177">
        <v>121138496</v>
      </c>
      <c r="O5" s="174" t="s">
        <v>1457</v>
      </c>
      <c r="P5" s="174" t="s">
        <v>283</v>
      </c>
      <c r="Q5" s="174" t="s">
        <v>284</v>
      </c>
      <c r="R5" s="174" t="s">
        <v>283</v>
      </c>
      <c r="S5" s="174" t="s">
        <v>283</v>
      </c>
      <c r="T5" s="175">
        <v>0</v>
      </c>
    </row>
    <row r="6" spans="1:20" hidden="1" x14ac:dyDescent="0.2">
      <c r="A6" s="169" t="str">
        <f t="shared" si="0"/>
        <v>642</v>
      </c>
      <c r="B6" s="167" t="str">
        <f>_xlfn.XLOOKUP(I6,Mapping!D:D,Mapping!E:E)</f>
        <v>Ban Giám Đốc</v>
      </c>
      <c r="C6" s="167" t="str">
        <f>_xlfn.XLOOKUP(F6,Mapping!A:A,Mapping!F:F)</f>
        <v>Thưởng</v>
      </c>
      <c r="D6" s="173">
        <v>46053</v>
      </c>
      <c r="E6" s="174" t="s">
        <v>1450</v>
      </c>
      <c r="F6" s="174" t="s">
        <v>290</v>
      </c>
      <c r="G6" s="174" t="s">
        <v>291</v>
      </c>
      <c r="H6" s="174" t="s">
        <v>276</v>
      </c>
      <c r="I6" s="174" t="s">
        <v>277</v>
      </c>
      <c r="J6" s="174" t="s">
        <v>1451</v>
      </c>
      <c r="K6" s="174" t="s">
        <v>1452</v>
      </c>
      <c r="L6" s="174" t="s">
        <v>458</v>
      </c>
      <c r="M6" s="174" t="s">
        <v>1453</v>
      </c>
      <c r="N6" s="177">
        <v>2400000</v>
      </c>
      <c r="O6" s="174" t="s">
        <v>1454</v>
      </c>
      <c r="P6" s="174" t="s">
        <v>283</v>
      </c>
      <c r="Q6" s="174" t="s">
        <v>284</v>
      </c>
      <c r="R6" s="174" t="s">
        <v>283</v>
      </c>
      <c r="S6" s="174" t="s">
        <v>283</v>
      </c>
      <c r="T6" s="175">
        <v>0</v>
      </c>
    </row>
    <row r="7" spans="1:20" hidden="1" x14ac:dyDescent="0.2">
      <c r="A7" s="169" t="str">
        <f t="shared" si="0"/>
        <v>642</v>
      </c>
      <c r="B7" s="167" t="str">
        <f>_xlfn.XLOOKUP(I7,Mapping!D:D,Mapping!E:E)</f>
        <v>Ban Giám Đốc</v>
      </c>
      <c r="C7" s="167" t="str">
        <f>_xlfn.XLOOKUP(F7,Mapping!A:A,Mapping!F:F)</f>
        <v>Thưởng</v>
      </c>
      <c r="D7" s="173">
        <v>46053</v>
      </c>
      <c r="E7" s="174" t="s">
        <v>1455</v>
      </c>
      <c r="F7" s="174" t="s">
        <v>292</v>
      </c>
      <c r="G7" s="174" t="s">
        <v>77</v>
      </c>
      <c r="H7" s="174" t="s">
        <v>276</v>
      </c>
      <c r="I7" s="174" t="s">
        <v>277</v>
      </c>
      <c r="J7" s="174" t="s">
        <v>1458</v>
      </c>
      <c r="K7" s="174" t="s">
        <v>1452</v>
      </c>
      <c r="L7" s="174" t="s">
        <v>458</v>
      </c>
      <c r="M7" s="174" t="s">
        <v>1453</v>
      </c>
      <c r="N7" s="177">
        <v>111446447</v>
      </c>
      <c r="O7" s="174" t="s">
        <v>1457</v>
      </c>
      <c r="P7" s="174" t="s">
        <v>283</v>
      </c>
      <c r="Q7" s="174" t="s">
        <v>284</v>
      </c>
      <c r="R7" s="174" t="s">
        <v>283</v>
      </c>
      <c r="S7" s="174" t="s">
        <v>283</v>
      </c>
      <c r="T7" s="175">
        <v>0</v>
      </c>
    </row>
    <row r="8" spans="1:20" hidden="1" x14ac:dyDescent="0.2">
      <c r="A8" s="169" t="str">
        <f t="shared" si="0"/>
        <v>642</v>
      </c>
      <c r="B8" s="167" t="str">
        <f>_xlfn.XLOOKUP(I8,Mapping!D:D,Mapping!E:E)</f>
        <v>Ban Giám Đốc</v>
      </c>
      <c r="C8" s="167" t="str">
        <f>_xlfn.XLOOKUP(F8,Mapping!A:A,Mapping!F:F)</f>
        <v>BHXH, BHYT, KPCĐ</v>
      </c>
      <c r="D8" s="173">
        <v>46053</v>
      </c>
      <c r="E8" s="174" t="s">
        <v>1459</v>
      </c>
      <c r="F8" s="174" t="s">
        <v>295</v>
      </c>
      <c r="G8" s="174" t="s">
        <v>296</v>
      </c>
      <c r="H8" s="174" t="s">
        <v>276</v>
      </c>
      <c r="I8" s="174" t="s">
        <v>277</v>
      </c>
      <c r="J8" s="174" t="s">
        <v>1460</v>
      </c>
      <c r="K8" s="174" t="s">
        <v>1452</v>
      </c>
      <c r="L8" s="174" t="s">
        <v>458</v>
      </c>
      <c r="M8" s="174" t="s">
        <v>1453</v>
      </c>
      <c r="N8" s="177">
        <v>126294310</v>
      </c>
      <c r="O8" s="174" t="s">
        <v>1461</v>
      </c>
      <c r="P8" s="174" t="s">
        <v>283</v>
      </c>
      <c r="Q8" s="174" t="s">
        <v>284</v>
      </c>
      <c r="R8" s="174" t="s">
        <v>283</v>
      </c>
      <c r="S8" s="174" t="s">
        <v>283</v>
      </c>
      <c r="T8" s="175">
        <v>0</v>
      </c>
    </row>
    <row r="9" spans="1:20" hidden="1" x14ac:dyDescent="0.2">
      <c r="A9" s="169" t="str">
        <f t="shared" si="0"/>
        <v>627</v>
      </c>
      <c r="B9" s="167" t="str">
        <f>_xlfn.XLOOKUP(I9,Mapping!D:D,Mapping!E:E)</f>
        <v>Hành Chánh Nhân Sự</v>
      </c>
      <c r="C9" s="167" t="str">
        <f>_xlfn.XLOOKUP(F9,Mapping!A:A,Mapping!F:F)</f>
        <v>Lương Chính +T13</v>
      </c>
      <c r="D9" s="173">
        <v>46031</v>
      </c>
      <c r="E9" s="174" t="s">
        <v>1462</v>
      </c>
      <c r="F9" s="174" t="s">
        <v>387</v>
      </c>
      <c r="G9" s="174" t="s">
        <v>275</v>
      </c>
      <c r="H9" s="174" t="s">
        <v>301</v>
      </c>
      <c r="I9" s="174" t="s">
        <v>302</v>
      </c>
      <c r="J9" s="174" t="s">
        <v>1463</v>
      </c>
      <c r="K9" s="174" t="s">
        <v>1464</v>
      </c>
      <c r="L9" s="174" t="s">
        <v>458</v>
      </c>
      <c r="M9" s="174" t="s">
        <v>1453</v>
      </c>
      <c r="N9" s="177">
        <v>8168124</v>
      </c>
      <c r="O9" s="174" t="s">
        <v>1465</v>
      </c>
      <c r="P9" s="174" t="s">
        <v>283</v>
      </c>
      <c r="Q9" s="174" t="s">
        <v>1344</v>
      </c>
      <c r="R9" s="174" t="s">
        <v>283</v>
      </c>
      <c r="S9" s="174" t="s">
        <v>283</v>
      </c>
      <c r="T9" s="175">
        <v>0</v>
      </c>
    </row>
    <row r="10" spans="1:20" hidden="1" x14ac:dyDescent="0.2">
      <c r="A10" s="169" t="str">
        <f t="shared" si="0"/>
        <v>627</v>
      </c>
      <c r="B10" s="167" t="str">
        <f>_xlfn.XLOOKUP(I10,Mapping!D:D,Mapping!E:E)</f>
        <v>Hành Chánh Nhân Sự</v>
      </c>
      <c r="C10" s="167" t="str">
        <f>_xlfn.XLOOKUP(F10,Mapping!A:A,Mapping!F:F)</f>
        <v>Lương Chính +T13</v>
      </c>
      <c r="D10" s="173">
        <v>46031</v>
      </c>
      <c r="E10" s="174" t="s">
        <v>1466</v>
      </c>
      <c r="F10" s="174" t="s">
        <v>388</v>
      </c>
      <c r="G10" s="174" t="s">
        <v>286</v>
      </c>
      <c r="H10" s="174" t="s">
        <v>301</v>
      </c>
      <c r="I10" s="174" t="s">
        <v>302</v>
      </c>
      <c r="J10" s="174" t="s">
        <v>1467</v>
      </c>
      <c r="K10" s="174" t="s">
        <v>1468</v>
      </c>
      <c r="L10" s="174" t="s">
        <v>458</v>
      </c>
      <c r="M10" s="174" t="s">
        <v>1453</v>
      </c>
      <c r="N10" s="177">
        <v>5100000</v>
      </c>
      <c r="O10" s="174" t="s">
        <v>1469</v>
      </c>
      <c r="P10" s="174" t="s">
        <v>283</v>
      </c>
      <c r="Q10" s="174" t="s">
        <v>1344</v>
      </c>
      <c r="R10" s="174" t="s">
        <v>283</v>
      </c>
      <c r="S10" s="174" t="s">
        <v>283</v>
      </c>
      <c r="T10" s="175">
        <v>0</v>
      </c>
    </row>
    <row r="11" spans="1:20" hidden="1" x14ac:dyDescent="0.2">
      <c r="A11" s="169" t="str">
        <f t="shared" si="0"/>
        <v>627</v>
      </c>
      <c r="B11" s="167" t="str">
        <f>_xlfn.XLOOKUP(I11,Mapping!D:D,Mapping!E:E)</f>
        <v>Hành Chánh Nhân Sự</v>
      </c>
      <c r="C11" s="167" t="str">
        <f>_xlfn.XLOOKUP(F11,Mapping!A:A,Mapping!F:F)</f>
        <v>Lương Chính +T13</v>
      </c>
      <c r="D11" s="173">
        <v>46031</v>
      </c>
      <c r="E11" s="174" t="s">
        <v>1470</v>
      </c>
      <c r="F11" s="174" t="s">
        <v>387</v>
      </c>
      <c r="G11" s="174" t="s">
        <v>275</v>
      </c>
      <c r="H11" s="174" t="s">
        <v>301</v>
      </c>
      <c r="I11" s="174" t="s">
        <v>302</v>
      </c>
      <c r="J11" s="174" t="s">
        <v>1471</v>
      </c>
      <c r="K11" s="174" t="s">
        <v>1464</v>
      </c>
      <c r="L11" s="174" t="s">
        <v>458</v>
      </c>
      <c r="M11" s="174" t="s">
        <v>1453</v>
      </c>
      <c r="N11" s="177">
        <v>2254833</v>
      </c>
      <c r="O11" s="174" t="s">
        <v>1472</v>
      </c>
      <c r="P11" s="174" t="s">
        <v>283</v>
      </c>
      <c r="Q11" s="174" t="s">
        <v>1344</v>
      </c>
      <c r="R11" s="174" t="s">
        <v>283</v>
      </c>
      <c r="S11" s="174" t="s">
        <v>283</v>
      </c>
      <c r="T11" s="175">
        <v>0</v>
      </c>
    </row>
    <row r="12" spans="1:20" hidden="1" x14ac:dyDescent="0.2">
      <c r="A12" s="169" t="str">
        <f t="shared" si="0"/>
        <v>627</v>
      </c>
      <c r="B12" s="167" t="str">
        <f>_xlfn.XLOOKUP(I12,Mapping!D:D,Mapping!E:E)</f>
        <v>Hành Chánh Nhân Sự</v>
      </c>
      <c r="C12" s="167" t="str">
        <f>_xlfn.XLOOKUP(F12,Mapping!A:A,Mapping!F:F)</f>
        <v>Lương Chính +T13</v>
      </c>
      <c r="D12" s="173">
        <v>46031</v>
      </c>
      <c r="E12" s="174" t="s">
        <v>1473</v>
      </c>
      <c r="F12" s="174" t="s">
        <v>387</v>
      </c>
      <c r="G12" s="174" t="s">
        <v>275</v>
      </c>
      <c r="H12" s="174" t="s">
        <v>301</v>
      </c>
      <c r="I12" s="174" t="s">
        <v>302</v>
      </c>
      <c r="J12" s="174" t="s">
        <v>1463</v>
      </c>
      <c r="K12" s="174" t="s">
        <v>1464</v>
      </c>
      <c r="L12" s="174" t="s">
        <v>458</v>
      </c>
      <c r="M12" s="174" t="s">
        <v>1453</v>
      </c>
      <c r="N12" s="177">
        <v>-8168124</v>
      </c>
      <c r="O12" s="174" t="s">
        <v>1474</v>
      </c>
      <c r="P12" s="174" t="s">
        <v>447</v>
      </c>
      <c r="Q12" s="174" t="s">
        <v>284</v>
      </c>
      <c r="R12" s="174" t="s">
        <v>283</v>
      </c>
      <c r="S12" s="174" t="s">
        <v>283</v>
      </c>
      <c r="T12" s="175">
        <v>0</v>
      </c>
    </row>
    <row r="13" spans="1:20" hidden="1" x14ac:dyDescent="0.2">
      <c r="A13" s="169" t="str">
        <f t="shared" si="0"/>
        <v>627</v>
      </c>
      <c r="B13" s="167" t="str">
        <f>_xlfn.XLOOKUP(I13,Mapping!D:D,Mapping!E:E)</f>
        <v>Hành Chánh Nhân Sự</v>
      </c>
      <c r="C13" s="167" t="str">
        <f>_xlfn.XLOOKUP(F13,Mapping!A:A,Mapping!F:F)</f>
        <v>Lương Chính +T13</v>
      </c>
      <c r="D13" s="173">
        <v>46031</v>
      </c>
      <c r="E13" s="174" t="s">
        <v>1475</v>
      </c>
      <c r="F13" s="174" t="s">
        <v>387</v>
      </c>
      <c r="G13" s="174" t="s">
        <v>275</v>
      </c>
      <c r="H13" s="174" t="s">
        <v>301</v>
      </c>
      <c r="I13" s="174" t="s">
        <v>302</v>
      </c>
      <c r="J13" s="174" t="s">
        <v>1471</v>
      </c>
      <c r="K13" s="174" t="s">
        <v>1464</v>
      </c>
      <c r="L13" s="174" t="s">
        <v>458</v>
      </c>
      <c r="M13" s="174" t="s">
        <v>1453</v>
      </c>
      <c r="N13" s="177">
        <v>-2254833</v>
      </c>
      <c r="O13" s="174" t="s">
        <v>1476</v>
      </c>
      <c r="P13" s="174" t="s">
        <v>447</v>
      </c>
      <c r="Q13" s="174" t="s">
        <v>284</v>
      </c>
      <c r="R13" s="174" t="s">
        <v>283</v>
      </c>
      <c r="S13" s="174" t="s">
        <v>283</v>
      </c>
      <c r="T13" s="175">
        <v>0</v>
      </c>
    </row>
    <row r="14" spans="1:20" hidden="1" x14ac:dyDescent="0.2">
      <c r="A14" s="169" t="str">
        <f t="shared" si="0"/>
        <v>627</v>
      </c>
      <c r="B14" s="167" t="str">
        <f>_xlfn.XLOOKUP(I14,Mapping!D:D,Mapping!E:E)</f>
        <v>Hành Chánh Nhân Sự</v>
      </c>
      <c r="C14" s="167" t="str">
        <f>_xlfn.XLOOKUP(F14,Mapping!A:A,Mapping!F:F)</f>
        <v>Lương Chính +T13</v>
      </c>
      <c r="D14" s="173">
        <v>46031</v>
      </c>
      <c r="E14" s="174" t="s">
        <v>1477</v>
      </c>
      <c r="F14" s="174" t="s">
        <v>388</v>
      </c>
      <c r="G14" s="174" t="s">
        <v>286</v>
      </c>
      <c r="H14" s="174" t="s">
        <v>301</v>
      </c>
      <c r="I14" s="174" t="s">
        <v>302</v>
      </c>
      <c r="J14" s="174" t="s">
        <v>1467</v>
      </c>
      <c r="K14" s="174" t="s">
        <v>1468</v>
      </c>
      <c r="L14" s="174" t="s">
        <v>458</v>
      </c>
      <c r="M14" s="174" t="s">
        <v>1453</v>
      </c>
      <c r="N14" s="177">
        <v>-5100000</v>
      </c>
      <c r="O14" s="174" t="s">
        <v>1478</v>
      </c>
      <c r="P14" s="174" t="s">
        <v>447</v>
      </c>
      <c r="Q14" s="174" t="s">
        <v>284</v>
      </c>
      <c r="R14" s="174" t="s">
        <v>283</v>
      </c>
      <c r="S14" s="174" t="s">
        <v>283</v>
      </c>
      <c r="T14" s="175">
        <v>0</v>
      </c>
    </row>
    <row r="15" spans="1:20" hidden="1" x14ac:dyDescent="0.2">
      <c r="A15" s="169" t="str">
        <f t="shared" si="0"/>
        <v>642</v>
      </c>
      <c r="B15" s="167" t="str">
        <f>_xlfn.XLOOKUP(I15,Mapping!D:D,Mapping!E:E)</f>
        <v>Văn Phòng Giám Đốc</v>
      </c>
      <c r="C15" s="167" t="str">
        <f>_xlfn.XLOOKUP(F15,Mapping!A:A,Mapping!F:F)</f>
        <v>Lương Chính +T13</v>
      </c>
      <c r="D15" s="173">
        <v>46053</v>
      </c>
      <c r="E15" s="174" t="s">
        <v>1450</v>
      </c>
      <c r="F15" s="174" t="s">
        <v>274</v>
      </c>
      <c r="G15" s="174" t="s">
        <v>275</v>
      </c>
      <c r="H15" s="174" t="s">
        <v>320</v>
      </c>
      <c r="I15" s="174" t="s">
        <v>321</v>
      </c>
      <c r="J15" s="174" t="s">
        <v>1451</v>
      </c>
      <c r="K15" s="174" t="s">
        <v>1452</v>
      </c>
      <c r="L15" s="174" t="s">
        <v>458</v>
      </c>
      <c r="M15" s="174" t="s">
        <v>1453</v>
      </c>
      <c r="N15" s="177">
        <v>112024602</v>
      </c>
      <c r="O15" s="174" t="s">
        <v>1454</v>
      </c>
      <c r="P15" s="174" t="s">
        <v>283</v>
      </c>
      <c r="Q15" s="174" t="s">
        <v>284</v>
      </c>
      <c r="R15" s="174" t="s">
        <v>283</v>
      </c>
      <c r="S15" s="174" t="s">
        <v>283</v>
      </c>
      <c r="T15" s="175">
        <v>0</v>
      </c>
    </row>
    <row r="16" spans="1:20" hidden="1" x14ac:dyDescent="0.2">
      <c r="A16" s="169" t="str">
        <f t="shared" si="0"/>
        <v>642</v>
      </c>
      <c r="B16" s="167" t="str">
        <f>_xlfn.XLOOKUP(I16,Mapping!D:D,Mapping!E:E)</f>
        <v>Văn Phòng Giám Đốc</v>
      </c>
      <c r="C16" s="167" t="str">
        <f>_xlfn.XLOOKUP(F16,Mapping!A:A,Mapping!F:F)</f>
        <v>Lương Chính +T13</v>
      </c>
      <c r="D16" s="173">
        <v>46053</v>
      </c>
      <c r="E16" s="174" t="s">
        <v>1450</v>
      </c>
      <c r="F16" s="174" t="s">
        <v>285</v>
      </c>
      <c r="G16" s="174" t="s">
        <v>286</v>
      </c>
      <c r="H16" s="174" t="s">
        <v>320</v>
      </c>
      <c r="I16" s="174" t="s">
        <v>321</v>
      </c>
      <c r="J16" s="174" t="s">
        <v>1451</v>
      </c>
      <c r="K16" s="174" t="s">
        <v>1452</v>
      </c>
      <c r="L16" s="174" t="s">
        <v>458</v>
      </c>
      <c r="M16" s="174" t="s">
        <v>1453</v>
      </c>
      <c r="N16" s="177">
        <v>4950693</v>
      </c>
      <c r="O16" s="174" t="s">
        <v>1454</v>
      </c>
      <c r="P16" s="174" t="s">
        <v>283</v>
      </c>
      <c r="Q16" s="174" t="s">
        <v>284</v>
      </c>
      <c r="R16" s="174" t="s">
        <v>283</v>
      </c>
      <c r="S16" s="174" t="s">
        <v>283</v>
      </c>
      <c r="T16" s="175">
        <v>0</v>
      </c>
    </row>
    <row r="17" spans="1:20" hidden="1" x14ac:dyDescent="0.2">
      <c r="A17" s="169" t="str">
        <f t="shared" si="0"/>
        <v>642</v>
      </c>
      <c r="B17" s="167" t="str">
        <f>_xlfn.XLOOKUP(I17,Mapping!D:D,Mapping!E:E)</f>
        <v>Văn Phòng Giám Đốc</v>
      </c>
      <c r="C17" s="167" t="str">
        <f>_xlfn.XLOOKUP(F17,Mapping!A:A,Mapping!F:F)</f>
        <v>Thưởng</v>
      </c>
      <c r="D17" s="173">
        <v>46053</v>
      </c>
      <c r="E17" s="174" t="s">
        <v>1450</v>
      </c>
      <c r="F17" s="174" t="s">
        <v>290</v>
      </c>
      <c r="G17" s="174" t="s">
        <v>291</v>
      </c>
      <c r="H17" s="174" t="s">
        <v>320</v>
      </c>
      <c r="I17" s="174" t="s">
        <v>321</v>
      </c>
      <c r="J17" s="174" t="s">
        <v>1451</v>
      </c>
      <c r="K17" s="174" t="s">
        <v>1452</v>
      </c>
      <c r="L17" s="174" t="s">
        <v>458</v>
      </c>
      <c r="M17" s="174" t="s">
        <v>1453</v>
      </c>
      <c r="N17" s="177">
        <v>800000</v>
      </c>
      <c r="O17" s="174" t="s">
        <v>1454</v>
      </c>
      <c r="P17" s="174" t="s">
        <v>283</v>
      </c>
      <c r="Q17" s="174" t="s">
        <v>284</v>
      </c>
      <c r="R17" s="174" t="s">
        <v>283</v>
      </c>
      <c r="S17" s="174" t="s">
        <v>283</v>
      </c>
      <c r="T17" s="175">
        <v>0</v>
      </c>
    </row>
    <row r="18" spans="1:20" hidden="1" x14ac:dyDescent="0.2">
      <c r="A18" s="169" t="str">
        <f t="shared" si="0"/>
        <v>642</v>
      </c>
      <c r="B18" s="167" t="str">
        <f>_xlfn.XLOOKUP(I18,Mapping!D:D,Mapping!E:E)</f>
        <v>Hành Chánh Nhân Sự</v>
      </c>
      <c r="C18" s="167" t="str">
        <f>_xlfn.XLOOKUP(F18,Mapping!A:A,Mapping!F:F)</f>
        <v>Phụ Cấp</v>
      </c>
      <c r="D18" s="173">
        <v>46053</v>
      </c>
      <c r="E18" s="174" t="s">
        <v>1450</v>
      </c>
      <c r="F18" s="174" t="s">
        <v>340</v>
      </c>
      <c r="G18" s="174" t="s">
        <v>341</v>
      </c>
      <c r="H18" s="174" t="s">
        <v>301</v>
      </c>
      <c r="I18" s="174" t="s">
        <v>302</v>
      </c>
      <c r="J18" s="174" t="s">
        <v>1451</v>
      </c>
      <c r="K18" s="174" t="s">
        <v>1452</v>
      </c>
      <c r="L18" s="174" t="s">
        <v>458</v>
      </c>
      <c r="M18" s="174" t="s">
        <v>1453</v>
      </c>
      <c r="N18" s="177">
        <v>8259780</v>
      </c>
      <c r="O18" s="174" t="s">
        <v>1454</v>
      </c>
      <c r="P18" s="174" t="s">
        <v>283</v>
      </c>
      <c r="Q18" s="174" t="s">
        <v>284</v>
      </c>
      <c r="R18" s="174" t="s">
        <v>283</v>
      </c>
      <c r="S18" s="174" t="s">
        <v>283</v>
      </c>
      <c r="T18" s="175">
        <v>0</v>
      </c>
    </row>
    <row r="19" spans="1:20" hidden="1" x14ac:dyDescent="0.2">
      <c r="A19" s="169" t="str">
        <f t="shared" si="0"/>
        <v>642</v>
      </c>
      <c r="B19" s="167" t="str">
        <f>_xlfn.XLOOKUP(I19,Mapping!D:D,Mapping!E:E)</f>
        <v>Hành Chánh Nhân Sự</v>
      </c>
      <c r="C19" s="167" t="str">
        <f>_xlfn.XLOOKUP(F19,Mapping!A:A,Mapping!F:F)</f>
        <v>Lương Chính +T13</v>
      </c>
      <c r="D19" s="173">
        <v>46053</v>
      </c>
      <c r="E19" s="174" t="s">
        <v>1450</v>
      </c>
      <c r="F19" s="174" t="s">
        <v>274</v>
      </c>
      <c r="G19" s="174" t="s">
        <v>275</v>
      </c>
      <c r="H19" s="174" t="s">
        <v>301</v>
      </c>
      <c r="I19" s="174" t="s">
        <v>302</v>
      </c>
      <c r="J19" s="174" t="s">
        <v>1451</v>
      </c>
      <c r="K19" s="174" t="s">
        <v>1452</v>
      </c>
      <c r="L19" s="174" t="s">
        <v>458</v>
      </c>
      <c r="M19" s="174" t="s">
        <v>1453</v>
      </c>
      <c r="N19" s="177">
        <v>473413349</v>
      </c>
      <c r="O19" s="174" t="s">
        <v>1454</v>
      </c>
      <c r="P19" s="174" t="s">
        <v>283</v>
      </c>
      <c r="Q19" s="174" t="s">
        <v>284</v>
      </c>
      <c r="R19" s="174" t="s">
        <v>283</v>
      </c>
      <c r="S19" s="174" t="s">
        <v>283</v>
      </c>
      <c r="T19" s="175">
        <v>0</v>
      </c>
    </row>
    <row r="20" spans="1:20" hidden="1" x14ac:dyDescent="0.2">
      <c r="A20" s="169" t="str">
        <f t="shared" si="0"/>
        <v>642</v>
      </c>
      <c r="B20" s="167" t="str">
        <f>_xlfn.XLOOKUP(I20,Mapping!D:D,Mapping!E:E)</f>
        <v>Hành Chánh Nhân Sự</v>
      </c>
      <c r="C20" s="167" t="str">
        <f>_xlfn.XLOOKUP(F20,Mapping!A:A,Mapping!F:F)</f>
        <v>Lương Chính +T13</v>
      </c>
      <c r="D20" s="173">
        <v>46053</v>
      </c>
      <c r="E20" s="174" t="s">
        <v>1450</v>
      </c>
      <c r="F20" s="174" t="s">
        <v>285</v>
      </c>
      <c r="G20" s="174" t="s">
        <v>286</v>
      </c>
      <c r="H20" s="174" t="s">
        <v>301</v>
      </c>
      <c r="I20" s="174" t="s">
        <v>302</v>
      </c>
      <c r="J20" s="174" t="s">
        <v>1451</v>
      </c>
      <c r="K20" s="174" t="s">
        <v>1452</v>
      </c>
      <c r="L20" s="174" t="s">
        <v>458</v>
      </c>
      <c r="M20" s="174" t="s">
        <v>1453</v>
      </c>
      <c r="N20" s="177">
        <v>40563830</v>
      </c>
      <c r="O20" s="174" t="s">
        <v>1454</v>
      </c>
      <c r="P20" s="174" t="s">
        <v>283</v>
      </c>
      <c r="Q20" s="174" t="s">
        <v>284</v>
      </c>
      <c r="R20" s="174" t="s">
        <v>283</v>
      </c>
      <c r="S20" s="174" t="s">
        <v>283</v>
      </c>
      <c r="T20" s="175">
        <v>0</v>
      </c>
    </row>
    <row r="21" spans="1:20" hidden="1" x14ac:dyDescent="0.2">
      <c r="A21" s="169" t="str">
        <f t="shared" si="0"/>
        <v>642</v>
      </c>
      <c r="B21" s="167" t="str">
        <f>_xlfn.XLOOKUP(I21,Mapping!D:D,Mapping!E:E)</f>
        <v>Hành Chánh Nhân Sự</v>
      </c>
      <c r="C21" s="167" t="str">
        <f>_xlfn.XLOOKUP(F21,Mapping!A:A,Mapping!F:F)</f>
        <v>Lương Ngoài giờ</v>
      </c>
      <c r="D21" s="173">
        <v>46053</v>
      </c>
      <c r="E21" s="174" t="s">
        <v>1450</v>
      </c>
      <c r="F21" s="174" t="s">
        <v>342</v>
      </c>
      <c r="G21" s="174" t="s">
        <v>343</v>
      </c>
      <c r="H21" s="174" t="s">
        <v>301</v>
      </c>
      <c r="I21" s="174" t="s">
        <v>302</v>
      </c>
      <c r="J21" s="174" t="s">
        <v>1451</v>
      </c>
      <c r="K21" s="174" t="s">
        <v>1452</v>
      </c>
      <c r="L21" s="174" t="s">
        <v>458</v>
      </c>
      <c r="M21" s="174" t="s">
        <v>1453</v>
      </c>
      <c r="N21" s="177">
        <v>88828583</v>
      </c>
      <c r="O21" s="174" t="s">
        <v>1454</v>
      </c>
      <c r="P21" s="174" t="s">
        <v>283</v>
      </c>
      <c r="Q21" s="174" t="s">
        <v>284</v>
      </c>
      <c r="R21" s="174" t="s">
        <v>283</v>
      </c>
      <c r="S21" s="174" t="s">
        <v>283</v>
      </c>
      <c r="T21" s="175">
        <v>0</v>
      </c>
    </row>
    <row r="22" spans="1:20" hidden="1" x14ac:dyDescent="0.2">
      <c r="A22" s="169" t="str">
        <f t="shared" si="0"/>
        <v>642</v>
      </c>
      <c r="B22" s="167" t="str">
        <f>_xlfn.XLOOKUP(I22,Mapping!D:D,Mapping!E:E)</f>
        <v>Hành Chánh Nhân Sự</v>
      </c>
      <c r="C22" s="167" t="str">
        <f>_xlfn.XLOOKUP(F22,Mapping!A:A,Mapping!F:F)</f>
        <v>Thưởng</v>
      </c>
      <c r="D22" s="173">
        <v>46053</v>
      </c>
      <c r="E22" s="174" t="s">
        <v>1450</v>
      </c>
      <c r="F22" s="174" t="s">
        <v>290</v>
      </c>
      <c r="G22" s="174" t="s">
        <v>291</v>
      </c>
      <c r="H22" s="174" t="s">
        <v>301</v>
      </c>
      <c r="I22" s="174" t="s">
        <v>302</v>
      </c>
      <c r="J22" s="174" t="s">
        <v>1451</v>
      </c>
      <c r="K22" s="174" t="s">
        <v>1452</v>
      </c>
      <c r="L22" s="174" t="s">
        <v>458</v>
      </c>
      <c r="M22" s="174" t="s">
        <v>1453</v>
      </c>
      <c r="N22" s="177">
        <v>7000000</v>
      </c>
      <c r="O22" s="174" t="s">
        <v>1454</v>
      </c>
      <c r="P22" s="174" t="s">
        <v>283</v>
      </c>
      <c r="Q22" s="174" t="s">
        <v>284</v>
      </c>
      <c r="R22" s="174" t="s">
        <v>283</v>
      </c>
      <c r="S22" s="174" t="s">
        <v>283</v>
      </c>
      <c r="T22" s="175">
        <v>0</v>
      </c>
    </row>
    <row r="23" spans="1:20" hidden="1" x14ac:dyDescent="0.2">
      <c r="A23" s="169" t="str">
        <f t="shared" si="0"/>
        <v>642</v>
      </c>
      <c r="B23" s="167" t="str">
        <f>_xlfn.XLOOKUP(I23,Mapping!D:D,Mapping!E:E)</f>
        <v>Hành Chánh Nhân Sự</v>
      </c>
      <c r="C23" s="167" t="str">
        <f>_xlfn.XLOOKUP(F23,Mapping!A:A,Mapping!F:F)</f>
        <v>Phụ Cấp</v>
      </c>
      <c r="D23" s="173">
        <v>46053</v>
      </c>
      <c r="E23" s="174" t="s">
        <v>1450</v>
      </c>
      <c r="F23" s="174" t="s">
        <v>335</v>
      </c>
      <c r="G23" s="174" t="s">
        <v>336</v>
      </c>
      <c r="H23" s="174" t="s">
        <v>301</v>
      </c>
      <c r="I23" s="174" t="s">
        <v>302</v>
      </c>
      <c r="J23" s="174" t="s">
        <v>1451</v>
      </c>
      <c r="K23" s="174" t="s">
        <v>1452</v>
      </c>
      <c r="L23" s="174" t="s">
        <v>458</v>
      </c>
      <c r="M23" s="174" t="s">
        <v>1453</v>
      </c>
      <c r="N23" s="177">
        <v>3630000</v>
      </c>
      <c r="O23" s="174" t="s">
        <v>1454</v>
      </c>
      <c r="P23" s="174" t="s">
        <v>283</v>
      </c>
      <c r="Q23" s="174" t="s">
        <v>284</v>
      </c>
      <c r="R23" s="174" t="s">
        <v>283</v>
      </c>
      <c r="S23" s="174" t="s">
        <v>283</v>
      </c>
      <c r="T23" s="175">
        <v>0</v>
      </c>
    </row>
    <row r="24" spans="1:20" hidden="1" x14ac:dyDescent="0.2">
      <c r="A24" s="169" t="str">
        <f t="shared" si="0"/>
        <v>642</v>
      </c>
      <c r="B24" s="167" t="str">
        <f>_xlfn.XLOOKUP(I24,Mapping!D:D,Mapping!E:E)</f>
        <v>Văn Phòng Giám Đốc</v>
      </c>
      <c r="C24" s="167" t="str">
        <f>_xlfn.XLOOKUP(F24,Mapping!A:A,Mapping!F:F)</f>
        <v>Lương Chính +T13</v>
      </c>
      <c r="D24" s="173">
        <v>46053</v>
      </c>
      <c r="E24" s="174" t="s">
        <v>1455</v>
      </c>
      <c r="F24" s="174" t="s">
        <v>285</v>
      </c>
      <c r="G24" s="174" t="s">
        <v>286</v>
      </c>
      <c r="H24" s="174" t="s">
        <v>320</v>
      </c>
      <c r="I24" s="174" t="s">
        <v>321</v>
      </c>
      <c r="J24" s="174" t="s">
        <v>1456</v>
      </c>
      <c r="K24" s="174" t="s">
        <v>1452</v>
      </c>
      <c r="L24" s="174" t="s">
        <v>458</v>
      </c>
      <c r="M24" s="174" t="s">
        <v>1453</v>
      </c>
      <c r="N24" s="177">
        <v>10234500</v>
      </c>
      <c r="O24" s="174" t="s">
        <v>1457</v>
      </c>
      <c r="P24" s="174" t="s">
        <v>283</v>
      </c>
      <c r="Q24" s="174" t="s">
        <v>284</v>
      </c>
      <c r="R24" s="174" t="s">
        <v>283</v>
      </c>
      <c r="S24" s="174" t="s">
        <v>283</v>
      </c>
      <c r="T24" s="175">
        <v>0</v>
      </c>
    </row>
    <row r="25" spans="1:20" hidden="1" x14ac:dyDescent="0.2">
      <c r="A25" s="169" t="str">
        <f t="shared" si="0"/>
        <v>642</v>
      </c>
      <c r="B25" s="167" t="str">
        <f>_xlfn.XLOOKUP(I25,Mapping!D:D,Mapping!E:E)</f>
        <v>Văn Phòng Giám Đốc</v>
      </c>
      <c r="C25" s="167" t="str">
        <f>_xlfn.XLOOKUP(F25,Mapping!A:A,Mapping!F:F)</f>
        <v>Thưởng</v>
      </c>
      <c r="D25" s="173">
        <v>46053</v>
      </c>
      <c r="E25" s="174" t="s">
        <v>1455</v>
      </c>
      <c r="F25" s="174" t="s">
        <v>292</v>
      </c>
      <c r="G25" s="174" t="s">
        <v>77</v>
      </c>
      <c r="H25" s="174" t="s">
        <v>320</v>
      </c>
      <c r="I25" s="174" t="s">
        <v>321</v>
      </c>
      <c r="J25" s="174" t="s">
        <v>1458</v>
      </c>
      <c r="K25" s="174" t="s">
        <v>1452</v>
      </c>
      <c r="L25" s="174" t="s">
        <v>458</v>
      </c>
      <c r="M25" s="174" t="s">
        <v>1453</v>
      </c>
      <c r="N25" s="177">
        <v>9415658</v>
      </c>
      <c r="O25" s="174" t="s">
        <v>1457</v>
      </c>
      <c r="P25" s="174" t="s">
        <v>283</v>
      </c>
      <c r="Q25" s="174" t="s">
        <v>284</v>
      </c>
      <c r="R25" s="174" t="s">
        <v>283</v>
      </c>
      <c r="S25" s="174" t="s">
        <v>283</v>
      </c>
      <c r="T25" s="175">
        <v>0</v>
      </c>
    </row>
    <row r="26" spans="1:20" hidden="1" x14ac:dyDescent="0.2">
      <c r="A26" s="169" t="str">
        <f t="shared" si="0"/>
        <v>642</v>
      </c>
      <c r="B26" s="167" t="str">
        <f>_xlfn.XLOOKUP(I26,Mapping!D:D,Mapping!E:E)</f>
        <v>Hành Chánh Nhân Sự</v>
      </c>
      <c r="C26" s="167" t="str">
        <f>_xlfn.XLOOKUP(F26,Mapping!A:A,Mapping!F:F)</f>
        <v>Lương Chính +T13</v>
      </c>
      <c r="D26" s="173">
        <v>46053</v>
      </c>
      <c r="E26" s="174" t="s">
        <v>1455</v>
      </c>
      <c r="F26" s="174" t="s">
        <v>285</v>
      </c>
      <c r="G26" s="174" t="s">
        <v>286</v>
      </c>
      <c r="H26" s="174" t="s">
        <v>301</v>
      </c>
      <c r="I26" s="174" t="s">
        <v>302</v>
      </c>
      <c r="J26" s="174" t="s">
        <v>1456</v>
      </c>
      <c r="K26" s="174" t="s">
        <v>1452</v>
      </c>
      <c r="L26" s="174" t="s">
        <v>458</v>
      </c>
      <c r="M26" s="174" t="s">
        <v>1453</v>
      </c>
      <c r="N26" s="177">
        <v>41795750</v>
      </c>
      <c r="O26" s="174" t="s">
        <v>1457</v>
      </c>
      <c r="P26" s="174" t="s">
        <v>283</v>
      </c>
      <c r="Q26" s="174" t="s">
        <v>284</v>
      </c>
      <c r="R26" s="174" t="s">
        <v>283</v>
      </c>
      <c r="S26" s="174" t="s">
        <v>283</v>
      </c>
      <c r="T26" s="175">
        <v>0</v>
      </c>
    </row>
    <row r="27" spans="1:20" hidden="1" x14ac:dyDescent="0.2">
      <c r="A27" s="169" t="str">
        <f t="shared" si="0"/>
        <v>642</v>
      </c>
      <c r="B27" s="167" t="str">
        <f>_xlfn.XLOOKUP(I27,Mapping!D:D,Mapping!E:E)</f>
        <v>Hành Chánh Nhân Sự</v>
      </c>
      <c r="C27" s="167" t="str">
        <f>_xlfn.XLOOKUP(F27,Mapping!A:A,Mapping!F:F)</f>
        <v>Thưởng</v>
      </c>
      <c r="D27" s="173">
        <v>46053</v>
      </c>
      <c r="E27" s="174" t="s">
        <v>1455</v>
      </c>
      <c r="F27" s="174" t="s">
        <v>292</v>
      </c>
      <c r="G27" s="174" t="s">
        <v>77</v>
      </c>
      <c r="H27" s="174" t="s">
        <v>301</v>
      </c>
      <c r="I27" s="174" t="s">
        <v>302</v>
      </c>
      <c r="J27" s="174" t="s">
        <v>1458</v>
      </c>
      <c r="K27" s="174" t="s">
        <v>1452</v>
      </c>
      <c r="L27" s="174" t="s">
        <v>458</v>
      </c>
      <c r="M27" s="174" t="s">
        <v>1453</v>
      </c>
      <c r="N27" s="177">
        <v>35464881</v>
      </c>
      <c r="O27" s="174" t="s">
        <v>1457</v>
      </c>
      <c r="P27" s="174" t="s">
        <v>283</v>
      </c>
      <c r="Q27" s="174" t="s">
        <v>284</v>
      </c>
      <c r="R27" s="174" t="s">
        <v>283</v>
      </c>
      <c r="S27" s="174" t="s">
        <v>283</v>
      </c>
      <c r="T27" s="175">
        <v>0</v>
      </c>
    </row>
    <row r="28" spans="1:20" hidden="1" x14ac:dyDescent="0.2">
      <c r="A28" s="169" t="str">
        <f t="shared" si="0"/>
        <v>642</v>
      </c>
      <c r="B28" s="167" t="str">
        <f>_xlfn.XLOOKUP(I28,Mapping!D:D,Mapping!E:E)</f>
        <v>Văn Phòng Giám Đốc</v>
      </c>
      <c r="C28" s="167" t="str">
        <f>_xlfn.XLOOKUP(F28,Mapping!A:A,Mapping!F:F)</f>
        <v>BHXH, BHYT, KPCĐ</v>
      </c>
      <c r="D28" s="173">
        <v>46053</v>
      </c>
      <c r="E28" s="174" t="s">
        <v>1459</v>
      </c>
      <c r="F28" s="174" t="s">
        <v>295</v>
      </c>
      <c r="G28" s="174" t="s">
        <v>296</v>
      </c>
      <c r="H28" s="174" t="s">
        <v>320</v>
      </c>
      <c r="I28" s="174" t="s">
        <v>321</v>
      </c>
      <c r="J28" s="174" t="s">
        <v>1460</v>
      </c>
      <c r="K28" s="174" t="s">
        <v>1452</v>
      </c>
      <c r="L28" s="174" t="s">
        <v>458</v>
      </c>
      <c r="M28" s="174" t="s">
        <v>1453</v>
      </c>
      <c r="N28" s="177">
        <v>28861290</v>
      </c>
      <c r="O28" s="174" t="s">
        <v>1461</v>
      </c>
      <c r="P28" s="174" t="s">
        <v>283</v>
      </c>
      <c r="Q28" s="174" t="s">
        <v>284</v>
      </c>
      <c r="R28" s="174" t="s">
        <v>283</v>
      </c>
      <c r="S28" s="174" t="s">
        <v>283</v>
      </c>
      <c r="T28" s="175">
        <v>0</v>
      </c>
    </row>
    <row r="29" spans="1:20" hidden="1" x14ac:dyDescent="0.2">
      <c r="A29" s="169" t="str">
        <f t="shared" si="0"/>
        <v>642</v>
      </c>
      <c r="B29" s="167" t="str">
        <f>_xlfn.XLOOKUP(I29,Mapping!D:D,Mapping!E:E)</f>
        <v>Hành Chánh Nhân Sự</v>
      </c>
      <c r="C29" s="167" t="str">
        <f>_xlfn.XLOOKUP(F29,Mapping!A:A,Mapping!F:F)</f>
        <v>BHXH, BHYT, KPCĐ</v>
      </c>
      <c r="D29" s="173">
        <v>46053</v>
      </c>
      <c r="E29" s="174" t="s">
        <v>1459</v>
      </c>
      <c r="F29" s="174" t="s">
        <v>295</v>
      </c>
      <c r="G29" s="174" t="s">
        <v>296</v>
      </c>
      <c r="H29" s="174" t="s">
        <v>301</v>
      </c>
      <c r="I29" s="174" t="s">
        <v>302</v>
      </c>
      <c r="J29" s="174" t="s">
        <v>1460</v>
      </c>
      <c r="K29" s="174" t="s">
        <v>1452</v>
      </c>
      <c r="L29" s="174" t="s">
        <v>458</v>
      </c>
      <c r="M29" s="174" t="s">
        <v>1453</v>
      </c>
      <c r="N29" s="177">
        <v>113813015</v>
      </c>
      <c r="O29" s="174" t="s">
        <v>1461</v>
      </c>
      <c r="P29" s="174" t="s">
        <v>283</v>
      </c>
      <c r="Q29" s="174" t="s">
        <v>284</v>
      </c>
      <c r="R29" s="174" t="s">
        <v>283</v>
      </c>
      <c r="S29" s="174" t="s">
        <v>283</v>
      </c>
      <c r="T29" s="175">
        <v>0</v>
      </c>
    </row>
    <row r="30" spans="1:20" hidden="1" x14ac:dyDescent="0.2">
      <c r="A30" s="169" t="str">
        <f t="shared" si="0"/>
        <v>642</v>
      </c>
      <c r="B30" s="167" t="str">
        <f>_xlfn.XLOOKUP(I30,Mapping!D:D,Mapping!E:E)</f>
        <v>Hành Chánh Nhân Sự</v>
      </c>
      <c r="C30" s="167" t="str">
        <f>_xlfn.XLOOKUP(F30,Mapping!A:A,Mapping!F:F)</f>
        <v>BHXH, BHYT, KPCĐ</v>
      </c>
      <c r="D30" s="173">
        <v>46053</v>
      </c>
      <c r="E30" s="174" t="s">
        <v>1479</v>
      </c>
      <c r="F30" s="174" t="s">
        <v>295</v>
      </c>
      <c r="G30" s="174" t="s">
        <v>296</v>
      </c>
      <c r="H30" s="174" t="s">
        <v>301</v>
      </c>
      <c r="I30" s="174" t="s">
        <v>302</v>
      </c>
      <c r="J30" s="174" t="s">
        <v>1460</v>
      </c>
      <c r="K30" s="174" t="s">
        <v>1452</v>
      </c>
      <c r="L30" s="174" t="s">
        <v>458</v>
      </c>
      <c r="M30" s="174" t="s">
        <v>1453</v>
      </c>
      <c r="N30" s="177">
        <v>1292500</v>
      </c>
      <c r="O30" s="174" t="s">
        <v>1480</v>
      </c>
      <c r="P30" s="174" t="s">
        <v>283</v>
      </c>
      <c r="Q30" s="174" t="s">
        <v>284</v>
      </c>
      <c r="R30" s="174" t="s">
        <v>283</v>
      </c>
      <c r="S30" s="174" t="s">
        <v>283</v>
      </c>
      <c r="T30" s="175">
        <v>0</v>
      </c>
    </row>
    <row r="31" spans="1:20" hidden="1" x14ac:dyDescent="0.2">
      <c r="A31" s="169" t="str">
        <f t="shared" si="0"/>
        <v>642</v>
      </c>
      <c r="B31" s="167" t="str">
        <f>_xlfn.XLOOKUP(I31,Mapping!D:D,Mapping!E:E)</f>
        <v>Hành Chánh Nhân Sự</v>
      </c>
      <c r="C31" s="167" t="str">
        <f>_xlfn.XLOOKUP(F31,Mapping!A:A,Mapping!F:F)</f>
        <v>BHXH, BHYT, KPCĐ</v>
      </c>
      <c r="D31" s="173">
        <v>46053</v>
      </c>
      <c r="E31" s="174" t="s">
        <v>1481</v>
      </c>
      <c r="F31" s="174" t="s">
        <v>295</v>
      </c>
      <c r="G31" s="174" t="s">
        <v>296</v>
      </c>
      <c r="H31" s="174" t="s">
        <v>301</v>
      </c>
      <c r="I31" s="174" t="s">
        <v>302</v>
      </c>
      <c r="J31" s="174" t="s">
        <v>1482</v>
      </c>
      <c r="K31" s="174" t="s">
        <v>1452</v>
      </c>
      <c r="L31" s="174" t="s">
        <v>458</v>
      </c>
      <c r="M31" s="174" t="s">
        <v>1453</v>
      </c>
      <c r="N31" s="177">
        <v>247500</v>
      </c>
      <c r="O31" s="174" t="s">
        <v>1483</v>
      </c>
      <c r="P31" s="174" t="s">
        <v>283</v>
      </c>
      <c r="Q31" s="174" t="s">
        <v>284</v>
      </c>
      <c r="R31" s="174" t="s">
        <v>283</v>
      </c>
      <c r="S31" s="174" t="s">
        <v>283</v>
      </c>
      <c r="T31" s="175">
        <v>0</v>
      </c>
    </row>
    <row r="32" spans="1:20" hidden="1" x14ac:dyDescent="0.2">
      <c r="A32" s="169" t="str">
        <f t="shared" si="0"/>
        <v>642</v>
      </c>
      <c r="B32" s="167" t="str">
        <f>_xlfn.XLOOKUP(I32,Mapping!D:D,Mapping!E:E)</f>
        <v>Hành Chánh Nhân Sự</v>
      </c>
      <c r="C32" s="167" t="str">
        <f>_xlfn.XLOOKUP(F32,Mapping!A:A,Mapping!F:F)</f>
        <v>Phụ Cấp</v>
      </c>
      <c r="D32" s="173">
        <v>46051</v>
      </c>
      <c r="E32" s="174" t="s">
        <v>1484</v>
      </c>
      <c r="F32" s="174" t="s">
        <v>335</v>
      </c>
      <c r="G32" s="174" t="s">
        <v>336</v>
      </c>
      <c r="H32" s="174" t="s">
        <v>301</v>
      </c>
      <c r="I32" s="174" t="s">
        <v>302</v>
      </c>
      <c r="J32" s="174" t="s">
        <v>1386</v>
      </c>
      <c r="K32" s="174" t="s">
        <v>992</v>
      </c>
      <c r="L32" s="174" t="s">
        <v>458</v>
      </c>
      <c r="M32" s="174" t="s">
        <v>1453</v>
      </c>
      <c r="N32" s="177">
        <v>25414000</v>
      </c>
      <c r="O32" s="174" t="s">
        <v>1485</v>
      </c>
      <c r="P32" s="174" t="s">
        <v>283</v>
      </c>
      <c r="Q32" s="174" t="s">
        <v>306</v>
      </c>
      <c r="R32" s="174" t="s">
        <v>283</v>
      </c>
      <c r="S32" s="174" t="s">
        <v>283</v>
      </c>
      <c r="T32" s="175">
        <v>0</v>
      </c>
    </row>
    <row r="33" spans="1:20" hidden="1" x14ac:dyDescent="0.2">
      <c r="A33" s="169" t="str">
        <f t="shared" si="0"/>
        <v>642</v>
      </c>
      <c r="B33" s="167" t="str">
        <f>_xlfn.XLOOKUP(I33,Mapping!D:D,Mapping!E:E)</f>
        <v>Văn Phòng Giám Đốc</v>
      </c>
      <c r="C33" s="167" t="str">
        <f>_xlfn.XLOOKUP(F33,Mapping!A:A,Mapping!F:F)</f>
        <v>Phụ Cấp</v>
      </c>
      <c r="D33" s="173">
        <v>46051</v>
      </c>
      <c r="E33" s="174" t="s">
        <v>1484</v>
      </c>
      <c r="F33" s="174" t="s">
        <v>335</v>
      </c>
      <c r="G33" s="174" t="s">
        <v>336</v>
      </c>
      <c r="H33" s="174" t="s">
        <v>320</v>
      </c>
      <c r="I33" s="174" t="s">
        <v>321</v>
      </c>
      <c r="J33" s="174" t="s">
        <v>1386</v>
      </c>
      <c r="K33" s="174" t="s">
        <v>992</v>
      </c>
      <c r="L33" s="174" t="s">
        <v>458</v>
      </c>
      <c r="M33" s="174" t="s">
        <v>1453</v>
      </c>
      <c r="N33" s="177">
        <v>2242000</v>
      </c>
      <c r="O33" s="174" t="s">
        <v>1485</v>
      </c>
      <c r="P33" s="174" t="s">
        <v>283</v>
      </c>
      <c r="Q33" s="174" t="s">
        <v>306</v>
      </c>
      <c r="R33" s="174" t="s">
        <v>283</v>
      </c>
      <c r="S33" s="174" t="s">
        <v>283</v>
      </c>
      <c r="T33" s="175">
        <v>0</v>
      </c>
    </row>
    <row r="34" spans="1:20" hidden="1" x14ac:dyDescent="0.2">
      <c r="A34" s="169" t="str">
        <f t="shared" si="0"/>
        <v>642</v>
      </c>
      <c r="B34" s="167" t="str">
        <f>_xlfn.XLOOKUP(I34,Mapping!D:D,Mapping!E:E)</f>
        <v>Hành Chánh Nhân Sự</v>
      </c>
      <c r="C34" s="167" t="str">
        <f>_xlfn.XLOOKUP(F34,Mapping!A:A,Mapping!F:F)</f>
        <v>Lương Chính +T13</v>
      </c>
      <c r="D34" s="173">
        <v>46053</v>
      </c>
      <c r="E34" s="174" t="s">
        <v>1486</v>
      </c>
      <c r="F34" s="174" t="s">
        <v>274</v>
      </c>
      <c r="G34" s="174" t="s">
        <v>275</v>
      </c>
      <c r="H34" s="174" t="s">
        <v>301</v>
      </c>
      <c r="I34" s="174" t="s">
        <v>302</v>
      </c>
      <c r="J34" s="174" t="s">
        <v>1487</v>
      </c>
      <c r="K34" s="174" t="s">
        <v>328</v>
      </c>
      <c r="L34" s="174" t="s">
        <v>458</v>
      </c>
      <c r="M34" s="174" t="s">
        <v>1453</v>
      </c>
      <c r="N34" s="177">
        <v>84410968</v>
      </c>
      <c r="O34" s="174" t="s">
        <v>1488</v>
      </c>
      <c r="P34" s="174" t="s">
        <v>283</v>
      </c>
      <c r="Q34" s="174" t="s">
        <v>306</v>
      </c>
      <c r="R34" s="174" t="s">
        <v>283</v>
      </c>
      <c r="S34" s="174" t="s">
        <v>283</v>
      </c>
      <c r="T34" s="175">
        <v>0</v>
      </c>
    </row>
    <row r="35" spans="1:20" hidden="1" x14ac:dyDescent="0.2">
      <c r="A35" s="169" t="str">
        <f t="shared" si="0"/>
        <v>642</v>
      </c>
      <c r="B35" s="167" t="str">
        <f>_xlfn.XLOOKUP(I35,Mapping!D:D,Mapping!E:E)</f>
        <v>Hành Chánh Nhân Sự</v>
      </c>
      <c r="C35" s="167" t="str">
        <f>_xlfn.XLOOKUP(F35,Mapping!A:A,Mapping!F:F)</f>
        <v>Khen thưởng BD khác</v>
      </c>
      <c r="D35" s="173">
        <v>46053</v>
      </c>
      <c r="E35" s="174" t="s">
        <v>1489</v>
      </c>
      <c r="F35" s="174" t="s">
        <v>300</v>
      </c>
      <c r="G35" s="174" t="s">
        <v>222</v>
      </c>
      <c r="H35" s="174" t="s">
        <v>301</v>
      </c>
      <c r="I35" s="174" t="s">
        <v>302</v>
      </c>
      <c r="J35" s="174" t="s">
        <v>1490</v>
      </c>
      <c r="K35" s="174" t="s">
        <v>1491</v>
      </c>
      <c r="L35" s="174" t="s">
        <v>458</v>
      </c>
      <c r="M35" s="174" t="s">
        <v>1453</v>
      </c>
      <c r="N35" s="177">
        <v>6000000</v>
      </c>
      <c r="O35" s="174" t="s">
        <v>1492</v>
      </c>
      <c r="P35" s="174" t="s">
        <v>283</v>
      </c>
      <c r="Q35" s="174" t="s">
        <v>306</v>
      </c>
      <c r="R35" s="174" t="s">
        <v>283</v>
      </c>
      <c r="S35" s="174" t="s">
        <v>283</v>
      </c>
      <c r="T35" s="175">
        <v>0</v>
      </c>
    </row>
    <row r="36" spans="1:20" hidden="1" x14ac:dyDescent="0.2">
      <c r="A36" s="169" t="str">
        <f t="shared" si="0"/>
        <v>642</v>
      </c>
      <c r="B36" s="167" t="str">
        <f>_xlfn.XLOOKUP(I36,Mapping!D:D,Mapping!E:E)</f>
        <v>Hành Chánh Nhân Sự</v>
      </c>
      <c r="C36" s="167" t="str">
        <f>_xlfn.XLOOKUP(F36,Mapping!A:A,Mapping!F:F)</f>
        <v>Phụ Cấp</v>
      </c>
      <c r="D36" s="173">
        <v>46053</v>
      </c>
      <c r="E36" s="174" t="s">
        <v>1493</v>
      </c>
      <c r="F36" s="174" t="s">
        <v>335</v>
      </c>
      <c r="G36" s="174" t="s">
        <v>336</v>
      </c>
      <c r="H36" s="174" t="s">
        <v>301</v>
      </c>
      <c r="I36" s="174" t="s">
        <v>302</v>
      </c>
      <c r="J36" s="174" t="s">
        <v>1494</v>
      </c>
      <c r="K36" s="174" t="s">
        <v>1495</v>
      </c>
      <c r="L36" s="174" t="s">
        <v>458</v>
      </c>
      <c r="M36" s="174" t="s">
        <v>1453</v>
      </c>
      <c r="N36" s="177">
        <v>3770000</v>
      </c>
      <c r="O36" s="174" t="s">
        <v>1496</v>
      </c>
      <c r="P36" s="174" t="s">
        <v>283</v>
      </c>
      <c r="Q36" s="174" t="s">
        <v>306</v>
      </c>
      <c r="R36" s="174" t="s">
        <v>283</v>
      </c>
      <c r="S36" s="174" t="s">
        <v>283</v>
      </c>
      <c r="T36" s="175">
        <v>0</v>
      </c>
    </row>
    <row r="37" spans="1:20" hidden="1" x14ac:dyDescent="0.2">
      <c r="A37" s="169" t="str">
        <f t="shared" si="0"/>
        <v>642</v>
      </c>
      <c r="B37" s="167" t="str">
        <f>_xlfn.XLOOKUP(I37,Mapping!D:D,Mapping!E:E)</f>
        <v>Hành Chánh Nhân Sự</v>
      </c>
      <c r="C37" s="167" t="str">
        <f>_xlfn.XLOOKUP(F37,Mapping!A:A,Mapping!F:F)</f>
        <v>Phụ Cấp</v>
      </c>
      <c r="D37" s="173">
        <v>46053</v>
      </c>
      <c r="E37" s="174" t="s">
        <v>1497</v>
      </c>
      <c r="F37" s="174" t="s">
        <v>335</v>
      </c>
      <c r="G37" s="174" t="s">
        <v>336</v>
      </c>
      <c r="H37" s="174" t="s">
        <v>301</v>
      </c>
      <c r="I37" s="174" t="s">
        <v>302</v>
      </c>
      <c r="J37" s="174" t="s">
        <v>1498</v>
      </c>
      <c r="K37" s="174" t="s">
        <v>1499</v>
      </c>
      <c r="L37" s="174" t="s">
        <v>458</v>
      </c>
      <c r="M37" s="174" t="s">
        <v>1453</v>
      </c>
      <c r="N37" s="177">
        <v>-423015</v>
      </c>
      <c r="O37" s="174" t="s">
        <v>1500</v>
      </c>
      <c r="P37" s="174" t="s">
        <v>283</v>
      </c>
      <c r="Q37" s="174" t="s">
        <v>284</v>
      </c>
      <c r="R37" s="174" t="s">
        <v>283</v>
      </c>
      <c r="S37" s="174" t="s">
        <v>283</v>
      </c>
      <c r="T37" s="175">
        <v>0</v>
      </c>
    </row>
    <row r="38" spans="1:20" hidden="1" x14ac:dyDescent="0.2">
      <c r="A38" s="169" t="str">
        <f t="shared" si="0"/>
        <v>642</v>
      </c>
      <c r="B38" s="167" t="str">
        <f>_xlfn.XLOOKUP(I38,Mapping!D:D,Mapping!E:E)</f>
        <v>Kế Toán</v>
      </c>
      <c r="C38" s="167" t="str">
        <f>_xlfn.XLOOKUP(F38,Mapping!A:A,Mapping!F:F)</f>
        <v>Khen thưởng BD khác</v>
      </c>
      <c r="D38" s="173">
        <v>46038</v>
      </c>
      <c r="E38" s="174" t="s">
        <v>1501</v>
      </c>
      <c r="F38" s="174" t="s">
        <v>300</v>
      </c>
      <c r="G38" s="174" t="s">
        <v>222</v>
      </c>
      <c r="H38" s="174" t="s">
        <v>356</v>
      </c>
      <c r="I38" s="174" t="s">
        <v>357</v>
      </c>
      <c r="J38" s="174" t="s">
        <v>1502</v>
      </c>
      <c r="K38" s="174" t="s">
        <v>1503</v>
      </c>
      <c r="L38" s="174" t="s">
        <v>458</v>
      </c>
      <c r="M38" s="174" t="s">
        <v>1453</v>
      </c>
      <c r="N38" s="177">
        <v>600000</v>
      </c>
      <c r="O38" s="174" t="s">
        <v>1504</v>
      </c>
      <c r="P38" s="174" t="s">
        <v>283</v>
      </c>
      <c r="Q38" s="174" t="s">
        <v>964</v>
      </c>
      <c r="R38" s="174" t="s">
        <v>283</v>
      </c>
      <c r="S38" s="174" t="s">
        <v>283</v>
      </c>
      <c r="T38" s="175">
        <v>0</v>
      </c>
    </row>
    <row r="39" spans="1:20" hidden="1" x14ac:dyDescent="0.2">
      <c r="A39" s="169" t="str">
        <f t="shared" si="0"/>
        <v>642</v>
      </c>
      <c r="B39" s="167" t="str">
        <f>_xlfn.XLOOKUP(I39,Mapping!D:D,Mapping!E:E)</f>
        <v>Kế Toán</v>
      </c>
      <c r="C39" s="167" t="str">
        <f>_xlfn.XLOOKUP(F39,Mapping!A:A,Mapping!F:F)</f>
        <v>Khen thưởng BD khác</v>
      </c>
      <c r="D39" s="173">
        <v>46038</v>
      </c>
      <c r="E39" s="174" t="s">
        <v>1505</v>
      </c>
      <c r="F39" s="174" t="s">
        <v>300</v>
      </c>
      <c r="G39" s="174" t="s">
        <v>222</v>
      </c>
      <c r="H39" s="174" t="s">
        <v>356</v>
      </c>
      <c r="I39" s="174" t="s">
        <v>357</v>
      </c>
      <c r="J39" s="174" t="s">
        <v>1502</v>
      </c>
      <c r="K39" s="174" t="s">
        <v>1503</v>
      </c>
      <c r="L39" s="174" t="s">
        <v>458</v>
      </c>
      <c r="M39" s="174" t="s">
        <v>1453</v>
      </c>
      <c r="N39" s="177">
        <v>400000</v>
      </c>
      <c r="O39" s="174" t="s">
        <v>1506</v>
      </c>
      <c r="P39" s="174" t="s">
        <v>283</v>
      </c>
      <c r="Q39" s="174" t="s">
        <v>964</v>
      </c>
      <c r="R39" s="174" t="s">
        <v>283</v>
      </c>
      <c r="S39" s="174" t="s">
        <v>283</v>
      </c>
      <c r="T39" s="175">
        <v>0</v>
      </c>
    </row>
    <row r="40" spans="1:20" hidden="1" x14ac:dyDescent="0.2">
      <c r="A40" s="169" t="str">
        <f t="shared" si="0"/>
        <v>642</v>
      </c>
      <c r="B40" s="167" t="str">
        <f>_xlfn.XLOOKUP(I40,Mapping!D:D,Mapping!E:E)</f>
        <v>Kế Toán</v>
      </c>
      <c r="C40" s="167" t="str">
        <f>_xlfn.XLOOKUP(F40,Mapping!A:A,Mapping!F:F)</f>
        <v>Khen thưởng BD khác</v>
      </c>
      <c r="D40" s="173">
        <v>46038</v>
      </c>
      <c r="E40" s="174" t="s">
        <v>1507</v>
      </c>
      <c r="F40" s="174" t="s">
        <v>300</v>
      </c>
      <c r="G40" s="174" t="s">
        <v>222</v>
      </c>
      <c r="H40" s="174" t="s">
        <v>356</v>
      </c>
      <c r="I40" s="174" t="s">
        <v>357</v>
      </c>
      <c r="J40" s="174" t="s">
        <v>1502</v>
      </c>
      <c r="K40" s="174" t="s">
        <v>1503</v>
      </c>
      <c r="L40" s="174" t="s">
        <v>458</v>
      </c>
      <c r="M40" s="174" t="s">
        <v>1453</v>
      </c>
      <c r="N40" s="177">
        <v>300000</v>
      </c>
      <c r="O40" s="174" t="s">
        <v>1508</v>
      </c>
      <c r="P40" s="174" t="s">
        <v>283</v>
      </c>
      <c r="Q40" s="174" t="s">
        <v>964</v>
      </c>
      <c r="R40" s="174" t="s">
        <v>283</v>
      </c>
      <c r="S40" s="174" t="s">
        <v>283</v>
      </c>
      <c r="T40" s="175">
        <v>0</v>
      </c>
    </row>
    <row r="41" spans="1:20" hidden="1" x14ac:dyDescent="0.2">
      <c r="A41" s="169" t="str">
        <f t="shared" si="0"/>
        <v>642</v>
      </c>
      <c r="B41" s="167" t="str">
        <f>_xlfn.XLOOKUP(I41,Mapping!D:D,Mapping!E:E)</f>
        <v>Kế Toán</v>
      </c>
      <c r="C41" s="167" t="str">
        <f>_xlfn.XLOOKUP(F41,Mapping!A:A,Mapping!F:F)</f>
        <v>Khen thưởng BD khác</v>
      </c>
      <c r="D41" s="173">
        <v>46038</v>
      </c>
      <c r="E41" s="174" t="s">
        <v>1509</v>
      </c>
      <c r="F41" s="174" t="s">
        <v>300</v>
      </c>
      <c r="G41" s="174" t="s">
        <v>222</v>
      </c>
      <c r="H41" s="174" t="s">
        <v>356</v>
      </c>
      <c r="I41" s="174" t="s">
        <v>357</v>
      </c>
      <c r="J41" s="174" t="s">
        <v>1502</v>
      </c>
      <c r="K41" s="174" t="s">
        <v>1503</v>
      </c>
      <c r="L41" s="174" t="s">
        <v>458</v>
      </c>
      <c r="M41" s="174" t="s">
        <v>1453</v>
      </c>
      <c r="N41" s="177">
        <v>300000</v>
      </c>
      <c r="O41" s="174" t="s">
        <v>1510</v>
      </c>
      <c r="P41" s="174" t="s">
        <v>283</v>
      </c>
      <c r="Q41" s="174" t="s">
        <v>964</v>
      </c>
      <c r="R41" s="174" t="s">
        <v>283</v>
      </c>
      <c r="S41" s="174" t="s">
        <v>283</v>
      </c>
      <c r="T41" s="175">
        <v>0</v>
      </c>
    </row>
    <row r="42" spans="1:20" hidden="1" x14ac:dyDescent="0.2">
      <c r="A42" s="169" t="str">
        <f t="shared" si="0"/>
        <v>642</v>
      </c>
      <c r="B42" s="167" t="str">
        <f>_xlfn.XLOOKUP(I42,Mapping!D:D,Mapping!E:E)</f>
        <v>Kế Toán</v>
      </c>
      <c r="C42" s="167" t="str">
        <f>_xlfn.XLOOKUP(F42,Mapping!A:A,Mapping!F:F)</f>
        <v>Lương Chính +T13</v>
      </c>
      <c r="D42" s="173">
        <v>46053</v>
      </c>
      <c r="E42" s="174" t="s">
        <v>1450</v>
      </c>
      <c r="F42" s="174" t="s">
        <v>274</v>
      </c>
      <c r="G42" s="174" t="s">
        <v>275</v>
      </c>
      <c r="H42" s="174" t="s">
        <v>356</v>
      </c>
      <c r="I42" s="174" t="s">
        <v>357</v>
      </c>
      <c r="J42" s="174" t="s">
        <v>1451</v>
      </c>
      <c r="K42" s="174" t="s">
        <v>1452</v>
      </c>
      <c r="L42" s="174" t="s">
        <v>458</v>
      </c>
      <c r="M42" s="174" t="s">
        <v>1453</v>
      </c>
      <c r="N42" s="177">
        <v>524320343</v>
      </c>
      <c r="O42" s="174" t="s">
        <v>1454</v>
      </c>
      <c r="P42" s="174" t="s">
        <v>283</v>
      </c>
      <c r="Q42" s="174" t="s">
        <v>284</v>
      </c>
      <c r="R42" s="174" t="s">
        <v>283</v>
      </c>
      <c r="S42" s="174" t="s">
        <v>283</v>
      </c>
      <c r="T42" s="175">
        <v>0</v>
      </c>
    </row>
    <row r="43" spans="1:20" hidden="1" x14ac:dyDescent="0.2">
      <c r="A43" s="169" t="str">
        <f t="shared" si="0"/>
        <v>642</v>
      </c>
      <c r="B43" s="167" t="str">
        <f>_xlfn.XLOOKUP(I43,Mapping!D:D,Mapping!E:E)</f>
        <v>Kế Toán</v>
      </c>
      <c r="C43" s="167" t="str">
        <f>_xlfn.XLOOKUP(F43,Mapping!A:A,Mapping!F:F)</f>
        <v>Lương Chính +T13</v>
      </c>
      <c r="D43" s="173">
        <v>46053</v>
      </c>
      <c r="E43" s="174" t="s">
        <v>1450</v>
      </c>
      <c r="F43" s="174" t="s">
        <v>285</v>
      </c>
      <c r="G43" s="174" t="s">
        <v>286</v>
      </c>
      <c r="H43" s="174" t="s">
        <v>356</v>
      </c>
      <c r="I43" s="174" t="s">
        <v>357</v>
      </c>
      <c r="J43" s="174" t="s">
        <v>1451</v>
      </c>
      <c r="K43" s="174" t="s">
        <v>1452</v>
      </c>
      <c r="L43" s="174" t="s">
        <v>458</v>
      </c>
      <c r="M43" s="174" t="s">
        <v>1453</v>
      </c>
      <c r="N43" s="177">
        <v>44120047</v>
      </c>
      <c r="O43" s="174" t="s">
        <v>1454</v>
      </c>
      <c r="P43" s="174" t="s">
        <v>283</v>
      </c>
      <c r="Q43" s="174" t="s">
        <v>284</v>
      </c>
      <c r="R43" s="174" t="s">
        <v>283</v>
      </c>
      <c r="S43" s="174" t="s">
        <v>283</v>
      </c>
      <c r="T43" s="175">
        <v>0</v>
      </c>
    </row>
    <row r="44" spans="1:20" hidden="1" x14ac:dyDescent="0.2">
      <c r="A44" s="169" t="str">
        <f t="shared" si="0"/>
        <v>642</v>
      </c>
      <c r="B44" s="167" t="str">
        <f>_xlfn.XLOOKUP(I44,Mapping!D:D,Mapping!E:E)</f>
        <v>Kế Toán</v>
      </c>
      <c r="C44" s="167" t="str">
        <f>_xlfn.XLOOKUP(F44,Mapping!A:A,Mapping!F:F)</f>
        <v>Lương Ngoài giờ</v>
      </c>
      <c r="D44" s="173">
        <v>46053</v>
      </c>
      <c r="E44" s="174" t="s">
        <v>1450</v>
      </c>
      <c r="F44" s="174" t="s">
        <v>342</v>
      </c>
      <c r="G44" s="174" t="s">
        <v>343</v>
      </c>
      <c r="H44" s="174" t="s">
        <v>356</v>
      </c>
      <c r="I44" s="174" t="s">
        <v>357</v>
      </c>
      <c r="J44" s="174" t="s">
        <v>1451</v>
      </c>
      <c r="K44" s="174" t="s">
        <v>1452</v>
      </c>
      <c r="L44" s="174" t="s">
        <v>458</v>
      </c>
      <c r="M44" s="174" t="s">
        <v>1453</v>
      </c>
      <c r="N44" s="177">
        <v>52518781</v>
      </c>
      <c r="O44" s="174" t="s">
        <v>1454</v>
      </c>
      <c r="P44" s="174" t="s">
        <v>283</v>
      </c>
      <c r="Q44" s="174" t="s">
        <v>284</v>
      </c>
      <c r="R44" s="174" t="s">
        <v>283</v>
      </c>
      <c r="S44" s="174" t="s">
        <v>283</v>
      </c>
      <c r="T44" s="175">
        <v>0</v>
      </c>
    </row>
    <row r="45" spans="1:20" hidden="1" x14ac:dyDescent="0.2">
      <c r="A45" s="169" t="str">
        <f t="shared" si="0"/>
        <v>642</v>
      </c>
      <c r="B45" s="167" t="str">
        <f>_xlfn.XLOOKUP(I45,Mapping!D:D,Mapping!E:E)</f>
        <v>Kế Toán</v>
      </c>
      <c r="C45" s="167" t="str">
        <f>_xlfn.XLOOKUP(F45,Mapping!A:A,Mapping!F:F)</f>
        <v>Thưởng</v>
      </c>
      <c r="D45" s="173">
        <v>46053</v>
      </c>
      <c r="E45" s="174" t="s">
        <v>1450</v>
      </c>
      <c r="F45" s="174" t="s">
        <v>290</v>
      </c>
      <c r="G45" s="174" t="s">
        <v>291</v>
      </c>
      <c r="H45" s="174" t="s">
        <v>356</v>
      </c>
      <c r="I45" s="174" t="s">
        <v>357</v>
      </c>
      <c r="J45" s="174" t="s">
        <v>1451</v>
      </c>
      <c r="K45" s="174" t="s">
        <v>1452</v>
      </c>
      <c r="L45" s="174" t="s">
        <v>458</v>
      </c>
      <c r="M45" s="174" t="s">
        <v>1453</v>
      </c>
      <c r="N45" s="177">
        <v>5600000</v>
      </c>
      <c r="O45" s="174" t="s">
        <v>1454</v>
      </c>
      <c r="P45" s="174" t="s">
        <v>283</v>
      </c>
      <c r="Q45" s="174" t="s">
        <v>284</v>
      </c>
      <c r="R45" s="174" t="s">
        <v>283</v>
      </c>
      <c r="S45" s="174" t="s">
        <v>283</v>
      </c>
      <c r="T45" s="175">
        <v>0</v>
      </c>
    </row>
    <row r="46" spans="1:20" hidden="1" x14ac:dyDescent="0.2">
      <c r="A46" s="169" t="str">
        <f t="shared" si="0"/>
        <v>642</v>
      </c>
      <c r="B46" s="167" t="str">
        <f>_xlfn.XLOOKUP(I46,Mapping!D:D,Mapping!E:E)</f>
        <v>Kế Toán</v>
      </c>
      <c r="C46" s="167" t="str">
        <f>_xlfn.XLOOKUP(F46,Mapping!A:A,Mapping!F:F)</f>
        <v>Phụ Cấp</v>
      </c>
      <c r="D46" s="173">
        <v>46053</v>
      </c>
      <c r="E46" s="174" t="s">
        <v>1450</v>
      </c>
      <c r="F46" s="174" t="s">
        <v>335</v>
      </c>
      <c r="G46" s="174" t="s">
        <v>336</v>
      </c>
      <c r="H46" s="174" t="s">
        <v>356</v>
      </c>
      <c r="I46" s="174" t="s">
        <v>357</v>
      </c>
      <c r="J46" s="174" t="s">
        <v>1451</v>
      </c>
      <c r="K46" s="174" t="s">
        <v>1452</v>
      </c>
      <c r="L46" s="174" t="s">
        <v>458</v>
      </c>
      <c r="M46" s="174" t="s">
        <v>1453</v>
      </c>
      <c r="N46" s="177">
        <v>2890000</v>
      </c>
      <c r="O46" s="174" t="s">
        <v>1454</v>
      </c>
      <c r="P46" s="174" t="s">
        <v>283</v>
      </c>
      <c r="Q46" s="174" t="s">
        <v>284</v>
      </c>
      <c r="R46" s="174" t="s">
        <v>283</v>
      </c>
      <c r="S46" s="174" t="s">
        <v>283</v>
      </c>
      <c r="T46" s="175">
        <v>0</v>
      </c>
    </row>
    <row r="47" spans="1:20" hidden="1" x14ac:dyDescent="0.2">
      <c r="A47" s="169" t="str">
        <f t="shared" si="0"/>
        <v>642</v>
      </c>
      <c r="B47" s="167" t="str">
        <f>_xlfn.XLOOKUP(I47,Mapping!D:D,Mapping!E:E)</f>
        <v>Kế Toán</v>
      </c>
      <c r="C47" s="167" t="str">
        <f>_xlfn.XLOOKUP(F47,Mapping!A:A,Mapping!F:F)</f>
        <v>Lương Chính +T13</v>
      </c>
      <c r="D47" s="173">
        <v>46053</v>
      </c>
      <c r="E47" s="174" t="s">
        <v>1455</v>
      </c>
      <c r="F47" s="174" t="s">
        <v>285</v>
      </c>
      <c r="G47" s="174" t="s">
        <v>286</v>
      </c>
      <c r="H47" s="174" t="s">
        <v>356</v>
      </c>
      <c r="I47" s="174" t="s">
        <v>357</v>
      </c>
      <c r="J47" s="174" t="s">
        <v>1456</v>
      </c>
      <c r="K47" s="174" t="s">
        <v>1452</v>
      </c>
      <c r="L47" s="174" t="s">
        <v>458</v>
      </c>
      <c r="M47" s="174" t="s">
        <v>1453</v>
      </c>
      <c r="N47" s="177">
        <v>46949083</v>
      </c>
      <c r="O47" s="174" t="s">
        <v>1457</v>
      </c>
      <c r="P47" s="174" t="s">
        <v>283</v>
      </c>
      <c r="Q47" s="174" t="s">
        <v>284</v>
      </c>
      <c r="R47" s="174" t="s">
        <v>283</v>
      </c>
      <c r="S47" s="174" t="s">
        <v>283</v>
      </c>
      <c r="T47" s="175">
        <v>0</v>
      </c>
    </row>
    <row r="48" spans="1:20" hidden="1" x14ac:dyDescent="0.2">
      <c r="A48" s="169" t="str">
        <f t="shared" si="0"/>
        <v>642</v>
      </c>
      <c r="B48" s="167" t="str">
        <f>_xlfn.XLOOKUP(I48,Mapping!D:D,Mapping!E:E)</f>
        <v>Kế Toán</v>
      </c>
      <c r="C48" s="167" t="str">
        <f>_xlfn.XLOOKUP(F48,Mapping!A:A,Mapping!F:F)</f>
        <v>Thưởng</v>
      </c>
      <c r="D48" s="173">
        <v>46053</v>
      </c>
      <c r="E48" s="174" t="s">
        <v>1455</v>
      </c>
      <c r="F48" s="174" t="s">
        <v>292</v>
      </c>
      <c r="G48" s="174" t="s">
        <v>77</v>
      </c>
      <c r="H48" s="174" t="s">
        <v>356</v>
      </c>
      <c r="I48" s="174" t="s">
        <v>357</v>
      </c>
      <c r="J48" s="174" t="s">
        <v>1458</v>
      </c>
      <c r="K48" s="174" t="s">
        <v>1452</v>
      </c>
      <c r="L48" s="174" t="s">
        <v>458</v>
      </c>
      <c r="M48" s="174" t="s">
        <v>1453</v>
      </c>
      <c r="N48" s="177">
        <v>43192781</v>
      </c>
      <c r="O48" s="174" t="s">
        <v>1457</v>
      </c>
      <c r="P48" s="174" t="s">
        <v>283</v>
      </c>
      <c r="Q48" s="174" t="s">
        <v>284</v>
      </c>
      <c r="R48" s="174" t="s">
        <v>283</v>
      </c>
      <c r="S48" s="174" t="s">
        <v>283</v>
      </c>
      <c r="T48" s="175">
        <v>0</v>
      </c>
    </row>
    <row r="49" spans="1:20" hidden="1" x14ac:dyDescent="0.2">
      <c r="A49" s="169" t="str">
        <f t="shared" si="0"/>
        <v>642</v>
      </c>
      <c r="B49" s="167" t="str">
        <f>_xlfn.XLOOKUP(I49,Mapping!D:D,Mapping!E:E)</f>
        <v>Kế Toán</v>
      </c>
      <c r="C49" s="167" t="str">
        <f>_xlfn.XLOOKUP(F49,Mapping!A:A,Mapping!F:F)</f>
        <v>BHXH, BHYT, KPCĐ</v>
      </c>
      <c r="D49" s="173">
        <v>46053</v>
      </c>
      <c r="E49" s="174" t="s">
        <v>1459</v>
      </c>
      <c r="F49" s="174" t="s">
        <v>295</v>
      </c>
      <c r="G49" s="174" t="s">
        <v>296</v>
      </c>
      <c r="H49" s="174" t="s">
        <v>356</v>
      </c>
      <c r="I49" s="174" t="s">
        <v>357</v>
      </c>
      <c r="J49" s="174" t="s">
        <v>1460</v>
      </c>
      <c r="K49" s="174" t="s">
        <v>1452</v>
      </c>
      <c r="L49" s="174" t="s">
        <v>458</v>
      </c>
      <c r="M49" s="174" t="s">
        <v>1453</v>
      </c>
      <c r="N49" s="177">
        <v>120509265</v>
      </c>
      <c r="O49" s="174" t="s">
        <v>1461</v>
      </c>
      <c r="P49" s="174" t="s">
        <v>283</v>
      </c>
      <c r="Q49" s="174" t="s">
        <v>284</v>
      </c>
      <c r="R49" s="174" t="s">
        <v>283</v>
      </c>
      <c r="S49" s="174" t="s">
        <v>283</v>
      </c>
      <c r="T49" s="175">
        <v>0</v>
      </c>
    </row>
    <row r="50" spans="1:20" hidden="1" x14ac:dyDescent="0.2">
      <c r="A50" s="169" t="str">
        <f t="shared" si="0"/>
        <v>642</v>
      </c>
      <c r="B50" s="167" t="str">
        <f>_xlfn.XLOOKUP(I50,Mapping!D:D,Mapping!E:E)</f>
        <v>Kế Toán</v>
      </c>
      <c r="C50" s="167" t="str">
        <f>_xlfn.XLOOKUP(F50,Mapping!A:A,Mapping!F:F)</f>
        <v>Phụ Cấp</v>
      </c>
      <c r="D50" s="173">
        <v>46051</v>
      </c>
      <c r="E50" s="174" t="s">
        <v>1484</v>
      </c>
      <c r="F50" s="174" t="s">
        <v>335</v>
      </c>
      <c r="G50" s="174" t="s">
        <v>336</v>
      </c>
      <c r="H50" s="174" t="s">
        <v>356</v>
      </c>
      <c r="I50" s="174" t="s">
        <v>357</v>
      </c>
      <c r="J50" s="174" t="s">
        <v>1386</v>
      </c>
      <c r="K50" s="174" t="s">
        <v>992</v>
      </c>
      <c r="L50" s="174" t="s">
        <v>458</v>
      </c>
      <c r="M50" s="174" t="s">
        <v>1453</v>
      </c>
      <c r="N50" s="177">
        <v>16413000</v>
      </c>
      <c r="O50" s="174" t="s">
        <v>1485</v>
      </c>
      <c r="P50" s="174" t="s">
        <v>283</v>
      </c>
      <c r="Q50" s="174" t="s">
        <v>306</v>
      </c>
      <c r="R50" s="174" t="s">
        <v>283</v>
      </c>
      <c r="S50" s="174" t="s">
        <v>283</v>
      </c>
      <c r="T50" s="175">
        <v>0</v>
      </c>
    </row>
    <row r="51" spans="1:20" hidden="1" x14ac:dyDescent="0.2">
      <c r="A51" s="169" t="str">
        <f t="shared" si="0"/>
        <v>642</v>
      </c>
      <c r="B51" s="167" t="str">
        <f>_xlfn.XLOOKUP(I51,Mapping!D:D,Mapping!E:E)</f>
        <v>Hành Chánh Nhân Sự</v>
      </c>
      <c r="C51" s="167" t="str">
        <f>_xlfn.XLOOKUP(F51,Mapping!A:A,Mapping!F:F)</f>
        <v>Khen thưởng BD khác</v>
      </c>
      <c r="D51" s="173">
        <v>46035</v>
      </c>
      <c r="E51" s="174" t="s">
        <v>1511</v>
      </c>
      <c r="F51" s="174" t="s">
        <v>300</v>
      </c>
      <c r="G51" s="174" t="s">
        <v>222</v>
      </c>
      <c r="H51" s="174" t="s">
        <v>358</v>
      </c>
      <c r="I51" s="174" t="s">
        <v>359</v>
      </c>
      <c r="J51" s="174" t="s">
        <v>1512</v>
      </c>
      <c r="K51" s="174" t="s">
        <v>1512</v>
      </c>
      <c r="L51" s="174" t="s">
        <v>458</v>
      </c>
      <c r="M51" s="174" t="s">
        <v>1453</v>
      </c>
      <c r="N51" s="177">
        <v>1500000</v>
      </c>
      <c r="O51" s="174" t="s">
        <v>1513</v>
      </c>
      <c r="P51" s="174" t="s">
        <v>283</v>
      </c>
      <c r="Q51" s="174" t="s">
        <v>964</v>
      </c>
      <c r="R51" s="174" t="s">
        <v>283</v>
      </c>
      <c r="S51" s="174" t="s">
        <v>283</v>
      </c>
      <c r="T51" s="175">
        <v>0</v>
      </c>
    </row>
    <row r="52" spans="1:20" hidden="1" x14ac:dyDescent="0.2">
      <c r="A52" s="169" t="str">
        <f t="shared" si="0"/>
        <v>641</v>
      </c>
      <c r="B52" s="167" t="str">
        <f>_xlfn.XLOOKUP(I52,Mapping!D:D,Mapping!E:E)</f>
        <v>Kinh doanh</v>
      </c>
      <c r="C52" s="167" t="str">
        <f>_xlfn.XLOOKUP(F52,Mapping!A:A,Mapping!F:F)</f>
        <v>Phụ Cấp</v>
      </c>
      <c r="D52" s="173">
        <v>46044</v>
      </c>
      <c r="E52" s="174" t="s">
        <v>1514</v>
      </c>
      <c r="F52" s="174" t="s">
        <v>385</v>
      </c>
      <c r="G52" s="174" t="s">
        <v>336</v>
      </c>
      <c r="H52" s="174" t="s">
        <v>366</v>
      </c>
      <c r="I52" s="174" t="s">
        <v>1</v>
      </c>
      <c r="J52" s="174" t="s">
        <v>1515</v>
      </c>
      <c r="K52" s="174" t="s">
        <v>1516</v>
      </c>
      <c r="L52" s="174" t="s">
        <v>458</v>
      </c>
      <c r="M52" s="174" t="s">
        <v>1453</v>
      </c>
      <c r="N52" s="177">
        <v>7112000</v>
      </c>
      <c r="O52" s="174" t="s">
        <v>1517</v>
      </c>
      <c r="P52" s="174" t="s">
        <v>283</v>
      </c>
      <c r="Q52" s="174" t="s">
        <v>1344</v>
      </c>
      <c r="R52" s="174" t="s">
        <v>283</v>
      </c>
      <c r="S52" s="174" t="s">
        <v>283</v>
      </c>
      <c r="T52" s="175">
        <v>0</v>
      </c>
    </row>
    <row r="53" spans="1:20" hidden="1" x14ac:dyDescent="0.2">
      <c r="A53" s="169" t="str">
        <f t="shared" si="0"/>
        <v>642</v>
      </c>
      <c r="B53" s="167" t="str">
        <f>_xlfn.XLOOKUP(I53,Mapping!D:D,Mapping!E:E)</f>
        <v>Hành Chánh Nhân Sự</v>
      </c>
      <c r="C53" s="167" t="str">
        <f>_xlfn.XLOOKUP(F53,Mapping!A:A,Mapping!F:F)</f>
        <v>Khen thưởng BD khác</v>
      </c>
      <c r="D53" s="173">
        <v>46046</v>
      </c>
      <c r="E53" s="174" t="s">
        <v>1518</v>
      </c>
      <c r="F53" s="174" t="s">
        <v>300</v>
      </c>
      <c r="G53" s="174" t="s">
        <v>222</v>
      </c>
      <c r="H53" s="174" t="s">
        <v>382</v>
      </c>
      <c r="I53" s="174" t="s">
        <v>200</v>
      </c>
      <c r="J53" s="174" t="s">
        <v>1519</v>
      </c>
      <c r="K53" s="174" t="s">
        <v>1520</v>
      </c>
      <c r="L53" s="174" t="s">
        <v>458</v>
      </c>
      <c r="M53" s="174" t="s">
        <v>1453</v>
      </c>
      <c r="N53" s="177">
        <v>2000000</v>
      </c>
      <c r="O53" s="174" t="s">
        <v>1521</v>
      </c>
      <c r="P53" s="174" t="s">
        <v>283</v>
      </c>
      <c r="Q53" s="174" t="s">
        <v>1344</v>
      </c>
      <c r="R53" s="174" t="s">
        <v>283</v>
      </c>
      <c r="S53" s="174" t="s">
        <v>283</v>
      </c>
      <c r="T53" s="175">
        <v>0</v>
      </c>
    </row>
    <row r="54" spans="1:20" hidden="1" x14ac:dyDescent="0.2">
      <c r="A54" s="169" t="str">
        <f t="shared" si="0"/>
        <v>641</v>
      </c>
      <c r="B54" s="167" t="str">
        <f>_xlfn.XLOOKUP(I54,Mapping!D:D,Mapping!E:E)</f>
        <v>Kinh doanh</v>
      </c>
      <c r="C54" s="167" t="str">
        <f>_xlfn.XLOOKUP(F54,Mapping!A:A,Mapping!F:F)</f>
        <v>Thưởng</v>
      </c>
      <c r="D54" s="173">
        <v>46053</v>
      </c>
      <c r="E54" s="174" t="s">
        <v>1522</v>
      </c>
      <c r="F54" s="174" t="s">
        <v>365</v>
      </c>
      <c r="G54" s="174" t="s">
        <v>291</v>
      </c>
      <c r="H54" s="174" t="s">
        <v>366</v>
      </c>
      <c r="I54" s="174" t="s">
        <v>1</v>
      </c>
      <c r="J54" s="174" t="s">
        <v>1523</v>
      </c>
      <c r="K54" s="174" t="s">
        <v>1524</v>
      </c>
      <c r="L54" s="174" t="s">
        <v>458</v>
      </c>
      <c r="M54" s="174" t="s">
        <v>1453</v>
      </c>
      <c r="N54" s="177">
        <v>-2860308</v>
      </c>
      <c r="O54" s="174" t="s">
        <v>1525</v>
      </c>
      <c r="P54" s="174" t="s">
        <v>283</v>
      </c>
      <c r="Q54" s="174" t="s">
        <v>370</v>
      </c>
      <c r="R54" s="174" t="s">
        <v>283</v>
      </c>
      <c r="S54" s="174" t="s">
        <v>283</v>
      </c>
      <c r="T54" s="175">
        <v>0</v>
      </c>
    </row>
    <row r="55" spans="1:20" hidden="1" x14ac:dyDescent="0.2">
      <c r="A55" s="169" t="str">
        <f t="shared" si="0"/>
        <v>641</v>
      </c>
      <c r="B55" s="167" t="str">
        <f>_xlfn.XLOOKUP(I55,Mapping!D:D,Mapping!E:E)</f>
        <v>Kinh doanh</v>
      </c>
      <c r="C55" s="167" t="str">
        <f>_xlfn.XLOOKUP(F55,Mapping!A:A,Mapping!F:F)</f>
        <v>Lương Chính +T13</v>
      </c>
      <c r="D55" s="173">
        <v>46053</v>
      </c>
      <c r="E55" s="174" t="s">
        <v>1450</v>
      </c>
      <c r="F55" s="174" t="s">
        <v>383</v>
      </c>
      <c r="G55" s="174" t="s">
        <v>275</v>
      </c>
      <c r="H55" s="174" t="s">
        <v>366</v>
      </c>
      <c r="I55" s="174" t="s">
        <v>1</v>
      </c>
      <c r="J55" s="174" t="s">
        <v>1451</v>
      </c>
      <c r="K55" s="174" t="s">
        <v>1452</v>
      </c>
      <c r="L55" s="174" t="s">
        <v>458</v>
      </c>
      <c r="M55" s="174" t="s">
        <v>1453</v>
      </c>
      <c r="N55" s="177">
        <v>268832021</v>
      </c>
      <c r="O55" s="174" t="s">
        <v>1454</v>
      </c>
      <c r="P55" s="174" t="s">
        <v>283</v>
      </c>
      <c r="Q55" s="174" t="s">
        <v>284</v>
      </c>
      <c r="R55" s="174" t="s">
        <v>283</v>
      </c>
      <c r="S55" s="174" t="s">
        <v>283</v>
      </c>
      <c r="T55" s="175">
        <v>0</v>
      </c>
    </row>
    <row r="56" spans="1:20" hidden="1" x14ac:dyDescent="0.2">
      <c r="A56" s="169" t="str">
        <f t="shared" si="0"/>
        <v>641</v>
      </c>
      <c r="B56" s="167" t="str">
        <f>_xlfn.XLOOKUP(I56,Mapping!D:D,Mapping!E:E)</f>
        <v>Kinh doanh</v>
      </c>
      <c r="C56" s="167" t="str">
        <f>_xlfn.XLOOKUP(F56,Mapping!A:A,Mapping!F:F)</f>
        <v>Lương Chính +T13</v>
      </c>
      <c r="D56" s="173">
        <v>46053</v>
      </c>
      <c r="E56" s="174" t="s">
        <v>1450</v>
      </c>
      <c r="F56" s="174" t="s">
        <v>384</v>
      </c>
      <c r="G56" s="174" t="s">
        <v>286</v>
      </c>
      <c r="H56" s="174" t="s">
        <v>366</v>
      </c>
      <c r="I56" s="174" t="s">
        <v>1</v>
      </c>
      <c r="J56" s="174" t="s">
        <v>1451</v>
      </c>
      <c r="K56" s="174" t="s">
        <v>1452</v>
      </c>
      <c r="L56" s="174" t="s">
        <v>458</v>
      </c>
      <c r="M56" s="174" t="s">
        <v>1453</v>
      </c>
      <c r="N56" s="177">
        <v>25404592</v>
      </c>
      <c r="O56" s="174" t="s">
        <v>1454</v>
      </c>
      <c r="P56" s="174" t="s">
        <v>283</v>
      </c>
      <c r="Q56" s="174" t="s">
        <v>284</v>
      </c>
      <c r="R56" s="174" t="s">
        <v>283</v>
      </c>
      <c r="S56" s="174" t="s">
        <v>283</v>
      </c>
      <c r="T56" s="175">
        <v>0</v>
      </c>
    </row>
    <row r="57" spans="1:20" hidden="1" x14ac:dyDescent="0.2">
      <c r="A57" s="169" t="str">
        <f t="shared" si="0"/>
        <v>641</v>
      </c>
      <c r="B57" s="167" t="str">
        <f>_xlfn.XLOOKUP(I57,Mapping!D:D,Mapping!E:E)</f>
        <v>Kinh doanh</v>
      </c>
      <c r="C57" s="167" t="str">
        <f>_xlfn.XLOOKUP(F57,Mapping!A:A,Mapping!F:F)</f>
        <v>Thưởng</v>
      </c>
      <c r="D57" s="173">
        <v>46053</v>
      </c>
      <c r="E57" s="174" t="s">
        <v>1450</v>
      </c>
      <c r="F57" s="174" t="s">
        <v>365</v>
      </c>
      <c r="G57" s="174" t="s">
        <v>291</v>
      </c>
      <c r="H57" s="174" t="s">
        <v>366</v>
      </c>
      <c r="I57" s="174" t="s">
        <v>1</v>
      </c>
      <c r="J57" s="174" t="s">
        <v>1451</v>
      </c>
      <c r="K57" s="174" t="s">
        <v>1452</v>
      </c>
      <c r="L57" s="174" t="s">
        <v>458</v>
      </c>
      <c r="M57" s="174" t="s">
        <v>1453</v>
      </c>
      <c r="N57" s="177">
        <v>89019250</v>
      </c>
      <c r="O57" s="174" t="s">
        <v>1454</v>
      </c>
      <c r="P57" s="174" t="s">
        <v>283</v>
      </c>
      <c r="Q57" s="174" t="s">
        <v>284</v>
      </c>
      <c r="R57" s="174" t="s">
        <v>283</v>
      </c>
      <c r="S57" s="174" t="s">
        <v>283</v>
      </c>
      <c r="T57" s="175">
        <v>0</v>
      </c>
    </row>
    <row r="58" spans="1:20" hidden="1" x14ac:dyDescent="0.2">
      <c r="A58" s="169" t="str">
        <f t="shared" si="0"/>
        <v>641</v>
      </c>
      <c r="B58" s="167" t="str">
        <f>_xlfn.XLOOKUP(I58,Mapping!D:D,Mapping!E:E)</f>
        <v>Kinh doanh</v>
      </c>
      <c r="C58" s="167" t="str">
        <f>_xlfn.XLOOKUP(F58,Mapping!A:A,Mapping!F:F)</f>
        <v>Phụ Cấp</v>
      </c>
      <c r="D58" s="173">
        <v>46053</v>
      </c>
      <c r="E58" s="174" t="s">
        <v>1450</v>
      </c>
      <c r="F58" s="174" t="s">
        <v>385</v>
      </c>
      <c r="G58" s="174" t="s">
        <v>336</v>
      </c>
      <c r="H58" s="174" t="s">
        <v>366</v>
      </c>
      <c r="I58" s="174" t="s">
        <v>1</v>
      </c>
      <c r="J58" s="174" t="s">
        <v>1451</v>
      </c>
      <c r="K58" s="174" t="s">
        <v>1452</v>
      </c>
      <c r="L58" s="174" t="s">
        <v>458</v>
      </c>
      <c r="M58" s="174" t="s">
        <v>1453</v>
      </c>
      <c r="N58" s="177">
        <v>50000</v>
      </c>
      <c r="O58" s="174" t="s">
        <v>1454</v>
      </c>
      <c r="P58" s="174" t="s">
        <v>283</v>
      </c>
      <c r="Q58" s="174" t="s">
        <v>284</v>
      </c>
      <c r="R58" s="174" t="s">
        <v>283</v>
      </c>
      <c r="S58" s="174" t="s">
        <v>283</v>
      </c>
      <c r="T58" s="175">
        <v>0</v>
      </c>
    </row>
    <row r="59" spans="1:20" hidden="1" x14ac:dyDescent="0.2">
      <c r="A59" s="169" t="str">
        <f t="shared" si="0"/>
        <v>642</v>
      </c>
      <c r="B59" s="167" t="str">
        <f>_xlfn.XLOOKUP(I59,Mapping!D:D,Mapping!E:E)</f>
        <v>Hành Chánh Nhân Sự</v>
      </c>
      <c r="C59" s="167" t="str">
        <f>_xlfn.XLOOKUP(F59,Mapping!A:A,Mapping!F:F)</f>
        <v>Lương Chính +T13</v>
      </c>
      <c r="D59" s="173">
        <v>46053</v>
      </c>
      <c r="E59" s="174" t="s">
        <v>1450</v>
      </c>
      <c r="F59" s="174" t="s">
        <v>274</v>
      </c>
      <c r="G59" s="174" t="s">
        <v>275</v>
      </c>
      <c r="H59" s="174" t="s">
        <v>382</v>
      </c>
      <c r="I59" s="174" t="s">
        <v>200</v>
      </c>
      <c r="J59" s="174" t="s">
        <v>1451</v>
      </c>
      <c r="K59" s="174" t="s">
        <v>1452</v>
      </c>
      <c r="L59" s="174" t="s">
        <v>458</v>
      </c>
      <c r="M59" s="174" t="s">
        <v>1453</v>
      </c>
      <c r="N59" s="177">
        <v>63829932</v>
      </c>
      <c r="O59" s="174" t="s">
        <v>1454</v>
      </c>
      <c r="P59" s="174" t="s">
        <v>283</v>
      </c>
      <c r="Q59" s="174" t="s">
        <v>284</v>
      </c>
      <c r="R59" s="174" t="s">
        <v>283</v>
      </c>
      <c r="S59" s="174" t="s">
        <v>283</v>
      </c>
      <c r="T59" s="175">
        <v>0</v>
      </c>
    </row>
    <row r="60" spans="1:20" hidden="1" x14ac:dyDescent="0.2">
      <c r="A60" s="169" t="str">
        <f t="shared" si="0"/>
        <v>642</v>
      </c>
      <c r="B60" s="167" t="str">
        <f>_xlfn.XLOOKUP(I60,Mapping!D:D,Mapping!E:E)</f>
        <v>Hành Chánh Nhân Sự</v>
      </c>
      <c r="C60" s="167" t="str">
        <f>_xlfn.XLOOKUP(F60,Mapping!A:A,Mapping!F:F)</f>
        <v>Lương Chính +T13</v>
      </c>
      <c r="D60" s="173">
        <v>46053</v>
      </c>
      <c r="E60" s="174" t="s">
        <v>1450</v>
      </c>
      <c r="F60" s="174" t="s">
        <v>285</v>
      </c>
      <c r="G60" s="174" t="s">
        <v>286</v>
      </c>
      <c r="H60" s="174" t="s">
        <v>382</v>
      </c>
      <c r="I60" s="174" t="s">
        <v>200</v>
      </c>
      <c r="J60" s="174" t="s">
        <v>1451</v>
      </c>
      <c r="K60" s="174" t="s">
        <v>1452</v>
      </c>
      <c r="L60" s="174" t="s">
        <v>458</v>
      </c>
      <c r="M60" s="174" t="s">
        <v>1453</v>
      </c>
      <c r="N60" s="177">
        <v>4124250</v>
      </c>
      <c r="O60" s="174" t="s">
        <v>1454</v>
      </c>
      <c r="P60" s="174" t="s">
        <v>283</v>
      </c>
      <c r="Q60" s="174" t="s">
        <v>284</v>
      </c>
      <c r="R60" s="174" t="s">
        <v>283</v>
      </c>
      <c r="S60" s="174" t="s">
        <v>283</v>
      </c>
      <c r="T60" s="175">
        <v>0</v>
      </c>
    </row>
    <row r="61" spans="1:20" hidden="1" x14ac:dyDescent="0.2">
      <c r="A61" s="169" t="str">
        <f t="shared" si="0"/>
        <v>642</v>
      </c>
      <c r="B61" s="167" t="str">
        <f>_xlfn.XLOOKUP(I61,Mapping!D:D,Mapping!E:E)</f>
        <v>Hành Chánh Nhân Sự</v>
      </c>
      <c r="C61" s="167" t="str">
        <f>_xlfn.XLOOKUP(F61,Mapping!A:A,Mapping!F:F)</f>
        <v>Thưởng</v>
      </c>
      <c r="D61" s="173">
        <v>46053</v>
      </c>
      <c r="E61" s="174" t="s">
        <v>1450</v>
      </c>
      <c r="F61" s="174" t="s">
        <v>290</v>
      </c>
      <c r="G61" s="174" t="s">
        <v>291</v>
      </c>
      <c r="H61" s="174" t="s">
        <v>382</v>
      </c>
      <c r="I61" s="174" t="s">
        <v>200</v>
      </c>
      <c r="J61" s="174" t="s">
        <v>1451</v>
      </c>
      <c r="K61" s="174" t="s">
        <v>1452</v>
      </c>
      <c r="L61" s="174" t="s">
        <v>458</v>
      </c>
      <c r="M61" s="174" t="s">
        <v>1453</v>
      </c>
      <c r="N61" s="177">
        <v>600000</v>
      </c>
      <c r="O61" s="174" t="s">
        <v>1454</v>
      </c>
      <c r="P61" s="174" t="s">
        <v>283</v>
      </c>
      <c r="Q61" s="174" t="s">
        <v>284</v>
      </c>
      <c r="R61" s="174" t="s">
        <v>283</v>
      </c>
      <c r="S61" s="174" t="s">
        <v>283</v>
      </c>
      <c r="T61" s="175">
        <v>0</v>
      </c>
    </row>
    <row r="62" spans="1:20" hidden="1" x14ac:dyDescent="0.2">
      <c r="A62" s="169" t="str">
        <f t="shared" si="0"/>
        <v>642</v>
      </c>
      <c r="B62" s="167" t="str">
        <f>_xlfn.XLOOKUP(I62,Mapping!D:D,Mapping!E:E)</f>
        <v>Hành Chánh Nhân Sự</v>
      </c>
      <c r="C62" s="167" t="str">
        <f>_xlfn.XLOOKUP(F62,Mapping!A:A,Mapping!F:F)</f>
        <v>Phụ Cấp</v>
      </c>
      <c r="D62" s="173">
        <v>46053</v>
      </c>
      <c r="E62" s="174" t="s">
        <v>1450</v>
      </c>
      <c r="F62" s="174" t="s">
        <v>335</v>
      </c>
      <c r="G62" s="174" t="s">
        <v>336</v>
      </c>
      <c r="H62" s="174" t="s">
        <v>382</v>
      </c>
      <c r="I62" s="174" t="s">
        <v>200</v>
      </c>
      <c r="J62" s="174" t="s">
        <v>1451</v>
      </c>
      <c r="K62" s="174" t="s">
        <v>1452</v>
      </c>
      <c r="L62" s="174" t="s">
        <v>458</v>
      </c>
      <c r="M62" s="174" t="s">
        <v>1453</v>
      </c>
      <c r="N62" s="177">
        <v>100000</v>
      </c>
      <c r="O62" s="174" t="s">
        <v>1454</v>
      </c>
      <c r="P62" s="174" t="s">
        <v>283</v>
      </c>
      <c r="Q62" s="174" t="s">
        <v>284</v>
      </c>
      <c r="R62" s="174" t="s">
        <v>283</v>
      </c>
      <c r="S62" s="174" t="s">
        <v>283</v>
      </c>
      <c r="T62" s="175">
        <v>0</v>
      </c>
    </row>
    <row r="63" spans="1:20" hidden="1" x14ac:dyDescent="0.2">
      <c r="A63" s="169" t="str">
        <f t="shared" si="0"/>
        <v>642</v>
      </c>
      <c r="B63" s="167" t="str">
        <f>_xlfn.XLOOKUP(I63,Mapping!D:D,Mapping!E:E)</f>
        <v>Hành Chánh Nhân Sự</v>
      </c>
      <c r="C63" s="167" t="str">
        <f>_xlfn.XLOOKUP(F63,Mapping!A:A,Mapping!F:F)</f>
        <v>Lương Chính +T13</v>
      </c>
      <c r="D63" s="173">
        <v>46053</v>
      </c>
      <c r="E63" s="174" t="s">
        <v>1450</v>
      </c>
      <c r="F63" s="174" t="s">
        <v>274</v>
      </c>
      <c r="G63" s="174" t="s">
        <v>275</v>
      </c>
      <c r="H63" s="174" t="s">
        <v>358</v>
      </c>
      <c r="I63" s="174" t="s">
        <v>359</v>
      </c>
      <c r="J63" s="174" t="s">
        <v>1451</v>
      </c>
      <c r="K63" s="174" t="s">
        <v>1452</v>
      </c>
      <c r="L63" s="174" t="s">
        <v>458</v>
      </c>
      <c r="M63" s="174" t="s">
        <v>1453</v>
      </c>
      <c r="N63" s="177">
        <v>100086032</v>
      </c>
      <c r="O63" s="174" t="s">
        <v>1454</v>
      </c>
      <c r="P63" s="174" t="s">
        <v>283</v>
      </c>
      <c r="Q63" s="174" t="s">
        <v>284</v>
      </c>
      <c r="R63" s="174" t="s">
        <v>283</v>
      </c>
      <c r="S63" s="174" t="s">
        <v>283</v>
      </c>
      <c r="T63" s="175">
        <v>0</v>
      </c>
    </row>
    <row r="64" spans="1:20" hidden="1" x14ac:dyDescent="0.2">
      <c r="A64" s="169" t="str">
        <f t="shared" si="0"/>
        <v>642</v>
      </c>
      <c r="B64" s="167" t="str">
        <f>_xlfn.XLOOKUP(I64,Mapping!D:D,Mapping!E:E)</f>
        <v>Hành Chánh Nhân Sự</v>
      </c>
      <c r="C64" s="167" t="str">
        <f>_xlfn.XLOOKUP(F64,Mapping!A:A,Mapping!F:F)</f>
        <v>Lương Chính +T13</v>
      </c>
      <c r="D64" s="173">
        <v>46053</v>
      </c>
      <c r="E64" s="174" t="s">
        <v>1450</v>
      </c>
      <c r="F64" s="174" t="s">
        <v>285</v>
      </c>
      <c r="G64" s="174" t="s">
        <v>286</v>
      </c>
      <c r="H64" s="174" t="s">
        <v>358</v>
      </c>
      <c r="I64" s="174" t="s">
        <v>359</v>
      </c>
      <c r="J64" s="174" t="s">
        <v>1451</v>
      </c>
      <c r="K64" s="174" t="s">
        <v>1452</v>
      </c>
      <c r="L64" s="174" t="s">
        <v>458</v>
      </c>
      <c r="M64" s="174" t="s">
        <v>1453</v>
      </c>
      <c r="N64" s="177">
        <v>7567424</v>
      </c>
      <c r="O64" s="174" t="s">
        <v>1454</v>
      </c>
      <c r="P64" s="174" t="s">
        <v>283</v>
      </c>
      <c r="Q64" s="174" t="s">
        <v>284</v>
      </c>
      <c r="R64" s="174" t="s">
        <v>283</v>
      </c>
      <c r="S64" s="174" t="s">
        <v>283</v>
      </c>
      <c r="T64" s="175">
        <v>0</v>
      </c>
    </row>
    <row r="65" spans="1:20" hidden="1" x14ac:dyDescent="0.2">
      <c r="A65" s="169" t="str">
        <f t="shared" si="0"/>
        <v>642</v>
      </c>
      <c r="B65" s="167" t="str">
        <f>_xlfn.XLOOKUP(I65,Mapping!D:D,Mapping!E:E)</f>
        <v>Hành Chánh Nhân Sự</v>
      </c>
      <c r="C65" s="167" t="str">
        <f>_xlfn.XLOOKUP(F65,Mapping!A:A,Mapping!F:F)</f>
        <v>Thưởng</v>
      </c>
      <c r="D65" s="173">
        <v>46053</v>
      </c>
      <c r="E65" s="174" t="s">
        <v>1450</v>
      </c>
      <c r="F65" s="174" t="s">
        <v>290</v>
      </c>
      <c r="G65" s="174" t="s">
        <v>291</v>
      </c>
      <c r="H65" s="174" t="s">
        <v>358</v>
      </c>
      <c r="I65" s="174" t="s">
        <v>359</v>
      </c>
      <c r="J65" s="174" t="s">
        <v>1451</v>
      </c>
      <c r="K65" s="174" t="s">
        <v>1452</v>
      </c>
      <c r="L65" s="174" t="s">
        <v>458</v>
      </c>
      <c r="M65" s="174" t="s">
        <v>1453</v>
      </c>
      <c r="N65" s="177">
        <v>1000000</v>
      </c>
      <c r="O65" s="174" t="s">
        <v>1454</v>
      </c>
      <c r="P65" s="174" t="s">
        <v>283</v>
      </c>
      <c r="Q65" s="174" t="s">
        <v>284</v>
      </c>
      <c r="R65" s="174" t="s">
        <v>283</v>
      </c>
      <c r="S65" s="174" t="s">
        <v>283</v>
      </c>
      <c r="T65" s="175">
        <v>0</v>
      </c>
    </row>
    <row r="66" spans="1:20" hidden="1" x14ac:dyDescent="0.2">
      <c r="A66" s="169" t="str">
        <f t="shared" si="0"/>
        <v>642</v>
      </c>
      <c r="B66" s="167" t="str">
        <f>_xlfn.XLOOKUP(I66,Mapping!D:D,Mapping!E:E)</f>
        <v>Hành Chánh Nhân Sự</v>
      </c>
      <c r="C66" s="167" t="str">
        <f>_xlfn.XLOOKUP(F66,Mapping!A:A,Mapping!F:F)</f>
        <v>Phụ Cấp</v>
      </c>
      <c r="D66" s="173">
        <v>46053</v>
      </c>
      <c r="E66" s="174" t="s">
        <v>1450</v>
      </c>
      <c r="F66" s="174" t="s">
        <v>335</v>
      </c>
      <c r="G66" s="174" t="s">
        <v>336</v>
      </c>
      <c r="H66" s="174" t="s">
        <v>358</v>
      </c>
      <c r="I66" s="174" t="s">
        <v>359</v>
      </c>
      <c r="J66" s="174" t="s">
        <v>1451</v>
      </c>
      <c r="K66" s="174" t="s">
        <v>1452</v>
      </c>
      <c r="L66" s="174" t="s">
        <v>458</v>
      </c>
      <c r="M66" s="174" t="s">
        <v>1453</v>
      </c>
      <c r="N66" s="177">
        <v>25000</v>
      </c>
      <c r="O66" s="174" t="s">
        <v>1454</v>
      </c>
      <c r="P66" s="174" t="s">
        <v>283</v>
      </c>
      <c r="Q66" s="174" t="s">
        <v>284</v>
      </c>
      <c r="R66" s="174" t="s">
        <v>283</v>
      </c>
      <c r="S66" s="174" t="s">
        <v>283</v>
      </c>
      <c r="T66" s="175">
        <v>0</v>
      </c>
    </row>
    <row r="67" spans="1:20" hidden="1" x14ac:dyDescent="0.2">
      <c r="A67" s="169" t="str">
        <f t="shared" si="0"/>
        <v>641</v>
      </c>
      <c r="B67" s="167" t="str">
        <f>_xlfn.XLOOKUP(I67,Mapping!D:D,Mapping!E:E)</f>
        <v>Kinh doanh</v>
      </c>
      <c r="C67" s="167" t="str">
        <f>_xlfn.XLOOKUP(F67,Mapping!A:A,Mapping!F:F)</f>
        <v>Lương Chính +T13</v>
      </c>
      <c r="D67" s="173">
        <v>46053</v>
      </c>
      <c r="E67" s="174" t="s">
        <v>1455</v>
      </c>
      <c r="F67" s="174" t="s">
        <v>384</v>
      </c>
      <c r="G67" s="174" t="s">
        <v>286</v>
      </c>
      <c r="H67" s="174" t="s">
        <v>366</v>
      </c>
      <c r="I67" s="174" t="s">
        <v>1</v>
      </c>
      <c r="J67" s="174" t="s">
        <v>1456</v>
      </c>
      <c r="K67" s="174" t="s">
        <v>1452</v>
      </c>
      <c r="L67" s="174" t="s">
        <v>458</v>
      </c>
      <c r="M67" s="174" t="s">
        <v>1453</v>
      </c>
      <c r="N67" s="177">
        <v>24436667</v>
      </c>
      <c r="O67" s="174" t="s">
        <v>1457</v>
      </c>
      <c r="P67" s="174" t="s">
        <v>283</v>
      </c>
      <c r="Q67" s="174" t="s">
        <v>284</v>
      </c>
      <c r="R67" s="174" t="s">
        <v>283</v>
      </c>
      <c r="S67" s="174" t="s">
        <v>283</v>
      </c>
      <c r="T67" s="175">
        <v>0</v>
      </c>
    </row>
    <row r="68" spans="1:20" hidden="1" x14ac:dyDescent="0.2">
      <c r="A68" s="169" t="str">
        <f t="shared" ref="A68:A131" si="1">LEFT(F68,3)</f>
        <v>641</v>
      </c>
      <c r="B68" s="167" t="str">
        <f>_xlfn.XLOOKUP(I68,Mapping!D:D,Mapping!E:E)</f>
        <v>Kinh doanh</v>
      </c>
      <c r="C68" s="167" t="str">
        <f>_xlfn.XLOOKUP(F68,Mapping!A:A,Mapping!F:F)</f>
        <v>Thưởng</v>
      </c>
      <c r="D68" s="173">
        <v>46053</v>
      </c>
      <c r="E68" s="174" t="s">
        <v>1455</v>
      </c>
      <c r="F68" s="174" t="s">
        <v>394</v>
      </c>
      <c r="G68" s="174" t="s">
        <v>77</v>
      </c>
      <c r="H68" s="174" t="s">
        <v>366</v>
      </c>
      <c r="I68" s="174" t="s">
        <v>1</v>
      </c>
      <c r="J68" s="174" t="s">
        <v>1458</v>
      </c>
      <c r="K68" s="174" t="s">
        <v>1452</v>
      </c>
      <c r="L68" s="174" t="s">
        <v>458</v>
      </c>
      <c r="M68" s="174" t="s">
        <v>1453</v>
      </c>
      <c r="N68" s="177">
        <v>22481538</v>
      </c>
      <c r="O68" s="174" t="s">
        <v>1457</v>
      </c>
      <c r="P68" s="174" t="s">
        <v>283</v>
      </c>
      <c r="Q68" s="174" t="s">
        <v>284</v>
      </c>
      <c r="R68" s="174" t="s">
        <v>283</v>
      </c>
      <c r="S68" s="174" t="s">
        <v>283</v>
      </c>
      <c r="T68" s="175">
        <v>0</v>
      </c>
    </row>
    <row r="69" spans="1:20" hidden="1" x14ac:dyDescent="0.2">
      <c r="A69" s="169" t="str">
        <f t="shared" si="1"/>
        <v>642</v>
      </c>
      <c r="B69" s="167" t="str">
        <f>_xlfn.XLOOKUP(I69,Mapping!D:D,Mapping!E:E)</f>
        <v>Hành Chánh Nhân Sự</v>
      </c>
      <c r="C69" s="167" t="str">
        <f>_xlfn.XLOOKUP(F69,Mapping!A:A,Mapping!F:F)</f>
        <v>Lương Chính +T13</v>
      </c>
      <c r="D69" s="173">
        <v>46053</v>
      </c>
      <c r="E69" s="174" t="s">
        <v>1455</v>
      </c>
      <c r="F69" s="174" t="s">
        <v>285</v>
      </c>
      <c r="G69" s="174" t="s">
        <v>286</v>
      </c>
      <c r="H69" s="174" t="s">
        <v>382</v>
      </c>
      <c r="I69" s="174" t="s">
        <v>200</v>
      </c>
      <c r="J69" s="174" t="s">
        <v>1456</v>
      </c>
      <c r="K69" s="174" t="s">
        <v>1452</v>
      </c>
      <c r="L69" s="174" t="s">
        <v>458</v>
      </c>
      <c r="M69" s="174" t="s">
        <v>1453</v>
      </c>
      <c r="N69" s="177">
        <v>6660250</v>
      </c>
      <c r="O69" s="174" t="s">
        <v>1457</v>
      </c>
      <c r="P69" s="174" t="s">
        <v>283</v>
      </c>
      <c r="Q69" s="174" t="s">
        <v>284</v>
      </c>
      <c r="R69" s="174" t="s">
        <v>283</v>
      </c>
      <c r="S69" s="174" t="s">
        <v>283</v>
      </c>
      <c r="T69" s="175">
        <v>0</v>
      </c>
    </row>
    <row r="70" spans="1:20" hidden="1" x14ac:dyDescent="0.2">
      <c r="A70" s="169" t="str">
        <f t="shared" si="1"/>
        <v>642</v>
      </c>
      <c r="B70" s="167" t="str">
        <f>_xlfn.XLOOKUP(I70,Mapping!D:D,Mapping!E:E)</f>
        <v>Hành Chánh Nhân Sự</v>
      </c>
      <c r="C70" s="167" t="str">
        <f>_xlfn.XLOOKUP(F70,Mapping!A:A,Mapping!F:F)</f>
        <v>Thưởng</v>
      </c>
      <c r="D70" s="173">
        <v>46053</v>
      </c>
      <c r="E70" s="174" t="s">
        <v>1455</v>
      </c>
      <c r="F70" s="174" t="s">
        <v>292</v>
      </c>
      <c r="G70" s="174" t="s">
        <v>77</v>
      </c>
      <c r="H70" s="174" t="s">
        <v>382</v>
      </c>
      <c r="I70" s="174" t="s">
        <v>200</v>
      </c>
      <c r="J70" s="174" t="s">
        <v>1458</v>
      </c>
      <c r="K70" s="174" t="s">
        <v>1452</v>
      </c>
      <c r="L70" s="174" t="s">
        <v>458</v>
      </c>
      <c r="M70" s="174" t="s">
        <v>1453</v>
      </c>
      <c r="N70" s="177">
        <v>6127377</v>
      </c>
      <c r="O70" s="174" t="s">
        <v>1457</v>
      </c>
      <c r="P70" s="174" t="s">
        <v>283</v>
      </c>
      <c r="Q70" s="174" t="s">
        <v>284</v>
      </c>
      <c r="R70" s="174" t="s">
        <v>283</v>
      </c>
      <c r="S70" s="174" t="s">
        <v>283</v>
      </c>
      <c r="T70" s="175">
        <v>0</v>
      </c>
    </row>
    <row r="71" spans="1:20" hidden="1" x14ac:dyDescent="0.2">
      <c r="A71" s="169" t="str">
        <f t="shared" si="1"/>
        <v>642</v>
      </c>
      <c r="B71" s="167" t="str">
        <f>_xlfn.XLOOKUP(I71,Mapping!D:D,Mapping!E:E)</f>
        <v>Hành Chánh Nhân Sự</v>
      </c>
      <c r="C71" s="167" t="str">
        <f>_xlfn.XLOOKUP(F71,Mapping!A:A,Mapping!F:F)</f>
        <v>Lương Chính +T13</v>
      </c>
      <c r="D71" s="173">
        <v>46053</v>
      </c>
      <c r="E71" s="174" t="s">
        <v>1455</v>
      </c>
      <c r="F71" s="174" t="s">
        <v>285</v>
      </c>
      <c r="G71" s="174" t="s">
        <v>286</v>
      </c>
      <c r="H71" s="174" t="s">
        <v>358</v>
      </c>
      <c r="I71" s="174" t="s">
        <v>359</v>
      </c>
      <c r="J71" s="174" t="s">
        <v>1456</v>
      </c>
      <c r="K71" s="174" t="s">
        <v>1452</v>
      </c>
      <c r="L71" s="174" t="s">
        <v>458</v>
      </c>
      <c r="M71" s="174" t="s">
        <v>1453</v>
      </c>
      <c r="N71" s="177">
        <v>9017417</v>
      </c>
      <c r="O71" s="174" t="s">
        <v>1457</v>
      </c>
      <c r="P71" s="174" t="s">
        <v>283</v>
      </c>
      <c r="Q71" s="174" t="s">
        <v>284</v>
      </c>
      <c r="R71" s="174" t="s">
        <v>283</v>
      </c>
      <c r="S71" s="174" t="s">
        <v>283</v>
      </c>
      <c r="T71" s="175">
        <v>0</v>
      </c>
    </row>
    <row r="72" spans="1:20" hidden="1" x14ac:dyDescent="0.2">
      <c r="A72" s="169" t="str">
        <f t="shared" si="1"/>
        <v>642</v>
      </c>
      <c r="B72" s="167" t="str">
        <f>_xlfn.XLOOKUP(I72,Mapping!D:D,Mapping!E:E)</f>
        <v>Hành Chánh Nhân Sự</v>
      </c>
      <c r="C72" s="167" t="str">
        <f>_xlfn.XLOOKUP(F72,Mapping!A:A,Mapping!F:F)</f>
        <v>Thưởng</v>
      </c>
      <c r="D72" s="173">
        <v>46053</v>
      </c>
      <c r="E72" s="174" t="s">
        <v>1455</v>
      </c>
      <c r="F72" s="174" t="s">
        <v>292</v>
      </c>
      <c r="G72" s="174" t="s">
        <v>77</v>
      </c>
      <c r="H72" s="174" t="s">
        <v>358</v>
      </c>
      <c r="I72" s="174" t="s">
        <v>359</v>
      </c>
      <c r="J72" s="174" t="s">
        <v>1458</v>
      </c>
      <c r="K72" s="174" t="s">
        <v>1452</v>
      </c>
      <c r="L72" s="174" t="s">
        <v>458</v>
      </c>
      <c r="M72" s="174" t="s">
        <v>1453</v>
      </c>
      <c r="N72" s="177">
        <v>8295951</v>
      </c>
      <c r="O72" s="174" t="s">
        <v>1457</v>
      </c>
      <c r="P72" s="174" t="s">
        <v>283</v>
      </c>
      <c r="Q72" s="174" t="s">
        <v>284</v>
      </c>
      <c r="R72" s="174" t="s">
        <v>283</v>
      </c>
      <c r="S72" s="174" t="s">
        <v>283</v>
      </c>
      <c r="T72" s="175">
        <v>0</v>
      </c>
    </row>
    <row r="73" spans="1:20" hidden="1" x14ac:dyDescent="0.2">
      <c r="A73" s="169" t="str">
        <f t="shared" si="1"/>
        <v>641</v>
      </c>
      <c r="B73" s="167" t="str">
        <f>_xlfn.XLOOKUP(I73,Mapping!D:D,Mapping!E:E)</f>
        <v>Kinh doanh</v>
      </c>
      <c r="C73" s="167" t="str">
        <f>_xlfn.XLOOKUP(F73,Mapping!A:A,Mapping!F:F)</f>
        <v>BHXH, BHYT, KPCĐ</v>
      </c>
      <c r="D73" s="173">
        <v>46053</v>
      </c>
      <c r="E73" s="174" t="s">
        <v>1459</v>
      </c>
      <c r="F73" s="174" t="s">
        <v>392</v>
      </c>
      <c r="G73" s="174" t="s">
        <v>296</v>
      </c>
      <c r="H73" s="174" t="s">
        <v>366</v>
      </c>
      <c r="I73" s="174" t="s">
        <v>1</v>
      </c>
      <c r="J73" s="174" t="s">
        <v>1460</v>
      </c>
      <c r="K73" s="174" t="s">
        <v>1452</v>
      </c>
      <c r="L73" s="174" t="s">
        <v>458</v>
      </c>
      <c r="M73" s="174" t="s">
        <v>1453</v>
      </c>
      <c r="N73" s="177">
        <v>63587000</v>
      </c>
      <c r="O73" s="174" t="s">
        <v>1461</v>
      </c>
      <c r="P73" s="174" t="s">
        <v>283</v>
      </c>
      <c r="Q73" s="174" t="s">
        <v>284</v>
      </c>
      <c r="R73" s="174" t="s">
        <v>283</v>
      </c>
      <c r="S73" s="174" t="s">
        <v>283</v>
      </c>
      <c r="T73" s="175">
        <v>0</v>
      </c>
    </row>
    <row r="74" spans="1:20" hidden="1" x14ac:dyDescent="0.2">
      <c r="A74" s="169" t="str">
        <f t="shared" si="1"/>
        <v>642</v>
      </c>
      <c r="B74" s="167" t="str">
        <f>_xlfn.XLOOKUP(I74,Mapping!D:D,Mapping!E:E)</f>
        <v>Hành Chánh Nhân Sự</v>
      </c>
      <c r="C74" s="167" t="str">
        <f>_xlfn.XLOOKUP(F74,Mapping!A:A,Mapping!F:F)</f>
        <v>BHXH, BHYT, KPCĐ</v>
      </c>
      <c r="D74" s="173">
        <v>46053</v>
      </c>
      <c r="E74" s="174" t="s">
        <v>1459</v>
      </c>
      <c r="F74" s="174" t="s">
        <v>295</v>
      </c>
      <c r="G74" s="174" t="s">
        <v>296</v>
      </c>
      <c r="H74" s="174" t="s">
        <v>382</v>
      </c>
      <c r="I74" s="174" t="s">
        <v>200</v>
      </c>
      <c r="J74" s="174" t="s">
        <v>1460</v>
      </c>
      <c r="K74" s="174" t="s">
        <v>1452</v>
      </c>
      <c r="L74" s="174" t="s">
        <v>458</v>
      </c>
      <c r="M74" s="174" t="s">
        <v>1453</v>
      </c>
      <c r="N74" s="177">
        <v>18781905</v>
      </c>
      <c r="O74" s="174" t="s">
        <v>1461</v>
      </c>
      <c r="P74" s="174" t="s">
        <v>283</v>
      </c>
      <c r="Q74" s="174" t="s">
        <v>284</v>
      </c>
      <c r="R74" s="174" t="s">
        <v>283</v>
      </c>
      <c r="S74" s="174" t="s">
        <v>283</v>
      </c>
      <c r="T74" s="175">
        <v>0</v>
      </c>
    </row>
    <row r="75" spans="1:20" hidden="1" x14ac:dyDescent="0.2">
      <c r="A75" s="169" t="str">
        <f t="shared" si="1"/>
        <v>642</v>
      </c>
      <c r="B75" s="167" t="str">
        <f>_xlfn.XLOOKUP(I75,Mapping!D:D,Mapping!E:E)</f>
        <v>Hành Chánh Nhân Sự</v>
      </c>
      <c r="C75" s="167" t="str">
        <f>_xlfn.XLOOKUP(F75,Mapping!A:A,Mapping!F:F)</f>
        <v>BHXH, BHYT, KPCĐ</v>
      </c>
      <c r="D75" s="173">
        <v>46053</v>
      </c>
      <c r="E75" s="174" t="s">
        <v>1459</v>
      </c>
      <c r="F75" s="174" t="s">
        <v>295</v>
      </c>
      <c r="G75" s="174" t="s">
        <v>296</v>
      </c>
      <c r="H75" s="174" t="s">
        <v>358</v>
      </c>
      <c r="I75" s="174" t="s">
        <v>359</v>
      </c>
      <c r="J75" s="174" t="s">
        <v>1460</v>
      </c>
      <c r="K75" s="174" t="s">
        <v>1452</v>
      </c>
      <c r="L75" s="174" t="s">
        <v>458</v>
      </c>
      <c r="M75" s="174" t="s">
        <v>1453</v>
      </c>
      <c r="N75" s="177">
        <v>25429115</v>
      </c>
      <c r="O75" s="174" t="s">
        <v>1461</v>
      </c>
      <c r="P75" s="174" t="s">
        <v>283</v>
      </c>
      <c r="Q75" s="174" t="s">
        <v>284</v>
      </c>
      <c r="R75" s="174" t="s">
        <v>283</v>
      </c>
      <c r="S75" s="174" t="s">
        <v>283</v>
      </c>
      <c r="T75" s="175">
        <v>0</v>
      </c>
    </row>
    <row r="76" spans="1:20" hidden="1" x14ac:dyDescent="0.2">
      <c r="A76" s="169" t="str">
        <f t="shared" si="1"/>
        <v>642</v>
      </c>
      <c r="B76" s="167" t="str">
        <f>_xlfn.XLOOKUP(I76,Mapping!D:D,Mapping!E:E)</f>
        <v>Hành Chánh Nhân Sự</v>
      </c>
      <c r="C76" s="167" t="str">
        <f>_xlfn.XLOOKUP(F76,Mapping!A:A,Mapping!F:F)</f>
        <v>Khen thưởng BD khác</v>
      </c>
      <c r="D76" s="173">
        <v>46053</v>
      </c>
      <c r="E76" s="174" t="s">
        <v>1526</v>
      </c>
      <c r="F76" s="174" t="s">
        <v>300</v>
      </c>
      <c r="G76" s="174" t="s">
        <v>222</v>
      </c>
      <c r="H76" s="174" t="s">
        <v>358</v>
      </c>
      <c r="I76" s="174" t="s">
        <v>359</v>
      </c>
      <c r="J76" s="174" t="s">
        <v>1527</v>
      </c>
      <c r="K76" s="174" t="s">
        <v>1452</v>
      </c>
      <c r="L76" s="174" t="s">
        <v>458</v>
      </c>
      <c r="M76" s="174" t="s">
        <v>1453</v>
      </c>
      <c r="N76" s="177">
        <v>5000000</v>
      </c>
      <c r="O76" s="174" t="s">
        <v>1528</v>
      </c>
      <c r="P76" s="174" t="s">
        <v>283</v>
      </c>
      <c r="Q76" s="174" t="s">
        <v>284</v>
      </c>
      <c r="R76" s="174" t="s">
        <v>283</v>
      </c>
      <c r="S76" s="174" t="s">
        <v>283</v>
      </c>
      <c r="T76" s="175">
        <v>0</v>
      </c>
    </row>
    <row r="77" spans="1:20" hidden="1" x14ac:dyDescent="0.2">
      <c r="A77" s="169" t="str">
        <f t="shared" si="1"/>
        <v>641</v>
      </c>
      <c r="B77" s="167" t="str">
        <f>_xlfn.XLOOKUP(I77,Mapping!D:D,Mapping!E:E)</f>
        <v>Kinh doanh</v>
      </c>
      <c r="C77" s="167" t="str">
        <f>_xlfn.XLOOKUP(F77,Mapping!A:A,Mapping!F:F)</f>
        <v>Thưởng</v>
      </c>
      <c r="D77" s="173">
        <v>46053</v>
      </c>
      <c r="E77" s="174" t="s">
        <v>1529</v>
      </c>
      <c r="F77" s="174" t="s">
        <v>365</v>
      </c>
      <c r="G77" s="174" t="s">
        <v>291</v>
      </c>
      <c r="H77" s="174" t="s">
        <v>366</v>
      </c>
      <c r="I77" s="174" t="s">
        <v>1</v>
      </c>
      <c r="J77" s="174" t="s">
        <v>1530</v>
      </c>
      <c r="K77" s="174" t="s">
        <v>670</v>
      </c>
      <c r="L77" s="174" t="s">
        <v>458</v>
      </c>
      <c r="M77" s="174" t="s">
        <v>1453</v>
      </c>
      <c r="N77" s="177">
        <v>15000000</v>
      </c>
      <c r="O77" s="174" t="s">
        <v>1531</v>
      </c>
      <c r="P77" s="174" t="s">
        <v>283</v>
      </c>
      <c r="Q77" s="174" t="s">
        <v>370</v>
      </c>
      <c r="R77" s="174" t="s">
        <v>283</v>
      </c>
      <c r="S77" s="174" t="s">
        <v>283</v>
      </c>
      <c r="T77" s="175">
        <v>0</v>
      </c>
    </row>
    <row r="78" spans="1:20" hidden="1" x14ac:dyDescent="0.2">
      <c r="A78" s="169" t="str">
        <f t="shared" si="1"/>
        <v>641</v>
      </c>
      <c r="B78" s="167" t="str">
        <f>_xlfn.XLOOKUP(I78,Mapping!D:D,Mapping!E:E)</f>
        <v>Kinh doanh</v>
      </c>
      <c r="C78" s="167" t="str">
        <f>_xlfn.XLOOKUP(F78,Mapping!A:A,Mapping!F:F)</f>
        <v>Thưởng</v>
      </c>
      <c r="D78" s="173">
        <v>46053</v>
      </c>
      <c r="E78" s="174" t="s">
        <v>1532</v>
      </c>
      <c r="F78" s="174" t="s">
        <v>365</v>
      </c>
      <c r="G78" s="174" t="s">
        <v>291</v>
      </c>
      <c r="H78" s="174" t="s">
        <v>366</v>
      </c>
      <c r="I78" s="174" t="s">
        <v>1</v>
      </c>
      <c r="J78" s="174" t="s">
        <v>1533</v>
      </c>
      <c r="K78" s="174" t="s">
        <v>670</v>
      </c>
      <c r="L78" s="174" t="s">
        <v>458</v>
      </c>
      <c r="M78" s="174" t="s">
        <v>1453</v>
      </c>
      <c r="N78" s="177">
        <v>125000000</v>
      </c>
      <c r="O78" s="174" t="s">
        <v>1534</v>
      </c>
      <c r="P78" s="174" t="s">
        <v>283</v>
      </c>
      <c r="Q78" s="174" t="s">
        <v>370</v>
      </c>
      <c r="R78" s="174" t="s">
        <v>283</v>
      </c>
      <c r="S78" s="174" t="s">
        <v>283</v>
      </c>
      <c r="T78" s="175">
        <v>0</v>
      </c>
    </row>
    <row r="79" spans="1:20" hidden="1" x14ac:dyDescent="0.2">
      <c r="A79" s="169" t="str">
        <f t="shared" si="1"/>
        <v>641</v>
      </c>
      <c r="B79" s="167" t="str">
        <f>_xlfn.XLOOKUP(I79,Mapping!D:D,Mapping!E:E)</f>
        <v>Kinh doanh</v>
      </c>
      <c r="C79" s="167" t="str">
        <f>_xlfn.XLOOKUP(F79,Mapping!A:A,Mapping!F:F)</f>
        <v>Thưởng</v>
      </c>
      <c r="D79" s="173">
        <v>46023</v>
      </c>
      <c r="E79" s="174" t="s">
        <v>1535</v>
      </c>
      <c r="F79" s="174" t="s">
        <v>365</v>
      </c>
      <c r="G79" s="174" t="s">
        <v>291</v>
      </c>
      <c r="H79" s="174" t="s">
        <v>366</v>
      </c>
      <c r="I79" s="174" t="s">
        <v>1</v>
      </c>
      <c r="J79" s="174" t="s">
        <v>1397</v>
      </c>
      <c r="K79" s="174" t="s">
        <v>670</v>
      </c>
      <c r="L79" s="174" t="s">
        <v>458</v>
      </c>
      <c r="M79" s="174" t="s">
        <v>1453</v>
      </c>
      <c r="N79" s="177">
        <v>-93802143</v>
      </c>
      <c r="O79" s="174" t="s">
        <v>1536</v>
      </c>
      <c r="P79" s="174" t="s">
        <v>447</v>
      </c>
      <c r="Q79" s="174" t="s">
        <v>284</v>
      </c>
      <c r="R79" s="174" t="s">
        <v>283</v>
      </c>
      <c r="S79" s="174" t="s">
        <v>283</v>
      </c>
      <c r="T79" s="175">
        <v>0</v>
      </c>
    </row>
    <row r="80" spans="1:20" hidden="1" x14ac:dyDescent="0.2">
      <c r="A80" s="169" t="str">
        <f t="shared" si="1"/>
        <v>642</v>
      </c>
      <c r="B80" s="167" t="str">
        <f>_xlfn.XLOOKUP(I80,Mapping!D:D,Mapping!E:E)</f>
        <v>Chiến Lược CCU</v>
      </c>
      <c r="C80" s="167" t="str">
        <f>_xlfn.XLOOKUP(F80,Mapping!A:A,Mapping!F:F)</f>
        <v>BHXH, BHYT, KPCĐ</v>
      </c>
      <c r="D80" s="173">
        <v>46053</v>
      </c>
      <c r="E80" s="174" t="s">
        <v>1537</v>
      </c>
      <c r="F80" s="174" t="s">
        <v>295</v>
      </c>
      <c r="G80" s="174" t="s">
        <v>296</v>
      </c>
      <c r="H80" s="174" t="s">
        <v>1538</v>
      </c>
      <c r="I80" s="174" t="s">
        <v>1539</v>
      </c>
      <c r="J80" s="174" t="s">
        <v>1540</v>
      </c>
      <c r="K80" s="174" t="s">
        <v>1541</v>
      </c>
      <c r="L80" s="174" t="s">
        <v>458</v>
      </c>
      <c r="M80" s="174" t="s">
        <v>1453</v>
      </c>
      <c r="N80" s="177">
        <v>20035865</v>
      </c>
      <c r="O80" s="174" t="s">
        <v>1542</v>
      </c>
      <c r="P80" s="174" t="s">
        <v>283</v>
      </c>
      <c r="Q80" s="174" t="s">
        <v>284</v>
      </c>
      <c r="R80" s="174" t="s">
        <v>283</v>
      </c>
      <c r="S80" s="174" t="s">
        <v>283</v>
      </c>
      <c r="T80" s="175">
        <v>0</v>
      </c>
    </row>
    <row r="81" spans="1:20" hidden="1" x14ac:dyDescent="0.2">
      <c r="A81" s="169" t="str">
        <f t="shared" si="1"/>
        <v>642</v>
      </c>
      <c r="B81" s="167" t="str">
        <f>_xlfn.XLOOKUP(I81,Mapping!D:D,Mapping!E:E)</f>
        <v>Chiến Lược CCU</v>
      </c>
      <c r="C81" s="167" t="str">
        <f>_xlfn.XLOOKUP(F81,Mapping!A:A,Mapping!F:F)</f>
        <v>Lương Chính +T13</v>
      </c>
      <c r="D81" s="173">
        <v>46053</v>
      </c>
      <c r="E81" s="174" t="s">
        <v>1537</v>
      </c>
      <c r="F81" s="174" t="s">
        <v>274</v>
      </c>
      <c r="G81" s="174" t="s">
        <v>275</v>
      </c>
      <c r="H81" s="174" t="s">
        <v>1538</v>
      </c>
      <c r="I81" s="174" t="s">
        <v>1539</v>
      </c>
      <c r="J81" s="174" t="s">
        <v>1540</v>
      </c>
      <c r="K81" s="174" t="s">
        <v>1541</v>
      </c>
      <c r="L81" s="174" t="s">
        <v>458</v>
      </c>
      <c r="M81" s="174" t="s">
        <v>1453</v>
      </c>
      <c r="N81" s="177">
        <v>76693553</v>
      </c>
      <c r="O81" s="174" t="s">
        <v>1542</v>
      </c>
      <c r="P81" s="174" t="s">
        <v>283</v>
      </c>
      <c r="Q81" s="174" t="s">
        <v>284</v>
      </c>
      <c r="R81" s="174" t="s">
        <v>283</v>
      </c>
      <c r="S81" s="174" t="s">
        <v>283</v>
      </c>
      <c r="T81" s="175">
        <v>0</v>
      </c>
    </row>
    <row r="82" spans="1:20" hidden="1" x14ac:dyDescent="0.2">
      <c r="A82" s="169" t="str">
        <f t="shared" si="1"/>
        <v>642</v>
      </c>
      <c r="B82" s="167" t="str">
        <f>_xlfn.XLOOKUP(I82,Mapping!D:D,Mapping!E:E)</f>
        <v>Chiến Lược CCU</v>
      </c>
      <c r="C82" s="167" t="str">
        <f>_xlfn.XLOOKUP(F82,Mapping!A:A,Mapping!F:F)</f>
        <v>Lương Chính +T13</v>
      </c>
      <c r="D82" s="173">
        <v>46053</v>
      </c>
      <c r="E82" s="174" t="s">
        <v>1537</v>
      </c>
      <c r="F82" s="174" t="s">
        <v>285</v>
      </c>
      <c r="G82" s="174" t="s">
        <v>286</v>
      </c>
      <c r="H82" s="174" t="s">
        <v>1538</v>
      </c>
      <c r="I82" s="174" t="s">
        <v>1539</v>
      </c>
      <c r="J82" s="174" t="s">
        <v>1540</v>
      </c>
      <c r="K82" s="174" t="s">
        <v>1541</v>
      </c>
      <c r="L82" s="174" t="s">
        <v>458</v>
      </c>
      <c r="M82" s="174" t="s">
        <v>1453</v>
      </c>
      <c r="N82" s="177">
        <v>9261846</v>
      </c>
      <c r="O82" s="174" t="s">
        <v>1542</v>
      </c>
      <c r="P82" s="174" t="s">
        <v>283</v>
      </c>
      <c r="Q82" s="174" t="s">
        <v>284</v>
      </c>
      <c r="R82" s="174" t="s">
        <v>283</v>
      </c>
      <c r="S82" s="174" t="s">
        <v>283</v>
      </c>
      <c r="T82" s="175">
        <v>0</v>
      </c>
    </row>
    <row r="83" spans="1:20" hidden="1" x14ac:dyDescent="0.2">
      <c r="A83" s="169" t="str">
        <f t="shared" si="1"/>
        <v>642</v>
      </c>
      <c r="B83" s="167" t="str">
        <f>_xlfn.XLOOKUP(I83,Mapping!D:D,Mapping!E:E)</f>
        <v>Chiến Lược CCU</v>
      </c>
      <c r="C83" s="167" t="str">
        <f>_xlfn.XLOOKUP(F83,Mapping!A:A,Mapping!F:F)</f>
        <v>Thưởng</v>
      </c>
      <c r="D83" s="173">
        <v>46053</v>
      </c>
      <c r="E83" s="174" t="s">
        <v>1537</v>
      </c>
      <c r="F83" s="174" t="s">
        <v>290</v>
      </c>
      <c r="G83" s="174" t="s">
        <v>291</v>
      </c>
      <c r="H83" s="174" t="s">
        <v>1538</v>
      </c>
      <c r="I83" s="174" t="s">
        <v>1539</v>
      </c>
      <c r="J83" s="174" t="s">
        <v>1540</v>
      </c>
      <c r="K83" s="174" t="s">
        <v>1541</v>
      </c>
      <c r="L83" s="174" t="s">
        <v>458</v>
      </c>
      <c r="M83" s="174" t="s">
        <v>1453</v>
      </c>
      <c r="N83" s="177">
        <v>600000</v>
      </c>
      <c r="O83" s="174" t="s">
        <v>1542</v>
      </c>
      <c r="P83" s="174" t="s">
        <v>283</v>
      </c>
      <c r="Q83" s="174" t="s">
        <v>284</v>
      </c>
      <c r="R83" s="174" t="s">
        <v>283</v>
      </c>
      <c r="S83" s="174" t="s">
        <v>283</v>
      </c>
      <c r="T83" s="175">
        <v>0</v>
      </c>
    </row>
    <row r="84" spans="1:20" hidden="1" x14ac:dyDescent="0.2">
      <c r="A84" s="169" t="str">
        <f t="shared" si="1"/>
        <v>642</v>
      </c>
      <c r="B84" s="167" t="str">
        <f>_xlfn.XLOOKUP(I84,Mapping!D:D,Mapping!E:E)</f>
        <v>Chiến Lược CCU</v>
      </c>
      <c r="C84" s="167" t="str">
        <f>_xlfn.XLOOKUP(F84,Mapping!A:A,Mapping!F:F)</f>
        <v>Lương Chính +T13</v>
      </c>
      <c r="D84" s="173">
        <v>46053</v>
      </c>
      <c r="E84" s="174" t="s">
        <v>1537</v>
      </c>
      <c r="F84" s="174" t="s">
        <v>285</v>
      </c>
      <c r="G84" s="174" t="s">
        <v>286</v>
      </c>
      <c r="H84" s="174" t="s">
        <v>1538</v>
      </c>
      <c r="I84" s="174" t="s">
        <v>1539</v>
      </c>
      <c r="J84" s="174" t="s">
        <v>1540</v>
      </c>
      <c r="K84" s="174" t="s">
        <v>1541</v>
      </c>
      <c r="L84" s="174" t="s">
        <v>458</v>
      </c>
      <c r="M84" s="174" t="s">
        <v>1453</v>
      </c>
      <c r="N84" s="177">
        <v>7104917</v>
      </c>
      <c r="O84" s="174" t="s">
        <v>1542</v>
      </c>
      <c r="P84" s="174" t="s">
        <v>283</v>
      </c>
      <c r="Q84" s="174" t="s">
        <v>284</v>
      </c>
      <c r="R84" s="174" t="s">
        <v>283</v>
      </c>
      <c r="S84" s="174" t="s">
        <v>283</v>
      </c>
      <c r="T84" s="175">
        <v>0</v>
      </c>
    </row>
    <row r="85" spans="1:20" hidden="1" x14ac:dyDescent="0.2">
      <c r="A85" s="169" t="str">
        <f t="shared" si="1"/>
        <v>642</v>
      </c>
      <c r="B85" s="167" t="str">
        <f>_xlfn.XLOOKUP(I85,Mapping!D:D,Mapping!E:E)</f>
        <v>Chiến Lược CCU</v>
      </c>
      <c r="C85" s="167" t="str">
        <f>_xlfn.XLOOKUP(F85,Mapping!A:A,Mapping!F:F)</f>
        <v>Thưởng</v>
      </c>
      <c r="D85" s="173">
        <v>46053</v>
      </c>
      <c r="E85" s="174" t="s">
        <v>1537</v>
      </c>
      <c r="F85" s="174" t="s">
        <v>292</v>
      </c>
      <c r="G85" s="174" t="s">
        <v>77</v>
      </c>
      <c r="H85" s="174" t="s">
        <v>1538</v>
      </c>
      <c r="I85" s="174" t="s">
        <v>1539</v>
      </c>
      <c r="J85" s="174" t="s">
        <v>1540</v>
      </c>
      <c r="K85" s="174" t="s">
        <v>1541</v>
      </c>
      <c r="L85" s="174" t="s">
        <v>458</v>
      </c>
      <c r="M85" s="174" t="s">
        <v>1453</v>
      </c>
      <c r="N85" s="177">
        <v>6536466</v>
      </c>
      <c r="O85" s="174" t="s">
        <v>1542</v>
      </c>
      <c r="P85" s="174" t="s">
        <v>283</v>
      </c>
      <c r="Q85" s="174" t="s">
        <v>284</v>
      </c>
      <c r="R85" s="174" t="s">
        <v>283</v>
      </c>
      <c r="S85" s="174" t="s">
        <v>283</v>
      </c>
      <c r="T85" s="175">
        <v>0</v>
      </c>
    </row>
    <row r="86" spans="1:20" hidden="1" x14ac:dyDescent="0.2">
      <c r="A86" s="169" t="str">
        <f t="shared" si="1"/>
        <v>642</v>
      </c>
      <c r="B86" s="167" t="str">
        <f>_xlfn.XLOOKUP(I86,Mapping!D:D,Mapping!E:E)</f>
        <v>Hành Chánh Nhân Sự</v>
      </c>
      <c r="C86" s="167" t="str">
        <f>_xlfn.XLOOKUP(F86,Mapping!A:A,Mapping!F:F)</f>
        <v>Phụ Cấp</v>
      </c>
      <c r="D86" s="173">
        <v>46051</v>
      </c>
      <c r="E86" s="174" t="s">
        <v>1484</v>
      </c>
      <c r="F86" s="174" t="s">
        <v>335</v>
      </c>
      <c r="G86" s="174" t="s">
        <v>336</v>
      </c>
      <c r="H86" s="174" t="s">
        <v>382</v>
      </c>
      <c r="I86" s="174" t="s">
        <v>200</v>
      </c>
      <c r="J86" s="174" t="s">
        <v>1386</v>
      </c>
      <c r="K86" s="174" t="s">
        <v>992</v>
      </c>
      <c r="L86" s="174" t="s">
        <v>458</v>
      </c>
      <c r="M86" s="174" t="s">
        <v>1453</v>
      </c>
      <c r="N86" s="177">
        <v>1417000</v>
      </c>
      <c r="O86" s="174" t="s">
        <v>1485</v>
      </c>
      <c r="P86" s="174" t="s">
        <v>283</v>
      </c>
      <c r="Q86" s="174" t="s">
        <v>306</v>
      </c>
      <c r="R86" s="174" t="s">
        <v>283</v>
      </c>
      <c r="S86" s="174" t="s">
        <v>283</v>
      </c>
      <c r="T86" s="175">
        <v>0</v>
      </c>
    </row>
    <row r="87" spans="1:20" hidden="1" x14ac:dyDescent="0.2">
      <c r="A87" s="169" t="str">
        <f t="shared" si="1"/>
        <v>642</v>
      </c>
      <c r="B87" s="167" t="str">
        <f>_xlfn.XLOOKUP(I87,Mapping!D:D,Mapping!E:E)</f>
        <v>Hành Chánh Nhân Sự</v>
      </c>
      <c r="C87" s="167" t="str">
        <f>_xlfn.XLOOKUP(F87,Mapping!A:A,Mapping!F:F)</f>
        <v>Phụ Cấp</v>
      </c>
      <c r="D87" s="173">
        <v>46051</v>
      </c>
      <c r="E87" s="174" t="s">
        <v>1484</v>
      </c>
      <c r="F87" s="174" t="s">
        <v>335</v>
      </c>
      <c r="G87" s="174" t="s">
        <v>336</v>
      </c>
      <c r="H87" s="174" t="s">
        <v>358</v>
      </c>
      <c r="I87" s="174" t="s">
        <v>359</v>
      </c>
      <c r="J87" s="174" t="s">
        <v>1386</v>
      </c>
      <c r="K87" s="174" t="s">
        <v>992</v>
      </c>
      <c r="L87" s="174" t="s">
        <v>458</v>
      </c>
      <c r="M87" s="174" t="s">
        <v>1453</v>
      </c>
      <c r="N87" s="177">
        <v>2980000</v>
      </c>
      <c r="O87" s="174" t="s">
        <v>1485</v>
      </c>
      <c r="P87" s="174" t="s">
        <v>283</v>
      </c>
      <c r="Q87" s="174" t="s">
        <v>306</v>
      </c>
      <c r="R87" s="174" t="s">
        <v>283</v>
      </c>
      <c r="S87" s="174" t="s">
        <v>283</v>
      </c>
      <c r="T87" s="175">
        <v>0</v>
      </c>
    </row>
    <row r="88" spans="1:20" hidden="1" x14ac:dyDescent="0.2">
      <c r="A88" s="169" t="str">
        <f t="shared" si="1"/>
        <v>642</v>
      </c>
      <c r="B88" s="167" t="str">
        <f>_xlfn.XLOOKUP(I88,Mapping!D:D,Mapping!E:E)</f>
        <v>Hành Chánh Nhân Sự</v>
      </c>
      <c r="C88" s="167" t="str">
        <f>_xlfn.XLOOKUP(F88,Mapping!A:A,Mapping!F:F)</f>
        <v>Khen thưởng BD khác</v>
      </c>
      <c r="D88" s="173">
        <v>46053</v>
      </c>
      <c r="E88" s="174" t="s">
        <v>1543</v>
      </c>
      <c r="F88" s="174" t="s">
        <v>300</v>
      </c>
      <c r="G88" s="174" t="s">
        <v>222</v>
      </c>
      <c r="H88" s="174" t="s">
        <v>358</v>
      </c>
      <c r="I88" s="174" t="s">
        <v>359</v>
      </c>
      <c r="J88" s="174" t="s">
        <v>1544</v>
      </c>
      <c r="K88" s="174" t="s">
        <v>1545</v>
      </c>
      <c r="L88" s="174" t="s">
        <v>458</v>
      </c>
      <c r="M88" s="174" t="s">
        <v>1453</v>
      </c>
      <c r="N88" s="177">
        <v>-1500000</v>
      </c>
      <c r="O88" s="174" t="s">
        <v>1546</v>
      </c>
      <c r="P88" s="174" t="s">
        <v>283</v>
      </c>
      <c r="Q88" s="174" t="s">
        <v>964</v>
      </c>
      <c r="R88" s="174" t="s">
        <v>283</v>
      </c>
      <c r="S88" s="174" t="s">
        <v>283</v>
      </c>
      <c r="T88" s="175">
        <v>0</v>
      </c>
    </row>
    <row r="89" spans="1:20" hidden="1" x14ac:dyDescent="0.2">
      <c r="A89" s="169" t="str">
        <f t="shared" si="1"/>
        <v>642</v>
      </c>
      <c r="B89" s="167" t="str">
        <f>_xlfn.XLOOKUP(I89,Mapping!D:D,Mapping!E:E)</f>
        <v>Cung Ứng</v>
      </c>
      <c r="C89" s="167" t="str">
        <f>_xlfn.XLOOKUP(F89,Mapping!A:A,Mapping!F:F)</f>
        <v>Lương Chính +T13</v>
      </c>
      <c r="D89" s="173">
        <v>46053</v>
      </c>
      <c r="E89" s="174" t="s">
        <v>1450</v>
      </c>
      <c r="F89" s="174" t="s">
        <v>274</v>
      </c>
      <c r="G89" s="174" t="s">
        <v>275</v>
      </c>
      <c r="H89" s="174" t="s">
        <v>380</v>
      </c>
      <c r="I89" s="174" t="s">
        <v>381</v>
      </c>
      <c r="J89" s="174" t="s">
        <v>1451</v>
      </c>
      <c r="K89" s="174" t="s">
        <v>1452</v>
      </c>
      <c r="L89" s="174" t="s">
        <v>458</v>
      </c>
      <c r="M89" s="174" t="s">
        <v>1453</v>
      </c>
      <c r="N89" s="177">
        <v>544453522</v>
      </c>
      <c r="O89" s="174" t="s">
        <v>1454</v>
      </c>
      <c r="P89" s="174" t="s">
        <v>283</v>
      </c>
      <c r="Q89" s="174" t="s">
        <v>284</v>
      </c>
      <c r="R89" s="174" t="s">
        <v>283</v>
      </c>
      <c r="S89" s="174" t="s">
        <v>283</v>
      </c>
      <c r="T89" s="175">
        <v>0</v>
      </c>
    </row>
    <row r="90" spans="1:20" hidden="1" x14ac:dyDescent="0.2">
      <c r="A90" s="169" t="str">
        <f t="shared" si="1"/>
        <v>642</v>
      </c>
      <c r="B90" s="167" t="str">
        <f>_xlfn.XLOOKUP(I90,Mapping!D:D,Mapping!E:E)</f>
        <v>Cung Ứng</v>
      </c>
      <c r="C90" s="167" t="str">
        <f>_xlfn.XLOOKUP(F90,Mapping!A:A,Mapping!F:F)</f>
        <v>Lương Chính +T13</v>
      </c>
      <c r="D90" s="173">
        <v>46053</v>
      </c>
      <c r="E90" s="174" t="s">
        <v>1450</v>
      </c>
      <c r="F90" s="174" t="s">
        <v>285</v>
      </c>
      <c r="G90" s="174" t="s">
        <v>286</v>
      </c>
      <c r="H90" s="174" t="s">
        <v>380</v>
      </c>
      <c r="I90" s="174" t="s">
        <v>381</v>
      </c>
      <c r="J90" s="174" t="s">
        <v>1451</v>
      </c>
      <c r="K90" s="174" t="s">
        <v>1452</v>
      </c>
      <c r="L90" s="174" t="s">
        <v>458</v>
      </c>
      <c r="M90" s="174" t="s">
        <v>1453</v>
      </c>
      <c r="N90" s="177">
        <v>32606442</v>
      </c>
      <c r="O90" s="174" t="s">
        <v>1454</v>
      </c>
      <c r="P90" s="174" t="s">
        <v>283</v>
      </c>
      <c r="Q90" s="174" t="s">
        <v>284</v>
      </c>
      <c r="R90" s="174" t="s">
        <v>283</v>
      </c>
      <c r="S90" s="174" t="s">
        <v>283</v>
      </c>
      <c r="T90" s="175">
        <v>0</v>
      </c>
    </row>
    <row r="91" spans="1:20" hidden="1" x14ac:dyDescent="0.2">
      <c r="A91" s="169" t="str">
        <f t="shared" si="1"/>
        <v>642</v>
      </c>
      <c r="B91" s="167" t="str">
        <f>_xlfn.XLOOKUP(I91,Mapping!D:D,Mapping!E:E)</f>
        <v>Cung Ứng</v>
      </c>
      <c r="C91" s="167" t="str">
        <f>_xlfn.XLOOKUP(F91,Mapping!A:A,Mapping!F:F)</f>
        <v>Thưởng</v>
      </c>
      <c r="D91" s="173">
        <v>46053</v>
      </c>
      <c r="E91" s="174" t="s">
        <v>1450</v>
      </c>
      <c r="F91" s="174" t="s">
        <v>290</v>
      </c>
      <c r="G91" s="174" t="s">
        <v>291</v>
      </c>
      <c r="H91" s="174" t="s">
        <v>380</v>
      </c>
      <c r="I91" s="174" t="s">
        <v>381</v>
      </c>
      <c r="J91" s="174" t="s">
        <v>1451</v>
      </c>
      <c r="K91" s="174" t="s">
        <v>1452</v>
      </c>
      <c r="L91" s="174" t="s">
        <v>458</v>
      </c>
      <c r="M91" s="174" t="s">
        <v>1453</v>
      </c>
      <c r="N91" s="177">
        <v>341083228</v>
      </c>
      <c r="O91" s="174" t="s">
        <v>1454</v>
      </c>
      <c r="P91" s="174" t="s">
        <v>283</v>
      </c>
      <c r="Q91" s="174" t="s">
        <v>284</v>
      </c>
      <c r="R91" s="174" t="s">
        <v>283</v>
      </c>
      <c r="S91" s="174" t="s">
        <v>283</v>
      </c>
      <c r="T91" s="175">
        <v>0</v>
      </c>
    </row>
    <row r="92" spans="1:20" hidden="1" x14ac:dyDescent="0.2">
      <c r="A92" s="169" t="str">
        <f t="shared" si="1"/>
        <v>642</v>
      </c>
      <c r="B92" s="167" t="str">
        <f>_xlfn.XLOOKUP(I92,Mapping!D:D,Mapping!E:E)</f>
        <v>Cung Ứng</v>
      </c>
      <c r="C92" s="167" t="str">
        <f>_xlfn.XLOOKUP(F92,Mapping!A:A,Mapping!F:F)</f>
        <v>Phụ Cấp</v>
      </c>
      <c r="D92" s="173">
        <v>46053</v>
      </c>
      <c r="E92" s="174" t="s">
        <v>1450</v>
      </c>
      <c r="F92" s="174" t="s">
        <v>335</v>
      </c>
      <c r="G92" s="174" t="s">
        <v>336</v>
      </c>
      <c r="H92" s="174" t="s">
        <v>380</v>
      </c>
      <c r="I92" s="174" t="s">
        <v>381</v>
      </c>
      <c r="J92" s="174" t="s">
        <v>1451</v>
      </c>
      <c r="K92" s="174" t="s">
        <v>1452</v>
      </c>
      <c r="L92" s="174" t="s">
        <v>458</v>
      </c>
      <c r="M92" s="174" t="s">
        <v>1453</v>
      </c>
      <c r="N92" s="177">
        <v>10030000</v>
      </c>
      <c r="O92" s="174" t="s">
        <v>1454</v>
      </c>
      <c r="P92" s="174" t="s">
        <v>283</v>
      </c>
      <c r="Q92" s="174" t="s">
        <v>284</v>
      </c>
      <c r="R92" s="174" t="s">
        <v>283</v>
      </c>
      <c r="S92" s="174" t="s">
        <v>283</v>
      </c>
      <c r="T92" s="175">
        <v>0</v>
      </c>
    </row>
    <row r="93" spans="1:20" hidden="1" x14ac:dyDescent="0.2">
      <c r="A93" s="169" t="str">
        <f t="shared" si="1"/>
        <v>642</v>
      </c>
      <c r="B93" s="167" t="str">
        <f>_xlfn.XLOOKUP(I93,Mapping!D:D,Mapping!E:E)</f>
        <v>Mua Hàng &amp; XNK</v>
      </c>
      <c r="C93" s="167" t="str">
        <f>_xlfn.XLOOKUP(F93,Mapping!A:A,Mapping!F:F)</f>
        <v>Lương Chính +T13</v>
      </c>
      <c r="D93" s="173">
        <v>46053</v>
      </c>
      <c r="E93" s="174" t="s">
        <v>1450</v>
      </c>
      <c r="F93" s="174" t="s">
        <v>274</v>
      </c>
      <c r="G93" s="174" t="s">
        <v>275</v>
      </c>
      <c r="H93" s="174" t="s">
        <v>378</v>
      </c>
      <c r="I93" s="174" t="s">
        <v>379</v>
      </c>
      <c r="J93" s="174" t="s">
        <v>1451</v>
      </c>
      <c r="K93" s="174" t="s">
        <v>1452</v>
      </c>
      <c r="L93" s="174" t="s">
        <v>458</v>
      </c>
      <c r="M93" s="174" t="s">
        <v>1453</v>
      </c>
      <c r="N93" s="177">
        <v>167227112</v>
      </c>
      <c r="O93" s="174" t="s">
        <v>1454</v>
      </c>
      <c r="P93" s="174" t="s">
        <v>283</v>
      </c>
      <c r="Q93" s="174" t="s">
        <v>284</v>
      </c>
      <c r="R93" s="174" t="s">
        <v>283</v>
      </c>
      <c r="S93" s="174" t="s">
        <v>283</v>
      </c>
      <c r="T93" s="175">
        <v>0</v>
      </c>
    </row>
    <row r="94" spans="1:20" hidden="1" x14ac:dyDescent="0.2">
      <c r="A94" s="169" t="str">
        <f t="shared" si="1"/>
        <v>642</v>
      </c>
      <c r="B94" s="167" t="str">
        <f>_xlfn.XLOOKUP(I94,Mapping!D:D,Mapping!E:E)</f>
        <v>Mua Hàng &amp; XNK</v>
      </c>
      <c r="C94" s="167" t="str">
        <f>_xlfn.XLOOKUP(F94,Mapping!A:A,Mapping!F:F)</f>
        <v>Lương Chính +T13</v>
      </c>
      <c r="D94" s="173">
        <v>46053</v>
      </c>
      <c r="E94" s="174" t="s">
        <v>1450</v>
      </c>
      <c r="F94" s="174" t="s">
        <v>285</v>
      </c>
      <c r="G94" s="174" t="s">
        <v>286</v>
      </c>
      <c r="H94" s="174" t="s">
        <v>378</v>
      </c>
      <c r="I94" s="174" t="s">
        <v>379</v>
      </c>
      <c r="J94" s="174" t="s">
        <v>1451</v>
      </c>
      <c r="K94" s="174" t="s">
        <v>1452</v>
      </c>
      <c r="L94" s="174" t="s">
        <v>458</v>
      </c>
      <c r="M94" s="174" t="s">
        <v>1453</v>
      </c>
      <c r="N94" s="177">
        <v>17554461</v>
      </c>
      <c r="O94" s="174" t="s">
        <v>1454</v>
      </c>
      <c r="P94" s="174" t="s">
        <v>283</v>
      </c>
      <c r="Q94" s="174" t="s">
        <v>284</v>
      </c>
      <c r="R94" s="174" t="s">
        <v>283</v>
      </c>
      <c r="S94" s="174" t="s">
        <v>283</v>
      </c>
      <c r="T94" s="175">
        <v>0</v>
      </c>
    </row>
    <row r="95" spans="1:20" hidden="1" x14ac:dyDescent="0.2">
      <c r="A95" s="169" t="str">
        <f t="shared" si="1"/>
        <v>642</v>
      </c>
      <c r="B95" s="167" t="str">
        <f>_xlfn.XLOOKUP(I95,Mapping!D:D,Mapping!E:E)</f>
        <v>Mua Hàng &amp; XNK</v>
      </c>
      <c r="C95" s="167" t="str">
        <f>_xlfn.XLOOKUP(F95,Mapping!A:A,Mapping!F:F)</f>
        <v>Thưởng</v>
      </c>
      <c r="D95" s="173">
        <v>46053</v>
      </c>
      <c r="E95" s="174" t="s">
        <v>1450</v>
      </c>
      <c r="F95" s="174" t="s">
        <v>290</v>
      </c>
      <c r="G95" s="174" t="s">
        <v>291</v>
      </c>
      <c r="H95" s="174" t="s">
        <v>378</v>
      </c>
      <c r="I95" s="174" t="s">
        <v>379</v>
      </c>
      <c r="J95" s="174" t="s">
        <v>1451</v>
      </c>
      <c r="K95" s="174" t="s">
        <v>1452</v>
      </c>
      <c r="L95" s="174" t="s">
        <v>458</v>
      </c>
      <c r="M95" s="174" t="s">
        <v>1453</v>
      </c>
      <c r="N95" s="177">
        <v>1800000</v>
      </c>
      <c r="O95" s="174" t="s">
        <v>1454</v>
      </c>
      <c r="P95" s="174" t="s">
        <v>283</v>
      </c>
      <c r="Q95" s="174" t="s">
        <v>284</v>
      </c>
      <c r="R95" s="174" t="s">
        <v>283</v>
      </c>
      <c r="S95" s="174" t="s">
        <v>283</v>
      </c>
      <c r="T95" s="175">
        <v>0</v>
      </c>
    </row>
    <row r="96" spans="1:20" hidden="1" x14ac:dyDescent="0.2">
      <c r="A96" s="169" t="str">
        <f t="shared" si="1"/>
        <v>642</v>
      </c>
      <c r="B96" s="167" t="str">
        <f>_xlfn.XLOOKUP(I96,Mapping!D:D,Mapping!E:E)</f>
        <v>Mua Hàng &amp; XNK</v>
      </c>
      <c r="C96" s="167" t="str">
        <f>_xlfn.XLOOKUP(F96,Mapping!A:A,Mapping!F:F)</f>
        <v>Phụ Cấp</v>
      </c>
      <c r="D96" s="173">
        <v>46053</v>
      </c>
      <c r="E96" s="174" t="s">
        <v>1450</v>
      </c>
      <c r="F96" s="174" t="s">
        <v>335</v>
      </c>
      <c r="G96" s="174" t="s">
        <v>336</v>
      </c>
      <c r="H96" s="174" t="s">
        <v>378</v>
      </c>
      <c r="I96" s="174" t="s">
        <v>379</v>
      </c>
      <c r="J96" s="174" t="s">
        <v>1451</v>
      </c>
      <c r="K96" s="174" t="s">
        <v>1452</v>
      </c>
      <c r="L96" s="174" t="s">
        <v>458</v>
      </c>
      <c r="M96" s="174" t="s">
        <v>1453</v>
      </c>
      <c r="N96" s="177">
        <v>1075000</v>
      </c>
      <c r="O96" s="174" t="s">
        <v>1454</v>
      </c>
      <c r="P96" s="174" t="s">
        <v>283</v>
      </c>
      <c r="Q96" s="174" t="s">
        <v>284</v>
      </c>
      <c r="R96" s="174" t="s">
        <v>283</v>
      </c>
      <c r="S96" s="174" t="s">
        <v>283</v>
      </c>
      <c r="T96" s="175">
        <v>0</v>
      </c>
    </row>
    <row r="97" spans="1:20" hidden="1" x14ac:dyDescent="0.2">
      <c r="A97" s="169" t="str">
        <f t="shared" si="1"/>
        <v>627</v>
      </c>
      <c r="B97" s="167" t="str">
        <f>_xlfn.XLOOKUP(I97,Mapping!D:D,Mapping!E:E)</f>
        <v>Kỹ Thuật</v>
      </c>
      <c r="C97" s="167" t="str">
        <f>_xlfn.XLOOKUP(F97,Mapping!A:A,Mapping!F:F)</f>
        <v>Phụ Cấp</v>
      </c>
      <c r="D97" s="173">
        <v>46053</v>
      </c>
      <c r="E97" s="174" t="s">
        <v>1450</v>
      </c>
      <c r="F97" s="174" t="s">
        <v>386</v>
      </c>
      <c r="G97" s="174" t="s">
        <v>341</v>
      </c>
      <c r="H97" s="174" t="s">
        <v>376</v>
      </c>
      <c r="I97" s="174" t="s">
        <v>377</v>
      </c>
      <c r="J97" s="174" t="s">
        <v>1451</v>
      </c>
      <c r="K97" s="174" t="s">
        <v>1452</v>
      </c>
      <c r="L97" s="174" t="s">
        <v>458</v>
      </c>
      <c r="M97" s="174" t="s">
        <v>1453</v>
      </c>
      <c r="N97" s="177">
        <v>45183903</v>
      </c>
      <c r="O97" s="174" t="s">
        <v>1454</v>
      </c>
      <c r="P97" s="174" t="s">
        <v>283</v>
      </c>
      <c r="Q97" s="174" t="s">
        <v>284</v>
      </c>
      <c r="R97" s="174" t="s">
        <v>283</v>
      </c>
      <c r="S97" s="174" t="s">
        <v>283</v>
      </c>
      <c r="T97" s="175">
        <v>0</v>
      </c>
    </row>
    <row r="98" spans="1:20" hidden="1" x14ac:dyDescent="0.2">
      <c r="A98" s="169" t="str">
        <f t="shared" si="1"/>
        <v>627</v>
      </c>
      <c r="B98" s="167" t="str">
        <f>_xlfn.XLOOKUP(I98,Mapping!D:D,Mapping!E:E)</f>
        <v>Kỹ Thuật</v>
      </c>
      <c r="C98" s="167" t="str">
        <f>_xlfn.XLOOKUP(F98,Mapping!A:A,Mapping!F:F)</f>
        <v>Lương Chính +T13</v>
      </c>
      <c r="D98" s="173">
        <v>46053</v>
      </c>
      <c r="E98" s="174" t="s">
        <v>1450</v>
      </c>
      <c r="F98" s="174" t="s">
        <v>387</v>
      </c>
      <c r="G98" s="174" t="s">
        <v>275</v>
      </c>
      <c r="H98" s="174" t="s">
        <v>376</v>
      </c>
      <c r="I98" s="174" t="s">
        <v>377</v>
      </c>
      <c r="J98" s="174" t="s">
        <v>1451</v>
      </c>
      <c r="K98" s="174" t="s">
        <v>1452</v>
      </c>
      <c r="L98" s="174" t="s">
        <v>458</v>
      </c>
      <c r="M98" s="174" t="s">
        <v>1453</v>
      </c>
      <c r="N98" s="177">
        <v>1152947478</v>
      </c>
      <c r="O98" s="174" t="s">
        <v>1454</v>
      </c>
      <c r="P98" s="174" t="s">
        <v>283</v>
      </c>
      <c r="Q98" s="174" t="s">
        <v>284</v>
      </c>
      <c r="R98" s="174" t="s">
        <v>283</v>
      </c>
      <c r="S98" s="174" t="s">
        <v>283</v>
      </c>
      <c r="T98" s="175">
        <v>0</v>
      </c>
    </row>
    <row r="99" spans="1:20" hidden="1" x14ac:dyDescent="0.2">
      <c r="A99" s="169" t="str">
        <f t="shared" si="1"/>
        <v>627</v>
      </c>
      <c r="B99" s="167" t="str">
        <f>_xlfn.XLOOKUP(I99,Mapping!D:D,Mapping!E:E)</f>
        <v>Kỹ Thuật</v>
      </c>
      <c r="C99" s="167" t="str">
        <f>_xlfn.XLOOKUP(F99,Mapping!A:A,Mapping!F:F)</f>
        <v>Lương Chính +T13</v>
      </c>
      <c r="D99" s="173">
        <v>46053</v>
      </c>
      <c r="E99" s="174" t="s">
        <v>1450</v>
      </c>
      <c r="F99" s="174" t="s">
        <v>388</v>
      </c>
      <c r="G99" s="174" t="s">
        <v>286</v>
      </c>
      <c r="H99" s="174" t="s">
        <v>376</v>
      </c>
      <c r="I99" s="174" t="s">
        <v>377</v>
      </c>
      <c r="J99" s="174" t="s">
        <v>1451</v>
      </c>
      <c r="K99" s="174" t="s">
        <v>1452</v>
      </c>
      <c r="L99" s="174" t="s">
        <v>458</v>
      </c>
      <c r="M99" s="174" t="s">
        <v>1453</v>
      </c>
      <c r="N99" s="177">
        <v>91160033</v>
      </c>
      <c r="O99" s="174" t="s">
        <v>1454</v>
      </c>
      <c r="P99" s="174" t="s">
        <v>283</v>
      </c>
      <c r="Q99" s="174" t="s">
        <v>284</v>
      </c>
      <c r="R99" s="174" t="s">
        <v>283</v>
      </c>
      <c r="S99" s="174" t="s">
        <v>283</v>
      </c>
      <c r="T99" s="175">
        <v>0</v>
      </c>
    </row>
    <row r="100" spans="1:20" hidden="1" x14ac:dyDescent="0.2">
      <c r="A100" s="169" t="str">
        <f t="shared" si="1"/>
        <v>627</v>
      </c>
      <c r="B100" s="167" t="str">
        <f>_xlfn.XLOOKUP(I100,Mapping!D:D,Mapping!E:E)</f>
        <v>Kỹ Thuật</v>
      </c>
      <c r="C100" s="167" t="str">
        <f>_xlfn.XLOOKUP(F100,Mapping!A:A,Mapping!F:F)</f>
        <v>Lương Ngoài giờ</v>
      </c>
      <c r="D100" s="173">
        <v>46053</v>
      </c>
      <c r="E100" s="174" t="s">
        <v>1450</v>
      </c>
      <c r="F100" s="174" t="s">
        <v>389</v>
      </c>
      <c r="G100" s="174" t="s">
        <v>390</v>
      </c>
      <c r="H100" s="174" t="s">
        <v>376</v>
      </c>
      <c r="I100" s="174" t="s">
        <v>377</v>
      </c>
      <c r="J100" s="174" t="s">
        <v>1451</v>
      </c>
      <c r="K100" s="174" t="s">
        <v>1452</v>
      </c>
      <c r="L100" s="174" t="s">
        <v>458</v>
      </c>
      <c r="M100" s="174" t="s">
        <v>1453</v>
      </c>
      <c r="N100" s="177">
        <v>293756631</v>
      </c>
      <c r="O100" s="174" t="s">
        <v>1454</v>
      </c>
      <c r="P100" s="174" t="s">
        <v>283</v>
      </c>
      <c r="Q100" s="174" t="s">
        <v>284</v>
      </c>
      <c r="R100" s="174" t="s">
        <v>283</v>
      </c>
      <c r="S100" s="174" t="s">
        <v>283</v>
      </c>
      <c r="T100" s="175">
        <v>0</v>
      </c>
    </row>
    <row r="101" spans="1:20" hidden="1" x14ac:dyDescent="0.2">
      <c r="A101" s="169" t="str">
        <f t="shared" si="1"/>
        <v>627</v>
      </c>
      <c r="B101" s="167" t="str">
        <f>_xlfn.XLOOKUP(I101,Mapping!D:D,Mapping!E:E)</f>
        <v>Kỹ Thuật</v>
      </c>
      <c r="C101" s="167" t="str">
        <f>_xlfn.XLOOKUP(F101,Mapping!A:A,Mapping!F:F)</f>
        <v>Thưởng</v>
      </c>
      <c r="D101" s="173">
        <v>46053</v>
      </c>
      <c r="E101" s="174" t="s">
        <v>1450</v>
      </c>
      <c r="F101" s="174" t="s">
        <v>391</v>
      </c>
      <c r="G101" s="174" t="s">
        <v>291</v>
      </c>
      <c r="H101" s="174" t="s">
        <v>376</v>
      </c>
      <c r="I101" s="174" t="s">
        <v>377</v>
      </c>
      <c r="J101" s="174" t="s">
        <v>1451</v>
      </c>
      <c r="K101" s="174" t="s">
        <v>1452</v>
      </c>
      <c r="L101" s="174" t="s">
        <v>458</v>
      </c>
      <c r="M101" s="174" t="s">
        <v>1453</v>
      </c>
      <c r="N101" s="177">
        <v>17200000</v>
      </c>
      <c r="O101" s="174" t="s">
        <v>1454</v>
      </c>
      <c r="P101" s="174" t="s">
        <v>283</v>
      </c>
      <c r="Q101" s="174" t="s">
        <v>284</v>
      </c>
      <c r="R101" s="174" t="s">
        <v>283</v>
      </c>
      <c r="S101" s="174" t="s">
        <v>283</v>
      </c>
      <c r="T101" s="175">
        <v>0</v>
      </c>
    </row>
    <row r="102" spans="1:20" hidden="1" x14ac:dyDescent="0.2">
      <c r="A102" s="169" t="str">
        <f t="shared" si="1"/>
        <v>627</v>
      </c>
      <c r="B102" s="167" t="str">
        <f>_xlfn.XLOOKUP(I102,Mapping!D:D,Mapping!E:E)</f>
        <v>Kỹ Thuật</v>
      </c>
      <c r="C102" s="167" t="str">
        <f>_xlfn.XLOOKUP(F102,Mapping!A:A,Mapping!F:F)</f>
        <v>Phụ Cấp</v>
      </c>
      <c r="D102" s="173">
        <v>46053</v>
      </c>
      <c r="E102" s="174" t="s">
        <v>1450</v>
      </c>
      <c r="F102" s="174" t="s">
        <v>375</v>
      </c>
      <c r="G102" s="174" t="s">
        <v>336</v>
      </c>
      <c r="H102" s="174" t="s">
        <v>376</v>
      </c>
      <c r="I102" s="174" t="s">
        <v>377</v>
      </c>
      <c r="J102" s="174" t="s">
        <v>1451</v>
      </c>
      <c r="K102" s="174" t="s">
        <v>1452</v>
      </c>
      <c r="L102" s="174" t="s">
        <v>458</v>
      </c>
      <c r="M102" s="174" t="s">
        <v>1453</v>
      </c>
      <c r="N102" s="177">
        <v>150000</v>
      </c>
      <c r="O102" s="174" t="s">
        <v>1454</v>
      </c>
      <c r="P102" s="174" t="s">
        <v>283</v>
      </c>
      <c r="Q102" s="174" t="s">
        <v>284</v>
      </c>
      <c r="R102" s="174" t="s">
        <v>283</v>
      </c>
      <c r="S102" s="174" t="s">
        <v>283</v>
      </c>
      <c r="T102" s="175">
        <v>0</v>
      </c>
    </row>
    <row r="103" spans="1:20" hidden="1" x14ac:dyDescent="0.2">
      <c r="A103" s="169" t="str">
        <f t="shared" si="1"/>
        <v>627</v>
      </c>
      <c r="B103" s="167" t="str">
        <f>_xlfn.XLOOKUP(I103,Mapping!D:D,Mapping!E:E)</f>
        <v>Kiểm Soát Chất Lượng</v>
      </c>
      <c r="C103" s="167" t="str">
        <f>_xlfn.XLOOKUP(F103,Mapping!A:A,Mapping!F:F)</f>
        <v>Phụ Cấp</v>
      </c>
      <c r="D103" s="173">
        <v>46053</v>
      </c>
      <c r="E103" s="174" t="s">
        <v>1450</v>
      </c>
      <c r="F103" s="174" t="s">
        <v>386</v>
      </c>
      <c r="G103" s="174" t="s">
        <v>341</v>
      </c>
      <c r="H103" s="174" t="s">
        <v>411</v>
      </c>
      <c r="I103" s="174" t="s">
        <v>412</v>
      </c>
      <c r="J103" s="174" t="s">
        <v>1451</v>
      </c>
      <c r="K103" s="174" t="s">
        <v>1452</v>
      </c>
      <c r="L103" s="174" t="s">
        <v>458</v>
      </c>
      <c r="M103" s="174" t="s">
        <v>1453</v>
      </c>
      <c r="N103" s="177">
        <v>24328406</v>
      </c>
      <c r="O103" s="174" t="s">
        <v>1454</v>
      </c>
      <c r="P103" s="174" t="s">
        <v>283</v>
      </c>
      <c r="Q103" s="174" t="s">
        <v>284</v>
      </c>
      <c r="R103" s="174" t="s">
        <v>283</v>
      </c>
      <c r="S103" s="174" t="s">
        <v>283</v>
      </c>
      <c r="T103" s="175">
        <v>0</v>
      </c>
    </row>
    <row r="104" spans="1:20" hidden="1" x14ac:dyDescent="0.2">
      <c r="A104" s="169" t="str">
        <f t="shared" si="1"/>
        <v>627</v>
      </c>
      <c r="B104" s="167" t="str">
        <f>_xlfn.XLOOKUP(I104,Mapping!D:D,Mapping!E:E)</f>
        <v>Kiểm Soát Chất Lượng</v>
      </c>
      <c r="C104" s="167" t="str">
        <f>_xlfn.XLOOKUP(F104,Mapping!A:A,Mapping!F:F)</f>
        <v>Lương Chính +T13</v>
      </c>
      <c r="D104" s="173">
        <v>46053</v>
      </c>
      <c r="E104" s="174" t="s">
        <v>1450</v>
      </c>
      <c r="F104" s="174" t="s">
        <v>387</v>
      </c>
      <c r="G104" s="174" t="s">
        <v>275</v>
      </c>
      <c r="H104" s="174" t="s">
        <v>411</v>
      </c>
      <c r="I104" s="174" t="s">
        <v>412</v>
      </c>
      <c r="J104" s="174" t="s">
        <v>1451</v>
      </c>
      <c r="K104" s="174" t="s">
        <v>1452</v>
      </c>
      <c r="L104" s="174" t="s">
        <v>458</v>
      </c>
      <c r="M104" s="174" t="s">
        <v>1453</v>
      </c>
      <c r="N104" s="177">
        <v>479942266</v>
      </c>
      <c r="O104" s="174" t="s">
        <v>1454</v>
      </c>
      <c r="P104" s="174" t="s">
        <v>283</v>
      </c>
      <c r="Q104" s="174" t="s">
        <v>284</v>
      </c>
      <c r="R104" s="174" t="s">
        <v>283</v>
      </c>
      <c r="S104" s="174" t="s">
        <v>283</v>
      </c>
      <c r="T104" s="175">
        <v>0</v>
      </c>
    </row>
    <row r="105" spans="1:20" hidden="1" x14ac:dyDescent="0.2">
      <c r="A105" s="169" t="str">
        <f t="shared" si="1"/>
        <v>627</v>
      </c>
      <c r="B105" s="167" t="str">
        <f>_xlfn.XLOOKUP(I105,Mapping!D:D,Mapping!E:E)</f>
        <v>Kiểm Soát Chất Lượng</v>
      </c>
      <c r="C105" s="167" t="str">
        <f>_xlfn.XLOOKUP(F105,Mapping!A:A,Mapping!F:F)</f>
        <v>Lương Chính +T13</v>
      </c>
      <c r="D105" s="173">
        <v>46053</v>
      </c>
      <c r="E105" s="174" t="s">
        <v>1450</v>
      </c>
      <c r="F105" s="174" t="s">
        <v>388</v>
      </c>
      <c r="G105" s="174" t="s">
        <v>286</v>
      </c>
      <c r="H105" s="174" t="s">
        <v>411</v>
      </c>
      <c r="I105" s="174" t="s">
        <v>412</v>
      </c>
      <c r="J105" s="174" t="s">
        <v>1451</v>
      </c>
      <c r="K105" s="174" t="s">
        <v>1452</v>
      </c>
      <c r="L105" s="174" t="s">
        <v>458</v>
      </c>
      <c r="M105" s="174" t="s">
        <v>1453</v>
      </c>
      <c r="N105" s="177">
        <v>42859598</v>
      </c>
      <c r="O105" s="174" t="s">
        <v>1454</v>
      </c>
      <c r="P105" s="174" t="s">
        <v>283</v>
      </c>
      <c r="Q105" s="174" t="s">
        <v>284</v>
      </c>
      <c r="R105" s="174" t="s">
        <v>283</v>
      </c>
      <c r="S105" s="174" t="s">
        <v>283</v>
      </c>
      <c r="T105" s="175">
        <v>0</v>
      </c>
    </row>
    <row r="106" spans="1:20" hidden="1" x14ac:dyDescent="0.2">
      <c r="A106" s="169" t="str">
        <f t="shared" si="1"/>
        <v>627</v>
      </c>
      <c r="B106" s="167" t="str">
        <f>_xlfn.XLOOKUP(I106,Mapping!D:D,Mapping!E:E)</f>
        <v>Kiểm Soát Chất Lượng</v>
      </c>
      <c r="C106" s="167" t="str">
        <f>_xlfn.XLOOKUP(F106,Mapping!A:A,Mapping!F:F)</f>
        <v>Lương Ngoài giờ</v>
      </c>
      <c r="D106" s="173">
        <v>46053</v>
      </c>
      <c r="E106" s="174" t="s">
        <v>1450</v>
      </c>
      <c r="F106" s="174" t="s">
        <v>389</v>
      </c>
      <c r="G106" s="174" t="s">
        <v>390</v>
      </c>
      <c r="H106" s="174" t="s">
        <v>411</v>
      </c>
      <c r="I106" s="174" t="s">
        <v>412</v>
      </c>
      <c r="J106" s="174" t="s">
        <v>1451</v>
      </c>
      <c r="K106" s="174" t="s">
        <v>1452</v>
      </c>
      <c r="L106" s="174" t="s">
        <v>458</v>
      </c>
      <c r="M106" s="174" t="s">
        <v>1453</v>
      </c>
      <c r="N106" s="177">
        <v>146309178</v>
      </c>
      <c r="O106" s="174" t="s">
        <v>1454</v>
      </c>
      <c r="P106" s="174" t="s">
        <v>283</v>
      </c>
      <c r="Q106" s="174" t="s">
        <v>284</v>
      </c>
      <c r="R106" s="174" t="s">
        <v>283</v>
      </c>
      <c r="S106" s="174" t="s">
        <v>283</v>
      </c>
      <c r="T106" s="175">
        <v>0</v>
      </c>
    </row>
    <row r="107" spans="1:20" hidden="1" x14ac:dyDescent="0.2">
      <c r="A107" s="169" t="str">
        <f t="shared" si="1"/>
        <v>627</v>
      </c>
      <c r="B107" s="167" t="str">
        <f>_xlfn.XLOOKUP(I107,Mapping!D:D,Mapping!E:E)</f>
        <v>Kiểm Soát Chất Lượng</v>
      </c>
      <c r="C107" s="167" t="str">
        <f>_xlfn.XLOOKUP(F107,Mapping!A:A,Mapping!F:F)</f>
        <v>Thưởng</v>
      </c>
      <c r="D107" s="173">
        <v>46053</v>
      </c>
      <c r="E107" s="174" t="s">
        <v>1450</v>
      </c>
      <c r="F107" s="174" t="s">
        <v>391</v>
      </c>
      <c r="G107" s="174" t="s">
        <v>291</v>
      </c>
      <c r="H107" s="174" t="s">
        <v>411</v>
      </c>
      <c r="I107" s="174" t="s">
        <v>412</v>
      </c>
      <c r="J107" s="174" t="s">
        <v>1451</v>
      </c>
      <c r="K107" s="174" t="s">
        <v>1452</v>
      </c>
      <c r="L107" s="174" t="s">
        <v>458</v>
      </c>
      <c r="M107" s="174" t="s">
        <v>1453</v>
      </c>
      <c r="N107" s="177">
        <v>9400000</v>
      </c>
      <c r="O107" s="174" t="s">
        <v>1454</v>
      </c>
      <c r="P107" s="174" t="s">
        <v>283</v>
      </c>
      <c r="Q107" s="174" t="s">
        <v>284</v>
      </c>
      <c r="R107" s="174" t="s">
        <v>283</v>
      </c>
      <c r="S107" s="174" t="s">
        <v>283</v>
      </c>
      <c r="T107" s="175">
        <v>0</v>
      </c>
    </row>
    <row r="108" spans="1:20" hidden="1" x14ac:dyDescent="0.2">
      <c r="A108" s="169" t="str">
        <f t="shared" si="1"/>
        <v>627</v>
      </c>
      <c r="B108" s="167" t="str">
        <f>_xlfn.XLOOKUP(I108,Mapping!D:D,Mapping!E:E)</f>
        <v>Kiểm Soát Chất Lượng</v>
      </c>
      <c r="C108" s="167" t="str">
        <f>_xlfn.XLOOKUP(F108,Mapping!A:A,Mapping!F:F)</f>
        <v>Phụ Cấp</v>
      </c>
      <c r="D108" s="173">
        <v>46053</v>
      </c>
      <c r="E108" s="174" t="s">
        <v>1450</v>
      </c>
      <c r="F108" s="174" t="s">
        <v>375</v>
      </c>
      <c r="G108" s="174" t="s">
        <v>336</v>
      </c>
      <c r="H108" s="174" t="s">
        <v>411</v>
      </c>
      <c r="I108" s="174" t="s">
        <v>412</v>
      </c>
      <c r="J108" s="174" t="s">
        <v>1451</v>
      </c>
      <c r="K108" s="174" t="s">
        <v>1452</v>
      </c>
      <c r="L108" s="174" t="s">
        <v>458</v>
      </c>
      <c r="M108" s="174" t="s">
        <v>1453</v>
      </c>
      <c r="N108" s="177">
        <v>50000</v>
      </c>
      <c r="O108" s="174" t="s">
        <v>1454</v>
      </c>
      <c r="P108" s="174" t="s">
        <v>283</v>
      </c>
      <c r="Q108" s="174" t="s">
        <v>284</v>
      </c>
      <c r="R108" s="174" t="s">
        <v>283</v>
      </c>
      <c r="S108" s="174" t="s">
        <v>283</v>
      </c>
      <c r="T108" s="175">
        <v>0</v>
      </c>
    </row>
    <row r="109" spans="1:20" hidden="1" x14ac:dyDescent="0.2">
      <c r="A109" s="169" t="str">
        <f t="shared" si="1"/>
        <v>627</v>
      </c>
      <c r="B109" s="167" t="str">
        <f>_xlfn.XLOOKUP(I109,Mapping!D:D,Mapping!E:E)</f>
        <v>Nghiên Cứu &amp; Phát Triển</v>
      </c>
      <c r="C109" s="167" t="str">
        <f>_xlfn.XLOOKUP(F109,Mapping!A:A,Mapping!F:F)</f>
        <v>Lương Chính +T13</v>
      </c>
      <c r="D109" s="173">
        <v>46053</v>
      </c>
      <c r="E109" s="174" t="s">
        <v>1450</v>
      </c>
      <c r="F109" s="174" t="s">
        <v>387</v>
      </c>
      <c r="G109" s="174" t="s">
        <v>275</v>
      </c>
      <c r="H109" s="174" t="s">
        <v>418</v>
      </c>
      <c r="I109" s="174" t="s">
        <v>419</v>
      </c>
      <c r="J109" s="174" t="s">
        <v>1451</v>
      </c>
      <c r="K109" s="174" t="s">
        <v>1452</v>
      </c>
      <c r="L109" s="174" t="s">
        <v>458</v>
      </c>
      <c r="M109" s="174" t="s">
        <v>1453</v>
      </c>
      <c r="N109" s="177">
        <v>178952752</v>
      </c>
      <c r="O109" s="174" t="s">
        <v>1454</v>
      </c>
      <c r="P109" s="174" t="s">
        <v>283</v>
      </c>
      <c r="Q109" s="174" t="s">
        <v>284</v>
      </c>
      <c r="R109" s="174" t="s">
        <v>283</v>
      </c>
      <c r="S109" s="174" t="s">
        <v>283</v>
      </c>
      <c r="T109" s="175">
        <v>0</v>
      </c>
    </row>
    <row r="110" spans="1:20" hidden="1" x14ac:dyDescent="0.2">
      <c r="A110" s="169" t="str">
        <f t="shared" si="1"/>
        <v>627</v>
      </c>
      <c r="B110" s="167" t="str">
        <f>_xlfn.XLOOKUP(I110,Mapping!D:D,Mapping!E:E)</f>
        <v>Nghiên Cứu &amp; Phát Triển</v>
      </c>
      <c r="C110" s="167" t="str">
        <f>_xlfn.XLOOKUP(F110,Mapping!A:A,Mapping!F:F)</f>
        <v>Lương Chính +T13</v>
      </c>
      <c r="D110" s="173">
        <v>46053</v>
      </c>
      <c r="E110" s="174" t="s">
        <v>1450</v>
      </c>
      <c r="F110" s="174" t="s">
        <v>388</v>
      </c>
      <c r="G110" s="174" t="s">
        <v>286</v>
      </c>
      <c r="H110" s="174" t="s">
        <v>418</v>
      </c>
      <c r="I110" s="174" t="s">
        <v>419</v>
      </c>
      <c r="J110" s="174" t="s">
        <v>1451</v>
      </c>
      <c r="K110" s="174" t="s">
        <v>1452</v>
      </c>
      <c r="L110" s="174" t="s">
        <v>458</v>
      </c>
      <c r="M110" s="174" t="s">
        <v>1453</v>
      </c>
      <c r="N110" s="177">
        <v>23968944</v>
      </c>
      <c r="O110" s="174" t="s">
        <v>1454</v>
      </c>
      <c r="P110" s="174" t="s">
        <v>283</v>
      </c>
      <c r="Q110" s="174" t="s">
        <v>284</v>
      </c>
      <c r="R110" s="174" t="s">
        <v>283</v>
      </c>
      <c r="S110" s="174" t="s">
        <v>283</v>
      </c>
      <c r="T110" s="175">
        <v>0</v>
      </c>
    </row>
    <row r="111" spans="1:20" hidden="1" x14ac:dyDescent="0.2">
      <c r="A111" s="169" t="str">
        <f t="shared" si="1"/>
        <v>627</v>
      </c>
      <c r="B111" s="167" t="str">
        <f>_xlfn.XLOOKUP(I111,Mapping!D:D,Mapping!E:E)</f>
        <v>Nghiên Cứu &amp; Phát Triển</v>
      </c>
      <c r="C111" s="167" t="str">
        <f>_xlfn.XLOOKUP(F111,Mapping!A:A,Mapping!F:F)</f>
        <v>Thưởng</v>
      </c>
      <c r="D111" s="173">
        <v>46053</v>
      </c>
      <c r="E111" s="174" t="s">
        <v>1450</v>
      </c>
      <c r="F111" s="174" t="s">
        <v>391</v>
      </c>
      <c r="G111" s="174" t="s">
        <v>291</v>
      </c>
      <c r="H111" s="174" t="s">
        <v>418</v>
      </c>
      <c r="I111" s="174" t="s">
        <v>419</v>
      </c>
      <c r="J111" s="174" t="s">
        <v>1451</v>
      </c>
      <c r="K111" s="174" t="s">
        <v>1452</v>
      </c>
      <c r="L111" s="174" t="s">
        <v>458</v>
      </c>
      <c r="M111" s="174" t="s">
        <v>1453</v>
      </c>
      <c r="N111" s="177">
        <v>1600000</v>
      </c>
      <c r="O111" s="174" t="s">
        <v>1454</v>
      </c>
      <c r="P111" s="174" t="s">
        <v>283</v>
      </c>
      <c r="Q111" s="174" t="s">
        <v>284</v>
      </c>
      <c r="R111" s="174" t="s">
        <v>283</v>
      </c>
      <c r="S111" s="174" t="s">
        <v>283</v>
      </c>
      <c r="T111" s="175">
        <v>0</v>
      </c>
    </row>
    <row r="112" spans="1:20" hidden="1" x14ac:dyDescent="0.2">
      <c r="A112" s="169" t="str">
        <f t="shared" si="1"/>
        <v>627</v>
      </c>
      <c r="B112" s="167" t="str">
        <f>_xlfn.XLOOKUP(I112,Mapping!D:D,Mapping!E:E)</f>
        <v>Nghiên Cứu &amp; Phát Triển</v>
      </c>
      <c r="C112" s="167" t="str">
        <f>_xlfn.XLOOKUP(F112,Mapping!A:A,Mapping!F:F)</f>
        <v>Phụ Cấp</v>
      </c>
      <c r="D112" s="173">
        <v>46053</v>
      </c>
      <c r="E112" s="174" t="s">
        <v>1450</v>
      </c>
      <c r="F112" s="174" t="s">
        <v>375</v>
      </c>
      <c r="G112" s="174" t="s">
        <v>336</v>
      </c>
      <c r="H112" s="174" t="s">
        <v>418</v>
      </c>
      <c r="I112" s="174" t="s">
        <v>419</v>
      </c>
      <c r="J112" s="174" t="s">
        <v>1451</v>
      </c>
      <c r="K112" s="174" t="s">
        <v>1452</v>
      </c>
      <c r="L112" s="174" t="s">
        <v>458</v>
      </c>
      <c r="M112" s="174" t="s">
        <v>1453</v>
      </c>
      <c r="N112" s="177">
        <v>750000</v>
      </c>
      <c r="O112" s="174" t="s">
        <v>1454</v>
      </c>
      <c r="P112" s="174" t="s">
        <v>283</v>
      </c>
      <c r="Q112" s="174" t="s">
        <v>284</v>
      </c>
      <c r="R112" s="174" t="s">
        <v>283</v>
      </c>
      <c r="S112" s="174" t="s">
        <v>283</v>
      </c>
      <c r="T112" s="175">
        <v>0</v>
      </c>
    </row>
    <row r="113" spans="1:20" hidden="1" x14ac:dyDescent="0.2">
      <c r="A113" s="169" t="str">
        <f t="shared" si="1"/>
        <v>622</v>
      </c>
      <c r="B113" s="167" t="str">
        <f>_xlfn.XLOOKUP(I113,Mapping!D:D,Mapping!E:E)</f>
        <v>Xưởng Sản Xuất</v>
      </c>
      <c r="C113" s="167" t="str">
        <f>_xlfn.XLOOKUP(F113,Mapping!A:A,Mapping!F:F)</f>
        <v>Lương Chính +T13</v>
      </c>
      <c r="D113" s="173">
        <v>46053</v>
      </c>
      <c r="E113" s="174" t="s">
        <v>1450</v>
      </c>
      <c r="F113" s="174" t="s">
        <v>400</v>
      </c>
      <c r="G113" s="174" t="s">
        <v>401</v>
      </c>
      <c r="H113" s="174" t="s">
        <v>402</v>
      </c>
      <c r="I113" s="174" t="s">
        <v>403</v>
      </c>
      <c r="J113" s="174" t="s">
        <v>1451</v>
      </c>
      <c r="K113" s="174" t="s">
        <v>1452</v>
      </c>
      <c r="L113" s="174" t="s">
        <v>458</v>
      </c>
      <c r="M113" s="174" t="s">
        <v>1453</v>
      </c>
      <c r="N113" s="177">
        <v>1548884944</v>
      </c>
      <c r="O113" s="174" t="s">
        <v>1454</v>
      </c>
      <c r="P113" s="174" t="s">
        <v>283</v>
      </c>
      <c r="Q113" s="174" t="s">
        <v>284</v>
      </c>
      <c r="R113" s="174" t="s">
        <v>283</v>
      </c>
      <c r="S113" s="174" t="s">
        <v>283</v>
      </c>
      <c r="T113" s="175">
        <v>0</v>
      </c>
    </row>
    <row r="114" spans="1:20" hidden="1" x14ac:dyDescent="0.2">
      <c r="A114" s="169" t="str">
        <f t="shared" si="1"/>
        <v>642</v>
      </c>
      <c r="B114" s="167" t="str">
        <f>_xlfn.XLOOKUP(I114,Mapping!D:D,Mapping!E:E)</f>
        <v>Cung Ứng</v>
      </c>
      <c r="C114" s="167" t="str">
        <f>_xlfn.XLOOKUP(F114,Mapping!A:A,Mapping!F:F)</f>
        <v>Lương Chính +T13</v>
      </c>
      <c r="D114" s="173">
        <v>46053</v>
      </c>
      <c r="E114" s="174" t="s">
        <v>1455</v>
      </c>
      <c r="F114" s="174" t="s">
        <v>285</v>
      </c>
      <c r="G114" s="174" t="s">
        <v>286</v>
      </c>
      <c r="H114" s="174" t="s">
        <v>380</v>
      </c>
      <c r="I114" s="174" t="s">
        <v>381</v>
      </c>
      <c r="J114" s="174" t="s">
        <v>1456</v>
      </c>
      <c r="K114" s="174" t="s">
        <v>1452</v>
      </c>
      <c r="L114" s="174" t="s">
        <v>458</v>
      </c>
      <c r="M114" s="174" t="s">
        <v>1453</v>
      </c>
      <c r="N114" s="177">
        <v>42356500</v>
      </c>
      <c r="O114" s="174" t="s">
        <v>1457</v>
      </c>
      <c r="P114" s="174" t="s">
        <v>283</v>
      </c>
      <c r="Q114" s="174" t="s">
        <v>284</v>
      </c>
      <c r="R114" s="174" t="s">
        <v>283</v>
      </c>
      <c r="S114" s="174" t="s">
        <v>283</v>
      </c>
      <c r="T114" s="175">
        <v>0</v>
      </c>
    </row>
    <row r="115" spans="1:20" hidden="1" x14ac:dyDescent="0.2">
      <c r="A115" s="169" t="str">
        <f t="shared" si="1"/>
        <v>642</v>
      </c>
      <c r="B115" s="167" t="str">
        <f>_xlfn.XLOOKUP(I115,Mapping!D:D,Mapping!E:E)</f>
        <v>Cung Ứng</v>
      </c>
      <c r="C115" s="167" t="str">
        <f>_xlfn.XLOOKUP(F115,Mapping!A:A,Mapping!F:F)</f>
        <v>Thưởng</v>
      </c>
      <c r="D115" s="173">
        <v>46053</v>
      </c>
      <c r="E115" s="174" t="s">
        <v>1455</v>
      </c>
      <c r="F115" s="174" t="s">
        <v>292</v>
      </c>
      <c r="G115" s="174" t="s">
        <v>77</v>
      </c>
      <c r="H115" s="174" t="s">
        <v>380</v>
      </c>
      <c r="I115" s="174" t="s">
        <v>381</v>
      </c>
      <c r="J115" s="174" t="s">
        <v>1458</v>
      </c>
      <c r="K115" s="174" t="s">
        <v>1452</v>
      </c>
      <c r="L115" s="174" t="s">
        <v>458</v>
      </c>
      <c r="M115" s="174" t="s">
        <v>1453</v>
      </c>
      <c r="N115" s="177">
        <v>37499391</v>
      </c>
      <c r="O115" s="174" t="s">
        <v>1457</v>
      </c>
      <c r="P115" s="174" t="s">
        <v>283</v>
      </c>
      <c r="Q115" s="174" t="s">
        <v>284</v>
      </c>
      <c r="R115" s="174" t="s">
        <v>283</v>
      </c>
      <c r="S115" s="174" t="s">
        <v>283</v>
      </c>
      <c r="T115" s="175">
        <v>0</v>
      </c>
    </row>
    <row r="116" spans="1:20" hidden="1" x14ac:dyDescent="0.2">
      <c r="A116" s="169" t="str">
        <f t="shared" si="1"/>
        <v>642</v>
      </c>
      <c r="B116" s="167" t="str">
        <f>_xlfn.XLOOKUP(I116,Mapping!D:D,Mapping!E:E)</f>
        <v>Mua Hàng &amp; XNK</v>
      </c>
      <c r="C116" s="167" t="str">
        <f>_xlfn.XLOOKUP(F116,Mapping!A:A,Mapping!F:F)</f>
        <v>Lương Chính +T13</v>
      </c>
      <c r="D116" s="173">
        <v>46053</v>
      </c>
      <c r="E116" s="174" t="s">
        <v>1455</v>
      </c>
      <c r="F116" s="174" t="s">
        <v>285</v>
      </c>
      <c r="G116" s="174" t="s">
        <v>286</v>
      </c>
      <c r="H116" s="174" t="s">
        <v>378</v>
      </c>
      <c r="I116" s="174" t="s">
        <v>379</v>
      </c>
      <c r="J116" s="174" t="s">
        <v>1458</v>
      </c>
      <c r="K116" s="174" t="s">
        <v>1452</v>
      </c>
      <c r="L116" s="174" t="s">
        <v>458</v>
      </c>
      <c r="M116" s="174" t="s">
        <v>1453</v>
      </c>
      <c r="N116" s="177">
        <v>16937917</v>
      </c>
      <c r="O116" s="174" t="s">
        <v>1457</v>
      </c>
      <c r="P116" s="174" t="s">
        <v>283</v>
      </c>
      <c r="Q116" s="174" t="s">
        <v>284</v>
      </c>
      <c r="R116" s="174" t="s">
        <v>283</v>
      </c>
      <c r="S116" s="174" t="s">
        <v>283</v>
      </c>
      <c r="T116" s="175">
        <v>0</v>
      </c>
    </row>
    <row r="117" spans="1:20" hidden="1" x14ac:dyDescent="0.2">
      <c r="A117" s="169" t="str">
        <f t="shared" si="1"/>
        <v>642</v>
      </c>
      <c r="B117" s="167" t="str">
        <f>_xlfn.XLOOKUP(I117,Mapping!D:D,Mapping!E:E)</f>
        <v>Mua Hàng &amp; XNK</v>
      </c>
      <c r="C117" s="167" t="str">
        <f>_xlfn.XLOOKUP(F117,Mapping!A:A,Mapping!F:F)</f>
        <v>Thưởng</v>
      </c>
      <c r="D117" s="173">
        <v>46053</v>
      </c>
      <c r="E117" s="174" t="s">
        <v>1455</v>
      </c>
      <c r="F117" s="174" t="s">
        <v>292</v>
      </c>
      <c r="G117" s="174" t="s">
        <v>77</v>
      </c>
      <c r="H117" s="174" t="s">
        <v>378</v>
      </c>
      <c r="I117" s="174" t="s">
        <v>379</v>
      </c>
      <c r="J117" s="174" t="s">
        <v>1458</v>
      </c>
      <c r="K117" s="174" t="s">
        <v>1452</v>
      </c>
      <c r="L117" s="174" t="s">
        <v>458</v>
      </c>
      <c r="M117" s="174" t="s">
        <v>1453</v>
      </c>
      <c r="N117" s="177">
        <v>15582748</v>
      </c>
      <c r="O117" s="174" t="s">
        <v>1457</v>
      </c>
      <c r="P117" s="174" t="s">
        <v>283</v>
      </c>
      <c r="Q117" s="174" t="s">
        <v>284</v>
      </c>
      <c r="R117" s="174" t="s">
        <v>283</v>
      </c>
      <c r="S117" s="174" t="s">
        <v>283</v>
      </c>
      <c r="T117" s="175">
        <v>0</v>
      </c>
    </row>
    <row r="118" spans="1:20" hidden="1" x14ac:dyDescent="0.2">
      <c r="A118" s="169" t="str">
        <f t="shared" si="1"/>
        <v>627</v>
      </c>
      <c r="B118" s="167" t="str">
        <f>_xlfn.XLOOKUP(I118,Mapping!D:D,Mapping!E:E)</f>
        <v>Kỹ Thuật</v>
      </c>
      <c r="C118" s="167" t="str">
        <f>_xlfn.XLOOKUP(F118,Mapping!A:A,Mapping!F:F)</f>
        <v>Lương Chính +T13</v>
      </c>
      <c r="D118" s="173">
        <v>46053</v>
      </c>
      <c r="E118" s="174" t="s">
        <v>1455</v>
      </c>
      <c r="F118" s="174" t="s">
        <v>388</v>
      </c>
      <c r="G118" s="174" t="s">
        <v>286</v>
      </c>
      <c r="H118" s="174" t="s">
        <v>376</v>
      </c>
      <c r="I118" s="174" t="s">
        <v>377</v>
      </c>
      <c r="J118" s="174" t="s">
        <v>1456</v>
      </c>
      <c r="K118" s="174" t="s">
        <v>1452</v>
      </c>
      <c r="L118" s="174" t="s">
        <v>458</v>
      </c>
      <c r="M118" s="174" t="s">
        <v>1453</v>
      </c>
      <c r="N118" s="177">
        <v>100067233</v>
      </c>
      <c r="O118" s="174" t="s">
        <v>1457</v>
      </c>
      <c r="P118" s="174" t="s">
        <v>283</v>
      </c>
      <c r="Q118" s="174" t="s">
        <v>284</v>
      </c>
      <c r="R118" s="174" t="s">
        <v>283</v>
      </c>
      <c r="S118" s="174" t="s">
        <v>283</v>
      </c>
      <c r="T118" s="175">
        <v>0</v>
      </c>
    </row>
    <row r="119" spans="1:20" hidden="1" x14ac:dyDescent="0.2">
      <c r="A119" s="169" t="str">
        <f t="shared" si="1"/>
        <v>627</v>
      </c>
      <c r="B119" s="167" t="str">
        <f>_xlfn.XLOOKUP(I119,Mapping!D:D,Mapping!E:E)</f>
        <v>Kỹ Thuật</v>
      </c>
      <c r="C119" s="167" t="str">
        <f>_xlfn.XLOOKUP(F119,Mapping!A:A,Mapping!F:F)</f>
        <v>Thưởng</v>
      </c>
      <c r="D119" s="173">
        <v>46053</v>
      </c>
      <c r="E119" s="174" t="s">
        <v>1455</v>
      </c>
      <c r="F119" s="174" t="s">
        <v>395</v>
      </c>
      <c r="G119" s="174" t="s">
        <v>77</v>
      </c>
      <c r="H119" s="174" t="s">
        <v>376</v>
      </c>
      <c r="I119" s="174" t="s">
        <v>377</v>
      </c>
      <c r="J119" s="174" t="s">
        <v>1458</v>
      </c>
      <c r="K119" s="174" t="s">
        <v>1452</v>
      </c>
      <c r="L119" s="174" t="s">
        <v>458</v>
      </c>
      <c r="M119" s="174" t="s">
        <v>1453</v>
      </c>
      <c r="N119" s="177">
        <v>92061054</v>
      </c>
      <c r="O119" s="174" t="s">
        <v>1457</v>
      </c>
      <c r="P119" s="174" t="s">
        <v>283</v>
      </c>
      <c r="Q119" s="174" t="s">
        <v>284</v>
      </c>
      <c r="R119" s="174" t="s">
        <v>283</v>
      </c>
      <c r="S119" s="174" t="s">
        <v>283</v>
      </c>
      <c r="T119" s="175">
        <v>0</v>
      </c>
    </row>
    <row r="120" spans="1:20" hidden="1" x14ac:dyDescent="0.2">
      <c r="A120" s="169" t="str">
        <f t="shared" si="1"/>
        <v>627</v>
      </c>
      <c r="B120" s="167" t="str">
        <f>_xlfn.XLOOKUP(I120,Mapping!D:D,Mapping!E:E)</f>
        <v>Kiểm Soát Chất Lượng</v>
      </c>
      <c r="C120" s="167" t="str">
        <f>_xlfn.XLOOKUP(F120,Mapping!A:A,Mapping!F:F)</f>
        <v>Lương Chính +T13</v>
      </c>
      <c r="D120" s="173">
        <v>46053</v>
      </c>
      <c r="E120" s="174" t="s">
        <v>1455</v>
      </c>
      <c r="F120" s="174" t="s">
        <v>388</v>
      </c>
      <c r="G120" s="174" t="s">
        <v>286</v>
      </c>
      <c r="H120" s="174" t="s">
        <v>411</v>
      </c>
      <c r="I120" s="174" t="s">
        <v>412</v>
      </c>
      <c r="J120" s="174" t="s">
        <v>1456</v>
      </c>
      <c r="K120" s="174" t="s">
        <v>1452</v>
      </c>
      <c r="L120" s="174" t="s">
        <v>458</v>
      </c>
      <c r="M120" s="174" t="s">
        <v>1453</v>
      </c>
      <c r="N120" s="177">
        <v>39460500</v>
      </c>
      <c r="O120" s="174" t="s">
        <v>1457</v>
      </c>
      <c r="P120" s="174" t="s">
        <v>283</v>
      </c>
      <c r="Q120" s="174" t="s">
        <v>284</v>
      </c>
      <c r="R120" s="174" t="s">
        <v>283</v>
      </c>
      <c r="S120" s="174" t="s">
        <v>283</v>
      </c>
      <c r="T120" s="175">
        <v>0</v>
      </c>
    </row>
    <row r="121" spans="1:20" hidden="1" x14ac:dyDescent="0.2">
      <c r="A121" s="169" t="str">
        <f t="shared" si="1"/>
        <v>627</v>
      </c>
      <c r="B121" s="167" t="str">
        <f>_xlfn.XLOOKUP(I121,Mapping!D:D,Mapping!E:E)</f>
        <v>Kiểm Soát Chất Lượng</v>
      </c>
      <c r="C121" s="167" t="str">
        <f>_xlfn.XLOOKUP(F121,Mapping!A:A,Mapping!F:F)</f>
        <v>Thưởng</v>
      </c>
      <c r="D121" s="173">
        <v>46053</v>
      </c>
      <c r="E121" s="174" t="s">
        <v>1455</v>
      </c>
      <c r="F121" s="174" t="s">
        <v>395</v>
      </c>
      <c r="G121" s="174" t="s">
        <v>77</v>
      </c>
      <c r="H121" s="174" t="s">
        <v>411</v>
      </c>
      <c r="I121" s="174" t="s">
        <v>412</v>
      </c>
      <c r="J121" s="174" t="s">
        <v>1458</v>
      </c>
      <c r="K121" s="174" t="s">
        <v>1452</v>
      </c>
      <c r="L121" s="174" t="s">
        <v>458</v>
      </c>
      <c r="M121" s="174" t="s">
        <v>1453</v>
      </c>
      <c r="N121" s="177">
        <v>36303344</v>
      </c>
      <c r="O121" s="174" t="s">
        <v>1457</v>
      </c>
      <c r="P121" s="174" t="s">
        <v>283</v>
      </c>
      <c r="Q121" s="174" t="s">
        <v>284</v>
      </c>
      <c r="R121" s="174" t="s">
        <v>283</v>
      </c>
      <c r="S121" s="174" t="s">
        <v>283</v>
      </c>
      <c r="T121" s="175">
        <v>0</v>
      </c>
    </row>
    <row r="122" spans="1:20" hidden="1" x14ac:dyDescent="0.2">
      <c r="A122" s="169" t="str">
        <f t="shared" si="1"/>
        <v>627</v>
      </c>
      <c r="B122" s="167" t="str">
        <f>_xlfn.XLOOKUP(I122,Mapping!D:D,Mapping!E:E)</f>
        <v>Nghiên Cứu &amp; Phát Triển</v>
      </c>
      <c r="C122" s="167" t="str">
        <f>_xlfn.XLOOKUP(F122,Mapping!A:A,Mapping!F:F)</f>
        <v>Lương Chính +T13</v>
      </c>
      <c r="D122" s="173">
        <v>46053</v>
      </c>
      <c r="E122" s="174" t="s">
        <v>1455</v>
      </c>
      <c r="F122" s="174" t="s">
        <v>388</v>
      </c>
      <c r="G122" s="174" t="s">
        <v>286</v>
      </c>
      <c r="H122" s="174" t="s">
        <v>418</v>
      </c>
      <c r="I122" s="174" t="s">
        <v>419</v>
      </c>
      <c r="J122" s="174" t="s">
        <v>1456</v>
      </c>
      <c r="K122" s="174" t="s">
        <v>1452</v>
      </c>
      <c r="L122" s="174" t="s">
        <v>458</v>
      </c>
      <c r="M122" s="174" t="s">
        <v>1453</v>
      </c>
      <c r="N122" s="177">
        <v>17800417</v>
      </c>
      <c r="O122" s="174" t="s">
        <v>1457</v>
      </c>
      <c r="P122" s="174" t="s">
        <v>283</v>
      </c>
      <c r="Q122" s="174" t="s">
        <v>284</v>
      </c>
      <c r="R122" s="174" t="s">
        <v>283</v>
      </c>
      <c r="S122" s="174" t="s">
        <v>283</v>
      </c>
      <c r="T122" s="175">
        <v>0</v>
      </c>
    </row>
    <row r="123" spans="1:20" hidden="1" x14ac:dyDescent="0.2">
      <c r="A123" s="169" t="str">
        <f t="shared" si="1"/>
        <v>627</v>
      </c>
      <c r="B123" s="167" t="str">
        <f>_xlfn.XLOOKUP(I123,Mapping!D:D,Mapping!E:E)</f>
        <v>Nghiên Cứu &amp; Phát Triển</v>
      </c>
      <c r="C123" s="167" t="str">
        <f>_xlfn.XLOOKUP(F123,Mapping!A:A,Mapping!F:F)</f>
        <v>Thưởng</v>
      </c>
      <c r="D123" s="173">
        <v>46053</v>
      </c>
      <c r="E123" s="174" t="s">
        <v>1455</v>
      </c>
      <c r="F123" s="174" t="s">
        <v>395</v>
      </c>
      <c r="G123" s="174" t="s">
        <v>77</v>
      </c>
      <c r="H123" s="174" t="s">
        <v>418</v>
      </c>
      <c r="I123" s="174" t="s">
        <v>419</v>
      </c>
      <c r="J123" s="174" t="s">
        <v>1458</v>
      </c>
      <c r="K123" s="174" t="s">
        <v>1452</v>
      </c>
      <c r="L123" s="174" t="s">
        <v>458</v>
      </c>
      <c r="M123" s="174" t="s">
        <v>1453</v>
      </c>
      <c r="N123" s="177">
        <v>16376241</v>
      </c>
      <c r="O123" s="174" t="s">
        <v>1457</v>
      </c>
      <c r="P123" s="174" t="s">
        <v>283</v>
      </c>
      <c r="Q123" s="174" t="s">
        <v>284</v>
      </c>
      <c r="R123" s="174" t="s">
        <v>283</v>
      </c>
      <c r="S123" s="174" t="s">
        <v>283</v>
      </c>
      <c r="T123" s="175">
        <v>0</v>
      </c>
    </row>
    <row r="124" spans="1:20" hidden="1" x14ac:dyDescent="0.2">
      <c r="A124" s="169" t="str">
        <f t="shared" si="1"/>
        <v>642</v>
      </c>
      <c r="B124" s="167" t="str">
        <f>_xlfn.XLOOKUP(I124,Mapping!D:D,Mapping!E:E)</f>
        <v>Cung Ứng</v>
      </c>
      <c r="C124" s="167" t="str">
        <f>_xlfn.XLOOKUP(F124,Mapping!A:A,Mapping!F:F)</f>
        <v>BHXH, BHYT, KPCĐ</v>
      </c>
      <c r="D124" s="173">
        <v>46053</v>
      </c>
      <c r="E124" s="174" t="s">
        <v>1459</v>
      </c>
      <c r="F124" s="174" t="s">
        <v>295</v>
      </c>
      <c r="G124" s="174" t="s">
        <v>296</v>
      </c>
      <c r="H124" s="174" t="s">
        <v>380</v>
      </c>
      <c r="I124" s="174" t="s">
        <v>381</v>
      </c>
      <c r="J124" s="174" t="s">
        <v>1460</v>
      </c>
      <c r="K124" s="174" t="s">
        <v>1452</v>
      </c>
      <c r="L124" s="174" t="s">
        <v>458</v>
      </c>
      <c r="M124" s="174" t="s">
        <v>1453</v>
      </c>
      <c r="N124" s="177">
        <v>116860330</v>
      </c>
      <c r="O124" s="174" t="s">
        <v>1461</v>
      </c>
      <c r="P124" s="174" t="s">
        <v>283</v>
      </c>
      <c r="Q124" s="174" t="s">
        <v>284</v>
      </c>
      <c r="R124" s="174" t="s">
        <v>283</v>
      </c>
      <c r="S124" s="174" t="s">
        <v>283</v>
      </c>
      <c r="T124" s="175">
        <v>0</v>
      </c>
    </row>
    <row r="125" spans="1:20" hidden="1" x14ac:dyDescent="0.2">
      <c r="A125" s="169" t="str">
        <f t="shared" si="1"/>
        <v>642</v>
      </c>
      <c r="B125" s="167" t="str">
        <f>_xlfn.XLOOKUP(I125,Mapping!D:D,Mapping!E:E)</f>
        <v>Mua Hàng &amp; XNK</v>
      </c>
      <c r="C125" s="167" t="str">
        <f>_xlfn.XLOOKUP(F125,Mapping!A:A,Mapping!F:F)</f>
        <v>BHXH, BHYT, KPCĐ</v>
      </c>
      <c r="D125" s="173">
        <v>46053</v>
      </c>
      <c r="E125" s="174" t="s">
        <v>1459</v>
      </c>
      <c r="F125" s="174" t="s">
        <v>295</v>
      </c>
      <c r="G125" s="174" t="s">
        <v>296</v>
      </c>
      <c r="H125" s="174" t="s">
        <v>378</v>
      </c>
      <c r="I125" s="174" t="s">
        <v>379</v>
      </c>
      <c r="J125" s="174" t="s">
        <v>1460</v>
      </c>
      <c r="K125" s="174" t="s">
        <v>1452</v>
      </c>
      <c r="L125" s="174" t="s">
        <v>458</v>
      </c>
      <c r="M125" s="174" t="s">
        <v>1453</v>
      </c>
      <c r="N125" s="177">
        <v>45919925</v>
      </c>
      <c r="O125" s="174" t="s">
        <v>1461</v>
      </c>
      <c r="P125" s="174" t="s">
        <v>283</v>
      </c>
      <c r="Q125" s="174" t="s">
        <v>284</v>
      </c>
      <c r="R125" s="174" t="s">
        <v>283</v>
      </c>
      <c r="S125" s="174" t="s">
        <v>283</v>
      </c>
      <c r="T125" s="175">
        <v>0</v>
      </c>
    </row>
    <row r="126" spans="1:20" hidden="1" x14ac:dyDescent="0.2">
      <c r="A126" s="169" t="str">
        <f t="shared" si="1"/>
        <v>627</v>
      </c>
      <c r="B126" s="167" t="str">
        <f>_xlfn.XLOOKUP(I126,Mapping!D:D,Mapping!E:E)</f>
        <v>Kỹ Thuật</v>
      </c>
      <c r="C126" s="167" t="str">
        <f>_xlfn.XLOOKUP(F126,Mapping!A:A,Mapping!F:F)</f>
        <v>BHXH, BHYT, KPCĐ</v>
      </c>
      <c r="D126" s="173">
        <v>46053</v>
      </c>
      <c r="E126" s="174" t="s">
        <v>1459</v>
      </c>
      <c r="F126" s="174" t="s">
        <v>393</v>
      </c>
      <c r="G126" s="174" t="s">
        <v>296</v>
      </c>
      <c r="H126" s="174" t="s">
        <v>376</v>
      </c>
      <c r="I126" s="174" t="s">
        <v>377</v>
      </c>
      <c r="J126" s="174" t="s">
        <v>1460</v>
      </c>
      <c r="K126" s="174" t="s">
        <v>1452</v>
      </c>
      <c r="L126" s="174" t="s">
        <v>458</v>
      </c>
      <c r="M126" s="174" t="s">
        <v>1453</v>
      </c>
      <c r="N126" s="177">
        <v>280344598</v>
      </c>
      <c r="O126" s="174" t="s">
        <v>1461</v>
      </c>
      <c r="P126" s="174" t="s">
        <v>283</v>
      </c>
      <c r="Q126" s="174" t="s">
        <v>284</v>
      </c>
      <c r="R126" s="174" t="s">
        <v>283</v>
      </c>
      <c r="S126" s="174" t="s">
        <v>283</v>
      </c>
      <c r="T126" s="175">
        <v>0</v>
      </c>
    </row>
    <row r="127" spans="1:20" hidden="1" x14ac:dyDescent="0.2">
      <c r="A127" s="169" t="str">
        <f t="shared" si="1"/>
        <v>627</v>
      </c>
      <c r="B127" s="167" t="str">
        <f>_xlfn.XLOOKUP(I127,Mapping!D:D,Mapping!E:E)</f>
        <v>Kiểm Soát Chất Lượng</v>
      </c>
      <c r="C127" s="167" t="str">
        <f>_xlfn.XLOOKUP(F127,Mapping!A:A,Mapping!F:F)</f>
        <v>BHXH, BHYT, KPCĐ</v>
      </c>
      <c r="D127" s="173">
        <v>46053</v>
      </c>
      <c r="E127" s="174" t="s">
        <v>1459</v>
      </c>
      <c r="F127" s="174" t="s">
        <v>393</v>
      </c>
      <c r="G127" s="174" t="s">
        <v>296</v>
      </c>
      <c r="H127" s="174" t="s">
        <v>411</v>
      </c>
      <c r="I127" s="174" t="s">
        <v>412</v>
      </c>
      <c r="J127" s="174" t="s">
        <v>1460</v>
      </c>
      <c r="K127" s="174" t="s">
        <v>1452</v>
      </c>
      <c r="L127" s="174" t="s">
        <v>458</v>
      </c>
      <c r="M127" s="174" t="s">
        <v>1453</v>
      </c>
      <c r="N127" s="177">
        <v>111278610</v>
      </c>
      <c r="O127" s="174" t="s">
        <v>1461</v>
      </c>
      <c r="P127" s="174" t="s">
        <v>283</v>
      </c>
      <c r="Q127" s="174" t="s">
        <v>284</v>
      </c>
      <c r="R127" s="174" t="s">
        <v>283</v>
      </c>
      <c r="S127" s="174" t="s">
        <v>283</v>
      </c>
      <c r="T127" s="175">
        <v>0</v>
      </c>
    </row>
    <row r="128" spans="1:20" hidden="1" x14ac:dyDescent="0.2">
      <c r="A128" s="169" t="str">
        <f t="shared" si="1"/>
        <v>627</v>
      </c>
      <c r="B128" s="167" t="str">
        <f>_xlfn.XLOOKUP(I128,Mapping!D:D,Mapping!E:E)</f>
        <v>Nghiên Cứu &amp; Phát Triển</v>
      </c>
      <c r="C128" s="167" t="str">
        <f>_xlfn.XLOOKUP(F128,Mapping!A:A,Mapping!F:F)</f>
        <v>BHXH, BHYT, KPCĐ</v>
      </c>
      <c r="D128" s="173">
        <v>46053</v>
      </c>
      <c r="E128" s="174" t="s">
        <v>1459</v>
      </c>
      <c r="F128" s="174" t="s">
        <v>393</v>
      </c>
      <c r="G128" s="174" t="s">
        <v>296</v>
      </c>
      <c r="H128" s="174" t="s">
        <v>418</v>
      </c>
      <c r="I128" s="174" t="s">
        <v>419</v>
      </c>
      <c r="J128" s="174" t="s">
        <v>1460</v>
      </c>
      <c r="K128" s="174" t="s">
        <v>1452</v>
      </c>
      <c r="L128" s="174" t="s">
        <v>458</v>
      </c>
      <c r="M128" s="174" t="s">
        <v>1453</v>
      </c>
      <c r="N128" s="177">
        <v>48086675</v>
      </c>
      <c r="O128" s="174" t="s">
        <v>1461</v>
      </c>
      <c r="P128" s="174" t="s">
        <v>283</v>
      </c>
      <c r="Q128" s="174" t="s">
        <v>284</v>
      </c>
      <c r="R128" s="174" t="s">
        <v>283</v>
      </c>
      <c r="S128" s="174" t="s">
        <v>283</v>
      </c>
      <c r="T128" s="175">
        <v>0</v>
      </c>
    </row>
    <row r="129" spans="1:20" hidden="1" x14ac:dyDescent="0.2">
      <c r="A129" s="169" t="str">
        <f t="shared" si="1"/>
        <v>642</v>
      </c>
      <c r="B129" s="167" t="str">
        <f>_xlfn.XLOOKUP(I129,Mapping!D:D,Mapping!E:E)</f>
        <v>Cung Ứng</v>
      </c>
      <c r="C129" s="167" t="str">
        <f>_xlfn.XLOOKUP(F129,Mapping!A:A,Mapping!F:F)</f>
        <v>Lương Chính +T13</v>
      </c>
      <c r="D129" s="173">
        <v>46053</v>
      </c>
      <c r="E129" s="174" t="s">
        <v>1547</v>
      </c>
      <c r="F129" s="174" t="s">
        <v>274</v>
      </c>
      <c r="G129" s="174" t="s">
        <v>275</v>
      </c>
      <c r="H129" s="174" t="s">
        <v>380</v>
      </c>
      <c r="I129" s="174" t="s">
        <v>381</v>
      </c>
      <c r="J129" s="174" t="s">
        <v>1548</v>
      </c>
      <c r="K129" s="174" t="s">
        <v>1452</v>
      </c>
      <c r="L129" s="174" t="s">
        <v>458</v>
      </c>
      <c r="M129" s="174" t="s">
        <v>1453</v>
      </c>
      <c r="N129" s="177">
        <v>-29810</v>
      </c>
      <c r="O129" s="174" t="s">
        <v>1549</v>
      </c>
      <c r="P129" s="174" t="s">
        <v>283</v>
      </c>
      <c r="Q129" s="174" t="s">
        <v>284</v>
      </c>
      <c r="R129" s="174" t="s">
        <v>283</v>
      </c>
      <c r="S129" s="174" t="s">
        <v>283</v>
      </c>
      <c r="T129" s="175">
        <v>0</v>
      </c>
    </row>
    <row r="130" spans="1:20" hidden="1" x14ac:dyDescent="0.2">
      <c r="A130" s="169" t="str">
        <f t="shared" si="1"/>
        <v>642</v>
      </c>
      <c r="B130" s="167" t="str">
        <f>_xlfn.XLOOKUP(I130,Mapping!D:D,Mapping!E:E)</f>
        <v>Cung Ứng</v>
      </c>
      <c r="C130" s="167" t="str">
        <f>_xlfn.XLOOKUP(F130,Mapping!A:A,Mapping!F:F)</f>
        <v>BHXH, BHYT, KPCĐ</v>
      </c>
      <c r="D130" s="173">
        <v>46053</v>
      </c>
      <c r="E130" s="174" t="s">
        <v>1481</v>
      </c>
      <c r="F130" s="174" t="s">
        <v>295</v>
      </c>
      <c r="G130" s="174" t="s">
        <v>296</v>
      </c>
      <c r="H130" s="174" t="s">
        <v>380</v>
      </c>
      <c r="I130" s="174" t="s">
        <v>381</v>
      </c>
      <c r="J130" s="174" t="s">
        <v>1482</v>
      </c>
      <c r="K130" s="174" t="s">
        <v>1452</v>
      </c>
      <c r="L130" s="174" t="s">
        <v>458</v>
      </c>
      <c r="M130" s="174" t="s">
        <v>1453</v>
      </c>
      <c r="N130" s="177">
        <v>658350</v>
      </c>
      <c r="O130" s="174" t="s">
        <v>1483</v>
      </c>
      <c r="P130" s="174" t="s">
        <v>283</v>
      </c>
      <c r="Q130" s="174" t="s">
        <v>284</v>
      </c>
      <c r="R130" s="174" t="s">
        <v>283</v>
      </c>
      <c r="S130" s="174" t="s">
        <v>283</v>
      </c>
      <c r="T130" s="175">
        <v>0</v>
      </c>
    </row>
    <row r="131" spans="1:20" hidden="1" x14ac:dyDescent="0.2">
      <c r="A131" s="169" t="str">
        <f t="shared" si="1"/>
        <v>642</v>
      </c>
      <c r="B131" s="167" t="str">
        <f>_xlfn.XLOOKUP(I131,Mapping!D:D,Mapping!E:E)</f>
        <v>Cung Ứng</v>
      </c>
      <c r="C131" s="167" t="str">
        <f>_xlfn.XLOOKUP(F131,Mapping!A:A,Mapping!F:F)</f>
        <v>Lương Chính +T13</v>
      </c>
      <c r="D131" s="173">
        <v>46053</v>
      </c>
      <c r="E131" s="174" t="s">
        <v>1550</v>
      </c>
      <c r="F131" s="174" t="s">
        <v>274</v>
      </c>
      <c r="G131" s="174" t="s">
        <v>275</v>
      </c>
      <c r="H131" s="174" t="s">
        <v>380</v>
      </c>
      <c r="I131" s="174" t="s">
        <v>381</v>
      </c>
      <c r="J131" s="174" t="s">
        <v>1527</v>
      </c>
      <c r="K131" s="174" t="s">
        <v>1452</v>
      </c>
      <c r="L131" s="174" t="s">
        <v>458</v>
      </c>
      <c r="M131" s="174" t="s">
        <v>1453</v>
      </c>
      <c r="N131" s="177">
        <v>1200385</v>
      </c>
      <c r="O131" s="174" t="s">
        <v>1551</v>
      </c>
      <c r="P131" s="174" t="s">
        <v>283</v>
      </c>
      <c r="Q131" s="174" t="s">
        <v>284</v>
      </c>
      <c r="R131" s="174" t="s">
        <v>283</v>
      </c>
      <c r="S131" s="174" t="s">
        <v>283</v>
      </c>
      <c r="T131" s="175">
        <v>0</v>
      </c>
    </row>
    <row r="132" spans="1:20" hidden="1" x14ac:dyDescent="0.2">
      <c r="A132" s="169" t="str">
        <f t="shared" ref="A132:A195" si="2">LEFT(F132,3)</f>
        <v>642</v>
      </c>
      <c r="B132" s="167" t="str">
        <f>_xlfn.XLOOKUP(I132,Mapping!D:D,Mapping!E:E)</f>
        <v>Cung Ứng</v>
      </c>
      <c r="C132" s="167" t="str">
        <f>_xlfn.XLOOKUP(F132,Mapping!A:A,Mapping!F:F)</f>
        <v>BHXH, BHYT, KPCĐ</v>
      </c>
      <c r="D132" s="173">
        <v>46053</v>
      </c>
      <c r="E132" s="174" t="s">
        <v>1537</v>
      </c>
      <c r="F132" s="174" t="s">
        <v>295</v>
      </c>
      <c r="G132" s="174" t="s">
        <v>296</v>
      </c>
      <c r="H132" s="174" t="s">
        <v>380</v>
      </c>
      <c r="I132" s="174" t="s">
        <v>381</v>
      </c>
      <c r="J132" s="174" t="s">
        <v>1540</v>
      </c>
      <c r="K132" s="174" t="s">
        <v>1541</v>
      </c>
      <c r="L132" s="174" t="s">
        <v>458</v>
      </c>
      <c r="M132" s="174" t="s">
        <v>1453</v>
      </c>
      <c r="N132" s="177">
        <v>-20035865</v>
      </c>
      <c r="O132" s="174" t="s">
        <v>1542</v>
      </c>
      <c r="P132" s="174" t="s">
        <v>283</v>
      </c>
      <c r="Q132" s="174" t="s">
        <v>284</v>
      </c>
      <c r="R132" s="174" t="s">
        <v>283</v>
      </c>
      <c r="S132" s="174" t="s">
        <v>283</v>
      </c>
      <c r="T132" s="175">
        <v>0</v>
      </c>
    </row>
    <row r="133" spans="1:20" hidden="1" x14ac:dyDescent="0.2">
      <c r="A133" s="169" t="str">
        <f t="shared" si="2"/>
        <v>642</v>
      </c>
      <c r="B133" s="167" t="str">
        <f>_xlfn.XLOOKUP(I133,Mapping!D:D,Mapping!E:E)</f>
        <v>Cung Ứng</v>
      </c>
      <c r="C133" s="167" t="str">
        <f>_xlfn.XLOOKUP(F133,Mapping!A:A,Mapping!F:F)</f>
        <v>Lương Chính +T13</v>
      </c>
      <c r="D133" s="173">
        <v>46053</v>
      </c>
      <c r="E133" s="174" t="s">
        <v>1537</v>
      </c>
      <c r="F133" s="174" t="s">
        <v>274</v>
      </c>
      <c r="G133" s="174" t="s">
        <v>275</v>
      </c>
      <c r="H133" s="174" t="s">
        <v>380</v>
      </c>
      <c r="I133" s="174" t="s">
        <v>381</v>
      </c>
      <c r="J133" s="174" t="s">
        <v>1540</v>
      </c>
      <c r="K133" s="174" t="s">
        <v>1541</v>
      </c>
      <c r="L133" s="174" t="s">
        <v>458</v>
      </c>
      <c r="M133" s="174" t="s">
        <v>1453</v>
      </c>
      <c r="N133" s="177">
        <v>-76693553</v>
      </c>
      <c r="O133" s="174" t="s">
        <v>1542</v>
      </c>
      <c r="P133" s="174" t="s">
        <v>283</v>
      </c>
      <c r="Q133" s="174" t="s">
        <v>284</v>
      </c>
      <c r="R133" s="174" t="s">
        <v>283</v>
      </c>
      <c r="S133" s="174" t="s">
        <v>283</v>
      </c>
      <c r="T133" s="175">
        <v>0</v>
      </c>
    </row>
    <row r="134" spans="1:20" hidden="1" x14ac:dyDescent="0.2">
      <c r="A134" s="169" t="str">
        <f t="shared" si="2"/>
        <v>642</v>
      </c>
      <c r="B134" s="167" t="str">
        <f>_xlfn.XLOOKUP(I134,Mapping!D:D,Mapping!E:E)</f>
        <v>Cung Ứng</v>
      </c>
      <c r="C134" s="167" t="str">
        <f>_xlfn.XLOOKUP(F134,Mapping!A:A,Mapping!F:F)</f>
        <v>Lương Chính +T13</v>
      </c>
      <c r="D134" s="173">
        <v>46053</v>
      </c>
      <c r="E134" s="174" t="s">
        <v>1537</v>
      </c>
      <c r="F134" s="174" t="s">
        <v>285</v>
      </c>
      <c r="G134" s="174" t="s">
        <v>286</v>
      </c>
      <c r="H134" s="174" t="s">
        <v>380</v>
      </c>
      <c r="I134" s="174" t="s">
        <v>381</v>
      </c>
      <c r="J134" s="174" t="s">
        <v>1540</v>
      </c>
      <c r="K134" s="174" t="s">
        <v>1541</v>
      </c>
      <c r="L134" s="174" t="s">
        <v>458</v>
      </c>
      <c r="M134" s="174" t="s">
        <v>1453</v>
      </c>
      <c r="N134" s="177">
        <v>-9261846</v>
      </c>
      <c r="O134" s="174" t="s">
        <v>1542</v>
      </c>
      <c r="P134" s="174" t="s">
        <v>283</v>
      </c>
      <c r="Q134" s="174" t="s">
        <v>284</v>
      </c>
      <c r="R134" s="174" t="s">
        <v>283</v>
      </c>
      <c r="S134" s="174" t="s">
        <v>283</v>
      </c>
      <c r="T134" s="175">
        <v>0</v>
      </c>
    </row>
    <row r="135" spans="1:20" hidden="1" x14ac:dyDescent="0.2">
      <c r="A135" s="169" t="str">
        <f t="shared" si="2"/>
        <v>642</v>
      </c>
      <c r="B135" s="167" t="str">
        <f>_xlfn.XLOOKUP(I135,Mapping!D:D,Mapping!E:E)</f>
        <v>Cung Ứng</v>
      </c>
      <c r="C135" s="167" t="str">
        <f>_xlfn.XLOOKUP(F135,Mapping!A:A,Mapping!F:F)</f>
        <v>Thưởng</v>
      </c>
      <c r="D135" s="173">
        <v>46053</v>
      </c>
      <c r="E135" s="174" t="s">
        <v>1537</v>
      </c>
      <c r="F135" s="174" t="s">
        <v>290</v>
      </c>
      <c r="G135" s="174" t="s">
        <v>291</v>
      </c>
      <c r="H135" s="174" t="s">
        <v>380</v>
      </c>
      <c r="I135" s="174" t="s">
        <v>381</v>
      </c>
      <c r="J135" s="174" t="s">
        <v>1540</v>
      </c>
      <c r="K135" s="174" t="s">
        <v>1541</v>
      </c>
      <c r="L135" s="174" t="s">
        <v>458</v>
      </c>
      <c r="M135" s="174" t="s">
        <v>1453</v>
      </c>
      <c r="N135" s="177">
        <v>-600000</v>
      </c>
      <c r="O135" s="174" t="s">
        <v>1542</v>
      </c>
      <c r="P135" s="174" t="s">
        <v>283</v>
      </c>
      <c r="Q135" s="174" t="s">
        <v>284</v>
      </c>
      <c r="R135" s="174" t="s">
        <v>283</v>
      </c>
      <c r="S135" s="174" t="s">
        <v>283</v>
      </c>
      <c r="T135" s="175">
        <v>0</v>
      </c>
    </row>
    <row r="136" spans="1:20" hidden="1" x14ac:dyDescent="0.2">
      <c r="A136" s="169" t="str">
        <f t="shared" si="2"/>
        <v>642</v>
      </c>
      <c r="B136" s="167" t="str">
        <f>_xlfn.XLOOKUP(I136,Mapping!D:D,Mapping!E:E)</f>
        <v>Cung Ứng</v>
      </c>
      <c r="C136" s="167" t="str">
        <f>_xlfn.XLOOKUP(F136,Mapping!A:A,Mapping!F:F)</f>
        <v>Lương Chính +T13</v>
      </c>
      <c r="D136" s="173">
        <v>46053</v>
      </c>
      <c r="E136" s="174" t="s">
        <v>1537</v>
      </c>
      <c r="F136" s="174" t="s">
        <v>285</v>
      </c>
      <c r="G136" s="174" t="s">
        <v>286</v>
      </c>
      <c r="H136" s="174" t="s">
        <v>380</v>
      </c>
      <c r="I136" s="174" t="s">
        <v>381</v>
      </c>
      <c r="J136" s="174" t="s">
        <v>1540</v>
      </c>
      <c r="K136" s="174" t="s">
        <v>1541</v>
      </c>
      <c r="L136" s="174" t="s">
        <v>458</v>
      </c>
      <c r="M136" s="174" t="s">
        <v>1453</v>
      </c>
      <c r="N136" s="177">
        <v>-7104917</v>
      </c>
      <c r="O136" s="174" t="s">
        <v>1542</v>
      </c>
      <c r="P136" s="174" t="s">
        <v>283</v>
      </c>
      <c r="Q136" s="174" t="s">
        <v>284</v>
      </c>
      <c r="R136" s="174" t="s">
        <v>283</v>
      </c>
      <c r="S136" s="174" t="s">
        <v>283</v>
      </c>
      <c r="T136" s="175">
        <v>0</v>
      </c>
    </row>
    <row r="137" spans="1:20" hidden="1" x14ac:dyDescent="0.2">
      <c r="A137" s="169" t="str">
        <f t="shared" si="2"/>
        <v>642</v>
      </c>
      <c r="B137" s="167" t="str">
        <f>_xlfn.XLOOKUP(I137,Mapping!D:D,Mapping!E:E)</f>
        <v>Cung Ứng</v>
      </c>
      <c r="C137" s="167" t="str">
        <f>_xlfn.XLOOKUP(F137,Mapping!A:A,Mapping!F:F)</f>
        <v>Thưởng</v>
      </c>
      <c r="D137" s="173">
        <v>46053</v>
      </c>
      <c r="E137" s="174" t="s">
        <v>1537</v>
      </c>
      <c r="F137" s="174" t="s">
        <v>292</v>
      </c>
      <c r="G137" s="174" t="s">
        <v>77</v>
      </c>
      <c r="H137" s="174" t="s">
        <v>380</v>
      </c>
      <c r="I137" s="174" t="s">
        <v>381</v>
      </c>
      <c r="J137" s="174" t="s">
        <v>1540</v>
      </c>
      <c r="K137" s="174" t="s">
        <v>1541</v>
      </c>
      <c r="L137" s="174" t="s">
        <v>458</v>
      </c>
      <c r="M137" s="174" t="s">
        <v>1453</v>
      </c>
      <c r="N137" s="177">
        <v>-6536466</v>
      </c>
      <c r="O137" s="174" t="s">
        <v>1542</v>
      </c>
      <c r="P137" s="174" t="s">
        <v>283</v>
      </c>
      <c r="Q137" s="174" t="s">
        <v>284</v>
      </c>
      <c r="R137" s="174" t="s">
        <v>283</v>
      </c>
      <c r="S137" s="174" t="s">
        <v>283</v>
      </c>
      <c r="T137" s="175">
        <v>0</v>
      </c>
    </row>
    <row r="138" spans="1:20" hidden="1" x14ac:dyDescent="0.2">
      <c r="A138" s="169" t="str">
        <f t="shared" si="2"/>
        <v>627</v>
      </c>
      <c r="B138" s="167" t="str">
        <f>_xlfn.XLOOKUP(I138,Mapping!D:D,Mapping!E:E)</f>
        <v>Kỹ Thuật</v>
      </c>
      <c r="C138" s="167" t="str">
        <f>_xlfn.XLOOKUP(F138,Mapping!A:A,Mapping!F:F)</f>
        <v>Phụ Cấp</v>
      </c>
      <c r="D138" s="173">
        <v>46051</v>
      </c>
      <c r="E138" s="174" t="s">
        <v>1484</v>
      </c>
      <c r="F138" s="174" t="s">
        <v>375</v>
      </c>
      <c r="G138" s="174" t="s">
        <v>336</v>
      </c>
      <c r="H138" s="174" t="s">
        <v>376</v>
      </c>
      <c r="I138" s="174" t="s">
        <v>377</v>
      </c>
      <c r="J138" s="174" t="s">
        <v>1386</v>
      </c>
      <c r="K138" s="174" t="s">
        <v>992</v>
      </c>
      <c r="L138" s="174" t="s">
        <v>458</v>
      </c>
      <c r="M138" s="174" t="s">
        <v>1453</v>
      </c>
      <c r="N138" s="177">
        <v>51888000</v>
      </c>
      <c r="O138" s="174" t="s">
        <v>1485</v>
      </c>
      <c r="P138" s="174" t="s">
        <v>283</v>
      </c>
      <c r="Q138" s="174" t="s">
        <v>306</v>
      </c>
      <c r="R138" s="174" t="s">
        <v>283</v>
      </c>
      <c r="S138" s="174" t="s">
        <v>283</v>
      </c>
      <c r="T138" s="175">
        <v>0</v>
      </c>
    </row>
    <row r="139" spans="1:20" hidden="1" x14ac:dyDescent="0.2">
      <c r="A139" s="169" t="str">
        <f t="shared" si="2"/>
        <v>627</v>
      </c>
      <c r="B139" s="167" t="str">
        <f>_xlfn.XLOOKUP(I139,Mapping!D:D,Mapping!E:E)</f>
        <v>Kiểm Soát Chất Lượng</v>
      </c>
      <c r="C139" s="167" t="str">
        <f>_xlfn.XLOOKUP(F139,Mapping!A:A,Mapping!F:F)</f>
        <v>Phụ Cấp</v>
      </c>
      <c r="D139" s="173">
        <v>46051</v>
      </c>
      <c r="E139" s="174" t="s">
        <v>1484</v>
      </c>
      <c r="F139" s="174" t="s">
        <v>375</v>
      </c>
      <c r="G139" s="174" t="s">
        <v>336</v>
      </c>
      <c r="H139" s="174" t="s">
        <v>411</v>
      </c>
      <c r="I139" s="174" t="s">
        <v>412</v>
      </c>
      <c r="J139" s="174" t="s">
        <v>1386</v>
      </c>
      <c r="K139" s="174" t="s">
        <v>992</v>
      </c>
      <c r="L139" s="174" t="s">
        <v>458</v>
      </c>
      <c r="M139" s="174" t="s">
        <v>1453</v>
      </c>
      <c r="N139" s="177">
        <v>30012000</v>
      </c>
      <c r="O139" s="174" t="s">
        <v>1485</v>
      </c>
      <c r="P139" s="174" t="s">
        <v>283</v>
      </c>
      <c r="Q139" s="174" t="s">
        <v>306</v>
      </c>
      <c r="R139" s="174" t="s">
        <v>283</v>
      </c>
      <c r="S139" s="174" t="s">
        <v>283</v>
      </c>
      <c r="T139" s="175">
        <v>0</v>
      </c>
    </row>
    <row r="140" spans="1:20" hidden="1" x14ac:dyDescent="0.2">
      <c r="A140" s="169" t="str">
        <f t="shared" si="2"/>
        <v>642</v>
      </c>
      <c r="B140" s="167" t="str">
        <f>_xlfn.XLOOKUP(I140,Mapping!D:D,Mapping!E:E)</f>
        <v>Mua Hàng &amp; XNK</v>
      </c>
      <c r="C140" s="167" t="str">
        <f>_xlfn.XLOOKUP(F140,Mapping!A:A,Mapping!F:F)</f>
        <v>Phụ Cấp</v>
      </c>
      <c r="D140" s="173">
        <v>46051</v>
      </c>
      <c r="E140" s="174" t="s">
        <v>1484</v>
      </c>
      <c r="F140" s="174" t="s">
        <v>335</v>
      </c>
      <c r="G140" s="174" t="s">
        <v>336</v>
      </c>
      <c r="H140" s="174" t="s">
        <v>378</v>
      </c>
      <c r="I140" s="174" t="s">
        <v>379</v>
      </c>
      <c r="J140" s="174" t="s">
        <v>1386</v>
      </c>
      <c r="K140" s="174" t="s">
        <v>992</v>
      </c>
      <c r="L140" s="174" t="s">
        <v>458</v>
      </c>
      <c r="M140" s="174" t="s">
        <v>1453</v>
      </c>
      <c r="N140" s="177">
        <v>4372000</v>
      </c>
      <c r="O140" s="174" t="s">
        <v>1485</v>
      </c>
      <c r="P140" s="174" t="s">
        <v>283</v>
      </c>
      <c r="Q140" s="174" t="s">
        <v>306</v>
      </c>
      <c r="R140" s="174" t="s">
        <v>283</v>
      </c>
      <c r="S140" s="174" t="s">
        <v>283</v>
      </c>
      <c r="T140" s="175">
        <v>0</v>
      </c>
    </row>
    <row r="141" spans="1:20" hidden="1" x14ac:dyDescent="0.2">
      <c r="A141" s="169" t="str">
        <f t="shared" si="2"/>
        <v>642</v>
      </c>
      <c r="B141" s="167" t="str">
        <f>_xlfn.XLOOKUP(I141,Mapping!D:D,Mapping!E:E)</f>
        <v>Cung Ứng</v>
      </c>
      <c r="C141" s="167" t="str">
        <f>_xlfn.XLOOKUP(F141,Mapping!A:A,Mapping!F:F)</f>
        <v>Phụ Cấp</v>
      </c>
      <c r="D141" s="173">
        <v>46051</v>
      </c>
      <c r="E141" s="174" t="s">
        <v>1484</v>
      </c>
      <c r="F141" s="174" t="s">
        <v>335</v>
      </c>
      <c r="G141" s="174" t="s">
        <v>336</v>
      </c>
      <c r="H141" s="174" t="s">
        <v>380</v>
      </c>
      <c r="I141" s="174" t="s">
        <v>381</v>
      </c>
      <c r="J141" s="174" t="s">
        <v>1386</v>
      </c>
      <c r="K141" s="174" t="s">
        <v>992</v>
      </c>
      <c r="L141" s="174" t="s">
        <v>458</v>
      </c>
      <c r="M141" s="174" t="s">
        <v>1453</v>
      </c>
      <c r="N141" s="177">
        <v>2052000</v>
      </c>
      <c r="O141" s="174" t="s">
        <v>1485</v>
      </c>
      <c r="P141" s="174" t="s">
        <v>283</v>
      </c>
      <c r="Q141" s="174" t="s">
        <v>306</v>
      </c>
      <c r="R141" s="174" t="s">
        <v>283</v>
      </c>
      <c r="S141" s="174" t="s">
        <v>283</v>
      </c>
      <c r="T141" s="175">
        <v>0</v>
      </c>
    </row>
    <row r="142" spans="1:20" hidden="1" x14ac:dyDescent="0.2">
      <c r="A142" s="169" t="str">
        <f t="shared" si="2"/>
        <v>627</v>
      </c>
      <c r="B142" s="167" t="str">
        <f>_xlfn.XLOOKUP(I142,Mapping!D:D,Mapping!E:E)</f>
        <v>Kỹ Thuật</v>
      </c>
      <c r="C142" s="167" t="str">
        <f>_xlfn.XLOOKUP(F142,Mapping!A:A,Mapping!F:F)</f>
        <v>Phụ Cấp</v>
      </c>
      <c r="D142" s="173">
        <v>46053</v>
      </c>
      <c r="E142" s="174" t="s">
        <v>1493</v>
      </c>
      <c r="F142" s="174" t="s">
        <v>375</v>
      </c>
      <c r="G142" s="174" t="s">
        <v>336</v>
      </c>
      <c r="H142" s="174" t="s">
        <v>376</v>
      </c>
      <c r="I142" s="174" t="s">
        <v>377</v>
      </c>
      <c r="J142" s="174" t="s">
        <v>1552</v>
      </c>
      <c r="K142" s="174" t="s">
        <v>1495</v>
      </c>
      <c r="L142" s="174" t="s">
        <v>458</v>
      </c>
      <c r="M142" s="174" t="s">
        <v>1453</v>
      </c>
      <c r="N142" s="177">
        <v>22061000</v>
      </c>
      <c r="O142" s="174" t="s">
        <v>1496</v>
      </c>
      <c r="P142" s="174" t="s">
        <v>283</v>
      </c>
      <c r="Q142" s="174" t="s">
        <v>306</v>
      </c>
      <c r="R142" s="174" t="s">
        <v>283</v>
      </c>
      <c r="S142" s="174" t="s">
        <v>283</v>
      </c>
      <c r="T142" s="175">
        <v>0</v>
      </c>
    </row>
    <row r="143" spans="1:20" hidden="1" x14ac:dyDescent="0.2">
      <c r="A143" s="169" t="str">
        <f t="shared" si="2"/>
        <v>627</v>
      </c>
      <c r="B143" s="167" t="str">
        <f>_xlfn.XLOOKUP(I143,Mapping!D:D,Mapping!E:E)</f>
        <v>Kiểm Soát Chất Lượng</v>
      </c>
      <c r="C143" s="167" t="str">
        <f>_xlfn.XLOOKUP(F143,Mapping!A:A,Mapping!F:F)</f>
        <v>Phụ Cấp</v>
      </c>
      <c r="D143" s="173">
        <v>46053</v>
      </c>
      <c r="E143" s="174" t="s">
        <v>1493</v>
      </c>
      <c r="F143" s="174" t="s">
        <v>375</v>
      </c>
      <c r="G143" s="174" t="s">
        <v>336</v>
      </c>
      <c r="H143" s="174" t="s">
        <v>411</v>
      </c>
      <c r="I143" s="174" t="s">
        <v>412</v>
      </c>
      <c r="J143" s="174" t="s">
        <v>1553</v>
      </c>
      <c r="K143" s="174" t="s">
        <v>1495</v>
      </c>
      <c r="L143" s="174" t="s">
        <v>458</v>
      </c>
      <c r="M143" s="174" t="s">
        <v>1453</v>
      </c>
      <c r="N143" s="177">
        <v>11843000</v>
      </c>
      <c r="O143" s="174" t="s">
        <v>1496</v>
      </c>
      <c r="P143" s="174" t="s">
        <v>283</v>
      </c>
      <c r="Q143" s="174" t="s">
        <v>306</v>
      </c>
      <c r="R143" s="174" t="s">
        <v>283</v>
      </c>
      <c r="S143" s="174" t="s">
        <v>283</v>
      </c>
      <c r="T143" s="175">
        <v>0</v>
      </c>
    </row>
    <row r="144" spans="1:20" hidden="1" x14ac:dyDescent="0.2">
      <c r="A144" s="169" t="str">
        <f t="shared" si="2"/>
        <v>622</v>
      </c>
      <c r="B144" s="167" t="str">
        <f>_xlfn.XLOOKUP(I144,Mapping!D:D,Mapping!E:E)</f>
        <v>Xưởng Sản Xuất</v>
      </c>
      <c r="C144" s="167" t="str">
        <f>_xlfn.XLOOKUP(F144,Mapping!A:A,Mapping!F:F)</f>
        <v>Lương Chính +T13</v>
      </c>
      <c r="D144" s="173">
        <v>46053</v>
      </c>
      <c r="E144" s="174" t="s">
        <v>1554</v>
      </c>
      <c r="F144" s="174" t="s">
        <v>400</v>
      </c>
      <c r="G144" s="174" t="s">
        <v>401</v>
      </c>
      <c r="H144" s="174" t="s">
        <v>402</v>
      </c>
      <c r="I144" s="174" t="s">
        <v>403</v>
      </c>
      <c r="J144" s="174" t="s">
        <v>1555</v>
      </c>
      <c r="K144" s="174" t="s">
        <v>405</v>
      </c>
      <c r="L144" s="174" t="s">
        <v>458</v>
      </c>
      <c r="M144" s="174" t="s">
        <v>1453</v>
      </c>
      <c r="N144" s="177">
        <v>72308989</v>
      </c>
      <c r="O144" s="174" t="s">
        <v>1556</v>
      </c>
      <c r="P144" s="174" t="s">
        <v>283</v>
      </c>
      <c r="Q144" s="174" t="s">
        <v>306</v>
      </c>
      <c r="R144" s="174" t="s">
        <v>283</v>
      </c>
      <c r="S144" s="174" t="s">
        <v>283</v>
      </c>
      <c r="T144" s="175">
        <v>0</v>
      </c>
    </row>
    <row r="145" spans="1:20" hidden="1" x14ac:dyDescent="0.2">
      <c r="A145" s="169" t="str">
        <f t="shared" si="2"/>
        <v>627</v>
      </c>
      <c r="B145" s="167" t="str">
        <f>_xlfn.XLOOKUP(I145,Mapping!D:D,Mapping!E:E)</f>
        <v>Kỹ Thuật</v>
      </c>
      <c r="C145" s="167" t="str">
        <f>_xlfn.XLOOKUP(F145,Mapping!A:A,Mapping!F:F)</f>
        <v>Phụ Cấp</v>
      </c>
      <c r="D145" s="173">
        <v>46053</v>
      </c>
      <c r="E145" s="174" t="s">
        <v>1497</v>
      </c>
      <c r="F145" s="174" t="s">
        <v>375</v>
      </c>
      <c r="G145" s="174" t="s">
        <v>336</v>
      </c>
      <c r="H145" s="174" t="s">
        <v>376</v>
      </c>
      <c r="I145" s="174" t="s">
        <v>377</v>
      </c>
      <c r="J145" s="174" t="s">
        <v>1498</v>
      </c>
      <c r="K145" s="174" t="s">
        <v>1499</v>
      </c>
      <c r="L145" s="174" t="s">
        <v>458</v>
      </c>
      <c r="M145" s="174" t="s">
        <v>1453</v>
      </c>
      <c r="N145" s="177">
        <v>-2475367</v>
      </c>
      <c r="O145" s="174" t="s">
        <v>1500</v>
      </c>
      <c r="P145" s="174" t="s">
        <v>283</v>
      </c>
      <c r="Q145" s="174" t="s">
        <v>284</v>
      </c>
      <c r="R145" s="174" t="s">
        <v>283</v>
      </c>
      <c r="S145" s="174" t="s">
        <v>283</v>
      </c>
      <c r="T145" s="175">
        <v>0</v>
      </c>
    </row>
    <row r="146" spans="1:20" hidden="1" x14ac:dyDescent="0.2">
      <c r="A146" s="169" t="str">
        <f t="shared" si="2"/>
        <v>627</v>
      </c>
      <c r="B146" s="167" t="str">
        <f>_xlfn.XLOOKUP(I146,Mapping!D:D,Mapping!E:E)</f>
        <v>Kiểm Soát Chất Lượng</v>
      </c>
      <c r="C146" s="167" t="str">
        <f>_xlfn.XLOOKUP(F146,Mapping!A:A,Mapping!F:F)</f>
        <v>Phụ Cấp</v>
      </c>
      <c r="D146" s="173">
        <v>46053</v>
      </c>
      <c r="E146" s="174" t="s">
        <v>1497</v>
      </c>
      <c r="F146" s="174" t="s">
        <v>375</v>
      </c>
      <c r="G146" s="174" t="s">
        <v>336</v>
      </c>
      <c r="H146" s="174" t="s">
        <v>411</v>
      </c>
      <c r="I146" s="174" t="s">
        <v>412</v>
      </c>
      <c r="J146" s="174" t="s">
        <v>1498</v>
      </c>
      <c r="K146" s="174" t="s">
        <v>1499</v>
      </c>
      <c r="L146" s="174" t="s">
        <v>458</v>
      </c>
      <c r="M146" s="174" t="s">
        <v>1453</v>
      </c>
      <c r="N146" s="177">
        <v>-1328850</v>
      </c>
      <c r="O146" s="174" t="s">
        <v>1500</v>
      </c>
      <c r="P146" s="174" t="s">
        <v>283</v>
      </c>
      <c r="Q146" s="174" t="s">
        <v>284</v>
      </c>
      <c r="R146" s="174" t="s">
        <v>283</v>
      </c>
      <c r="S146" s="174" t="s">
        <v>283</v>
      </c>
      <c r="T146" s="175">
        <v>0</v>
      </c>
    </row>
    <row r="147" spans="1:20" hidden="1" x14ac:dyDescent="0.2">
      <c r="A147" s="169" t="str">
        <f t="shared" si="2"/>
        <v>622</v>
      </c>
      <c r="B147" s="167" t="str">
        <f>_xlfn.XLOOKUP(I147,Mapping!D:D,Mapping!E:E)</f>
        <v>Xưởng Sản Xuất</v>
      </c>
      <c r="C147" s="167" t="str">
        <f>_xlfn.XLOOKUP(F147,Mapping!A:A,Mapping!F:F)</f>
        <v>Lương Chính +T13</v>
      </c>
      <c r="D147" s="173">
        <v>46053</v>
      </c>
      <c r="E147" s="174" t="s">
        <v>1450</v>
      </c>
      <c r="F147" s="174" t="s">
        <v>420</v>
      </c>
      <c r="G147" s="174" t="s">
        <v>286</v>
      </c>
      <c r="H147" s="174" t="s">
        <v>402</v>
      </c>
      <c r="I147" s="174" t="s">
        <v>403</v>
      </c>
      <c r="J147" s="174" t="s">
        <v>1451</v>
      </c>
      <c r="K147" s="174" t="s">
        <v>1452</v>
      </c>
      <c r="L147" s="174" t="s">
        <v>458</v>
      </c>
      <c r="M147" s="174" t="s">
        <v>1453</v>
      </c>
      <c r="N147" s="177">
        <v>116523480</v>
      </c>
      <c r="O147" s="174" t="s">
        <v>1454</v>
      </c>
      <c r="P147" s="174" t="s">
        <v>283</v>
      </c>
      <c r="Q147" s="174" t="s">
        <v>284</v>
      </c>
      <c r="R147" s="174" t="s">
        <v>283</v>
      </c>
      <c r="S147" s="174" t="s">
        <v>283</v>
      </c>
      <c r="T147" s="175">
        <v>0</v>
      </c>
    </row>
    <row r="148" spans="1:20" hidden="1" x14ac:dyDescent="0.2">
      <c r="A148" s="169" t="str">
        <f t="shared" si="2"/>
        <v>622</v>
      </c>
      <c r="B148" s="167" t="str">
        <f>_xlfn.XLOOKUP(I148,Mapping!D:D,Mapping!E:E)</f>
        <v>Xưởng Sản Xuất</v>
      </c>
      <c r="C148" s="167" t="str">
        <f>_xlfn.XLOOKUP(F148,Mapping!A:A,Mapping!F:F)</f>
        <v>Phụ Cấp</v>
      </c>
      <c r="D148" s="173">
        <v>46053</v>
      </c>
      <c r="E148" s="174" t="s">
        <v>1450</v>
      </c>
      <c r="F148" s="174" t="s">
        <v>421</v>
      </c>
      <c r="G148" s="174" t="s">
        <v>341</v>
      </c>
      <c r="H148" s="174" t="s">
        <v>402</v>
      </c>
      <c r="I148" s="174" t="s">
        <v>403</v>
      </c>
      <c r="J148" s="174" t="s">
        <v>1451</v>
      </c>
      <c r="K148" s="174" t="s">
        <v>1452</v>
      </c>
      <c r="L148" s="174" t="s">
        <v>458</v>
      </c>
      <c r="M148" s="174" t="s">
        <v>1453</v>
      </c>
      <c r="N148" s="177">
        <v>114415534</v>
      </c>
      <c r="O148" s="174" t="s">
        <v>1454</v>
      </c>
      <c r="P148" s="174" t="s">
        <v>283</v>
      </c>
      <c r="Q148" s="174" t="s">
        <v>284</v>
      </c>
      <c r="R148" s="174" t="s">
        <v>283</v>
      </c>
      <c r="S148" s="174" t="s">
        <v>283</v>
      </c>
      <c r="T148" s="175">
        <v>0</v>
      </c>
    </row>
    <row r="149" spans="1:20" hidden="1" x14ac:dyDescent="0.2">
      <c r="A149" s="169" t="str">
        <f t="shared" si="2"/>
        <v>622</v>
      </c>
      <c r="B149" s="167" t="str">
        <f>_xlfn.XLOOKUP(I149,Mapping!D:D,Mapping!E:E)</f>
        <v>Xưởng Sản Xuất</v>
      </c>
      <c r="C149" s="167" t="str">
        <f>_xlfn.XLOOKUP(F149,Mapping!A:A,Mapping!F:F)</f>
        <v>Lương Ngoài giờ</v>
      </c>
      <c r="D149" s="173">
        <v>46053</v>
      </c>
      <c r="E149" s="174" t="s">
        <v>1450</v>
      </c>
      <c r="F149" s="174" t="s">
        <v>422</v>
      </c>
      <c r="G149" s="174" t="s">
        <v>423</v>
      </c>
      <c r="H149" s="174" t="s">
        <v>402</v>
      </c>
      <c r="I149" s="174" t="s">
        <v>403</v>
      </c>
      <c r="J149" s="174" t="s">
        <v>1451</v>
      </c>
      <c r="K149" s="174" t="s">
        <v>1452</v>
      </c>
      <c r="L149" s="174" t="s">
        <v>458</v>
      </c>
      <c r="M149" s="174" t="s">
        <v>1453</v>
      </c>
      <c r="N149" s="177">
        <v>317707547</v>
      </c>
      <c r="O149" s="174" t="s">
        <v>1454</v>
      </c>
      <c r="P149" s="174" t="s">
        <v>283</v>
      </c>
      <c r="Q149" s="174" t="s">
        <v>284</v>
      </c>
      <c r="R149" s="174" t="s">
        <v>283</v>
      </c>
      <c r="S149" s="174" t="s">
        <v>283</v>
      </c>
      <c r="T149" s="175">
        <v>0</v>
      </c>
    </row>
    <row r="150" spans="1:20" hidden="1" x14ac:dyDescent="0.2">
      <c r="A150" s="169" t="str">
        <f t="shared" si="2"/>
        <v>622</v>
      </c>
      <c r="B150" s="167" t="str">
        <f>_xlfn.XLOOKUP(I150,Mapping!D:D,Mapping!E:E)</f>
        <v>Xưởng Sản Xuất</v>
      </c>
      <c r="C150" s="167" t="str">
        <f>_xlfn.XLOOKUP(F150,Mapping!A:A,Mapping!F:F)</f>
        <v>Thưởng</v>
      </c>
      <c r="D150" s="173">
        <v>46053</v>
      </c>
      <c r="E150" s="174" t="s">
        <v>1450</v>
      </c>
      <c r="F150" s="174" t="s">
        <v>424</v>
      </c>
      <c r="G150" s="174" t="s">
        <v>291</v>
      </c>
      <c r="H150" s="174" t="s">
        <v>402</v>
      </c>
      <c r="I150" s="174" t="s">
        <v>403</v>
      </c>
      <c r="J150" s="174" t="s">
        <v>1451</v>
      </c>
      <c r="K150" s="174" t="s">
        <v>1452</v>
      </c>
      <c r="L150" s="174" t="s">
        <v>458</v>
      </c>
      <c r="M150" s="174" t="s">
        <v>1453</v>
      </c>
      <c r="N150" s="177">
        <v>39600000</v>
      </c>
      <c r="O150" s="174" t="s">
        <v>1454</v>
      </c>
      <c r="P150" s="174" t="s">
        <v>283</v>
      </c>
      <c r="Q150" s="174" t="s">
        <v>284</v>
      </c>
      <c r="R150" s="174" t="s">
        <v>283</v>
      </c>
      <c r="S150" s="174" t="s">
        <v>283</v>
      </c>
      <c r="T150" s="175">
        <v>0</v>
      </c>
    </row>
    <row r="151" spans="1:20" hidden="1" x14ac:dyDescent="0.2">
      <c r="A151" s="169" t="str">
        <f t="shared" si="2"/>
        <v>627</v>
      </c>
      <c r="B151" s="167" t="str">
        <f>_xlfn.XLOOKUP(I151,Mapping!D:D,Mapping!E:E)</f>
        <v>Xưởng Sản Xuất</v>
      </c>
      <c r="C151" s="167" t="str">
        <f>_xlfn.XLOOKUP(F151,Mapping!A:A,Mapping!F:F)</f>
        <v>Phụ Cấp</v>
      </c>
      <c r="D151" s="173">
        <v>46053</v>
      </c>
      <c r="E151" s="174" t="s">
        <v>1450</v>
      </c>
      <c r="F151" s="174" t="s">
        <v>386</v>
      </c>
      <c r="G151" s="174" t="s">
        <v>341</v>
      </c>
      <c r="H151" s="174" t="s">
        <v>402</v>
      </c>
      <c r="I151" s="174" t="s">
        <v>403</v>
      </c>
      <c r="J151" s="174" t="s">
        <v>1451</v>
      </c>
      <c r="K151" s="174" t="s">
        <v>1452</v>
      </c>
      <c r="L151" s="174" t="s">
        <v>458</v>
      </c>
      <c r="M151" s="174" t="s">
        <v>1453</v>
      </c>
      <c r="N151" s="177">
        <v>10677754</v>
      </c>
      <c r="O151" s="174" t="s">
        <v>1454</v>
      </c>
      <c r="P151" s="174" t="s">
        <v>283</v>
      </c>
      <c r="Q151" s="174" t="s">
        <v>284</v>
      </c>
      <c r="R151" s="174" t="s">
        <v>283</v>
      </c>
      <c r="S151" s="174" t="s">
        <v>283</v>
      </c>
      <c r="T151" s="175">
        <v>0</v>
      </c>
    </row>
    <row r="152" spans="1:20" hidden="1" x14ac:dyDescent="0.2">
      <c r="A152" s="169" t="str">
        <f t="shared" si="2"/>
        <v>627</v>
      </c>
      <c r="B152" s="167" t="str">
        <f>_xlfn.XLOOKUP(I152,Mapping!D:D,Mapping!E:E)</f>
        <v>Xưởng Sản Xuất</v>
      </c>
      <c r="C152" s="167" t="str">
        <f>_xlfn.XLOOKUP(F152,Mapping!A:A,Mapping!F:F)</f>
        <v>Lương Chính +T13</v>
      </c>
      <c r="D152" s="173">
        <v>46053</v>
      </c>
      <c r="E152" s="174" t="s">
        <v>1450</v>
      </c>
      <c r="F152" s="174" t="s">
        <v>387</v>
      </c>
      <c r="G152" s="174" t="s">
        <v>275</v>
      </c>
      <c r="H152" s="174" t="s">
        <v>402</v>
      </c>
      <c r="I152" s="174" t="s">
        <v>403</v>
      </c>
      <c r="J152" s="174" t="s">
        <v>1451</v>
      </c>
      <c r="K152" s="174" t="s">
        <v>1452</v>
      </c>
      <c r="L152" s="174" t="s">
        <v>458</v>
      </c>
      <c r="M152" s="174" t="s">
        <v>1453</v>
      </c>
      <c r="N152" s="177">
        <v>395824668</v>
      </c>
      <c r="O152" s="174" t="s">
        <v>1454</v>
      </c>
      <c r="P152" s="174" t="s">
        <v>283</v>
      </c>
      <c r="Q152" s="174" t="s">
        <v>284</v>
      </c>
      <c r="R152" s="174" t="s">
        <v>283</v>
      </c>
      <c r="S152" s="174" t="s">
        <v>283</v>
      </c>
      <c r="T152" s="175">
        <v>0</v>
      </c>
    </row>
    <row r="153" spans="1:20" hidden="1" x14ac:dyDescent="0.2">
      <c r="A153" s="169" t="str">
        <f t="shared" si="2"/>
        <v>627</v>
      </c>
      <c r="B153" s="167" t="str">
        <f>_xlfn.XLOOKUP(I153,Mapping!D:D,Mapping!E:E)</f>
        <v>Xưởng Sản Xuất</v>
      </c>
      <c r="C153" s="167" t="str">
        <f>_xlfn.XLOOKUP(F153,Mapping!A:A,Mapping!F:F)</f>
        <v>Lương Chính +T13</v>
      </c>
      <c r="D153" s="173">
        <v>46053</v>
      </c>
      <c r="E153" s="174" t="s">
        <v>1450</v>
      </c>
      <c r="F153" s="174" t="s">
        <v>388</v>
      </c>
      <c r="G153" s="174" t="s">
        <v>286</v>
      </c>
      <c r="H153" s="174" t="s">
        <v>402</v>
      </c>
      <c r="I153" s="174" t="s">
        <v>403</v>
      </c>
      <c r="J153" s="174" t="s">
        <v>1451</v>
      </c>
      <c r="K153" s="174" t="s">
        <v>1452</v>
      </c>
      <c r="L153" s="174" t="s">
        <v>458</v>
      </c>
      <c r="M153" s="174" t="s">
        <v>1453</v>
      </c>
      <c r="N153" s="177">
        <v>41737730</v>
      </c>
      <c r="O153" s="174" t="s">
        <v>1454</v>
      </c>
      <c r="P153" s="174" t="s">
        <v>283</v>
      </c>
      <c r="Q153" s="174" t="s">
        <v>284</v>
      </c>
      <c r="R153" s="174" t="s">
        <v>283</v>
      </c>
      <c r="S153" s="174" t="s">
        <v>283</v>
      </c>
      <c r="T153" s="175">
        <v>0</v>
      </c>
    </row>
    <row r="154" spans="1:20" hidden="1" x14ac:dyDescent="0.2">
      <c r="A154" s="169" t="str">
        <f t="shared" si="2"/>
        <v>627</v>
      </c>
      <c r="B154" s="167" t="str">
        <f>_xlfn.XLOOKUP(I154,Mapping!D:D,Mapping!E:E)</f>
        <v>Xưởng Sản Xuất</v>
      </c>
      <c r="C154" s="167" t="str">
        <f>_xlfn.XLOOKUP(F154,Mapping!A:A,Mapping!F:F)</f>
        <v>Lương Ngoài giờ</v>
      </c>
      <c r="D154" s="173">
        <v>46053</v>
      </c>
      <c r="E154" s="174" t="s">
        <v>1450</v>
      </c>
      <c r="F154" s="174" t="s">
        <v>389</v>
      </c>
      <c r="G154" s="174" t="s">
        <v>390</v>
      </c>
      <c r="H154" s="174" t="s">
        <v>402</v>
      </c>
      <c r="I154" s="174" t="s">
        <v>403</v>
      </c>
      <c r="J154" s="174" t="s">
        <v>1451</v>
      </c>
      <c r="K154" s="174" t="s">
        <v>1452</v>
      </c>
      <c r="L154" s="174" t="s">
        <v>458</v>
      </c>
      <c r="M154" s="174" t="s">
        <v>1453</v>
      </c>
      <c r="N154" s="177">
        <v>45064862</v>
      </c>
      <c r="O154" s="174" t="s">
        <v>1454</v>
      </c>
      <c r="P154" s="174" t="s">
        <v>283</v>
      </c>
      <c r="Q154" s="174" t="s">
        <v>284</v>
      </c>
      <c r="R154" s="174" t="s">
        <v>283</v>
      </c>
      <c r="S154" s="174" t="s">
        <v>283</v>
      </c>
      <c r="T154" s="175">
        <v>0</v>
      </c>
    </row>
    <row r="155" spans="1:20" hidden="1" x14ac:dyDescent="0.2">
      <c r="A155" s="169" t="str">
        <f t="shared" si="2"/>
        <v>627</v>
      </c>
      <c r="B155" s="167" t="str">
        <f>_xlfn.XLOOKUP(I155,Mapping!D:D,Mapping!E:E)</f>
        <v>Xưởng Sản Xuất</v>
      </c>
      <c r="C155" s="167" t="str">
        <f>_xlfn.XLOOKUP(F155,Mapping!A:A,Mapping!F:F)</f>
        <v>Thưởng</v>
      </c>
      <c r="D155" s="173">
        <v>46053</v>
      </c>
      <c r="E155" s="174" t="s">
        <v>1450</v>
      </c>
      <c r="F155" s="174" t="s">
        <v>391</v>
      </c>
      <c r="G155" s="174" t="s">
        <v>291</v>
      </c>
      <c r="H155" s="174" t="s">
        <v>402</v>
      </c>
      <c r="I155" s="174" t="s">
        <v>403</v>
      </c>
      <c r="J155" s="174" t="s">
        <v>1451</v>
      </c>
      <c r="K155" s="174" t="s">
        <v>1452</v>
      </c>
      <c r="L155" s="174" t="s">
        <v>458</v>
      </c>
      <c r="M155" s="174" t="s">
        <v>1453</v>
      </c>
      <c r="N155" s="177">
        <v>6000000</v>
      </c>
      <c r="O155" s="174" t="s">
        <v>1454</v>
      </c>
      <c r="P155" s="174" t="s">
        <v>283</v>
      </c>
      <c r="Q155" s="174" t="s">
        <v>284</v>
      </c>
      <c r="R155" s="174" t="s">
        <v>283</v>
      </c>
      <c r="S155" s="174" t="s">
        <v>283</v>
      </c>
      <c r="T155" s="175">
        <v>0</v>
      </c>
    </row>
    <row r="156" spans="1:20" hidden="1" x14ac:dyDescent="0.2">
      <c r="A156" s="169" t="str">
        <f t="shared" si="2"/>
        <v>627</v>
      </c>
      <c r="B156" s="167" t="str">
        <f>_xlfn.XLOOKUP(I156,Mapping!D:D,Mapping!E:E)</f>
        <v>Xưởng Sản Xuất</v>
      </c>
      <c r="C156" s="167" t="str">
        <f>_xlfn.XLOOKUP(F156,Mapping!A:A,Mapping!F:F)</f>
        <v>Phụ Cấp</v>
      </c>
      <c r="D156" s="173">
        <v>46053</v>
      </c>
      <c r="E156" s="174" t="s">
        <v>1450</v>
      </c>
      <c r="F156" s="174" t="s">
        <v>375</v>
      </c>
      <c r="G156" s="174" t="s">
        <v>336</v>
      </c>
      <c r="H156" s="174" t="s">
        <v>402</v>
      </c>
      <c r="I156" s="174" t="s">
        <v>403</v>
      </c>
      <c r="J156" s="174" t="s">
        <v>1451</v>
      </c>
      <c r="K156" s="174" t="s">
        <v>1452</v>
      </c>
      <c r="L156" s="174" t="s">
        <v>458</v>
      </c>
      <c r="M156" s="174" t="s">
        <v>1453</v>
      </c>
      <c r="N156" s="177">
        <v>500000</v>
      </c>
      <c r="O156" s="174" t="s">
        <v>1454</v>
      </c>
      <c r="P156" s="174" t="s">
        <v>283</v>
      </c>
      <c r="Q156" s="174" t="s">
        <v>284</v>
      </c>
      <c r="R156" s="174" t="s">
        <v>283</v>
      </c>
      <c r="S156" s="174" t="s">
        <v>283</v>
      </c>
      <c r="T156" s="175">
        <v>0</v>
      </c>
    </row>
    <row r="157" spans="1:20" hidden="1" x14ac:dyDescent="0.2">
      <c r="A157" s="169" t="str">
        <f t="shared" si="2"/>
        <v>627</v>
      </c>
      <c r="B157" s="167" t="str">
        <f>_xlfn.XLOOKUP(I157,Mapping!D:D,Mapping!E:E)</f>
        <v>Xưởng Sản Xuất</v>
      </c>
      <c r="C157" s="167" t="str">
        <f>_xlfn.XLOOKUP(F157,Mapping!A:A,Mapping!F:F)</f>
        <v>Lương Chính +T13</v>
      </c>
      <c r="D157" s="173">
        <v>46053</v>
      </c>
      <c r="E157" s="174" t="s">
        <v>1455</v>
      </c>
      <c r="F157" s="174" t="s">
        <v>388</v>
      </c>
      <c r="G157" s="174" t="s">
        <v>286</v>
      </c>
      <c r="H157" s="174" t="s">
        <v>402</v>
      </c>
      <c r="I157" s="174" t="s">
        <v>403</v>
      </c>
      <c r="J157" s="174" t="s">
        <v>1456</v>
      </c>
      <c r="K157" s="174" t="s">
        <v>1452</v>
      </c>
      <c r="L157" s="174" t="s">
        <v>458</v>
      </c>
      <c r="M157" s="174" t="s">
        <v>1453</v>
      </c>
      <c r="N157" s="177">
        <v>32547250</v>
      </c>
      <c r="O157" s="174" t="s">
        <v>1457</v>
      </c>
      <c r="P157" s="174" t="s">
        <v>283</v>
      </c>
      <c r="Q157" s="174" t="s">
        <v>284</v>
      </c>
      <c r="R157" s="174" t="s">
        <v>283</v>
      </c>
      <c r="S157" s="174" t="s">
        <v>283</v>
      </c>
      <c r="T157" s="175">
        <v>0</v>
      </c>
    </row>
    <row r="158" spans="1:20" hidden="1" x14ac:dyDescent="0.2">
      <c r="A158" s="169" t="str">
        <f t="shared" si="2"/>
        <v>622</v>
      </c>
      <c r="B158" s="167" t="str">
        <f>_xlfn.XLOOKUP(I158,Mapping!D:D,Mapping!E:E)</f>
        <v>Xưởng Sản Xuất</v>
      </c>
      <c r="C158" s="167" t="str">
        <f>_xlfn.XLOOKUP(F158,Mapping!A:A,Mapping!F:F)</f>
        <v>Lương Chính +T13</v>
      </c>
      <c r="D158" s="173">
        <v>46053</v>
      </c>
      <c r="E158" s="174" t="s">
        <v>1455</v>
      </c>
      <c r="F158" s="174" t="s">
        <v>420</v>
      </c>
      <c r="G158" s="174" t="s">
        <v>286</v>
      </c>
      <c r="H158" s="174" t="s">
        <v>402</v>
      </c>
      <c r="I158" s="174" t="s">
        <v>403</v>
      </c>
      <c r="J158" s="174" t="s">
        <v>1456</v>
      </c>
      <c r="K158" s="174" t="s">
        <v>1452</v>
      </c>
      <c r="L158" s="174" t="s">
        <v>458</v>
      </c>
      <c r="M158" s="174" t="s">
        <v>1453</v>
      </c>
      <c r="N158" s="177">
        <v>93300750</v>
      </c>
      <c r="O158" s="174" t="s">
        <v>1457</v>
      </c>
      <c r="P158" s="174" t="s">
        <v>283</v>
      </c>
      <c r="Q158" s="174" t="s">
        <v>284</v>
      </c>
      <c r="R158" s="174" t="s">
        <v>283</v>
      </c>
      <c r="S158" s="174" t="s">
        <v>283</v>
      </c>
      <c r="T158" s="175">
        <v>0</v>
      </c>
    </row>
    <row r="159" spans="1:20" hidden="1" x14ac:dyDescent="0.2">
      <c r="A159" s="169" t="str">
        <f t="shared" si="2"/>
        <v>627</v>
      </c>
      <c r="B159" s="167" t="str">
        <f>_xlfn.XLOOKUP(I159,Mapping!D:D,Mapping!E:E)</f>
        <v>Xưởng Sản Xuất</v>
      </c>
      <c r="C159" s="167" t="str">
        <f>_xlfn.XLOOKUP(F159,Mapping!A:A,Mapping!F:F)</f>
        <v>Thưởng</v>
      </c>
      <c r="D159" s="173">
        <v>46053</v>
      </c>
      <c r="E159" s="174" t="s">
        <v>1455</v>
      </c>
      <c r="F159" s="174" t="s">
        <v>395</v>
      </c>
      <c r="G159" s="174" t="s">
        <v>77</v>
      </c>
      <c r="H159" s="174" t="s">
        <v>402</v>
      </c>
      <c r="I159" s="174" t="s">
        <v>403</v>
      </c>
      <c r="J159" s="174" t="s">
        <v>1458</v>
      </c>
      <c r="K159" s="174" t="s">
        <v>1452</v>
      </c>
      <c r="L159" s="174" t="s">
        <v>458</v>
      </c>
      <c r="M159" s="174" t="s">
        <v>1453</v>
      </c>
      <c r="N159" s="177">
        <v>29943210</v>
      </c>
      <c r="O159" s="174" t="s">
        <v>1457</v>
      </c>
      <c r="P159" s="174" t="s">
        <v>283</v>
      </c>
      <c r="Q159" s="174" t="s">
        <v>284</v>
      </c>
      <c r="R159" s="174" t="s">
        <v>283</v>
      </c>
      <c r="S159" s="174" t="s">
        <v>283</v>
      </c>
      <c r="T159" s="175">
        <v>0</v>
      </c>
    </row>
    <row r="160" spans="1:20" hidden="1" x14ac:dyDescent="0.2">
      <c r="A160" s="169" t="str">
        <f t="shared" si="2"/>
        <v>622</v>
      </c>
      <c r="B160" s="167" t="str">
        <f>_xlfn.XLOOKUP(I160,Mapping!D:D,Mapping!E:E)</f>
        <v>Xưởng Sản Xuất</v>
      </c>
      <c r="C160" s="167" t="str">
        <f>_xlfn.XLOOKUP(F160,Mapping!A:A,Mapping!F:F)</f>
        <v>Thưởng</v>
      </c>
      <c r="D160" s="173">
        <v>46053</v>
      </c>
      <c r="E160" s="174" t="s">
        <v>1455</v>
      </c>
      <c r="F160" s="174" t="s">
        <v>426</v>
      </c>
      <c r="G160" s="174" t="s">
        <v>77</v>
      </c>
      <c r="H160" s="174" t="s">
        <v>402</v>
      </c>
      <c r="I160" s="174" t="s">
        <v>403</v>
      </c>
      <c r="J160" s="174" t="s">
        <v>1458</v>
      </c>
      <c r="K160" s="174" t="s">
        <v>1452</v>
      </c>
      <c r="L160" s="174" t="s">
        <v>458</v>
      </c>
      <c r="M160" s="174" t="s">
        <v>1453</v>
      </c>
      <c r="N160" s="177">
        <v>23578256</v>
      </c>
      <c r="O160" s="174" t="s">
        <v>1457</v>
      </c>
      <c r="P160" s="174" t="s">
        <v>283</v>
      </c>
      <c r="Q160" s="174" t="s">
        <v>284</v>
      </c>
      <c r="R160" s="174" t="s">
        <v>283</v>
      </c>
      <c r="S160" s="174" t="s">
        <v>283</v>
      </c>
      <c r="T160" s="175">
        <v>0</v>
      </c>
    </row>
    <row r="161" spans="1:20" hidden="1" x14ac:dyDescent="0.2">
      <c r="A161" s="169" t="str">
        <f t="shared" si="2"/>
        <v>622</v>
      </c>
      <c r="B161" s="167" t="str">
        <f>_xlfn.XLOOKUP(I161,Mapping!D:D,Mapping!E:E)</f>
        <v>Xưởng Sản Xuất</v>
      </c>
      <c r="C161" s="167" t="str">
        <f>_xlfn.XLOOKUP(F161,Mapping!A:A,Mapping!F:F)</f>
        <v>BHXH, BHYT, KPCĐ</v>
      </c>
      <c r="D161" s="173">
        <v>46053</v>
      </c>
      <c r="E161" s="174" t="s">
        <v>1459</v>
      </c>
      <c r="F161" s="174" t="s">
        <v>425</v>
      </c>
      <c r="G161" s="174" t="s">
        <v>296</v>
      </c>
      <c r="H161" s="174" t="s">
        <v>402</v>
      </c>
      <c r="I161" s="174" t="s">
        <v>403</v>
      </c>
      <c r="J161" s="174" t="s">
        <v>1460</v>
      </c>
      <c r="K161" s="174" t="s">
        <v>1452</v>
      </c>
      <c r="L161" s="174" t="s">
        <v>458</v>
      </c>
      <c r="M161" s="174" t="s">
        <v>1453</v>
      </c>
      <c r="N161" s="177">
        <v>278621330</v>
      </c>
      <c r="O161" s="174" t="s">
        <v>1461</v>
      </c>
      <c r="P161" s="174" t="s">
        <v>283</v>
      </c>
      <c r="Q161" s="174" t="s">
        <v>284</v>
      </c>
      <c r="R161" s="174" t="s">
        <v>283</v>
      </c>
      <c r="S161" s="174" t="s">
        <v>283</v>
      </c>
      <c r="T161" s="175">
        <v>0</v>
      </c>
    </row>
    <row r="162" spans="1:20" hidden="1" x14ac:dyDescent="0.2">
      <c r="A162" s="169" t="str">
        <f t="shared" si="2"/>
        <v>627</v>
      </c>
      <c r="B162" s="167" t="str">
        <f>_xlfn.XLOOKUP(I162,Mapping!D:D,Mapping!E:E)</f>
        <v>Xưởng Sản Xuất</v>
      </c>
      <c r="C162" s="167" t="str">
        <f>_xlfn.XLOOKUP(F162,Mapping!A:A,Mapping!F:F)</f>
        <v>BHXH, BHYT, KPCĐ</v>
      </c>
      <c r="D162" s="173">
        <v>46053</v>
      </c>
      <c r="E162" s="174" t="s">
        <v>1459</v>
      </c>
      <c r="F162" s="174" t="s">
        <v>393</v>
      </c>
      <c r="G162" s="174" t="s">
        <v>296</v>
      </c>
      <c r="H162" s="174" t="s">
        <v>402</v>
      </c>
      <c r="I162" s="174" t="s">
        <v>403</v>
      </c>
      <c r="J162" s="174" t="s">
        <v>1460</v>
      </c>
      <c r="K162" s="174" t="s">
        <v>1452</v>
      </c>
      <c r="L162" s="174" t="s">
        <v>458</v>
      </c>
      <c r="M162" s="174" t="s">
        <v>1453</v>
      </c>
      <c r="N162" s="177">
        <v>83821210</v>
      </c>
      <c r="O162" s="174" t="s">
        <v>1461</v>
      </c>
      <c r="P162" s="174" t="s">
        <v>283</v>
      </c>
      <c r="Q162" s="174" t="s">
        <v>284</v>
      </c>
      <c r="R162" s="174" t="s">
        <v>283</v>
      </c>
      <c r="S162" s="174" t="s">
        <v>283</v>
      </c>
      <c r="T162" s="175">
        <v>0</v>
      </c>
    </row>
    <row r="163" spans="1:20" hidden="1" x14ac:dyDescent="0.2">
      <c r="A163" s="169" t="str">
        <f t="shared" si="2"/>
        <v>622</v>
      </c>
      <c r="B163" s="167" t="str">
        <f>_xlfn.XLOOKUP(I163,Mapping!D:D,Mapping!E:E)</f>
        <v>Xưởng Sản Xuất</v>
      </c>
      <c r="C163" s="167" t="str">
        <f>_xlfn.XLOOKUP(F163,Mapping!A:A,Mapping!F:F)</f>
        <v>BHXH, BHYT, KPCĐ</v>
      </c>
      <c r="D163" s="173">
        <v>46053</v>
      </c>
      <c r="E163" s="174" t="s">
        <v>1479</v>
      </c>
      <c r="F163" s="174" t="s">
        <v>425</v>
      </c>
      <c r="G163" s="174" t="s">
        <v>296</v>
      </c>
      <c r="H163" s="174" t="s">
        <v>402</v>
      </c>
      <c r="I163" s="174" t="s">
        <v>403</v>
      </c>
      <c r="J163" s="174" t="s">
        <v>1460</v>
      </c>
      <c r="K163" s="174" t="s">
        <v>1452</v>
      </c>
      <c r="L163" s="174" t="s">
        <v>458</v>
      </c>
      <c r="M163" s="174" t="s">
        <v>1453</v>
      </c>
      <c r="N163" s="177">
        <v>10547505</v>
      </c>
      <c r="O163" s="174" t="s">
        <v>1480</v>
      </c>
      <c r="P163" s="174" t="s">
        <v>283</v>
      </c>
      <c r="Q163" s="174" t="s">
        <v>284</v>
      </c>
      <c r="R163" s="174" t="s">
        <v>283</v>
      </c>
      <c r="S163" s="174" t="s">
        <v>283</v>
      </c>
      <c r="T163" s="175">
        <v>0</v>
      </c>
    </row>
    <row r="164" spans="1:20" hidden="1" x14ac:dyDescent="0.2">
      <c r="A164" s="169" t="str">
        <f t="shared" si="2"/>
        <v>622</v>
      </c>
      <c r="B164" s="167" t="str">
        <f>_xlfn.XLOOKUP(I164,Mapping!D:D,Mapping!E:E)</f>
        <v>Xưởng Sản Xuất</v>
      </c>
      <c r="C164" s="167" t="str">
        <f>_xlfn.XLOOKUP(F164,Mapping!A:A,Mapping!F:F)</f>
        <v>BHXH, BHYT, KPCĐ</v>
      </c>
      <c r="D164" s="173">
        <v>46053</v>
      </c>
      <c r="E164" s="174" t="s">
        <v>1481</v>
      </c>
      <c r="F164" s="174" t="s">
        <v>425</v>
      </c>
      <c r="G164" s="174" t="s">
        <v>296</v>
      </c>
      <c r="H164" s="174" t="s">
        <v>402</v>
      </c>
      <c r="I164" s="174" t="s">
        <v>403</v>
      </c>
      <c r="J164" s="174" t="s">
        <v>1482</v>
      </c>
      <c r="K164" s="174" t="s">
        <v>1452</v>
      </c>
      <c r="L164" s="174" t="s">
        <v>458</v>
      </c>
      <c r="M164" s="174" t="s">
        <v>1453</v>
      </c>
      <c r="N164" s="177">
        <v>1563135</v>
      </c>
      <c r="O164" s="174" t="s">
        <v>1483</v>
      </c>
      <c r="P164" s="174" t="s">
        <v>283</v>
      </c>
      <c r="Q164" s="174" t="s">
        <v>284</v>
      </c>
      <c r="R164" s="174" t="s">
        <v>283</v>
      </c>
      <c r="S164" s="174" t="s">
        <v>283</v>
      </c>
      <c r="T164" s="175">
        <v>0</v>
      </c>
    </row>
    <row r="165" spans="1:20" hidden="1" x14ac:dyDescent="0.2">
      <c r="A165" s="169" t="str">
        <f t="shared" si="2"/>
        <v>627</v>
      </c>
      <c r="B165" s="167" t="str">
        <f>_xlfn.XLOOKUP(I165,Mapping!D:D,Mapping!E:E)</f>
        <v>Xưởng Sản Xuất</v>
      </c>
      <c r="C165" s="167" t="str">
        <f>_xlfn.XLOOKUP(F165,Mapping!A:A,Mapping!F:F)</f>
        <v>Phụ Cấp</v>
      </c>
      <c r="D165" s="173">
        <v>46051</v>
      </c>
      <c r="E165" s="174" t="s">
        <v>1484</v>
      </c>
      <c r="F165" s="174" t="s">
        <v>375</v>
      </c>
      <c r="G165" s="174" t="s">
        <v>336</v>
      </c>
      <c r="H165" s="174" t="s">
        <v>402</v>
      </c>
      <c r="I165" s="174" t="s">
        <v>403</v>
      </c>
      <c r="J165" s="174" t="s">
        <v>1386</v>
      </c>
      <c r="K165" s="174" t="s">
        <v>992</v>
      </c>
      <c r="L165" s="174" t="s">
        <v>458</v>
      </c>
      <c r="M165" s="174" t="s">
        <v>1453</v>
      </c>
      <c r="N165" s="177">
        <v>117996000</v>
      </c>
      <c r="O165" s="174" t="s">
        <v>1485</v>
      </c>
      <c r="P165" s="174" t="s">
        <v>283</v>
      </c>
      <c r="Q165" s="174" t="s">
        <v>306</v>
      </c>
      <c r="R165" s="174" t="s">
        <v>283</v>
      </c>
      <c r="S165" s="174" t="s">
        <v>283</v>
      </c>
      <c r="T165" s="175">
        <v>0</v>
      </c>
    </row>
    <row r="166" spans="1:20" hidden="1" x14ac:dyDescent="0.2">
      <c r="A166" s="169" t="str">
        <f t="shared" si="2"/>
        <v>622</v>
      </c>
      <c r="B166" s="167" t="str">
        <f>_xlfn.XLOOKUP(I166,Mapping!D:D,Mapping!E:E)</f>
        <v>Xưởng Sản Xuất</v>
      </c>
      <c r="C166" s="167" t="str">
        <f>_xlfn.XLOOKUP(F166,Mapping!A:A,Mapping!F:F)</f>
        <v>Phụ Cấp</v>
      </c>
      <c r="D166" s="173">
        <v>46053</v>
      </c>
      <c r="E166" s="174" t="s">
        <v>1493</v>
      </c>
      <c r="F166" s="174" t="s">
        <v>414</v>
      </c>
      <c r="G166" s="174" t="s">
        <v>415</v>
      </c>
      <c r="H166" s="174" t="s">
        <v>402</v>
      </c>
      <c r="I166" s="174" t="s">
        <v>403</v>
      </c>
      <c r="J166" s="174" t="s">
        <v>1557</v>
      </c>
      <c r="K166" s="174" t="s">
        <v>1495</v>
      </c>
      <c r="L166" s="174" t="s">
        <v>458</v>
      </c>
      <c r="M166" s="174" t="s">
        <v>1453</v>
      </c>
      <c r="N166" s="177">
        <v>63947000</v>
      </c>
      <c r="O166" s="174" t="s">
        <v>1496</v>
      </c>
      <c r="P166" s="174" t="s">
        <v>283</v>
      </c>
      <c r="Q166" s="174" t="s">
        <v>306</v>
      </c>
      <c r="R166" s="174" t="s">
        <v>283</v>
      </c>
      <c r="S166" s="174" t="s">
        <v>283</v>
      </c>
      <c r="T166" s="175">
        <v>0</v>
      </c>
    </row>
    <row r="167" spans="1:20" hidden="1" x14ac:dyDescent="0.2">
      <c r="A167" s="169" t="str">
        <f t="shared" si="2"/>
        <v>622</v>
      </c>
      <c r="B167" s="167" t="str">
        <f>_xlfn.XLOOKUP(I167,Mapping!D:D,Mapping!E:E)</f>
        <v>Xưởng Sản Xuất</v>
      </c>
      <c r="C167" s="167" t="str">
        <f>_xlfn.XLOOKUP(F167,Mapping!A:A,Mapping!F:F)</f>
        <v>Phụ Cấp</v>
      </c>
      <c r="D167" s="173">
        <v>46053</v>
      </c>
      <c r="E167" s="174" t="s">
        <v>1497</v>
      </c>
      <c r="F167" s="174" t="s">
        <v>414</v>
      </c>
      <c r="G167" s="174" t="s">
        <v>415</v>
      </c>
      <c r="H167" s="174" t="s">
        <v>402</v>
      </c>
      <c r="I167" s="174" t="s">
        <v>403</v>
      </c>
      <c r="J167" s="174" t="s">
        <v>1498</v>
      </c>
      <c r="K167" s="174" t="s">
        <v>1499</v>
      </c>
      <c r="L167" s="174" t="s">
        <v>458</v>
      </c>
      <c r="M167" s="174" t="s">
        <v>1453</v>
      </c>
      <c r="N167" s="177">
        <v>-7175209</v>
      </c>
      <c r="O167" s="174" t="s">
        <v>1500</v>
      </c>
      <c r="P167" s="174" t="s">
        <v>283</v>
      </c>
      <c r="Q167" s="174" t="s">
        <v>284</v>
      </c>
      <c r="R167" s="174" t="s">
        <v>283</v>
      </c>
      <c r="S167" s="174" t="s">
        <v>283</v>
      </c>
      <c r="T167" s="175">
        <v>0</v>
      </c>
    </row>
    <row r="168" spans="1:20" hidden="1" x14ac:dyDescent="0.2">
      <c r="A168" s="169" t="str">
        <f t="shared" si="2"/>
        <v>622</v>
      </c>
      <c r="B168" s="167" t="str">
        <f>_xlfn.XLOOKUP(I168,Mapping!D:D,Mapping!E:E)</f>
        <v>Xưởng Sản Xuất</v>
      </c>
      <c r="C168" s="167" t="str">
        <f>_xlfn.XLOOKUP(F168,Mapping!A:A,Mapping!F:F)</f>
        <v>Phụ Cấp</v>
      </c>
      <c r="D168" s="173">
        <v>46053</v>
      </c>
      <c r="E168" s="174" t="s">
        <v>1558</v>
      </c>
      <c r="F168" s="174" t="s">
        <v>414</v>
      </c>
      <c r="G168" s="174" t="s">
        <v>415</v>
      </c>
      <c r="H168" s="174" t="s">
        <v>402</v>
      </c>
      <c r="I168" s="174" t="s">
        <v>403</v>
      </c>
      <c r="J168" s="174" t="s">
        <v>416</v>
      </c>
      <c r="K168" s="174" t="s">
        <v>416</v>
      </c>
      <c r="L168" s="174" t="s">
        <v>458</v>
      </c>
      <c r="M168" s="174" t="s">
        <v>1453</v>
      </c>
      <c r="N168" s="177">
        <v>101080000</v>
      </c>
      <c r="O168" s="174" t="s">
        <v>1559</v>
      </c>
      <c r="P168" s="174" t="s">
        <v>283</v>
      </c>
      <c r="Q168" s="174" t="s">
        <v>348</v>
      </c>
      <c r="R168" s="174" t="s">
        <v>283</v>
      </c>
      <c r="S168" s="174" t="s">
        <v>283</v>
      </c>
      <c r="T168" s="175">
        <v>0</v>
      </c>
    </row>
    <row r="169" spans="1:20" hidden="1" x14ac:dyDescent="0.2">
      <c r="A169" s="169" t="str">
        <f t="shared" si="2"/>
        <v>627</v>
      </c>
      <c r="B169" s="167" t="str">
        <f>_xlfn.XLOOKUP(I169,Mapping!D:D,Mapping!E:E)</f>
        <v>Xưởng Sản Xuất</v>
      </c>
      <c r="C169" s="167" t="str">
        <f>_xlfn.XLOOKUP(F169,Mapping!A:A,Mapping!F:F)</f>
        <v>Phụ Cấp</v>
      </c>
      <c r="D169" s="173">
        <v>46053</v>
      </c>
      <c r="E169" s="174" t="s">
        <v>1558</v>
      </c>
      <c r="F169" s="174" t="s">
        <v>375</v>
      </c>
      <c r="G169" s="174" t="s">
        <v>336</v>
      </c>
      <c r="H169" s="174" t="s">
        <v>402</v>
      </c>
      <c r="I169" s="174" t="s">
        <v>403</v>
      </c>
      <c r="J169" s="174" t="s">
        <v>416</v>
      </c>
      <c r="K169" s="174" t="s">
        <v>416</v>
      </c>
      <c r="L169" s="174" t="s">
        <v>458</v>
      </c>
      <c r="M169" s="174" t="s">
        <v>1453</v>
      </c>
      <c r="N169" s="177">
        <v>-101080000</v>
      </c>
      <c r="O169" s="174" t="s">
        <v>1559</v>
      </c>
      <c r="P169" s="174" t="s">
        <v>283</v>
      </c>
      <c r="Q169" s="174" t="s">
        <v>348</v>
      </c>
      <c r="R169" s="174" t="s">
        <v>283</v>
      </c>
      <c r="S169" s="174" t="s">
        <v>283</v>
      </c>
      <c r="T169" s="175">
        <v>0</v>
      </c>
    </row>
    <row r="170" spans="1:20" hidden="1" x14ac:dyDescent="0.2">
      <c r="A170" s="169" t="str">
        <f t="shared" si="2"/>
        <v>622</v>
      </c>
      <c r="B170" s="167" t="str">
        <f>_xlfn.XLOOKUP(I170,Mapping!D:D,Mapping!E:E)</f>
        <v>Xưởng Sản Xuất</v>
      </c>
      <c r="C170" s="167" t="str">
        <f>_xlfn.XLOOKUP(F170,Mapping!A:A,Mapping!F:F)</f>
        <v>Lương Chính +T13</v>
      </c>
      <c r="D170" s="173">
        <v>46053</v>
      </c>
      <c r="E170" s="174" t="s">
        <v>1450</v>
      </c>
      <c r="F170" s="174" t="s">
        <v>400</v>
      </c>
      <c r="G170" s="174" t="s">
        <v>401</v>
      </c>
      <c r="H170" s="174" t="s">
        <v>430</v>
      </c>
      <c r="I170" s="174" t="s">
        <v>431</v>
      </c>
      <c r="J170" s="174" t="s">
        <v>1451</v>
      </c>
      <c r="K170" s="174" t="s">
        <v>1452</v>
      </c>
      <c r="L170" s="174" t="s">
        <v>458</v>
      </c>
      <c r="M170" s="174" t="s">
        <v>1453</v>
      </c>
      <c r="N170" s="177">
        <v>272151167</v>
      </c>
      <c r="O170" s="174" t="s">
        <v>1454</v>
      </c>
      <c r="P170" s="174" t="s">
        <v>283</v>
      </c>
      <c r="Q170" s="174" t="s">
        <v>284</v>
      </c>
      <c r="R170" s="174" t="s">
        <v>283</v>
      </c>
      <c r="S170" s="174" t="s">
        <v>283</v>
      </c>
      <c r="T170" s="175">
        <v>0</v>
      </c>
    </row>
    <row r="171" spans="1:20" hidden="1" x14ac:dyDescent="0.2">
      <c r="A171" s="169" t="str">
        <f t="shared" si="2"/>
        <v>622</v>
      </c>
      <c r="B171" s="167" t="str">
        <f>_xlfn.XLOOKUP(I171,Mapping!D:D,Mapping!E:E)</f>
        <v>Xưởng Sản Xuất</v>
      </c>
      <c r="C171" s="167" t="str">
        <f>_xlfn.XLOOKUP(F171,Mapping!A:A,Mapping!F:F)</f>
        <v>Lương Chính +T13</v>
      </c>
      <c r="D171" s="173">
        <v>46053</v>
      </c>
      <c r="E171" s="174" t="s">
        <v>1450</v>
      </c>
      <c r="F171" s="174" t="s">
        <v>420</v>
      </c>
      <c r="G171" s="174" t="s">
        <v>286</v>
      </c>
      <c r="H171" s="174" t="s">
        <v>430</v>
      </c>
      <c r="I171" s="174" t="s">
        <v>431</v>
      </c>
      <c r="J171" s="174" t="s">
        <v>1451</v>
      </c>
      <c r="K171" s="174" t="s">
        <v>1452</v>
      </c>
      <c r="L171" s="174" t="s">
        <v>458</v>
      </c>
      <c r="M171" s="174" t="s">
        <v>1453</v>
      </c>
      <c r="N171" s="177">
        <v>19191995</v>
      </c>
      <c r="O171" s="174" t="s">
        <v>1454</v>
      </c>
      <c r="P171" s="174" t="s">
        <v>283</v>
      </c>
      <c r="Q171" s="174" t="s">
        <v>284</v>
      </c>
      <c r="R171" s="174" t="s">
        <v>283</v>
      </c>
      <c r="S171" s="174" t="s">
        <v>283</v>
      </c>
      <c r="T171" s="175">
        <v>0</v>
      </c>
    </row>
    <row r="172" spans="1:20" hidden="1" x14ac:dyDescent="0.2">
      <c r="A172" s="169" t="str">
        <f t="shared" si="2"/>
        <v>622</v>
      </c>
      <c r="B172" s="167" t="str">
        <f>_xlfn.XLOOKUP(I172,Mapping!D:D,Mapping!E:E)</f>
        <v>Xưởng Sản Xuất</v>
      </c>
      <c r="C172" s="167" t="str">
        <f>_xlfn.XLOOKUP(F172,Mapping!A:A,Mapping!F:F)</f>
        <v>Phụ Cấp</v>
      </c>
      <c r="D172" s="173">
        <v>46053</v>
      </c>
      <c r="E172" s="174" t="s">
        <v>1450</v>
      </c>
      <c r="F172" s="174" t="s">
        <v>421</v>
      </c>
      <c r="G172" s="174" t="s">
        <v>341</v>
      </c>
      <c r="H172" s="174" t="s">
        <v>430</v>
      </c>
      <c r="I172" s="174" t="s">
        <v>431</v>
      </c>
      <c r="J172" s="174" t="s">
        <v>1451</v>
      </c>
      <c r="K172" s="174" t="s">
        <v>1452</v>
      </c>
      <c r="L172" s="174" t="s">
        <v>458</v>
      </c>
      <c r="M172" s="174" t="s">
        <v>1453</v>
      </c>
      <c r="N172" s="177">
        <v>22493261</v>
      </c>
      <c r="O172" s="174" t="s">
        <v>1454</v>
      </c>
      <c r="P172" s="174" t="s">
        <v>283</v>
      </c>
      <c r="Q172" s="174" t="s">
        <v>284</v>
      </c>
      <c r="R172" s="174" t="s">
        <v>283</v>
      </c>
      <c r="S172" s="174" t="s">
        <v>283</v>
      </c>
      <c r="T172" s="175">
        <v>0</v>
      </c>
    </row>
    <row r="173" spans="1:20" hidden="1" x14ac:dyDescent="0.2">
      <c r="A173" s="169" t="str">
        <f t="shared" si="2"/>
        <v>622</v>
      </c>
      <c r="B173" s="167" t="str">
        <f>_xlfn.XLOOKUP(I173,Mapping!D:D,Mapping!E:E)</f>
        <v>Xưởng Sản Xuất</v>
      </c>
      <c r="C173" s="167" t="str">
        <f>_xlfn.XLOOKUP(F173,Mapping!A:A,Mapping!F:F)</f>
        <v>Lương Ngoài giờ</v>
      </c>
      <c r="D173" s="173">
        <v>46053</v>
      </c>
      <c r="E173" s="174" t="s">
        <v>1450</v>
      </c>
      <c r="F173" s="174" t="s">
        <v>422</v>
      </c>
      <c r="G173" s="174" t="s">
        <v>423</v>
      </c>
      <c r="H173" s="174" t="s">
        <v>430</v>
      </c>
      <c r="I173" s="174" t="s">
        <v>431</v>
      </c>
      <c r="J173" s="174" t="s">
        <v>1451</v>
      </c>
      <c r="K173" s="174" t="s">
        <v>1452</v>
      </c>
      <c r="L173" s="174" t="s">
        <v>458</v>
      </c>
      <c r="M173" s="174" t="s">
        <v>1453</v>
      </c>
      <c r="N173" s="177">
        <v>49604166</v>
      </c>
      <c r="O173" s="174" t="s">
        <v>1454</v>
      </c>
      <c r="P173" s="174" t="s">
        <v>283</v>
      </c>
      <c r="Q173" s="174" t="s">
        <v>284</v>
      </c>
      <c r="R173" s="174" t="s">
        <v>283</v>
      </c>
      <c r="S173" s="174" t="s">
        <v>283</v>
      </c>
      <c r="T173" s="175">
        <v>0</v>
      </c>
    </row>
    <row r="174" spans="1:20" hidden="1" x14ac:dyDescent="0.2">
      <c r="A174" s="169" t="str">
        <f t="shared" si="2"/>
        <v>622</v>
      </c>
      <c r="B174" s="167" t="str">
        <f>_xlfn.XLOOKUP(I174,Mapping!D:D,Mapping!E:E)</f>
        <v>Xưởng Sản Xuất</v>
      </c>
      <c r="C174" s="167" t="str">
        <f>_xlfn.XLOOKUP(F174,Mapping!A:A,Mapping!F:F)</f>
        <v>Thưởng</v>
      </c>
      <c r="D174" s="173">
        <v>46053</v>
      </c>
      <c r="E174" s="174" t="s">
        <v>1450</v>
      </c>
      <c r="F174" s="174" t="s">
        <v>424</v>
      </c>
      <c r="G174" s="174" t="s">
        <v>291</v>
      </c>
      <c r="H174" s="174" t="s">
        <v>430</v>
      </c>
      <c r="I174" s="174" t="s">
        <v>431</v>
      </c>
      <c r="J174" s="174" t="s">
        <v>1451</v>
      </c>
      <c r="K174" s="174" t="s">
        <v>1452</v>
      </c>
      <c r="L174" s="174" t="s">
        <v>458</v>
      </c>
      <c r="M174" s="174" t="s">
        <v>1453</v>
      </c>
      <c r="N174" s="177">
        <v>7400000</v>
      </c>
      <c r="O174" s="174" t="s">
        <v>1454</v>
      </c>
      <c r="P174" s="174" t="s">
        <v>283</v>
      </c>
      <c r="Q174" s="174" t="s">
        <v>284</v>
      </c>
      <c r="R174" s="174" t="s">
        <v>283</v>
      </c>
      <c r="S174" s="174" t="s">
        <v>283</v>
      </c>
      <c r="T174" s="175">
        <v>0</v>
      </c>
    </row>
    <row r="175" spans="1:20" hidden="1" x14ac:dyDescent="0.2">
      <c r="A175" s="169" t="str">
        <f t="shared" si="2"/>
        <v>627</v>
      </c>
      <c r="B175" s="167" t="str">
        <f>_xlfn.XLOOKUP(I175,Mapping!D:D,Mapping!E:E)</f>
        <v>Xưởng Sản Xuất</v>
      </c>
      <c r="C175" s="167" t="str">
        <f>_xlfn.XLOOKUP(F175,Mapping!A:A,Mapping!F:F)</f>
        <v>Phụ Cấp</v>
      </c>
      <c r="D175" s="173">
        <v>46053</v>
      </c>
      <c r="E175" s="174" t="s">
        <v>1450</v>
      </c>
      <c r="F175" s="174" t="s">
        <v>386</v>
      </c>
      <c r="G175" s="174" t="s">
        <v>341</v>
      </c>
      <c r="H175" s="174" t="s">
        <v>430</v>
      </c>
      <c r="I175" s="174" t="s">
        <v>431</v>
      </c>
      <c r="J175" s="174" t="s">
        <v>1451</v>
      </c>
      <c r="K175" s="174" t="s">
        <v>1452</v>
      </c>
      <c r="L175" s="174" t="s">
        <v>458</v>
      </c>
      <c r="M175" s="174" t="s">
        <v>1453</v>
      </c>
      <c r="N175" s="177">
        <v>7500935</v>
      </c>
      <c r="O175" s="174" t="s">
        <v>1454</v>
      </c>
      <c r="P175" s="174" t="s">
        <v>283</v>
      </c>
      <c r="Q175" s="174" t="s">
        <v>284</v>
      </c>
      <c r="R175" s="174" t="s">
        <v>283</v>
      </c>
      <c r="S175" s="174" t="s">
        <v>283</v>
      </c>
      <c r="T175" s="175">
        <v>0</v>
      </c>
    </row>
    <row r="176" spans="1:20" hidden="1" x14ac:dyDescent="0.2">
      <c r="A176" s="169" t="str">
        <f t="shared" si="2"/>
        <v>627</v>
      </c>
      <c r="B176" s="167" t="str">
        <f>_xlfn.XLOOKUP(I176,Mapping!D:D,Mapping!E:E)</f>
        <v>Xưởng Sản Xuất</v>
      </c>
      <c r="C176" s="167" t="str">
        <f>_xlfn.XLOOKUP(F176,Mapping!A:A,Mapping!F:F)</f>
        <v>Lương Chính +T13</v>
      </c>
      <c r="D176" s="173">
        <v>46053</v>
      </c>
      <c r="E176" s="174" t="s">
        <v>1450</v>
      </c>
      <c r="F176" s="174" t="s">
        <v>387</v>
      </c>
      <c r="G176" s="174" t="s">
        <v>275</v>
      </c>
      <c r="H176" s="174" t="s">
        <v>430</v>
      </c>
      <c r="I176" s="174" t="s">
        <v>431</v>
      </c>
      <c r="J176" s="174" t="s">
        <v>1451</v>
      </c>
      <c r="K176" s="174" t="s">
        <v>1452</v>
      </c>
      <c r="L176" s="174" t="s">
        <v>458</v>
      </c>
      <c r="M176" s="174" t="s">
        <v>1453</v>
      </c>
      <c r="N176" s="177">
        <v>164498251</v>
      </c>
      <c r="O176" s="174" t="s">
        <v>1454</v>
      </c>
      <c r="P176" s="174" t="s">
        <v>283</v>
      </c>
      <c r="Q176" s="174" t="s">
        <v>284</v>
      </c>
      <c r="R176" s="174" t="s">
        <v>283</v>
      </c>
      <c r="S176" s="174" t="s">
        <v>283</v>
      </c>
      <c r="T176" s="175">
        <v>0</v>
      </c>
    </row>
    <row r="177" spans="1:20" hidden="1" x14ac:dyDescent="0.2">
      <c r="A177" s="169" t="str">
        <f t="shared" si="2"/>
        <v>627</v>
      </c>
      <c r="B177" s="167" t="str">
        <f>_xlfn.XLOOKUP(I177,Mapping!D:D,Mapping!E:E)</f>
        <v>Xưởng Sản Xuất</v>
      </c>
      <c r="C177" s="167" t="str">
        <f>_xlfn.XLOOKUP(F177,Mapping!A:A,Mapping!F:F)</f>
        <v>Lương Chính +T13</v>
      </c>
      <c r="D177" s="173">
        <v>46053</v>
      </c>
      <c r="E177" s="174" t="s">
        <v>1450</v>
      </c>
      <c r="F177" s="174" t="s">
        <v>388</v>
      </c>
      <c r="G177" s="174" t="s">
        <v>286</v>
      </c>
      <c r="H177" s="174" t="s">
        <v>430</v>
      </c>
      <c r="I177" s="174" t="s">
        <v>431</v>
      </c>
      <c r="J177" s="174" t="s">
        <v>1451</v>
      </c>
      <c r="K177" s="174" t="s">
        <v>1452</v>
      </c>
      <c r="L177" s="174" t="s">
        <v>458</v>
      </c>
      <c r="M177" s="174" t="s">
        <v>1453</v>
      </c>
      <c r="N177" s="177">
        <v>12588597</v>
      </c>
      <c r="O177" s="174" t="s">
        <v>1454</v>
      </c>
      <c r="P177" s="174" t="s">
        <v>283</v>
      </c>
      <c r="Q177" s="174" t="s">
        <v>284</v>
      </c>
      <c r="R177" s="174" t="s">
        <v>283</v>
      </c>
      <c r="S177" s="174" t="s">
        <v>283</v>
      </c>
      <c r="T177" s="175">
        <v>0</v>
      </c>
    </row>
    <row r="178" spans="1:20" hidden="1" x14ac:dyDescent="0.2">
      <c r="A178" s="169" t="str">
        <f t="shared" si="2"/>
        <v>627</v>
      </c>
      <c r="B178" s="167" t="str">
        <f>_xlfn.XLOOKUP(I178,Mapping!D:D,Mapping!E:E)</f>
        <v>Xưởng Sản Xuất</v>
      </c>
      <c r="C178" s="167" t="str">
        <f>_xlfn.XLOOKUP(F178,Mapping!A:A,Mapping!F:F)</f>
        <v>Lương Ngoài giờ</v>
      </c>
      <c r="D178" s="173">
        <v>46053</v>
      </c>
      <c r="E178" s="174" t="s">
        <v>1450</v>
      </c>
      <c r="F178" s="174" t="s">
        <v>389</v>
      </c>
      <c r="G178" s="174" t="s">
        <v>390</v>
      </c>
      <c r="H178" s="174" t="s">
        <v>430</v>
      </c>
      <c r="I178" s="174" t="s">
        <v>431</v>
      </c>
      <c r="J178" s="174" t="s">
        <v>1451</v>
      </c>
      <c r="K178" s="174" t="s">
        <v>1452</v>
      </c>
      <c r="L178" s="174" t="s">
        <v>458</v>
      </c>
      <c r="M178" s="174" t="s">
        <v>1453</v>
      </c>
      <c r="N178" s="177">
        <v>15112927</v>
      </c>
      <c r="O178" s="174" t="s">
        <v>1454</v>
      </c>
      <c r="P178" s="174" t="s">
        <v>283</v>
      </c>
      <c r="Q178" s="174" t="s">
        <v>284</v>
      </c>
      <c r="R178" s="174" t="s">
        <v>283</v>
      </c>
      <c r="S178" s="174" t="s">
        <v>283</v>
      </c>
      <c r="T178" s="175">
        <v>0</v>
      </c>
    </row>
    <row r="179" spans="1:20" hidden="1" x14ac:dyDescent="0.2">
      <c r="A179" s="169" t="str">
        <f t="shared" si="2"/>
        <v>627</v>
      </c>
      <c r="B179" s="167" t="str">
        <f>_xlfn.XLOOKUP(I179,Mapping!D:D,Mapping!E:E)</f>
        <v>Xưởng Sản Xuất</v>
      </c>
      <c r="C179" s="167" t="str">
        <f>_xlfn.XLOOKUP(F179,Mapping!A:A,Mapping!F:F)</f>
        <v>Thưởng</v>
      </c>
      <c r="D179" s="173">
        <v>46053</v>
      </c>
      <c r="E179" s="174" t="s">
        <v>1450</v>
      </c>
      <c r="F179" s="174" t="s">
        <v>391</v>
      </c>
      <c r="G179" s="174" t="s">
        <v>291</v>
      </c>
      <c r="H179" s="174" t="s">
        <v>430</v>
      </c>
      <c r="I179" s="174" t="s">
        <v>431</v>
      </c>
      <c r="J179" s="174" t="s">
        <v>1451</v>
      </c>
      <c r="K179" s="174" t="s">
        <v>1452</v>
      </c>
      <c r="L179" s="174" t="s">
        <v>458</v>
      </c>
      <c r="M179" s="174" t="s">
        <v>1453</v>
      </c>
      <c r="N179" s="177">
        <v>2200000</v>
      </c>
      <c r="O179" s="174" t="s">
        <v>1454</v>
      </c>
      <c r="P179" s="174" t="s">
        <v>283</v>
      </c>
      <c r="Q179" s="174" t="s">
        <v>284</v>
      </c>
      <c r="R179" s="174" t="s">
        <v>283</v>
      </c>
      <c r="S179" s="174" t="s">
        <v>283</v>
      </c>
      <c r="T179" s="175">
        <v>0</v>
      </c>
    </row>
    <row r="180" spans="1:20" hidden="1" x14ac:dyDescent="0.2">
      <c r="A180" s="169" t="str">
        <f t="shared" si="2"/>
        <v>627</v>
      </c>
      <c r="B180" s="167" t="str">
        <f>_xlfn.XLOOKUP(I180,Mapping!D:D,Mapping!E:E)</f>
        <v>Xưởng Sản Xuất</v>
      </c>
      <c r="C180" s="167" t="str">
        <f>_xlfn.XLOOKUP(F180,Mapping!A:A,Mapping!F:F)</f>
        <v>Lương Chính +T13</v>
      </c>
      <c r="D180" s="173">
        <v>46053</v>
      </c>
      <c r="E180" s="174" t="s">
        <v>1455</v>
      </c>
      <c r="F180" s="174" t="s">
        <v>388</v>
      </c>
      <c r="G180" s="174" t="s">
        <v>286</v>
      </c>
      <c r="H180" s="174" t="s">
        <v>430</v>
      </c>
      <c r="I180" s="174" t="s">
        <v>431</v>
      </c>
      <c r="J180" s="174" t="s">
        <v>1456</v>
      </c>
      <c r="K180" s="174" t="s">
        <v>1452</v>
      </c>
      <c r="L180" s="174" t="s">
        <v>458</v>
      </c>
      <c r="M180" s="174" t="s">
        <v>1453</v>
      </c>
      <c r="N180" s="177">
        <v>13164167</v>
      </c>
      <c r="O180" s="174" t="s">
        <v>1457</v>
      </c>
      <c r="P180" s="174" t="s">
        <v>283</v>
      </c>
      <c r="Q180" s="174" t="s">
        <v>284</v>
      </c>
      <c r="R180" s="174" t="s">
        <v>283</v>
      </c>
      <c r="S180" s="174" t="s">
        <v>283</v>
      </c>
      <c r="T180" s="175">
        <v>0</v>
      </c>
    </row>
    <row r="181" spans="1:20" hidden="1" x14ac:dyDescent="0.2">
      <c r="A181" s="169" t="str">
        <f t="shared" si="2"/>
        <v>622</v>
      </c>
      <c r="B181" s="167" t="str">
        <f>_xlfn.XLOOKUP(I181,Mapping!D:D,Mapping!E:E)</f>
        <v>Xưởng Sản Xuất</v>
      </c>
      <c r="C181" s="167" t="str">
        <f>_xlfn.XLOOKUP(F181,Mapping!A:A,Mapping!F:F)</f>
        <v>Lương Chính +T13</v>
      </c>
      <c r="D181" s="173">
        <v>46053</v>
      </c>
      <c r="E181" s="174" t="s">
        <v>1455</v>
      </c>
      <c r="F181" s="174" t="s">
        <v>420</v>
      </c>
      <c r="G181" s="174" t="s">
        <v>286</v>
      </c>
      <c r="H181" s="174" t="s">
        <v>430</v>
      </c>
      <c r="I181" s="174" t="s">
        <v>431</v>
      </c>
      <c r="J181" s="174" t="s">
        <v>1456</v>
      </c>
      <c r="K181" s="174" t="s">
        <v>1452</v>
      </c>
      <c r="L181" s="174" t="s">
        <v>458</v>
      </c>
      <c r="M181" s="174" t="s">
        <v>1453</v>
      </c>
      <c r="N181" s="177">
        <v>17359333</v>
      </c>
      <c r="O181" s="174" t="s">
        <v>1457</v>
      </c>
      <c r="P181" s="174" t="s">
        <v>283</v>
      </c>
      <c r="Q181" s="174" t="s">
        <v>284</v>
      </c>
      <c r="R181" s="174" t="s">
        <v>283</v>
      </c>
      <c r="S181" s="174" t="s">
        <v>283</v>
      </c>
      <c r="T181" s="175">
        <v>0</v>
      </c>
    </row>
    <row r="182" spans="1:20" hidden="1" x14ac:dyDescent="0.2">
      <c r="A182" s="169" t="str">
        <f t="shared" si="2"/>
        <v>627</v>
      </c>
      <c r="B182" s="167" t="str">
        <f>_xlfn.XLOOKUP(I182,Mapping!D:D,Mapping!E:E)</f>
        <v>Xưởng Sản Xuất</v>
      </c>
      <c r="C182" s="167" t="str">
        <f>_xlfn.XLOOKUP(F182,Mapping!A:A,Mapping!F:F)</f>
        <v>Thưởng</v>
      </c>
      <c r="D182" s="173">
        <v>46053</v>
      </c>
      <c r="E182" s="174" t="s">
        <v>1455</v>
      </c>
      <c r="F182" s="174" t="s">
        <v>395</v>
      </c>
      <c r="G182" s="174" t="s">
        <v>77</v>
      </c>
      <c r="H182" s="174" t="s">
        <v>430</v>
      </c>
      <c r="I182" s="174" t="s">
        <v>431</v>
      </c>
      <c r="J182" s="174" t="s">
        <v>1458</v>
      </c>
      <c r="K182" s="174" t="s">
        <v>1452</v>
      </c>
      <c r="L182" s="174" t="s">
        <v>458</v>
      </c>
      <c r="M182" s="174" t="s">
        <v>1453</v>
      </c>
      <c r="N182" s="177">
        <v>12110928</v>
      </c>
      <c r="O182" s="174" t="s">
        <v>1457</v>
      </c>
      <c r="P182" s="174" t="s">
        <v>283</v>
      </c>
      <c r="Q182" s="174" t="s">
        <v>284</v>
      </c>
      <c r="R182" s="174" t="s">
        <v>283</v>
      </c>
      <c r="S182" s="174" t="s">
        <v>283</v>
      </c>
      <c r="T182" s="175">
        <v>0</v>
      </c>
    </row>
    <row r="183" spans="1:20" hidden="1" x14ac:dyDescent="0.2">
      <c r="A183" s="169" t="str">
        <f t="shared" si="2"/>
        <v>622</v>
      </c>
      <c r="B183" s="167" t="str">
        <f>_xlfn.XLOOKUP(I183,Mapping!D:D,Mapping!E:E)</f>
        <v>Xưởng Sản Xuất</v>
      </c>
      <c r="C183" s="167" t="str">
        <f>_xlfn.XLOOKUP(F183,Mapping!A:A,Mapping!F:F)</f>
        <v>Thưởng</v>
      </c>
      <c r="D183" s="173">
        <v>46053</v>
      </c>
      <c r="E183" s="174" t="s">
        <v>1455</v>
      </c>
      <c r="F183" s="174" t="s">
        <v>426</v>
      </c>
      <c r="G183" s="174" t="s">
        <v>77</v>
      </c>
      <c r="H183" s="174" t="s">
        <v>430</v>
      </c>
      <c r="I183" s="174" t="s">
        <v>431</v>
      </c>
      <c r="J183" s="174" t="s">
        <v>1458</v>
      </c>
      <c r="K183" s="174" t="s">
        <v>1452</v>
      </c>
      <c r="L183" s="174" t="s">
        <v>458</v>
      </c>
      <c r="M183" s="174" t="s">
        <v>1453</v>
      </c>
      <c r="N183" s="177">
        <v>5048573</v>
      </c>
      <c r="O183" s="174" t="s">
        <v>1457</v>
      </c>
      <c r="P183" s="174" t="s">
        <v>283</v>
      </c>
      <c r="Q183" s="174" t="s">
        <v>284</v>
      </c>
      <c r="R183" s="174" t="s">
        <v>283</v>
      </c>
      <c r="S183" s="174" t="s">
        <v>283</v>
      </c>
      <c r="T183" s="175">
        <v>0</v>
      </c>
    </row>
    <row r="184" spans="1:20" hidden="1" x14ac:dyDescent="0.2">
      <c r="A184" s="169" t="str">
        <f t="shared" si="2"/>
        <v>622</v>
      </c>
      <c r="B184" s="167" t="str">
        <f>_xlfn.XLOOKUP(I184,Mapping!D:D,Mapping!E:E)</f>
        <v>Xưởng Sản Xuất</v>
      </c>
      <c r="C184" s="167" t="str">
        <f>_xlfn.XLOOKUP(F184,Mapping!A:A,Mapping!F:F)</f>
        <v>BHXH, BHYT, KPCĐ</v>
      </c>
      <c r="D184" s="173">
        <v>46053</v>
      </c>
      <c r="E184" s="174" t="s">
        <v>1459</v>
      </c>
      <c r="F184" s="174" t="s">
        <v>425</v>
      </c>
      <c r="G184" s="174" t="s">
        <v>296</v>
      </c>
      <c r="H184" s="174" t="s">
        <v>430</v>
      </c>
      <c r="I184" s="174" t="s">
        <v>431</v>
      </c>
      <c r="J184" s="174" t="s">
        <v>1460</v>
      </c>
      <c r="K184" s="174" t="s">
        <v>1452</v>
      </c>
      <c r="L184" s="174" t="s">
        <v>458</v>
      </c>
      <c r="M184" s="174" t="s">
        <v>1453</v>
      </c>
      <c r="N184" s="177">
        <v>51656470</v>
      </c>
      <c r="O184" s="174" t="s">
        <v>1461</v>
      </c>
      <c r="P184" s="174" t="s">
        <v>283</v>
      </c>
      <c r="Q184" s="174" t="s">
        <v>284</v>
      </c>
      <c r="R184" s="174" t="s">
        <v>283</v>
      </c>
      <c r="S184" s="174" t="s">
        <v>283</v>
      </c>
      <c r="T184" s="175">
        <v>0</v>
      </c>
    </row>
    <row r="185" spans="1:20" hidden="1" x14ac:dyDescent="0.2">
      <c r="A185" s="169" t="str">
        <f t="shared" si="2"/>
        <v>627</v>
      </c>
      <c r="B185" s="167" t="str">
        <f>_xlfn.XLOOKUP(I185,Mapping!D:D,Mapping!E:E)</f>
        <v>Xưởng Sản Xuất</v>
      </c>
      <c r="C185" s="167" t="str">
        <f>_xlfn.XLOOKUP(F185,Mapping!A:A,Mapping!F:F)</f>
        <v>BHXH, BHYT, KPCĐ</v>
      </c>
      <c r="D185" s="173">
        <v>46053</v>
      </c>
      <c r="E185" s="174" t="s">
        <v>1459</v>
      </c>
      <c r="F185" s="174" t="s">
        <v>393</v>
      </c>
      <c r="G185" s="174" t="s">
        <v>296</v>
      </c>
      <c r="H185" s="174" t="s">
        <v>430</v>
      </c>
      <c r="I185" s="174" t="s">
        <v>431</v>
      </c>
      <c r="J185" s="174" t="s">
        <v>1460</v>
      </c>
      <c r="K185" s="174" t="s">
        <v>1452</v>
      </c>
      <c r="L185" s="174" t="s">
        <v>458</v>
      </c>
      <c r="M185" s="174" t="s">
        <v>1453</v>
      </c>
      <c r="N185" s="177">
        <v>31597160</v>
      </c>
      <c r="O185" s="174" t="s">
        <v>1461</v>
      </c>
      <c r="P185" s="174" t="s">
        <v>283</v>
      </c>
      <c r="Q185" s="174" t="s">
        <v>284</v>
      </c>
      <c r="R185" s="174" t="s">
        <v>283</v>
      </c>
      <c r="S185" s="174" t="s">
        <v>283</v>
      </c>
      <c r="T185" s="175">
        <v>0</v>
      </c>
    </row>
    <row r="186" spans="1:20" hidden="1" x14ac:dyDescent="0.2">
      <c r="A186" s="169" t="str">
        <f t="shared" si="2"/>
        <v>627</v>
      </c>
      <c r="B186" s="167" t="str">
        <f>_xlfn.XLOOKUP(I186,Mapping!D:D,Mapping!E:E)</f>
        <v>Xưởng Sản Xuất</v>
      </c>
      <c r="C186" s="167" t="str">
        <f>_xlfn.XLOOKUP(F186,Mapping!A:A,Mapping!F:F)</f>
        <v>Phụ Cấp</v>
      </c>
      <c r="D186" s="173">
        <v>46051</v>
      </c>
      <c r="E186" s="174" t="s">
        <v>1484</v>
      </c>
      <c r="F186" s="174" t="s">
        <v>375</v>
      </c>
      <c r="G186" s="174" t="s">
        <v>336</v>
      </c>
      <c r="H186" s="174" t="s">
        <v>430</v>
      </c>
      <c r="I186" s="174" t="s">
        <v>431</v>
      </c>
      <c r="J186" s="174" t="s">
        <v>1386</v>
      </c>
      <c r="K186" s="174" t="s">
        <v>992</v>
      </c>
      <c r="L186" s="174" t="s">
        <v>458</v>
      </c>
      <c r="M186" s="174" t="s">
        <v>1453</v>
      </c>
      <c r="N186" s="177">
        <v>23823000</v>
      </c>
      <c r="O186" s="174" t="s">
        <v>1485</v>
      </c>
      <c r="P186" s="174" t="s">
        <v>283</v>
      </c>
      <c r="Q186" s="174" t="s">
        <v>306</v>
      </c>
      <c r="R186" s="174" t="s">
        <v>283</v>
      </c>
      <c r="S186" s="174" t="s">
        <v>283</v>
      </c>
      <c r="T186" s="175">
        <v>0</v>
      </c>
    </row>
    <row r="187" spans="1:20" hidden="1" x14ac:dyDescent="0.2">
      <c r="A187" s="169" t="str">
        <f t="shared" si="2"/>
        <v>622</v>
      </c>
      <c r="B187" s="167" t="str">
        <f>_xlfn.XLOOKUP(I187,Mapping!D:D,Mapping!E:E)</f>
        <v>Xưởng Sản Xuất</v>
      </c>
      <c r="C187" s="167" t="str">
        <f>_xlfn.XLOOKUP(F187,Mapping!A:A,Mapping!F:F)</f>
        <v>Phụ Cấp</v>
      </c>
      <c r="D187" s="173">
        <v>46053</v>
      </c>
      <c r="E187" s="174" t="s">
        <v>1493</v>
      </c>
      <c r="F187" s="174" t="s">
        <v>414</v>
      </c>
      <c r="G187" s="174" t="s">
        <v>415</v>
      </c>
      <c r="H187" s="174" t="s">
        <v>430</v>
      </c>
      <c r="I187" s="174" t="s">
        <v>431</v>
      </c>
      <c r="J187" s="174" t="s">
        <v>1560</v>
      </c>
      <c r="K187" s="174" t="s">
        <v>1495</v>
      </c>
      <c r="L187" s="174" t="s">
        <v>458</v>
      </c>
      <c r="M187" s="174" t="s">
        <v>1453</v>
      </c>
      <c r="N187" s="177">
        <v>12480000</v>
      </c>
      <c r="O187" s="174" t="s">
        <v>1496</v>
      </c>
      <c r="P187" s="174" t="s">
        <v>283</v>
      </c>
      <c r="Q187" s="174" t="s">
        <v>306</v>
      </c>
      <c r="R187" s="174" t="s">
        <v>283</v>
      </c>
      <c r="S187" s="174" t="s">
        <v>283</v>
      </c>
      <c r="T187" s="175">
        <v>0</v>
      </c>
    </row>
    <row r="188" spans="1:20" hidden="1" x14ac:dyDescent="0.2">
      <c r="A188" s="169" t="str">
        <f t="shared" si="2"/>
        <v>622</v>
      </c>
      <c r="B188" s="167" t="str">
        <f>_xlfn.XLOOKUP(I188,Mapping!D:D,Mapping!E:E)</f>
        <v>Xưởng Sản Xuất</v>
      </c>
      <c r="C188" s="167" t="str">
        <f>_xlfn.XLOOKUP(F188,Mapping!A:A,Mapping!F:F)</f>
        <v>Phụ Cấp</v>
      </c>
      <c r="D188" s="173">
        <v>46053</v>
      </c>
      <c r="E188" s="174" t="s">
        <v>1497</v>
      </c>
      <c r="F188" s="174" t="s">
        <v>414</v>
      </c>
      <c r="G188" s="174" t="s">
        <v>415</v>
      </c>
      <c r="H188" s="174" t="s">
        <v>430</v>
      </c>
      <c r="I188" s="174" t="s">
        <v>431</v>
      </c>
      <c r="J188" s="174" t="s">
        <v>1498</v>
      </c>
      <c r="K188" s="174" t="s">
        <v>1499</v>
      </c>
      <c r="L188" s="174" t="s">
        <v>458</v>
      </c>
      <c r="M188" s="174" t="s">
        <v>1453</v>
      </c>
      <c r="N188" s="177">
        <v>-1400325</v>
      </c>
      <c r="O188" s="174" t="s">
        <v>1500</v>
      </c>
      <c r="P188" s="174" t="s">
        <v>283</v>
      </c>
      <c r="Q188" s="174" t="s">
        <v>284</v>
      </c>
      <c r="R188" s="174" t="s">
        <v>283</v>
      </c>
      <c r="S188" s="174" t="s">
        <v>283</v>
      </c>
      <c r="T188" s="175">
        <v>0</v>
      </c>
    </row>
    <row r="189" spans="1:20" hidden="1" x14ac:dyDescent="0.2">
      <c r="A189" s="169" t="str">
        <f t="shared" si="2"/>
        <v>622</v>
      </c>
      <c r="B189" s="167" t="str">
        <f>_xlfn.XLOOKUP(I189,Mapping!D:D,Mapping!E:E)</f>
        <v>Xưởng Sản Xuất</v>
      </c>
      <c r="C189" s="167" t="str">
        <f>_xlfn.XLOOKUP(F189,Mapping!A:A,Mapping!F:F)</f>
        <v>Phụ Cấp</v>
      </c>
      <c r="D189" s="173">
        <v>46053</v>
      </c>
      <c r="E189" s="174" t="s">
        <v>1558</v>
      </c>
      <c r="F189" s="174" t="s">
        <v>414</v>
      </c>
      <c r="G189" s="174" t="s">
        <v>415</v>
      </c>
      <c r="H189" s="174" t="s">
        <v>430</v>
      </c>
      <c r="I189" s="174" t="s">
        <v>431</v>
      </c>
      <c r="J189" s="174" t="s">
        <v>416</v>
      </c>
      <c r="K189" s="174" t="s">
        <v>416</v>
      </c>
      <c r="L189" s="174" t="s">
        <v>458</v>
      </c>
      <c r="M189" s="174" t="s">
        <v>1453</v>
      </c>
      <c r="N189" s="177">
        <v>17640000</v>
      </c>
      <c r="O189" s="174" t="s">
        <v>1559</v>
      </c>
      <c r="P189" s="174" t="s">
        <v>283</v>
      </c>
      <c r="Q189" s="174" t="s">
        <v>348</v>
      </c>
      <c r="R189" s="174" t="s">
        <v>283</v>
      </c>
      <c r="S189" s="174" t="s">
        <v>283</v>
      </c>
      <c r="T189" s="175">
        <v>0</v>
      </c>
    </row>
    <row r="190" spans="1:20" hidden="1" x14ac:dyDescent="0.2">
      <c r="A190" s="169" t="str">
        <f t="shared" si="2"/>
        <v>627</v>
      </c>
      <c r="B190" s="167" t="str">
        <f>_xlfn.XLOOKUP(I190,Mapping!D:D,Mapping!E:E)</f>
        <v>Xưởng Sản Xuất</v>
      </c>
      <c r="C190" s="167" t="str">
        <f>_xlfn.XLOOKUP(F190,Mapping!A:A,Mapping!F:F)</f>
        <v>Phụ Cấp</v>
      </c>
      <c r="D190" s="173">
        <v>46053</v>
      </c>
      <c r="E190" s="174" t="s">
        <v>1558</v>
      </c>
      <c r="F190" s="174" t="s">
        <v>375</v>
      </c>
      <c r="G190" s="174" t="s">
        <v>336</v>
      </c>
      <c r="H190" s="174" t="s">
        <v>430</v>
      </c>
      <c r="I190" s="174" t="s">
        <v>431</v>
      </c>
      <c r="J190" s="174" t="s">
        <v>416</v>
      </c>
      <c r="K190" s="174" t="s">
        <v>416</v>
      </c>
      <c r="L190" s="174" t="s">
        <v>458</v>
      </c>
      <c r="M190" s="174" t="s">
        <v>1453</v>
      </c>
      <c r="N190" s="177">
        <v>-17640000</v>
      </c>
      <c r="O190" s="174" t="s">
        <v>1559</v>
      </c>
      <c r="P190" s="174" t="s">
        <v>283</v>
      </c>
      <c r="Q190" s="174" t="s">
        <v>348</v>
      </c>
      <c r="R190" s="174" t="s">
        <v>283</v>
      </c>
      <c r="S190" s="174" t="s">
        <v>283</v>
      </c>
      <c r="T190" s="175">
        <v>0</v>
      </c>
    </row>
    <row r="191" spans="1:20" hidden="1" x14ac:dyDescent="0.2">
      <c r="A191" s="169" t="str">
        <f t="shared" si="2"/>
        <v>627</v>
      </c>
      <c r="B191" s="167" t="str">
        <f>_xlfn.XLOOKUP(I191,Mapping!D:D,Mapping!E:E)</f>
        <v>Xưởng Sản Xuất</v>
      </c>
      <c r="C191" s="167" t="str">
        <f>_xlfn.XLOOKUP(F191,Mapping!A:A,Mapping!F:F)</f>
        <v>Phụ Cấp</v>
      </c>
      <c r="D191" s="173">
        <v>46053</v>
      </c>
      <c r="E191" s="174" t="s">
        <v>1558</v>
      </c>
      <c r="F191" s="174" t="s">
        <v>375</v>
      </c>
      <c r="G191" s="174" t="s">
        <v>336</v>
      </c>
      <c r="H191" s="174" t="s">
        <v>430</v>
      </c>
      <c r="I191" s="174" t="s">
        <v>431</v>
      </c>
      <c r="J191" s="174" t="s">
        <v>416</v>
      </c>
      <c r="K191" s="174" t="s">
        <v>416</v>
      </c>
      <c r="L191" s="174" t="s">
        <v>458</v>
      </c>
      <c r="M191" s="174" t="s">
        <v>1453</v>
      </c>
      <c r="N191" s="177">
        <v>-62000</v>
      </c>
      <c r="O191" s="174" t="s">
        <v>1559</v>
      </c>
      <c r="P191" s="174" t="s">
        <v>283</v>
      </c>
      <c r="Q191" s="174" t="s">
        <v>348</v>
      </c>
      <c r="R191" s="174" t="s">
        <v>283</v>
      </c>
      <c r="S191" s="174" t="s">
        <v>283</v>
      </c>
      <c r="T191" s="175">
        <v>0</v>
      </c>
    </row>
    <row r="192" spans="1:20" hidden="1" x14ac:dyDescent="0.2">
      <c r="A192" s="169" t="str">
        <f t="shared" si="2"/>
        <v>627</v>
      </c>
      <c r="B192" s="167" t="str">
        <f>_xlfn.XLOOKUP(I192,Mapping!D:D,Mapping!E:E)</f>
        <v>Xưởng Sản Xuất</v>
      </c>
      <c r="C192" s="167" t="str">
        <f>_xlfn.XLOOKUP(F192,Mapping!A:A,Mapping!F:F)</f>
        <v>Khen thưởng BD khác</v>
      </c>
      <c r="D192" s="173">
        <v>46038</v>
      </c>
      <c r="E192" s="174" t="s">
        <v>1561</v>
      </c>
      <c r="F192" s="174" t="s">
        <v>435</v>
      </c>
      <c r="G192" s="174" t="s">
        <v>222</v>
      </c>
      <c r="H192" s="174" t="s">
        <v>436</v>
      </c>
      <c r="I192" s="174" t="s">
        <v>437</v>
      </c>
      <c r="J192" s="174" t="s">
        <v>1502</v>
      </c>
      <c r="K192" s="174" t="s">
        <v>1503</v>
      </c>
      <c r="L192" s="174" t="s">
        <v>458</v>
      </c>
      <c r="M192" s="174" t="s">
        <v>1453</v>
      </c>
      <c r="N192" s="177">
        <v>400000</v>
      </c>
      <c r="O192" s="174" t="s">
        <v>1562</v>
      </c>
      <c r="P192" s="174" t="s">
        <v>283</v>
      </c>
      <c r="Q192" s="174" t="s">
        <v>964</v>
      </c>
      <c r="R192" s="174" t="s">
        <v>283</v>
      </c>
      <c r="S192" s="174" t="s">
        <v>283</v>
      </c>
      <c r="T192" s="175">
        <v>0</v>
      </c>
    </row>
    <row r="193" spans="1:20" hidden="1" x14ac:dyDescent="0.2">
      <c r="A193" s="169" t="str">
        <f t="shared" si="2"/>
        <v>627</v>
      </c>
      <c r="B193" s="167" t="str">
        <f>_xlfn.XLOOKUP(I193,Mapping!D:D,Mapping!E:E)</f>
        <v>Xưởng Sản Xuất</v>
      </c>
      <c r="C193" s="167" t="str">
        <f>_xlfn.XLOOKUP(F193,Mapping!A:A,Mapping!F:F)</f>
        <v>Khen thưởng BD khác</v>
      </c>
      <c r="D193" s="173">
        <v>46038</v>
      </c>
      <c r="E193" s="174" t="s">
        <v>1563</v>
      </c>
      <c r="F193" s="174" t="s">
        <v>435</v>
      </c>
      <c r="G193" s="174" t="s">
        <v>222</v>
      </c>
      <c r="H193" s="174" t="s">
        <v>436</v>
      </c>
      <c r="I193" s="174" t="s">
        <v>437</v>
      </c>
      <c r="J193" s="174" t="s">
        <v>1502</v>
      </c>
      <c r="K193" s="174" t="s">
        <v>1503</v>
      </c>
      <c r="L193" s="174" t="s">
        <v>458</v>
      </c>
      <c r="M193" s="174" t="s">
        <v>1453</v>
      </c>
      <c r="N193" s="177">
        <v>300000</v>
      </c>
      <c r="O193" s="174" t="s">
        <v>1564</v>
      </c>
      <c r="P193" s="174" t="s">
        <v>283</v>
      </c>
      <c r="Q193" s="174" t="s">
        <v>964</v>
      </c>
      <c r="R193" s="174" t="s">
        <v>283</v>
      </c>
      <c r="S193" s="174" t="s">
        <v>283</v>
      </c>
      <c r="T193" s="175">
        <v>0</v>
      </c>
    </row>
    <row r="194" spans="1:20" hidden="1" x14ac:dyDescent="0.2">
      <c r="A194" s="169" t="str">
        <f t="shared" si="2"/>
        <v>627</v>
      </c>
      <c r="B194" s="167" t="str">
        <f>_xlfn.XLOOKUP(I194,Mapping!D:D,Mapping!E:E)</f>
        <v>Xưởng Sản Xuất</v>
      </c>
      <c r="C194" s="167" t="str">
        <f>_xlfn.XLOOKUP(F194,Mapping!A:A,Mapping!F:F)</f>
        <v>Khen thưởng BD khác</v>
      </c>
      <c r="D194" s="173">
        <v>46038</v>
      </c>
      <c r="E194" s="174" t="s">
        <v>1565</v>
      </c>
      <c r="F194" s="174" t="s">
        <v>435</v>
      </c>
      <c r="G194" s="174" t="s">
        <v>222</v>
      </c>
      <c r="H194" s="174" t="s">
        <v>436</v>
      </c>
      <c r="I194" s="174" t="s">
        <v>437</v>
      </c>
      <c r="J194" s="174" t="s">
        <v>1502</v>
      </c>
      <c r="K194" s="174" t="s">
        <v>1503</v>
      </c>
      <c r="L194" s="174" t="s">
        <v>458</v>
      </c>
      <c r="M194" s="174" t="s">
        <v>1453</v>
      </c>
      <c r="N194" s="177">
        <v>200000</v>
      </c>
      <c r="O194" s="174" t="s">
        <v>1566</v>
      </c>
      <c r="P194" s="174" t="s">
        <v>283</v>
      </c>
      <c r="Q194" s="174" t="s">
        <v>964</v>
      </c>
      <c r="R194" s="174" t="s">
        <v>283</v>
      </c>
      <c r="S194" s="174" t="s">
        <v>283</v>
      </c>
      <c r="T194" s="175">
        <v>0</v>
      </c>
    </row>
    <row r="195" spans="1:20" hidden="1" x14ac:dyDescent="0.2">
      <c r="A195" s="169" t="str">
        <f t="shared" si="2"/>
        <v>627</v>
      </c>
      <c r="B195" s="167" t="str">
        <f>_xlfn.XLOOKUP(I195,Mapping!D:D,Mapping!E:E)</f>
        <v>Xưởng Sản Xuất</v>
      </c>
      <c r="C195" s="167" t="str">
        <f>_xlfn.XLOOKUP(F195,Mapping!A:A,Mapping!F:F)</f>
        <v>Khen thưởng BD khác</v>
      </c>
      <c r="D195" s="173">
        <v>46038</v>
      </c>
      <c r="E195" s="174" t="s">
        <v>1567</v>
      </c>
      <c r="F195" s="174" t="s">
        <v>435</v>
      </c>
      <c r="G195" s="174" t="s">
        <v>222</v>
      </c>
      <c r="H195" s="174" t="s">
        <v>436</v>
      </c>
      <c r="I195" s="174" t="s">
        <v>437</v>
      </c>
      <c r="J195" s="174" t="s">
        <v>1502</v>
      </c>
      <c r="K195" s="174" t="s">
        <v>1503</v>
      </c>
      <c r="L195" s="174" t="s">
        <v>458</v>
      </c>
      <c r="M195" s="174" t="s">
        <v>1453</v>
      </c>
      <c r="N195" s="177">
        <v>300000</v>
      </c>
      <c r="O195" s="174" t="s">
        <v>1568</v>
      </c>
      <c r="P195" s="174" t="s">
        <v>283</v>
      </c>
      <c r="Q195" s="174" t="s">
        <v>964</v>
      </c>
      <c r="R195" s="174" t="s">
        <v>283</v>
      </c>
      <c r="S195" s="174" t="s">
        <v>283</v>
      </c>
      <c r="T195" s="175">
        <v>0</v>
      </c>
    </row>
    <row r="196" spans="1:20" hidden="1" x14ac:dyDescent="0.2">
      <c r="A196" s="169" t="str">
        <f t="shared" ref="A196:A259" si="3">LEFT(F196,3)</f>
        <v>627</v>
      </c>
      <c r="B196" s="167" t="str">
        <f>_xlfn.XLOOKUP(I196,Mapping!D:D,Mapping!E:E)</f>
        <v>Xưởng Sản Xuất</v>
      </c>
      <c r="C196" s="167" t="str">
        <f>_xlfn.XLOOKUP(F196,Mapping!A:A,Mapping!F:F)</f>
        <v>Khen thưởng BD khác</v>
      </c>
      <c r="D196" s="173">
        <v>46038</v>
      </c>
      <c r="E196" s="174" t="s">
        <v>1569</v>
      </c>
      <c r="F196" s="174" t="s">
        <v>435</v>
      </c>
      <c r="G196" s="174" t="s">
        <v>222</v>
      </c>
      <c r="H196" s="174" t="s">
        <v>436</v>
      </c>
      <c r="I196" s="174" t="s">
        <v>437</v>
      </c>
      <c r="J196" s="174" t="s">
        <v>1502</v>
      </c>
      <c r="K196" s="174" t="s">
        <v>1503</v>
      </c>
      <c r="L196" s="174" t="s">
        <v>458</v>
      </c>
      <c r="M196" s="174" t="s">
        <v>1453</v>
      </c>
      <c r="N196" s="177">
        <v>100000</v>
      </c>
      <c r="O196" s="174" t="s">
        <v>1570</v>
      </c>
      <c r="P196" s="174" t="s">
        <v>283</v>
      </c>
      <c r="Q196" s="174" t="s">
        <v>964</v>
      </c>
      <c r="R196" s="174" t="s">
        <v>283</v>
      </c>
      <c r="S196" s="174" t="s">
        <v>283</v>
      </c>
      <c r="T196" s="175">
        <v>0</v>
      </c>
    </row>
    <row r="197" spans="1:20" hidden="1" x14ac:dyDescent="0.2">
      <c r="A197" s="169" t="str">
        <f t="shared" si="3"/>
        <v>627</v>
      </c>
      <c r="B197" s="167" t="str">
        <f>_xlfn.XLOOKUP(I197,Mapping!D:D,Mapping!E:E)</f>
        <v>Xưởng Sản Xuất</v>
      </c>
      <c r="C197" s="167" t="str">
        <f>_xlfn.XLOOKUP(F197,Mapping!A:A,Mapping!F:F)</f>
        <v>Khen thưởng BD khác</v>
      </c>
      <c r="D197" s="173">
        <v>46038</v>
      </c>
      <c r="E197" s="174" t="s">
        <v>1571</v>
      </c>
      <c r="F197" s="174" t="s">
        <v>435</v>
      </c>
      <c r="G197" s="174" t="s">
        <v>222</v>
      </c>
      <c r="H197" s="174" t="s">
        <v>436</v>
      </c>
      <c r="I197" s="174" t="s">
        <v>437</v>
      </c>
      <c r="J197" s="174" t="s">
        <v>1502</v>
      </c>
      <c r="K197" s="174" t="s">
        <v>1503</v>
      </c>
      <c r="L197" s="174" t="s">
        <v>458</v>
      </c>
      <c r="M197" s="174" t="s">
        <v>1453</v>
      </c>
      <c r="N197" s="177">
        <v>100000</v>
      </c>
      <c r="O197" s="174" t="s">
        <v>519</v>
      </c>
      <c r="P197" s="174" t="s">
        <v>283</v>
      </c>
      <c r="Q197" s="174" t="s">
        <v>964</v>
      </c>
      <c r="R197" s="174" t="s">
        <v>283</v>
      </c>
      <c r="S197" s="174" t="s">
        <v>283</v>
      </c>
      <c r="T197" s="175">
        <v>0</v>
      </c>
    </row>
    <row r="198" spans="1:20" hidden="1" x14ac:dyDescent="0.2">
      <c r="A198" s="169" t="str">
        <f t="shared" si="3"/>
        <v>627</v>
      </c>
      <c r="B198" s="167" t="str">
        <f>_xlfn.XLOOKUP(I198,Mapping!D:D,Mapping!E:E)</f>
        <v>Xưởng Sản Xuất</v>
      </c>
      <c r="C198" s="167" t="str">
        <f>_xlfn.XLOOKUP(F198,Mapping!A:A,Mapping!F:F)</f>
        <v>Phụ Cấp</v>
      </c>
      <c r="D198" s="173">
        <v>46053</v>
      </c>
      <c r="E198" s="174" t="s">
        <v>1450</v>
      </c>
      <c r="F198" s="174" t="s">
        <v>386</v>
      </c>
      <c r="G198" s="174" t="s">
        <v>341</v>
      </c>
      <c r="H198" s="174" t="s">
        <v>436</v>
      </c>
      <c r="I198" s="174" t="s">
        <v>437</v>
      </c>
      <c r="J198" s="174" t="s">
        <v>1451</v>
      </c>
      <c r="K198" s="174" t="s">
        <v>1452</v>
      </c>
      <c r="L198" s="174" t="s">
        <v>458</v>
      </c>
      <c r="M198" s="174" t="s">
        <v>1453</v>
      </c>
      <c r="N198" s="177">
        <v>7873775</v>
      </c>
      <c r="O198" s="174" t="s">
        <v>1454</v>
      </c>
      <c r="P198" s="174" t="s">
        <v>283</v>
      </c>
      <c r="Q198" s="174" t="s">
        <v>284</v>
      </c>
      <c r="R198" s="174" t="s">
        <v>283</v>
      </c>
      <c r="S198" s="174" t="s">
        <v>283</v>
      </c>
      <c r="T198" s="175">
        <v>0</v>
      </c>
    </row>
    <row r="199" spans="1:20" hidden="1" x14ac:dyDescent="0.2">
      <c r="A199" s="169" t="str">
        <f t="shared" si="3"/>
        <v>627</v>
      </c>
      <c r="B199" s="167" t="str">
        <f>_xlfn.XLOOKUP(I199,Mapping!D:D,Mapping!E:E)</f>
        <v>Xưởng Sản Xuất</v>
      </c>
      <c r="C199" s="167" t="str">
        <f>_xlfn.XLOOKUP(F199,Mapping!A:A,Mapping!F:F)</f>
        <v>Lương Chính +T13</v>
      </c>
      <c r="D199" s="173">
        <v>46053</v>
      </c>
      <c r="E199" s="174" t="s">
        <v>1450</v>
      </c>
      <c r="F199" s="174" t="s">
        <v>387</v>
      </c>
      <c r="G199" s="174" t="s">
        <v>275</v>
      </c>
      <c r="H199" s="174" t="s">
        <v>436</v>
      </c>
      <c r="I199" s="174" t="s">
        <v>437</v>
      </c>
      <c r="J199" s="174" t="s">
        <v>1451</v>
      </c>
      <c r="K199" s="174" t="s">
        <v>1452</v>
      </c>
      <c r="L199" s="174" t="s">
        <v>458</v>
      </c>
      <c r="M199" s="174" t="s">
        <v>1453</v>
      </c>
      <c r="N199" s="177">
        <v>392754424</v>
      </c>
      <c r="O199" s="174" t="s">
        <v>1454</v>
      </c>
      <c r="P199" s="174" t="s">
        <v>283</v>
      </c>
      <c r="Q199" s="174" t="s">
        <v>284</v>
      </c>
      <c r="R199" s="174" t="s">
        <v>283</v>
      </c>
      <c r="S199" s="174" t="s">
        <v>283</v>
      </c>
      <c r="T199" s="175">
        <v>0</v>
      </c>
    </row>
    <row r="200" spans="1:20" hidden="1" x14ac:dyDescent="0.2">
      <c r="A200" s="169" t="str">
        <f t="shared" si="3"/>
        <v>627</v>
      </c>
      <c r="B200" s="167" t="str">
        <f>_xlfn.XLOOKUP(I200,Mapping!D:D,Mapping!E:E)</f>
        <v>Xưởng Sản Xuất</v>
      </c>
      <c r="C200" s="167" t="str">
        <f>_xlfn.XLOOKUP(F200,Mapping!A:A,Mapping!F:F)</f>
        <v>Lương Chính +T13</v>
      </c>
      <c r="D200" s="173">
        <v>46053</v>
      </c>
      <c r="E200" s="174" t="s">
        <v>1450</v>
      </c>
      <c r="F200" s="174" t="s">
        <v>388</v>
      </c>
      <c r="G200" s="174" t="s">
        <v>286</v>
      </c>
      <c r="H200" s="174" t="s">
        <v>436</v>
      </c>
      <c r="I200" s="174" t="s">
        <v>437</v>
      </c>
      <c r="J200" s="174" t="s">
        <v>1451</v>
      </c>
      <c r="K200" s="174" t="s">
        <v>1452</v>
      </c>
      <c r="L200" s="174" t="s">
        <v>458</v>
      </c>
      <c r="M200" s="174" t="s">
        <v>1453</v>
      </c>
      <c r="N200" s="177">
        <v>24580791</v>
      </c>
      <c r="O200" s="174" t="s">
        <v>1454</v>
      </c>
      <c r="P200" s="174" t="s">
        <v>283</v>
      </c>
      <c r="Q200" s="174" t="s">
        <v>284</v>
      </c>
      <c r="R200" s="174" t="s">
        <v>283</v>
      </c>
      <c r="S200" s="174" t="s">
        <v>283</v>
      </c>
      <c r="T200" s="175">
        <v>0</v>
      </c>
    </row>
    <row r="201" spans="1:20" hidden="1" x14ac:dyDescent="0.2">
      <c r="A201" s="169" t="str">
        <f t="shared" si="3"/>
        <v>627</v>
      </c>
      <c r="B201" s="167" t="str">
        <f>_xlfn.XLOOKUP(I201,Mapping!D:D,Mapping!E:E)</f>
        <v>Xưởng Sản Xuất</v>
      </c>
      <c r="C201" s="167" t="str">
        <f>_xlfn.XLOOKUP(F201,Mapping!A:A,Mapping!F:F)</f>
        <v>Lương Ngoài giờ</v>
      </c>
      <c r="D201" s="173">
        <v>46053</v>
      </c>
      <c r="E201" s="174" t="s">
        <v>1450</v>
      </c>
      <c r="F201" s="174" t="s">
        <v>389</v>
      </c>
      <c r="G201" s="174" t="s">
        <v>390</v>
      </c>
      <c r="H201" s="174" t="s">
        <v>436</v>
      </c>
      <c r="I201" s="174" t="s">
        <v>437</v>
      </c>
      <c r="J201" s="174" t="s">
        <v>1451</v>
      </c>
      <c r="K201" s="174" t="s">
        <v>1452</v>
      </c>
      <c r="L201" s="174" t="s">
        <v>458</v>
      </c>
      <c r="M201" s="174" t="s">
        <v>1453</v>
      </c>
      <c r="N201" s="177">
        <v>48616663</v>
      </c>
      <c r="O201" s="174" t="s">
        <v>1454</v>
      </c>
      <c r="P201" s="174" t="s">
        <v>283</v>
      </c>
      <c r="Q201" s="174" t="s">
        <v>284</v>
      </c>
      <c r="R201" s="174" t="s">
        <v>283</v>
      </c>
      <c r="S201" s="174" t="s">
        <v>283</v>
      </c>
      <c r="T201" s="175">
        <v>0</v>
      </c>
    </row>
    <row r="202" spans="1:20" hidden="1" x14ac:dyDescent="0.2">
      <c r="A202" s="169" t="str">
        <f t="shared" si="3"/>
        <v>627</v>
      </c>
      <c r="B202" s="167" t="str">
        <f>_xlfn.XLOOKUP(I202,Mapping!D:D,Mapping!E:E)</f>
        <v>Xưởng Sản Xuất</v>
      </c>
      <c r="C202" s="167" t="str">
        <f>_xlfn.XLOOKUP(F202,Mapping!A:A,Mapping!F:F)</f>
        <v>Thưởng</v>
      </c>
      <c r="D202" s="173">
        <v>46053</v>
      </c>
      <c r="E202" s="174" t="s">
        <v>1450</v>
      </c>
      <c r="F202" s="174" t="s">
        <v>391</v>
      </c>
      <c r="G202" s="174" t="s">
        <v>291</v>
      </c>
      <c r="H202" s="174" t="s">
        <v>436</v>
      </c>
      <c r="I202" s="174" t="s">
        <v>437</v>
      </c>
      <c r="J202" s="174" t="s">
        <v>1451</v>
      </c>
      <c r="K202" s="174" t="s">
        <v>1452</v>
      </c>
      <c r="L202" s="174" t="s">
        <v>458</v>
      </c>
      <c r="M202" s="174" t="s">
        <v>1453</v>
      </c>
      <c r="N202" s="177">
        <v>7400000</v>
      </c>
      <c r="O202" s="174" t="s">
        <v>1454</v>
      </c>
      <c r="P202" s="174" t="s">
        <v>283</v>
      </c>
      <c r="Q202" s="174" t="s">
        <v>284</v>
      </c>
      <c r="R202" s="174" t="s">
        <v>283</v>
      </c>
      <c r="S202" s="174" t="s">
        <v>283</v>
      </c>
      <c r="T202" s="175">
        <v>0</v>
      </c>
    </row>
    <row r="203" spans="1:20" hidden="1" x14ac:dyDescent="0.2">
      <c r="A203" s="169" t="str">
        <f t="shared" si="3"/>
        <v>627</v>
      </c>
      <c r="B203" s="167" t="str">
        <f>_xlfn.XLOOKUP(I203,Mapping!D:D,Mapping!E:E)</f>
        <v>Xưởng Sản Xuất</v>
      </c>
      <c r="C203" s="167" t="str">
        <f>_xlfn.XLOOKUP(F203,Mapping!A:A,Mapping!F:F)</f>
        <v>Phụ Cấp</v>
      </c>
      <c r="D203" s="173">
        <v>46053</v>
      </c>
      <c r="E203" s="174" t="s">
        <v>1450</v>
      </c>
      <c r="F203" s="174" t="s">
        <v>375</v>
      </c>
      <c r="G203" s="174" t="s">
        <v>336</v>
      </c>
      <c r="H203" s="174" t="s">
        <v>436</v>
      </c>
      <c r="I203" s="174" t="s">
        <v>437</v>
      </c>
      <c r="J203" s="174" t="s">
        <v>1451</v>
      </c>
      <c r="K203" s="174" t="s">
        <v>1452</v>
      </c>
      <c r="L203" s="174" t="s">
        <v>458</v>
      </c>
      <c r="M203" s="174" t="s">
        <v>1453</v>
      </c>
      <c r="N203" s="177">
        <v>2670000</v>
      </c>
      <c r="O203" s="174" t="s">
        <v>1454</v>
      </c>
      <c r="P203" s="174" t="s">
        <v>283</v>
      </c>
      <c r="Q203" s="174" t="s">
        <v>284</v>
      </c>
      <c r="R203" s="174" t="s">
        <v>283</v>
      </c>
      <c r="S203" s="174" t="s">
        <v>283</v>
      </c>
      <c r="T203" s="175">
        <v>0</v>
      </c>
    </row>
    <row r="204" spans="1:20" hidden="1" x14ac:dyDescent="0.2">
      <c r="A204" s="169" t="str">
        <f t="shared" si="3"/>
        <v>627</v>
      </c>
      <c r="B204" s="167" t="str">
        <f>_xlfn.XLOOKUP(I204,Mapping!D:D,Mapping!E:E)</f>
        <v>Xưởng Sản Xuất</v>
      </c>
      <c r="C204" s="167" t="str">
        <f>_xlfn.XLOOKUP(F204,Mapping!A:A,Mapping!F:F)</f>
        <v>Lương Chính +T13</v>
      </c>
      <c r="D204" s="173">
        <v>46053</v>
      </c>
      <c r="E204" s="174" t="s">
        <v>1455</v>
      </c>
      <c r="F204" s="174" t="s">
        <v>388</v>
      </c>
      <c r="G204" s="174" t="s">
        <v>286</v>
      </c>
      <c r="H204" s="174" t="s">
        <v>436</v>
      </c>
      <c r="I204" s="174" t="s">
        <v>437</v>
      </c>
      <c r="J204" s="174" t="s">
        <v>1456</v>
      </c>
      <c r="K204" s="174" t="s">
        <v>1452</v>
      </c>
      <c r="L204" s="174" t="s">
        <v>458</v>
      </c>
      <c r="M204" s="174" t="s">
        <v>1453</v>
      </c>
      <c r="N204" s="177">
        <v>25712667</v>
      </c>
      <c r="O204" s="174" t="s">
        <v>1457</v>
      </c>
      <c r="P204" s="174" t="s">
        <v>283</v>
      </c>
      <c r="Q204" s="174" t="s">
        <v>284</v>
      </c>
      <c r="R204" s="174" t="s">
        <v>283</v>
      </c>
      <c r="S204" s="174" t="s">
        <v>283</v>
      </c>
      <c r="T204" s="175">
        <v>0</v>
      </c>
    </row>
    <row r="205" spans="1:20" hidden="1" x14ac:dyDescent="0.2">
      <c r="A205" s="169" t="str">
        <f t="shared" si="3"/>
        <v>627</v>
      </c>
      <c r="B205" s="167" t="str">
        <f>_xlfn.XLOOKUP(I205,Mapping!D:D,Mapping!E:E)</f>
        <v>Xưởng Sản Xuất</v>
      </c>
      <c r="C205" s="167" t="str">
        <f>_xlfn.XLOOKUP(F205,Mapping!A:A,Mapping!F:F)</f>
        <v>Thưởng</v>
      </c>
      <c r="D205" s="173">
        <v>46053</v>
      </c>
      <c r="E205" s="174" t="s">
        <v>1455</v>
      </c>
      <c r="F205" s="174" t="s">
        <v>395</v>
      </c>
      <c r="G205" s="174" t="s">
        <v>77</v>
      </c>
      <c r="H205" s="174" t="s">
        <v>436</v>
      </c>
      <c r="I205" s="174" t="s">
        <v>437</v>
      </c>
      <c r="J205" s="174" t="s">
        <v>1458</v>
      </c>
      <c r="K205" s="174" t="s">
        <v>1452</v>
      </c>
      <c r="L205" s="174" t="s">
        <v>458</v>
      </c>
      <c r="M205" s="174" t="s">
        <v>1453</v>
      </c>
      <c r="N205" s="177">
        <v>17673635</v>
      </c>
      <c r="O205" s="174" t="s">
        <v>1457</v>
      </c>
      <c r="P205" s="174" t="s">
        <v>283</v>
      </c>
      <c r="Q205" s="174" t="s">
        <v>284</v>
      </c>
      <c r="R205" s="174" t="s">
        <v>283</v>
      </c>
      <c r="S205" s="174" t="s">
        <v>283</v>
      </c>
      <c r="T205" s="175">
        <v>0</v>
      </c>
    </row>
    <row r="206" spans="1:20" hidden="1" x14ac:dyDescent="0.2">
      <c r="A206" s="169" t="str">
        <f t="shared" si="3"/>
        <v>627</v>
      </c>
      <c r="B206" s="167" t="str">
        <f>_xlfn.XLOOKUP(I206,Mapping!D:D,Mapping!E:E)</f>
        <v>Xưởng Sản Xuất</v>
      </c>
      <c r="C206" s="167" t="str">
        <f>_xlfn.XLOOKUP(F206,Mapping!A:A,Mapping!F:F)</f>
        <v>BHXH, BHYT, KPCĐ</v>
      </c>
      <c r="D206" s="173">
        <v>46053</v>
      </c>
      <c r="E206" s="174" t="s">
        <v>1459</v>
      </c>
      <c r="F206" s="174" t="s">
        <v>393</v>
      </c>
      <c r="G206" s="174" t="s">
        <v>296</v>
      </c>
      <c r="H206" s="174" t="s">
        <v>436</v>
      </c>
      <c r="I206" s="174" t="s">
        <v>437</v>
      </c>
      <c r="J206" s="174" t="s">
        <v>1460</v>
      </c>
      <c r="K206" s="174" t="s">
        <v>1452</v>
      </c>
      <c r="L206" s="174" t="s">
        <v>458</v>
      </c>
      <c r="M206" s="174" t="s">
        <v>1453</v>
      </c>
      <c r="N206" s="177">
        <v>64402220</v>
      </c>
      <c r="O206" s="174" t="s">
        <v>1461</v>
      </c>
      <c r="P206" s="174" t="s">
        <v>283</v>
      </c>
      <c r="Q206" s="174" t="s">
        <v>284</v>
      </c>
      <c r="R206" s="174" t="s">
        <v>283</v>
      </c>
      <c r="S206" s="174" t="s">
        <v>283</v>
      </c>
      <c r="T206" s="175">
        <v>0</v>
      </c>
    </row>
    <row r="207" spans="1:20" hidden="1" x14ac:dyDescent="0.2">
      <c r="A207" s="169" t="str">
        <f t="shared" si="3"/>
        <v>627</v>
      </c>
      <c r="B207" s="167" t="str">
        <f>_xlfn.XLOOKUP(I207,Mapping!D:D,Mapping!E:E)</f>
        <v>Xưởng Sản Xuất</v>
      </c>
      <c r="C207" s="167" t="str">
        <f>_xlfn.XLOOKUP(F207,Mapping!A:A,Mapping!F:F)</f>
        <v>BHXH, BHYT, KPCĐ</v>
      </c>
      <c r="D207" s="173">
        <v>46053</v>
      </c>
      <c r="E207" s="174" t="s">
        <v>1479</v>
      </c>
      <c r="F207" s="174" t="s">
        <v>393</v>
      </c>
      <c r="G207" s="174" t="s">
        <v>296</v>
      </c>
      <c r="H207" s="174" t="s">
        <v>436</v>
      </c>
      <c r="I207" s="174" t="s">
        <v>437</v>
      </c>
      <c r="J207" s="174" t="s">
        <v>1460</v>
      </c>
      <c r="K207" s="174" t="s">
        <v>1452</v>
      </c>
      <c r="L207" s="174" t="s">
        <v>458</v>
      </c>
      <c r="M207" s="174" t="s">
        <v>1453</v>
      </c>
      <c r="N207" s="177">
        <v>2915175</v>
      </c>
      <c r="O207" s="174" t="s">
        <v>1480</v>
      </c>
      <c r="P207" s="174" t="s">
        <v>283</v>
      </c>
      <c r="Q207" s="174" t="s">
        <v>284</v>
      </c>
      <c r="R207" s="174" t="s">
        <v>283</v>
      </c>
      <c r="S207" s="174" t="s">
        <v>283</v>
      </c>
      <c r="T207" s="175">
        <v>0</v>
      </c>
    </row>
    <row r="208" spans="1:20" hidden="1" x14ac:dyDescent="0.2">
      <c r="A208" s="169" t="str">
        <f t="shared" si="3"/>
        <v>627</v>
      </c>
      <c r="B208" s="167" t="str">
        <f>_xlfn.XLOOKUP(I208,Mapping!D:D,Mapping!E:E)</f>
        <v>Xưởng Sản Xuất</v>
      </c>
      <c r="C208" s="167" t="str">
        <f>_xlfn.XLOOKUP(F208,Mapping!A:A,Mapping!F:F)</f>
        <v>Khen thưởng BD khác</v>
      </c>
      <c r="D208" s="173">
        <v>46053</v>
      </c>
      <c r="E208" s="174" t="s">
        <v>1572</v>
      </c>
      <c r="F208" s="174" t="s">
        <v>435</v>
      </c>
      <c r="G208" s="174" t="s">
        <v>222</v>
      </c>
      <c r="H208" s="174" t="s">
        <v>436</v>
      </c>
      <c r="I208" s="174" t="s">
        <v>437</v>
      </c>
      <c r="J208" s="174" t="s">
        <v>283</v>
      </c>
      <c r="K208" s="174" t="s">
        <v>1573</v>
      </c>
      <c r="L208" s="174" t="s">
        <v>458</v>
      </c>
      <c r="M208" s="174" t="s">
        <v>1453</v>
      </c>
      <c r="N208" s="177">
        <v>6250000</v>
      </c>
      <c r="O208" s="174" t="s">
        <v>1574</v>
      </c>
      <c r="P208" s="174" t="s">
        <v>283</v>
      </c>
      <c r="Q208" s="174" t="s">
        <v>1344</v>
      </c>
      <c r="R208" s="174" t="s">
        <v>283</v>
      </c>
      <c r="S208" s="174" t="s">
        <v>283</v>
      </c>
      <c r="T208" s="175">
        <v>0</v>
      </c>
    </row>
    <row r="209" spans="1:20" hidden="1" x14ac:dyDescent="0.2">
      <c r="A209" s="169" t="str">
        <f t="shared" si="3"/>
        <v>627</v>
      </c>
      <c r="B209" s="167" t="str">
        <f>_xlfn.XLOOKUP(I209,Mapping!D:D,Mapping!E:E)</f>
        <v>Xưởng Sản Xuất</v>
      </c>
      <c r="C209" s="167" t="str">
        <f>_xlfn.XLOOKUP(F209,Mapping!A:A,Mapping!F:F)</f>
        <v>Phụ Cấp</v>
      </c>
      <c r="D209" s="173">
        <v>46051</v>
      </c>
      <c r="E209" s="174" t="s">
        <v>1484</v>
      </c>
      <c r="F209" s="174" t="s">
        <v>375</v>
      </c>
      <c r="G209" s="174" t="s">
        <v>336</v>
      </c>
      <c r="H209" s="174" t="s">
        <v>436</v>
      </c>
      <c r="I209" s="174" t="s">
        <v>437</v>
      </c>
      <c r="J209" s="174" t="s">
        <v>1386</v>
      </c>
      <c r="K209" s="174" t="s">
        <v>992</v>
      </c>
      <c r="L209" s="174" t="s">
        <v>458</v>
      </c>
      <c r="M209" s="174" t="s">
        <v>1453</v>
      </c>
      <c r="N209" s="177">
        <v>23166000</v>
      </c>
      <c r="O209" s="174" t="s">
        <v>1485</v>
      </c>
      <c r="P209" s="174" t="s">
        <v>283</v>
      </c>
      <c r="Q209" s="174" t="s">
        <v>306</v>
      </c>
      <c r="R209" s="174" t="s">
        <v>283</v>
      </c>
      <c r="S209" s="174" t="s">
        <v>283</v>
      </c>
      <c r="T209" s="175">
        <v>0</v>
      </c>
    </row>
    <row r="210" spans="1:20" hidden="1" x14ac:dyDescent="0.2">
      <c r="A210" s="169" t="str">
        <f t="shared" si="3"/>
        <v>627</v>
      </c>
      <c r="B210" s="167" t="str">
        <f>_xlfn.XLOOKUP(I210,Mapping!D:D,Mapping!E:E)</f>
        <v>Xưởng Sản Xuất</v>
      </c>
      <c r="C210" s="167" t="str">
        <f>_xlfn.XLOOKUP(F210,Mapping!A:A,Mapping!F:F)</f>
        <v>Phụ Cấp</v>
      </c>
      <c r="D210" s="173">
        <v>46053</v>
      </c>
      <c r="E210" s="174" t="s">
        <v>1493</v>
      </c>
      <c r="F210" s="174" t="s">
        <v>375</v>
      </c>
      <c r="G210" s="174" t="s">
        <v>336</v>
      </c>
      <c r="H210" s="174" t="s">
        <v>436</v>
      </c>
      <c r="I210" s="174" t="s">
        <v>437</v>
      </c>
      <c r="J210" s="174" t="s">
        <v>1575</v>
      </c>
      <c r="K210" s="174" t="s">
        <v>1495</v>
      </c>
      <c r="L210" s="174" t="s">
        <v>458</v>
      </c>
      <c r="M210" s="174" t="s">
        <v>1453</v>
      </c>
      <c r="N210" s="177">
        <v>12194000</v>
      </c>
      <c r="O210" s="174" t="s">
        <v>1496</v>
      </c>
      <c r="P210" s="174" t="s">
        <v>283</v>
      </c>
      <c r="Q210" s="174" t="s">
        <v>306</v>
      </c>
      <c r="R210" s="174" t="s">
        <v>283</v>
      </c>
      <c r="S210" s="174" t="s">
        <v>283</v>
      </c>
      <c r="T210" s="175">
        <v>0</v>
      </c>
    </row>
    <row r="211" spans="1:20" hidden="1" x14ac:dyDescent="0.2">
      <c r="A211" s="169" t="str">
        <f t="shared" si="3"/>
        <v>627</v>
      </c>
      <c r="B211" s="167" t="str">
        <f>_xlfn.XLOOKUP(I211,Mapping!D:D,Mapping!E:E)</f>
        <v>Xưởng Sản Xuất</v>
      </c>
      <c r="C211" s="167" t="str">
        <f>_xlfn.XLOOKUP(F211,Mapping!A:A,Mapping!F:F)</f>
        <v>Phụ Cấp</v>
      </c>
      <c r="D211" s="173">
        <v>46053</v>
      </c>
      <c r="E211" s="174" t="s">
        <v>1497</v>
      </c>
      <c r="F211" s="174" t="s">
        <v>375</v>
      </c>
      <c r="G211" s="174" t="s">
        <v>336</v>
      </c>
      <c r="H211" s="174" t="s">
        <v>436</v>
      </c>
      <c r="I211" s="174" t="s">
        <v>437</v>
      </c>
      <c r="J211" s="174" t="s">
        <v>1498</v>
      </c>
      <c r="K211" s="174" t="s">
        <v>1499</v>
      </c>
      <c r="L211" s="174" t="s">
        <v>458</v>
      </c>
      <c r="M211" s="174" t="s">
        <v>1453</v>
      </c>
      <c r="N211" s="177">
        <v>-1368234</v>
      </c>
      <c r="O211" s="174" t="s">
        <v>1500</v>
      </c>
      <c r="P211" s="174" t="s">
        <v>283</v>
      </c>
      <c r="Q211" s="174" t="s">
        <v>284</v>
      </c>
      <c r="R211" s="174" t="s">
        <v>283</v>
      </c>
      <c r="S211" s="174" t="s">
        <v>283</v>
      </c>
      <c r="T211" s="175">
        <v>0</v>
      </c>
    </row>
    <row r="212" spans="1:20" hidden="1" x14ac:dyDescent="0.2">
      <c r="A212" s="169" t="str">
        <f t="shared" si="3"/>
        <v>642</v>
      </c>
      <c r="B212" s="167" t="str">
        <f>_xlfn.XLOOKUP(I212,Mapping!D:D,Mapping!E:E)</f>
        <v>Tư vấn dịch vụ</v>
      </c>
      <c r="C212" s="167" t="str">
        <f>_xlfn.XLOOKUP(F212,Mapping!A:A,Mapping!F:F)</f>
        <v>Lương Chính +T13</v>
      </c>
      <c r="D212" s="173">
        <v>46053</v>
      </c>
      <c r="E212" s="174" t="s">
        <v>1450</v>
      </c>
      <c r="F212" s="174" t="s">
        <v>274</v>
      </c>
      <c r="G212" s="174" t="s">
        <v>275</v>
      </c>
      <c r="H212" s="174" t="s">
        <v>443</v>
      </c>
      <c r="I212" s="174" t="s">
        <v>444</v>
      </c>
      <c r="J212" s="174" t="s">
        <v>1451</v>
      </c>
      <c r="K212" s="174" t="s">
        <v>1452</v>
      </c>
      <c r="L212" s="174" t="s">
        <v>458</v>
      </c>
      <c r="M212" s="174" t="s">
        <v>1453</v>
      </c>
      <c r="N212" s="177">
        <v>70000000</v>
      </c>
      <c r="O212" s="174" t="s">
        <v>1454</v>
      </c>
      <c r="P212" s="174" t="s">
        <v>283</v>
      </c>
      <c r="Q212" s="174" t="s">
        <v>284</v>
      </c>
      <c r="R212" s="174" t="s">
        <v>283</v>
      </c>
      <c r="S212" s="174" t="s">
        <v>283</v>
      </c>
      <c r="T212" s="175">
        <v>0</v>
      </c>
    </row>
    <row r="213" spans="1:20" hidden="1" x14ac:dyDescent="0.2">
      <c r="A213" s="169" t="str">
        <f t="shared" si="3"/>
        <v>622</v>
      </c>
      <c r="B213" s="167" t="str">
        <f>_xlfn.XLOOKUP(I213,Mapping!D:D,Mapping!E:E)</f>
        <v>Xưởng Sản Xuất</v>
      </c>
      <c r="C213" s="167" t="str">
        <f>_xlfn.XLOOKUP(F213,Mapping!A:A,Mapping!F:F)</f>
        <v>Lương Chính +T13</v>
      </c>
      <c r="D213" s="173">
        <v>46053</v>
      </c>
      <c r="E213" s="174" t="s">
        <v>1450</v>
      </c>
      <c r="F213" s="174" t="s">
        <v>400</v>
      </c>
      <c r="G213" s="174" t="s">
        <v>401</v>
      </c>
      <c r="H213" s="174" t="s">
        <v>441</v>
      </c>
      <c r="I213" s="174" t="s">
        <v>442</v>
      </c>
      <c r="J213" s="174" t="s">
        <v>1451</v>
      </c>
      <c r="K213" s="174" t="s">
        <v>1452</v>
      </c>
      <c r="L213" s="174" t="s">
        <v>458</v>
      </c>
      <c r="M213" s="174" t="s">
        <v>1453</v>
      </c>
      <c r="N213" s="177">
        <v>8149991</v>
      </c>
      <c r="O213" s="174" t="s">
        <v>1454</v>
      </c>
      <c r="P213" s="174" t="s">
        <v>283</v>
      </c>
      <c r="Q213" s="174" t="s">
        <v>284</v>
      </c>
      <c r="R213" s="174" t="s">
        <v>283</v>
      </c>
      <c r="S213" s="174" t="s">
        <v>283</v>
      </c>
      <c r="T213" s="175">
        <v>0</v>
      </c>
    </row>
    <row r="214" spans="1:20" hidden="1" x14ac:dyDescent="0.2">
      <c r="A214" s="169" t="str">
        <f t="shared" si="3"/>
        <v>622</v>
      </c>
      <c r="B214" s="167" t="str">
        <f>_xlfn.XLOOKUP(I214,Mapping!D:D,Mapping!E:E)</f>
        <v>Xưởng Sản Xuất</v>
      </c>
      <c r="C214" s="167" t="str">
        <f>_xlfn.XLOOKUP(F214,Mapping!A:A,Mapping!F:F)</f>
        <v>Lương Chính +T13</v>
      </c>
      <c r="D214" s="173">
        <v>46053</v>
      </c>
      <c r="E214" s="174" t="s">
        <v>1450</v>
      </c>
      <c r="F214" s="174" t="s">
        <v>420</v>
      </c>
      <c r="G214" s="174" t="s">
        <v>286</v>
      </c>
      <c r="H214" s="174" t="s">
        <v>441</v>
      </c>
      <c r="I214" s="174" t="s">
        <v>442</v>
      </c>
      <c r="J214" s="174" t="s">
        <v>1451</v>
      </c>
      <c r="K214" s="174" t="s">
        <v>1452</v>
      </c>
      <c r="L214" s="174" t="s">
        <v>458</v>
      </c>
      <c r="M214" s="174" t="s">
        <v>1453</v>
      </c>
      <c r="N214" s="177">
        <v>230154</v>
      </c>
      <c r="O214" s="174" t="s">
        <v>1454</v>
      </c>
      <c r="P214" s="174" t="s">
        <v>283</v>
      </c>
      <c r="Q214" s="174" t="s">
        <v>284</v>
      </c>
      <c r="R214" s="174" t="s">
        <v>283</v>
      </c>
      <c r="S214" s="174" t="s">
        <v>283</v>
      </c>
      <c r="T214" s="175">
        <v>0</v>
      </c>
    </row>
    <row r="215" spans="1:20" hidden="1" x14ac:dyDescent="0.2">
      <c r="A215" s="169" t="str">
        <f t="shared" si="3"/>
        <v>622</v>
      </c>
      <c r="B215" s="167" t="str">
        <f>_xlfn.XLOOKUP(I215,Mapping!D:D,Mapping!E:E)</f>
        <v>Xưởng Sản Xuất</v>
      </c>
      <c r="C215" s="167" t="str">
        <f>_xlfn.XLOOKUP(F215,Mapping!A:A,Mapping!F:F)</f>
        <v>Phụ Cấp</v>
      </c>
      <c r="D215" s="173">
        <v>46053</v>
      </c>
      <c r="E215" s="174" t="s">
        <v>1450</v>
      </c>
      <c r="F215" s="174" t="s">
        <v>421</v>
      </c>
      <c r="G215" s="174" t="s">
        <v>341</v>
      </c>
      <c r="H215" s="174" t="s">
        <v>441</v>
      </c>
      <c r="I215" s="174" t="s">
        <v>442</v>
      </c>
      <c r="J215" s="174" t="s">
        <v>1451</v>
      </c>
      <c r="K215" s="174" t="s">
        <v>1452</v>
      </c>
      <c r="L215" s="174" t="s">
        <v>458</v>
      </c>
      <c r="M215" s="174" t="s">
        <v>1453</v>
      </c>
      <c r="N215" s="177">
        <v>742246</v>
      </c>
      <c r="O215" s="174" t="s">
        <v>1454</v>
      </c>
      <c r="P215" s="174" t="s">
        <v>283</v>
      </c>
      <c r="Q215" s="174" t="s">
        <v>284</v>
      </c>
      <c r="R215" s="174" t="s">
        <v>283</v>
      </c>
      <c r="S215" s="174" t="s">
        <v>283</v>
      </c>
      <c r="T215" s="175">
        <v>0</v>
      </c>
    </row>
    <row r="216" spans="1:20" hidden="1" x14ac:dyDescent="0.2">
      <c r="A216" s="169" t="str">
        <f t="shared" si="3"/>
        <v>622</v>
      </c>
      <c r="B216" s="167" t="str">
        <f>_xlfn.XLOOKUP(I216,Mapping!D:D,Mapping!E:E)</f>
        <v>Xưởng Sản Xuất</v>
      </c>
      <c r="C216" s="167" t="str">
        <f>_xlfn.XLOOKUP(F216,Mapping!A:A,Mapping!F:F)</f>
        <v>Lương Ngoài giờ</v>
      </c>
      <c r="D216" s="173">
        <v>46053</v>
      </c>
      <c r="E216" s="174" t="s">
        <v>1450</v>
      </c>
      <c r="F216" s="174" t="s">
        <v>422</v>
      </c>
      <c r="G216" s="174" t="s">
        <v>423</v>
      </c>
      <c r="H216" s="174" t="s">
        <v>441</v>
      </c>
      <c r="I216" s="174" t="s">
        <v>442</v>
      </c>
      <c r="J216" s="174" t="s">
        <v>1451</v>
      </c>
      <c r="K216" s="174" t="s">
        <v>1452</v>
      </c>
      <c r="L216" s="174" t="s">
        <v>458</v>
      </c>
      <c r="M216" s="174" t="s">
        <v>1453</v>
      </c>
      <c r="N216" s="177">
        <v>1504906</v>
      </c>
      <c r="O216" s="174" t="s">
        <v>1454</v>
      </c>
      <c r="P216" s="174" t="s">
        <v>283</v>
      </c>
      <c r="Q216" s="174" t="s">
        <v>284</v>
      </c>
      <c r="R216" s="174" t="s">
        <v>283</v>
      </c>
      <c r="S216" s="174" t="s">
        <v>283</v>
      </c>
      <c r="T216" s="175">
        <v>0</v>
      </c>
    </row>
    <row r="217" spans="1:20" hidden="1" x14ac:dyDescent="0.2">
      <c r="A217" s="169" t="str">
        <f t="shared" si="3"/>
        <v>622</v>
      </c>
      <c r="B217" s="167" t="str">
        <f>_xlfn.XLOOKUP(I217,Mapping!D:D,Mapping!E:E)</f>
        <v>Xưởng Sản Xuất</v>
      </c>
      <c r="C217" s="167" t="str">
        <f>_xlfn.XLOOKUP(F217,Mapping!A:A,Mapping!F:F)</f>
        <v>Thưởng</v>
      </c>
      <c r="D217" s="173">
        <v>46053</v>
      </c>
      <c r="E217" s="174" t="s">
        <v>1450</v>
      </c>
      <c r="F217" s="174" t="s">
        <v>424</v>
      </c>
      <c r="G217" s="174" t="s">
        <v>291</v>
      </c>
      <c r="H217" s="174" t="s">
        <v>441</v>
      </c>
      <c r="I217" s="174" t="s">
        <v>442</v>
      </c>
      <c r="J217" s="174" t="s">
        <v>1451</v>
      </c>
      <c r="K217" s="174" t="s">
        <v>1452</v>
      </c>
      <c r="L217" s="174" t="s">
        <v>458</v>
      </c>
      <c r="M217" s="174" t="s">
        <v>1453</v>
      </c>
      <c r="N217" s="177">
        <v>200000</v>
      </c>
      <c r="O217" s="174" t="s">
        <v>1454</v>
      </c>
      <c r="P217" s="174" t="s">
        <v>283</v>
      </c>
      <c r="Q217" s="174" t="s">
        <v>284</v>
      </c>
      <c r="R217" s="174" t="s">
        <v>283</v>
      </c>
      <c r="S217" s="174" t="s">
        <v>283</v>
      </c>
      <c r="T217" s="175">
        <v>0</v>
      </c>
    </row>
    <row r="218" spans="1:20" hidden="1" x14ac:dyDescent="0.2">
      <c r="A218" s="169" t="str">
        <f t="shared" si="3"/>
        <v>622</v>
      </c>
      <c r="B218" s="167" t="str">
        <f>_xlfn.XLOOKUP(I218,Mapping!D:D,Mapping!E:E)</f>
        <v>Xưởng Sản Xuất</v>
      </c>
      <c r="C218" s="167" t="str">
        <f>_xlfn.XLOOKUP(F218,Mapping!A:A,Mapping!F:F)</f>
        <v>Lương Chính +T13</v>
      </c>
      <c r="D218" s="173">
        <v>46053</v>
      </c>
      <c r="E218" s="174" t="s">
        <v>1455</v>
      </c>
      <c r="F218" s="174" t="s">
        <v>420</v>
      </c>
      <c r="G218" s="174" t="s">
        <v>286</v>
      </c>
      <c r="H218" s="174" t="s">
        <v>441</v>
      </c>
      <c r="I218" s="174" t="s">
        <v>442</v>
      </c>
      <c r="J218" s="174" t="s">
        <v>1456</v>
      </c>
      <c r="K218" s="174" t="s">
        <v>1452</v>
      </c>
      <c r="L218" s="174" t="s">
        <v>458</v>
      </c>
      <c r="M218" s="174" t="s">
        <v>1453</v>
      </c>
      <c r="N218" s="177">
        <v>498667</v>
      </c>
      <c r="O218" s="174" t="s">
        <v>1457</v>
      </c>
      <c r="P218" s="174" t="s">
        <v>283</v>
      </c>
      <c r="Q218" s="174" t="s">
        <v>284</v>
      </c>
      <c r="R218" s="174" t="s">
        <v>283</v>
      </c>
      <c r="S218" s="174" t="s">
        <v>283</v>
      </c>
      <c r="T218" s="175">
        <v>0</v>
      </c>
    </row>
    <row r="219" spans="1:20" hidden="1" x14ac:dyDescent="0.2">
      <c r="A219" s="169" t="str">
        <f t="shared" si="3"/>
        <v>622</v>
      </c>
      <c r="B219" s="167" t="str">
        <f>_xlfn.XLOOKUP(I219,Mapping!D:D,Mapping!E:E)</f>
        <v>Xưởng Sản Xuất</v>
      </c>
      <c r="C219" s="167" t="str">
        <f>_xlfn.XLOOKUP(F219,Mapping!A:A,Mapping!F:F)</f>
        <v>Thưởng</v>
      </c>
      <c r="D219" s="173">
        <v>46053</v>
      </c>
      <c r="E219" s="174" t="s">
        <v>1455</v>
      </c>
      <c r="F219" s="174" t="s">
        <v>426</v>
      </c>
      <c r="G219" s="174" t="s">
        <v>77</v>
      </c>
      <c r="H219" s="174" t="s">
        <v>441</v>
      </c>
      <c r="I219" s="174" t="s">
        <v>442</v>
      </c>
      <c r="J219" s="174" t="s">
        <v>1458</v>
      </c>
      <c r="K219" s="174" t="s">
        <v>1452</v>
      </c>
      <c r="L219" s="174" t="s">
        <v>458</v>
      </c>
      <c r="M219" s="174" t="s">
        <v>1453</v>
      </c>
      <c r="N219" s="177">
        <v>84769</v>
      </c>
      <c r="O219" s="174" t="s">
        <v>1457</v>
      </c>
      <c r="P219" s="174" t="s">
        <v>283</v>
      </c>
      <c r="Q219" s="174" t="s">
        <v>284</v>
      </c>
      <c r="R219" s="174" t="s">
        <v>283</v>
      </c>
      <c r="S219" s="174" t="s">
        <v>283</v>
      </c>
      <c r="T219" s="175">
        <v>0</v>
      </c>
    </row>
    <row r="220" spans="1:20" hidden="1" x14ac:dyDescent="0.2">
      <c r="A220" s="169" t="str">
        <f t="shared" si="3"/>
        <v>622</v>
      </c>
      <c r="B220" s="167" t="str">
        <f>_xlfn.XLOOKUP(I220,Mapping!D:D,Mapping!E:E)</f>
        <v>Xưởng Sản Xuất</v>
      </c>
      <c r="C220" s="167" t="str">
        <f>_xlfn.XLOOKUP(F220,Mapping!A:A,Mapping!F:F)</f>
        <v>BHXH, BHYT, KPCĐ</v>
      </c>
      <c r="D220" s="173">
        <v>46053</v>
      </c>
      <c r="E220" s="174" t="s">
        <v>1459</v>
      </c>
      <c r="F220" s="174" t="s">
        <v>425</v>
      </c>
      <c r="G220" s="174" t="s">
        <v>296</v>
      </c>
      <c r="H220" s="174" t="s">
        <v>441</v>
      </c>
      <c r="I220" s="174" t="s">
        <v>442</v>
      </c>
      <c r="J220" s="174" t="s">
        <v>1460</v>
      </c>
      <c r="K220" s="174" t="s">
        <v>1452</v>
      </c>
      <c r="L220" s="174" t="s">
        <v>458</v>
      </c>
      <c r="M220" s="174" t="s">
        <v>1453</v>
      </c>
      <c r="N220" s="177">
        <v>1406240</v>
      </c>
      <c r="O220" s="174" t="s">
        <v>1461</v>
      </c>
      <c r="P220" s="174" t="s">
        <v>283</v>
      </c>
      <c r="Q220" s="174" t="s">
        <v>284</v>
      </c>
      <c r="R220" s="174" t="s">
        <v>283</v>
      </c>
      <c r="S220" s="174" t="s">
        <v>283</v>
      </c>
      <c r="T220" s="175">
        <v>0</v>
      </c>
    </row>
    <row r="221" spans="1:20" hidden="1" x14ac:dyDescent="0.2">
      <c r="A221" s="169" t="str">
        <f t="shared" si="3"/>
        <v>627</v>
      </c>
      <c r="B221" s="167" t="str">
        <f>_xlfn.XLOOKUP(I221,Mapping!D:D,Mapping!E:E)</f>
        <v>Xưởng Sản Xuất</v>
      </c>
      <c r="C221" s="167" t="str">
        <f>_xlfn.XLOOKUP(F221,Mapping!A:A,Mapping!F:F)</f>
        <v>Phụ Cấp</v>
      </c>
      <c r="D221" s="173">
        <v>46051</v>
      </c>
      <c r="E221" s="174" t="s">
        <v>1484</v>
      </c>
      <c r="F221" s="174" t="s">
        <v>375</v>
      </c>
      <c r="G221" s="174" t="s">
        <v>336</v>
      </c>
      <c r="H221" s="174" t="s">
        <v>441</v>
      </c>
      <c r="I221" s="174" t="s">
        <v>442</v>
      </c>
      <c r="J221" s="174" t="s">
        <v>1386</v>
      </c>
      <c r="K221" s="174" t="s">
        <v>992</v>
      </c>
      <c r="L221" s="174" t="s">
        <v>458</v>
      </c>
      <c r="M221" s="174" t="s">
        <v>1453</v>
      </c>
      <c r="N221" s="177">
        <v>442000</v>
      </c>
      <c r="O221" s="174" t="s">
        <v>1485</v>
      </c>
      <c r="P221" s="174" t="s">
        <v>283</v>
      </c>
      <c r="Q221" s="174" t="s">
        <v>306</v>
      </c>
      <c r="R221" s="174" t="s">
        <v>283</v>
      </c>
      <c r="S221" s="174" t="s">
        <v>283</v>
      </c>
      <c r="T221" s="175">
        <v>0</v>
      </c>
    </row>
    <row r="222" spans="1:20" hidden="1" x14ac:dyDescent="0.2">
      <c r="A222" s="169" t="str">
        <f t="shared" si="3"/>
        <v>622</v>
      </c>
      <c r="B222" s="167" t="str">
        <f>_xlfn.XLOOKUP(I222,Mapping!D:D,Mapping!E:E)</f>
        <v>Xưởng Sản Xuất</v>
      </c>
      <c r="C222" s="167" t="str">
        <f>_xlfn.XLOOKUP(F222,Mapping!A:A,Mapping!F:F)</f>
        <v>Phụ Cấp</v>
      </c>
      <c r="D222" s="173">
        <v>46053</v>
      </c>
      <c r="E222" s="174" t="s">
        <v>1558</v>
      </c>
      <c r="F222" s="174" t="s">
        <v>414</v>
      </c>
      <c r="G222" s="174" t="s">
        <v>415</v>
      </c>
      <c r="H222" s="174" t="s">
        <v>441</v>
      </c>
      <c r="I222" s="174" t="s">
        <v>442</v>
      </c>
      <c r="J222" s="174" t="s">
        <v>416</v>
      </c>
      <c r="K222" s="174" t="s">
        <v>416</v>
      </c>
      <c r="L222" s="174" t="s">
        <v>458</v>
      </c>
      <c r="M222" s="174" t="s">
        <v>1453</v>
      </c>
      <c r="N222" s="177">
        <v>442000</v>
      </c>
      <c r="O222" s="174" t="s">
        <v>1559</v>
      </c>
      <c r="P222" s="174" t="s">
        <v>283</v>
      </c>
      <c r="Q222" s="174" t="s">
        <v>348</v>
      </c>
      <c r="R222" s="174" t="s">
        <v>283</v>
      </c>
      <c r="S222" s="174" t="s">
        <v>283</v>
      </c>
      <c r="T222" s="175">
        <v>0</v>
      </c>
    </row>
    <row r="223" spans="1:20" hidden="1" x14ac:dyDescent="0.2">
      <c r="A223" s="169" t="str">
        <f t="shared" si="3"/>
        <v>627</v>
      </c>
      <c r="B223" s="167" t="str">
        <f>_xlfn.XLOOKUP(I223,Mapping!D:D,Mapping!E:E)</f>
        <v>Xưởng Sản Xuất</v>
      </c>
      <c r="C223" s="167" t="str">
        <f>_xlfn.XLOOKUP(F223,Mapping!A:A,Mapping!F:F)</f>
        <v>Phụ Cấp</v>
      </c>
      <c r="D223" s="173">
        <v>46053</v>
      </c>
      <c r="E223" s="174" t="s">
        <v>1558</v>
      </c>
      <c r="F223" s="174" t="s">
        <v>375</v>
      </c>
      <c r="G223" s="174" t="s">
        <v>336</v>
      </c>
      <c r="H223" s="174" t="s">
        <v>441</v>
      </c>
      <c r="I223" s="174" t="s">
        <v>442</v>
      </c>
      <c r="J223" s="174" t="s">
        <v>416</v>
      </c>
      <c r="K223" s="174" t="s">
        <v>416</v>
      </c>
      <c r="L223" s="174" t="s">
        <v>458</v>
      </c>
      <c r="M223" s="174" t="s">
        <v>1453</v>
      </c>
      <c r="N223" s="177">
        <v>-442000</v>
      </c>
      <c r="O223" s="174" t="s">
        <v>1559</v>
      </c>
      <c r="P223" s="174" t="s">
        <v>283</v>
      </c>
      <c r="Q223" s="174" t="s">
        <v>348</v>
      </c>
      <c r="R223" s="174" t="s">
        <v>283</v>
      </c>
      <c r="S223" s="174" t="s">
        <v>283</v>
      </c>
      <c r="T223" s="175">
        <v>0</v>
      </c>
    </row>
    <row r="224" spans="1:20" hidden="1" x14ac:dyDescent="0.2">
      <c r="A224" s="169" t="str">
        <f t="shared" si="3"/>
        <v>622</v>
      </c>
      <c r="B224" s="167" t="str">
        <f>_xlfn.XLOOKUP(I224,Mapping!D:D,Mapping!E:E)</f>
        <v>Xưởng Sản Xuất</v>
      </c>
      <c r="C224" s="167" t="str">
        <f>_xlfn.XLOOKUP(F224,Mapping!A:A,Mapping!F:F)</f>
        <v>Phụ Cấp</v>
      </c>
      <c r="D224" s="173">
        <v>46053</v>
      </c>
      <c r="E224" s="174" t="s">
        <v>1558</v>
      </c>
      <c r="F224" s="174" t="s">
        <v>414</v>
      </c>
      <c r="G224" s="174" t="s">
        <v>415</v>
      </c>
      <c r="H224" s="174" t="s">
        <v>441</v>
      </c>
      <c r="I224" s="174" t="s">
        <v>442</v>
      </c>
      <c r="J224" s="174" t="s">
        <v>416</v>
      </c>
      <c r="K224" s="174" t="s">
        <v>416</v>
      </c>
      <c r="L224" s="174" t="s">
        <v>458</v>
      </c>
      <c r="M224" s="174" t="s">
        <v>1453</v>
      </c>
      <c r="N224" s="177">
        <v>62000</v>
      </c>
      <c r="O224" s="174" t="s">
        <v>1559</v>
      </c>
      <c r="P224" s="174" t="s">
        <v>283</v>
      </c>
      <c r="Q224" s="174" t="s">
        <v>348</v>
      </c>
      <c r="R224" s="174" t="s">
        <v>283</v>
      </c>
      <c r="S224" s="174" t="s">
        <v>283</v>
      </c>
      <c r="T224" s="175">
        <v>0</v>
      </c>
    </row>
    <row r="225" spans="1:20" hidden="1" x14ac:dyDescent="0.2">
      <c r="A225" s="169" t="str">
        <f t="shared" si="3"/>
        <v>642</v>
      </c>
      <c r="B225" s="167" t="str">
        <f>_xlfn.XLOOKUP(I225,Mapping!D:D,Mapping!E:E)</f>
        <v>Ban Giám Đốc</v>
      </c>
      <c r="C225" s="167" t="str">
        <f>_xlfn.XLOOKUP(F225,Mapping!A:A,Mapping!F:F)</f>
        <v>Lương Chính +T13</v>
      </c>
      <c r="D225" s="173">
        <v>46081</v>
      </c>
      <c r="E225" s="174" t="s">
        <v>1578</v>
      </c>
      <c r="F225" s="174" t="s">
        <v>274</v>
      </c>
      <c r="G225" s="174" t="s">
        <v>275</v>
      </c>
      <c r="H225" s="174" t="s">
        <v>276</v>
      </c>
      <c r="I225" s="174" t="s">
        <v>277</v>
      </c>
      <c r="J225" s="174" t="s">
        <v>1579</v>
      </c>
      <c r="K225" s="174" t="s">
        <v>1580</v>
      </c>
      <c r="L225" s="174" t="s">
        <v>280</v>
      </c>
      <c r="M225" s="174" t="s">
        <v>1453</v>
      </c>
      <c r="N225" s="177">
        <v>1334690021</v>
      </c>
      <c r="O225" s="174" t="s">
        <v>1581</v>
      </c>
      <c r="P225" s="174" t="s">
        <v>283</v>
      </c>
      <c r="Q225" s="174" t="s">
        <v>284</v>
      </c>
      <c r="R225" s="174" t="s">
        <v>283</v>
      </c>
      <c r="S225" s="174" t="s">
        <v>283</v>
      </c>
      <c r="T225" s="175">
        <v>0</v>
      </c>
    </row>
    <row r="226" spans="1:20" hidden="1" x14ac:dyDescent="0.2">
      <c r="A226" s="169" t="str">
        <f t="shared" si="3"/>
        <v>642</v>
      </c>
      <c r="B226" s="167" t="str">
        <f>_xlfn.XLOOKUP(I226,Mapping!D:D,Mapping!E:E)</f>
        <v>Ban Giám Đốc</v>
      </c>
      <c r="C226" s="167" t="str">
        <f>_xlfn.XLOOKUP(F226,Mapping!A:A,Mapping!F:F)</f>
        <v>Lương Chính +T13</v>
      </c>
      <c r="D226" s="173">
        <v>46081</v>
      </c>
      <c r="E226" s="174" t="s">
        <v>1578</v>
      </c>
      <c r="F226" s="174" t="s">
        <v>285</v>
      </c>
      <c r="G226" s="174" t="s">
        <v>286</v>
      </c>
      <c r="H226" s="174" t="s">
        <v>276</v>
      </c>
      <c r="I226" s="174" t="s">
        <v>277</v>
      </c>
      <c r="J226" s="174" t="s">
        <v>1579</v>
      </c>
      <c r="K226" s="174" t="s">
        <v>1580</v>
      </c>
      <c r="L226" s="174" t="s">
        <v>280</v>
      </c>
      <c r="M226" s="174" t="s">
        <v>1453</v>
      </c>
      <c r="N226" s="177">
        <v>136927364</v>
      </c>
      <c r="O226" s="174" t="s">
        <v>1581</v>
      </c>
      <c r="P226" s="174" t="s">
        <v>283</v>
      </c>
      <c r="Q226" s="174" t="s">
        <v>284</v>
      </c>
      <c r="R226" s="174" t="s">
        <v>283</v>
      </c>
      <c r="S226" s="174" t="s">
        <v>283</v>
      </c>
      <c r="T226" s="175">
        <v>0</v>
      </c>
    </row>
    <row r="227" spans="1:20" hidden="1" x14ac:dyDescent="0.2">
      <c r="A227" s="169" t="str">
        <f t="shared" si="3"/>
        <v>642</v>
      </c>
      <c r="B227" s="167" t="str">
        <f>_xlfn.XLOOKUP(I227,Mapping!D:D,Mapping!E:E)</f>
        <v>Ban Giám Đốc</v>
      </c>
      <c r="C227" s="167" t="str">
        <f>_xlfn.XLOOKUP(F227,Mapping!A:A,Mapping!F:F)</f>
        <v>Lương Chính +T13</v>
      </c>
      <c r="D227" s="173">
        <v>46081</v>
      </c>
      <c r="E227" s="174" t="s">
        <v>1582</v>
      </c>
      <c r="F227" s="174" t="s">
        <v>285</v>
      </c>
      <c r="G227" s="174" t="s">
        <v>286</v>
      </c>
      <c r="H227" s="174" t="s">
        <v>276</v>
      </c>
      <c r="I227" s="174" t="s">
        <v>277</v>
      </c>
      <c r="J227" s="174" t="s">
        <v>1583</v>
      </c>
      <c r="K227" s="174" t="s">
        <v>1580</v>
      </c>
      <c r="L227" s="174" t="s">
        <v>280</v>
      </c>
      <c r="M227" s="174" t="s">
        <v>1453</v>
      </c>
      <c r="N227" s="177">
        <v>116943500</v>
      </c>
      <c r="O227" s="174" t="s">
        <v>1584</v>
      </c>
      <c r="P227" s="174" t="s">
        <v>283</v>
      </c>
      <c r="Q227" s="174" t="s">
        <v>284</v>
      </c>
      <c r="R227" s="174" t="s">
        <v>283</v>
      </c>
      <c r="S227" s="174" t="s">
        <v>283</v>
      </c>
      <c r="T227" s="175">
        <v>0</v>
      </c>
    </row>
    <row r="228" spans="1:20" hidden="1" x14ac:dyDescent="0.2">
      <c r="A228" s="169" t="str">
        <f t="shared" si="3"/>
        <v>642</v>
      </c>
      <c r="B228" s="167" t="str">
        <f>_xlfn.XLOOKUP(I228,Mapping!D:D,Mapping!E:E)</f>
        <v>Ban Giám Đốc</v>
      </c>
      <c r="C228" s="167" t="str">
        <f>_xlfn.XLOOKUP(F228,Mapping!A:A,Mapping!F:F)</f>
        <v>Thưởng</v>
      </c>
      <c r="D228" s="173">
        <v>46081</v>
      </c>
      <c r="E228" s="174" t="s">
        <v>1582</v>
      </c>
      <c r="F228" s="174" t="s">
        <v>292</v>
      </c>
      <c r="G228" s="174" t="s">
        <v>77</v>
      </c>
      <c r="H228" s="174" t="s">
        <v>276</v>
      </c>
      <c r="I228" s="174" t="s">
        <v>277</v>
      </c>
      <c r="J228" s="174" t="s">
        <v>1585</v>
      </c>
      <c r="K228" s="174" t="s">
        <v>1580</v>
      </c>
      <c r="L228" s="174" t="s">
        <v>280</v>
      </c>
      <c r="M228" s="174" t="s">
        <v>1453</v>
      </c>
      <c r="N228" s="177">
        <v>107587084</v>
      </c>
      <c r="O228" s="174" t="s">
        <v>1584</v>
      </c>
      <c r="P228" s="174" t="s">
        <v>283</v>
      </c>
      <c r="Q228" s="174" t="s">
        <v>284</v>
      </c>
      <c r="R228" s="174" t="s">
        <v>283</v>
      </c>
      <c r="S228" s="174" t="s">
        <v>283</v>
      </c>
      <c r="T228" s="175">
        <v>0</v>
      </c>
    </row>
    <row r="229" spans="1:20" hidden="1" x14ac:dyDescent="0.2">
      <c r="A229" s="169" t="str">
        <f t="shared" si="3"/>
        <v>642</v>
      </c>
      <c r="B229" s="167" t="str">
        <f>_xlfn.XLOOKUP(I229,Mapping!D:D,Mapping!E:E)</f>
        <v>Ban Giám Đốc</v>
      </c>
      <c r="C229" s="167" t="str">
        <f>_xlfn.XLOOKUP(F229,Mapping!A:A,Mapping!F:F)</f>
        <v>BHXH, BHYT, KPCĐ</v>
      </c>
      <c r="D229" s="173">
        <v>46081</v>
      </c>
      <c r="E229" s="174" t="s">
        <v>1586</v>
      </c>
      <c r="F229" s="174" t="s">
        <v>295</v>
      </c>
      <c r="G229" s="174" t="s">
        <v>296</v>
      </c>
      <c r="H229" s="174" t="s">
        <v>276</v>
      </c>
      <c r="I229" s="174" t="s">
        <v>277</v>
      </c>
      <c r="J229" s="174" t="s">
        <v>1587</v>
      </c>
      <c r="K229" s="174" t="s">
        <v>1580</v>
      </c>
      <c r="L229" s="174" t="s">
        <v>280</v>
      </c>
      <c r="M229" s="174" t="s">
        <v>1453</v>
      </c>
      <c r="N229" s="177">
        <v>137648720</v>
      </c>
      <c r="O229" s="174" t="s">
        <v>1588</v>
      </c>
      <c r="P229" s="174" t="s">
        <v>283</v>
      </c>
      <c r="Q229" s="174" t="s">
        <v>284</v>
      </c>
      <c r="R229" s="174" t="s">
        <v>283</v>
      </c>
      <c r="S229" s="174" t="s">
        <v>283</v>
      </c>
      <c r="T229" s="175">
        <v>0</v>
      </c>
    </row>
    <row r="230" spans="1:20" hidden="1" x14ac:dyDescent="0.2">
      <c r="A230" s="169" t="str">
        <f t="shared" si="3"/>
        <v>642</v>
      </c>
      <c r="B230" s="167" t="str">
        <f>_xlfn.XLOOKUP(I230,Mapping!D:D,Mapping!E:E)</f>
        <v>Văn Phòng Giám Đốc</v>
      </c>
      <c r="C230" s="167" t="str">
        <f>_xlfn.XLOOKUP(F230,Mapping!A:A,Mapping!F:F)</f>
        <v>Lương Chính +T13</v>
      </c>
      <c r="D230" s="173">
        <v>46081</v>
      </c>
      <c r="E230" s="174" t="s">
        <v>1578</v>
      </c>
      <c r="F230" s="174" t="s">
        <v>274</v>
      </c>
      <c r="G230" s="174" t="s">
        <v>275</v>
      </c>
      <c r="H230" s="174" t="s">
        <v>320</v>
      </c>
      <c r="I230" s="174" t="s">
        <v>321</v>
      </c>
      <c r="J230" s="174" t="s">
        <v>1579</v>
      </c>
      <c r="K230" s="174" t="s">
        <v>1580</v>
      </c>
      <c r="L230" s="174" t="s">
        <v>280</v>
      </c>
      <c r="M230" s="174" t="s">
        <v>1453</v>
      </c>
      <c r="N230" s="177">
        <v>105390524</v>
      </c>
      <c r="O230" s="174" t="s">
        <v>1581</v>
      </c>
      <c r="P230" s="174" t="s">
        <v>283</v>
      </c>
      <c r="Q230" s="174" t="s">
        <v>284</v>
      </c>
      <c r="R230" s="174" t="s">
        <v>283</v>
      </c>
      <c r="S230" s="174" t="s">
        <v>283</v>
      </c>
      <c r="T230" s="175">
        <v>0</v>
      </c>
    </row>
    <row r="231" spans="1:20" hidden="1" x14ac:dyDescent="0.2">
      <c r="A231" s="169" t="str">
        <f t="shared" si="3"/>
        <v>642</v>
      </c>
      <c r="B231" s="167" t="str">
        <f>_xlfn.XLOOKUP(I231,Mapping!D:D,Mapping!E:E)</f>
        <v>Văn Phòng Giám Đốc</v>
      </c>
      <c r="C231" s="167" t="str">
        <f>_xlfn.XLOOKUP(F231,Mapping!A:A,Mapping!F:F)</f>
        <v>Lương Chính +T13</v>
      </c>
      <c r="D231" s="173">
        <v>46081</v>
      </c>
      <c r="E231" s="174" t="s">
        <v>1578</v>
      </c>
      <c r="F231" s="174" t="s">
        <v>285</v>
      </c>
      <c r="G231" s="174" t="s">
        <v>286</v>
      </c>
      <c r="H231" s="174" t="s">
        <v>320</v>
      </c>
      <c r="I231" s="174" t="s">
        <v>321</v>
      </c>
      <c r="J231" s="174" t="s">
        <v>1579</v>
      </c>
      <c r="K231" s="174" t="s">
        <v>1580</v>
      </c>
      <c r="L231" s="174" t="s">
        <v>280</v>
      </c>
      <c r="M231" s="174" t="s">
        <v>1453</v>
      </c>
      <c r="N231" s="177">
        <v>11397462</v>
      </c>
      <c r="O231" s="174" t="s">
        <v>1581</v>
      </c>
      <c r="P231" s="174" t="s">
        <v>283</v>
      </c>
      <c r="Q231" s="174" t="s">
        <v>284</v>
      </c>
      <c r="R231" s="174" t="s">
        <v>283</v>
      </c>
      <c r="S231" s="174" t="s">
        <v>283</v>
      </c>
      <c r="T231" s="175">
        <v>0</v>
      </c>
    </row>
    <row r="232" spans="1:20" hidden="1" x14ac:dyDescent="0.2">
      <c r="A232" s="169" t="str">
        <f t="shared" si="3"/>
        <v>642</v>
      </c>
      <c r="B232" s="167" t="str">
        <f>_xlfn.XLOOKUP(I232,Mapping!D:D,Mapping!E:E)</f>
        <v>Văn Phòng Giám Đốc</v>
      </c>
      <c r="C232" s="167" t="str">
        <f>_xlfn.XLOOKUP(F232,Mapping!A:A,Mapping!F:F)</f>
        <v>Lương Chính +T13</v>
      </c>
      <c r="D232" s="173">
        <v>46081</v>
      </c>
      <c r="E232" s="174" t="s">
        <v>1582</v>
      </c>
      <c r="F232" s="174" t="s">
        <v>285</v>
      </c>
      <c r="G232" s="174" t="s">
        <v>286</v>
      </c>
      <c r="H232" s="174" t="s">
        <v>320</v>
      </c>
      <c r="I232" s="174" t="s">
        <v>321</v>
      </c>
      <c r="J232" s="174" t="s">
        <v>1583</v>
      </c>
      <c r="K232" s="174" t="s">
        <v>1580</v>
      </c>
      <c r="L232" s="174" t="s">
        <v>280</v>
      </c>
      <c r="M232" s="174" t="s">
        <v>1453</v>
      </c>
      <c r="N232" s="177">
        <v>10234500</v>
      </c>
      <c r="O232" s="174" t="s">
        <v>1584</v>
      </c>
      <c r="P232" s="174" t="s">
        <v>283</v>
      </c>
      <c r="Q232" s="174" t="s">
        <v>284</v>
      </c>
      <c r="R232" s="174" t="s">
        <v>283</v>
      </c>
      <c r="S232" s="174" t="s">
        <v>283</v>
      </c>
      <c r="T232" s="175">
        <v>0</v>
      </c>
    </row>
    <row r="233" spans="1:20" hidden="1" x14ac:dyDescent="0.2">
      <c r="A233" s="169" t="str">
        <f t="shared" si="3"/>
        <v>642</v>
      </c>
      <c r="B233" s="167" t="str">
        <f>_xlfn.XLOOKUP(I233,Mapping!D:D,Mapping!E:E)</f>
        <v>Văn Phòng Giám Đốc</v>
      </c>
      <c r="C233" s="167" t="str">
        <f>_xlfn.XLOOKUP(F233,Mapping!A:A,Mapping!F:F)</f>
        <v>Thưởng</v>
      </c>
      <c r="D233" s="173">
        <v>46081</v>
      </c>
      <c r="E233" s="174" t="s">
        <v>1582</v>
      </c>
      <c r="F233" s="174" t="s">
        <v>292</v>
      </c>
      <c r="G233" s="174" t="s">
        <v>77</v>
      </c>
      <c r="H233" s="174" t="s">
        <v>320</v>
      </c>
      <c r="I233" s="174" t="s">
        <v>321</v>
      </c>
      <c r="J233" s="174" t="s">
        <v>1585</v>
      </c>
      <c r="K233" s="174" t="s">
        <v>1580</v>
      </c>
      <c r="L233" s="174" t="s">
        <v>280</v>
      </c>
      <c r="M233" s="174" t="s">
        <v>1453</v>
      </c>
      <c r="N233" s="177">
        <v>9415658</v>
      </c>
      <c r="O233" s="174" t="s">
        <v>1584</v>
      </c>
      <c r="P233" s="174" t="s">
        <v>283</v>
      </c>
      <c r="Q233" s="174" t="s">
        <v>284</v>
      </c>
      <c r="R233" s="174" t="s">
        <v>283</v>
      </c>
      <c r="S233" s="174" t="s">
        <v>283</v>
      </c>
      <c r="T233" s="175">
        <v>0</v>
      </c>
    </row>
    <row r="234" spans="1:20" hidden="1" x14ac:dyDescent="0.2">
      <c r="A234" s="169" t="str">
        <f t="shared" si="3"/>
        <v>642</v>
      </c>
      <c r="B234" s="167" t="str">
        <f>_xlfn.XLOOKUP(I234,Mapping!D:D,Mapping!E:E)</f>
        <v>Văn Phòng Giám Đốc</v>
      </c>
      <c r="C234" s="167" t="str">
        <f>_xlfn.XLOOKUP(F234,Mapping!A:A,Mapping!F:F)</f>
        <v>Phụ Cấp</v>
      </c>
      <c r="D234" s="173">
        <v>46081</v>
      </c>
      <c r="E234" s="174" t="s">
        <v>1589</v>
      </c>
      <c r="F234" s="174" t="s">
        <v>335</v>
      </c>
      <c r="G234" s="174" t="s">
        <v>336</v>
      </c>
      <c r="H234" s="174" t="s">
        <v>320</v>
      </c>
      <c r="I234" s="174" t="s">
        <v>321</v>
      </c>
      <c r="J234" s="174" t="s">
        <v>1590</v>
      </c>
      <c r="K234" s="174" t="s">
        <v>992</v>
      </c>
      <c r="L234" s="174" t="s">
        <v>280</v>
      </c>
      <c r="M234" s="174" t="s">
        <v>1453</v>
      </c>
      <c r="N234" s="177">
        <v>1848000</v>
      </c>
      <c r="O234" s="174" t="s">
        <v>1591</v>
      </c>
      <c r="P234" s="174" t="s">
        <v>283</v>
      </c>
      <c r="Q234" s="174" t="s">
        <v>306</v>
      </c>
      <c r="R234" s="174" t="s">
        <v>283</v>
      </c>
      <c r="S234" s="174" t="s">
        <v>283</v>
      </c>
      <c r="T234" s="175">
        <v>0</v>
      </c>
    </row>
    <row r="235" spans="1:20" hidden="1" x14ac:dyDescent="0.2">
      <c r="A235" s="169" t="str">
        <f t="shared" si="3"/>
        <v>642</v>
      </c>
      <c r="B235" s="167" t="str">
        <f>_xlfn.XLOOKUP(I235,Mapping!D:D,Mapping!E:E)</f>
        <v>Văn Phòng Giám Đốc</v>
      </c>
      <c r="C235" s="167" t="str">
        <f>_xlfn.XLOOKUP(F235,Mapping!A:A,Mapping!F:F)</f>
        <v>BHXH, BHYT, KPCĐ</v>
      </c>
      <c r="D235" s="173">
        <v>46081</v>
      </c>
      <c r="E235" s="174" t="s">
        <v>1586</v>
      </c>
      <c r="F235" s="174" t="s">
        <v>295</v>
      </c>
      <c r="G235" s="174" t="s">
        <v>296</v>
      </c>
      <c r="H235" s="174" t="s">
        <v>320</v>
      </c>
      <c r="I235" s="174" t="s">
        <v>321</v>
      </c>
      <c r="J235" s="174" t="s">
        <v>1587</v>
      </c>
      <c r="K235" s="174" t="s">
        <v>1580</v>
      </c>
      <c r="L235" s="174" t="s">
        <v>280</v>
      </c>
      <c r="M235" s="174" t="s">
        <v>1453</v>
      </c>
      <c r="N235" s="177">
        <v>28861290</v>
      </c>
      <c r="O235" s="174" t="s">
        <v>1588</v>
      </c>
      <c r="P235" s="174" t="s">
        <v>283</v>
      </c>
      <c r="Q235" s="174" t="s">
        <v>284</v>
      </c>
      <c r="R235" s="174" t="s">
        <v>283</v>
      </c>
      <c r="S235" s="174" t="s">
        <v>283</v>
      </c>
      <c r="T235" s="175">
        <v>0</v>
      </c>
    </row>
    <row r="236" spans="1:20" hidden="1" x14ac:dyDescent="0.2">
      <c r="A236" s="169" t="str">
        <f t="shared" si="3"/>
        <v>642</v>
      </c>
      <c r="B236" s="167" t="str">
        <f>_xlfn.XLOOKUP(I236,Mapping!D:D,Mapping!E:E)</f>
        <v>Hành Chánh Nhân Sự</v>
      </c>
      <c r="C236" s="167" t="str">
        <f>_xlfn.XLOOKUP(F236,Mapping!A:A,Mapping!F:F)</f>
        <v>Phụ Cấp</v>
      </c>
      <c r="D236" s="173">
        <v>46081</v>
      </c>
      <c r="E236" s="174" t="s">
        <v>1578</v>
      </c>
      <c r="F236" s="174" t="s">
        <v>340</v>
      </c>
      <c r="G236" s="174" t="s">
        <v>341</v>
      </c>
      <c r="H236" s="174" t="s">
        <v>301</v>
      </c>
      <c r="I236" s="174" t="s">
        <v>302</v>
      </c>
      <c r="J236" s="174" t="s">
        <v>1579</v>
      </c>
      <c r="K236" s="174" t="s">
        <v>1580</v>
      </c>
      <c r="L236" s="174" t="s">
        <v>280</v>
      </c>
      <c r="M236" s="174" t="s">
        <v>1453</v>
      </c>
      <c r="N236" s="177">
        <v>8331350</v>
      </c>
      <c r="O236" s="174" t="s">
        <v>1581</v>
      </c>
      <c r="P236" s="174" t="s">
        <v>283</v>
      </c>
      <c r="Q236" s="174" t="s">
        <v>284</v>
      </c>
      <c r="R236" s="174" t="s">
        <v>283</v>
      </c>
      <c r="S236" s="174" t="s">
        <v>283</v>
      </c>
      <c r="T236" s="175">
        <v>0</v>
      </c>
    </row>
    <row r="237" spans="1:20" hidden="1" x14ac:dyDescent="0.2">
      <c r="A237" s="169" t="str">
        <f t="shared" si="3"/>
        <v>642</v>
      </c>
      <c r="B237" s="167" t="str">
        <f>_xlfn.XLOOKUP(I237,Mapping!D:D,Mapping!E:E)</f>
        <v>Hành Chánh Nhân Sự</v>
      </c>
      <c r="C237" s="167" t="str">
        <f>_xlfn.XLOOKUP(F237,Mapping!A:A,Mapping!F:F)</f>
        <v>Lương Chính +T13</v>
      </c>
      <c r="D237" s="173">
        <v>46081</v>
      </c>
      <c r="E237" s="174" t="s">
        <v>1592</v>
      </c>
      <c r="F237" s="174" t="s">
        <v>274</v>
      </c>
      <c r="G237" s="174" t="s">
        <v>275</v>
      </c>
      <c r="H237" s="174" t="s">
        <v>301</v>
      </c>
      <c r="I237" s="174" t="s">
        <v>302</v>
      </c>
      <c r="J237" s="174" t="s">
        <v>1593</v>
      </c>
      <c r="K237" s="174" t="s">
        <v>328</v>
      </c>
      <c r="L237" s="174" t="s">
        <v>280</v>
      </c>
      <c r="M237" s="174" t="s">
        <v>1453</v>
      </c>
      <c r="N237" s="177">
        <v>97732143</v>
      </c>
      <c r="O237" s="174" t="s">
        <v>1594</v>
      </c>
      <c r="P237" s="174" t="s">
        <v>283</v>
      </c>
      <c r="Q237" s="174" t="s">
        <v>306</v>
      </c>
      <c r="R237" s="174" t="s">
        <v>283</v>
      </c>
      <c r="S237" s="174" t="s">
        <v>283</v>
      </c>
      <c r="T237" s="175">
        <v>0</v>
      </c>
    </row>
    <row r="238" spans="1:20" hidden="1" x14ac:dyDescent="0.2">
      <c r="A238" s="169" t="str">
        <f t="shared" si="3"/>
        <v>642</v>
      </c>
      <c r="B238" s="167" t="str">
        <f>_xlfn.XLOOKUP(I238,Mapping!D:D,Mapping!E:E)</f>
        <v>Hành Chánh Nhân Sự</v>
      </c>
      <c r="C238" s="167" t="str">
        <f>_xlfn.XLOOKUP(F238,Mapping!A:A,Mapping!F:F)</f>
        <v>Lương Chính +T13</v>
      </c>
      <c r="D238" s="173">
        <v>46081</v>
      </c>
      <c r="E238" s="174" t="s">
        <v>1578</v>
      </c>
      <c r="F238" s="174" t="s">
        <v>274</v>
      </c>
      <c r="G238" s="174" t="s">
        <v>275</v>
      </c>
      <c r="H238" s="174" t="s">
        <v>301</v>
      </c>
      <c r="I238" s="174" t="s">
        <v>302</v>
      </c>
      <c r="J238" s="174" t="s">
        <v>1579</v>
      </c>
      <c r="K238" s="174" t="s">
        <v>1580</v>
      </c>
      <c r="L238" s="174" t="s">
        <v>280</v>
      </c>
      <c r="M238" s="174" t="s">
        <v>1453</v>
      </c>
      <c r="N238" s="177">
        <v>441881917</v>
      </c>
      <c r="O238" s="174" t="s">
        <v>1581</v>
      </c>
      <c r="P238" s="174" t="s">
        <v>283</v>
      </c>
      <c r="Q238" s="174" t="s">
        <v>284</v>
      </c>
      <c r="R238" s="174" t="s">
        <v>283</v>
      </c>
      <c r="S238" s="174" t="s">
        <v>283</v>
      </c>
      <c r="T238" s="175">
        <v>0</v>
      </c>
    </row>
    <row r="239" spans="1:20" hidden="1" x14ac:dyDescent="0.2">
      <c r="A239" s="169" t="str">
        <f t="shared" si="3"/>
        <v>642</v>
      </c>
      <c r="B239" s="167" t="str">
        <f>_xlfn.XLOOKUP(I239,Mapping!D:D,Mapping!E:E)</f>
        <v>Hành Chánh Nhân Sự</v>
      </c>
      <c r="C239" s="167" t="str">
        <f>_xlfn.XLOOKUP(F239,Mapping!A:A,Mapping!F:F)</f>
        <v>Lương Chính +T13</v>
      </c>
      <c r="D239" s="173">
        <v>46081</v>
      </c>
      <c r="E239" s="174" t="s">
        <v>1578</v>
      </c>
      <c r="F239" s="174" t="s">
        <v>285</v>
      </c>
      <c r="G239" s="174" t="s">
        <v>286</v>
      </c>
      <c r="H239" s="174" t="s">
        <v>301</v>
      </c>
      <c r="I239" s="174" t="s">
        <v>302</v>
      </c>
      <c r="J239" s="174" t="s">
        <v>1579</v>
      </c>
      <c r="K239" s="174" t="s">
        <v>1580</v>
      </c>
      <c r="L239" s="174" t="s">
        <v>280</v>
      </c>
      <c r="M239" s="174" t="s">
        <v>1453</v>
      </c>
      <c r="N239" s="177">
        <v>31783325</v>
      </c>
      <c r="O239" s="174" t="s">
        <v>1581</v>
      </c>
      <c r="P239" s="174" t="s">
        <v>283</v>
      </c>
      <c r="Q239" s="174" t="s">
        <v>284</v>
      </c>
      <c r="R239" s="174" t="s">
        <v>283</v>
      </c>
      <c r="S239" s="174" t="s">
        <v>283</v>
      </c>
      <c r="T239" s="175">
        <v>0</v>
      </c>
    </row>
    <row r="240" spans="1:20" hidden="1" x14ac:dyDescent="0.2">
      <c r="A240" s="169" t="str">
        <f t="shared" si="3"/>
        <v>642</v>
      </c>
      <c r="B240" s="167" t="str">
        <f>_xlfn.XLOOKUP(I240,Mapping!D:D,Mapping!E:E)</f>
        <v>Hành Chánh Nhân Sự</v>
      </c>
      <c r="C240" s="167" t="str">
        <f>_xlfn.XLOOKUP(F240,Mapping!A:A,Mapping!F:F)</f>
        <v>Lương Chính +T13</v>
      </c>
      <c r="D240" s="173">
        <v>46081</v>
      </c>
      <c r="E240" s="174" t="s">
        <v>1582</v>
      </c>
      <c r="F240" s="174" t="s">
        <v>285</v>
      </c>
      <c r="G240" s="174" t="s">
        <v>286</v>
      </c>
      <c r="H240" s="174" t="s">
        <v>301</v>
      </c>
      <c r="I240" s="174" t="s">
        <v>302</v>
      </c>
      <c r="J240" s="174" t="s">
        <v>1583</v>
      </c>
      <c r="K240" s="174" t="s">
        <v>1580</v>
      </c>
      <c r="L240" s="174" t="s">
        <v>280</v>
      </c>
      <c r="M240" s="174" t="s">
        <v>1453</v>
      </c>
      <c r="N240" s="177">
        <v>40077167</v>
      </c>
      <c r="O240" s="174" t="s">
        <v>1584</v>
      </c>
      <c r="P240" s="174" t="s">
        <v>283</v>
      </c>
      <c r="Q240" s="174" t="s">
        <v>284</v>
      </c>
      <c r="R240" s="174" t="s">
        <v>283</v>
      </c>
      <c r="S240" s="174" t="s">
        <v>283</v>
      </c>
      <c r="T240" s="175">
        <v>0</v>
      </c>
    </row>
    <row r="241" spans="1:20" hidden="1" x14ac:dyDescent="0.2">
      <c r="A241" s="169" t="str">
        <f t="shared" si="3"/>
        <v>642</v>
      </c>
      <c r="B241" s="167" t="str">
        <f>_xlfn.XLOOKUP(I241,Mapping!D:D,Mapping!E:E)</f>
        <v>Hành Chánh Nhân Sự</v>
      </c>
      <c r="C241" s="167" t="str">
        <f>_xlfn.XLOOKUP(F241,Mapping!A:A,Mapping!F:F)</f>
        <v>Lương Ngoài giờ</v>
      </c>
      <c r="D241" s="173">
        <v>46081</v>
      </c>
      <c r="E241" s="174" t="s">
        <v>1578</v>
      </c>
      <c r="F241" s="174" t="s">
        <v>342</v>
      </c>
      <c r="G241" s="174" t="s">
        <v>343</v>
      </c>
      <c r="H241" s="174" t="s">
        <v>301</v>
      </c>
      <c r="I241" s="174" t="s">
        <v>302</v>
      </c>
      <c r="J241" s="174" t="s">
        <v>1579</v>
      </c>
      <c r="K241" s="174" t="s">
        <v>1580</v>
      </c>
      <c r="L241" s="174" t="s">
        <v>280</v>
      </c>
      <c r="M241" s="174" t="s">
        <v>1453</v>
      </c>
      <c r="N241" s="177">
        <v>113335683</v>
      </c>
      <c r="O241" s="174" t="s">
        <v>1581</v>
      </c>
      <c r="P241" s="174" t="s">
        <v>283</v>
      </c>
      <c r="Q241" s="174" t="s">
        <v>284</v>
      </c>
      <c r="R241" s="174" t="s">
        <v>283</v>
      </c>
      <c r="S241" s="174" t="s">
        <v>283</v>
      </c>
      <c r="T241" s="175">
        <v>0</v>
      </c>
    </row>
    <row r="242" spans="1:20" hidden="1" x14ac:dyDescent="0.2">
      <c r="A242" s="169" t="str">
        <f t="shared" si="3"/>
        <v>642</v>
      </c>
      <c r="B242" s="167" t="str">
        <f>_xlfn.XLOOKUP(I242,Mapping!D:D,Mapping!E:E)</f>
        <v>Hành Chánh Nhân Sự</v>
      </c>
      <c r="C242" s="167" t="str">
        <f>_xlfn.XLOOKUP(F242,Mapping!A:A,Mapping!F:F)</f>
        <v>Thưởng</v>
      </c>
      <c r="D242" s="173">
        <v>46081</v>
      </c>
      <c r="E242" s="174" t="s">
        <v>1595</v>
      </c>
      <c r="F242" s="174" t="s">
        <v>290</v>
      </c>
      <c r="G242" s="174" t="s">
        <v>291</v>
      </c>
      <c r="H242" s="174" t="s">
        <v>301</v>
      </c>
      <c r="I242" s="174" t="s">
        <v>302</v>
      </c>
      <c r="J242" s="174" t="s">
        <v>1579</v>
      </c>
      <c r="K242" s="174" t="s">
        <v>1580</v>
      </c>
      <c r="L242" s="174" t="s">
        <v>280</v>
      </c>
      <c r="M242" s="174" t="s">
        <v>1453</v>
      </c>
      <c r="N242" s="177">
        <v>-22140000</v>
      </c>
      <c r="O242" s="174" t="s">
        <v>1596</v>
      </c>
      <c r="P242" s="174" t="s">
        <v>283</v>
      </c>
      <c r="Q242" s="174" t="s">
        <v>284</v>
      </c>
      <c r="R242" s="174" t="s">
        <v>283</v>
      </c>
      <c r="S242" s="174" t="s">
        <v>283</v>
      </c>
      <c r="T242" s="175">
        <v>0</v>
      </c>
    </row>
    <row r="243" spans="1:20" hidden="1" x14ac:dyDescent="0.2">
      <c r="A243" s="169" t="str">
        <f t="shared" si="3"/>
        <v>642</v>
      </c>
      <c r="B243" s="167" t="str">
        <f>_xlfn.XLOOKUP(I243,Mapping!D:D,Mapping!E:E)</f>
        <v>Hành Chánh Nhân Sự</v>
      </c>
      <c r="C243" s="167" t="str">
        <f>_xlfn.XLOOKUP(F243,Mapping!A:A,Mapping!F:F)</f>
        <v>Thưởng</v>
      </c>
      <c r="D243" s="173">
        <v>46081</v>
      </c>
      <c r="E243" s="174" t="s">
        <v>1578</v>
      </c>
      <c r="F243" s="174" t="s">
        <v>290</v>
      </c>
      <c r="G243" s="174" t="s">
        <v>291</v>
      </c>
      <c r="H243" s="174" t="s">
        <v>301</v>
      </c>
      <c r="I243" s="174" t="s">
        <v>302</v>
      </c>
      <c r="J243" s="174" t="s">
        <v>1579</v>
      </c>
      <c r="K243" s="174" t="s">
        <v>1580</v>
      </c>
      <c r="L243" s="174" t="s">
        <v>280</v>
      </c>
      <c r="M243" s="174" t="s">
        <v>1453</v>
      </c>
      <c r="N243" s="177">
        <v>22140000</v>
      </c>
      <c r="O243" s="174" t="s">
        <v>1581</v>
      </c>
      <c r="P243" s="174" t="s">
        <v>283</v>
      </c>
      <c r="Q243" s="174" t="s">
        <v>284</v>
      </c>
      <c r="R243" s="174" t="s">
        <v>283</v>
      </c>
      <c r="S243" s="174" t="s">
        <v>283</v>
      </c>
      <c r="T243" s="175">
        <v>0</v>
      </c>
    </row>
    <row r="244" spans="1:20" hidden="1" x14ac:dyDescent="0.2">
      <c r="A244" s="169" t="str">
        <f t="shared" si="3"/>
        <v>642</v>
      </c>
      <c r="B244" s="167" t="str">
        <f>_xlfn.XLOOKUP(I244,Mapping!D:D,Mapping!E:E)</f>
        <v>Hành Chánh Nhân Sự</v>
      </c>
      <c r="C244" s="167" t="str">
        <f>_xlfn.XLOOKUP(F244,Mapping!A:A,Mapping!F:F)</f>
        <v>Thưởng</v>
      </c>
      <c r="D244" s="173">
        <v>46081</v>
      </c>
      <c r="E244" s="174" t="s">
        <v>1582</v>
      </c>
      <c r="F244" s="174" t="s">
        <v>292</v>
      </c>
      <c r="G244" s="174" t="s">
        <v>77</v>
      </c>
      <c r="H244" s="174" t="s">
        <v>301</v>
      </c>
      <c r="I244" s="174" t="s">
        <v>302</v>
      </c>
      <c r="J244" s="174" t="s">
        <v>1585</v>
      </c>
      <c r="K244" s="174" t="s">
        <v>1580</v>
      </c>
      <c r="L244" s="174" t="s">
        <v>280</v>
      </c>
      <c r="M244" s="174" t="s">
        <v>1453</v>
      </c>
      <c r="N244" s="177">
        <v>33883798</v>
      </c>
      <c r="O244" s="174" t="s">
        <v>1584</v>
      </c>
      <c r="P244" s="174" t="s">
        <v>283</v>
      </c>
      <c r="Q244" s="174" t="s">
        <v>284</v>
      </c>
      <c r="R244" s="174" t="s">
        <v>283</v>
      </c>
      <c r="S244" s="174" t="s">
        <v>283</v>
      </c>
      <c r="T244" s="175">
        <v>0</v>
      </c>
    </row>
    <row r="245" spans="1:20" hidden="1" x14ac:dyDescent="0.2">
      <c r="A245" s="169" t="str">
        <f t="shared" si="3"/>
        <v>642</v>
      </c>
      <c r="B245" s="167" t="str">
        <f>_xlfn.XLOOKUP(I245,Mapping!D:D,Mapping!E:E)</f>
        <v>Hành Chánh Nhân Sự</v>
      </c>
      <c r="C245" s="167" t="str">
        <f>_xlfn.XLOOKUP(F245,Mapping!A:A,Mapping!F:F)</f>
        <v>Phụ Cấp</v>
      </c>
      <c r="D245" s="173">
        <v>46081</v>
      </c>
      <c r="E245" s="174" t="s">
        <v>1589</v>
      </c>
      <c r="F245" s="174" t="s">
        <v>335</v>
      </c>
      <c r="G245" s="174" t="s">
        <v>336</v>
      </c>
      <c r="H245" s="174" t="s">
        <v>301</v>
      </c>
      <c r="I245" s="174" t="s">
        <v>302</v>
      </c>
      <c r="J245" s="174" t="s">
        <v>1590</v>
      </c>
      <c r="K245" s="174" t="s">
        <v>992</v>
      </c>
      <c r="L245" s="174" t="s">
        <v>280</v>
      </c>
      <c r="M245" s="174" t="s">
        <v>1453</v>
      </c>
      <c r="N245" s="177">
        <v>20440000</v>
      </c>
      <c r="O245" s="174" t="s">
        <v>1591</v>
      </c>
      <c r="P245" s="174" t="s">
        <v>283</v>
      </c>
      <c r="Q245" s="174" t="s">
        <v>306</v>
      </c>
      <c r="R245" s="174" t="s">
        <v>283</v>
      </c>
      <c r="S245" s="174" t="s">
        <v>283</v>
      </c>
      <c r="T245" s="175">
        <v>0</v>
      </c>
    </row>
    <row r="246" spans="1:20" hidden="1" x14ac:dyDescent="0.2">
      <c r="A246" s="169" t="str">
        <f t="shared" si="3"/>
        <v>642</v>
      </c>
      <c r="B246" s="167" t="str">
        <f>_xlfn.XLOOKUP(I246,Mapping!D:D,Mapping!E:E)</f>
        <v>Hành Chánh Nhân Sự</v>
      </c>
      <c r="C246" s="167" t="str">
        <f>_xlfn.XLOOKUP(F246,Mapping!A:A,Mapping!F:F)</f>
        <v>Phụ Cấp</v>
      </c>
      <c r="D246" s="173">
        <v>46081</v>
      </c>
      <c r="E246" s="174" t="s">
        <v>1578</v>
      </c>
      <c r="F246" s="174" t="s">
        <v>335</v>
      </c>
      <c r="G246" s="174" t="s">
        <v>336</v>
      </c>
      <c r="H246" s="174" t="s">
        <v>301</v>
      </c>
      <c r="I246" s="174" t="s">
        <v>302</v>
      </c>
      <c r="J246" s="174" t="s">
        <v>1579</v>
      </c>
      <c r="K246" s="174" t="s">
        <v>1580</v>
      </c>
      <c r="L246" s="174" t="s">
        <v>280</v>
      </c>
      <c r="M246" s="174" t="s">
        <v>1453</v>
      </c>
      <c r="N246" s="177">
        <v>7645000</v>
      </c>
      <c r="O246" s="174" t="s">
        <v>1581</v>
      </c>
      <c r="P246" s="174" t="s">
        <v>283</v>
      </c>
      <c r="Q246" s="174" t="s">
        <v>284</v>
      </c>
      <c r="R246" s="174" t="s">
        <v>283</v>
      </c>
      <c r="S246" s="174" t="s">
        <v>283</v>
      </c>
      <c r="T246" s="175">
        <v>0</v>
      </c>
    </row>
    <row r="247" spans="1:20" hidden="1" x14ac:dyDescent="0.2">
      <c r="A247" s="169" t="str">
        <f t="shared" si="3"/>
        <v>642</v>
      </c>
      <c r="B247" s="167" t="str">
        <f>_xlfn.XLOOKUP(I247,Mapping!D:D,Mapping!E:E)</f>
        <v>Hành Chánh Nhân Sự</v>
      </c>
      <c r="C247" s="167" t="str">
        <f>_xlfn.XLOOKUP(F247,Mapping!A:A,Mapping!F:F)</f>
        <v>Phụ Cấp</v>
      </c>
      <c r="D247" s="173">
        <v>46081</v>
      </c>
      <c r="E247" s="174" t="s">
        <v>1597</v>
      </c>
      <c r="F247" s="174" t="s">
        <v>335</v>
      </c>
      <c r="G247" s="174" t="s">
        <v>336</v>
      </c>
      <c r="H247" s="174" t="s">
        <v>301</v>
      </c>
      <c r="I247" s="174" t="s">
        <v>302</v>
      </c>
      <c r="J247" s="174" t="s">
        <v>1598</v>
      </c>
      <c r="K247" s="174" t="s">
        <v>1599</v>
      </c>
      <c r="L247" s="174" t="s">
        <v>280</v>
      </c>
      <c r="M247" s="174" t="s">
        <v>1453</v>
      </c>
      <c r="N247" s="177">
        <v>6683719</v>
      </c>
      <c r="O247" s="174" t="s">
        <v>1600</v>
      </c>
      <c r="P247" s="174" t="s">
        <v>283</v>
      </c>
      <c r="Q247" s="174" t="s">
        <v>306</v>
      </c>
      <c r="R247" s="174" t="s">
        <v>283</v>
      </c>
      <c r="S247" s="174" t="s">
        <v>283</v>
      </c>
      <c r="T247" s="175">
        <v>0</v>
      </c>
    </row>
    <row r="248" spans="1:20" hidden="1" x14ac:dyDescent="0.2">
      <c r="A248" s="169" t="str">
        <f t="shared" si="3"/>
        <v>642</v>
      </c>
      <c r="B248" s="167" t="str">
        <f>_xlfn.XLOOKUP(I248,Mapping!D:D,Mapping!E:E)</f>
        <v>Hành Chánh Nhân Sự</v>
      </c>
      <c r="C248" s="167" t="str">
        <f>_xlfn.XLOOKUP(F248,Mapping!A:A,Mapping!F:F)</f>
        <v>BHXH, BHYT, KPCĐ</v>
      </c>
      <c r="D248" s="173">
        <v>46081</v>
      </c>
      <c r="E248" s="174" t="s">
        <v>1586</v>
      </c>
      <c r="F248" s="174" t="s">
        <v>295</v>
      </c>
      <c r="G248" s="174" t="s">
        <v>296</v>
      </c>
      <c r="H248" s="174" t="s">
        <v>301</v>
      </c>
      <c r="I248" s="174" t="s">
        <v>302</v>
      </c>
      <c r="J248" s="174" t="s">
        <v>1587</v>
      </c>
      <c r="K248" s="174" t="s">
        <v>1580</v>
      </c>
      <c r="L248" s="174" t="s">
        <v>280</v>
      </c>
      <c r="M248" s="174" t="s">
        <v>1453</v>
      </c>
      <c r="N248" s="177">
        <v>112015610</v>
      </c>
      <c r="O248" s="174" t="s">
        <v>1588</v>
      </c>
      <c r="P248" s="174" t="s">
        <v>283</v>
      </c>
      <c r="Q248" s="174" t="s">
        <v>284</v>
      </c>
      <c r="R248" s="174" t="s">
        <v>283</v>
      </c>
      <c r="S248" s="174" t="s">
        <v>283</v>
      </c>
      <c r="T248" s="175">
        <v>0</v>
      </c>
    </row>
    <row r="249" spans="1:20" hidden="1" x14ac:dyDescent="0.2">
      <c r="A249" s="169" t="str">
        <f t="shared" si="3"/>
        <v>642</v>
      </c>
      <c r="B249" s="167" t="str">
        <f>_xlfn.XLOOKUP(I249,Mapping!D:D,Mapping!E:E)</f>
        <v>Hành Chánh Nhân Sự</v>
      </c>
      <c r="C249" s="167" t="str">
        <f>_xlfn.XLOOKUP(F249,Mapping!A:A,Mapping!F:F)</f>
        <v>BHXH, BHYT, KPCĐ</v>
      </c>
      <c r="D249" s="173">
        <v>46081</v>
      </c>
      <c r="E249" s="174" t="s">
        <v>1601</v>
      </c>
      <c r="F249" s="174" t="s">
        <v>295</v>
      </c>
      <c r="G249" s="174" t="s">
        <v>296</v>
      </c>
      <c r="H249" s="174" t="s">
        <v>301</v>
      </c>
      <c r="I249" s="174" t="s">
        <v>302</v>
      </c>
      <c r="J249" s="174" t="s">
        <v>1587</v>
      </c>
      <c r="K249" s="174" t="s">
        <v>1580</v>
      </c>
      <c r="L249" s="174" t="s">
        <v>280</v>
      </c>
      <c r="M249" s="174" t="s">
        <v>1453</v>
      </c>
      <c r="N249" s="177">
        <v>300000</v>
      </c>
      <c r="O249" s="174" t="s">
        <v>1602</v>
      </c>
      <c r="P249" s="174" t="s">
        <v>283</v>
      </c>
      <c r="Q249" s="174" t="s">
        <v>284</v>
      </c>
      <c r="R249" s="174" t="s">
        <v>283</v>
      </c>
      <c r="S249" s="174" t="s">
        <v>283</v>
      </c>
      <c r="T249" s="175">
        <v>0</v>
      </c>
    </row>
    <row r="250" spans="1:20" hidden="1" x14ac:dyDescent="0.2">
      <c r="A250" s="169" t="str">
        <f t="shared" si="3"/>
        <v>642</v>
      </c>
      <c r="B250" s="167" t="str">
        <f>_xlfn.XLOOKUP(I250,Mapping!D:D,Mapping!E:E)</f>
        <v>Hành Chánh Nhân Sự</v>
      </c>
      <c r="C250" s="167" t="str">
        <f>_xlfn.XLOOKUP(F250,Mapping!A:A,Mapping!F:F)</f>
        <v>Khen thưởng BD khác</v>
      </c>
      <c r="D250" s="173">
        <v>46081</v>
      </c>
      <c r="E250" s="174" t="s">
        <v>1603</v>
      </c>
      <c r="F250" s="174" t="s">
        <v>300</v>
      </c>
      <c r="G250" s="174" t="s">
        <v>222</v>
      </c>
      <c r="H250" s="174" t="s">
        <v>301</v>
      </c>
      <c r="I250" s="174" t="s">
        <v>302</v>
      </c>
      <c r="J250" s="174" t="s">
        <v>1604</v>
      </c>
      <c r="K250" s="174" t="s">
        <v>1605</v>
      </c>
      <c r="L250" s="174" t="s">
        <v>280</v>
      </c>
      <c r="M250" s="174" t="s">
        <v>1453</v>
      </c>
      <c r="N250" s="177">
        <v>6000000</v>
      </c>
      <c r="O250" s="174" t="s">
        <v>1606</v>
      </c>
      <c r="P250" s="174" t="s">
        <v>283</v>
      </c>
      <c r="Q250" s="174" t="s">
        <v>306</v>
      </c>
      <c r="R250" s="174" t="s">
        <v>283</v>
      </c>
      <c r="S250" s="174" t="s">
        <v>283</v>
      </c>
      <c r="T250" s="175">
        <v>0</v>
      </c>
    </row>
    <row r="251" spans="1:20" hidden="1" x14ac:dyDescent="0.2">
      <c r="A251" s="169" t="str">
        <f t="shared" si="3"/>
        <v>642</v>
      </c>
      <c r="B251" s="167" t="str">
        <f>_xlfn.XLOOKUP(I251,Mapping!D:D,Mapping!E:E)</f>
        <v>Kế Toán</v>
      </c>
      <c r="C251" s="167" t="str">
        <f>_xlfn.XLOOKUP(F251,Mapping!A:A,Mapping!F:F)</f>
        <v>Lương Chính +T13</v>
      </c>
      <c r="D251" s="173">
        <v>46081</v>
      </c>
      <c r="E251" s="174" t="s">
        <v>1578</v>
      </c>
      <c r="F251" s="174" t="s">
        <v>274</v>
      </c>
      <c r="G251" s="174" t="s">
        <v>275</v>
      </c>
      <c r="H251" s="174" t="s">
        <v>356</v>
      </c>
      <c r="I251" s="174" t="s">
        <v>357</v>
      </c>
      <c r="J251" s="174" t="s">
        <v>1579</v>
      </c>
      <c r="K251" s="174" t="s">
        <v>1580</v>
      </c>
      <c r="L251" s="174" t="s">
        <v>280</v>
      </c>
      <c r="M251" s="174" t="s">
        <v>1453</v>
      </c>
      <c r="N251" s="177">
        <v>492014016</v>
      </c>
      <c r="O251" s="174" t="s">
        <v>1581</v>
      </c>
      <c r="P251" s="174" t="s">
        <v>283</v>
      </c>
      <c r="Q251" s="174" t="s">
        <v>284</v>
      </c>
      <c r="R251" s="174" t="s">
        <v>283</v>
      </c>
      <c r="S251" s="174" t="s">
        <v>283</v>
      </c>
      <c r="T251" s="175">
        <v>0</v>
      </c>
    </row>
    <row r="252" spans="1:20" hidden="1" x14ac:dyDescent="0.2">
      <c r="A252" s="169" t="str">
        <f t="shared" si="3"/>
        <v>642</v>
      </c>
      <c r="B252" s="167" t="str">
        <f>_xlfn.XLOOKUP(I252,Mapping!D:D,Mapping!E:E)</f>
        <v>Kế Toán</v>
      </c>
      <c r="C252" s="167" t="str">
        <f>_xlfn.XLOOKUP(F252,Mapping!A:A,Mapping!F:F)</f>
        <v>Lương Chính +T13</v>
      </c>
      <c r="D252" s="173">
        <v>46081</v>
      </c>
      <c r="E252" s="174" t="s">
        <v>1578</v>
      </c>
      <c r="F252" s="174" t="s">
        <v>285</v>
      </c>
      <c r="G252" s="174" t="s">
        <v>286</v>
      </c>
      <c r="H252" s="174" t="s">
        <v>356</v>
      </c>
      <c r="I252" s="174" t="s">
        <v>357</v>
      </c>
      <c r="J252" s="174" t="s">
        <v>1579</v>
      </c>
      <c r="K252" s="174" t="s">
        <v>1580</v>
      </c>
      <c r="L252" s="174" t="s">
        <v>280</v>
      </c>
      <c r="M252" s="174" t="s">
        <v>1453</v>
      </c>
      <c r="N252" s="177">
        <v>53931723</v>
      </c>
      <c r="O252" s="174" t="s">
        <v>1581</v>
      </c>
      <c r="P252" s="174" t="s">
        <v>283</v>
      </c>
      <c r="Q252" s="174" t="s">
        <v>284</v>
      </c>
      <c r="R252" s="174" t="s">
        <v>283</v>
      </c>
      <c r="S252" s="174" t="s">
        <v>283</v>
      </c>
      <c r="T252" s="175">
        <v>0</v>
      </c>
    </row>
    <row r="253" spans="1:20" hidden="1" x14ac:dyDescent="0.2">
      <c r="A253" s="169" t="str">
        <f t="shared" si="3"/>
        <v>642</v>
      </c>
      <c r="B253" s="167" t="str">
        <f>_xlfn.XLOOKUP(I253,Mapping!D:D,Mapping!E:E)</f>
        <v>Kế Toán</v>
      </c>
      <c r="C253" s="167" t="str">
        <f>_xlfn.XLOOKUP(F253,Mapping!A:A,Mapping!F:F)</f>
        <v>Lương Chính +T13</v>
      </c>
      <c r="D253" s="173">
        <v>46081</v>
      </c>
      <c r="E253" s="174" t="s">
        <v>1582</v>
      </c>
      <c r="F253" s="174" t="s">
        <v>285</v>
      </c>
      <c r="G253" s="174" t="s">
        <v>286</v>
      </c>
      <c r="H253" s="174" t="s">
        <v>356</v>
      </c>
      <c r="I253" s="174" t="s">
        <v>357</v>
      </c>
      <c r="J253" s="174" t="s">
        <v>1583</v>
      </c>
      <c r="K253" s="174" t="s">
        <v>1580</v>
      </c>
      <c r="L253" s="174" t="s">
        <v>280</v>
      </c>
      <c r="M253" s="174" t="s">
        <v>1453</v>
      </c>
      <c r="N253" s="177">
        <v>45588250</v>
      </c>
      <c r="O253" s="174" t="s">
        <v>1584</v>
      </c>
      <c r="P253" s="174" t="s">
        <v>283</v>
      </c>
      <c r="Q253" s="174" t="s">
        <v>284</v>
      </c>
      <c r="R253" s="174" t="s">
        <v>283</v>
      </c>
      <c r="S253" s="174" t="s">
        <v>283</v>
      </c>
      <c r="T253" s="175">
        <v>0</v>
      </c>
    </row>
    <row r="254" spans="1:20" hidden="1" x14ac:dyDescent="0.2">
      <c r="A254" s="169" t="str">
        <f t="shared" si="3"/>
        <v>642</v>
      </c>
      <c r="B254" s="167" t="str">
        <f>_xlfn.XLOOKUP(I254,Mapping!D:D,Mapping!E:E)</f>
        <v>Kế Toán</v>
      </c>
      <c r="C254" s="167" t="str">
        <f>_xlfn.XLOOKUP(F254,Mapping!A:A,Mapping!F:F)</f>
        <v>Lương Ngoài giờ</v>
      </c>
      <c r="D254" s="173">
        <v>46081</v>
      </c>
      <c r="E254" s="174" t="s">
        <v>1578</v>
      </c>
      <c r="F254" s="174" t="s">
        <v>342</v>
      </c>
      <c r="G254" s="174" t="s">
        <v>343</v>
      </c>
      <c r="H254" s="174" t="s">
        <v>356</v>
      </c>
      <c r="I254" s="174" t="s">
        <v>357</v>
      </c>
      <c r="J254" s="174" t="s">
        <v>1579</v>
      </c>
      <c r="K254" s="174" t="s">
        <v>1580</v>
      </c>
      <c r="L254" s="174" t="s">
        <v>280</v>
      </c>
      <c r="M254" s="174" t="s">
        <v>1453</v>
      </c>
      <c r="N254" s="177">
        <v>33898246</v>
      </c>
      <c r="O254" s="174" t="s">
        <v>1581</v>
      </c>
      <c r="P254" s="174" t="s">
        <v>283</v>
      </c>
      <c r="Q254" s="174" t="s">
        <v>284</v>
      </c>
      <c r="R254" s="174" t="s">
        <v>283</v>
      </c>
      <c r="S254" s="174" t="s">
        <v>283</v>
      </c>
      <c r="T254" s="175">
        <v>0</v>
      </c>
    </row>
    <row r="255" spans="1:20" hidden="1" x14ac:dyDescent="0.2">
      <c r="A255" s="169" t="str">
        <f t="shared" si="3"/>
        <v>642</v>
      </c>
      <c r="B255" s="167" t="str">
        <f>_xlfn.XLOOKUP(I255,Mapping!D:D,Mapping!E:E)</f>
        <v>Kế Toán</v>
      </c>
      <c r="C255" s="167" t="str">
        <f>_xlfn.XLOOKUP(F255,Mapping!A:A,Mapping!F:F)</f>
        <v>Thưởng</v>
      </c>
      <c r="D255" s="173">
        <v>46081</v>
      </c>
      <c r="E255" s="174" t="s">
        <v>1595</v>
      </c>
      <c r="F255" s="174" t="s">
        <v>290</v>
      </c>
      <c r="G255" s="174" t="s">
        <v>291</v>
      </c>
      <c r="H255" s="174" t="s">
        <v>356</v>
      </c>
      <c r="I255" s="174" t="s">
        <v>357</v>
      </c>
      <c r="J255" s="174" t="s">
        <v>1579</v>
      </c>
      <c r="K255" s="174" t="s">
        <v>1580</v>
      </c>
      <c r="L255" s="174" t="s">
        <v>280</v>
      </c>
      <c r="M255" s="174" t="s">
        <v>1453</v>
      </c>
      <c r="N255" s="177">
        <v>-29520000</v>
      </c>
      <c r="O255" s="174" t="s">
        <v>1596</v>
      </c>
      <c r="P255" s="174" t="s">
        <v>283</v>
      </c>
      <c r="Q255" s="174" t="s">
        <v>284</v>
      </c>
      <c r="R255" s="174" t="s">
        <v>283</v>
      </c>
      <c r="S255" s="174" t="s">
        <v>283</v>
      </c>
      <c r="T255" s="175">
        <v>0</v>
      </c>
    </row>
    <row r="256" spans="1:20" hidden="1" x14ac:dyDescent="0.2">
      <c r="A256" s="169" t="str">
        <f t="shared" si="3"/>
        <v>642</v>
      </c>
      <c r="B256" s="167" t="str">
        <f>_xlfn.XLOOKUP(I256,Mapping!D:D,Mapping!E:E)</f>
        <v>Kế Toán</v>
      </c>
      <c r="C256" s="167" t="str">
        <f>_xlfn.XLOOKUP(F256,Mapping!A:A,Mapping!F:F)</f>
        <v>Thưởng</v>
      </c>
      <c r="D256" s="173">
        <v>46081</v>
      </c>
      <c r="E256" s="174" t="s">
        <v>1578</v>
      </c>
      <c r="F256" s="174" t="s">
        <v>290</v>
      </c>
      <c r="G256" s="174" t="s">
        <v>291</v>
      </c>
      <c r="H256" s="174" t="s">
        <v>356</v>
      </c>
      <c r="I256" s="174" t="s">
        <v>357</v>
      </c>
      <c r="J256" s="174" t="s">
        <v>1579</v>
      </c>
      <c r="K256" s="174" t="s">
        <v>1580</v>
      </c>
      <c r="L256" s="174" t="s">
        <v>280</v>
      </c>
      <c r="M256" s="174" t="s">
        <v>1453</v>
      </c>
      <c r="N256" s="177">
        <v>29520000</v>
      </c>
      <c r="O256" s="174" t="s">
        <v>1581</v>
      </c>
      <c r="P256" s="174" t="s">
        <v>283</v>
      </c>
      <c r="Q256" s="174" t="s">
        <v>284</v>
      </c>
      <c r="R256" s="174" t="s">
        <v>283</v>
      </c>
      <c r="S256" s="174" t="s">
        <v>283</v>
      </c>
      <c r="T256" s="175">
        <v>0</v>
      </c>
    </row>
    <row r="257" spans="1:20" hidden="1" x14ac:dyDescent="0.2">
      <c r="A257" s="169" t="str">
        <f t="shared" si="3"/>
        <v>642</v>
      </c>
      <c r="B257" s="167" t="str">
        <f>_xlfn.XLOOKUP(I257,Mapping!D:D,Mapping!E:E)</f>
        <v>Kế Toán</v>
      </c>
      <c r="C257" s="167" t="str">
        <f>_xlfn.XLOOKUP(F257,Mapping!A:A,Mapping!F:F)</f>
        <v>Thưởng</v>
      </c>
      <c r="D257" s="173">
        <v>46081</v>
      </c>
      <c r="E257" s="174" t="s">
        <v>1582</v>
      </c>
      <c r="F257" s="174" t="s">
        <v>292</v>
      </c>
      <c r="G257" s="174" t="s">
        <v>77</v>
      </c>
      <c r="H257" s="174" t="s">
        <v>356</v>
      </c>
      <c r="I257" s="174" t="s">
        <v>357</v>
      </c>
      <c r="J257" s="174" t="s">
        <v>1585</v>
      </c>
      <c r="K257" s="174" t="s">
        <v>1580</v>
      </c>
      <c r="L257" s="174" t="s">
        <v>280</v>
      </c>
      <c r="M257" s="174" t="s">
        <v>1453</v>
      </c>
      <c r="N257" s="177">
        <v>41940825</v>
      </c>
      <c r="O257" s="174" t="s">
        <v>1584</v>
      </c>
      <c r="P257" s="174" t="s">
        <v>283</v>
      </c>
      <c r="Q257" s="174" t="s">
        <v>284</v>
      </c>
      <c r="R257" s="174" t="s">
        <v>283</v>
      </c>
      <c r="S257" s="174" t="s">
        <v>283</v>
      </c>
      <c r="T257" s="175">
        <v>0</v>
      </c>
    </row>
    <row r="258" spans="1:20" hidden="1" x14ac:dyDescent="0.2">
      <c r="A258" s="169" t="str">
        <f t="shared" si="3"/>
        <v>642</v>
      </c>
      <c r="B258" s="167" t="str">
        <f>_xlfn.XLOOKUP(I258,Mapping!D:D,Mapping!E:E)</f>
        <v>Kế Toán</v>
      </c>
      <c r="C258" s="167" t="str">
        <f>_xlfn.XLOOKUP(F258,Mapping!A:A,Mapping!F:F)</f>
        <v>Phụ Cấp</v>
      </c>
      <c r="D258" s="173">
        <v>46081</v>
      </c>
      <c r="E258" s="174" t="s">
        <v>1589</v>
      </c>
      <c r="F258" s="174" t="s">
        <v>335</v>
      </c>
      <c r="G258" s="174" t="s">
        <v>336</v>
      </c>
      <c r="H258" s="174" t="s">
        <v>356</v>
      </c>
      <c r="I258" s="174" t="s">
        <v>357</v>
      </c>
      <c r="J258" s="174" t="s">
        <v>1590</v>
      </c>
      <c r="K258" s="174" t="s">
        <v>992</v>
      </c>
      <c r="L258" s="174" t="s">
        <v>280</v>
      </c>
      <c r="M258" s="174" t="s">
        <v>1453</v>
      </c>
      <c r="N258" s="177">
        <v>12964000</v>
      </c>
      <c r="O258" s="174" t="s">
        <v>1591</v>
      </c>
      <c r="P258" s="174" t="s">
        <v>283</v>
      </c>
      <c r="Q258" s="174" t="s">
        <v>306</v>
      </c>
      <c r="R258" s="174" t="s">
        <v>283</v>
      </c>
      <c r="S258" s="174" t="s">
        <v>283</v>
      </c>
      <c r="T258" s="175">
        <v>0</v>
      </c>
    </row>
    <row r="259" spans="1:20" hidden="1" x14ac:dyDescent="0.2">
      <c r="A259" s="169" t="str">
        <f t="shared" si="3"/>
        <v>642</v>
      </c>
      <c r="B259" s="167" t="str">
        <f>_xlfn.XLOOKUP(I259,Mapping!D:D,Mapping!E:E)</f>
        <v>Kế Toán</v>
      </c>
      <c r="C259" s="167" t="str">
        <f>_xlfn.XLOOKUP(F259,Mapping!A:A,Mapping!F:F)</f>
        <v>Phụ Cấp</v>
      </c>
      <c r="D259" s="173">
        <v>46081</v>
      </c>
      <c r="E259" s="174" t="s">
        <v>1578</v>
      </c>
      <c r="F259" s="174" t="s">
        <v>335</v>
      </c>
      <c r="G259" s="174" t="s">
        <v>336</v>
      </c>
      <c r="H259" s="174" t="s">
        <v>356</v>
      </c>
      <c r="I259" s="174" t="s">
        <v>357</v>
      </c>
      <c r="J259" s="174" t="s">
        <v>1579</v>
      </c>
      <c r="K259" s="174" t="s">
        <v>1580</v>
      </c>
      <c r="L259" s="174" t="s">
        <v>280</v>
      </c>
      <c r="M259" s="174" t="s">
        <v>1453</v>
      </c>
      <c r="N259" s="177">
        <v>1735000</v>
      </c>
      <c r="O259" s="174" t="s">
        <v>1581</v>
      </c>
      <c r="P259" s="174" t="s">
        <v>283</v>
      </c>
      <c r="Q259" s="174" t="s">
        <v>284</v>
      </c>
      <c r="R259" s="174" t="s">
        <v>283</v>
      </c>
      <c r="S259" s="174" t="s">
        <v>283</v>
      </c>
      <c r="T259" s="175">
        <v>0</v>
      </c>
    </row>
    <row r="260" spans="1:20" hidden="1" x14ac:dyDescent="0.2">
      <c r="A260" s="169" t="str">
        <f t="shared" ref="A260:A323" si="4">LEFT(F260,3)</f>
        <v>642</v>
      </c>
      <c r="B260" s="167" t="str">
        <f>_xlfn.XLOOKUP(I260,Mapping!D:D,Mapping!E:E)</f>
        <v>Kế Toán</v>
      </c>
      <c r="C260" s="167" t="str">
        <f>_xlfn.XLOOKUP(F260,Mapping!A:A,Mapping!F:F)</f>
        <v>BHXH, BHYT, KPCĐ</v>
      </c>
      <c r="D260" s="173">
        <v>46081</v>
      </c>
      <c r="E260" s="174" t="s">
        <v>1586</v>
      </c>
      <c r="F260" s="174" t="s">
        <v>295</v>
      </c>
      <c r="G260" s="174" t="s">
        <v>296</v>
      </c>
      <c r="H260" s="174" t="s">
        <v>356</v>
      </c>
      <c r="I260" s="174" t="s">
        <v>357</v>
      </c>
      <c r="J260" s="174" t="s">
        <v>1587</v>
      </c>
      <c r="K260" s="174" t="s">
        <v>1580</v>
      </c>
      <c r="L260" s="174" t="s">
        <v>280</v>
      </c>
      <c r="M260" s="174" t="s">
        <v>1453</v>
      </c>
      <c r="N260" s="177">
        <v>120509265</v>
      </c>
      <c r="O260" s="174" t="s">
        <v>1588</v>
      </c>
      <c r="P260" s="174" t="s">
        <v>283</v>
      </c>
      <c r="Q260" s="174" t="s">
        <v>284</v>
      </c>
      <c r="R260" s="174" t="s">
        <v>283</v>
      </c>
      <c r="S260" s="174" t="s">
        <v>283</v>
      </c>
      <c r="T260" s="175">
        <v>0</v>
      </c>
    </row>
    <row r="261" spans="1:20" hidden="1" x14ac:dyDescent="0.2">
      <c r="A261" s="169" t="str">
        <f t="shared" si="4"/>
        <v>642</v>
      </c>
      <c r="B261" s="167" t="str">
        <f>_xlfn.XLOOKUP(I261,Mapping!D:D,Mapping!E:E)</f>
        <v>Hành Chánh Nhân Sự</v>
      </c>
      <c r="C261" s="167" t="str">
        <f>_xlfn.XLOOKUP(F261,Mapping!A:A,Mapping!F:F)</f>
        <v>Lương Chính +T13</v>
      </c>
      <c r="D261" s="173">
        <v>46081</v>
      </c>
      <c r="E261" s="174" t="s">
        <v>1578</v>
      </c>
      <c r="F261" s="174" t="s">
        <v>274</v>
      </c>
      <c r="G261" s="174" t="s">
        <v>275</v>
      </c>
      <c r="H261" s="174" t="s">
        <v>358</v>
      </c>
      <c r="I261" s="174" t="s">
        <v>359</v>
      </c>
      <c r="J261" s="174" t="s">
        <v>1579</v>
      </c>
      <c r="K261" s="174" t="s">
        <v>1580</v>
      </c>
      <c r="L261" s="174" t="s">
        <v>280</v>
      </c>
      <c r="M261" s="174" t="s">
        <v>1453</v>
      </c>
      <c r="N261" s="177">
        <v>92645090</v>
      </c>
      <c r="O261" s="174" t="s">
        <v>1581</v>
      </c>
      <c r="P261" s="174" t="s">
        <v>283</v>
      </c>
      <c r="Q261" s="174" t="s">
        <v>284</v>
      </c>
      <c r="R261" s="174" t="s">
        <v>283</v>
      </c>
      <c r="S261" s="174" t="s">
        <v>283</v>
      </c>
      <c r="T261" s="175">
        <v>0</v>
      </c>
    </row>
    <row r="262" spans="1:20" hidden="1" x14ac:dyDescent="0.2">
      <c r="A262" s="169" t="str">
        <f t="shared" si="4"/>
        <v>642</v>
      </c>
      <c r="B262" s="167" t="str">
        <f>_xlfn.XLOOKUP(I262,Mapping!D:D,Mapping!E:E)</f>
        <v>Hành Chánh Nhân Sự</v>
      </c>
      <c r="C262" s="167" t="str">
        <f>_xlfn.XLOOKUP(F262,Mapping!A:A,Mapping!F:F)</f>
        <v>Lương Chính +T13</v>
      </c>
      <c r="D262" s="173">
        <v>46081</v>
      </c>
      <c r="E262" s="174" t="s">
        <v>1578</v>
      </c>
      <c r="F262" s="174" t="s">
        <v>285</v>
      </c>
      <c r="G262" s="174" t="s">
        <v>286</v>
      </c>
      <c r="H262" s="174" t="s">
        <v>358</v>
      </c>
      <c r="I262" s="174" t="s">
        <v>359</v>
      </c>
      <c r="J262" s="174" t="s">
        <v>1579</v>
      </c>
      <c r="K262" s="174" t="s">
        <v>1580</v>
      </c>
      <c r="L262" s="174" t="s">
        <v>280</v>
      </c>
      <c r="M262" s="174" t="s">
        <v>1453</v>
      </c>
      <c r="N262" s="177">
        <v>10037635</v>
      </c>
      <c r="O262" s="174" t="s">
        <v>1581</v>
      </c>
      <c r="P262" s="174" t="s">
        <v>283</v>
      </c>
      <c r="Q262" s="174" t="s">
        <v>284</v>
      </c>
      <c r="R262" s="174" t="s">
        <v>283</v>
      </c>
      <c r="S262" s="174" t="s">
        <v>283</v>
      </c>
      <c r="T262" s="175">
        <v>0</v>
      </c>
    </row>
    <row r="263" spans="1:20" hidden="1" x14ac:dyDescent="0.2">
      <c r="A263" s="169" t="str">
        <f t="shared" si="4"/>
        <v>642</v>
      </c>
      <c r="B263" s="167" t="str">
        <f>_xlfn.XLOOKUP(I263,Mapping!D:D,Mapping!E:E)</f>
        <v>Hành Chánh Nhân Sự</v>
      </c>
      <c r="C263" s="167" t="str">
        <f>_xlfn.XLOOKUP(F263,Mapping!A:A,Mapping!F:F)</f>
        <v>Lương Chính +T13</v>
      </c>
      <c r="D263" s="173">
        <v>46081</v>
      </c>
      <c r="E263" s="174" t="s">
        <v>1582</v>
      </c>
      <c r="F263" s="174" t="s">
        <v>285</v>
      </c>
      <c r="G263" s="174" t="s">
        <v>286</v>
      </c>
      <c r="H263" s="174" t="s">
        <v>358</v>
      </c>
      <c r="I263" s="174" t="s">
        <v>359</v>
      </c>
      <c r="J263" s="174" t="s">
        <v>1583</v>
      </c>
      <c r="K263" s="174" t="s">
        <v>1580</v>
      </c>
      <c r="L263" s="174" t="s">
        <v>280</v>
      </c>
      <c r="M263" s="174" t="s">
        <v>1453</v>
      </c>
      <c r="N263" s="177">
        <v>9017417</v>
      </c>
      <c r="O263" s="174" t="s">
        <v>1584</v>
      </c>
      <c r="P263" s="174" t="s">
        <v>283</v>
      </c>
      <c r="Q263" s="174" t="s">
        <v>284</v>
      </c>
      <c r="R263" s="174" t="s">
        <v>283</v>
      </c>
      <c r="S263" s="174" t="s">
        <v>283</v>
      </c>
      <c r="T263" s="175">
        <v>0</v>
      </c>
    </row>
    <row r="264" spans="1:20" hidden="1" x14ac:dyDescent="0.2">
      <c r="A264" s="169" t="str">
        <f t="shared" si="4"/>
        <v>642</v>
      </c>
      <c r="B264" s="167" t="str">
        <f>_xlfn.XLOOKUP(I264,Mapping!D:D,Mapping!E:E)</f>
        <v>Hành Chánh Nhân Sự</v>
      </c>
      <c r="C264" s="167" t="str">
        <f>_xlfn.XLOOKUP(F264,Mapping!A:A,Mapping!F:F)</f>
        <v>Thưởng</v>
      </c>
      <c r="D264" s="173">
        <v>46081</v>
      </c>
      <c r="E264" s="174" t="s">
        <v>1582</v>
      </c>
      <c r="F264" s="174" t="s">
        <v>292</v>
      </c>
      <c r="G264" s="174" t="s">
        <v>77</v>
      </c>
      <c r="H264" s="174" t="s">
        <v>358</v>
      </c>
      <c r="I264" s="174" t="s">
        <v>359</v>
      </c>
      <c r="J264" s="174" t="s">
        <v>1585</v>
      </c>
      <c r="K264" s="174" t="s">
        <v>1580</v>
      </c>
      <c r="L264" s="174" t="s">
        <v>280</v>
      </c>
      <c r="M264" s="174" t="s">
        <v>1453</v>
      </c>
      <c r="N264" s="177">
        <v>8295951</v>
      </c>
      <c r="O264" s="174" t="s">
        <v>1584</v>
      </c>
      <c r="P264" s="174" t="s">
        <v>283</v>
      </c>
      <c r="Q264" s="174" t="s">
        <v>284</v>
      </c>
      <c r="R264" s="174" t="s">
        <v>283</v>
      </c>
      <c r="S264" s="174" t="s">
        <v>283</v>
      </c>
      <c r="T264" s="175">
        <v>0</v>
      </c>
    </row>
    <row r="265" spans="1:20" hidden="1" x14ac:dyDescent="0.2">
      <c r="A265" s="169" t="str">
        <f t="shared" si="4"/>
        <v>642</v>
      </c>
      <c r="B265" s="167" t="str">
        <f>_xlfn.XLOOKUP(I265,Mapping!D:D,Mapping!E:E)</f>
        <v>Hành Chánh Nhân Sự</v>
      </c>
      <c r="C265" s="167" t="str">
        <f>_xlfn.XLOOKUP(F265,Mapping!A:A,Mapping!F:F)</f>
        <v>Phụ Cấp</v>
      </c>
      <c r="D265" s="173">
        <v>46081</v>
      </c>
      <c r="E265" s="174" t="s">
        <v>1589</v>
      </c>
      <c r="F265" s="174" t="s">
        <v>335</v>
      </c>
      <c r="G265" s="174" t="s">
        <v>336</v>
      </c>
      <c r="H265" s="174" t="s">
        <v>358</v>
      </c>
      <c r="I265" s="174" t="s">
        <v>359</v>
      </c>
      <c r="J265" s="174" t="s">
        <v>1590</v>
      </c>
      <c r="K265" s="174" t="s">
        <v>992</v>
      </c>
      <c r="L265" s="174" t="s">
        <v>280</v>
      </c>
      <c r="M265" s="174" t="s">
        <v>1453</v>
      </c>
      <c r="N265" s="177">
        <v>2352000</v>
      </c>
      <c r="O265" s="174" t="s">
        <v>1591</v>
      </c>
      <c r="P265" s="174" t="s">
        <v>283</v>
      </c>
      <c r="Q265" s="174" t="s">
        <v>306</v>
      </c>
      <c r="R265" s="174" t="s">
        <v>283</v>
      </c>
      <c r="S265" s="174" t="s">
        <v>283</v>
      </c>
      <c r="T265" s="175">
        <v>0</v>
      </c>
    </row>
    <row r="266" spans="1:20" hidden="1" x14ac:dyDescent="0.2">
      <c r="A266" s="169" t="str">
        <f t="shared" si="4"/>
        <v>642</v>
      </c>
      <c r="B266" s="167" t="str">
        <f>_xlfn.XLOOKUP(I266,Mapping!D:D,Mapping!E:E)</f>
        <v>Hành Chánh Nhân Sự</v>
      </c>
      <c r="C266" s="167" t="str">
        <f>_xlfn.XLOOKUP(F266,Mapping!A:A,Mapping!F:F)</f>
        <v>Phụ Cấp</v>
      </c>
      <c r="D266" s="173">
        <v>46081</v>
      </c>
      <c r="E266" s="174" t="s">
        <v>1578</v>
      </c>
      <c r="F266" s="174" t="s">
        <v>335</v>
      </c>
      <c r="G266" s="174" t="s">
        <v>336</v>
      </c>
      <c r="H266" s="174" t="s">
        <v>358</v>
      </c>
      <c r="I266" s="174" t="s">
        <v>359</v>
      </c>
      <c r="J266" s="174" t="s">
        <v>1579</v>
      </c>
      <c r="K266" s="174" t="s">
        <v>1580</v>
      </c>
      <c r="L266" s="174" t="s">
        <v>280</v>
      </c>
      <c r="M266" s="174" t="s">
        <v>1453</v>
      </c>
      <c r="N266" s="177">
        <v>75000</v>
      </c>
      <c r="O266" s="174" t="s">
        <v>1581</v>
      </c>
      <c r="P266" s="174" t="s">
        <v>283</v>
      </c>
      <c r="Q266" s="174" t="s">
        <v>284</v>
      </c>
      <c r="R266" s="174" t="s">
        <v>283</v>
      </c>
      <c r="S266" s="174" t="s">
        <v>283</v>
      </c>
      <c r="T266" s="175">
        <v>0</v>
      </c>
    </row>
    <row r="267" spans="1:20" hidden="1" x14ac:dyDescent="0.2">
      <c r="A267" s="169" t="str">
        <f t="shared" si="4"/>
        <v>642</v>
      </c>
      <c r="B267" s="167" t="str">
        <f>_xlfn.XLOOKUP(I267,Mapping!D:D,Mapping!E:E)</f>
        <v>Hành Chánh Nhân Sự</v>
      </c>
      <c r="C267" s="167" t="str">
        <f>_xlfn.XLOOKUP(F267,Mapping!A:A,Mapping!F:F)</f>
        <v>BHXH, BHYT, KPCĐ</v>
      </c>
      <c r="D267" s="173">
        <v>46081</v>
      </c>
      <c r="E267" s="174" t="s">
        <v>1586</v>
      </c>
      <c r="F267" s="174" t="s">
        <v>295</v>
      </c>
      <c r="G267" s="174" t="s">
        <v>296</v>
      </c>
      <c r="H267" s="174" t="s">
        <v>358</v>
      </c>
      <c r="I267" s="174" t="s">
        <v>359</v>
      </c>
      <c r="J267" s="174" t="s">
        <v>1587</v>
      </c>
      <c r="K267" s="174" t="s">
        <v>1580</v>
      </c>
      <c r="L267" s="174" t="s">
        <v>280</v>
      </c>
      <c r="M267" s="174" t="s">
        <v>1453</v>
      </c>
      <c r="N267" s="177">
        <v>25429115</v>
      </c>
      <c r="O267" s="174" t="s">
        <v>1588</v>
      </c>
      <c r="P267" s="174" t="s">
        <v>283</v>
      </c>
      <c r="Q267" s="174" t="s">
        <v>284</v>
      </c>
      <c r="R267" s="174" t="s">
        <v>283</v>
      </c>
      <c r="S267" s="174" t="s">
        <v>283</v>
      </c>
      <c r="T267" s="175">
        <v>0</v>
      </c>
    </row>
    <row r="268" spans="1:20" hidden="1" x14ac:dyDescent="0.2">
      <c r="A268" s="169" t="str">
        <f t="shared" si="4"/>
        <v>642</v>
      </c>
      <c r="B268" s="167" t="str">
        <f>_xlfn.XLOOKUP(I268,Mapping!D:D,Mapping!E:E)</f>
        <v>Hành Chánh Nhân Sự</v>
      </c>
      <c r="C268" s="167" t="str">
        <f>_xlfn.XLOOKUP(F268,Mapping!A:A,Mapping!F:F)</f>
        <v>Khen thưởng BD khác</v>
      </c>
      <c r="D268" s="173">
        <v>46081</v>
      </c>
      <c r="E268" s="174" t="s">
        <v>1607</v>
      </c>
      <c r="F268" s="174" t="s">
        <v>300</v>
      </c>
      <c r="G268" s="174" t="s">
        <v>222</v>
      </c>
      <c r="H268" s="174" t="s">
        <v>358</v>
      </c>
      <c r="I268" s="174" t="s">
        <v>359</v>
      </c>
      <c r="J268" s="174" t="s">
        <v>1608</v>
      </c>
      <c r="K268" s="174" t="s">
        <v>1609</v>
      </c>
      <c r="L268" s="174" t="s">
        <v>280</v>
      </c>
      <c r="M268" s="174" t="s">
        <v>1453</v>
      </c>
      <c r="N268" s="177">
        <v>-134853331</v>
      </c>
      <c r="O268" s="174" t="s">
        <v>1610</v>
      </c>
      <c r="P268" s="174" t="s">
        <v>283</v>
      </c>
      <c r="Q268" s="174" t="s">
        <v>306</v>
      </c>
      <c r="R268" s="174" t="s">
        <v>283</v>
      </c>
      <c r="S268" s="174" t="s">
        <v>283</v>
      </c>
      <c r="T268" s="175">
        <v>0</v>
      </c>
    </row>
    <row r="269" spans="1:20" hidden="1" x14ac:dyDescent="0.2">
      <c r="A269" s="169" t="str">
        <f t="shared" si="4"/>
        <v>642</v>
      </c>
      <c r="B269" s="167" t="str">
        <f>_xlfn.XLOOKUP(I269,Mapping!D:D,Mapping!E:E)</f>
        <v>Hành Chánh Nhân Sự</v>
      </c>
      <c r="C269" s="167" t="str">
        <f>_xlfn.XLOOKUP(F269,Mapping!A:A,Mapping!F:F)</f>
        <v>Khen thưởng BD khác</v>
      </c>
      <c r="D269" s="173">
        <v>46054</v>
      </c>
      <c r="E269" s="174" t="s">
        <v>1611</v>
      </c>
      <c r="F269" s="174" t="s">
        <v>300</v>
      </c>
      <c r="G269" s="174" t="s">
        <v>222</v>
      </c>
      <c r="H269" s="174" t="s">
        <v>358</v>
      </c>
      <c r="I269" s="174" t="s">
        <v>359</v>
      </c>
      <c r="J269" s="174" t="s">
        <v>1544</v>
      </c>
      <c r="K269" s="174" t="s">
        <v>1545</v>
      </c>
      <c r="L269" s="174" t="s">
        <v>280</v>
      </c>
      <c r="M269" s="174" t="s">
        <v>1453</v>
      </c>
      <c r="N269" s="177">
        <v>1500000</v>
      </c>
      <c r="O269" s="174" t="s">
        <v>1612</v>
      </c>
      <c r="P269" s="174" t="s">
        <v>447</v>
      </c>
      <c r="Q269" s="174" t="s">
        <v>284</v>
      </c>
      <c r="R269" s="174" t="s">
        <v>283</v>
      </c>
      <c r="S269" s="174" t="s">
        <v>283</v>
      </c>
      <c r="T269" s="175">
        <v>0</v>
      </c>
    </row>
    <row r="270" spans="1:20" hidden="1" x14ac:dyDescent="0.2">
      <c r="A270" s="169" t="str">
        <f t="shared" si="4"/>
        <v>642</v>
      </c>
      <c r="B270" s="167" t="str">
        <f>_xlfn.XLOOKUP(I270,Mapping!D:D,Mapping!E:E)</f>
        <v>Hành Chánh Nhân Sự</v>
      </c>
      <c r="C270" s="167" t="str">
        <f>_xlfn.XLOOKUP(F270,Mapping!A:A,Mapping!F:F)</f>
        <v>Khen thưởng BD khác</v>
      </c>
      <c r="D270" s="173">
        <v>46080</v>
      </c>
      <c r="E270" s="174" t="s">
        <v>1613</v>
      </c>
      <c r="F270" s="174" t="s">
        <v>300</v>
      </c>
      <c r="G270" s="174" t="s">
        <v>222</v>
      </c>
      <c r="H270" s="174" t="s">
        <v>358</v>
      </c>
      <c r="I270" s="174" t="s">
        <v>359</v>
      </c>
      <c r="J270" s="174" t="s">
        <v>1614</v>
      </c>
      <c r="K270" s="174" t="s">
        <v>1615</v>
      </c>
      <c r="L270" s="174" t="s">
        <v>280</v>
      </c>
      <c r="M270" s="174" t="s">
        <v>1453</v>
      </c>
      <c r="N270" s="177">
        <v>1500000</v>
      </c>
      <c r="O270" s="174" t="s">
        <v>1616</v>
      </c>
      <c r="P270" s="174" t="s">
        <v>283</v>
      </c>
      <c r="Q270" s="174" t="s">
        <v>1344</v>
      </c>
      <c r="R270" s="174" t="s">
        <v>283</v>
      </c>
      <c r="S270" s="174" t="s">
        <v>283</v>
      </c>
      <c r="T270" s="175">
        <v>0</v>
      </c>
    </row>
    <row r="271" spans="1:20" hidden="1" x14ac:dyDescent="0.2">
      <c r="A271" s="169" t="str">
        <f t="shared" si="4"/>
        <v>642</v>
      </c>
      <c r="B271" s="167" t="str">
        <f>_xlfn.XLOOKUP(I271,Mapping!D:D,Mapping!E:E)</f>
        <v>Hành Chánh Nhân Sự</v>
      </c>
      <c r="C271" s="167" t="str">
        <f>_xlfn.XLOOKUP(F271,Mapping!A:A,Mapping!F:F)</f>
        <v>Khen thưởng BD khác</v>
      </c>
      <c r="D271" s="173">
        <v>46081</v>
      </c>
      <c r="E271" s="174" t="s">
        <v>1617</v>
      </c>
      <c r="F271" s="174" t="s">
        <v>300</v>
      </c>
      <c r="G271" s="174" t="s">
        <v>222</v>
      </c>
      <c r="H271" s="174" t="s">
        <v>358</v>
      </c>
      <c r="I271" s="174" t="s">
        <v>359</v>
      </c>
      <c r="J271" s="174" t="s">
        <v>1618</v>
      </c>
      <c r="K271" s="174" t="s">
        <v>1619</v>
      </c>
      <c r="L271" s="174" t="s">
        <v>280</v>
      </c>
      <c r="M271" s="174" t="s">
        <v>1453</v>
      </c>
      <c r="N271" s="177">
        <v>1500000</v>
      </c>
      <c r="O271" s="174" t="s">
        <v>1620</v>
      </c>
      <c r="P271" s="174" t="s">
        <v>283</v>
      </c>
      <c r="Q271" s="174" t="s">
        <v>1344</v>
      </c>
      <c r="R271" s="174" t="s">
        <v>283</v>
      </c>
      <c r="S271" s="174" t="s">
        <v>283</v>
      </c>
      <c r="T271" s="175">
        <v>0</v>
      </c>
    </row>
    <row r="272" spans="1:20" hidden="1" x14ac:dyDescent="0.2">
      <c r="A272" s="169" t="str">
        <f t="shared" si="4"/>
        <v>642</v>
      </c>
      <c r="B272" s="167" t="str">
        <f>_xlfn.XLOOKUP(I272,Mapping!D:D,Mapping!E:E)</f>
        <v>Hành Chánh Nhân Sự</v>
      </c>
      <c r="C272" s="167" t="str">
        <f>_xlfn.XLOOKUP(F272,Mapping!A:A,Mapping!F:F)</f>
        <v>Khen thưởng BD khác</v>
      </c>
      <c r="D272" s="173">
        <v>46081</v>
      </c>
      <c r="E272" s="174" t="s">
        <v>1621</v>
      </c>
      <c r="F272" s="174" t="s">
        <v>300</v>
      </c>
      <c r="G272" s="174" t="s">
        <v>222</v>
      </c>
      <c r="H272" s="174" t="s">
        <v>358</v>
      </c>
      <c r="I272" s="174" t="s">
        <v>359</v>
      </c>
      <c r="J272" s="174" t="s">
        <v>1608</v>
      </c>
      <c r="K272" s="174" t="s">
        <v>1609</v>
      </c>
      <c r="L272" s="174" t="s">
        <v>280</v>
      </c>
      <c r="M272" s="174" t="s">
        <v>1453</v>
      </c>
      <c r="N272" s="177">
        <v>134853331</v>
      </c>
      <c r="O272" s="174" t="s">
        <v>1622</v>
      </c>
      <c r="P272" s="174" t="s">
        <v>447</v>
      </c>
      <c r="Q272" s="174" t="s">
        <v>284</v>
      </c>
      <c r="R272" s="174" t="s">
        <v>283</v>
      </c>
      <c r="S272" s="174" t="s">
        <v>283</v>
      </c>
      <c r="T272" s="175">
        <v>0</v>
      </c>
    </row>
    <row r="273" spans="1:20" hidden="1" x14ac:dyDescent="0.2">
      <c r="A273" s="169" t="str">
        <f t="shared" si="4"/>
        <v>642</v>
      </c>
      <c r="B273" s="167" t="str">
        <f>_xlfn.XLOOKUP(I273,Mapping!D:D,Mapping!E:E)</f>
        <v>Hành Chánh Nhân Sự</v>
      </c>
      <c r="C273" s="167" t="str">
        <f>_xlfn.XLOOKUP(F273,Mapping!A:A,Mapping!F:F)</f>
        <v>Lương Chính +T13</v>
      </c>
      <c r="D273" s="173">
        <v>46081</v>
      </c>
      <c r="E273" s="174" t="s">
        <v>1578</v>
      </c>
      <c r="F273" s="174" t="s">
        <v>274</v>
      </c>
      <c r="G273" s="174" t="s">
        <v>275</v>
      </c>
      <c r="H273" s="174" t="s">
        <v>382</v>
      </c>
      <c r="I273" s="174" t="s">
        <v>200</v>
      </c>
      <c r="J273" s="174" t="s">
        <v>1579</v>
      </c>
      <c r="K273" s="174" t="s">
        <v>1580</v>
      </c>
      <c r="L273" s="174" t="s">
        <v>280</v>
      </c>
      <c r="M273" s="174" t="s">
        <v>1453</v>
      </c>
      <c r="N273" s="177">
        <v>65895682</v>
      </c>
      <c r="O273" s="174" t="s">
        <v>1581</v>
      </c>
      <c r="P273" s="174" t="s">
        <v>283</v>
      </c>
      <c r="Q273" s="174" t="s">
        <v>284</v>
      </c>
      <c r="R273" s="174" t="s">
        <v>283</v>
      </c>
      <c r="S273" s="174" t="s">
        <v>283</v>
      </c>
      <c r="T273" s="175">
        <v>0</v>
      </c>
    </row>
    <row r="274" spans="1:20" hidden="1" x14ac:dyDescent="0.2">
      <c r="A274" s="169" t="str">
        <f t="shared" si="4"/>
        <v>642</v>
      </c>
      <c r="B274" s="167" t="str">
        <f>_xlfn.XLOOKUP(I274,Mapping!D:D,Mapping!E:E)</f>
        <v>Hành Chánh Nhân Sự</v>
      </c>
      <c r="C274" s="167" t="str">
        <f>_xlfn.XLOOKUP(F274,Mapping!A:A,Mapping!F:F)</f>
        <v>Lương Chính +T13</v>
      </c>
      <c r="D274" s="173">
        <v>46081</v>
      </c>
      <c r="E274" s="174" t="s">
        <v>1578</v>
      </c>
      <c r="F274" s="174" t="s">
        <v>285</v>
      </c>
      <c r="G274" s="174" t="s">
        <v>286</v>
      </c>
      <c r="H274" s="174" t="s">
        <v>382</v>
      </c>
      <c r="I274" s="174" t="s">
        <v>200</v>
      </c>
      <c r="J274" s="174" t="s">
        <v>1579</v>
      </c>
      <c r="K274" s="174" t="s">
        <v>1580</v>
      </c>
      <c r="L274" s="174" t="s">
        <v>280</v>
      </c>
      <c r="M274" s="174" t="s">
        <v>1453</v>
      </c>
      <c r="N274" s="177">
        <v>6076615</v>
      </c>
      <c r="O274" s="174" t="s">
        <v>1581</v>
      </c>
      <c r="P274" s="174" t="s">
        <v>283</v>
      </c>
      <c r="Q274" s="174" t="s">
        <v>284</v>
      </c>
      <c r="R274" s="174" t="s">
        <v>283</v>
      </c>
      <c r="S274" s="174" t="s">
        <v>283</v>
      </c>
      <c r="T274" s="175">
        <v>0</v>
      </c>
    </row>
    <row r="275" spans="1:20" hidden="1" x14ac:dyDescent="0.2">
      <c r="A275" s="169" t="str">
        <f t="shared" si="4"/>
        <v>642</v>
      </c>
      <c r="B275" s="167" t="str">
        <f>_xlfn.XLOOKUP(I275,Mapping!D:D,Mapping!E:E)</f>
        <v>Hành Chánh Nhân Sự</v>
      </c>
      <c r="C275" s="167" t="str">
        <f>_xlfn.XLOOKUP(F275,Mapping!A:A,Mapping!F:F)</f>
        <v>Lương Chính +T13</v>
      </c>
      <c r="D275" s="173">
        <v>46081</v>
      </c>
      <c r="E275" s="174" t="s">
        <v>1582</v>
      </c>
      <c r="F275" s="174" t="s">
        <v>285</v>
      </c>
      <c r="G275" s="174" t="s">
        <v>286</v>
      </c>
      <c r="H275" s="174" t="s">
        <v>382</v>
      </c>
      <c r="I275" s="174" t="s">
        <v>200</v>
      </c>
      <c r="J275" s="174" t="s">
        <v>1583</v>
      </c>
      <c r="K275" s="174" t="s">
        <v>1580</v>
      </c>
      <c r="L275" s="174" t="s">
        <v>280</v>
      </c>
      <c r="M275" s="174" t="s">
        <v>1453</v>
      </c>
      <c r="N275" s="177">
        <v>6660250</v>
      </c>
      <c r="O275" s="174" t="s">
        <v>1584</v>
      </c>
      <c r="P275" s="174" t="s">
        <v>283</v>
      </c>
      <c r="Q275" s="174" t="s">
        <v>284</v>
      </c>
      <c r="R275" s="174" t="s">
        <v>283</v>
      </c>
      <c r="S275" s="174" t="s">
        <v>283</v>
      </c>
      <c r="T275" s="175">
        <v>0</v>
      </c>
    </row>
    <row r="276" spans="1:20" hidden="1" x14ac:dyDescent="0.2">
      <c r="A276" s="169" t="str">
        <f t="shared" si="4"/>
        <v>642</v>
      </c>
      <c r="B276" s="167" t="str">
        <f>_xlfn.XLOOKUP(I276,Mapping!D:D,Mapping!E:E)</f>
        <v>Hành Chánh Nhân Sự</v>
      </c>
      <c r="C276" s="167" t="str">
        <f>_xlfn.XLOOKUP(F276,Mapping!A:A,Mapping!F:F)</f>
        <v>Thưởng</v>
      </c>
      <c r="D276" s="173">
        <v>46081</v>
      </c>
      <c r="E276" s="174" t="s">
        <v>1582</v>
      </c>
      <c r="F276" s="174" t="s">
        <v>292</v>
      </c>
      <c r="G276" s="174" t="s">
        <v>77</v>
      </c>
      <c r="H276" s="174" t="s">
        <v>382</v>
      </c>
      <c r="I276" s="174" t="s">
        <v>200</v>
      </c>
      <c r="J276" s="174" t="s">
        <v>1585</v>
      </c>
      <c r="K276" s="174" t="s">
        <v>1580</v>
      </c>
      <c r="L276" s="174" t="s">
        <v>280</v>
      </c>
      <c r="M276" s="174" t="s">
        <v>1453</v>
      </c>
      <c r="N276" s="177">
        <v>6127377</v>
      </c>
      <c r="O276" s="174" t="s">
        <v>1584</v>
      </c>
      <c r="P276" s="174" t="s">
        <v>283</v>
      </c>
      <c r="Q276" s="174" t="s">
        <v>284</v>
      </c>
      <c r="R276" s="174" t="s">
        <v>283</v>
      </c>
      <c r="S276" s="174" t="s">
        <v>283</v>
      </c>
      <c r="T276" s="175">
        <v>0</v>
      </c>
    </row>
    <row r="277" spans="1:20" hidden="1" x14ac:dyDescent="0.2">
      <c r="A277" s="169" t="str">
        <f t="shared" si="4"/>
        <v>642</v>
      </c>
      <c r="B277" s="167" t="str">
        <f>_xlfn.XLOOKUP(I277,Mapping!D:D,Mapping!E:E)</f>
        <v>Hành Chánh Nhân Sự</v>
      </c>
      <c r="C277" s="167" t="str">
        <f>_xlfn.XLOOKUP(F277,Mapping!A:A,Mapping!F:F)</f>
        <v>Phụ Cấp</v>
      </c>
      <c r="D277" s="173">
        <v>46081</v>
      </c>
      <c r="E277" s="174" t="s">
        <v>1589</v>
      </c>
      <c r="F277" s="174" t="s">
        <v>335</v>
      </c>
      <c r="G277" s="174" t="s">
        <v>336</v>
      </c>
      <c r="H277" s="174" t="s">
        <v>382</v>
      </c>
      <c r="I277" s="174" t="s">
        <v>200</v>
      </c>
      <c r="J277" s="174" t="s">
        <v>1590</v>
      </c>
      <c r="K277" s="174" t="s">
        <v>992</v>
      </c>
      <c r="L277" s="174" t="s">
        <v>280</v>
      </c>
      <c r="M277" s="174" t="s">
        <v>1453</v>
      </c>
      <c r="N277" s="177">
        <v>1372000</v>
      </c>
      <c r="O277" s="174" t="s">
        <v>1591</v>
      </c>
      <c r="P277" s="174" t="s">
        <v>283</v>
      </c>
      <c r="Q277" s="174" t="s">
        <v>306</v>
      </c>
      <c r="R277" s="174" t="s">
        <v>283</v>
      </c>
      <c r="S277" s="174" t="s">
        <v>283</v>
      </c>
      <c r="T277" s="175">
        <v>0</v>
      </c>
    </row>
    <row r="278" spans="1:20" hidden="1" x14ac:dyDescent="0.2">
      <c r="A278" s="169" t="str">
        <f t="shared" si="4"/>
        <v>642</v>
      </c>
      <c r="B278" s="167" t="str">
        <f>_xlfn.XLOOKUP(I278,Mapping!D:D,Mapping!E:E)</f>
        <v>Hành Chánh Nhân Sự</v>
      </c>
      <c r="C278" s="167" t="str">
        <f>_xlfn.XLOOKUP(F278,Mapping!A:A,Mapping!F:F)</f>
        <v>BHXH, BHYT, KPCĐ</v>
      </c>
      <c r="D278" s="173">
        <v>46081</v>
      </c>
      <c r="E278" s="174" t="s">
        <v>1586</v>
      </c>
      <c r="F278" s="174" t="s">
        <v>295</v>
      </c>
      <c r="G278" s="174" t="s">
        <v>296</v>
      </c>
      <c r="H278" s="174" t="s">
        <v>382</v>
      </c>
      <c r="I278" s="174" t="s">
        <v>200</v>
      </c>
      <c r="J278" s="174" t="s">
        <v>1587</v>
      </c>
      <c r="K278" s="174" t="s">
        <v>1580</v>
      </c>
      <c r="L278" s="174" t="s">
        <v>280</v>
      </c>
      <c r="M278" s="174" t="s">
        <v>1453</v>
      </c>
      <c r="N278" s="177">
        <v>18781905</v>
      </c>
      <c r="O278" s="174" t="s">
        <v>1588</v>
      </c>
      <c r="P278" s="174" t="s">
        <v>283</v>
      </c>
      <c r="Q278" s="174" t="s">
        <v>284</v>
      </c>
      <c r="R278" s="174" t="s">
        <v>283</v>
      </c>
      <c r="S278" s="174" t="s">
        <v>283</v>
      </c>
      <c r="T278" s="175">
        <v>0</v>
      </c>
    </row>
    <row r="279" spans="1:20" hidden="1" x14ac:dyDescent="0.2">
      <c r="A279" s="169" t="str">
        <f t="shared" si="4"/>
        <v>642</v>
      </c>
      <c r="B279" s="167" t="str">
        <f>_xlfn.XLOOKUP(I279,Mapping!D:D,Mapping!E:E)</f>
        <v>Chiến Lược CCU</v>
      </c>
      <c r="C279" s="167" t="str">
        <f>_xlfn.XLOOKUP(F279,Mapping!A:A,Mapping!F:F)</f>
        <v>Lương Chính +T13</v>
      </c>
      <c r="D279" s="173">
        <v>46081</v>
      </c>
      <c r="E279" s="174" t="s">
        <v>1578</v>
      </c>
      <c r="F279" s="174" t="s">
        <v>274</v>
      </c>
      <c r="G279" s="174" t="s">
        <v>275</v>
      </c>
      <c r="H279" s="174" t="s">
        <v>1538</v>
      </c>
      <c r="I279" s="174" t="s">
        <v>1539</v>
      </c>
      <c r="J279" s="174" t="s">
        <v>1579</v>
      </c>
      <c r="K279" s="174" t="s">
        <v>1580</v>
      </c>
      <c r="L279" s="174" t="s">
        <v>280</v>
      </c>
      <c r="M279" s="174" t="s">
        <v>1453</v>
      </c>
      <c r="N279" s="177">
        <v>74115360</v>
      </c>
      <c r="O279" s="174" t="s">
        <v>1581</v>
      </c>
      <c r="P279" s="174" t="s">
        <v>283</v>
      </c>
      <c r="Q279" s="174" t="s">
        <v>284</v>
      </c>
      <c r="R279" s="174" t="s">
        <v>283</v>
      </c>
      <c r="S279" s="174" t="s">
        <v>283</v>
      </c>
      <c r="T279" s="175">
        <v>0</v>
      </c>
    </row>
    <row r="280" spans="1:20" hidden="1" x14ac:dyDescent="0.2">
      <c r="A280" s="169" t="str">
        <f t="shared" si="4"/>
        <v>642</v>
      </c>
      <c r="B280" s="167" t="str">
        <f>_xlfn.XLOOKUP(I280,Mapping!D:D,Mapping!E:E)</f>
        <v>Chiến Lược CCU</v>
      </c>
      <c r="C280" s="167" t="str">
        <f>_xlfn.XLOOKUP(F280,Mapping!A:A,Mapping!F:F)</f>
        <v>Lương Chính +T13</v>
      </c>
      <c r="D280" s="173">
        <v>46081</v>
      </c>
      <c r="E280" s="174" t="s">
        <v>1578</v>
      </c>
      <c r="F280" s="174" t="s">
        <v>285</v>
      </c>
      <c r="G280" s="174" t="s">
        <v>286</v>
      </c>
      <c r="H280" s="174" t="s">
        <v>1538</v>
      </c>
      <c r="I280" s="174" t="s">
        <v>1539</v>
      </c>
      <c r="J280" s="174" t="s">
        <v>1579</v>
      </c>
      <c r="K280" s="174" t="s">
        <v>1580</v>
      </c>
      <c r="L280" s="174" t="s">
        <v>280</v>
      </c>
      <c r="M280" s="174" t="s">
        <v>1453</v>
      </c>
      <c r="N280" s="177">
        <v>12222192</v>
      </c>
      <c r="O280" s="174" t="s">
        <v>1581</v>
      </c>
      <c r="P280" s="174" t="s">
        <v>283</v>
      </c>
      <c r="Q280" s="174" t="s">
        <v>284</v>
      </c>
      <c r="R280" s="174" t="s">
        <v>283</v>
      </c>
      <c r="S280" s="174" t="s">
        <v>283</v>
      </c>
      <c r="T280" s="175">
        <v>0</v>
      </c>
    </row>
    <row r="281" spans="1:20" hidden="1" x14ac:dyDescent="0.2">
      <c r="A281" s="169" t="str">
        <f t="shared" si="4"/>
        <v>642</v>
      </c>
      <c r="B281" s="167" t="str">
        <f>_xlfn.XLOOKUP(I281,Mapping!D:D,Mapping!E:E)</f>
        <v>Chiến Lược CCU</v>
      </c>
      <c r="C281" s="167" t="str">
        <f>_xlfn.XLOOKUP(F281,Mapping!A:A,Mapping!F:F)</f>
        <v>Lương Chính +T13</v>
      </c>
      <c r="D281" s="173">
        <v>46081</v>
      </c>
      <c r="E281" s="174" t="s">
        <v>1582</v>
      </c>
      <c r="F281" s="174" t="s">
        <v>285</v>
      </c>
      <c r="G281" s="174" t="s">
        <v>286</v>
      </c>
      <c r="H281" s="174" t="s">
        <v>1538</v>
      </c>
      <c r="I281" s="174" t="s">
        <v>1539</v>
      </c>
      <c r="J281" s="174" t="s">
        <v>1583</v>
      </c>
      <c r="K281" s="174" t="s">
        <v>1580</v>
      </c>
      <c r="L281" s="174" t="s">
        <v>280</v>
      </c>
      <c r="M281" s="174" t="s">
        <v>1453</v>
      </c>
      <c r="N281" s="177">
        <v>7104917</v>
      </c>
      <c r="O281" s="174" t="s">
        <v>1584</v>
      </c>
      <c r="P281" s="174" t="s">
        <v>283</v>
      </c>
      <c r="Q281" s="174" t="s">
        <v>284</v>
      </c>
      <c r="R281" s="174" t="s">
        <v>283</v>
      </c>
      <c r="S281" s="174" t="s">
        <v>283</v>
      </c>
      <c r="T281" s="175">
        <v>0</v>
      </c>
    </row>
    <row r="282" spans="1:20" hidden="1" x14ac:dyDescent="0.2">
      <c r="A282" s="169" t="str">
        <f t="shared" si="4"/>
        <v>642</v>
      </c>
      <c r="B282" s="167" t="str">
        <f>_xlfn.XLOOKUP(I282,Mapping!D:D,Mapping!E:E)</f>
        <v>Chiến Lược CCU</v>
      </c>
      <c r="C282" s="167" t="str">
        <f>_xlfn.XLOOKUP(F282,Mapping!A:A,Mapping!F:F)</f>
        <v>Thưởng</v>
      </c>
      <c r="D282" s="173">
        <v>46081</v>
      </c>
      <c r="E282" s="174" t="s">
        <v>1582</v>
      </c>
      <c r="F282" s="174" t="s">
        <v>292</v>
      </c>
      <c r="G282" s="174" t="s">
        <v>77</v>
      </c>
      <c r="H282" s="174" t="s">
        <v>1538</v>
      </c>
      <c r="I282" s="174" t="s">
        <v>1539</v>
      </c>
      <c r="J282" s="174" t="s">
        <v>1585</v>
      </c>
      <c r="K282" s="174" t="s">
        <v>1580</v>
      </c>
      <c r="L282" s="174" t="s">
        <v>280</v>
      </c>
      <c r="M282" s="174" t="s">
        <v>1453</v>
      </c>
      <c r="N282" s="177">
        <v>6536466</v>
      </c>
      <c r="O282" s="174" t="s">
        <v>1584</v>
      </c>
      <c r="P282" s="174" t="s">
        <v>283</v>
      </c>
      <c r="Q282" s="174" t="s">
        <v>284</v>
      </c>
      <c r="R282" s="174" t="s">
        <v>283</v>
      </c>
      <c r="S282" s="174" t="s">
        <v>283</v>
      </c>
      <c r="T282" s="175">
        <v>0</v>
      </c>
    </row>
    <row r="283" spans="1:20" hidden="1" x14ac:dyDescent="0.2">
      <c r="A283" s="169" t="str">
        <f t="shared" si="4"/>
        <v>642</v>
      </c>
      <c r="B283" s="167" t="str">
        <f>_xlfn.XLOOKUP(I283,Mapping!D:D,Mapping!E:E)</f>
        <v>Chiến Lược CCU</v>
      </c>
      <c r="C283" s="167" t="str">
        <f>_xlfn.XLOOKUP(F283,Mapping!A:A,Mapping!F:F)</f>
        <v>BHXH, BHYT, KPCĐ</v>
      </c>
      <c r="D283" s="173">
        <v>46081</v>
      </c>
      <c r="E283" s="174" t="s">
        <v>1586</v>
      </c>
      <c r="F283" s="174" t="s">
        <v>295</v>
      </c>
      <c r="G283" s="174" t="s">
        <v>296</v>
      </c>
      <c r="H283" s="174" t="s">
        <v>1538</v>
      </c>
      <c r="I283" s="174" t="s">
        <v>1539</v>
      </c>
      <c r="J283" s="174" t="s">
        <v>1587</v>
      </c>
      <c r="K283" s="174" t="s">
        <v>1580</v>
      </c>
      <c r="L283" s="174" t="s">
        <v>280</v>
      </c>
      <c r="M283" s="174" t="s">
        <v>1453</v>
      </c>
      <c r="N283" s="177">
        <v>20035865</v>
      </c>
      <c r="O283" s="174" t="s">
        <v>1588</v>
      </c>
      <c r="P283" s="174" t="s">
        <v>283</v>
      </c>
      <c r="Q283" s="174" t="s">
        <v>284</v>
      </c>
      <c r="R283" s="174" t="s">
        <v>283</v>
      </c>
      <c r="S283" s="174" t="s">
        <v>283</v>
      </c>
      <c r="T283" s="175">
        <v>0</v>
      </c>
    </row>
    <row r="284" spans="1:20" hidden="1" x14ac:dyDescent="0.2">
      <c r="A284" s="169" t="str">
        <f t="shared" si="4"/>
        <v>641</v>
      </c>
      <c r="B284" s="167" t="str">
        <f>_xlfn.XLOOKUP(I284,Mapping!D:D,Mapping!E:E)</f>
        <v>Kinh doanh</v>
      </c>
      <c r="C284" s="167" t="str">
        <f>_xlfn.XLOOKUP(F284,Mapping!A:A,Mapping!F:F)</f>
        <v>Lương Chính +T13</v>
      </c>
      <c r="D284" s="173">
        <v>46081</v>
      </c>
      <c r="E284" s="174" t="s">
        <v>1578</v>
      </c>
      <c r="F284" s="174" t="s">
        <v>383</v>
      </c>
      <c r="G284" s="174" t="s">
        <v>275</v>
      </c>
      <c r="H284" s="174" t="s">
        <v>366</v>
      </c>
      <c r="I284" s="174" t="s">
        <v>1</v>
      </c>
      <c r="J284" s="174" t="s">
        <v>1579</v>
      </c>
      <c r="K284" s="174" t="s">
        <v>1580</v>
      </c>
      <c r="L284" s="174" t="s">
        <v>280</v>
      </c>
      <c r="M284" s="174" t="s">
        <v>1453</v>
      </c>
      <c r="N284" s="177">
        <v>255479908</v>
      </c>
      <c r="O284" s="174" t="s">
        <v>1581</v>
      </c>
      <c r="P284" s="174" t="s">
        <v>283</v>
      </c>
      <c r="Q284" s="174" t="s">
        <v>284</v>
      </c>
      <c r="R284" s="174" t="s">
        <v>283</v>
      </c>
      <c r="S284" s="174" t="s">
        <v>283</v>
      </c>
      <c r="T284" s="175">
        <v>0</v>
      </c>
    </row>
    <row r="285" spans="1:20" hidden="1" x14ac:dyDescent="0.2">
      <c r="A285" s="169" t="str">
        <f t="shared" si="4"/>
        <v>641</v>
      </c>
      <c r="B285" s="167" t="str">
        <f>_xlfn.XLOOKUP(I285,Mapping!D:D,Mapping!E:E)</f>
        <v>Kinh doanh</v>
      </c>
      <c r="C285" s="167" t="str">
        <f>_xlfn.XLOOKUP(F285,Mapping!A:A,Mapping!F:F)</f>
        <v>Lương Chính +T13</v>
      </c>
      <c r="D285" s="173">
        <v>46081</v>
      </c>
      <c r="E285" s="174" t="s">
        <v>1578</v>
      </c>
      <c r="F285" s="174" t="s">
        <v>384</v>
      </c>
      <c r="G285" s="174" t="s">
        <v>286</v>
      </c>
      <c r="H285" s="174" t="s">
        <v>366</v>
      </c>
      <c r="I285" s="174" t="s">
        <v>1</v>
      </c>
      <c r="J285" s="174" t="s">
        <v>1579</v>
      </c>
      <c r="K285" s="174" t="s">
        <v>1580</v>
      </c>
      <c r="L285" s="174" t="s">
        <v>280</v>
      </c>
      <c r="M285" s="174" t="s">
        <v>1453</v>
      </c>
      <c r="N285" s="177">
        <v>32938705</v>
      </c>
      <c r="O285" s="174" t="s">
        <v>1581</v>
      </c>
      <c r="P285" s="174" t="s">
        <v>283</v>
      </c>
      <c r="Q285" s="174" t="s">
        <v>284</v>
      </c>
      <c r="R285" s="174" t="s">
        <v>283</v>
      </c>
      <c r="S285" s="174" t="s">
        <v>283</v>
      </c>
      <c r="T285" s="175">
        <v>0</v>
      </c>
    </row>
    <row r="286" spans="1:20" hidden="1" x14ac:dyDescent="0.2">
      <c r="A286" s="169" t="str">
        <f t="shared" si="4"/>
        <v>641</v>
      </c>
      <c r="B286" s="167" t="str">
        <f>_xlfn.XLOOKUP(I286,Mapping!D:D,Mapping!E:E)</f>
        <v>Kinh doanh</v>
      </c>
      <c r="C286" s="167" t="str">
        <f>_xlfn.XLOOKUP(F286,Mapping!A:A,Mapping!F:F)</f>
        <v>Lương Chính +T13</v>
      </c>
      <c r="D286" s="173">
        <v>46081</v>
      </c>
      <c r="E286" s="174" t="s">
        <v>1582</v>
      </c>
      <c r="F286" s="174" t="s">
        <v>384</v>
      </c>
      <c r="G286" s="174" t="s">
        <v>286</v>
      </c>
      <c r="H286" s="174" t="s">
        <v>366</v>
      </c>
      <c r="I286" s="174" t="s">
        <v>1</v>
      </c>
      <c r="J286" s="174" t="s">
        <v>1583</v>
      </c>
      <c r="K286" s="174" t="s">
        <v>1580</v>
      </c>
      <c r="L286" s="174" t="s">
        <v>280</v>
      </c>
      <c r="M286" s="174" t="s">
        <v>1453</v>
      </c>
      <c r="N286" s="177">
        <v>24436667</v>
      </c>
      <c r="O286" s="174" t="s">
        <v>1584</v>
      </c>
      <c r="P286" s="174" t="s">
        <v>283</v>
      </c>
      <c r="Q286" s="174" t="s">
        <v>284</v>
      </c>
      <c r="R286" s="174" t="s">
        <v>283</v>
      </c>
      <c r="S286" s="174" t="s">
        <v>283</v>
      </c>
      <c r="T286" s="175">
        <v>0</v>
      </c>
    </row>
    <row r="287" spans="1:20" hidden="1" x14ac:dyDescent="0.2">
      <c r="A287" s="169" t="str">
        <f t="shared" si="4"/>
        <v>641</v>
      </c>
      <c r="B287" s="167" t="str">
        <f>_xlfn.XLOOKUP(I287,Mapping!D:D,Mapping!E:E)</f>
        <v>Kinh doanh</v>
      </c>
      <c r="C287" s="167" t="str">
        <f>_xlfn.XLOOKUP(F287,Mapping!A:A,Mapping!F:F)</f>
        <v>Thưởng</v>
      </c>
      <c r="D287" s="173">
        <v>46054</v>
      </c>
      <c r="E287" s="174" t="s">
        <v>1623</v>
      </c>
      <c r="F287" s="174" t="s">
        <v>365</v>
      </c>
      <c r="G287" s="174" t="s">
        <v>291</v>
      </c>
      <c r="H287" s="174" t="s">
        <v>366</v>
      </c>
      <c r="I287" s="174" t="s">
        <v>1</v>
      </c>
      <c r="J287" s="174" t="s">
        <v>1533</v>
      </c>
      <c r="K287" s="174" t="s">
        <v>670</v>
      </c>
      <c r="L287" s="174" t="s">
        <v>280</v>
      </c>
      <c r="M287" s="174" t="s">
        <v>1453</v>
      </c>
      <c r="N287" s="177">
        <v>-125000000</v>
      </c>
      <c r="O287" s="174" t="s">
        <v>1624</v>
      </c>
      <c r="P287" s="174" t="s">
        <v>447</v>
      </c>
      <c r="Q287" s="174" t="s">
        <v>284</v>
      </c>
      <c r="R287" s="174" t="s">
        <v>283</v>
      </c>
      <c r="S287" s="174" t="s">
        <v>283</v>
      </c>
      <c r="T287" s="175">
        <v>0</v>
      </c>
    </row>
    <row r="288" spans="1:20" hidden="1" x14ac:dyDescent="0.2">
      <c r="A288" s="169" t="str">
        <f t="shared" si="4"/>
        <v>641</v>
      </c>
      <c r="B288" s="167" t="str">
        <f>_xlfn.XLOOKUP(I288,Mapping!D:D,Mapping!E:E)</f>
        <v>Kinh doanh</v>
      </c>
      <c r="C288" s="167" t="str">
        <f>_xlfn.XLOOKUP(F288,Mapping!A:A,Mapping!F:F)</f>
        <v>Thưởng</v>
      </c>
      <c r="D288" s="173">
        <v>46081</v>
      </c>
      <c r="E288" s="174" t="s">
        <v>1625</v>
      </c>
      <c r="F288" s="174" t="s">
        <v>365</v>
      </c>
      <c r="G288" s="174" t="s">
        <v>291</v>
      </c>
      <c r="H288" s="174" t="s">
        <v>366</v>
      </c>
      <c r="I288" s="174" t="s">
        <v>1</v>
      </c>
      <c r="J288" s="174" t="s">
        <v>1626</v>
      </c>
      <c r="K288" s="174" t="s">
        <v>670</v>
      </c>
      <c r="L288" s="174" t="s">
        <v>280</v>
      </c>
      <c r="M288" s="174" t="s">
        <v>1453</v>
      </c>
      <c r="N288" s="177">
        <v>11179505</v>
      </c>
      <c r="O288" s="174" t="s">
        <v>1627</v>
      </c>
      <c r="P288" s="174" t="s">
        <v>283</v>
      </c>
      <c r="Q288" s="174" t="s">
        <v>370</v>
      </c>
      <c r="R288" s="174" t="s">
        <v>283</v>
      </c>
      <c r="S288" s="174" t="s">
        <v>283</v>
      </c>
      <c r="T288" s="175">
        <v>0</v>
      </c>
    </row>
    <row r="289" spans="1:20" hidden="1" x14ac:dyDescent="0.2">
      <c r="A289" s="169" t="str">
        <f t="shared" si="4"/>
        <v>641</v>
      </c>
      <c r="B289" s="167" t="str">
        <f>_xlfn.XLOOKUP(I289,Mapping!D:D,Mapping!E:E)</f>
        <v>Kinh doanh</v>
      </c>
      <c r="C289" s="167" t="str">
        <f>_xlfn.XLOOKUP(F289,Mapping!A:A,Mapping!F:F)</f>
        <v>Thưởng</v>
      </c>
      <c r="D289" s="173">
        <v>46081</v>
      </c>
      <c r="E289" s="174" t="s">
        <v>1628</v>
      </c>
      <c r="F289" s="174" t="s">
        <v>365</v>
      </c>
      <c r="G289" s="174" t="s">
        <v>291</v>
      </c>
      <c r="H289" s="174" t="s">
        <v>366</v>
      </c>
      <c r="I289" s="174" t="s">
        <v>1</v>
      </c>
      <c r="J289" s="174" t="s">
        <v>1629</v>
      </c>
      <c r="K289" s="174" t="s">
        <v>1630</v>
      </c>
      <c r="L289" s="174" t="s">
        <v>280</v>
      </c>
      <c r="M289" s="174" t="s">
        <v>1453</v>
      </c>
      <c r="N289" s="177">
        <v>105615544</v>
      </c>
      <c r="O289" s="174" t="s">
        <v>1631</v>
      </c>
      <c r="P289" s="174" t="s">
        <v>283</v>
      </c>
      <c r="Q289" s="174" t="s">
        <v>370</v>
      </c>
      <c r="R289" s="174" t="s">
        <v>283</v>
      </c>
      <c r="S289" s="174" t="s">
        <v>283</v>
      </c>
      <c r="T289" s="175">
        <v>0</v>
      </c>
    </row>
    <row r="290" spans="1:20" hidden="1" x14ac:dyDescent="0.2">
      <c r="A290" s="169" t="str">
        <f t="shared" si="4"/>
        <v>641</v>
      </c>
      <c r="B290" s="167" t="str">
        <f>_xlfn.XLOOKUP(I290,Mapping!D:D,Mapping!E:E)</f>
        <v>Kinh doanh</v>
      </c>
      <c r="C290" s="167" t="str">
        <f>_xlfn.XLOOKUP(F290,Mapping!A:A,Mapping!F:F)</f>
        <v>Thưởng</v>
      </c>
      <c r="D290" s="173">
        <v>46081</v>
      </c>
      <c r="E290" s="174" t="s">
        <v>1578</v>
      </c>
      <c r="F290" s="174" t="s">
        <v>365</v>
      </c>
      <c r="G290" s="174" t="s">
        <v>291</v>
      </c>
      <c r="H290" s="174" t="s">
        <v>366</v>
      </c>
      <c r="I290" s="174" t="s">
        <v>1</v>
      </c>
      <c r="J290" s="174" t="s">
        <v>1579</v>
      </c>
      <c r="K290" s="174" t="s">
        <v>1580</v>
      </c>
      <c r="L290" s="174" t="s">
        <v>280</v>
      </c>
      <c r="M290" s="174" t="s">
        <v>1453</v>
      </c>
      <c r="N290" s="177">
        <v>114929210</v>
      </c>
      <c r="O290" s="174" t="s">
        <v>1581</v>
      </c>
      <c r="P290" s="174" t="s">
        <v>283</v>
      </c>
      <c r="Q290" s="174" t="s">
        <v>284</v>
      </c>
      <c r="R290" s="174" t="s">
        <v>283</v>
      </c>
      <c r="S290" s="174" t="s">
        <v>283</v>
      </c>
      <c r="T290" s="175">
        <v>0</v>
      </c>
    </row>
    <row r="291" spans="1:20" hidden="1" x14ac:dyDescent="0.2">
      <c r="A291" s="169" t="str">
        <f t="shared" si="4"/>
        <v>641</v>
      </c>
      <c r="B291" s="167" t="str">
        <f>_xlfn.XLOOKUP(I291,Mapping!D:D,Mapping!E:E)</f>
        <v>Kinh doanh</v>
      </c>
      <c r="C291" s="167" t="str">
        <f>_xlfn.XLOOKUP(F291,Mapping!A:A,Mapping!F:F)</f>
        <v>Thưởng</v>
      </c>
      <c r="D291" s="173">
        <v>46081</v>
      </c>
      <c r="E291" s="174" t="s">
        <v>1582</v>
      </c>
      <c r="F291" s="174" t="s">
        <v>394</v>
      </c>
      <c r="G291" s="174" t="s">
        <v>77</v>
      </c>
      <c r="H291" s="174" t="s">
        <v>366</v>
      </c>
      <c r="I291" s="174" t="s">
        <v>1</v>
      </c>
      <c r="J291" s="174" t="s">
        <v>1585</v>
      </c>
      <c r="K291" s="174" t="s">
        <v>1580</v>
      </c>
      <c r="L291" s="174" t="s">
        <v>280</v>
      </c>
      <c r="M291" s="174" t="s">
        <v>1453</v>
      </c>
      <c r="N291" s="177">
        <v>22481538</v>
      </c>
      <c r="O291" s="174" t="s">
        <v>1584</v>
      </c>
      <c r="P291" s="174" t="s">
        <v>283</v>
      </c>
      <c r="Q291" s="174" t="s">
        <v>284</v>
      </c>
      <c r="R291" s="174" t="s">
        <v>283</v>
      </c>
      <c r="S291" s="174" t="s">
        <v>283</v>
      </c>
      <c r="T291" s="175">
        <v>0</v>
      </c>
    </row>
    <row r="292" spans="1:20" hidden="1" x14ac:dyDescent="0.2">
      <c r="A292" s="169" t="str">
        <f t="shared" si="4"/>
        <v>641</v>
      </c>
      <c r="B292" s="167" t="str">
        <f>_xlfn.XLOOKUP(I292,Mapping!D:D,Mapping!E:E)</f>
        <v>Kinh doanh</v>
      </c>
      <c r="C292" s="167" t="str">
        <f>_xlfn.XLOOKUP(F292,Mapping!A:A,Mapping!F:F)</f>
        <v>Phụ Cấp</v>
      </c>
      <c r="D292" s="173">
        <v>46054</v>
      </c>
      <c r="E292" s="174" t="s">
        <v>1632</v>
      </c>
      <c r="F292" s="174" t="s">
        <v>385</v>
      </c>
      <c r="G292" s="174" t="s">
        <v>336</v>
      </c>
      <c r="H292" s="174" t="s">
        <v>366</v>
      </c>
      <c r="I292" s="174" t="s">
        <v>1</v>
      </c>
      <c r="J292" s="174" t="s">
        <v>1633</v>
      </c>
      <c r="K292" s="174" t="s">
        <v>581</v>
      </c>
      <c r="L292" s="174" t="s">
        <v>280</v>
      </c>
      <c r="M292" s="174" t="s">
        <v>1453</v>
      </c>
      <c r="N292" s="177">
        <v>5040000</v>
      </c>
      <c r="O292" s="174" t="s">
        <v>1634</v>
      </c>
      <c r="P292" s="174" t="s">
        <v>283</v>
      </c>
      <c r="Q292" s="174" t="s">
        <v>306</v>
      </c>
      <c r="R292" s="174" t="s">
        <v>283</v>
      </c>
      <c r="S292" s="174" t="s">
        <v>283</v>
      </c>
      <c r="T292" s="175">
        <v>0</v>
      </c>
    </row>
    <row r="293" spans="1:20" hidden="1" x14ac:dyDescent="0.2">
      <c r="A293" s="169" t="str">
        <f t="shared" si="4"/>
        <v>641</v>
      </c>
      <c r="B293" s="167" t="str">
        <f>_xlfn.XLOOKUP(I293,Mapping!D:D,Mapping!E:E)</f>
        <v>Kinh doanh</v>
      </c>
      <c r="C293" s="167" t="str">
        <f>_xlfn.XLOOKUP(F293,Mapping!A:A,Mapping!F:F)</f>
        <v>Phụ Cấp</v>
      </c>
      <c r="D293" s="173">
        <v>46081</v>
      </c>
      <c r="E293" s="174" t="s">
        <v>1578</v>
      </c>
      <c r="F293" s="174" t="s">
        <v>385</v>
      </c>
      <c r="G293" s="174" t="s">
        <v>336</v>
      </c>
      <c r="H293" s="174" t="s">
        <v>366</v>
      </c>
      <c r="I293" s="174" t="s">
        <v>1</v>
      </c>
      <c r="J293" s="174" t="s">
        <v>1579</v>
      </c>
      <c r="K293" s="174" t="s">
        <v>1580</v>
      </c>
      <c r="L293" s="174" t="s">
        <v>280</v>
      </c>
      <c r="M293" s="174" t="s">
        <v>1453</v>
      </c>
      <c r="N293" s="177">
        <v>150000</v>
      </c>
      <c r="O293" s="174" t="s">
        <v>1581</v>
      </c>
      <c r="P293" s="174" t="s">
        <v>283</v>
      </c>
      <c r="Q293" s="174" t="s">
        <v>284</v>
      </c>
      <c r="R293" s="174" t="s">
        <v>283</v>
      </c>
      <c r="S293" s="174" t="s">
        <v>283</v>
      </c>
      <c r="T293" s="175">
        <v>0</v>
      </c>
    </row>
    <row r="294" spans="1:20" hidden="1" x14ac:dyDescent="0.2">
      <c r="A294" s="169" t="str">
        <f t="shared" si="4"/>
        <v>641</v>
      </c>
      <c r="B294" s="167" t="str">
        <f>_xlfn.XLOOKUP(I294,Mapping!D:D,Mapping!E:E)</f>
        <v>Kinh doanh</v>
      </c>
      <c r="C294" s="167" t="str">
        <f>_xlfn.XLOOKUP(F294,Mapping!A:A,Mapping!F:F)</f>
        <v>BHXH, BHYT, KPCĐ</v>
      </c>
      <c r="D294" s="173">
        <v>46081</v>
      </c>
      <c r="E294" s="174" t="s">
        <v>1586</v>
      </c>
      <c r="F294" s="174" t="s">
        <v>392</v>
      </c>
      <c r="G294" s="174" t="s">
        <v>296</v>
      </c>
      <c r="H294" s="174" t="s">
        <v>366</v>
      </c>
      <c r="I294" s="174" t="s">
        <v>1</v>
      </c>
      <c r="J294" s="174" t="s">
        <v>1587</v>
      </c>
      <c r="K294" s="174" t="s">
        <v>1580</v>
      </c>
      <c r="L294" s="174" t="s">
        <v>280</v>
      </c>
      <c r="M294" s="174" t="s">
        <v>1453</v>
      </c>
      <c r="N294" s="177">
        <v>63587000</v>
      </c>
      <c r="O294" s="174" t="s">
        <v>1588</v>
      </c>
      <c r="P294" s="174" t="s">
        <v>283</v>
      </c>
      <c r="Q294" s="174" t="s">
        <v>284</v>
      </c>
      <c r="R294" s="174" t="s">
        <v>283</v>
      </c>
      <c r="S294" s="174" t="s">
        <v>283</v>
      </c>
      <c r="T294" s="175">
        <v>0</v>
      </c>
    </row>
    <row r="295" spans="1:20" hidden="1" x14ac:dyDescent="0.2">
      <c r="A295" s="169" t="str">
        <f t="shared" si="4"/>
        <v>642</v>
      </c>
      <c r="B295" s="167" t="str">
        <f>_xlfn.XLOOKUP(I295,Mapping!D:D,Mapping!E:E)</f>
        <v>Cung Ứng</v>
      </c>
      <c r="C295" s="167" t="str">
        <f>_xlfn.XLOOKUP(F295,Mapping!A:A,Mapping!F:F)</f>
        <v>Lương Chính +T13</v>
      </c>
      <c r="D295" s="173">
        <v>46081</v>
      </c>
      <c r="E295" s="174" t="s">
        <v>1578</v>
      </c>
      <c r="F295" s="174" t="s">
        <v>274</v>
      </c>
      <c r="G295" s="174" t="s">
        <v>275</v>
      </c>
      <c r="H295" s="174" t="s">
        <v>380</v>
      </c>
      <c r="I295" s="174" t="s">
        <v>381</v>
      </c>
      <c r="J295" s="174" t="s">
        <v>1579</v>
      </c>
      <c r="K295" s="174" t="s">
        <v>1580</v>
      </c>
      <c r="L295" s="174" t="s">
        <v>280</v>
      </c>
      <c r="M295" s="174" t="s">
        <v>1453</v>
      </c>
      <c r="N295" s="177">
        <v>384349696</v>
      </c>
      <c r="O295" s="174" t="s">
        <v>1581</v>
      </c>
      <c r="P295" s="174" t="s">
        <v>283</v>
      </c>
      <c r="Q295" s="174" t="s">
        <v>284</v>
      </c>
      <c r="R295" s="174" t="s">
        <v>283</v>
      </c>
      <c r="S295" s="174" t="s">
        <v>283</v>
      </c>
      <c r="T295" s="175">
        <v>0</v>
      </c>
    </row>
    <row r="296" spans="1:20" hidden="1" x14ac:dyDescent="0.2">
      <c r="A296" s="169" t="str">
        <f t="shared" si="4"/>
        <v>642</v>
      </c>
      <c r="B296" s="167" t="str">
        <f>_xlfn.XLOOKUP(I296,Mapping!D:D,Mapping!E:E)</f>
        <v>Cung Ứng</v>
      </c>
      <c r="C296" s="167" t="str">
        <f>_xlfn.XLOOKUP(F296,Mapping!A:A,Mapping!F:F)</f>
        <v>Lương Chính +T13</v>
      </c>
      <c r="D296" s="173">
        <v>46081</v>
      </c>
      <c r="E296" s="174" t="s">
        <v>1578</v>
      </c>
      <c r="F296" s="174" t="s">
        <v>285</v>
      </c>
      <c r="G296" s="174" t="s">
        <v>286</v>
      </c>
      <c r="H296" s="174" t="s">
        <v>380</v>
      </c>
      <c r="I296" s="174" t="s">
        <v>381</v>
      </c>
      <c r="J296" s="174" t="s">
        <v>1579</v>
      </c>
      <c r="K296" s="174" t="s">
        <v>1580</v>
      </c>
      <c r="L296" s="174" t="s">
        <v>280</v>
      </c>
      <c r="M296" s="174" t="s">
        <v>1453</v>
      </c>
      <c r="N296" s="177">
        <v>51215769</v>
      </c>
      <c r="O296" s="174" t="s">
        <v>1581</v>
      </c>
      <c r="P296" s="174" t="s">
        <v>283</v>
      </c>
      <c r="Q296" s="174" t="s">
        <v>284</v>
      </c>
      <c r="R296" s="174" t="s">
        <v>283</v>
      </c>
      <c r="S296" s="174" t="s">
        <v>283</v>
      </c>
      <c r="T296" s="175">
        <v>0</v>
      </c>
    </row>
    <row r="297" spans="1:20" hidden="1" x14ac:dyDescent="0.2">
      <c r="A297" s="169" t="str">
        <f t="shared" si="4"/>
        <v>642</v>
      </c>
      <c r="B297" s="167" t="str">
        <f>_xlfn.XLOOKUP(I297,Mapping!D:D,Mapping!E:E)</f>
        <v>Cung Ứng</v>
      </c>
      <c r="C297" s="167" t="str">
        <f>_xlfn.XLOOKUP(F297,Mapping!A:A,Mapping!F:F)</f>
        <v>Lương Chính +T13</v>
      </c>
      <c r="D297" s="173">
        <v>46081</v>
      </c>
      <c r="E297" s="174" t="s">
        <v>1582</v>
      </c>
      <c r="F297" s="174" t="s">
        <v>285</v>
      </c>
      <c r="G297" s="174" t="s">
        <v>286</v>
      </c>
      <c r="H297" s="174" t="s">
        <v>380</v>
      </c>
      <c r="I297" s="174" t="s">
        <v>381</v>
      </c>
      <c r="J297" s="174" t="s">
        <v>1583</v>
      </c>
      <c r="K297" s="174" t="s">
        <v>1580</v>
      </c>
      <c r="L297" s="174" t="s">
        <v>280</v>
      </c>
      <c r="M297" s="174" t="s">
        <v>1453</v>
      </c>
      <c r="N297" s="177">
        <v>31001167</v>
      </c>
      <c r="O297" s="174" t="s">
        <v>1584</v>
      </c>
      <c r="P297" s="174" t="s">
        <v>283</v>
      </c>
      <c r="Q297" s="174" t="s">
        <v>284</v>
      </c>
      <c r="R297" s="174" t="s">
        <v>283</v>
      </c>
      <c r="S297" s="174" t="s">
        <v>283</v>
      </c>
      <c r="T297" s="175">
        <v>0</v>
      </c>
    </row>
    <row r="298" spans="1:20" hidden="1" x14ac:dyDescent="0.2">
      <c r="A298" s="169" t="str">
        <f t="shared" si="4"/>
        <v>642</v>
      </c>
      <c r="B298" s="167" t="str">
        <f>_xlfn.XLOOKUP(I298,Mapping!D:D,Mapping!E:E)</f>
        <v>Cung Ứng</v>
      </c>
      <c r="C298" s="167" t="str">
        <f>_xlfn.XLOOKUP(F298,Mapping!A:A,Mapping!F:F)</f>
        <v>Thưởng</v>
      </c>
      <c r="D298" s="173">
        <v>46081</v>
      </c>
      <c r="E298" s="174" t="s">
        <v>1578</v>
      </c>
      <c r="F298" s="174" t="s">
        <v>290</v>
      </c>
      <c r="G298" s="174" t="s">
        <v>291</v>
      </c>
      <c r="H298" s="174" t="s">
        <v>380</v>
      </c>
      <c r="I298" s="174" t="s">
        <v>381</v>
      </c>
      <c r="J298" s="174" t="s">
        <v>1579</v>
      </c>
      <c r="K298" s="174" t="s">
        <v>1580</v>
      </c>
      <c r="L298" s="174" t="s">
        <v>280</v>
      </c>
      <c r="M298" s="174" t="s">
        <v>1453</v>
      </c>
      <c r="N298" s="177">
        <v>316507895</v>
      </c>
      <c r="O298" s="174" t="s">
        <v>1581</v>
      </c>
      <c r="P298" s="174" t="s">
        <v>283</v>
      </c>
      <c r="Q298" s="174" t="s">
        <v>284</v>
      </c>
      <c r="R298" s="174" t="s">
        <v>283</v>
      </c>
      <c r="S298" s="174" t="s">
        <v>283</v>
      </c>
      <c r="T298" s="175">
        <v>0</v>
      </c>
    </row>
    <row r="299" spans="1:20" hidden="1" x14ac:dyDescent="0.2">
      <c r="A299" s="169" t="str">
        <f t="shared" si="4"/>
        <v>642</v>
      </c>
      <c r="B299" s="167" t="str">
        <f>_xlfn.XLOOKUP(I299,Mapping!D:D,Mapping!E:E)</f>
        <v>Cung Ứng</v>
      </c>
      <c r="C299" s="167" t="str">
        <f>_xlfn.XLOOKUP(F299,Mapping!A:A,Mapping!F:F)</f>
        <v>Thưởng</v>
      </c>
      <c r="D299" s="173">
        <v>46081</v>
      </c>
      <c r="E299" s="174" t="s">
        <v>1582</v>
      </c>
      <c r="F299" s="174" t="s">
        <v>292</v>
      </c>
      <c r="G299" s="174" t="s">
        <v>77</v>
      </c>
      <c r="H299" s="174" t="s">
        <v>380</v>
      </c>
      <c r="I299" s="174" t="s">
        <v>381</v>
      </c>
      <c r="J299" s="174" t="s">
        <v>1585</v>
      </c>
      <c r="K299" s="174" t="s">
        <v>1580</v>
      </c>
      <c r="L299" s="174" t="s">
        <v>280</v>
      </c>
      <c r="M299" s="174" t="s">
        <v>1453</v>
      </c>
      <c r="N299" s="177">
        <v>27052575</v>
      </c>
      <c r="O299" s="174" t="s">
        <v>1584</v>
      </c>
      <c r="P299" s="174" t="s">
        <v>283</v>
      </c>
      <c r="Q299" s="174" t="s">
        <v>284</v>
      </c>
      <c r="R299" s="174" t="s">
        <v>283</v>
      </c>
      <c r="S299" s="174" t="s">
        <v>283</v>
      </c>
      <c r="T299" s="175">
        <v>0</v>
      </c>
    </row>
    <row r="300" spans="1:20" hidden="1" x14ac:dyDescent="0.2">
      <c r="A300" s="169" t="str">
        <f t="shared" si="4"/>
        <v>642</v>
      </c>
      <c r="B300" s="167" t="str">
        <f>_xlfn.XLOOKUP(I300,Mapping!D:D,Mapping!E:E)</f>
        <v>Cung Ứng</v>
      </c>
      <c r="C300" s="167" t="str">
        <f>_xlfn.XLOOKUP(F300,Mapping!A:A,Mapping!F:F)</f>
        <v>Phụ Cấp</v>
      </c>
      <c r="D300" s="173">
        <v>46081</v>
      </c>
      <c r="E300" s="174" t="s">
        <v>1589</v>
      </c>
      <c r="F300" s="174" t="s">
        <v>335</v>
      </c>
      <c r="G300" s="174" t="s">
        <v>336</v>
      </c>
      <c r="H300" s="174" t="s">
        <v>380</v>
      </c>
      <c r="I300" s="174" t="s">
        <v>381</v>
      </c>
      <c r="J300" s="174" t="s">
        <v>1590</v>
      </c>
      <c r="K300" s="174" t="s">
        <v>992</v>
      </c>
      <c r="L300" s="174" t="s">
        <v>280</v>
      </c>
      <c r="M300" s="174" t="s">
        <v>1453</v>
      </c>
      <c r="N300" s="177">
        <v>2156000</v>
      </c>
      <c r="O300" s="174" t="s">
        <v>1591</v>
      </c>
      <c r="P300" s="174" t="s">
        <v>283</v>
      </c>
      <c r="Q300" s="174" t="s">
        <v>306</v>
      </c>
      <c r="R300" s="174" t="s">
        <v>283</v>
      </c>
      <c r="S300" s="174" t="s">
        <v>283</v>
      </c>
      <c r="T300" s="175">
        <v>0</v>
      </c>
    </row>
    <row r="301" spans="1:20" hidden="1" x14ac:dyDescent="0.2">
      <c r="A301" s="169" t="str">
        <f t="shared" si="4"/>
        <v>642</v>
      </c>
      <c r="B301" s="167" t="str">
        <f>_xlfn.XLOOKUP(I301,Mapping!D:D,Mapping!E:E)</f>
        <v>Cung Ứng</v>
      </c>
      <c r="C301" s="167" t="str">
        <f>_xlfn.XLOOKUP(F301,Mapping!A:A,Mapping!F:F)</f>
        <v>Phụ Cấp</v>
      </c>
      <c r="D301" s="173">
        <v>46081</v>
      </c>
      <c r="E301" s="174" t="s">
        <v>1578</v>
      </c>
      <c r="F301" s="174" t="s">
        <v>335</v>
      </c>
      <c r="G301" s="174" t="s">
        <v>336</v>
      </c>
      <c r="H301" s="174" t="s">
        <v>380</v>
      </c>
      <c r="I301" s="174" t="s">
        <v>381</v>
      </c>
      <c r="J301" s="174" t="s">
        <v>1579</v>
      </c>
      <c r="K301" s="174" t="s">
        <v>1580</v>
      </c>
      <c r="L301" s="174" t="s">
        <v>280</v>
      </c>
      <c r="M301" s="174" t="s">
        <v>1453</v>
      </c>
      <c r="N301" s="177">
        <v>8555000</v>
      </c>
      <c r="O301" s="174" t="s">
        <v>1581</v>
      </c>
      <c r="P301" s="174" t="s">
        <v>283</v>
      </c>
      <c r="Q301" s="174" t="s">
        <v>284</v>
      </c>
      <c r="R301" s="174" t="s">
        <v>283</v>
      </c>
      <c r="S301" s="174" t="s">
        <v>283</v>
      </c>
      <c r="T301" s="175">
        <v>0</v>
      </c>
    </row>
    <row r="302" spans="1:20" hidden="1" x14ac:dyDescent="0.2">
      <c r="A302" s="169" t="str">
        <f t="shared" si="4"/>
        <v>642</v>
      </c>
      <c r="B302" s="167" t="str">
        <f>_xlfn.XLOOKUP(I302,Mapping!D:D,Mapping!E:E)</f>
        <v>Cung Ứng</v>
      </c>
      <c r="C302" s="167" t="str">
        <f>_xlfn.XLOOKUP(F302,Mapping!A:A,Mapping!F:F)</f>
        <v>BHXH, BHYT, KPCĐ</v>
      </c>
      <c r="D302" s="173">
        <v>46081</v>
      </c>
      <c r="E302" s="174" t="s">
        <v>1586</v>
      </c>
      <c r="F302" s="174" t="s">
        <v>295</v>
      </c>
      <c r="G302" s="174" t="s">
        <v>296</v>
      </c>
      <c r="H302" s="174" t="s">
        <v>380</v>
      </c>
      <c r="I302" s="174" t="s">
        <v>381</v>
      </c>
      <c r="J302" s="174" t="s">
        <v>1587</v>
      </c>
      <c r="K302" s="174" t="s">
        <v>1580</v>
      </c>
      <c r="L302" s="174" t="s">
        <v>280</v>
      </c>
      <c r="M302" s="174" t="s">
        <v>1453</v>
      </c>
      <c r="N302" s="177">
        <v>94722515</v>
      </c>
      <c r="O302" s="174" t="s">
        <v>1588</v>
      </c>
      <c r="P302" s="174" t="s">
        <v>283</v>
      </c>
      <c r="Q302" s="174" t="s">
        <v>284</v>
      </c>
      <c r="R302" s="174" t="s">
        <v>283</v>
      </c>
      <c r="S302" s="174" t="s">
        <v>283</v>
      </c>
      <c r="T302" s="175">
        <v>0</v>
      </c>
    </row>
    <row r="303" spans="1:20" hidden="1" x14ac:dyDescent="0.2">
      <c r="A303" s="169" t="str">
        <f t="shared" si="4"/>
        <v>642</v>
      </c>
      <c r="B303" s="167" t="str">
        <f>_xlfn.XLOOKUP(I303,Mapping!D:D,Mapping!E:E)</f>
        <v>Cung Ứng</v>
      </c>
      <c r="C303" s="167" t="str">
        <f>_xlfn.XLOOKUP(F303,Mapping!A:A,Mapping!F:F)</f>
        <v>BHXH, BHYT, KPCĐ</v>
      </c>
      <c r="D303" s="173">
        <v>46081</v>
      </c>
      <c r="E303" s="174" t="s">
        <v>1601</v>
      </c>
      <c r="F303" s="174" t="s">
        <v>295</v>
      </c>
      <c r="G303" s="174" t="s">
        <v>296</v>
      </c>
      <c r="H303" s="174" t="s">
        <v>380</v>
      </c>
      <c r="I303" s="174" t="s">
        <v>381</v>
      </c>
      <c r="J303" s="174" t="s">
        <v>1587</v>
      </c>
      <c r="K303" s="174" t="s">
        <v>1580</v>
      </c>
      <c r="L303" s="174" t="s">
        <v>280</v>
      </c>
      <c r="M303" s="174" t="s">
        <v>1453</v>
      </c>
      <c r="N303" s="177">
        <v>345000</v>
      </c>
      <c r="O303" s="174" t="s">
        <v>1602</v>
      </c>
      <c r="P303" s="174" t="s">
        <v>283</v>
      </c>
      <c r="Q303" s="174" t="s">
        <v>284</v>
      </c>
      <c r="R303" s="174" t="s">
        <v>283</v>
      </c>
      <c r="S303" s="174" t="s">
        <v>283</v>
      </c>
      <c r="T303" s="175">
        <v>0</v>
      </c>
    </row>
    <row r="304" spans="1:20" hidden="1" x14ac:dyDescent="0.2">
      <c r="A304" s="169" t="str">
        <f t="shared" si="4"/>
        <v>642</v>
      </c>
      <c r="B304" s="167" t="str">
        <f>_xlfn.XLOOKUP(I304,Mapping!D:D,Mapping!E:E)</f>
        <v>Mua Hàng &amp; XNK</v>
      </c>
      <c r="C304" s="167" t="str">
        <f>_xlfn.XLOOKUP(F304,Mapping!A:A,Mapping!F:F)</f>
        <v>Lương Chính +T13</v>
      </c>
      <c r="D304" s="173">
        <v>46081</v>
      </c>
      <c r="E304" s="174" t="s">
        <v>1578</v>
      </c>
      <c r="F304" s="174" t="s">
        <v>274</v>
      </c>
      <c r="G304" s="174" t="s">
        <v>275</v>
      </c>
      <c r="H304" s="174" t="s">
        <v>378</v>
      </c>
      <c r="I304" s="174" t="s">
        <v>379</v>
      </c>
      <c r="J304" s="174" t="s">
        <v>1579</v>
      </c>
      <c r="K304" s="174" t="s">
        <v>1580</v>
      </c>
      <c r="L304" s="174" t="s">
        <v>280</v>
      </c>
      <c r="M304" s="174" t="s">
        <v>1453</v>
      </c>
      <c r="N304" s="177">
        <v>168523343</v>
      </c>
      <c r="O304" s="174" t="s">
        <v>1581</v>
      </c>
      <c r="P304" s="174" t="s">
        <v>283</v>
      </c>
      <c r="Q304" s="174" t="s">
        <v>284</v>
      </c>
      <c r="R304" s="174" t="s">
        <v>283</v>
      </c>
      <c r="S304" s="174" t="s">
        <v>283</v>
      </c>
      <c r="T304" s="175">
        <v>0</v>
      </c>
    </row>
    <row r="305" spans="1:20" hidden="1" x14ac:dyDescent="0.2">
      <c r="A305" s="169" t="str">
        <f t="shared" si="4"/>
        <v>642</v>
      </c>
      <c r="B305" s="167" t="str">
        <f>_xlfn.XLOOKUP(I305,Mapping!D:D,Mapping!E:E)</f>
        <v>Mua Hàng &amp; XNK</v>
      </c>
      <c r="C305" s="167" t="str">
        <f>_xlfn.XLOOKUP(F305,Mapping!A:A,Mapping!F:F)</f>
        <v>Lương Chính +T13</v>
      </c>
      <c r="D305" s="173">
        <v>46081</v>
      </c>
      <c r="E305" s="169" t="s">
        <v>1578</v>
      </c>
      <c r="F305" s="169" t="s">
        <v>285</v>
      </c>
      <c r="G305" s="169" t="s">
        <v>286</v>
      </c>
      <c r="H305" s="169" t="s">
        <v>378</v>
      </c>
      <c r="I305" s="169" t="s">
        <v>379</v>
      </c>
      <c r="J305" s="169" t="s">
        <v>1579</v>
      </c>
      <c r="K305" s="169" t="s">
        <v>1580</v>
      </c>
      <c r="L305" s="169" t="s">
        <v>280</v>
      </c>
      <c r="M305" s="169" t="s">
        <v>1453</v>
      </c>
      <c r="N305" s="178">
        <v>11930847</v>
      </c>
      <c r="O305" s="169" t="s">
        <v>1581</v>
      </c>
      <c r="P305" s="169" t="s">
        <v>283</v>
      </c>
      <c r="Q305" s="169" t="s">
        <v>284</v>
      </c>
      <c r="R305" s="169" t="s">
        <v>283</v>
      </c>
      <c r="S305" s="169" t="s">
        <v>283</v>
      </c>
      <c r="T305" s="169">
        <v>0</v>
      </c>
    </row>
    <row r="306" spans="1:20" hidden="1" x14ac:dyDescent="0.2">
      <c r="A306" s="169" t="str">
        <f t="shared" si="4"/>
        <v>642</v>
      </c>
      <c r="B306" s="167" t="str">
        <f>_xlfn.XLOOKUP(I306,Mapping!D:D,Mapping!E:E)</f>
        <v>Mua Hàng &amp; XNK</v>
      </c>
      <c r="C306" s="167" t="str">
        <f>_xlfn.XLOOKUP(F306,Mapping!A:A,Mapping!F:F)</f>
        <v>Lương Chính +T13</v>
      </c>
      <c r="D306" s="173">
        <v>46081</v>
      </c>
      <c r="E306" s="169" t="s">
        <v>1582</v>
      </c>
      <c r="F306" s="169" t="s">
        <v>285</v>
      </c>
      <c r="G306" s="169" t="s">
        <v>286</v>
      </c>
      <c r="H306" s="169" t="s">
        <v>378</v>
      </c>
      <c r="I306" s="169" t="s">
        <v>379</v>
      </c>
      <c r="J306" s="169" t="s">
        <v>1583</v>
      </c>
      <c r="K306" s="169" t="s">
        <v>1580</v>
      </c>
      <c r="L306" s="169" t="s">
        <v>280</v>
      </c>
      <c r="M306" s="169" t="s">
        <v>1453</v>
      </c>
      <c r="N306" s="178">
        <v>16937917</v>
      </c>
      <c r="O306" s="169" t="s">
        <v>1584</v>
      </c>
      <c r="P306" s="169" t="s">
        <v>283</v>
      </c>
      <c r="Q306" s="169" t="s">
        <v>284</v>
      </c>
      <c r="R306" s="169" t="s">
        <v>283</v>
      </c>
      <c r="S306" s="169" t="s">
        <v>283</v>
      </c>
      <c r="T306" s="169">
        <v>0</v>
      </c>
    </row>
    <row r="307" spans="1:20" hidden="1" x14ac:dyDescent="0.2">
      <c r="A307" s="169" t="str">
        <f t="shared" si="4"/>
        <v>642</v>
      </c>
      <c r="B307" s="167" t="str">
        <f>_xlfn.XLOOKUP(I307,Mapping!D:D,Mapping!E:E)</f>
        <v>Mua Hàng &amp; XNK</v>
      </c>
      <c r="C307" s="167" t="str">
        <f>_xlfn.XLOOKUP(F307,Mapping!A:A,Mapping!F:F)</f>
        <v>Thưởng</v>
      </c>
      <c r="D307" s="173">
        <v>46081</v>
      </c>
      <c r="E307" s="169" t="s">
        <v>1582</v>
      </c>
      <c r="F307" s="169" t="s">
        <v>292</v>
      </c>
      <c r="G307" s="169" t="s">
        <v>77</v>
      </c>
      <c r="H307" s="169" t="s">
        <v>378</v>
      </c>
      <c r="I307" s="169" t="s">
        <v>379</v>
      </c>
      <c r="J307" s="169" t="s">
        <v>1585</v>
      </c>
      <c r="K307" s="169" t="s">
        <v>1580</v>
      </c>
      <c r="L307" s="169" t="s">
        <v>280</v>
      </c>
      <c r="M307" s="169" t="s">
        <v>1453</v>
      </c>
      <c r="N307" s="178">
        <v>15582748</v>
      </c>
      <c r="O307" s="169" t="s">
        <v>1584</v>
      </c>
      <c r="P307" s="169" t="s">
        <v>283</v>
      </c>
      <c r="Q307" s="169" t="s">
        <v>284</v>
      </c>
      <c r="R307" s="169" t="s">
        <v>283</v>
      </c>
      <c r="S307" s="169" t="s">
        <v>283</v>
      </c>
      <c r="T307" s="169">
        <v>0</v>
      </c>
    </row>
    <row r="308" spans="1:20" hidden="1" x14ac:dyDescent="0.2">
      <c r="A308" s="169" t="str">
        <f t="shared" si="4"/>
        <v>642</v>
      </c>
      <c r="B308" s="167" t="str">
        <f>_xlfn.XLOOKUP(I308,Mapping!D:D,Mapping!E:E)</f>
        <v>Mua Hàng &amp; XNK</v>
      </c>
      <c r="C308" s="167" t="str">
        <f>_xlfn.XLOOKUP(F308,Mapping!A:A,Mapping!F:F)</f>
        <v>Phụ Cấp</v>
      </c>
      <c r="D308" s="173">
        <v>46081</v>
      </c>
      <c r="E308" s="169" t="s">
        <v>1589</v>
      </c>
      <c r="F308" s="169" t="s">
        <v>335</v>
      </c>
      <c r="G308" s="169" t="s">
        <v>336</v>
      </c>
      <c r="H308" s="169" t="s">
        <v>378</v>
      </c>
      <c r="I308" s="169" t="s">
        <v>379</v>
      </c>
      <c r="J308" s="169" t="s">
        <v>1590</v>
      </c>
      <c r="K308" s="169" t="s">
        <v>992</v>
      </c>
      <c r="L308" s="169" t="s">
        <v>280</v>
      </c>
      <c r="M308" s="169" t="s">
        <v>1453</v>
      </c>
      <c r="N308" s="178">
        <v>3360000</v>
      </c>
      <c r="O308" s="169" t="s">
        <v>1591</v>
      </c>
      <c r="P308" s="169" t="s">
        <v>283</v>
      </c>
      <c r="Q308" s="169" t="s">
        <v>306</v>
      </c>
      <c r="R308" s="169" t="s">
        <v>283</v>
      </c>
      <c r="S308" s="169" t="s">
        <v>283</v>
      </c>
      <c r="T308" s="169">
        <v>0</v>
      </c>
    </row>
    <row r="309" spans="1:20" hidden="1" x14ac:dyDescent="0.2">
      <c r="A309" s="169" t="str">
        <f t="shared" si="4"/>
        <v>642</v>
      </c>
      <c r="B309" s="167" t="str">
        <f>_xlfn.XLOOKUP(I309,Mapping!D:D,Mapping!E:E)</f>
        <v>Mua Hàng &amp; XNK</v>
      </c>
      <c r="C309" s="167" t="str">
        <f>_xlfn.XLOOKUP(F309,Mapping!A:A,Mapping!F:F)</f>
        <v>Phụ Cấp</v>
      </c>
      <c r="D309" s="173">
        <v>46081</v>
      </c>
      <c r="E309" s="169" t="s">
        <v>1578</v>
      </c>
      <c r="F309" s="169" t="s">
        <v>335</v>
      </c>
      <c r="G309" s="169" t="s">
        <v>336</v>
      </c>
      <c r="H309" s="169" t="s">
        <v>378</v>
      </c>
      <c r="I309" s="169" t="s">
        <v>379</v>
      </c>
      <c r="J309" s="169" t="s">
        <v>1579</v>
      </c>
      <c r="K309" s="169" t="s">
        <v>1580</v>
      </c>
      <c r="L309" s="169" t="s">
        <v>280</v>
      </c>
      <c r="M309" s="169" t="s">
        <v>1453</v>
      </c>
      <c r="N309" s="178">
        <v>700000</v>
      </c>
      <c r="O309" s="169" t="s">
        <v>1581</v>
      </c>
      <c r="P309" s="169" t="s">
        <v>283</v>
      </c>
      <c r="Q309" s="169" t="s">
        <v>284</v>
      </c>
      <c r="R309" s="169" t="s">
        <v>283</v>
      </c>
      <c r="S309" s="169" t="s">
        <v>283</v>
      </c>
      <c r="T309" s="169">
        <v>0</v>
      </c>
    </row>
    <row r="310" spans="1:20" hidden="1" x14ac:dyDescent="0.2">
      <c r="A310" s="169" t="str">
        <f t="shared" si="4"/>
        <v>642</v>
      </c>
      <c r="B310" s="167" t="str">
        <f>_xlfn.XLOOKUP(I310,Mapping!D:D,Mapping!E:E)</f>
        <v>Mua Hàng &amp; XNK</v>
      </c>
      <c r="C310" s="167" t="str">
        <f>_xlfn.XLOOKUP(F310,Mapping!A:A,Mapping!F:F)</f>
        <v>BHXH, BHYT, KPCĐ</v>
      </c>
      <c r="D310" s="173">
        <v>46081</v>
      </c>
      <c r="E310" s="169" t="s">
        <v>1586</v>
      </c>
      <c r="F310" s="169" t="s">
        <v>295</v>
      </c>
      <c r="G310" s="169" t="s">
        <v>296</v>
      </c>
      <c r="H310" s="169" t="s">
        <v>378</v>
      </c>
      <c r="I310" s="169" t="s">
        <v>379</v>
      </c>
      <c r="J310" s="169" t="s">
        <v>1587</v>
      </c>
      <c r="K310" s="169" t="s">
        <v>1580</v>
      </c>
      <c r="L310" s="169" t="s">
        <v>280</v>
      </c>
      <c r="M310" s="169" t="s">
        <v>1453</v>
      </c>
      <c r="N310" s="178">
        <v>45919925</v>
      </c>
      <c r="O310" s="169" t="s">
        <v>1588</v>
      </c>
      <c r="P310" s="169" t="s">
        <v>283</v>
      </c>
      <c r="Q310" s="169" t="s">
        <v>284</v>
      </c>
      <c r="R310" s="169" t="s">
        <v>283</v>
      </c>
      <c r="S310" s="169" t="s">
        <v>283</v>
      </c>
      <c r="T310" s="169">
        <v>0</v>
      </c>
    </row>
    <row r="311" spans="1:20" hidden="1" x14ac:dyDescent="0.2">
      <c r="A311" s="169" t="str">
        <f t="shared" si="4"/>
        <v>627</v>
      </c>
      <c r="B311" s="167" t="str">
        <f>_xlfn.XLOOKUP(I311,Mapping!D:D,Mapping!E:E)</f>
        <v>Kỹ Thuật</v>
      </c>
      <c r="C311" s="167" t="str">
        <f>_xlfn.XLOOKUP(F311,Mapping!A:A,Mapping!F:F)</f>
        <v>Phụ Cấp</v>
      </c>
      <c r="D311" s="173">
        <v>46081</v>
      </c>
      <c r="E311" s="169" t="s">
        <v>1578</v>
      </c>
      <c r="F311" s="169" t="s">
        <v>386</v>
      </c>
      <c r="G311" s="169" t="s">
        <v>341</v>
      </c>
      <c r="H311" s="169" t="s">
        <v>376</v>
      </c>
      <c r="I311" s="169" t="s">
        <v>377</v>
      </c>
      <c r="J311" s="169" t="s">
        <v>1579</v>
      </c>
      <c r="K311" s="169" t="s">
        <v>1580</v>
      </c>
      <c r="L311" s="169" t="s">
        <v>280</v>
      </c>
      <c r="M311" s="169" t="s">
        <v>1453</v>
      </c>
      <c r="N311" s="178">
        <v>34571454</v>
      </c>
      <c r="O311" s="169" t="s">
        <v>1581</v>
      </c>
      <c r="P311" s="169" t="s">
        <v>283</v>
      </c>
      <c r="Q311" s="169" t="s">
        <v>284</v>
      </c>
      <c r="R311" s="169" t="s">
        <v>283</v>
      </c>
      <c r="S311" s="169" t="s">
        <v>283</v>
      </c>
      <c r="T311" s="169">
        <v>0</v>
      </c>
    </row>
    <row r="312" spans="1:20" hidden="1" x14ac:dyDescent="0.2">
      <c r="A312" s="169" t="str">
        <f t="shared" si="4"/>
        <v>627</v>
      </c>
      <c r="B312" s="167" t="str">
        <f>_xlfn.XLOOKUP(I312,Mapping!D:D,Mapping!E:E)</f>
        <v>Kỹ Thuật</v>
      </c>
      <c r="C312" s="167" t="str">
        <f>_xlfn.XLOOKUP(F312,Mapping!A:A,Mapping!F:F)</f>
        <v>Lương Chính +T13</v>
      </c>
      <c r="D312" s="173">
        <v>46081</v>
      </c>
      <c r="E312" s="169" t="s">
        <v>1578</v>
      </c>
      <c r="F312" s="169" t="s">
        <v>387</v>
      </c>
      <c r="G312" s="169" t="s">
        <v>275</v>
      </c>
      <c r="H312" s="169" t="s">
        <v>376</v>
      </c>
      <c r="I312" s="169" t="s">
        <v>377</v>
      </c>
      <c r="J312" s="169" t="s">
        <v>1579</v>
      </c>
      <c r="K312" s="169" t="s">
        <v>1580</v>
      </c>
      <c r="L312" s="169" t="s">
        <v>280</v>
      </c>
      <c r="M312" s="169" t="s">
        <v>1453</v>
      </c>
      <c r="N312" s="178">
        <v>1057475656</v>
      </c>
      <c r="O312" s="169" t="s">
        <v>1581</v>
      </c>
      <c r="P312" s="169" t="s">
        <v>283</v>
      </c>
      <c r="Q312" s="169" t="s">
        <v>284</v>
      </c>
      <c r="R312" s="169" t="s">
        <v>283</v>
      </c>
      <c r="S312" s="169" t="s">
        <v>283</v>
      </c>
      <c r="T312" s="169">
        <v>0</v>
      </c>
    </row>
    <row r="313" spans="1:20" hidden="1" x14ac:dyDescent="0.2">
      <c r="A313" s="169" t="str">
        <f t="shared" si="4"/>
        <v>627</v>
      </c>
      <c r="B313" s="167" t="str">
        <f>_xlfn.XLOOKUP(I313,Mapping!D:D,Mapping!E:E)</f>
        <v>Kỹ Thuật</v>
      </c>
      <c r="C313" s="167" t="str">
        <f>_xlfn.XLOOKUP(F313,Mapping!A:A,Mapping!F:F)</f>
        <v>Lương Chính +T13</v>
      </c>
      <c r="D313" s="173">
        <v>46081</v>
      </c>
      <c r="E313" s="169" t="s">
        <v>1578</v>
      </c>
      <c r="F313" s="169" t="s">
        <v>388</v>
      </c>
      <c r="G313" s="169" t="s">
        <v>286</v>
      </c>
      <c r="H313" s="169" t="s">
        <v>376</v>
      </c>
      <c r="I313" s="169" t="s">
        <v>377</v>
      </c>
      <c r="J313" s="169" t="s">
        <v>1579</v>
      </c>
      <c r="K313" s="169" t="s">
        <v>1580</v>
      </c>
      <c r="L313" s="169" t="s">
        <v>280</v>
      </c>
      <c r="M313" s="169" t="s">
        <v>1453</v>
      </c>
      <c r="N313" s="178">
        <v>132296350</v>
      </c>
      <c r="O313" s="169" t="s">
        <v>1581</v>
      </c>
      <c r="P313" s="169" t="s">
        <v>283</v>
      </c>
      <c r="Q313" s="169" t="s">
        <v>284</v>
      </c>
      <c r="R313" s="169" t="s">
        <v>283</v>
      </c>
      <c r="S313" s="169" t="s">
        <v>283</v>
      </c>
      <c r="T313" s="169">
        <v>0</v>
      </c>
    </row>
    <row r="314" spans="1:20" hidden="1" x14ac:dyDescent="0.2">
      <c r="A314" s="169" t="str">
        <f t="shared" si="4"/>
        <v>627</v>
      </c>
      <c r="B314" s="167" t="str">
        <f>_xlfn.XLOOKUP(I314,Mapping!D:D,Mapping!E:E)</f>
        <v>Kỹ Thuật</v>
      </c>
      <c r="C314" s="167" t="str">
        <f>_xlfn.XLOOKUP(F314,Mapping!A:A,Mapping!F:F)</f>
        <v>Lương Chính +T13</v>
      </c>
      <c r="D314" s="173">
        <v>46081</v>
      </c>
      <c r="E314" s="169" t="s">
        <v>1582</v>
      </c>
      <c r="F314" s="169" t="s">
        <v>388</v>
      </c>
      <c r="G314" s="169" t="s">
        <v>286</v>
      </c>
      <c r="H314" s="169" t="s">
        <v>376</v>
      </c>
      <c r="I314" s="169" t="s">
        <v>377</v>
      </c>
      <c r="J314" s="169" t="s">
        <v>1583</v>
      </c>
      <c r="K314" s="169" t="s">
        <v>1580</v>
      </c>
      <c r="L314" s="169" t="s">
        <v>280</v>
      </c>
      <c r="M314" s="169" t="s">
        <v>1453</v>
      </c>
      <c r="N314" s="178">
        <v>97118067</v>
      </c>
      <c r="O314" s="169" t="s">
        <v>1584</v>
      </c>
      <c r="P314" s="169" t="s">
        <v>283</v>
      </c>
      <c r="Q314" s="169" t="s">
        <v>284</v>
      </c>
      <c r="R314" s="169" t="s">
        <v>283</v>
      </c>
      <c r="S314" s="169" t="s">
        <v>283</v>
      </c>
      <c r="T314" s="169">
        <v>0</v>
      </c>
    </row>
    <row r="315" spans="1:20" hidden="1" x14ac:dyDescent="0.2">
      <c r="A315" s="169" t="str">
        <f t="shared" si="4"/>
        <v>627</v>
      </c>
      <c r="B315" s="167" t="str">
        <f>_xlfn.XLOOKUP(I315,Mapping!D:D,Mapping!E:E)</f>
        <v>Kỹ Thuật</v>
      </c>
      <c r="C315" s="167" t="str">
        <f>_xlfn.XLOOKUP(F315,Mapping!A:A,Mapping!F:F)</f>
        <v>Lương Ngoài giờ</v>
      </c>
      <c r="D315" s="173">
        <v>46081</v>
      </c>
      <c r="E315" s="169" t="s">
        <v>1578</v>
      </c>
      <c r="F315" s="169" t="s">
        <v>389</v>
      </c>
      <c r="G315" s="169" t="s">
        <v>390</v>
      </c>
      <c r="H315" s="169" t="s">
        <v>376</v>
      </c>
      <c r="I315" s="169" t="s">
        <v>377</v>
      </c>
      <c r="J315" s="169" t="s">
        <v>1579</v>
      </c>
      <c r="K315" s="169" t="s">
        <v>1580</v>
      </c>
      <c r="L315" s="169" t="s">
        <v>280</v>
      </c>
      <c r="M315" s="169" t="s">
        <v>1453</v>
      </c>
      <c r="N315" s="178">
        <v>259525891</v>
      </c>
      <c r="O315" s="169" t="s">
        <v>1581</v>
      </c>
      <c r="P315" s="169" t="s">
        <v>283</v>
      </c>
      <c r="Q315" s="169" t="s">
        <v>284</v>
      </c>
      <c r="R315" s="169" t="s">
        <v>283</v>
      </c>
      <c r="S315" s="169" t="s">
        <v>283</v>
      </c>
      <c r="T315" s="169">
        <v>0</v>
      </c>
    </row>
    <row r="316" spans="1:20" hidden="1" x14ac:dyDescent="0.2">
      <c r="A316" s="169" t="str">
        <f t="shared" si="4"/>
        <v>627</v>
      </c>
      <c r="B316" s="167" t="str">
        <f>_xlfn.XLOOKUP(I316,Mapping!D:D,Mapping!E:E)</f>
        <v>Kỹ Thuật</v>
      </c>
      <c r="C316" s="167" t="str">
        <f>_xlfn.XLOOKUP(F316,Mapping!A:A,Mapping!F:F)</f>
        <v>Thưởng</v>
      </c>
      <c r="D316" s="173">
        <v>46081</v>
      </c>
      <c r="E316" s="169" t="s">
        <v>1595</v>
      </c>
      <c r="F316" s="169" t="s">
        <v>391</v>
      </c>
      <c r="G316" s="169" t="s">
        <v>291</v>
      </c>
      <c r="H316" s="169" t="s">
        <v>376</v>
      </c>
      <c r="I316" s="169" t="s">
        <v>377</v>
      </c>
      <c r="J316" s="169" t="s">
        <v>1579</v>
      </c>
      <c r="K316" s="169" t="s">
        <v>1580</v>
      </c>
      <c r="L316" s="169" t="s">
        <v>280</v>
      </c>
      <c r="M316" s="169" t="s">
        <v>1453</v>
      </c>
      <c r="N316" s="178">
        <v>-51660000</v>
      </c>
      <c r="O316" s="169" t="s">
        <v>1596</v>
      </c>
      <c r="P316" s="169" t="s">
        <v>283</v>
      </c>
      <c r="Q316" s="169" t="s">
        <v>284</v>
      </c>
      <c r="R316" s="169" t="s">
        <v>283</v>
      </c>
      <c r="S316" s="169" t="s">
        <v>283</v>
      </c>
      <c r="T316" s="169">
        <v>0</v>
      </c>
    </row>
    <row r="317" spans="1:20" hidden="1" x14ac:dyDescent="0.2">
      <c r="A317" s="169" t="str">
        <f t="shared" si="4"/>
        <v>627</v>
      </c>
      <c r="B317" s="167" t="str">
        <f>_xlfn.XLOOKUP(I317,Mapping!D:D,Mapping!E:E)</f>
        <v>Kỹ Thuật</v>
      </c>
      <c r="C317" s="167" t="str">
        <f>_xlfn.XLOOKUP(F317,Mapping!A:A,Mapping!F:F)</f>
        <v>Thưởng</v>
      </c>
      <c r="D317" s="173">
        <v>46081</v>
      </c>
      <c r="E317" s="169" t="s">
        <v>1578</v>
      </c>
      <c r="F317" s="169" t="s">
        <v>391</v>
      </c>
      <c r="G317" s="169" t="s">
        <v>291</v>
      </c>
      <c r="H317" s="169" t="s">
        <v>376</v>
      </c>
      <c r="I317" s="169" t="s">
        <v>377</v>
      </c>
      <c r="J317" s="169" t="s">
        <v>1579</v>
      </c>
      <c r="K317" s="169" t="s">
        <v>1580</v>
      </c>
      <c r="L317" s="169" t="s">
        <v>280</v>
      </c>
      <c r="M317" s="169" t="s">
        <v>1453</v>
      </c>
      <c r="N317" s="178">
        <v>51660000</v>
      </c>
      <c r="O317" s="169" t="s">
        <v>1581</v>
      </c>
      <c r="P317" s="169" t="s">
        <v>283</v>
      </c>
      <c r="Q317" s="169" t="s">
        <v>284</v>
      </c>
      <c r="R317" s="169" t="s">
        <v>283</v>
      </c>
      <c r="S317" s="169" t="s">
        <v>283</v>
      </c>
      <c r="T317" s="169">
        <v>0</v>
      </c>
    </row>
    <row r="318" spans="1:20" hidden="1" x14ac:dyDescent="0.2">
      <c r="A318" s="169" t="str">
        <f t="shared" si="4"/>
        <v>627</v>
      </c>
      <c r="B318" s="167" t="str">
        <f>_xlfn.XLOOKUP(I318,Mapping!D:D,Mapping!E:E)</f>
        <v>Kỹ Thuật</v>
      </c>
      <c r="C318" s="167" t="str">
        <f>_xlfn.XLOOKUP(F318,Mapping!A:A,Mapping!F:F)</f>
        <v>Thưởng</v>
      </c>
      <c r="D318" s="173">
        <v>46081</v>
      </c>
      <c r="E318" s="169" t="s">
        <v>1582</v>
      </c>
      <c r="F318" s="169" t="s">
        <v>395</v>
      </c>
      <c r="G318" s="169" t="s">
        <v>77</v>
      </c>
      <c r="H318" s="169" t="s">
        <v>376</v>
      </c>
      <c r="I318" s="169" t="s">
        <v>377</v>
      </c>
      <c r="J318" s="169" t="s">
        <v>1585</v>
      </c>
      <c r="K318" s="169" t="s">
        <v>1580</v>
      </c>
      <c r="L318" s="169" t="s">
        <v>280</v>
      </c>
      <c r="M318" s="169" t="s">
        <v>1453</v>
      </c>
      <c r="N318" s="178">
        <v>89347844</v>
      </c>
      <c r="O318" s="169" t="s">
        <v>1584</v>
      </c>
      <c r="P318" s="169" t="s">
        <v>283</v>
      </c>
      <c r="Q318" s="169" t="s">
        <v>284</v>
      </c>
      <c r="R318" s="169" t="s">
        <v>283</v>
      </c>
      <c r="S318" s="169" t="s">
        <v>283</v>
      </c>
      <c r="T318" s="169">
        <v>0</v>
      </c>
    </row>
    <row r="319" spans="1:20" hidden="1" x14ac:dyDescent="0.2">
      <c r="A319" s="169" t="str">
        <f t="shared" si="4"/>
        <v>627</v>
      </c>
      <c r="B319" s="167" t="str">
        <f>_xlfn.XLOOKUP(I319,Mapping!D:D,Mapping!E:E)</f>
        <v>Kỹ Thuật</v>
      </c>
      <c r="C319" s="167" t="str">
        <f>_xlfn.XLOOKUP(F319,Mapping!A:A,Mapping!F:F)</f>
        <v>Phụ Cấp</v>
      </c>
      <c r="D319" s="173">
        <v>46081</v>
      </c>
      <c r="E319" s="169" t="s">
        <v>1589</v>
      </c>
      <c r="F319" s="169" t="s">
        <v>375</v>
      </c>
      <c r="G319" s="169" t="s">
        <v>336</v>
      </c>
      <c r="H319" s="169" t="s">
        <v>376</v>
      </c>
      <c r="I319" s="169" t="s">
        <v>377</v>
      </c>
      <c r="J319" s="169" t="s">
        <v>1590</v>
      </c>
      <c r="K319" s="169" t="s">
        <v>992</v>
      </c>
      <c r="L319" s="169" t="s">
        <v>280</v>
      </c>
      <c r="M319" s="169" t="s">
        <v>1453</v>
      </c>
      <c r="N319" s="178">
        <v>35840000</v>
      </c>
      <c r="O319" s="169" t="s">
        <v>1591</v>
      </c>
      <c r="P319" s="169" t="s">
        <v>283</v>
      </c>
      <c r="Q319" s="169" t="s">
        <v>306</v>
      </c>
      <c r="R319" s="169" t="s">
        <v>283</v>
      </c>
      <c r="S319" s="169" t="s">
        <v>283</v>
      </c>
      <c r="T319" s="169">
        <v>0</v>
      </c>
    </row>
    <row r="320" spans="1:20" hidden="1" x14ac:dyDescent="0.2">
      <c r="A320" s="169" t="str">
        <f t="shared" si="4"/>
        <v>627</v>
      </c>
      <c r="B320" s="167" t="str">
        <f>_xlfn.XLOOKUP(I320,Mapping!D:D,Mapping!E:E)</f>
        <v>Kỹ Thuật</v>
      </c>
      <c r="C320" s="167" t="str">
        <f>_xlfn.XLOOKUP(F320,Mapping!A:A,Mapping!F:F)</f>
        <v>Phụ Cấp</v>
      </c>
      <c r="D320" s="173">
        <v>46081</v>
      </c>
      <c r="E320" s="169" t="s">
        <v>1578</v>
      </c>
      <c r="F320" s="169" t="s">
        <v>375</v>
      </c>
      <c r="G320" s="169" t="s">
        <v>336</v>
      </c>
      <c r="H320" s="169" t="s">
        <v>376</v>
      </c>
      <c r="I320" s="169" t="s">
        <v>377</v>
      </c>
      <c r="J320" s="169" t="s">
        <v>1579</v>
      </c>
      <c r="K320" s="169" t="s">
        <v>1580</v>
      </c>
      <c r="L320" s="169" t="s">
        <v>280</v>
      </c>
      <c r="M320" s="169" t="s">
        <v>1453</v>
      </c>
      <c r="N320" s="178">
        <v>3060000</v>
      </c>
      <c r="O320" s="169" t="s">
        <v>1581</v>
      </c>
      <c r="P320" s="169" t="s">
        <v>283</v>
      </c>
      <c r="Q320" s="169" t="s">
        <v>284</v>
      </c>
      <c r="R320" s="169" t="s">
        <v>283</v>
      </c>
      <c r="S320" s="169" t="s">
        <v>283</v>
      </c>
      <c r="T320" s="169">
        <v>0</v>
      </c>
    </row>
    <row r="321" spans="1:20" hidden="1" x14ac:dyDescent="0.2">
      <c r="A321" s="169" t="str">
        <f t="shared" si="4"/>
        <v>627</v>
      </c>
      <c r="B321" s="167" t="str">
        <f>_xlfn.XLOOKUP(I321,Mapping!D:D,Mapping!E:E)</f>
        <v>Kỹ Thuật</v>
      </c>
      <c r="C321" s="167" t="str">
        <f>_xlfn.XLOOKUP(F321,Mapping!A:A,Mapping!F:F)</f>
        <v>Phụ Cấp</v>
      </c>
      <c r="D321" s="173">
        <v>46081</v>
      </c>
      <c r="E321" s="169" t="s">
        <v>1597</v>
      </c>
      <c r="F321" s="169" t="s">
        <v>375</v>
      </c>
      <c r="G321" s="169" t="s">
        <v>336</v>
      </c>
      <c r="H321" s="169" t="s">
        <v>376</v>
      </c>
      <c r="I321" s="169" t="s">
        <v>377</v>
      </c>
      <c r="J321" s="169" t="s">
        <v>1635</v>
      </c>
      <c r="K321" s="169" t="s">
        <v>1599</v>
      </c>
      <c r="L321" s="169" t="s">
        <v>280</v>
      </c>
      <c r="M321" s="169" t="s">
        <v>1453</v>
      </c>
      <c r="N321" s="178">
        <v>13883040</v>
      </c>
      <c r="O321" s="169" t="s">
        <v>1600</v>
      </c>
      <c r="P321" s="169" t="s">
        <v>283</v>
      </c>
      <c r="Q321" s="169" t="s">
        <v>306</v>
      </c>
      <c r="R321" s="169" t="s">
        <v>283</v>
      </c>
      <c r="S321" s="169" t="s">
        <v>283</v>
      </c>
      <c r="T321" s="169">
        <v>0</v>
      </c>
    </row>
    <row r="322" spans="1:20" hidden="1" x14ac:dyDescent="0.2">
      <c r="A322" s="169" t="str">
        <f t="shared" si="4"/>
        <v>627</v>
      </c>
      <c r="B322" s="167" t="str">
        <f>_xlfn.XLOOKUP(I322,Mapping!D:D,Mapping!E:E)</f>
        <v>Kỹ Thuật</v>
      </c>
      <c r="C322" s="167" t="str">
        <f>_xlfn.XLOOKUP(F322,Mapping!A:A,Mapping!F:F)</f>
        <v>BHXH, BHYT, KPCĐ</v>
      </c>
      <c r="D322" s="173">
        <v>46081</v>
      </c>
      <c r="E322" s="169" t="s">
        <v>1586</v>
      </c>
      <c r="F322" s="169" t="s">
        <v>393</v>
      </c>
      <c r="G322" s="169" t="s">
        <v>296</v>
      </c>
      <c r="H322" s="169" t="s">
        <v>376</v>
      </c>
      <c r="I322" s="169" t="s">
        <v>377</v>
      </c>
      <c r="J322" s="169" t="s">
        <v>1587</v>
      </c>
      <c r="K322" s="169" t="s">
        <v>1580</v>
      </c>
      <c r="L322" s="169" t="s">
        <v>280</v>
      </c>
      <c r="M322" s="169" t="s">
        <v>1453</v>
      </c>
      <c r="N322" s="178">
        <v>272027948</v>
      </c>
      <c r="O322" s="169" t="s">
        <v>1588</v>
      </c>
      <c r="P322" s="169" t="s">
        <v>283</v>
      </c>
      <c r="Q322" s="169" t="s">
        <v>284</v>
      </c>
      <c r="R322" s="169" t="s">
        <v>283</v>
      </c>
      <c r="S322" s="169" t="s">
        <v>283</v>
      </c>
      <c r="T322" s="169">
        <v>0</v>
      </c>
    </row>
    <row r="323" spans="1:20" hidden="1" x14ac:dyDescent="0.2">
      <c r="A323" s="169" t="str">
        <f t="shared" si="4"/>
        <v>627</v>
      </c>
      <c r="B323" s="167" t="str">
        <f>_xlfn.XLOOKUP(I323,Mapping!D:D,Mapping!E:E)</f>
        <v>Kỹ Thuật</v>
      </c>
      <c r="C323" s="167" t="str">
        <f>_xlfn.XLOOKUP(F323,Mapping!A:A,Mapping!F:F)</f>
        <v>BHXH, BHYT, KPCĐ</v>
      </c>
      <c r="D323" s="173">
        <v>46081</v>
      </c>
      <c r="E323" s="169" t="s">
        <v>1601</v>
      </c>
      <c r="F323" s="169" t="s">
        <v>393</v>
      </c>
      <c r="G323" s="169" t="s">
        <v>296</v>
      </c>
      <c r="H323" s="169" t="s">
        <v>376</v>
      </c>
      <c r="I323" s="169" t="s">
        <v>377</v>
      </c>
      <c r="J323" s="169" t="s">
        <v>1587</v>
      </c>
      <c r="K323" s="169" t="s">
        <v>1580</v>
      </c>
      <c r="L323" s="169" t="s">
        <v>280</v>
      </c>
      <c r="M323" s="169" t="s">
        <v>1453</v>
      </c>
      <c r="N323" s="178">
        <v>247216</v>
      </c>
      <c r="O323" s="169" t="s">
        <v>1602</v>
      </c>
      <c r="P323" s="169" t="s">
        <v>283</v>
      </c>
      <c r="Q323" s="169" t="s">
        <v>284</v>
      </c>
      <c r="R323" s="169" t="s">
        <v>283</v>
      </c>
      <c r="S323" s="169" t="s">
        <v>283</v>
      </c>
      <c r="T323" s="169">
        <v>0</v>
      </c>
    </row>
    <row r="324" spans="1:20" hidden="1" x14ac:dyDescent="0.2">
      <c r="A324" s="169" t="str">
        <f t="shared" ref="A324:A387" si="5">LEFT(F324,3)</f>
        <v>627</v>
      </c>
      <c r="B324" s="167" t="str">
        <f>_xlfn.XLOOKUP(I324,Mapping!D:D,Mapping!E:E)</f>
        <v>Kiểm Soát Chất Lượng</v>
      </c>
      <c r="C324" s="167" t="str">
        <f>_xlfn.XLOOKUP(F324,Mapping!A:A,Mapping!F:F)</f>
        <v>Phụ Cấp</v>
      </c>
      <c r="D324" s="173">
        <v>46081</v>
      </c>
      <c r="E324" s="169" t="s">
        <v>1578</v>
      </c>
      <c r="F324" s="169" t="s">
        <v>386</v>
      </c>
      <c r="G324" s="169" t="s">
        <v>341</v>
      </c>
      <c r="H324" s="169" t="s">
        <v>411</v>
      </c>
      <c r="I324" s="169" t="s">
        <v>412</v>
      </c>
      <c r="J324" s="169" t="s">
        <v>1579</v>
      </c>
      <c r="K324" s="169" t="s">
        <v>1580</v>
      </c>
      <c r="L324" s="169" t="s">
        <v>280</v>
      </c>
      <c r="M324" s="169" t="s">
        <v>1453</v>
      </c>
      <c r="N324" s="178">
        <v>18059827</v>
      </c>
      <c r="O324" s="169" t="s">
        <v>1581</v>
      </c>
      <c r="P324" s="169" t="s">
        <v>283</v>
      </c>
      <c r="Q324" s="169" t="s">
        <v>284</v>
      </c>
      <c r="R324" s="169" t="s">
        <v>283</v>
      </c>
      <c r="S324" s="169" t="s">
        <v>283</v>
      </c>
      <c r="T324" s="169">
        <v>0</v>
      </c>
    </row>
    <row r="325" spans="1:20" hidden="1" x14ac:dyDescent="0.2">
      <c r="A325" s="169" t="str">
        <f t="shared" si="5"/>
        <v>627</v>
      </c>
      <c r="B325" s="167" t="str">
        <f>_xlfn.XLOOKUP(I325,Mapping!D:D,Mapping!E:E)</f>
        <v>Kiểm Soát Chất Lượng</v>
      </c>
      <c r="C325" s="167" t="str">
        <f>_xlfn.XLOOKUP(F325,Mapping!A:A,Mapping!F:F)</f>
        <v>Lương Chính +T13</v>
      </c>
      <c r="D325" s="173">
        <v>46081</v>
      </c>
      <c r="E325" s="169" t="s">
        <v>1578</v>
      </c>
      <c r="F325" s="169" t="s">
        <v>387</v>
      </c>
      <c r="G325" s="169" t="s">
        <v>275</v>
      </c>
      <c r="H325" s="169" t="s">
        <v>411</v>
      </c>
      <c r="I325" s="169" t="s">
        <v>412</v>
      </c>
      <c r="J325" s="169" t="s">
        <v>1579</v>
      </c>
      <c r="K325" s="169" t="s">
        <v>1580</v>
      </c>
      <c r="L325" s="169" t="s">
        <v>280</v>
      </c>
      <c r="M325" s="169" t="s">
        <v>1453</v>
      </c>
      <c r="N325" s="178">
        <v>440961092</v>
      </c>
      <c r="O325" s="169" t="s">
        <v>1581</v>
      </c>
      <c r="P325" s="169" t="s">
        <v>283</v>
      </c>
      <c r="Q325" s="169" t="s">
        <v>284</v>
      </c>
      <c r="R325" s="169" t="s">
        <v>283</v>
      </c>
      <c r="S325" s="169" t="s">
        <v>283</v>
      </c>
      <c r="T325" s="169">
        <v>0</v>
      </c>
    </row>
    <row r="326" spans="1:20" hidden="1" x14ac:dyDescent="0.2">
      <c r="A326" s="169" t="str">
        <f t="shared" si="5"/>
        <v>627</v>
      </c>
      <c r="B326" s="167" t="str">
        <f>_xlfn.XLOOKUP(I326,Mapping!D:D,Mapping!E:E)</f>
        <v>Kiểm Soát Chất Lượng</v>
      </c>
      <c r="C326" s="167" t="str">
        <f>_xlfn.XLOOKUP(F326,Mapping!A:A,Mapping!F:F)</f>
        <v>Lương Chính +T13</v>
      </c>
      <c r="D326" s="173">
        <v>46081</v>
      </c>
      <c r="E326" s="169" t="s">
        <v>1578</v>
      </c>
      <c r="F326" s="169" t="s">
        <v>388</v>
      </c>
      <c r="G326" s="169" t="s">
        <v>286</v>
      </c>
      <c r="H326" s="169" t="s">
        <v>411</v>
      </c>
      <c r="I326" s="169" t="s">
        <v>412</v>
      </c>
      <c r="J326" s="169" t="s">
        <v>1579</v>
      </c>
      <c r="K326" s="169" t="s">
        <v>1580</v>
      </c>
      <c r="L326" s="169" t="s">
        <v>280</v>
      </c>
      <c r="M326" s="169" t="s">
        <v>1453</v>
      </c>
      <c r="N326" s="178">
        <v>34240289</v>
      </c>
      <c r="O326" s="169" t="s">
        <v>1581</v>
      </c>
      <c r="P326" s="169" t="s">
        <v>283</v>
      </c>
      <c r="Q326" s="169" t="s">
        <v>284</v>
      </c>
      <c r="R326" s="169" t="s">
        <v>283</v>
      </c>
      <c r="S326" s="169" t="s">
        <v>283</v>
      </c>
      <c r="T326" s="169">
        <v>0</v>
      </c>
    </row>
    <row r="327" spans="1:20" hidden="1" x14ac:dyDescent="0.2">
      <c r="A327" s="169" t="str">
        <f t="shared" si="5"/>
        <v>627</v>
      </c>
      <c r="B327" s="167" t="str">
        <f>_xlfn.XLOOKUP(I327,Mapping!D:D,Mapping!E:E)</f>
        <v>Kiểm Soát Chất Lượng</v>
      </c>
      <c r="C327" s="167" t="str">
        <f>_xlfn.XLOOKUP(F327,Mapping!A:A,Mapping!F:F)</f>
        <v>Lương Chính +T13</v>
      </c>
      <c r="D327" s="173">
        <v>46081</v>
      </c>
      <c r="E327" s="169" t="s">
        <v>1582</v>
      </c>
      <c r="F327" s="169" t="s">
        <v>388</v>
      </c>
      <c r="G327" s="169" t="s">
        <v>286</v>
      </c>
      <c r="H327" s="169" t="s">
        <v>411</v>
      </c>
      <c r="I327" s="169" t="s">
        <v>412</v>
      </c>
      <c r="J327" s="169" t="s">
        <v>1583</v>
      </c>
      <c r="K327" s="169" t="s">
        <v>1580</v>
      </c>
      <c r="L327" s="169" t="s">
        <v>280</v>
      </c>
      <c r="M327" s="169" t="s">
        <v>1453</v>
      </c>
      <c r="N327" s="178">
        <v>37743833</v>
      </c>
      <c r="O327" s="169" t="s">
        <v>1584</v>
      </c>
      <c r="P327" s="169" t="s">
        <v>283</v>
      </c>
      <c r="Q327" s="169" t="s">
        <v>284</v>
      </c>
      <c r="R327" s="169" t="s">
        <v>283</v>
      </c>
      <c r="S327" s="169" t="s">
        <v>283</v>
      </c>
      <c r="T327" s="169">
        <v>0</v>
      </c>
    </row>
    <row r="328" spans="1:20" hidden="1" x14ac:dyDescent="0.2">
      <c r="A328" s="169" t="str">
        <f t="shared" si="5"/>
        <v>627</v>
      </c>
      <c r="B328" s="167" t="str">
        <f>_xlfn.XLOOKUP(I328,Mapping!D:D,Mapping!E:E)</f>
        <v>Kiểm Soát Chất Lượng</v>
      </c>
      <c r="C328" s="167" t="str">
        <f>_xlfn.XLOOKUP(F328,Mapping!A:A,Mapping!F:F)</f>
        <v>Lương Ngoài giờ</v>
      </c>
      <c r="D328" s="173">
        <v>46081</v>
      </c>
      <c r="E328" s="169" t="s">
        <v>1578</v>
      </c>
      <c r="F328" s="169" t="s">
        <v>389</v>
      </c>
      <c r="G328" s="169" t="s">
        <v>390</v>
      </c>
      <c r="H328" s="169" t="s">
        <v>411</v>
      </c>
      <c r="I328" s="169" t="s">
        <v>412</v>
      </c>
      <c r="J328" s="169" t="s">
        <v>1579</v>
      </c>
      <c r="K328" s="169" t="s">
        <v>1580</v>
      </c>
      <c r="L328" s="169" t="s">
        <v>280</v>
      </c>
      <c r="M328" s="169" t="s">
        <v>1453</v>
      </c>
      <c r="N328" s="178">
        <v>111367237</v>
      </c>
      <c r="O328" s="169" t="s">
        <v>1581</v>
      </c>
      <c r="P328" s="169" t="s">
        <v>283</v>
      </c>
      <c r="Q328" s="169" t="s">
        <v>284</v>
      </c>
      <c r="R328" s="169" t="s">
        <v>283</v>
      </c>
      <c r="S328" s="169" t="s">
        <v>283</v>
      </c>
      <c r="T328" s="169">
        <v>0</v>
      </c>
    </row>
    <row r="329" spans="1:20" hidden="1" x14ac:dyDescent="0.2">
      <c r="A329" s="169" t="str">
        <f t="shared" si="5"/>
        <v>627</v>
      </c>
      <c r="B329" s="167" t="str">
        <f>_xlfn.XLOOKUP(I329,Mapping!D:D,Mapping!E:E)</f>
        <v>Kiểm Soát Chất Lượng</v>
      </c>
      <c r="C329" s="167" t="str">
        <f>_xlfn.XLOOKUP(F329,Mapping!A:A,Mapping!F:F)</f>
        <v>Thưởng</v>
      </c>
      <c r="D329" s="173">
        <v>46081</v>
      </c>
      <c r="E329" s="169" t="s">
        <v>1582</v>
      </c>
      <c r="F329" s="169" t="s">
        <v>395</v>
      </c>
      <c r="G329" s="169" t="s">
        <v>77</v>
      </c>
      <c r="H329" s="169" t="s">
        <v>411</v>
      </c>
      <c r="I329" s="169" t="s">
        <v>412</v>
      </c>
      <c r="J329" s="169" t="s">
        <v>1585</v>
      </c>
      <c r="K329" s="169" t="s">
        <v>1580</v>
      </c>
      <c r="L329" s="169" t="s">
        <v>280</v>
      </c>
      <c r="M329" s="169" t="s">
        <v>1453</v>
      </c>
      <c r="N329" s="178">
        <v>34724025</v>
      </c>
      <c r="O329" s="169" t="s">
        <v>1584</v>
      </c>
      <c r="P329" s="169" t="s">
        <v>283</v>
      </c>
      <c r="Q329" s="169" t="s">
        <v>284</v>
      </c>
      <c r="R329" s="169" t="s">
        <v>283</v>
      </c>
      <c r="S329" s="169" t="s">
        <v>283</v>
      </c>
      <c r="T329" s="169">
        <v>0</v>
      </c>
    </row>
    <row r="330" spans="1:20" hidden="1" x14ac:dyDescent="0.2">
      <c r="A330" s="169" t="str">
        <f t="shared" si="5"/>
        <v>627</v>
      </c>
      <c r="B330" s="167" t="str">
        <f>_xlfn.XLOOKUP(I330,Mapping!D:D,Mapping!E:E)</f>
        <v>Kiểm Soát Chất Lượng</v>
      </c>
      <c r="C330" s="167" t="str">
        <f>_xlfn.XLOOKUP(F330,Mapping!A:A,Mapping!F:F)</f>
        <v>Phụ Cấp</v>
      </c>
      <c r="D330" s="173">
        <v>46081</v>
      </c>
      <c r="E330" s="169" t="s">
        <v>1589</v>
      </c>
      <c r="F330" s="169" t="s">
        <v>375</v>
      </c>
      <c r="G330" s="169" t="s">
        <v>336</v>
      </c>
      <c r="H330" s="169" t="s">
        <v>411</v>
      </c>
      <c r="I330" s="169" t="s">
        <v>412</v>
      </c>
      <c r="J330" s="169" t="s">
        <v>1590</v>
      </c>
      <c r="K330" s="169" t="s">
        <v>992</v>
      </c>
      <c r="L330" s="169" t="s">
        <v>280</v>
      </c>
      <c r="M330" s="169" t="s">
        <v>1453</v>
      </c>
      <c r="N330" s="178">
        <v>23688000</v>
      </c>
      <c r="O330" s="169" t="s">
        <v>1591</v>
      </c>
      <c r="P330" s="169" t="s">
        <v>283</v>
      </c>
      <c r="Q330" s="169" t="s">
        <v>306</v>
      </c>
      <c r="R330" s="169" t="s">
        <v>283</v>
      </c>
      <c r="S330" s="169" t="s">
        <v>283</v>
      </c>
      <c r="T330" s="169">
        <v>0</v>
      </c>
    </row>
    <row r="331" spans="1:20" hidden="1" x14ac:dyDescent="0.2">
      <c r="A331" s="169" t="str">
        <f t="shared" si="5"/>
        <v>627</v>
      </c>
      <c r="B331" s="167" t="str">
        <f>_xlfn.XLOOKUP(I331,Mapping!D:D,Mapping!E:E)</f>
        <v>Kiểm Soát Chất Lượng</v>
      </c>
      <c r="C331" s="167" t="str">
        <f>_xlfn.XLOOKUP(F331,Mapping!A:A,Mapping!F:F)</f>
        <v>Phụ Cấp</v>
      </c>
      <c r="D331" s="173">
        <v>46081</v>
      </c>
      <c r="E331" s="169" t="s">
        <v>1578</v>
      </c>
      <c r="F331" s="169" t="s">
        <v>375</v>
      </c>
      <c r="G331" s="169" t="s">
        <v>336</v>
      </c>
      <c r="H331" s="169" t="s">
        <v>411</v>
      </c>
      <c r="I331" s="169" t="s">
        <v>412</v>
      </c>
      <c r="J331" s="169" t="s">
        <v>1579</v>
      </c>
      <c r="K331" s="169" t="s">
        <v>1580</v>
      </c>
      <c r="L331" s="169" t="s">
        <v>280</v>
      </c>
      <c r="M331" s="169" t="s">
        <v>1453</v>
      </c>
      <c r="N331" s="178">
        <v>100000</v>
      </c>
      <c r="O331" s="169" t="s">
        <v>1581</v>
      </c>
      <c r="P331" s="169" t="s">
        <v>283</v>
      </c>
      <c r="Q331" s="169" t="s">
        <v>284</v>
      </c>
      <c r="R331" s="169" t="s">
        <v>283</v>
      </c>
      <c r="S331" s="169" t="s">
        <v>283</v>
      </c>
      <c r="T331" s="169">
        <v>0</v>
      </c>
    </row>
    <row r="332" spans="1:20" hidden="1" x14ac:dyDescent="0.2">
      <c r="A332" s="169" t="str">
        <f t="shared" si="5"/>
        <v>627</v>
      </c>
      <c r="B332" s="167" t="str">
        <f>_xlfn.XLOOKUP(I332,Mapping!D:D,Mapping!E:E)</f>
        <v>Kiểm Soát Chất Lượng</v>
      </c>
      <c r="C332" s="167" t="str">
        <f>_xlfn.XLOOKUP(F332,Mapping!A:A,Mapping!F:F)</f>
        <v>Phụ Cấp</v>
      </c>
      <c r="D332" s="173">
        <v>46081</v>
      </c>
      <c r="E332" s="169" t="s">
        <v>1597</v>
      </c>
      <c r="F332" s="169" t="s">
        <v>375</v>
      </c>
      <c r="G332" s="169" t="s">
        <v>336</v>
      </c>
      <c r="H332" s="169" t="s">
        <v>411</v>
      </c>
      <c r="I332" s="169" t="s">
        <v>412</v>
      </c>
      <c r="J332" s="169" t="s">
        <v>1636</v>
      </c>
      <c r="K332" s="169" t="s">
        <v>1599</v>
      </c>
      <c r="L332" s="169" t="s">
        <v>280</v>
      </c>
      <c r="M332" s="169" t="s">
        <v>1453</v>
      </c>
      <c r="N332" s="178">
        <v>6582091</v>
      </c>
      <c r="O332" s="169" t="s">
        <v>1600</v>
      </c>
      <c r="P332" s="169" t="s">
        <v>283</v>
      </c>
      <c r="Q332" s="169" t="s">
        <v>306</v>
      </c>
      <c r="R332" s="169" t="s">
        <v>283</v>
      </c>
      <c r="S332" s="169" t="s">
        <v>283</v>
      </c>
      <c r="T332" s="169">
        <v>0</v>
      </c>
    </row>
    <row r="333" spans="1:20" hidden="1" x14ac:dyDescent="0.2">
      <c r="A333" s="169" t="str">
        <f t="shared" si="5"/>
        <v>627</v>
      </c>
      <c r="B333" s="167" t="str">
        <f>_xlfn.XLOOKUP(I333,Mapping!D:D,Mapping!E:E)</f>
        <v>Kiểm Soát Chất Lượng</v>
      </c>
      <c r="C333" s="167" t="str">
        <f>_xlfn.XLOOKUP(F333,Mapping!A:A,Mapping!F:F)</f>
        <v>BHXH, BHYT, KPCĐ</v>
      </c>
      <c r="D333" s="173">
        <v>46081</v>
      </c>
      <c r="E333" s="169" t="s">
        <v>1586</v>
      </c>
      <c r="F333" s="169" t="s">
        <v>393</v>
      </c>
      <c r="G333" s="169" t="s">
        <v>296</v>
      </c>
      <c r="H333" s="169" t="s">
        <v>411</v>
      </c>
      <c r="I333" s="169" t="s">
        <v>412</v>
      </c>
      <c r="J333" s="169" t="s">
        <v>1587</v>
      </c>
      <c r="K333" s="169" t="s">
        <v>1580</v>
      </c>
      <c r="L333" s="169" t="s">
        <v>280</v>
      </c>
      <c r="M333" s="169" t="s">
        <v>1453</v>
      </c>
      <c r="N333" s="178">
        <v>106437610</v>
      </c>
      <c r="O333" s="169" t="s">
        <v>1588</v>
      </c>
      <c r="P333" s="169" t="s">
        <v>283</v>
      </c>
      <c r="Q333" s="169" t="s">
        <v>284</v>
      </c>
      <c r="R333" s="169" t="s">
        <v>283</v>
      </c>
      <c r="S333" s="169" t="s">
        <v>283</v>
      </c>
      <c r="T333" s="169">
        <v>0</v>
      </c>
    </row>
    <row r="334" spans="1:20" hidden="1" x14ac:dyDescent="0.2">
      <c r="A334" s="169" t="str">
        <f t="shared" si="5"/>
        <v>627</v>
      </c>
      <c r="B334" s="167" t="str">
        <f>_xlfn.XLOOKUP(I334,Mapping!D:D,Mapping!E:E)</f>
        <v>Kiểm Soát Chất Lượng</v>
      </c>
      <c r="C334" s="167" t="str">
        <f>_xlfn.XLOOKUP(F334,Mapping!A:A,Mapping!F:F)</f>
        <v>BHXH, BHYT, KPCĐ</v>
      </c>
      <c r="D334" s="173">
        <v>46081</v>
      </c>
      <c r="E334" s="169" t="s">
        <v>1637</v>
      </c>
      <c r="F334" s="169" t="s">
        <v>393</v>
      </c>
      <c r="G334" s="169" t="s">
        <v>296</v>
      </c>
      <c r="H334" s="169" t="s">
        <v>411</v>
      </c>
      <c r="I334" s="169" t="s">
        <v>412</v>
      </c>
      <c r="J334" s="169" t="s">
        <v>1587</v>
      </c>
      <c r="K334" s="169" t="s">
        <v>1580</v>
      </c>
      <c r="L334" s="169" t="s">
        <v>280</v>
      </c>
      <c r="M334" s="169" t="s">
        <v>1453</v>
      </c>
      <c r="N334" s="178">
        <v>4841000</v>
      </c>
      <c r="O334" s="169" t="s">
        <v>1638</v>
      </c>
      <c r="P334" s="169" t="s">
        <v>283</v>
      </c>
      <c r="Q334" s="169" t="s">
        <v>284</v>
      </c>
      <c r="R334" s="169" t="s">
        <v>283</v>
      </c>
      <c r="S334" s="169" t="s">
        <v>283</v>
      </c>
      <c r="T334" s="169">
        <v>0</v>
      </c>
    </row>
    <row r="335" spans="1:20" hidden="1" x14ac:dyDescent="0.2">
      <c r="A335" s="169" t="str">
        <f t="shared" si="5"/>
        <v>627</v>
      </c>
      <c r="B335" s="167" t="str">
        <f>_xlfn.XLOOKUP(I335,Mapping!D:D,Mapping!E:E)</f>
        <v>Nghiên Cứu &amp; Phát Triển</v>
      </c>
      <c r="C335" s="167" t="str">
        <f>_xlfn.XLOOKUP(F335,Mapping!A:A,Mapping!F:F)</f>
        <v>Lương Chính +T13</v>
      </c>
      <c r="D335" s="173">
        <v>46081</v>
      </c>
      <c r="E335" s="169" t="s">
        <v>1578</v>
      </c>
      <c r="F335" s="169" t="s">
        <v>387</v>
      </c>
      <c r="G335" s="169" t="s">
        <v>275</v>
      </c>
      <c r="H335" s="169" t="s">
        <v>418</v>
      </c>
      <c r="I335" s="169" t="s">
        <v>419</v>
      </c>
      <c r="J335" s="169" t="s">
        <v>1579</v>
      </c>
      <c r="K335" s="169" t="s">
        <v>1580</v>
      </c>
      <c r="L335" s="169" t="s">
        <v>280</v>
      </c>
      <c r="M335" s="169" t="s">
        <v>1453</v>
      </c>
      <c r="N335" s="178">
        <v>180193043</v>
      </c>
      <c r="O335" s="169" t="s">
        <v>1581</v>
      </c>
      <c r="P335" s="169" t="s">
        <v>283</v>
      </c>
      <c r="Q335" s="169" t="s">
        <v>284</v>
      </c>
      <c r="R335" s="169" t="s">
        <v>283</v>
      </c>
      <c r="S335" s="169" t="s">
        <v>283</v>
      </c>
      <c r="T335" s="169">
        <v>0</v>
      </c>
    </row>
    <row r="336" spans="1:20" hidden="1" x14ac:dyDescent="0.2">
      <c r="A336" s="169" t="str">
        <f t="shared" si="5"/>
        <v>627</v>
      </c>
      <c r="B336" s="167" t="str">
        <f>_xlfn.XLOOKUP(I336,Mapping!D:D,Mapping!E:E)</f>
        <v>Nghiên Cứu &amp; Phát Triển</v>
      </c>
      <c r="C336" s="167" t="str">
        <f>_xlfn.XLOOKUP(F336,Mapping!A:A,Mapping!F:F)</f>
        <v>Lương Chính +T13</v>
      </c>
      <c r="D336" s="173">
        <v>46081</v>
      </c>
      <c r="E336" s="169" t="s">
        <v>1578</v>
      </c>
      <c r="F336" s="169" t="s">
        <v>388</v>
      </c>
      <c r="G336" s="169" t="s">
        <v>286</v>
      </c>
      <c r="H336" s="169" t="s">
        <v>418</v>
      </c>
      <c r="I336" s="169" t="s">
        <v>419</v>
      </c>
      <c r="J336" s="169" t="s">
        <v>1579</v>
      </c>
      <c r="K336" s="169" t="s">
        <v>1580</v>
      </c>
      <c r="L336" s="169" t="s">
        <v>280</v>
      </c>
      <c r="M336" s="169" t="s">
        <v>1453</v>
      </c>
      <c r="N336" s="178">
        <v>13686730</v>
      </c>
      <c r="O336" s="169" t="s">
        <v>1581</v>
      </c>
      <c r="P336" s="169" t="s">
        <v>283</v>
      </c>
      <c r="Q336" s="169" t="s">
        <v>284</v>
      </c>
      <c r="R336" s="169" t="s">
        <v>283</v>
      </c>
      <c r="S336" s="169" t="s">
        <v>283</v>
      </c>
      <c r="T336" s="169">
        <v>0</v>
      </c>
    </row>
    <row r="337" spans="1:20" hidden="1" x14ac:dyDescent="0.2">
      <c r="A337" s="169" t="str">
        <f t="shared" si="5"/>
        <v>627</v>
      </c>
      <c r="B337" s="167" t="str">
        <f>_xlfn.XLOOKUP(I337,Mapping!D:D,Mapping!E:E)</f>
        <v>Nghiên Cứu &amp; Phát Triển</v>
      </c>
      <c r="C337" s="167" t="str">
        <f>_xlfn.XLOOKUP(F337,Mapping!A:A,Mapping!F:F)</f>
        <v>Lương Chính +T13</v>
      </c>
      <c r="D337" s="173">
        <v>46081</v>
      </c>
      <c r="E337" s="169" t="s">
        <v>1582</v>
      </c>
      <c r="F337" s="169" t="s">
        <v>388</v>
      </c>
      <c r="G337" s="169" t="s">
        <v>286</v>
      </c>
      <c r="H337" s="169" t="s">
        <v>418</v>
      </c>
      <c r="I337" s="169" t="s">
        <v>419</v>
      </c>
      <c r="J337" s="169" t="s">
        <v>1583</v>
      </c>
      <c r="K337" s="169" t="s">
        <v>1580</v>
      </c>
      <c r="L337" s="169" t="s">
        <v>280</v>
      </c>
      <c r="M337" s="169" t="s">
        <v>1453</v>
      </c>
      <c r="N337" s="178">
        <v>17800417</v>
      </c>
      <c r="O337" s="169" t="s">
        <v>1584</v>
      </c>
      <c r="P337" s="169" t="s">
        <v>283</v>
      </c>
      <c r="Q337" s="169" t="s">
        <v>284</v>
      </c>
      <c r="R337" s="169" t="s">
        <v>283</v>
      </c>
      <c r="S337" s="169" t="s">
        <v>283</v>
      </c>
      <c r="T337" s="169">
        <v>0</v>
      </c>
    </row>
    <row r="338" spans="1:20" hidden="1" x14ac:dyDescent="0.2">
      <c r="A338" s="169" t="str">
        <f t="shared" si="5"/>
        <v>627</v>
      </c>
      <c r="B338" s="167" t="str">
        <f>_xlfn.XLOOKUP(I338,Mapping!D:D,Mapping!E:E)</f>
        <v>Nghiên Cứu &amp; Phát Triển</v>
      </c>
      <c r="C338" s="167" t="str">
        <f>_xlfn.XLOOKUP(F338,Mapping!A:A,Mapping!F:F)</f>
        <v>Thưởng</v>
      </c>
      <c r="D338" s="173">
        <v>46081</v>
      </c>
      <c r="E338" s="169" t="s">
        <v>1595</v>
      </c>
      <c r="F338" s="169" t="s">
        <v>391</v>
      </c>
      <c r="G338" s="169" t="s">
        <v>291</v>
      </c>
      <c r="H338" s="169" t="s">
        <v>418</v>
      </c>
      <c r="I338" s="169" t="s">
        <v>419</v>
      </c>
      <c r="J338" s="169" t="s">
        <v>1579</v>
      </c>
      <c r="K338" s="169" t="s">
        <v>1580</v>
      </c>
      <c r="L338" s="169" t="s">
        <v>280</v>
      </c>
      <c r="M338" s="169" t="s">
        <v>1453</v>
      </c>
      <c r="N338" s="178">
        <v>-73800000</v>
      </c>
      <c r="O338" s="169" t="s">
        <v>1596</v>
      </c>
      <c r="P338" s="169" t="s">
        <v>283</v>
      </c>
      <c r="Q338" s="169" t="s">
        <v>284</v>
      </c>
      <c r="R338" s="169" t="s">
        <v>283</v>
      </c>
      <c r="S338" s="169" t="s">
        <v>283</v>
      </c>
      <c r="T338" s="169">
        <v>0</v>
      </c>
    </row>
    <row r="339" spans="1:20" hidden="1" x14ac:dyDescent="0.2">
      <c r="A339" s="169" t="str">
        <f t="shared" si="5"/>
        <v>627</v>
      </c>
      <c r="B339" s="167" t="str">
        <f>_xlfn.XLOOKUP(I339,Mapping!D:D,Mapping!E:E)</f>
        <v>Nghiên Cứu &amp; Phát Triển</v>
      </c>
      <c r="C339" s="167" t="str">
        <f>_xlfn.XLOOKUP(F339,Mapping!A:A,Mapping!F:F)</f>
        <v>Thưởng</v>
      </c>
      <c r="D339" s="173">
        <v>46081</v>
      </c>
      <c r="E339" s="169" t="s">
        <v>1578</v>
      </c>
      <c r="F339" s="169" t="s">
        <v>391</v>
      </c>
      <c r="G339" s="169" t="s">
        <v>291</v>
      </c>
      <c r="H339" s="169" t="s">
        <v>418</v>
      </c>
      <c r="I339" s="169" t="s">
        <v>419</v>
      </c>
      <c r="J339" s="169" t="s">
        <v>1579</v>
      </c>
      <c r="K339" s="169" t="s">
        <v>1580</v>
      </c>
      <c r="L339" s="169" t="s">
        <v>280</v>
      </c>
      <c r="M339" s="169" t="s">
        <v>1453</v>
      </c>
      <c r="N339" s="178">
        <v>73800000</v>
      </c>
      <c r="O339" s="169" t="s">
        <v>1581</v>
      </c>
      <c r="P339" s="169" t="s">
        <v>283</v>
      </c>
      <c r="Q339" s="169" t="s">
        <v>284</v>
      </c>
      <c r="R339" s="169" t="s">
        <v>283</v>
      </c>
      <c r="S339" s="169" t="s">
        <v>283</v>
      </c>
      <c r="T339" s="169">
        <v>0</v>
      </c>
    </row>
    <row r="340" spans="1:20" hidden="1" x14ac:dyDescent="0.2">
      <c r="A340" s="169" t="str">
        <f t="shared" si="5"/>
        <v>627</v>
      </c>
      <c r="B340" s="167" t="str">
        <f>_xlfn.XLOOKUP(I340,Mapping!D:D,Mapping!E:E)</f>
        <v>Nghiên Cứu &amp; Phát Triển</v>
      </c>
      <c r="C340" s="167" t="str">
        <f>_xlfn.XLOOKUP(F340,Mapping!A:A,Mapping!F:F)</f>
        <v>Thưởng</v>
      </c>
      <c r="D340" s="173">
        <v>46081</v>
      </c>
      <c r="E340" s="169" t="s">
        <v>1582</v>
      </c>
      <c r="F340" s="169" t="s">
        <v>395</v>
      </c>
      <c r="G340" s="169" t="s">
        <v>77</v>
      </c>
      <c r="H340" s="169" t="s">
        <v>418</v>
      </c>
      <c r="I340" s="169" t="s">
        <v>419</v>
      </c>
      <c r="J340" s="169" t="s">
        <v>1585</v>
      </c>
      <c r="K340" s="169" t="s">
        <v>1580</v>
      </c>
      <c r="L340" s="169" t="s">
        <v>280</v>
      </c>
      <c r="M340" s="169" t="s">
        <v>1453</v>
      </c>
      <c r="N340" s="178">
        <v>16376241</v>
      </c>
      <c r="O340" s="169" t="s">
        <v>1584</v>
      </c>
      <c r="P340" s="169" t="s">
        <v>283</v>
      </c>
      <c r="Q340" s="169" t="s">
        <v>284</v>
      </c>
      <c r="R340" s="169" t="s">
        <v>283</v>
      </c>
      <c r="S340" s="169" t="s">
        <v>283</v>
      </c>
      <c r="T340" s="169">
        <v>0</v>
      </c>
    </row>
    <row r="341" spans="1:20" hidden="1" x14ac:dyDescent="0.2">
      <c r="A341" s="169" t="str">
        <f t="shared" si="5"/>
        <v>627</v>
      </c>
      <c r="B341" s="167" t="str">
        <f>_xlfn.XLOOKUP(I341,Mapping!D:D,Mapping!E:E)</f>
        <v>Nghiên Cứu &amp; Phát Triển</v>
      </c>
      <c r="C341" s="167" t="str">
        <f>_xlfn.XLOOKUP(F341,Mapping!A:A,Mapping!F:F)</f>
        <v>Phụ Cấp</v>
      </c>
      <c r="D341" s="173">
        <v>46081</v>
      </c>
      <c r="E341" s="169" t="s">
        <v>1578</v>
      </c>
      <c r="F341" s="169" t="s">
        <v>375</v>
      </c>
      <c r="G341" s="169" t="s">
        <v>336</v>
      </c>
      <c r="H341" s="169" t="s">
        <v>418</v>
      </c>
      <c r="I341" s="169" t="s">
        <v>419</v>
      </c>
      <c r="J341" s="169" t="s">
        <v>1579</v>
      </c>
      <c r="K341" s="169" t="s">
        <v>1580</v>
      </c>
      <c r="L341" s="169" t="s">
        <v>280</v>
      </c>
      <c r="M341" s="169" t="s">
        <v>1453</v>
      </c>
      <c r="N341" s="178">
        <v>200000</v>
      </c>
      <c r="O341" s="169" t="s">
        <v>1581</v>
      </c>
      <c r="P341" s="169" t="s">
        <v>283</v>
      </c>
      <c r="Q341" s="169" t="s">
        <v>284</v>
      </c>
      <c r="R341" s="169" t="s">
        <v>283</v>
      </c>
      <c r="S341" s="169" t="s">
        <v>283</v>
      </c>
      <c r="T341" s="169">
        <v>0</v>
      </c>
    </row>
    <row r="342" spans="1:20" hidden="1" x14ac:dyDescent="0.2">
      <c r="A342" s="169" t="str">
        <f t="shared" si="5"/>
        <v>627</v>
      </c>
      <c r="B342" s="167" t="str">
        <f>_xlfn.XLOOKUP(I342,Mapping!D:D,Mapping!E:E)</f>
        <v>Nghiên Cứu &amp; Phát Triển</v>
      </c>
      <c r="C342" s="167" t="str">
        <f>_xlfn.XLOOKUP(F342,Mapping!A:A,Mapping!F:F)</f>
        <v>BHXH, BHYT, KPCĐ</v>
      </c>
      <c r="D342" s="173">
        <v>46081</v>
      </c>
      <c r="E342" s="169" t="s">
        <v>1586</v>
      </c>
      <c r="F342" s="169" t="s">
        <v>393</v>
      </c>
      <c r="G342" s="169" t="s">
        <v>296</v>
      </c>
      <c r="H342" s="169" t="s">
        <v>418</v>
      </c>
      <c r="I342" s="169" t="s">
        <v>419</v>
      </c>
      <c r="J342" s="169" t="s">
        <v>1587</v>
      </c>
      <c r="K342" s="169" t="s">
        <v>1580</v>
      </c>
      <c r="L342" s="169" t="s">
        <v>280</v>
      </c>
      <c r="M342" s="169" t="s">
        <v>1453</v>
      </c>
      <c r="N342" s="178">
        <v>48086675</v>
      </c>
      <c r="O342" s="169" t="s">
        <v>1588</v>
      </c>
      <c r="P342" s="169" t="s">
        <v>283</v>
      </c>
      <c r="Q342" s="169" t="s">
        <v>284</v>
      </c>
      <c r="R342" s="169" t="s">
        <v>283</v>
      </c>
      <c r="S342" s="169" t="s">
        <v>283</v>
      </c>
      <c r="T342" s="169">
        <v>0</v>
      </c>
    </row>
    <row r="343" spans="1:20" x14ac:dyDescent="0.2">
      <c r="A343" s="169" t="str">
        <f t="shared" si="5"/>
        <v>622</v>
      </c>
      <c r="B343" s="167" t="str">
        <f>_xlfn.XLOOKUP(I343,Mapping!D:D,Mapping!E:E)</f>
        <v>Xưởng Sản Xuất</v>
      </c>
      <c r="C343" s="167" t="str">
        <f>_xlfn.XLOOKUP(F343,Mapping!A:A,Mapping!F:F)</f>
        <v>Lương Chính +T13</v>
      </c>
      <c r="D343" s="173">
        <v>46081</v>
      </c>
      <c r="E343" s="169" t="s">
        <v>1639</v>
      </c>
      <c r="F343" s="169" t="s">
        <v>400</v>
      </c>
      <c r="G343" s="169" t="s">
        <v>401</v>
      </c>
      <c r="H343" s="169" t="s">
        <v>402</v>
      </c>
      <c r="I343" s="169" t="s">
        <v>403</v>
      </c>
      <c r="J343" s="169" t="s">
        <v>1640</v>
      </c>
      <c r="K343" s="169" t="s">
        <v>405</v>
      </c>
      <c r="L343" s="169" t="s">
        <v>280</v>
      </c>
      <c r="M343" s="169" t="s">
        <v>1453</v>
      </c>
      <c r="N343" s="178">
        <v>58258128</v>
      </c>
      <c r="O343" s="169" t="s">
        <v>1641</v>
      </c>
      <c r="P343" s="169" t="s">
        <v>283</v>
      </c>
      <c r="Q343" s="169" t="s">
        <v>306</v>
      </c>
      <c r="R343" s="169" t="s">
        <v>283</v>
      </c>
      <c r="S343" s="169" t="s">
        <v>283</v>
      </c>
      <c r="T343" s="169">
        <v>0</v>
      </c>
    </row>
    <row r="344" spans="1:20" x14ac:dyDescent="0.2">
      <c r="A344" s="169" t="str">
        <f t="shared" si="5"/>
        <v>622</v>
      </c>
      <c r="B344" s="167" t="str">
        <f>_xlfn.XLOOKUP(I344,Mapping!D:D,Mapping!E:E)</f>
        <v>Xưởng Sản Xuất</v>
      </c>
      <c r="C344" s="167" t="str">
        <f>_xlfn.XLOOKUP(F344,Mapping!A:A,Mapping!F:F)</f>
        <v>Lương Chính +T13</v>
      </c>
      <c r="D344" s="173">
        <v>46081</v>
      </c>
      <c r="E344" s="169" t="s">
        <v>1642</v>
      </c>
      <c r="F344" s="169" t="s">
        <v>400</v>
      </c>
      <c r="G344" s="169" t="s">
        <v>401</v>
      </c>
      <c r="H344" s="169" t="s">
        <v>402</v>
      </c>
      <c r="I344" s="169" t="s">
        <v>403</v>
      </c>
      <c r="J344" s="169" t="s">
        <v>1643</v>
      </c>
      <c r="K344" s="169" t="s">
        <v>1605</v>
      </c>
      <c r="L344" s="169" t="s">
        <v>280</v>
      </c>
      <c r="M344" s="169" t="s">
        <v>1453</v>
      </c>
      <c r="N344" s="178">
        <v>7294875</v>
      </c>
      <c r="O344" s="169" t="s">
        <v>1644</v>
      </c>
      <c r="P344" s="169" t="s">
        <v>283</v>
      </c>
      <c r="Q344" s="169" t="s">
        <v>306</v>
      </c>
      <c r="R344" s="169" t="s">
        <v>283</v>
      </c>
      <c r="S344" s="169" t="s">
        <v>283</v>
      </c>
      <c r="T344" s="169">
        <v>0</v>
      </c>
    </row>
    <row r="345" spans="1:20" hidden="1" x14ac:dyDescent="0.2">
      <c r="A345" s="169" t="str">
        <f t="shared" si="5"/>
        <v>622</v>
      </c>
      <c r="B345" s="167" t="str">
        <f>_xlfn.XLOOKUP(I345,Mapping!D:D,Mapping!E:E)</f>
        <v>Xưởng Sản Xuất</v>
      </c>
      <c r="C345" s="167" t="str">
        <f>_xlfn.XLOOKUP(F345,Mapping!A:A,Mapping!F:F)</f>
        <v>Lương Chính +T13</v>
      </c>
      <c r="D345" s="173">
        <v>46081</v>
      </c>
      <c r="E345" s="169" t="s">
        <v>1578</v>
      </c>
      <c r="F345" s="169" t="s">
        <v>400</v>
      </c>
      <c r="G345" s="169" t="s">
        <v>401</v>
      </c>
      <c r="H345" s="169" t="s">
        <v>402</v>
      </c>
      <c r="I345" s="169" t="s">
        <v>403</v>
      </c>
      <c r="J345" s="169" t="s">
        <v>1579</v>
      </c>
      <c r="K345" s="169" t="s">
        <v>1580</v>
      </c>
      <c r="L345" s="169" t="s">
        <v>280</v>
      </c>
      <c r="M345" s="169" t="s">
        <v>1453</v>
      </c>
      <c r="N345" s="178">
        <v>1298972053</v>
      </c>
      <c r="O345" s="169" t="s">
        <v>1581</v>
      </c>
      <c r="P345" s="169" t="s">
        <v>283</v>
      </c>
      <c r="Q345" s="169" t="s">
        <v>284</v>
      </c>
      <c r="R345" s="169" t="s">
        <v>283</v>
      </c>
      <c r="S345" s="169" t="s">
        <v>283</v>
      </c>
      <c r="T345" s="169">
        <v>0</v>
      </c>
    </row>
    <row r="346" spans="1:20" hidden="1" x14ac:dyDescent="0.2">
      <c r="A346" s="169" t="str">
        <f t="shared" si="5"/>
        <v>622</v>
      </c>
      <c r="B346" s="167" t="str">
        <f>_xlfn.XLOOKUP(I346,Mapping!D:D,Mapping!E:E)</f>
        <v>Xưởng Sản Xuất</v>
      </c>
      <c r="C346" s="167" t="str">
        <f>_xlfn.XLOOKUP(F346,Mapping!A:A,Mapping!F:F)</f>
        <v>Lương Chính +T13</v>
      </c>
      <c r="D346" s="173">
        <v>46081</v>
      </c>
      <c r="E346" s="169" t="s">
        <v>1578</v>
      </c>
      <c r="F346" s="169" t="s">
        <v>420</v>
      </c>
      <c r="G346" s="169" t="s">
        <v>286</v>
      </c>
      <c r="H346" s="169" t="s">
        <v>402</v>
      </c>
      <c r="I346" s="169" t="s">
        <v>403</v>
      </c>
      <c r="J346" s="169" t="s">
        <v>1579</v>
      </c>
      <c r="K346" s="169" t="s">
        <v>1580</v>
      </c>
      <c r="L346" s="169" t="s">
        <v>280</v>
      </c>
      <c r="M346" s="169" t="s">
        <v>1453</v>
      </c>
      <c r="N346" s="178">
        <v>-644000</v>
      </c>
      <c r="O346" s="169" t="s">
        <v>1581</v>
      </c>
      <c r="P346" s="169" t="s">
        <v>283</v>
      </c>
      <c r="Q346" s="169" t="s">
        <v>284</v>
      </c>
      <c r="R346" s="169" t="s">
        <v>283</v>
      </c>
      <c r="S346" s="169" t="s">
        <v>283</v>
      </c>
      <c r="T346" s="169">
        <v>0</v>
      </c>
    </row>
    <row r="347" spans="1:20" hidden="1" x14ac:dyDescent="0.2">
      <c r="A347" s="169" t="str">
        <f t="shared" si="5"/>
        <v>622</v>
      </c>
      <c r="B347" s="167" t="str">
        <f>_xlfn.XLOOKUP(I347,Mapping!D:D,Mapping!E:E)</f>
        <v>Xưởng Sản Xuất</v>
      </c>
      <c r="C347" s="167" t="str">
        <f>_xlfn.XLOOKUP(F347,Mapping!A:A,Mapping!F:F)</f>
        <v>Lương Chính +T13</v>
      </c>
      <c r="D347" s="173">
        <v>46081</v>
      </c>
      <c r="E347" s="169" t="s">
        <v>1582</v>
      </c>
      <c r="F347" s="169" t="s">
        <v>420</v>
      </c>
      <c r="G347" s="169" t="s">
        <v>286</v>
      </c>
      <c r="H347" s="169" t="s">
        <v>402</v>
      </c>
      <c r="I347" s="169" t="s">
        <v>403</v>
      </c>
      <c r="J347" s="169" t="s">
        <v>1583</v>
      </c>
      <c r="K347" s="169" t="s">
        <v>1580</v>
      </c>
      <c r="L347" s="169" t="s">
        <v>280</v>
      </c>
      <c r="M347" s="169" t="s">
        <v>1453</v>
      </c>
      <c r="N347" s="178">
        <v>83434083</v>
      </c>
      <c r="O347" s="169" t="s">
        <v>1584</v>
      </c>
      <c r="P347" s="169" t="s">
        <v>283</v>
      </c>
      <c r="Q347" s="169" t="s">
        <v>284</v>
      </c>
      <c r="R347" s="169" t="s">
        <v>283</v>
      </c>
      <c r="S347" s="169" t="s">
        <v>283</v>
      </c>
      <c r="T347" s="169">
        <v>0</v>
      </c>
    </row>
    <row r="348" spans="1:20" hidden="1" x14ac:dyDescent="0.2">
      <c r="A348" s="169" t="str">
        <f t="shared" si="5"/>
        <v>622</v>
      </c>
      <c r="B348" s="167" t="str">
        <f>_xlfn.XLOOKUP(I348,Mapping!D:D,Mapping!E:E)</f>
        <v>Xưởng Sản Xuất</v>
      </c>
      <c r="C348" s="167" t="str">
        <f>_xlfn.XLOOKUP(F348,Mapping!A:A,Mapping!F:F)</f>
        <v>Phụ Cấp</v>
      </c>
      <c r="D348" s="173">
        <v>46081</v>
      </c>
      <c r="E348" s="169" t="s">
        <v>1578</v>
      </c>
      <c r="F348" s="169" t="s">
        <v>421</v>
      </c>
      <c r="G348" s="169" t="s">
        <v>341</v>
      </c>
      <c r="H348" s="169" t="s">
        <v>402</v>
      </c>
      <c r="I348" s="169" t="s">
        <v>403</v>
      </c>
      <c r="J348" s="169" t="s">
        <v>1579</v>
      </c>
      <c r="K348" s="169" t="s">
        <v>1580</v>
      </c>
      <c r="L348" s="169" t="s">
        <v>280</v>
      </c>
      <c r="M348" s="169" t="s">
        <v>1453</v>
      </c>
      <c r="N348" s="178">
        <v>78827947</v>
      </c>
      <c r="O348" s="169" t="s">
        <v>1581</v>
      </c>
      <c r="P348" s="169" t="s">
        <v>283</v>
      </c>
      <c r="Q348" s="169" t="s">
        <v>284</v>
      </c>
      <c r="R348" s="169" t="s">
        <v>283</v>
      </c>
      <c r="S348" s="169" t="s">
        <v>283</v>
      </c>
      <c r="T348" s="169">
        <v>0</v>
      </c>
    </row>
    <row r="349" spans="1:20" hidden="1" x14ac:dyDescent="0.2">
      <c r="A349" s="169" t="str">
        <f t="shared" si="5"/>
        <v>622</v>
      </c>
      <c r="B349" s="167" t="str">
        <f>_xlfn.XLOOKUP(I349,Mapping!D:D,Mapping!E:E)</f>
        <v>Xưởng Sản Xuất</v>
      </c>
      <c r="C349" s="167" t="str">
        <f>_xlfn.XLOOKUP(F349,Mapping!A:A,Mapping!F:F)</f>
        <v>Lương Ngoài giờ</v>
      </c>
      <c r="D349" s="173">
        <v>46081</v>
      </c>
      <c r="E349" s="169" t="s">
        <v>1578</v>
      </c>
      <c r="F349" s="169" t="s">
        <v>422</v>
      </c>
      <c r="G349" s="169" t="s">
        <v>423</v>
      </c>
      <c r="H349" s="169" t="s">
        <v>402</v>
      </c>
      <c r="I349" s="169" t="s">
        <v>403</v>
      </c>
      <c r="J349" s="169" t="s">
        <v>1579</v>
      </c>
      <c r="K349" s="169" t="s">
        <v>1580</v>
      </c>
      <c r="L349" s="169" t="s">
        <v>280</v>
      </c>
      <c r="M349" s="169" t="s">
        <v>1453</v>
      </c>
      <c r="N349" s="178">
        <v>209097343</v>
      </c>
      <c r="O349" s="169" t="s">
        <v>1581</v>
      </c>
      <c r="P349" s="169" t="s">
        <v>283</v>
      </c>
      <c r="Q349" s="169" t="s">
        <v>284</v>
      </c>
      <c r="R349" s="169" t="s">
        <v>283</v>
      </c>
      <c r="S349" s="169" t="s">
        <v>283</v>
      </c>
      <c r="T349" s="169">
        <v>0</v>
      </c>
    </row>
    <row r="350" spans="1:20" hidden="1" x14ac:dyDescent="0.2">
      <c r="A350" s="169" t="str">
        <f t="shared" si="5"/>
        <v>627</v>
      </c>
      <c r="B350" s="167" t="str">
        <f>_xlfn.XLOOKUP(I350,Mapping!D:D,Mapping!E:E)</f>
        <v>Xưởng Sản Xuất</v>
      </c>
      <c r="C350" s="167" t="str">
        <f>_xlfn.XLOOKUP(F350,Mapping!A:A,Mapping!F:F)</f>
        <v>Phụ Cấp</v>
      </c>
      <c r="D350" s="173">
        <v>46081</v>
      </c>
      <c r="E350" s="169" t="s">
        <v>1645</v>
      </c>
      <c r="F350" s="169" t="s">
        <v>375</v>
      </c>
      <c r="G350" s="169" t="s">
        <v>336</v>
      </c>
      <c r="H350" s="169" t="s">
        <v>402</v>
      </c>
      <c r="I350" s="169" t="s">
        <v>403</v>
      </c>
      <c r="J350" s="169" t="s">
        <v>1646</v>
      </c>
      <c r="K350" s="169" t="s">
        <v>1647</v>
      </c>
      <c r="L350" s="169" t="s">
        <v>280</v>
      </c>
      <c r="M350" s="169" t="s">
        <v>1453</v>
      </c>
      <c r="N350" s="178">
        <v>5352778</v>
      </c>
      <c r="O350" s="169" t="s">
        <v>1648</v>
      </c>
      <c r="P350" s="169" t="s">
        <v>283</v>
      </c>
      <c r="Q350" s="169" t="s">
        <v>1344</v>
      </c>
      <c r="R350" s="169" t="s">
        <v>283</v>
      </c>
      <c r="S350" s="169" t="s">
        <v>283</v>
      </c>
      <c r="T350" s="169">
        <v>0</v>
      </c>
    </row>
    <row r="351" spans="1:20" hidden="1" x14ac:dyDescent="0.2">
      <c r="A351" s="169" t="str">
        <f t="shared" si="5"/>
        <v>622</v>
      </c>
      <c r="B351" s="167" t="str">
        <f>_xlfn.XLOOKUP(I351,Mapping!D:D,Mapping!E:E)</f>
        <v>Xưởng Sản Xuất</v>
      </c>
      <c r="C351" s="167" t="str">
        <f>_xlfn.XLOOKUP(F351,Mapping!A:A,Mapping!F:F)</f>
        <v>Phụ Cấp</v>
      </c>
      <c r="D351" s="173">
        <v>46065</v>
      </c>
      <c r="E351" s="169" t="s">
        <v>1649</v>
      </c>
      <c r="F351" s="169" t="s">
        <v>414</v>
      </c>
      <c r="G351" s="169" t="s">
        <v>415</v>
      </c>
      <c r="H351" s="169" t="s">
        <v>402</v>
      </c>
      <c r="I351" s="169" t="s">
        <v>403</v>
      </c>
      <c r="J351" s="169" t="s">
        <v>1650</v>
      </c>
      <c r="K351" s="169" t="s">
        <v>1651</v>
      </c>
      <c r="L351" s="169" t="s">
        <v>280</v>
      </c>
      <c r="M351" s="169" t="s">
        <v>1453</v>
      </c>
      <c r="N351" s="178">
        <v>-5340000</v>
      </c>
      <c r="O351" s="169" t="s">
        <v>1652</v>
      </c>
      <c r="P351" s="169" t="s">
        <v>283</v>
      </c>
      <c r="Q351" s="169" t="s">
        <v>306</v>
      </c>
      <c r="R351" s="169" t="s">
        <v>283</v>
      </c>
      <c r="S351" s="169" t="s">
        <v>283</v>
      </c>
      <c r="T351" s="169">
        <v>0</v>
      </c>
    </row>
    <row r="352" spans="1:20" hidden="1" x14ac:dyDescent="0.2">
      <c r="A352" s="169" t="str">
        <f t="shared" si="5"/>
        <v>627</v>
      </c>
      <c r="B352" s="167" t="str">
        <f>_xlfn.XLOOKUP(I352,Mapping!D:D,Mapping!E:E)</f>
        <v>Xưởng Sản Xuất</v>
      </c>
      <c r="C352" s="167" t="str">
        <f>_xlfn.XLOOKUP(F352,Mapping!A:A,Mapping!F:F)</f>
        <v>Phụ Cấp</v>
      </c>
      <c r="D352" s="173">
        <v>46081</v>
      </c>
      <c r="E352" s="169" t="s">
        <v>1589</v>
      </c>
      <c r="F352" s="169" t="s">
        <v>375</v>
      </c>
      <c r="G352" s="169" t="s">
        <v>336</v>
      </c>
      <c r="H352" s="169" t="s">
        <v>402</v>
      </c>
      <c r="I352" s="169" t="s">
        <v>403</v>
      </c>
      <c r="J352" s="169" t="s">
        <v>1590</v>
      </c>
      <c r="K352" s="169" t="s">
        <v>992</v>
      </c>
      <c r="L352" s="169" t="s">
        <v>280</v>
      </c>
      <c r="M352" s="169" t="s">
        <v>1453</v>
      </c>
      <c r="N352" s="178">
        <v>81592000</v>
      </c>
      <c r="O352" s="169" t="s">
        <v>1591</v>
      </c>
      <c r="P352" s="169" t="s">
        <v>283</v>
      </c>
      <c r="Q352" s="169" t="s">
        <v>306</v>
      </c>
      <c r="R352" s="169" t="s">
        <v>283</v>
      </c>
      <c r="S352" s="169" t="s">
        <v>283</v>
      </c>
      <c r="T352" s="169">
        <v>0</v>
      </c>
    </row>
    <row r="353" spans="1:20" hidden="1" x14ac:dyDescent="0.2">
      <c r="A353" s="169" t="str">
        <f t="shared" si="5"/>
        <v>622</v>
      </c>
      <c r="B353" s="167" t="str">
        <f>_xlfn.XLOOKUP(I353,Mapping!D:D,Mapping!E:E)</f>
        <v>Xưởng Sản Xuất</v>
      </c>
      <c r="C353" s="167" t="str">
        <f>_xlfn.XLOOKUP(F353,Mapping!A:A,Mapping!F:F)</f>
        <v>Phụ Cấp</v>
      </c>
      <c r="D353" s="173">
        <v>46081</v>
      </c>
      <c r="E353" s="169" t="s">
        <v>1578</v>
      </c>
      <c r="F353" s="169" t="s">
        <v>414</v>
      </c>
      <c r="G353" s="169" t="s">
        <v>415</v>
      </c>
      <c r="H353" s="169" t="s">
        <v>402</v>
      </c>
      <c r="I353" s="169" t="s">
        <v>403</v>
      </c>
      <c r="J353" s="169" t="s">
        <v>1579</v>
      </c>
      <c r="K353" s="169" t="s">
        <v>1580</v>
      </c>
      <c r="L353" s="169" t="s">
        <v>280</v>
      </c>
      <c r="M353" s="169" t="s">
        <v>1453</v>
      </c>
      <c r="N353" s="178">
        <v>150000</v>
      </c>
      <c r="O353" s="169" t="s">
        <v>1581</v>
      </c>
      <c r="P353" s="169" t="s">
        <v>283</v>
      </c>
      <c r="Q353" s="169" t="s">
        <v>284</v>
      </c>
      <c r="R353" s="169" t="s">
        <v>283</v>
      </c>
      <c r="S353" s="169" t="s">
        <v>283</v>
      </c>
      <c r="T353" s="169">
        <v>0</v>
      </c>
    </row>
    <row r="354" spans="1:20" hidden="1" x14ac:dyDescent="0.2">
      <c r="A354" s="169" t="str">
        <f t="shared" si="5"/>
        <v>627</v>
      </c>
      <c r="B354" s="167" t="str">
        <f>_xlfn.XLOOKUP(I354,Mapping!D:D,Mapping!E:E)</f>
        <v>Xưởng Sản Xuất</v>
      </c>
      <c r="C354" s="167" t="str">
        <f>_xlfn.XLOOKUP(F354,Mapping!A:A,Mapping!F:F)</f>
        <v>Phụ Cấp</v>
      </c>
      <c r="D354" s="173">
        <v>46081</v>
      </c>
      <c r="E354" s="169" t="s">
        <v>1578</v>
      </c>
      <c r="F354" s="169" t="s">
        <v>386</v>
      </c>
      <c r="G354" s="169" t="s">
        <v>341</v>
      </c>
      <c r="H354" s="169" t="s">
        <v>402</v>
      </c>
      <c r="I354" s="169" t="s">
        <v>403</v>
      </c>
      <c r="J354" s="169" t="s">
        <v>1579</v>
      </c>
      <c r="K354" s="169" t="s">
        <v>1580</v>
      </c>
      <c r="L354" s="169" t="s">
        <v>280</v>
      </c>
      <c r="M354" s="169" t="s">
        <v>1453</v>
      </c>
      <c r="N354" s="178">
        <v>8396863</v>
      </c>
      <c r="O354" s="169" t="s">
        <v>1581</v>
      </c>
      <c r="P354" s="169" t="s">
        <v>283</v>
      </c>
      <c r="Q354" s="169" t="s">
        <v>284</v>
      </c>
      <c r="R354" s="169" t="s">
        <v>283</v>
      </c>
      <c r="S354" s="169" t="s">
        <v>283</v>
      </c>
      <c r="T354" s="169">
        <v>0</v>
      </c>
    </row>
    <row r="355" spans="1:20" hidden="1" x14ac:dyDescent="0.2">
      <c r="A355" s="169" t="str">
        <f t="shared" si="5"/>
        <v>627</v>
      </c>
      <c r="B355" s="167" t="str">
        <f>_xlfn.XLOOKUP(I355,Mapping!D:D,Mapping!E:E)</f>
        <v>Xưởng Sản Xuất</v>
      </c>
      <c r="C355" s="167" t="str">
        <f>_xlfn.XLOOKUP(F355,Mapping!A:A,Mapping!F:F)</f>
        <v>Lương Chính +T13</v>
      </c>
      <c r="D355" s="173">
        <v>46081</v>
      </c>
      <c r="E355" s="169" t="s">
        <v>1578</v>
      </c>
      <c r="F355" s="169" t="s">
        <v>387</v>
      </c>
      <c r="G355" s="169" t="s">
        <v>275</v>
      </c>
      <c r="H355" s="169" t="s">
        <v>402</v>
      </c>
      <c r="I355" s="169" t="s">
        <v>403</v>
      </c>
      <c r="J355" s="169" t="s">
        <v>1579</v>
      </c>
      <c r="K355" s="169" t="s">
        <v>1580</v>
      </c>
      <c r="L355" s="169" t="s">
        <v>280</v>
      </c>
      <c r="M355" s="169" t="s">
        <v>1453</v>
      </c>
      <c r="N355" s="178">
        <v>394392646</v>
      </c>
      <c r="O355" s="169" t="s">
        <v>1581</v>
      </c>
      <c r="P355" s="169" t="s">
        <v>283</v>
      </c>
      <c r="Q355" s="169" t="s">
        <v>284</v>
      </c>
      <c r="R355" s="169" t="s">
        <v>283</v>
      </c>
      <c r="S355" s="169" t="s">
        <v>283</v>
      </c>
      <c r="T355" s="169">
        <v>0</v>
      </c>
    </row>
    <row r="356" spans="1:20" hidden="1" x14ac:dyDescent="0.2">
      <c r="A356" s="169" t="str">
        <f t="shared" si="5"/>
        <v>627</v>
      </c>
      <c r="B356" s="167" t="str">
        <f>_xlfn.XLOOKUP(I356,Mapping!D:D,Mapping!E:E)</f>
        <v>Xưởng Sản Xuất</v>
      </c>
      <c r="C356" s="167" t="str">
        <f>_xlfn.XLOOKUP(F356,Mapping!A:A,Mapping!F:F)</f>
        <v>Lương Chính +T13</v>
      </c>
      <c r="D356" s="173">
        <v>46081</v>
      </c>
      <c r="E356" s="169" t="s">
        <v>1578</v>
      </c>
      <c r="F356" s="169" t="s">
        <v>388</v>
      </c>
      <c r="G356" s="169" t="s">
        <v>286</v>
      </c>
      <c r="H356" s="169" t="s">
        <v>402</v>
      </c>
      <c r="I356" s="169" t="s">
        <v>403</v>
      </c>
      <c r="J356" s="169" t="s">
        <v>1579</v>
      </c>
      <c r="K356" s="169" t="s">
        <v>1580</v>
      </c>
      <c r="L356" s="169" t="s">
        <v>280</v>
      </c>
      <c r="M356" s="169" t="s">
        <v>1453</v>
      </c>
      <c r="N356" s="178">
        <v>21954114</v>
      </c>
      <c r="O356" s="169" t="s">
        <v>1581</v>
      </c>
      <c r="P356" s="169" t="s">
        <v>283</v>
      </c>
      <c r="Q356" s="169" t="s">
        <v>284</v>
      </c>
      <c r="R356" s="169" t="s">
        <v>283</v>
      </c>
      <c r="S356" s="169" t="s">
        <v>283</v>
      </c>
      <c r="T356" s="169">
        <v>0</v>
      </c>
    </row>
    <row r="357" spans="1:20" hidden="1" x14ac:dyDescent="0.2">
      <c r="A357" s="169" t="str">
        <f t="shared" si="5"/>
        <v>627</v>
      </c>
      <c r="B357" s="167" t="str">
        <f>_xlfn.XLOOKUP(I357,Mapping!D:D,Mapping!E:E)</f>
        <v>Xưởng Sản Xuất</v>
      </c>
      <c r="C357" s="167" t="str">
        <f>_xlfn.XLOOKUP(F357,Mapping!A:A,Mapping!F:F)</f>
        <v>Lương Ngoài giờ</v>
      </c>
      <c r="D357" s="173">
        <v>46081</v>
      </c>
      <c r="E357" s="169" t="s">
        <v>1578</v>
      </c>
      <c r="F357" s="169" t="s">
        <v>389</v>
      </c>
      <c r="G357" s="169" t="s">
        <v>390</v>
      </c>
      <c r="H357" s="169" t="s">
        <v>402</v>
      </c>
      <c r="I357" s="169" t="s">
        <v>403</v>
      </c>
      <c r="J357" s="169" t="s">
        <v>1579</v>
      </c>
      <c r="K357" s="169" t="s">
        <v>1580</v>
      </c>
      <c r="L357" s="169" t="s">
        <v>280</v>
      </c>
      <c r="M357" s="169" t="s">
        <v>1453</v>
      </c>
      <c r="N357" s="178">
        <v>34849159</v>
      </c>
      <c r="O357" s="169" t="s">
        <v>1581</v>
      </c>
      <c r="P357" s="169" t="s">
        <v>283</v>
      </c>
      <c r="Q357" s="169" t="s">
        <v>284</v>
      </c>
      <c r="R357" s="169" t="s">
        <v>283</v>
      </c>
      <c r="S357" s="169" t="s">
        <v>283</v>
      </c>
      <c r="T357" s="169">
        <v>0</v>
      </c>
    </row>
    <row r="358" spans="1:20" hidden="1" x14ac:dyDescent="0.2">
      <c r="A358" s="169" t="str">
        <f t="shared" si="5"/>
        <v>627</v>
      </c>
      <c r="B358" s="167" t="str">
        <f>_xlfn.XLOOKUP(I358,Mapping!D:D,Mapping!E:E)</f>
        <v>Xưởng Sản Xuất</v>
      </c>
      <c r="C358" s="167" t="str">
        <f>_xlfn.XLOOKUP(F358,Mapping!A:A,Mapping!F:F)</f>
        <v>Thưởng</v>
      </c>
      <c r="D358" s="173">
        <v>46081</v>
      </c>
      <c r="E358" s="169" t="s">
        <v>1578</v>
      </c>
      <c r="F358" s="169" t="s">
        <v>391</v>
      </c>
      <c r="G358" s="169" t="s">
        <v>291</v>
      </c>
      <c r="H358" s="169" t="s">
        <v>402</v>
      </c>
      <c r="I358" s="169" t="s">
        <v>403</v>
      </c>
      <c r="J358" s="169" t="s">
        <v>1579</v>
      </c>
      <c r="K358" s="169" t="s">
        <v>1580</v>
      </c>
      <c r="L358" s="169" t="s">
        <v>280</v>
      </c>
      <c r="M358" s="169" t="s">
        <v>1453</v>
      </c>
      <c r="N358" s="178">
        <v>14760000</v>
      </c>
      <c r="O358" s="169" t="s">
        <v>1581</v>
      </c>
      <c r="P358" s="169" t="s">
        <v>283</v>
      </c>
      <c r="Q358" s="169" t="s">
        <v>284</v>
      </c>
      <c r="R358" s="169" t="s">
        <v>283</v>
      </c>
      <c r="S358" s="169" t="s">
        <v>283</v>
      </c>
      <c r="T358" s="169">
        <v>0</v>
      </c>
    </row>
    <row r="359" spans="1:20" hidden="1" x14ac:dyDescent="0.2">
      <c r="A359" s="169" t="str">
        <f t="shared" si="5"/>
        <v>627</v>
      </c>
      <c r="B359" s="167" t="str">
        <f>_xlfn.XLOOKUP(I359,Mapping!D:D,Mapping!E:E)</f>
        <v>Xưởng Sản Xuất</v>
      </c>
      <c r="C359" s="167" t="str">
        <f>_xlfn.XLOOKUP(F359,Mapping!A:A,Mapping!F:F)</f>
        <v>Phụ Cấp</v>
      </c>
      <c r="D359" s="173">
        <v>46081</v>
      </c>
      <c r="E359" s="169" t="s">
        <v>1578</v>
      </c>
      <c r="F359" s="169" t="s">
        <v>375</v>
      </c>
      <c r="G359" s="169" t="s">
        <v>336</v>
      </c>
      <c r="H359" s="169" t="s">
        <v>402</v>
      </c>
      <c r="I359" s="169" t="s">
        <v>403</v>
      </c>
      <c r="J359" s="169" t="s">
        <v>1579</v>
      </c>
      <c r="K359" s="169" t="s">
        <v>1580</v>
      </c>
      <c r="L359" s="169" t="s">
        <v>280</v>
      </c>
      <c r="M359" s="169" t="s">
        <v>1453</v>
      </c>
      <c r="N359" s="178">
        <v>380000</v>
      </c>
      <c r="O359" s="169" t="s">
        <v>1581</v>
      </c>
      <c r="P359" s="169" t="s">
        <v>283</v>
      </c>
      <c r="Q359" s="169" t="s">
        <v>284</v>
      </c>
      <c r="R359" s="169" t="s">
        <v>283</v>
      </c>
      <c r="S359" s="169" t="s">
        <v>283</v>
      </c>
      <c r="T359" s="169">
        <v>0</v>
      </c>
    </row>
    <row r="360" spans="1:20" hidden="1" x14ac:dyDescent="0.2">
      <c r="A360" s="169" t="str">
        <f t="shared" si="5"/>
        <v>627</v>
      </c>
      <c r="B360" s="167" t="str">
        <f>_xlfn.XLOOKUP(I360,Mapping!D:D,Mapping!E:E)</f>
        <v>Xưởng Sản Xuất</v>
      </c>
      <c r="C360" s="167" t="str">
        <f>_xlfn.XLOOKUP(F360,Mapping!A:A,Mapping!F:F)</f>
        <v>Lương Chính +T13</v>
      </c>
      <c r="D360" s="173">
        <v>46081</v>
      </c>
      <c r="E360" s="169" t="s">
        <v>1582</v>
      </c>
      <c r="F360" s="169" t="s">
        <v>388</v>
      </c>
      <c r="G360" s="169" t="s">
        <v>286</v>
      </c>
      <c r="H360" s="169" t="s">
        <v>402</v>
      </c>
      <c r="I360" s="169" t="s">
        <v>403</v>
      </c>
      <c r="J360" s="169" t="s">
        <v>1583</v>
      </c>
      <c r="K360" s="169" t="s">
        <v>1580</v>
      </c>
      <c r="L360" s="169" t="s">
        <v>280</v>
      </c>
      <c r="M360" s="169" t="s">
        <v>1453</v>
      </c>
      <c r="N360" s="178">
        <v>33598833</v>
      </c>
      <c r="O360" s="169" t="s">
        <v>1584</v>
      </c>
      <c r="P360" s="169" t="s">
        <v>283</v>
      </c>
      <c r="Q360" s="169" t="s">
        <v>284</v>
      </c>
      <c r="R360" s="169" t="s">
        <v>283</v>
      </c>
      <c r="S360" s="169" t="s">
        <v>283</v>
      </c>
      <c r="T360" s="169">
        <v>0</v>
      </c>
    </row>
    <row r="361" spans="1:20" hidden="1" x14ac:dyDescent="0.2">
      <c r="A361" s="169" t="str">
        <f t="shared" si="5"/>
        <v>627</v>
      </c>
      <c r="B361" s="167" t="str">
        <f>_xlfn.XLOOKUP(I361,Mapping!D:D,Mapping!E:E)</f>
        <v>Xưởng Sản Xuất</v>
      </c>
      <c r="C361" s="167" t="str">
        <f>_xlfn.XLOOKUP(F361,Mapping!A:A,Mapping!F:F)</f>
        <v>Thưởng</v>
      </c>
      <c r="D361" s="173">
        <v>46081</v>
      </c>
      <c r="E361" s="169" t="s">
        <v>1582</v>
      </c>
      <c r="F361" s="169" t="s">
        <v>395</v>
      </c>
      <c r="G361" s="169" t="s">
        <v>77</v>
      </c>
      <c r="H361" s="169" t="s">
        <v>402</v>
      </c>
      <c r="I361" s="169" t="s">
        <v>403</v>
      </c>
      <c r="J361" s="169" t="s">
        <v>1585</v>
      </c>
      <c r="K361" s="169" t="s">
        <v>1580</v>
      </c>
      <c r="L361" s="169" t="s">
        <v>280</v>
      </c>
      <c r="M361" s="169" t="s">
        <v>1453</v>
      </c>
      <c r="N361" s="178">
        <v>30910658</v>
      </c>
      <c r="O361" s="169" t="s">
        <v>1584</v>
      </c>
      <c r="P361" s="169" t="s">
        <v>283</v>
      </c>
      <c r="Q361" s="169" t="s">
        <v>284</v>
      </c>
      <c r="R361" s="169" t="s">
        <v>283</v>
      </c>
      <c r="S361" s="169" t="s">
        <v>283</v>
      </c>
      <c r="T361" s="169">
        <v>0</v>
      </c>
    </row>
    <row r="362" spans="1:20" hidden="1" x14ac:dyDescent="0.2">
      <c r="A362" s="169" t="str">
        <f t="shared" si="5"/>
        <v>622</v>
      </c>
      <c r="B362" s="167" t="str">
        <f>_xlfn.XLOOKUP(I362,Mapping!D:D,Mapping!E:E)</f>
        <v>Xưởng Sản Xuất</v>
      </c>
      <c r="C362" s="167" t="str">
        <f>_xlfn.XLOOKUP(F362,Mapping!A:A,Mapping!F:F)</f>
        <v>Thưởng</v>
      </c>
      <c r="D362" s="173">
        <v>46081</v>
      </c>
      <c r="E362" s="169" t="s">
        <v>1582</v>
      </c>
      <c r="F362" s="169" t="s">
        <v>426</v>
      </c>
      <c r="G362" s="169" t="s">
        <v>77</v>
      </c>
      <c r="H362" s="169" t="s">
        <v>402</v>
      </c>
      <c r="I362" s="169" t="s">
        <v>403</v>
      </c>
      <c r="J362" s="169" t="s">
        <v>1585</v>
      </c>
      <c r="K362" s="169" t="s">
        <v>1580</v>
      </c>
      <c r="L362" s="169" t="s">
        <v>280</v>
      </c>
      <c r="M362" s="169" t="s">
        <v>1453</v>
      </c>
      <c r="N362" s="178">
        <v>21162752</v>
      </c>
      <c r="O362" s="169" t="s">
        <v>1584</v>
      </c>
      <c r="P362" s="169" t="s">
        <v>283</v>
      </c>
      <c r="Q362" s="169" t="s">
        <v>284</v>
      </c>
      <c r="R362" s="169" t="s">
        <v>283</v>
      </c>
      <c r="S362" s="169" t="s">
        <v>283</v>
      </c>
      <c r="T362" s="169">
        <v>0</v>
      </c>
    </row>
    <row r="363" spans="1:20" hidden="1" x14ac:dyDescent="0.2">
      <c r="A363" s="169" t="str">
        <f t="shared" si="5"/>
        <v>622</v>
      </c>
      <c r="B363" s="167" t="str">
        <f>_xlfn.XLOOKUP(I363,Mapping!D:D,Mapping!E:E)</f>
        <v>Xưởng Sản Xuất</v>
      </c>
      <c r="C363" s="167" t="str">
        <f>_xlfn.XLOOKUP(F363,Mapping!A:A,Mapping!F:F)</f>
        <v>BHXH, BHYT, KPCĐ</v>
      </c>
      <c r="D363" s="173">
        <v>46081</v>
      </c>
      <c r="E363" s="169" t="s">
        <v>1586</v>
      </c>
      <c r="F363" s="169" t="s">
        <v>425</v>
      </c>
      <c r="G363" s="169" t="s">
        <v>296</v>
      </c>
      <c r="H363" s="169" t="s">
        <v>402</v>
      </c>
      <c r="I363" s="169" t="s">
        <v>403</v>
      </c>
      <c r="J363" s="169" t="s">
        <v>1587</v>
      </c>
      <c r="K363" s="169" t="s">
        <v>1580</v>
      </c>
      <c r="L363" s="169" t="s">
        <v>280</v>
      </c>
      <c r="M363" s="169" t="s">
        <v>1453</v>
      </c>
      <c r="N363" s="178">
        <v>244184115</v>
      </c>
      <c r="O363" s="169" t="s">
        <v>1588</v>
      </c>
      <c r="P363" s="169" t="s">
        <v>283</v>
      </c>
      <c r="Q363" s="169" t="s">
        <v>284</v>
      </c>
      <c r="R363" s="169" t="s">
        <v>283</v>
      </c>
      <c r="S363" s="169" t="s">
        <v>283</v>
      </c>
      <c r="T363" s="169">
        <v>0</v>
      </c>
    </row>
    <row r="364" spans="1:20" hidden="1" x14ac:dyDescent="0.2">
      <c r="A364" s="169" t="str">
        <f t="shared" si="5"/>
        <v>627</v>
      </c>
      <c r="B364" s="167" t="str">
        <f>_xlfn.XLOOKUP(I364,Mapping!D:D,Mapping!E:E)</f>
        <v>Xưởng Sản Xuất</v>
      </c>
      <c r="C364" s="167" t="str">
        <f>_xlfn.XLOOKUP(F364,Mapping!A:A,Mapping!F:F)</f>
        <v>BHXH, BHYT, KPCĐ</v>
      </c>
      <c r="D364" s="173">
        <v>46081</v>
      </c>
      <c r="E364" s="169" t="s">
        <v>1586</v>
      </c>
      <c r="F364" s="169" t="s">
        <v>393</v>
      </c>
      <c r="G364" s="169" t="s">
        <v>296</v>
      </c>
      <c r="H364" s="169" t="s">
        <v>402</v>
      </c>
      <c r="I364" s="169" t="s">
        <v>403</v>
      </c>
      <c r="J364" s="169" t="s">
        <v>1587</v>
      </c>
      <c r="K364" s="169" t="s">
        <v>1580</v>
      </c>
      <c r="L364" s="169" t="s">
        <v>280</v>
      </c>
      <c r="M364" s="169" t="s">
        <v>1453</v>
      </c>
      <c r="N364" s="178">
        <v>84219210</v>
      </c>
      <c r="O364" s="169" t="s">
        <v>1588</v>
      </c>
      <c r="P364" s="169" t="s">
        <v>283</v>
      </c>
      <c r="Q364" s="169" t="s">
        <v>284</v>
      </c>
      <c r="R364" s="169" t="s">
        <v>283</v>
      </c>
      <c r="S364" s="169" t="s">
        <v>283</v>
      </c>
      <c r="T364" s="169">
        <v>0</v>
      </c>
    </row>
    <row r="365" spans="1:20" hidden="1" x14ac:dyDescent="0.2">
      <c r="A365" s="169" t="str">
        <f t="shared" si="5"/>
        <v>622</v>
      </c>
      <c r="B365" s="167" t="str">
        <f>_xlfn.XLOOKUP(I365,Mapping!D:D,Mapping!E:E)</f>
        <v>Xưởng Sản Xuất</v>
      </c>
      <c r="C365" s="167" t="str">
        <f>_xlfn.XLOOKUP(F365,Mapping!A:A,Mapping!F:F)</f>
        <v>BHXH, BHYT, KPCĐ</v>
      </c>
      <c r="D365" s="173">
        <v>46081</v>
      </c>
      <c r="E365" s="169" t="s">
        <v>1601</v>
      </c>
      <c r="F365" s="169" t="s">
        <v>425</v>
      </c>
      <c r="G365" s="169" t="s">
        <v>296</v>
      </c>
      <c r="H365" s="169" t="s">
        <v>402</v>
      </c>
      <c r="I365" s="169" t="s">
        <v>403</v>
      </c>
      <c r="J365" s="169" t="s">
        <v>1587</v>
      </c>
      <c r="K365" s="169" t="s">
        <v>1580</v>
      </c>
      <c r="L365" s="169" t="s">
        <v>280</v>
      </c>
      <c r="M365" s="169" t="s">
        <v>1453</v>
      </c>
      <c r="N365" s="178">
        <v>446054</v>
      </c>
      <c r="O365" s="169" t="s">
        <v>1602</v>
      </c>
      <c r="P365" s="169" t="s">
        <v>283</v>
      </c>
      <c r="Q365" s="169" t="s">
        <v>284</v>
      </c>
      <c r="R365" s="169" t="s">
        <v>283</v>
      </c>
      <c r="S365" s="169" t="s">
        <v>283</v>
      </c>
      <c r="T365" s="169">
        <v>0</v>
      </c>
    </row>
    <row r="366" spans="1:20" hidden="1" x14ac:dyDescent="0.2">
      <c r="A366" s="169" t="str">
        <f t="shared" si="5"/>
        <v>622</v>
      </c>
      <c r="B366" s="167" t="str">
        <f>_xlfn.XLOOKUP(I366,Mapping!D:D,Mapping!E:E)</f>
        <v>Xưởng Sản Xuất</v>
      </c>
      <c r="C366" s="167" t="str">
        <f>_xlfn.XLOOKUP(F366,Mapping!A:A,Mapping!F:F)</f>
        <v>BHXH, BHYT, KPCĐ</v>
      </c>
      <c r="D366" s="173">
        <v>46081</v>
      </c>
      <c r="E366" s="169" t="s">
        <v>1637</v>
      </c>
      <c r="F366" s="169" t="s">
        <v>425</v>
      </c>
      <c r="G366" s="169" t="s">
        <v>296</v>
      </c>
      <c r="H366" s="169" t="s">
        <v>402</v>
      </c>
      <c r="I366" s="169" t="s">
        <v>403</v>
      </c>
      <c r="J366" s="169" t="s">
        <v>1587</v>
      </c>
      <c r="K366" s="169" t="s">
        <v>1580</v>
      </c>
      <c r="L366" s="169" t="s">
        <v>280</v>
      </c>
      <c r="M366" s="169" t="s">
        <v>1453</v>
      </c>
      <c r="N366" s="178">
        <v>2598865</v>
      </c>
      <c r="O366" s="169" t="s">
        <v>1638</v>
      </c>
      <c r="P366" s="169" t="s">
        <v>283</v>
      </c>
      <c r="Q366" s="169" t="s">
        <v>284</v>
      </c>
      <c r="R366" s="169" t="s">
        <v>283</v>
      </c>
      <c r="S366" s="169" t="s">
        <v>283</v>
      </c>
      <c r="T366" s="169">
        <v>0</v>
      </c>
    </row>
    <row r="367" spans="1:20" hidden="1" x14ac:dyDescent="0.2">
      <c r="A367" s="169" t="str">
        <f t="shared" si="5"/>
        <v>622</v>
      </c>
      <c r="B367" s="167" t="str">
        <f>_xlfn.XLOOKUP(I367,Mapping!D:D,Mapping!E:E)</f>
        <v>Xưởng Sản Xuất</v>
      </c>
      <c r="C367" s="167" t="str">
        <f>_xlfn.XLOOKUP(F367,Mapping!A:A,Mapping!F:F)</f>
        <v>BHXH, BHYT, KPCĐ</v>
      </c>
      <c r="D367" s="173">
        <v>46081</v>
      </c>
      <c r="E367" s="169" t="s">
        <v>1637</v>
      </c>
      <c r="F367" s="169" t="s">
        <v>425</v>
      </c>
      <c r="G367" s="169" t="s">
        <v>296</v>
      </c>
      <c r="H367" s="169" t="s">
        <v>402</v>
      </c>
      <c r="I367" s="169" t="s">
        <v>403</v>
      </c>
      <c r="J367" s="169" t="s">
        <v>1587</v>
      </c>
      <c r="K367" s="169" t="s">
        <v>1580</v>
      </c>
      <c r="L367" s="169" t="s">
        <v>280</v>
      </c>
      <c r="M367" s="169" t="s">
        <v>1453</v>
      </c>
      <c r="N367" s="178">
        <v>7917385</v>
      </c>
      <c r="O367" s="169" t="s">
        <v>1638</v>
      </c>
      <c r="P367" s="169" t="s">
        <v>283</v>
      </c>
      <c r="Q367" s="169" t="s">
        <v>284</v>
      </c>
      <c r="R367" s="169" t="s">
        <v>283</v>
      </c>
      <c r="S367" s="169" t="s">
        <v>283</v>
      </c>
      <c r="T367" s="169">
        <v>0</v>
      </c>
    </row>
    <row r="368" spans="1:20" hidden="1" x14ac:dyDescent="0.2">
      <c r="A368" s="169" t="str">
        <f t="shared" si="5"/>
        <v>622</v>
      </c>
      <c r="B368" s="167" t="str">
        <f>_xlfn.XLOOKUP(I368,Mapping!D:D,Mapping!E:E)</f>
        <v>Xưởng Sản Xuất</v>
      </c>
      <c r="C368" s="167" t="str">
        <f>_xlfn.XLOOKUP(F368,Mapping!A:A,Mapping!F:F)</f>
        <v>Phụ Cấp</v>
      </c>
      <c r="D368" s="173">
        <v>46081</v>
      </c>
      <c r="E368" s="169" t="s">
        <v>1597</v>
      </c>
      <c r="F368" s="169" t="s">
        <v>414</v>
      </c>
      <c r="G368" s="169" t="s">
        <v>415</v>
      </c>
      <c r="H368" s="169" t="s">
        <v>402</v>
      </c>
      <c r="I368" s="169" t="s">
        <v>403</v>
      </c>
      <c r="J368" s="169" t="s">
        <v>1653</v>
      </c>
      <c r="K368" s="169" t="s">
        <v>1599</v>
      </c>
      <c r="L368" s="169" t="s">
        <v>280</v>
      </c>
      <c r="M368" s="169" t="s">
        <v>1453</v>
      </c>
      <c r="N368" s="178">
        <v>30314312</v>
      </c>
      <c r="O368" s="169" t="s">
        <v>1600</v>
      </c>
      <c r="P368" s="169" t="s">
        <v>283</v>
      </c>
      <c r="Q368" s="169" t="s">
        <v>306</v>
      </c>
      <c r="R368" s="169" t="s">
        <v>283</v>
      </c>
      <c r="S368" s="169" t="s">
        <v>283</v>
      </c>
      <c r="T368" s="169">
        <v>0</v>
      </c>
    </row>
    <row r="369" spans="1:20" hidden="1" x14ac:dyDescent="0.2">
      <c r="A369" s="169" t="str">
        <f t="shared" si="5"/>
        <v>622</v>
      </c>
      <c r="B369" s="167" t="str">
        <f>_xlfn.XLOOKUP(I369,Mapping!D:D,Mapping!E:E)</f>
        <v>Xưởng Sản Xuất</v>
      </c>
      <c r="C369" s="167" t="str">
        <f>_xlfn.XLOOKUP(F369,Mapping!A:A,Mapping!F:F)</f>
        <v>Phụ Cấp</v>
      </c>
      <c r="D369" s="173">
        <v>46081</v>
      </c>
      <c r="E369" s="169" t="s">
        <v>1654</v>
      </c>
      <c r="F369" s="169" t="s">
        <v>414</v>
      </c>
      <c r="G369" s="169" t="s">
        <v>415</v>
      </c>
      <c r="H369" s="169" t="s">
        <v>402</v>
      </c>
      <c r="I369" s="169" t="s">
        <v>403</v>
      </c>
      <c r="J369" s="169" t="s">
        <v>416</v>
      </c>
      <c r="K369" s="169" t="s">
        <v>416</v>
      </c>
      <c r="L369" s="169" t="s">
        <v>280</v>
      </c>
      <c r="M369" s="169" t="s">
        <v>1453</v>
      </c>
      <c r="N369" s="178">
        <v>67480000</v>
      </c>
      <c r="O369" s="169" t="s">
        <v>1655</v>
      </c>
      <c r="P369" s="169" t="s">
        <v>283</v>
      </c>
      <c r="Q369" s="169" t="s">
        <v>348</v>
      </c>
      <c r="R369" s="169" t="s">
        <v>283</v>
      </c>
      <c r="S369" s="169" t="s">
        <v>283</v>
      </c>
      <c r="T369" s="169">
        <v>0</v>
      </c>
    </row>
    <row r="370" spans="1:20" hidden="1" x14ac:dyDescent="0.2">
      <c r="A370" s="169" t="str">
        <f t="shared" si="5"/>
        <v>627</v>
      </c>
      <c r="B370" s="167" t="str">
        <f>_xlfn.XLOOKUP(I370,Mapping!D:D,Mapping!E:E)</f>
        <v>Xưởng Sản Xuất</v>
      </c>
      <c r="C370" s="167" t="str">
        <f>_xlfn.XLOOKUP(F370,Mapping!A:A,Mapping!F:F)</f>
        <v>Phụ Cấp</v>
      </c>
      <c r="D370" s="173">
        <v>46081</v>
      </c>
      <c r="E370" s="169" t="s">
        <v>1654</v>
      </c>
      <c r="F370" s="169" t="s">
        <v>375</v>
      </c>
      <c r="G370" s="169" t="s">
        <v>336</v>
      </c>
      <c r="H370" s="169" t="s">
        <v>402</v>
      </c>
      <c r="I370" s="169" t="s">
        <v>403</v>
      </c>
      <c r="J370" s="169" t="s">
        <v>416</v>
      </c>
      <c r="K370" s="169" t="s">
        <v>416</v>
      </c>
      <c r="L370" s="169" t="s">
        <v>280</v>
      </c>
      <c r="M370" s="169" t="s">
        <v>1453</v>
      </c>
      <c r="N370" s="178">
        <v>-67480000</v>
      </c>
      <c r="O370" s="169" t="s">
        <v>1655</v>
      </c>
      <c r="P370" s="169" t="s">
        <v>283</v>
      </c>
      <c r="Q370" s="169" t="s">
        <v>348</v>
      </c>
      <c r="R370" s="169" t="s">
        <v>283</v>
      </c>
      <c r="S370" s="169" t="s">
        <v>283</v>
      </c>
      <c r="T370" s="169">
        <v>0</v>
      </c>
    </row>
    <row r="371" spans="1:20" hidden="1" x14ac:dyDescent="0.2">
      <c r="A371" s="169" t="str">
        <f t="shared" si="5"/>
        <v>627</v>
      </c>
      <c r="B371" s="167" t="str">
        <f>_xlfn.XLOOKUP(I371,Mapping!D:D,Mapping!E:E)</f>
        <v>Xưởng Sản Xuất</v>
      </c>
      <c r="C371" s="167" t="str">
        <f>_xlfn.XLOOKUP(F371,Mapping!A:A,Mapping!F:F)</f>
        <v>Thưởng</v>
      </c>
      <c r="D371" s="173">
        <v>46081</v>
      </c>
      <c r="E371" s="169" t="s">
        <v>1595</v>
      </c>
      <c r="F371" s="169" t="s">
        <v>391</v>
      </c>
      <c r="G371" s="169" t="s">
        <v>291</v>
      </c>
      <c r="H371" s="169" t="s">
        <v>402</v>
      </c>
      <c r="I371" s="169" t="s">
        <v>403</v>
      </c>
      <c r="J371" s="169" t="s">
        <v>1579</v>
      </c>
      <c r="K371" s="169" t="s">
        <v>1580</v>
      </c>
      <c r="L371" s="169" t="s">
        <v>280</v>
      </c>
      <c r="M371" s="169" t="s">
        <v>1453</v>
      </c>
      <c r="N371" s="178">
        <v>-14760000</v>
      </c>
      <c r="O371" s="169" t="s">
        <v>1596</v>
      </c>
      <c r="P371" s="169" t="s">
        <v>283</v>
      </c>
      <c r="Q371" s="169" t="s">
        <v>284</v>
      </c>
      <c r="R371" s="169" t="s">
        <v>283</v>
      </c>
      <c r="S371" s="169" t="s">
        <v>283</v>
      </c>
      <c r="T371" s="169">
        <v>0</v>
      </c>
    </row>
    <row r="372" spans="1:20" hidden="1" x14ac:dyDescent="0.2">
      <c r="A372" s="169" t="str">
        <f t="shared" si="5"/>
        <v>627</v>
      </c>
      <c r="B372" s="167" t="str">
        <f>_xlfn.XLOOKUP(I372,Mapping!D:D,Mapping!E:E)</f>
        <v>Xưởng Sản Xuất</v>
      </c>
      <c r="C372" s="167" t="str">
        <f>_xlfn.XLOOKUP(F372,Mapping!A:A,Mapping!F:F)</f>
        <v>Phụ Cấp</v>
      </c>
      <c r="D372" s="173">
        <v>46081</v>
      </c>
      <c r="E372" s="169" t="s">
        <v>1656</v>
      </c>
      <c r="F372" s="169" t="s">
        <v>375</v>
      </c>
      <c r="G372" s="169" t="s">
        <v>336</v>
      </c>
      <c r="H372" s="169" t="s">
        <v>402</v>
      </c>
      <c r="I372" s="169" t="s">
        <v>403</v>
      </c>
      <c r="J372" s="169" t="s">
        <v>1646</v>
      </c>
      <c r="K372" s="169" t="s">
        <v>1657</v>
      </c>
      <c r="L372" s="169" t="s">
        <v>280</v>
      </c>
      <c r="M372" s="169" t="s">
        <v>1453</v>
      </c>
      <c r="N372" s="178">
        <v>-5352778</v>
      </c>
      <c r="O372" s="169" t="s">
        <v>1658</v>
      </c>
      <c r="P372" s="169" t="s">
        <v>283</v>
      </c>
      <c r="Q372" s="169" t="s">
        <v>284</v>
      </c>
      <c r="R372" s="169" t="s">
        <v>283</v>
      </c>
      <c r="S372" s="169" t="s">
        <v>283</v>
      </c>
      <c r="T372" s="169">
        <v>0</v>
      </c>
    </row>
    <row r="373" spans="1:20" hidden="1" x14ac:dyDescent="0.2">
      <c r="A373" s="169" t="str">
        <f t="shared" si="5"/>
        <v>627</v>
      </c>
      <c r="B373" s="167" t="str">
        <f>_xlfn.XLOOKUP(I373,Mapping!D:D,Mapping!E:E)</f>
        <v>Xưởng Sản Xuất</v>
      </c>
      <c r="C373" s="167" t="str">
        <f>_xlfn.XLOOKUP(F373,Mapping!A:A,Mapping!F:F)</f>
        <v>Phụ Cấp</v>
      </c>
      <c r="D373" s="173">
        <v>46081</v>
      </c>
      <c r="E373" s="169" t="s">
        <v>1589</v>
      </c>
      <c r="F373" s="169" t="s">
        <v>375</v>
      </c>
      <c r="G373" s="169" t="s">
        <v>336</v>
      </c>
      <c r="H373" s="169" t="s">
        <v>430</v>
      </c>
      <c r="I373" s="169" t="s">
        <v>431</v>
      </c>
      <c r="J373" s="169" t="s">
        <v>1590</v>
      </c>
      <c r="K373" s="169" t="s">
        <v>992</v>
      </c>
      <c r="L373" s="169" t="s">
        <v>280</v>
      </c>
      <c r="M373" s="169" t="s">
        <v>1453</v>
      </c>
      <c r="N373" s="178">
        <v>17612000</v>
      </c>
      <c r="O373" s="169" t="s">
        <v>1591</v>
      </c>
      <c r="P373" s="169" t="s">
        <v>283</v>
      </c>
      <c r="Q373" s="169" t="s">
        <v>306</v>
      </c>
      <c r="R373" s="169" t="s">
        <v>283</v>
      </c>
      <c r="S373" s="169" t="s">
        <v>283</v>
      </c>
      <c r="T373" s="169">
        <v>0</v>
      </c>
    </row>
    <row r="374" spans="1:20" hidden="1" x14ac:dyDescent="0.2">
      <c r="A374" s="169" t="str">
        <f t="shared" si="5"/>
        <v>622</v>
      </c>
      <c r="B374" s="167" t="str">
        <f>_xlfn.XLOOKUP(I374,Mapping!D:D,Mapping!E:E)</f>
        <v>Xưởng Sản Xuất</v>
      </c>
      <c r="C374" s="167" t="str">
        <f>_xlfn.XLOOKUP(F374,Mapping!A:A,Mapping!F:F)</f>
        <v>Lương Chính +T13</v>
      </c>
      <c r="D374" s="173">
        <v>46081</v>
      </c>
      <c r="E374" s="169" t="s">
        <v>1578</v>
      </c>
      <c r="F374" s="169" t="s">
        <v>400</v>
      </c>
      <c r="G374" s="169" t="s">
        <v>401</v>
      </c>
      <c r="H374" s="169" t="s">
        <v>430</v>
      </c>
      <c r="I374" s="169" t="s">
        <v>431</v>
      </c>
      <c r="J374" s="169" t="s">
        <v>1579</v>
      </c>
      <c r="K374" s="169" t="s">
        <v>1580</v>
      </c>
      <c r="L374" s="169" t="s">
        <v>280</v>
      </c>
      <c r="M374" s="169" t="s">
        <v>1453</v>
      </c>
      <c r="N374" s="178">
        <v>246997748</v>
      </c>
      <c r="O374" s="169" t="s">
        <v>1581</v>
      </c>
      <c r="P374" s="169" t="s">
        <v>283</v>
      </c>
      <c r="Q374" s="169" t="s">
        <v>284</v>
      </c>
      <c r="R374" s="169" t="s">
        <v>283</v>
      </c>
      <c r="S374" s="169" t="s">
        <v>283</v>
      </c>
      <c r="T374" s="169">
        <v>0</v>
      </c>
    </row>
    <row r="375" spans="1:20" hidden="1" x14ac:dyDescent="0.2">
      <c r="A375" s="169" t="str">
        <f t="shared" si="5"/>
        <v>622</v>
      </c>
      <c r="B375" s="167" t="str">
        <f>_xlfn.XLOOKUP(I375,Mapping!D:D,Mapping!E:E)</f>
        <v>Xưởng Sản Xuất</v>
      </c>
      <c r="C375" s="167" t="str">
        <f>_xlfn.XLOOKUP(F375,Mapping!A:A,Mapping!F:F)</f>
        <v>Lương Chính +T13</v>
      </c>
      <c r="D375" s="173">
        <v>46081</v>
      </c>
      <c r="E375" s="169" t="s">
        <v>1578</v>
      </c>
      <c r="F375" s="169" t="s">
        <v>420</v>
      </c>
      <c r="G375" s="169" t="s">
        <v>286</v>
      </c>
      <c r="H375" s="169" t="s">
        <v>430</v>
      </c>
      <c r="I375" s="169" t="s">
        <v>431</v>
      </c>
      <c r="J375" s="169" t="s">
        <v>1579</v>
      </c>
      <c r="K375" s="169" t="s">
        <v>1580</v>
      </c>
      <c r="L375" s="169" t="s">
        <v>280</v>
      </c>
      <c r="M375" s="169" t="s">
        <v>1453</v>
      </c>
      <c r="N375" s="178">
        <v>-97732</v>
      </c>
      <c r="O375" s="169" t="s">
        <v>1581</v>
      </c>
      <c r="P375" s="169" t="s">
        <v>283</v>
      </c>
      <c r="Q375" s="169" t="s">
        <v>284</v>
      </c>
      <c r="R375" s="169" t="s">
        <v>283</v>
      </c>
      <c r="S375" s="169" t="s">
        <v>283</v>
      </c>
      <c r="T375" s="169">
        <v>0</v>
      </c>
    </row>
    <row r="376" spans="1:20" hidden="1" x14ac:dyDescent="0.2">
      <c r="A376" s="169" t="str">
        <f t="shared" si="5"/>
        <v>622</v>
      </c>
      <c r="B376" s="167" t="str">
        <f>_xlfn.XLOOKUP(I376,Mapping!D:D,Mapping!E:E)</f>
        <v>Xưởng Sản Xuất</v>
      </c>
      <c r="C376" s="167" t="str">
        <f>_xlfn.XLOOKUP(F376,Mapping!A:A,Mapping!F:F)</f>
        <v>Phụ Cấp</v>
      </c>
      <c r="D376" s="173">
        <v>46081</v>
      </c>
      <c r="E376" s="169" t="s">
        <v>1578</v>
      </c>
      <c r="F376" s="169" t="s">
        <v>421</v>
      </c>
      <c r="G376" s="169" t="s">
        <v>341</v>
      </c>
      <c r="H376" s="169" t="s">
        <v>430</v>
      </c>
      <c r="I376" s="169" t="s">
        <v>431</v>
      </c>
      <c r="J376" s="169" t="s">
        <v>1579</v>
      </c>
      <c r="K376" s="169" t="s">
        <v>1580</v>
      </c>
      <c r="L376" s="169" t="s">
        <v>280</v>
      </c>
      <c r="M376" s="169" t="s">
        <v>1453</v>
      </c>
      <c r="N376" s="178">
        <v>15857766</v>
      </c>
      <c r="O376" s="169" t="s">
        <v>1581</v>
      </c>
      <c r="P376" s="169" t="s">
        <v>283</v>
      </c>
      <c r="Q376" s="169" t="s">
        <v>284</v>
      </c>
      <c r="R376" s="169" t="s">
        <v>283</v>
      </c>
      <c r="S376" s="169" t="s">
        <v>283</v>
      </c>
      <c r="T376" s="169">
        <v>0</v>
      </c>
    </row>
    <row r="377" spans="1:20" hidden="1" x14ac:dyDescent="0.2">
      <c r="A377" s="169" t="str">
        <f t="shared" si="5"/>
        <v>622</v>
      </c>
      <c r="B377" s="167" t="str">
        <f>_xlfn.XLOOKUP(I377,Mapping!D:D,Mapping!E:E)</f>
        <v>Xưởng Sản Xuất</v>
      </c>
      <c r="C377" s="167" t="str">
        <f>_xlfn.XLOOKUP(F377,Mapping!A:A,Mapping!F:F)</f>
        <v>Lương Ngoài giờ</v>
      </c>
      <c r="D377" s="173">
        <v>46081</v>
      </c>
      <c r="E377" s="169" t="s">
        <v>1578</v>
      </c>
      <c r="F377" s="169" t="s">
        <v>422</v>
      </c>
      <c r="G377" s="169" t="s">
        <v>423</v>
      </c>
      <c r="H377" s="169" t="s">
        <v>430</v>
      </c>
      <c r="I377" s="169" t="s">
        <v>431</v>
      </c>
      <c r="J377" s="169" t="s">
        <v>1579</v>
      </c>
      <c r="K377" s="169" t="s">
        <v>1580</v>
      </c>
      <c r="L377" s="169" t="s">
        <v>280</v>
      </c>
      <c r="M377" s="169" t="s">
        <v>1453</v>
      </c>
      <c r="N377" s="178">
        <v>38376928</v>
      </c>
      <c r="O377" s="169" t="s">
        <v>1581</v>
      </c>
      <c r="P377" s="169" t="s">
        <v>283</v>
      </c>
      <c r="Q377" s="169" t="s">
        <v>284</v>
      </c>
      <c r="R377" s="169" t="s">
        <v>283</v>
      </c>
      <c r="S377" s="169" t="s">
        <v>283</v>
      </c>
      <c r="T377" s="169">
        <v>0</v>
      </c>
    </row>
    <row r="378" spans="1:20" hidden="1" x14ac:dyDescent="0.2">
      <c r="A378" s="169" t="str">
        <f t="shared" si="5"/>
        <v>627</v>
      </c>
      <c r="B378" s="167" t="str">
        <f>_xlfn.XLOOKUP(I378,Mapping!D:D,Mapping!E:E)</f>
        <v>Xưởng Sản Xuất</v>
      </c>
      <c r="C378" s="167" t="str">
        <f>_xlfn.XLOOKUP(F378,Mapping!A:A,Mapping!F:F)</f>
        <v>Phụ Cấp</v>
      </c>
      <c r="D378" s="173">
        <v>46081</v>
      </c>
      <c r="E378" s="169" t="s">
        <v>1578</v>
      </c>
      <c r="F378" s="169" t="s">
        <v>386</v>
      </c>
      <c r="G378" s="169" t="s">
        <v>341</v>
      </c>
      <c r="H378" s="169" t="s">
        <v>430</v>
      </c>
      <c r="I378" s="169" t="s">
        <v>431</v>
      </c>
      <c r="J378" s="169" t="s">
        <v>1579</v>
      </c>
      <c r="K378" s="169" t="s">
        <v>1580</v>
      </c>
      <c r="L378" s="169" t="s">
        <v>280</v>
      </c>
      <c r="M378" s="169" t="s">
        <v>1453</v>
      </c>
      <c r="N378" s="178">
        <v>4788017</v>
      </c>
      <c r="O378" s="169" t="s">
        <v>1581</v>
      </c>
      <c r="P378" s="169" t="s">
        <v>283</v>
      </c>
      <c r="Q378" s="169" t="s">
        <v>284</v>
      </c>
      <c r="R378" s="169" t="s">
        <v>283</v>
      </c>
      <c r="S378" s="169" t="s">
        <v>283</v>
      </c>
      <c r="T378" s="169">
        <v>0</v>
      </c>
    </row>
    <row r="379" spans="1:20" hidden="1" x14ac:dyDescent="0.2">
      <c r="A379" s="169" t="str">
        <f t="shared" si="5"/>
        <v>627</v>
      </c>
      <c r="B379" s="167" t="str">
        <f>_xlfn.XLOOKUP(I379,Mapping!D:D,Mapping!E:E)</f>
        <v>Xưởng Sản Xuất</v>
      </c>
      <c r="C379" s="167" t="str">
        <f>_xlfn.XLOOKUP(F379,Mapping!A:A,Mapping!F:F)</f>
        <v>Lương Chính +T13</v>
      </c>
      <c r="D379" s="173">
        <v>46081</v>
      </c>
      <c r="E379" s="169" t="s">
        <v>1578</v>
      </c>
      <c r="F379" s="169" t="s">
        <v>387</v>
      </c>
      <c r="G379" s="169" t="s">
        <v>275</v>
      </c>
      <c r="H379" s="169" t="s">
        <v>430</v>
      </c>
      <c r="I379" s="169" t="s">
        <v>431</v>
      </c>
      <c r="J379" s="169" t="s">
        <v>1579</v>
      </c>
      <c r="K379" s="169" t="s">
        <v>1580</v>
      </c>
      <c r="L379" s="169" t="s">
        <v>280</v>
      </c>
      <c r="M379" s="169" t="s">
        <v>1453</v>
      </c>
      <c r="N379" s="178">
        <v>152818294</v>
      </c>
      <c r="O379" s="169" t="s">
        <v>1581</v>
      </c>
      <c r="P379" s="169" t="s">
        <v>283</v>
      </c>
      <c r="Q379" s="169" t="s">
        <v>284</v>
      </c>
      <c r="R379" s="169" t="s">
        <v>283</v>
      </c>
      <c r="S379" s="169" t="s">
        <v>283</v>
      </c>
      <c r="T379" s="169">
        <v>0</v>
      </c>
    </row>
    <row r="380" spans="1:20" hidden="1" x14ac:dyDescent="0.2">
      <c r="A380" s="169" t="str">
        <f t="shared" si="5"/>
        <v>627</v>
      </c>
      <c r="B380" s="167" t="str">
        <f>_xlfn.XLOOKUP(I380,Mapping!D:D,Mapping!E:E)</f>
        <v>Xưởng Sản Xuất</v>
      </c>
      <c r="C380" s="167" t="str">
        <f>_xlfn.XLOOKUP(F380,Mapping!A:A,Mapping!F:F)</f>
        <v>Lương Chính +T13</v>
      </c>
      <c r="D380" s="173">
        <v>46081</v>
      </c>
      <c r="E380" s="169" t="s">
        <v>1578</v>
      </c>
      <c r="F380" s="169" t="s">
        <v>388</v>
      </c>
      <c r="G380" s="169" t="s">
        <v>286</v>
      </c>
      <c r="H380" s="169" t="s">
        <v>430</v>
      </c>
      <c r="I380" s="169" t="s">
        <v>431</v>
      </c>
      <c r="J380" s="169" t="s">
        <v>1579</v>
      </c>
      <c r="K380" s="169" t="s">
        <v>1580</v>
      </c>
      <c r="L380" s="169" t="s">
        <v>280</v>
      </c>
      <c r="M380" s="169" t="s">
        <v>1453</v>
      </c>
      <c r="N380" s="178">
        <v>15067346</v>
      </c>
      <c r="O380" s="169" t="s">
        <v>1581</v>
      </c>
      <c r="P380" s="169" t="s">
        <v>283</v>
      </c>
      <c r="Q380" s="169" t="s">
        <v>284</v>
      </c>
      <c r="R380" s="169" t="s">
        <v>283</v>
      </c>
      <c r="S380" s="169" t="s">
        <v>283</v>
      </c>
      <c r="T380" s="169">
        <v>0</v>
      </c>
    </row>
    <row r="381" spans="1:20" hidden="1" x14ac:dyDescent="0.2">
      <c r="A381" s="169" t="str">
        <f t="shared" si="5"/>
        <v>627</v>
      </c>
      <c r="B381" s="167" t="str">
        <f>_xlfn.XLOOKUP(I381,Mapping!D:D,Mapping!E:E)</f>
        <v>Xưởng Sản Xuất</v>
      </c>
      <c r="C381" s="167" t="str">
        <f>_xlfn.XLOOKUP(F381,Mapping!A:A,Mapping!F:F)</f>
        <v>Lương Ngoài giờ</v>
      </c>
      <c r="D381" s="173">
        <v>46081</v>
      </c>
      <c r="E381" s="169" t="s">
        <v>1578</v>
      </c>
      <c r="F381" s="169" t="s">
        <v>389</v>
      </c>
      <c r="G381" s="169" t="s">
        <v>390</v>
      </c>
      <c r="H381" s="169" t="s">
        <v>430</v>
      </c>
      <c r="I381" s="169" t="s">
        <v>431</v>
      </c>
      <c r="J381" s="169" t="s">
        <v>1579</v>
      </c>
      <c r="K381" s="169" t="s">
        <v>1580</v>
      </c>
      <c r="L381" s="169" t="s">
        <v>280</v>
      </c>
      <c r="M381" s="169" t="s">
        <v>1453</v>
      </c>
      <c r="N381" s="178">
        <v>12816452</v>
      </c>
      <c r="O381" s="169" t="s">
        <v>1581</v>
      </c>
      <c r="P381" s="169" t="s">
        <v>283</v>
      </c>
      <c r="Q381" s="169" t="s">
        <v>284</v>
      </c>
      <c r="R381" s="169" t="s">
        <v>283</v>
      </c>
      <c r="S381" s="169" t="s">
        <v>283</v>
      </c>
      <c r="T381" s="169">
        <v>0</v>
      </c>
    </row>
    <row r="382" spans="1:20" hidden="1" x14ac:dyDescent="0.2">
      <c r="A382" s="169" t="str">
        <f t="shared" si="5"/>
        <v>627</v>
      </c>
      <c r="B382" s="167" t="str">
        <f>_xlfn.XLOOKUP(I382,Mapping!D:D,Mapping!E:E)</f>
        <v>Xưởng Sản Xuất</v>
      </c>
      <c r="C382" s="167" t="str">
        <f>_xlfn.XLOOKUP(F382,Mapping!A:A,Mapping!F:F)</f>
        <v>Phụ Cấp</v>
      </c>
      <c r="D382" s="173">
        <v>46081</v>
      </c>
      <c r="E382" s="169" t="s">
        <v>1578</v>
      </c>
      <c r="F382" s="169" t="s">
        <v>375</v>
      </c>
      <c r="G382" s="169" t="s">
        <v>336</v>
      </c>
      <c r="H382" s="169" t="s">
        <v>430</v>
      </c>
      <c r="I382" s="169" t="s">
        <v>431</v>
      </c>
      <c r="J382" s="169" t="s">
        <v>1579</v>
      </c>
      <c r="K382" s="169" t="s">
        <v>1580</v>
      </c>
      <c r="L382" s="169" t="s">
        <v>280</v>
      </c>
      <c r="M382" s="169" t="s">
        <v>1453</v>
      </c>
      <c r="N382" s="178">
        <v>110000</v>
      </c>
      <c r="O382" s="169" t="s">
        <v>1581</v>
      </c>
      <c r="P382" s="169" t="s">
        <v>283</v>
      </c>
      <c r="Q382" s="169" t="s">
        <v>284</v>
      </c>
      <c r="R382" s="169" t="s">
        <v>283</v>
      </c>
      <c r="S382" s="169" t="s">
        <v>283</v>
      </c>
      <c r="T382" s="169">
        <v>0</v>
      </c>
    </row>
    <row r="383" spans="1:20" hidden="1" x14ac:dyDescent="0.2">
      <c r="A383" s="169" t="str">
        <f t="shared" si="5"/>
        <v>627</v>
      </c>
      <c r="B383" s="167" t="str">
        <f>_xlfn.XLOOKUP(I383,Mapping!D:D,Mapping!E:E)</f>
        <v>Xưởng Sản Xuất</v>
      </c>
      <c r="C383" s="167" t="str">
        <f>_xlfn.XLOOKUP(F383,Mapping!A:A,Mapping!F:F)</f>
        <v>Lương Chính +T13</v>
      </c>
      <c r="D383" s="173">
        <v>46081</v>
      </c>
      <c r="E383" s="169" t="s">
        <v>1582</v>
      </c>
      <c r="F383" s="169" t="s">
        <v>388</v>
      </c>
      <c r="G383" s="169" t="s">
        <v>286</v>
      </c>
      <c r="H383" s="169" t="s">
        <v>430</v>
      </c>
      <c r="I383" s="169" t="s">
        <v>431</v>
      </c>
      <c r="J383" s="169" t="s">
        <v>1583</v>
      </c>
      <c r="K383" s="169" t="s">
        <v>1580</v>
      </c>
      <c r="L383" s="169" t="s">
        <v>280</v>
      </c>
      <c r="M383" s="169" t="s">
        <v>1453</v>
      </c>
      <c r="N383" s="178">
        <v>12654167</v>
      </c>
      <c r="O383" s="169" t="s">
        <v>1584</v>
      </c>
      <c r="P383" s="169" t="s">
        <v>283</v>
      </c>
      <c r="Q383" s="169" t="s">
        <v>284</v>
      </c>
      <c r="R383" s="169" t="s">
        <v>283</v>
      </c>
      <c r="S383" s="169" t="s">
        <v>283</v>
      </c>
      <c r="T383" s="169">
        <v>0</v>
      </c>
    </row>
    <row r="384" spans="1:20" hidden="1" x14ac:dyDescent="0.2">
      <c r="A384" s="169" t="str">
        <f t="shared" si="5"/>
        <v>622</v>
      </c>
      <c r="B384" s="167" t="str">
        <f>_xlfn.XLOOKUP(I384,Mapping!D:D,Mapping!E:E)</f>
        <v>Xưởng Sản Xuất</v>
      </c>
      <c r="C384" s="167" t="str">
        <f>_xlfn.XLOOKUP(F384,Mapping!A:A,Mapping!F:F)</f>
        <v>Lương Chính +T13</v>
      </c>
      <c r="D384" s="173">
        <v>46081</v>
      </c>
      <c r="E384" s="169" t="s">
        <v>1582</v>
      </c>
      <c r="F384" s="169" t="s">
        <v>420</v>
      </c>
      <c r="G384" s="169" t="s">
        <v>286</v>
      </c>
      <c r="H384" s="169" t="s">
        <v>430</v>
      </c>
      <c r="I384" s="169" t="s">
        <v>431</v>
      </c>
      <c r="J384" s="169" t="s">
        <v>1583</v>
      </c>
      <c r="K384" s="169" t="s">
        <v>1580</v>
      </c>
      <c r="L384" s="169" t="s">
        <v>280</v>
      </c>
      <c r="M384" s="169" t="s">
        <v>1453</v>
      </c>
      <c r="N384" s="178">
        <v>15974583</v>
      </c>
      <c r="O384" s="169" t="s">
        <v>1584</v>
      </c>
      <c r="P384" s="169" t="s">
        <v>283</v>
      </c>
      <c r="Q384" s="169" t="s">
        <v>284</v>
      </c>
      <c r="R384" s="169" t="s">
        <v>283</v>
      </c>
      <c r="S384" s="169" t="s">
        <v>283</v>
      </c>
      <c r="T384" s="169">
        <v>0</v>
      </c>
    </row>
    <row r="385" spans="1:20" hidden="1" x14ac:dyDescent="0.2">
      <c r="A385" s="169" t="str">
        <f t="shared" si="5"/>
        <v>627</v>
      </c>
      <c r="B385" s="167" t="str">
        <f>_xlfn.XLOOKUP(I385,Mapping!D:D,Mapping!E:E)</f>
        <v>Xưởng Sản Xuất</v>
      </c>
      <c r="C385" s="167" t="str">
        <f>_xlfn.XLOOKUP(F385,Mapping!A:A,Mapping!F:F)</f>
        <v>Thưởng</v>
      </c>
      <c r="D385" s="173">
        <v>46081</v>
      </c>
      <c r="E385" s="169" t="s">
        <v>1582</v>
      </c>
      <c r="F385" s="169" t="s">
        <v>395</v>
      </c>
      <c r="G385" s="169" t="s">
        <v>77</v>
      </c>
      <c r="H385" s="169" t="s">
        <v>430</v>
      </c>
      <c r="I385" s="169" t="s">
        <v>431</v>
      </c>
      <c r="J385" s="169" t="s">
        <v>1585</v>
      </c>
      <c r="K385" s="169" t="s">
        <v>1580</v>
      </c>
      <c r="L385" s="169" t="s">
        <v>280</v>
      </c>
      <c r="M385" s="169" t="s">
        <v>1453</v>
      </c>
      <c r="N385" s="178">
        <v>11641732</v>
      </c>
      <c r="O385" s="169" t="s">
        <v>1584</v>
      </c>
      <c r="P385" s="169" t="s">
        <v>283</v>
      </c>
      <c r="Q385" s="169" t="s">
        <v>284</v>
      </c>
      <c r="R385" s="169" t="s">
        <v>283</v>
      </c>
      <c r="S385" s="169" t="s">
        <v>283</v>
      </c>
      <c r="T385" s="169">
        <v>0</v>
      </c>
    </row>
    <row r="386" spans="1:20" hidden="1" x14ac:dyDescent="0.2">
      <c r="A386" s="169" t="str">
        <f t="shared" si="5"/>
        <v>622</v>
      </c>
      <c r="B386" s="167" t="str">
        <f>_xlfn.XLOOKUP(I386,Mapping!D:D,Mapping!E:E)</f>
        <v>Xưởng Sản Xuất</v>
      </c>
      <c r="C386" s="167" t="str">
        <f>_xlfn.XLOOKUP(F386,Mapping!A:A,Mapping!F:F)</f>
        <v>Thưởng</v>
      </c>
      <c r="D386" s="173">
        <v>46081</v>
      </c>
      <c r="E386" s="169" t="s">
        <v>1582</v>
      </c>
      <c r="F386" s="169" t="s">
        <v>426</v>
      </c>
      <c r="G386" s="169" t="s">
        <v>77</v>
      </c>
      <c r="H386" s="169" t="s">
        <v>430</v>
      </c>
      <c r="I386" s="169" t="s">
        <v>431</v>
      </c>
      <c r="J386" s="169" t="s">
        <v>1585</v>
      </c>
      <c r="K386" s="169" t="s">
        <v>1580</v>
      </c>
      <c r="L386" s="169" t="s">
        <v>280</v>
      </c>
      <c r="M386" s="169" t="s">
        <v>1453</v>
      </c>
      <c r="N386" s="178">
        <v>4466989</v>
      </c>
      <c r="O386" s="169" t="s">
        <v>1584</v>
      </c>
      <c r="P386" s="169" t="s">
        <v>283</v>
      </c>
      <c r="Q386" s="169" t="s">
        <v>284</v>
      </c>
      <c r="R386" s="169" t="s">
        <v>283</v>
      </c>
      <c r="S386" s="169" t="s">
        <v>283</v>
      </c>
      <c r="T386" s="169">
        <v>0</v>
      </c>
    </row>
    <row r="387" spans="1:20" hidden="1" x14ac:dyDescent="0.2">
      <c r="A387" s="169" t="str">
        <f t="shared" si="5"/>
        <v>622</v>
      </c>
      <c r="B387" s="167" t="str">
        <f>_xlfn.XLOOKUP(I387,Mapping!D:D,Mapping!E:E)</f>
        <v>Xưởng Sản Xuất</v>
      </c>
      <c r="C387" s="167" t="str">
        <f>_xlfn.XLOOKUP(F387,Mapping!A:A,Mapping!F:F)</f>
        <v>BHXH, BHYT, KPCĐ</v>
      </c>
      <c r="D387" s="173">
        <v>46081</v>
      </c>
      <c r="E387" s="169" t="s">
        <v>1586</v>
      </c>
      <c r="F387" s="169" t="s">
        <v>425</v>
      </c>
      <c r="G387" s="169" t="s">
        <v>296</v>
      </c>
      <c r="H387" s="169" t="s">
        <v>430</v>
      </c>
      <c r="I387" s="169" t="s">
        <v>431</v>
      </c>
      <c r="J387" s="169" t="s">
        <v>1587</v>
      </c>
      <c r="K387" s="169" t="s">
        <v>1580</v>
      </c>
      <c r="L387" s="169" t="s">
        <v>280</v>
      </c>
      <c r="M387" s="169" t="s">
        <v>1453</v>
      </c>
      <c r="N387" s="178">
        <v>46319475</v>
      </c>
      <c r="O387" s="169" t="s">
        <v>1588</v>
      </c>
      <c r="P387" s="169" t="s">
        <v>283</v>
      </c>
      <c r="Q387" s="169" t="s">
        <v>284</v>
      </c>
      <c r="R387" s="169" t="s">
        <v>283</v>
      </c>
      <c r="S387" s="169" t="s">
        <v>283</v>
      </c>
      <c r="T387" s="169">
        <v>0</v>
      </c>
    </row>
    <row r="388" spans="1:20" hidden="1" x14ac:dyDescent="0.2">
      <c r="A388" s="169" t="str">
        <f t="shared" ref="A388:A419" si="6">LEFT(F388,3)</f>
        <v>627</v>
      </c>
      <c r="B388" s="167" t="str">
        <f>_xlfn.XLOOKUP(I388,Mapping!D:D,Mapping!E:E)</f>
        <v>Xưởng Sản Xuất</v>
      </c>
      <c r="C388" s="167" t="str">
        <f>_xlfn.XLOOKUP(F388,Mapping!A:A,Mapping!F:F)</f>
        <v>BHXH, BHYT, KPCĐ</v>
      </c>
      <c r="D388" s="173">
        <v>46081</v>
      </c>
      <c r="E388" s="169" t="s">
        <v>1586</v>
      </c>
      <c r="F388" s="169" t="s">
        <v>393</v>
      </c>
      <c r="G388" s="169" t="s">
        <v>296</v>
      </c>
      <c r="H388" s="169" t="s">
        <v>430</v>
      </c>
      <c r="I388" s="169" t="s">
        <v>431</v>
      </c>
      <c r="J388" s="169" t="s">
        <v>1587</v>
      </c>
      <c r="K388" s="169" t="s">
        <v>1580</v>
      </c>
      <c r="L388" s="169" t="s">
        <v>280</v>
      </c>
      <c r="M388" s="169" t="s">
        <v>1453</v>
      </c>
      <c r="N388" s="178">
        <v>30418600</v>
      </c>
      <c r="O388" s="169" t="s">
        <v>1588</v>
      </c>
      <c r="P388" s="169" t="s">
        <v>283</v>
      </c>
      <c r="Q388" s="169" t="s">
        <v>284</v>
      </c>
      <c r="R388" s="169" t="s">
        <v>283</v>
      </c>
      <c r="S388" s="169" t="s">
        <v>283</v>
      </c>
      <c r="T388" s="169">
        <v>0</v>
      </c>
    </row>
    <row r="389" spans="1:20" hidden="1" x14ac:dyDescent="0.2">
      <c r="A389" s="169" t="str">
        <f t="shared" si="6"/>
        <v>622</v>
      </c>
      <c r="B389" s="167" t="str">
        <f>_xlfn.XLOOKUP(I389,Mapping!D:D,Mapping!E:E)</f>
        <v>Xưởng Sản Xuất</v>
      </c>
      <c r="C389" s="167" t="str">
        <f>_xlfn.XLOOKUP(F389,Mapping!A:A,Mapping!F:F)</f>
        <v>BHXH, BHYT, KPCĐ</v>
      </c>
      <c r="D389" s="173">
        <v>46081</v>
      </c>
      <c r="E389" s="169" t="s">
        <v>1601</v>
      </c>
      <c r="F389" s="169" t="s">
        <v>425</v>
      </c>
      <c r="G389" s="169" t="s">
        <v>296</v>
      </c>
      <c r="H389" s="169" t="s">
        <v>430</v>
      </c>
      <c r="I389" s="169" t="s">
        <v>431</v>
      </c>
      <c r="J389" s="169" t="s">
        <v>1587</v>
      </c>
      <c r="K389" s="169" t="s">
        <v>1580</v>
      </c>
      <c r="L389" s="169" t="s">
        <v>280</v>
      </c>
      <c r="M389" s="169" t="s">
        <v>1453</v>
      </c>
      <c r="N389" s="178">
        <v>445000</v>
      </c>
      <c r="O389" s="169" t="s">
        <v>1602</v>
      </c>
      <c r="P389" s="169" t="s">
        <v>283</v>
      </c>
      <c r="Q389" s="169" t="s">
        <v>284</v>
      </c>
      <c r="R389" s="169" t="s">
        <v>283</v>
      </c>
      <c r="S389" s="169" t="s">
        <v>283</v>
      </c>
      <c r="T389" s="169">
        <v>0</v>
      </c>
    </row>
    <row r="390" spans="1:20" hidden="1" x14ac:dyDescent="0.2">
      <c r="A390" s="169" t="str">
        <f t="shared" si="6"/>
        <v>622</v>
      </c>
      <c r="B390" s="167" t="str">
        <f>_xlfn.XLOOKUP(I390,Mapping!D:D,Mapping!E:E)</f>
        <v>Xưởng Sản Xuất</v>
      </c>
      <c r="C390" s="167" t="str">
        <f>_xlfn.XLOOKUP(F390,Mapping!A:A,Mapping!F:F)</f>
        <v>BHXH, BHYT, KPCĐ</v>
      </c>
      <c r="D390" s="173">
        <v>46081</v>
      </c>
      <c r="E390" s="169" t="s">
        <v>1637</v>
      </c>
      <c r="F390" s="169" t="s">
        <v>425</v>
      </c>
      <c r="G390" s="169" t="s">
        <v>296</v>
      </c>
      <c r="H390" s="169" t="s">
        <v>430</v>
      </c>
      <c r="I390" s="169" t="s">
        <v>431</v>
      </c>
      <c r="J390" s="169" t="s">
        <v>1587</v>
      </c>
      <c r="K390" s="169" t="s">
        <v>1580</v>
      </c>
      <c r="L390" s="169" t="s">
        <v>280</v>
      </c>
      <c r="M390" s="169" t="s">
        <v>1453</v>
      </c>
      <c r="N390" s="178">
        <v>1301665</v>
      </c>
      <c r="O390" s="169" t="s">
        <v>1638</v>
      </c>
      <c r="P390" s="169" t="s">
        <v>283</v>
      </c>
      <c r="Q390" s="169" t="s">
        <v>284</v>
      </c>
      <c r="R390" s="169" t="s">
        <v>283</v>
      </c>
      <c r="S390" s="169" t="s">
        <v>283</v>
      </c>
      <c r="T390" s="169">
        <v>0</v>
      </c>
    </row>
    <row r="391" spans="1:20" hidden="1" x14ac:dyDescent="0.2">
      <c r="A391" s="169" t="str">
        <f t="shared" si="6"/>
        <v>622</v>
      </c>
      <c r="B391" s="167" t="str">
        <f>_xlfn.XLOOKUP(I391,Mapping!D:D,Mapping!E:E)</f>
        <v>Xưởng Sản Xuất</v>
      </c>
      <c r="C391" s="167" t="str">
        <f>_xlfn.XLOOKUP(F391,Mapping!A:A,Mapping!F:F)</f>
        <v>BHXH, BHYT, KPCĐ</v>
      </c>
      <c r="D391" s="173">
        <v>46081</v>
      </c>
      <c r="E391" s="169" t="s">
        <v>1637</v>
      </c>
      <c r="F391" s="169" t="s">
        <v>425</v>
      </c>
      <c r="G391" s="169" t="s">
        <v>296</v>
      </c>
      <c r="H391" s="169" t="s">
        <v>430</v>
      </c>
      <c r="I391" s="169" t="s">
        <v>431</v>
      </c>
      <c r="J391" s="169" t="s">
        <v>1587</v>
      </c>
      <c r="K391" s="169" t="s">
        <v>1580</v>
      </c>
      <c r="L391" s="169" t="s">
        <v>280</v>
      </c>
      <c r="M391" s="169" t="s">
        <v>1453</v>
      </c>
      <c r="N391" s="178">
        <v>1301665</v>
      </c>
      <c r="O391" s="169" t="s">
        <v>1638</v>
      </c>
      <c r="P391" s="169" t="s">
        <v>283</v>
      </c>
      <c r="Q391" s="169" t="s">
        <v>284</v>
      </c>
      <c r="R391" s="169" t="s">
        <v>283</v>
      </c>
      <c r="S391" s="169" t="s">
        <v>283</v>
      </c>
      <c r="T391" s="169">
        <v>0</v>
      </c>
    </row>
    <row r="392" spans="1:20" hidden="1" x14ac:dyDescent="0.2">
      <c r="A392" s="169" t="str">
        <f t="shared" si="6"/>
        <v>622</v>
      </c>
      <c r="B392" s="167" t="str">
        <f>_xlfn.XLOOKUP(I392,Mapping!D:D,Mapping!E:E)</f>
        <v>Xưởng Sản Xuất</v>
      </c>
      <c r="C392" s="167" t="str">
        <f>_xlfn.XLOOKUP(F392,Mapping!A:A,Mapping!F:F)</f>
        <v>Phụ Cấp</v>
      </c>
      <c r="D392" s="173">
        <v>46081</v>
      </c>
      <c r="E392" s="169" t="s">
        <v>1597</v>
      </c>
      <c r="F392" s="169" t="s">
        <v>414</v>
      </c>
      <c r="G392" s="169" t="s">
        <v>415</v>
      </c>
      <c r="H392" s="169" t="s">
        <v>430</v>
      </c>
      <c r="I392" s="169" t="s">
        <v>431</v>
      </c>
      <c r="J392" s="169" t="s">
        <v>1659</v>
      </c>
      <c r="K392" s="169" t="s">
        <v>1599</v>
      </c>
      <c r="L392" s="169" t="s">
        <v>280</v>
      </c>
      <c r="M392" s="169" t="s">
        <v>1453</v>
      </c>
      <c r="N392" s="178">
        <v>6516125</v>
      </c>
      <c r="O392" s="169" t="s">
        <v>1600</v>
      </c>
      <c r="P392" s="169" t="s">
        <v>283</v>
      </c>
      <c r="Q392" s="169" t="s">
        <v>306</v>
      </c>
      <c r="R392" s="169" t="s">
        <v>283</v>
      </c>
      <c r="S392" s="169" t="s">
        <v>283</v>
      </c>
      <c r="T392" s="169">
        <v>0</v>
      </c>
    </row>
    <row r="393" spans="1:20" hidden="1" x14ac:dyDescent="0.2">
      <c r="A393" s="169" t="str">
        <f t="shared" si="6"/>
        <v>627</v>
      </c>
      <c r="B393" s="167" t="str">
        <f>_xlfn.XLOOKUP(I393,Mapping!D:D,Mapping!E:E)</f>
        <v>Xưởng Sản Xuất</v>
      </c>
      <c r="C393" s="167" t="str">
        <f>_xlfn.XLOOKUP(F393,Mapping!A:A,Mapping!F:F)</f>
        <v>Phụ Cấp</v>
      </c>
      <c r="D393" s="173">
        <v>46081</v>
      </c>
      <c r="E393" s="169" t="s">
        <v>1654</v>
      </c>
      <c r="F393" s="169" t="s">
        <v>375</v>
      </c>
      <c r="G393" s="169" t="s">
        <v>336</v>
      </c>
      <c r="H393" s="169" t="s">
        <v>430</v>
      </c>
      <c r="I393" s="169" t="s">
        <v>431</v>
      </c>
      <c r="J393" s="169" t="s">
        <v>416</v>
      </c>
      <c r="K393" s="169" t="s">
        <v>416</v>
      </c>
      <c r="L393" s="169" t="s">
        <v>280</v>
      </c>
      <c r="M393" s="169" t="s">
        <v>1453</v>
      </c>
      <c r="N393" s="178">
        <v>-56000</v>
      </c>
      <c r="O393" s="169" t="s">
        <v>1655</v>
      </c>
      <c r="P393" s="169" t="s">
        <v>283</v>
      </c>
      <c r="Q393" s="169" t="s">
        <v>348</v>
      </c>
      <c r="R393" s="169" t="s">
        <v>283</v>
      </c>
      <c r="S393" s="169" t="s">
        <v>283</v>
      </c>
      <c r="T393" s="169">
        <v>0</v>
      </c>
    </row>
    <row r="394" spans="1:20" hidden="1" x14ac:dyDescent="0.2">
      <c r="A394" s="169" t="str">
        <f t="shared" si="6"/>
        <v>622</v>
      </c>
      <c r="B394" s="167" t="str">
        <f>_xlfn.XLOOKUP(I394,Mapping!D:D,Mapping!E:E)</f>
        <v>Xưởng Sản Xuất</v>
      </c>
      <c r="C394" s="167" t="str">
        <f>_xlfn.XLOOKUP(F394,Mapping!A:A,Mapping!F:F)</f>
        <v>Phụ Cấp</v>
      </c>
      <c r="D394" s="173">
        <v>46081</v>
      </c>
      <c r="E394" s="169" t="s">
        <v>1654</v>
      </c>
      <c r="F394" s="169" t="s">
        <v>414</v>
      </c>
      <c r="G394" s="169" t="s">
        <v>415</v>
      </c>
      <c r="H394" s="169" t="s">
        <v>430</v>
      </c>
      <c r="I394" s="169" t="s">
        <v>431</v>
      </c>
      <c r="J394" s="169" t="s">
        <v>416</v>
      </c>
      <c r="K394" s="169" t="s">
        <v>416</v>
      </c>
      <c r="L394" s="169" t="s">
        <v>280</v>
      </c>
      <c r="M394" s="169" t="s">
        <v>1453</v>
      </c>
      <c r="N394" s="178">
        <v>12740000</v>
      </c>
      <c r="O394" s="169" t="s">
        <v>1655</v>
      </c>
      <c r="P394" s="169" t="s">
        <v>283</v>
      </c>
      <c r="Q394" s="169" t="s">
        <v>348</v>
      </c>
      <c r="R394" s="169" t="s">
        <v>283</v>
      </c>
      <c r="S394" s="169" t="s">
        <v>283</v>
      </c>
      <c r="T394" s="169">
        <v>0</v>
      </c>
    </row>
    <row r="395" spans="1:20" hidden="1" x14ac:dyDescent="0.2">
      <c r="A395" s="169" t="str">
        <f t="shared" si="6"/>
        <v>627</v>
      </c>
      <c r="B395" s="167" t="str">
        <f>_xlfn.XLOOKUP(I395,Mapping!D:D,Mapping!E:E)</f>
        <v>Xưởng Sản Xuất</v>
      </c>
      <c r="C395" s="167" t="str">
        <f>_xlfn.XLOOKUP(F395,Mapping!A:A,Mapping!F:F)</f>
        <v>Phụ Cấp</v>
      </c>
      <c r="D395" s="173">
        <v>46081</v>
      </c>
      <c r="E395" s="169" t="s">
        <v>1654</v>
      </c>
      <c r="F395" s="169" t="s">
        <v>375</v>
      </c>
      <c r="G395" s="169" t="s">
        <v>336</v>
      </c>
      <c r="H395" s="169" t="s">
        <v>430</v>
      </c>
      <c r="I395" s="169" t="s">
        <v>431</v>
      </c>
      <c r="J395" s="169" t="s">
        <v>416</v>
      </c>
      <c r="K395" s="169" t="s">
        <v>416</v>
      </c>
      <c r="L395" s="169" t="s">
        <v>280</v>
      </c>
      <c r="M395" s="169" t="s">
        <v>1453</v>
      </c>
      <c r="N395" s="178">
        <v>-12740000</v>
      </c>
      <c r="O395" s="169" t="s">
        <v>1655</v>
      </c>
      <c r="P395" s="169" t="s">
        <v>283</v>
      </c>
      <c r="Q395" s="169" t="s">
        <v>348</v>
      </c>
      <c r="R395" s="169" t="s">
        <v>283</v>
      </c>
      <c r="S395" s="169" t="s">
        <v>283</v>
      </c>
      <c r="T395" s="169">
        <v>0</v>
      </c>
    </row>
    <row r="396" spans="1:20" hidden="1" x14ac:dyDescent="0.2">
      <c r="A396" s="169" t="str">
        <f t="shared" si="6"/>
        <v>627</v>
      </c>
      <c r="B396" s="167" t="str">
        <f>_xlfn.XLOOKUP(I396,Mapping!D:D,Mapping!E:E)</f>
        <v>Xưởng Sản Xuất</v>
      </c>
      <c r="C396" s="167" t="str">
        <f>_xlfn.XLOOKUP(F396,Mapping!A:A,Mapping!F:F)</f>
        <v>Phụ Cấp</v>
      </c>
      <c r="D396" s="173">
        <v>46081</v>
      </c>
      <c r="E396" s="169" t="s">
        <v>1589</v>
      </c>
      <c r="F396" s="169" t="s">
        <v>375</v>
      </c>
      <c r="G396" s="169" t="s">
        <v>336</v>
      </c>
      <c r="H396" s="169" t="s">
        <v>441</v>
      </c>
      <c r="I396" s="169" t="s">
        <v>442</v>
      </c>
      <c r="J396" s="169" t="s">
        <v>1590</v>
      </c>
      <c r="K396" s="169" t="s">
        <v>992</v>
      </c>
      <c r="L396" s="169" t="s">
        <v>280</v>
      </c>
      <c r="M396" s="169" t="s">
        <v>1453</v>
      </c>
      <c r="N396" s="178">
        <v>336000</v>
      </c>
      <c r="O396" s="169" t="s">
        <v>1591</v>
      </c>
      <c r="P396" s="169" t="s">
        <v>283</v>
      </c>
      <c r="Q396" s="169" t="s">
        <v>306</v>
      </c>
      <c r="R396" s="169" t="s">
        <v>283</v>
      </c>
      <c r="S396" s="169" t="s">
        <v>283</v>
      </c>
      <c r="T396" s="169">
        <v>0</v>
      </c>
    </row>
    <row r="397" spans="1:20" hidden="1" x14ac:dyDescent="0.2">
      <c r="A397" s="169" t="str">
        <f t="shared" si="6"/>
        <v>627</v>
      </c>
      <c r="B397" s="167" t="str">
        <f>_xlfn.XLOOKUP(I397,Mapping!D:D,Mapping!E:E)</f>
        <v>Xưởng Sản Xuất</v>
      </c>
      <c r="C397" s="167" t="str">
        <f>_xlfn.XLOOKUP(F397,Mapping!A:A,Mapping!F:F)</f>
        <v>Phụ Cấp</v>
      </c>
      <c r="D397" s="173">
        <v>46081</v>
      </c>
      <c r="E397" s="169" t="s">
        <v>1589</v>
      </c>
      <c r="F397" s="169" t="s">
        <v>375</v>
      </c>
      <c r="G397" s="169" t="s">
        <v>336</v>
      </c>
      <c r="H397" s="169" t="s">
        <v>436</v>
      </c>
      <c r="I397" s="169" t="s">
        <v>437</v>
      </c>
      <c r="J397" s="169" t="s">
        <v>1590</v>
      </c>
      <c r="K397" s="169" t="s">
        <v>992</v>
      </c>
      <c r="L397" s="169" t="s">
        <v>280</v>
      </c>
      <c r="M397" s="169" t="s">
        <v>1453</v>
      </c>
      <c r="N397" s="178">
        <v>18312000</v>
      </c>
      <c r="O397" s="169" t="s">
        <v>1591</v>
      </c>
      <c r="P397" s="169" t="s">
        <v>283</v>
      </c>
      <c r="Q397" s="169" t="s">
        <v>306</v>
      </c>
      <c r="R397" s="169" t="s">
        <v>283</v>
      </c>
      <c r="S397" s="169" t="s">
        <v>283</v>
      </c>
      <c r="T397" s="169">
        <v>0</v>
      </c>
    </row>
    <row r="398" spans="1:20" hidden="1" x14ac:dyDescent="0.2">
      <c r="A398" s="169" t="str">
        <f t="shared" si="6"/>
        <v>627</v>
      </c>
      <c r="B398" s="167" t="str">
        <f>_xlfn.XLOOKUP(I398,Mapping!D:D,Mapping!E:E)</f>
        <v>Xưởng Sản Xuất</v>
      </c>
      <c r="C398" s="167" t="str">
        <f>_xlfn.XLOOKUP(F398,Mapping!A:A,Mapping!F:F)</f>
        <v>Phụ Cấp</v>
      </c>
      <c r="D398" s="173">
        <v>46081</v>
      </c>
      <c r="E398" s="169" t="s">
        <v>1578</v>
      </c>
      <c r="F398" s="169" t="s">
        <v>386</v>
      </c>
      <c r="G398" s="169" t="s">
        <v>341</v>
      </c>
      <c r="H398" s="169" t="s">
        <v>436</v>
      </c>
      <c r="I398" s="169" t="s">
        <v>437</v>
      </c>
      <c r="J398" s="169" t="s">
        <v>1579</v>
      </c>
      <c r="K398" s="169" t="s">
        <v>1580</v>
      </c>
      <c r="L398" s="169" t="s">
        <v>280</v>
      </c>
      <c r="M398" s="169" t="s">
        <v>1453</v>
      </c>
      <c r="N398" s="178">
        <v>4303351</v>
      </c>
      <c r="O398" s="169" t="s">
        <v>1581</v>
      </c>
      <c r="P398" s="169" t="s">
        <v>283</v>
      </c>
      <c r="Q398" s="169" t="s">
        <v>284</v>
      </c>
      <c r="R398" s="169" t="s">
        <v>283</v>
      </c>
      <c r="S398" s="169" t="s">
        <v>283</v>
      </c>
      <c r="T398" s="169">
        <v>0</v>
      </c>
    </row>
    <row r="399" spans="1:20" hidden="1" x14ac:dyDescent="0.2">
      <c r="A399" s="169" t="str">
        <f t="shared" si="6"/>
        <v>627</v>
      </c>
      <c r="B399" s="167" t="str">
        <f>_xlfn.XLOOKUP(I399,Mapping!D:D,Mapping!E:E)</f>
        <v>Xưởng Sản Xuất</v>
      </c>
      <c r="C399" s="167" t="str">
        <f>_xlfn.XLOOKUP(F399,Mapping!A:A,Mapping!F:F)</f>
        <v>Lương Chính +T13</v>
      </c>
      <c r="D399" s="173">
        <v>46081</v>
      </c>
      <c r="E399" s="169" t="s">
        <v>1578</v>
      </c>
      <c r="F399" s="169" t="s">
        <v>387</v>
      </c>
      <c r="G399" s="169" t="s">
        <v>275</v>
      </c>
      <c r="H399" s="169" t="s">
        <v>436</v>
      </c>
      <c r="I399" s="169" t="s">
        <v>437</v>
      </c>
      <c r="J399" s="169" t="s">
        <v>1579</v>
      </c>
      <c r="K399" s="169" t="s">
        <v>1580</v>
      </c>
      <c r="L399" s="169" t="s">
        <v>280</v>
      </c>
      <c r="M399" s="169" t="s">
        <v>1453</v>
      </c>
      <c r="N399" s="178">
        <v>365104043</v>
      </c>
      <c r="O399" s="169" t="s">
        <v>1581</v>
      </c>
      <c r="P399" s="169" t="s">
        <v>283</v>
      </c>
      <c r="Q399" s="169" t="s">
        <v>284</v>
      </c>
      <c r="R399" s="169" t="s">
        <v>283</v>
      </c>
      <c r="S399" s="169" t="s">
        <v>283</v>
      </c>
      <c r="T399" s="169">
        <v>0</v>
      </c>
    </row>
    <row r="400" spans="1:20" hidden="1" x14ac:dyDescent="0.2">
      <c r="A400" s="169" t="str">
        <f t="shared" si="6"/>
        <v>627</v>
      </c>
      <c r="B400" s="167" t="str">
        <f>_xlfn.XLOOKUP(I400,Mapping!D:D,Mapping!E:E)</f>
        <v>Xưởng Sản Xuất</v>
      </c>
      <c r="C400" s="167" t="str">
        <f>_xlfn.XLOOKUP(F400,Mapping!A:A,Mapping!F:F)</f>
        <v>Lương Chính +T13</v>
      </c>
      <c r="D400" s="173">
        <v>46081</v>
      </c>
      <c r="E400" s="169" t="s">
        <v>1578</v>
      </c>
      <c r="F400" s="169" t="s">
        <v>388</v>
      </c>
      <c r="G400" s="169" t="s">
        <v>286</v>
      </c>
      <c r="H400" s="169" t="s">
        <v>436</v>
      </c>
      <c r="I400" s="169" t="s">
        <v>437</v>
      </c>
      <c r="J400" s="169" t="s">
        <v>1579</v>
      </c>
      <c r="K400" s="169" t="s">
        <v>1580</v>
      </c>
      <c r="L400" s="169" t="s">
        <v>280</v>
      </c>
      <c r="M400" s="169" t="s">
        <v>1453</v>
      </c>
      <c r="N400" s="178">
        <v>10002556</v>
      </c>
      <c r="O400" s="169" t="s">
        <v>1581</v>
      </c>
      <c r="P400" s="169" t="s">
        <v>283</v>
      </c>
      <c r="Q400" s="169" t="s">
        <v>284</v>
      </c>
      <c r="R400" s="169" t="s">
        <v>283</v>
      </c>
      <c r="S400" s="169" t="s">
        <v>283</v>
      </c>
      <c r="T400" s="169">
        <v>0</v>
      </c>
    </row>
    <row r="401" spans="1:20" hidden="1" x14ac:dyDescent="0.2">
      <c r="A401" s="169" t="str">
        <f t="shared" si="6"/>
        <v>627</v>
      </c>
      <c r="B401" s="167" t="str">
        <f>_xlfn.XLOOKUP(I401,Mapping!D:D,Mapping!E:E)</f>
        <v>Xưởng Sản Xuất</v>
      </c>
      <c r="C401" s="167" t="str">
        <f>_xlfn.XLOOKUP(F401,Mapping!A:A,Mapping!F:F)</f>
        <v>Lương Ngoài giờ</v>
      </c>
      <c r="D401" s="173">
        <v>46081</v>
      </c>
      <c r="E401" s="169" t="s">
        <v>1578</v>
      </c>
      <c r="F401" s="169" t="s">
        <v>389</v>
      </c>
      <c r="G401" s="169" t="s">
        <v>390</v>
      </c>
      <c r="H401" s="169" t="s">
        <v>436</v>
      </c>
      <c r="I401" s="169" t="s">
        <v>437</v>
      </c>
      <c r="J401" s="169" t="s">
        <v>1579</v>
      </c>
      <c r="K401" s="169" t="s">
        <v>1580</v>
      </c>
      <c r="L401" s="169" t="s">
        <v>280</v>
      </c>
      <c r="M401" s="169" t="s">
        <v>1453</v>
      </c>
      <c r="N401" s="178">
        <v>41950938</v>
      </c>
      <c r="O401" s="169" t="s">
        <v>1581</v>
      </c>
      <c r="P401" s="169" t="s">
        <v>283</v>
      </c>
      <c r="Q401" s="169" t="s">
        <v>284</v>
      </c>
      <c r="R401" s="169" t="s">
        <v>283</v>
      </c>
      <c r="S401" s="169" t="s">
        <v>283</v>
      </c>
      <c r="T401" s="169">
        <v>0</v>
      </c>
    </row>
    <row r="402" spans="1:20" hidden="1" x14ac:dyDescent="0.2">
      <c r="A402" s="169" t="str">
        <f t="shared" si="6"/>
        <v>627</v>
      </c>
      <c r="B402" s="167" t="str">
        <f>_xlfn.XLOOKUP(I402,Mapping!D:D,Mapping!E:E)</f>
        <v>Xưởng Sản Xuất</v>
      </c>
      <c r="C402" s="167" t="str">
        <f>_xlfn.XLOOKUP(F402,Mapping!A:A,Mapping!F:F)</f>
        <v>Phụ Cấp</v>
      </c>
      <c r="D402" s="173">
        <v>46081</v>
      </c>
      <c r="E402" s="169" t="s">
        <v>1578</v>
      </c>
      <c r="F402" s="169" t="s">
        <v>375</v>
      </c>
      <c r="G402" s="169" t="s">
        <v>336</v>
      </c>
      <c r="H402" s="169" t="s">
        <v>436</v>
      </c>
      <c r="I402" s="169" t="s">
        <v>437</v>
      </c>
      <c r="J402" s="169" t="s">
        <v>1579</v>
      </c>
      <c r="K402" s="169" t="s">
        <v>1580</v>
      </c>
      <c r="L402" s="169" t="s">
        <v>280</v>
      </c>
      <c r="M402" s="169" t="s">
        <v>1453</v>
      </c>
      <c r="N402" s="178">
        <v>1310000</v>
      </c>
      <c r="O402" s="169" t="s">
        <v>1581</v>
      </c>
      <c r="P402" s="169" t="s">
        <v>283</v>
      </c>
      <c r="Q402" s="169" t="s">
        <v>284</v>
      </c>
      <c r="R402" s="169" t="s">
        <v>283</v>
      </c>
      <c r="S402" s="169" t="s">
        <v>283</v>
      </c>
      <c r="T402" s="169">
        <v>0</v>
      </c>
    </row>
    <row r="403" spans="1:20" hidden="1" x14ac:dyDescent="0.2">
      <c r="A403" s="169" t="str">
        <f t="shared" si="6"/>
        <v>642</v>
      </c>
      <c r="B403" s="167" t="str">
        <f>_xlfn.XLOOKUP(I403,Mapping!D:D,Mapping!E:E)</f>
        <v>Tư vấn dịch vụ</v>
      </c>
      <c r="C403" s="167" t="str">
        <f>_xlfn.XLOOKUP(F403,Mapping!A:A,Mapping!F:F)</f>
        <v>Lương Chính +T13</v>
      </c>
      <c r="D403" s="173">
        <v>46081</v>
      </c>
      <c r="E403" s="169" t="s">
        <v>1578</v>
      </c>
      <c r="F403" s="169" t="s">
        <v>274</v>
      </c>
      <c r="G403" s="169" t="s">
        <v>275</v>
      </c>
      <c r="H403" s="169" t="s">
        <v>443</v>
      </c>
      <c r="I403" s="169" t="s">
        <v>444</v>
      </c>
      <c r="J403" s="169" t="s">
        <v>1579</v>
      </c>
      <c r="K403" s="169" t="s">
        <v>1580</v>
      </c>
      <c r="L403" s="169" t="s">
        <v>280</v>
      </c>
      <c r="M403" s="169" t="s">
        <v>1453</v>
      </c>
      <c r="N403" s="178">
        <v>70000000</v>
      </c>
      <c r="O403" s="169" t="s">
        <v>1581</v>
      </c>
      <c r="P403" s="169" t="s">
        <v>283</v>
      </c>
      <c r="Q403" s="169" t="s">
        <v>284</v>
      </c>
      <c r="R403" s="169" t="s">
        <v>283</v>
      </c>
      <c r="S403" s="169" t="s">
        <v>283</v>
      </c>
      <c r="T403" s="169">
        <v>0</v>
      </c>
    </row>
    <row r="404" spans="1:20" hidden="1" x14ac:dyDescent="0.2">
      <c r="A404" s="169" t="str">
        <f t="shared" si="6"/>
        <v>622</v>
      </c>
      <c r="B404" s="167" t="str">
        <f>_xlfn.XLOOKUP(I404,Mapping!D:D,Mapping!E:E)</f>
        <v>Xưởng Sản Xuất</v>
      </c>
      <c r="C404" s="167" t="str">
        <f>_xlfn.XLOOKUP(F404,Mapping!A:A,Mapping!F:F)</f>
        <v>Lương Chính +T13</v>
      </c>
      <c r="D404" s="173">
        <v>46081</v>
      </c>
      <c r="E404" s="169" t="s">
        <v>1578</v>
      </c>
      <c r="F404" s="169" t="s">
        <v>400</v>
      </c>
      <c r="G404" s="169" t="s">
        <v>401</v>
      </c>
      <c r="H404" s="169" t="s">
        <v>441</v>
      </c>
      <c r="I404" s="169" t="s">
        <v>442</v>
      </c>
      <c r="J404" s="169" t="s">
        <v>1579</v>
      </c>
      <c r="K404" s="169" t="s">
        <v>1580</v>
      </c>
      <c r="L404" s="169" t="s">
        <v>280</v>
      </c>
      <c r="M404" s="169" t="s">
        <v>1453</v>
      </c>
      <c r="N404" s="178">
        <v>7854740</v>
      </c>
      <c r="O404" s="169" t="s">
        <v>1581</v>
      </c>
      <c r="P404" s="169" t="s">
        <v>283</v>
      </c>
      <c r="Q404" s="169" t="s">
        <v>284</v>
      </c>
      <c r="R404" s="169" t="s">
        <v>283</v>
      </c>
      <c r="S404" s="169" t="s">
        <v>283</v>
      </c>
      <c r="T404" s="169">
        <v>0</v>
      </c>
    </row>
    <row r="405" spans="1:20" hidden="1" x14ac:dyDescent="0.2">
      <c r="A405" s="169" t="str">
        <f t="shared" si="6"/>
        <v>622</v>
      </c>
      <c r="B405" s="167" t="str">
        <f>_xlfn.XLOOKUP(I405,Mapping!D:D,Mapping!E:E)</f>
        <v>Xưởng Sản Xuất</v>
      </c>
      <c r="C405" s="167" t="str">
        <f>_xlfn.XLOOKUP(F405,Mapping!A:A,Mapping!F:F)</f>
        <v>Phụ Cấp</v>
      </c>
      <c r="D405" s="173">
        <v>46081</v>
      </c>
      <c r="E405" s="169" t="s">
        <v>1578</v>
      </c>
      <c r="F405" s="169" t="s">
        <v>421</v>
      </c>
      <c r="G405" s="169" t="s">
        <v>341</v>
      </c>
      <c r="H405" s="169" t="s">
        <v>441</v>
      </c>
      <c r="I405" s="169" t="s">
        <v>442</v>
      </c>
      <c r="J405" s="169" t="s">
        <v>1579</v>
      </c>
      <c r="K405" s="169" t="s">
        <v>1580</v>
      </c>
      <c r="L405" s="169" t="s">
        <v>280</v>
      </c>
      <c r="M405" s="169" t="s">
        <v>1453</v>
      </c>
      <c r="N405" s="178">
        <v>517846</v>
      </c>
      <c r="O405" s="169" t="s">
        <v>1581</v>
      </c>
      <c r="P405" s="169" t="s">
        <v>283</v>
      </c>
      <c r="Q405" s="169" t="s">
        <v>284</v>
      </c>
      <c r="R405" s="169" t="s">
        <v>283</v>
      </c>
      <c r="S405" s="169" t="s">
        <v>283</v>
      </c>
      <c r="T405" s="169">
        <v>0</v>
      </c>
    </row>
    <row r="406" spans="1:20" hidden="1" x14ac:dyDescent="0.2">
      <c r="A406" s="169" t="str">
        <f t="shared" si="6"/>
        <v>622</v>
      </c>
      <c r="B406" s="167" t="str">
        <f>_xlfn.XLOOKUP(I406,Mapping!D:D,Mapping!E:E)</f>
        <v>Xưởng Sản Xuất</v>
      </c>
      <c r="C406" s="167" t="str">
        <f>_xlfn.XLOOKUP(F406,Mapping!A:A,Mapping!F:F)</f>
        <v>Lương Ngoài giờ</v>
      </c>
      <c r="D406" s="173">
        <v>46081</v>
      </c>
      <c r="E406" s="169" t="s">
        <v>1578</v>
      </c>
      <c r="F406" s="169" t="s">
        <v>422</v>
      </c>
      <c r="G406" s="169" t="s">
        <v>423</v>
      </c>
      <c r="H406" s="169" t="s">
        <v>441</v>
      </c>
      <c r="I406" s="169" t="s">
        <v>442</v>
      </c>
      <c r="J406" s="169" t="s">
        <v>1579</v>
      </c>
      <c r="K406" s="169" t="s">
        <v>1580</v>
      </c>
      <c r="L406" s="169" t="s">
        <v>280</v>
      </c>
      <c r="M406" s="169" t="s">
        <v>1453</v>
      </c>
      <c r="N406" s="178">
        <v>1280365</v>
      </c>
      <c r="O406" s="169" t="s">
        <v>1581</v>
      </c>
      <c r="P406" s="169" t="s">
        <v>283</v>
      </c>
      <c r="Q406" s="169" t="s">
        <v>284</v>
      </c>
      <c r="R406" s="169" t="s">
        <v>283</v>
      </c>
      <c r="S406" s="169" t="s">
        <v>283</v>
      </c>
      <c r="T406" s="169">
        <v>0</v>
      </c>
    </row>
    <row r="407" spans="1:20" hidden="1" x14ac:dyDescent="0.2">
      <c r="A407" s="169" t="str">
        <f t="shared" si="6"/>
        <v>627</v>
      </c>
      <c r="B407" s="167" t="str">
        <f>_xlfn.XLOOKUP(I407,Mapping!D:D,Mapping!E:E)</f>
        <v>Xưởng Sản Xuất</v>
      </c>
      <c r="C407" s="167" t="str">
        <f>_xlfn.XLOOKUP(F407,Mapping!A:A,Mapping!F:F)</f>
        <v>Lương Chính +T13</v>
      </c>
      <c r="D407" s="173">
        <v>46081</v>
      </c>
      <c r="E407" s="169" t="s">
        <v>1582</v>
      </c>
      <c r="F407" s="169" t="s">
        <v>388</v>
      </c>
      <c r="G407" s="169" t="s">
        <v>286</v>
      </c>
      <c r="H407" s="169" t="s">
        <v>436</v>
      </c>
      <c r="I407" s="169" t="s">
        <v>437</v>
      </c>
      <c r="J407" s="169" t="s">
        <v>1583</v>
      </c>
      <c r="K407" s="169" t="s">
        <v>1580</v>
      </c>
      <c r="L407" s="169" t="s">
        <v>280</v>
      </c>
      <c r="M407" s="169" t="s">
        <v>1453</v>
      </c>
      <c r="N407" s="178">
        <v>24621583</v>
      </c>
      <c r="O407" s="169" t="s">
        <v>1584</v>
      </c>
      <c r="P407" s="169" t="s">
        <v>283</v>
      </c>
      <c r="Q407" s="169" t="s">
        <v>284</v>
      </c>
      <c r="R407" s="169" t="s">
        <v>283</v>
      </c>
      <c r="S407" s="169" t="s">
        <v>283</v>
      </c>
      <c r="T407" s="169">
        <v>0</v>
      </c>
    </row>
    <row r="408" spans="1:20" hidden="1" x14ac:dyDescent="0.2">
      <c r="A408" s="169" t="str">
        <f t="shared" si="6"/>
        <v>627</v>
      </c>
      <c r="B408" s="167" t="str">
        <f>_xlfn.XLOOKUP(I408,Mapping!D:D,Mapping!E:E)</f>
        <v>Xưởng Sản Xuất</v>
      </c>
      <c r="C408" s="167" t="str">
        <f>_xlfn.XLOOKUP(F408,Mapping!A:A,Mapping!F:F)</f>
        <v>Thưởng</v>
      </c>
      <c r="D408" s="173">
        <v>46081</v>
      </c>
      <c r="E408" s="169" t="s">
        <v>1582</v>
      </c>
      <c r="F408" s="169" t="s">
        <v>395</v>
      </c>
      <c r="G408" s="169" t="s">
        <v>77</v>
      </c>
      <c r="H408" s="169" t="s">
        <v>436</v>
      </c>
      <c r="I408" s="169" t="s">
        <v>437</v>
      </c>
      <c r="J408" s="169" t="s">
        <v>1585</v>
      </c>
      <c r="K408" s="169" t="s">
        <v>1580</v>
      </c>
      <c r="L408" s="169" t="s">
        <v>280</v>
      </c>
      <c r="M408" s="169" t="s">
        <v>1453</v>
      </c>
      <c r="N408" s="178">
        <v>17371347</v>
      </c>
      <c r="O408" s="169" t="s">
        <v>1584</v>
      </c>
      <c r="P408" s="169" t="s">
        <v>283</v>
      </c>
      <c r="Q408" s="169" t="s">
        <v>284</v>
      </c>
      <c r="R408" s="169" t="s">
        <v>283</v>
      </c>
      <c r="S408" s="169" t="s">
        <v>283</v>
      </c>
      <c r="T408" s="169">
        <v>0</v>
      </c>
    </row>
    <row r="409" spans="1:20" hidden="1" x14ac:dyDescent="0.2">
      <c r="A409" s="169" t="str">
        <f t="shared" si="6"/>
        <v>642</v>
      </c>
      <c r="B409" s="167" t="str">
        <f>_xlfn.XLOOKUP(I409,Mapping!D:D,Mapping!E:E)</f>
        <v>Tư vấn dịch vụ</v>
      </c>
      <c r="C409" s="167" t="str">
        <f>_xlfn.XLOOKUP(F409,Mapping!A:A,Mapping!F:F)</f>
        <v>Lương Chính +T13</v>
      </c>
      <c r="D409" s="173">
        <v>46081</v>
      </c>
      <c r="E409" s="169" t="s">
        <v>1582</v>
      </c>
      <c r="F409" s="169" t="s">
        <v>285</v>
      </c>
      <c r="G409" s="169" t="s">
        <v>286</v>
      </c>
      <c r="H409" s="169" t="s">
        <v>443</v>
      </c>
      <c r="I409" s="169" t="s">
        <v>444</v>
      </c>
      <c r="J409" s="169" t="s">
        <v>1583</v>
      </c>
      <c r="K409" s="169" t="s">
        <v>1580</v>
      </c>
      <c r="L409" s="169" t="s">
        <v>280</v>
      </c>
      <c r="M409" s="169" t="s">
        <v>1453</v>
      </c>
      <c r="N409" s="178">
        <v>5833333</v>
      </c>
      <c r="O409" s="169" t="s">
        <v>1584</v>
      </c>
      <c r="P409" s="169" t="s">
        <v>283</v>
      </c>
      <c r="Q409" s="169" t="s">
        <v>284</v>
      </c>
      <c r="R409" s="169" t="s">
        <v>283</v>
      </c>
      <c r="S409" s="169" t="s">
        <v>283</v>
      </c>
      <c r="T409" s="169">
        <v>0</v>
      </c>
    </row>
    <row r="410" spans="1:20" hidden="1" x14ac:dyDescent="0.2">
      <c r="A410" s="169" t="str">
        <f t="shared" si="6"/>
        <v>642</v>
      </c>
      <c r="B410" s="167" t="str">
        <f>_xlfn.XLOOKUP(I410,Mapping!D:D,Mapping!E:E)</f>
        <v>Tư vấn dịch vụ</v>
      </c>
      <c r="C410" s="167" t="str">
        <f>_xlfn.XLOOKUP(F410,Mapping!A:A,Mapping!F:F)</f>
        <v>Thưởng</v>
      </c>
      <c r="D410" s="173">
        <v>46081</v>
      </c>
      <c r="E410" s="169" t="s">
        <v>1582</v>
      </c>
      <c r="F410" s="169" t="s">
        <v>292</v>
      </c>
      <c r="G410" s="169" t="s">
        <v>77</v>
      </c>
      <c r="H410" s="169" t="s">
        <v>443</v>
      </c>
      <c r="I410" s="169" t="s">
        <v>444</v>
      </c>
      <c r="J410" s="169" t="s">
        <v>1585</v>
      </c>
      <c r="K410" s="169" t="s">
        <v>1580</v>
      </c>
      <c r="L410" s="169" t="s">
        <v>280</v>
      </c>
      <c r="M410" s="169" t="s">
        <v>1453</v>
      </c>
      <c r="N410" s="178">
        <v>5366620</v>
      </c>
      <c r="O410" s="169" t="s">
        <v>1584</v>
      </c>
      <c r="P410" s="169" t="s">
        <v>283</v>
      </c>
      <c r="Q410" s="169" t="s">
        <v>284</v>
      </c>
      <c r="R410" s="169" t="s">
        <v>283</v>
      </c>
      <c r="S410" s="169" t="s">
        <v>283</v>
      </c>
      <c r="T410" s="169">
        <v>0</v>
      </c>
    </row>
    <row r="411" spans="1:20" hidden="1" x14ac:dyDescent="0.2">
      <c r="A411" s="169" t="str">
        <f t="shared" si="6"/>
        <v>622</v>
      </c>
      <c r="B411" s="167" t="str">
        <f>_xlfn.XLOOKUP(I411,Mapping!D:D,Mapping!E:E)</f>
        <v>Xưởng Sản Xuất</v>
      </c>
      <c r="C411" s="167" t="str">
        <f>_xlfn.XLOOKUP(F411,Mapping!A:A,Mapping!F:F)</f>
        <v>Lương Chính +T13</v>
      </c>
      <c r="D411" s="173">
        <v>46081</v>
      </c>
      <c r="E411" s="169" t="s">
        <v>1582</v>
      </c>
      <c r="F411" s="169" t="s">
        <v>420</v>
      </c>
      <c r="G411" s="169" t="s">
        <v>286</v>
      </c>
      <c r="H411" s="169" t="s">
        <v>441</v>
      </c>
      <c r="I411" s="169" t="s">
        <v>442</v>
      </c>
      <c r="J411" s="169" t="s">
        <v>1583</v>
      </c>
      <c r="K411" s="169" t="s">
        <v>1580</v>
      </c>
      <c r="L411" s="169" t="s">
        <v>280</v>
      </c>
      <c r="M411" s="169" t="s">
        <v>1453</v>
      </c>
      <c r="N411" s="178">
        <v>498667</v>
      </c>
      <c r="O411" s="169" t="s">
        <v>1584</v>
      </c>
      <c r="P411" s="169" t="s">
        <v>283</v>
      </c>
      <c r="Q411" s="169" t="s">
        <v>284</v>
      </c>
      <c r="R411" s="169" t="s">
        <v>283</v>
      </c>
      <c r="S411" s="169" t="s">
        <v>283</v>
      </c>
      <c r="T411" s="169">
        <v>0</v>
      </c>
    </row>
    <row r="412" spans="1:20" hidden="1" x14ac:dyDescent="0.2">
      <c r="A412" s="169" t="str">
        <f t="shared" si="6"/>
        <v>622</v>
      </c>
      <c r="B412" s="167" t="str">
        <f>_xlfn.XLOOKUP(I412,Mapping!D:D,Mapping!E:E)</f>
        <v>Xưởng Sản Xuất</v>
      </c>
      <c r="C412" s="167" t="str">
        <f>_xlfn.XLOOKUP(F412,Mapping!A:A,Mapping!F:F)</f>
        <v>Thưởng</v>
      </c>
      <c r="D412" s="173">
        <v>46081</v>
      </c>
      <c r="E412" s="169" t="s">
        <v>1582</v>
      </c>
      <c r="F412" s="169" t="s">
        <v>426</v>
      </c>
      <c r="G412" s="169" t="s">
        <v>77</v>
      </c>
      <c r="H412" s="169" t="s">
        <v>441</v>
      </c>
      <c r="I412" s="169" t="s">
        <v>442</v>
      </c>
      <c r="J412" s="169" t="s">
        <v>1585</v>
      </c>
      <c r="K412" s="169" t="s">
        <v>1580</v>
      </c>
      <c r="L412" s="169" t="s">
        <v>280</v>
      </c>
      <c r="M412" s="169" t="s">
        <v>1453</v>
      </c>
      <c r="N412" s="178">
        <v>84769</v>
      </c>
      <c r="O412" s="169" t="s">
        <v>1584</v>
      </c>
      <c r="P412" s="169" t="s">
        <v>283</v>
      </c>
      <c r="Q412" s="169" t="s">
        <v>284</v>
      </c>
      <c r="R412" s="169" t="s">
        <v>283</v>
      </c>
      <c r="S412" s="169" t="s">
        <v>283</v>
      </c>
      <c r="T412" s="169">
        <v>0</v>
      </c>
    </row>
    <row r="413" spans="1:20" hidden="1" x14ac:dyDescent="0.2">
      <c r="A413" s="169" t="str">
        <f t="shared" si="6"/>
        <v>627</v>
      </c>
      <c r="B413" s="167" t="str">
        <f>_xlfn.XLOOKUP(I413,Mapping!D:D,Mapping!E:E)</f>
        <v>Xưởng Sản Xuất</v>
      </c>
      <c r="C413" s="167" t="str">
        <f>_xlfn.XLOOKUP(F413,Mapping!A:A,Mapping!F:F)</f>
        <v>BHXH, BHYT, KPCĐ</v>
      </c>
      <c r="D413" s="173">
        <v>46081</v>
      </c>
      <c r="E413" s="169" t="s">
        <v>1586</v>
      </c>
      <c r="F413" s="169" t="s">
        <v>393</v>
      </c>
      <c r="G413" s="169" t="s">
        <v>296</v>
      </c>
      <c r="H413" s="169" t="s">
        <v>436</v>
      </c>
      <c r="I413" s="169" t="s">
        <v>437</v>
      </c>
      <c r="J413" s="169" t="s">
        <v>1587</v>
      </c>
      <c r="K413" s="169" t="s">
        <v>1580</v>
      </c>
      <c r="L413" s="169" t="s">
        <v>280</v>
      </c>
      <c r="M413" s="169" t="s">
        <v>1453</v>
      </c>
      <c r="N413" s="178">
        <v>63910365</v>
      </c>
      <c r="O413" s="169" t="s">
        <v>1588</v>
      </c>
      <c r="P413" s="169" t="s">
        <v>283</v>
      </c>
      <c r="Q413" s="169" t="s">
        <v>284</v>
      </c>
      <c r="R413" s="169" t="s">
        <v>283</v>
      </c>
      <c r="S413" s="169" t="s">
        <v>283</v>
      </c>
      <c r="T413" s="169">
        <v>0</v>
      </c>
    </row>
    <row r="414" spans="1:20" hidden="1" x14ac:dyDescent="0.2">
      <c r="A414" s="169" t="str">
        <f t="shared" si="6"/>
        <v>622</v>
      </c>
      <c r="B414" s="167" t="str">
        <f>_xlfn.XLOOKUP(I414,Mapping!D:D,Mapping!E:E)</f>
        <v>Xưởng Sản Xuất</v>
      </c>
      <c r="C414" s="167" t="str">
        <f>_xlfn.XLOOKUP(F414,Mapping!A:A,Mapping!F:F)</f>
        <v>BHXH, BHYT, KPCĐ</v>
      </c>
      <c r="D414" s="173">
        <v>46081</v>
      </c>
      <c r="E414" s="169" t="s">
        <v>1586</v>
      </c>
      <c r="F414" s="169" t="s">
        <v>425</v>
      </c>
      <c r="G414" s="169" t="s">
        <v>296</v>
      </c>
      <c r="H414" s="169" t="s">
        <v>441</v>
      </c>
      <c r="I414" s="169" t="s">
        <v>442</v>
      </c>
      <c r="J414" s="169" t="s">
        <v>1587</v>
      </c>
      <c r="K414" s="169" t="s">
        <v>1580</v>
      </c>
      <c r="L414" s="169" t="s">
        <v>280</v>
      </c>
      <c r="M414" s="169" t="s">
        <v>1453</v>
      </c>
      <c r="N414" s="178">
        <v>1406240</v>
      </c>
      <c r="O414" s="169" t="s">
        <v>1588</v>
      </c>
      <c r="P414" s="169" t="s">
        <v>283</v>
      </c>
      <c r="Q414" s="169" t="s">
        <v>284</v>
      </c>
      <c r="R414" s="169" t="s">
        <v>283</v>
      </c>
      <c r="S414" s="169" t="s">
        <v>283</v>
      </c>
      <c r="T414" s="169">
        <v>0</v>
      </c>
    </row>
    <row r="415" spans="1:20" hidden="1" x14ac:dyDescent="0.2">
      <c r="A415" s="169" t="str">
        <f t="shared" si="6"/>
        <v>627</v>
      </c>
      <c r="B415" s="167" t="str">
        <f>_xlfn.XLOOKUP(I415,Mapping!D:D,Mapping!E:E)</f>
        <v>Xưởng Sản Xuất</v>
      </c>
      <c r="C415" s="167" t="str">
        <f>_xlfn.XLOOKUP(F415,Mapping!A:A,Mapping!F:F)</f>
        <v>BHXH, BHYT, KPCĐ</v>
      </c>
      <c r="D415" s="173">
        <v>46081</v>
      </c>
      <c r="E415" s="169" t="s">
        <v>1601</v>
      </c>
      <c r="F415" s="169" t="s">
        <v>393</v>
      </c>
      <c r="G415" s="169" t="s">
        <v>296</v>
      </c>
      <c r="H415" s="169" t="s">
        <v>436</v>
      </c>
      <c r="I415" s="169" t="s">
        <v>437</v>
      </c>
      <c r="J415" s="169" t="s">
        <v>1587</v>
      </c>
      <c r="K415" s="169" t="s">
        <v>1580</v>
      </c>
      <c r="L415" s="169" t="s">
        <v>280</v>
      </c>
      <c r="M415" s="169" t="s">
        <v>1453</v>
      </c>
      <c r="N415" s="178">
        <v>447000</v>
      </c>
      <c r="O415" s="169" t="s">
        <v>1602</v>
      </c>
      <c r="P415" s="169" t="s">
        <v>283</v>
      </c>
      <c r="Q415" s="169" t="s">
        <v>284</v>
      </c>
      <c r="R415" s="169" t="s">
        <v>283</v>
      </c>
      <c r="S415" s="169" t="s">
        <v>283</v>
      </c>
      <c r="T415" s="169">
        <v>0</v>
      </c>
    </row>
    <row r="416" spans="1:20" hidden="1" x14ac:dyDescent="0.2">
      <c r="A416" s="169" t="str">
        <f t="shared" si="6"/>
        <v>627</v>
      </c>
      <c r="B416" s="167" t="str">
        <f>_xlfn.XLOOKUP(I416,Mapping!D:D,Mapping!E:E)</f>
        <v>Xưởng Sản Xuất</v>
      </c>
      <c r="C416" s="167" t="str">
        <f>_xlfn.XLOOKUP(F416,Mapping!A:A,Mapping!F:F)</f>
        <v>Phụ Cấp</v>
      </c>
      <c r="D416" s="173">
        <v>46081</v>
      </c>
      <c r="E416" s="169" t="s">
        <v>1597</v>
      </c>
      <c r="F416" s="169" t="s">
        <v>375</v>
      </c>
      <c r="G416" s="169" t="s">
        <v>336</v>
      </c>
      <c r="H416" s="169" t="s">
        <v>436</v>
      </c>
      <c r="I416" s="169" t="s">
        <v>437</v>
      </c>
      <c r="J416" s="169" t="s">
        <v>1660</v>
      </c>
      <c r="K416" s="169" t="s">
        <v>1599</v>
      </c>
      <c r="L416" s="169" t="s">
        <v>280</v>
      </c>
      <c r="M416" s="169" t="s">
        <v>1453</v>
      </c>
      <c r="N416" s="178">
        <v>5979509</v>
      </c>
      <c r="O416" s="169" t="s">
        <v>1600</v>
      </c>
      <c r="P416" s="169" t="s">
        <v>283</v>
      </c>
      <c r="Q416" s="169" t="s">
        <v>306</v>
      </c>
      <c r="R416" s="169" t="s">
        <v>283</v>
      </c>
      <c r="S416" s="169" t="s">
        <v>283</v>
      </c>
      <c r="T416" s="169">
        <v>0</v>
      </c>
    </row>
    <row r="417" spans="1:20" hidden="1" x14ac:dyDescent="0.2">
      <c r="A417" s="169" t="str">
        <f t="shared" si="6"/>
        <v>622</v>
      </c>
      <c r="B417" s="167" t="str">
        <f>_xlfn.XLOOKUP(I417,Mapping!D:D,Mapping!E:E)</f>
        <v>Xưởng Sản Xuất</v>
      </c>
      <c r="C417" s="167" t="str">
        <f>_xlfn.XLOOKUP(F417,Mapping!A:A,Mapping!F:F)</f>
        <v>Phụ Cấp</v>
      </c>
      <c r="D417" s="173">
        <v>46081</v>
      </c>
      <c r="E417" s="169" t="s">
        <v>1654</v>
      </c>
      <c r="F417" s="169" t="s">
        <v>414</v>
      </c>
      <c r="G417" s="169" t="s">
        <v>415</v>
      </c>
      <c r="H417" s="169" t="s">
        <v>441</v>
      </c>
      <c r="I417" s="169" t="s">
        <v>442</v>
      </c>
      <c r="J417" s="169" t="s">
        <v>416</v>
      </c>
      <c r="K417" s="169" t="s">
        <v>416</v>
      </c>
      <c r="L417" s="169" t="s">
        <v>280</v>
      </c>
      <c r="M417" s="169" t="s">
        <v>1453</v>
      </c>
      <c r="N417" s="178">
        <v>336000</v>
      </c>
      <c r="O417" s="169" t="s">
        <v>1655</v>
      </c>
      <c r="P417" s="169" t="s">
        <v>283</v>
      </c>
      <c r="Q417" s="169" t="s">
        <v>348</v>
      </c>
      <c r="R417" s="169" t="s">
        <v>283</v>
      </c>
      <c r="S417" s="169" t="s">
        <v>283</v>
      </c>
      <c r="T417" s="169">
        <v>0</v>
      </c>
    </row>
    <row r="418" spans="1:20" hidden="1" x14ac:dyDescent="0.2">
      <c r="A418" s="169" t="str">
        <f t="shared" si="6"/>
        <v>627</v>
      </c>
      <c r="B418" s="167" t="str">
        <f>_xlfn.XLOOKUP(I418,Mapping!D:D,Mapping!E:E)</f>
        <v>Xưởng Sản Xuất</v>
      </c>
      <c r="C418" s="167" t="str">
        <f>_xlfn.XLOOKUP(F418,Mapping!A:A,Mapping!F:F)</f>
        <v>Phụ Cấp</v>
      </c>
      <c r="D418" s="173">
        <v>46081</v>
      </c>
      <c r="E418" s="169" t="s">
        <v>1654</v>
      </c>
      <c r="F418" s="169" t="s">
        <v>375</v>
      </c>
      <c r="G418" s="169" t="s">
        <v>336</v>
      </c>
      <c r="H418" s="169" t="s">
        <v>441</v>
      </c>
      <c r="I418" s="169" t="s">
        <v>442</v>
      </c>
      <c r="J418" s="169" t="s">
        <v>416</v>
      </c>
      <c r="K418" s="169" t="s">
        <v>416</v>
      </c>
      <c r="L418" s="169" t="s">
        <v>280</v>
      </c>
      <c r="M418" s="169" t="s">
        <v>1453</v>
      </c>
      <c r="N418" s="178">
        <v>-336000</v>
      </c>
      <c r="O418" s="169" t="s">
        <v>1655</v>
      </c>
      <c r="P418" s="169" t="s">
        <v>283</v>
      </c>
      <c r="Q418" s="169" t="s">
        <v>348</v>
      </c>
      <c r="R418" s="169" t="s">
        <v>283</v>
      </c>
      <c r="S418" s="169" t="s">
        <v>283</v>
      </c>
      <c r="T418" s="169">
        <v>0</v>
      </c>
    </row>
    <row r="419" spans="1:20" hidden="1" x14ac:dyDescent="0.2">
      <c r="A419" s="169" t="str">
        <f t="shared" si="6"/>
        <v>622</v>
      </c>
      <c r="B419" s="167" t="str">
        <f>_xlfn.XLOOKUP(I419,Mapping!D:D,Mapping!E:E)</f>
        <v>Xưởng Sản Xuất</v>
      </c>
      <c r="C419" s="167" t="str">
        <f>_xlfn.XLOOKUP(F419,Mapping!A:A,Mapping!F:F)</f>
        <v>Phụ Cấp</v>
      </c>
      <c r="D419" s="173">
        <v>46081</v>
      </c>
      <c r="E419" s="169" t="s">
        <v>1654</v>
      </c>
      <c r="F419" s="169" t="s">
        <v>414</v>
      </c>
      <c r="G419" s="169" t="s">
        <v>415</v>
      </c>
      <c r="H419" s="169" t="s">
        <v>441</v>
      </c>
      <c r="I419" s="169" t="s">
        <v>442</v>
      </c>
      <c r="J419" s="169" t="s">
        <v>416</v>
      </c>
      <c r="K419" s="169" t="s">
        <v>416</v>
      </c>
      <c r="L419" s="169" t="s">
        <v>280</v>
      </c>
      <c r="M419" s="169" t="s">
        <v>1453</v>
      </c>
      <c r="N419" s="178">
        <v>56000</v>
      </c>
      <c r="O419" s="169" t="s">
        <v>1655</v>
      </c>
      <c r="P419" s="169" t="s">
        <v>283</v>
      </c>
      <c r="Q419" s="169" t="s">
        <v>348</v>
      </c>
      <c r="R419" s="169" t="s">
        <v>283</v>
      </c>
      <c r="S419" s="169" t="s">
        <v>283</v>
      </c>
      <c r="T419" s="169">
        <v>0</v>
      </c>
    </row>
    <row r="420" spans="1:20" hidden="1" x14ac:dyDescent="0.2">
      <c r="A420" s="169" t="str">
        <f t="shared" ref="A420:A483" si="7">LEFT(F420,3)</f>
        <v>642</v>
      </c>
      <c r="B420" s="167" t="str">
        <f>_xlfn.XLOOKUP(I420,Mapping!D:D,Mapping!E:E)</f>
        <v>Ban Giám Đốc</v>
      </c>
      <c r="C420" s="167" t="str">
        <f>_xlfn.XLOOKUP(F420,Mapping!A:A,Mapping!F:F)</f>
        <v>Lương Chính +T13</v>
      </c>
      <c r="D420" s="173">
        <v>46112</v>
      </c>
      <c r="E420" s="169" t="s">
        <v>1662</v>
      </c>
      <c r="F420" s="169" t="s">
        <v>274</v>
      </c>
      <c r="G420" s="169" t="s">
        <v>275</v>
      </c>
      <c r="H420" s="169" t="s">
        <v>276</v>
      </c>
      <c r="I420" s="169" t="s">
        <v>277</v>
      </c>
      <c r="J420" s="169" t="s">
        <v>1663</v>
      </c>
      <c r="K420" s="169" t="s">
        <v>1664</v>
      </c>
      <c r="L420" s="169" t="s">
        <v>534</v>
      </c>
      <c r="M420" s="169" t="s">
        <v>1453</v>
      </c>
      <c r="N420" s="178">
        <v>1553240133</v>
      </c>
      <c r="O420" s="169" t="s">
        <v>1665</v>
      </c>
      <c r="P420" s="169" t="s">
        <v>283</v>
      </c>
      <c r="Q420" s="169" t="s">
        <v>284</v>
      </c>
      <c r="R420" s="169" t="s">
        <v>283</v>
      </c>
      <c r="S420" s="169" t="s">
        <v>283</v>
      </c>
      <c r="T420" s="169">
        <v>0</v>
      </c>
    </row>
    <row r="421" spans="1:20" hidden="1" x14ac:dyDescent="0.2">
      <c r="A421" s="169" t="str">
        <f t="shared" si="7"/>
        <v>642</v>
      </c>
      <c r="B421" s="167" t="str">
        <f>_xlfn.XLOOKUP(I421,Mapping!D:D,Mapping!E:E)</f>
        <v>Ban Giám Đốc</v>
      </c>
      <c r="C421" s="167" t="str">
        <f>_xlfn.XLOOKUP(F421,Mapping!A:A,Mapping!F:F)</f>
        <v>Lương Chính +T13</v>
      </c>
      <c r="D421" s="173">
        <v>46112</v>
      </c>
      <c r="E421" s="169" t="s">
        <v>1666</v>
      </c>
      <c r="F421" s="169" t="s">
        <v>285</v>
      </c>
      <c r="G421" s="169" t="s">
        <v>286</v>
      </c>
      <c r="H421" s="169" t="s">
        <v>276</v>
      </c>
      <c r="I421" s="169" t="s">
        <v>277</v>
      </c>
      <c r="J421" s="169" t="s">
        <v>1663</v>
      </c>
      <c r="K421" s="169" t="s">
        <v>1664</v>
      </c>
      <c r="L421" s="169" t="s">
        <v>534</v>
      </c>
      <c r="M421" s="169" t="s">
        <v>1453</v>
      </c>
      <c r="N421" s="178">
        <v>17139091</v>
      </c>
      <c r="O421" s="169" t="s">
        <v>1667</v>
      </c>
      <c r="P421" s="169" t="s">
        <v>283</v>
      </c>
      <c r="Q421" s="169" t="s">
        <v>284</v>
      </c>
      <c r="R421" s="169" t="s">
        <v>283</v>
      </c>
      <c r="S421" s="169" t="s">
        <v>283</v>
      </c>
      <c r="T421" s="169">
        <v>0</v>
      </c>
    </row>
    <row r="422" spans="1:20" hidden="1" x14ac:dyDescent="0.2">
      <c r="A422" s="169" t="str">
        <f t="shared" si="7"/>
        <v>642</v>
      </c>
      <c r="B422" s="167" t="str">
        <f>_xlfn.XLOOKUP(I422,Mapping!D:D,Mapping!E:E)</f>
        <v>Ban Giám Đốc</v>
      </c>
      <c r="C422" s="167" t="str">
        <f>_xlfn.XLOOKUP(F422,Mapping!A:A,Mapping!F:F)</f>
        <v>Lương Chính +T13</v>
      </c>
      <c r="D422" s="173">
        <v>46112</v>
      </c>
      <c r="E422" s="169" t="s">
        <v>1668</v>
      </c>
      <c r="F422" s="169" t="s">
        <v>285</v>
      </c>
      <c r="G422" s="169" t="s">
        <v>286</v>
      </c>
      <c r="H422" s="169" t="s">
        <v>276</v>
      </c>
      <c r="I422" s="169" t="s">
        <v>277</v>
      </c>
      <c r="J422" s="169" t="s">
        <v>1669</v>
      </c>
      <c r="K422" s="169" t="s">
        <v>1664</v>
      </c>
      <c r="L422" s="169" t="s">
        <v>534</v>
      </c>
      <c r="M422" s="169" t="s">
        <v>1453</v>
      </c>
      <c r="N422" s="178">
        <v>123031833</v>
      </c>
      <c r="O422" s="169" t="s">
        <v>1670</v>
      </c>
      <c r="P422" s="169" t="s">
        <v>283</v>
      </c>
      <c r="Q422" s="169" t="s">
        <v>284</v>
      </c>
      <c r="R422" s="169" t="s">
        <v>283</v>
      </c>
      <c r="S422" s="169" t="s">
        <v>283</v>
      </c>
      <c r="T422" s="169">
        <v>0</v>
      </c>
    </row>
    <row r="423" spans="1:20" hidden="1" x14ac:dyDescent="0.2">
      <c r="A423" s="169" t="str">
        <f t="shared" si="7"/>
        <v>642</v>
      </c>
      <c r="B423" s="167" t="str">
        <f>_xlfn.XLOOKUP(I423,Mapping!D:D,Mapping!E:E)</f>
        <v>Ban Giám Đốc</v>
      </c>
      <c r="C423" s="167" t="str">
        <f>_xlfn.XLOOKUP(F423,Mapping!A:A,Mapping!F:F)</f>
        <v>Thưởng</v>
      </c>
      <c r="D423" s="173">
        <v>46112</v>
      </c>
      <c r="E423" s="169" t="s">
        <v>1671</v>
      </c>
      <c r="F423" s="169" t="s">
        <v>292</v>
      </c>
      <c r="G423" s="169" t="s">
        <v>77</v>
      </c>
      <c r="H423" s="169" t="s">
        <v>276</v>
      </c>
      <c r="I423" s="169" t="s">
        <v>277</v>
      </c>
      <c r="J423" s="169" t="s">
        <v>1672</v>
      </c>
      <c r="K423" s="169" t="s">
        <v>1664</v>
      </c>
      <c r="L423" s="169" t="s">
        <v>534</v>
      </c>
      <c r="M423" s="169" t="s">
        <v>1453</v>
      </c>
      <c r="N423" s="178">
        <v>113188302</v>
      </c>
      <c r="O423" s="169" t="s">
        <v>1673</v>
      </c>
      <c r="P423" s="169" t="s">
        <v>283</v>
      </c>
      <c r="Q423" s="169" t="s">
        <v>284</v>
      </c>
      <c r="R423" s="169" t="s">
        <v>283</v>
      </c>
      <c r="S423" s="169" t="s">
        <v>283</v>
      </c>
      <c r="T423" s="169">
        <v>0</v>
      </c>
    </row>
    <row r="424" spans="1:20" hidden="1" x14ac:dyDescent="0.2">
      <c r="A424" s="169" t="str">
        <f t="shared" si="7"/>
        <v>642</v>
      </c>
      <c r="B424" s="167" t="str">
        <f>_xlfn.XLOOKUP(I424,Mapping!D:D,Mapping!E:E)</f>
        <v>Ban Giám Đốc</v>
      </c>
      <c r="C424" s="167" t="str">
        <f>_xlfn.XLOOKUP(F424,Mapping!A:A,Mapping!F:F)</f>
        <v>Phụ Cấp</v>
      </c>
      <c r="D424" s="173">
        <v>46112</v>
      </c>
      <c r="E424" s="169" t="s">
        <v>1674</v>
      </c>
      <c r="F424" s="169" t="s">
        <v>335</v>
      </c>
      <c r="G424" s="169" t="s">
        <v>336</v>
      </c>
      <c r="H424" s="169" t="s">
        <v>276</v>
      </c>
      <c r="I424" s="169" t="s">
        <v>277</v>
      </c>
      <c r="J424" s="169" t="s">
        <v>1663</v>
      </c>
      <c r="K424" s="169" t="s">
        <v>1664</v>
      </c>
      <c r="L424" s="169" t="s">
        <v>534</v>
      </c>
      <c r="M424" s="169" t="s">
        <v>1453</v>
      </c>
      <c r="N424" s="178">
        <v>100000</v>
      </c>
      <c r="O424" s="169" t="s">
        <v>1675</v>
      </c>
      <c r="P424" s="169" t="s">
        <v>283</v>
      </c>
      <c r="Q424" s="169" t="s">
        <v>284</v>
      </c>
      <c r="R424" s="169" t="s">
        <v>283</v>
      </c>
      <c r="S424" s="169" t="s">
        <v>283</v>
      </c>
      <c r="T424" s="169">
        <v>0</v>
      </c>
    </row>
    <row r="425" spans="1:20" hidden="1" x14ac:dyDescent="0.2">
      <c r="A425" s="169" t="str">
        <f t="shared" si="7"/>
        <v>642</v>
      </c>
      <c r="B425" s="167" t="str">
        <f>_xlfn.XLOOKUP(I425,Mapping!D:D,Mapping!E:E)</f>
        <v>Ban Giám Đốc</v>
      </c>
      <c r="C425" s="167" t="str">
        <f>_xlfn.XLOOKUP(F425,Mapping!A:A,Mapping!F:F)</f>
        <v>BHXH, BHYT, KPCĐ</v>
      </c>
      <c r="D425" s="173">
        <v>46112</v>
      </c>
      <c r="E425" s="169" t="s">
        <v>1676</v>
      </c>
      <c r="F425" s="169" t="s">
        <v>295</v>
      </c>
      <c r="G425" s="169" t="s">
        <v>296</v>
      </c>
      <c r="H425" s="169" t="s">
        <v>276</v>
      </c>
      <c r="I425" s="169" t="s">
        <v>277</v>
      </c>
      <c r="J425" s="169" t="s">
        <v>1677</v>
      </c>
      <c r="K425" s="169" t="s">
        <v>1664</v>
      </c>
      <c r="L425" s="169" t="s">
        <v>534</v>
      </c>
      <c r="M425" s="169" t="s">
        <v>1453</v>
      </c>
      <c r="N425" s="178">
        <v>156408545</v>
      </c>
      <c r="O425" s="169" t="s">
        <v>1678</v>
      </c>
      <c r="P425" s="169" t="s">
        <v>283</v>
      </c>
      <c r="Q425" s="169" t="s">
        <v>284</v>
      </c>
      <c r="R425" s="169" t="s">
        <v>283</v>
      </c>
      <c r="S425" s="169" t="s">
        <v>283</v>
      </c>
      <c r="T425" s="169">
        <v>0</v>
      </c>
    </row>
    <row r="426" spans="1:20" hidden="1" x14ac:dyDescent="0.2">
      <c r="A426" s="169" t="str">
        <f t="shared" si="7"/>
        <v>642</v>
      </c>
      <c r="B426" s="167" t="str">
        <f>_xlfn.XLOOKUP(I426,Mapping!D:D,Mapping!E:E)</f>
        <v>Hành Chánh Nhân Sự</v>
      </c>
      <c r="C426" s="167" t="str">
        <f>_xlfn.XLOOKUP(F426,Mapping!A:A,Mapping!F:F)</f>
        <v>Phụ Cấp</v>
      </c>
      <c r="D426" s="173">
        <v>46101</v>
      </c>
      <c r="E426" s="169" t="s">
        <v>1679</v>
      </c>
      <c r="F426" s="169" t="s">
        <v>335</v>
      </c>
      <c r="G426" s="169" t="s">
        <v>336</v>
      </c>
      <c r="H426" s="169" t="s">
        <v>301</v>
      </c>
      <c r="I426" s="169" t="s">
        <v>302</v>
      </c>
      <c r="J426" s="169" t="s">
        <v>1680</v>
      </c>
      <c r="K426" s="169" t="s">
        <v>992</v>
      </c>
      <c r="L426" s="169" t="s">
        <v>534</v>
      </c>
      <c r="M426" s="169" t="s">
        <v>1453</v>
      </c>
      <c r="N426" s="178">
        <v>18032000</v>
      </c>
      <c r="O426" s="169" t="s">
        <v>1681</v>
      </c>
      <c r="P426" s="169" t="s">
        <v>283</v>
      </c>
      <c r="Q426" s="169" t="s">
        <v>306</v>
      </c>
      <c r="R426" s="169" t="s">
        <v>283</v>
      </c>
      <c r="S426" s="169" t="s">
        <v>283</v>
      </c>
      <c r="T426" s="169">
        <v>0</v>
      </c>
    </row>
    <row r="427" spans="1:20" hidden="1" x14ac:dyDescent="0.2">
      <c r="A427" s="169" t="str">
        <f t="shared" si="7"/>
        <v>642</v>
      </c>
      <c r="B427" s="167" t="str">
        <f>_xlfn.XLOOKUP(I427,Mapping!D:D,Mapping!E:E)</f>
        <v>Văn Phòng Giám Đốc</v>
      </c>
      <c r="C427" s="167" t="str">
        <f>_xlfn.XLOOKUP(F427,Mapping!A:A,Mapping!F:F)</f>
        <v>Phụ Cấp</v>
      </c>
      <c r="D427" s="173">
        <v>46101</v>
      </c>
      <c r="E427" s="169" t="s">
        <v>1679</v>
      </c>
      <c r="F427" s="169" t="s">
        <v>335</v>
      </c>
      <c r="G427" s="169" t="s">
        <v>336</v>
      </c>
      <c r="H427" s="169" t="s">
        <v>320</v>
      </c>
      <c r="I427" s="169" t="s">
        <v>321</v>
      </c>
      <c r="J427" s="169" t="s">
        <v>1680</v>
      </c>
      <c r="K427" s="169" t="s">
        <v>992</v>
      </c>
      <c r="L427" s="169" t="s">
        <v>534</v>
      </c>
      <c r="M427" s="169" t="s">
        <v>1453</v>
      </c>
      <c r="N427" s="178">
        <v>1624000</v>
      </c>
      <c r="O427" s="169" t="s">
        <v>1681</v>
      </c>
      <c r="P427" s="169" t="s">
        <v>283</v>
      </c>
      <c r="Q427" s="169" t="s">
        <v>306</v>
      </c>
      <c r="R427" s="169" t="s">
        <v>283</v>
      </c>
      <c r="S427" s="169" t="s">
        <v>283</v>
      </c>
      <c r="T427" s="169">
        <v>0</v>
      </c>
    </row>
    <row r="428" spans="1:20" hidden="1" x14ac:dyDescent="0.2">
      <c r="A428" s="169" t="str">
        <f t="shared" si="7"/>
        <v>642</v>
      </c>
      <c r="B428" s="167" t="str">
        <f>_xlfn.XLOOKUP(I428,Mapping!D:D,Mapping!E:E)</f>
        <v>Hành Chánh Nhân Sự</v>
      </c>
      <c r="C428" s="167" t="str">
        <f>_xlfn.XLOOKUP(F428,Mapping!A:A,Mapping!F:F)</f>
        <v>Phụ Cấp</v>
      </c>
      <c r="D428" s="173">
        <v>46111</v>
      </c>
      <c r="E428" s="169" t="s">
        <v>1682</v>
      </c>
      <c r="F428" s="169" t="s">
        <v>335</v>
      </c>
      <c r="G428" s="169" t="s">
        <v>336</v>
      </c>
      <c r="H428" s="169" t="s">
        <v>301</v>
      </c>
      <c r="I428" s="169" t="s">
        <v>302</v>
      </c>
      <c r="J428" s="169" t="s">
        <v>1683</v>
      </c>
      <c r="K428" s="169" t="s">
        <v>741</v>
      </c>
      <c r="L428" s="169" t="s">
        <v>534</v>
      </c>
      <c r="M428" s="169" t="s">
        <v>1453</v>
      </c>
      <c r="N428" s="178">
        <v>9828000</v>
      </c>
      <c r="O428" s="169" t="s">
        <v>1684</v>
      </c>
      <c r="P428" s="169" t="s">
        <v>283</v>
      </c>
      <c r="Q428" s="169" t="s">
        <v>306</v>
      </c>
      <c r="R428" s="169" t="s">
        <v>283</v>
      </c>
      <c r="S428" s="169" t="s">
        <v>283</v>
      </c>
      <c r="T428" s="169">
        <v>0</v>
      </c>
    </row>
    <row r="429" spans="1:20" hidden="1" x14ac:dyDescent="0.2">
      <c r="A429" s="169" t="str">
        <f t="shared" si="7"/>
        <v>642</v>
      </c>
      <c r="B429" s="167" t="str">
        <f>_xlfn.XLOOKUP(I429,Mapping!D:D,Mapping!E:E)</f>
        <v>Văn Phòng Giám Đốc</v>
      </c>
      <c r="C429" s="167" t="str">
        <f>_xlfn.XLOOKUP(F429,Mapping!A:A,Mapping!F:F)</f>
        <v>Phụ Cấp</v>
      </c>
      <c r="D429" s="173">
        <v>46111</v>
      </c>
      <c r="E429" s="169" t="s">
        <v>1682</v>
      </c>
      <c r="F429" s="169" t="s">
        <v>335</v>
      </c>
      <c r="G429" s="169" t="s">
        <v>336</v>
      </c>
      <c r="H429" s="169" t="s">
        <v>320</v>
      </c>
      <c r="I429" s="169" t="s">
        <v>321</v>
      </c>
      <c r="J429" s="169" t="s">
        <v>1683</v>
      </c>
      <c r="K429" s="169" t="s">
        <v>741</v>
      </c>
      <c r="L429" s="169" t="s">
        <v>534</v>
      </c>
      <c r="M429" s="169" t="s">
        <v>1453</v>
      </c>
      <c r="N429" s="178">
        <v>812000</v>
      </c>
      <c r="O429" s="169" t="s">
        <v>1684</v>
      </c>
      <c r="P429" s="169" t="s">
        <v>283</v>
      </c>
      <c r="Q429" s="169" t="s">
        <v>306</v>
      </c>
      <c r="R429" s="169" t="s">
        <v>283</v>
      </c>
      <c r="S429" s="169" t="s">
        <v>283</v>
      </c>
      <c r="T429" s="169">
        <v>0</v>
      </c>
    </row>
    <row r="430" spans="1:20" hidden="1" x14ac:dyDescent="0.2">
      <c r="A430" s="169" t="str">
        <f t="shared" si="7"/>
        <v>642</v>
      </c>
      <c r="B430" s="167" t="str">
        <f>_xlfn.XLOOKUP(I430,Mapping!D:D,Mapping!E:E)</f>
        <v>Hành Chánh Nhân Sự</v>
      </c>
      <c r="C430" s="167" t="str">
        <f>_xlfn.XLOOKUP(F430,Mapping!A:A,Mapping!F:F)</f>
        <v>Lương Chính +T13</v>
      </c>
      <c r="D430" s="173">
        <v>46112</v>
      </c>
      <c r="E430" s="169" t="s">
        <v>1685</v>
      </c>
      <c r="F430" s="169" t="s">
        <v>274</v>
      </c>
      <c r="G430" s="169" t="s">
        <v>275</v>
      </c>
      <c r="H430" s="169" t="s">
        <v>301</v>
      </c>
      <c r="I430" s="169" t="s">
        <v>302</v>
      </c>
      <c r="J430" s="169" t="s">
        <v>1686</v>
      </c>
      <c r="K430" s="169" t="s">
        <v>328</v>
      </c>
      <c r="L430" s="169" t="s">
        <v>534</v>
      </c>
      <c r="M430" s="169" t="s">
        <v>1453</v>
      </c>
      <c r="N430" s="178">
        <v>81758065</v>
      </c>
      <c r="O430" s="169" t="s">
        <v>1687</v>
      </c>
      <c r="P430" s="169" t="s">
        <v>283</v>
      </c>
      <c r="Q430" s="169" t="s">
        <v>306</v>
      </c>
      <c r="R430" s="169" t="s">
        <v>283</v>
      </c>
      <c r="S430" s="169" t="s">
        <v>283</v>
      </c>
      <c r="T430" s="169">
        <v>0</v>
      </c>
    </row>
    <row r="431" spans="1:20" hidden="1" x14ac:dyDescent="0.2">
      <c r="A431" s="169" t="str">
        <f t="shared" si="7"/>
        <v>642</v>
      </c>
      <c r="B431" s="167" t="str">
        <f>_xlfn.XLOOKUP(I431,Mapping!D:D,Mapping!E:E)</f>
        <v>Hành Chánh Nhân Sự</v>
      </c>
      <c r="C431" s="167" t="str">
        <f>_xlfn.XLOOKUP(F431,Mapping!A:A,Mapping!F:F)</f>
        <v>Khen thưởng BD khác</v>
      </c>
      <c r="D431" s="173">
        <v>46112</v>
      </c>
      <c r="E431" s="169" t="s">
        <v>1688</v>
      </c>
      <c r="F431" s="169" t="s">
        <v>300</v>
      </c>
      <c r="G431" s="169" t="s">
        <v>222</v>
      </c>
      <c r="H431" s="169" t="s">
        <v>301</v>
      </c>
      <c r="I431" s="169" t="s">
        <v>302</v>
      </c>
      <c r="J431" s="169" t="s">
        <v>1689</v>
      </c>
      <c r="K431" s="169" t="s">
        <v>1690</v>
      </c>
      <c r="L431" s="169" t="s">
        <v>534</v>
      </c>
      <c r="M431" s="169" t="s">
        <v>1453</v>
      </c>
      <c r="N431" s="178">
        <v>6000000</v>
      </c>
      <c r="O431" s="169" t="s">
        <v>1691</v>
      </c>
      <c r="P431" s="169" t="s">
        <v>283</v>
      </c>
      <c r="Q431" s="169" t="s">
        <v>306</v>
      </c>
      <c r="R431" s="169" t="s">
        <v>283</v>
      </c>
      <c r="S431" s="169" t="s">
        <v>283</v>
      </c>
      <c r="T431" s="169">
        <v>0</v>
      </c>
    </row>
    <row r="432" spans="1:20" hidden="1" x14ac:dyDescent="0.2">
      <c r="A432" s="169" t="str">
        <f t="shared" si="7"/>
        <v>642</v>
      </c>
      <c r="B432" s="167" t="str">
        <f>_xlfn.XLOOKUP(I432,Mapping!D:D,Mapping!E:E)</f>
        <v>Văn Phòng Giám Đốc</v>
      </c>
      <c r="C432" s="167" t="str">
        <f>_xlfn.XLOOKUP(F432,Mapping!A:A,Mapping!F:F)</f>
        <v>Lương Chính +T13</v>
      </c>
      <c r="D432" s="173">
        <v>46112</v>
      </c>
      <c r="E432" s="169" t="s">
        <v>1692</v>
      </c>
      <c r="F432" s="169" t="s">
        <v>274</v>
      </c>
      <c r="G432" s="169" t="s">
        <v>275</v>
      </c>
      <c r="H432" s="169" t="s">
        <v>320</v>
      </c>
      <c r="I432" s="169" t="s">
        <v>321</v>
      </c>
      <c r="J432" s="169" t="s">
        <v>1663</v>
      </c>
      <c r="K432" s="169" t="s">
        <v>1664</v>
      </c>
      <c r="L432" s="169" t="s">
        <v>534</v>
      </c>
      <c r="M432" s="169" t="s">
        <v>1453</v>
      </c>
      <c r="N432" s="178">
        <v>131645601</v>
      </c>
      <c r="O432" s="169" t="s">
        <v>1693</v>
      </c>
      <c r="P432" s="169" t="s">
        <v>283</v>
      </c>
      <c r="Q432" s="169" t="s">
        <v>284</v>
      </c>
      <c r="R432" s="169" t="s">
        <v>283</v>
      </c>
      <c r="S432" s="169" t="s">
        <v>283</v>
      </c>
      <c r="T432" s="169">
        <v>0</v>
      </c>
    </row>
    <row r="433" spans="1:20" hidden="1" x14ac:dyDescent="0.2">
      <c r="A433" s="169" t="str">
        <f t="shared" si="7"/>
        <v>642</v>
      </c>
      <c r="B433" s="167" t="str">
        <f>_xlfn.XLOOKUP(I433,Mapping!D:D,Mapping!E:E)</f>
        <v>Văn Phòng Giám Đốc</v>
      </c>
      <c r="C433" s="167" t="str">
        <f>_xlfn.XLOOKUP(F433,Mapping!A:A,Mapping!F:F)</f>
        <v>Lương Chính +T13</v>
      </c>
      <c r="D433" s="173">
        <v>46112</v>
      </c>
      <c r="E433" s="169" t="s">
        <v>1694</v>
      </c>
      <c r="F433" s="169" t="s">
        <v>285</v>
      </c>
      <c r="G433" s="169" t="s">
        <v>286</v>
      </c>
      <c r="H433" s="169" t="s">
        <v>320</v>
      </c>
      <c r="I433" s="169" t="s">
        <v>321</v>
      </c>
      <c r="J433" s="169" t="s">
        <v>1663</v>
      </c>
      <c r="K433" s="169" t="s">
        <v>1664</v>
      </c>
      <c r="L433" s="169" t="s">
        <v>534</v>
      </c>
      <c r="M433" s="169" t="s">
        <v>1453</v>
      </c>
      <c r="N433" s="178">
        <v>6150539</v>
      </c>
      <c r="O433" s="169" t="s">
        <v>1695</v>
      </c>
      <c r="P433" s="169" t="s">
        <v>283</v>
      </c>
      <c r="Q433" s="169" t="s">
        <v>284</v>
      </c>
      <c r="R433" s="169" t="s">
        <v>283</v>
      </c>
      <c r="S433" s="169" t="s">
        <v>283</v>
      </c>
      <c r="T433" s="169">
        <v>0</v>
      </c>
    </row>
    <row r="434" spans="1:20" hidden="1" x14ac:dyDescent="0.2">
      <c r="A434" s="169" t="str">
        <f t="shared" si="7"/>
        <v>642</v>
      </c>
      <c r="B434" s="167" t="str">
        <f>_xlfn.XLOOKUP(I434,Mapping!D:D,Mapping!E:E)</f>
        <v>Hành Chánh Nhân Sự</v>
      </c>
      <c r="C434" s="167" t="str">
        <f>_xlfn.XLOOKUP(F434,Mapping!A:A,Mapping!F:F)</f>
        <v>Phụ Cấp</v>
      </c>
      <c r="D434" s="173">
        <v>46112</v>
      </c>
      <c r="E434" s="169" t="s">
        <v>1696</v>
      </c>
      <c r="F434" s="169" t="s">
        <v>340</v>
      </c>
      <c r="G434" s="169" t="s">
        <v>341</v>
      </c>
      <c r="H434" s="169" t="s">
        <v>301</v>
      </c>
      <c r="I434" s="169" t="s">
        <v>302</v>
      </c>
      <c r="J434" s="169" t="s">
        <v>1663</v>
      </c>
      <c r="K434" s="169" t="s">
        <v>1664</v>
      </c>
      <c r="L434" s="169" t="s">
        <v>534</v>
      </c>
      <c r="M434" s="169" t="s">
        <v>1453</v>
      </c>
      <c r="N434" s="178">
        <v>7065140</v>
      </c>
      <c r="O434" s="169" t="s">
        <v>1697</v>
      </c>
      <c r="P434" s="169" t="s">
        <v>283</v>
      </c>
      <c r="Q434" s="169" t="s">
        <v>284</v>
      </c>
      <c r="R434" s="169" t="s">
        <v>283</v>
      </c>
      <c r="S434" s="169" t="s">
        <v>283</v>
      </c>
      <c r="T434" s="169">
        <v>0</v>
      </c>
    </row>
    <row r="435" spans="1:20" hidden="1" x14ac:dyDescent="0.2">
      <c r="A435" s="169" t="str">
        <f t="shared" si="7"/>
        <v>642</v>
      </c>
      <c r="B435" s="167" t="str">
        <f>_xlfn.XLOOKUP(I435,Mapping!D:D,Mapping!E:E)</f>
        <v>Hành Chánh Nhân Sự</v>
      </c>
      <c r="C435" s="167" t="str">
        <f>_xlfn.XLOOKUP(F435,Mapping!A:A,Mapping!F:F)</f>
        <v>Lương Chính +T13</v>
      </c>
      <c r="D435" s="173">
        <v>46112</v>
      </c>
      <c r="E435" s="169" t="s">
        <v>1698</v>
      </c>
      <c r="F435" s="169" t="s">
        <v>274</v>
      </c>
      <c r="G435" s="169" t="s">
        <v>275</v>
      </c>
      <c r="H435" s="169" t="s">
        <v>301</v>
      </c>
      <c r="I435" s="169" t="s">
        <v>302</v>
      </c>
      <c r="J435" s="169" t="s">
        <v>1663</v>
      </c>
      <c r="K435" s="169" t="s">
        <v>1664</v>
      </c>
      <c r="L435" s="169" t="s">
        <v>534</v>
      </c>
      <c r="M435" s="169" t="s">
        <v>1453</v>
      </c>
      <c r="N435" s="178">
        <v>403073605</v>
      </c>
      <c r="O435" s="169" t="s">
        <v>1699</v>
      </c>
      <c r="P435" s="169" t="s">
        <v>283</v>
      </c>
      <c r="Q435" s="169" t="s">
        <v>284</v>
      </c>
      <c r="R435" s="169" t="s">
        <v>283</v>
      </c>
      <c r="S435" s="169" t="s">
        <v>283</v>
      </c>
      <c r="T435" s="169">
        <v>0</v>
      </c>
    </row>
    <row r="436" spans="1:20" hidden="1" x14ac:dyDescent="0.2">
      <c r="A436" s="169" t="str">
        <f t="shared" si="7"/>
        <v>642</v>
      </c>
      <c r="B436" s="167" t="str">
        <f>_xlfn.XLOOKUP(I436,Mapping!D:D,Mapping!E:E)</f>
        <v>Hành Chánh Nhân Sự</v>
      </c>
      <c r="C436" s="167" t="str">
        <f>_xlfn.XLOOKUP(F436,Mapping!A:A,Mapping!F:F)</f>
        <v>Lương Chính +T13</v>
      </c>
      <c r="D436" s="173">
        <v>46112</v>
      </c>
      <c r="E436" s="169" t="s">
        <v>1700</v>
      </c>
      <c r="F436" s="169" t="s">
        <v>285</v>
      </c>
      <c r="G436" s="169" t="s">
        <v>286</v>
      </c>
      <c r="H436" s="169" t="s">
        <v>301</v>
      </c>
      <c r="I436" s="169" t="s">
        <v>302</v>
      </c>
      <c r="J436" s="169" t="s">
        <v>1663</v>
      </c>
      <c r="K436" s="169" t="s">
        <v>1664</v>
      </c>
      <c r="L436" s="169" t="s">
        <v>534</v>
      </c>
      <c r="M436" s="169" t="s">
        <v>1453</v>
      </c>
      <c r="N436" s="178">
        <v>25498690</v>
      </c>
      <c r="O436" s="169" t="s">
        <v>1701</v>
      </c>
      <c r="P436" s="169" t="s">
        <v>283</v>
      </c>
      <c r="Q436" s="169" t="s">
        <v>284</v>
      </c>
      <c r="R436" s="169" t="s">
        <v>283</v>
      </c>
      <c r="S436" s="169" t="s">
        <v>283</v>
      </c>
      <c r="T436" s="169">
        <v>0</v>
      </c>
    </row>
    <row r="437" spans="1:20" hidden="1" x14ac:dyDescent="0.2">
      <c r="A437" s="169" t="str">
        <f t="shared" si="7"/>
        <v>642</v>
      </c>
      <c r="B437" s="167" t="str">
        <f>_xlfn.XLOOKUP(I437,Mapping!D:D,Mapping!E:E)</f>
        <v>Hành Chánh Nhân Sự</v>
      </c>
      <c r="C437" s="167" t="str">
        <f>_xlfn.XLOOKUP(F437,Mapping!A:A,Mapping!F:F)</f>
        <v>Lương Ngoài giờ</v>
      </c>
      <c r="D437" s="173">
        <v>46112</v>
      </c>
      <c r="E437" s="169" t="s">
        <v>1702</v>
      </c>
      <c r="F437" s="169" t="s">
        <v>342</v>
      </c>
      <c r="G437" s="169" t="s">
        <v>343</v>
      </c>
      <c r="H437" s="169" t="s">
        <v>301</v>
      </c>
      <c r="I437" s="169" t="s">
        <v>302</v>
      </c>
      <c r="J437" s="169" t="s">
        <v>1663</v>
      </c>
      <c r="K437" s="169" t="s">
        <v>1664</v>
      </c>
      <c r="L437" s="169" t="s">
        <v>534</v>
      </c>
      <c r="M437" s="169" t="s">
        <v>1453</v>
      </c>
      <c r="N437" s="178">
        <v>83008401</v>
      </c>
      <c r="O437" s="169" t="s">
        <v>1703</v>
      </c>
      <c r="P437" s="169" t="s">
        <v>283</v>
      </c>
      <c r="Q437" s="169" t="s">
        <v>284</v>
      </c>
      <c r="R437" s="169" t="s">
        <v>283</v>
      </c>
      <c r="S437" s="169" t="s">
        <v>283</v>
      </c>
      <c r="T437" s="169">
        <v>0</v>
      </c>
    </row>
    <row r="438" spans="1:20" hidden="1" x14ac:dyDescent="0.2">
      <c r="A438" s="169" t="str">
        <f t="shared" si="7"/>
        <v>642</v>
      </c>
      <c r="B438" s="167" t="str">
        <f>_xlfn.XLOOKUP(I438,Mapping!D:D,Mapping!E:E)</f>
        <v>Hành Chánh Nhân Sự</v>
      </c>
      <c r="C438" s="167" t="str">
        <f>_xlfn.XLOOKUP(F438,Mapping!A:A,Mapping!F:F)</f>
        <v>Phụ Cấp</v>
      </c>
      <c r="D438" s="173">
        <v>46112</v>
      </c>
      <c r="E438" s="169" t="s">
        <v>1704</v>
      </c>
      <c r="F438" s="169" t="s">
        <v>335</v>
      </c>
      <c r="G438" s="169" t="s">
        <v>336</v>
      </c>
      <c r="H438" s="169" t="s">
        <v>301</v>
      </c>
      <c r="I438" s="169" t="s">
        <v>302</v>
      </c>
      <c r="J438" s="169" t="s">
        <v>1663</v>
      </c>
      <c r="K438" s="169" t="s">
        <v>1664</v>
      </c>
      <c r="L438" s="169" t="s">
        <v>534</v>
      </c>
      <c r="M438" s="169" t="s">
        <v>1453</v>
      </c>
      <c r="N438" s="178">
        <v>3510000</v>
      </c>
      <c r="O438" s="169" t="s">
        <v>1705</v>
      </c>
      <c r="P438" s="169" t="s">
        <v>283</v>
      </c>
      <c r="Q438" s="169" t="s">
        <v>284</v>
      </c>
      <c r="R438" s="169" t="s">
        <v>283</v>
      </c>
      <c r="S438" s="169" t="s">
        <v>283</v>
      </c>
      <c r="T438" s="169">
        <v>0</v>
      </c>
    </row>
    <row r="439" spans="1:20" hidden="1" x14ac:dyDescent="0.2">
      <c r="A439" s="169" t="str">
        <f t="shared" si="7"/>
        <v>642</v>
      </c>
      <c r="B439" s="167" t="str">
        <f>_xlfn.XLOOKUP(I439,Mapping!D:D,Mapping!E:E)</f>
        <v>Hành Chánh Nhân Sự</v>
      </c>
      <c r="C439" s="167" t="str">
        <f>_xlfn.XLOOKUP(F439,Mapping!A:A,Mapping!F:F)</f>
        <v>Lương Chính +T13</v>
      </c>
      <c r="D439" s="173">
        <v>46111</v>
      </c>
      <c r="E439" s="169" t="s">
        <v>1706</v>
      </c>
      <c r="F439" s="169" t="s">
        <v>274</v>
      </c>
      <c r="G439" s="169" t="s">
        <v>275</v>
      </c>
      <c r="H439" s="169" t="s">
        <v>301</v>
      </c>
      <c r="I439" s="169" t="s">
        <v>302</v>
      </c>
      <c r="J439" s="169" t="s">
        <v>1707</v>
      </c>
      <c r="K439" s="169" t="s">
        <v>405</v>
      </c>
      <c r="L439" s="169" t="s">
        <v>534</v>
      </c>
      <c r="M439" s="169" t="s">
        <v>1453</v>
      </c>
      <c r="N439" s="178">
        <v>8303633</v>
      </c>
      <c r="O439" s="169" t="s">
        <v>1708</v>
      </c>
      <c r="P439" s="169" t="s">
        <v>283</v>
      </c>
      <c r="Q439" s="169" t="s">
        <v>306</v>
      </c>
      <c r="R439" s="169" t="s">
        <v>283</v>
      </c>
      <c r="S439" s="169" t="s">
        <v>283</v>
      </c>
      <c r="T439" s="169">
        <v>0</v>
      </c>
    </row>
    <row r="440" spans="1:20" hidden="1" x14ac:dyDescent="0.2">
      <c r="A440" s="169" t="str">
        <f t="shared" si="7"/>
        <v>642</v>
      </c>
      <c r="B440" s="167" t="str">
        <f>_xlfn.XLOOKUP(I440,Mapping!D:D,Mapping!E:E)</f>
        <v>Văn Phòng Giám Đốc</v>
      </c>
      <c r="C440" s="167" t="str">
        <f>_xlfn.XLOOKUP(F440,Mapping!A:A,Mapping!F:F)</f>
        <v>Lương Chính +T13</v>
      </c>
      <c r="D440" s="173">
        <v>46112</v>
      </c>
      <c r="E440" s="169" t="s">
        <v>1709</v>
      </c>
      <c r="F440" s="169" t="s">
        <v>285</v>
      </c>
      <c r="G440" s="169" t="s">
        <v>286</v>
      </c>
      <c r="H440" s="169" t="s">
        <v>320</v>
      </c>
      <c r="I440" s="169" t="s">
        <v>321</v>
      </c>
      <c r="J440" s="169" t="s">
        <v>1669</v>
      </c>
      <c r="K440" s="169" t="s">
        <v>1664</v>
      </c>
      <c r="L440" s="169" t="s">
        <v>534</v>
      </c>
      <c r="M440" s="169" t="s">
        <v>1453</v>
      </c>
      <c r="N440" s="178">
        <v>13326167</v>
      </c>
      <c r="O440" s="169" t="s">
        <v>1710</v>
      </c>
      <c r="P440" s="169" t="s">
        <v>283</v>
      </c>
      <c r="Q440" s="169" t="s">
        <v>284</v>
      </c>
      <c r="R440" s="169" t="s">
        <v>283</v>
      </c>
      <c r="S440" s="169" t="s">
        <v>283</v>
      </c>
      <c r="T440" s="169">
        <v>0</v>
      </c>
    </row>
    <row r="441" spans="1:20" hidden="1" x14ac:dyDescent="0.2">
      <c r="A441" s="169" t="str">
        <f t="shared" si="7"/>
        <v>642</v>
      </c>
      <c r="B441" s="167" t="str">
        <f>_xlfn.XLOOKUP(I441,Mapping!D:D,Mapping!E:E)</f>
        <v>Văn Phòng Giám Đốc</v>
      </c>
      <c r="C441" s="167" t="str">
        <f>_xlfn.XLOOKUP(F441,Mapping!A:A,Mapping!F:F)</f>
        <v>Thưởng</v>
      </c>
      <c r="D441" s="173">
        <v>46112</v>
      </c>
      <c r="E441" s="169" t="s">
        <v>1711</v>
      </c>
      <c r="F441" s="169" t="s">
        <v>292</v>
      </c>
      <c r="G441" s="169" t="s">
        <v>77</v>
      </c>
      <c r="H441" s="169" t="s">
        <v>320</v>
      </c>
      <c r="I441" s="169" t="s">
        <v>321</v>
      </c>
      <c r="J441" s="169" t="s">
        <v>1672</v>
      </c>
      <c r="K441" s="169" t="s">
        <v>1664</v>
      </c>
      <c r="L441" s="169" t="s">
        <v>534</v>
      </c>
      <c r="M441" s="169" t="s">
        <v>1453</v>
      </c>
      <c r="N441" s="178">
        <v>12259967</v>
      </c>
      <c r="O441" s="169" t="s">
        <v>1712</v>
      </c>
      <c r="P441" s="169" t="s">
        <v>283</v>
      </c>
      <c r="Q441" s="169" t="s">
        <v>284</v>
      </c>
      <c r="R441" s="169" t="s">
        <v>283</v>
      </c>
      <c r="S441" s="169" t="s">
        <v>283</v>
      </c>
      <c r="T441" s="169">
        <v>0</v>
      </c>
    </row>
    <row r="442" spans="1:20" hidden="1" x14ac:dyDescent="0.2">
      <c r="A442" s="169" t="str">
        <f t="shared" si="7"/>
        <v>642</v>
      </c>
      <c r="B442" s="167" t="str">
        <f>_xlfn.XLOOKUP(I442,Mapping!D:D,Mapping!E:E)</f>
        <v>Hành Chánh Nhân Sự</v>
      </c>
      <c r="C442" s="167" t="str">
        <f>_xlfn.XLOOKUP(F442,Mapping!A:A,Mapping!F:F)</f>
        <v>Lương Chính +T13</v>
      </c>
      <c r="D442" s="173">
        <v>46112</v>
      </c>
      <c r="E442" s="169" t="s">
        <v>1713</v>
      </c>
      <c r="F442" s="169" t="s">
        <v>285</v>
      </c>
      <c r="G442" s="169" t="s">
        <v>286</v>
      </c>
      <c r="H442" s="169" t="s">
        <v>301</v>
      </c>
      <c r="I442" s="169" t="s">
        <v>302</v>
      </c>
      <c r="J442" s="169" t="s">
        <v>1669</v>
      </c>
      <c r="K442" s="169" t="s">
        <v>1664</v>
      </c>
      <c r="L442" s="169" t="s">
        <v>534</v>
      </c>
      <c r="M442" s="169" t="s">
        <v>1453</v>
      </c>
      <c r="N442" s="178">
        <v>33405500</v>
      </c>
      <c r="O442" s="169" t="s">
        <v>1714</v>
      </c>
      <c r="P442" s="169" t="s">
        <v>283</v>
      </c>
      <c r="Q442" s="169" t="s">
        <v>284</v>
      </c>
      <c r="R442" s="169" t="s">
        <v>283</v>
      </c>
      <c r="S442" s="169" t="s">
        <v>283</v>
      </c>
      <c r="T442" s="169">
        <v>0</v>
      </c>
    </row>
    <row r="443" spans="1:20" hidden="1" x14ac:dyDescent="0.2">
      <c r="A443" s="169" t="str">
        <f t="shared" si="7"/>
        <v>642</v>
      </c>
      <c r="B443" s="167" t="str">
        <f>_xlfn.XLOOKUP(I443,Mapping!D:D,Mapping!E:E)</f>
        <v>Hành Chánh Nhân Sự</v>
      </c>
      <c r="C443" s="167" t="str">
        <f>_xlfn.XLOOKUP(F443,Mapping!A:A,Mapping!F:F)</f>
        <v>Thưởng</v>
      </c>
      <c r="D443" s="173">
        <v>46112</v>
      </c>
      <c r="E443" s="169" t="s">
        <v>1715</v>
      </c>
      <c r="F443" s="169" t="s">
        <v>292</v>
      </c>
      <c r="G443" s="169" t="s">
        <v>77</v>
      </c>
      <c r="H443" s="169" t="s">
        <v>301</v>
      </c>
      <c r="I443" s="169" t="s">
        <v>302</v>
      </c>
      <c r="J443" s="169" t="s">
        <v>1672</v>
      </c>
      <c r="K443" s="169" t="s">
        <v>1664</v>
      </c>
      <c r="L443" s="169" t="s">
        <v>534</v>
      </c>
      <c r="M443" s="169" t="s">
        <v>1453</v>
      </c>
      <c r="N443" s="178">
        <v>27402168</v>
      </c>
      <c r="O443" s="169" t="s">
        <v>1716</v>
      </c>
      <c r="P443" s="169" t="s">
        <v>283</v>
      </c>
      <c r="Q443" s="169" t="s">
        <v>284</v>
      </c>
      <c r="R443" s="169" t="s">
        <v>283</v>
      </c>
      <c r="S443" s="169" t="s">
        <v>283</v>
      </c>
      <c r="T443" s="169">
        <v>0</v>
      </c>
    </row>
    <row r="444" spans="1:20" hidden="1" x14ac:dyDescent="0.2">
      <c r="A444" s="169" t="str">
        <f t="shared" si="7"/>
        <v>642</v>
      </c>
      <c r="B444" s="167" t="str">
        <f>_xlfn.XLOOKUP(I444,Mapping!D:D,Mapping!E:E)</f>
        <v>Văn Phòng Giám Đốc</v>
      </c>
      <c r="C444" s="167" t="str">
        <f>_xlfn.XLOOKUP(F444,Mapping!A:A,Mapping!F:F)</f>
        <v>BHXH, BHYT, KPCĐ</v>
      </c>
      <c r="D444" s="173">
        <v>46112</v>
      </c>
      <c r="E444" s="169" t="s">
        <v>1676</v>
      </c>
      <c r="F444" s="169" t="s">
        <v>295</v>
      </c>
      <c r="G444" s="169" t="s">
        <v>296</v>
      </c>
      <c r="H444" s="169" t="s">
        <v>320</v>
      </c>
      <c r="I444" s="169" t="s">
        <v>321</v>
      </c>
      <c r="J444" s="169" t="s">
        <v>1677</v>
      </c>
      <c r="K444" s="169" t="s">
        <v>1664</v>
      </c>
      <c r="L444" s="169" t="s">
        <v>534</v>
      </c>
      <c r="M444" s="169" t="s">
        <v>1453</v>
      </c>
      <c r="N444" s="178">
        <v>37579790</v>
      </c>
      <c r="O444" s="169" t="s">
        <v>1678</v>
      </c>
      <c r="P444" s="169" t="s">
        <v>283</v>
      </c>
      <c r="Q444" s="169" t="s">
        <v>284</v>
      </c>
      <c r="R444" s="169" t="s">
        <v>283</v>
      </c>
      <c r="S444" s="169" t="s">
        <v>283</v>
      </c>
      <c r="T444" s="169">
        <v>0</v>
      </c>
    </row>
    <row r="445" spans="1:20" hidden="1" x14ac:dyDescent="0.2">
      <c r="A445" s="169" t="str">
        <f t="shared" si="7"/>
        <v>642</v>
      </c>
      <c r="B445" s="167" t="str">
        <f>_xlfn.XLOOKUP(I445,Mapping!D:D,Mapping!E:E)</f>
        <v>Hành Chánh Nhân Sự</v>
      </c>
      <c r="C445" s="167" t="str">
        <f>_xlfn.XLOOKUP(F445,Mapping!A:A,Mapping!F:F)</f>
        <v>BHXH, BHYT, KPCĐ</v>
      </c>
      <c r="D445" s="173">
        <v>46112</v>
      </c>
      <c r="E445" s="169" t="s">
        <v>1676</v>
      </c>
      <c r="F445" s="169" t="s">
        <v>295</v>
      </c>
      <c r="G445" s="169" t="s">
        <v>296</v>
      </c>
      <c r="H445" s="169" t="s">
        <v>301</v>
      </c>
      <c r="I445" s="169" t="s">
        <v>302</v>
      </c>
      <c r="J445" s="169" t="s">
        <v>1677</v>
      </c>
      <c r="K445" s="169" t="s">
        <v>1664</v>
      </c>
      <c r="L445" s="169" t="s">
        <v>534</v>
      </c>
      <c r="M445" s="169" t="s">
        <v>1453</v>
      </c>
      <c r="N445" s="178">
        <v>89629000</v>
      </c>
      <c r="O445" s="169" t="s">
        <v>1678</v>
      </c>
      <c r="P445" s="169" t="s">
        <v>283</v>
      </c>
      <c r="Q445" s="169" t="s">
        <v>284</v>
      </c>
      <c r="R445" s="169" t="s">
        <v>283</v>
      </c>
      <c r="S445" s="169" t="s">
        <v>283</v>
      </c>
      <c r="T445" s="169">
        <v>0</v>
      </c>
    </row>
    <row r="446" spans="1:20" hidden="1" x14ac:dyDescent="0.2">
      <c r="A446" s="169" t="str">
        <f t="shared" si="7"/>
        <v>642</v>
      </c>
      <c r="B446" s="167" t="str">
        <f>_xlfn.XLOOKUP(I446,Mapping!D:D,Mapping!E:E)</f>
        <v>Ban Giám Đốc</v>
      </c>
      <c r="C446" s="167" t="str">
        <f>_xlfn.XLOOKUP(F446,Mapping!A:A,Mapping!F:F)</f>
        <v>Khen thưởng BD khác</v>
      </c>
      <c r="D446" s="173">
        <v>46112</v>
      </c>
      <c r="E446" s="169" t="s">
        <v>1717</v>
      </c>
      <c r="F446" s="169" t="s">
        <v>300</v>
      </c>
      <c r="G446" s="169" t="s">
        <v>222</v>
      </c>
      <c r="H446" s="169" t="s">
        <v>1718</v>
      </c>
      <c r="I446" s="169" t="s">
        <v>1719</v>
      </c>
      <c r="J446" s="169" t="s">
        <v>1720</v>
      </c>
      <c r="K446" s="169" t="s">
        <v>1721</v>
      </c>
      <c r="L446" s="169" t="s">
        <v>534</v>
      </c>
      <c r="M446" s="169" t="s">
        <v>1453</v>
      </c>
      <c r="N446" s="178">
        <v>2</v>
      </c>
      <c r="O446" s="169" t="s">
        <v>1722</v>
      </c>
      <c r="P446" s="169" t="s">
        <v>283</v>
      </c>
      <c r="Q446" s="169" t="s">
        <v>764</v>
      </c>
      <c r="R446" s="169" t="s">
        <v>283</v>
      </c>
      <c r="S446" s="169" t="s">
        <v>283</v>
      </c>
      <c r="T446" s="169">
        <v>0</v>
      </c>
    </row>
    <row r="447" spans="1:20" hidden="1" x14ac:dyDescent="0.2">
      <c r="A447" s="169" t="str">
        <f t="shared" si="7"/>
        <v>642</v>
      </c>
      <c r="B447" s="167" t="str">
        <f>_xlfn.XLOOKUP(I447,Mapping!D:D,Mapping!E:E)</f>
        <v>Hành Chánh Nhân Sự</v>
      </c>
      <c r="C447" s="167" t="str">
        <f>_xlfn.XLOOKUP(F447,Mapping!A:A,Mapping!F:F)</f>
        <v>BHXH, BHYT, KPCĐ</v>
      </c>
      <c r="D447" s="173">
        <v>46112</v>
      </c>
      <c r="E447" s="169" t="s">
        <v>1723</v>
      </c>
      <c r="F447" s="169" t="s">
        <v>295</v>
      </c>
      <c r="G447" s="169" t="s">
        <v>296</v>
      </c>
      <c r="H447" s="169" t="s">
        <v>301</v>
      </c>
      <c r="I447" s="169" t="s">
        <v>302</v>
      </c>
      <c r="J447" s="169" t="s">
        <v>1677</v>
      </c>
      <c r="K447" s="169" t="s">
        <v>1664</v>
      </c>
      <c r="L447" s="169" t="s">
        <v>534</v>
      </c>
      <c r="M447" s="169" t="s">
        <v>1453</v>
      </c>
      <c r="N447" s="178">
        <v>6227500</v>
      </c>
      <c r="O447" s="169" t="s">
        <v>1724</v>
      </c>
      <c r="P447" s="169" t="s">
        <v>283</v>
      </c>
      <c r="Q447" s="169" t="s">
        <v>284</v>
      </c>
      <c r="R447" s="169" t="s">
        <v>283</v>
      </c>
      <c r="S447" s="169" t="s">
        <v>283</v>
      </c>
      <c r="T447" s="169">
        <v>0</v>
      </c>
    </row>
    <row r="448" spans="1:20" hidden="1" x14ac:dyDescent="0.2">
      <c r="A448" s="169" t="str">
        <f t="shared" si="7"/>
        <v>642</v>
      </c>
      <c r="B448" s="167" t="str">
        <f>_xlfn.XLOOKUP(I448,Mapping!D:D,Mapping!E:E)</f>
        <v>Hành Chánh Nhân Sự</v>
      </c>
      <c r="C448" s="167" t="str">
        <f>_xlfn.XLOOKUP(F448,Mapping!A:A,Mapping!F:F)</f>
        <v>Phụ Cấp</v>
      </c>
      <c r="D448" s="173">
        <v>46112</v>
      </c>
      <c r="E448" s="169" t="s">
        <v>1725</v>
      </c>
      <c r="F448" s="169" t="s">
        <v>335</v>
      </c>
      <c r="G448" s="169" t="s">
        <v>336</v>
      </c>
      <c r="H448" s="169" t="s">
        <v>301</v>
      </c>
      <c r="I448" s="169" t="s">
        <v>302</v>
      </c>
      <c r="J448" s="169" t="s">
        <v>1726</v>
      </c>
      <c r="K448" s="169" t="s">
        <v>1727</v>
      </c>
      <c r="L448" s="169" t="s">
        <v>534</v>
      </c>
      <c r="M448" s="169" t="s">
        <v>1453</v>
      </c>
      <c r="N448" s="178">
        <v>3519251</v>
      </c>
      <c r="O448" s="169" t="s">
        <v>1728</v>
      </c>
      <c r="P448" s="169" t="s">
        <v>283</v>
      </c>
      <c r="Q448" s="169" t="s">
        <v>306</v>
      </c>
      <c r="R448" s="169" t="s">
        <v>283</v>
      </c>
      <c r="S448" s="169" t="s">
        <v>283</v>
      </c>
      <c r="T448" s="169">
        <v>0</v>
      </c>
    </row>
    <row r="449" spans="1:20" hidden="1" x14ac:dyDescent="0.2">
      <c r="A449" s="169" t="str">
        <f t="shared" si="7"/>
        <v>642</v>
      </c>
      <c r="B449" s="167" t="str">
        <f>_xlfn.XLOOKUP(I449,Mapping!D:D,Mapping!E:E)</f>
        <v>Kế Toán</v>
      </c>
      <c r="C449" s="167" t="str">
        <f>_xlfn.XLOOKUP(F449,Mapping!A:A,Mapping!F:F)</f>
        <v>Khen thưởng BD khác</v>
      </c>
      <c r="D449" s="173">
        <v>46092</v>
      </c>
      <c r="E449" s="169" t="s">
        <v>1729</v>
      </c>
      <c r="F449" s="169" t="s">
        <v>300</v>
      </c>
      <c r="G449" s="169" t="s">
        <v>222</v>
      </c>
      <c r="H449" s="169" t="s">
        <v>356</v>
      </c>
      <c r="I449" s="169" t="s">
        <v>357</v>
      </c>
      <c r="J449" s="169" t="s">
        <v>1730</v>
      </c>
      <c r="K449" s="169" t="s">
        <v>1731</v>
      </c>
      <c r="L449" s="169" t="s">
        <v>534</v>
      </c>
      <c r="M449" s="169" t="s">
        <v>1453</v>
      </c>
      <c r="N449" s="178">
        <v>2400000</v>
      </c>
      <c r="O449" s="169" t="s">
        <v>1732</v>
      </c>
      <c r="P449" s="169" t="s">
        <v>283</v>
      </c>
      <c r="Q449" s="169" t="s">
        <v>306</v>
      </c>
      <c r="R449" s="169" t="s">
        <v>283</v>
      </c>
      <c r="S449" s="169" t="s">
        <v>283</v>
      </c>
      <c r="T449" s="169">
        <v>0</v>
      </c>
    </row>
    <row r="450" spans="1:20" hidden="1" x14ac:dyDescent="0.2">
      <c r="A450" s="169" t="str">
        <f t="shared" si="7"/>
        <v>642</v>
      </c>
      <c r="B450" s="167" t="str">
        <f>_xlfn.XLOOKUP(I450,Mapping!D:D,Mapping!E:E)</f>
        <v>Kế Toán</v>
      </c>
      <c r="C450" s="167" t="str">
        <f>_xlfn.XLOOKUP(F450,Mapping!A:A,Mapping!F:F)</f>
        <v>Khen thưởng BD khác</v>
      </c>
      <c r="D450" s="173">
        <v>46092</v>
      </c>
      <c r="E450" s="169" t="s">
        <v>1729</v>
      </c>
      <c r="F450" s="169" t="s">
        <v>300</v>
      </c>
      <c r="G450" s="169" t="s">
        <v>222</v>
      </c>
      <c r="H450" s="169" t="s">
        <v>356</v>
      </c>
      <c r="I450" s="169" t="s">
        <v>357</v>
      </c>
      <c r="J450" s="169" t="s">
        <v>1733</v>
      </c>
      <c r="K450" s="169" t="s">
        <v>1731</v>
      </c>
      <c r="L450" s="169" t="s">
        <v>534</v>
      </c>
      <c r="M450" s="169" t="s">
        <v>1453</v>
      </c>
      <c r="N450" s="178">
        <v>2000000</v>
      </c>
      <c r="O450" s="169" t="s">
        <v>1732</v>
      </c>
      <c r="P450" s="169" t="s">
        <v>283</v>
      </c>
      <c r="Q450" s="169" t="s">
        <v>306</v>
      </c>
      <c r="R450" s="169" t="s">
        <v>283</v>
      </c>
      <c r="S450" s="169" t="s">
        <v>283</v>
      </c>
      <c r="T450" s="169">
        <v>0</v>
      </c>
    </row>
    <row r="451" spans="1:20" hidden="1" x14ac:dyDescent="0.2">
      <c r="A451" s="169" t="str">
        <f t="shared" si="7"/>
        <v>642</v>
      </c>
      <c r="B451" s="167" t="str">
        <f>_xlfn.XLOOKUP(I451,Mapping!D:D,Mapping!E:E)</f>
        <v>Kế Toán</v>
      </c>
      <c r="C451" s="167" t="str">
        <f>_xlfn.XLOOKUP(F451,Mapping!A:A,Mapping!F:F)</f>
        <v>Phụ Cấp</v>
      </c>
      <c r="D451" s="173">
        <v>46101</v>
      </c>
      <c r="E451" s="169" t="s">
        <v>1679</v>
      </c>
      <c r="F451" s="169" t="s">
        <v>335</v>
      </c>
      <c r="G451" s="169" t="s">
        <v>336</v>
      </c>
      <c r="H451" s="169" t="s">
        <v>356</v>
      </c>
      <c r="I451" s="169" t="s">
        <v>357</v>
      </c>
      <c r="J451" s="169" t="s">
        <v>1680</v>
      </c>
      <c r="K451" s="169" t="s">
        <v>992</v>
      </c>
      <c r="L451" s="169" t="s">
        <v>534</v>
      </c>
      <c r="M451" s="169" t="s">
        <v>1453</v>
      </c>
      <c r="N451" s="178">
        <v>11536000</v>
      </c>
      <c r="O451" s="169" t="s">
        <v>1681</v>
      </c>
      <c r="P451" s="169" t="s">
        <v>283</v>
      </c>
      <c r="Q451" s="169" t="s">
        <v>306</v>
      </c>
      <c r="R451" s="169" t="s">
        <v>283</v>
      </c>
      <c r="S451" s="169" t="s">
        <v>283</v>
      </c>
      <c r="T451" s="169">
        <v>0</v>
      </c>
    </row>
    <row r="452" spans="1:20" hidden="1" x14ac:dyDescent="0.2">
      <c r="A452" s="169" t="str">
        <f t="shared" si="7"/>
        <v>642</v>
      </c>
      <c r="B452" s="167" t="str">
        <f>_xlfn.XLOOKUP(I452,Mapping!D:D,Mapping!E:E)</f>
        <v>Kế Toán</v>
      </c>
      <c r="C452" s="167" t="str">
        <f>_xlfn.XLOOKUP(F452,Mapping!A:A,Mapping!F:F)</f>
        <v>Phụ Cấp</v>
      </c>
      <c r="D452" s="173">
        <v>46111</v>
      </c>
      <c r="E452" s="169" t="s">
        <v>1682</v>
      </c>
      <c r="F452" s="169" t="s">
        <v>335</v>
      </c>
      <c r="G452" s="169" t="s">
        <v>336</v>
      </c>
      <c r="H452" s="169" t="s">
        <v>356</v>
      </c>
      <c r="I452" s="169" t="s">
        <v>357</v>
      </c>
      <c r="J452" s="169" t="s">
        <v>1683</v>
      </c>
      <c r="K452" s="169" t="s">
        <v>741</v>
      </c>
      <c r="L452" s="169" t="s">
        <v>534</v>
      </c>
      <c r="M452" s="169" t="s">
        <v>1453</v>
      </c>
      <c r="N452" s="178">
        <v>5852000</v>
      </c>
      <c r="O452" s="169" t="s">
        <v>1684</v>
      </c>
      <c r="P452" s="169" t="s">
        <v>283</v>
      </c>
      <c r="Q452" s="169" t="s">
        <v>306</v>
      </c>
      <c r="R452" s="169" t="s">
        <v>283</v>
      </c>
      <c r="S452" s="169" t="s">
        <v>283</v>
      </c>
      <c r="T452" s="169">
        <v>0</v>
      </c>
    </row>
    <row r="453" spans="1:20" hidden="1" x14ac:dyDescent="0.2">
      <c r="A453" s="169" t="str">
        <f t="shared" si="7"/>
        <v>642</v>
      </c>
      <c r="B453" s="167" t="str">
        <f>_xlfn.XLOOKUP(I453,Mapping!D:D,Mapping!E:E)</f>
        <v>Kế Toán</v>
      </c>
      <c r="C453" s="167" t="str">
        <f>_xlfn.XLOOKUP(F453,Mapping!A:A,Mapping!F:F)</f>
        <v>Lương Chính +T13</v>
      </c>
      <c r="D453" s="173">
        <v>46112</v>
      </c>
      <c r="E453" s="169" t="s">
        <v>1734</v>
      </c>
      <c r="F453" s="169" t="s">
        <v>274</v>
      </c>
      <c r="G453" s="169" t="s">
        <v>275</v>
      </c>
      <c r="H453" s="169" t="s">
        <v>356</v>
      </c>
      <c r="I453" s="169" t="s">
        <v>357</v>
      </c>
      <c r="J453" s="169" t="s">
        <v>1663</v>
      </c>
      <c r="K453" s="169" t="s">
        <v>1664</v>
      </c>
      <c r="L453" s="169" t="s">
        <v>534</v>
      </c>
      <c r="M453" s="169" t="s">
        <v>1453</v>
      </c>
      <c r="N453" s="178">
        <v>506093825</v>
      </c>
      <c r="O453" s="169" t="s">
        <v>1735</v>
      </c>
      <c r="P453" s="169" t="s">
        <v>283</v>
      </c>
      <c r="Q453" s="169" t="s">
        <v>284</v>
      </c>
      <c r="R453" s="169" t="s">
        <v>283</v>
      </c>
      <c r="S453" s="169" t="s">
        <v>283</v>
      </c>
      <c r="T453" s="169">
        <v>0</v>
      </c>
    </row>
    <row r="454" spans="1:20" hidden="1" x14ac:dyDescent="0.2">
      <c r="A454" s="169" t="str">
        <f t="shared" si="7"/>
        <v>642</v>
      </c>
      <c r="B454" s="167" t="str">
        <f>_xlfn.XLOOKUP(I454,Mapping!D:D,Mapping!E:E)</f>
        <v>Kế Toán</v>
      </c>
      <c r="C454" s="167" t="str">
        <f>_xlfn.XLOOKUP(F454,Mapping!A:A,Mapping!F:F)</f>
        <v>Lương Chính +T13</v>
      </c>
      <c r="D454" s="173">
        <v>46112</v>
      </c>
      <c r="E454" s="169" t="s">
        <v>1736</v>
      </c>
      <c r="F454" s="169" t="s">
        <v>285</v>
      </c>
      <c r="G454" s="169" t="s">
        <v>286</v>
      </c>
      <c r="H454" s="169" t="s">
        <v>356</v>
      </c>
      <c r="I454" s="169" t="s">
        <v>357</v>
      </c>
      <c r="J454" s="169" t="s">
        <v>1663</v>
      </c>
      <c r="K454" s="169" t="s">
        <v>1664</v>
      </c>
      <c r="L454" s="169" t="s">
        <v>534</v>
      </c>
      <c r="M454" s="169" t="s">
        <v>1453</v>
      </c>
      <c r="N454" s="178">
        <v>7697867</v>
      </c>
      <c r="O454" s="169" t="s">
        <v>1737</v>
      </c>
      <c r="P454" s="169" t="s">
        <v>283</v>
      </c>
      <c r="Q454" s="169" t="s">
        <v>284</v>
      </c>
      <c r="R454" s="169" t="s">
        <v>283</v>
      </c>
      <c r="S454" s="169" t="s">
        <v>283</v>
      </c>
      <c r="T454" s="169">
        <v>0</v>
      </c>
    </row>
    <row r="455" spans="1:20" hidden="1" x14ac:dyDescent="0.2">
      <c r="A455" s="169" t="str">
        <f t="shared" si="7"/>
        <v>642</v>
      </c>
      <c r="B455" s="167" t="str">
        <f>_xlfn.XLOOKUP(I455,Mapping!D:D,Mapping!E:E)</f>
        <v>Kế Toán</v>
      </c>
      <c r="C455" s="167" t="str">
        <f>_xlfn.XLOOKUP(F455,Mapping!A:A,Mapping!F:F)</f>
        <v>Lương Ngoài giờ</v>
      </c>
      <c r="D455" s="173">
        <v>46112</v>
      </c>
      <c r="E455" s="169" t="s">
        <v>1738</v>
      </c>
      <c r="F455" s="169" t="s">
        <v>342</v>
      </c>
      <c r="G455" s="169" t="s">
        <v>343</v>
      </c>
      <c r="H455" s="169" t="s">
        <v>356</v>
      </c>
      <c r="I455" s="169" t="s">
        <v>357</v>
      </c>
      <c r="J455" s="169" t="s">
        <v>1663</v>
      </c>
      <c r="K455" s="169" t="s">
        <v>1664</v>
      </c>
      <c r="L455" s="169" t="s">
        <v>534</v>
      </c>
      <c r="M455" s="169" t="s">
        <v>1453</v>
      </c>
      <c r="N455" s="178">
        <v>49401229</v>
      </c>
      <c r="O455" s="169" t="s">
        <v>1739</v>
      </c>
      <c r="P455" s="169" t="s">
        <v>283</v>
      </c>
      <c r="Q455" s="169" t="s">
        <v>284</v>
      </c>
      <c r="R455" s="169" t="s">
        <v>283</v>
      </c>
      <c r="S455" s="169" t="s">
        <v>283</v>
      </c>
      <c r="T455" s="169">
        <v>0</v>
      </c>
    </row>
    <row r="456" spans="1:20" hidden="1" x14ac:dyDescent="0.2">
      <c r="A456" s="169" t="str">
        <f t="shared" si="7"/>
        <v>642</v>
      </c>
      <c r="B456" s="167" t="str">
        <f>_xlfn.XLOOKUP(I456,Mapping!D:D,Mapping!E:E)</f>
        <v>Kế Toán</v>
      </c>
      <c r="C456" s="167" t="str">
        <f>_xlfn.XLOOKUP(F456,Mapping!A:A,Mapping!F:F)</f>
        <v>Phụ Cấp</v>
      </c>
      <c r="D456" s="173">
        <v>46112</v>
      </c>
      <c r="E456" s="169" t="s">
        <v>1740</v>
      </c>
      <c r="F456" s="169" t="s">
        <v>335</v>
      </c>
      <c r="G456" s="169" t="s">
        <v>336</v>
      </c>
      <c r="H456" s="169" t="s">
        <v>356</v>
      </c>
      <c r="I456" s="169" t="s">
        <v>357</v>
      </c>
      <c r="J456" s="169" t="s">
        <v>1663</v>
      </c>
      <c r="K456" s="169" t="s">
        <v>1664</v>
      </c>
      <c r="L456" s="169" t="s">
        <v>534</v>
      </c>
      <c r="M456" s="169" t="s">
        <v>1453</v>
      </c>
      <c r="N456" s="178">
        <v>2320000</v>
      </c>
      <c r="O456" s="169" t="s">
        <v>1741</v>
      </c>
      <c r="P456" s="169" t="s">
        <v>283</v>
      </c>
      <c r="Q456" s="169" t="s">
        <v>284</v>
      </c>
      <c r="R456" s="169" t="s">
        <v>283</v>
      </c>
      <c r="S456" s="169" t="s">
        <v>283</v>
      </c>
      <c r="T456" s="169">
        <v>0</v>
      </c>
    </row>
    <row r="457" spans="1:20" hidden="1" x14ac:dyDescent="0.2">
      <c r="A457" s="169" t="str">
        <f t="shared" si="7"/>
        <v>642</v>
      </c>
      <c r="B457" s="167" t="str">
        <f>_xlfn.XLOOKUP(I457,Mapping!D:D,Mapping!E:E)</f>
        <v>Kế Toán</v>
      </c>
      <c r="C457" s="167" t="str">
        <f>_xlfn.XLOOKUP(F457,Mapping!A:A,Mapping!F:F)</f>
        <v>Lương Chính +T13</v>
      </c>
      <c r="D457" s="173">
        <v>46112</v>
      </c>
      <c r="E457" s="169" t="s">
        <v>1742</v>
      </c>
      <c r="F457" s="169" t="s">
        <v>285</v>
      </c>
      <c r="G457" s="169" t="s">
        <v>286</v>
      </c>
      <c r="H457" s="169" t="s">
        <v>356</v>
      </c>
      <c r="I457" s="169" t="s">
        <v>357</v>
      </c>
      <c r="J457" s="169" t="s">
        <v>1669</v>
      </c>
      <c r="K457" s="169" t="s">
        <v>1664</v>
      </c>
      <c r="L457" s="169" t="s">
        <v>534</v>
      </c>
      <c r="M457" s="169" t="s">
        <v>1453</v>
      </c>
      <c r="N457" s="178">
        <v>45588250</v>
      </c>
      <c r="O457" s="169" t="s">
        <v>1743</v>
      </c>
      <c r="P457" s="169" t="s">
        <v>283</v>
      </c>
      <c r="Q457" s="169" t="s">
        <v>284</v>
      </c>
      <c r="R457" s="169" t="s">
        <v>283</v>
      </c>
      <c r="S457" s="169" t="s">
        <v>283</v>
      </c>
      <c r="T457" s="169">
        <v>0</v>
      </c>
    </row>
    <row r="458" spans="1:20" hidden="1" x14ac:dyDescent="0.2">
      <c r="A458" s="169" t="str">
        <f t="shared" si="7"/>
        <v>642</v>
      </c>
      <c r="B458" s="167" t="str">
        <f>_xlfn.XLOOKUP(I458,Mapping!D:D,Mapping!E:E)</f>
        <v>Kế Toán</v>
      </c>
      <c r="C458" s="167" t="str">
        <f>_xlfn.XLOOKUP(F458,Mapping!A:A,Mapping!F:F)</f>
        <v>Thưởng</v>
      </c>
      <c r="D458" s="173">
        <v>46112</v>
      </c>
      <c r="E458" s="169" t="s">
        <v>1744</v>
      </c>
      <c r="F458" s="169" t="s">
        <v>292</v>
      </c>
      <c r="G458" s="169" t="s">
        <v>77</v>
      </c>
      <c r="H458" s="169" t="s">
        <v>356</v>
      </c>
      <c r="I458" s="169" t="s">
        <v>357</v>
      </c>
      <c r="J458" s="169" t="s">
        <v>1672</v>
      </c>
      <c r="K458" s="169" t="s">
        <v>1664</v>
      </c>
      <c r="L458" s="169" t="s">
        <v>534</v>
      </c>
      <c r="M458" s="169" t="s">
        <v>1453</v>
      </c>
      <c r="N458" s="178">
        <v>41940825</v>
      </c>
      <c r="O458" s="169" t="s">
        <v>1745</v>
      </c>
      <c r="P458" s="169" t="s">
        <v>283</v>
      </c>
      <c r="Q458" s="169" t="s">
        <v>284</v>
      </c>
      <c r="R458" s="169" t="s">
        <v>283</v>
      </c>
      <c r="S458" s="169" t="s">
        <v>283</v>
      </c>
      <c r="T458" s="169">
        <v>0</v>
      </c>
    </row>
    <row r="459" spans="1:20" hidden="1" x14ac:dyDescent="0.2">
      <c r="A459" s="169" t="str">
        <f t="shared" si="7"/>
        <v>642</v>
      </c>
      <c r="B459" s="167" t="str">
        <f>_xlfn.XLOOKUP(I459,Mapping!D:D,Mapping!E:E)</f>
        <v>Kế Toán</v>
      </c>
      <c r="C459" s="167" t="str">
        <f>_xlfn.XLOOKUP(F459,Mapping!A:A,Mapping!F:F)</f>
        <v>BHXH, BHYT, KPCĐ</v>
      </c>
      <c r="D459" s="173">
        <v>46112</v>
      </c>
      <c r="E459" s="169" t="s">
        <v>1676</v>
      </c>
      <c r="F459" s="169" t="s">
        <v>295</v>
      </c>
      <c r="G459" s="169" t="s">
        <v>296</v>
      </c>
      <c r="H459" s="169" t="s">
        <v>356</v>
      </c>
      <c r="I459" s="169" t="s">
        <v>357</v>
      </c>
      <c r="J459" s="169" t="s">
        <v>1677</v>
      </c>
      <c r="K459" s="169" t="s">
        <v>1664</v>
      </c>
      <c r="L459" s="169" t="s">
        <v>534</v>
      </c>
      <c r="M459" s="169" t="s">
        <v>1453</v>
      </c>
      <c r="N459" s="178">
        <v>120509265</v>
      </c>
      <c r="O459" s="169" t="s">
        <v>1678</v>
      </c>
      <c r="P459" s="169" t="s">
        <v>283</v>
      </c>
      <c r="Q459" s="169" t="s">
        <v>284</v>
      </c>
      <c r="R459" s="169" t="s">
        <v>283</v>
      </c>
      <c r="S459" s="169" t="s">
        <v>283</v>
      </c>
      <c r="T459" s="169">
        <v>0</v>
      </c>
    </row>
    <row r="460" spans="1:20" hidden="1" x14ac:dyDescent="0.2">
      <c r="A460" s="169" t="str">
        <f t="shared" si="7"/>
        <v>641</v>
      </c>
      <c r="B460" s="167" t="str">
        <f>_xlfn.XLOOKUP(I460,Mapping!D:D,Mapping!E:E)</f>
        <v>Kinh doanh</v>
      </c>
      <c r="C460" s="167" t="str">
        <f>_xlfn.XLOOKUP(F460,Mapping!A:A,Mapping!F:F)</f>
        <v>Thưởng</v>
      </c>
      <c r="D460" s="173">
        <v>46088</v>
      </c>
      <c r="E460" s="169" t="s">
        <v>1746</v>
      </c>
      <c r="F460" s="169" t="s">
        <v>365</v>
      </c>
      <c r="G460" s="169" t="s">
        <v>291</v>
      </c>
      <c r="H460" s="169" t="s">
        <v>366</v>
      </c>
      <c r="I460" s="169" t="s">
        <v>1</v>
      </c>
      <c r="J460" s="169" t="s">
        <v>1747</v>
      </c>
      <c r="K460" s="169" t="s">
        <v>1748</v>
      </c>
      <c r="L460" s="169" t="s">
        <v>534</v>
      </c>
      <c r="M460" s="169" t="s">
        <v>1453</v>
      </c>
      <c r="N460" s="178">
        <v>-711932</v>
      </c>
      <c r="O460" s="169" t="s">
        <v>1749</v>
      </c>
      <c r="P460" s="169" t="s">
        <v>283</v>
      </c>
      <c r="Q460" s="169" t="s">
        <v>370</v>
      </c>
      <c r="R460" s="169" t="s">
        <v>283</v>
      </c>
      <c r="S460" s="169" t="s">
        <v>283</v>
      </c>
      <c r="T460" s="169">
        <v>0</v>
      </c>
    </row>
    <row r="461" spans="1:20" hidden="1" x14ac:dyDescent="0.2">
      <c r="A461" s="169" t="str">
        <f t="shared" si="7"/>
        <v>642</v>
      </c>
      <c r="B461" s="167" t="str">
        <f>_xlfn.XLOOKUP(I461,Mapping!D:D,Mapping!E:E)</f>
        <v>Hành Chánh Nhân Sự</v>
      </c>
      <c r="C461" s="167" t="str">
        <f>_xlfn.XLOOKUP(F461,Mapping!A:A,Mapping!F:F)</f>
        <v>Khen thưởng BD khác</v>
      </c>
      <c r="D461" s="173">
        <v>46092</v>
      </c>
      <c r="E461" s="169" t="s">
        <v>1750</v>
      </c>
      <c r="F461" s="169" t="s">
        <v>300</v>
      </c>
      <c r="G461" s="169" t="s">
        <v>222</v>
      </c>
      <c r="H461" s="169" t="s">
        <v>382</v>
      </c>
      <c r="I461" s="169" t="s">
        <v>200</v>
      </c>
      <c r="J461" s="169" t="s">
        <v>1751</v>
      </c>
      <c r="K461" s="169" t="s">
        <v>1752</v>
      </c>
      <c r="L461" s="169" t="s">
        <v>534</v>
      </c>
      <c r="M461" s="169" t="s">
        <v>1453</v>
      </c>
      <c r="N461" s="178">
        <v>5500000</v>
      </c>
      <c r="O461" s="169" t="s">
        <v>1753</v>
      </c>
      <c r="P461" s="169" t="s">
        <v>283</v>
      </c>
      <c r="Q461" s="169" t="s">
        <v>306</v>
      </c>
      <c r="R461" s="169" t="s">
        <v>283</v>
      </c>
      <c r="S461" s="169" t="s">
        <v>283</v>
      </c>
      <c r="T461" s="169">
        <v>0</v>
      </c>
    </row>
    <row r="462" spans="1:20" hidden="1" x14ac:dyDescent="0.2">
      <c r="A462" s="169" t="str">
        <f t="shared" si="7"/>
        <v>641</v>
      </c>
      <c r="B462" s="167" t="str">
        <f>_xlfn.XLOOKUP(I462,Mapping!D:D,Mapping!E:E)</f>
        <v>Kinh doanh</v>
      </c>
      <c r="C462" s="167" t="str">
        <f>_xlfn.XLOOKUP(F462,Mapping!A:A,Mapping!F:F)</f>
        <v>Phụ Cấp</v>
      </c>
      <c r="D462" s="173">
        <v>46082</v>
      </c>
      <c r="E462" s="169" t="s">
        <v>1754</v>
      </c>
      <c r="F462" s="169" t="s">
        <v>385</v>
      </c>
      <c r="G462" s="169" t="s">
        <v>336</v>
      </c>
      <c r="H462" s="169" t="s">
        <v>366</v>
      </c>
      <c r="I462" s="169" t="s">
        <v>1</v>
      </c>
      <c r="J462" s="169" t="s">
        <v>1755</v>
      </c>
      <c r="K462" s="169" t="s">
        <v>581</v>
      </c>
      <c r="L462" s="169" t="s">
        <v>534</v>
      </c>
      <c r="M462" s="169" t="s">
        <v>1453</v>
      </c>
      <c r="N462" s="178">
        <v>2744000</v>
      </c>
      <c r="O462" s="169" t="s">
        <v>1756</v>
      </c>
      <c r="P462" s="169" t="s">
        <v>283</v>
      </c>
      <c r="Q462" s="169" t="s">
        <v>306</v>
      </c>
      <c r="R462" s="169" t="s">
        <v>283</v>
      </c>
      <c r="S462" s="169" t="s">
        <v>283</v>
      </c>
      <c r="T462" s="169">
        <v>0</v>
      </c>
    </row>
    <row r="463" spans="1:20" hidden="1" x14ac:dyDescent="0.2">
      <c r="A463" s="169" t="str">
        <f t="shared" si="7"/>
        <v>642</v>
      </c>
      <c r="B463" s="167" t="str">
        <f>_xlfn.XLOOKUP(I463,Mapping!D:D,Mapping!E:E)</f>
        <v>Hành Chánh Nhân Sự</v>
      </c>
      <c r="C463" s="167" t="str">
        <f>_xlfn.XLOOKUP(F463,Mapping!A:A,Mapping!F:F)</f>
        <v>Khen thưởng BD khác</v>
      </c>
      <c r="D463" s="173">
        <v>46108</v>
      </c>
      <c r="E463" s="169" t="s">
        <v>1757</v>
      </c>
      <c r="F463" s="169" t="s">
        <v>300</v>
      </c>
      <c r="G463" s="169" t="s">
        <v>222</v>
      </c>
      <c r="H463" s="169" t="s">
        <v>358</v>
      </c>
      <c r="I463" s="169" t="s">
        <v>359</v>
      </c>
      <c r="J463" s="169" t="s">
        <v>1615</v>
      </c>
      <c r="K463" s="169" t="s">
        <v>1615</v>
      </c>
      <c r="L463" s="169" t="s">
        <v>534</v>
      </c>
      <c r="M463" s="169" t="s">
        <v>1453</v>
      </c>
      <c r="N463" s="178">
        <v>1500000</v>
      </c>
      <c r="O463" s="169" t="s">
        <v>1758</v>
      </c>
      <c r="P463" s="169" t="s">
        <v>283</v>
      </c>
      <c r="Q463" s="169" t="s">
        <v>1344</v>
      </c>
      <c r="R463" s="169" t="s">
        <v>283</v>
      </c>
      <c r="S463" s="169" t="s">
        <v>283</v>
      </c>
      <c r="T463" s="169">
        <v>0</v>
      </c>
    </row>
    <row r="464" spans="1:20" hidden="1" x14ac:dyDescent="0.2">
      <c r="A464" s="169" t="str">
        <f t="shared" si="7"/>
        <v>642</v>
      </c>
      <c r="B464" s="167" t="str">
        <f>_xlfn.XLOOKUP(I464,Mapping!D:D,Mapping!E:E)</f>
        <v>Mua Hàng &amp; XNK</v>
      </c>
      <c r="C464" s="167" t="str">
        <f>_xlfn.XLOOKUP(F464,Mapping!A:A,Mapping!F:F)</f>
        <v>Phụ Cấp</v>
      </c>
      <c r="D464" s="173">
        <v>46101</v>
      </c>
      <c r="E464" s="169" t="s">
        <v>1679</v>
      </c>
      <c r="F464" s="169" t="s">
        <v>335</v>
      </c>
      <c r="G464" s="169" t="s">
        <v>336</v>
      </c>
      <c r="H464" s="169" t="s">
        <v>378</v>
      </c>
      <c r="I464" s="169" t="s">
        <v>379</v>
      </c>
      <c r="J464" s="169" t="s">
        <v>1680</v>
      </c>
      <c r="K464" s="169" t="s">
        <v>992</v>
      </c>
      <c r="L464" s="169" t="s">
        <v>534</v>
      </c>
      <c r="M464" s="169" t="s">
        <v>1453</v>
      </c>
      <c r="N464" s="178">
        <v>3220000</v>
      </c>
      <c r="O464" s="169" t="s">
        <v>1681</v>
      </c>
      <c r="P464" s="169" t="s">
        <v>283</v>
      </c>
      <c r="Q464" s="169" t="s">
        <v>306</v>
      </c>
      <c r="R464" s="169" t="s">
        <v>283</v>
      </c>
      <c r="S464" s="169" t="s">
        <v>283</v>
      </c>
      <c r="T464" s="169">
        <v>0</v>
      </c>
    </row>
    <row r="465" spans="1:20" hidden="1" x14ac:dyDescent="0.2">
      <c r="A465" s="169" t="str">
        <f t="shared" si="7"/>
        <v>642</v>
      </c>
      <c r="B465" s="167" t="str">
        <f>_xlfn.XLOOKUP(I465,Mapping!D:D,Mapping!E:E)</f>
        <v>Cung Ứng</v>
      </c>
      <c r="C465" s="167" t="str">
        <f>_xlfn.XLOOKUP(F465,Mapping!A:A,Mapping!F:F)</f>
        <v>Phụ Cấp</v>
      </c>
      <c r="D465" s="173">
        <v>46101</v>
      </c>
      <c r="E465" s="169" t="s">
        <v>1679</v>
      </c>
      <c r="F465" s="169" t="s">
        <v>335</v>
      </c>
      <c r="G465" s="169" t="s">
        <v>336</v>
      </c>
      <c r="H465" s="169" t="s">
        <v>380</v>
      </c>
      <c r="I465" s="169" t="s">
        <v>381</v>
      </c>
      <c r="J465" s="169" t="s">
        <v>1680</v>
      </c>
      <c r="K465" s="169" t="s">
        <v>992</v>
      </c>
      <c r="L465" s="169" t="s">
        <v>534</v>
      </c>
      <c r="M465" s="169" t="s">
        <v>1453</v>
      </c>
      <c r="N465" s="178">
        <v>2184000</v>
      </c>
      <c r="O465" s="169" t="s">
        <v>1681</v>
      </c>
      <c r="P465" s="169" t="s">
        <v>283</v>
      </c>
      <c r="Q465" s="169" t="s">
        <v>306</v>
      </c>
      <c r="R465" s="169" t="s">
        <v>283</v>
      </c>
      <c r="S465" s="169" t="s">
        <v>283</v>
      </c>
      <c r="T465" s="169">
        <v>0</v>
      </c>
    </row>
    <row r="466" spans="1:20" hidden="1" x14ac:dyDescent="0.2">
      <c r="A466" s="169" t="str">
        <f t="shared" si="7"/>
        <v>642</v>
      </c>
      <c r="B466" s="167" t="str">
        <f>_xlfn.XLOOKUP(I466,Mapping!D:D,Mapping!E:E)</f>
        <v>Hành Chánh Nhân Sự</v>
      </c>
      <c r="C466" s="167" t="str">
        <f>_xlfn.XLOOKUP(F466,Mapping!A:A,Mapping!F:F)</f>
        <v>Phụ Cấp</v>
      </c>
      <c r="D466" s="173">
        <v>46101</v>
      </c>
      <c r="E466" s="169" t="s">
        <v>1679</v>
      </c>
      <c r="F466" s="169" t="s">
        <v>335</v>
      </c>
      <c r="G466" s="169" t="s">
        <v>336</v>
      </c>
      <c r="H466" s="169" t="s">
        <v>382</v>
      </c>
      <c r="I466" s="169" t="s">
        <v>200</v>
      </c>
      <c r="J466" s="169" t="s">
        <v>1680</v>
      </c>
      <c r="K466" s="169" t="s">
        <v>992</v>
      </c>
      <c r="L466" s="169" t="s">
        <v>534</v>
      </c>
      <c r="M466" s="169" t="s">
        <v>1453</v>
      </c>
      <c r="N466" s="178">
        <v>1232000</v>
      </c>
      <c r="O466" s="169" t="s">
        <v>1681</v>
      </c>
      <c r="P466" s="169" t="s">
        <v>283</v>
      </c>
      <c r="Q466" s="169" t="s">
        <v>306</v>
      </c>
      <c r="R466" s="169" t="s">
        <v>283</v>
      </c>
      <c r="S466" s="169" t="s">
        <v>283</v>
      </c>
      <c r="T466" s="169">
        <v>0</v>
      </c>
    </row>
    <row r="467" spans="1:20" hidden="1" x14ac:dyDescent="0.2">
      <c r="A467" s="169" t="str">
        <f t="shared" si="7"/>
        <v>642</v>
      </c>
      <c r="B467" s="167" t="str">
        <f>_xlfn.XLOOKUP(I467,Mapping!D:D,Mapping!E:E)</f>
        <v>Hành Chánh Nhân Sự</v>
      </c>
      <c r="C467" s="167" t="str">
        <f>_xlfn.XLOOKUP(F467,Mapping!A:A,Mapping!F:F)</f>
        <v>Phụ Cấp</v>
      </c>
      <c r="D467" s="173">
        <v>46101</v>
      </c>
      <c r="E467" s="169" t="s">
        <v>1679</v>
      </c>
      <c r="F467" s="169" t="s">
        <v>335</v>
      </c>
      <c r="G467" s="169" t="s">
        <v>336</v>
      </c>
      <c r="H467" s="169" t="s">
        <v>358</v>
      </c>
      <c r="I467" s="169" t="s">
        <v>359</v>
      </c>
      <c r="J467" s="169" t="s">
        <v>1680</v>
      </c>
      <c r="K467" s="169" t="s">
        <v>992</v>
      </c>
      <c r="L467" s="169" t="s">
        <v>534</v>
      </c>
      <c r="M467" s="169" t="s">
        <v>1453</v>
      </c>
      <c r="N467" s="178">
        <v>2100000</v>
      </c>
      <c r="O467" s="169" t="s">
        <v>1681</v>
      </c>
      <c r="P467" s="169" t="s">
        <v>283</v>
      </c>
      <c r="Q467" s="169" t="s">
        <v>306</v>
      </c>
      <c r="R467" s="169" t="s">
        <v>283</v>
      </c>
      <c r="S467" s="169" t="s">
        <v>283</v>
      </c>
      <c r="T467" s="169">
        <v>0</v>
      </c>
    </row>
    <row r="468" spans="1:20" hidden="1" x14ac:dyDescent="0.2">
      <c r="A468" s="169" t="str">
        <f t="shared" si="7"/>
        <v>642</v>
      </c>
      <c r="B468" s="167" t="str">
        <f>_xlfn.XLOOKUP(I468,Mapping!D:D,Mapping!E:E)</f>
        <v>Mua Hàng &amp; XNK</v>
      </c>
      <c r="C468" s="167" t="str">
        <f>_xlfn.XLOOKUP(F468,Mapping!A:A,Mapping!F:F)</f>
        <v>Phụ Cấp</v>
      </c>
      <c r="D468" s="173">
        <v>46111</v>
      </c>
      <c r="E468" s="169" t="s">
        <v>1682</v>
      </c>
      <c r="F468" s="169" t="s">
        <v>335</v>
      </c>
      <c r="G468" s="169" t="s">
        <v>336</v>
      </c>
      <c r="H468" s="169" t="s">
        <v>378</v>
      </c>
      <c r="I468" s="169" t="s">
        <v>379</v>
      </c>
      <c r="J468" s="169" t="s">
        <v>1683</v>
      </c>
      <c r="K468" s="169" t="s">
        <v>741</v>
      </c>
      <c r="L468" s="169" t="s">
        <v>534</v>
      </c>
      <c r="M468" s="169" t="s">
        <v>1453</v>
      </c>
      <c r="N468" s="178">
        <v>1680000</v>
      </c>
      <c r="O468" s="169" t="s">
        <v>1684</v>
      </c>
      <c r="P468" s="169" t="s">
        <v>283</v>
      </c>
      <c r="Q468" s="169" t="s">
        <v>306</v>
      </c>
      <c r="R468" s="169" t="s">
        <v>283</v>
      </c>
      <c r="S468" s="169" t="s">
        <v>283</v>
      </c>
      <c r="T468" s="169">
        <v>0</v>
      </c>
    </row>
    <row r="469" spans="1:20" hidden="1" x14ac:dyDescent="0.2">
      <c r="A469" s="169" t="str">
        <f t="shared" si="7"/>
        <v>642</v>
      </c>
      <c r="B469" s="167" t="str">
        <f>_xlfn.XLOOKUP(I469,Mapping!D:D,Mapping!E:E)</f>
        <v>Cung Ứng</v>
      </c>
      <c r="C469" s="167" t="str">
        <f>_xlfn.XLOOKUP(F469,Mapping!A:A,Mapping!F:F)</f>
        <v>Phụ Cấp</v>
      </c>
      <c r="D469" s="173">
        <v>46111</v>
      </c>
      <c r="E469" s="169" t="s">
        <v>1682</v>
      </c>
      <c r="F469" s="169" t="s">
        <v>335</v>
      </c>
      <c r="G469" s="169" t="s">
        <v>336</v>
      </c>
      <c r="H469" s="169" t="s">
        <v>380</v>
      </c>
      <c r="I469" s="169" t="s">
        <v>381</v>
      </c>
      <c r="J469" s="169" t="s">
        <v>1683</v>
      </c>
      <c r="K469" s="169" t="s">
        <v>741</v>
      </c>
      <c r="L469" s="169" t="s">
        <v>534</v>
      </c>
      <c r="M469" s="169" t="s">
        <v>1453</v>
      </c>
      <c r="N469" s="178">
        <v>1624000</v>
      </c>
      <c r="O469" s="169" t="s">
        <v>1684</v>
      </c>
      <c r="P469" s="169" t="s">
        <v>283</v>
      </c>
      <c r="Q469" s="169" t="s">
        <v>306</v>
      </c>
      <c r="R469" s="169" t="s">
        <v>283</v>
      </c>
      <c r="S469" s="169" t="s">
        <v>283</v>
      </c>
      <c r="T469" s="169">
        <v>0</v>
      </c>
    </row>
    <row r="470" spans="1:20" hidden="1" x14ac:dyDescent="0.2">
      <c r="A470" s="169" t="str">
        <f t="shared" si="7"/>
        <v>642</v>
      </c>
      <c r="B470" s="167" t="str">
        <f>_xlfn.XLOOKUP(I470,Mapping!D:D,Mapping!E:E)</f>
        <v>Hành Chánh Nhân Sự</v>
      </c>
      <c r="C470" s="167" t="str">
        <f>_xlfn.XLOOKUP(F470,Mapping!A:A,Mapping!F:F)</f>
        <v>Phụ Cấp</v>
      </c>
      <c r="D470" s="173">
        <v>46111</v>
      </c>
      <c r="E470" s="169" t="s">
        <v>1682</v>
      </c>
      <c r="F470" s="169" t="s">
        <v>335</v>
      </c>
      <c r="G470" s="169" t="s">
        <v>336</v>
      </c>
      <c r="H470" s="169" t="s">
        <v>382</v>
      </c>
      <c r="I470" s="169" t="s">
        <v>200</v>
      </c>
      <c r="J470" s="169" t="s">
        <v>1683</v>
      </c>
      <c r="K470" s="169" t="s">
        <v>741</v>
      </c>
      <c r="L470" s="169" t="s">
        <v>534</v>
      </c>
      <c r="M470" s="169" t="s">
        <v>1453</v>
      </c>
      <c r="N470" s="178">
        <v>616000</v>
      </c>
      <c r="O470" s="169" t="s">
        <v>1684</v>
      </c>
      <c r="P470" s="169" t="s">
        <v>283</v>
      </c>
      <c r="Q470" s="169" t="s">
        <v>306</v>
      </c>
      <c r="R470" s="169" t="s">
        <v>283</v>
      </c>
      <c r="S470" s="169" t="s">
        <v>283</v>
      </c>
      <c r="T470" s="169">
        <v>0</v>
      </c>
    </row>
    <row r="471" spans="1:20" hidden="1" x14ac:dyDescent="0.2">
      <c r="A471" s="169" t="str">
        <f t="shared" si="7"/>
        <v>642</v>
      </c>
      <c r="B471" s="167" t="str">
        <f>_xlfn.XLOOKUP(I471,Mapping!D:D,Mapping!E:E)</f>
        <v>Hành Chánh Nhân Sự</v>
      </c>
      <c r="C471" s="167" t="str">
        <f>_xlfn.XLOOKUP(F471,Mapping!A:A,Mapping!F:F)</f>
        <v>Phụ Cấp</v>
      </c>
      <c r="D471" s="173">
        <v>46111</v>
      </c>
      <c r="E471" s="169" t="s">
        <v>1682</v>
      </c>
      <c r="F471" s="169" t="s">
        <v>335</v>
      </c>
      <c r="G471" s="169" t="s">
        <v>336</v>
      </c>
      <c r="H471" s="169" t="s">
        <v>358</v>
      </c>
      <c r="I471" s="169" t="s">
        <v>359</v>
      </c>
      <c r="J471" s="169" t="s">
        <v>1683</v>
      </c>
      <c r="K471" s="169" t="s">
        <v>741</v>
      </c>
      <c r="L471" s="169" t="s">
        <v>534</v>
      </c>
      <c r="M471" s="169" t="s">
        <v>1453</v>
      </c>
      <c r="N471" s="178">
        <v>1008000</v>
      </c>
      <c r="O471" s="169" t="s">
        <v>1684</v>
      </c>
      <c r="P471" s="169" t="s">
        <v>283</v>
      </c>
      <c r="Q471" s="169" t="s">
        <v>306</v>
      </c>
      <c r="R471" s="169" t="s">
        <v>283</v>
      </c>
      <c r="S471" s="169" t="s">
        <v>283</v>
      </c>
      <c r="T471" s="169">
        <v>0</v>
      </c>
    </row>
    <row r="472" spans="1:20" hidden="1" x14ac:dyDescent="0.2">
      <c r="A472" s="169" t="str">
        <f t="shared" si="7"/>
        <v>641</v>
      </c>
      <c r="B472" s="167" t="str">
        <f>_xlfn.XLOOKUP(I472,Mapping!D:D,Mapping!E:E)</f>
        <v>Kinh doanh</v>
      </c>
      <c r="C472" s="167" t="str">
        <f>_xlfn.XLOOKUP(F472,Mapping!A:A,Mapping!F:F)</f>
        <v>Lương Chính +T13</v>
      </c>
      <c r="D472" s="173">
        <v>46112</v>
      </c>
      <c r="E472" s="169" t="s">
        <v>1759</v>
      </c>
      <c r="F472" s="169" t="s">
        <v>383</v>
      </c>
      <c r="G472" s="169" t="s">
        <v>275</v>
      </c>
      <c r="H472" s="169" t="s">
        <v>366</v>
      </c>
      <c r="I472" s="169" t="s">
        <v>1</v>
      </c>
      <c r="J472" s="169" t="s">
        <v>1663</v>
      </c>
      <c r="K472" s="169" t="s">
        <v>1664</v>
      </c>
      <c r="L472" s="169" t="s">
        <v>534</v>
      </c>
      <c r="M472" s="169" t="s">
        <v>1453</v>
      </c>
      <c r="N472" s="178">
        <v>272457733</v>
      </c>
      <c r="O472" s="169" t="s">
        <v>1760</v>
      </c>
      <c r="P472" s="169" t="s">
        <v>283</v>
      </c>
      <c r="Q472" s="169" t="s">
        <v>284</v>
      </c>
      <c r="R472" s="169" t="s">
        <v>283</v>
      </c>
      <c r="S472" s="169" t="s">
        <v>283</v>
      </c>
      <c r="T472" s="169">
        <v>0</v>
      </c>
    </row>
    <row r="473" spans="1:20" hidden="1" x14ac:dyDescent="0.2">
      <c r="A473" s="169" t="str">
        <f t="shared" si="7"/>
        <v>641</v>
      </c>
      <c r="B473" s="167" t="str">
        <f>_xlfn.XLOOKUP(I473,Mapping!D:D,Mapping!E:E)</f>
        <v>Kinh doanh</v>
      </c>
      <c r="C473" s="167" t="str">
        <f>_xlfn.XLOOKUP(F473,Mapping!A:A,Mapping!F:F)</f>
        <v>Lương Chính +T13</v>
      </c>
      <c r="D473" s="173">
        <v>46112</v>
      </c>
      <c r="E473" s="169" t="s">
        <v>1761</v>
      </c>
      <c r="F473" s="169" t="s">
        <v>384</v>
      </c>
      <c r="G473" s="169" t="s">
        <v>286</v>
      </c>
      <c r="H473" s="169" t="s">
        <v>366</v>
      </c>
      <c r="I473" s="169" t="s">
        <v>1</v>
      </c>
      <c r="J473" s="169" t="s">
        <v>1663</v>
      </c>
      <c r="K473" s="169" t="s">
        <v>1664</v>
      </c>
      <c r="L473" s="169" t="s">
        <v>534</v>
      </c>
      <c r="M473" s="169" t="s">
        <v>1453</v>
      </c>
      <c r="N473" s="178">
        <v>12273683</v>
      </c>
      <c r="O473" s="169" t="s">
        <v>1762</v>
      </c>
      <c r="P473" s="169" t="s">
        <v>283</v>
      </c>
      <c r="Q473" s="169" t="s">
        <v>284</v>
      </c>
      <c r="R473" s="169" t="s">
        <v>283</v>
      </c>
      <c r="S473" s="169" t="s">
        <v>283</v>
      </c>
      <c r="T473" s="169">
        <v>0</v>
      </c>
    </row>
    <row r="474" spans="1:20" hidden="1" x14ac:dyDescent="0.2">
      <c r="A474" s="169" t="str">
        <f t="shared" si="7"/>
        <v>641</v>
      </c>
      <c r="B474" s="167" t="str">
        <f>_xlfn.XLOOKUP(I474,Mapping!D:D,Mapping!E:E)</f>
        <v>Kinh doanh</v>
      </c>
      <c r="C474" s="167" t="str">
        <f>_xlfn.XLOOKUP(F474,Mapping!A:A,Mapping!F:F)</f>
        <v>Thưởng</v>
      </c>
      <c r="D474" s="173">
        <v>46112</v>
      </c>
      <c r="E474" s="169" t="s">
        <v>1763</v>
      </c>
      <c r="F474" s="169" t="s">
        <v>365</v>
      </c>
      <c r="G474" s="169" t="s">
        <v>291</v>
      </c>
      <c r="H474" s="169" t="s">
        <v>366</v>
      </c>
      <c r="I474" s="169" t="s">
        <v>1</v>
      </c>
      <c r="J474" s="169" t="s">
        <v>1663</v>
      </c>
      <c r="K474" s="169" t="s">
        <v>1664</v>
      </c>
      <c r="L474" s="169" t="s">
        <v>534</v>
      </c>
      <c r="M474" s="169" t="s">
        <v>1453</v>
      </c>
      <c r="N474" s="178">
        <v>75158216</v>
      </c>
      <c r="O474" s="169" t="s">
        <v>1764</v>
      </c>
      <c r="P474" s="169" t="s">
        <v>283</v>
      </c>
      <c r="Q474" s="169" t="s">
        <v>284</v>
      </c>
      <c r="R474" s="169" t="s">
        <v>283</v>
      </c>
      <c r="S474" s="169" t="s">
        <v>283</v>
      </c>
      <c r="T474" s="169">
        <v>0</v>
      </c>
    </row>
    <row r="475" spans="1:20" hidden="1" x14ac:dyDescent="0.2">
      <c r="A475" s="169" t="str">
        <f t="shared" si="7"/>
        <v>642</v>
      </c>
      <c r="B475" s="167" t="str">
        <f>_xlfn.XLOOKUP(I475,Mapping!D:D,Mapping!E:E)</f>
        <v>Cung Ứng</v>
      </c>
      <c r="C475" s="167" t="str">
        <f>_xlfn.XLOOKUP(F475,Mapping!A:A,Mapping!F:F)</f>
        <v>Lương Chính +T13</v>
      </c>
      <c r="D475" s="173">
        <v>46112</v>
      </c>
      <c r="E475" s="169" t="s">
        <v>1765</v>
      </c>
      <c r="F475" s="169" t="s">
        <v>274</v>
      </c>
      <c r="G475" s="169" t="s">
        <v>275</v>
      </c>
      <c r="H475" s="169" t="s">
        <v>380</v>
      </c>
      <c r="I475" s="169" t="s">
        <v>381</v>
      </c>
      <c r="J475" s="169" t="s">
        <v>1663</v>
      </c>
      <c r="K475" s="169" t="s">
        <v>1664</v>
      </c>
      <c r="L475" s="169" t="s">
        <v>534</v>
      </c>
      <c r="M475" s="169" t="s">
        <v>1453</v>
      </c>
      <c r="N475" s="178">
        <v>395102247</v>
      </c>
      <c r="O475" s="169" t="s">
        <v>1766</v>
      </c>
      <c r="P475" s="169" t="s">
        <v>283</v>
      </c>
      <c r="Q475" s="169" t="s">
        <v>284</v>
      </c>
      <c r="R475" s="169" t="s">
        <v>283</v>
      </c>
      <c r="S475" s="169" t="s">
        <v>283</v>
      </c>
      <c r="T475" s="169">
        <v>0</v>
      </c>
    </row>
    <row r="476" spans="1:20" hidden="1" x14ac:dyDescent="0.2">
      <c r="A476" s="169" t="str">
        <f t="shared" si="7"/>
        <v>642</v>
      </c>
      <c r="B476" s="167" t="str">
        <f>_xlfn.XLOOKUP(I476,Mapping!D:D,Mapping!E:E)</f>
        <v>Cung Ứng</v>
      </c>
      <c r="C476" s="167" t="str">
        <f>_xlfn.XLOOKUP(F476,Mapping!A:A,Mapping!F:F)</f>
        <v>Lương Chính +T13</v>
      </c>
      <c r="D476" s="173">
        <v>46112</v>
      </c>
      <c r="E476" s="169" t="s">
        <v>1767</v>
      </c>
      <c r="F476" s="169" t="s">
        <v>285</v>
      </c>
      <c r="G476" s="169" t="s">
        <v>286</v>
      </c>
      <c r="H476" s="169" t="s">
        <v>380</v>
      </c>
      <c r="I476" s="169" t="s">
        <v>381</v>
      </c>
      <c r="J476" s="169" t="s">
        <v>1663</v>
      </c>
      <c r="K476" s="169" t="s">
        <v>1664</v>
      </c>
      <c r="L476" s="169" t="s">
        <v>534</v>
      </c>
      <c r="M476" s="169" t="s">
        <v>1453</v>
      </c>
      <c r="N476" s="178">
        <v>7249385</v>
      </c>
      <c r="O476" s="169" t="s">
        <v>1768</v>
      </c>
      <c r="P476" s="169" t="s">
        <v>283</v>
      </c>
      <c r="Q476" s="169" t="s">
        <v>284</v>
      </c>
      <c r="R476" s="169" t="s">
        <v>283</v>
      </c>
      <c r="S476" s="169" t="s">
        <v>283</v>
      </c>
      <c r="T476" s="169">
        <v>0</v>
      </c>
    </row>
    <row r="477" spans="1:20" hidden="1" x14ac:dyDescent="0.2">
      <c r="A477" s="169" t="str">
        <f t="shared" si="7"/>
        <v>642</v>
      </c>
      <c r="B477" s="167" t="str">
        <f>_xlfn.XLOOKUP(I477,Mapping!D:D,Mapping!E:E)</f>
        <v>Cung Ứng</v>
      </c>
      <c r="C477" s="167" t="str">
        <f>_xlfn.XLOOKUP(F477,Mapping!A:A,Mapping!F:F)</f>
        <v>Thưởng</v>
      </c>
      <c r="D477" s="173">
        <v>46112</v>
      </c>
      <c r="E477" s="169" t="s">
        <v>1769</v>
      </c>
      <c r="F477" s="169" t="s">
        <v>290</v>
      </c>
      <c r="G477" s="169" t="s">
        <v>291</v>
      </c>
      <c r="H477" s="169" t="s">
        <v>380</v>
      </c>
      <c r="I477" s="169" t="s">
        <v>381</v>
      </c>
      <c r="J477" s="169" t="s">
        <v>1663</v>
      </c>
      <c r="K477" s="169" t="s">
        <v>1664</v>
      </c>
      <c r="L477" s="169" t="s">
        <v>534</v>
      </c>
      <c r="M477" s="169" t="s">
        <v>1453</v>
      </c>
      <c r="N477" s="178">
        <v>269878643</v>
      </c>
      <c r="O477" s="169" t="s">
        <v>1770</v>
      </c>
      <c r="P477" s="169" t="s">
        <v>283</v>
      </c>
      <c r="Q477" s="169" t="s">
        <v>284</v>
      </c>
      <c r="R477" s="169" t="s">
        <v>283</v>
      </c>
      <c r="S477" s="169" t="s">
        <v>283</v>
      </c>
      <c r="T477" s="169">
        <v>0</v>
      </c>
    </row>
    <row r="478" spans="1:20" hidden="1" x14ac:dyDescent="0.2">
      <c r="A478" s="169" t="str">
        <f t="shared" si="7"/>
        <v>642</v>
      </c>
      <c r="B478" s="167" t="str">
        <f>_xlfn.XLOOKUP(I478,Mapping!D:D,Mapping!E:E)</f>
        <v>Cung Ứng</v>
      </c>
      <c r="C478" s="167" t="str">
        <f>_xlfn.XLOOKUP(F478,Mapping!A:A,Mapping!F:F)</f>
        <v>Phụ Cấp</v>
      </c>
      <c r="D478" s="173">
        <v>46112</v>
      </c>
      <c r="E478" s="169" t="s">
        <v>1771</v>
      </c>
      <c r="F478" s="169" t="s">
        <v>335</v>
      </c>
      <c r="G478" s="169" t="s">
        <v>336</v>
      </c>
      <c r="H478" s="169" t="s">
        <v>380</v>
      </c>
      <c r="I478" s="169" t="s">
        <v>381</v>
      </c>
      <c r="J478" s="169" t="s">
        <v>1663</v>
      </c>
      <c r="K478" s="169" t="s">
        <v>1664</v>
      </c>
      <c r="L478" s="169" t="s">
        <v>534</v>
      </c>
      <c r="M478" s="169" t="s">
        <v>1453</v>
      </c>
      <c r="N478" s="178">
        <v>11865000</v>
      </c>
      <c r="O478" s="169" t="s">
        <v>1772</v>
      </c>
      <c r="P478" s="169" t="s">
        <v>283</v>
      </c>
      <c r="Q478" s="169" t="s">
        <v>284</v>
      </c>
      <c r="R478" s="169" t="s">
        <v>283</v>
      </c>
      <c r="S478" s="169" t="s">
        <v>283</v>
      </c>
      <c r="T478" s="169">
        <v>0</v>
      </c>
    </row>
    <row r="479" spans="1:20" hidden="1" x14ac:dyDescent="0.2">
      <c r="A479" s="169" t="str">
        <f t="shared" si="7"/>
        <v>642</v>
      </c>
      <c r="B479" s="167" t="str">
        <f>_xlfn.XLOOKUP(I479,Mapping!D:D,Mapping!E:E)</f>
        <v>Mua Hàng &amp; XNK</v>
      </c>
      <c r="C479" s="167" t="str">
        <f>_xlfn.XLOOKUP(F479,Mapping!A:A,Mapping!F:F)</f>
        <v>Lương Chính +T13</v>
      </c>
      <c r="D479" s="173">
        <v>46112</v>
      </c>
      <c r="E479" s="169" t="s">
        <v>1773</v>
      </c>
      <c r="F479" s="169" t="s">
        <v>274</v>
      </c>
      <c r="G479" s="169" t="s">
        <v>275</v>
      </c>
      <c r="H479" s="169" t="s">
        <v>378</v>
      </c>
      <c r="I479" s="169" t="s">
        <v>379</v>
      </c>
      <c r="J479" s="169" t="s">
        <v>1663</v>
      </c>
      <c r="K479" s="169" t="s">
        <v>1664</v>
      </c>
      <c r="L479" s="169" t="s">
        <v>534</v>
      </c>
      <c r="M479" s="169" t="s">
        <v>1453</v>
      </c>
      <c r="N479" s="178">
        <v>172538381</v>
      </c>
      <c r="O479" s="169" t="s">
        <v>1774</v>
      </c>
      <c r="P479" s="169" t="s">
        <v>283</v>
      </c>
      <c r="Q479" s="169" t="s">
        <v>284</v>
      </c>
      <c r="R479" s="169" t="s">
        <v>283</v>
      </c>
      <c r="S479" s="169" t="s">
        <v>283</v>
      </c>
      <c r="T479" s="169">
        <v>0</v>
      </c>
    </row>
    <row r="480" spans="1:20" hidden="1" x14ac:dyDescent="0.2">
      <c r="A480" s="169" t="str">
        <f t="shared" si="7"/>
        <v>642</v>
      </c>
      <c r="B480" s="167" t="str">
        <f>_xlfn.XLOOKUP(I480,Mapping!D:D,Mapping!E:E)</f>
        <v>Mua Hàng &amp; XNK</v>
      </c>
      <c r="C480" s="167" t="str">
        <f>_xlfn.XLOOKUP(F480,Mapping!A:A,Mapping!F:F)</f>
        <v>Lương Chính +T13</v>
      </c>
      <c r="D480" s="173">
        <v>46112</v>
      </c>
      <c r="E480" s="169" t="s">
        <v>1775</v>
      </c>
      <c r="F480" s="169" t="s">
        <v>285</v>
      </c>
      <c r="G480" s="169" t="s">
        <v>286</v>
      </c>
      <c r="H480" s="169" t="s">
        <v>378</v>
      </c>
      <c r="I480" s="169" t="s">
        <v>379</v>
      </c>
      <c r="J480" s="169" t="s">
        <v>1663</v>
      </c>
      <c r="K480" s="169" t="s">
        <v>1664</v>
      </c>
      <c r="L480" s="169" t="s">
        <v>534</v>
      </c>
      <c r="M480" s="169" t="s">
        <v>1453</v>
      </c>
      <c r="N480" s="178">
        <v>1037500</v>
      </c>
      <c r="O480" s="169" t="s">
        <v>1776</v>
      </c>
      <c r="P480" s="169" t="s">
        <v>283</v>
      </c>
      <c r="Q480" s="169" t="s">
        <v>284</v>
      </c>
      <c r="R480" s="169" t="s">
        <v>283</v>
      </c>
      <c r="S480" s="169" t="s">
        <v>283</v>
      </c>
      <c r="T480" s="169">
        <v>0</v>
      </c>
    </row>
    <row r="481" spans="1:20" hidden="1" x14ac:dyDescent="0.2">
      <c r="A481" s="169" t="str">
        <f t="shared" si="7"/>
        <v>642</v>
      </c>
      <c r="B481" s="167" t="str">
        <f>_xlfn.XLOOKUP(I481,Mapping!D:D,Mapping!E:E)</f>
        <v>Mua Hàng &amp; XNK</v>
      </c>
      <c r="C481" s="167" t="str">
        <f>_xlfn.XLOOKUP(F481,Mapping!A:A,Mapping!F:F)</f>
        <v>Phụ Cấp</v>
      </c>
      <c r="D481" s="173">
        <v>46112</v>
      </c>
      <c r="E481" s="169" t="s">
        <v>1777</v>
      </c>
      <c r="F481" s="169" t="s">
        <v>335</v>
      </c>
      <c r="G481" s="169" t="s">
        <v>336</v>
      </c>
      <c r="H481" s="169" t="s">
        <v>378</v>
      </c>
      <c r="I481" s="169" t="s">
        <v>379</v>
      </c>
      <c r="J481" s="169" t="s">
        <v>1663</v>
      </c>
      <c r="K481" s="169" t="s">
        <v>1664</v>
      </c>
      <c r="L481" s="169" t="s">
        <v>534</v>
      </c>
      <c r="M481" s="169" t="s">
        <v>1453</v>
      </c>
      <c r="N481" s="178">
        <v>1200000</v>
      </c>
      <c r="O481" s="169" t="s">
        <v>1778</v>
      </c>
      <c r="P481" s="169" t="s">
        <v>283</v>
      </c>
      <c r="Q481" s="169" t="s">
        <v>284</v>
      </c>
      <c r="R481" s="169" t="s">
        <v>283</v>
      </c>
      <c r="S481" s="169" t="s">
        <v>283</v>
      </c>
      <c r="T481" s="169">
        <v>0</v>
      </c>
    </row>
    <row r="482" spans="1:20" hidden="1" x14ac:dyDescent="0.2">
      <c r="A482" s="169" t="str">
        <f t="shared" si="7"/>
        <v>627</v>
      </c>
      <c r="B482" s="167" t="str">
        <f>_xlfn.XLOOKUP(I482,Mapping!D:D,Mapping!E:E)</f>
        <v>Kỹ Thuật</v>
      </c>
      <c r="C482" s="167" t="str">
        <f>_xlfn.XLOOKUP(F482,Mapping!A:A,Mapping!F:F)</f>
        <v>Phụ Cấp</v>
      </c>
      <c r="D482" s="173">
        <v>46112</v>
      </c>
      <c r="E482" s="169" t="s">
        <v>1779</v>
      </c>
      <c r="F482" s="169" t="s">
        <v>386</v>
      </c>
      <c r="G482" s="169" t="s">
        <v>341</v>
      </c>
      <c r="H482" s="169" t="s">
        <v>376</v>
      </c>
      <c r="I482" s="169" t="s">
        <v>377</v>
      </c>
      <c r="J482" s="169" t="s">
        <v>1663</v>
      </c>
      <c r="K482" s="169" t="s">
        <v>1664</v>
      </c>
      <c r="L482" s="169" t="s">
        <v>534</v>
      </c>
      <c r="M482" s="169" t="s">
        <v>1453</v>
      </c>
      <c r="N482" s="178">
        <v>45101114</v>
      </c>
      <c r="O482" s="169" t="s">
        <v>1780</v>
      </c>
      <c r="P482" s="169" t="s">
        <v>283</v>
      </c>
      <c r="Q482" s="169" t="s">
        <v>284</v>
      </c>
      <c r="R482" s="169" t="s">
        <v>283</v>
      </c>
      <c r="S482" s="169" t="s">
        <v>283</v>
      </c>
      <c r="T482" s="169">
        <v>0</v>
      </c>
    </row>
    <row r="483" spans="1:20" hidden="1" x14ac:dyDescent="0.2">
      <c r="A483" s="169" t="str">
        <f t="shared" si="7"/>
        <v>627</v>
      </c>
      <c r="B483" s="167" t="str">
        <f>_xlfn.XLOOKUP(I483,Mapping!D:D,Mapping!E:E)</f>
        <v>Kỹ Thuật</v>
      </c>
      <c r="C483" s="167" t="str">
        <f>_xlfn.XLOOKUP(F483,Mapping!A:A,Mapping!F:F)</f>
        <v>Lương Chính +T13</v>
      </c>
      <c r="D483" s="173">
        <v>46112</v>
      </c>
      <c r="E483" s="169" t="s">
        <v>1781</v>
      </c>
      <c r="F483" s="169" t="s">
        <v>387</v>
      </c>
      <c r="G483" s="169" t="s">
        <v>275</v>
      </c>
      <c r="H483" s="169" t="s">
        <v>376</v>
      </c>
      <c r="I483" s="169" t="s">
        <v>377</v>
      </c>
      <c r="J483" s="169" t="s">
        <v>1663</v>
      </c>
      <c r="K483" s="169" t="s">
        <v>1664</v>
      </c>
      <c r="L483" s="169" t="s">
        <v>534</v>
      </c>
      <c r="M483" s="169" t="s">
        <v>1453</v>
      </c>
      <c r="N483" s="178">
        <v>1067652434</v>
      </c>
      <c r="O483" s="169" t="s">
        <v>1782</v>
      </c>
      <c r="P483" s="169" t="s">
        <v>283</v>
      </c>
      <c r="Q483" s="169" t="s">
        <v>284</v>
      </c>
      <c r="R483" s="169" t="s">
        <v>283</v>
      </c>
      <c r="S483" s="169" t="s">
        <v>283</v>
      </c>
      <c r="T483" s="169">
        <v>0</v>
      </c>
    </row>
    <row r="484" spans="1:20" hidden="1" x14ac:dyDescent="0.2">
      <c r="A484" s="169" t="str">
        <f t="shared" ref="A484:A547" si="8">LEFT(F484,3)</f>
        <v>642</v>
      </c>
      <c r="B484" s="167" t="str">
        <f>_xlfn.XLOOKUP(I484,Mapping!D:D,Mapping!E:E)</f>
        <v>Hành Chánh Nhân Sự</v>
      </c>
      <c r="C484" s="167" t="str">
        <f>_xlfn.XLOOKUP(F484,Mapping!A:A,Mapping!F:F)</f>
        <v>Lương Chính +T13</v>
      </c>
      <c r="D484" s="173">
        <v>46112</v>
      </c>
      <c r="E484" s="169" t="s">
        <v>1783</v>
      </c>
      <c r="F484" s="169" t="s">
        <v>274</v>
      </c>
      <c r="G484" s="169" t="s">
        <v>275</v>
      </c>
      <c r="H484" s="169" t="s">
        <v>382</v>
      </c>
      <c r="I484" s="169" t="s">
        <v>200</v>
      </c>
      <c r="J484" s="169" t="s">
        <v>1663</v>
      </c>
      <c r="K484" s="169" t="s">
        <v>1664</v>
      </c>
      <c r="L484" s="169" t="s">
        <v>534</v>
      </c>
      <c r="M484" s="169" t="s">
        <v>1453</v>
      </c>
      <c r="N484" s="178">
        <v>69472548</v>
      </c>
      <c r="O484" s="169" t="s">
        <v>1784</v>
      </c>
      <c r="P484" s="169" t="s">
        <v>283</v>
      </c>
      <c r="Q484" s="169" t="s">
        <v>284</v>
      </c>
      <c r="R484" s="169" t="s">
        <v>283</v>
      </c>
      <c r="S484" s="169" t="s">
        <v>283</v>
      </c>
      <c r="T484" s="169">
        <v>0</v>
      </c>
    </row>
    <row r="485" spans="1:20" hidden="1" x14ac:dyDescent="0.2">
      <c r="A485" s="169" t="str">
        <f t="shared" si="8"/>
        <v>642</v>
      </c>
      <c r="B485" s="167" t="str">
        <f>_xlfn.XLOOKUP(I485,Mapping!D:D,Mapping!E:E)</f>
        <v>Hành Chánh Nhân Sự</v>
      </c>
      <c r="C485" s="167" t="str">
        <f>_xlfn.XLOOKUP(F485,Mapping!A:A,Mapping!F:F)</f>
        <v>Lương Chính +T13</v>
      </c>
      <c r="D485" s="173">
        <v>46112</v>
      </c>
      <c r="E485" s="169" t="s">
        <v>1785</v>
      </c>
      <c r="F485" s="169" t="s">
        <v>285</v>
      </c>
      <c r="G485" s="169" t="s">
        <v>286</v>
      </c>
      <c r="H485" s="169" t="s">
        <v>382</v>
      </c>
      <c r="I485" s="169" t="s">
        <v>200</v>
      </c>
      <c r="J485" s="169" t="s">
        <v>1663</v>
      </c>
      <c r="K485" s="169" t="s">
        <v>1664</v>
      </c>
      <c r="L485" s="169" t="s">
        <v>534</v>
      </c>
      <c r="M485" s="169" t="s">
        <v>1453</v>
      </c>
      <c r="N485" s="178">
        <v>415385</v>
      </c>
      <c r="O485" s="169" t="s">
        <v>1786</v>
      </c>
      <c r="P485" s="169" t="s">
        <v>283</v>
      </c>
      <c r="Q485" s="169" t="s">
        <v>284</v>
      </c>
      <c r="R485" s="169" t="s">
        <v>283</v>
      </c>
      <c r="S485" s="169" t="s">
        <v>283</v>
      </c>
      <c r="T485" s="169">
        <v>0</v>
      </c>
    </row>
    <row r="486" spans="1:20" hidden="1" x14ac:dyDescent="0.2">
      <c r="A486" s="169" t="str">
        <f t="shared" si="8"/>
        <v>642</v>
      </c>
      <c r="B486" s="167" t="str">
        <f>_xlfn.XLOOKUP(I486,Mapping!D:D,Mapping!E:E)</f>
        <v>Hành Chánh Nhân Sự</v>
      </c>
      <c r="C486" s="167" t="str">
        <f>_xlfn.XLOOKUP(F486,Mapping!A:A,Mapping!F:F)</f>
        <v>Phụ Cấp</v>
      </c>
      <c r="D486" s="173">
        <v>46112</v>
      </c>
      <c r="E486" s="169" t="s">
        <v>1787</v>
      </c>
      <c r="F486" s="169" t="s">
        <v>335</v>
      </c>
      <c r="G486" s="169" t="s">
        <v>336</v>
      </c>
      <c r="H486" s="169" t="s">
        <v>382</v>
      </c>
      <c r="I486" s="169" t="s">
        <v>200</v>
      </c>
      <c r="J486" s="169" t="s">
        <v>1663</v>
      </c>
      <c r="K486" s="169" t="s">
        <v>1664</v>
      </c>
      <c r="L486" s="169" t="s">
        <v>534</v>
      </c>
      <c r="M486" s="169" t="s">
        <v>1453</v>
      </c>
      <c r="N486" s="178">
        <v>375000</v>
      </c>
      <c r="O486" s="169" t="s">
        <v>1788</v>
      </c>
      <c r="P486" s="169" t="s">
        <v>283</v>
      </c>
      <c r="Q486" s="169" t="s">
        <v>284</v>
      </c>
      <c r="R486" s="169" t="s">
        <v>283</v>
      </c>
      <c r="S486" s="169" t="s">
        <v>283</v>
      </c>
      <c r="T486" s="169">
        <v>0</v>
      </c>
    </row>
    <row r="487" spans="1:20" hidden="1" x14ac:dyDescent="0.2">
      <c r="A487" s="169" t="str">
        <f t="shared" si="8"/>
        <v>642</v>
      </c>
      <c r="B487" s="167" t="str">
        <f>_xlfn.XLOOKUP(I487,Mapping!D:D,Mapping!E:E)</f>
        <v>Hành Chánh Nhân Sự</v>
      </c>
      <c r="C487" s="167" t="str">
        <f>_xlfn.XLOOKUP(F487,Mapping!A:A,Mapping!F:F)</f>
        <v>Lương Chính +T13</v>
      </c>
      <c r="D487" s="173">
        <v>46112</v>
      </c>
      <c r="E487" s="169" t="s">
        <v>1789</v>
      </c>
      <c r="F487" s="169" t="s">
        <v>274</v>
      </c>
      <c r="G487" s="169" t="s">
        <v>275</v>
      </c>
      <c r="H487" s="169" t="s">
        <v>358</v>
      </c>
      <c r="I487" s="169" t="s">
        <v>359</v>
      </c>
      <c r="J487" s="169" t="s">
        <v>1663</v>
      </c>
      <c r="K487" s="169" t="s">
        <v>1664</v>
      </c>
      <c r="L487" s="169" t="s">
        <v>534</v>
      </c>
      <c r="M487" s="169" t="s">
        <v>1453</v>
      </c>
      <c r="N487" s="178">
        <v>96663976</v>
      </c>
      <c r="O487" s="169" t="s">
        <v>1790</v>
      </c>
      <c r="P487" s="169" t="s">
        <v>283</v>
      </c>
      <c r="Q487" s="169" t="s">
        <v>284</v>
      </c>
      <c r="R487" s="169" t="s">
        <v>283</v>
      </c>
      <c r="S487" s="169" t="s">
        <v>283</v>
      </c>
      <c r="T487" s="169">
        <v>0</v>
      </c>
    </row>
    <row r="488" spans="1:20" hidden="1" x14ac:dyDescent="0.2">
      <c r="A488" s="169" t="str">
        <f t="shared" si="8"/>
        <v>642</v>
      </c>
      <c r="B488" s="167" t="str">
        <f>_xlfn.XLOOKUP(I488,Mapping!D:D,Mapping!E:E)</f>
        <v>Hành Chánh Nhân Sự</v>
      </c>
      <c r="C488" s="167" t="str">
        <f>_xlfn.XLOOKUP(F488,Mapping!A:A,Mapping!F:F)</f>
        <v>Lương Chính +T13</v>
      </c>
      <c r="D488" s="173">
        <v>46112</v>
      </c>
      <c r="E488" s="169" t="s">
        <v>1791</v>
      </c>
      <c r="F488" s="169" t="s">
        <v>285</v>
      </c>
      <c r="G488" s="169" t="s">
        <v>286</v>
      </c>
      <c r="H488" s="169" t="s">
        <v>358</v>
      </c>
      <c r="I488" s="169" t="s">
        <v>359</v>
      </c>
      <c r="J488" s="169" t="s">
        <v>1663</v>
      </c>
      <c r="K488" s="169" t="s">
        <v>1664</v>
      </c>
      <c r="L488" s="169" t="s">
        <v>534</v>
      </c>
      <c r="M488" s="169" t="s">
        <v>1453</v>
      </c>
      <c r="N488" s="178">
        <v>2267846</v>
      </c>
      <c r="O488" s="169" t="s">
        <v>1792</v>
      </c>
      <c r="P488" s="169" t="s">
        <v>283</v>
      </c>
      <c r="Q488" s="169" t="s">
        <v>284</v>
      </c>
      <c r="R488" s="169" t="s">
        <v>283</v>
      </c>
      <c r="S488" s="169" t="s">
        <v>283</v>
      </c>
      <c r="T488" s="169">
        <v>0</v>
      </c>
    </row>
    <row r="489" spans="1:20" hidden="1" x14ac:dyDescent="0.2">
      <c r="A489" s="169" t="str">
        <f t="shared" si="8"/>
        <v>642</v>
      </c>
      <c r="B489" s="167" t="str">
        <f>_xlfn.XLOOKUP(I489,Mapping!D:D,Mapping!E:E)</f>
        <v>Hành Chánh Nhân Sự</v>
      </c>
      <c r="C489" s="167" t="str">
        <f>_xlfn.XLOOKUP(F489,Mapping!A:A,Mapping!F:F)</f>
        <v>Phụ Cấp</v>
      </c>
      <c r="D489" s="173">
        <v>46112</v>
      </c>
      <c r="E489" s="169" t="s">
        <v>1793</v>
      </c>
      <c r="F489" s="169" t="s">
        <v>335</v>
      </c>
      <c r="G489" s="169" t="s">
        <v>336</v>
      </c>
      <c r="H489" s="169" t="s">
        <v>358</v>
      </c>
      <c r="I489" s="169" t="s">
        <v>359</v>
      </c>
      <c r="J489" s="169" t="s">
        <v>1663</v>
      </c>
      <c r="K489" s="169" t="s">
        <v>1664</v>
      </c>
      <c r="L489" s="169" t="s">
        <v>534</v>
      </c>
      <c r="M489" s="169" t="s">
        <v>1453</v>
      </c>
      <c r="N489" s="178">
        <v>25000</v>
      </c>
      <c r="O489" s="169" t="s">
        <v>1794</v>
      </c>
      <c r="P489" s="169" t="s">
        <v>283</v>
      </c>
      <c r="Q489" s="169" t="s">
        <v>284</v>
      </c>
      <c r="R489" s="169" t="s">
        <v>283</v>
      </c>
      <c r="S489" s="169" t="s">
        <v>283</v>
      </c>
      <c r="T489" s="169">
        <v>0</v>
      </c>
    </row>
    <row r="490" spans="1:20" hidden="1" x14ac:dyDescent="0.2">
      <c r="A490" s="169" t="str">
        <f t="shared" si="8"/>
        <v>642</v>
      </c>
      <c r="B490" s="167" t="str">
        <f>_xlfn.XLOOKUP(I490,Mapping!D:D,Mapping!E:E)</f>
        <v>Chiến Lược CCU</v>
      </c>
      <c r="C490" s="167" t="str">
        <f>_xlfn.XLOOKUP(F490,Mapping!A:A,Mapping!F:F)</f>
        <v>Lương Chính +T13</v>
      </c>
      <c r="D490" s="173">
        <v>46112</v>
      </c>
      <c r="E490" s="169" t="s">
        <v>1795</v>
      </c>
      <c r="F490" s="169" t="s">
        <v>274</v>
      </c>
      <c r="G490" s="169" t="s">
        <v>275</v>
      </c>
      <c r="H490" s="169" t="s">
        <v>1538</v>
      </c>
      <c r="I490" s="169" t="s">
        <v>1539</v>
      </c>
      <c r="J490" s="169" t="s">
        <v>1663</v>
      </c>
      <c r="K490" s="169" t="s">
        <v>1664</v>
      </c>
      <c r="L490" s="169" t="s">
        <v>534</v>
      </c>
      <c r="M490" s="169" t="s">
        <v>1453</v>
      </c>
      <c r="N490" s="178">
        <v>77941707</v>
      </c>
      <c r="O490" s="169" t="s">
        <v>1796</v>
      </c>
      <c r="P490" s="169" t="s">
        <v>283</v>
      </c>
      <c r="Q490" s="169" t="s">
        <v>284</v>
      </c>
      <c r="R490" s="169" t="s">
        <v>283</v>
      </c>
      <c r="S490" s="169" t="s">
        <v>283</v>
      </c>
      <c r="T490" s="169">
        <v>0</v>
      </c>
    </row>
    <row r="491" spans="1:20" hidden="1" x14ac:dyDescent="0.2">
      <c r="A491" s="169" t="str">
        <f t="shared" si="8"/>
        <v>641</v>
      </c>
      <c r="B491" s="167" t="str">
        <f>_xlfn.XLOOKUP(I491,Mapping!D:D,Mapping!E:E)</f>
        <v>Kinh doanh</v>
      </c>
      <c r="C491" s="167" t="str">
        <f>_xlfn.XLOOKUP(F491,Mapping!A:A,Mapping!F:F)</f>
        <v>Thưởng</v>
      </c>
      <c r="D491" s="173">
        <v>46112</v>
      </c>
      <c r="E491" s="169" t="s">
        <v>1797</v>
      </c>
      <c r="F491" s="169" t="s">
        <v>365</v>
      </c>
      <c r="G491" s="169" t="s">
        <v>291</v>
      </c>
      <c r="H491" s="169" t="s">
        <v>366</v>
      </c>
      <c r="I491" s="169" t="s">
        <v>1</v>
      </c>
      <c r="J491" s="169" t="s">
        <v>1798</v>
      </c>
      <c r="K491" s="169" t="s">
        <v>670</v>
      </c>
      <c r="L491" s="169" t="s">
        <v>534</v>
      </c>
      <c r="M491" s="169" t="s">
        <v>1453</v>
      </c>
      <c r="N491" s="178">
        <v>27864645</v>
      </c>
      <c r="O491" s="169" t="s">
        <v>1799</v>
      </c>
      <c r="P491" s="169" t="s">
        <v>283</v>
      </c>
      <c r="Q491" s="169" t="s">
        <v>370</v>
      </c>
      <c r="R491" s="169" t="s">
        <v>283</v>
      </c>
      <c r="S491" s="169" t="s">
        <v>283</v>
      </c>
      <c r="T491" s="169">
        <v>0</v>
      </c>
    </row>
    <row r="492" spans="1:20" hidden="1" x14ac:dyDescent="0.2">
      <c r="A492" s="169" t="str">
        <f t="shared" si="8"/>
        <v>641</v>
      </c>
      <c r="B492" s="167" t="str">
        <f>_xlfn.XLOOKUP(I492,Mapping!D:D,Mapping!E:E)</f>
        <v>Kinh doanh</v>
      </c>
      <c r="C492" s="167" t="str">
        <f>_xlfn.XLOOKUP(F492,Mapping!A:A,Mapping!F:F)</f>
        <v>Thưởng</v>
      </c>
      <c r="D492" s="173">
        <v>46112</v>
      </c>
      <c r="E492" s="169" t="s">
        <v>1800</v>
      </c>
      <c r="F492" s="169" t="s">
        <v>365</v>
      </c>
      <c r="G492" s="169" t="s">
        <v>291</v>
      </c>
      <c r="H492" s="169" t="s">
        <v>366</v>
      </c>
      <c r="I492" s="169" t="s">
        <v>1</v>
      </c>
      <c r="J492" s="169" t="s">
        <v>1801</v>
      </c>
      <c r="K492" s="169" t="s">
        <v>1630</v>
      </c>
      <c r="L492" s="169" t="s">
        <v>534</v>
      </c>
      <c r="M492" s="169" t="s">
        <v>1453</v>
      </c>
      <c r="N492" s="178">
        <v>266181803</v>
      </c>
      <c r="O492" s="169" t="s">
        <v>1802</v>
      </c>
      <c r="P492" s="169" t="s">
        <v>283</v>
      </c>
      <c r="Q492" s="169" t="s">
        <v>370</v>
      </c>
      <c r="R492" s="169" t="s">
        <v>283</v>
      </c>
      <c r="S492" s="169" t="s">
        <v>283</v>
      </c>
      <c r="T492" s="169">
        <v>0</v>
      </c>
    </row>
    <row r="493" spans="1:20" hidden="1" x14ac:dyDescent="0.2">
      <c r="A493" s="169" t="str">
        <f t="shared" si="8"/>
        <v>641</v>
      </c>
      <c r="B493" s="167" t="str">
        <f>_xlfn.XLOOKUP(I493,Mapping!D:D,Mapping!E:E)</f>
        <v>Kinh doanh</v>
      </c>
      <c r="C493" s="167" t="str">
        <f>_xlfn.XLOOKUP(F493,Mapping!A:A,Mapping!F:F)</f>
        <v>Lương Chính +T13</v>
      </c>
      <c r="D493" s="173">
        <v>46112</v>
      </c>
      <c r="E493" s="169" t="s">
        <v>1803</v>
      </c>
      <c r="F493" s="169" t="s">
        <v>384</v>
      </c>
      <c r="G493" s="169" t="s">
        <v>286</v>
      </c>
      <c r="H493" s="169" t="s">
        <v>366</v>
      </c>
      <c r="I493" s="169" t="s">
        <v>1</v>
      </c>
      <c r="J493" s="169" t="s">
        <v>1669</v>
      </c>
      <c r="K493" s="169" t="s">
        <v>1664</v>
      </c>
      <c r="L493" s="169" t="s">
        <v>534</v>
      </c>
      <c r="M493" s="169" t="s">
        <v>1453</v>
      </c>
      <c r="N493" s="178">
        <v>23872833</v>
      </c>
      <c r="O493" s="169" t="s">
        <v>1804</v>
      </c>
      <c r="P493" s="169" t="s">
        <v>283</v>
      </c>
      <c r="Q493" s="169" t="s">
        <v>284</v>
      </c>
      <c r="R493" s="169" t="s">
        <v>283</v>
      </c>
      <c r="S493" s="169" t="s">
        <v>283</v>
      </c>
      <c r="T493" s="169">
        <v>0</v>
      </c>
    </row>
    <row r="494" spans="1:20" hidden="1" x14ac:dyDescent="0.2">
      <c r="A494" s="169" t="str">
        <f t="shared" si="8"/>
        <v>641</v>
      </c>
      <c r="B494" s="167" t="str">
        <f>_xlfn.XLOOKUP(I494,Mapping!D:D,Mapping!E:E)</f>
        <v>Kinh doanh</v>
      </c>
      <c r="C494" s="167" t="str">
        <f>_xlfn.XLOOKUP(F494,Mapping!A:A,Mapping!F:F)</f>
        <v>Thưởng</v>
      </c>
      <c r="D494" s="173">
        <v>46112</v>
      </c>
      <c r="E494" s="169" t="s">
        <v>1805</v>
      </c>
      <c r="F494" s="169" t="s">
        <v>394</v>
      </c>
      <c r="G494" s="169" t="s">
        <v>77</v>
      </c>
      <c r="H494" s="169" t="s">
        <v>366</v>
      </c>
      <c r="I494" s="169" t="s">
        <v>1</v>
      </c>
      <c r="J494" s="169" t="s">
        <v>1672</v>
      </c>
      <c r="K494" s="169" t="s">
        <v>1664</v>
      </c>
      <c r="L494" s="169" t="s">
        <v>534</v>
      </c>
      <c r="M494" s="169" t="s">
        <v>1453</v>
      </c>
      <c r="N494" s="178">
        <v>21962816</v>
      </c>
      <c r="O494" s="169" t="s">
        <v>1806</v>
      </c>
      <c r="P494" s="169" t="s">
        <v>283</v>
      </c>
      <c r="Q494" s="169" t="s">
        <v>284</v>
      </c>
      <c r="R494" s="169" t="s">
        <v>283</v>
      </c>
      <c r="S494" s="169" t="s">
        <v>283</v>
      </c>
      <c r="T494" s="169">
        <v>0</v>
      </c>
    </row>
    <row r="495" spans="1:20" hidden="1" x14ac:dyDescent="0.2">
      <c r="A495" s="169" t="str">
        <f t="shared" si="8"/>
        <v>642</v>
      </c>
      <c r="B495" s="167" t="str">
        <f>_xlfn.XLOOKUP(I495,Mapping!D:D,Mapping!E:E)</f>
        <v>Cung Ứng</v>
      </c>
      <c r="C495" s="167" t="str">
        <f>_xlfn.XLOOKUP(F495,Mapping!A:A,Mapping!F:F)</f>
        <v>Lương Chính +T13</v>
      </c>
      <c r="D495" s="173">
        <v>46112</v>
      </c>
      <c r="E495" s="169" t="s">
        <v>1807</v>
      </c>
      <c r="F495" s="169" t="s">
        <v>285</v>
      </c>
      <c r="G495" s="169" t="s">
        <v>286</v>
      </c>
      <c r="H495" s="169" t="s">
        <v>380</v>
      </c>
      <c r="I495" s="169" t="s">
        <v>381</v>
      </c>
      <c r="J495" s="169" t="s">
        <v>1669</v>
      </c>
      <c r="K495" s="169" t="s">
        <v>1664</v>
      </c>
      <c r="L495" s="169" t="s">
        <v>534</v>
      </c>
      <c r="M495" s="169" t="s">
        <v>1453</v>
      </c>
      <c r="N495" s="178">
        <v>33751167</v>
      </c>
      <c r="O495" s="169" t="s">
        <v>1808</v>
      </c>
      <c r="P495" s="169" t="s">
        <v>283</v>
      </c>
      <c r="Q495" s="169" t="s">
        <v>284</v>
      </c>
      <c r="R495" s="169" t="s">
        <v>283</v>
      </c>
      <c r="S495" s="169" t="s">
        <v>283</v>
      </c>
      <c r="T495" s="169">
        <v>0</v>
      </c>
    </row>
    <row r="496" spans="1:20" hidden="1" x14ac:dyDescent="0.2">
      <c r="A496" s="169" t="str">
        <f t="shared" si="8"/>
        <v>642</v>
      </c>
      <c r="B496" s="167" t="str">
        <f>_xlfn.XLOOKUP(I496,Mapping!D:D,Mapping!E:E)</f>
        <v>Cung Ứng</v>
      </c>
      <c r="C496" s="167" t="str">
        <f>_xlfn.XLOOKUP(F496,Mapping!A:A,Mapping!F:F)</f>
        <v>Thưởng</v>
      </c>
      <c r="D496" s="173">
        <v>46112</v>
      </c>
      <c r="E496" s="169" t="s">
        <v>1809</v>
      </c>
      <c r="F496" s="169" t="s">
        <v>292</v>
      </c>
      <c r="G496" s="169" t="s">
        <v>77</v>
      </c>
      <c r="H496" s="169" t="s">
        <v>380</v>
      </c>
      <c r="I496" s="169" t="s">
        <v>381</v>
      </c>
      <c r="J496" s="169" t="s">
        <v>1672</v>
      </c>
      <c r="K496" s="169" t="s">
        <v>1664</v>
      </c>
      <c r="L496" s="169" t="s">
        <v>534</v>
      </c>
      <c r="M496" s="169" t="s">
        <v>1453</v>
      </c>
      <c r="N496" s="178">
        <v>28207553</v>
      </c>
      <c r="O496" s="169" t="s">
        <v>1810</v>
      </c>
      <c r="P496" s="169" t="s">
        <v>283</v>
      </c>
      <c r="Q496" s="169" t="s">
        <v>284</v>
      </c>
      <c r="R496" s="169" t="s">
        <v>283</v>
      </c>
      <c r="S496" s="169" t="s">
        <v>283</v>
      </c>
      <c r="T496" s="169">
        <v>0</v>
      </c>
    </row>
    <row r="497" spans="1:20" hidden="1" x14ac:dyDescent="0.2">
      <c r="A497" s="169" t="str">
        <f t="shared" si="8"/>
        <v>642</v>
      </c>
      <c r="B497" s="167" t="str">
        <f>_xlfn.XLOOKUP(I497,Mapping!D:D,Mapping!E:E)</f>
        <v>Mua Hàng &amp; XNK</v>
      </c>
      <c r="C497" s="167" t="str">
        <f>_xlfn.XLOOKUP(F497,Mapping!A:A,Mapping!F:F)</f>
        <v>Lương Chính +T13</v>
      </c>
      <c r="D497" s="173">
        <v>46112</v>
      </c>
      <c r="E497" s="169" t="s">
        <v>1811</v>
      </c>
      <c r="F497" s="169" t="s">
        <v>285</v>
      </c>
      <c r="G497" s="169" t="s">
        <v>286</v>
      </c>
      <c r="H497" s="169" t="s">
        <v>378</v>
      </c>
      <c r="I497" s="169" t="s">
        <v>379</v>
      </c>
      <c r="J497" s="169" t="s">
        <v>1669</v>
      </c>
      <c r="K497" s="169" t="s">
        <v>1664</v>
      </c>
      <c r="L497" s="169" t="s">
        <v>534</v>
      </c>
      <c r="M497" s="169" t="s">
        <v>1453</v>
      </c>
      <c r="N497" s="178">
        <v>16937917</v>
      </c>
      <c r="O497" s="169" t="s">
        <v>1812</v>
      </c>
      <c r="P497" s="169" t="s">
        <v>283</v>
      </c>
      <c r="Q497" s="169" t="s">
        <v>284</v>
      </c>
      <c r="R497" s="169" t="s">
        <v>283</v>
      </c>
      <c r="S497" s="169" t="s">
        <v>283</v>
      </c>
      <c r="T497" s="169">
        <v>0</v>
      </c>
    </row>
    <row r="498" spans="1:20" hidden="1" x14ac:dyDescent="0.2">
      <c r="A498" s="169" t="str">
        <f t="shared" si="8"/>
        <v>642</v>
      </c>
      <c r="B498" s="167" t="str">
        <f>_xlfn.XLOOKUP(I498,Mapping!D:D,Mapping!E:E)</f>
        <v>Mua Hàng &amp; XNK</v>
      </c>
      <c r="C498" s="167" t="str">
        <f>_xlfn.XLOOKUP(F498,Mapping!A:A,Mapping!F:F)</f>
        <v>Thưởng</v>
      </c>
      <c r="D498" s="173">
        <v>46112</v>
      </c>
      <c r="E498" s="169" t="s">
        <v>1813</v>
      </c>
      <c r="F498" s="169" t="s">
        <v>292</v>
      </c>
      <c r="G498" s="169" t="s">
        <v>77</v>
      </c>
      <c r="H498" s="169" t="s">
        <v>378</v>
      </c>
      <c r="I498" s="169" t="s">
        <v>379</v>
      </c>
      <c r="J498" s="169" t="s">
        <v>1672</v>
      </c>
      <c r="K498" s="169" t="s">
        <v>1664</v>
      </c>
      <c r="L498" s="169" t="s">
        <v>534</v>
      </c>
      <c r="M498" s="169" t="s">
        <v>1453</v>
      </c>
      <c r="N498" s="178">
        <v>15582748</v>
      </c>
      <c r="O498" s="169" t="s">
        <v>1814</v>
      </c>
      <c r="P498" s="169" t="s">
        <v>283</v>
      </c>
      <c r="Q498" s="169" t="s">
        <v>284</v>
      </c>
      <c r="R498" s="169" t="s">
        <v>283</v>
      </c>
      <c r="S498" s="169" t="s">
        <v>283</v>
      </c>
      <c r="T498" s="169">
        <v>0</v>
      </c>
    </row>
    <row r="499" spans="1:20" hidden="1" x14ac:dyDescent="0.2">
      <c r="A499" s="169" t="str">
        <f t="shared" si="8"/>
        <v>642</v>
      </c>
      <c r="B499" s="167" t="str">
        <f>_xlfn.XLOOKUP(I499,Mapping!D:D,Mapping!E:E)</f>
        <v>Hành Chánh Nhân Sự</v>
      </c>
      <c r="C499" s="167" t="str">
        <f>_xlfn.XLOOKUP(F499,Mapping!A:A,Mapping!F:F)</f>
        <v>Lương Chính +T13</v>
      </c>
      <c r="D499" s="173">
        <v>46112</v>
      </c>
      <c r="E499" s="169" t="s">
        <v>1815</v>
      </c>
      <c r="F499" s="169" t="s">
        <v>285</v>
      </c>
      <c r="G499" s="169" t="s">
        <v>286</v>
      </c>
      <c r="H499" s="169" t="s">
        <v>382</v>
      </c>
      <c r="I499" s="169" t="s">
        <v>200</v>
      </c>
      <c r="J499" s="169" t="s">
        <v>1669</v>
      </c>
      <c r="K499" s="169" t="s">
        <v>1664</v>
      </c>
      <c r="L499" s="169" t="s">
        <v>534</v>
      </c>
      <c r="M499" s="169" t="s">
        <v>1453</v>
      </c>
      <c r="N499" s="178">
        <v>6660250</v>
      </c>
      <c r="O499" s="169" t="s">
        <v>1816</v>
      </c>
      <c r="P499" s="169" t="s">
        <v>283</v>
      </c>
      <c r="Q499" s="169" t="s">
        <v>284</v>
      </c>
      <c r="R499" s="169" t="s">
        <v>283</v>
      </c>
      <c r="S499" s="169" t="s">
        <v>283</v>
      </c>
      <c r="T499" s="169">
        <v>0</v>
      </c>
    </row>
    <row r="500" spans="1:20" hidden="1" x14ac:dyDescent="0.2">
      <c r="A500" s="169" t="str">
        <f t="shared" si="8"/>
        <v>642</v>
      </c>
      <c r="B500" s="167" t="str">
        <f>_xlfn.XLOOKUP(I500,Mapping!D:D,Mapping!E:E)</f>
        <v>Hành Chánh Nhân Sự</v>
      </c>
      <c r="C500" s="167" t="str">
        <f>_xlfn.XLOOKUP(F500,Mapping!A:A,Mapping!F:F)</f>
        <v>Thưởng</v>
      </c>
      <c r="D500" s="173">
        <v>46112</v>
      </c>
      <c r="E500" s="169" t="s">
        <v>1817</v>
      </c>
      <c r="F500" s="169" t="s">
        <v>292</v>
      </c>
      <c r="G500" s="169" t="s">
        <v>77</v>
      </c>
      <c r="H500" s="169" t="s">
        <v>382</v>
      </c>
      <c r="I500" s="169" t="s">
        <v>200</v>
      </c>
      <c r="J500" s="169" t="s">
        <v>1672</v>
      </c>
      <c r="K500" s="169" t="s">
        <v>1664</v>
      </c>
      <c r="L500" s="169" t="s">
        <v>534</v>
      </c>
      <c r="M500" s="169" t="s">
        <v>1453</v>
      </c>
      <c r="N500" s="178">
        <v>6127377</v>
      </c>
      <c r="O500" s="169" t="s">
        <v>1818</v>
      </c>
      <c r="P500" s="169" t="s">
        <v>283</v>
      </c>
      <c r="Q500" s="169" t="s">
        <v>284</v>
      </c>
      <c r="R500" s="169" t="s">
        <v>283</v>
      </c>
      <c r="S500" s="169" t="s">
        <v>283</v>
      </c>
      <c r="T500" s="169">
        <v>0</v>
      </c>
    </row>
    <row r="501" spans="1:20" hidden="1" x14ac:dyDescent="0.2">
      <c r="A501" s="169" t="str">
        <f t="shared" si="8"/>
        <v>642</v>
      </c>
      <c r="B501" s="167" t="str">
        <f>_xlfn.XLOOKUP(I501,Mapping!D:D,Mapping!E:E)</f>
        <v>Hành Chánh Nhân Sự</v>
      </c>
      <c r="C501" s="167" t="str">
        <f>_xlfn.XLOOKUP(F501,Mapping!A:A,Mapping!F:F)</f>
        <v>Lương Chính +T13</v>
      </c>
      <c r="D501" s="173">
        <v>46112</v>
      </c>
      <c r="E501" s="169" t="s">
        <v>1819</v>
      </c>
      <c r="F501" s="169" t="s">
        <v>285</v>
      </c>
      <c r="G501" s="169" t="s">
        <v>286</v>
      </c>
      <c r="H501" s="169" t="s">
        <v>358</v>
      </c>
      <c r="I501" s="169" t="s">
        <v>359</v>
      </c>
      <c r="J501" s="169" t="s">
        <v>1669</v>
      </c>
      <c r="K501" s="169" t="s">
        <v>1664</v>
      </c>
      <c r="L501" s="169" t="s">
        <v>534</v>
      </c>
      <c r="M501" s="169" t="s">
        <v>1453</v>
      </c>
      <c r="N501" s="178">
        <v>9017417</v>
      </c>
      <c r="O501" s="169" t="s">
        <v>1820</v>
      </c>
      <c r="P501" s="169" t="s">
        <v>283</v>
      </c>
      <c r="Q501" s="169" t="s">
        <v>284</v>
      </c>
      <c r="R501" s="169" t="s">
        <v>283</v>
      </c>
      <c r="S501" s="169" t="s">
        <v>283</v>
      </c>
      <c r="T501" s="169">
        <v>0</v>
      </c>
    </row>
    <row r="502" spans="1:20" hidden="1" x14ac:dyDescent="0.2">
      <c r="A502" s="169" t="str">
        <f t="shared" si="8"/>
        <v>642</v>
      </c>
      <c r="B502" s="167" t="str">
        <f>_xlfn.XLOOKUP(I502,Mapping!D:D,Mapping!E:E)</f>
        <v>Hành Chánh Nhân Sự</v>
      </c>
      <c r="C502" s="167" t="str">
        <f>_xlfn.XLOOKUP(F502,Mapping!A:A,Mapping!F:F)</f>
        <v>Thưởng</v>
      </c>
      <c r="D502" s="173">
        <v>46112</v>
      </c>
      <c r="E502" s="169" t="s">
        <v>1821</v>
      </c>
      <c r="F502" s="169" t="s">
        <v>292</v>
      </c>
      <c r="G502" s="169" t="s">
        <v>77</v>
      </c>
      <c r="H502" s="169" t="s">
        <v>358</v>
      </c>
      <c r="I502" s="169" t="s">
        <v>359</v>
      </c>
      <c r="J502" s="169" t="s">
        <v>1672</v>
      </c>
      <c r="K502" s="169" t="s">
        <v>1664</v>
      </c>
      <c r="L502" s="169" t="s">
        <v>534</v>
      </c>
      <c r="M502" s="169" t="s">
        <v>1453</v>
      </c>
      <c r="N502" s="178">
        <v>8295951</v>
      </c>
      <c r="O502" s="169" t="s">
        <v>1822</v>
      </c>
      <c r="P502" s="169" t="s">
        <v>283</v>
      </c>
      <c r="Q502" s="169" t="s">
        <v>284</v>
      </c>
      <c r="R502" s="169" t="s">
        <v>283</v>
      </c>
      <c r="S502" s="169" t="s">
        <v>283</v>
      </c>
      <c r="T502" s="169">
        <v>0</v>
      </c>
    </row>
    <row r="503" spans="1:20" hidden="1" x14ac:dyDescent="0.2">
      <c r="A503" s="169" t="str">
        <f t="shared" si="8"/>
        <v>642</v>
      </c>
      <c r="B503" s="167" t="str">
        <f>_xlfn.XLOOKUP(I503,Mapping!D:D,Mapping!E:E)</f>
        <v>Chiến Lược CCU</v>
      </c>
      <c r="C503" s="167" t="str">
        <f>_xlfn.XLOOKUP(F503,Mapping!A:A,Mapping!F:F)</f>
        <v>Lương Chính +T13</v>
      </c>
      <c r="D503" s="173">
        <v>46112</v>
      </c>
      <c r="E503" s="169" t="s">
        <v>1823</v>
      </c>
      <c r="F503" s="169" t="s">
        <v>285</v>
      </c>
      <c r="G503" s="169" t="s">
        <v>286</v>
      </c>
      <c r="H503" s="169" t="s">
        <v>1538</v>
      </c>
      <c r="I503" s="169" t="s">
        <v>1539</v>
      </c>
      <c r="J503" s="169" t="s">
        <v>1669</v>
      </c>
      <c r="K503" s="169" t="s">
        <v>1664</v>
      </c>
      <c r="L503" s="169" t="s">
        <v>534</v>
      </c>
      <c r="M503" s="169" t="s">
        <v>1453</v>
      </c>
      <c r="N503" s="178">
        <v>7104917</v>
      </c>
      <c r="O503" s="169" t="s">
        <v>1824</v>
      </c>
      <c r="P503" s="169" t="s">
        <v>283</v>
      </c>
      <c r="Q503" s="169" t="s">
        <v>284</v>
      </c>
      <c r="R503" s="169" t="s">
        <v>283</v>
      </c>
      <c r="S503" s="169" t="s">
        <v>283</v>
      </c>
      <c r="T503" s="169">
        <v>0</v>
      </c>
    </row>
    <row r="504" spans="1:20" hidden="1" x14ac:dyDescent="0.2">
      <c r="A504" s="169" t="str">
        <f t="shared" si="8"/>
        <v>642</v>
      </c>
      <c r="B504" s="167" t="str">
        <f>_xlfn.XLOOKUP(I504,Mapping!D:D,Mapping!E:E)</f>
        <v>Chiến Lược CCU</v>
      </c>
      <c r="C504" s="167" t="str">
        <f>_xlfn.XLOOKUP(F504,Mapping!A:A,Mapping!F:F)</f>
        <v>Thưởng</v>
      </c>
      <c r="D504" s="173">
        <v>46112</v>
      </c>
      <c r="E504" s="169" t="s">
        <v>1825</v>
      </c>
      <c r="F504" s="169" t="s">
        <v>292</v>
      </c>
      <c r="G504" s="169" t="s">
        <v>77</v>
      </c>
      <c r="H504" s="169" t="s">
        <v>1538</v>
      </c>
      <c r="I504" s="169" t="s">
        <v>1539</v>
      </c>
      <c r="J504" s="169" t="s">
        <v>1672</v>
      </c>
      <c r="K504" s="169" t="s">
        <v>1664</v>
      </c>
      <c r="L504" s="169" t="s">
        <v>534</v>
      </c>
      <c r="M504" s="169" t="s">
        <v>1453</v>
      </c>
      <c r="N504" s="178">
        <v>6536466</v>
      </c>
      <c r="O504" s="169" t="s">
        <v>1826</v>
      </c>
      <c r="P504" s="169" t="s">
        <v>283</v>
      </c>
      <c r="Q504" s="169" t="s">
        <v>284</v>
      </c>
      <c r="R504" s="169" t="s">
        <v>283</v>
      </c>
      <c r="S504" s="169" t="s">
        <v>283</v>
      </c>
      <c r="T504" s="169">
        <v>0</v>
      </c>
    </row>
    <row r="505" spans="1:20" hidden="1" x14ac:dyDescent="0.2">
      <c r="A505" s="169" t="str">
        <f t="shared" si="8"/>
        <v>641</v>
      </c>
      <c r="B505" s="167" t="str">
        <f>_xlfn.XLOOKUP(I505,Mapping!D:D,Mapping!E:E)</f>
        <v>Kinh doanh</v>
      </c>
      <c r="C505" s="167" t="str">
        <f>_xlfn.XLOOKUP(F505,Mapping!A:A,Mapping!F:F)</f>
        <v>Thưởng</v>
      </c>
      <c r="D505" s="173">
        <v>46082</v>
      </c>
      <c r="E505" s="169" t="s">
        <v>1827</v>
      </c>
      <c r="F505" s="169" t="s">
        <v>365</v>
      </c>
      <c r="G505" s="169" t="s">
        <v>291</v>
      </c>
      <c r="H505" s="169" t="s">
        <v>366</v>
      </c>
      <c r="I505" s="169" t="s">
        <v>1</v>
      </c>
      <c r="J505" s="169" t="s">
        <v>1629</v>
      </c>
      <c r="K505" s="169" t="s">
        <v>1630</v>
      </c>
      <c r="L505" s="169" t="s">
        <v>534</v>
      </c>
      <c r="M505" s="169" t="s">
        <v>1453</v>
      </c>
      <c r="N505" s="178">
        <v>-105615544</v>
      </c>
      <c r="O505" s="169" t="s">
        <v>1828</v>
      </c>
      <c r="P505" s="169" t="s">
        <v>447</v>
      </c>
      <c r="Q505" s="169" t="s">
        <v>284</v>
      </c>
      <c r="R505" s="169" t="s">
        <v>283</v>
      </c>
      <c r="S505" s="169" t="s">
        <v>283</v>
      </c>
      <c r="T505" s="169">
        <v>0</v>
      </c>
    </row>
    <row r="506" spans="1:20" hidden="1" x14ac:dyDescent="0.2">
      <c r="A506" s="169" t="str">
        <f t="shared" si="8"/>
        <v>641</v>
      </c>
      <c r="B506" s="167" t="str">
        <f>_xlfn.XLOOKUP(I506,Mapping!D:D,Mapping!E:E)</f>
        <v>Kinh doanh</v>
      </c>
      <c r="C506" s="167" t="str">
        <f>_xlfn.XLOOKUP(F506,Mapping!A:A,Mapping!F:F)</f>
        <v>BHXH, BHYT, KPCĐ</v>
      </c>
      <c r="D506" s="173">
        <v>46112</v>
      </c>
      <c r="E506" s="169" t="s">
        <v>1676</v>
      </c>
      <c r="F506" s="169" t="s">
        <v>392</v>
      </c>
      <c r="G506" s="169" t="s">
        <v>296</v>
      </c>
      <c r="H506" s="169" t="s">
        <v>366</v>
      </c>
      <c r="I506" s="169" t="s">
        <v>1</v>
      </c>
      <c r="J506" s="169" t="s">
        <v>1677</v>
      </c>
      <c r="K506" s="169" t="s">
        <v>1664</v>
      </c>
      <c r="L506" s="169" t="s">
        <v>534</v>
      </c>
      <c r="M506" s="169" t="s">
        <v>1453</v>
      </c>
      <c r="N506" s="178">
        <v>56356990</v>
      </c>
      <c r="O506" s="169" t="s">
        <v>1678</v>
      </c>
      <c r="P506" s="169" t="s">
        <v>283</v>
      </c>
      <c r="Q506" s="169" t="s">
        <v>284</v>
      </c>
      <c r="R506" s="169" t="s">
        <v>283</v>
      </c>
      <c r="S506" s="169" t="s">
        <v>283</v>
      </c>
      <c r="T506" s="169">
        <v>0</v>
      </c>
    </row>
    <row r="507" spans="1:20" hidden="1" x14ac:dyDescent="0.2">
      <c r="A507" s="169" t="str">
        <f t="shared" si="8"/>
        <v>642</v>
      </c>
      <c r="B507" s="167" t="str">
        <f>_xlfn.XLOOKUP(I507,Mapping!D:D,Mapping!E:E)</f>
        <v>Cung Ứng</v>
      </c>
      <c r="C507" s="167" t="str">
        <f>_xlfn.XLOOKUP(F507,Mapping!A:A,Mapping!F:F)</f>
        <v>BHXH, BHYT, KPCĐ</v>
      </c>
      <c r="D507" s="173">
        <v>46112</v>
      </c>
      <c r="E507" s="169" t="s">
        <v>1676</v>
      </c>
      <c r="F507" s="169" t="s">
        <v>295</v>
      </c>
      <c r="G507" s="169" t="s">
        <v>296</v>
      </c>
      <c r="H507" s="169" t="s">
        <v>380</v>
      </c>
      <c r="I507" s="169" t="s">
        <v>381</v>
      </c>
      <c r="J507" s="169" t="s">
        <v>1677</v>
      </c>
      <c r="K507" s="169" t="s">
        <v>1664</v>
      </c>
      <c r="L507" s="169" t="s">
        <v>534</v>
      </c>
      <c r="M507" s="169" t="s">
        <v>1453</v>
      </c>
      <c r="N507" s="178">
        <v>87423290</v>
      </c>
      <c r="O507" s="169" t="s">
        <v>1678</v>
      </c>
      <c r="P507" s="169" t="s">
        <v>283</v>
      </c>
      <c r="Q507" s="169" t="s">
        <v>284</v>
      </c>
      <c r="R507" s="169" t="s">
        <v>283</v>
      </c>
      <c r="S507" s="169" t="s">
        <v>283</v>
      </c>
      <c r="T507" s="169">
        <v>0</v>
      </c>
    </row>
    <row r="508" spans="1:20" hidden="1" x14ac:dyDescent="0.2">
      <c r="A508" s="169" t="str">
        <f t="shared" si="8"/>
        <v>642</v>
      </c>
      <c r="B508" s="167" t="str">
        <f>_xlfn.XLOOKUP(I508,Mapping!D:D,Mapping!E:E)</f>
        <v>Mua Hàng &amp; XNK</v>
      </c>
      <c r="C508" s="167" t="str">
        <f>_xlfn.XLOOKUP(F508,Mapping!A:A,Mapping!F:F)</f>
        <v>BHXH, BHYT, KPCĐ</v>
      </c>
      <c r="D508" s="173">
        <v>46112</v>
      </c>
      <c r="E508" s="169" t="s">
        <v>1676</v>
      </c>
      <c r="F508" s="169" t="s">
        <v>295</v>
      </c>
      <c r="G508" s="169" t="s">
        <v>296</v>
      </c>
      <c r="H508" s="169" t="s">
        <v>378</v>
      </c>
      <c r="I508" s="169" t="s">
        <v>379</v>
      </c>
      <c r="J508" s="169" t="s">
        <v>1677</v>
      </c>
      <c r="K508" s="169" t="s">
        <v>1664</v>
      </c>
      <c r="L508" s="169" t="s">
        <v>534</v>
      </c>
      <c r="M508" s="169" t="s">
        <v>1453</v>
      </c>
      <c r="N508" s="178">
        <v>45919925</v>
      </c>
      <c r="O508" s="169" t="s">
        <v>1678</v>
      </c>
      <c r="P508" s="169" t="s">
        <v>283</v>
      </c>
      <c r="Q508" s="169" t="s">
        <v>284</v>
      </c>
      <c r="R508" s="169" t="s">
        <v>283</v>
      </c>
      <c r="S508" s="169" t="s">
        <v>283</v>
      </c>
      <c r="T508" s="169">
        <v>0</v>
      </c>
    </row>
    <row r="509" spans="1:20" hidden="1" x14ac:dyDescent="0.2">
      <c r="A509" s="169" t="str">
        <f t="shared" si="8"/>
        <v>642</v>
      </c>
      <c r="B509" s="167" t="str">
        <f>_xlfn.XLOOKUP(I509,Mapping!D:D,Mapping!E:E)</f>
        <v>Hành Chánh Nhân Sự</v>
      </c>
      <c r="C509" s="167" t="str">
        <f>_xlfn.XLOOKUP(F509,Mapping!A:A,Mapping!F:F)</f>
        <v>BHXH, BHYT, KPCĐ</v>
      </c>
      <c r="D509" s="173">
        <v>46112</v>
      </c>
      <c r="E509" s="169" t="s">
        <v>1676</v>
      </c>
      <c r="F509" s="169" t="s">
        <v>295</v>
      </c>
      <c r="G509" s="169" t="s">
        <v>296</v>
      </c>
      <c r="H509" s="169" t="s">
        <v>382</v>
      </c>
      <c r="I509" s="169" t="s">
        <v>200</v>
      </c>
      <c r="J509" s="169" t="s">
        <v>1677</v>
      </c>
      <c r="K509" s="169" t="s">
        <v>1664</v>
      </c>
      <c r="L509" s="169" t="s">
        <v>534</v>
      </c>
      <c r="M509" s="169" t="s">
        <v>1453</v>
      </c>
      <c r="N509" s="178">
        <v>18781905</v>
      </c>
      <c r="O509" s="169" t="s">
        <v>1678</v>
      </c>
      <c r="P509" s="169" t="s">
        <v>283</v>
      </c>
      <c r="Q509" s="169" t="s">
        <v>284</v>
      </c>
      <c r="R509" s="169" t="s">
        <v>283</v>
      </c>
      <c r="S509" s="169" t="s">
        <v>283</v>
      </c>
      <c r="T509" s="169">
        <v>0</v>
      </c>
    </row>
    <row r="510" spans="1:20" hidden="1" x14ac:dyDescent="0.2">
      <c r="A510" s="169" t="str">
        <f t="shared" si="8"/>
        <v>642</v>
      </c>
      <c r="B510" s="167" t="str">
        <f>_xlfn.XLOOKUP(I510,Mapping!D:D,Mapping!E:E)</f>
        <v>Hành Chánh Nhân Sự</v>
      </c>
      <c r="C510" s="167" t="str">
        <f>_xlfn.XLOOKUP(F510,Mapping!A:A,Mapping!F:F)</f>
        <v>BHXH, BHYT, KPCĐ</v>
      </c>
      <c r="D510" s="173">
        <v>46112</v>
      </c>
      <c r="E510" s="169" t="s">
        <v>1676</v>
      </c>
      <c r="F510" s="169" t="s">
        <v>295</v>
      </c>
      <c r="G510" s="169" t="s">
        <v>296</v>
      </c>
      <c r="H510" s="169" t="s">
        <v>358</v>
      </c>
      <c r="I510" s="169" t="s">
        <v>359</v>
      </c>
      <c r="J510" s="169" t="s">
        <v>1677</v>
      </c>
      <c r="K510" s="169" t="s">
        <v>1664</v>
      </c>
      <c r="L510" s="169" t="s">
        <v>534</v>
      </c>
      <c r="M510" s="169" t="s">
        <v>1453</v>
      </c>
      <c r="N510" s="178">
        <v>25429115</v>
      </c>
      <c r="O510" s="169" t="s">
        <v>1678</v>
      </c>
      <c r="P510" s="169" t="s">
        <v>283</v>
      </c>
      <c r="Q510" s="169" t="s">
        <v>284</v>
      </c>
      <c r="R510" s="169" t="s">
        <v>283</v>
      </c>
      <c r="S510" s="169" t="s">
        <v>283</v>
      </c>
      <c r="T510" s="169">
        <v>0</v>
      </c>
    </row>
    <row r="511" spans="1:20" hidden="1" x14ac:dyDescent="0.2">
      <c r="A511" s="169" t="str">
        <f t="shared" si="8"/>
        <v>642</v>
      </c>
      <c r="B511" s="167" t="str">
        <f>_xlfn.XLOOKUP(I511,Mapping!D:D,Mapping!E:E)</f>
        <v>Chiến Lược CCU</v>
      </c>
      <c r="C511" s="167" t="str">
        <f>_xlfn.XLOOKUP(F511,Mapping!A:A,Mapping!F:F)</f>
        <v>BHXH, BHYT, KPCĐ</v>
      </c>
      <c r="D511" s="173">
        <v>46112</v>
      </c>
      <c r="E511" s="169" t="s">
        <v>1676</v>
      </c>
      <c r="F511" s="169" t="s">
        <v>295</v>
      </c>
      <c r="G511" s="169" t="s">
        <v>296</v>
      </c>
      <c r="H511" s="169" t="s">
        <v>1538</v>
      </c>
      <c r="I511" s="169" t="s">
        <v>1539</v>
      </c>
      <c r="J511" s="169" t="s">
        <v>1677</v>
      </c>
      <c r="K511" s="169" t="s">
        <v>1664</v>
      </c>
      <c r="L511" s="169" t="s">
        <v>534</v>
      </c>
      <c r="M511" s="169" t="s">
        <v>1453</v>
      </c>
      <c r="N511" s="178">
        <v>20035865</v>
      </c>
      <c r="O511" s="169" t="s">
        <v>1678</v>
      </c>
      <c r="P511" s="169" t="s">
        <v>283</v>
      </c>
      <c r="Q511" s="169" t="s">
        <v>284</v>
      </c>
      <c r="R511" s="169" t="s">
        <v>283</v>
      </c>
      <c r="S511" s="169" t="s">
        <v>283</v>
      </c>
      <c r="T511" s="169">
        <v>0</v>
      </c>
    </row>
    <row r="512" spans="1:20" hidden="1" x14ac:dyDescent="0.2">
      <c r="A512" s="169" t="str">
        <f t="shared" si="8"/>
        <v>642</v>
      </c>
      <c r="B512" s="167" t="str">
        <f>_xlfn.XLOOKUP(I512,Mapping!D:D,Mapping!E:E)</f>
        <v>Hành Chánh Nhân Sự</v>
      </c>
      <c r="C512" s="167" t="str">
        <f>_xlfn.XLOOKUP(F512,Mapping!A:A,Mapping!F:F)</f>
        <v>Khen thưởng BD khác</v>
      </c>
      <c r="D512" s="173">
        <v>46112</v>
      </c>
      <c r="E512" s="169" t="s">
        <v>1829</v>
      </c>
      <c r="F512" s="169" t="s">
        <v>300</v>
      </c>
      <c r="G512" s="169" t="s">
        <v>222</v>
      </c>
      <c r="H512" s="169" t="s">
        <v>358</v>
      </c>
      <c r="I512" s="169" t="s">
        <v>359</v>
      </c>
      <c r="J512" s="169" t="s">
        <v>1830</v>
      </c>
      <c r="K512" s="169" t="s">
        <v>1664</v>
      </c>
      <c r="L512" s="169" t="s">
        <v>534</v>
      </c>
      <c r="M512" s="169" t="s">
        <v>1453</v>
      </c>
      <c r="N512" s="178">
        <v>5800000</v>
      </c>
      <c r="O512" s="169" t="s">
        <v>1831</v>
      </c>
      <c r="P512" s="169" t="s">
        <v>283</v>
      </c>
      <c r="Q512" s="169" t="s">
        <v>284</v>
      </c>
      <c r="R512" s="169" t="s">
        <v>283</v>
      </c>
      <c r="S512" s="169" t="s">
        <v>283</v>
      </c>
      <c r="T512" s="169">
        <v>0</v>
      </c>
    </row>
    <row r="513" spans="1:20" hidden="1" x14ac:dyDescent="0.2">
      <c r="A513" s="169" t="str">
        <f t="shared" si="8"/>
        <v>641</v>
      </c>
      <c r="B513" s="167" t="str">
        <f>_xlfn.XLOOKUP(I513,Mapping!D:D,Mapping!E:E)</f>
        <v>Kinh doanh</v>
      </c>
      <c r="C513" s="167" t="str">
        <f>_xlfn.XLOOKUP(F513,Mapping!A:A,Mapping!F:F)</f>
        <v>BHXH, BHYT, KPCĐ</v>
      </c>
      <c r="D513" s="173">
        <v>46112</v>
      </c>
      <c r="E513" s="169" t="s">
        <v>1832</v>
      </c>
      <c r="F513" s="169" t="s">
        <v>392</v>
      </c>
      <c r="G513" s="169" t="s">
        <v>296</v>
      </c>
      <c r="H513" s="169" t="s">
        <v>366</v>
      </c>
      <c r="I513" s="169" t="s">
        <v>1</v>
      </c>
      <c r="J513" s="169" t="s">
        <v>1833</v>
      </c>
      <c r="K513" s="169" t="s">
        <v>1664</v>
      </c>
      <c r="L513" s="169" t="s">
        <v>534</v>
      </c>
      <c r="M513" s="169" t="s">
        <v>1453</v>
      </c>
      <c r="N513" s="178">
        <v>1384470</v>
      </c>
      <c r="O513" s="169" t="s">
        <v>1834</v>
      </c>
      <c r="P513" s="169" t="s">
        <v>283</v>
      </c>
      <c r="Q513" s="169" t="s">
        <v>284</v>
      </c>
      <c r="R513" s="169" t="s">
        <v>283</v>
      </c>
      <c r="S513" s="169" t="s">
        <v>283</v>
      </c>
      <c r="T513" s="169">
        <v>0</v>
      </c>
    </row>
    <row r="514" spans="1:20" hidden="1" x14ac:dyDescent="0.2">
      <c r="A514" s="169" t="str">
        <f t="shared" si="8"/>
        <v>642</v>
      </c>
      <c r="B514" s="167" t="str">
        <f>_xlfn.XLOOKUP(I514,Mapping!D:D,Mapping!E:E)</f>
        <v>Cung Ứng</v>
      </c>
      <c r="C514" s="167" t="str">
        <f>_xlfn.XLOOKUP(F514,Mapping!A:A,Mapping!F:F)</f>
        <v>Lương Chính +T13</v>
      </c>
      <c r="D514" s="173">
        <v>46112</v>
      </c>
      <c r="E514" s="169" t="s">
        <v>1835</v>
      </c>
      <c r="F514" s="169" t="s">
        <v>274</v>
      </c>
      <c r="G514" s="169" t="s">
        <v>275</v>
      </c>
      <c r="H514" s="169" t="s">
        <v>380</v>
      </c>
      <c r="I514" s="169" t="s">
        <v>381</v>
      </c>
      <c r="J514" s="169" t="s">
        <v>1836</v>
      </c>
      <c r="K514" s="169" t="s">
        <v>1664</v>
      </c>
      <c r="L514" s="169" t="s">
        <v>534</v>
      </c>
      <c r="M514" s="169" t="s">
        <v>1453</v>
      </c>
      <c r="N514" s="178">
        <v>-518050</v>
      </c>
      <c r="O514" s="169" t="s">
        <v>1837</v>
      </c>
      <c r="P514" s="169" t="s">
        <v>283</v>
      </c>
      <c r="Q514" s="169" t="s">
        <v>284</v>
      </c>
      <c r="R514" s="169" t="s">
        <v>283</v>
      </c>
      <c r="S514" s="169" t="s">
        <v>283</v>
      </c>
      <c r="T514" s="169">
        <v>0</v>
      </c>
    </row>
    <row r="515" spans="1:20" hidden="1" x14ac:dyDescent="0.2">
      <c r="A515" s="169" t="str">
        <f t="shared" si="8"/>
        <v>627</v>
      </c>
      <c r="B515" s="167" t="str">
        <f>_xlfn.XLOOKUP(I515,Mapping!D:D,Mapping!E:E)</f>
        <v>Xưởng Sản Xuất</v>
      </c>
      <c r="C515" s="167" t="str">
        <f>_xlfn.XLOOKUP(F515,Mapping!A:A,Mapping!F:F)</f>
        <v>Phụ Cấp</v>
      </c>
      <c r="D515" s="173">
        <v>46101</v>
      </c>
      <c r="E515" s="169" t="s">
        <v>1679</v>
      </c>
      <c r="F515" s="169" t="s">
        <v>375</v>
      </c>
      <c r="G515" s="169" t="s">
        <v>336</v>
      </c>
      <c r="H515" s="169" t="s">
        <v>402</v>
      </c>
      <c r="I515" s="169" t="s">
        <v>403</v>
      </c>
      <c r="J515" s="169" t="s">
        <v>1680</v>
      </c>
      <c r="K515" s="169" t="s">
        <v>992</v>
      </c>
      <c r="L515" s="169" t="s">
        <v>534</v>
      </c>
      <c r="M515" s="169" t="s">
        <v>1453</v>
      </c>
      <c r="N515" s="178">
        <v>77952000</v>
      </c>
      <c r="O515" s="169" t="s">
        <v>1681</v>
      </c>
      <c r="P515" s="169" t="s">
        <v>283</v>
      </c>
      <c r="Q515" s="169" t="s">
        <v>306</v>
      </c>
      <c r="R515" s="169" t="s">
        <v>283</v>
      </c>
      <c r="S515" s="169" t="s">
        <v>283</v>
      </c>
      <c r="T515" s="169">
        <v>0</v>
      </c>
    </row>
    <row r="516" spans="1:20" hidden="1" x14ac:dyDescent="0.2">
      <c r="A516" s="169" t="str">
        <f t="shared" si="8"/>
        <v>627</v>
      </c>
      <c r="B516" s="167" t="str">
        <f>_xlfn.XLOOKUP(I516,Mapping!D:D,Mapping!E:E)</f>
        <v>Kỹ Thuật</v>
      </c>
      <c r="C516" s="167" t="str">
        <f>_xlfn.XLOOKUP(F516,Mapping!A:A,Mapping!F:F)</f>
        <v>Phụ Cấp</v>
      </c>
      <c r="D516" s="173">
        <v>46101</v>
      </c>
      <c r="E516" s="169" t="s">
        <v>1679</v>
      </c>
      <c r="F516" s="169" t="s">
        <v>375</v>
      </c>
      <c r="G516" s="169" t="s">
        <v>336</v>
      </c>
      <c r="H516" s="169" t="s">
        <v>376</v>
      </c>
      <c r="I516" s="169" t="s">
        <v>377</v>
      </c>
      <c r="J516" s="169" t="s">
        <v>1680</v>
      </c>
      <c r="K516" s="169" t="s">
        <v>992</v>
      </c>
      <c r="L516" s="169" t="s">
        <v>534</v>
      </c>
      <c r="M516" s="169" t="s">
        <v>1453</v>
      </c>
      <c r="N516" s="178">
        <v>33880000</v>
      </c>
      <c r="O516" s="169" t="s">
        <v>1681</v>
      </c>
      <c r="P516" s="169" t="s">
        <v>283</v>
      </c>
      <c r="Q516" s="169" t="s">
        <v>306</v>
      </c>
      <c r="R516" s="169" t="s">
        <v>283</v>
      </c>
      <c r="S516" s="169" t="s">
        <v>283</v>
      </c>
      <c r="T516" s="169">
        <v>0</v>
      </c>
    </row>
    <row r="517" spans="1:20" hidden="1" x14ac:dyDescent="0.2">
      <c r="A517" s="169" t="str">
        <f t="shared" si="8"/>
        <v>627</v>
      </c>
      <c r="B517" s="167" t="str">
        <f>_xlfn.XLOOKUP(I517,Mapping!D:D,Mapping!E:E)</f>
        <v>Kiểm Soát Chất Lượng</v>
      </c>
      <c r="C517" s="167" t="str">
        <f>_xlfn.XLOOKUP(F517,Mapping!A:A,Mapping!F:F)</f>
        <v>Phụ Cấp</v>
      </c>
      <c r="D517" s="173">
        <v>46101</v>
      </c>
      <c r="E517" s="169" t="s">
        <v>1679</v>
      </c>
      <c r="F517" s="169" t="s">
        <v>375</v>
      </c>
      <c r="G517" s="169" t="s">
        <v>336</v>
      </c>
      <c r="H517" s="169" t="s">
        <v>411</v>
      </c>
      <c r="I517" s="169" t="s">
        <v>412</v>
      </c>
      <c r="J517" s="169" t="s">
        <v>1680</v>
      </c>
      <c r="K517" s="169" t="s">
        <v>992</v>
      </c>
      <c r="L517" s="169" t="s">
        <v>534</v>
      </c>
      <c r="M517" s="169" t="s">
        <v>1453</v>
      </c>
      <c r="N517" s="178">
        <v>20216000</v>
      </c>
      <c r="O517" s="169" t="s">
        <v>1681</v>
      </c>
      <c r="P517" s="169" t="s">
        <v>283</v>
      </c>
      <c r="Q517" s="169" t="s">
        <v>306</v>
      </c>
      <c r="R517" s="169" t="s">
        <v>283</v>
      </c>
      <c r="S517" s="169" t="s">
        <v>283</v>
      </c>
      <c r="T517" s="169">
        <v>0</v>
      </c>
    </row>
    <row r="518" spans="1:20" hidden="1" x14ac:dyDescent="0.2">
      <c r="A518" s="169" t="str">
        <f t="shared" si="8"/>
        <v>627</v>
      </c>
      <c r="B518" s="167" t="str">
        <f>_xlfn.XLOOKUP(I518,Mapping!D:D,Mapping!E:E)</f>
        <v>Xưởng Sản Xuất</v>
      </c>
      <c r="C518" s="167" t="str">
        <f>_xlfn.XLOOKUP(F518,Mapping!A:A,Mapping!F:F)</f>
        <v>Phụ Cấp</v>
      </c>
      <c r="D518" s="173">
        <v>46111</v>
      </c>
      <c r="E518" s="169" t="s">
        <v>1682</v>
      </c>
      <c r="F518" s="169" t="s">
        <v>375</v>
      </c>
      <c r="G518" s="169" t="s">
        <v>336</v>
      </c>
      <c r="H518" s="169" t="s">
        <v>402</v>
      </c>
      <c r="I518" s="169" t="s">
        <v>403</v>
      </c>
      <c r="J518" s="169" t="s">
        <v>1683</v>
      </c>
      <c r="K518" s="169" t="s">
        <v>741</v>
      </c>
      <c r="L518" s="169" t="s">
        <v>534</v>
      </c>
      <c r="M518" s="169" t="s">
        <v>1453</v>
      </c>
      <c r="N518" s="178">
        <v>40348000</v>
      </c>
      <c r="O518" s="169" t="s">
        <v>1684</v>
      </c>
      <c r="P518" s="169" t="s">
        <v>283</v>
      </c>
      <c r="Q518" s="169" t="s">
        <v>306</v>
      </c>
      <c r="R518" s="169" t="s">
        <v>283</v>
      </c>
      <c r="S518" s="169" t="s">
        <v>283</v>
      </c>
      <c r="T518" s="169">
        <v>0</v>
      </c>
    </row>
    <row r="519" spans="1:20" hidden="1" x14ac:dyDescent="0.2">
      <c r="A519" s="169" t="str">
        <f t="shared" si="8"/>
        <v>627</v>
      </c>
      <c r="B519" s="167" t="str">
        <f>_xlfn.XLOOKUP(I519,Mapping!D:D,Mapping!E:E)</f>
        <v>Kỹ Thuật</v>
      </c>
      <c r="C519" s="167" t="str">
        <f>_xlfn.XLOOKUP(F519,Mapping!A:A,Mapping!F:F)</f>
        <v>Phụ Cấp</v>
      </c>
      <c r="D519" s="173">
        <v>46111</v>
      </c>
      <c r="E519" s="169" t="s">
        <v>1682</v>
      </c>
      <c r="F519" s="169" t="s">
        <v>375</v>
      </c>
      <c r="G519" s="169" t="s">
        <v>336</v>
      </c>
      <c r="H519" s="169" t="s">
        <v>376</v>
      </c>
      <c r="I519" s="169" t="s">
        <v>377</v>
      </c>
      <c r="J519" s="169" t="s">
        <v>1683</v>
      </c>
      <c r="K519" s="169" t="s">
        <v>741</v>
      </c>
      <c r="L519" s="169" t="s">
        <v>534</v>
      </c>
      <c r="M519" s="169" t="s">
        <v>1453</v>
      </c>
      <c r="N519" s="178">
        <v>16884000</v>
      </c>
      <c r="O519" s="169" t="s">
        <v>1684</v>
      </c>
      <c r="P519" s="169" t="s">
        <v>283</v>
      </c>
      <c r="Q519" s="169" t="s">
        <v>306</v>
      </c>
      <c r="R519" s="169" t="s">
        <v>283</v>
      </c>
      <c r="S519" s="169" t="s">
        <v>283</v>
      </c>
      <c r="T519" s="169">
        <v>0</v>
      </c>
    </row>
    <row r="520" spans="1:20" hidden="1" x14ac:dyDescent="0.2">
      <c r="A520" s="169" t="str">
        <f t="shared" si="8"/>
        <v>627</v>
      </c>
      <c r="B520" s="167" t="str">
        <f>_xlfn.XLOOKUP(I520,Mapping!D:D,Mapping!E:E)</f>
        <v>Kiểm Soát Chất Lượng</v>
      </c>
      <c r="C520" s="167" t="str">
        <f>_xlfn.XLOOKUP(F520,Mapping!A:A,Mapping!F:F)</f>
        <v>Phụ Cấp</v>
      </c>
      <c r="D520" s="173">
        <v>46111</v>
      </c>
      <c r="E520" s="169" t="s">
        <v>1682</v>
      </c>
      <c r="F520" s="169" t="s">
        <v>375</v>
      </c>
      <c r="G520" s="169" t="s">
        <v>336</v>
      </c>
      <c r="H520" s="169" t="s">
        <v>411</v>
      </c>
      <c r="I520" s="169" t="s">
        <v>412</v>
      </c>
      <c r="J520" s="169" t="s">
        <v>1683</v>
      </c>
      <c r="K520" s="169" t="s">
        <v>741</v>
      </c>
      <c r="L520" s="169" t="s">
        <v>534</v>
      </c>
      <c r="M520" s="169" t="s">
        <v>1453</v>
      </c>
      <c r="N520" s="178">
        <v>9828000</v>
      </c>
      <c r="O520" s="169" t="s">
        <v>1684</v>
      </c>
      <c r="P520" s="169" t="s">
        <v>283</v>
      </c>
      <c r="Q520" s="169" t="s">
        <v>306</v>
      </c>
      <c r="R520" s="169" t="s">
        <v>283</v>
      </c>
      <c r="S520" s="169" t="s">
        <v>283</v>
      </c>
      <c r="T520" s="169">
        <v>0</v>
      </c>
    </row>
    <row r="521" spans="1:20" hidden="1" x14ac:dyDescent="0.2">
      <c r="A521" s="169" t="str">
        <f t="shared" si="8"/>
        <v>627</v>
      </c>
      <c r="B521" s="167" t="str">
        <f>_xlfn.XLOOKUP(I521,Mapping!D:D,Mapping!E:E)</f>
        <v>Kỹ Thuật</v>
      </c>
      <c r="C521" s="167" t="str">
        <f>_xlfn.XLOOKUP(F521,Mapping!A:A,Mapping!F:F)</f>
        <v>Lương Chính +T13</v>
      </c>
      <c r="D521" s="173">
        <v>46112</v>
      </c>
      <c r="E521" s="169" t="s">
        <v>1838</v>
      </c>
      <c r="F521" s="169" t="s">
        <v>388</v>
      </c>
      <c r="G521" s="169" t="s">
        <v>286</v>
      </c>
      <c r="H521" s="169" t="s">
        <v>376</v>
      </c>
      <c r="I521" s="169" t="s">
        <v>377</v>
      </c>
      <c r="J521" s="169" t="s">
        <v>1663</v>
      </c>
      <c r="K521" s="169" t="s">
        <v>1664</v>
      </c>
      <c r="L521" s="169" t="s">
        <v>534</v>
      </c>
      <c r="M521" s="169" t="s">
        <v>1453</v>
      </c>
      <c r="N521" s="178">
        <v>33864729</v>
      </c>
      <c r="O521" s="169" t="s">
        <v>1839</v>
      </c>
      <c r="P521" s="169" t="s">
        <v>283</v>
      </c>
      <c r="Q521" s="169" t="s">
        <v>284</v>
      </c>
      <c r="R521" s="169" t="s">
        <v>283</v>
      </c>
      <c r="S521" s="169" t="s">
        <v>283</v>
      </c>
      <c r="T521" s="169">
        <v>0</v>
      </c>
    </row>
    <row r="522" spans="1:20" hidden="1" x14ac:dyDescent="0.2">
      <c r="A522" s="169" t="str">
        <f t="shared" si="8"/>
        <v>627</v>
      </c>
      <c r="B522" s="167" t="str">
        <f>_xlfn.XLOOKUP(I522,Mapping!D:D,Mapping!E:E)</f>
        <v>Kỹ Thuật</v>
      </c>
      <c r="C522" s="167" t="str">
        <f>_xlfn.XLOOKUP(F522,Mapping!A:A,Mapping!F:F)</f>
        <v>Lương Ngoài giờ</v>
      </c>
      <c r="D522" s="173">
        <v>46112</v>
      </c>
      <c r="E522" s="169" t="s">
        <v>1840</v>
      </c>
      <c r="F522" s="169" t="s">
        <v>389</v>
      </c>
      <c r="G522" s="169" t="s">
        <v>390</v>
      </c>
      <c r="H522" s="169" t="s">
        <v>376</v>
      </c>
      <c r="I522" s="169" t="s">
        <v>377</v>
      </c>
      <c r="J522" s="169" t="s">
        <v>1663</v>
      </c>
      <c r="K522" s="169" t="s">
        <v>1664</v>
      </c>
      <c r="L522" s="169" t="s">
        <v>534</v>
      </c>
      <c r="M522" s="169" t="s">
        <v>1453</v>
      </c>
      <c r="N522" s="178">
        <v>298833692</v>
      </c>
      <c r="O522" s="169" t="s">
        <v>1841</v>
      </c>
      <c r="P522" s="169" t="s">
        <v>283</v>
      </c>
      <c r="Q522" s="169" t="s">
        <v>284</v>
      </c>
      <c r="R522" s="169" t="s">
        <v>283</v>
      </c>
      <c r="S522" s="169" t="s">
        <v>283</v>
      </c>
      <c r="T522" s="169">
        <v>0</v>
      </c>
    </row>
    <row r="523" spans="1:20" hidden="1" x14ac:dyDescent="0.2">
      <c r="A523" s="169" t="str">
        <f t="shared" si="8"/>
        <v>627</v>
      </c>
      <c r="B523" s="167" t="str">
        <f>_xlfn.XLOOKUP(I523,Mapping!D:D,Mapping!E:E)</f>
        <v>Kỹ Thuật</v>
      </c>
      <c r="C523" s="167" t="str">
        <f>_xlfn.XLOOKUP(F523,Mapping!A:A,Mapping!F:F)</f>
        <v>Phụ Cấp</v>
      </c>
      <c r="D523" s="173">
        <v>46112</v>
      </c>
      <c r="E523" s="169" t="s">
        <v>1842</v>
      </c>
      <c r="F523" s="169" t="s">
        <v>375</v>
      </c>
      <c r="G523" s="169" t="s">
        <v>336</v>
      </c>
      <c r="H523" s="169" t="s">
        <v>376</v>
      </c>
      <c r="I523" s="169" t="s">
        <v>377</v>
      </c>
      <c r="J523" s="169" t="s">
        <v>1663</v>
      </c>
      <c r="K523" s="169" t="s">
        <v>1664</v>
      </c>
      <c r="L523" s="169" t="s">
        <v>534</v>
      </c>
      <c r="M523" s="169" t="s">
        <v>1453</v>
      </c>
      <c r="N523" s="178">
        <v>800000</v>
      </c>
      <c r="O523" s="169" t="s">
        <v>1843</v>
      </c>
      <c r="P523" s="169" t="s">
        <v>283</v>
      </c>
      <c r="Q523" s="169" t="s">
        <v>284</v>
      </c>
      <c r="R523" s="169" t="s">
        <v>283</v>
      </c>
      <c r="S523" s="169" t="s">
        <v>283</v>
      </c>
      <c r="T523" s="169">
        <v>0</v>
      </c>
    </row>
    <row r="524" spans="1:20" hidden="1" x14ac:dyDescent="0.2">
      <c r="A524" s="169" t="str">
        <f t="shared" si="8"/>
        <v>627</v>
      </c>
      <c r="B524" s="167" t="str">
        <f>_xlfn.XLOOKUP(I524,Mapping!D:D,Mapping!E:E)</f>
        <v>Kiểm Soát Chất Lượng</v>
      </c>
      <c r="C524" s="167" t="str">
        <f>_xlfn.XLOOKUP(F524,Mapping!A:A,Mapping!F:F)</f>
        <v>Phụ Cấp</v>
      </c>
      <c r="D524" s="173">
        <v>46112</v>
      </c>
      <c r="E524" s="169" t="s">
        <v>1844</v>
      </c>
      <c r="F524" s="169" t="s">
        <v>386</v>
      </c>
      <c r="G524" s="169" t="s">
        <v>341</v>
      </c>
      <c r="H524" s="169" t="s">
        <v>411</v>
      </c>
      <c r="I524" s="169" t="s">
        <v>412</v>
      </c>
      <c r="J524" s="169" t="s">
        <v>1663</v>
      </c>
      <c r="K524" s="169" t="s">
        <v>1664</v>
      </c>
      <c r="L524" s="169" t="s">
        <v>534</v>
      </c>
      <c r="M524" s="169" t="s">
        <v>1453</v>
      </c>
      <c r="N524" s="178">
        <v>22507212</v>
      </c>
      <c r="O524" s="169" t="s">
        <v>1845</v>
      </c>
      <c r="P524" s="169" t="s">
        <v>283</v>
      </c>
      <c r="Q524" s="169" t="s">
        <v>284</v>
      </c>
      <c r="R524" s="169" t="s">
        <v>283</v>
      </c>
      <c r="S524" s="169" t="s">
        <v>283</v>
      </c>
      <c r="T524" s="169">
        <v>0</v>
      </c>
    </row>
    <row r="525" spans="1:20" hidden="1" x14ac:dyDescent="0.2">
      <c r="A525" s="169" t="str">
        <f t="shared" si="8"/>
        <v>627</v>
      </c>
      <c r="B525" s="167" t="str">
        <f>_xlfn.XLOOKUP(I525,Mapping!D:D,Mapping!E:E)</f>
        <v>Kiểm Soát Chất Lượng</v>
      </c>
      <c r="C525" s="167" t="str">
        <f>_xlfn.XLOOKUP(F525,Mapping!A:A,Mapping!F:F)</f>
        <v>Lương Chính +T13</v>
      </c>
      <c r="D525" s="173">
        <v>46112</v>
      </c>
      <c r="E525" s="169" t="s">
        <v>1846</v>
      </c>
      <c r="F525" s="169" t="s">
        <v>387</v>
      </c>
      <c r="G525" s="169" t="s">
        <v>275</v>
      </c>
      <c r="H525" s="169" t="s">
        <v>411</v>
      </c>
      <c r="I525" s="169" t="s">
        <v>412</v>
      </c>
      <c r="J525" s="169" t="s">
        <v>1663</v>
      </c>
      <c r="K525" s="169" t="s">
        <v>1664</v>
      </c>
      <c r="L525" s="169" t="s">
        <v>534</v>
      </c>
      <c r="M525" s="169" t="s">
        <v>1453</v>
      </c>
      <c r="N525" s="178">
        <v>460226212</v>
      </c>
      <c r="O525" s="169" t="s">
        <v>1847</v>
      </c>
      <c r="P525" s="169" t="s">
        <v>283</v>
      </c>
      <c r="Q525" s="169" t="s">
        <v>284</v>
      </c>
      <c r="R525" s="169" t="s">
        <v>283</v>
      </c>
      <c r="S525" s="169" t="s">
        <v>283</v>
      </c>
      <c r="T525" s="169">
        <v>0</v>
      </c>
    </row>
    <row r="526" spans="1:20" hidden="1" x14ac:dyDescent="0.2">
      <c r="A526" s="169" t="str">
        <f t="shared" si="8"/>
        <v>627</v>
      </c>
      <c r="B526" s="167" t="str">
        <f>_xlfn.XLOOKUP(I526,Mapping!D:D,Mapping!E:E)</f>
        <v>Kiểm Soát Chất Lượng</v>
      </c>
      <c r="C526" s="167" t="str">
        <f>_xlfn.XLOOKUP(F526,Mapping!A:A,Mapping!F:F)</f>
        <v>Lương Chính +T13</v>
      </c>
      <c r="D526" s="173">
        <v>46112</v>
      </c>
      <c r="E526" s="169" t="s">
        <v>1848</v>
      </c>
      <c r="F526" s="169" t="s">
        <v>388</v>
      </c>
      <c r="G526" s="169" t="s">
        <v>286</v>
      </c>
      <c r="H526" s="169" t="s">
        <v>411</v>
      </c>
      <c r="I526" s="169" t="s">
        <v>412</v>
      </c>
      <c r="J526" s="169" t="s">
        <v>1663</v>
      </c>
      <c r="K526" s="169" t="s">
        <v>1664</v>
      </c>
      <c r="L526" s="169" t="s">
        <v>534</v>
      </c>
      <c r="M526" s="169" t="s">
        <v>1453</v>
      </c>
      <c r="N526" s="178">
        <v>11844346</v>
      </c>
      <c r="O526" s="169" t="s">
        <v>1849</v>
      </c>
      <c r="P526" s="169" t="s">
        <v>283</v>
      </c>
      <c r="Q526" s="169" t="s">
        <v>284</v>
      </c>
      <c r="R526" s="169" t="s">
        <v>283</v>
      </c>
      <c r="S526" s="169" t="s">
        <v>283</v>
      </c>
      <c r="T526" s="169">
        <v>0</v>
      </c>
    </row>
    <row r="527" spans="1:20" hidden="1" x14ac:dyDescent="0.2">
      <c r="A527" s="169" t="str">
        <f t="shared" si="8"/>
        <v>627</v>
      </c>
      <c r="B527" s="167" t="str">
        <f>_xlfn.XLOOKUP(I527,Mapping!D:D,Mapping!E:E)</f>
        <v>Kiểm Soát Chất Lượng</v>
      </c>
      <c r="C527" s="167" t="str">
        <f>_xlfn.XLOOKUP(F527,Mapping!A:A,Mapping!F:F)</f>
        <v>Lương Ngoài giờ</v>
      </c>
      <c r="D527" s="173">
        <v>46112</v>
      </c>
      <c r="E527" s="169" t="s">
        <v>1850</v>
      </c>
      <c r="F527" s="169" t="s">
        <v>389</v>
      </c>
      <c r="G527" s="169" t="s">
        <v>390</v>
      </c>
      <c r="H527" s="169" t="s">
        <v>411</v>
      </c>
      <c r="I527" s="169" t="s">
        <v>412</v>
      </c>
      <c r="J527" s="169" t="s">
        <v>1663</v>
      </c>
      <c r="K527" s="169" t="s">
        <v>1664</v>
      </c>
      <c r="L527" s="169" t="s">
        <v>534</v>
      </c>
      <c r="M527" s="169" t="s">
        <v>1453</v>
      </c>
      <c r="N527" s="178">
        <v>155972811</v>
      </c>
      <c r="O527" s="169" t="s">
        <v>1851</v>
      </c>
      <c r="P527" s="169" t="s">
        <v>283</v>
      </c>
      <c r="Q527" s="169" t="s">
        <v>284</v>
      </c>
      <c r="R527" s="169" t="s">
        <v>283</v>
      </c>
      <c r="S527" s="169" t="s">
        <v>283</v>
      </c>
      <c r="T527" s="169">
        <v>0</v>
      </c>
    </row>
    <row r="528" spans="1:20" hidden="1" x14ac:dyDescent="0.2">
      <c r="A528" s="169" t="str">
        <f t="shared" si="8"/>
        <v>627</v>
      </c>
      <c r="B528" s="167" t="str">
        <f>_xlfn.XLOOKUP(I528,Mapping!D:D,Mapping!E:E)</f>
        <v>Kiểm Soát Chất Lượng</v>
      </c>
      <c r="C528" s="167" t="str">
        <f>_xlfn.XLOOKUP(F528,Mapping!A:A,Mapping!F:F)</f>
        <v>Phụ Cấp</v>
      </c>
      <c r="D528" s="173">
        <v>46112</v>
      </c>
      <c r="E528" s="169" t="s">
        <v>1852</v>
      </c>
      <c r="F528" s="169" t="s">
        <v>375</v>
      </c>
      <c r="G528" s="169" t="s">
        <v>336</v>
      </c>
      <c r="H528" s="169" t="s">
        <v>411</v>
      </c>
      <c r="I528" s="169" t="s">
        <v>412</v>
      </c>
      <c r="J528" s="169" t="s">
        <v>1663</v>
      </c>
      <c r="K528" s="169" t="s">
        <v>1664</v>
      </c>
      <c r="L528" s="169" t="s">
        <v>534</v>
      </c>
      <c r="M528" s="169" t="s">
        <v>1453</v>
      </c>
      <c r="N528" s="178">
        <v>200000</v>
      </c>
      <c r="O528" s="169" t="s">
        <v>1853</v>
      </c>
      <c r="P528" s="169" t="s">
        <v>283</v>
      </c>
      <c r="Q528" s="169" t="s">
        <v>284</v>
      </c>
      <c r="R528" s="169" t="s">
        <v>283</v>
      </c>
      <c r="S528" s="169" t="s">
        <v>283</v>
      </c>
      <c r="T528" s="169">
        <v>0</v>
      </c>
    </row>
    <row r="529" spans="1:20" hidden="1" x14ac:dyDescent="0.2">
      <c r="A529" s="169" t="str">
        <f t="shared" si="8"/>
        <v>627</v>
      </c>
      <c r="B529" s="167" t="str">
        <f>_xlfn.XLOOKUP(I529,Mapping!D:D,Mapping!E:E)</f>
        <v>Nghiên Cứu &amp; Phát Triển</v>
      </c>
      <c r="C529" s="167" t="str">
        <f>_xlfn.XLOOKUP(F529,Mapping!A:A,Mapping!F:F)</f>
        <v>Lương Chính +T13</v>
      </c>
      <c r="D529" s="173">
        <v>46112</v>
      </c>
      <c r="E529" s="169" t="s">
        <v>1854</v>
      </c>
      <c r="F529" s="169" t="s">
        <v>387</v>
      </c>
      <c r="G529" s="169" t="s">
        <v>275</v>
      </c>
      <c r="H529" s="169" t="s">
        <v>418</v>
      </c>
      <c r="I529" s="169" t="s">
        <v>419</v>
      </c>
      <c r="J529" s="169" t="s">
        <v>1663</v>
      </c>
      <c r="K529" s="169" t="s">
        <v>1664</v>
      </c>
      <c r="L529" s="169" t="s">
        <v>534</v>
      </c>
      <c r="M529" s="169" t="s">
        <v>1453</v>
      </c>
      <c r="N529" s="178">
        <v>150739003</v>
      </c>
      <c r="O529" s="169" t="s">
        <v>1855</v>
      </c>
      <c r="P529" s="169" t="s">
        <v>283</v>
      </c>
      <c r="Q529" s="169" t="s">
        <v>284</v>
      </c>
      <c r="R529" s="169" t="s">
        <v>283</v>
      </c>
      <c r="S529" s="169" t="s">
        <v>283</v>
      </c>
      <c r="T529" s="169">
        <v>0</v>
      </c>
    </row>
    <row r="530" spans="1:20" hidden="1" x14ac:dyDescent="0.2">
      <c r="A530" s="169" t="str">
        <f t="shared" si="8"/>
        <v>627</v>
      </c>
      <c r="B530" s="167" t="str">
        <f>_xlfn.XLOOKUP(I530,Mapping!D:D,Mapping!E:E)</f>
        <v>Nghiên Cứu &amp; Phát Triển</v>
      </c>
      <c r="C530" s="167" t="str">
        <f>_xlfn.XLOOKUP(F530,Mapping!A:A,Mapping!F:F)</f>
        <v>Lương Chính +T13</v>
      </c>
      <c r="D530" s="173">
        <v>46112</v>
      </c>
      <c r="E530" s="169" t="s">
        <v>1856</v>
      </c>
      <c r="F530" s="169" t="s">
        <v>388</v>
      </c>
      <c r="G530" s="169" t="s">
        <v>286</v>
      </c>
      <c r="H530" s="169" t="s">
        <v>418</v>
      </c>
      <c r="I530" s="169" t="s">
        <v>419</v>
      </c>
      <c r="J530" s="169" t="s">
        <v>1663</v>
      </c>
      <c r="K530" s="169" t="s">
        <v>1664</v>
      </c>
      <c r="L530" s="169" t="s">
        <v>534</v>
      </c>
      <c r="M530" s="169" t="s">
        <v>1453</v>
      </c>
      <c r="N530" s="178">
        <v>492115</v>
      </c>
      <c r="O530" s="169" t="s">
        <v>1857</v>
      </c>
      <c r="P530" s="169" t="s">
        <v>283</v>
      </c>
      <c r="Q530" s="169" t="s">
        <v>284</v>
      </c>
      <c r="R530" s="169" t="s">
        <v>283</v>
      </c>
      <c r="S530" s="169" t="s">
        <v>283</v>
      </c>
      <c r="T530" s="169">
        <v>0</v>
      </c>
    </row>
    <row r="531" spans="1:20" hidden="1" x14ac:dyDescent="0.2">
      <c r="A531" s="169" t="str">
        <f t="shared" si="8"/>
        <v>627</v>
      </c>
      <c r="B531" s="167" t="str">
        <f>_xlfn.XLOOKUP(I531,Mapping!D:D,Mapping!E:E)</f>
        <v>Nghiên Cứu &amp; Phát Triển</v>
      </c>
      <c r="C531" s="167" t="str">
        <f>_xlfn.XLOOKUP(F531,Mapping!A:A,Mapping!F:F)</f>
        <v>Phụ Cấp</v>
      </c>
      <c r="D531" s="173">
        <v>46112</v>
      </c>
      <c r="E531" s="169" t="s">
        <v>1858</v>
      </c>
      <c r="F531" s="169" t="s">
        <v>375</v>
      </c>
      <c r="G531" s="169" t="s">
        <v>336</v>
      </c>
      <c r="H531" s="169" t="s">
        <v>418</v>
      </c>
      <c r="I531" s="169" t="s">
        <v>419</v>
      </c>
      <c r="J531" s="169" t="s">
        <v>1663</v>
      </c>
      <c r="K531" s="169" t="s">
        <v>1664</v>
      </c>
      <c r="L531" s="169" t="s">
        <v>534</v>
      </c>
      <c r="M531" s="169" t="s">
        <v>1453</v>
      </c>
      <c r="N531" s="178">
        <v>350000</v>
      </c>
      <c r="O531" s="169" t="s">
        <v>1859</v>
      </c>
      <c r="P531" s="169" t="s">
        <v>283</v>
      </c>
      <c r="Q531" s="169" t="s">
        <v>284</v>
      </c>
      <c r="R531" s="169" t="s">
        <v>283</v>
      </c>
      <c r="S531" s="169" t="s">
        <v>283</v>
      </c>
      <c r="T531" s="169">
        <v>0</v>
      </c>
    </row>
    <row r="532" spans="1:20" hidden="1" x14ac:dyDescent="0.2">
      <c r="A532" s="169" t="str">
        <f t="shared" si="8"/>
        <v>622</v>
      </c>
      <c r="B532" s="167" t="str">
        <f>_xlfn.XLOOKUP(I532,Mapping!D:D,Mapping!E:E)</f>
        <v>Xưởng Sản Xuất</v>
      </c>
      <c r="C532" s="167" t="str">
        <f>_xlfn.XLOOKUP(F532,Mapping!A:A,Mapping!F:F)</f>
        <v>Lương Chính +T13</v>
      </c>
      <c r="D532" s="173">
        <v>46112</v>
      </c>
      <c r="E532" s="169" t="s">
        <v>1860</v>
      </c>
      <c r="F532" s="169" t="s">
        <v>400</v>
      </c>
      <c r="G532" s="169" t="s">
        <v>401</v>
      </c>
      <c r="H532" s="169" t="s">
        <v>402</v>
      </c>
      <c r="I532" s="169" t="s">
        <v>403</v>
      </c>
      <c r="J532" s="169" t="s">
        <v>1663</v>
      </c>
      <c r="K532" s="169" t="s">
        <v>1664</v>
      </c>
      <c r="L532" s="169" t="s">
        <v>534</v>
      </c>
      <c r="M532" s="169" t="s">
        <v>1453</v>
      </c>
      <c r="N532" s="178">
        <v>1379403901</v>
      </c>
      <c r="O532" s="169" t="s">
        <v>1861</v>
      </c>
      <c r="P532" s="169" t="s">
        <v>283</v>
      </c>
      <c r="Q532" s="169" t="s">
        <v>284</v>
      </c>
      <c r="R532" s="169" t="s">
        <v>283</v>
      </c>
      <c r="S532" s="169" t="s">
        <v>283</v>
      </c>
      <c r="T532" s="169">
        <v>0</v>
      </c>
    </row>
    <row r="533" spans="1:20" hidden="1" x14ac:dyDescent="0.2">
      <c r="A533" s="169" t="str">
        <f t="shared" si="8"/>
        <v>622</v>
      </c>
      <c r="B533" s="167" t="str">
        <f>_xlfn.XLOOKUP(I533,Mapping!D:D,Mapping!E:E)</f>
        <v>Xưởng Sản Xuất</v>
      </c>
      <c r="C533" s="167" t="str">
        <f>_xlfn.XLOOKUP(F533,Mapping!A:A,Mapping!F:F)</f>
        <v>Lương Chính +T13</v>
      </c>
      <c r="D533" s="173">
        <v>46112</v>
      </c>
      <c r="E533" s="169" t="s">
        <v>1862</v>
      </c>
      <c r="F533" s="169" t="s">
        <v>420</v>
      </c>
      <c r="G533" s="169" t="s">
        <v>286</v>
      </c>
      <c r="H533" s="169" t="s">
        <v>402</v>
      </c>
      <c r="I533" s="169" t="s">
        <v>403</v>
      </c>
      <c r="J533" s="169" t="s">
        <v>1663</v>
      </c>
      <c r="K533" s="169" t="s">
        <v>1664</v>
      </c>
      <c r="L533" s="169" t="s">
        <v>534</v>
      </c>
      <c r="M533" s="169" t="s">
        <v>1453</v>
      </c>
      <c r="N533" s="178">
        <v>3895820</v>
      </c>
      <c r="O533" s="169" t="s">
        <v>1863</v>
      </c>
      <c r="P533" s="169" t="s">
        <v>283</v>
      </c>
      <c r="Q533" s="169" t="s">
        <v>284</v>
      </c>
      <c r="R533" s="169" t="s">
        <v>283</v>
      </c>
      <c r="S533" s="169" t="s">
        <v>283</v>
      </c>
      <c r="T533" s="169">
        <v>0</v>
      </c>
    </row>
    <row r="534" spans="1:20" hidden="1" x14ac:dyDescent="0.2">
      <c r="A534" s="169" t="str">
        <f t="shared" si="8"/>
        <v>622</v>
      </c>
      <c r="B534" s="167" t="str">
        <f>_xlfn.XLOOKUP(I534,Mapping!D:D,Mapping!E:E)</f>
        <v>Xưởng Sản Xuất</v>
      </c>
      <c r="C534" s="167" t="str">
        <f>_xlfn.XLOOKUP(F534,Mapping!A:A,Mapping!F:F)</f>
        <v>Phụ Cấp</v>
      </c>
      <c r="D534" s="173">
        <v>46112</v>
      </c>
      <c r="E534" s="169" t="s">
        <v>1864</v>
      </c>
      <c r="F534" s="169" t="s">
        <v>421</v>
      </c>
      <c r="G534" s="169" t="s">
        <v>341</v>
      </c>
      <c r="H534" s="169" t="s">
        <v>402</v>
      </c>
      <c r="I534" s="169" t="s">
        <v>403</v>
      </c>
      <c r="J534" s="169" t="s">
        <v>1663</v>
      </c>
      <c r="K534" s="169" t="s">
        <v>1664</v>
      </c>
      <c r="L534" s="169" t="s">
        <v>534</v>
      </c>
      <c r="M534" s="169" t="s">
        <v>1453</v>
      </c>
      <c r="N534" s="178">
        <v>109088577</v>
      </c>
      <c r="O534" s="169" t="s">
        <v>1865</v>
      </c>
      <c r="P534" s="169" t="s">
        <v>283</v>
      </c>
      <c r="Q534" s="169" t="s">
        <v>284</v>
      </c>
      <c r="R534" s="169" t="s">
        <v>283</v>
      </c>
      <c r="S534" s="169" t="s">
        <v>283</v>
      </c>
      <c r="T534" s="169">
        <v>0</v>
      </c>
    </row>
    <row r="535" spans="1:20" hidden="1" x14ac:dyDescent="0.2">
      <c r="A535" s="169" t="str">
        <f t="shared" si="8"/>
        <v>622</v>
      </c>
      <c r="B535" s="167" t="str">
        <f>_xlfn.XLOOKUP(I535,Mapping!D:D,Mapping!E:E)</f>
        <v>Xưởng Sản Xuất</v>
      </c>
      <c r="C535" s="167" t="str">
        <f>_xlfn.XLOOKUP(F535,Mapping!A:A,Mapping!F:F)</f>
        <v>Lương Ngoài giờ</v>
      </c>
      <c r="D535" s="173">
        <v>46112</v>
      </c>
      <c r="E535" s="169" t="s">
        <v>1866</v>
      </c>
      <c r="F535" s="169" t="s">
        <v>422</v>
      </c>
      <c r="G535" s="169" t="s">
        <v>423</v>
      </c>
      <c r="H535" s="169" t="s">
        <v>402</v>
      </c>
      <c r="I535" s="169" t="s">
        <v>403</v>
      </c>
      <c r="J535" s="169" t="s">
        <v>1663</v>
      </c>
      <c r="K535" s="169" t="s">
        <v>1664</v>
      </c>
      <c r="L535" s="169" t="s">
        <v>534</v>
      </c>
      <c r="M535" s="169" t="s">
        <v>1453</v>
      </c>
      <c r="N535" s="178">
        <v>282710498</v>
      </c>
      <c r="O535" s="169" t="s">
        <v>1867</v>
      </c>
      <c r="P535" s="169" t="s">
        <v>283</v>
      </c>
      <c r="Q535" s="169" t="s">
        <v>284</v>
      </c>
      <c r="R535" s="169" t="s">
        <v>283</v>
      </c>
      <c r="S535" s="169" t="s">
        <v>283</v>
      </c>
      <c r="T535" s="169">
        <v>0</v>
      </c>
    </row>
    <row r="536" spans="1:20" hidden="1" x14ac:dyDescent="0.2">
      <c r="A536" s="169" t="str">
        <f t="shared" si="8"/>
        <v>622</v>
      </c>
      <c r="B536" s="167" t="str">
        <f>_xlfn.XLOOKUP(I536,Mapping!D:D,Mapping!E:E)</f>
        <v>Xưởng Sản Xuất</v>
      </c>
      <c r="C536" s="167" t="str">
        <f>_xlfn.XLOOKUP(F536,Mapping!A:A,Mapping!F:F)</f>
        <v>Phụ Cấp</v>
      </c>
      <c r="D536" s="173">
        <v>46112</v>
      </c>
      <c r="E536" s="169" t="s">
        <v>1868</v>
      </c>
      <c r="F536" s="169" t="s">
        <v>414</v>
      </c>
      <c r="G536" s="169" t="s">
        <v>415</v>
      </c>
      <c r="H536" s="169" t="s">
        <v>402</v>
      </c>
      <c r="I536" s="169" t="s">
        <v>403</v>
      </c>
      <c r="J536" s="169" t="s">
        <v>1663</v>
      </c>
      <c r="K536" s="169" t="s">
        <v>1664</v>
      </c>
      <c r="L536" s="169" t="s">
        <v>534</v>
      </c>
      <c r="M536" s="169" t="s">
        <v>1453</v>
      </c>
      <c r="N536" s="178">
        <v>2270000</v>
      </c>
      <c r="O536" s="169" t="s">
        <v>1869</v>
      </c>
      <c r="P536" s="169" t="s">
        <v>283</v>
      </c>
      <c r="Q536" s="169" t="s">
        <v>284</v>
      </c>
      <c r="R536" s="169" t="s">
        <v>283</v>
      </c>
      <c r="S536" s="169" t="s">
        <v>283</v>
      </c>
      <c r="T536" s="169">
        <v>0</v>
      </c>
    </row>
    <row r="537" spans="1:20" hidden="1" x14ac:dyDescent="0.2">
      <c r="A537" s="169" t="str">
        <f t="shared" si="8"/>
        <v>627</v>
      </c>
      <c r="B537" s="167" t="str">
        <f>_xlfn.XLOOKUP(I537,Mapping!D:D,Mapping!E:E)</f>
        <v>Xưởng Sản Xuất</v>
      </c>
      <c r="C537" s="167" t="str">
        <f>_xlfn.XLOOKUP(F537,Mapping!A:A,Mapping!F:F)</f>
        <v>Phụ Cấp</v>
      </c>
      <c r="D537" s="173">
        <v>46112</v>
      </c>
      <c r="E537" s="169" t="s">
        <v>1870</v>
      </c>
      <c r="F537" s="169" t="s">
        <v>386</v>
      </c>
      <c r="G537" s="169" t="s">
        <v>341</v>
      </c>
      <c r="H537" s="169" t="s">
        <v>402</v>
      </c>
      <c r="I537" s="169" t="s">
        <v>403</v>
      </c>
      <c r="J537" s="169" t="s">
        <v>1663</v>
      </c>
      <c r="K537" s="169" t="s">
        <v>1664</v>
      </c>
      <c r="L537" s="169" t="s">
        <v>534</v>
      </c>
      <c r="M537" s="169" t="s">
        <v>1453</v>
      </c>
      <c r="N537" s="178">
        <v>12238786</v>
      </c>
      <c r="O537" s="169" t="s">
        <v>1871</v>
      </c>
      <c r="P537" s="169" t="s">
        <v>283</v>
      </c>
      <c r="Q537" s="169" t="s">
        <v>284</v>
      </c>
      <c r="R537" s="169" t="s">
        <v>283</v>
      </c>
      <c r="S537" s="169" t="s">
        <v>283</v>
      </c>
      <c r="T537" s="169">
        <v>0</v>
      </c>
    </row>
    <row r="538" spans="1:20" hidden="1" x14ac:dyDescent="0.2">
      <c r="A538" s="169" t="str">
        <f t="shared" si="8"/>
        <v>627</v>
      </c>
      <c r="B538" s="167" t="str">
        <f>_xlfn.XLOOKUP(I538,Mapping!D:D,Mapping!E:E)</f>
        <v>Xưởng Sản Xuất</v>
      </c>
      <c r="C538" s="167" t="str">
        <f>_xlfn.XLOOKUP(F538,Mapping!A:A,Mapping!F:F)</f>
        <v>Lương Chính +T13</v>
      </c>
      <c r="D538" s="173">
        <v>46112</v>
      </c>
      <c r="E538" s="169" t="s">
        <v>1872</v>
      </c>
      <c r="F538" s="169" t="s">
        <v>387</v>
      </c>
      <c r="G538" s="169" t="s">
        <v>275</v>
      </c>
      <c r="H538" s="169" t="s">
        <v>402</v>
      </c>
      <c r="I538" s="169" t="s">
        <v>403</v>
      </c>
      <c r="J538" s="169" t="s">
        <v>1663</v>
      </c>
      <c r="K538" s="169" t="s">
        <v>1664</v>
      </c>
      <c r="L538" s="169" t="s">
        <v>534</v>
      </c>
      <c r="M538" s="169" t="s">
        <v>1453</v>
      </c>
      <c r="N538" s="178">
        <v>400422809</v>
      </c>
      <c r="O538" s="169" t="s">
        <v>1873</v>
      </c>
      <c r="P538" s="169" t="s">
        <v>283</v>
      </c>
      <c r="Q538" s="169" t="s">
        <v>284</v>
      </c>
      <c r="R538" s="169" t="s">
        <v>283</v>
      </c>
      <c r="S538" s="169" t="s">
        <v>283</v>
      </c>
      <c r="T538" s="169">
        <v>0</v>
      </c>
    </row>
    <row r="539" spans="1:20" hidden="1" x14ac:dyDescent="0.2">
      <c r="A539" s="169" t="str">
        <f t="shared" si="8"/>
        <v>627</v>
      </c>
      <c r="B539" s="167" t="str">
        <f>_xlfn.XLOOKUP(I539,Mapping!D:D,Mapping!E:E)</f>
        <v>Xưởng Sản Xuất</v>
      </c>
      <c r="C539" s="167" t="str">
        <f>_xlfn.XLOOKUP(F539,Mapping!A:A,Mapping!F:F)</f>
        <v>Lương Chính +T13</v>
      </c>
      <c r="D539" s="173">
        <v>46112</v>
      </c>
      <c r="E539" s="169" t="s">
        <v>1874</v>
      </c>
      <c r="F539" s="169" t="s">
        <v>388</v>
      </c>
      <c r="G539" s="169" t="s">
        <v>286</v>
      </c>
      <c r="H539" s="169" t="s">
        <v>402</v>
      </c>
      <c r="I539" s="169" t="s">
        <v>403</v>
      </c>
      <c r="J539" s="169" t="s">
        <v>1663</v>
      </c>
      <c r="K539" s="169" t="s">
        <v>1664</v>
      </c>
      <c r="L539" s="169" t="s">
        <v>534</v>
      </c>
      <c r="M539" s="169" t="s">
        <v>1453</v>
      </c>
      <c r="N539" s="178">
        <v>8502346</v>
      </c>
      <c r="O539" s="169" t="s">
        <v>1875</v>
      </c>
      <c r="P539" s="169" t="s">
        <v>283</v>
      </c>
      <c r="Q539" s="169" t="s">
        <v>284</v>
      </c>
      <c r="R539" s="169" t="s">
        <v>283</v>
      </c>
      <c r="S539" s="169" t="s">
        <v>283</v>
      </c>
      <c r="T539" s="169">
        <v>0</v>
      </c>
    </row>
    <row r="540" spans="1:20" hidden="1" x14ac:dyDescent="0.2">
      <c r="A540" s="169" t="str">
        <f t="shared" si="8"/>
        <v>627</v>
      </c>
      <c r="B540" s="167" t="str">
        <f>_xlfn.XLOOKUP(I540,Mapping!D:D,Mapping!E:E)</f>
        <v>Xưởng Sản Xuất</v>
      </c>
      <c r="C540" s="167" t="str">
        <f>_xlfn.XLOOKUP(F540,Mapping!A:A,Mapping!F:F)</f>
        <v>Lương Ngoài giờ</v>
      </c>
      <c r="D540" s="173">
        <v>46112</v>
      </c>
      <c r="E540" s="169" t="s">
        <v>1876</v>
      </c>
      <c r="F540" s="169" t="s">
        <v>389</v>
      </c>
      <c r="G540" s="169" t="s">
        <v>390</v>
      </c>
      <c r="H540" s="169" t="s">
        <v>402</v>
      </c>
      <c r="I540" s="169" t="s">
        <v>403</v>
      </c>
      <c r="J540" s="169" t="s">
        <v>1663</v>
      </c>
      <c r="K540" s="169" t="s">
        <v>1664</v>
      </c>
      <c r="L540" s="169" t="s">
        <v>534</v>
      </c>
      <c r="M540" s="169" t="s">
        <v>1453</v>
      </c>
      <c r="N540" s="178">
        <v>47244763</v>
      </c>
      <c r="O540" s="169" t="s">
        <v>1877</v>
      </c>
      <c r="P540" s="169" t="s">
        <v>283</v>
      </c>
      <c r="Q540" s="169" t="s">
        <v>284</v>
      </c>
      <c r="R540" s="169" t="s">
        <v>283</v>
      </c>
      <c r="S540" s="169" t="s">
        <v>283</v>
      </c>
      <c r="T540" s="169">
        <v>0</v>
      </c>
    </row>
    <row r="541" spans="1:20" hidden="1" x14ac:dyDescent="0.2">
      <c r="A541" s="169" t="str">
        <f t="shared" si="8"/>
        <v>627</v>
      </c>
      <c r="B541" s="167" t="str">
        <f>_xlfn.XLOOKUP(I541,Mapping!D:D,Mapping!E:E)</f>
        <v>Xưởng Sản Xuất</v>
      </c>
      <c r="C541" s="167" t="str">
        <f>_xlfn.XLOOKUP(F541,Mapping!A:A,Mapping!F:F)</f>
        <v>Phụ Cấp</v>
      </c>
      <c r="D541" s="173">
        <v>46112</v>
      </c>
      <c r="E541" s="169" t="s">
        <v>1878</v>
      </c>
      <c r="F541" s="169" t="s">
        <v>375</v>
      </c>
      <c r="G541" s="169" t="s">
        <v>336</v>
      </c>
      <c r="H541" s="169" t="s">
        <v>402</v>
      </c>
      <c r="I541" s="169" t="s">
        <v>403</v>
      </c>
      <c r="J541" s="169" t="s">
        <v>1663</v>
      </c>
      <c r="K541" s="169" t="s">
        <v>1664</v>
      </c>
      <c r="L541" s="169" t="s">
        <v>534</v>
      </c>
      <c r="M541" s="169" t="s">
        <v>1453</v>
      </c>
      <c r="N541" s="178">
        <v>490000</v>
      </c>
      <c r="O541" s="169" t="s">
        <v>1879</v>
      </c>
      <c r="P541" s="169" t="s">
        <v>283</v>
      </c>
      <c r="Q541" s="169" t="s">
        <v>284</v>
      </c>
      <c r="R541" s="169" t="s">
        <v>283</v>
      </c>
      <c r="S541" s="169" t="s">
        <v>283</v>
      </c>
      <c r="T541" s="169">
        <v>0</v>
      </c>
    </row>
    <row r="542" spans="1:20" hidden="1" x14ac:dyDescent="0.2">
      <c r="A542" s="169" t="str">
        <f t="shared" si="8"/>
        <v>622</v>
      </c>
      <c r="B542" s="167" t="str">
        <f>_xlfn.XLOOKUP(I542,Mapping!D:D,Mapping!E:E)</f>
        <v>Xưởng Sản Xuất</v>
      </c>
      <c r="C542" s="167" t="str">
        <f>_xlfn.XLOOKUP(F542,Mapping!A:A,Mapping!F:F)</f>
        <v>Lương Chính +T13</v>
      </c>
      <c r="D542" s="173">
        <v>46111</v>
      </c>
      <c r="E542" s="169" t="s">
        <v>1706</v>
      </c>
      <c r="F542" s="169" t="s">
        <v>400</v>
      </c>
      <c r="G542" s="169" t="s">
        <v>401</v>
      </c>
      <c r="H542" s="169" t="s">
        <v>402</v>
      </c>
      <c r="I542" s="169" t="s">
        <v>403</v>
      </c>
      <c r="J542" s="169" t="s">
        <v>1707</v>
      </c>
      <c r="K542" s="169" t="s">
        <v>405</v>
      </c>
      <c r="L542" s="169" t="s">
        <v>534</v>
      </c>
      <c r="M542" s="169" t="s">
        <v>1453</v>
      </c>
      <c r="N542" s="178">
        <v>92682217</v>
      </c>
      <c r="O542" s="169" t="s">
        <v>1708</v>
      </c>
      <c r="P542" s="169" t="s">
        <v>283</v>
      </c>
      <c r="Q542" s="169" t="s">
        <v>306</v>
      </c>
      <c r="R542" s="169" t="s">
        <v>283</v>
      </c>
      <c r="S542" s="169" t="s">
        <v>283</v>
      </c>
      <c r="T542" s="169">
        <v>0</v>
      </c>
    </row>
    <row r="543" spans="1:20" hidden="1" x14ac:dyDescent="0.2">
      <c r="A543" s="169" t="str">
        <f t="shared" si="8"/>
        <v>622</v>
      </c>
      <c r="B543" s="167" t="str">
        <f>_xlfn.XLOOKUP(I543,Mapping!D:D,Mapping!E:E)</f>
        <v>Xưởng Sản Xuất</v>
      </c>
      <c r="C543" s="167" t="str">
        <f>_xlfn.XLOOKUP(F543,Mapping!A:A,Mapping!F:F)</f>
        <v>Lương Chính +T13</v>
      </c>
      <c r="D543" s="173">
        <v>46111</v>
      </c>
      <c r="E543" s="169" t="s">
        <v>1880</v>
      </c>
      <c r="F543" s="169" t="s">
        <v>400</v>
      </c>
      <c r="G543" s="169" t="s">
        <v>401</v>
      </c>
      <c r="H543" s="169" t="s">
        <v>402</v>
      </c>
      <c r="I543" s="169" t="s">
        <v>403</v>
      </c>
      <c r="J543" s="169" t="s">
        <v>1881</v>
      </c>
      <c r="K543" s="169" t="s">
        <v>405</v>
      </c>
      <c r="L543" s="169" t="s">
        <v>534</v>
      </c>
      <c r="M543" s="169" t="s">
        <v>1453</v>
      </c>
      <c r="N543" s="178">
        <v>32509875</v>
      </c>
      <c r="O543" s="169" t="s">
        <v>1882</v>
      </c>
      <c r="P543" s="169" t="s">
        <v>283</v>
      </c>
      <c r="Q543" s="169" t="s">
        <v>306</v>
      </c>
      <c r="R543" s="169" t="s">
        <v>283</v>
      </c>
      <c r="S543" s="169" t="s">
        <v>283</v>
      </c>
      <c r="T543" s="169">
        <v>0</v>
      </c>
    </row>
    <row r="544" spans="1:20" hidden="1" x14ac:dyDescent="0.2">
      <c r="A544" s="169" t="str">
        <f t="shared" si="8"/>
        <v>622</v>
      </c>
      <c r="B544" s="167" t="str">
        <f>_xlfn.XLOOKUP(I544,Mapping!D:D,Mapping!E:E)</f>
        <v>Xưởng Sản Xuất</v>
      </c>
      <c r="C544" s="167" t="str">
        <f>_xlfn.XLOOKUP(F544,Mapping!A:A,Mapping!F:F)</f>
        <v>Lương Chính +T13</v>
      </c>
      <c r="D544" s="173">
        <v>46112</v>
      </c>
      <c r="E544" s="169" t="s">
        <v>1883</v>
      </c>
      <c r="F544" s="169" t="s">
        <v>400</v>
      </c>
      <c r="G544" s="169" t="s">
        <v>401</v>
      </c>
      <c r="H544" s="169" t="s">
        <v>402</v>
      </c>
      <c r="I544" s="169" t="s">
        <v>403</v>
      </c>
      <c r="J544" s="169" t="s">
        <v>1884</v>
      </c>
      <c r="K544" s="169" t="s">
        <v>405</v>
      </c>
      <c r="L544" s="169" t="s">
        <v>534</v>
      </c>
      <c r="M544" s="169" t="s">
        <v>1453</v>
      </c>
      <c r="N544" s="178">
        <v>70838333</v>
      </c>
      <c r="O544" s="169" t="s">
        <v>1885</v>
      </c>
      <c r="P544" s="169" t="s">
        <v>283</v>
      </c>
      <c r="Q544" s="169" t="s">
        <v>306</v>
      </c>
      <c r="R544" s="169" t="s">
        <v>283</v>
      </c>
      <c r="S544" s="169" t="s">
        <v>283</v>
      </c>
      <c r="T544" s="169">
        <v>0</v>
      </c>
    </row>
    <row r="545" spans="1:20" hidden="1" x14ac:dyDescent="0.2">
      <c r="A545" s="169" t="str">
        <f t="shared" si="8"/>
        <v>627</v>
      </c>
      <c r="B545" s="167" t="str">
        <f>_xlfn.XLOOKUP(I545,Mapping!D:D,Mapping!E:E)</f>
        <v>Kỹ Thuật</v>
      </c>
      <c r="C545" s="167" t="str">
        <f>_xlfn.XLOOKUP(F545,Mapping!A:A,Mapping!F:F)</f>
        <v>Lương Chính +T13</v>
      </c>
      <c r="D545" s="173">
        <v>46112</v>
      </c>
      <c r="E545" s="169" t="s">
        <v>1886</v>
      </c>
      <c r="F545" s="169" t="s">
        <v>388</v>
      </c>
      <c r="G545" s="169" t="s">
        <v>286</v>
      </c>
      <c r="H545" s="169" t="s">
        <v>376</v>
      </c>
      <c r="I545" s="169" t="s">
        <v>377</v>
      </c>
      <c r="J545" s="169" t="s">
        <v>1669</v>
      </c>
      <c r="K545" s="169" t="s">
        <v>1664</v>
      </c>
      <c r="L545" s="169" t="s">
        <v>534</v>
      </c>
      <c r="M545" s="169" t="s">
        <v>1453</v>
      </c>
      <c r="N545" s="178">
        <v>94184900</v>
      </c>
      <c r="O545" s="169" t="s">
        <v>1887</v>
      </c>
      <c r="P545" s="169" t="s">
        <v>283</v>
      </c>
      <c r="Q545" s="169" t="s">
        <v>284</v>
      </c>
      <c r="R545" s="169" t="s">
        <v>283</v>
      </c>
      <c r="S545" s="169" t="s">
        <v>283</v>
      </c>
      <c r="T545" s="169">
        <v>0</v>
      </c>
    </row>
    <row r="546" spans="1:20" hidden="1" x14ac:dyDescent="0.2">
      <c r="A546" s="169" t="str">
        <f t="shared" si="8"/>
        <v>627</v>
      </c>
      <c r="B546" s="167" t="str">
        <f>_xlfn.XLOOKUP(I546,Mapping!D:D,Mapping!E:E)</f>
        <v>Kỹ Thuật</v>
      </c>
      <c r="C546" s="167" t="str">
        <f>_xlfn.XLOOKUP(F546,Mapping!A:A,Mapping!F:F)</f>
        <v>Thưởng</v>
      </c>
      <c r="D546" s="173">
        <v>46112</v>
      </c>
      <c r="E546" s="169" t="s">
        <v>1888</v>
      </c>
      <c r="F546" s="169" t="s">
        <v>395</v>
      </c>
      <c r="G546" s="169" t="s">
        <v>77</v>
      </c>
      <c r="H546" s="169" t="s">
        <v>376</v>
      </c>
      <c r="I546" s="169" t="s">
        <v>377</v>
      </c>
      <c r="J546" s="169" t="s">
        <v>1672</v>
      </c>
      <c r="K546" s="169" t="s">
        <v>1664</v>
      </c>
      <c r="L546" s="169" t="s">
        <v>534</v>
      </c>
      <c r="M546" s="169" t="s">
        <v>1453</v>
      </c>
      <c r="N546" s="178">
        <v>86649355</v>
      </c>
      <c r="O546" s="169" t="s">
        <v>1889</v>
      </c>
      <c r="P546" s="169" t="s">
        <v>283</v>
      </c>
      <c r="Q546" s="169" t="s">
        <v>284</v>
      </c>
      <c r="R546" s="169" t="s">
        <v>283</v>
      </c>
      <c r="S546" s="169" t="s">
        <v>283</v>
      </c>
      <c r="T546" s="169">
        <v>0</v>
      </c>
    </row>
    <row r="547" spans="1:20" hidden="1" x14ac:dyDescent="0.2">
      <c r="A547" s="169" t="str">
        <f t="shared" si="8"/>
        <v>627</v>
      </c>
      <c r="B547" s="167" t="str">
        <f>_xlfn.XLOOKUP(I547,Mapping!D:D,Mapping!E:E)</f>
        <v>Kiểm Soát Chất Lượng</v>
      </c>
      <c r="C547" s="167" t="str">
        <f>_xlfn.XLOOKUP(F547,Mapping!A:A,Mapping!F:F)</f>
        <v>Lương Chính +T13</v>
      </c>
      <c r="D547" s="173">
        <v>46112</v>
      </c>
      <c r="E547" s="169" t="s">
        <v>1890</v>
      </c>
      <c r="F547" s="169" t="s">
        <v>388</v>
      </c>
      <c r="G547" s="169" t="s">
        <v>286</v>
      </c>
      <c r="H547" s="169" t="s">
        <v>411</v>
      </c>
      <c r="I547" s="169" t="s">
        <v>412</v>
      </c>
      <c r="J547" s="169" t="s">
        <v>1669</v>
      </c>
      <c r="K547" s="169" t="s">
        <v>1664</v>
      </c>
      <c r="L547" s="169" t="s">
        <v>534</v>
      </c>
      <c r="M547" s="169" t="s">
        <v>1453</v>
      </c>
      <c r="N547" s="178">
        <v>37656333</v>
      </c>
      <c r="O547" s="169" t="s">
        <v>1891</v>
      </c>
      <c r="P547" s="169" t="s">
        <v>283</v>
      </c>
      <c r="Q547" s="169" t="s">
        <v>284</v>
      </c>
      <c r="R547" s="169" t="s">
        <v>283</v>
      </c>
      <c r="S547" s="169" t="s">
        <v>283</v>
      </c>
      <c r="T547" s="169">
        <v>0</v>
      </c>
    </row>
    <row r="548" spans="1:20" hidden="1" x14ac:dyDescent="0.2">
      <c r="A548" s="169" t="str">
        <f t="shared" ref="A548:A611" si="9">LEFT(F548,3)</f>
        <v>627</v>
      </c>
      <c r="B548" s="167" t="str">
        <f>_xlfn.XLOOKUP(I548,Mapping!D:D,Mapping!E:E)</f>
        <v>Kiểm Soát Chất Lượng</v>
      </c>
      <c r="C548" s="167" t="str">
        <f>_xlfn.XLOOKUP(F548,Mapping!A:A,Mapping!F:F)</f>
        <v>Thưởng</v>
      </c>
      <c r="D548" s="173">
        <v>46112</v>
      </c>
      <c r="E548" s="169" t="s">
        <v>1892</v>
      </c>
      <c r="F548" s="169" t="s">
        <v>395</v>
      </c>
      <c r="G548" s="169" t="s">
        <v>77</v>
      </c>
      <c r="H548" s="169" t="s">
        <v>411</v>
      </c>
      <c r="I548" s="169" t="s">
        <v>412</v>
      </c>
      <c r="J548" s="169" t="s">
        <v>1672</v>
      </c>
      <c r="K548" s="169" t="s">
        <v>1664</v>
      </c>
      <c r="L548" s="169" t="s">
        <v>534</v>
      </c>
      <c r="M548" s="169" t="s">
        <v>1453</v>
      </c>
      <c r="N548" s="178">
        <v>34643525</v>
      </c>
      <c r="O548" s="169" t="s">
        <v>1893</v>
      </c>
      <c r="P548" s="169" t="s">
        <v>283</v>
      </c>
      <c r="Q548" s="169" t="s">
        <v>284</v>
      </c>
      <c r="R548" s="169" t="s">
        <v>283</v>
      </c>
      <c r="S548" s="169" t="s">
        <v>283</v>
      </c>
      <c r="T548" s="169">
        <v>0</v>
      </c>
    </row>
    <row r="549" spans="1:20" hidden="1" x14ac:dyDescent="0.2">
      <c r="A549" s="169" t="str">
        <f t="shared" si="9"/>
        <v>627</v>
      </c>
      <c r="B549" s="167" t="str">
        <f>_xlfn.XLOOKUP(I549,Mapping!D:D,Mapping!E:E)</f>
        <v>Nghiên Cứu &amp; Phát Triển</v>
      </c>
      <c r="C549" s="167" t="str">
        <f>_xlfn.XLOOKUP(F549,Mapping!A:A,Mapping!F:F)</f>
        <v>Lương Chính +T13</v>
      </c>
      <c r="D549" s="173">
        <v>46112</v>
      </c>
      <c r="E549" s="169" t="s">
        <v>1894</v>
      </c>
      <c r="F549" s="169" t="s">
        <v>388</v>
      </c>
      <c r="G549" s="169" t="s">
        <v>286</v>
      </c>
      <c r="H549" s="169" t="s">
        <v>418</v>
      </c>
      <c r="I549" s="169" t="s">
        <v>419</v>
      </c>
      <c r="J549" s="169" t="s">
        <v>1669</v>
      </c>
      <c r="K549" s="169" t="s">
        <v>1664</v>
      </c>
      <c r="L549" s="169" t="s">
        <v>534</v>
      </c>
      <c r="M549" s="169" t="s">
        <v>1453</v>
      </c>
      <c r="N549" s="178">
        <v>14708750</v>
      </c>
      <c r="O549" s="169" t="s">
        <v>1895</v>
      </c>
      <c r="P549" s="169" t="s">
        <v>283</v>
      </c>
      <c r="Q549" s="169" t="s">
        <v>284</v>
      </c>
      <c r="R549" s="169" t="s">
        <v>283</v>
      </c>
      <c r="S549" s="169" t="s">
        <v>283</v>
      </c>
      <c r="T549" s="169">
        <v>0</v>
      </c>
    </row>
    <row r="550" spans="1:20" hidden="1" x14ac:dyDescent="0.2">
      <c r="A550" s="169" t="str">
        <f t="shared" si="9"/>
        <v>627</v>
      </c>
      <c r="B550" s="167" t="str">
        <f>_xlfn.XLOOKUP(I550,Mapping!D:D,Mapping!E:E)</f>
        <v>Nghiên Cứu &amp; Phát Triển</v>
      </c>
      <c r="C550" s="167" t="str">
        <f>_xlfn.XLOOKUP(F550,Mapping!A:A,Mapping!F:F)</f>
        <v>Thưởng</v>
      </c>
      <c r="D550" s="173">
        <v>46112</v>
      </c>
      <c r="E550" s="169" t="s">
        <v>1896</v>
      </c>
      <c r="F550" s="169" t="s">
        <v>395</v>
      </c>
      <c r="G550" s="169" t="s">
        <v>77</v>
      </c>
      <c r="H550" s="169" t="s">
        <v>418</v>
      </c>
      <c r="I550" s="169" t="s">
        <v>419</v>
      </c>
      <c r="J550" s="169" t="s">
        <v>1672</v>
      </c>
      <c r="K550" s="169" t="s">
        <v>1664</v>
      </c>
      <c r="L550" s="169" t="s">
        <v>534</v>
      </c>
      <c r="M550" s="169" t="s">
        <v>1453</v>
      </c>
      <c r="N550" s="178">
        <v>13531932</v>
      </c>
      <c r="O550" s="169" t="s">
        <v>1897</v>
      </c>
      <c r="P550" s="169" t="s">
        <v>283</v>
      </c>
      <c r="Q550" s="169" t="s">
        <v>284</v>
      </c>
      <c r="R550" s="169" t="s">
        <v>283</v>
      </c>
      <c r="S550" s="169" t="s">
        <v>283</v>
      </c>
      <c r="T550" s="169">
        <v>0</v>
      </c>
    </row>
    <row r="551" spans="1:20" hidden="1" x14ac:dyDescent="0.2">
      <c r="A551" s="169" t="str">
        <f t="shared" si="9"/>
        <v>627</v>
      </c>
      <c r="B551" s="167" t="str">
        <f>_xlfn.XLOOKUP(I551,Mapping!D:D,Mapping!E:E)</f>
        <v>Xưởng Sản Xuất</v>
      </c>
      <c r="C551" s="167" t="str">
        <f>_xlfn.XLOOKUP(F551,Mapping!A:A,Mapping!F:F)</f>
        <v>Lương Chính +T13</v>
      </c>
      <c r="D551" s="173">
        <v>46112</v>
      </c>
      <c r="E551" s="169" t="s">
        <v>1898</v>
      </c>
      <c r="F551" s="169" t="s">
        <v>388</v>
      </c>
      <c r="G551" s="169" t="s">
        <v>286</v>
      </c>
      <c r="H551" s="169" t="s">
        <v>402</v>
      </c>
      <c r="I551" s="169" t="s">
        <v>403</v>
      </c>
      <c r="J551" s="169" t="s">
        <v>1669</v>
      </c>
      <c r="K551" s="169" t="s">
        <v>1664</v>
      </c>
      <c r="L551" s="169" t="s">
        <v>534</v>
      </c>
      <c r="M551" s="169" t="s">
        <v>1453</v>
      </c>
      <c r="N551" s="178">
        <v>34665500</v>
      </c>
      <c r="O551" s="169" t="s">
        <v>1899</v>
      </c>
      <c r="P551" s="169" t="s">
        <v>283</v>
      </c>
      <c r="Q551" s="169" t="s">
        <v>284</v>
      </c>
      <c r="R551" s="169" t="s">
        <v>283</v>
      </c>
      <c r="S551" s="169" t="s">
        <v>283</v>
      </c>
      <c r="T551" s="169">
        <v>0</v>
      </c>
    </row>
    <row r="552" spans="1:20" hidden="1" x14ac:dyDescent="0.2">
      <c r="A552" s="169" t="str">
        <f t="shared" si="9"/>
        <v>622</v>
      </c>
      <c r="B552" s="167" t="str">
        <f>_xlfn.XLOOKUP(I552,Mapping!D:D,Mapping!E:E)</f>
        <v>Xưởng Sản Xuất</v>
      </c>
      <c r="C552" s="167" t="str">
        <f>_xlfn.XLOOKUP(F552,Mapping!A:A,Mapping!F:F)</f>
        <v>Lương Chính +T13</v>
      </c>
      <c r="D552" s="173">
        <v>46112</v>
      </c>
      <c r="E552" s="169" t="s">
        <v>1900</v>
      </c>
      <c r="F552" s="169" t="s">
        <v>420</v>
      </c>
      <c r="G552" s="169" t="s">
        <v>286</v>
      </c>
      <c r="H552" s="169" t="s">
        <v>402</v>
      </c>
      <c r="I552" s="169" t="s">
        <v>403</v>
      </c>
      <c r="J552" s="169" t="s">
        <v>1669</v>
      </c>
      <c r="K552" s="169" t="s">
        <v>1664</v>
      </c>
      <c r="L552" s="169" t="s">
        <v>534</v>
      </c>
      <c r="M552" s="169" t="s">
        <v>1453</v>
      </c>
      <c r="N552" s="178">
        <v>86095000</v>
      </c>
      <c r="O552" s="169" t="s">
        <v>1901</v>
      </c>
      <c r="P552" s="169" t="s">
        <v>283</v>
      </c>
      <c r="Q552" s="169" t="s">
        <v>284</v>
      </c>
      <c r="R552" s="169" t="s">
        <v>283</v>
      </c>
      <c r="S552" s="169" t="s">
        <v>283</v>
      </c>
      <c r="T552" s="169">
        <v>0</v>
      </c>
    </row>
    <row r="553" spans="1:20" hidden="1" x14ac:dyDescent="0.2">
      <c r="A553" s="169" t="str">
        <f t="shared" si="9"/>
        <v>627</v>
      </c>
      <c r="B553" s="167" t="str">
        <f>_xlfn.XLOOKUP(I553,Mapping!D:D,Mapping!E:E)</f>
        <v>Xưởng Sản Xuất</v>
      </c>
      <c r="C553" s="167" t="str">
        <f>_xlfn.XLOOKUP(F553,Mapping!A:A,Mapping!F:F)</f>
        <v>Thưởng</v>
      </c>
      <c r="D553" s="173">
        <v>46112</v>
      </c>
      <c r="E553" s="169" t="s">
        <v>1902</v>
      </c>
      <c r="F553" s="169" t="s">
        <v>395</v>
      </c>
      <c r="G553" s="169" t="s">
        <v>77</v>
      </c>
      <c r="H553" s="169" t="s">
        <v>402</v>
      </c>
      <c r="I553" s="169" t="s">
        <v>403</v>
      </c>
      <c r="J553" s="169" t="s">
        <v>1672</v>
      </c>
      <c r="K553" s="169" t="s">
        <v>1664</v>
      </c>
      <c r="L553" s="169" t="s">
        <v>534</v>
      </c>
      <c r="M553" s="169" t="s">
        <v>1453</v>
      </c>
      <c r="N553" s="178">
        <v>31891983</v>
      </c>
      <c r="O553" s="169" t="s">
        <v>1903</v>
      </c>
      <c r="P553" s="169" t="s">
        <v>283</v>
      </c>
      <c r="Q553" s="169" t="s">
        <v>284</v>
      </c>
      <c r="R553" s="169" t="s">
        <v>283</v>
      </c>
      <c r="S553" s="169" t="s">
        <v>283</v>
      </c>
      <c r="T553" s="169">
        <v>0</v>
      </c>
    </row>
    <row r="554" spans="1:20" hidden="1" x14ac:dyDescent="0.2">
      <c r="A554" s="169" t="str">
        <f t="shared" si="9"/>
        <v>622</v>
      </c>
      <c r="B554" s="167" t="str">
        <f>_xlfn.XLOOKUP(I554,Mapping!D:D,Mapping!E:E)</f>
        <v>Xưởng Sản Xuất</v>
      </c>
      <c r="C554" s="167" t="str">
        <f>_xlfn.XLOOKUP(F554,Mapping!A:A,Mapping!F:F)</f>
        <v>Thưởng</v>
      </c>
      <c r="D554" s="173">
        <v>46112</v>
      </c>
      <c r="E554" s="169" t="s">
        <v>1904</v>
      </c>
      <c r="F554" s="169" t="s">
        <v>426</v>
      </c>
      <c r="G554" s="169" t="s">
        <v>77</v>
      </c>
      <c r="H554" s="169" t="s">
        <v>402</v>
      </c>
      <c r="I554" s="169" t="s">
        <v>403</v>
      </c>
      <c r="J554" s="169" t="s">
        <v>1672</v>
      </c>
      <c r="K554" s="169" t="s">
        <v>1664</v>
      </c>
      <c r="L554" s="169" t="s">
        <v>534</v>
      </c>
      <c r="M554" s="169" t="s">
        <v>1453</v>
      </c>
      <c r="N554" s="178">
        <v>21626086</v>
      </c>
      <c r="O554" s="169" t="s">
        <v>1905</v>
      </c>
      <c r="P554" s="169" t="s">
        <v>283</v>
      </c>
      <c r="Q554" s="169" t="s">
        <v>284</v>
      </c>
      <c r="R554" s="169" t="s">
        <v>283</v>
      </c>
      <c r="S554" s="169" t="s">
        <v>283</v>
      </c>
      <c r="T554" s="169">
        <v>0</v>
      </c>
    </row>
    <row r="555" spans="1:20" hidden="1" x14ac:dyDescent="0.2">
      <c r="A555" s="169" t="str">
        <f t="shared" si="9"/>
        <v>627</v>
      </c>
      <c r="B555" s="167" t="str">
        <f>_xlfn.XLOOKUP(I555,Mapping!D:D,Mapping!E:E)</f>
        <v>Kỹ Thuật</v>
      </c>
      <c r="C555" s="167" t="str">
        <f>_xlfn.XLOOKUP(F555,Mapping!A:A,Mapping!F:F)</f>
        <v>BHXH, BHYT, KPCĐ</v>
      </c>
      <c r="D555" s="173">
        <v>46112</v>
      </c>
      <c r="E555" s="169" t="s">
        <v>1676</v>
      </c>
      <c r="F555" s="169" t="s">
        <v>393</v>
      </c>
      <c r="G555" s="169" t="s">
        <v>296</v>
      </c>
      <c r="H555" s="169" t="s">
        <v>376</v>
      </c>
      <c r="I555" s="169" t="s">
        <v>377</v>
      </c>
      <c r="J555" s="169" t="s">
        <v>1677</v>
      </c>
      <c r="K555" s="169" t="s">
        <v>1664</v>
      </c>
      <c r="L555" s="169" t="s">
        <v>534</v>
      </c>
      <c r="M555" s="169" t="s">
        <v>1453</v>
      </c>
      <c r="N555" s="178">
        <v>263756418</v>
      </c>
      <c r="O555" s="169" t="s">
        <v>1678</v>
      </c>
      <c r="P555" s="169" t="s">
        <v>283</v>
      </c>
      <c r="Q555" s="169" t="s">
        <v>284</v>
      </c>
      <c r="R555" s="169" t="s">
        <v>283</v>
      </c>
      <c r="S555" s="169" t="s">
        <v>283</v>
      </c>
      <c r="T555" s="169">
        <v>0</v>
      </c>
    </row>
    <row r="556" spans="1:20" hidden="1" x14ac:dyDescent="0.2">
      <c r="A556" s="169" t="str">
        <f t="shared" si="9"/>
        <v>627</v>
      </c>
      <c r="B556" s="167" t="str">
        <f>_xlfn.XLOOKUP(I556,Mapping!D:D,Mapping!E:E)</f>
        <v>Kiểm Soát Chất Lượng</v>
      </c>
      <c r="C556" s="167" t="str">
        <f>_xlfn.XLOOKUP(F556,Mapping!A:A,Mapping!F:F)</f>
        <v>BHXH, BHYT, KPCĐ</v>
      </c>
      <c r="D556" s="173">
        <v>46112</v>
      </c>
      <c r="E556" s="169" t="s">
        <v>1676</v>
      </c>
      <c r="F556" s="169" t="s">
        <v>393</v>
      </c>
      <c r="G556" s="169" t="s">
        <v>296</v>
      </c>
      <c r="H556" s="169" t="s">
        <v>411</v>
      </c>
      <c r="I556" s="169" t="s">
        <v>412</v>
      </c>
      <c r="J556" s="169" t="s">
        <v>1677</v>
      </c>
      <c r="K556" s="169" t="s">
        <v>1664</v>
      </c>
      <c r="L556" s="169" t="s">
        <v>534</v>
      </c>
      <c r="M556" s="169" t="s">
        <v>1453</v>
      </c>
      <c r="N556" s="178">
        <v>102195860</v>
      </c>
      <c r="O556" s="169" t="s">
        <v>1678</v>
      </c>
      <c r="P556" s="169" t="s">
        <v>283</v>
      </c>
      <c r="Q556" s="169" t="s">
        <v>284</v>
      </c>
      <c r="R556" s="169" t="s">
        <v>283</v>
      </c>
      <c r="S556" s="169" t="s">
        <v>283</v>
      </c>
      <c r="T556" s="169">
        <v>0</v>
      </c>
    </row>
    <row r="557" spans="1:20" hidden="1" x14ac:dyDescent="0.2">
      <c r="A557" s="169" t="str">
        <f t="shared" si="9"/>
        <v>627</v>
      </c>
      <c r="B557" s="167" t="str">
        <f>_xlfn.XLOOKUP(I557,Mapping!D:D,Mapping!E:E)</f>
        <v>Nghiên Cứu &amp; Phát Triển</v>
      </c>
      <c r="C557" s="167" t="str">
        <f>_xlfn.XLOOKUP(F557,Mapping!A:A,Mapping!F:F)</f>
        <v>BHXH, BHYT, KPCĐ</v>
      </c>
      <c r="D557" s="173">
        <v>46112</v>
      </c>
      <c r="E557" s="169" t="s">
        <v>1676</v>
      </c>
      <c r="F557" s="169" t="s">
        <v>393</v>
      </c>
      <c r="G557" s="169" t="s">
        <v>296</v>
      </c>
      <c r="H557" s="169" t="s">
        <v>418</v>
      </c>
      <c r="I557" s="169" t="s">
        <v>419</v>
      </c>
      <c r="J557" s="169" t="s">
        <v>1677</v>
      </c>
      <c r="K557" s="169" t="s">
        <v>1664</v>
      </c>
      <c r="L557" s="169" t="s">
        <v>534</v>
      </c>
      <c r="M557" s="169" t="s">
        <v>1453</v>
      </c>
      <c r="N557" s="178">
        <v>39368175</v>
      </c>
      <c r="O557" s="169" t="s">
        <v>1678</v>
      </c>
      <c r="P557" s="169" t="s">
        <v>283</v>
      </c>
      <c r="Q557" s="169" t="s">
        <v>284</v>
      </c>
      <c r="R557" s="169" t="s">
        <v>283</v>
      </c>
      <c r="S557" s="169" t="s">
        <v>283</v>
      </c>
      <c r="T557" s="169">
        <v>0</v>
      </c>
    </row>
    <row r="558" spans="1:20" hidden="1" x14ac:dyDescent="0.2">
      <c r="A558" s="169" t="str">
        <f t="shared" si="9"/>
        <v>622</v>
      </c>
      <c r="B558" s="167" t="str">
        <f>_xlfn.XLOOKUP(I558,Mapping!D:D,Mapping!E:E)</f>
        <v>Xưởng Sản Xuất</v>
      </c>
      <c r="C558" s="167" t="str">
        <f>_xlfn.XLOOKUP(F558,Mapping!A:A,Mapping!F:F)</f>
        <v>BHXH, BHYT, KPCĐ</v>
      </c>
      <c r="D558" s="173">
        <v>46112</v>
      </c>
      <c r="E558" s="169" t="s">
        <v>1676</v>
      </c>
      <c r="F558" s="169" t="s">
        <v>425</v>
      </c>
      <c r="G558" s="169" t="s">
        <v>296</v>
      </c>
      <c r="H558" s="169" t="s">
        <v>402</v>
      </c>
      <c r="I558" s="169" t="s">
        <v>403</v>
      </c>
      <c r="J558" s="169" t="s">
        <v>1677</v>
      </c>
      <c r="K558" s="169" t="s">
        <v>1664</v>
      </c>
      <c r="L558" s="169" t="s">
        <v>534</v>
      </c>
      <c r="M558" s="169" t="s">
        <v>1453</v>
      </c>
      <c r="N558" s="178">
        <v>219430400</v>
      </c>
      <c r="O558" s="169" t="s">
        <v>1678</v>
      </c>
      <c r="P558" s="169" t="s">
        <v>283</v>
      </c>
      <c r="Q558" s="169" t="s">
        <v>284</v>
      </c>
      <c r="R558" s="169" t="s">
        <v>283</v>
      </c>
      <c r="S558" s="169" t="s">
        <v>283</v>
      </c>
      <c r="T558" s="169">
        <v>0</v>
      </c>
    </row>
    <row r="559" spans="1:20" hidden="1" x14ac:dyDescent="0.2">
      <c r="A559" s="169" t="str">
        <f t="shared" si="9"/>
        <v>627</v>
      </c>
      <c r="B559" s="167" t="str">
        <f>_xlfn.XLOOKUP(I559,Mapping!D:D,Mapping!E:E)</f>
        <v>Xưởng Sản Xuất</v>
      </c>
      <c r="C559" s="167" t="str">
        <f>_xlfn.XLOOKUP(F559,Mapping!A:A,Mapping!F:F)</f>
        <v>BHXH, BHYT, KPCĐ</v>
      </c>
      <c r="D559" s="173">
        <v>46112</v>
      </c>
      <c r="E559" s="169" t="s">
        <v>1676</v>
      </c>
      <c r="F559" s="169" t="s">
        <v>393</v>
      </c>
      <c r="G559" s="169" t="s">
        <v>296</v>
      </c>
      <c r="H559" s="169" t="s">
        <v>402</v>
      </c>
      <c r="I559" s="169" t="s">
        <v>403</v>
      </c>
      <c r="J559" s="169" t="s">
        <v>1677</v>
      </c>
      <c r="K559" s="169" t="s">
        <v>1664</v>
      </c>
      <c r="L559" s="169" t="s">
        <v>534</v>
      </c>
      <c r="M559" s="169" t="s">
        <v>1453</v>
      </c>
      <c r="N559" s="178">
        <v>84224210</v>
      </c>
      <c r="O559" s="169" t="s">
        <v>1678</v>
      </c>
      <c r="P559" s="169" t="s">
        <v>283</v>
      </c>
      <c r="Q559" s="169" t="s">
        <v>284</v>
      </c>
      <c r="R559" s="169" t="s">
        <v>283</v>
      </c>
      <c r="S559" s="169" t="s">
        <v>283</v>
      </c>
      <c r="T559" s="169">
        <v>0</v>
      </c>
    </row>
    <row r="560" spans="1:20" hidden="1" x14ac:dyDescent="0.2">
      <c r="A560" s="169" t="str">
        <f t="shared" si="9"/>
        <v>627</v>
      </c>
      <c r="B560" s="167" t="str">
        <f>_xlfn.XLOOKUP(I560,Mapping!D:D,Mapping!E:E)</f>
        <v>Kỹ Thuật</v>
      </c>
      <c r="C560" s="167" t="str">
        <f>_xlfn.XLOOKUP(F560,Mapping!A:A,Mapping!F:F)</f>
        <v>BHXH, BHYT, KPCĐ</v>
      </c>
      <c r="D560" s="173">
        <v>46112</v>
      </c>
      <c r="E560" s="169" t="s">
        <v>1723</v>
      </c>
      <c r="F560" s="169" t="s">
        <v>393</v>
      </c>
      <c r="G560" s="169" t="s">
        <v>296</v>
      </c>
      <c r="H560" s="169" t="s">
        <v>376</v>
      </c>
      <c r="I560" s="169" t="s">
        <v>377</v>
      </c>
      <c r="J560" s="169" t="s">
        <v>1677</v>
      </c>
      <c r="K560" s="169" t="s">
        <v>1664</v>
      </c>
      <c r="L560" s="169" t="s">
        <v>534</v>
      </c>
      <c r="M560" s="169" t="s">
        <v>1453</v>
      </c>
      <c r="N560" s="178">
        <v>2037450</v>
      </c>
      <c r="O560" s="169" t="s">
        <v>1724</v>
      </c>
      <c r="P560" s="169" t="s">
        <v>283</v>
      </c>
      <c r="Q560" s="169" t="s">
        <v>284</v>
      </c>
      <c r="R560" s="169" t="s">
        <v>283</v>
      </c>
      <c r="S560" s="169" t="s">
        <v>283</v>
      </c>
      <c r="T560" s="169">
        <v>0</v>
      </c>
    </row>
    <row r="561" spans="1:20" hidden="1" x14ac:dyDescent="0.2">
      <c r="A561" s="169" t="str">
        <f t="shared" si="9"/>
        <v>622</v>
      </c>
      <c r="B561" s="167" t="str">
        <f>_xlfn.XLOOKUP(I561,Mapping!D:D,Mapping!E:E)</f>
        <v>Xưởng Sản Xuất</v>
      </c>
      <c r="C561" s="167" t="str">
        <f>_xlfn.XLOOKUP(F561,Mapping!A:A,Mapping!F:F)</f>
        <v>BHXH, BHYT, KPCĐ</v>
      </c>
      <c r="D561" s="173">
        <v>46112</v>
      </c>
      <c r="E561" s="169" t="s">
        <v>1832</v>
      </c>
      <c r="F561" s="169" t="s">
        <v>425</v>
      </c>
      <c r="G561" s="169" t="s">
        <v>296</v>
      </c>
      <c r="H561" s="169" t="s">
        <v>402</v>
      </c>
      <c r="I561" s="169" t="s">
        <v>403</v>
      </c>
      <c r="J561" s="169" t="s">
        <v>1833</v>
      </c>
      <c r="K561" s="169" t="s">
        <v>1664</v>
      </c>
      <c r="L561" s="169" t="s">
        <v>534</v>
      </c>
      <c r="M561" s="169" t="s">
        <v>1453</v>
      </c>
      <c r="N561" s="178">
        <v>2488315</v>
      </c>
      <c r="O561" s="169" t="s">
        <v>1834</v>
      </c>
      <c r="P561" s="169" t="s">
        <v>283</v>
      </c>
      <c r="Q561" s="169" t="s">
        <v>284</v>
      </c>
      <c r="R561" s="169" t="s">
        <v>283</v>
      </c>
      <c r="S561" s="169" t="s">
        <v>283</v>
      </c>
      <c r="T561" s="169">
        <v>0</v>
      </c>
    </row>
    <row r="562" spans="1:20" hidden="1" x14ac:dyDescent="0.2">
      <c r="A562" s="169" t="str">
        <f t="shared" si="9"/>
        <v>627</v>
      </c>
      <c r="B562" s="167" t="str">
        <f>_xlfn.XLOOKUP(I562,Mapping!D:D,Mapping!E:E)</f>
        <v>Kiểm Soát Chất Lượng</v>
      </c>
      <c r="C562" s="167" t="str">
        <f>_xlfn.XLOOKUP(F562,Mapping!A:A,Mapping!F:F)</f>
        <v>BHXH, BHYT, KPCĐ</v>
      </c>
      <c r="D562" s="173">
        <v>46112</v>
      </c>
      <c r="E562" s="169" t="s">
        <v>1832</v>
      </c>
      <c r="F562" s="169" t="s">
        <v>393</v>
      </c>
      <c r="G562" s="169" t="s">
        <v>296</v>
      </c>
      <c r="H562" s="169" t="s">
        <v>411</v>
      </c>
      <c r="I562" s="169" t="s">
        <v>412</v>
      </c>
      <c r="J562" s="169" t="s">
        <v>1833</v>
      </c>
      <c r="K562" s="169" t="s">
        <v>1664</v>
      </c>
      <c r="L562" s="169" t="s">
        <v>534</v>
      </c>
      <c r="M562" s="169" t="s">
        <v>1453</v>
      </c>
      <c r="N562" s="178">
        <v>812250</v>
      </c>
      <c r="O562" s="169" t="s">
        <v>1834</v>
      </c>
      <c r="P562" s="169" t="s">
        <v>283</v>
      </c>
      <c r="Q562" s="169" t="s">
        <v>284</v>
      </c>
      <c r="R562" s="169" t="s">
        <v>283</v>
      </c>
      <c r="S562" s="169" t="s">
        <v>283</v>
      </c>
      <c r="T562" s="169">
        <v>0</v>
      </c>
    </row>
    <row r="563" spans="1:20" hidden="1" x14ac:dyDescent="0.2">
      <c r="A563" s="169" t="str">
        <f t="shared" si="9"/>
        <v>627</v>
      </c>
      <c r="B563" s="167" t="str">
        <f>_xlfn.XLOOKUP(I563,Mapping!D:D,Mapping!E:E)</f>
        <v>Kỹ Thuật</v>
      </c>
      <c r="C563" s="167" t="str">
        <f>_xlfn.XLOOKUP(F563,Mapping!A:A,Mapping!F:F)</f>
        <v>BHXH, BHYT, KPCĐ</v>
      </c>
      <c r="D563" s="173">
        <v>46112</v>
      </c>
      <c r="E563" s="169" t="s">
        <v>1832</v>
      </c>
      <c r="F563" s="169" t="s">
        <v>393</v>
      </c>
      <c r="G563" s="169" t="s">
        <v>296</v>
      </c>
      <c r="H563" s="169" t="s">
        <v>376</v>
      </c>
      <c r="I563" s="169" t="s">
        <v>377</v>
      </c>
      <c r="J563" s="169" t="s">
        <v>1833</v>
      </c>
      <c r="K563" s="169" t="s">
        <v>1664</v>
      </c>
      <c r="L563" s="169" t="s">
        <v>534</v>
      </c>
      <c r="M563" s="169" t="s">
        <v>1453</v>
      </c>
      <c r="N563" s="178">
        <v>1193760</v>
      </c>
      <c r="O563" s="169" t="s">
        <v>1834</v>
      </c>
      <c r="P563" s="169" t="s">
        <v>283</v>
      </c>
      <c r="Q563" s="169" t="s">
        <v>284</v>
      </c>
      <c r="R563" s="169" t="s">
        <v>283</v>
      </c>
      <c r="S563" s="169" t="s">
        <v>283</v>
      </c>
      <c r="T563" s="169">
        <v>0</v>
      </c>
    </row>
    <row r="564" spans="1:20" hidden="1" x14ac:dyDescent="0.2">
      <c r="A564" s="169" t="str">
        <f t="shared" si="9"/>
        <v>641</v>
      </c>
      <c r="B564" s="167" t="str">
        <f>_xlfn.XLOOKUP(I564,Mapping!D:D,Mapping!E:E)</f>
        <v>Kinh doanh</v>
      </c>
      <c r="C564" s="167" t="str">
        <f>_xlfn.XLOOKUP(F564,Mapping!A:A,Mapping!F:F)</f>
        <v>Lương Chính +T13</v>
      </c>
      <c r="D564" s="173">
        <v>46101</v>
      </c>
      <c r="E564" s="169" t="s">
        <v>1906</v>
      </c>
      <c r="F564" s="169" t="s">
        <v>383</v>
      </c>
      <c r="G564" s="169" t="s">
        <v>275</v>
      </c>
      <c r="H564" s="169" t="s">
        <v>366</v>
      </c>
      <c r="I564" s="169" t="s">
        <v>1</v>
      </c>
      <c r="J564" s="169" t="s">
        <v>1907</v>
      </c>
      <c r="K564" s="169" t="s">
        <v>1347</v>
      </c>
      <c r="L564" s="169" t="s">
        <v>534</v>
      </c>
      <c r="M564" s="169" t="s">
        <v>1453</v>
      </c>
      <c r="N564" s="178">
        <v>104872000</v>
      </c>
      <c r="O564" s="169" t="s">
        <v>1908</v>
      </c>
      <c r="P564" s="169" t="s">
        <v>283</v>
      </c>
      <c r="Q564" s="169" t="s">
        <v>973</v>
      </c>
      <c r="R564" s="169" t="s">
        <v>283</v>
      </c>
      <c r="S564" s="169" t="s">
        <v>283</v>
      </c>
      <c r="T564" s="169">
        <v>0</v>
      </c>
    </row>
    <row r="565" spans="1:20" hidden="1" x14ac:dyDescent="0.2">
      <c r="A565" s="169" t="str">
        <f t="shared" si="9"/>
        <v>641</v>
      </c>
      <c r="B565" s="167" t="str">
        <f>_xlfn.XLOOKUP(I565,Mapping!D:D,Mapping!E:E)</f>
        <v>Kinh doanh</v>
      </c>
      <c r="C565" s="167" t="str">
        <f>_xlfn.XLOOKUP(F565,Mapping!A:A,Mapping!F:F)</f>
        <v>Lương Chính +T13</v>
      </c>
      <c r="D565" s="173">
        <v>46101</v>
      </c>
      <c r="E565" s="169" t="s">
        <v>1909</v>
      </c>
      <c r="F565" s="169" t="s">
        <v>383</v>
      </c>
      <c r="G565" s="169" t="s">
        <v>275</v>
      </c>
      <c r="H565" s="169" t="s">
        <v>366</v>
      </c>
      <c r="I565" s="169" t="s">
        <v>1</v>
      </c>
      <c r="J565" s="169" t="s">
        <v>1910</v>
      </c>
      <c r="K565" s="169" t="s">
        <v>1347</v>
      </c>
      <c r="L565" s="169" t="s">
        <v>534</v>
      </c>
      <c r="M565" s="169" t="s">
        <v>1453</v>
      </c>
      <c r="N565" s="178">
        <v>104872000</v>
      </c>
      <c r="O565" s="169" t="s">
        <v>1911</v>
      </c>
      <c r="P565" s="169" t="s">
        <v>283</v>
      </c>
      <c r="Q565" s="169" t="s">
        <v>973</v>
      </c>
      <c r="R565" s="169" t="s">
        <v>283</v>
      </c>
      <c r="S565" s="169" t="s">
        <v>283</v>
      </c>
      <c r="T565" s="169">
        <v>0</v>
      </c>
    </row>
    <row r="566" spans="1:20" hidden="1" x14ac:dyDescent="0.2">
      <c r="A566" s="169" t="str">
        <f t="shared" si="9"/>
        <v>641</v>
      </c>
      <c r="B566" s="167" t="str">
        <f>_xlfn.XLOOKUP(I566,Mapping!D:D,Mapping!E:E)</f>
        <v>Kinh doanh</v>
      </c>
      <c r="C566" s="167" t="str">
        <f>_xlfn.XLOOKUP(F566,Mapping!A:A,Mapping!F:F)</f>
        <v>Lương Chính +T13</v>
      </c>
      <c r="D566" s="173">
        <v>46101</v>
      </c>
      <c r="E566" s="169" t="s">
        <v>1912</v>
      </c>
      <c r="F566" s="169" t="s">
        <v>383</v>
      </c>
      <c r="G566" s="169" t="s">
        <v>275</v>
      </c>
      <c r="H566" s="169" t="s">
        <v>366</v>
      </c>
      <c r="I566" s="169" t="s">
        <v>1</v>
      </c>
      <c r="J566" s="169" t="s">
        <v>1913</v>
      </c>
      <c r="K566" s="169" t="s">
        <v>1347</v>
      </c>
      <c r="L566" s="169" t="s">
        <v>534</v>
      </c>
      <c r="M566" s="169" t="s">
        <v>1453</v>
      </c>
      <c r="N566" s="178">
        <v>104872000</v>
      </c>
      <c r="O566" s="169" t="s">
        <v>1914</v>
      </c>
      <c r="P566" s="169" t="s">
        <v>283</v>
      </c>
      <c r="Q566" s="169" t="s">
        <v>973</v>
      </c>
      <c r="R566" s="169" t="s">
        <v>283</v>
      </c>
      <c r="S566" s="169" t="s">
        <v>283</v>
      </c>
      <c r="T566" s="169">
        <v>0</v>
      </c>
    </row>
    <row r="567" spans="1:20" hidden="1" x14ac:dyDescent="0.2">
      <c r="A567" s="169" t="str">
        <f t="shared" si="9"/>
        <v>641</v>
      </c>
      <c r="B567" s="167" t="str">
        <f>_xlfn.XLOOKUP(I567,Mapping!D:D,Mapping!E:E)</f>
        <v>Kinh doanh</v>
      </c>
      <c r="C567" s="167" t="str">
        <f>_xlfn.XLOOKUP(F567,Mapping!A:A,Mapping!F:F)</f>
        <v>Lương Chính +T13</v>
      </c>
      <c r="D567" s="173">
        <v>46101</v>
      </c>
      <c r="E567" s="169" t="s">
        <v>1915</v>
      </c>
      <c r="F567" s="169" t="s">
        <v>383</v>
      </c>
      <c r="G567" s="169" t="s">
        <v>275</v>
      </c>
      <c r="H567" s="169" t="s">
        <v>366</v>
      </c>
      <c r="I567" s="169" t="s">
        <v>1</v>
      </c>
      <c r="J567" s="169" t="s">
        <v>1916</v>
      </c>
      <c r="K567" s="169" t="s">
        <v>1347</v>
      </c>
      <c r="L567" s="169" t="s">
        <v>534</v>
      </c>
      <c r="M567" s="169" t="s">
        <v>1453</v>
      </c>
      <c r="N567" s="178">
        <v>104872000</v>
      </c>
      <c r="O567" s="169" t="s">
        <v>1917</v>
      </c>
      <c r="P567" s="169" t="s">
        <v>283</v>
      </c>
      <c r="Q567" s="169" t="s">
        <v>973</v>
      </c>
      <c r="R567" s="169" t="s">
        <v>283</v>
      </c>
      <c r="S567" s="169" t="s">
        <v>283</v>
      </c>
      <c r="T567" s="169">
        <v>0</v>
      </c>
    </row>
    <row r="568" spans="1:20" hidden="1" x14ac:dyDescent="0.2">
      <c r="A568" s="169" t="str">
        <f t="shared" si="9"/>
        <v>641</v>
      </c>
      <c r="B568" s="167" t="str">
        <f>_xlfn.XLOOKUP(I568,Mapping!D:D,Mapping!E:E)</f>
        <v>Kinh doanh</v>
      </c>
      <c r="C568" s="167" t="str">
        <f>_xlfn.XLOOKUP(F568,Mapping!A:A,Mapping!F:F)</f>
        <v>Lương Chính +T13</v>
      </c>
      <c r="D568" s="173">
        <v>46101</v>
      </c>
      <c r="E568" s="169" t="s">
        <v>1918</v>
      </c>
      <c r="F568" s="169" t="s">
        <v>383</v>
      </c>
      <c r="G568" s="169" t="s">
        <v>275</v>
      </c>
      <c r="H568" s="169" t="s">
        <v>366</v>
      </c>
      <c r="I568" s="169" t="s">
        <v>1</v>
      </c>
      <c r="J568" s="169" t="s">
        <v>1907</v>
      </c>
      <c r="K568" s="169" t="s">
        <v>1347</v>
      </c>
      <c r="L568" s="169" t="s">
        <v>534</v>
      </c>
      <c r="M568" s="169" t="s">
        <v>1453</v>
      </c>
      <c r="N568" s="178">
        <v>-104872000</v>
      </c>
      <c r="O568" s="169" t="s">
        <v>1919</v>
      </c>
      <c r="P568" s="169" t="s">
        <v>447</v>
      </c>
      <c r="Q568" s="169" t="s">
        <v>284</v>
      </c>
      <c r="R568" s="169" t="s">
        <v>283</v>
      </c>
      <c r="S568" s="169" t="s">
        <v>283</v>
      </c>
      <c r="T568" s="169">
        <v>0</v>
      </c>
    </row>
    <row r="569" spans="1:20" hidden="1" x14ac:dyDescent="0.2">
      <c r="A569" s="169" t="str">
        <f t="shared" si="9"/>
        <v>641</v>
      </c>
      <c r="B569" s="167" t="str">
        <f>_xlfn.XLOOKUP(I569,Mapping!D:D,Mapping!E:E)</f>
        <v>Kinh doanh</v>
      </c>
      <c r="C569" s="167" t="str">
        <f>_xlfn.XLOOKUP(F569,Mapping!A:A,Mapping!F:F)</f>
        <v>Lương Chính +T13</v>
      </c>
      <c r="D569" s="173">
        <v>46101</v>
      </c>
      <c r="E569" s="169" t="s">
        <v>1920</v>
      </c>
      <c r="F569" s="169" t="s">
        <v>383</v>
      </c>
      <c r="G569" s="169" t="s">
        <v>275</v>
      </c>
      <c r="H569" s="169" t="s">
        <v>366</v>
      </c>
      <c r="I569" s="169" t="s">
        <v>1</v>
      </c>
      <c r="J569" s="169" t="s">
        <v>1910</v>
      </c>
      <c r="K569" s="169" t="s">
        <v>1347</v>
      </c>
      <c r="L569" s="169" t="s">
        <v>534</v>
      </c>
      <c r="M569" s="169" t="s">
        <v>1453</v>
      </c>
      <c r="N569" s="178">
        <v>-104872000</v>
      </c>
      <c r="O569" s="169" t="s">
        <v>1921</v>
      </c>
      <c r="P569" s="169" t="s">
        <v>447</v>
      </c>
      <c r="Q569" s="169" t="s">
        <v>284</v>
      </c>
      <c r="R569" s="169" t="s">
        <v>283</v>
      </c>
      <c r="S569" s="169" t="s">
        <v>283</v>
      </c>
      <c r="T569" s="169">
        <v>0</v>
      </c>
    </row>
    <row r="570" spans="1:20" hidden="1" x14ac:dyDescent="0.2">
      <c r="A570" s="169" t="str">
        <f t="shared" si="9"/>
        <v>641</v>
      </c>
      <c r="B570" s="167" t="str">
        <f>_xlfn.XLOOKUP(I570,Mapping!D:D,Mapping!E:E)</f>
        <v>Kinh doanh</v>
      </c>
      <c r="C570" s="167" t="str">
        <f>_xlfn.XLOOKUP(F570,Mapping!A:A,Mapping!F:F)</f>
        <v>Lương Chính +T13</v>
      </c>
      <c r="D570" s="173">
        <v>46101</v>
      </c>
      <c r="E570" s="169" t="s">
        <v>1922</v>
      </c>
      <c r="F570" s="169" t="s">
        <v>383</v>
      </c>
      <c r="G570" s="169" t="s">
        <v>275</v>
      </c>
      <c r="H570" s="169" t="s">
        <v>366</v>
      </c>
      <c r="I570" s="169" t="s">
        <v>1</v>
      </c>
      <c r="J570" s="169" t="s">
        <v>1913</v>
      </c>
      <c r="K570" s="169" t="s">
        <v>1347</v>
      </c>
      <c r="L570" s="169" t="s">
        <v>534</v>
      </c>
      <c r="M570" s="169" t="s">
        <v>1453</v>
      </c>
      <c r="N570" s="178">
        <v>-104872000</v>
      </c>
      <c r="O570" s="169" t="s">
        <v>1923</v>
      </c>
      <c r="P570" s="169" t="s">
        <v>447</v>
      </c>
      <c r="Q570" s="169" t="s">
        <v>284</v>
      </c>
      <c r="R570" s="169" t="s">
        <v>283</v>
      </c>
      <c r="S570" s="169" t="s">
        <v>283</v>
      </c>
      <c r="T570" s="169">
        <v>0</v>
      </c>
    </row>
    <row r="571" spans="1:20" hidden="1" x14ac:dyDescent="0.2">
      <c r="A571" s="169" t="str">
        <f t="shared" si="9"/>
        <v>641</v>
      </c>
      <c r="B571" s="167" t="str">
        <f>_xlfn.XLOOKUP(I571,Mapping!D:D,Mapping!E:E)</f>
        <v>Kinh doanh</v>
      </c>
      <c r="C571" s="167" t="str">
        <f>_xlfn.XLOOKUP(F571,Mapping!A:A,Mapping!F:F)</f>
        <v>Lương Chính +T13</v>
      </c>
      <c r="D571" s="173">
        <v>46101</v>
      </c>
      <c r="E571" s="169" t="s">
        <v>1924</v>
      </c>
      <c r="F571" s="169" t="s">
        <v>383</v>
      </c>
      <c r="G571" s="169" t="s">
        <v>275</v>
      </c>
      <c r="H571" s="169" t="s">
        <v>366</v>
      </c>
      <c r="I571" s="169" t="s">
        <v>1</v>
      </c>
      <c r="J571" s="169" t="s">
        <v>1916</v>
      </c>
      <c r="K571" s="169" t="s">
        <v>1347</v>
      </c>
      <c r="L571" s="169" t="s">
        <v>534</v>
      </c>
      <c r="M571" s="169" t="s">
        <v>1453</v>
      </c>
      <c r="N571" s="178">
        <v>-104872000</v>
      </c>
      <c r="O571" s="169" t="s">
        <v>1925</v>
      </c>
      <c r="P571" s="169" t="s">
        <v>447</v>
      </c>
      <c r="Q571" s="169" t="s">
        <v>284</v>
      </c>
      <c r="R571" s="169" t="s">
        <v>283</v>
      </c>
      <c r="S571" s="169" t="s">
        <v>283</v>
      </c>
      <c r="T571" s="169">
        <v>0</v>
      </c>
    </row>
    <row r="572" spans="1:20" hidden="1" x14ac:dyDescent="0.2">
      <c r="A572" s="169" t="str">
        <f t="shared" si="9"/>
        <v>641</v>
      </c>
      <c r="B572" s="167" t="str">
        <f>_xlfn.XLOOKUP(I572,Mapping!D:D,Mapping!E:E)</f>
        <v>Kinh doanh</v>
      </c>
      <c r="C572" s="167" t="str">
        <f>_xlfn.XLOOKUP(F572,Mapping!A:A,Mapping!F:F)</f>
        <v>Lương Chính +T13</v>
      </c>
      <c r="D572" s="173">
        <v>46112</v>
      </c>
      <c r="E572" s="169" t="s">
        <v>1926</v>
      </c>
      <c r="F572" s="169" t="s">
        <v>383</v>
      </c>
      <c r="G572" s="169" t="s">
        <v>275</v>
      </c>
      <c r="H572" s="169" t="s">
        <v>366</v>
      </c>
      <c r="I572" s="169" t="s">
        <v>1</v>
      </c>
      <c r="J572" s="169" t="s">
        <v>1907</v>
      </c>
      <c r="K572" s="169" t="s">
        <v>1347</v>
      </c>
      <c r="L572" s="169" t="s">
        <v>534</v>
      </c>
      <c r="M572" s="169" t="s">
        <v>1453</v>
      </c>
      <c r="N572" s="178">
        <v>104872000</v>
      </c>
      <c r="O572" s="169" t="s">
        <v>1927</v>
      </c>
      <c r="P572" s="169" t="s">
        <v>283</v>
      </c>
      <c r="Q572" s="169" t="s">
        <v>973</v>
      </c>
      <c r="R572" s="169" t="s">
        <v>283</v>
      </c>
      <c r="S572" s="169" t="s">
        <v>283</v>
      </c>
      <c r="T572" s="169">
        <v>0</v>
      </c>
    </row>
    <row r="573" spans="1:20" hidden="1" x14ac:dyDescent="0.2">
      <c r="A573" s="169" t="str">
        <f t="shared" si="9"/>
        <v>641</v>
      </c>
      <c r="B573" s="167" t="str">
        <f>_xlfn.XLOOKUP(I573,Mapping!D:D,Mapping!E:E)</f>
        <v>Kinh doanh</v>
      </c>
      <c r="C573" s="167" t="str">
        <f>_xlfn.XLOOKUP(F573,Mapping!A:A,Mapping!F:F)</f>
        <v>Lương Chính +T13</v>
      </c>
      <c r="D573" s="173">
        <v>46112</v>
      </c>
      <c r="E573" s="169" t="s">
        <v>1928</v>
      </c>
      <c r="F573" s="169" t="s">
        <v>383</v>
      </c>
      <c r="G573" s="169" t="s">
        <v>275</v>
      </c>
      <c r="H573" s="169" t="s">
        <v>366</v>
      </c>
      <c r="I573" s="169" t="s">
        <v>1</v>
      </c>
      <c r="J573" s="169" t="s">
        <v>1910</v>
      </c>
      <c r="K573" s="169" t="s">
        <v>1347</v>
      </c>
      <c r="L573" s="169" t="s">
        <v>534</v>
      </c>
      <c r="M573" s="169" t="s">
        <v>1453</v>
      </c>
      <c r="N573" s="178">
        <v>104872000</v>
      </c>
      <c r="O573" s="169" t="s">
        <v>1929</v>
      </c>
      <c r="P573" s="169" t="s">
        <v>283</v>
      </c>
      <c r="Q573" s="169" t="s">
        <v>973</v>
      </c>
      <c r="R573" s="169" t="s">
        <v>283</v>
      </c>
      <c r="S573" s="169" t="s">
        <v>283</v>
      </c>
      <c r="T573" s="169">
        <v>0</v>
      </c>
    </row>
    <row r="574" spans="1:20" hidden="1" x14ac:dyDescent="0.2">
      <c r="A574" s="169" t="str">
        <f t="shared" si="9"/>
        <v>641</v>
      </c>
      <c r="B574" s="167" t="str">
        <f>_xlfn.XLOOKUP(I574,Mapping!D:D,Mapping!E:E)</f>
        <v>Kinh doanh</v>
      </c>
      <c r="C574" s="167" t="str">
        <f>_xlfn.XLOOKUP(F574,Mapping!A:A,Mapping!F:F)</f>
        <v>Lương Chính +T13</v>
      </c>
      <c r="D574" s="173">
        <v>46112</v>
      </c>
      <c r="E574" s="169" t="s">
        <v>1930</v>
      </c>
      <c r="F574" s="169" t="s">
        <v>383</v>
      </c>
      <c r="G574" s="169" t="s">
        <v>275</v>
      </c>
      <c r="H574" s="169" t="s">
        <v>366</v>
      </c>
      <c r="I574" s="169" t="s">
        <v>1</v>
      </c>
      <c r="J574" s="169" t="s">
        <v>1913</v>
      </c>
      <c r="K574" s="169" t="s">
        <v>1347</v>
      </c>
      <c r="L574" s="169" t="s">
        <v>534</v>
      </c>
      <c r="M574" s="169" t="s">
        <v>1453</v>
      </c>
      <c r="N574" s="178">
        <v>104872000</v>
      </c>
      <c r="O574" s="169" t="s">
        <v>1931</v>
      </c>
      <c r="P574" s="169" t="s">
        <v>283</v>
      </c>
      <c r="Q574" s="169" t="s">
        <v>973</v>
      </c>
      <c r="R574" s="169" t="s">
        <v>283</v>
      </c>
      <c r="S574" s="169" t="s">
        <v>283</v>
      </c>
      <c r="T574" s="169">
        <v>0</v>
      </c>
    </row>
    <row r="575" spans="1:20" hidden="1" x14ac:dyDescent="0.2">
      <c r="A575" s="169" t="str">
        <f t="shared" si="9"/>
        <v>641</v>
      </c>
      <c r="B575" s="167" t="str">
        <f>_xlfn.XLOOKUP(I575,Mapping!D:D,Mapping!E:E)</f>
        <v>Kinh doanh</v>
      </c>
      <c r="C575" s="167" t="str">
        <f>_xlfn.XLOOKUP(F575,Mapping!A:A,Mapping!F:F)</f>
        <v>Lương Chính +T13</v>
      </c>
      <c r="D575" s="173">
        <v>46112</v>
      </c>
      <c r="E575" s="169" t="s">
        <v>1932</v>
      </c>
      <c r="F575" s="169" t="s">
        <v>383</v>
      </c>
      <c r="G575" s="169" t="s">
        <v>275</v>
      </c>
      <c r="H575" s="169" t="s">
        <v>366</v>
      </c>
      <c r="I575" s="169" t="s">
        <v>1</v>
      </c>
      <c r="J575" s="169" t="s">
        <v>1916</v>
      </c>
      <c r="K575" s="169" t="s">
        <v>1347</v>
      </c>
      <c r="L575" s="169" t="s">
        <v>534</v>
      </c>
      <c r="M575" s="169" t="s">
        <v>1453</v>
      </c>
      <c r="N575" s="178">
        <v>104872000</v>
      </c>
      <c r="O575" s="169" t="s">
        <v>1933</v>
      </c>
      <c r="P575" s="169" t="s">
        <v>283</v>
      </c>
      <c r="Q575" s="169" t="s">
        <v>973</v>
      </c>
      <c r="R575" s="169" t="s">
        <v>283</v>
      </c>
      <c r="S575" s="169" t="s">
        <v>283</v>
      </c>
      <c r="T575" s="169">
        <v>0</v>
      </c>
    </row>
    <row r="576" spans="1:20" hidden="1" x14ac:dyDescent="0.2">
      <c r="A576" s="169" t="str">
        <f t="shared" si="9"/>
        <v>622</v>
      </c>
      <c r="B576" s="167" t="str">
        <f>_xlfn.XLOOKUP(I576,Mapping!D:D,Mapping!E:E)</f>
        <v>Xưởng Sản Xuất</v>
      </c>
      <c r="C576" s="167" t="str">
        <f>_xlfn.XLOOKUP(F576,Mapping!A:A,Mapping!F:F)</f>
        <v>Phụ Cấp</v>
      </c>
      <c r="D576" s="173">
        <v>46112</v>
      </c>
      <c r="E576" s="169" t="s">
        <v>1725</v>
      </c>
      <c r="F576" s="169" t="s">
        <v>414</v>
      </c>
      <c r="G576" s="169" t="s">
        <v>415</v>
      </c>
      <c r="H576" s="169" t="s">
        <v>402</v>
      </c>
      <c r="I576" s="169" t="s">
        <v>403</v>
      </c>
      <c r="J576" s="169" t="s">
        <v>1934</v>
      </c>
      <c r="K576" s="169" t="s">
        <v>1727</v>
      </c>
      <c r="L576" s="169" t="s">
        <v>534</v>
      </c>
      <c r="M576" s="169" t="s">
        <v>1453</v>
      </c>
      <c r="N576" s="178">
        <v>48879000</v>
      </c>
      <c r="O576" s="169" t="s">
        <v>1728</v>
      </c>
      <c r="P576" s="169" t="s">
        <v>283</v>
      </c>
      <c r="Q576" s="169" t="s">
        <v>306</v>
      </c>
      <c r="R576" s="169" t="s">
        <v>283</v>
      </c>
      <c r="S576" s="169" t="s">
        <v>283</v>
      </c>
      <c r="T576" s="169">
        <v>0</v>
      </c>
    </row>
    <row r="577" spans="1:20" hidden="1" x14ac:dyDescent="0.2">
      <c r="A577" s="169" t="str">
        <f t="shared" si="9"/>
        <v>627</v>
      </c>
      <c r="B577" s="167" t="str">
        <f>_xlfn.XLOOKUP(I577,Mapping!D:D,Mapping!E:E)</f>
        <v>Kỹ Thuật</v>
      </c>
      <c r="C577" s="167" t="str">
        <f>_xlfn.XLOOKUP(F577,Mapping!A:A,Mapping!F:F)</f>
        <v>Phụ Cấp</v>
      </c>
      <c r="D577" s="173">
        <v>46112</v>
      </c>
      <c r="E577" s="169" t="s">
        <v>1725</v>
      </c>
      <c r="F577" s="169" t="s">
        <v>375</v>
      </c>
      <c r="G577" s="169" t="s">
        <v>336</v>
      </c>
      <c r="H577" s="169" t="s">
        <v>376</v>
      </c>
      <c r="I577" s="169" t="s">
        <v>377</v>
      </c>
      <c r="J577" s="169" t="s">
        <v>1935</v>
      </c>
      <c r="K577" s="169" t="s">
        <v>1727</v>
      </c>
      <c r="L577" s="169" t="s">
        <v>534</v>
      </c>
      <c r="M577" s="169" t="s">
        <v>1453</v>
      </c>
      <c r="N577" s="178">
        <v>21574893</v>
      </c>
      <c r="O577" s="169" t="s">
        <v>1728</v>
      </c>
      <c r="P577" s="169" t="s">
        <v>283</v>
      </c>
      <c r="Q577" s="169" t="s">
        <v>306</v>
      </c>
      <c r="R577" s="169" t="s">
        <v>283</v>
      </c>
      <c r="S577" s="169" t="s">
        <v>283</v>
      </c>
      <c r="T577" s="169">
        <v>0</v>
      </c>
    </row>
    <row r="578" spans="1:20" hidden="1" x14ac:dyDescent="0.2">
      <c r="A578" s="169" t="str">
        <f t="shared" si="9"/>
        <v>627</v>
      </c>
      <c r="B578" s="167" t="str">
        <f>_xlfn.XLOOKUP(I578,Mapping!D:D,Mapping!E:E)</f>
        <v>Kiểm Soát Chất Lượng</v>
      </c>
      <c r="C578" s="167" t="str">
        <f>_xlfn.XLOOKUP(F578,Mapping!A:A,Mapping!F:F)</f>
        <v>Phụ Cấp</v>
      </c>
      <c r="D578" s="173">
        <v>46112</v>
      </c>
      <c r="E578" s="169" t="s">
        <v>1725</v>
      </c>
      <c r="F578" s="169" t="s">
        <v>375</v>
      </c>
      <c r="G578" s="169" t="s">
        <v>336</v>
      </c>
      <c r="H578" s="169" t="s">
        <v>411</v>
      </c>
      <c r="I578" s="169" t="s">
        <v>412</v>
      </c>
      <c r="J578" s="169" t="s">
        <v>1936</v>
      </c>
      <c r="K578" s="169" t="s">
        <v>1727</v>
      </c>
      <c r="L578" s="169" t="s">
        <v>534</v>
      </c>
      <c r="M578" s="169" t="s">
        <v>1453</v>
      </c>
      <c r="N578" s="178">
        <v>10601379</v>
      </c>
      <c r="O578" s="169" t="s">
        <v>1728</v>
      </c>
      <c r="P578" s="169" t="s">
        <v>283</v>
      </c>
      <c r="Q578" s="169" t="s">
        <v>306</v>
      </c>
      <c r="R578" s="169" t="s">
        <v>283</v>
      </c>
      <c r="S578" s="169" t="s">
        <v>283</v>
      </c>
      <c r="T578" s="169">
        <v>0</v>
      </c>
    </row>
    <row r="579" spans="1:20" hidden="1" x14ac:dyDescent="0.2">
      <c r="A579" s="169" t="str">
        <f t="shared" si="9"/>
        <v>622</v>
      </c>
      <c r="B579" s="167" t="str">
        <f>_xlfn.XLOOKUP(I579,Mapping!D:D,Mapping!E:E)</f>
        <v>Xưởng Sản Xuất</v>
      </c>
      <c r="C579" s="167" t="str">
        <f>_xlfn.XLOOKUP(F579,Mapping!A:A,Mapping!F:F)</f>
        <v>Phụ Cấp</v>
      </c>
      <c r="D579" s="173">
        <v>46112</v>
      </c>
      <c r="E579" s="169" t="s">
        <v>1937</v>
      </c>
      <c r="F579" s="169" t="s">
        <v>414</v>
      </c>
      <c r="G579" s="169" t="s">
        <v>415</v>
      </c>
      <c r="H579" s="169" t="s">
        <v>402</v>
      </c>
      <c r="I579" s="169" t="s">
        <v>403</v>
      </c>
      <c r="J579" s="169" t="s">
        <v>416</v>
      </c>
      <c r="K579" s="169" t="s">
        <v>416</v>
      </c>
      <c r="L579" s="169" t="s">
        <v>534</v>
      </c>
      <c r="M579" s="169" t="s">
        <v>1453</v>
      </c>
      <c r="N579" s="178">
        <v>99764000</v>
      </c>
      <c r="O579" s="169" t="s">
        <v>1938</v>
      </c>
      <c r="P579" s="169" t="s">
        <v>283</v>
      </c>
      <c r="Q579" s="169" t="s">
        <v>348</v>
      </c>
      <c r="R579" s="169" t="s">
        <v>283</v>
      </c>
      <c r="S579" s="169" t="s">
        <v>283</v>
      </c>
      <c r="T579" s="169">
        <v>0</v>
      </c>
    </row>
    <row r="580" spans="1:20" hidden="1" x14ac:dyDescent="0.2">
      <c r="A580" s="169" t="str">
        <f t="shared" si="9"/>
        <v>627</v>
      </c>
      <c r="B580" s="167" t="str">
        <f>_xlfn.XLOOKUP(I580,Mapping!D:D,Mapping!E:E)</f>
        <v>Xưởng Sản Xuất</v>
      </c>
      <c r="C580" s="167" t="str">
        <f>_xlfn.XLOOKUP(F580,Mapping!A:A,Mapping!F:F)</f>
        <v>Phụ Cấp</v>
      </c>
      <c r="D580" s="173">
        <v>46112</v>
      </c>
      <c r="E580" s="169" t="s">
        <v>1937</v>
      </c>
      <c r="F580" s="169" t="s">
        <v>375</v>
      </c>
      <c r="G580" s="169" t="s">
        <v>336</v>
      </c>
      <c r="H580" s="169" t="s">
        <v>402</v>
      </c>
      <c r="I580" s="169" t="s">
        <v>403</v>
      </c>
      <c r="J580" s="169" t="s">
        <v>416</v>
      </c>
      <c r="K580" s="169" t="s">
        <v>416</v>
      </c>
      <c r="L580" s="169" t="s">
        <v>534</v>
      </c>
      <c r="M580" s="169" t="s">
        <v>1453</v>
      </c>
      <c r="N580" s="178">
        <v>-99764000</v>
      </c>
      <c r="O580" s="169" t="s">
        <v>1938</v>
      </c>
      <c r="P580" s="169" t="s">
        <v>283</v>
      </c>
      <c r="Q580" s="169" t="s">
        <v>348</v>
      </c>
      <c r="R580" s="169" t="s">
        <v>283</v>
      </c>
      <c r="S580" s="169" t="s">
        <v>283</v>
      </c>
      <c r="T580" s="169">
        <v>0</v>
      </c>
    </row>
    <row r="581" spans="1:20" hidden="1" x14ac:dyDescent="0.2">
      <c r="A581" s="169" t="str">
        <f t="shared" si="9"/>
        <v>627</v>
      </c>
      <c r="B581" s="167" t="str">
        <f>_xlfn.XLOOKUP(I581,Mapping!D:D,Mapping!E:E)</f>
        <v>Xưởng Sản Xuất</v>
      </c>
      <c r="C581" s="167" t="str">
        <f>_xlfn.XLOOKUP(F581,Mapping!A:A,Mapping!F:F)</f>
        <v>Phụ Cấp</v>
      </c>
      <c r="D581" s="173">
        <v>46101</v>
      </c>
      <c r="E581" s="169" t="s">
        <v>1679</v>
      </c>
      <c r="F581" s="169" t="s">
        <v>375</v>
      </c>
      <c r="G581" s="169" t="s">
        <v>336</v>
      </c>
      <c r="H581" s="169" t="s">
        <v>430</v>
      </c>
      <c r="I581" s="169" t="s">
        <v>431</v>
      </c>
      <c r="J581" s="169" t="s">
        <v>1680</v>
      </c>
      <c r="K581" s="169" t="s">
        <v>992</v>
      </c>
      <c r="L581" s="169" t="s">
        <v>534</v>
      </c>
      <c r="M581" s="169" t="s">
        <v>1453</v>
      </c>
      <c r="N581" s="178">
        <v>16352000</v>
      </c>
      <c r="O581" s="169" t="s">
        <v>1681</v>
      </c>
      <c r="P581" s="169" t="s">
        <v>283</v>
      </c>
      <c r="Q581" s="169" t="s">
        <v>306</v>
      </c>
      <c r="R581" s="169" t="s">
        <v>283</v>
      </c>
      <c r="S581" s="169" t="s">
        <v>283</v>
      </c>
      <c r="T581" s="169">
        <v>0</v>
      </c>
    </row>
    <row r="582" spans="1:20" hidden="1" x14ac:dyDescent="0.2">
      <c r="A582" s="169" t="str">
        <f t="shared" si="9"/>
        <v>627</v>
      </c>
      <c r="B582" s="167" t="str">
        <f>_xlfn.XLOOKUP(I582,Mapping!D:D,Mapping!E:E)</f>
        <v>Xưởng Sản Xuất</v>
      </c>
      <c r="C582" s="167" t="str">
        <f>_xlfn.XLOOKUP(F582,Mapping!A:A,Mapping!F:F)</f>
        <v>Phụ Cấp</v>
      </c>
      <c r="D582" s="173">
        <v>46111</v>
      </c>
      <c r="E582" s="169" t="s">
        <v>1682</v>
      </c>
      <c r="F582" s="169" t="s">
        <v>375</v>
      </c>
      <c r="G582" s="169" t="s">
        <v>336</v>
      </c>
      <c r="H582" s="169" t="s">
        <v>430</v>
      </c>
      <c r="I582" s="169" t="s">
        <v>431</v>
      </c>
      <c r="J582" s="169" t="s">
        <v>1683</v>
      </c>
      <c r="K582" s="169" t="s">
        <v>741</v>
      </c>
      <c r="L582" s="169" t="s">
        <v>534</v>
      </c>
      <c r="M582" s="169" t="s">
        <v>1453</v>
      </c>
      <c r="N582" s="178">
        <v>9156000</v>
      </c>
      <c r="O582" s="169" t="s">
        <v>1684</v>
      </c>
      <c r="P582" s="169" t="s">
        <v>283</v>
      </c>
      <c r="Q582" s="169" t="s">
        <v>306</v>
      </c>
      <c r="R582" s="169" t="s">
        <v>283</v>
      </c>
      <c r="S582" s="169" t="s">
        <v>283</v>
      </c>
      <c r="T582" s="169">
        <v>0</v>
      </c>
    </row>
    <row r="583" spans="1:20" hidden="1" x14ac:dyDescent="0.2">
      <c r="A583" s="169" t="str">
        <f t="shared" si="9"/>
        <v>622</v>
      </c>
      <c r="B583" s="167" t="str">
        <f>_xlfn.XLOOKUP(I583,Mapping!D:D,Mapping!E:E)</f>
        <v>Xưởng Sản Xuất</v>
      </c>
      <c r="C583" s="167" t="str">
        <f>_xlfn.XLOOKUP(F583,Mapping!A:A,Mapping!F:F)</f>
        <v>Lương Chính +T13</v>
      </c>
      <c r="D583" s="173">
        <v>46112</v>
      </c>
      <c r="E583" s="169" t="s">
        <v>1939</v>
      </c>
      <c r="F583" s="169" t="s">
        <v>400</v>
      </c>
      <c r="G583" s="169" t="s">
        <v>401</v>
      </c>
      <c r="H583" s="169" t="s">
        <v>430</v>
      </c>
      <c r="I583" s="169" t="s">
        <v>431</v>
      </c>
      <c r="J583" s="169" t="s">
        <v>1663</v>
      </c>
      <c r="K583" s="169" t="s">
        <v>1664</v>
      </c>
      <c r="L583" s="169" t="s">
        <v>534</v>
      </c>
      <c r="M583" s="169" t="s">
        <v>1453</v>
      </c>
      <c r="N583" s="178">
        <v>257156376</v>
      </c>
      <c r="O583" s="169" t="s">
        <v>1940</v>
      </c>
      <c r="P583" s="169" t="s">
        <v>283</v>
      </c>
      <c r="Q583" s="169" t="s">
        <v>284</v>
      </c>
      <c r="R583" s="169" t="s">
        <v>283</v>
      </c>
      <c r="S583" s="169" t="s">
        <v>283</v>
      </c>
      <c r="T583" s="169">
        <v>0</v>
      </c>
    </row>
    <row r="584" spans="1:20" hidden="1" x14ac:dyDescent="0.2">
      <c r="A584" s="169" t="str">
        <f t="shared" si="9"/>
        <v>622</v>
      </c>
      <c r="B584" s="167" t="str">
        <f>_xlfn.XLOOKUP(I584,Mapping!D:D,Mapping!E:E)</f>
        <v>Xưởng Sản Xuất</v>
      </c>
      <c r="C584" s="167" t="str">
        <f>_xlfn.XLOOKUP(F584,Mapping!A:A,Mapping!F:F)</f>
        <v>Lương Chính +T13</v>
      </c>
      <c r="D584" s="173">
        <v>46112</v>
      </c>
      <c r="E584" s="169" t="s">
        <v>1941</v>
      </c>
      <c r="F584" s="169" t="s">
        <v>420</v>
      </c>
      <c r="G584" s="169" t="s">
        <v>286</v>
      </c>
      <c r="H584" s="169" t="s">
        <v>430</v>
      </c>
      <c r="I584" s="169" t="s">
        <v>431</v>
      </c>
      <c r="J584" s="169" t="s">
        <v>1663</v>
      </c>
      <c r="K584" s="169" t="s">
        <v>1664</v>
      </c>
      <c r="L584" s="169" t="s">
        <v>534</v>
      </c>
      <c r="M584" s="169" t="s">
        <v>1453</v>
      </c>
      <c r="N584" s="178">
        <v>855422</v>
      </c>
      <c r="O584" s="169" t="s">
        <v>1942</v>
      </c>
      <c r="P584" s="169" t="s">
        <v>283</v>
      </c>
      <c r="Q584" s="169" t="s">
        <v>284</v>
      </c>
      <c r="R584" s="169" t="s">
        <v>283</v>
      </c>
      <c r="S584" s="169" t="s">
        <v>283</v>
      </c>
      <c r="T584" s="169">
        <v>0</v>
      </c>
    </row>
    <row r="585" spans="1:20" hidden="1" x14ac:dyDescent="0.2">
      <c r="A585" s="169" t="str">
        <f t="shared" si="9"/>
        <v>622</v>
      </c>
      <c r="B585" s="167" t="str">
        <f>_xlfn.XLOOKUP(I585,Mapping!D:D,Mapping!E:E)</f>
        <v>Xưởng Sản Xuất</v>
      </c>
      <c r="C585" s="167" t="str">
        <f>_xlfn.XLOOKUP(F585,Mapping!A:A,Mapping!F:F)</f>
        <v>Phụ Cấp</v>
      </c>
      <c r="D585" s="173">
        <v>46112</v>
      </c>
      <c r="E585" s="169" t="s">
        <v>1943</v>
      </c>
      <c r="F585" s="169" t="s">
        <v>421</v>
      </c>
      <c r="G585" s="169" t="s">
        <v>341</v>
      </c>
      <c r="H585" s="169" t="s">
        <v>430</v>
      </c>
      <c r="I585" s="169" t="s">
        <v>431</v>
      </c>
      <c r="J585" s="169" t="s">
        <v>1663</v>
      </c>
      <c r="K585" s="169" t="s">
        <v>1664</v>
      </c>
      <c r="L585" s="169" t="s">
        <v>534</v>
      </c>
      <c r="M585" s="169" t="s">
        <v>1453</v>
      </c>
      <c r="N585" s="178">
        <v>22215125</v>
      </c>
      <c r="O585" s="169" t="s">
        <v>1944</v>
      </c>
      <c r="P585" s="169" t="s">
        <v>283</v>
      </c>
      <c r="Q585" s="169" t="s">
        <v>284</v>
      </c>
      <c r="R585" s="169" t="s">
        <v>283</v>
      </c>
      <c r="S585" s="169" t="s">
        <v>283</v>
      </c>
      <c r="T585" s="169">
        <v>0</v>
      </c>
    </row>
    <row r="586" spans="1:20" hidden="1" x14ac:dyDescent="0.2">
      <c r="A586" s="169" t="str">
        <f t="shared" si="9"/>
        <v>622</v>
      </c>
      <c r="B586" s="167" t="str">
        <f>_xlfn.XLOOKUP(I586,Mapping!D:D,Mapping!E:E)</f>
        <v>Xưởng Sản Xuất</v>
      </c>
      <c r="C586" s="167" t="str">
        <f>_xlfn.XLOOKUP(F586,Mapping!A:A,Mapping!F:F)</f>
        <v>Lương Ngoài giờ</v>
      </c>
      <c r="D586" s="173">
        <v>46112</v>
      </c>
      <c r="E586" s="169" t="s">
        <v>1945</v>
      </c>
      <c r="F586" s="169" t="s">
        <v>422</v>
      </c>
      <c r="G586" s="169" t="s">
        <v>423</v>
      </c>
      <c r="H586" s="169" t="s">
        <v>430</v>
      </c>
      <c r="I586" s="169" t="s">
        <v>431</v>
      </c>
      <c r="J586" s="169" t="s">
        <v>1663</v>
      </c>
      <c r="K586" s="169" t="s">
        <v>1664</v>
      </c>
      <c r="L586" s="169" t="s">
        <v>534</v>
      </c>
      <c r="M586" s="169" t="s">
        <v>1453</v>
      </c>
      <c r="N586" s="178">
        <v>52736748</v>
      </c>
      <c r="O586" s="169" t="s">
        <v>1946</v>
      </c>
      <c r="P586" s="169" t="s">
        <v>283</v>
      </c>
      <c r="Q586" s="169" t="s">
        <v>284</v>
      </c>
      <c r="R586" s="169" t="s">
        <v>283</v>
      </c>
      <c r="S586" s="169" t="s">
        <v>283</v>
      </c>
      <c r="T586" s="169">
        <v>0</v>
      </c>
    </row>
    <row r="587" spans="1:20" hidden="1" x14ac:dyDescent="0.2">
      <c r="A587" s="169" t="str">
        <f t="shared" si="9"/>
        <v>622</v>
      </c>
      <c r="B587" s="167" t="str">
        <f>_xlfn.XLOOKUP(I587,Mapping!D:D,Mapping!E:E)</f>
        <v>Xưởng Sản Xuất</v>
      </c>
      <c r="C587" s="167" t="str">
        <f>_xlfn.XLOOKUP(F587,Mapping!A:A,Mapping!F:F)</f>
        <v>Phụ Cấp</v>
      </c>
      <c r="D587" s="173">
        <v>46112</v>
      </c>
      <c r="E587" s="169" t="s">
        <v>1947</v>
      </c>
      <c r="F587" s="169" t="s">
        <v>414</v>
      </c>
      <c r="G587" s="169" t="s">
        <v>415</v>
      </c>
      <c r="H587" s="169" t="s">
        <v>430</v>
      </c>
      <c r="I587" s="169" t="s">
        <v>431</v>
      </c>
      <c r="J587" s="169" t="s">
        <v>1663</v>
      </c>
      <c r="K587" s="169" t="s">
        <v>1664</v>
      </c>
      <c r="L587" s="169" t="s">
        <v>534</v>
      </c>
      <c r="M587" s="169" t="s">
        <v>1453</v>
      </c>
      <c r="N587" s="178">
        <v>630000</v>
      </c>
      <c r="O587" s="169" t="s">
        <v>1948</v>
      </c>
      <c r="P587" s="169" t="s">
        <v>283</v>
      </c>
      <c r="Q587" s="169" t="s">
        <v>284</v>
      </c>
      <c r="R587" s="169" t="s">
        <v>283</v>
      </c>
      <c r="S587" s="169" t="s">
        <v>283</v>
      </c>
      <c r="T587" s="169">
        <v>0</v>
      </c>
    </row>
    <row r="588" spans="1:20" hidden="1" x14ac:dyDescent="0.2">
      <c r="A588" s="169" t="str">
        <f t="shared" si="9"/>
        <v>627</v>
      </c>
      <c r="B588" s="167" t="str">
        <f>_xlfn.XLOOKUP(I588,Mapping!D:D,Mapping!E:E)</f>
        <v>Xưởng Sản Xuất</v>
      </c>
      <c r="C588" s="167" t="str">
        <f>_xlfn.XLOOKUP(F588,Mapping!A:A,Mapping!F:F)</f>
        <v>Phụ Cấp</v>
      </c>
      <c r="D588" s="173">
        <v>46112</v>
      </c>
      <c r="E588" s="169" t="s">
        <v>1949</v>
      </c>
      <c r="F588" s="169" t="s">
        <v>386</v>
      </c>
      <c r="G588" s="169" t="s">
        <v>341</v>
      </c>
      <c r="H588" s="169" t="s">
        <v>430</v>
      </c>
      <c r="I588" s="169" t="s">
        <v>431</v>
      </c>
      <c r="J588" s="169" t="s">
        <v>1663</v>
      </c>
      <c r="K588" s="169" t="s">
        <v>1664</v>
      </c>
      <c r="L588" s="169" t="s">
        <v>534</v>
      </c>
      <c r="M588" s="169" t="s">
        <v>1453</v>
      </c>
      <c r="N588" s="178">
        <v>9278489</v>
      </c>
      <c r="O588" s="169" t="s">
        <v>1950</v>
      </c>
      <c r="P588" s="169" t="s">
        <v>283</v>
      </c>
      <c r="Q588" s="169" t="s">
        <v>284</v>
      </c>
      <c r="R588" s="169" t="s">
        <v>283</v>
      </c>
      <c r="S588" s="169" t="s">
        <v>283</v>
      </c>
      <c r="T588" s="169">
        <v>0</v>
      </c>
    </row>
    <row r="589" spans="1:20" hidden="1" x14ac:dyDescent="0.2">
      <c r="A589" s="169" t="str">
        <f t="shared" si="9"/>
        <v>627</v>
      </c>
      <c r="B589" s="167" t="str">
        <f>_xlfn.XLOOKUP(I589,Mapping!D:D,Mapping!E:E)</f>
        <v>Xưởng Sản Xuất</v>
      </c>
      <c r="C589" s="167" t="str">
        <f>_xlfn.XLOOKUP(F589,Mapping!A:A,Mapping!F:F)</f>
        <v>Lương Chính +T13</v>
      </c>
      <c r="D589" s="173">
        <v>46112</v>
      </c>
      <c r="E589" s="169" t="s">
        <v>1951</v>
      </c>
      <c r="F589" s="169" t="s">
        <v>387</v>
      </c>
      <c r="G589" s="169" t="s">
        <v>275</v>
      </c>
      <c r="H589" s="169" t="s">
        <v>430</v>
      </c>
      <c r="I589" s="169" t="s">
        <v>431</v>
      </c>
      <c r="J589" s="169" t="s">
        <v>1663</v>
      </c>
      <c r="K589" s="169" t="s">
        <v>1664</v>
      </c>
      <c r="L589" s="169" t="s">
        <v>534</v>
      </c>
      <c r="M589" s="169" t="s">
        <v>1453</v>
      </c>
      <c r="N589" s="178">
        <v>165443794</v>
      </c>
      <c r="O589" s="169" t="s">
        <v>1952</v>
      </c>
      <c r="P589" s="169" t="s">
        <v>283</v>
      </c>
      <c r="Q589" s="169" t="s">
        <v>284</v>
      </c>
      <c r="R589" s="169" t="s">
        <v>283</v>
      </c>
      <c r="S589" s="169" t="s">
        <v>283</v>
      </c>
      <c r="T589" s="169">
        <v>0</v>
      </c>
    </row>
    <row r="590" spans="1:20" hidden="1" x14ac:dyDescent="0.2">
      <c r="A590" s="169" t="str">
        <f t="shared" si="9"/>
        <v>627</v>
      </c>
      <c r="B590" s="167" t="str">
        <f>_xlfn.XLOOKUP(I590,Mapping!D:D,Mapping!E:E)</f>
        <v>Xưởng Sản Xuất</v>
      </c>
      <c r="C590" s="167" t="str">
        <f>_xlfn.XLOOKUP(F590,Mapping!A:A,Mapping!F:F)</f>
        <v>Lương Ngoài giờ</v>
      </c>
      <c r="D590" s="173">
        <v>46112</v>
      </c>
      <c r="E590" s="169" t="s">
        <v>1953</v>
      </c>
      <c r="F590" s="169" t="s">
        <v>389</v>
      </c>
      <c r="G590" s="169" t="s">
        <v>390</v>
      </c>
      <c r="H590" s="169" t="s">
        <v>430</v>
      </c>
      <c r="I590" s="169" t="s">
        <v>431</v>
      </c>
      <c r="J590" s="169" t="s">
        <v>1663</v>
      </c>
      <c r="K590" s="169" t="s">
        <v>1664</v>
      </c>
      <c r="L590" s="169" t="s">
        <v>534</v>
      </c>
      <c r="M590" s="169" t="s">
        <v>1453</v>
      </c>
      <c r="N590" s="178">
        <v>20659221</v>
      </c>
      <c r="O590" s="169" t="s">
        <v>1954</v>
      </c>
      <c r="P590" s="169" t="s">
        <v>283</v>
      </c>
      <c r="Q590" s="169" t="s">
        <v>284</v>
      </c>
      <c r="R590" s="169" t="s">
        <v>283</v>
      </c>
      <c r="S590" s="169" t="s">
        <v>283</v>
      </c>
      <c r="T590" s="169">
        <v>0</v>
      </c>
    </row>
    <row r="591" spans="1:20" hidden="1" x14ac:dyDescent="0.2">
      <c r="A591" s="169" t="str">
        <f t="shared" si="9"/>
        <v>627</v>
      </c>
      <c r="B591" s="167" t="str">
        <f>_xlfn.XLOOKUP(I591,Mapping!D:D,Mapping!E:E)</f>
        <v>Xưởng Sản Xuất</v>
      </c>
      <c r="C591" s="167" t="str">
        <f>_xlfn.XLOOKUP(F591,Mapping!A:A,Mapping!F:F)</f>
        <v>Phụ Cấp</v>
      </c>
      <c r="D591" s="173">
        <v>46112</v>
      </c>
      <c r="E591" s="169" t="s">
        <v>1955</v>
      </c>
      <c r="F591" s="169" t="s">
        <v>375</v>
      </c>
      <c r="G591" s="169" t="s">
        <v>336</v>
      </c>
      <c r="H591" s="169" t="s">
        <v>430</v>
      </c>
      <c r="I591" s="169" t="s">
        <v>431</v>
      </c>
      <c r="J591" s="169" t="s">
        <v>1663</v>
      </c>
      <c r="K591" s="169" t="s">
        <v>1664</v>
      </c>
      <c r="L591" s="169" t="s">
        <v>534</v>
      </c>
      <c r="M591" s="169" t="s">
        <v>1453</v>
      </c>
      <c r="N591" s="178">
        <v>140000</v>
      </c>
      <c r="O591" s="169" t="s">
        <v>1956</v>
      </c>
      <c r="P591" s="169" t="s">
        <v>283</v>
      </c>
      <c r="Q591" s="169" t="s">
        <v>284</v>
      </c>
      <c r="R591" s="169" t="s">
        <v>283</v>
      </c>
      <c r="S591" s="169" t="s">
        <v>283</v>
      </c>
      <c r="T591" s="169">
        <v>0</v>
      </c>
    </row>
    <row r="592" spans="1:20" hidden="1" x14ac:dyDescent="0.2">
      <c r="A592" s="169" t="str">
        <f t="shared" si="9"/>
        <v>622</v>
      </c>
      <c r="B592" s="167" t="str">
        <f>_xlfn.XLOOKUP(I592,Mapping!D:D,Mapping!E:E)</f>
        <v>Xưởng Sản Xuất</v>
      </c>
      <c r="C592" s="167" t="str">
        <f>_xlfn.XLOOKUP(F592,Mapping!A:A,Mapping!F:F)</f>
        <v>Lương Chính +T13</v>
      </c>
      <c r="D592" s="173">
        <v>46111</v>
      </c>
      <c r="E592" s="169" t="s">
        <v>1706</v>
      </c>
      <c r="F592" s="169" t="s">
        <v>400</v>
      </c>
      <c r="G592" s="169" t="s">
        <v>401</v>
      </c>
      <c r="H592" s="169" t="s">
        <v>430</v>
      </c>
      <c r="I592" s="169" t="s">
        <v>431</v>
      </c>
      <c r="J592" s="169" t="s">
        <v>1707</v>
      </c>
      <c r="K592" s="169" t="s">
        <v>405</v>
      </c>
      <c r="L592" s="169" t="s">
        <v>534</v>
      </c>
      <c r="M592" s="169" t="s">
        <v>1453</v>
      </c>
      <c r="N592" s="178">
        <v>6242755</v>
      </c>
      <c r="O592" s="169" t="s">
        <v>1708</v>
      </c>
      <c r="P592" s="169" t="s">
        <v>283</v>
      </c>
      <c r="Q592" s="169" t="s">
        <v>306</v>
      </c>
      <c r="R592" s="169" t="s">
        <v>283</v>
      </c>
      <c r="S592" s="169" t="s">
        <v>283</v>
      </c>
      <c r="T592" s="169">
        <v>0</v>
      </c>
    </row>
    <row r="593" spans="1:20" hidden="1" x14ac:dyDescent="0.2">
      <c r="A593" s="169" t="str">
        <f t="shared" si="9"/>
        <v>622</v>
      </c>
      <c r="B593" s="167" t="str">
        <f>_xlfn.XLOOKUP(I593,Mapping!D:D,Mapping!E:E)</f>
        <v>Xưởng Sản Xuất</v>
      </c>
      <c r="C593" s="167" t="str">
        <f>_xlfn.XLOOKUP(F593,Mapping!A:A,Mapping!F:F)</f>
        <v>Lương Chính +T13</v>
      </c>
      <c r="D593" s="173">
        <v>46111</v>
      </c>
      <c r="E593" s="169" t="s">
        <v>1880</v>
      </c>
      <c r="F593" s="169" t="s">
        <v>400</v>
      </c>
      <c r="G593" s="169" t="s">
        <v>401</v>
      </c>
      <c r="H593" s="169" t="s">
        <v>430</v>
      </c>
      <c r="I593" s="169" t="s">
        <v>431</v>
      </c>
      <c r="J593" s="169" t="s">
        <v>1881</v>
      </c>
      <c r="K593" s="169" t="s">
        <v>405</v>
      </c>
      <c r="L593" s="169" t="s">
        <v>534</v>
      </c>
      <c r="M593" s="169" t="s">
        <v>1453</v>
      </c>
      <c r="N593" s="178">
        <v>27347750</v>
      </c>
      <c r="O593" s="169" t="s">
        <v>1882</v>
      </c>
      <c r="P593" s="169" t="s">
        <v>283</v>
      </c>
      <c r="Q593" s="169" t="s">
        <v>306</v>
      </c>
      <c r="R593" s="169" t="s">
        <v>283</v>
      </c>
      <c r="S593" s="169" t="s">
        <v>283</v>
      </c>
      <c r="T593" s="169">
        <v>0</v>
      </c>
    </row>
    <row r="594" spans="1:20" hidden="1" x14ac:dyDescent="0.2">
      <c r="A594" s="169" t="str">
        <f t="shared" si="9"/>
        <v>622</v>
      </c>
      <c r="B594" s="167" t="str">
        <f>_xlfn.XLOOKUP(I594,Mapping!D:D,Mapping!E:E)</f>
        <v>Xưởng Sản Xuất</v>
      </c>
      <c r="C594" s="167" t="str">
        <f>_xlfn.XLOOKUP(F594,Mapping!A:A,Mapping!F:F)</f>
        <v>Lương Chính +T13</v>
      </c>
      <c r="D594" s="173">
        <v>46112</v>
      </c>
      <c r="E594" s="169" t="s">
        <v>1883</v>
      </c>
      <c r="F594" s="169" t="s">
        <v>400</v>
      </c>
      <c r="G594" s="169" t="s">
        <v>401</v>
      </c>
      <c r="H594" s="169" t="s">
        <v>430</v>
      </c>
      <c r="I594" s="169" t="s">
        <v>431</v>
      </c>
      <c r="J594" s="169" t="s">
        <v>1884</v>
      </c>
      <c r="K594" s="169" t="s">
        <v>405</v>
      </c>
      <c r="L594" s="169" t="s">
        <v>534</v>
      </c>
      <c r="M594" s="169" t="s">
        <v>1453</v>
      </c>
      <c r="N594" s="178">
        <v>8886667</v>
      </c>
      <c r="O594" s="169" t="s">
        <v>1885</v>
      </c>
      <c r="P594" s="169" t="s">
        <v>283</v>
      </c>
      <c r="Q594" s="169" t="s">
        <v>306</v>
      </c>
      <c r="R594" s="169" t="s">
        <v>283</v>
      </c>
      <c r="S594" s="169" t="s">
        <v>283</v>
      </c>
      <c r="T594" s="169">
        <v>0</v>
      </c>
    </row>
    <row r="595" spans="1:20" hidden="1" x14ac:dyDescent="0.2">
      <c r="A595" s="169" t="str">
        <f t="shared" si="9"/>
        <v>627</v>
      </c>
      <c r="B595" s="167" t="str">
        <f>_xlfn.XLOOKUP(I595,Mapping!D:D,Mapping!E:E)</f>
        <v>Xưởng Sản Xuất</v>
      </c>
      <c r="C595" s="167" t="str">
        <f>_xlfn.XLOOKUP(F595,Mapping!A:A,Mapping!F:F)</f>
        <v>Lương Chính +T13</v>
      </c>
      <c r="D595" s="173">
        <v>46112</v>
      </c>
      <c r="E595" s="169" t="s">
        <v>1957</v>
      </c>
      <c r="F595" s="169" t="s">
        <v>388</v>
      </c>
      <c r="G595" s="169" t="s">
        <v>286</v>
      </c>
      <c r="H595" s="169" t="s">
        <v>430</v>
      </c>
      <c r="I595" s="169" t="s">
        <v>431</v>
      </c>
      <c r="J595" s="169" t="s">
        <v>1669</v>
      </c>
      <c r="K595" s="169" t="s">
        <v>1664</v>
      </c>
      <c r="L595" s="169" t="s">
        <v>534</v>
      </c>
      <c r="M595" s="169" t="s">
        <v>1453</v>
      </c>
      <c r="N595" s="178">
        <v>13173583</v>
      </c>
      <c r="O595" s="169" t="s">
        <v>1958</v>
      </c>
      <c r="P595" s="169" t="s">
        <v>283</v>
      </c>
      <c r="Q595" s="169" t="s">
        <v>284</v>
      </c>
      <c r="R595" s="169" t="s">
        <v>283</v>
      </c>
      <c r="S595" s="169" t="s">
        <v>283</v>
      </c>
      <c r="T595" s="169">
        <v>0</v>
      </c>
    </row>
    <row r="596" spans="1:20" hidden="1" x14ac:dyDescent="0.2">
      <c r="A596" s="169" t="str">
        <f t="shared" si="9"/>
        <v>622</v>
      </c>
      <c r="B596" s="167" t="str">
        <f>_xlfn.XLOOKUP(I596,Mapping!D:D,Mapping!E:E)</f>
        <v>Xưởng Sản Xuất</v>
      </c>
      <c r="C596" s="167" t="str">
        <f>_xlfn.XLOOKUP(F596,Mapping!A:A,Mapping!F:F)</f>
        <v>Lương Chính +T13</v>
      </c>
      <c r="D596" s="173">
        <v>46112</v>
      </c>
      <c r="E596" s="169" t="s">
        <v>1959</v>
      </c>
      <c r="F596" s="169" t="s">
        <v>420</v>
      </c>
      <c r="G596" s="169" t="s">
        <v>286</v>
      </c>
      <c r="H596" s="169" t="s">
        <v>430</v>
      </c>
      <c r="I596" s="169" t="s">
        <v>431</v>
      </c>
      <c r="J596" s="169" t="s">
        <v>1669</v>
      </c>
      <c r="K596" s="169" t="s">
        <v>1664</v>
      </c>
      <c r="L596" s="169" t="s">
        <v>534</v>
      </c>
      <c r="M596" s="169" t="s">
        <v>1453</v>
      </c>
      <c r="N596" s="178">
        <v>17718917</v>
      </c>
      <c r="O596" s="169" t="s">
        <v>1960</v>
      </c>
      <c r="P596" s="169" t="s">
        <v>283</v>
      </c>
      <c r="Q596" s="169" t="s">
        <v>284</v>
      </c>
      <c r="R596" s="169" t="s">
        <v>283</v>
      </c>
      <c r="S596" s="169" t="s">
        <v>283</v>
      </c>
      <c r="T596" s="169">
        <v>0</v>
      </c>
    </row>
    <row r="597" spans="1:20" hidden="1" x14ac:dyDescent="0.2">
      <c r="A597" s="169" t="str">
        <f t="shared" si="9"/>
        <v>627</v>
      </c>
      <c r="B597" s="167" t="str">
        <f>_xlfn.XLOOKUP(I597,Mapping!D:D,Mapping!E:E)</f>
        <v>Xưởng Sản Xuất</v>
      </c>
      <c r="C597" s="167" t="str">
        <f>_xlfn.XLOOKUP(F597,Mapping!A:A,Mapping!F:F)</f>
        <v>Thưởng</v>
      </c>
      <c r="D597" s="173">
        <v>46112</v>
      </c>
      <c r="E597" s="169" t="s">
        <v>1961</v>
      </c>
      <c r="F597" s="169" t="s">
        <v>395</v>
      </c>
      <c r="G597" s="169" t="s">
        <v>77</v>
      </c>
      <c r="H597" s="169" t="s">
        <v>430</v>
      </c>
      <c r="I597" s="169" t="s">
        <v>431</v>
      </c>
      <c r="J597" s="169" t="s">
        <v>1672</v>
      </c>
      <c r="K597" s="169" t="s">
        <v>1664</v>
      </c>
      <c r="L597" s="169" t="s">
        <v>534</v>
      </c>
      <c r="M597" s="169" t="s">
        <v>1453</v>
      </c>
      <c r="N597" s="178">
        <v>12119591</v>
      </c>
      <c r="O597" s="169" t="s">
        <v>1962</v>
      </c>
      <c r="P597" s="169" t="s">
        <v>283</v>
      </c>
      <c r="Q597" s="169" t="s">
        <v>284</v>
      </c>
      <c r="R597" s="169" t="s">
        <v>283</v>
      </c>
      <c r="S597" s="169" t="s">
        <v>283</v>
      </c>
      <c r="T597" s="169">
        <v>0</v>
      </c>
    </row>
    <row r="598" spans="1:20" hidden="1" x14ac:dyDescent="0.2">
      <c r="A598" s="169" t="str">
        <f t="shared" si="9"/>
        <v>622</v>
      </c>
      <c r="B598" s="167" t="str">
        <f>_xlfn.XLOOKUP(I598,Mapping!D:D,Mapping!E:E)</f>
        <v>Xưởng Sản Xuất</v>
      </c>
      <c r="C598" s="167" t="str">
        <f>_xlfn.XLOOKUP(F598,Mapping!A:A,Mapping!F:F)</f>
        <v>Thưởng</v>
      </c>
      <c r="D598" s="173">
        <v>46112</v>
      </c>
      <c r="E598" s="169" t="s">
        <v>1963</v>
      </c>
      <c r="F598" s="169" t="s">
        <v>426</v>
      </c>
      <c r="G598" s="169" t="s">
        <v>77</v>
      </c>
      <c r="H598" s="169" t="s">
        <v>430</v>
      </c>
      <c r="I598" s="169" t="s">
        <v>431</v>
      </c>
      <c r="J598" s="169" t="s">
        <v>1672</v>
      </c>
      <c r="K598" s="169" t="s">
        <v>1664</v>
      </c>
      <c r="L598" s="169" t="s">
        <v>534</v>
      </c>
      <c r="M598" s="169" t="s">
        <v>1453</v>
      </c>
      <c r="N598" s="178">
        <v>5107262</v>
      </c>
      <c r="O598" s="169" t="s">
        <v>1964</v>
      </c>
      <c r="P598" s="169" t="s">
        <v>283</v>
      </c>
      <c r="Q598" s="169" t="s">
        <v>284</v>
      </c>
      <c r="R598" s="169" t="s">
        <v>283</v>
      </c>
      <c r="S598" s="169" t="s">
        <v>283</v>
      </c>
      <c r="T598" s="169">
        <v>0</v>
      </c>
    </row>
    <row r="599" spans="1:20" hidden="1" x14ac:dyDescent="0.2">
      <c r="A599" s="169" t="str">
        <f t="shared" si="9"/>
        <v>622</v>
      </c>
      <c r="B599" s="167" t="str">
        <f>_xlfn.XLOOKUP(I599,Mapping!D:D,Mapping!E:E)</f>
        <v>Xưởng Sản Xuất</v>
      </c>
      <c r="C599" s="167" t="str">
        <f>_xlfn.XLOOKUP(F599,Mapping!A:A,Mapping!F:F)</f>
        <v>BHXH, BHYT, KPCĐ</v>
      </c>
      <c r="D599" s="173">
        <v>46112</v>
      </c>
      <c r="E599" s="169" t="s">
        <v>1676</v>
      </c>
      <c r="F599" s="169" t="s">
        <v>425</v>
      </c>
      <c r="G599" s="169" t="s">
        <v>296</v>
      </c>
      <c r="H599" s="169" t="s">
        <v>430</v>
      </c>
      <c r="I599" s="169" t="s">
        <v>431</v>
      </c>
      <c r="J599" s="169" t="s">
        <v>1677</v>
      </c>
      <c r="K599" s="169" t="s">
        <v>1664</v>
      </c>
      <c r="L599" s="169" t="s">
        <v>534</v>
      </c>
      <c r="M599" s="169" t="s">
        <v>1453</v>
      </c>
      <c r="N599" s="178">
        <v>42142195</v>
      </c>
      <c r="O599" s="169" t="s">
        <v>1678</v>
      </c>
      <c r="P599" s="169" t="s">
        <v>283</v>
      </c>
      <c r="Q599" s="169" t="s">
        <v>284</v>
      </c>
      <c r="R599" s="169" t="s">
        <v>283</v>
      </c>
      <c r="S599" s="169" t="s">
        <v>283</v>
      </c>
      <c r="T599" s="169">
        <v>0</v>
      </c>
    </row>
    <row r="600" spans="1:20" hidden="1" x14ac:dyDescent="0.2">
      <c r="A600" s="169" t="str">
        <f t="shared" si="9"/>
        <v>627</v>
      </c>
      <c r="B600" s="167" t="str">
        <f>_xlfn.XLOOKUP(I600,Mapping!D:D,Mapping!E:E)</f>
        <v>Xưởng Sản Xuất</v>
      </c>
      <c r="C600" s="167" t="str">
        <f>_xlfn.XLOOKUP(F600,Mapping!A:A,Mapping!F:F)</f>
        <v>BHXH, BHYT, KPCĐ</v>
      </c>
      <c r="D600" s="173">
        <v>46112</v>
      </c>
      <c r="E600" s="169" t="s">
        <v>1676</v>
      </c>
      <c r="F600" s="169" t="s">
        <v>393</v>
      </c>
      <c r="G600" s="169" t="s">
        <v>296</v>
      </c>
      <c r="H600" s="169" t="s">
        <v>430</v>
      </c>
      <c r="I600" s="169" t="s">
        <v>431</v>
      </c>
      <c r="J600" s="169" t="s">
        <v>1677</v>
      </c>
      <c r="K600" s="169" t="s">
        <v>1664</v>
      </c>
      <c r="L600" s="169" t="s">
        <v>534</v>
      </c>
      <c r="M600" s="169" t="s">
        <v>1453</v>
      </c>
      <c r="N600" s="178">
        <v>29234655</v>
      </c>
      <c r="O600" s="169" t="s">
        <v>1678</v>
      </c>
      <c r="P600" s="169" t="s">
        <v>283</v>
      </c>
      <c r="Q600" s="169" t="s">
        <v>284</v>
      </c>
      <c r="R600" s="169" t="s">
        <v>283</v>
      </c>
      <c r="S600" s="169" t="s">
        <v>283</v>
      </c>
      <c r="T600" s="169">
        <v>0</v>
      </c>
    </row>
    <row r="601" spans="1:20" hidden="1" x14ac:dyDescent="0.2">
      <c r="A601" s="169" t="str">
        <f t="shared" si="9"/>
        <v>622</v>
      </c>
      <c r="B601" s="167" t="str">
        <f>_xlfn.XLOOKUP(I601,Mapping!D:D,Mapping!E:E)</f>
        <v>Xưởng Sản Xuất</v>
      </c>
      <c r="C601" s="167" t="str">
        <f>_xlfn.XLOOKUP(F601,Mapping!A:A,Mapping!F:F)</f>
        <v>BHXH, BHYT, KPCĐ</v>
      </c>
      <c r="D601" s="173">
        <v>46112</v>
      </c>
      <c r="E601" s="169" t="s">
        <v>1832</v>
      </c>
      <c r="F601" s="169" t="s">
        <v>425</v>
      </c>
      <c r="G601" s="169" t="s">
        <v>296</v>
      </c>
      <c r="H601" s="169" t="s">
        <v>430</v>
      </c>
      <c r="I601" s="169" t="s">
        <v>431</v>
      </c>
      <c r="J601" s="169" t="s">
        <v>1833</v>
      </c>
      <c r="K601" s="169" t="s">
        <v>1664</v>
      </c>
      <c r="L601" s="169" t="s">
        <v>534</v>
      </c>
      <c r="M601" s="169" t="s">
        <v>1453</v>
      </c>
      <c r="N601" s="178">
        <v>774495</v>
      </c>
      <c r="O601" s="169" t="s">
        <v>1834</v>
      </c>
      <c r="P601" s="169" t="s">
        <v>283</v>
      </c>
      <c r="Q601" s="169" t="s">
        <v>284</v>
      </c>
      <c r="R601" s="169" t="s">
        <v>283</v>
      </c>
      <c r="S601" s="169" t="s">
        <v>283</v>
      </c>
      <c r="T601" s="169">
        <v>0</v>
      </c>
    </row>
    <row r="602" spans="1:20" hidden="1" x14ac:dyDescent="0.2">
      <c r="A602" s="169" t="str">
        <f t="shared" si="9"/>
        <v>622</v>
      </c>
      <c r="B602" s="167" t="str">
        <f>_xlfn.XLOOKUP(I602,Mapping!D:D,Mapping!E:E)</f>
        <v>Xưởng Sản Xuất</v>
      </c>
      <c r="C602" s="167" t="str">
        <f>_xlfn.XLOOKUP(F602,Mapping!A:A,Mapping!F:F)</f>
        <v>Phụ Cấp</v>
      </c>
      <c r="D602" s="173">
        <v>46112</v>
      </c>
      <c r="E602" s="169" t="s">
        <v>1725</v>
      </c>
      <c r="F602" s="169" t="s">
        <v>414</v>
      </c>
      <c r="G602" s="169" t="s">
        <v>415</v>
      </c>
      <c r="H602" s="169" t="s">
        <v>430</v>
      </c>
      <c r="I602" s="169" t="s">
        <v>431</v>
      </c>
      <c r="J602" s="169" t="s">
        <v>1965</v>
      </c>
      <c r="K602" s="169" t="s">
        <v>1727</v>
      </c>
      <c r="L602" s="169" t="s">
        <v>534</v>
      </c>
      <c r="M602" s="169" t="s">
        <v>1453</v>
      </c>
      <c r="N602" s="178">
        <v>10377742</v>
      </c>
      <c r="O602" s="169" t="s">
        <v>1728</v>
      </c>
      <c r="P602" s="169" t="s">
        <v>283</v>
      </c>
      <c r="Q602" s="169" t="s">
        <v>306</v>
      </c>
      <c r="R602" s="169" t="s">
        <v>283</v>
      </c>
      <c r="S602" s="169" t="s">
        <v>283</v>
      </c>
      <c r="T602" s="169">
        <v>0</v>
      </c>
    </row>
    <row r="603" spans="1:20" hidden="1" x14ac:dyDescent="0.2">
      <c r="A603" s="169" t="str">
        <f t="shared" si="9"/>
        <v>627</v>
      </c>
      <c r="B603" s="167" t="str">
        <f>_xlfn.XLOOKUP(I603,Mapping!D:D,Mapping!E:E)</f>
        <v>Xưởng Sản Xuất</v>
      </c>
      <c r="C603" s="167" t="str">
        <f>_xlfn.XLOOKUP(F603,Mapping!A:A,Mapping!F:F)</f>
        <v>Phụ Cấp</v>
      </c>
      <c r="D603" s="173">
        <v>46112</v>
      </c>
      <c r="E603" s="169" t="s">
        <v>1937</v>
      </c>
      <c r="F603" s="169" t="s">
        <v>375</v>
      </c>
      <c r="G603" s="169" t="s">
        <v>336</v>
      </c>
      <c r="H603" s="169" t="s">
        <v>430</v>
      </c>
      <c r="I603" s="169" t="s">
        <v>431</v>
      </c>
      <c r="J603" s="169" t="s">
        <v>416</v>
      </c>
      <c r="K603" s="169" t="s">
        <v>416</v>
      </c>
      <c r="L603" s="169" t="s">
        <v>534</v>
      </c>
      <c r="M603" s="169" t="s">
        <v>1453</v>
      </c>
      <c r="N603" s="178">
        <v>-56000</v>
      </c>
      <c r="O603" s="169" t="s">
        <v>1938</v>
      </c>
      <c r="P603" s="169" t="s">
        <v>283</v>
      </c>
      <c r="Q603" s="169" t="s">
        <v>348</v>
      </c>
      <c r="R603" s="169" t="s">
        <v>283</v>
      </c>
      <c r="S603" s="169" t="s">
        <v>283</v>
      </c>
      <c r="T603" s="169">
        <v>0</v>
      </c>
    </row>
    <row r="604" spans="1:20" hidden="1" x14ac:dyDescent="0.2">
      <c r="A604" s="169" t="str">
        <f t="shared" si="9"/>
        <v>622</v>
      </c>
      <c r="B604" s="167" t="str">
        <f>_xlfn.XLOOKUP(I604,Mapping!D:D,Mapping!E:E)</f>
        <v>Xưởng Sản Xuất</v>
      </c>
      <c r="C604" s="167" t="str">
        <f>_xlfn.XLOOKUP(F604,Mapping!A:A,Mapping!F:F)</f>
        <v>Phụ Cấp</v>
      </c>
      <c r="D604" s="173">
        <v>46112</v>
      </c>
      <c r="E604" s="169" t="s">
        <v>1937</v>
      </c>
      <c r="F604" s="169" t="s">
        <v>414</v>
      </c>
      <c r="G604" s="169" t="s">
        <v>415</v>
      </c>
      <c r="H604" s="169" t="s">
        <v>430</v>
      </c>
      <c r="I604" s="169" t="s">
        <v>431</v>
      </c>
      <c r="J604" s="169" t="s">
        <v>416</v>
      </c>
      <c r="K604" s="169" t="s">
        <v>416</v>
      </c>
      <c r="L604" s="169" t="s">
        <v>534</v>
      </c>
      <c r="M604" s="169" t="s">
        <v>1453</v>
      </c>
      <c r="N604" s="178">
        <v>19208000</v>
      </c>
      <c r="O604" s="169" t="s">
        <v>1938</v>
      </c>
      <c r="P604" s="169" t="s">
        <v>283</v>
      </c>
      <c r="Q604" s="169" t="s">
        <v>348</v>
      </c>
      <c r="R604" s="169" t="s">
        <v>283</v>
      </c>
      <c r="S604" s="169" t="s">
        <v>283</v>
      </c>
      <c r="T604" s="169">
        <v>0</v>
      </c>
    </row>
    <row r="605" spans="1:20" hidden="1" x14ac:dyDescent="0.2">
      <c r="A605" s="169" t="str">
        <f t="shared" si="9"/>
        <v>627</v>
      </c>
      <c r="B605" s="167" t="str">
        <f>_xlfn.XLOOKUP(I605,Mapping!D:D,Mapping!E:E)</f>
        <v>Xưởng Sản Xuất</v>
      </c>
      <c r="C605" s="167" t="str">
        <f>_xlfn.XLOOKUP(F605,Mapping!A:A,Mapping!F:F)</f>
        <v>Phụ Cấp</v>
      </c>
      <c r="D605" s="173">
        <v>46112</v>
      </c>
      <c r="E605" s="169" t="s">
        <v>1937</v>
      </c>
      <c r="F605" s="169" t="s">
        <v>375</v>
      </c>
      <c r="G605" s="169" t="s">
        <v>336</v>
      </c>
      <c r="H605" s="169" t="s">
        <v>430</v>
      </c>
      <c r="I605" s="169" t="s">
        <v>431</v>
      </c>
      <c r="J605" s="169" t="s">
        <v>416</v>
      </c>
      <c r="K605" s="169" t="s">
        <v>416</v>
      </c>
      <c r="L605" s="169" t="s">
        <v>534</v>
      </c>
      <c r="M605" s="169" t="s">
        <v>1453</v>
      </c>
      <c r="N605" s="178">
        <v>-19208000</v>
      </c>
      <c r="O605" s="169" t="s">
        <v>1938</v>
      </c>
      <c r="P605" s="169" t="s">
        <v>283</v>
      </c>
      <c r="Q605" s="169" t="s">
        <v>348</v>
      </c>
      <c r="R605" s="169" t="s">
        <v>283</v>
      </c>
      <c r="S605" s="169" t="s">
        <v>283</v>
      </c>
      <c r="T605" s="169">
        <v>0</v>
      </c>
    </row>
    <row r="606" spans="1:20" hidden="1" x14ac:dyDescent="0.2">
      <c r="A606" s="169" t="str">
        <f t="shared" si="9"/>
        <v>627</v>
      </c>
      <c r="B606" s="167" t="str">
        <f>_xlfn.XLOOKUP(I606,Mapping!D:D,Mapping!E:E)</f>
        <v>Xưởng Sản Xuất</v>
      </c>
      <c r="C606" s="167" t="str">
        <f>_xlfn.XLOOKUP(F606,Mapping!A:A,Mapping!F:F)</f>
        <v>Khen thưởng BD khác</v>
      </c>
      <c r="D606" s="173">
        <v>46092</v>
      </c>
      <c r="E606" s="169" t="s">
        <v>1966</v>
      </c>
      <c r="F606" s="169" t="s">
        <v>435</v>
      </c>
      <c r="G606" s="169" t="s">
        <v>222</v>
      </c>
      <c r="H606" s="169" t="s">
        <v>436</v>
      </c>
      <c r="I606" s="169" t="s">
        <v>437</v>
      </c>
      <c r="J606" s="169" t="s">
        <v>1967</v>
      </c>
      <c r="K606" s="169" t="s">
        <v>1968</v>
      </c>
      <c r="L606" s="169" t="s">
        <v>534</v>
      </c>
      <c r="M606" s="169" t="s">
        <v>1453</v>
      </c>
      <c r="N606" s="178">
        <v>6400000</v>
      </c>
      <c r="O606" s="169" t="s">
        <v>1969</v>
      </c>
      <c r="P606" s="169" t="s">
        <v>283</v>
      </c>
      <c r="Q606" s="169" t="s">
        <v>1344</v>
      </c>
      <c r="R606" s="169" t="s">
        <v>283</v>
      </c>
      <c r="S606" s="169" t="s">
        <v>283</v>
      </c>
      <c r="T606" s="169">
        <v>0</v>
      </c>
    </row>
    <row r="607" spans="1:20" hidden="1" x14ac:dyDescent="0.2">
      <c r="A607" s="169" t="str">
        <f t="shared" si="9"/>
        <v>642</v>
      </c>
      <c r="B607" s="167" t="str">
        <f>_xlfn.XLOOKUP(I607,Mapping!D:D,Mapping!E:E)</f>
        <v>Tư vấn dịch vụ</v>
      </c>
      <c r="C607" s="167" t="str">
        <f>_xlfn.XLOOKUP(F607,Mapping!A:A,Mapping!F:F)</f>
        <v>Lương Chính +T13</v>
      </c>
      <c r="D607" s="173">
        <v>46095</v>
      </c>
      <c r="E607" s="169" t="s">
        <v>1970</v>
      </c>
      <c r="F607" s="169" t="s">
        <v>285</v>
      </c>
      <c r="G607" s="169" t="s">
        <v>286</v>
      </c>
      <c r="H607" s="169" t="s">
        <v>443</v>
      </c>
      <c r="I607" s="169" t="s">
        <v>444</v>
      </c>
      <c r="J607" s="169" t="s">
        <v>1971</v>
      </c>
      <c r="K607" s="169" t="s">
        <v>1580</v>
      </c>
      <c r="L607" s="169" t="s">
        <v>534</v>
      </c>
      <c r="M607" s="169" t="s">
        <v>1453</v>
      </c>
      <c r="N607" s="178">
        <v>-5833333</v>
      </c>
      <c r="O607" s="169" t="s">
        <v>1972</v>
      </c>
      <c r="P607" s="169" t="s">
        <v>283</v>
      </c>
      <c r="Q607" s="169" t="s">
        <v>284</v>
      </c>
      <c r="R607" s="169" t="s">
        <v>283</v>
      </c>
      <c r="S607" s="169" t="s">
        <v>283</v>
      </c>
      <c r="T607" s="169">
        <v>0</v>
      </c>
    </row>
    <row r="608" spans="1:20" hidden="1" x14ac:dyDescent="0.2">
      <c r="A608" s="169" t="str">
        <f t="shared" si="9"/>
        <v>642</v>
      </c>
      <c r="B608" s="167" t="str">
        <f>_xlfn.XLOOKUP(I608,Mapping!D:D,Mapping!E:E)</f>
        <v>Tư vấn dịch vụ</v>
      </c>
      <c r="C608" s="167" t="str">
        <f>_xlfn.XLOOKUP(F608,Mapping!A:A,Mapping!F:F)</f>
        <v>Thưởng</v>
      </c>
      <c r="D608" s="173">
        <v>46095</v>
      </c>
      <c r="E608" s="169" t="s">
        <v>1970</v>
      </c>
      <c r="F608" s="169" t="s">
        <v>292</v>
      </c>
      <c r="G608" s="169" t="s">
        <v>77</v>
      </c>
      <c r="H608" s="169" t="s">
        <v>443</v>
      </c>
      <c r="I608" s="169" t="s">
        <v>444</v>
      </c>
      <c r="J608" s="169" t="s">
        <v>1973</v>
      </c>
      <c r="K608" s="169" t="s">
        <v>1580</v>
      </c>
      <c r="L608" s="169" t="s">
        <v>534</v>
      </c>
      <c r="M608" s="169" t="s">
        <v>1453</v>
      </c>
      <c r="N608" s="178">
        <v>-5366620</v>
      </c>
      <c r="O608" s="169" t="s">
        <v>1972</v>
      </c>
      <c r="P608" s="169" t="s">
        <v>283</v>
      </c>
      <c r="Q608" s="169" t="s">
        <v>284</v>
      </c>
      <c r="R608" s="169" t="s">
        <v>283</v>
      </c>
      <c r="S608" s="169" t="s">
        <v>283</v>
      </c>
      <c r="T608" s="169">
        <v>0</v>
      </c>
    </row>
    <row r="609" spans="1:20" hidden="1" x14ac:dyDescent="0.2">
      <c r="A609" s="169" t="str">
        <f t="shared" si="9"/>
        <v>627</v>
      </c>
      <c r="B609" s="167" t="str">
        <f>_xlfn.XLOOKUP(I609,Mapping!D:D,Mapping!E:E)</f>
        <v>Xưởng Sản Xuất</v>
      </c>
      <c r="C609" s="167" t="str">
        <f>_xlfn.XLOOKUP(F609,Mapping!A:A,Mapping!F:F)</f>
        <v>Khen thưởng BD khác</v>
      </c>
      <c r="D609" s="173">
        <v>46111</v>
      </c>
      <c r="E609" s="169" t="s">
        <v>1974</v>
      </c>
      <c r="F609" s="169" t="s">
        <v>435</v>
      </c>
      <c r="G609" s="169" t="s">
        <v>222</v>
      </c>
      <c r="H609" s="169" t="s">
        <v>436</v>
      </c>
      <c r="I609" s="169" t="s">
        <v>437</v>
      </c>
      <c r="J609" s="169" t="s">
        <v>283</v>
      </c>
      <c r="K609" s="169" t="s">
        <v>1975</v>
      </c>
      <c r="L609" s="169" t="s">
        <v>534</v>
      </c>
      <c r="M609" s="169" t="s">
        <v>1453</v>
      </c>
      <c r="N609" s="178">
        <v>6350000</v>
      </c>
      <c r="O609" s="169" t="s">
        <v>1976</v>
      </c>
      <c r="P609" s="169" t="s">
        <v>283</v>
      </c>
      <c r="Q609" s="169" t="s">
        <v>1344</v>
      </c>
      <c r="R609" s="169" t="s">
        <v>283</v>
      </c>
      <c r="S609" s="169" t="s">
        <v>283</v>
      </c>
      <c r="T609" s="169">
        <v>0</v>
      </c>
    </row>
    <row r="610" spans="1:20" hidden="1" x14ac:dyDescent="0.2">
      <c r="A610" s="169" t="str">
        <f t="shared" si="9"/>
        <v>627</v>
      </c>
      <c r="B610" s="167" t="str">
        <f>_xlfn.XLOOKUP(I610,Mapping!D:D,Mapping!E:E)</f>
        <v>Xưởng Sản Xuất</v>
      </c>
      <c r="C610" s="167" t="str">
        <f>_xlfn.XLOOKUP(F610,Mapping!A:A,Mapping!F:F)</f>
        <v>Phụ Cấp</v>
      </c>
      <c r="D610" s="173">
        <v>46101</v>
      </c>
      <c r="E610" s="169" t="s">
        <v>1679</v>
      </c>
      <c r="F610" s="169" t="s">
        <v>375</v>
      </c>
      <c r="G610" s="169" t="s">
        <v>336</v>
      </c>
      <c r="H610" s="169" t="s">
        <v>441</v>
      </c>
      <c r="I610" s="169" t="s">
        <v>442</v>
      </c>
      <c r="J610" s="169" t="s">
        <v>1680</v>
      </c>
      <c r="K610" s="169" t="s">
        <v>992</v>
      </c>
      <c r="L610" s="169" t="s">
        <v>534</v>
      </c>
      <c r="M610" s="169" t="s">
        <v>1453</v>
      </c>
      <c r="N610" s="178">
        <v>308000</v>
      </c>
      <c r="O610" s="169" t="s">
        <v>1681</v>
      </c>
      <c r="P610" s="169" t="s">
        <v>283</v>
      </c>
      <c r="Q610" s="169" t="s">
        <v>306</v>
      </c>
      <c r="R610" s="169" t="s">
        <v>283</v>
      </c>
      <c r="S610" s="169" t="s">
        <v>283</v>
      </c>
      <c r="T610" s="169">
        <v>0</v>
      </c>
    </row>
    <row r="611" spans="1:20" hidden="1" x14ac:dyDescent="0.2">
      <c r="A611" s="169" t="str">
        <f t="shared" si="9"/>
        <v>627</v>
      </c>
      <c r="B611" s="167" t="str">
        <f>_xlfn.XLOOKUP(I611,Mapping!D:D,Mapping!E:E)</f>
        <v>Xưởng Sản Xuất</v>
      </c>
      <c r="C611" s="167" t="str">
        <f>_xlfn.XLOOKUP(F611,Mapping!A:A,Mapping!F:F)</f>
        <v>Phụ Cấp</v>
      </c>
      <c r="D611" s="173">
        <v>46101</v>
      </c>
      <c r="E611" s="169" t="s">
        <v>1679</v>
      </c>
      <c r="F611" s="169" t="s">
        <v>375</v>
      </c>
      <c r="G611" s="169" t="s">
        <v>336</v>
      </c>
      <c r="H611" s="169" t="s">
        <v>436</v>
      </c>
      <c r="I611" s="169" t="s">
        <v>437</v>
      </c>
      <c r="J611" s="169" t="s">
        <v>1680</v>
      </c>
      <c r="K611" s="169" t="s">
        <v>992</v>
      </c>
      <c r="L611" s="169" t="s">
        <v>534</v>
      </c>
      <c r="M611" s="169" t="s">
        <v>1453</v>
      </c>
      <c r="N611" s="178">
        <v>17724000</v>
      </c>
      <c r="O611" s="169" t="s">
        <v>1681</v>
      </c>
      <c r="P611" s="169" t="s">
        <v>283</v>
      </c>
      <c r="Q611" s="169" t="s">
        <v>306</v>
      </c>
      <c r="R611" s="169" t="s">
        <v>283</v>
      </c>
      <c r="S611" s="169" t="s">
        <v>283</v>
      </c>
      <c r="T611" s="169">
        <v>0</v>
      </c>
    </row>
    <row r="612" spans="1:20" hidden="1" x14ac:dyDescent="0.2">
      <c r="A612" s="169" t="str">
        <f t="shared" ref="A612:A637" si="10">LEFT(F612,3)</f>
        <v>627</v>
      </c>
      <c r="B612" s="167" t="str">
        <f>_xlfn.XLOOKUP(I612,Mapping!D:D,Mapping!E:E)</f>
        <v>Xưởng Sản Xuất</v>
      </c>
      <c r="C612" s="167" t="str">
        <f>_xlfn.XLOOKUP(F612,Mapping!A:A,Mapping!F:F)</f>
        <v>Phụ Cấp</v>
      </c>
      <c r="D612" s="173">
        <v>46111</v>
      </c>
      <c r="E612" s="169" t="s">
        <v>1682</v>
      </c>
      <c r="F612" s="169" t="s">
        <v>375</v>
      </c>
      <c r="G612" s="169" t="s">
        <v>336</v>
      </c>
      <c r="H612" s="169" t="s">
        <v>441</v>
      </c>
      <c r="I612" s="169" t="s">
        <v>442</v>
      </c>
      <c r="J612" s="169" t="s">
        <v>1683</v>
      </c>
      <c r="K612" s="169" t="s">
        <v>741</v>
      </c>
      <c r="L612" s="169" t="s">
        <v>534</v>
      </c>
      <c r="M612" s="169" t="s">
        <v>1453</v>
      </c>
      <c r="N612" s="178">
        <v>168000</v>
      </c>
      <c r="O612" s="169" t="s">
        <v>1684</v>
      </c>
      <c r="P612" s="169" t="s">
        <v>283</v>
      </c>
      <c r="Q612" s="169" t="s">
        <v>306</v>
      </c>
      <c r="R612" s="169" t="s">
        <v>283</v>
      </c>
      <c r="S612" s="169" t="s">
        <v>283</v>
      </c>
      <c r="T612" s="169">
        <v>0</v>
      </c>
    </row>
    <row r="613" spans="1:20" hidden="1" x14ac:dyDescent="0.2">
      <c r="A613" s="169" t="str">
        <f t="shared" si="10"/>
        <v>627</v>
      </c>
      <c r="B613" s="167" t="str">
        <f>_xlfn.XLOOKUP(I613,Mapping!D:D,Mapping!E:E)</f>
        <v>Xưởng Sản Xuất</v>
      </c>
      <c r="C613" s="167" t="str">
        <f>_xlfn.XLOOKUP(F613,Mapping!A:A,Mapping!F:F)</f>
        <v>Phụ Cấp</v>
      </c>
      <c r="D613" s="173">
        <v>46111</v>
      </c>
      <c r="E613" s="169" t="s">
        <v>1682</v>
      </c>
      <c r="F613" s="169" t="s">
        <v>375</v>
      </c>
      <c r="G613" s="169" t="s">
        <v>336</v>
      </c>
      <c r="H613" s="169" t="s">
        <v>436</v>
      </c>
      <c r="I613" s="169" t="s">
        <v>437</v>
      </c>
      <c r="J613" s="169" t="s">
        <v>1683</v>
      </c>
      <c r="K613" s="169" t="s">
        <v>741</v>
      </c>
      <c r="L613" s="169" t="s">
        <v>534</v>
      </c>
      <c r="M613" s="169" t="s">
        <v>1453</v>
      </c>
      <c r="N613" s="178">
        <v>9016000</v>
      </c>
      <c r="O613" s="169" t="s">
        <v>1684</v>
      </c>
      <c r="P613" s="169" t="s">
        <v>283</v>
      </c>
      <c r="Q613" s="169" t="s">
        <v>306</v>
      </c>
      <c r="R613" s="169" t="s">
        <v>283</v>
      </c>
      <c r="S613" s="169" t="s">
        <v>283</v>
      </c>
      <c r="T613" s="169">
        <v>0</v>
      </c>
    </row>
    <row r="614" spans="1:20" hidden="1" x14ac:dyDescent="0.2">
      <c r="A614" s="169" t="str">
        <f t="shared" si="10"/>
        <v>627</v>
      </c>
      <c r="B614" s="167" t="str">
        <f>_xlfn.XLOOKUP(I614,Mapping!D:D,Mapping!E:E)</f>
        <v>Xưởng Sản Xuất</v>
      </c>
      <c r="C614" s="167" t="str">
        <f>_xlfn.XLOOKUP(F614,Mapping!A:A,Mapping!F:F)</f>
        <v>Phụ Cấp</v>
      </c>
      <c r="D614" s="173">
        <v>46112</v>
      </c>
      <c r="E614" s="169" t="s">
        <v>1977</v>
      </c>
      <c r="F614" s="169" t="s">
        <v>386</v>
      </c>
      <c r="G614" s="169" t="s">
        <v>341</v>
      </c>
      <c r="H614" s="169" t="s">
        <v>436</v>
      </c>
      <c r="I614" s="169" t="s">
        <v>437</v>
      </c>
      <c r="J614" s="169" t="s">
        <v>1663</v>
      </c>
      <c r="K614" s="169" t="s">
        <v>1664</v>
      </c>
      <c r="L614" s="169" t="s">
        <v>534</v>
      </c>
      <c r="M614" s="169" t="s">
        <v>1453</v>
      </c>
      <c r="N614" s="178">
        <v>5738634</v>
      </c>
      <c r="O614" s="169" t="s">
        <v>1978</v>
      </c>
      <c r="P614" s="169" t="s">
        <v>283</v>
      </c>
      <c r="Q614" s="169" t="s">
        <v>284</v>
      </c>
      <c r="R614" s="169" t="s">
        <v>283</v>
      </c>
      <c r="S614" s="169" t="s">
        <v>283</v>
      </c>
      <c r="T614" s="169">
        <v>0</v>
      </c>
    </row>
    <row r="615" spans="1:20" hidden="1" x14ac:dyDescent="0.2">
      <c r="A615" s="169" t="str">
        <f t="shared" si="10"/>
        <v>627</v>
      </c>
      <c r="B615" s="167" t="str">
        <f>_xlfn.XLOOKUP(I615,Mapping!D:D,Mapping!E:E)</f>
        <v>Xưởng Sản Xuất</v>
      </c>
      <c r="C615" s="167" t="str">
        <f>_xlfn.XLOOKUP(F615,Mapping!A:A,Mapping!F:F)</f>
        <v>Lương Chính +T13</v>
      </c>
      <c r="D615" s="173">
        <v>46112</v>
      </c>
      <c r="E615" s="169" t="s">
        <v>1979</v>
      </c>
      <c r="F615" s="169" t="s">
        <v>387</v>
      </c>
      <c r="G615" s="169" t="s">
        <v>275</v>
      </c>
      <c r="H615" s="169" t="s">
        <v>436</v>
      </c>
      <c r="I615" s="169" t="s">
        <v>437</v>
      </c>
      <c r="J615" s="169" t="s">
        <v>1663</v>
      </c>
      <c r="K615" s="169" t="s">
        <v>1664</v>
      </c>
      <c r="L615" s="169" t="s">
        <v>534</v>
      </c>
      <c r="M615" s="169" t="s">
        <v>1453</v>
      </c>
      <c r="N615" s="178">
        <v>330714218</v>
      </c>
      <c r="O615" s="169" t="s">
        <v>1980</v>
      </c>
      <c r="P615" s="169" t="s">
        <v>283</v>
      </c>
      <c r="Q615" s="169" t="s">
        <v>284</v>
      </c>
      <c r="R615" s="169" t="s">
        <v>283</v>
      </c>
      <c r="S615" s="169" t="s">
        <v>283</v>
      </c>
      <c r="T615" s="169">
        <v>0</v>
      </c>
    </row>
    <row r="616" spans="1:20" hidden="1" x14ac:dyDescent="0.2">
      <c r="A616" s="169" t="str">
        <f t="shared" si="10"/>
        <v>627</v>
      </c>
      <c r="B616" s="167" t="str">
        <f>_xlfn.XLOOKUP(I616,Mapping!D:D,Mapping!E:E)</f>
        <v>Xưởng Sản Xuất</v>
      </c>
      <c r="C616" s="167" t="str">
        <f>_xlfn.XLOOKUP(F616,Mapping!A:A,Mapping!F:F)</f>
        <v>Lương Chính +T13</v>
      </c>
      <c r="D616" s="173">
        <v>46112</v>
      </c>
      <c r="E616" s="169" t="s">
        <v>1981</v>
      </c>
      <c r="F616" s="169" t="s">
        <v>388</v>
      </c>
      <c r="G616" s="169" t="s">
        <v>286</v>
      </c>
      <c r="H616" s="169" t="s">
        <v>436</v>
      </c>
      <c r="I616" s="169" t="s">
        <v>437</v>
      </c>
      <c r="J616" s="169" t="s">
        <v>1663</v>
      </c>
      <c r="K616" s="169" t="s">
        <v>1664</v>
      </c>
      <c r="L616" s="169" t="s">
        <v>534</v>
      </c>
      <c r="M616" s="169" t="s">
        <v>1453</v>
      </c>
      <c r="N616" s="178">
        <v>8191631</v>
      </c>
      <c r="O616" s="169" t="s">
        <v>1982</v>
      </c>
      <c r="P616" s="169" t="s">
        <v>283</v>
      </c>
      <c r="Q616" s="169" t="s">
        <v>284</v>
      </c>
      <c r="R616" s="169" t="s">
        <v>283</v>
      </c>
      <c r="S616" s="169" t="s">
        <v>283</v>
      </c>
      <c r="T616" s="169">
        <v>0</v>
      </c>
    </row>
    <row r="617" spans="1:20" hidden="1" x14ac:dyDescent="0.2">
      <c r="A617" s="169" t="str">
        <f t="shared" si="10"/>
        <v>627</v>
      </c>
      <c r="B617" s="167" t="str">
        <f>_xlfn.XLOOKUP(I617,Mapping!D:D,Mapping!E:E)</f>
        <v>Xưởng Sản Xuất</v>
      </c>
      <c r="C617" s="167" t="str">
        <f>_xlfn.XLOOKUP(F617,Mapping!A:A,Mapping!F:F)</f>
        <v>Lương Ngoài giờ</v>
      </c>
      <c r="D617" s="173">
        <v>46112</v>
      </c>
      <c r="E617" s="169" t="s">
        <v>1983</v>
      </c>
      <c r="F617" s="169" t="s">
        <v>389</v>
      </c>
      <c r="G617" s="169" t="s">
        <v>390</v>
      </c>
      <c r="H617" s="169" t="s">
        <v>436</v>
      </c>
      <c r="I617" s="169" t="s">
        <v>437</v>
      </c>
      <c r="J617" s="169" t="s">
        <v>1663</v>
      </c>
      <c r="K617" s="169" t="s">
        <v>1664</v>
      </c>
      <c r="L617" s="169" t="s">
        <v>534</v>
      </c>
      <c r="M617" s="169" t="s">
        <v>1453</v>
      </c>
      <c r="N617" s="178">
        <v>59445723</v>
      </c>
      <c r="O617" s="169" t="s">
        <v>1984</v>
      </c>
      <c r="P617" s="169" t="s">
        <v>283</v>
      </c>
      <c r="Q617" s="169" t="s">
        <v>284</v>
      </c>
      <c r="R617" s="169" t="s">
        <v>283</v>
      </c>
      <c r="S617" s="169" t="s">
        <v>283</v>
      </c>
      <c r="T617" s="169">
        <v>0</v>
      </c>
    </row>
    <row r="618" spans="1:20" hidden="1" x14ac:dyDescent="0.2">
      <c r="A618" s="169" t="str">
        <f t="shared" si="10"/>
        <v>627</v>
      </c>
      <c r="B618" s="167" t="str">
        <f>_xlfn.XLOOKUP(I618,Mapping!D:D,Mapping!E:E)</f>
        <v>Xưởng Sản Xuất</v>
      </c>
      <c r="C618" s="167" t="str">
        <f>_xlfn.XLOOKUP(F618,Mapping!A:A,Mapping!F:F)</f>
        <v>Phụ Cấp</v>
      </c>
      <c r="D618" s="173">
        <v>46112</v>
      </c>
      <c r="E618" s="169" t="s">
        <v>1985</v>
      </c>
      <c r="F618" s="169" t="s">
        <v>375</v>
      </c>
      <c r="G618" s="169" t="s">
        <v>336</v>
      </c>
      <c r="H618" s="169" t="s">
        <v>436</v>
      </c>
      <c r="I618" s="169" t="s">
        <v>437</v>
      </c>
      <c r="J618" s="169" t="s">
        <v>1663</v>
      </c>
      <c r="K618" s="169" t="s">
        <v>1664</v>
      </c>
      <c r="L618" s="169" t="s">
        <v>534</v>
      </c>
      <c r="M618" s="169" t="s">
        <v>1453</v>
      </c>
      <c r="N618" s="178">
        <v>730000</v>
      </c>
      <c r="O618" s="169" t="s">
        <v>1986</v>
      </c>
      <c r="P618" s="169" t="s">
        <v>283</v>
      </c>
      <c r="Q618" s="169" t="s">
        <v>284</v>
      </c>
      <c r="R618" s="169" t="s">
        <v>283</v>
      </c>
      <c r="S618" s="169" t="s">
        <v>283</v>
      </c>
      <c r="T618" s="169">
        <v>0</v>
      </c>
    </row>
    <row r="619" spans="1:20" hidden="1" x14ac:dyDescent="0.2">
      <c r="A619" s="169" t="str">
        <f t="shared" si="10"/>
        <v>642</v>
      </c>
      <c r="B619" s="167" t="str">
        <f>_xlfn.XLOOKUP(I619,Mapping!D:D,Mapping!E:E)</f>
        <v>Tư vấn dịch vụ</v>
      </c>
      <c r="C619" s="167" t="str">
        <f>_xlfn.XLOOKUP(F619,Mapping!A:A,Mapping!F:F)</f>
        <v>Lương Chính +T13</v>
      </c>
      <c r="D619" s="173">
        <v>46112</v>
      </c>
      <c r="E619" s="169" t="s">
        <v>1987</v>
      </c>
      <c r="F619" s="169" t="s">
        <v>274</v>
      </c>
      <c r="G619" s="169" t="s">
        <v>275</v>
      </c>
      <c r="H619" s="169" t="s">
        <v>443</v>
      </c>
      <c r="I619" s="169" t="s">
        <v>444</v>
      </c>
      <c r="J619" s="169" t="s">
        <v>1663</v>
      </c>
      <c r="K619" s="169" t="s">
        <v>1664</v>
      </c>
      <c r="L619" s="169" t="s">
        <v>534</v>
      </c>
      <c r="M619" s="169" t="s">
        <v>1453</v>
      </c>
      <c r="N619" s="178">
        <v>70000000</v>
      </c>
      <c r="O619" s="169" t="s">
        <v>1988</v>
      </c>
      <c r="P619" s="169" t="s">
        <v>283</v>
      </c>
      <c r="Q619" s="169" t="s">
        <v>284</v>
      </c>
      <c r="R619" s="169" t="s">
        <v>283</v>
      </c>
      <c r="S619" s="169" t="s">
        <v>283</v>
      </c>
      <c r="T619" s="169">
        <v>0</v>
      </c>
    </row>
    <row r="620" spans="1:20" hidden="1" x14ac:dyDescent="0.2">
      <c r="A620" s="169" t="str">
        <f t="shared" si="10"/>
        <v>622</v>
      </c>
      <c r="B620" s="167" t="str">
        <f>_xlfn.XLOOKUP(I620,Mapping!D:D,Mapping!E:E)</f>
        <v>Xưởng Sản Xuất</v>
      </c>
      <c r="C620" s="167" t="str">
        <f>_xlfn.XLOOKUP(F620,Mapping!A:A,Mapping!F:F)</f>
        <v>Lương Chính +T13</v>
      </c>
      <c r="D620" s="173">
        <v>46112</v>
      </c>
      <c r="E620" s="169" t="s">
        <v>1989</v>
      </c>
      <c r="F620" s="169" t="s">
        <v>400</v>
      </c>
      <c r="G620" s="169" t="s">
        <v>401</v>
      </c>
      <c r="H620" s="169" t="s">
        <v>441</v>
      </c>
      <c r="I620" s="169" t="s">
        <v>442</v>
      </c>
      <c r="J620" s="169" t="s">
        <v>1663</v>
      </c>
      <c r="K620" s="169" t="s">
        <v>1664</v>
      </c>
      <c r="L620" s="169" t="s">
        <v>534</v>
      </c>
      <c r="M620" s="169" t="s">
        <v>1453</v>
      </c>
      <c r="N620" s="178">
        <v>8730414</v>
      </c>
      <c r="O620" s="169" t="s">
        <v>1990</v>
      </c>
      <c r="P620" s="169" t="s">
        <v>283</v>
      </c>
      <c r="Q620" s="169" t="s">
        <v>284</v>
      </c>
      <c r="R620" s="169" t="s">
        <v>283</v>
      </c>
      <c r="S620" s="169" t="s">
        <v>283</v>
      </c>
      <c r="T620" s="169">
        <v>0</v>
      </c>
    </row>
    <row r="621" spans="1:20" hidden="1" x14ac:dyDescent="0.2">
      <c r="A621" s="169" t="str">
        <f t="shared" si="10"/>
        <v>622</v>
      </c>
      <c r="B621" s="167" t="str">
        <f>_xlfn.XLOOKUP(I621,Mapping!D:D,Mapping!E:E)</f>
        <v>Xưởng Sản Xuất</v>
      </c>
      <c r="C621" s="167" t="str">
        <f>_xlfn.XLOOKUP(F621,Mapping!A:A,Mapping!F:F)</f>
        <v>Phụ Cấp</v>
      </c>
      <c r="D621" s="173">
        <v>46112</v>
      </c>
      <c r="E621" s="169" t="s">
        <v>1991</v>
      </c>
      <c r="F621" s="169" t="s">
        <v>421</v>
      </c>
      <c r="G621" s="169" t="s">
        <v>341</v>
      </c>
      <c r="H621" s="169" t="s">
        <v>441</v>
      </c>
      <c r="I621" s="169" t="s">
        <v>442</v>
      </c>
      <c r="J621" s="169" t="s">
        <v>1663</v>
      </c>
      <c r="K621" s="169" t="s">
        <v>1664</v>
      </c>
      <c r="L621" s="169" t="s">
        <v>534</v>
      </c>
      <c r="M621" s="169" t="s">
        <v>1453</v>
      </c>
      <c r="N621" s="178">
        <v>1035692</v>
      </c>
      <c r="O621" s="169" t="s">
        <v>1992</v>
      </c>
      <c r="P621" s="169" t="s">
        <v>283</v>
      </c>
      <c r="Q621" s="169" t="s">
        <v>284</v>
      </c>
      <c r="R621" s="169" t="s">
        <v>283</v>
      </c>
      <c r="S621" s="169" t="s">
        <v>283</v>
      </c>
      <c r="T621" s="169">
        <v>0</v>
      </c>
    </row>
    <row r="622" spans="1:20" hidden="1" x14ac:dyDescent="0.2">
      <c r="A622" s="169" t="str">
        <f t="shared" si="10"/>
        <v>622</v>
      </c>
      <c r="B622" s="167" t="str">
        <f>_xlfn.XLOOKUP(I622,Mapping!D:D,Mapping!E:E)</f>
        <v>Xưởng Sản Xuất</v>
      </c>
      <c r="C622" s="167" t="str">
        <f>_xlfn.XLOOKUP(F622,Mapping!A:A,Mapping!F:F)</f>
        <v>Lương Ngoài giờ</v>
      </c>
      <c r="D622" s="173">
        <v>46112</v>
      </c>
      <c r="E622" s="169" t="s">
        <v>1993</v>
      </c>
      <c r="F622" s="169" t="s">
        <v>422</v>
      </c>
      <c r="G622" s="169" t="s">
        <v>423</v>
      </c>
      <c r="H622" s="169" t="s">
        <v>441</v>
      </c>
      <c r="I622" s="169" t="s">
        <v>442</v>
      </c>
      <c r="J622" s="169" t="s">
        <v>1663</v>
      </c>
      <c r="K622" s="169" t="s">
        <v>1664</v>
      </c>
      <c r="L622" s="169" t="s">
        <v>534</v>
      </c>
      <c r="M622" s="169" t="s">
        <v>1453</v>
      </c>
      <c r="N622" s="178">
        <v>1861018</v>
      </c>
      <c r="O622" s="169" t="s">
        <v>1994</v>
      </c>
      <c r="P622" s="169" t="s">
        <v>283</v>
      </c>
      <c r="Q622" s="169" t="s">
        <v>284</v>
      </c>
      <c r="R622" s="169" t="s">
        <v>283</v>
      </c>
      <c r="S622" s="169" t="s">
        <v>283</v>
      </c>
      <c r="T622" s="169">
        <v>0</v>
      </c>
    </row>
    <row r="623" spans="1:20" hidden="1" x14ac:dyDescent="0.2">
      <c r="A623" s="169" t="str">
        <f t="shared" si="10"/>
        <v>627</v>
      </c>
      <c r="B623" s="167" t="str">
        <f>_xlfn.XLOOKUP(I623,Mapping!D:D,Mapping!E:E)</f>
        <v>Xưởng Sản Xuất</v>
      </c>
      <c r="C623" s="167" t="str">
        <f>_xlfn.XLOOKUP(F623,Mapping!A:A,Mapping!F:F)</f>
        <v>Lương Chính +T13</v>
      </c>
      <c r="D623" s="173">
        <v>46111</v>
      </c>
      <c r="E623" s="169" t="s">
        <v>1706</v>
      </c>
      <c r="F623" s="169" t="s">
        <v>387</v>
      </c>
      <c r="G623" s="169" t="s">
        <v>275</v>
      </c>
      <c r="H623" s="169" t="s">
        <v>436</v>
      </c>
      <c r="I623" s="169" t="s">
        <v>437</v>
      </c>
      <c r="J623" s="169" t="s">
        <v>1707</v>
      </c>
      <c r="K623" s="169" t="s">
        <v>405</v>
      </c>
      <c r="L623" s="169" t="s">
        <v>534</v>
      </c>
      <c r="M623" s="169" t="s">
        <v>1453</v>
      </c>
      <c r="N623" s="178">
        <v>50880876</v>
      </c>
      <c r="O623" s="169" t="s">
        <v>1708</v>
      </c>
      <c r="P623" s="169" t="s">
        <v>283</v>
      </c>
      <c r="Q623" s="169" t="s">
        <v>306</v>
      </c>
      <c r="R623" s="169" t="s">
        <v>283</v>
      </c>
      <c r="S623" s="169" t="s">
        <v>283</v>
      </c>
      <c r="T623" s="169">
        <v>0</v>
      </c>
    </row>
    <row r="624" spans="1:20" hidden="1" x14ac:dyDescent="0.2">
      <c r="A624" s="169" t="str">
        <f t="shared" si="10"/>
        <v>627</v>
      </c>
      <c r="B624" s="167" t="str">
        <f>_xlfn.XLOOKUP(I624,Mapping!D:D,Mapping!E:E)</f>
        <v>Xưởng Sản Xuất</v>
      </c>
      <c r="C624" s="167" t="str">
        <f>_xlfn.XLOOKUP(F624,Mapping!A:A,Mapping!F:F)</f>
        <v>Lương Chính +T13</v>
      </c>
      <c r="D624" s="173">
        <v>46111</v>
      </c>
      <c r="E624" s="169" t="s">
        <v>1880</v>
      </c>
      <c r="F624" s="169" t="s">
        <v>387</v>
      </c>
      <c r="G624" s="169" t="s">
        <v>275</v>
      </c>
      <c r="H624" s="169" t="s">
        <v>436</v>
      </c>
      <c r="I624" s="169" t="s">
        <v>437</v>
      </c>
      <c r="J624" s="169" t="s">
        <v>1881</v>
      </c>
      <c r="K624" s="169" t="s">
        <v>405</v>
      </c>
      <c r="L624" s="169" t="s">
        <v>534</v>
      </c>
      <c r="M624" s="169" t="s">
        <v>1453</v>
      </c>
      <c r="N624" s="178">
        <v>9081375</v>
      </c>
      <c r="O624" s="169" t="s">
        <v>1882</v>
      </c>
      <c r="P624" s="169" t="s">
        <v>283</v>
      </c>
      <c r="Q624" s="169" t="s">
        <v>306</v>
      </c>
      <c r="R624" s="169" t="s">
        <v>283</v>
      </c>
      <c r="S624" s="169" t="s">
        <v>283</v>
      </c>
      <c r="T624" s="169">
        <v>0</v>
      </c>
    </row>
    <row r="625" spans="1:20" hidden="1" x14ac:dyDescent="0.2">
      <c r="A625" s="169" t="str">
        <f t="shared" si="10"/>
        <v>627</v>
      </c>
      <c r="B625" s="167" t="str">
        <f>_xlfn.XLOOKUP(I625,Mapping!D:D,Mapping!E:E)</f>
        <v>Xưởng Sản Xuất</v>
      </c>
      <c r="C625" s="167" t="str">
        <f>_xlfn.XLOOKUP(F625,Mapping!A:A,Mapping!F:F)</f>
        <v>Lương Chính +T13</v>
      </c>
      <c r="D625" s="173">
        <v>46112</v>
      </c>
      <c r="E625" s="169" t="s">
        <v>1883</v>
      </c>
      <c r="F625" s="169" t="s">
        <v>387</v>
      </c>
      <c r="G625" s="169" t="s">
        <v>275</v>
      </c>
      <c r="H625" s="169" t="s">
        <v>436</v>
      </c>
      <c r="I625" s="169" t="s">
        <v>437</v>
      </c>
      <c r="J625" s="169" t="s">
        <v>1884</v>
      </c>
      <c r="K625" s="169" t="s">
        <v>405</v>
      </c>
      <c r="L625" s="169" t="s">
        <v>534</v>
      </c>
      <c r="M625" s="169" t="s">
        <v>1453</v>
      </c>
      <c r="N625" s="178">
        <v>31560000</v>
      </c>
      <c r="O625" s="169" t="s">
        <v>1885</v>
      </c>
      <c r="P625" s="169" t="s">
        <v>283</v>
      </c>
      <c r="Q625" s="169" t="s">
        <v>306</v>
      </c>
      <c r="R625" s="169" t="s">
        <v>283</v>
      </c>
      <c r="S625" s="169" t="s">
        <v>283</v>
      </c>
      <c r="T625" s="169">
        <v>0</v>
      </c>
    </row>
    <row r="626" spans="1:20" hidden="1" x14ac:dyDescent="0.2">
      <c r="A626" s="169" t="str">
        <f t="shared" si="10"/>
        <v>627</v>
      </c>
      <c r="B626" s="167" t="str">
        <f>_xlfn.XLOOKUP(I626,Mapping!D:D,Mapping!E:E)</f>
        <v>Xưởng Sản Xuất</v>
      </c>
      <c r="C626" s="167" t="str">
        <f>_xlfn.XLOOKUP(F626,Mapping!A:A,Mapping!F:F)</f>
        <v>Lương Chính +T13</v>
      </c>
      <c r="D626" s="173">
        <v>46112</v>
      </c>
      <c r="E626" s="169" t="s">
        <v>1995</v>
      </c>
      <c r="F626" s="169" t="s">
        <v>388</v>
      </c>
      <c r="G626" s="169" t="s">
        <v>286</v>
      </c>
      <c r="H626" s="169" t="s">
        <v>436</v>
      </c>
      <c r="I626" s="169" t="s">
        <v>437</v>
      </c>
      <c r="J626" s="169" t="s">
        <v>1669</v>
      </c>
      <c r="K626" s="169" t="s">
        <v>1664</v>
      </c>
      <c r="L626" s="169" t="s">
        <v>534</v>
      </c>
      <c r="M626" s="169" t="s">
        <v>1453</v>
      </c>
      <c r="N626" s="178">
        <v>21697750</v>
      </c>
      <c r="O626" s="169" t="s">
        <v>1996</v>
      </c>
      <c r="P626" s="169" t="s">
        <v>283</v>
      </c>
      <c r="Q626" s="169" t="s">
        <v>284</v>
      </c>
      <c r="R626" s="169" t="s">
        <v>283</v>
      </c>
      <c r="S626" s="169" t="s">
        <v>283</v>
      </c>
      <c r="T626" s="169">
        <v>0</v>
      </c>
    </row>
    <row r="627" spans="1:20" hidden="1" x14ac:dyDescent="0.2">
      <c r="A627" s="169" t="str">
        <f t="shared" si="10"/>
        <v>627</v>
      </c>
      <c r="B627" s="167" t="str">
        <f>_xlfn.XLOOKUP(I627,Mapping!D:D,Mapping!E:E)</f>
        <v>Xưởng Sản Xuất</v>
      </c>
      <c r="C627" s="167" t="str">
        <f>_xlfn.XLOOKUP(F627,Mapping!A:A,Mapping!F:F)</f>
        <v>Thưởng</v>
      </c>
      <c r="D627" s="173">
        <v>46112</v>
      </c>
      <c r="E627" s="169" t="s">
        <v>1997</v>
      </c>
      <c r="F627" s="169" t="s">
        <v>395</v>
      </c>
      <c r="G627" s="169" t="s">
        <v>77</v>
      </c>
      <c r="H627" s="169" t="s">
        <v>436</v>
      </c>
      <c r="I627" s="169" t="s">
        <v>437</v>
      </c>
      <c r="J627" s="169" t="s">
        <v>1672</v>
      </c>
      <c r="K627" s="169" t="s">
        <v>1664</v>
      </c>
      <c r="L627" s="169" t="s">
        <v>534</v>
      </c>
      <c r="M627" s="169" t="s">
        <v>1453</v>
      </c>
      <c r="N627" s="178">
        <v>13993944</v>
      </c>
      <c r="O627" s="169" t="s">
        <v>1998</v>
      </c>
      <c r="P627" s="169" t="s">
        <v>283</v>
      </c>
      <c r="Q627" s="169" t="s">
        <v>284</v>
      </c>
      <c r="R627" s="169" t="s">
        <v>283</v>
      </c>
      <c r="S627" s="169" t="s">
        <v>283</v>
      </c>
      <c r="T627" s="169">
        <v>0</v>
      </c>
    </row>
    <row r="628" spans="1:20" hidden="1" x14ac:dyDescent="0.2">
      <c r="A628" s="169" t="str">
        <f t="shared" si="10"/>
        <v>622</v>
      </c>
      <c r="B628" s="167" t="str">
        <f>_xlfn.XLOOKUP(I628,Mapping!D:D,Mapping!E:E)</f>
        <v>Xưởng Sản Xuất</v>
      </c>
      <c r="C628" s="167" t="str">
        <f>_xlfn.XLOOKUP(F628,Mapping!A:A,Mapping!F:F)</f>
        <v>Lương Chính +T13</v>
      </c>
      <c r="D628" s="173">
        <v>46112</v>
      </c>
      <c r="E628" s="169" t="s">
        <v>1999</v>
      </c>
      <c r="F628" s="169" t="s">
        <v>420</v>
      </c>
      <c r="G628" s="169" t="s">
        <v>286</v>
      </c>
      <c r="H628" s="169" t="s">
        <v>441</v>
      </c>
      <c r="I628" s="169" t="s">
        <v>442</v>
      </c>
      <c r="J628" s="169" t="s">
        <v>1669</v>
      </c>
      <c r="K628" s="169" t="s">
        <v>1664</v>
      </c>
      <c r="L628" s="169" t="s">
        <v>534</v>
      </c>
      <c r="M628" s="169" t="s">
        <v>1453</v>
      </c>
      <c r="N628" s="178">
        <v>498667</v>
      </c>
      <c r="O628" s="169" t="s">
        <v>2000</v>
      </c>
      <c r="P628" s="169" t="s">
        <v>283</v>
      </c>
      <c r="Q628" s="169" t="s">
        <v>284</v>
      </c>
      <c r="R628" s="169" t="s">
        <v>283</v>
      </c>
      <c r="S628" s="169" t="s">
        <v>283</v>
      </c>
      <c r="T628" s="169">
        <v>0</v>
      </c>
    </row>
    <row r="629" spans="1:20" hidden="1" x14ac:dyDescent="0.2">
      <c r="A629" s="169" t="str">
        <f t="shared" si="10"/>
        <v>622</v>
      </c>
      <c r="B629" s="167" t="str">
        <f>_xlfn.XLOOKUP(I629,Mapping!D:D,Mapping!E:E)</f>
        <v>Xưởng Sản Xuất</v>
      </c>
      <c r="C629" s="167" t="str">
        <f>_xlfn.XLOOKUP(F629,Mapping!A:A,Mapping!F:F)</f>
        <v>Thưởng</v>
      </c>
      <c r="D629" s="173">
        <v>46112</v>
      </c>
      <c r="E629" s="169" t="s">
        <v>2001</v>
      </c>
      <c r="F629" s="169" t="s">
        <v>426</v>
      </c>
      <c r="G629" s="169" t="s">
        <v>77</v>
      </c>
      <c r="H629" s="169" t="s">
        <v>441</v>
      </c>
      <c r="I629" s="169" t="s">
        <v>442</v>
      </c>
      <c r="J629" s="169" t="s">
        <v>1672</v>
      </c>
      <c r="K629" s="169" t="s">
        <v>1664</v>
      </c>
      <c r="L629" s="169" t="s">
        <v>534</v>
      </c>
      <c r="M629" s="169" t="s">
        <v>1453</v>
      </c>
      <c r="N629" s="178">
        <v>84769</v>
      </c>
      <c r="O629" s="169" t="s">
        <v>2002</v>
      </c>
      <c r="P629" s="169" t="s">
        <v>283</v>
      </c>
      <c r="Q629" s="169" t="s">
        <v>284</v>
      </c>
      <c r="R629" s="169" t="s">
        <v>283</v>
      </c>
      <c r="S629" s="169" t="s">
        <v>283</v>
      </c>
      <c r="T629" s="169">
        <v>0</v>
      </c>
    </row>
    <row r="630" spans="1:20" hidden="1" x14ac:dyDescent="0.2">
      <c r="A630" s="169" t="str">
        <f t="shared" si="10"/>
        <v>627</v>
      </c>
      <c r="B630" s="167" t="str">
        <f>_xlfn.XLOOKUP(I630,Mapping!D:D,Mapping!E:E)</f>
        <v>Xưởng Sản Xuất</v>
      </c>
      <c r="C630" s="167" t="str">
        <f>_xlfn.XLOOKUP(F630,Mapping!A:A,Mapping!F:F)</f>
        <v>BHXH, BHYT, KPCĐ</v>
      </c>
      <c r="D630" s="173">
        <v>46112</v>
      </c>
      <c r="E630" s="169" t="s">
        <v>1676</v>
      </c>
      <c r="F630" s="169" t="s">
        <v>393</v>
      </c>
      <c r="G630" s="169" t="s">
        <v>296</v>
      </c>
      <c r="H630" s="169" t="s">
        <v>436</v>
      </c>
      <c r="I630" s="169" t="s">
        <v>437</v>
      </c>
      <c r="J630" s="169" t="s">
        <v>1677</v>
      </c>
      <c r="K630" s="169" t="s">
        <v>1664</v>
      </c>
      <c r="L630" s="169" t="s">
        <v>534</v>
      </c>
      <c r="M630" s="169" t="s">
        <v>1453</v>
      </c>
      <c r="N630" s="178">
        <v>52066005</v>
      </c>
      <c r="O630" s="169" t="s">
        <v>1678</v>
      </c>
      <c r="P630" s="169" t="s">
        <v>283</v>
      </c>
      <c r="Q630" s="169" t="s">
        <v>284</v>
      </c>
      <c r="R630" s="169" t="s">
        <v>283</v>
      </c>
      <c r="S630" s="169" t="s">
        <v>283</v>
      </c>
      <c r="T630" s="169">
        <v>0</v>
      </c>
    </row>
    <row r="631" spans="1:20" hidden="1" x14ac:dyDescent="0.2">
      <c r="A631" s="169" t="str">
        <f t="shared" si="10"/>
        <v>622</v>
      </c>
      <c r="B631" s="167" t="str">
        <f>_xlfn.XLOOKUP(I631,Mapping!D:D,Mapping!E:E)</f>
        <v>Xưởng Sản Xuất</v>
      </c>
      <c r="C631" s="167" t="str">
        <f>_xlfn.XLOOKUP(F631,Mapping!A:A,Mapping!F:F)</f>
        <v>BHXH, BHYT, KPCĐ</v>
      </c>
      <c r="D631" s="173">
        <v>46112</v>
      </c>
      <c r="E631" s="169" t="s">
        <v>1676</v>
      </c>
      <c r="F631" s="169" t="s">
        <v>425</v>
      </c>
      <c r="G631" s="169" t="s">
        <v>296</v>
      </c>
      <c r="H631" s="169" t="s">
        <v>441</v>
      </c>
      <c r="I631" s="169" t="s">
        <v>442</v>
      </c>
      <c r="J631" s="169" t="s">
        <v>1677</v>
      </c>
      <c r="K631" s="169" t="s">
        <v>1664</v>
      </c>
      <c r="L631" s="169" t="s">
        <v>534</v>
      </c>
      <c r="M631" s="169" t="s">
        <v>1453</v>
      </c>
      <c r="N631" s="178">
        <v>1406240</v>
      </c>
      <c r="O631" s="169" t="s">
        <v>1678</v>
      </c>
      <c r="P631" s="169" t="s">
        <v>283</v>
      </c>
      <c r="Q631" s="169" t="s">
        <v>284</v>
      </c>
      <c r="R631" s="169" t="s">
        <v>283</v>
      </c>
      <c r="S631" s="169" t="s">
        <v>283</v>
      </c>
      <c r="T631" s="169">
        <v>0</v>
      </c>
    </row>
    <row r="632" spans="1:20" hidden="1" x14ac:dyDescent="0.2">
      <c r="A632" s="169" t="str">
        <f t="shared" si="10"/>
        <v>627</v>
      </c>
      <c r="B632" s="167" t="str">
        <f>_xlfn.XLOOKUP(I632,Mapping!D:D,Mapping!E:E)</f>
        <v>Xưởng Sản Xuất</v>
      </c>
      <c r="C632" s="167" t="str">
        <f>_xlfn.XLOOKUP(F632,Mapping!A:A,Mapping!F:F)</f>
        <v>BHXH, BHYT, KPCĐ</v>
      </c>
      <c r="D632" s="173">
        <v>46112</v>
      </c>
      <c r="E632" s="169" t="s">
        <v>1723</v>
      </c>
      <c r="F632" s="169" t="s">
        <v>393</v>
      </c>
      <c r="G632" s="169" t="s">
        <v>296</v>
      </c>
      <c r="H632" s="169" t="s">
        <v>436</v>
      </c>
      <c r="I632" s="169" t="s">
        <v>437</v>
      </c>
      <c r="J632" s="169" t="s">
        <v>1677</v>
      </c>
      <c r="K632" s="169" t="s">
        <v>1664</v>
      </c>
      <c r="L632" s="169" t="s">
        <v>534</v>
      </c>
      <c r="M632" s="169" t="s">
        <v>1453</v>
      </c>
      <c r="N632" s="178">
        <v>1292500</v>
      </c>
      <c r="O632" s="169" t="s">
        <v>1724</v>
      </c>
      <c r="P632" s="169" t="s">
        <v>283</v>
      </c>
      <c r="Q632" s="169" t="s">
        <v>284</v>
      </c>
      <c r="R632" s="169" t="s">
        <v>283</v>
      </c>
      <c r="S632" s="169" t="s">
        <v>283</v>
      </c>
      <c r="T632" s="169">
        <v>0</v>
      </c>
    </row>
    <row r="633" spans="1:20" hidden="1" x14ac:dyDescent="0.2">
      <c r="A633" s="169" t="str">
        <f t="shared" si="10"/>
        <v>627</v>
      </c>
      <c r="B633" s="167" t="str">
        <f>_xlfn.XLOOKUP(I633,Mapping!D:D,Mapping!E:E)</f>
        <v>Xưởng Sản Xuất</v>
      </c>
      <c r="C633" s="167" t="str">
        <f>_xlfn.XLOOKUP(F633,Mapping!A:A,Mapping!F:F)</f>
        <v>BHXH, BHYT, KPCĐ</v>
      </c>
      <c r="D633" s="173">
        <v>46112</v>
      </c>
      <c r="E633" s="169" t="s">
        <v>1832</v>
      </c>
      <c r="F633" s="169" t="s">
        <v>393</v>
      </c>
      <c r="G633" s="169" t="s">
        <v>296</v>
      </c>
      <c r="H633" s="169" t="s">
        <v>436</v>
      </c>
      <c r="I633" s="169" t="s">
        <v>437</v>
      </c>
      <c r="J633" s="169" t="s">
        <v>1833</v>
      </c>
      <c r="K633" s="169" t="s">
        <v>1664</v>
      </c>
      <c r="L633" s="169" t="s">
        <v>534</v>
      </c>
      <c r="M633" s="169" t="s">
        <v>1453</v>
      </c>
      <c r="N633" s="178">
        <v>1507950</v>
      </c>
      <c r="O633" s="169" t="s">
        <v>1834</v>
      </c>
      <c r="P633" s="169" t="s">
        <v>283</v>
      </c>
      <c r="Q633" s="169" t="s">
        <v>284</v>
      </c>
      <c r="R633" s="169" t="s">
        <v>283</v>
      </c>
      <c r="S633" s="169" t="s">
        <v>283</v>
      </c>
      <c r="T633" s="169">
        <v>0</v>
      </c>
    </row>
    <row r="634" spans="1:20" hidden="1" x14ac:dyDescent="0.2">
      <c r="A634" s="169" t="str">
        <f t="shared" si="10"/>
        <v>627</v>
      </c>
      <c r="B634" s="167" t="str">
        <f>_xlfn.XLOOKUP(I634,Mapping!D:D,Mapping!E:E)</f>
        <v>Xưởng Sản Xuất</v>
      </c>
      <c r="C634" s="167" t="str">
        <f>_xlfn.XLOOKUP(F634,Mapping!A:A,Mapping!F:F)</f>
        <v>Phụ Cấp</v>
      </c>
      <c r="D634" s="173">
        <v>46112</v>
      </c>
      <c r="E634" s="169" t="s">
        <v>1725</v>
      </c>
      <c r="F634" s="169" t="s">
        <v>375</v>
      </c>
      <c r="G634" s="169" t="s">
        <v>336</v>
      </c>
      <c r="H634" s="169" t="s">
        <v>436</v>
      </c>
      <c r="I634" s="169" t="s">
        <v>437</v>
      </c>
      <c r="J634" s="169" t="s">
        <v>2003</v>
      </c>
      <c r="K634" s="169" t="s">
        <v>1727</v>
      </c>
      <c r="L634" s="169" t="s">
        <v>534</v>
      </c>
      <c r="M634" s="169" t="s">
        <v>1453</v>
      </c>
      <c r="N634" s="178">
        <v>9151835</v>
      </c>
      <c r="O634" s="169" t="s">
        <v>1728</v>
      </c>
      <c r="P634" s="169" t="s">
        <v>283</v>
      </c>
      <c r="Q634" s="169" t="s">
        <v>306</v>
      </c>
      <c r="R634" s="169" t="s">
        <v>283</v>
      </c>
      <c r="S634" s="169" t="s">
        <v>283</v>
      </c>
      <c r="T634" s="169">
        <v>0</v>
      </c>
    </row>
    <row r="635" spans="1:20" hidden="1" x14ac:dyDescent="0.2">
      <c r="A635" s="169" t="str">
        <f t="shared" si="10"/>
        <v>622</v>
      </c>
      <c r="B635" s="167" t="str">
        <f>_xlfn.XLOOKUP(I635,Mapping!D:D,Mapping!E:E)</f>
        <v>Xưởng Sản Xuất</v>
      </c>
      <c r="C635" s="167" t="str">
        <f>_xlfn.XLOOKUP(F635,Mapping!A:A,Mapping!F:F)</f>
        <v>Phụ Cấp</v>
      </c>
      <c r="D635" s="173">
        <v>46112</v>
      </c>
      <c r="E635" s="169" t="s">
        <v>1937</v>
      </c>
      <c r="F635" s="169" t="s">
        <v>414</v>
      </c>
      <c r="G635" s="169" t="s">
        <v>415</v>
      </c>
      <c r="H635" s="169" t="s">
        <v>441</v>
      </c>
      <c r="I635" s="169" t="s">
        <v>442</v>
      </c>
      <c r="J635" s="169" t="s">
        <v>416</v>
      </c>
      <c r="K635" s="169" t="s">
        <v>416</v>
      </c>
      <c r="L635" s="169" t="s">
        <v>534</v>
      </c>
      <c r="M635" s="169" t="s">
        <v>1453</v>
      </c>
      <c r="N635" s="178">
        <v>476000</v>
      </c>
      <c r="O635" s="169" t="s">
        <v>1938</v>
      </c>
      <c r="P635" s="169" t="s">
        <v>283</v>
      </c>
      <c r="Q635" s="169" t="s">
        <v>348</v>
      </c>
      <c r="R635" s="169" t="s">
        <v>283</v>
      </c>
      <c r="S635" s="169" t="s">
        <v>283</v>
      </c>
      <c r="T635" s="169">
        <v>0</v>
      </c>
    </row>
    <row r="636" spans="1:20" hidden="1" x14ac:dyDescent="0.2">
      <c r="A636" s="169" t="str">
        <f t="shared" si="10"/>
        <v>627</v>
      </c>
      <c r="B636" s="167" t="str">
        <f>_xlfn.XLOOKUP(I636,Mapping!D:D,Mapping!E:E)</f>
        <v>Xưởng Sản Xuất</v>
      </c>
      <c r="C636" s="167" t="str">
        <f>_xlfn.XLOOKUP(F636,Mapping!A:A,Mapping!F:F)</f>
        <v>Phụ Cấp</v>
      </c>
      <c r="D636" s="173">
        <v>46112</v>
      </c>
      <c r="E636" s="169" t="s">
        <v>1937</v>
      </c>
      <c r="F636" s="169" t="s">
        <v>375</v>
      </c>
      <c r="G636" s="169" t="s">
        <v>336</v>
      </c>
      <c r="H636" s="169" t="s">
        <v>441</v>
      </c>
      <c r="I636" s="169" t="s">
        <v>442</v>
      </c>
      <c r="J636" s="169" t="s">
        <v>416</v>
      </c>
      <c r="K636" s="169" t="s">
        <v>416</v>
      </c>
      <c r="L636" s="169" t="s">
        <v>534</v>
      </c>
      <c r="M636" s="169" t="s">
        <v>1453</v>
      </c>
      <c r="N636" s="178">
        <v>-476000</v>
      </c>
      <c r="O636" s="169" t="s">
        <v>1938</v>
      </c>
      <c r="P636" s="169" t="s">
        <v>283</v>
      </c>
      <c r="Q636" s="169" t="s">
        <v>348</v>
      </c>
      <c r="R636" s="169" t="s">
        <v>283</v>
      </c>
      <c r="S636" s="169" t="s">
        <v>283</v>
      </c>
      <c r="T636" s="169">
        <v>0</v>
      </c>
    </row>
    <row r="637" spans="1:20" hidden="1" x14ac:dyDescent="0.2">
      <c r="A637" s="169" t="str">
        <f t="shared" si="10"/>
        <v>622</v>
      </c>
      <c r="B637" s="167" t="str">
        <f>_xlfn.XLOOKUP(I637,Mapping!D:D,Mapping!E:E)</f>
        <v>Xưởng Sản Xuất</v>
      </c>
      <c r="C637" s="167" t="str">
        <f>_xlfn.XLOOKUP(F637,Mapping!A:A,Mapping!F:F)</f>
        <v>Phụ Cấp</v>
      </c>
      <c r="D637" s="173">
        <v>46112</v>
      </c>
      <c r="E637" s="169" t="s">
        <v>1937</v>
      </c>
      <c r="F637" s="169" t="s">
        <v>414</v>
      </c>
      <c r="G637" s="169" t="s">
        <v>415</v>
      </c>
      <c r="H637" s="169" t="s">
        <v>441</v>
      </c>
      <c r="I637" s="169" t="s">
        <v>442</v>
      </c>
      <c r="J637" s="169" t="s">
        <v>416</v>
      </c>
      <c r="K637" s="169" t="s">
        <v>416</v>
      </c>
      <c r="L637" s="169" t="s">
        <v>534</v>
      </c>
      <c r="M637" s="169" t="s">
        <v>1453</v>
      </c>
      <c r="N637" s="178">
        <v>56000</v>
      </c>
      <c r="O637" s="169" t="s">
        <v>1938</v>
      </c>
      <c r="P637" s="169" t="s">
        <v>283</v>
      </c>
      <c r="Q637" s="169" t="s">
        <v>348</v>
      </c>
      <c r="R637" s="169" t="s">
        <v>283</v>
      </c>
      <c r="S637" s="169" t="s">
        <v>283</v>
      </c>
      <c r="T637" s="169">
        <v>0</v>
      </c>
    </row>
    <row r="638" spans="1:20" hidden="1" x14ac:dyDescent="0.2">
      <c r="A638" s="169" t="str">
        <f t="shared" ref="A638:A701" si="11">LEFT(F638,3)</f>
        <v>642</v>
      </c>
      <c r="B638" s="167" t="str">
        <f>_xlfn.XLOOKUP(I638,Mapping!D:D,Mapping!E:E)</f>
        <v>Ban Giám Đốc</v>
      </c>
      <c r="C638" s="167" t="str">
        <f>_xlfn.XLOOKUP(F638,Mapping!A:A,Mapping!F:F)</f>
        <v>Lương Chính +T13</v>
      </c>
      <c r="D638" s="173">
        <v>46142</v>
      </c>
      <c r="E638" s="169" t="s">
        <v>2024</v>
      </c>
      <c r="F638" s="169" t="s">
        <v>274</v>
      </c>
      <c r="G638" s="169" t="s">
        <v>275</v>
      </c>
      <c r="H638" s="169" t="s">
        <v>276</v>
      </c>
      <c r="I638" s="169" t="s">
        <v>277</v>
      </c>
      <c r="J638" s="169" t="s">
        <v>2025</v>
      </c>
      <c r="K638" s="169" t="s">
        <v>2026</v>
      </c>
      <c r="L638" s="169" t="s">
        <v>631</v>
      </c>
      <c r="M638" s="169" t="s">
        <v>1453</v>
      </c>
      <c r="N638" s="178">
        <v>1830529760</v>
      </c>
      <c r="O638" s="169" t="s">
        <v>2027</v>
      </c>
      <c r="P638" s="169" t="s">
        <v>283</v>
      </c>
      <c r="Q638" s="169" t="s">
        <v>284</v>
      </c>
      <c r="R638" s="169" t="s">
        <v>283</v>
      </c>
      <c r="S638" s="169" t="s">
        <v>283</v>
      </c>
      <c r="T638" s="169">
        <v>0</v>
      </c>
    </row>
    <row r="639" spans="1:20" hidden="1" x14ac:dyDescent="0.2">
      <c r="A639" s="169" t="str">
        <f t="shared" si="11"/>
        <v>642</v>
      </c>
      <c r="B639" s="167" t="str">
        <f>_xlfn.XLOOKUP(I639,Mapping!D:D,Mapping!E:E)</f>
        <v>Ban Giám Đốc</v>
      </c>
      <c r="C639" s="167" t="str">
        <f>_xlfn.XLOOKUP(F639,Mapping!A:A,Mapping!F:F)</f>
        <v>Lương Chính +T13</v>
      </c>
      <c r="D639" s="173">
        <v>46142</v>
      </c>
      <c r="E639" s="169" t="s">
        <v>2028</v>
      </c>
      <c r="F639" s="169" t="s">
        <v>285</v>
      </c>
      <c r="G639" s="169" t="s">
        <v>286</v>
      </c>
      <c r="H639" s="169" t="s">
        <v>276</v>
      </c>
      <c r="I639" s="169" t="s">
        <v>277</v>
      </c>
      <c r="J639" s="169" t="s">
        <v>2025</v>
      </c>
      <c r="K639" s="169" t="s">
        <v>2026</v>
      </c>
      <c r="L639" s="169" t="s">
        <v>631</v>
      </c>
      <c r="M639" s="169" t="s">
        <v>1453</v>
      </c>
      <c r="N639" s="178">
        <v>119061283</v>
      </c>
      <c r="O639" s="169" t="s">
        <v>2029</v>
      </c>
      <c r="P639" s="169" t="s">
        <v>283</v>
      </c>
      <c r="Q639" s="169" t="s">
        <v>284</v>
      </c>
      <c r="R639" s="169" t="s">
        <v>283</v>
      </c>
      <c r="S639" s="169" t="s">
        <v>283</v>
      </c>
      <c r="T639" s="169">
        <v>0</v>
      </c>
    </row>
    <row r="640" spans="1:20" hidden="1" x14ac:dyDescent="0.2">
      <c r="A640" s="169" t="str">
        <f t="shared" si="11"/>
        <v>642</v>
      </c>
      <c r="B640" s="167" t="str">
        <f>_xlfn.XLOOKUP(I640,Mapping!D:D,Mapping!E:E)</f>
        <v>Ban Giám Đốc</v>
      </c>
      <c r="C640" s="167" t="str">
        <f>_xlfn.XLOOKUP(F640,Mapping!A:A,Mapping!F:F)</f>
        <v>Lương Chính +T13</v>
      </c>
      <c r="D640" s="173">
        <v>46142</v>
      </c>
      <c r="E640" s="169" t="s">
        <v>2030</v>
      </c>
      <c r="F640" s="169" t="s">
        <v>285</v>
      </c>
      <c r="G640" s="169" t="s">
        <v>286</v>
      </c>
      <c r="H640" s="169" t="s">
        <v>276</v>
      </c>
      <c r="I640" s="169" t="s">
        <v>277</v>
      </c>
      <c r="J640" s="169" t="s">
        <v>2031</v>
      </c>
      <c r="K640" s="169" t="s">
        <v>2026</v>
      </c>
      <c r="L640" s="169" t="s">
        <v>631</v>
      </c>
      <c r="M640" s="169" t="s">
        <v>1453</v>
      </c>
      <c r="N640" s="178">
        <v>135504561</v>
      </c>
      <c r="O640" s="169" t="s">
        <v>2032</v>
      </c>
      <c r="P640" s="169" t="s">
        <v>283</v>
      </c>
      <c r="Q640" s="169" t="s">
        <v>284</v>
      </c>
      <c r="R640" s="169" t="s">
        <v>283</v>
      </c>
      <c r="S640" s="169" t="s">
        <v>283</v>
      </c>
      <c r="T640" s="169">
        <v>0</v>
      </c>
    </row>
    <row r="641" spans="1:20" hidden="1" x14ac:dyDescent="0.2">
      <c r="A641" s="169" t="str">
        <f t="shared" si="11"/>
        <v>642</v>
      </c>
      <c r="B641" s="167" t="str">
        <f>_xlfn.XLOOKUP(I641,Mapping!D:D,Mapping!E:E)</f>
        <v>Ban Giám Đốc</v>
      </c>
      <c r="C641" s="167" t="str">
        <f>_xlfn.XLOOKUP(F641,Mapping!A:A,Mapping!F:F)</f>
        <v>Thưởng</v>
      </c>
      <c r="D641" s="173">
        <v>46142</v>
      </c>
      <c r="E641" s="169" t="s">
        <v>2033</v>
      </c>
      <c r="F641" s="169" t="s">
        <v>292</v>
      </c>
      <c r="G641" s="169" t="s">
        <v>77</v>
      </c>
      <c r="H641" s="169" t="s">
        <v>276</v>
      </c>
      <c r="I641" s="169" t="s">
        <v>277</v>
      </c>
      <c r="J641" s="169" t="s">
        <v>2034</v>
      </c>
      <c r="K641" s="169" t="s">
        <v>2026</v>
      </c>
      <c r="L641" s="169" t="s">
        <v>631</v>
      </c>
      <c r="M641" s="169" t="s">
        <v>1453</v>
      </c>
      <c r="N641" s="178">
        <v>124663112</v>
      </c>
      <c r="O641" s="169" t="s">
        <v>2035</v>
      </c>
      <c r="P641" s="169" t="s">
        <v>283</v>
      </c>
      <c r="Q641" s="169" t="s">
        <v>284</v>
      </c>
      <c r="R641" s="169" t="s">
        <v>283</v>
      </c>
      <c r="S641" s="169" t="s">
        <v>283</v>
      </c>
      <c r="T641" s="169">
        <v>0</v>
      </c>
    </row>
    <row r="642" spans="1:20" hidden="1" x14ac:dyDescent="0.2">
      <c r="A642" s="169" t="str">
        <f t="shared" si="11"/>
        <v>642</v>
      </c>
      <c r="B642" s="167" t="str">
        <f>_xlfn.XLOOKUP(I642,Mapping!D:D,Mapping!E:E)</f>
        <v>Ban Giám Đốc</v>
      </c>
      <c r="C642" s="167" t="str">
        <f>_xlfn.XLOOKUP(F642,Mapping!A:A,Mapping!F:F)</f>
        <v>BHXH, BHYT, KPCĐ</v>
      </c>
      <c r="D642" s="173">
        <v>46142</v>
      </c>
      <c r="E642" s="169" t="s">
        <v>2036</v>
      </c>
      <c r="F642" s="169" t="s">
        <v>295</v>
      </c>
      <c r="G642" s="169" t="s">
        <v>296</v>
      </c>
      <c r="H642" s="169" t="s">
        <v>276</v>
      </c>
      <c r="I642" s="169" t="s">
        <v>277</v>
      </c>
      <c r="J642" s="169" t="s">
        <v>2037</v>
      </c>
      <c r="K642" s="169" t="s">
        <v>2026</v>
      </c>
      <c r="L642" s="169" t="s">
        <v>631</v>
      </c>
      <c r="M642" s="169" t="s">
        <v>1453</v>
      </c>
      <c r="N642" s="178">
        <v>160120545</v>
      </c>
      <c r="O642" s="169" t="s">
        <v>2038</v>
      </c>
      <c r="P642" s="169" t="s">
        <v>283</v>
      </c>
      <c r="Q642" s="169" t="s">
        <v>284</v>
      </c>
      <c r="R642" s="169" t="s">
        <v>283</v>
      </c>
      <c r="S642" s="169" t="s">
        <v>283</v>
      </c>
      <c r="T642" s="169">
        <v>0</v>
      </c>
    </row>
    <row r="643" spans="1:20" hidden="1" x14ac:dyDescent="0.2">
      <c r="A643" s="169" t="str">
        <f t="shared" si="11"/>
        <v>642</v>
      </c>
      <c r="B643" s="167" t="str">
        <f>_xlfn.XLOOKUP(I643,Mapping!D:D,Mapping!E:E)</f>
        <v>Ban Giám Đốc</v>
      </c>
      <c r="C643" s="167" t="str">
        <f>_xlfn.XLOOKUP(F643,Mapping!A:A,Mapping!F:F)</f>
        <v>BHXH, BHYT, KPCĐ</v>
      </c>
      <c r="D643" s="173">
        <v>46142</v>
      </c>
      <c r="E643" s="169" t="s">
        <v>2039</v>
      </c>
      <c r="F643" s="169" t="s">
        <v>295</v>
      </c>
      <c r="G643" s="169" t="s">
        <v>296</v>
      </c>
      <c r="H643" s="169" t="s">
        <v>276</v>
      </c>
      <c r="I643" s="169" t="s">
        <v>277</v>
      </c>
      <c r="J643" s="169" t="s">
        <v>2040</v>
      </c>
      <c r="K643" s="169" t="s">
        <v>2026</v>
      </c>
      <c r="L643" s="169" t="s">
        <v>631</v>
      </c>
      <c r="M643" s="169" t="s">
        <v>1453</v>
      </c>
      <c r="N643" s="178">
        <v>4880000</v>
      </c>
      <c r="O643" s="169" t="s">
        <v>2041</v>
      </c>
      <c r="P643" s="169" t="s">
        <v>283</v>
      </c>
      <c r="Q643" s="169" t="s">
        <v>284</v>
      </c>
      <c r="R643" s="169" t="s">
        <v>283</v>
      </c>
      <c r="S643" s="169" t="s">
        <v>283</v>
      </c>
      <c r="T643" s="169">
        <v>0</v>
      </c>
    </row>
    <row r="644" spans="1:20" hidden="1" x14ac:dyDescent="0.2">
      <c r="A644" s="169" t="str">
        <f t="shared" si="11"/>
        <v>642</v>
      </c>
      <c r="B644" s="167" t="str">
        <f>_xlfn.XLOOKUP(I644,Mapping!D:D,Mapping!E:E)</f>
        <v>Ban Giám Đốc</v>
      </c>
      <c r="C644" s="167" t="str">
        <f>_xlfn.XLOOKUP(F644,Mapping!A:A,Mapping!F:F)</f>
        <v>Khen thưởng BD khác</v>
      </c>
      <c r="D644" s="173">
        <v>46125</v>
      </c>
      <c r="E644" s="169" t="s">
        <v>2042</v>
      </c>
      <c r="F644" s="169" t="s">
        <v>300</v>
      </c>
      <c r="G644" s="169" t="s">
        <v>222</v>
      </c>
      <c r="H644" s="169" t="s">
        <v>1718</v>
      </c>
      <c r="I644" s="169" t="s">
        <v>1719</v>
      </c>
      <c r="J644" s="169" t="s">
        <v>2043</v>
      </c>
      <c r="K644" s="169" t="s">
        <v>2043</v>
      </c>
      <c r="L644" s="169" t="s">
        <v>631</v>
      </c>
      <c r="M644" s="169" t="s">
        <v>1453</v>
      </c>
      <c r="N644" s="178">
        <v>28105407</v>
      </c>
      <c r="O644" s="169" t="s">
        <v>2044</v>
      </c>
      <c r="P644" s="169" t="s">
        <v>283</v>
      </c>
      <c r="Q644" s="169" t="s">
        <v>370</v>
      </c>
      <c r="R644" s="169" t="s">
        <v>283</v>
      </c>
      <c r="S644" s="169" t="s">
        <v>283</v>
      </c>
      <c r="T644" s="169">
        <v>0</v>
      </c>
    </row>
    <row r="645" spans="1:20" hidden="1" x14ac:dyDescent="0.2">
      <c r="A645" s="169" t="str">
        <f t="shared" si="11"/>
        <v>642</v>
      </c>
      <c r="B645" s="167" t="str">
        <f>_xlfn.XLOOKUP(I645,Mapping!D:D,Mapping!E:E)</f>
        <v>Ban Giám Đốc</v>
      </c>
      <c r="C645" s="167" t="str">
        <f>_xlfn.XLOOKUP(F645,Mapping!A:A,Mapping!F:F)</f>
        <v>Khen thưởng BD khác</v>
      </c>
      <c r="D645" s="173">
        <v>46135</v>
      </c>
      <c r="E645" s="169" t="s">
        <v>2045</v>
      </c>
      <c r="F645" s="169" t="s">
        <v>300</v>
      </c>
      <c r="G645" s="169" t="s">
        <v>222</v>
      </c>
      <c r="H645" s="169" t="s">
        <v>1718</v>
      </c>
      <c r="I645" s="169" t="s">
        <v>1719</v>
      </c>
      <c r="J645" s="169" t="s">
        <v>2046</v>
      </c>
      <c r="K645" s="169" t="s">
        <v>2043</v>
      </c>
      <c r="L645" s="169" t="s">
        <v>631</v>
      </c>
      <c r="M645" s="169" t="s">
        <v>1453</v>
      </c>
      <c r="N645" s="178">
        <v>26715000</v>
      </c>
      <c r="O645" s="169" t="s">
        <v>2047</v>
      </c>
      <c r="P645" s="169" t="s">
        <v>283</v>
      </c>
      <c r="Q645" s="169" t="s">
        <v>370</v>
      </c>
      <c r="R645" s="169" t="s">
        <v>283</v>
      </c>
      <c r="S645" s="169" t="s">
        <v>283</v>
      </c>
      <c r="T645" s="169">
        <v>0</v>
      </c>
    </row>
    <row r="646" spans="1:20" hidden="1" x14ac:dyDescent="0.2">
      <c r="A646" s="169" t="str">
        <f t="shared" si="11"/>
        <v>642</v>
      </c>
      <c r="B646" s="167" t="str">
        <f>_xlfn.XLOOKUP(I646,Mapping!D:D,Mapping!E:E)</f>
        <v>Văn Phòng Giám Đốc</v>
      </c>
      <c r="C646" s="167" t="str">
        <f>_xlfn.XLOOKUP(F646,Mapping!A:A,Mapping!F:F)</f>
        <v>Lương Chính +T13</v>
      </c>
      <c r="D646" s="173">
        <v>46142</v>
      </c>
      <c r="E646" s="169" t="s">
        <v>2048</v>
      </c>
      <c r="F646" s="169" t="s">
        <v>274</v>
      </c>
      <c r="G646" s="169" t="s">
        <v>275</v>
      </c>
      <c r="H646" s="169" t="s">
        <v>320</v>
      </c>
      <c r="I646" s="169" t="s">
        <v>321</v>
      </c>
      <c r="J646" s="169" t="s">
        <v>2025</v>
      </c>
      <c r="K646" s="169" t="s">
        <v>2026</v>
      </c>
      <c r="L646" s="169" t="s">
        <v>631</v>
      </c>
      <c r="M646" s="169" t="s">
        <v>1453</v>
      </c>
      <c r="N646" s="178">
        <v>235748525</v>
      </c>
      <c r="O646" s="169" t="s">
        <v>2049</v>
      </c>
      <c r="P646" s="169" t="s">
        <v>283</v>
      </c>
      <c r="Q646" s="169" t="s">
        <v>284</v>
      </c>
      <c r="R646" s="169" t="s">
        <v>283</v>
      </c>
      <c r="S646" s="169" t="s">
        <v>283</v>
      </c>
      <c r="T646" s="169">
        <v>0</v>
      </c>
    </row>
    <row r="647" spans="1:20" hidden="1" x14ac:dyDescent="0.2">
      <c r="A647" s="169" t="str">
        <f t="shared" si="11"/>
        <v>642</v>
      </c>
      <c r="B647" s="167" t="str">
        <f>_xlfn.XLOOKUP(I647,Mapping!D:D,Mapping!E:E)</f>
        <v>Văn Phòng Giám Đốc</v>
      </c>
      <c r="C647" s="167" t="str">
        <f>_xlfn.XLOOKUP(F647,Mapping!A:A,Mapping!F:F)</f>
        <v>Lương Chính +T13</v>
      </c>
      <c r="D647" s="173">
        <v>46142</v>
      </c>
      <c r="E647" s="169" t="s">
        <v>2050</v>
      </c>
      <c r="F647" s="169" t="s">
        <v>285</v>
      </c>
      <c r="G647" s="169" t="s">
        <v>286</v>
      </c>
      <c r="H647" s="169" t="s">
        <v>320</v>
      </c>
      <c r="I647" s="169" t="s">
        <v>321</v>
      </c>
      <c r="J647" s="169" t="s">
        <v>2025</v>
      </c>
      <c r="K647" s="169" t="s">
        <v>2026</v>
      </c>
      <c r="L647" s="169" t="s">
        <v>631</v>
      </c>
      <c r="M647" s="169" t="s">
        <v>1453</v>
      </c>
      <c r="N647" s="178">
        <v>3982154</v>
      </c>
      <c r="O647" s="169" t="s">
        <v>2051</v>
      </c>
      <c r="P647" s="169" t="s">
        <v>283</v>
      </c>
      <c r="Q647" s="169" t="s">
        <v>284</v>
      </c>
      <c r="R647" s="169" t="s">
        <v>283</v>
      </c>
      <c r="S647" s="169" t="s">
        <v>283</v>
      </c>
      <c r="T647" s="169">
        <v>0</v>
      </c>
    </row>
    <row r="648" spans="1:20" hidden="1" x14ac:dyDescent="0.2">
      <c r="A648" s="169" t="str">
        <f t="shared" si="11"/>
        <v>642</v>
      </c>
      <c r="B648" s="167" t="str">
        <f>_xlfn.XLOOKUP(I648,Mapping!D:D,Mapping!E:E)</f>
        <v>Hành Chánh Nhân Sự</v>
      </c>
      <c r="C648" s="167" t="str">
        <f>_xlfn.XLOOKUP(F648,Mapping!A:A,Mapping!F:F)</f>
        <v>Phụ Cấp</v>
      </c>
      <c r="D648" s="173">
        <v>46142</v>
      </c>
      <c r="E648" s="169" t="s">
        <v>2052</v>
      </c>
      <c r="F648" s="169" t="s">
        <v>340</v>
      </c>
      <c r="G648" s="169" t="s">
        <v>341</v>
      </c>
      <c r="H648" s="169" t="s">
        <v>301</v>
      </c>
      <c r="I648" s="169" t="s">
        <v>302</v>
      </c>
      <c r="J648" s="169" t="s">
        <v>2025</v>
      </c>
      <c r="K648" s="169" t="s">
        <v>2026</v>
      </c>
      <c r="L648" s="169" t="s">
        <v>631</v>
      </c>
      <c r="M648" s="169" t="s">
        <v>1453</v>
      </c>
      <c r="N648" s="178">
        <v>8068096</v>
      </c>
      <c r="O648" s="169" t="s">
        <v>2053</v>
      </c>
      <c r="P648" s="169" t="s">
        <v>283</v>
      </c>
      <c r="Q648" s="169" t="s">
        <v>284</v>
      </c>
      <c r="R648" s="169" t="s">
        <v>283</v>
      </c>
      <c r="S648" s="169" t="s">
        <v>283</v>
      </c>
      <c r="T648" s="169">
        <v>0</v>
      </c>
    </row>
    <row r="649" spans="1:20" hidden="1" x14ac:dyDescent="0.2">
      <c r="A649" s="169" t="str">
        <f t="shared" si="11"/>
        <v>642</v>
      </c>
      <c r="B649" s="167" t="str">
        <f>_xlfn.XLOOKUP(I649,Mapping!D:D,Mapping!E:E)</f>
        <v>Hành Chánh Nhân Sự</v>
      </c>
      <c r="C649" s="167" t="str">
        <f>_xlfn.XLOOKUP(F649,Mapping!A:A,Mapping!F:F)</f>
        <v>Lương Chính +T13</v>
      </c>
      <c r="D649" s="173">
        <v>46142</v>
      </c>
      <c r="E649" s="169" t="s">
        <v>2054</v>
      </c>
      <c r="F649" s="169" t="s">
        <v>274</v>
      </c>
      <c r="G649" s="169" t="s">
        <v>275</v>
      </c>
      <c r="H649" s="169" t="s">
        <v>301</v>
      </c>
      <c r="I649" s="169" t="s">
        <v>302</v>
      </c>
      <c r="J649" s="169" t="s">
        <v>2025</v>
      </c>
      <c r="K649" s="169" t="s">
        <v>2026</v>
      </c>
      <c r="L649" s="169" t="s">
        <v>631</v>
      </c>
      <c r="M649" s="169" t="s">
        <v>1453</v>
      </c>
      <c r="N649" s="178">
        <v>416651184</v>
      </c>
      <c r="O649" s="169" t="s">
        <v>2055</v>
      </c>
      <c r="P649" s="169" t="s">
        <v>283</v>
      </c>
      <c r="Q649" s="169" t="s">
        <v>284</v>
      </c>
      <c r="R649" s="169" t="s">
        <v>283</v>
      </c>
      <c r="S649" s="169" t="s">
        <v>283</v>
      </c>
      <c r="T649" s="169">
        <v>0</v>
      </c>
    </row>
    <row r="650" spans="1:20" hidden="1" x14ac:dyDescent="0.2">
      <c r="A650" s="169" t="str">
        <f t="shared" si="11"/>
        <v>642</v>
      </c>
      <c r="B650" s="167" t="str">
        <f>_xlfn.XLOOKUP(I650,Mapping!D:D,Mapping!E:E)</f>
        <v>Hành Chánh Nhân Sự</v>
      </c>
      <c r="C650" s="167" t="str">
        <f>_xlfn.XLOOKUP(F650,Mapping!A:A,Mapping!F:F)</f>
        <v>Lương Chính +T13</v>
      </c>
      <c r="D650" s="173">
        <v>46142</v>
      </c>
      <c r="E650" s="169" t="s">
        <v>2056</v>
      </c>
      <c r="F650" s="169" t="s">
        <v>285</v>
      </c>
      <c r="G650" s="169" t="s">
        <v>286</v>
      </c>
      <c r="H650" s="169" t="s">
        <v>301</v>
      </c>
      <c r="I650" s="169" t="s">
        <v>302</v>
      </c>
      <c r="J650" s="169" t="s">
        <v>2025</v>
      </c>
      <c r="K650" s="169" t="s">
        <v>2026</v>
      </c>
      <c r="L650" s="169" t="s">
        <v>631</v>
      </c>
      <c r="M650" s="169" t="s">
        <v>1453</v>
      </c>
      <c r="N650" s="178">
        <v>3458749</v>
      </c>
      <c r="O650" s="169" t="s">
        <v>2057</v>
      </c>
      <c r="P650" s="169" t="s">
        <v>283</v>
      </c>
      <c r="Q650" s="169" t="s">
        <v>284</v>
      </c>
      <c r="R650" s="169" t="s">
        <v>283</v>
      </c>
      <c r="S650" s="169" t="s">
        <v>283</v>
      </c>
      <c r="T650" s="169">
        <v>0</v>
      </c>
    </row>
    <row r="651" spans="1:20" hidden="1" x14ac:dyDescent="0.2">
      <c r="A651" s="169" t="str">
        <f t="shared" si="11"/>
        <v>642</v>
      </c>
      <c r="B651" s="167" t="str">
        <f>_xlfn.XLOOKUP(I651,Mapping!D:D,Mapping!E:E)</f>
        <v>Hành Chánh Nhân Sự</v>
      </c>
      <c r="C651" s="167" t="str">
        <f>_xlfn.XLOOKUP(F651,Mapping!A:A,Mapping!F:F)</f>
        <v>Lương Ngoài giờ</v>
      </c>
      <c r="D651" s="173">
        <v>46142</v>
      </c>
      <c r="E651" s="169" t="s">
        <v>2058</v>
      </c>
      <c r="F651" s="169" t="s">
        <v>342</v>
      </c>
      <c r="G651" s="169" t="s">
        <v>343</v>
      </c>
      <c r="H651" s="169" t="s">
        <v>301</v>
      </c>
      <c r="I651" s="169" t="s">
        <v>302</v>
      </c>
      <c r="J651" s="169" t="s">
        <v>2025</v>
      </c>
      <c r="K651" s="169" t="s">
        <v>2026</v>
      </c>
      <c r="L651" s="169" t="s">
        <v>631</v>
      </c>
      <c r="M651" s="169" t="s">
        <v>1453</v>
      </c>
      <c r="N651" s="178">
        <v>87795214</v>
      </c>
      <c r="O651" s="169" t="s">
        <v>2059</v>
      </c>
      <c r="P651" s="169" t="s">
        <v>283</v>
      </c>
      <c r="Q651" s="169" t="s">
        <v>284</v>
      </c>
      <c r="R651" s="169" t="s">
        <v>283</v>
      </c>
      <c r="S651" s="169" t="s">
        <v>283</v>
      </c>
      <c r="T651" s="169">
        <v>0</v>
      </c>
    </row>
    <row r="652" spans="1:20" hidden="1" x14ac:dyDescent="0.2">
      <c r="A652" s="169" t="str">
        <f t="shared" si="11"/>
        <v>642</v>
      </c>
      <c r="B652" s="167" t="str">
        <f>_xlfn.XLOOKUP(I652,Mapping!D:D,Mapping!E:E)</f>
        <v>Hành Chánh Nhân Sự</v>
      </c>
      <c r="C652" s="167" t="str">
        <f>_xlfn.XLOOKUP(F652,Mapping!A:A,Mapping!F:F)</f>
        <v>Phụ Cấp</v>
      </c>
      <c r="D652" s="173">
        <v>46142</v>
      </c>
      <c r="E652" s="169" t="s">
        <v>2060</v>
      </c>
      <c r="F652" s="169" t="s">
        <v>335</v>
      </c>
      <c r="G652" s="169" t="s">
        <v>336</v>
      </c>
      <c r="H652" s="169" t="s">
        <v>301</v>
      </c>
      <c r="I652" s="169" t="s">
        <v>302</v>
      </c>
      <c r="J652" s="169" t="s">
        <v>2025</v>
      </c>
      <c r="K652" s="169" t="s">
        <v>2026</v>
      </c>
      <c r="L652" s="169" t="s">
        <v>631</v>
      </c>
      <c r="M652" s="169" t="s">
        <v>1453</v>
      </c>
      <c r="N652" s="178">
        <v>3870000</v>
      </c>
      <c r="O652" s="169" t="s">
        <v>2061</v>
      </c>
      <c r="P652" s="169" t="s">
        <v>283</v>
      </c>
      <c r="Q652" s="169" t="s">
        <v>284</v>
      </c>
      <c r="R652" s="169" t="s">
        <v>283</v>
      </c>
      <c r="S652" s="169" t="s">
        <v>283</v>
      </c>
      <c r="T652" s="169">
        <v>0</v>
      </c>
    </row>
    <row r="653" spans="1:20" hidden="1" x14ac:dyDescent="0.2">
      <c r="A653" s="169" t="str">
        <f t="shared" si="11"/>
        <v>642</v>
      </c>
      <c r="B653" s="167" t="str">
        <f>_xlfn.XLOOKUP(I653,Mapping!D:D,Mapping!E:E)</f>
        <v>Văn Phòng Giám Đốc</v>
      </c>
      <c r="C653" s="167" t="str">
        <f>_xlfn.XLOOKUP(F653,Mapping!A:A,Mapping!F:F)</f>
        <v>BHXH, BHYT, KPCĐ</v>
      </c>
      <c r="D653" s="173">
        <v>46142</v>
      </c>
      <c r="E653" s="169" t="s">
        <v>2036</v>
      </c>
      <c r="F653" s="169" t="s">
        <v>295</v>
      </c>
      <c r="G653" s="169" t="s">
        <v>296</v>
      </c>
      <c r="H653" s="169" t="s">
        <v>320</v>
      </c>
      <c r="I653" s="169" t="s">
        <v>321</v>
      </c>
      <c r="J653" s="169" t="s">
        <v>2037</v>
      </c>
      <c r="K653" s="169" t="s">
        <v>2026</v>
      </c>
      <c r="L653" s="169" t="s">
        <v>631</v>
      </c>
      <c r="M653" s="169" t="s">
        <v>1453</v>
      </c>
      <c r="N653" s="178">
        <v>18743130</v>
      </c>
      <c r="O653" s="169" t="s">
        <v>2038</v>
      </c>
      <c r="P653" s="169" t="s">
        <v>283</v>
      </c>
      <c r="Q653" s="169" t="s">
        <v>284</v>
      </c>
      <c r="R653" s="169" t="s">
        <v>283</v>
      </c>
      <c r="S653" s="169" t="s">
        <v>283</v>
      </c>
      <c r="T653" s="169">
        <v>0</v>
      </c>
    </row>
    <row r="654" spans="1:20" hidden="1" x14ac:dyDescent="0.2">
      <c r="A654" s="169" t="str">
        <f t="shared" si="11"/>
        <v>642</v>
      </c>
      <c r="B654" s="167" t="str">
        <f>_xlfn.XLOOKUP(I654,Mapping!D:D,Mapping!E:E)</f>
        <v>Hành Chánh Nhân Sự</v>
      </c>
      <c r="C654" s="167" t="str">
        <f>_xlfn.XLOOKUP(F654,Mapping!A:A,Mapping!F:F)</f>
        <v>BHXH, BHYT, KPCĐ</v>
      </c>
      <c r="D654" s="173">
        <v>46142</v>
      </c>
      <c r="E654" s="169" t="s">
        <v>2036</v>
      </c>
      <c r="F654" s="169" t="s">
        <v>295</v>
      </c>
      <c r="G654" s="169" t="s">
        <v>296</v>
      </c>
      <c r="H654" s="169" t="s">
        <v>301</v>
      </c>
      <c r="I654" s="169" t="s">
        <v>302</v>
      </c>
      <c r="J654" s="169" t="s">
        <v>2037</v>
      </c>
      <c r="K654" s="169" t="s">
        <v>2026</v>
      </c>
      <c r="L654" s="169" t="s">
        <v>631</v>
      </c>
      <c r="M654" s="169" t="s">
        <v>1453</v>
      </c>
      <c r="N654" s="178">
        <v>92467290</v>
      </c>
      <c r="O654" s="169" t="s">
        <v>2038</v>
      </c>
      <c r="P654" s="169" t="s">
        <v>283</v>
      </c>
      <c r="Q654" s="169" t="s">
        <v>284</v>
      </c>
      <c r="R654" s="169" t="s">
        <v>283</v>
      </c>
      <c r="S654" s="169" t="s">
        <v>283</v>
      </c>
      <c r="T654" s="169">
        <v>0</v>
      </c>
    </row>
    <row r="655" spans="1:20" hidden="1" x14ac:dyDescent="0.2">
      <c r="A655" s="169" t="str">
        <f t="shared" si="11"/>
        <v>642</v>
      </c>
      <c r="B655" s="167" t="str">
        <f>_xlfn.XLOOKUP(I655,Mapping!D:D,Mapping!E:E)</f>
        <v>Văn Phòng Giám Đốc</v>
      </c>
      <c r="C655" s="167" t="str">
        <f>_xlfn.XLOOKUP(F655,Mapping!A:A,Mapping!F:F)</f>
        <v>Lương Chính +T13</v>
      </c>
      <c r="D655" s="173">
        <v>46142</v>
      </c>
      <c r="E655" s="169" t="s">
        <v>2062</v>
      </c>
      <c r="F655" s="169" t="s">
        <v>285</v>
      </c>
      <c r="G655" s="169" t="s">
        <v>286</v>
      </c>
      <c r="H655" s="169" t="s">
        <v>320</v>
      </c>
      <c r="I655" s="169" t="s">
        <v>321</v>
      </c>
      <c r="J655" s="169" t="s">
        <v>2031</v>
      </c>
      <c r="K655" s="169" t="s">
        <v>2026</v>
      </c>
      <c r="L655" s="169" t="s">
        <v>631</v>
      </c>
      <c r="M655" s="169" t="s">
        <v>1453</v>
      </c>
      <c r="N655" s="178">
        <v>6646500</v>
      </c>
      <c r="O655" s="169" t="s">
        <v>2063</v>
      </c>
      <c r="P655" s="169" t="s">
        <v>283</v>
      </c>
      <c r="Q655" s="169" t="s">
        <v>284</v>
      </c>
      <c r="R655" s="169" t="s">
        <v>283</v>
      </c>
      <c r="S655" s="169" t="s">
        <v>283</v>
      </c>
      <c r="T655" s="169">
        <v>0</v>
      </c>
    </row>
    <row r="656" spans="1:20" hidden="1" x14ac:dyDescent="0.2">
      <c r="A656" s="169" t="str">
        <f t="shared" si="11"/>
        <v>642</v>
      </c>
      <c r="B656" s="167" t="str">
        <f>_xlfn.XLOOKUP(I656,Mapping!D:D,Mapping!E:E)</f>
        <v>Văn Phòng Giám Đốc</v>
      </c>
      <c r="C656" s="167" t="str">
        <f>_xlfn.XLOOKUP(F656,Mapping!A:A,Mapping!F:F)</f>
        <v>Thưởng</v>
      </c>
      <c r="D656" s="173">
        <v>46142</v>
      </c>
      <c r="E656" s="169" t="s">
        <v>2064</v>
      </c>
      <c r="F656" s="169" t="s">
        <v>292</v>
      </c>
      <c r="G656" s="169" t="s">
        <v>77</v>
      </c>
      <c r="H656" s="169" t="s">
        <v>320</v>
      </c>
      <c r="I656" s="169" t="s">
        <v>321</v>
      </c>
      <c r="J656" s="169" t="s">
        <v>2034</v>
      </c>
      <c r="K656" s="169" t="s">
        <v>2026</v>
      </c>
      <c r="L656" s="169" t="s">
        <v>631</v>
      </c>
      <c r="M656" s="169" t="s">
        <v>1453</v>
      </c>
      <c r="N656" s="178">
        <v>6114727</v>
      </c>
      <c r="O656" s="169" t="s">
        <v>2065</v>
      </c>
      <c r="P656" s="169" t="s">
        <v>283</v>
      </c>
      <c r="Q656" s="169" t="s">
        <v>284</v>
      </c>
      <c r="R656" s="169" t="s">
        <v>283</v>
      </c>
      <c r="S656" s="169" t="s">
        <v>283</v>
      </c>
      <c r="T656" s="169">
        <v>0</v>
      </c>
    </row>
    <row r="657" spans="1:20" hidden="1" x14ac:dyDescent="0.2">
      <c r="A657" s="169" t="str">
        <f t="shared" si="11"/>
        <v>642</v>
      </c>
      <c r="B657" s="167" t="str">
        <f>_xlfn.XLOOKUP(I657,Mapping!D:D,Mapping!E:E)</f>
        <v>Hành Chánh Nhân Sự</v>
      </c>
      <c r="C657" s="167" t="str">
        <f>_xlfn.XLOOKUP(F657,Mapping!A:A,Mapping!F:F)</f>
        <v>Lương Chính +T13</v>
      </c>
      <c r="D657" s="173">
        <v>46142</v>
      </c>
      <c r="E657" s="169" t="s">
        <v>2066</v>
      </c>
      <c r="F657" s="169" t="s">
        <v>285</v>
      </c>
      <c r="G657" s="169" t="s">
        <v>286</v>
      </c>
      <c r="H657" s="169" t="s">
        <v>301</v>
      </c>
      <c r="I657" s="169" t="s">
        <v>302</v>
      </c>
      <c r="J657" s="169" t="s">
        <v>2031</v>
      </c>
      <c r="K657" s="169" t="s">
        <v>2026</v>
      </c>
      <c r="L657" s="169" t="s">
        <v>631</v>
      </c>
      <c r="M657" s="169" t="s">
        <v>1453</v>
      </c>
      <c r="N657" s="178">
        <v>32486667</v>
      </c>
      <c r="O657" s="169" t="s">
        <v>2067</v>
      </c>
      <c r="P657" s="169" t="s">
        <v>283</v>
      </c>
      <c r="Q657" s="169" t="s">
        <v>284</v>
      </c>
      <c r="R657" s="169" t="s">
        <v>283</v>
      </c>
      <c r="S657" s="169" t="s">
        <v>283</v>
      </c>
      <c r="T657" s="169">
        <v>0</v>
      </c>
    </row>
    <row r="658" spans="1:20" hidden="1" x14ac:dyDescent="0.2">
      <c r="A658" s="169" t="str">
        <f t="shared" si="11"/>
        <v>642</v>
      </c>
      <c r="B658" s="167" t="str">
        <f>_xlfn.XLOOKUP(I658,Mapping!D:D,Mapping!E:E)</f>
        <v>Hành Chánh Nhân Sự</v>
      </c>
      <c r="C658" s="167" t="str">
        <f>_xlfn.XLOOKUP(F658,Mapping!A:A,Mapping!F:F)</f>
        <v>Thưởng</v>
      </c>
      <c r="D658" s="173">
        <v>46142</v>
      </c>
      <c r="E658" s="169" t="s">
        <v>2068</v>
      </c>
      <c r="F658" s="169" t="s">
        <v>292</v>
      </c>
      <c r="G658" s="169" t="s">
        <v>77</v>
      </c>
      <c r="H658" s="169" t="s">
        <v>301</v>
      </c>
      <c r="I658" s="169" t="s">
        <v>302</v>
      </c>
      <c r="J658" s="169" t="s">
        <v>2034</v>
      </c>
      <c r="K658" s="169" t="s">
        <v>2026</v>
      </c>
      <c r="L658" s="169" t="s">
        <v>631</v>
      </c>
      <c r="M658" s="169" t="s">
        <v>1453</v>
      </c>
      <c r="N658" s="178">
        <v>26900598</v>
      </c>
      <c r="O658" s="169" t="s">
        <v>2069</v>
      </c>
      <c r="P658" s="169" t="s">
        <v>283</v>
      </c>
      <c r="Q658" s="169" t="s">
        <v>284</v>
      </c>
      <c r="R658" s="169" t="s">
        <v>283</v>
      </c>
      <c r="S658" s="169" t="s">
        <v>283</v>
      </c>
      <c r="T658" s="169">
        <v>0</v>
      </c>
    </row>
    <row r="659" spans="1:20" hidden="1" x14ac:dyDescent="0.2">
      <c r="A659" s="169" t="str">
        <f t="shared" si="11"/>
        <v>642</v>
      </c>
      <c r="B659" s="167" t="str">
        <f>_xlfn.XLOOKUP(I659,Mapping!D:D,Mapping!E:E)</f>
        <v>Văn Phòng Giám Đốc</v>
      </c>
      <c r="C659" s="167" t="str">
        <f>_xlfn.XLOOKUP(F659,Mapping!A:A,Mapping!F:F)</f>
        <v>BHXH, BHYT, KPCĐ</v>
      </c>
      <c r="D659" s="173">
        <v>46142</v>
      </c>
      <c r="E659" s="169" t="s">
        <v>2070</v>
      </c>
      <c r="F659" s="169" t="s">
        <v>295</v>
      </c>
      <c r="G659" s="169" t="s">
        <v>296</v>
      </c>
      <c r="H659" s="169" t="s">
        <v>320</v>
      </c>
      <c r="I659" s="169" t="s">
        <v>321</v>
      </c>
      <c r="J659" s="169" t="s">
        <v>2037</v>
      </c>
      <c r="K659" s="169" t="s">
        <v>2026</v>
      </c>
      <c r="L659" s="169" t="s">
        <v>631</v>
      </c>
      <c r="M659" s="169" t="s">
        <v>1453</v>
      </c>
      <c r="N659" s="178">
        <v>10118160</v>
      </c>
      <c r="O659" s="169" t="s">
        <v>2071</v>
      </c>
      <c r="P659" s="169" t="s">
        <v>283</v>
      </c>
      <c r="Q659" s="169" t="s">
        <v>284</v>
      </c>
      <c r="R659" s="169" t="s">
        <v>283</v>
      </c>
      <c r="S659" s="169" t="s">
        <v>283</v>
      </c>
      <c r="T659" s="169">
        <v>0</v>
      </c>
    </row>
    <row r="660" spans="1:20" hidden="1" x14ac:dyDescent="0.2">
      <c r="A660" s="169" t="str">
        <f t="shared" si="11"/>
        <v>642</v>
      </c>
      <c r="B660" s="167" t="str">
        <f>_xlfn.XLOOKUP(I660,Mapping!D:D,Mapping!E:E)</f>
        <v>Hành Chánh Nhân Sự</v>
      </c>
      <c r="C660" s="167" t="str">
        <f>_xlfn.XLOOKUP(F660,Mapping!A:A,Mapping!F:F)</f>
        <v>Phụ Cấp</v>
      </c>
      <c r="D660" s="173">
        <v>46140</v>
      </c>
      <c r="E660" s="169" t="s">
        <v>2072</v>
      </c>
      <c r="F660" s="169" t="s">
        <v>335</v>
      </c>
      <c r="G660" s="169" t="s">
        <v>336</v>
      </c>
      <c r="H660" s="169" t="s">
        <v>301</v>
      </c>
      <c r="I660" s="169" t="s">
        <v>302</v>
      </c>
      <c r="J660" s="169" t="s">
        <v>2073</v>
      </c>
      <c r="K660" s="169" t="s">
        <v>741</v>
      </c>
      <c r="L660" s="169" t="s">
        <v>631</v>
      </c>
      <c r="M660" s="169" t="s">
        <v>1453</v>
      </c>
      <c r="N660" s="178">
        <v>30856000</v>
      </c>
      <c r="O660" s="169" t="s">
        <v>2074</v>
      </c>
      <c r="P660" s="169" t="s">
        <v>283</v>
      </c>
      <c r="Q660" s="169" t="s">
        <v>306</v>
      </c>
      <c r="R660" s="169" t="s">
        <v>283</v>
      </c>
      <c r="S660" s="169" t="s">
        <v>283</v>
      </c>
      <c r="T660" s="169">
        <v>0</v>
      </c>
    </row>
    <row r="661" spans="1:20" hidden="1" x14ac:dyDescent="0.2">
      <c r="A661" s="169" t="str">
        <f t="shared" si="11"/>
        <v>642</v>
      </c>
      <c r="B661" s="167" t="str">
        <f>_xlfn.XLOOKUP(I661,Mapping!D:D,Mapping!E:E)</f>
        <v>Văn Phòng Giám Đốc</v>
      </c>
      <c r="C661" s="167" t="str">
        <f>_xlfn.XLOOKUP(F661,Mapping!A:A,Mapping!F:F)</f>
        <v>Phụ Cấp</v>
      </c>
      <c r="D661" s="173">
        <v>46140</v>
      </c>
      <c r="E661" s="169" t="s">
        <v>2072</v>
      </c>
      <c r="F661" s="169" t="s">
        <v>335</v>
      </c>
      <c r="G661" s="169" t="s">
        <v>336</v>
      </c>
      <c r="H661" s="169" t="s">
        <v>320</v>
      </c>
      <c r="I661" s="169" t="s">
        <v>321</v>
      </c>
      <c r="J661" s="169" t="s">
        <v>2073</v>
      </c>
      <c r="K661" s="169" t="s">
        <v>741</v>
      </c>
      <c r="L661" s="169" t="s">
        <v>631</v>
      </c>
      <c r="M661" s="169" t="s">
        <v>1453</v>
      </c>
      <c r="N661" s="178">
        <v>2604000</v>
      </c>
      <c r="O661" s="169" t="s">
        <v>2074</v>
      </c>
      <c r="P661" s="169" t="s">
        <v>283</v>
      </c>
      <c r="Q661" s="169" t="s">
        <v>306</v>
      </c>
      <c r="R661" s="169" t="s">
        <v>283</v>
      </c>
      <c r="S661" s="169" t="s">
        <v>283</v>
      </c>
      <c r="T661" s="169">
        <v>0</v>
      </c>
    </row>
    <row r="662" spans="1:20" hidden="1" x14ac:dyDescent="0.2">
      <c r="A662" s="169" t="str">
        <f t="shared" si="11"/>
        <v>642</v>
      </c>
      <c r="B662" s="167" t="str">
        <f>_xlfn.XLOOKUP(I662,Mapping!D:D,Mapping!E:E)</f>
        <v>Hành Chánh Nhân Sự</v>
      </c>
      <c r="C662" s="167" t="str">
        <f>_xlfn.XLOOKUP(F662,Mapping!A:A,Mapping!F:F)</f>
        <v>Khen thưởng BD khác</v>
      </c>
      <c r="D662" s="173">
        <v>46142</v>
      </c>
      <c r="E662" s="169" t="s">
        <v>2075</v>
      </c>
      <c r="F662" s="169" t="s">
        <v>300</v>
      </c>
      <c r="G662" s="169" t="s">
        <v>222</v>
      </c>
      <c r="H662" s="169" t="s">
        <v>301</v>
      </c>
      <c r="I662" s="169" t="s">
        <v>302</v>
      </c>
      <c r="J662" s="169" t="s">
        <v>2076</v>
      </c>
      <c r="K662" s="169" t="s">
        <v>2077</v>
      </c>
      <c r="L662" s="169" t="s">
        <v>631</v>
      </c>
      <c r="M662" s="169" t="s">
        <v>1453</v>
      </c>
      <c r="N662" s="178">
        <v>6000000</v>
      </c>
      <c r="O662" s="169" t="s">
        <v>2078</v>
      </c>
      <c r="P662" s="169" t="s">
        <v>283</v>
      </c>
      <c r="Q662" s="169" t="s">
        <v>306</v>
      </c>
      <c r="R662" s="169" t="s">
        <v>283</v>
      </c>
      <c r="S662" s="169" t="s">
        <v>283</v>
      </c>
      <c r="T662" s="169">
        <v>0</v>
      </c>
    </row>
    <row r="663" spans="1:20" hidden="1" x14ac:dyDescent="0.2">
      <c r="A663" s="169" t="str">
        <f t="shared" si="11"/>
        <v>642</v>
      </c>
      <c r="B663" s="167" t="str">
        <f>_xlfn.XLOOKUP(I663,Mapping!D:D,Mapping!E:E)</f>
        <v>Hành Chánh Nhân Sự</v>
      </c>
      <c r="C663" s="167" t="str">
        <f>_xlfn.XLOOKUP(F663,Mapping!A:A,Mapping!F:F)</f>
        <v>Lương Chính +T13</v>
      </c>
      <c r="D663" s="173">
        <v>46142</v>
      </c>
      <c r="E663" s="169" t="s">
        <v>2079</v>
      </c>
      <c r="F663" s="169" t="s">
        <v>274</v>
      </c>
      <c r="G663" s="169" t="s">
        <v>275</v>
      </c>
      <c r="H663" s="169" t="s">
        <v>301</v>
      </c>
      <c r="I663" s="169" t="s">
        <v>302</v>
      </c>
      <c r="J663" s="169" t="s">
        <v>2080</v>
      </c>
      <c r="K663" s="169" t="s">
        <v>328</v>
      </c>
      <c r="L663" s="169" t="s">
        <v>631</v>
      </c>
      <c r="M663" s="169" t="s">
        <v>1453</v>
      </c>
      <c r="N663" s="178">
        <v>80275000</v>
      </c>
      <c r="O663" s="169" t="s">
        <v>2081</v>
      </c>
      <c r="P663" s="169" t="s">
        <v>283</v>
      </c>
      <c r="Q663" s="169" t="s">
        <v>306</v>
      </c>
      <c r="R663" s="169" t="s">
        <v>283</v>
      </c>
      <c r="S663" s="169" t="s">
        <v>283</v>
      </c>
      <c r="T663" s="169">
        <v>0</v>
      </c>
    </row>
    <row r="664" spans="1:20" hidden="1" x14ac:dyDescent="0.2">
      <c r="A664" s="169" t="str">
        <f t="shared" si="11"/>
        <v>642</v>
      </c>
      <c r="B664" s="167" t="str">
        <f>_xlfn.XLOOKUP(I664,Mapping!D:D,Mapping!E:E)</f>
        <v>Hành Chánh Nhân Sự</v>
      </c>
      <c r="C664" s="167" t="str">
        <f>_xlfn.XLOOKUP(F664,Mapping!A:A,Mapping!F:F)</f>
        <v>BHXH, BHYT, KPCĐ</v>
      </c>
      <c r="D664" s="173">
        <v>46142</v>
      </c>
      <c r="E664" s="169" t="s">
        <v>2039</v>
      </c>
      <c r="F664" s="169" t="s">
        <v>295</v>
      </c>
      <c r="G664" s="169" t="s">
        <v>296</v>
      </c>
      <c r="H664" s="169" t="s">
        <v>301</v>
      </c>
      <c r="I664" s="169" t="s">
        <v>302</v>
      </c>
      <c r="J664" s="169" t="s">
        <v>2040</v>
      </c>
      <c r="K664" s="169" t="s">
        <v>2026</v>
      </c>
      <c r="L664" s="169" t="s">
        <v>631</v>
      </c>
      <c r="M664" s="169" t="s">
        <v>1453</v>
      </c>
      <c r="N664" s="178">
        <v>1192500</v>
      </c>
      <c r="O664" s="169" t="s">
        <v>2041</v>
      </c>
      <c r="P664" s="169" t="s">
        <v>283</v>
      </c>
      <c r="Q664" s="169" t="s">
        <v>284</v>
      </c>
      <c r="R664" s="169" t="s">
        <v>283</v>
      </c>
      <c r="S664" s="169" t="s">
        <v>283</v>
      </c>
      <c r="T664" s="169">
        <v>0</v>
      </c>
    </row>
    <row r="665" spans="1:20" hidden="1" x14ac:dyDescent="0.2">
      <c r="A665" s="169" t="str">
        <f t="shared" si="11"/>
        <v>642</v>
      </c>
      <c r="B665" s="167" t="str">
        <f>_xlfn.XLOOKUP(I665,Mapping!D:D,Mapping!E:E)</f>
        <v>Hành Chánh Nhân Sự</v>
      </c>
      <c r="C665" s="167" t="str">
        <f>_xlfn.XLOOKUP(F665,Mapping!A:A,Mapping!F:F)</f>
        <v>Phụ Cấp</v>
      </c>
      <c r="D665" s="173">
        <v>46142</v>
      </c>
      <c r="E665" s="169" t="s">
        <v>2082</v>
      </c>
      <c r="F665" s="169" t="s">
        <v>335</v>
      </c>
      <c r="G665" s="169" t="s">
        <v>336</v>
      </c>
      <c r="H665" s="169" t="s">
        <v>301</v>
      </c>
      <c r="I665" s="169" t="s">
        <v>302</v>
      </c>
      <c r="J665" s="169" t="s">
        <v>2083</v>
      </c>
      <c r="K665" s="169" t="s">
        <v>2084</v>
      </c>
      <c r="L665" s="169" t="s">
        <v>631</v>
      </c>
      <c r="M665" s="169" t="s">
        <v>1453</v>
      </c>
      <c r="N665" s="178">
        <v>2655585</v>
      </c>
      <c r="O665" s="169" t="s">
        <v>2085</v>
      </c>
      <c r="P665" s="169" t="s">
        <v>283</v>
      </c>
      <c r="Q665" s="169" t="s">
        <v>306</v>
      </c>
      <c r="R665" s="169" t="s">
        <v>283</v>
      </c>
      <c r="S665" s="169" t="s">
        <v>283</v>
      </c>
      <c r="T665" s="169">
        <v>0</v>
      </c>
    </row>
    <row r="666" spans="1:20" hidden="1" x14ac:dyDescent="0.2">
      <c r="A666" s="169" t="str">
        <f t="shared" si="11"/>
        <v>642</v>
      </c>
      <c r="B666" s="167" t="str">
        <f>_xlfn.XLOOKUP(I666,Mapping!D:D,Mapping!E:E)</f>
        <v>Hành Chánh Nhân Sự</v>
      </c>
      <c r="C666" s="167" t="str">
        <f>_xlfn.XLOOKUP(F666,Mapping!A:A,Mapping!F:F)</f>
        <v>Lương Chính +T13</v>
      </c>
      <c r="D666" s="173">
        <v>46141</v>
      </c>
      <c r="E666" s="169" t="s">
        <v>2086</v>
      </c>
      <c r="F666" s="169" t="s">
        <v>274</v>
      </c>
      <c r="G666" s="169" t="s">
        <v>275</v>
      </c>
      <c r="H666" s="169" t="s">
        <v>301</v>
      </c>
      <c r="I666" s="169" t="s">
        <v>302</v>
      </c>
      <c r="J666" s="169" t="s">
        <v>2087</v>
      </c>
      <c r="K666" s="169" t="s">
        <v>405</v>
      </c>
      <c r="L666" s="169" t="s">
        <v>631</v>
      </c>
      <c r="M666" s="169" t="s">
        <v>1453</v>
      </c>
      <c r="N666" s="178">
        <v>9232026</v>
      </c>
      <c r="O666" s="169" t="s">
        <v>2088</v>
      </c>
      <c r="P666" s="169" t="s">
        <v>283</v>
      </c>
      <c r="Q666" s="169" t="s">
        <v>306</v>
      </c>
      <c r="R666" s="169" t="s">
        <v>283</v>
      </c>
      <c r="S666" s="169" t="s">
        <v>283</v>
      </c>
      <c r="T666" s="169">
        <v>0</v>
      </c>
    </row>
    <row r="667" spans="1:20" hidden="1" x14ac:dyDescent="0.2">
      <c r="A667" s="169" t="str">
        <f t="shared" si="11"/>
        <v>642</v>
      </c>
      <c r="B667" s="167" t="str">
        <f>_xlfn.XLOOKUP(I667,Mapping!D:D,Mapping!E:E)</f>
        <v>Kế Toán</v>
      </c>
      <c r="C667" s="167" t="str">
        <f>_xlfn.XLOOKUP(F667,Mapping!A:A,Mapping!F:F)</f>
        <v>Khen thưởng BD khác</v>
      </c>
      <c r="D667" s="173">
        <v>46113</v>
      </c>
      <c r="E667" s="169" t="s">
        <v>2089</v>
      </c>
      <c r="F667" s="169" t="s">
        <v>300</v>
      </c>
      <c r="G667" s="169" t="s">
        <v>222</v>
      </c>
      <c r="H667" s="169" t="s">
        <v>356</v>
      </c>
      <c r="I667" s="169" t="s">
        <v>357</v>
      </c>
      <c r="J667" s="169" t="s">
        <v>2090</v>
      </c>
      <c r="K667" s="169" t="s">
        <v>2091</v>
      </c>
      <c r="L667" s="169" t="s">
        <v>631</v>
      </c>
      <c r="M667" s="169" t="s">
        <v>1453</v>
      </c>
      <c r="N667" s="178">
        <v>4600000</v>
      </c>
      <c r="O667" s="169" t="s">
        <v>2092</v>
      </c>
      <c r="P667" s="169" t="s">
        <v>283</v>
      </c>
      <c r="Q667" s="169" t="s">
        <v>306</v>
      </c>
      <c r="R667" s="169" t="s">
        <v>283</v>
      </c>
      <c r="S667" s="169" t="s">
        <v>283</v>
      </c>
      <c r="T667" s="169">
        <v>0</v>
      </c>
    </row>
    <row r="668" spans="1:20" hidden="1" x14ac:dyDescent="0.2">
      <c r="A668" s="169" t="str">
        <f t="shared" si="11"/>
        <v>642</v>
      </c>
      <c r="B668" s="167" t="str">
        <f>_xlfn.XLOOKUP(I668,Mapping!D:D,Mapping!E:E)</f>
        <v>Kế Toán</v>
      </c>
      <c r="C668" s="167" t="str">
        <f>_xlfn.XLOOKUP(F668,Mapping!A:A,Mapping!F:F)</f>
        <v>Khen thưởng BD khác</v>
      </c>
      <c r="D668" s="173">
        <v>46113</v>
      </c>
      <c r="E668" s="169" t="s">
        <v>2089</v>
      </c>
      <c r="F668" s="169" t="s">
        <v>300</v>
      </c>
      <c r="G668" s="169" t="s">
        <v>222</v>
      </c>
      <c r="H668" s="169" t="s">
        <v>356</v>
      </c>
      <c r="I668" s="169" t="s">
        <v>357</v>
      </c>
      <c r="J668" s="169" t="s">
        <v>2093</v>
      </c>
      <c r="K668" s="169" t="s">
        <v>2091</v>
      </c>
      <c r="L668" s="169" t="s">
        <v>631</v>
      </c>
      <c r="M668" s="169" t="s">
        <v>1453</v>
      </c>
      <c r="N668" s="178">
        <v>1400000</v>
      </c>
      <c r="O668" s="169" t="s">
        <v>2092</v>
      </c>
      <c r="P668" s="169" t="s">
        <v>283</v>
      </c>
      <c r="Q668" s="169" t="s">
        <v>306</v>
      </c>
      <c r="R668" s="169" t="s">
        <v>283</v>
      </c>
      <c r="S668" s="169" t="s">
        <v>283</v>
      </c>
      <c r="T668" s="169">
        <v>0</v>
      </c>
    </row>
    <row r="669" spans="1:20" hidden="1" x14ac:dyDescent="0.2">
      <c r="A669" s="169" t="str">
        <f t="shared" si="11"/>
        <v>642</v>
      </c>
      <c r="B669" s="167" t="str">
        <f>_xlfn.XLOOKUP(I669,Mapping!D:D,Mapping!E:E)</f>
        <v>Kế Toán</v>
      </c>
      <c r="C669" s="167" t="str">
        <f>_xlfn.XLOOKUP(F669,Mapping!A:A,Mapping!F:F)</f>
        <v>Khen thưởng BD khác</v>
      </c>
      <c r="D669" s="173">
        <v>46120</v>
      </c>
      <c r="E669" s="169" t="s">
        <v>2094</v>
      </c>
      <c r="F669" s="169" t="s">
        <v>300</v>
      </c>
      <c r="G669" s="169" t="s">
        <v>222</v>
      </c>
      <c r="H669" s="169" t="s">
        <v>356</v>
      </c>
      <c r="I669" s="169" t="s">
        <v>357</v>
      </c>
      <c r="J669" s="169" t="s">
        <v>2095</v>
      </c>
      <c r="K669" s="169" t="s">
        <v>2096</v>
      </c>
      <c r="L669" s="169" t="s">
        <v>631</v>
      </c>
      <c r="M669" s="169" t="s">
        <v>1453</v>
      </c>
      <c r="N669" s="178">
        <v>4000000</v>
      </c>
      <c r="O669" s="169" t="s">
        <v>2097</v>
      </c>
      <c r="P669" s="169" t="s">
        <v>283</v>
      </c>
      <c r="Q669" s="169" t="s">
        <v>306</v>
      </c>
      <c r="R669" s="169" t="s">
        <v>283</v>
      </c>
      <c r="S669" s="169" t="s">
        <v>283</v>
      </c>
      <c r="T669" s="169">
        <v>0</v>
      </c>
    </row>
    <row r="670" spans="1:20" hidden="1" x14ac:dyDescent="0.2">
      <c r="A670" s="169" t="str">
        <f t="shared" si="11"/>
        <v>642</v>
      </c>
      <c r="B670" s="167" t="str">
        <f>_xlfn.XLOOKUP(I670,Mapping!D:D,Mapping!E:E)</f>
        <v>Kế Toán</v>
      </c>
      <c r="C670" s="167" t="str">
        <f>_xlfn.XLOOKUP(F670,Mapping!A:A,Mapping!F:F)</f>
        <v>Khen thưởng BD khác</v>
      </c>
      <c r="D670" s="173">
        <v>46120</v>
      </c>
      <c r="E670" s="169" t="s">
        <v>2094</v>
      </c>
      <c r="F670" s="169" t="s">
        <v>300</v>
      </c>
      <c r="G670" s="169" t="s">
        <v>222</v>
      </c>
      <c r="H670" s="169" t="s">
        <v>356</v>
      </c>
      <c r="I670" s="169" t="s">
        <v>357</v>
      </c>
      <c r="J670" s="169" t="s">
        <v>2098</v>
      </c>
      <c r="K670" s="169" t="s">
        <v>2096</v>
      </c>
      <c r="L670" s="169" t="s">
        <v>631</v>
      </c>
      <c r="M670" s="169" t="s">
        <v>1453</v>
      </c>
      <c r="N670" s="178">
        <v>3800000</v>
      </c>
      <c r="O670" s="169" t="s">
        <v>2097</v>
      </c>
      <c r="P670" s="169" t="s">
        <v>283</v>
      </c>
      <c r="Q670" s="169" t="s">
        <v>306</v>
      </c>
      <c r="R670" s="169" t="s">
        <v>283</v>
      </c>
      <c r="S670" s="169" t="s">
        <v>283</v>
      </c>
      <c r="T670" s="169">
        <v>0</v>
      </c>
    </row>
    <row r="671" spans="1:20" hidden="1" x14ac:dyDescent="0.2">
      <c r="A671" s="169" t="str">
        <f t="shared" si="11"/>
        <v>642</v>
      </c>
      <c r="B671" s="167" t="str">
        <f>_xlfn.XLOOKUP(I671,Mapping!D:D,Mapping!E:E)</f>
        <v>Kế Toán</v>
      </c>
      <c r="C671" s="167" t="str">
        <f>_xlfn.XLOOKUP(F671,Mapping!A:A,Mapping!F:F)</f>
        <v>Lương Chính +T13</v>
      </c>
      <c r="D671" s="173">
        <v>46142</v>
      </c>
      <c r="E671" s="169" t="s">
        <v>2099</v>
      </c>
      <c r="F671" s="169" t="s">
        <v>274</v>
      </c>
      <c r="G671" s="169" t="s">
        <v>275</v>
      </c>
      <c r="H671" s="169" t="s">
        <v>356</v>
      </c>
      <c r="I671" s="169" t="s">
        <v>357</v>
      </c>
      <c r="J671" s="169" t="s">
        <v>2025</v>
      </c>
      <c r="K671" s="169" t="s">
        <v>2026</v>
      </c>
      <c r="L671" s="169" t="s">
        <v>631</v>
      </c>
      <c r="M671" s="169" t="s">
        <v>1453</v>
      </c>
      <c r="N671" s="178">
        <v>570658920</v>
      </c>
      <c r="O671" s="169" t="s">
        <v>2100</v>
      </c>
      <c r="P671" s="169" t="s">
        <v>283</v>
      </c>
      <c r="Q671" s="169" t="s">
        <v>284</v>
      </c>
      <c r="R671" s="169" t="s">
        <v>283</v>
      </c>
      <c r="S671" s="169" t="s">
        <v>283</v>
      </c>
      <c r="T671" s="169">
        <v>0</v>
      </c>
    </row>
    <row r="672" spans="1:20" hidden="1" x14ac:dyDescent="0.2">
      <c r="A672" s="169" t="str">
        <f t="shared" si="11"/>
        <v>642</v>
      </c>
      <c r="B672" s="167" t="str">
        <f>_xlfn.XLOOKUP(I672,Mapping!D:D,Mapping!E:E)</f>
        <v>Kế Toán</v>
      </c>
      <c r="C672" s="167" t="str">
        <f>_xlfn.XLOOKUP(F672,Mapping!A:A,Mapping!F:F)</f>
        <v>Lương Chính +T13</v>
      </c>
      <c r="D672" s="173">
        <v>46142</v>
      </c>
      <c r="E672" s="169" t="s">
        <v>2101</v>
      </c>
      <c r="F672" s="169" t="s">
        <v>285</v>
      </c>
      <c r="G672" s="169" t="s">
        <v>286</v>
      </c>
      <c r="H672" s="169" t="s">
        <v>356</v>
      </c>
      <c r="I672" s="169" t="s">
        <v>357</v>
      </c>
      <c r="J672" s="169" t="s">
        <v>2025</v>
      </c>
      <c r="K672" s="169" t="s">
        <v>2026</v>
      </c>
      <c r="L672" s="169" t="s">
        <v>631</v>
      </c>
      <c r="M672" s="169" t="s">
        <v>1453</v>
      </c>
      <c r="N672" s="178">
        <v>8552990</v>
      </c>
      <c r="O672" s="169" t="s">
        <v>2102</v>
      </c>
      <c r="P672" s="169" t="s">
        <v>283</v>
      </c>
      <c r="Q672" s="169" t="s">
        <v>284</v>
      </c>
      <c r="R672" s="169" t="s">
        <v>283</v>
      </c>
      <c r="S672" s="169" t="s">
        <v>283</v>
      </c>
      <c r="T672" s="169">
        <v>0</v>
      </c>
    </row>
    <row r="673" spans="1:20" hidden="1" x14ac:dyDescent="0.2">
      <c r="A673" s="169" t="str">
        <f t="shared" si="11"/>
        <v>642</v>
      </c>
      <c r="B673" s="167" t="str">
        <f>_xlfn.XLOOKUP(I673,Mapping!D:D,Mapping!E:E)</f>
        <v>Kế Toán</v>
      </c>
      <c r="C673" s="167" t="str">
        <f>_xlfn.XLOOKUP(F673,Mapping!A:A,Mapping!F:F)</f>
        <v>Lương Ngoài giờ</v>
      </c>
      <c r="D673" s="173">
        <v>46142</v>
      </c>
      <c r="E673" s="169" t="s">
        <v>2103</v>
      </c>
      <c r="F673" s="169" t="s">
        <v>342</v>
      </c>
      <c r="G673" s="169" t="s">
        <v>343</v>
      </c>
      <c r="H673" s="169" t="s">
        <v>356</v>
      </c>
      <c r="I673" s="169" t="s">
        <v>357</v>
      </c>
      <c r="J673" s="169" t="s">
        <v>2025</v>
      </c>
      <c r="K673" s="169" t="s">
        <v>2026</v>
      </c>
      <c r="L673" s="169" t="s">
        <v>631</v>
      </c>
      <c r="M673" s="169" t="s">
        <v>1453</v>
      </c>
      <c r="N673" s="178">
        <v>52957912</v>
      </c>
      <c r="O673" s="169" t="s">
        <v>2104</v>
      </c>
      <c r="P673" s="169" t="s">
        <v>283</v>
      </c>
      <c r="Q673" s="169" t="s">
        <v>284</v>
      </c>
      <c r="R673" s="169" t="s">
        <v>283</v>
      </c>
      <c r="S673" s="169" t="s">
        <v>283</v>
      </c>
      <c r="T673" s="169">
        <v>0</v>
      </c>
    </row>
    <row r="674" spans="1:20" hidden="1" x14ac:dyDescent="0.2">
      <c r="A674" s="169" t="str">
        <f t="shared" si="11"/>
        <v>642</v>
      </c>
      <c r="B674" s="167" t="str">
        <f>_xlfn.XLOOKUP(I674,Mapping!D:D,Mapping!E:E)</f>
        <v>Kế Toán</v>
      </c>
      <c r="C674" s="167" t="str">
        <f>_xlfn.XLOOKUP(F674,Mapping!A:A,Mapping!F:F)</f>
        <v>Khen thưởng BD khác</v>
      </c>
      <c r="D674" s="173">
        <v>46142</v>
      </c>
      <c r="E674" s="169" t="s">
        <v>2105</v>
      </c>
      <c r="F674" s="169" t="s">
        <v>2106</v>
      </c>
      <c r="G674" s="169" t="s">
        <v>505</v>
      </c>
      <c r="H674" s="169" t="s">
        <v>356</v>
      </c>
      <c r="I674" s="169" t="s">
        <v>357</v>
      </c>
      <c r="J674" s="169" t="s">
        <v>2025</v>
      </c>
      <c r="K674" s="169" t="s">
        <v>2026</v>
      </c>
      <c r="L674" s="169" t="s">
        <v>631</v>
      </c>
      <c r="M674" s="169" t="s">
        <v>1453</v>
      </c>
      <c r="N674" s="178">
        <v>3700000</v>
      </c>
      <c r="O674" s="169" t="s">
        <v>2107</v>
      </c>
      <c r="P674" s="169" t="s">
        <v>283</v>
      </c>
      <c r="Q674" s="169" t="s">
        <v>284</v>
      </c>
      <c r="R674" s="169" t="s">
        <v>283</v>
      </c>
      <c r="S674" s="169" t="s">
        <v>283</v>
      </c>
      <c r="T674" s="169">
        <v>0</v>
      </c>
    </row>
    <row r="675" spans="1:20" hidden="1" x14ac:dyDescent="0.2">
      <c r="A675" s="169" t="str">
        <f t="shared" si="11"/>
        <v>642</v>
      </c>
      <c r="B675" s="167" t="str">
        <f>_xlfn.XLOOKUP(I675,Mapping!D:D,Mapping!E:E)</f>
        <v>Kế Toán</v>
      </c>
      <c r="C675" s="167" t="str">
        <f>_xlfn.XLOOKUP(F675,Mapping!A:A,Mapping!F:F)</f>
        <v>Phụ Cấp</v>
      </c>
      <c r="D675" s="173">
        <v>46142</v>
      </c>
      <c r="E675" s="169" t="s">
        <v>2108</v>
      </c>
      <c r="F675" s="169" t="s">
        <v>335</v>
      </c>
      <c r="G675" s="169" t="s">
        <v>336</v>
      </c>
      <c r="H675" s="169" t="s">
        <v>356</v>
      </c>
      <c r="I675" s="169" t="s">
        <v>357</v>
      </c>
      <c r="J675" s="169" t="s">
        <v>2025</v>
      </c>
      <c r="K675" s="169" t="s">
        <v>2026</v>
      </c>
      <c r="L675" s="169" t="s">
        <v>631</v>
      </c>
      <c r="M675" s="169" t="s">
        <v>1453</v>
      </c>
      <c r="N675" s="178">
        <v>2605000</v>
      </c>
      <c r="O675" s="169" t="s">
        <v>2109</v>
      </c>
      <c r="P675" s="169" t="s">
        <v>283</v>
      </c>
      <c r="Q675" s="169" t="s">
        <v>284</v>
      </c>
      <c r="R675" s="169" t="s">
        <v>283</v>
      </c>
      <c r="S675" s="169" t="s">
        <v>283</v>
      </c>
      <c r="T675" s="169">
        <v>0</v>
      </c>
    </row>
    <row r="676" spans="1:20" hidden="1" x14ac:dyDescent="0.2">
      <c r="A676" s="169" t="str">
        <f t="shared" si="11"/>
        <v>642</v>
      </c>
      <c r="B676" s="167" t="str">
        <f>_xlfn.XLOOKUP(I676,Mapping!D:D,Mapping!E:E)</f>
        <v>Kế Toán</v>
      </c>
      <c r="C676" s="167" t="str">
        <f>_xlfn.XLOOKUP(F676,Mapping!A:A,Mapping!F:F)</f>
        <v>BHXH, BHYT, KPCĐ</v>
      </c>
      <c r="D676" s="173">
        <v>46142</v>
      </c>
      <c r="E676" s="169" t="s">
        <v>2036</v>
      </c>
      <c r="F676" s="169" t="s">
        <v>295</v>
      </c>
      <c r="G676" s="169" t="s">
        <v>296</v>
      </c>
      <c r="H676" s="169" t="s">
        <v>356</v>
      </c>
      <c r="I676" s="169" t="s">
        <v>357</v>
      </c>
      <c r="J676" s="169" t="s">
        <v>2037</v>
      </c>
      <c r="K676" s="169" t="s">
        <v>2026</v>
      </c>
      <c r="L676" s="169" t="s">
        <v>631</v>
      </c>
      <c r="M676" s="169" t="s">
        <v>1453</v>
      </c>
      <c r="N676" s="178">
        <v>120509265</v>
      </c>
      <c r="O676" s="169" t="s">
        <v>2038</v>
      </c>
      <c r="P676" s="169" t="s">
        <v>283</v>
      </c>
      <c r="Q676" s="169" t="s">
        <v>284</v>
      </c>
      <c r="R676" s="169" t="s">
        <v>283</v>
      </c>
      <c r="S676" s="169" t="s">
        <v>283</v>
      </c>
      <c r="T676" s="169">
        <v>0</v>
      </c>
    </row>
    <row r="677" spans="1:20" hidden="1" x14ac:dyDescent="0.2">
      <c r="A677" s="169" t="str">
        <f t="shared" si="11"/>
        <v>642</v>
      </c>
      <c r="B677" s="167" t="str">
        <f>_xlfn.XLOOKUP(I677,Mapping!D:D,Mapping!E:E)</f>
        <v>Kế Toán</v>
      </c>
      <c r="C677" s="167" t="str">
        <f>_xlfn.XLOOKUP(F677,Mapping!A:A,Mapping!F:F)</f>
        <v>Lương Chính +T13</v>
      </c>
      <c r="D677" s="173">
        <v>46142</v>
      </c>
      <c r="E677" s="169" t="s">
        <v>2110</v>
      </c>
      <c r="F677" s="169" t="s">
        <v>285</v>
      </c>
      <c r="G677" s="169" t="s">
        <v>286</v>
      </c>
      <c r="H677" s="169" t="s">
        <v>356</v>
      </c>
      <c r="I677" s="169" t="s">
        <v>357</v>
      </c>
      <c r="J677" s="169" t="s">
        <v>2031</v>
      </c>
      <c r="K677" s="169" t="s">
        <v>2026</v>
      </c>
      <c r="L677" s="169" t="s">
        <v>631</v>
      </c>
      <c r="M677" s="169" t="s">
        <v>1453</v>
      </c>
      <c r="N677" s="178">
        <v>45588250</v>
      </c>
      <c r="O677" s="169" t="s">
        <v>2111</v>
      </c>
      <c r="P677" s="169" t="s">
        <v>283</v>
      </c>
      <c r="Q677" s="169" t="s">
        <v>284</v>
      </c>
      <c r="R677" s="169" t="s">
        <v>283</v>
      </c>
      <c r="S677" s="169" t="s">
        <v>283</v>
      </c>
      <c r="T677" s="169">
        <v>0</v>
      </c>
    </row>
    <row r="678" spans="1:20" hidden="1" x14ac:dyDescent="0.2">
      <c r="A678" s="169" t="str">
        <f t="shared" si="11"/>
        <v>642</v>
      </c>
      <c r="B678" s="167" t="str">
        <f>_xlfn.XLOOKUP(I678,Mapping!D:D,Mapping!E:E)</f>
        <v>Kế Toán</v>
      </c>
      <c r="C678" s="167" t="str">
        <f>_xlfn.XLOOKUP(F678,Mapping!A:A,Mapping!F:F)</f>
        <v>Thưởng</v>
      </c>
      <c r="D678" s="173">
        <v>46142</v>
      </c>
      <c r="E678" s="169" t="s">
        <v>2112</v>
      </c>
      <c r="F678" s="169" t="s">
        <v>292</v>
      </c>
      <c r="G678" s="169" t="s">
        <v>77</v>
      </c>
      <c r="H678" s="169" t="s">
        <v>356</v>
      </c>
      <c r="I678" s="169" t="s">
        <v>357</v>
      </c>
      <c r="J678" s="169" t="s">
        <v>2034</v>
      </c>
      <c r="K678" s="169" t="s">
        <v>2026</v>
      </c>
      <c r="L678" s="169" t="s">
        <v>631</v>
      </c>
      <c r="M678" s="169" t="s">
        <v>1453</v>
      </c>
      <c r="N678" s="178">
        <v>41940825</v>
      </c>
      <c r="O678" s="169" t="s">
        <v>2113</v>
      </c>
      <c r="P678" s="169" t="s">
        <v>283</v>
      </c>
      <c r="Q678" s="169" t="s">
        <v>284</v>
      </c>
      <c r="R678" s="169" t="s">
        <v>283</v>
      </c>
      <c r="S678" s="169" t="s">
        <v>283</v>
      </c>
      <c r="T678" s="169">
        <v>0</v>
      </c>
    </row>
    <row r="679" spans="1:20" hidden="1" x14ac:dyDescent="0.2">
      <c r="A679" s="169" t="str">
        <f t="shared" si="11"/>
        <v>642</v>
      </c>
      <c r="B679" s="167" t="str">
        <f>_xlfn.XLOOKUP(I679,Mapping!D:D,Mapping!E:E)</f>
        <v>Kế Toán</v>
      </c>
      <c r="C679" s="167" t="str">
        <f>_xlfn.XLOOKUP(F679,Mapping!A:A,Mapping!F:F)</f>
        <v>Khen thưởng BD khác</v>
      </c>
      <c r="D679" s="173">
        <v>46142</v>
      </c>
      <c r="E679" s="169" t="s">
        <v>2114</v>
      </c>
      <c r="F679" s="169" t="s">
        <v>2106</v>
      </c>
      <c r="G679" s="169" t="s">
        <v>505</v>
      </c>
      <c r="H679" s="169" t="s">
        <v>356</v>
      </c>
      <c r="I679" s="169" t="s">
        <v>357</v>
      </c>
      <c r="J679" s="169" t="s">
        <v>2115</v>
      </c>
      <c r="K679" s="169" t="s">
        <v>2026</v>
      </c>
      <c r="L679" s="169" t="s">
        <v>631</v>
      </c>
      <c r="M679" s="169" t="s">
        <v>1453</v>
      </c>
      <c r="N679" s="178">
        <v>-1600000</v>
      </c>
      <c r="O679" s="169" t="s">
        <v>2116</v>
      </c>
      <c r="P679" s="169" t="s">
        <v>283</v>
      </c>
      <c r="Q679" s="169" t="s">
        <v>284</v>
      </c>
      <c r="R679" s="169" t="s">
        <v>283</v>
      </c>
      <c r="S679" s="169" t="s">
        <v>283</v>
      </c>
      <c r="T679" s="169">
        <v>0</v>
      </c>
    </row>
    <row r="680" spans="1:20" hidden="1" x14ac:dyDescent="0.2">
      <c r="A680" s="169" t="str">
        <f t="shared" si="11"/>
        <v>642</v>
      </c>
      <c r="B680" s="167" t="str">
        <f>_xlfn.XLOOKUP(I680,Mapping!D:D,Mapping!E:E)</f>
        <v>Kế Toán</v>
      </c>
      <c r="C680" s="167" t="str">
        <f>_xlfn.XLOOKUP(F680,Mapping!A:A,Mapping!F:F)</f>
        <v>Phụ Cấp</v>
      </c>
      <c r="D680" s="173">
        <v>46140</v>
      </c>
      <c r="E680" s="169" t="s">
        <v>2072</v>
      </c>
      <c r="F680" s="169" t="s">
        <v>335</v>
      </c>
      <c r="G680" s="169" t="s">
        <v>336</v>
      </c>
      <c r="H680" s="169" t="s">
        <v>356</v>
      </c>
      <c r="I680" s="169" t="s">
        <v>357</v>
      </c>
      <c r="J680" s="169" t="s">
        <v>2073</v>
      </c>
      <c r="K680" s="169" t="s">
        <v>741</v>
      </c>
      <c r="L680" s="169" t="s">
        <v>631</v>
      </c>
      <c r="M680" s="169" t="s">
        <v>1453</v>
      </c>
      <c r="N680" s="178">
        <v>19656000</v>
      </c>
      <c r="O680" s="169" t="s">
        <v>2074</v>
      </c>
      <c r="P680" s="169" t="s">
        <v>283</v>
      </c>
      <c r="Q680" s="169" t="s">
        <v>306</v>
      </c>
      <c r="R680" s="169" t="s">
        <v>283</v>
      </c>
      <c r="S680" s="169" t="s">
        <v>283</v>
      </c>
      <c r="T680" s="169">
        <v>0</v>
      </c>
    </row>
    <row r="681" spans="1:20" hidden="1" x14ac:dyDescent="0.2">
      <c r="A681" s="169" t="str">
        <f t="shared" si="11"/>
        <v>641</v>
      </c>
      <c r="B681" s="167" t="str">
        <f>_xlfn.XLOOKUP(I681,Mapping!D:D,Mapping!E:E)</f>
        <v>Kinh doanh</v>
      </c>
      <c r="C681" s="167" t="str">
        <f>_xlfn.XLOOKUP(F681,Mapping!A:A,Mapping!F:F)</f>
        <v>Thưởng</v>
      </c>
      <c r="D681" s="173">
        <v>46119</v>
      </c>
      <c r="E681" s="169" t="s">
        <v>2117</v>
      </c>
      <c r="F681" s="169" t="s">
        <v>365</v>
      </c>
      <c r="G681" s="169" t="s">
        <v>291</v>
      </c>
      <c r="H681" s="169" t="s">
        <v>366</v>
      </c>
      <c r="I681" s="169" t="s">
        <v>1</v>
      </c>
      <c r="J681" s="169" t="s">
        <v>2118</v>
      </c>
      <c r="K681" s="169" t="s">
        <v>2119</v>
      </c>
      <c r="L681" s="169" t="s">
        <v>631</v>
      </c>
      <c r="M681" s="169" t="s">
        <v>1453</v>
      </c>
      <c r="N681" s="178">
        <v>-3917481</v>
      </c>
      <c r="O681" s="169" t="s">
        <v>674</v>
      </c>
      <c r="P681" s="169" t="s">
        <v>283</v>
      </c>
      <c r="Q681" s="169" t="s">
        <v>370</v>
      </c>
      <c r="R681" s="169" t="s">
        <v>283</v>
      </c>
      <c r="S681" s="169" t="s">
        <v>283</v>
      </c>
      <c r="T681" s="169">
        <v>0</v>
      </c>
    </row>
    <row r="682" spans="1:20" hidden="1" x14ac:dyDescent="0.2">
      <c r="A682" s="169" t="str">
        <f t="shared" si="11"/>
        <v>641</v>
      </c>
      <c r="B682" s="167" t="str">
        <f>_xlfn.XLOOKUP(I682,Mapping!D:D,Mapping!E:E)</f>
        <v>Kinh doanh</v>
      </c>
      <c r="C682" s="167" t="str">
        <f>_xlfn.XLOOKUP(F682,Mapping!A:A,Mapping!F:F)</f>
        <v>Phụ Cấp</v>
      </c>
      <c r="D682" s="173">
        <v>46113</v>
      </c>
      <c r="E682" s="169" t="s">
        <v>2120</v>
      </c>
      <c r="F682" s="169" t="s">
        <v>385</v>
      </c>
      <c r="G682" s="169" t="s">
        <v>336</v>
      </c>
      <c r="H682" s="169" t="s">
        <v>366</v>
      </c>
      <c r="I682" s="169" t="s">
        <v>1</v>
      </c>
      <c r="J682" s="169" t="s">
        <v>2121</v>
      </c>
      <c r="K682" s="169" t="s">
        <v>581</v>
      </c>
      <c r="L682" s="169" t="s">
        <v>631</v>
      </c>
      <c r="M682" s="169" t="s">
        <v>1453</v>
      </c>
      <c r="N682" s="178">
        <v>4844000</v>
      </c>
      <c r="O682" s="169" t="s">
        <v>2122</v>
      </c>
      <c r="P682" s="169" t="s">
        <v>283</v>
      </c>
      <c r="Q682" s="169" t="s">
        <v>306</v>
      </c>
      <c r="R682" s="169" t="s">
        <v>283</v>
      </c>
      <c r="S682" s="169" t="s">
        <v>283</v>
      </c>
      <c r="T682" s="169">
        <v>0</v>
      </c>
    </row>
    <row r="683" spans="1:20" hidden="1" x14ac:dyDescent="0.2">
      <c r="A683" s="169" t="str">
        <f t="shared" si="11"/>
        <v>641</v>
      </c>
      <c r="B683" s="167" t="str">
        <f>_xlfn.XLOOKUP(I683,Mapping!D:D,Mapping!E:E)</f>
        <v>Kinh doanh</v>
      </c>
      <c r="C683" s="167" t="str">
        <f>_xlfn.XLOOKUP(F683,Mapping!A:A,Mapping!F:F)</f>
        <v>Lương Chính +T13</v>
      </c>
      <c r="D683" s="173">
        <v>46135</v>
      </c>
      <c r="E683" s="169" t="s">
        <v>2123</v>
      </c>
      <c r="F683" s="169" t="s">
        <v>383</v>
      </c>
      <c r="G683" s="169" t="s">
        <v>275</v>
      </c>
      <c r="H683" s="169" t="s">
        <v>366</v>
      </c>
      <c r="I683" s="169" t="s">
        <v>1</v>
      </c>
      <c r="J683" s="169" t="s">
        <v>2124</v>
      </c>
      <c r="K683" s="169" t="s">
        <v>2125</v>
      </c>
      <c r="L683" s="169" t="s">
        <v>631</v>
      </c>
      <c r="M683" s="169" t="s">
        <v>1453</v>
      </c>
      <c r="N683" s="178">
        <v>104992000</v>
      </c>
      <c r="O683" s="169" t="s">
        <v>2126</v>
      </c>
      <c r="P683" s="169" t="s">
        <v>283</v>
      </c>
      <c r="Q683" s="169" t="s">
        <v>370</v>
      </c>
      <c r="R683" s="169" t="s">
        <v>283</v>
      </c>
      <c r="S683" s="169" t="s">
        <v>283</v>
      </c>
      <c r="T683" s="169">
        <v>0</v>
      </c>
    </row>
    <row r="684" spans="1:20" hidden="1" x14ac:dyDescent="0.2">
      <c r="A684" s="169" t="str">
        <f t="shared" si="11"/>
        <v>642</v>
      </c>
      <c r="B684" s="167" t="str">
        <f>_xlfn.XLOOKUP(I684,Mapping!D:D,Mapping!E:E)</f>
        <v>Hành Chánh Nhân Sự</v>
      </c>
      <c r="C684" s="167" t="str">
        <f>_xlfn.XLOOKUP(F684,Mapping!A:A,Mapping!F:F)</f>
        <v>Khen thưởng BD khác</v>
      </c>
      <c r="D684" s="173">
        <v>46141</v>
      </c>
      <c r="E684" s="169" t="s">
        <v>2127</v>
      </c>
      <c r="F684" s="169" t="s">
        <v>300</v>
      </c>
      <c r="G684" s="169" t="s">
        <v>222</v>
      </c>
      <c r="H684" s="169" t="s">
        <v>358</v>
      </c>
      <c r="I684" s="169" t="s">
        <v>359</v>
      </c>
      <c r="J684" s="169" t="s">
        <v>2128</v>
      </c>
      <c r="K684" s="169" t="s">
        <v>2129</v>
      </c>
      <c r="L684" s="169" t="s">
        <v>631</v>
      </c>
      <c r="M684" s="169" t="s">
        <v>1453</v>
      </c>
      <c r="N684" s="178">
        <v>1500000</v>
      </c>
      <c r="O684" s="169" t="s">
        <v>2130</v>
      </c>
      <c r="P684" s="169" t="s">
        <v>283</v>
      </c>
      <c r="Q684" s="169" t="s">
        <v>1344</v>
      </c>
      <c r="R684" s="169" t="s">
        <v>283</v>
      </c>
      <c r="S684" s="169" t="s">
        <v>283</v>
      </c>
      <c r="T684" s="169">
        <v>0</v>
      </c>
    </row>
    <row r="685" spans="1:20" hidden="1" x14ac:dyDescent="0.2">
      <c r="A685" s="169" t="str">
        <f t="shared" si="11"/>
        <v>641</v>
      </c>
      <c r="B685" s="167" t="str">
        <f>_xlfn.XLOOKUP(I685,Mapping!D:D,Mapping!E:E)</f>
        <v>Kinh doanh</v>
      </c>
      <c r="C685" s="167" t="str">
        <f>_xlfn.XLOOKUP(F685,Mapping!A:A,Mapping!F:F)</f>
        <v>Lương Chính +T13</v>
      </c>
      <c r="D685" s="173">
        <v>46142</v>
      </c>
      <c r="E685" s="169" t="s">
        <v>2131</v>
      </c>
      <c r="F685" s="169" t="s">
        <v>383</v>
      </c>
      <c r="G685" s="169" t="s">
        <v>275</v>
      </c>
      <c r="H685" s="169" t="s">
        <v>366</v>
      </c>
      <c r="I685" s="169" t="s">
        <v>1</v>
      </c>
      <c r="J685" s="169" t="s">
        <v>2025</v>
      </c>
      <c r="K685" s="169" t="s">
        <v>2026</v>
      </c>
      <c r="L685" s="169" t="s">
        <v>631</v>
      </c>
      <c r="M685" s="169" t="s">
        <v>1453</v>
      </c>
      <c r="N685" s="178">
        <v>278700666</v>
      </c>
      <c r="O685" s="169" t="s">
        <v>2132</v>
      </c>
      <c r="P685" s="169" t="s">
        <v>283</v>
      </c>
      <c r="Q685" s="169" t="s">
        <v>284</v>
      </c>
      <c r="R685" s="169" t="s">
        <v>283</v>
      </c>
      <c r="S685" s="169" t="s">
        <v>283</v>
      </c>
      <c r="T685" s="169">
        <v>0</v>
      </c>
    </row>
    <row r="686" spans="1:20" hidden="1" x14ac:dyDescent="0.2">
      <c r="A686" s="169" t="str">
        <f t="shared" si="11"/>
        <v>641</v>
      </c>
      <c r="B686" s="167" t="str">
        <f>_xlfn.XLOOKUP(I686,Mapping!D:D,Mapping!E:E)</f>
        <v>Kinh doanh</v>
      </c>
      <c r="C686" s="167" t="str">
        <f>_xlfn.XLOOKUP(F686,Mapping!A:A,Mapping!F:F)</f>
        <v>Lương Chính +T13</v>
      </c>
      <c r="D686" s="173">
        <v>46142</v>
      </c>
      <c r="E686" s="169" t="s">
        <v>2133</v>
      </c>
      <c r="F686" s="169" t="s">
        <v>384</v>
      </c>
      <c r="G686" s="169" t="s">
        <v>286</v>
      </c>
      <c r="H686" s="169" t="s">
        <v>366</v>
      </c>
      <c r="I686" s="169" t="s">
        <v>1</v>
      </c>
      <c r="J686" s="169" t="s">
        <v>2025</v>
      </c>
      <c r="K686" s="169" t="s">
        <v>2026</v>
      </c>
      <c r="L686" s="169" t="s">
        <v>631</v>
      </c>
      <c r="M686" s="169" t="s">
        <v>1453</v>
      </c>
      <c r="N686" s="178">
        <v>10536933</v>
      </c>
      <c r="O686" s="169" t="s">
        <v>2134</v>
      </c>
      <c r="P686" s="169" t="s">
        <v>283</v>
      </c>
      <c r="Q686" s="169" t="s">
        <v>284</v>
      </c>
      <c r="R686" s="169" t="s">
        <v>283</v>
      </c>
      <c r="S686" s="169" t="s">
        <v>283</v>
      </c>
      <c r="T686" s="169">
        <v>0</v>
      </c>
    </row>
    <row r="687" spans="1:20" hidden="1" x14ac:dyDescent="0.2">
      <c r="A687" s="169" t="str">
        <f t="shared" si="11"/>
        <v>641</v>
      </c>
      <c r="B687" s="167" t="str">
        <f>_xlfn.XLOOKUP(I687,Mapping!D:D,Mapping!E:E)</f>
        <v>Kinh doanh</v>
      </c>
      <c r="C687" s="167" t="str">
        <f>_xlfn.XLOOKUP(F687,Mapping!A:A,Mapping!F:F)</f>
        <v>Thưởng</v>
      </c>
      <c r="D687" s="173">
        <v>46142</v>
      </c>
      <c r="E687" s="169" t="s">
        <v>2135</v>
      </c>
      <c r="F687" s="169" t="s">
        <v>365</v>
      </c>
      <c r="G687" s="169" t="s">
        <v>291</v>
      </c>
      <c r="H687" s="169" t="s">
        <v>366</v>
      </c>
      <c r="I687" s="169" t="s">
        <v>1</v>
      </c>
      <c r="J687" s="169" t="s">
        <v>2025</v>
      </c>
      <c r="K687" s="169" t="s">
        <v>2026</v>
      </c>
      <c r="L687" s="169" t="s">
        <v>631</v>
      </c>
      <c r="M687" s="169" t="s">
        <v>1453</v>
      </c>
      <c r="N687" s="178">
        <v>325453761</v>
      </c>
      <c r="O687" s="169" t="s">
        <v>2136</v>
      </c>
      <c r="P687" s="169" t="s">
        <v>283</v>
      </c>
      <c r="Q687" s="169" t="s">
        <v>284</v>
      </c>
      <c r="R687" s="169" t="s">
        <v>283</v>
      </c>
      <c r="S687" s="169" t="s">
        <v>283</v>
      </c>
      <c r="T687" s="169">
        <v>0</v>
      </c>
    </row>
    <row r="688" spans="1:20" hidden="1" x14ac:dyDescent="0.2">
      <c r="A688" s="169" t="str">
        <f t="shared" si="11"/>
        <v>642</v>
      </c>
      <c r="B688" s="167" t="str">
        <f>_xlfn.XLOOKUP(I688,Mapping!D:D,Mapping!E:E)</f>
        <v>Cung Ứng</v>
      </c>
      <c r="C688" s="167" t="str">
        <f>_xlfn.XLOOKUP(F688,Mapping!A:A,Mapping!F:F)</f>
        <v>Lương Chính +T13</v>
      </c>
      <c r="D688" s="173">
        <v>46142</v>
      </c>
      <c r="E688" s="169" t="s">
        <v>2137</v>
      </c>
      <c r="F688" s="169" t="s">
        <v>274</v>
      </c>
      <c r="G688" s="169" t="s">
        <v>275</v>
      </c>
      <c r="H688" s="169" t="s">
        <v>380</v>
      </c>
      <c r="I688" s="169" t="s">
        <v>381</v>
      </c>
      <c r="J688" s="169" t="s">
        <v>2025</v>
      </c>
      <c r="K688" s="169" t="s">
        <v>2026</v>
      </c>
      <c r="L688" s="169" t="s">
        <v>631</v>
      </c>
      <c r="M688" s="169" t="s">
        <v>1453</v>
      </c>
      <c r="N688" s="178">
        <v>492396179</v>
      </c>
      <c r="O688" s="169" t="s">
        <v>2138</v>
      </c>
      <c r="P688" s="169" t="s">
        <v>283</v>
      </c>
      <c r="Q688" s="169" t="s">
        <v>284</v>
      </c>
      <c r="R688" s="169" t="s">
        <v>283</v>
      </c>
      <c r="S688" s="169" t="s">
        <v>283</v>
      </c>
      <c r="T688" s="169">
        <v>0</v>
      </c>
    </row>
    <row r="689" spans="1:20" hidden="1" x14ac:dyDescent="0.2">
      <c r="A689" s="169" t="str">
        <f t="shared" si="11"/>
        <v>642</v>
      </c>
      <c r="B689" s="167" t="str">
        <f>_xlfn.XLOOKUP(I689,Mapping!D:D,Mapping!E:E)</f>
        <v>Cung Ứng</v>
      </c>
      <c r="C689" s="167" t="str">
        <f>_xlfn.XLOOKUP(F689,Mapping!A:A,Mapping!F:F)</f>
        <v>Lương Chính +T13</v>
      </c>
      <c r="D689" s="173">
        <v>46142</v>
      </c>
      <c r="E689" s="169" t="s">
        <v>2139</v>
      </c>
      <c r="F689" s="169" t="s">
        <v>285</v>
      </c>
      <c r="G689" s="169" t="s">
        <v>286</v>
      </c>
      <c r="H689" s="169" t="s">
        <v>380</v>
      </c>
      <c r="I689" s="169" t="s">
        <v>381</v>
      </c>
      <c r="J689" s="169" t="s">
        <v>2025</v>
      </c>
      <c r="K689" s="169" t="s">
        <v>2026</v>
      </c>
      <c r="L689" s="169" t="s">
        <v>631</v>
      </c>
      <c r="M689" s="169" t="s">
        <v>1453</v>
      </c>
      <c r="N689" s="178">
        <v>8517614</v>
      </c>
      <c r="O689" s="169" t="s">
        <v>2140</v>
      </c>
      <c r="P689" s="169" t="s">
        <v>283</v>
      </c>
      <c r="Q689" s="169" t="s">
        <v>284</v>
      </c>
      <c r="R689" s="169" t="s">
        <v>283</v>
      </c>
      <c r="S689" s="169" t="s">
        <v>283</v>
      </c>
      <c r="T689" s="169">
        <v>0</v>
      </c>
    </row>
    <row r="690" spans="1:20" hidden="1" x14ac:dyDescent="0.2">
      <c r="A690" s="169" t="str">
        <f t="shared" si="11"/>
        <v>642</v>
      </c>
      <c r="B690" s="167" t="str">
        <f>_xlfn.XLOOKUP(I690,Mapping!D:D,Mapping!E:E)</f>
        <v>Cung Ứng</v>
      </c>
      <c r="C690" s="167" t="str">
        <f>_xlfn.XLOOKUP(F690,Mapping!A:A,Mapping!F:F)</f>
        <v>Thưởng</v>
      </c>
      <c r="D690" s="173">
        <v>46142</v>
      </c>
      <c r="E690" s="169" t="s">
        <v>2141</v>
      </c>
      <c r="F690" s="169" t="s">
        <v>290</v>
      </c>
      <c r="G690" s="169" t="s">
        <v>291</v>
      </c>
      <c r="H690" s="169" t="s">
        <v>380</v>
      </c>
      <c r="I690" s="169" t="s">
        <v>381</v>
      </c>
      <c r="J690" s="169" t="s">
        <v>2025</v>
      </c>
      <c r="K690" s="169" t="s">
        <v>2026</v>
      </c>
      <c r="L690" s="169" t="s">
        <v>631</v>
      </c>
      <c r="M690" s="169" t="s">
        <v>1453</v>
      </c>
      <c r="N690" s="178">
        <v>266831827</v>
      </c>
      <c r="O690" s="169" t="s">
        <v>2142</v>
      </c>
      <c r="P690" s="169" t="s">
        <v>283</v>
      </c>
      <c r="Q690" s="169" t="s">
        <v>284</v>
      </c>
      <c r="R690" s="169" t="s">
        <v>283</v>
      </c>
      <c r="S690" s="169" t="s">
        <v>283</v>
      </c>
      <c r="T690" s="169">
        <v>0</v>
      </c>
    </row>
    <row r="691" spans="1:20" hidden="1" x14ac:dyDescent="0.2">
      <c r="A691" s="169" t="str">
        <f t="shared" si="11"/>
        <v>642</v>
      </c>
      <c r="B691" s="167" t="str">
        <f>_xlfn.XLOOKUP(I691,Mapping!D:D,Mapping!E:E)</f>
        <v>Cung Ứng</v>
      </c>
      <c r="C691" s="167" t="str">
        <f>_xlfn.XLOOKUP(F691,Mapping!A:A,Mapping!F:F)</f>
        <v>Phụ Cấp</v>
      </c>
      <c r="D691" s="173">
        <v>46142</v>
      </c>
      <c r="E691" s="169" t="s">
        <v>2143</v>
      </c>
      <c r="F691" s="169" t="s">
        <v>335</v>
      </c>
      <c r="G691" s="169" t="s">
        <v>336</v>
      </c>
      <c r="H691" s="169" t="s">
        <v>380</v>
      </c>
      <c r="I691" s="169" t="s">
        <v>381</v>
      </c>
      <c r="J691" s="169" t="s">
        <v>2025</v>
      </c>
      <c r="K691" s="169" t="s">
        <v>2026</v>
      </c>
      <c r="L691" s="169" t="s">
        <v>631</v>
      </c>
      <c r="M691" s="169" t="s">
        <v>1453</v>
      </c>
      <c r="N691" s="178">
        <v>20480000</v>
      </c>
      <c r="O691" s="169" t="s">
        <v>2144</v>
      </c>
      <c r="P691" s="169" t="s">
        <v>283</v>
      </c>
      <c r="Q691" s="169" t="s">
        <v>284</v>
      </c>
      <c r="R691" s="169" t="s">
        <v>283</v>
      </c>
      <c r="S691" s="169" t="s">
        <v>283</v>
      </c>
      <c r="T691" s="169">
        <v>0</v>
      </c>
    </row>
    <row r="692" spans="1:20" hidden="1" x14ac:dyDescent="0.2">
      <c r="A692" s="169" t="str">
        <f t="shared" si="11"/>
        <v>642</v>
      </c>
      <c r="B692" s="167" t="str">
        <f>_xlfn.XLOOKUP(I692,Mapping!D:D,Mapping!E:E)</f>
        <v>Hành Chánh Nhân Sự</v>
      </c>
      <c r="C692" s="167" t="str">
        <f>_xlfn.XLOOKUP(F692,Mapping!A:A,Mapping!F:F)</f>
        <v>Lương Chính +T13</v>
      </c>
      <c r="D692" s="173">
        <v>46142</v>
      </c>
      <c r="E692" s="169" t="s">
        <v>2145</v>
      </c>
      <c r="F692" s="169" t="s">
        <v>274</v>
      </c>
      <c r="G692" s="169" t="s">
        <v>275</v>
      </c>
      <c r="H692" s="169" t="s">
        <v>382</v>
      </c>
      <c r="I692" s="169" t="s">
        <v>200</v>
      </c>
      <c r="J692" s="169" t="s">
        <v>2025</v>
      </c>
      <c r="K692" s="169" t="s">
        <v>2026</v>
      </c>
      <c r="L692" s="169" t="s">
        <v>631</v>
      </c>
      <c r="M692" s="169" t="s">
        <v>1453</v>
      </c>
      <c r="N692" s="178">
        <v>68817086</v>
      </c>
      <c r="O692" s="169" t="s">
        <v>2146</v>
      </c>
      <c r="P692" s="169" t="s">
        <v>283</v>
      </c>
      <c r="Q692" s="169" t="s">
        <v>284</v>
      </c>
      <c r="R692" s="169" t="s">
        <v>283</v>
      </c>
      <c r="S692" s="169" t="s">
        <v>283</v>
      </c>
      <c r="T692" s="169">
        <v>0</v>
      </c>
    </row>
    <row r="693" spans="1:20" hidden="1" x14ac:dyDescent="0.2">
      <c r="A693" s="169" t="str">
        <f t="shared" si="11"/>
        <v>642</v>
      </c>
      <c r="B693" s="167" t="str">
        <f>_xlfn.XLOOKUP(I693,Mapping!D:D,Mapping!E:E)</f>
        <v>Hành Chánh Nhân Sự</v>
      </c>
      <c r="C693" s="167" t="str">
        <f>_xlfn.XLOOKUP(F693,Mapping!A:A,Mapping!F:F)</f>
        <v>Lương Chính +T13</v>
      </c>
      <c r="D693" s="173">
        <v>46142</v>
      </c>
      <c r="E693" s="169" t="s">
        <v>2147</v>
      </c>
      <c r="F693" s="169" t="s">
        <v>285</v>
      </c>
      <c r="G693" s="169" t="s">
        <v>286</v>
      </c>
      <c r="H693" s="169" t="s">
        <v>382</v>
      </c>
      <c r="I693" s="169" t="s">
        <v>200</v>
      </c>
      <c r="J693" s="169" t="s">
        <v>2025</v>
      </c>
      <c r="K693" s="169" t="s">
        <v>2026</v>
      </c>
      <c r="L693" s="169" t="s">
        <v>631</v>
      </c>
      <c r="M693" s="169" t="s">
        <v>1453</v>
      </c>
      <c r="N693" s="178">
        <v>2332558</v>
      </c>
      <c r="O693" s="169" t="s">
        <v>2148</v>
      </c>
      <c r="P693" s="169" t="s">
        <v>283</v>
      </c>
      <c r="Q693" s="169" t="s">
        <v>284</v>
      </c>
      <c r="R693" s="169" t="s">
        <v>283</v>
      </c>
      <c r="S693" s="169" t="s">
        <v>283</v>
      </c>
      <c r="T693" s="169">
        <v>0</v>
      </c>
    </row>
    <row r="694" spans="1:20" hidden="1" x14ac:dyDescent="0.2">
      <c r="A694" s="169" t="str">
        <f t="shared" si="11"/>
        <v>642</v>
      </c>
      <c r="B694" s="167" t="str">
        <f>_xlfn.XLOOKUP(I694,Mapping!D:D,Mapping!E:E)</f>
        <v>Hành Chánh Nhân Sự</v>
      </c>
      <c r="C694" s="167" t="str">
        <f>_xlfn.XLOOKUP(F694,Mapping!A:A,Mapping!F:F)</f>
        <v>Phụ Cấp</v>
      </c>
      <c r="D694" s="173">
        <v>46142</v>
      </c>
      <c r="E694" s="169" t="s">
        <v>2149</v>
      </c>
      <c r="F694" s="169" t="s">
        <v>335</v>
      </c>
      <c r="G694" s="169" t="s">
        <v>336</v>
      </c>
      <c r="H694" s="169" t="s">
        <v>382</v>
      </c>
      <c r="I694" s="169" t="s">
        <v>200</v>
      </c>
      <c r="J694" s="169" t="s">
        <v>2025</v>
      </c>
      <c r="K694" s="169" t="s">
        <v>2026</v>
      </c>
      <c r="L694" s="169" t="s">
        <v>631</v>
      </c>
      <c r="M694" s="169" t="s">
        <v>1453</v>
      </c>
      <c r="N694" s="178">
        <v>300000</v>
      </c>
      <c r="O694" s="169" t="s">
        <v>2150</v>
      </c>
      <c r="P694" s="169" t="s">
        <v>283</v>
      </c>
      <c r="Q694" s="169" t="s">
        <v>284</v>
      </c>
      <c r="R694" s="169" t="s">
        <v>283</v>
      </c>
      <c r="S694" s="169" t="s">
        <v>283</v>
      </c>
      <c r="T694" s="169">
        <v>0</v>
      </c>
    </row>
    <row r="695" spans="1:20" hidden="1" x14ac:dyDescent="0.2">
      <c r="A695" s="169" t="str">
        <f t="shared" si="11"/>
        <v>642</v>
      </c>
      <c r="B695" s="167" t="str">
        <f>_xlfn.XLOOKUP(I695,Mapping!D:D,Mapping!E:E)</f>
        <v>Hành Chánh Nhân Sự</v>
      </c>
      <c r="C695" s="167" t="str">
        <f>_xlfn.XLOOKUP(F695,Mapping!A:A,Mapping!F:F)</f>
        <v>Lương Chính +T13</v>
      </c>
      <c r="D695" s="173">
        <v>46142</v>
      </c>
      <c r="E695" s="169" t="s">
        <v>2151</v>
      </c>
      <c r="F695" s="169" t="s">
        <v>274</v>
      </c>
      <c r="G695" s="169" t="s">
        <v>275</v>
      </c>
      <c r="H695" s="169" t="s">
        <v>358</v>
      </c>
      <c r="I695" s="169" t="s">
        <v>359</v>
      </c>
      <c r="J695" s="169" t="s">
        <v>2025</v>
      </c>
      <c r="K695" s="169" t="s">
        <v>2026</v>
      </c>
      <c r="L695" s="169" t="s">
        <v>631</v>
      </c>
      <c r="M695" s="169" t="s">
        <v>1453</v>
      </c>
      <c r="N695" s="178">
        <v>108654359</v>
      </c>
      <c r="O695" s="169" t="s">
        <v>2152</v>
      </c>
      <c r="P695" s="169" t="s">
        <v>283</v>
      </c>
      <c r="Q695" s="169" t="s">
        <v>284</v>
      </c>
      <c r="R695" s="169" t="s">
        <v>283</v>
      </c>
      <c r="S695" s="169" t="s">
        <v>283</v>
      </c>
      <c r="T695" s="169">
        <v>0</v>
      </c>
    </row>
    <row r="696" spans="1:20" hidden="1" x14ac:dyDescent="0.2">
      <c r="A696" s="169" t="str">
        <f t="shared" si="11"/>
        <v>642</v>
      </c>
      <c r="B696" s="167" t="str">
        <f>_xlfn.XLOOKUP(I696,Mapping!D:D,Mapping!E:E)</f>
        <v>Hành Chánh Nhân Sự</v>
      </c>
      <c r="C696" s="167" t="str">
        <f>_xlfn.XLOOKUP(F696,Mapping!A:A,Mapping!F:F)</f>
        <v>Lương Chính +T13</v>
      </c>
      <c r="D696" s="173">
        <v>46142</v>
      </c>
      <c r="E696" s="169" t="s">
        <v>2153</v>
      </c>
      <c r="F696" s="169" t="s">
        <v>285</v>
      </c>
      <c r="G696" s="169" t="s">
        <v>286</v>
      </c>
      <c r="H696" s="169" t="s">
        <v>358</v>
      </c>
      <c r="I696" s="169" t="s">
        <v>359</v>
      </c>
      <c r="J696" s="169" t="s">
        <v>2025</v>
      </c>
      <c r="K696" s="169" t="s">
        <v>2026</v>
      </c>
      <c r="L696" s="169" t="s">
        <v>631</v>
      </c>
      <c r="M696" s="169" t="s">
        <v>1453</v>
      </c>
      <c r="N696" s="178">
        <v>4097597</v>
      </c>
      <c r="O696" s="169" t="s">
        <v>2154</v>
      </c>
      <c r="P696" s="169" t="s">
        <v>283</v>
      </c>
      <c r="Q696" s="169" t="s">
        <v>284</v>
      </c>
      <c r="R696" s="169" t="s">
        <v>283</v>
      </c>
      <c r="S696" s="169" t="s">
        <v>283</v>
      </c>
      <c r="T696" s="169">
        <v>0</v>
      </c>
    </row>
    <row r="697" spans="1:20" hidden="1" x14ac:dyDescent="0.2">
      <c r="A697" s="169" t="str">
        <f t="shared" si="11"/>
        <v>642</v>
      </c>
      <c r="B697" s="167" t="str">
        <f>_xlfn.XLOOKUP(I697,Mapping!D:D,Mapping!E:E)</f>
        <v>Hành Chánh Nhân Sự</v>
      </c>
      <c r="C697" s="167" t="str">
        <f>_xlfn.XLOOKUP(F697,Mapping!A:A,Mapping!F:F)</f>
        <v>Phụ Cấp</v>
      </c>
      <c r="D697" s="173">
        <v>46142</v>
      </c>
      <c r="E697" s="169" t="s">
        <v>2155</v>
      </c>
      <c r="F697" s="169" t="s">
        <v>335</v>
      </c>
      <c r="G697" s="169" t="s">
        <v>336</v>
      </c>
      <c r="H697" s="169" t="s">
        <v>358</v>
      </c>
      <c r="I697" s="169" t="s">
        <v>359</v>
      </c>
      <c r="J697" s="169" t="s">
        <v>2025</v>
      </c>
      <c r="K697" s="169" t="s">
        <v>2026</v>
      </c>
      <c r="L697" s="169" t="s">
        <v>631</v>
      </c>
      <c r="M697" s="169" t="s">
        <v>1453</v>
      </c>
      <c r="N697" s="178">
        <v>25000</v>
      </c>
      <c r="O697" s="169" t="s">
        <v>2156</v>
      </c>
      <c r="P697" s="169" t="s">
        <v>283</v>
      </c>
      <c r="Q697" s="169" t="s">
        <v>284</v>
      </c>
      <c r="R697" s="169" t="s">
        <v>283</v>
      </c>
      <c r="S697" s="169" t="s">
        <v>283</v>
      </c>
      <c r="T697" s="169">
        <v>0</v>
      </c>
    </row>
    <row r="698" spans="1:20" hidden="1" x14ac:dyDescent="0.2">
      <c r="A698" s="169" t="str">
        <f t="shared" si="11"/>
        <v>642</v>
      </c>
      <c r="B698" s="167" t="str">
        <f>_xlfn.XLOOKUP(I698,Mapping!D:D,Mapping!E:E)</f>
        <v>Chiến Lược CCU</v>
      </c>
      <c r="C698" s="167" t="str">
        <f>_xlfn.XLOOKUP(F698,Mapping!A:A,Mapping!F:F)</f>
        <v>Lương Chính +T13</v>
      </c>
      <c r="D698" s="173">
        <v>46142</v>
      </c>
      <c r="E698" s="169" t="s">
        <v>2157</v>
      </c>
      <c r="F698" s="169" t="s">
        <v>274</v>
      </c>
      <c r="G698" s="169" t="s">
        <v>275</v>
      </c>
      <c r="H698" s="169" t="s">
        <v>1538</v>
      </c>
      <c r="I698" s="169" t="s">
        <v>1539</v>
      </c>
      <c r="J698" s="169" t="s">
        <v>2025</v>
      </c>
      <c r="K698" s="169" t="s">
        <v>2026</v>
      </c>
      <c r="L698" s="169" t="s">
        <v>631</v>
      </c>
      <c r="M698" s="169" t="s">
        <v>1453</v>
      </c>
      <c r="N698" s="178">
        <v>86467553</v>
      </c>
      <c r="O698" s="169" t="s">
        <v>2158</v>
      </c>
      <c r="P698" s="169" t="s">
        <v>283</v>
      </c>
      <c r="Q698" s="169" t="s">
        <v>284</v>
      </c>
      <c r="R698" s="169" t="s">
        <v>283</v>
      </c>
      <c r="S698" s="169" t="s">
        <v>283</v>
      </c>
      <c r="T698" s="169">
        <v>0</v>
      </c>
    </row>
    <row r="699" spans="1:20" hidden="1" x14ac:dyDescent="0.2">
      <c r="A699" s="169" t="str">
        <f t="shared" si="11"/>
        <v>642</v>
      </c>
      <c r="B699" s="167" t="str">
        <f>_xlfn.XLOOKUP(I699,Mapping!D:D,Mapping!E:E)</f>
        <v>Chiến Lược CCU</v>
      </c>
      <c r="C699" s="167" t="str">
        <f>_xlfn.XLOOKUP(F699,Mapping!A:A,Mapping!F:F)</f>
        <v>Lương Chính +T13</v>
      </c>
      <c r="D699" s="173">
        <v>46142</v>
      </c>
      <c r="E699" s="169" t="s">
        <v>2159</v>
      </c>
      <c r="F699" s="169" t="s">
        <v>285</v>
      </c>
      <c r="G699" s="169" t="s">
        <v>286</v>
      </c>
      <c r="H699" s="169" t="s">
        <v>1538</v>
      </c>
      <c r="I699" s="169" t="s">
        <v>1539</v>
      </c>
      <c r="J699" s="169" t="s">
        <v>2025</v>
      </c>
      <c r="K699" s="169" t="s">
        <v>2026</v>
      </c>
      <c r="L699" s="169" t="s">
        <v>631</v>
      </c>
      <c r="M699" s="169" t="s">
        <v>1453</v>
      </c>
      <c r="N699" s="178">
        <v>1351731</v>
      </c>
      <c r="O699" s="169" t="s">
        <v>2160</v>
      </c>
      <c r="P699" s="169" t="s">
        <v>283</v>
      </c>
      <c r="Q699" s="169" t="s">
        <v>284</v>
      </c>
      <c r="R699" s="169" t="s">
        <v>283</v>
      </c>
      <c r="S699" s="169" t="s">
        <v>283</v>
      </c>
      <c r="T699" s="169">
        <v>0</v>
      </c>
    </row>
    <row r="700" spans="1:20" hidden="1" x14ac:dyDescent="0.2">
      <c r="A700" s="169" t="str">
        <f t="shared" si="11"/>
        <v>642</v>
      </c>
      <c r="B700" s="167" t="str">
        <f>_xlfn.XLOOKUP(I700,Mapping!D:D,Mapping!E:E)</f>
        <v>Chiến Lược CCU</v>
      </c>
      <c r="C700" s="167" t="str">
        <f>_xlfn.XLOOKUP(F700,Mapping!A:A,Mapping!F:F)</f>
        <v>Phụ Cấp</v>
      </c>
      <c r="D700" s="173">
        <v>46142</v>
      </c>
      <c r="E700" s="169" t="s">
        <v>2161</v>
      </c>
      <c r="F700" s="169" t="s">
        <v>335</v>
      </c>
      <c r="G700" s="169" t="s">
        <v>336</v>
      </c>
      <c r="H700" s="169" t="s">
        <v>1538</v>
      </c>
      <c r="I700" s="169" t="s">
        <v>1539</v>
      </c>
      <c r="J700" s="169" t="s">
        <v>2025</v>
      </c>
      <c r="K700" s="169" t="s">
        <v>2026</v>
      </c>
      <c r="L700" s="169" t="s">
        <v>631</v>
      </c>
      <c r="M700" s="169" t="s">
        <v>1453</v>
      </c>
      <c r="N700" s="178">
        <v>50000</v>
      </c>
      <c r="O700" s="169" t="s">
        <v>2162</v>
      </c>
      <c r="P700" s="169" t="s">
        <v>283</v>
      </c>
      <c r="Q700" s="169" t="s">
        <v>284</v>
      </c>
      <c r="R700" s="169" t="s">
        <v>283</v>
      </c>
      <c r="S700" s="169" t="s">
        <v>283</v>
      </c>
      <c r="T700" s="169">
        <v>0</v>
      </c>
    </row>
    <row r="701" spans="1:20" hidden="1" x14ac:dyDescent="0.2">
      <c r="A701" s="169" t="str">
        <f t="shared" si="11"/>
        <v>641</v>
      </c>
      <c r="B701" s="167" t="str">
        <f>_xlfn.XLOOKUP(I701,Mapping!D:D,Mapping!E:E)</f>
        <v>Kinh doanh</v>
      </c>
      <c r="C701" s="167" t="str">
        <f>_xlfn.XLOOKUP(F701,Mapping!A:A,Mapping!F:F)</f>
        <v>BHXH, BHYT, KPCĐ</v>
      </c>
      <c r="D701" s="173">
        <v>46142</v>
      </c>
      <c r="E701" s="169" t="s">
        <v>2036</v>
      </c>
      <c r="F701" s="169" t="s">
        <v>392</v>
      </c>
      <c r="G701" s="169" t="s">
        <v>296</v>
      </c>
      <c r="H701" s="169" t="s">
        <v>366</v>
      </c>
      <c r="I701" s="169" t="s">
        <v>1</v>
      </c>
      <c r="J701" s="169" t="s">
        <v>2037</v>
      </c>
      <c r="K701" s="169" t="s">
        <v>2026</v>
      </c>
      <c r="L701" s="169" t="s">
        <v>631</v>
      </c>
      <c r="M701" s="169" t="s">
        <v>1453</v>
      </c>
      <c r="N701" s="178">
        <v>56356990</v>
      </c>
      <c r="O701" s="169" t="s">
        <v>2038</v>
      </c>
      <c r="P701" s="169" t="s">
        <v>283</v>
      </c>
      <c r="Q701" s="169" t="s">
        <v>284</v>
      </c>
      <c r="R701" s="169" t="s">
        <v>283</v>
      </c>
      <c r="S701" s="169" t="s">
        <v>283</v>
      </c>
      <c r="T701" s="169">
        <v>0</v>
      </c>
    </row>
    <row r="702" spans="1:20" hidden="1" x14ac:dyDescent="0.2">
      <c r="A702" s="169" t="str">
        <f t="shared" ref="A702:A765" si="12">LEFT(F702,3)</f>
        <v>642</v>
      </c>
      <c r="B702" s="167" t="str">
        <f>_xlfn.XLOOKUP(I702,Mapping!D:D,Mapping!E:E)</f>
        <v>Cung Ứng</v>
      </c>
      <c r="C702" s="167" t="str">
        <f>_xlfn.XLOOKUP(F702,Mapping!A:A,Mapping!F:F)</f>
        <v>BHXH, BHYT, KPCĐ</v>
      </c>
      <c r="D702" s="173">
        <v>46142</v>
      </c>
      <c r="E702" s="169" t="s">
        <v>2036</v>
      </c>
      <c r="F702" s="169" t="s">
        <v>295</v>
      </c>
      <c r="G702" s="169" t="s">
        <v>296</v>
      </c>
      <c r="H702" s="169" t="s">
        <v>380</v>
      </c>
      <c r="I702" s="169" t="s">
        <v>381</v>
      </c>
      <c r="J702" s="169" t="s">
        <v>2037</v>
      </c>
      <c r="K702" s="169" t="s">
        <v>2026</v>
      </c>
      <c r="L702" s="169" t="s">
        <v>631</v>
      </c>
      <c r="M702" s="169" t="s">
        <v>1453</v>
      </c>
      <c r="N702" s="178">
        <v>87486035</v>
      </c>
      <c r="O702" s="169" t="s">
        <v>2038</v>
      </c>
      <c r="P702" s="169" t="s">
        <v>283</v>
      </c>
      <c r="Q702" s="169" t="s">
        <v>284</v>
      </c>
      <c r="R702" s="169" t="s">
        <v>283</v>
      </c>
      <c r="S702" s="169" t="s">
        <v>283</v>
      </c>
      <c r="T702" s="169">
        <v>0</v>
      </c>
    </row>
    <row r="703" spans="1:20" hidden="1" x14ac:dyDescent="0.2">
      <c r="A703" s="169" t="str">
        <f t="shared" si="12"/>
        <v>642</v>
      </c>
      <c r="B703" s="167" t="str">
        <f>_xlfn.XLOOKUP(I703,Mapping!D:D,Mapping!E:E)</f>
        <v>Hành Chánh Nhân Sự</v>
      </c>
      <c r="C703" s="167" t="str">
        <f>_xlfn.XLOOKUP(F703,Mapping!A:A,Mapping!F:F)</f>
        <v>BHXH, BHYT, KPCĐ</v>
      </c>
      <c r="D703" s="173">
        <v>46142</v>
      </c>
      <c r="E703" s="169" t="s">
        <v>2036</v>
      </c>
      <c r="F703" s="169" t="s">
        <v>295</v>
      </c>
      <c r="G703" s="169" t="s">
        <v>296</v>
      </c>
      <c r="H703" s="169" t="s">
        <v>382</v>
      </c>
      <c r="I703" s="169" t="s">
        <v>200</v>
      </c>
      <c r="J703" s="169" t="s">
        <v>2037</v>
      </c>
      <c r="K703" s="169" t="s">
        <v>2026</v>
      </c>
      <c r="L703" s="169" t="s">
        <v>631</v>
      </c>
      <c r="M703" s="169" t="s">
        <v>1453</v>
      </c>
      <c r="N703" s="178">
        <v>18781905</v>
      </c>
      <c r="O703" s="169" t="s">
        <v>2038</v>
      </c>
      <c r="P703" s="169" t="s">
        <v>283</v>
      </c>
      <c r="Q703" s="169" t="s">
        <v>284</v>
      </c>
      <c r="R703" s="169" t="s">
        <v>283</v>
      </c>
      <c r="S703" s="169" t="s">
        <v>283</v>
      </c>
      <c r="T703" s="169">
        <v>0</v>
      </c>
    </row>
    <row r="704" spans="1:20" hidden="1" x14ac:dyDescent="0.2">
      <c r="A704" s="169" t="str">
        <f t="shared" si="12"/>
        <v>642</v>
      </c>
      <c r="B704" s="167" t="str">
        <f>_xlfn.XLOOKUP(I704,Mapping!D:D,Mapping!E:E)</f>
        <v>Hành Chánh Nhân Sự</v>
      </c>
      <c r="C704" s="167" t="str">
        <f>_xlfn.XLOOKUP(F704,Mapping!A:A,Mapping!F:F)</f>
        <v>BHXH, BHYT, KPCĐ</v>
      </c>
      <c r="D704" s="173">
        <v>46142</v>
      </c>
      <c r="E704" s="169" t="s">
        <v>2036</v>
      </c>
      <c r="F704" s="169" t="s">
        <v>295</v>
      </c>
      <c r="G704" s="169" t="s">
        <v>296</v>
      </c>
      <c r="H704" s="169" t="s">
        <v>358</v>
      </c>
      <c r="I704" s="169" t="s">
        <v>359</v>
      </c>
      <c r="J704" s="169" t="s">
        <v>2037</v>
      </c>
      <c r="K704" s="169" t="s">
        <v>2026</v>
      </c>
      <c r="L704" s="169" t="s">
        <v>631</v>
      </c>
      <c r="M704" s="169" t="s">
        <v>1453</v>
      </c>
      <c r="N704" s="178">
        <v>25429115</v>
      </c>
      <c r="O704" s="169" t="s">
        <v>2038</v>
      </c>
      <c r="P704" s="169" t="s">
        <v>283</v>
      </c>
      <c r="Q704" s="169" t="s">
        <v>284</v>
      </c>
      <c r="R704" s="169" t="s">
        <v>283</v>
      </c>
      <c r="S704" s="169" t="s">
        <v>283</v>
      </c>
      <c r="T704" s="169">
        <v>0</v>
      </c>
    </row>
    <row r="705" spans="1:20" hidden="1" x14ac:dyDescent="0.2">
      <c r="A705" s="169" t="str">
        <f t="shared" si="12"/>
        <v>642</v>
      </c>
      <c r="B705" s="167" t="str">
        <f>_xlfn.XLOOKUP(I705,Mapping!D:D,Mapping!E:E)</f>
        <v>Chiến Lược CCU</v>
      </c>
      <c r="C705" s="167" t="str">
        <f>_xlfn.XLOOKUP(F705,Mapping!A:A,Mapping!F:F)</f>
        <v>BHXH, BHYT, KPCĐ</v>
      </c>
      <c r="D705" s="173">
        <v>46142</v>
      </c>
      <c r="E705" s="169" t="s">
        <v>2036</v>
      </c>
      <c r="F705" s="169" t="s">
        <v>295</v>
      </c>
      <c r="G705" s="169" t="s">
        <v>296</v>
      </c>
      <c r="H705" s="169" t="s">
        <v>1538</v>
      </c>
      <c r="I705" s="169" t="s">
        <v>1539</v>
      </c>
      <c r="J705" s="169" t="s">
        <v>2037</v>
      </c>
      <c r="K705" s="169" t="s">
        <v>2026</v>
      </c>
      <c r="L705" s="169" t="s">
        <v>631</v>
      </c>
      <c r="M705" s="169" t="s">
        <v>1453</v>
      </c>
      <c r="N705" s="178">
        <v>20035865</v>
      </c>
      <c r="O705" s="169" t="s">
        <v>2038</v>
      </c>
      <c r="P705" s="169" t="s">
        <v>283</v>
      </c>
      <c r="Q705" s="169" t="s">
        <v>284</v>
      </c>
      <c r="R705" s="169" t="s">
        <v>283</v>
      </c>
      <c r="S705" s="169" t="s">
        <v>283</v>
      </c>
      <c r="T705" s="169">
        <v>0</v>
      </c>
    </row>
    <row r="706" spans="1:20" hidden="1" x14ac:dyDescent="0.2">
      <c r="A706" s="169" t="str">
        <f t="shared" si="12"/>
        <v>641</v>
      </c>
      <c r="B706" s="167" t="str">
        <f>_xlfn.XLOOKUP(I706,Mapping!D:D,Mapping!E:E)</f>
        <v>Kinh doanh</v>
      </c>
      <c r="C706" s="167" t="str">
        <f>_xlfn.XLOOKUP(F706,Mapping!A:A,Mapping!F:F)</f>
        <v>Lương Chính +T13</v>
      </c>
      <c r="D706" s="173">
        <v>46142</v>
      </c>
      <c r="E706" s="169" t="s">
        <v>2163</v>
      </c>
      <c r="F706" s="169" t="s">
        <v>384</v>
      </c>
      <c r="G706" s="169" t="s">
        <v>286</v>
      </c>
      <c r="H706" s="169" t="s">
        <v>366</v>
      </c>
      <c r="I706" s="169" t="s">
        <v>1</v>
      </c>
      <c r="J706" s="169" t="s">
        <v>2031</v>
      </c>
      <c r="K706" s="169" t="s">
        <v>2026</v>
      </c>
      <c r="L706" s="169" t="s">
        <v>631</v>
      </c>
      <c r="M706" s="169" t="s">
        <v>1453</v>
      </c>
      <c r="N706" s="178">
        <v>23872833</v>
      </c>
      <c r="O706" s="169" t="s">
        <v>2164</v>
      </c>
      <c r="P706" s="169" t="s">
        <v>283</v>
      </c>
      <c r="Q706" s="169" t="s">
        <v>284</v>
      </c>
      <c r="R706" s="169" t="s">
        <v>283</v>
      </c>
      <c r="S706" s="169" t="s">
        <v>283</v>
      </c>
      <c r="T706" s="169">
        <v>0</v>
      </c>
    </row>
    <row r="707" spans="1:20" hidden="1" x14ac:dyDescent="0.2">
      <c r="A707" s="169" t="str">
        <f t="shared" si="12"/>
        <v>641</v>
      </c>
      <c r="B707" s="167" t="str">
        <f>_xlfn.XLOOKUP(I707,Mapping!D:D,Mapping!E:E)</f>
        <v>Kinh doanh</v>
      </c>
      <c r="C707" s="167" t="str">
        <f>_xlfn.XLOOKUP(F707,Mapping!A:A,Mapping!F:F)</f>
        <v>Thưởng</v>
      </c>
      <c r="D707" s="173">
        <v>46142</v>
      </c>
      <c r="E707" s="169" t="s">
        <v>2165</v>
      </c>
      <c r="F707" s="169" t="s">
        <v>394</v>
      </c>
      <c r="G707" s="169" t="s">
        <v>77</v>
      </c>
      <c r="H707" s="169" t="s">
        <v>366</v>
      </c>
      <c r="I707" s="169" t="s">
        <v>1</v>
      </c>
      <c r="J707" s="169" t="s">
        <v>2034</v>
      </c>
      <c r="K707" s="169" t="s">
        <v>2026</v>
      </c>
      <c r="L707" s="169" t="s">
        <v>631</v>
      </c>
      <c r="M707" s="169" t="s">
        <v>1453</v>
      </c>
      <c r="N707" s="178">
        <v>21962816</v>
      </c>
      <c r="O707" s="169" t="s">
        <v>2166</v>
      </c>
      <c r="P707" s="169" t="s">
        <v>283</v>
      </c>
      <c r="Q707" s="169" t="s">
        <v>284</v>
      </c>
      <c r="R707" s="169" t="s">
        <v>283</v>
      </c>
      <c r="S707" s="169" t="s">
        <v>283</v>
      </c>
      <c r="T707" s="169">
        <v>0</v>
      </c>
    </row>
    <row r="708" spans="1:20" hidden="1" x14ac:dyDescent="0.2">
      <c r="A708" s="169" t="str">
        <f t="shared" si="12"/>
        <v>642</v>
      </c>
      <c r="B708" s="167" t="str">
        <f>_xlfn.XLOOKUP(I708,Mapping!D:D,Mapping!E:E)</f>
        <v>Cung Ứng</v>
      </c>
      <c r="C708" s="167" t="str">
        <f>_xlfn.XLOOKUP(F708,Mapping!A:A,Mapping!F:F)</f>
        <v>Lương Chính +T13</v>
      </c>
      <c r="D708" s="173">
        <v>46142</v>
      </c>
      <c r="E708" s="169" t="s">
        <v>2167</v>
      </c>
      <c r="F708" s="169" t="s">
        <v>285</v>
      </c>
      <c r="G708" s="169" t="s">
        <v>286</v>
      </c>
      <c r="H708" s="169" t="s">
        <v>380</v>
      </c>
      <c r="I708" s="169" t="s">
        <v>381</v>
      </c>
      <c r="J708" s="169" t="s">
        <v>2031</v>
      </c>
      <c r="K708" s="169" t="s">
        <v>2026</v>
      </c>
      <c r="L708" s="169" t="s">
        <v>631</v>
      </c>
      <c r="M708" s="169" t="s">
        <v>1453</v>
      </c>
      <c r="N708" s="178">
        <v>32785917</v>
      </c>
      <c r="O708" s="169" t="s">
        <v>2168</v>
      </c>
      <c r="P708" s="169" t="s">
        <v>283</v>
      </c>
      <c r="Q708" s="169" t="s">
        <v>284</v>
      </c>
      <c r="R708" s="169" t="s">
        <v>283</v>
      </c>
      <c r="S708" s="169" t="s">
        <v>283</v>
      </c>
      <c r="T708" s="169">
        <v>0</v>
      </c>
    </row>
    <row r="709" spans="1:20" hidden="1" x14ac:dyDescent="0.2">
      <c r="A709" s="169" t="str">
        <f t="shared" si="12"/>
        <v>642</v>
      </c>
      <c r="B709" s="167" t="str">
        <f>_xlfn.XLOOKUP(I709,Mapping!D:D,Mapping!E:E)</f>
        <v>Cung Ứng</v>
      </c>
      <c r="C709" s="167" t="str">
        <f>_xlfn.XLOOKUP(F709,Mapping!A:A,Mapping!F:F)</f>
        <v>Thưởng</v>
      </c>
      <c r="D709" s="173">
        <v>46142</v>
      </c>
      <c r="E709" s="169" t="s">
        <v>2169</v>
      </c>
      <c r="F709" s="169" t="s">
        <v>292</v>
      </c>
      <c r="G709" s="169" t="s">
        <v>77</v>
      </c>
      <c r="H709" s="169" t="s">
        <v>380</v>
      </c>
      <c r="I709" s="169" t="s">
        <v>381</v>
      </c>
      <c r="J709" s="169" t="s">
        <v>2034</v>
      </c>
      <c r="K709" s="169" t="s">
        <v>2026</v>
      </c>
      <c r="L709" s="169" t="s">
        <v>631</v>
      </c>
      <c r="M709" s="169" t="s">
        <v>1453</v>
      </c>
      <c r="N709" s="178">
        <v>28371281</v>
      </c>
      <c r="O709" s="169" t="s">
        <v>2170</v>
      </c>
      <c r="P709" s="169" t="s">
        <v>283</v>
      </c>
      <c r="Q709" s="169" t="s">
        <v>284</v>
      </c>
      <c r="R709" s="169" t="s">
        <v>283</v>
      </c>
      <c r="S709" s="169" t="s">
        <v>283</v>
      </c>
      <c r="T709" s="169">
        <v>0</v>
      </c>
    </row>
    <row r="710" spans="1:20" hidden="1" x14ac:dyDescent="0.2">
      <c r="A710" s="169" t="str">
        <f t="shared" si="12"/>
        <v>642</v>
      </c>
      <c r="B710" s="167" t="str">
        <f>_xlfn.XLOOKUP(I710,Mapping!D:D,Mapping!E:E)</f>
        <v>Hành Chánh Nhân Sự</v>
      </c>
      <c r="C710" s="167" t="str">
        <f>_xlfn.XLOOKUP(F710,Mapping!A:A,Mapping!F:F)</f>
        <v>Lương Chính +T13</v>
      </c>
      <c r="D710" s="173">
        <v>46142</v>
      </c>
      <c r="E710" s="169" t="s">
        <v>2171</v>
      </c>
      <c r="F710" s="169" t="s">
        <v>285</v>
      </c>
      <c r="G710" s="169" t="s">
        <v>286</v>
      </c>
      <c r="H710" s="169" t="s">
        <v>382</v>
      </c>
      <c r="I710" s="169" t="s">
        <v>200</v>
      </c>
      <c r="J710" s="169" t="s">
        <v>2031</v>
      </c>
      <c r="K710" s="169" t="s">
        <v>2026</v>
      </c>
      <c r="L710" s="169" t="s">
        <v>631</v>
      </c>
      <c r="M710" s="169" t="s">
        <v>1453</v>
      </c>
      <c r="N710" s="178">
        <v>6660250</v>
      </c>
      <c r="O710" s="169" t="s">
        <v>2172</v>
      </c>
      <c r="P710" s="169" t="s">
        <v>283</v>
      </c>
      <c r="Q710" s="169" t="s">
        <v>284</v>
      </c>
      <c r="R710" s="169" t="s">
        <v>283</v>
      </c>
      <c r="S710" s="169" t="s">
        <v>283</v>
      </c>
      <c r="T710" s="169">
        <v>0</v>
      </c>
    </row>
    <row r="711" spans="1:20" hidden="1" x14ac:dyDescent="0.2">
      <c r="A711" s="169" t="str">
        <f t="shared" si="12"/>
        <v>642</v>
      </c>
      <c r="B711" s="167" t="str">
        <f>_xlfn.XLOOKUP(I711,Mapping!D:D,Mapping!E:E)</f>
        <v>Hành Chánh Nhân Sự</v>
      </c>
      <c r="C711" s="167" t="str">
        <f>_xlfn.XLOOKUP(F711,Mapping!A:A,Mapping!F:F)</f>
        <v>Thưởng</v>
      </c>
      <c r="D711" s="173">
        <v>46142</v>
      </c>
      <c r="E711" s="169" t="s">
        <v>2173</v>
      </c>
      <c r="F711" s="169" t="s">
        <v>292</v>
      </c>
      <c r="G711" s="169" t="s">
        <v>77</v>
      </c>
      <c r="H711" s="169" t="s">
        <v>382</v>
      </c>
      <c r="I711" s="169" t="s">
        <v>200</v>
      </c>
      <c r="J711" s="169" t="s">
        <v>2034</v>
      </c>
      <c r="K711" s="169" t="s">
        <v>2026</v>
      </c>
      <c r="L711" s="169" t="s">
        <v>631</v>
      </c>
      <c r="M711" s="169" t="s">
        <v>1453</v>
      </c>
      <c r="N711" s="178">
        <v>6127377</v>
      </c>
      <c r="O711" s="169" t="s">
        <v>2174</v>
      </c>
      <c r="P711" s="169" t="s">
        <v>283</v>
      </c>
      <c r="Q711" s="169" t="s">
        <v>284</v>
      </c>
      <c r="R711" s="169" t="s">
        <v>283</v>
      </c>
      <c r="S711" s="169" t="s">
        <v>283</v>
      </c>
      <c r="T711" s="169">
        <v>0</v>
      </c>
    </row>
    <row r="712" spans="1:20" hidden="1" x14ac:dyDescent="0.2">
      <c r="A712" s="169" t="str">
        <f t="shared" si="12"/>
        <v>642</v>
      </c>
      <c r="B712" s="167" t="str">
        <f>_xlfn.XLOOKUP(I712,Mapping!D:D,Mapping!E:E)</f>
        <v>Hành Chánh Nhân Sự</v>
      </c>
      <c r="C712" s="167" t="str">
        <f>_xlfn.XLOOKUP(F712,Mapping!A:A,Mapping!F:F)</f>
        <v>Lương Chính +T13</v>
      </c>
      <c r="D712" s="173">
        <v>46142</v>
      </c>
      <c r="E712" s="169" t="s">
        <v>2175</v>
      </c>
      <c r="F712" s="169" t="s">
        <v>285</v>
      </c>
      <c r="G712" s="169" t="s">
        <v>286</v>
      </c>
      <c r="H712" s="169" t="s">
        <v>358</v>
      </c>
      <c r="I712" s="169" t="s">
        <v>359</v>
      </c>
      <c r="J712" s="169" t="s">
        <v>2031</v>
      </c>
      <c r="K712" s="169" t="s">
        <v>2026</v>
      </c>
      <c r="L712" s="169" t="s">
        <v>631</v>
      </c>
      <c r="M712" s="169" t="s">
        <v>1453</v>
      </c>
      <c r="N712" s="178">
        <v>9017417</v>
      </c>
      <c r="O712" s="169" t="s">
        <v>2176</v>
      </c>
      <c r="P712" s="169" t="s">
        <v>283</v>
      </c>
      <c r="Q712" s="169" t="s">
        <v>284</v>
      </c>
      <c r="R712" s="169" t="s">
        <v>283</v>
      </c>
      <c r="S712" s="169" t="s">
        <v>283</v>
      </c>
      <c r="T712" s="169">
        <v>0</v>
      </c>
    </row>
    <row r="713" spans="1:20" hidden="1" x14ac:dyDescent="0.2">
      <c r="A713" s="169" t="str">
        <f t="shared" si="12"/>
        <v>642</v>
      </c>
      <c r="B713" s="167" t="str">
        <f>_xlfn.XLOOKUP(I713,Mapping!D:D,Mapping!E:E)</f>
        <v>Hành Chánh Nhân Sự</v>
      </c>
      <c r="C713" s="167" t="str">
        <f>_xlfn.XLOOKUP(F713,Mapping!A:A,Mapping!F:F)</f>
        <v>Thưởng</v>
      </c>
      <c r="D713" s="173">
        <v>46142</v>
      </c>
      <c r="E713" s="169" t="s">
        <v>2177</v>
      </c>
      <c r="F713" s="169" t="s">
        <v>292</v>
      </c>
      <c r="G713" s="169" t="s">
        <v>77</v>
      </c>
      <c r="H713" s="169" t="s">
        <v>358</v>
      </c>
      <c r="I713" s="169" t="s">
        <v>359</v>
      </c>
      <c r="J713" s="169" t="s">
        <v>2034</v>
      </c>
      <c r="K713" s="169" t="s">
        <v>2026</v>
      </c>
      <c r="L713" s="169" t="s">
        <v>631</v>
      </c>
      <c r="M713" s="169" t="s">
        <v>1453</v>
      </c>
      <c r="N713" s="178">
        <v>8295951</v>
      </c>
      <c r="O713" s="169" t="s">
        <v>2178</v>
      </c>
      <c r="P713" s="169" t="s">
        <v>283</v>
      </c>
      <c r="Q713" s="169" t="s">
        <v>284</v>
      </c>
      <c r="R713" s="169" t="s">
        <v>283</v>
      </c>
      <c r="S713" s="169" t="s">
        <v>283</v>
      </c>
      <c r="T713" s="169">
        <v>0</v>
      </c>
    </row>
    <row r="714" spans="1:20" hidden="1" x14ac:dyDescent="0.2">
      <c r="A714" s="169" t="str">
        <f t="shared" si="12"/>
        <v>642</v>
      </c>
      <c r="B714" s="167" t="str">
        <f>_xlfn.XLOOKUP(I714,Mapping!D:D,Mapping!E:E)</f>
        <v>Chiến Lược CCU</v>
      </c>
      <c r="C714" s="167" t="str">
        <f>_xlfn.XLOOKUP(F714,Mapping!A:A,Mapping!F:F)</f>
        <v>Lương Chính +T13</v>
      </c>
      <c r="D714" s="173">
        <v>46142</v>
      </c>
      <c r="E714" s="169" t="s">
        <v>2179</v>
      </c>
      <c r="F714" s="169" t="s">
        <v>285</v>
      </c>
      <c r="G714" s="169" t="s">
        <v>286</v>
      </c>
      <c r="H714" s="169" t="s">
        <v>1538</v>
      </c>
      <c r="I714" s="169" t="s">
        <v>1539</v>
      </c>
      <c r="J714" s="169" t="s">
        <v>2031</v>
      </c>
      <c r="K714" s="169" t="s">
        <v>2026</v>
      </c>
      <c r="L714" s="169" t="s">
        <v>631</v>
      </c>
      <c r="M714" s="169" t="s">
        <v>1453</v>
      </c>
      <c r="N714" s="178">
        <v>7104917</v>
      </c>
      <c r="O714" s="169" t="s">
        <v>2180</v>
      </c>
      <c r="P714" s="169" t="s">
        <v>283</v>
      </c>
      <c r="Q714" s="169" t="s">
        <v>284</v>
      </c>
      <c r="R714" s="169" t="s">
        <v>283</v>
      </c>
      <c r="S714" s="169" t="s">
        <v>283</v>
      </c>
      <c r="T714" s="169">
        <v>0</v>
      </c>
    </row>
    <row r="715" spans="1:20" hidden="1" x14ac:dyDescent="0.2">
      <c r="A715" s="169" t="str">
        <f t="shared" si="12"/>
        <v>642</v>
      </c>
      <c r="B715" s="167" t="str">
        <f>_xlfn.XLOOKUP(I715,Mapping!D:D,Mapping!E:E)</f>
        <v>Chiến Lược CCU</v>
      </c>
      <c r="C715" s="167" t="str">
        <f>_xlfn.XLOOKUP(F715,Mapping!A:A,Mapping!F:F)</f>
        <v>Thưởng</v>
      </c>
      <c r="D715" s="173">
        <v>46142</v>
      </c>
      <c r="E715" s="169" t="s">
        <v>2181</v>
      </c>
      <c r="F715" s="169" t="s">
        <v>292</v>
      </c>
      <c r="G715" s="169" t="s">
        <v>77</v>
      </c>
      <c r="H715" s="169" t="s">
        <v>1538</v>
      </c>
      <c r="I715" s="169" t="s">
        <v>1539</v>
      </c>
      <c r="J715" s="169" t="s">
        <v>2034</v>
      </c>
      <c r="K715" s="169" t="s">
        <v>2026</v>
      </c>
      <c r="L715" s="169" t="s">
        <v>631</v>
      </c>
      <c r="M715" s="169" t="s">
        <v>1453</v>
      </c>
      <c r="N715" s="178">
        <v>6536466</v>
      </c>
      <c r="O715" s="169" t="s">
        <v>2182</v>
      </c>
      <c r="P715" s="169" t="s">
        <v>283</v>
      </c>
      <c r="Q715" s="169" t="s">
        <v>284</v>
      </c>
      <c r="R715" s="169" t="s">
        <v>283</v>
      </c>
      <c r="S715" s="169" t="s">
        <v>283</v>
      </c>
      <c r="T715" s="169">
        <v>0</v>
      </c>
    </row>
    <row r="716" spans="1:20" hidden="1" x14ac:dyDescent="0.2">
      <c r="A716" s="169" t="str">
        <f t="shared" si="12"/>
        <v>642</v>
      </c>
      <c r="B716" s="167" t="str">
        <f>_xlfn.XLOOKUP(I716,Mapping!D:D,Mapping!E:E)</f>
        <v>Hành Chánh Nhân Sự</v>
      </c>
      <c r="C716" s="167" t="str">
        <f>_xlfn.XLOOKUP(F716,Mapping!A:A,Mapping!F:F)</f>
        <v>Khen thưởng BD khác</v>
      </c>
      <c r="D716" s="173">
        <v>46142</v>
      </c>
      <c r="E716" s="169" t="s">
        <v>2183</v>
      </c>
      <c r="F716" s="169" t="s">
        <v>300</v>
      </c>
      <c r="G716" s="169" t="s">
        <v>222</v>
      </c>
      <c r="H716" s="169" t="s">
        <v>358</v>
      </c>
      <c r="I716" s="169" t="s">
        <v>359</v>
      </c>
      <c r="J716" s="169" t="s">
        <v>2115</v>
      </c>
      <c r="K716" s="169" t="s">
        <v>2026</v>
      </c>
      <c r="L716" s="169" t="s">
        <v>631</v>
      </c>
      <c r="M716" s="169" t="s">
        <v>1453</v>
      </c>
      <c r="N716" s="178">
        <v>200000</v>
      </c>
      <c r="O716" s="169" t="s">
        <v>2184</v>
      </c>
      <c r="P716" s="169" t="s">
        <v>283</v>
      </c>
      <c r="Q716" s="169" t="s">
        <v>284</v>
      </c>
      <c r="R716" s="169" t="s">
        <v>283</v>
      </c>
      <c r="S716" s="169" t="s">
        <v>283</v>
      </c>
      <c r="T716" s="169">
        <v>0</v>
      </c>
    </row>
    <row r="717" spans="1:20" hidden="1" x14ac:dyDescent="0.2">
      <c r="A717" s="169" t="str">
        <f t="shared" si="12"/>
        <v>642</v>
      </c>
      <c r="B717" s="167" t="str">
        <f>_xlfn.XLOOKUP(I717,Mapping!D:D,Mapping!E:E)</f>
        <v>Cung Ứng</v>
      </c>
      <c r="C717" s="167" t="str">
        <f>_xlfn.XLOOKUP(F717,Mapping!A:A,Mapping!F:F)</f>
        <v>Lương Chính +T13</v>
      </c>
      <c r="D717" s="173">
        <v>46142</v>
      </c>
      <c r="E717" s="169" t="s">
        <v>2185</v>
      </c>
      <c r="F717" s="169" t="s">
        <v>274</v>
      </c>
      <c r="G717" s="169" t="s">
        <v>275</v>
      </c>
      <c r="H717" s="169" t="s">
        <v>380</v>
      </c>
      <c r="I717" s="169" t="s">
        <v>381</v>
      </c>
      <c r="J717" s="169" t="s">
        <v>2186</v>
      </c>
      <c r="K717" s="169" t="s">
        <v>2026</v>
      </c>
      <c r="L717" s="169" t="s">
        <v>631</v>
      </c>
      <c r="M717" s="169" t="s">
        <v>1453</v>
      </c>
      <c r="N717" s="178">
        <v>-355450</v>
      </c>
      <c r="O717" s="169" t="s">
        <v>2187</v>
      </c>
      <c r="P717" s="169" t="s">
        <v>283</v>
      </c>
      <c r="Q717" s="169" t="s">
        <v>284</v>
      </c>
      <c r="R717" s="169" t="s">
        <v>283</v>
      </c>
      <c r="S717" s="169" t="s">
        <v>283</v>
      </c>
      <c r="T717" s="169">
        <v>0</v>
      </c>
    </row>
    <row r="718" spans="1:20" hidden="1" x14ac:dyDescent="0.2">
      <c r="A718" s="169" t="str">
        <f t="shared" si="12"/>
        <v>642</v>
      </c>
      <c r="B718" s="167" t="str">
        <f>_xlfn.XLOOKUP(I718,Mapping!D:D,Mapping!E:E)</f>
        <v>Cung Ứng</v>
      </c>
      <c r="C718" s="167" t="str">
        <f>_xlfn.XLOOKUP(F718,Mapping!A:A,Mapping!F:F)</f>
        <v>BHXH, BHYT, KPCĐ</v>
      </c>
      <c r="D718" s="173">
        <v>46142</v>
      </c>
      <c r="E718" s="169" t="s">
        <v>2070</v>
      </c>
      <c r="F718" s="169" t="s">
        <v>295</v>
      </c>
      <c r="G718" s="169" t="s">
        <v>296</v>
      </c>
      <c r="H718" s="169" t="s">
        <v>380</v>
      </c>
      <c r="I718" s="169" t="s">
        <v>381</v>
      </c>
      <c r="J718" s="169" t="s">
        <v>2037</v>
      </c>
      <c r="K718" s="169" t="s">
        <v>2026</v>
      </c>
      <c r="L718" s="169" t="s">
        <v>631</v>
      </c>
      <c r="M718" s="169" t="s">
        <v>1453</v>
      </c>
      <c r="N718" s="178">
        <v>1369580</v>
      </c>
      <c r="O718" s="169" t="s">
        <v>2071</v>
      </c>
      <c r="P718" s="169" t="s">
        <v>283</v>
      </c>
      <c r="Q718" s="169" t="s">
        <v>284</v>
      </c>
      <c r="R718" s="169" t="s">
        <v>283</v>
      </c>
      <c r="S718" s="169" t="s">
        <v>283</v>
      </c>
      <c r="T718" s="169">
        <v>0</v>
      </c>
    </row>
    <row r="719" spans="1:20" hidden="1" x14ac:dyDescent="0.2">
      <c r="A719" s="169" t="str">
        <f t="shared" si="12"/>
        <v>642</v>
      </c>
      <c r="B719" s="167" t="str">
        <f>_xlfn.XLOOKUP(I719,Mapping!D:D,Mapping!E:E)</f>
        <v>Cung Ứng</v>
      </c>
      <c r="C719" s="167" t="str">
        <f>_xlfn.XLOOKUP(F719,Mapping!A:A,Mapping!F:F)</f>
        <v>Phụ Cấp</v>
      </c>
      <c r="D719" s="173">
        <v>46140</v>
      </c>
      <c r="E719" s="169" t="s">
        <v>2072</v>
      </c>
      <c r="F719" s="169" t="s">
        <v>335</v>
      </c>
      <c r="G719" s="169" t="s">
        <v>336</v>
      </c>
      <c r="H719" s="169" t="s">
        <v>380</v>
      </c>
      <c r="I719" s="169" t="s">
        <v>381</v>
      </c>
      <c r="J719" s="169" t="s">
        <v>2073</v>
      </c>
      <c r="K719" s="169" t="s">
        <v>741</v>
      </c>
      <c r="L719" s="169" t="s">
        <v>631</v>
      </c>
      <c r="M719" s="169" t="s">
        <v>1453</v>
      </c>
      <c r="N719" s="178">
        <v>6580000</v>
      </c>
      <c r="O719" s="169" t="s">
        <v>2074</v>
      </c>
      <c r="P719" s="169" t="s">
        <v>283</v>
      </c>
      <c r="Q719" s="169" t="s">
        <v>306</v>
      </c>
      <c r="R719" s="169" t="s">
        <v>283</v>
      </c>
      <c r="S719" s="169" t="s">
        <v>283</v>
      </c>
      <c r="T719" s="169">
        <v>0</v>
      </c>
    </row>
    <row r="720" spans="1:20" hidden="1" x14ac:dyDescent="0.2">
      <c r="A720" s="169" t="str">
        <f t="shared" si="12"/>
        <v>642</v>
      </c>
      <c r="B720" s="167" t="str">
        <f>_xlfn.XLOOKUP(I720,Mapping!D:D,Mapping!E:E)</f>
        <v>Hành Chánh Nhân Sự</v>
      </c>
      <c r="C720" s="167" t="str">
        <f>_xlfn.XLOOKUP(F720,Mapping!A:A,Mapping!F:F)</f>
        <v>Phụ Cấp</v>
      </c>
      <c r="D720" s="173">
        <v>46140</v>
      </c>
      <c r="E720" s="169" t="s">
        <v>2072</v>
      </c>
      <c r="F720" s="169" t="s">
        <v>335</v>
      </c>
      <c r="G720" s="169" t="s">
        <v>336</v>
      </c>
      <c r="H720" s="169" t="s">
        <v>382</v>
      </c>
      <c r="I720" s="169" t="s">
        <v>200</v>
      </c>
      <c r="J720" s="169" t="s">
        <v>2073</v>
      </c>
      <c r="K720" s="169" t="s">
        <v>741</v>
      </c>
      <c r="L720" s="169" t="s">
        <v>631</v>
      </c>
      <c r="M720" s="169" t="s">
        <v>1453</v>
      </c>
      <c r="N720" s="178">
        <v>1848000</v>
      </c>
      <c r="O720" s="169" t="s">
        <v>2074</v>
      </c>
      <c r="P720" s="169" t="s">
        <v>283</v>
      </c>
      <c r="Q720" s="169" t="s">
        <v>306</v>
      </c>
      <c r="R720" s="169" t="s">
        <v>283</v>
      </c>
      <c r="S720" s="169" t="s">
        <v>283</v>
      </c>
      <c r="T720" s="169">
        <v>0</v>
      </c>
    </row>
    <row r="721" spans="1:20" hidden="1" x14ac:dyDescent="0.2">
      <c r="A721" s="169" t="str">
        <f t="shared" si="12"/>
        <v>642</v>
      </c>
      <c r="B721" s="167" t="str">
        <f>_xlfn.XLOOKUP(I721,Mapping!D:D,Mapping!E:E)</f>
        <v>Hành Chánh Nhân Sự</v>
      </c>
      <c r="C721" s="167" t="str">
        <f>_xlfn.XLOOKUP(F721,Mapping!A:A,Mapping!F:F)</f>
        <v>Phụ Cấp</v>
      </c>
      <c r="D721" s="173">
        <v>46140</v>
      </c>
      <c r="E721" s="169" t="s">
        <v>2072</v>
      </c>
      <c r="F721" s="169" t="s">
        <v>335</v>
      </c>
      <c r="G721" s="169" t="s">
        <v>336</v>
      </c>
      <c r="H721" s="169" t="s">
        <v>358</v>
      </c>
      <c r="I721" s="169" t="s">
        <v>359</v>
      </c>
      <c r="J721" s="169" t="s">
        <v>2073</v>
      </c>
      <c r="K721" s="169" t="s">
        <v>741</v>
      </c>
      <c r="L721" s="169" t="s">
        <v>631</v>
      </c>
      <c r="M721" s="169" t="s">
        <v>1453</v>
      </c>
      <c r="N721" s="178">
        <v>2912000</v>
      </c>
      <c r="O721" s="169" t="s">
        <v>2074</v>
      </c>
      <c r="P721" s="169" t="s">
        <v>283</v>
      </c>
      <c r="Q721" s="169" t="s">
        <v>306</v>
      </c>
      <c r="R721" s="169" t="s">
        <v>283</v>
      </c>
      <c r="S721" s="169" t="s">
        <v>283</v>
      </c>
      <c r="T721" s="169">
        <v>0</v>
      </c>
    </row>
    <row r="722" spans="1:20" hidden="1" x14ac:dyDescent="0.2">
      <c r="A722" s="169" t="str">
        <f t="shared" si="12"/>
        <v>642</v>
      </c>
      <c r="B722" s="167" t="str">
        <f>_xlfn.XLOOKUP(I722,Mapping!D:D,Mapping!E:E)</f>
        <v>Cung Ứng</v>
      </c>
      <c r="C722" s="167" t="str">
        <f>_xlfn.XLOOKUP(F722,Mapping!A:A,Mapping!F:F)</f>
        <v>BHXH, BHYT, KPCĐ</v>
      </c>
      <c r="D722" s="173">
        <v>46142</v>
      </c>
      <c r="E722" s="169" t="s">
        <v>2039</v>
      </c>
      <c r="F722" s="169" t="s">
        <v>295</v>
      </c>
      <c r="G722" s="169" t="s">
        <v>296</v>
      </c>
      <c r="H722" s="169" t="s">
        <v>380</v>
      </c>
      <c r="I722" s="169" t="s">
        <v>381</v>
      </c>
      <c r="J722" s="169" t="s">
        <v>2040</v>
      </c>
      <c r="K722" s="169" t="s">
        <v>2026</v>
      </c>
      <c r="L722" s="169" t="s">
        <v>631</v>
      </c>
      <c r="M722" s="169" t="s">
        <v>1453</v>
      </c>
      <c r="N722" s="178">
        <v>2666225</v>
      </c>
      <c r="O722" s="169" t="s">
        <v>2041</v>
      </c>
      <c r="P722" s="169" t="s">
        <v>283</v>
      </c>
      <c r="Q722" s="169" t="s">
        <v>284</v>
      </c>
      <c r="R722" s="169" t="s">
        <v>283</v>
      </c>
      <c r="S722" s="169" t="s">
        <v>283</v>
      </c>
      <c r="T722" s="169">
        <v>0</v>
      </c>
    </row>
    <row r="723" spans="1:20" hidden="1" x14ac:dyDescent="0.2">
      <c r="A723" s="169" t="str">
        <f t="shared" si="12"/>
        <v>641</v>
      </c>
      <c r="B723" s="167" t="str">
        <f>_xlfn.XLOOKUP(I723,Mapping!D:D,Mapping!E:E)</f>
        <v>Kinh doanh</v>
      </c>
      <c r="C723" s="167" t="str">
        <f>_xlfn.XLOOKUP(F723,Mapping!A:A,Mapping!F:F)</f>
        <v>Thưởng</v>
      </c>
      <c r="D723" s="173">
        <v>46142</v>
      </c>
      <c r="E723" s="169" t="s">
        <v>2188</v>
      </c>
      <c r="F723" s="169" t="s">
        <v>365</v>
      </c>
      <c r="G723" s="169" t="s">
        <v>291</v>
      </c>
      <c r="H723" s="169" t="s">
        <v>366</v>
      </c>
      <c r="I723" s="169" t="s">
        <v>1</v>
      </c>
      <c r="J723" s="169" t="s">
        <v>2189</v>
      </c>
      <c r="K723" s="169" t="s">
        <v>670</v>
      </c>
      <c r="L723" s="169" t="s">
        <v>631</v>
      </c>
      <c r="M723" s="169" t="s">
        <v>1453</v>
      </c>
      <c r="N723" s="178">
        <v>23418906</v>
      </c>
      <c r="O723" s="169" t="s">
        <v>2190</v>
      </c>
      <c r="P723" s="169" t="s">
        <v>283</v>
      </c>
      <c r="Q723" s="169" t="s">
        <v>370</v>
      </c>
      <c r="R723" s="169" t="s">
        <v>283</v>
      </c>
      <c r="S723" s="169" t="s">
        <v>283</v>
      </c>
      <c r="T723" s="169">
        <v>0</v>
      </c>
    </row>
    <row r="724" spans="1:20" hidden="1" x14ac:dyDescent="0.2">
      <c r="A724" s="169" t="str">
        <f t="shared" si="12"/>
        <v>641</v>
      </c>
      <c r="B724" s="167" t="str">
        <f>_xlfn.XLOOKUP(I724,Mapping!D:D,Mapping!E:E)</f>
        <v>Kinh doanh</v>
      </c>
      <c r="C724" s="167" t="str">
        <f>_xlfn.XLOOKUP(F724,Mapping!A:A,Mapping!F:F)</f>
        <v>Thưởng</v>
      </c>
      <c r="D724" s="173">
        <v>46142</v>
      </c>
      <c r="E724" s="169" t="s">
        <v>2191</v>
      </c>
      <c r="F724" s="169" t="s">
        <v>365</v>
      </c>
      <c r="G724" s="169" t="s">
        <v>291</v>
      </c>
      <c r="H724" s="169" t="s">
        <v>366</v>
      </c>
      <c r="I724" s="169" t="s">
        <v>1</v>
      </c>
      <c r="J724" s="169" t="s">
        <v>2192</v>
      </c>
      <c r="K724" s="169" t="s">
        <v>1630</v>
      </c>
      <c r="L724" s="169" t="s">
        <v>631</v>
      </c>
      <c r="M724" s="169" t="s">
        <v>1453</v>
      </c>
      <c r="N724" s="178">
        <v>207187327</v>
      </c>
      <c r="O724" s="169" t="s">
        <v>2193</v>
      </c>
      <c r="P724" s="169" t="s">
        <v>283</v>
      </c>
      <c r="Q724" s="169" t="s">
        <v>370</v>
      </c>
      <c r="R724" s="169" t="s">
        <v>283</v>
      </c>
      <c r="S724" s="169" t="s">
        <v>283</v>
      </c>
      <c r="T724" s="169">
        <v>0</v>
      </c>
    </row>
    <row r="725" spans="1:20" hidden="1" x14ac:dyDescent="0.2">
      <c r="A725" s="169" t="str">
        <f t="shared" si="12"/>
        <v>641</v>
      </c>
      <c r="B725" s="167" t="str">
        <f>_xlfn.XLOOKUP(I725,Mapping!D:D,Mapping!E:E)</f>
        <v>Kinh doanh</v>
      </c>
      <c r="C725" s="167" t="str">
        <f>_xlfn.XLOOKUP(F725,Mapping!A:A,Mapping!F:F)</f>
        <v>Thưởng</v>
      </c>
      <c r="D725" s="173">
        <v>46113</v>
      </c>
      <c r="E725" s="169" t="s">
        <v>2194</v>
      </c>
      <c r="F725" s="169" t="s">
        <v>365</v>
      </c>
      <c r="G725" s="169" t="s">
        <v>291</v>
      </c>
      <c r="H725" s="169" t="s">
        <v>366</v>
      </c>
      <c r="I725" s="169" t="s">
        <v>1</v>
      </c>
      <c r="J725" s="169" t="s">
        <v>1801</v>
      </c>
      <c r="K725" s="169" t="s">
        <v>1630</v>
      </c>
      <c r="L725" s="169" t="s">
        <v>631</v>
      </c>
      <c r="M725" s="169" t="s">
        <v>1453</v>
      </c>
      <c r="N725" s="178">
        <v>-266181803</v>
      </c>
      <c r="O725" s="169" t="s">
        <v>2195</v>
      </c>
      <c r="P725" s="169" t="s">
        <v>447</v>
      </c>
      <c r="Q725" s="169" t="s">
        <v>284</v>
      </c>
      <c r="R725" s="169" t="s">
        <v>283</v>
      </c>
      <c r="S725" s="169" t="s">
        <v>283</v>
      </c>
      <c r="T725" s="169">
        <v>0</v>
      </c>
    </row>
    <row r="726" spans="1:20" hidden="1" x14ac:dyDescent="0.2">
      <c r="A726" s="169" t="str">
        <f t="shared" si="12"/>
        <v>642</v>
      </c>
      <c r="B726" s="167" t="str">
        <f>_xlfn.XLOOKUP(I726,Mapping!D:D,Mapping!E:E)</f>
        <v>Hành Chánh Nhân Sự</v>
      </c>
      <c r="C726" s="167" t="str">
        <f>_xlfn.XLOOKUP(F726,Mapping!A:A,Mapping!F:F)</f>
        <v>Khen thưởng BD khác</v>
      </c>
      <c r="D726" s="173">
        <v>46142</v>
      </c>
      <c r="E726" s="169" t="s">
        <v>2196</v>
      </c>
      <c r="F726" s="169" t="s">
        <v>300</v>
      </c>
      <c r="G726" s="169" t="s">
        <v>222</v>
      </c>
      <c r="H726" s="169" t="s">
        <v>358</v>
      </c>
      <c r="I726" s="169" t="s">
        <v>359</v>
      </c>
      <c r="J726" s="169" t="s">
        <v>2197</v>
      </c>
      <c r="K726" s="169" t="s">
        <v>1414</v>
      </c>
      <c r="L726" s="169" t="s">
        <v>631</v>
      </c>
      <c r="M726" s="169" t="s">
        <v>1453</v>
      </c>
      <c r="N726" s="178">
        <v>178000000</v>
      </c>
      <c r="O726" s="169" t="s">
        <v>2198</v>
      </c>
      <c r="P726" s="169" t="s">
        <v>283</v>
      </c>
      <c r="Q726" s="169" t="s">
        <v>306</v>
      </c>
      <c r="R726" s="169" t="s">
        <v>283</v>
      </c>
      <c r="S726" s="169" t="s">
        <v>283</v>
      </c>
      <c r="T726" s="169">
        <v>0</v>
      </c>
    </row>
    <row r="727" spans="1:20" hidden="1" x14ac:dyDescent="0.2">
      <c r="A727" s="169" t="str">
        <f t="shared" si="12"/>
        <v>622</v>
      </c>
      <c r="B727" s="167" t="str">
        <f>_xlfn.XLOOKUP(I727,Mapping!D:D,Mapping!E:E)</f>
        <v>Xưởng Sản Xuất</v>
      </c>
      <c r="C727" s="167" t="str">
        <f>_xlfn.XLOOKUP(F727,Mapping!A:A,Mapping!F:F)</f>
        <v>Phụ Cấp</v>
      </c>
      <c r="D727" s="173">
        <v>46113</v>
      </c>
      <c r="E727" s="169" t="s">
        <v>2199</v>
      </c>
      <c r="F727" s="169" t="s">
        <v>414</v>
      </c>
      <c r="G727" s="169" t="s">
        <v>415</v>
      </c>
      <c r="H727" s="169" t="s">
        <v>402</v>
      </c>
      <c r="I727" s="169" t="s">
        <v>403</v>
      </c>
      <c r="J727" s="169" t="s">
        <v>2200</v>
      </c>
      <c r="K727" s="169" t="s">
        <v>2201</v>
      </c>
      <c r="L727" s="169" t="s">
        <v>631</v>
      </c>
      <c r="M727" s="169" t="s">
        <v>1453</v>
      </c>
      <c r="N727" s="178">
        <v>-9001333</v>
      </c>
      <c r="O727" s="169" t="s">
        <v>2202</v>
      </c>
      <c r="P727" s="169" t="s">
        <v>283</v>
      </c>
      <c r="Q727" s="169" t="s">
        <v>306</v>
      </c>
      <c r="R727" s="169" t="s">
        <v>283</v>
      </c>
      <c r="S727" s="169" t="s">
        <v>283</v>
      </c>
      <c r="T727" s="169">
        <v>0</v>
      </c>
    </row>
    <row r="728" spans="1:20" hidden="1" x14ac:dyDescent="0.2">
      <c r="A728" s="169" t="str">
        <f t="shared" si="12"/>
        <v>622</v>
      </c>
      <c r="B728" s="167" t="str">
        <f>_xlfn.XLOOKUP(I728,Mapping!D:D,Mapping!E:E)</f>
        <v>Xưởng Sản Xuất</v>
      </c>
      <c r="C728" s="167" t="str">
        <f>_xlfn.XLOOKUP(F728,Mapping!A:A,Mapping!F:F)</f>
        <v>Phụ Cấp</v>
      </c>
      <c r="D728" s="173">
        <v>46113</v>
      </c>
      <c r="E728" s="169" t="s">
        <v>2203</v>
      </c>
      <c r="F728" s="169" t="s">
        <v>414</v>
      </c>
      <c r="G728" s="169" t="s">
        <v>415</v>
      </c>
      <c r="H728" s="169" t="s">
        <v>402</v>
      </c>
      <c r="I728" s="169" t="s">
        <v>403</v>
      </c>
      <c r="J728" s="169" t="s">
        <v>2204</v>
      </c>
      <c r="K728" s="169" t="s">
        <v>2205</v>
      </c>
      <c r="L728" s="169" t="s">
        <v>631</v>
      </c>
      <c r="M728" s="169" t="s">
        <v>1453</v>
      </c>
      <c r="N728" s="178">
        <v>15961945</v>
      </c>
      <c r="O728" s="169" t="s">
        <v>2206</v>
      </c>
      <c r="P728" s="169" t="s">
        <v>283</v>
      </c>
      <c r="Q728" s="169" t="s">
        <v>306</v>
      </c>
      <c r="R728" s="169" t="s">
        <v>283</v>
      </c>
      <c r="S728" s="169" t="s">
        <v>283</v>
      </c>
      <c r="T728" s="169">
        <v>0</v>
      </c>
    </row>
    <row r="729" spans="1:20" hidden="1" x14ac:dyDescent="0.2">
      <c r="A729" s="169" t="str">
        <f t="shared" si="12"/>
        <v>622</v>
      </c>
      <c r="B729" s="167" t="str">
        <f>_xlfn.XLOOKUP(I729,Mapping!D:D,Mapping!E:E)</f>
        <v>Xưởng Sản Xuất</v>
      </c>
      <c r="C729" s="167" t="str">
        <f>_xlfn.XLOOKUP(F729,Mapping!A:A,Mapping!F:F)</f>
        <v>Phụ Cấp</v>
      </c>
      <c r="D729" s="173">
        <v>46113</v>
      </c>
      <c r="E729" s="169" t="s">
        <v>2207</v>
      </c>
      <c r="F729" s="169" t="s">
        <v>414</v>
      </c>
      <c r="G729" s="169" t="s">
        <v>415</v>
      </c>
      <c r="H729" s="169" t="s">
        <v>402</v>
      </c>
      <c r="I729" s="169" t="s">
        <v>403</v>
      </c>
      <c r="J729" s="169" t="s">
        <v>2208</v>
      </c>
      <c r="K729" s="169" t="s">
        <v>2201</v>
      </c>
      <c r="L729" s="169" t="s">
        <v>631</v>
      </c>
      <c r="M729" s="169" t="s">
        <v>1453</v>
      </c>
      <c r="N729" s="178">
        <v>-29857404</v>
      </c>
      <c r="O729" s="169" t="s">
        <v>2209</v>
      </c>
      <c r="P729" s="169" t="s">
        <v>283</v>
      </c>
      <c r="Q729" s="169" t="s">
        <v>306</v>
      </c>
      <c r="R729" s="169" t="s">
        <v>283</v>
      </c>
      <c r="S729" s="169" t="s">
        <v>283</v>
      </c>
      <c r="T729" s="169">
        <v>0</v>
      </c>
    </row>
    <row r="730" spans="1:20" hidden="1" x14ac:dyDescent="0.2">
      <c r="A730" s="169" t="str">
        <f t="shared" si="12"/>
        <v>622</v>
      </c>
      <c r="B730" s="167" t="str">
        <f>_xlfn.XLOOKUP(I730,Mapping!D:D,Mapping!E:E)</f>
        <v>Xưởng Sản Xuất</v>
      </c>
      <c r="C730" s="167" t="str">
        <f>_xlfn.XLOOKUP(F730,Mapping!A:A,Mapping!F:F)</f>
        <v>Phụ Cấp</v>
      </c>
      <c r="D730" s="173">
        <v>46120</v>
      </c>
      <c r="E730" s="169" t="s">
        <v>2210</v>
      </c>
      <c r="F730" s="169" t="s">
        <v>414</v>
      </c>
      <c r="G730" s="169" t="s">
        <v>415</v>
      </c>
      <c r="H730" s="169" t="s">
        <v>402</v>
      </c>
      <c r="I730" s="169" t="s">
        <v>403</v>
      </c>
      <c r="J730" s="169" t="s">
        <v>2211</v>
      </c>
      <c r="K730" s="169" t="s">
        <v>2212</v>
      </c>
      <c r="L730" s="169" t="s">
        <v>631</v>
      </c>
      <c r="M730" s="169" t="s">
        <v>1453</v>
      </c>
      <c r="N730" s="178">
        <v>-4376800</v>
      </c>
      <c r="O730" s="169" t="s">
        <v>2213</v>
      </c>
      <c r="P730" s="169" t="s">
        <v>283</v>
      </c>
      <c r="Q730" s="169" t="s">
        <v>1344</v>
      </c>
      <c r="R730" s="169" t="s">
        <v>283</v>
      </c>
      <c r="S730" s="169" t="s">
        <v>283</v>
      </c>
      <c r="T730" s="169">
        <v>0</v>
      </c>
    </row>
    <row r="731" spans="1:20" hidden="1" x14ac:dyDescent="0.2">
      <c r="A731" s="169" t="str">
        <f t="shared" si="12"/>
        <v>642</v>
      </c>
      <c r="B731" s="167" t="str">
        <f>_xlfn.XLOOKUP(I731,Mapping!D:D,Mapping!E:E)</f>
        <v>Mua Hàng &amp; XNK</v>
      </c>
      <c r="C731" s="167" t="str">
        <f>_xlfn.XLOOKUP(F731,Mapping!A:A,Mapping!F:F)</f>
        <v>Lương Chính +T13</v>
      </c>
      <c r="D731" s="173">
        <v>46142</v>
      </c>
      <c r="E731" s="169" t="s">
        <v>2214</v>
      </c>
      <c r="F731" s="169" t="s">
        <v>274</v>
      </c>
      <c r="G731" s="169" t="s">
        <v>275</v>
      </c>
      <c r="H731" s="169" t="s">
        <v>378</v>
      </c>
      <c r="I731" s="169" t="s">
        <v>379</v>
      </c>
      <c r="J731" s="169" t="s">
        <v>2025</v>
      </c>
      <c r="K731" s="169" t="s">
        <v>2026</v>
      </c>
      <c r="L731" s="169" t="s">
        <v>631</v>
      </c>
      <c r="M731" s="169" t="s">
        <v>1453</v>
      </c>
      <c r="N731" s="178">
        <v>193664228</v>
      </c>
      <c r="O731" s="169" t="s">
        <v>2215</v>
      </c>
      <c r="P731" s="169" t="s">
        <v>283</v>
      </c>
      <c r="Q731" s="169" t="s">
        <v>284</v>
      </c>
      <c r="R731" s="169" t="s">
        <v>283</v>
      </c>
      <c r="S731" s="169" t="s">
        <v>283</v>
      </c>
      <c r="T731" s="169">
        <v>0</v>
      </c>
    </row>
    <row r="732" spans="1:20" hidden="1" x14ac:dyDescent="0.2">
      <c r="A732" s="169" t="str">
        <f t="shared" si="12"/>
        <v>642</v>
      </c>
      <c r="B732" s="167" t="str">
        <f>_xlfn.XLOOKUP(I732,Mapping!D:D,Mapping!E:E)</f>
        <v>Mua Hàng &amp; XNK</v>
      </c>
      <c r="C732" s="167" t="str">
        <f>_xlfn.XLOOKUP(F732,Mapping!A:A,Mapping!F:F)</f>
        <v>Lương Chính +T13</v>
      </c>
      <c r="D732" s="173">
        <v>46142</v>
      </c>
      <c r="E732" s="169" t="s">
        <v>2216</v>
      </c>
      <c r="F732" s="169" t="s">
        <v>285</v>
      </c>
      <c r="G732" s="169" t="s">
        <v>286</v>
      </c>
      <c r="H732" s="169" t="s">
        <v>378</v>
      </c>
      <c r="I732" s="169" t="s">
        <v>379</v>
      </c>
      <c r="J732" s="169" t="s">
        <v>2025</v>
      </c>
      <c r="K732" s="169" t="s">
        <v>2026</v>
      </c>
      <c r="L732" s="169" t="s">
        <v>631</v>
      </c>
      <c r="M732" s="169" t="s">
        <v>1453</v>
      </c>
      <c r="N732" s="178">
        <v>1084615</v>
      </c>
      <c r="O732" s="169" t="s">
        <v>2217</v>
      </c>
      <c r="P732" s="169" t="s">
        <v>283</v>
      </c>
      <c r="Q732" s="169" t="s">
        <v>284</v>
      </c>
      <c r="R732" s="169" t="s">
        <v>283</v>
      </c>
      <c r="S732" s="169" t="s">
        <v>283</v>
      </c>
      <c r="T732" s="169">
        <v>0</v>
      </c>
    </row>
    <row r="733" spans="1:20" hidden="1" x14ac:dyDescent="0.2">
      <c r="A733" s="169" t="str">
        <f t="shared" si="12"/>
        <v>642</v>
      </c>
      <c r="B733" s="167" t="str">
        <f>_xlfn.XLOOKUP(I733,Mapping!D:D,Mapping!E:E)</f>
        <v>Mua Hàng &amp; XNK</v>
      </c>
      <c r="C733" s="167" t="str">
        <f>_xlfn.XLOOKUP(F733,Mapping!A:A,Mapping!F:F)</f>
        <v>Phụ Cấp</v>
      </c>
      <c r="D733" s="173">
        <v>46142</v>
      </c>
      <c r="E733" s="169" t="s">
        <v>2218</v>
      </c>
      <c r="F733" s="169" t="s">
        <v>335</v>
      </c>
      <c r="G733" s="169" t="s">
        <v>336</v>
      </c>
      <c r="H733" s="169" t="s">
        <v>378</v>
      </c>
      <c r="I733" s="169" t="s">
        <v>379</v>
      </c>
      <c r="J733" s="169" t="s">
        <v>2025</v>
      </c>
      <c r="K733" s="169" t="s">
        <v>2026</v>
      </c>
      <c r="L733" s="169" t="s">
        <v>631</v>
      </c>
      <c r="M733" s="169" t="s">
        <v>1453</v>
      </c>
      <c r="N733" s="178">
        <v>1450000</v>
      </c>
      <c r="O733" s="169" t="s">
        <v>2219</v>
      </c>
      <c r="P733" s="169" t="s">
        <v>283</v>
      </c>
      <c r="Q733" s="169" t="s">
        <v>284</v>
      </c>
      <c r="R733" s="169" t="s">
        <v>283</v>
      </c>
      <c r="S733" s="169" t="s">
        <v>283</v>
      </c>
      <c r="T733" s="169">
        <v>0</v>
      </c>
    </row>
    <row r="734" spans="1:20" hidden="1" x14ac:dyDescent="0.2">
      <c r="A734" s="169" t="str">
        <f t="shared" si="12"/>
        <v>627</v>
      </c>
      <c r="B734" s="167" t="str">
        <f>_xlfn.XLOOKUP(I734,Mapping!D:D,Mapping!E:E)</f>
        <v>Kỹ Thuật</v>
      </c>
      <c r="C734" s="167" t="str">
        <f>_xlfn.XLOOKUP(F734,Mapping!A:A,Mapping!F:F)</f>
        <v>Phụ Cấp</v>
      </c>
      <c r="D734" s="173">
        <v>46142</v>
      </c>
      <c r="E734" s="169" t="s">
        <v>2220</v>
      </c>
      <c r="F734" s="169" t="s">
        <v>386</v>
      </c>
      <c r="G734" s="169" t="s">
        <v>341</v>
      </c>
      <c r="H734" s="169" t="s">
        <v>376</v>
      </c>
      <c r="I734" s="169" t="s">
        <v>377</v>
      </c>
      <c r="J734" s="169" t="s">
        <v>2025</v>
      </c>
      <c r="K734" s="169" t="s">
        <v>2026</v>
      </c>
      <c r="L734" s="169" t="s">
        <v>631</v>
      </c>
      <c r="M734" s="169" t="s">
        <v>1453</v>
      </c>
      <c r="N734" s="178">
        <v>51905924</v>
      </c>
      <c r="O734" s="169" t="s">
        <v>2221</v>
      </c>
      <c r="P734" s="169" t="s">
        <v>283</v>
      </c>
      <c r="Q734" s="169" t="s">
        <v>284</v>
      </c>
      <c r="R734" s="169" t="s">
        <v>283</v>
      </c>
      <c r="S734" s="169" t="s">
        <v>283</v>
      </c>
      <c r="T734" s="169">
        <v>0</v>
      </c>
    </row>
    <row r="735" spans="1:20" hidden="1" x14ac:dyDescent="0.2">
      <c r="A735" s="169" t="str">
        <f t="shared" si="12"/>
        <v>627</v>
      </c>
      <c r="B735" s="167" t="str">
        <f>_xlfn.XLOOKUP(I735,Mapping!D:D,Mapping!E:E)</f>
        <v>Kỹ Thuật</v>
      </c>
      <c r="C735" s="167" t="str">
        <f>_xlfn.XLOOKUP(F735,Mapping!A:A,Mapping!F:F)</f>
        <v>Lương Chính +T13</v>
      </c>
      <c r="D735" s="173">
        <v>46142</v>
      </c>
      <c r="E735" s="169" t="s">
        <v>2222</v>
      </c>
      <c r="F735" s="169" t="s">
        <v>387</v>
      </c>
      <c r="G735" s="169" t="s">
        <v>275</v>
      </c>
      <c r="H735" s="169" t="s">
        <v>376</v>
      </c>
      <c r="I735" s="169" t="s">
        <v>377</v>
      </c>
      <c r="J735" s="169" t="s">
        <v>2025</v>
      </c>
      <c r="K735" s="169" t="s">
        <v>2026</v>
      </c>
      <c r="L735" s="169" t="s">
        <v>631</v>
      </c>
      <c r="M735" s="169" t="s">
        <v>1453</v>
      </c>
      <c r="N735" s="178">
        <v>1180319486</v>
      </c>
      <c r="O735" s="169" t="s">
        <v>2223</v>
      </c>
      <c r="P735" s="169" t="s">
        <v>283</v>
      </c>
      <c r="Q735" s="169" t="s">
        <v>284</v>
      </c>
      <c r="R735" s="169" t="s">
        <v>283</v>
      </c>
      <c r="S735" s="169" t="s">
        <v>283</v>
      </c>
      <c r="T735" s="169">
        <v>0</v>
      </c>
    </row>
    <row r="736" spans="1:20" hidden="1" x14ac:dyDescent="0.2">
      <c r="A736" s="169" t="str">
        <f t="shared" si="12"/>
        <v>627</v>
      </c>
      <c r="B736" s="167" t="str">
        <f>_xlfn.XLOOKUP(I736,Mapping!D:D,Mapping!E:E)</f>
        <v>Kỹ Thuật</v>
      </c>
      <c r="C736" s="167" t="str">
        <f>_xlfn.XLOOKUP(F736,Mapping!A:A,Mapping!F:F)</f>
        <v>Lương Chính +T13</v>
      </c>
      <c r="D736" s="173">
        <v>46142</v>
      </c>
      <c r="E736" s="169" t="s">
        <v>2224</v>
      </c>
      <c r="F736" s="169" t="s">
        <v>388</v>
      </c>
      <c r="G736" s="169" t="s">
        <v>286</v>
      </c>
      <c r="H736" s="169" t="s">
        <v>376</v>
      </c>
      <c r="I736" s="169" t="s">
        <v>377</v>
      </c>
      <c r="J736" s="169" t="s">
        <v>2025</v>
      </c>
      <c r="K736" s="169" t="s">
        <v>2026</v>
      </c>
      <c r="L736" s="169" t="s">
        <v>631</v>
      </c>
      <c r="M736" s="169" t="s">
        <v>1453</v>
      </c>
      <c r="N736" s="178">
        <v>27969194</v>
      </c>
      <c r="O736" s="169" t="s">
        <v>2225</v>
      </c>
      <c r="P736" s="169" t="s">
        <v>283</v>
      </c>
      <c r="Q736" s="169" t="s">
        <v>284</v>
      </c>
      <c r="R736" s="169" t="s">
        <v>283</v>
      </c>
      <c r="S736" s="169" t="s">
        <v>283</v>
      </c>
      <c r="T736" s="169">
        <v>0</v>
      </c>
    </row>
    <row r="737" spans="1:20" hidden="1" x14ac:dyDescent="0.2">
      <c r="A737" s="169" t="str">
        <f t="shared" si="12"/>
        <v>627</v>
      </c>
      <c r="B737" s="167" t="str">
        <f>_xlfn.XLOOKUP(I737,Mapping!D:D,Mapping!E:E)</f>
        <v>Kỹ Thuật</v>
      </c>
      <c r="C737" s="167" t="str">
        <f>_xlfn.XLOOKUP(F737,Mapping!A:A,Mapping!F:F)</f>
        <v>Lương Ngoài giờ</v>
      </c>
      <c r="D737" s="173">
        <v>46142</v>
      </c>
      <c r="E737" s="169" t="s">
        <v>2226</v>
      </c>
      <c r="F737" s="169" t="s">
        <v>389</v>
      </c>
      <c r="G737" s="169" t="s">
        <v>390</v>
      </c>
      <c r="H737" s="169" t="s">
        <v>376</v>
      </c>
      <c r="I737" s="169" t="s">
        <v>377</v>
      </c>
      <c r="J737" s="169" t="s">
        <v>2025</v>
      </c>
      <c r="K737" s="169" t="s">
        <v>2026</v>
      </c>
      <c r="L737" s="169" t="s">
        <v>631</v>
      </c>
      <c r="M737" s="169" t="s">
        <v>1453</v>
      </c>
      <c r="N737" s="178">
        <v>380470791</v>
      </c>
      <c r="O737" s="169" t="s">
        <v>2227</v>
      </c>
      <c r="P737" s="169" t="s">
        <v>283</v>
      </c>
      <c r="Q737" s="169" t="s">
        <v>284</v>
      </c>
      <c r="R737" s="169" t="s">
        <v>283</v>
      </c>
      <c r="S737" s="169" t="s">
        <v>283</v>
      </c>
      <c r="T737" s="169">
        <v>0</v>
      </c>
    </row>
    <row r="738" spans="1:20" hidden="1" x14ac:dyDescent="0.2">
      <c r="A738" s="169" t="str">
        <f t="shared" si="12"/>
        <v>627</v>
      </c>
      <c r="B738" s="167" t="str">
        <f>_xlfn.XLOOKUP(I738,Mapping!D:D,Mapping!E:E)</f>
        <v>Kỹ Thuật</v>
      </c>
      <c r="C738" s="167" t="str">
        <f>_xlfn.XLOOKUP(F738,Mapping!A:A,Mapping!F:F)</f>
        <v>Phụ Cấp</v>
      </c>
      <c r="D738" s="173">
        <v>46142</v>
      </c>
      <c r="E738" s="169" t="s">
        <v>2228</v>
      </c>
      <c r="F738" s="169" t="s">
        <v>375</v>
      </c>
      <c r="G738" s="169" t="s">
        <v>336</v>
      </c>
      <c r="H738" s="169" t="s">
        <v>376</v>
      </c>
      <c r="I738" s="169" t="s">
        <v>377</v>
      </c>
      <c r="J738" s="169" t="s">
        <v>2025</v>
      </c>
      <c r="K738" s="169" t="s">
        <v>2026</v>
      </c>
      <c r="L738" s="169" t="s">
        <v>631</v>
      </c>
      <c r="M738" s="169" t="s">
        <v>1453</v>
      </c>
      <c r="N738" s="178">
        <v>1685000</v>
      </c>
      <c r="O738" s="169" t="s">
        <v>2229</v>
      </c>
      <c r="P738" s="169" t="s">
        <v>283</v>
      </c>
      <c r="Q738" s="169" t="s">
        <v>284</v>
      </c>
      <c r="R738" s="169" t="s">
        <v>283</v>
      </c>
      <c r="S738" s="169" t="s">
        <v>283</v>
      </c>
      <c r="T738" s="169">
        <v>0</v>
      </c>
    </row>
    <row r="739" spans="1:20" hidden="1" x14ac:dyDescent="0.2">
      <c r="A739" s="169" t="str">
        <f t="shared" si="12"/>
        <v>627</v>
      </c>
      <c r="B739" s="167" t="str">
        <f>_xlfn.XLOOKUP(I739,Mapping!D:D,Mapping!E:E)</f>
        <v>Kiểm Soát Chất Lượng</v>
      </c>
      <c r="C739" s="167" t="str">
        <f>_xlfn.XLOOKUP(F739,Mapping!A:A,Mapping!F:F)</f>
        <v>Phụ Cấp</v>
      </c>
      <c r="D739" s="173">
        <v>46142</v>
      </c>
      <c r="E739" s="169" t="s">
        <v>2230</v>
      </c>
      <c r="F739" s="169" t="s">
        <v>386</v>
      </c>
      <c r="G739" s="169" t="s">
        <v>341</v>
      </c>
      <c r="H739" s="169" t="s">
        <v>411</v>
      </c>
      <c r="I739" s="169" t="s">
        <v>412</v>
      </c>
      <c r="J739" s="169" t="s">
        <v>2025</v>
      </c>
      <c r="K739" s="169" t="s">
        <v>2026</v>
      </c>
      <c r="L739" s="169" t="s">
        <v>631</v>
      </c>
      <c r="M739" s="169" t="s">
        <v>1453</v>
      </c>
      <c r="N739" s="178">
        <v>24313466</v>
      </c>
      <c r="O739" s="169" t="s">
        <v>2231</v>
      </c>
      <c r="P739" s="169" t="s">
        <v>283</v>
      </c>
      <c r="Q739" s="169" t="s">
        <v>284</v>
      </c>
      <c r="R739" s="169" t="s">
        <v>283</v>
      </c>
      <c r="S739" s="169" t="s">
        <v>283</v>
      </c>
      <c r="T739" s="169">
        <v>0</v>
      </c>
    </row>
    <row r="740" spans="1:20" hidden="1" x14ac:dyDescent="0.2">
      <c r="A740" s="169" t="str">
        <f t="shared" si="12"/>
        <v>627</v>
      </c>
      <c r="B740" s="167" t="str">
        <f>_xlfn.XLOOKUP(I740,Mapping!D:D,Mapping!E:E)</f>
        <v>Kiểm Soát Chất Lượng</v>
      </c>
      <c r="C740" s="167" t="str">
        <f>_xlfn.XLOOKUP(F740,Mapping!A:A,Mapping!F:F)</f>
        <v>Lương Chính +T13</v>
      </c>
      <c r="D740" s="173">
        <v>46142</v>
      </c>
      <c r="E740" s="169" t="s">
        <v>2232</v>
      </c>
      <c r="F740" s="169" t="s">
        <v>387</v>
      </c>
      <c r="G740" s="169" t="s">
        <v>275</v>
      </c>
      <c r="H740" s="169" t="s">
        <v>411</v>
      </c>
      <c r="I740" s="169" t="s">
        <v>412</v>
      </c>
      <c r="J740" s="169" t="s">
        <v>2025</v>
      </c>
      <c r="K740" s="169" t="s">
        <v>2026</v>
      </c>
      <c r="L740" s="169" t="s">
        <v>631</v>
      </c>
      <c r="M740" s="169" t="s">
        <v>1453</v>
      </c>
      <c r="N740" s="178">
        <v>510053642</v>
      </c>
      <c r="O740" s="169" t="s">
        <v>2233</v>
      </c>
      <c r="P740" s="169" t="s">
        <v>283</v>
      </c>
      <c r="Q740" s="169" t="s">
        <v>284</v>
      </c>
      <c r="R740" s="169" t="s">
        <v>283</v>
      </c>
      <c r="S740" s="169" t="s">
        <v>283</v>
      </c>
      <c r="T740" s="169">
        <v>0</v>
      </c>
    </row>
    <row r="741" spans="1:20" hidden="1" x14ac:dyDescent="0.2">
      <c r="A741" s="169" t="str">
        <f t="shared" si="12"/>
        <v>627</v>
      </c>
      <c r="B741" s="167" t="str">
        <f>_xlfn.XLOOKUP(I741,Mapping!D:D,Mapping!E:E)</f>
        <v>Kiểm Soát Chất Lượng</v>
      </c>
      <c r="C741" s="167" t="str">
        <f>_xlfn.XLOOKUP(F741,Mapping!A:A,Mapping!F:F)</f>
        <v>Lương Chính +T13</v>
      </c>
      <c r="D741" s="173">
        <v>46142</v>
      </c>
      <c r="E741" s="169" t="s">
        <v>2234</v>
      </c>
      <c r="F741" s="169" t="s">
        <v>388</v>
      </c>
      <c r="G741" s="169" t="s">
        <v>286</v>
      </c>
      <c r="H741" s="169" t="s">
        <v>411</v>
      </c>
      <c r="I741" s="169" t="s">
        <v>412</v>
      </c>
      <c r="J741" s="169" t="s">
        <v>2025</v>
      </c>
      <c r="K741" s="169" t="s">
        <v>2026</v>
      </c>
      <c r="L741" s="169" t="s">
        <v>631</v>
      </c>
      <c r="M741" s="169" t="s">
        <v>1453</v>
      </c>
      <c r="N741" s="178">
        <v>13569867</v>
      </c>
      <c r="O741" s="169" t="s">
        <v>2235</v>
      </c>
      <c r="P741" s="169" t="s">
        <v>283</v>
      </c>
      <c r="Q741" s="169" t="s">
        <v>284</v>
      </c>
      <c r="R741" s="169" t="s">
        <v>283</v>
      </c>
      <c r="S741" s="169" t="s">
        <v>283</v>
      </c>
      <c r="T741" s="169">
        <v>0</v>
      </c>
    </row>
    <row r="742" spans="1:20" hidden="1" x14ac:dyDescent="0.2">
      <c r="A742" s="169" t="str">
        <f t="shared" si="12"/>
        <v>627</v>
      </c>
      <c r="B742" s="167" t="str">
        <f>_xlfn.XLOOKUP(I742,Mapping!D:D,Mapping!E:E)</f>
        <v>Kiểm Soát Chất Lượng</v>
      </c>
      <c r="C742" s="167" t="str">
        <f>_xlfn.XLOOKUP(F742,Mapping!A:A,Mapping!F:F)</f>
        <v>Lương Ngoài giờ</v>
      </c>
      <c r="D742" s="173">
        <v>46142</v>
      </c>
      <c r="E742" s="169" t="s">
        <v>2236</v>
      </c>
      <c r="F742" s="169" t="s">
        <v>389</v>
      </c>
      <c r="G742" s="169" t="s">
        <v>390</v>
      </c>
      <c r="H742" s="169" t="s">
        <v>411</v>
      </c>
      <c r="I742" s="169" t="s">
        <v>412</v>
      </c>
      <c r="J742" s="169" t="s">
        <v>2025</v>
      </c>
      <c r="K742" s="169" t="s">
        <v>2026</v>
      </c>
      <c r="L742" s="169" t="s">
        <v>631</v>
      </c>
      <c r="M742" s="169" t="s">
        <v>1453</v>
      </c>
      <c r="N742" s="178">
        <v>163858135</v>
      </c>
      <c r="O742" s="169" t="s">
        <v>2237</v>
      </c>
      <c r="P742" s="169" t="s">
        <v>283</v>
      </c>
      <c r="Q742" s="169" t="s">
        <v>284</v>
      </c>
      <c r="R742" s="169" t="s">
        <v>283</v>
      </c>
      <c r="S742" s="169" t="s">
        <v>283</v>
      </c>
      <c r="T742" s="169">
        <v>0</v>
      </c>
    </row>
    <row r="743" spans="1:20" hidden="1" x14ac:dyDescent="0.2">
      <c r="A743" s="169" t="str">
        <f t="shared" si="12"/>
        <v>627</v>
      </c>
      <c r="B743" s="167" t="str">
        <f>_xlfn.XLOOKUP(I743,Mapping!D:D,Mapping!E:E)</f>
        <v>Kiểm Soát Chất Lượng</v>
      </c>
      <c r="C743" s="167" t="str">
        <f>_xlfn.XLOOKUP(F743,Mapping!A:A,Mapping!F:F)</f>
        <v>Phụ Cấp</v>
      </c>
      <c r="D743" s="173">
        <v>46142</v>
      </c>
      <c r="E743" s="169" t="s">
        <v>2238</v>
      </c>
      <c r="F743" s="169" t="s">
        <v>375</v>
      </c>
      <c r="G743" s="169" t="s">
        <v>336</v>
      </c>
      <c r="H743" s="169" t="s">
        <v>411</v>
      </c>
      <c r="I743" s="169" t="s">
        <v>412</v>
      </c>
      <c r="J743" s="169" t="s">
        <v>2025</v>
      </c>
      <c r="K743" s="169" t="s">
        <v>2026</v>
      </c>
      <c r="L743" s="169" t="s">
        <v>631</v>
      </c>
      <c r="M743" s="169" t="s">
        <v>1453</v>
      </c>
      <c r="N743" s="178">
        <v>200000</v>
      </c>
      <c r="O743" s="169" t="s">
        <v>2239</v>
      </c>
      <c r="P743" s="169" t="s">
        <v>283</v>
      </c>
      <c r="Q743" s="169" t="s">
        <v>284</v>
      </c>
      <c r="R743" s="169" t="s">
        <v>283</v>
      </c>
      <c r="S743" s="169" t="s">
        <v>283</v>
      </c>
      <c r="T743" s="169">
        <v>0</v>
      </c>
    </row>
    <row r="744" spans="1:20" hidden="1" x14ac:dyDescent="0.2">
      <c r="A744" s="169" t="str">
        <f t="shared" si="12"/>
        <v>627</v>
      </c>
      <c r="B744" s="167" t="str">
        <f>_xlfn.XLOOKUP(I744,Mapping!D:D,Mapping!E:E)</f>
        <v>Nghiên Cứu &amp; Phát Triển</v>
      </c>
      <c r="C744" s="167" t="str">
        <f>_xlfn.XLOOKUP(F744,Mapping!A:A,Mapping!F:F)</f>
        <v>Lương Chính +T13</v>
      </c>
      <c r="D744" s="173">
        <v>46142</v>
      </c>
      <c r="E744" s="169" t="s">
        <v>2240</v>
      </c>
      <c r="F744" s="169" t="s">
        <v>387</v>
      </c>
      <c r="G744" s="169" t="s">
        <v>275</v>
      </c>
      <c r="H744" s="169" t="s">
        <v>418</v>
      </c>
      <c r="I744" s="169" t="s">
        <v>419</v>
      </c>
      <c r="J744" s="169" t="s">
        <v>2025</v>
      </c>
      <c r="K744" s="169" t="s">
        <v>2026</v>
      </c>
      <c r="L744" s="169" t="s">
        <v>631</v>
      </c>
      <c r="M744" s="169" t="s">
        <v>1453</v>
      </c>
      <c r="N744" s="178">
        <v>166352118</v>
      </c>
      <c r="O744" s="169" t="s">
        <v>2241</v>
      </c>
      <c r="P744" s="169" t="s">
        <v>283</v>
      </c>
      <c r="Q744" s="169" t="s">
        <v>284</v>
      </c>
      <c r="R744" s="169" t="s">
        <v>283</v>
      </c>
      <c r="S744" s="169" t="s">
        <v>283</v>
      </c>
      <c r="T744" s="169">
        <v>0</v>
      </c>
    </row>
    <row r="745" spans="1:20" hidden="1" x14ac:dyDescent="0.2">
      <c r="A745" s="169" t="str">
        <f t="shared" si="12"/>
        <v>627</v>
      </c>
      <c r="B745" s="167" t="str">
        <f>_xlfn.XLOOKUP(I745,Mapping!D:D,Mapping!E:E)</f>
        <v>Nghiên Cứu &amp; Phát Triển</v>
      </c>
      <c r="C745" s="167" t="str">
        <f>_xlfn.XLOOKUP(F745,Mapping!A:A,Mapping!F:F)</f>
        <v>Lương Chính +T13</v>
      </c>
      <c r="D745" s="173">
        <v>46142</v>
      </c>
      <c r="E745" s="169" t="s">
        <v>2242</v>
      </c>
      <c r="F745" s="169" t="s">
        <v>388</v>
      </c>
      <c r="G745" s="169" t="s">
        <v>286</v>
      </c>
      <c r="H745" s="169" t="s">
        <v>418</v>
      </c>
      <c r="I745" s="169" t="s">
        <v>419</v>
      </c>
      <c r="J745" s="169" t="s">
        <v>2025</v>
      </c>
      <c r="K745" s="169" t="s">
        <v>2026</v>
      </c>
      <c r="L745" s="169" t="s">
        <v>631</v>
      </c>
      <c r="M745" s="169" t="s">
        <v>1453</v>
      </c>
      <c r="N745" s="178">
        <v>4987404</v>
      </c>
      <c r="O745" s="169" t="s">
        <v>2243</v>
      </c>
      <c r="P745" s="169" t="s">
        <v>283</v>
      </c>
      <c r="Q745" s="169" t="s">
        <v>284</v>
      </c>
      <c r="R745" s="169" t="s">
        <v>283</v>
      </c>
      <c r="S745" s="169" t="s">
        <v>283</v>
      </c>
      <c r="T745" s="169">
        <v>0</v>
      </c>
    </row>
    <row r="746" spans="1:20" hidden="1" x14ac:dyDescent="0.2">
      <c r="A746" s="169" t="str">
        <f t="shared" si="12"/>
        <v>627</v>
      </c>
      <c r="B746" s="167" t="str">
        <f>_xlfn.XLOOKUP(I746,Mapping!D:D,Mapping!E:E)</f>
        <v>Nghiên Cứu &amp; Phát Triển</v>
      </c>
      <c r="C746" s="167" t="str">
        <f>_xlfn.XLOOKUP(F746,Mapping!A:A,Mapping!F:F)</f>
        <v>Phụ Cấp</v>
      </c>
      <c r="D746" s="173">
        <v>46142</v>
      </c>
      <c r="E746" s="169" t="s">
        <v>2244</v>
      </c>
      <c r="F746" s="169" t="s">
        <v>375</v>
      </c>
      <c r="G746" s="169" t="s">
        <v>336</v>
      </c>
      <c r="H746" s="169" t="s">
        <v>418</v>
      </c>
      <c r="I746" s="169" t="s">
        <v>419</v>
      </c>
      <c r="J746" s="169" t="s">
        <v>2025</v>
      </c>
      <c r="K746" s="169" t="s">
        <v>2026</v>
      </c>
      <c r="L746" s="169" t="s">
        <v>631</v>
      </c>
      <c r="M746" s="169" t="s">
        <v>1453</v>
      </c>
      <c r="N746" s="178">
        <v>250000</v>
      </c>
      <c r="O746" s="169" t="s">
        <v>2245</v>
      </c>
      <c r="P746" s="169" t="s">
        <v>283</v>
      </c>
      <c r="Q746" s="169" t="s">
        <v>284</v>
      </c>
      <c r="R746" s="169" t="s">
        <v>283</v>
      </c>
      <c r="S746" s="169" t="s">
        <v>283</v>
      </c>
      <c r="T746" s="169">
        <v>0</v>
      </c>
    </row>
    <row r="747" spans="1:20" hidden="1" x14ac:dyDescent="0.2">
      <c r="A747" s="169" t="str">
        <f t="shared" si="12"/>
        <v>622</v>
      </c>
      <c r="B747" s="167" t="str">
        <f>_xlfn.XLOOKUP(I747,Mapping!D:D,Mapping!E:E)</f>
        <v>Xưởng Sản Xuất</v>
      </c>
      <c r="C747" s="167" t="str">
        <f>_xlfn.XLOOKUP(F747,Mapping!A:A,Mapping!F:F)</f>
        <v>Lương Chính +T13</v>
      </c>
      <c r="D747" s="173">
        <v>46142</v>
      </c>
      <c r="E747" s="169" t="s">
        <v>2246</v>
      </c>
      <c r="F747" s="169" t="s">
        <v>400</v>
      </c>
      <c r="G747" s="169" t="s">
        <v>401</v>
      </c>
      <c r="H747" s="169" t="s">
        <v>402</v>
      </c>
      <c r="I747" s="169" t="s">
        <v>403</v>
      </c>
      <c r="J747" s="169" t="s">
        <v>2025</v>
      </c>
      <c r="K747" s="169" t="s">
        <v>2026</v>
      </c>
      <c r="L747" s="169" t="s">
        <v>631</v>
      </c>
      <c r="M747" s="169" t="s">
        <v>1453</v>
      </c>
      <c r="N747" s="178">
        <v>1478703597</v>
      </c>
      <c r="O747" s="169" t="s">
        <v>2247</v>
      </c>
      <c r="P747" s="169" t="s">
        <v>283</v>
      </c>
      <c r="Q747" s="169" t="s">
        <v>284</v>
      </c>
      <c r="R747" s="169" t="s">
        <v>283</v>
      </c>
      <c r="S747" s="169" t="s">
        <v>283</v>
      </c>
      <c r="T747" s="169">
        <v>0</v>
      </c>
    </row>
    <row r="748" spans="1:20" hidden="1" x14ac:dyDescent="0.2">
      <c r="A748" s="169" t="str">
        <f t="shared" si="12"/>
        <v>622</v>
      </c>
      <c r="B748" s="167" t="str">
        <f>_xlfn.XLOOKUP(I748,Mapping!D:D,Mapping!E:E)</f>
        <v>Xưởng Sản Xuất</v>
      </c>
      <c r="C748" s="167" t="str">
        <f>_xlfn.XLOOKUP(F748,Mapping!A:A,Mapping!F:F)</f>
        <v>Lương Chính +T13</v>
      </c>
      <c r="D748" s="173">
        <v>46142</v>
      </c>
      <c r="E748" s="169" t="s">
        <v>2248</v>
      </c>
      <c r="F748" s="169" t="s">
        <v>420</v>
      </c>
      <c r="G748" s="169" t="s">
        <v>286</v>
      </c>
      <c r="H748" s="169" t="s">
        <v>402</v>
      </c>
      <c r="I748" s="169" t="s">
        <v>403</v>
      </c>
      <c r="J748" s="169" t="s">
        <v>2025</v>
      </c>
      <c r="K748" s="169" t="s">
        <v>2026</v>
      </c>
      <c r="L748" s="169" t="s">
        <v>631</v>
      </c>
      <c r="M748" s="169" t="s">
        <v>1453</v>
      </c>
      <c r="N748" s="178">
        <v>21008153</v>
      </c>
      <c r="O748" s="169" t="s">
        <v>2249</v>
      </c>
      <c r="P748" s="169" t="s">
        <v>283</v>
      </c>
      <c r="Q748" s="169" t="s">
        <v>284</v>
      </c>
      <c r="R748" s="169" t="s">
        <v>283</v>
      </c>
      <c r="S748" s="169" t="s">
        <v>283</v>
      </c>
      <c r="T748" s="169">
        <v>0</v>
      </c>
    </row>
    <row r="749" spans="1:20" hidden="1" x14ac:dyDescent="0.2">
      <c r="A749" s="169" t="str">
        <f t="shared" si="12"/>
        <v>622</v>
      </c>
      <c r="B749" s="167" t="str">
        <f>_xlfn.XLOOKUP(I749,Mapping!D:D,Mapping!E:E)</f>
        <v>Xưởng Sản Xuất</v>
      </c>
      <c r="C749" s="167" t="str">
        <f>_xlfn.XLOOKUP(F749,Mapping!A:A,Mapping!F:F)</f>
        <v>Phụ Cấp</v>
      </c>
      <c r="D749" s="173">
        <v>46142</v>
      </c>
      <c r="E749" s="169" t="s">
        <v>2250</v>
      </c>
      <c r="F749" s="169" t="s">
        <v>421</v>
      </c>
      <c r="G749" s="169" t="s">
        <v>341</v>
      </c>
      <c r="H749" s="169" t="s">
        <v>402</v>
      </c>
      <c r="I749" s="169" t="s">
        <v>403</v>
      </c>
      <c r="J749" s="169" t="s">
        <v>2025</v>
      </c>
      <c r="K749" s="169" t="s">
        <v>2026</v>
      </c>
      <c r="L749" s="169" t="s">
        <v>631</v>
      </c>
      <c r="M749" s="169" t="s">
        <v>1453</v>
      </c>
      <c r="N749" s="178">
        <v>117832394</v>
      </c>
      <c r="O749" s="169" t="s">
        <v>2251</v>
      </c>
      <c r="P749" s="169" t="s">
        <v>283</v>
      </c>
      <c r="Q749" s="169" t="s">
        <v>284</v>
      </c>
      <c r="R749" s="169" t="s">
        <v>283</v>
      </c>
      <c r="S749" s="169" t="s">
        <v>283</v>
      </c>
      <c r="T749" s="169">
        <v>0</v>
      </c>
    </row>
    <row r="750" spans="1:20" hidden="1" x14ac:dyDescent="0.2">
      <c r="A750" s="169" t="str">
        <f t="shared" si="12"/>
        <v>622</v>
      </c>
      <c r="B750" s="167" t="str">
        <f>_xlfn.XLOOKUP(I750,Mapping!D:D,Mapping!E:E)</f>
        <v>Xưởng Sản Xuất</v>
      </c>
      <c r="C750" s="167" t="str">
        <f>_xlfn.XLOOKUP(F750,Mapping!A:A,Mapping!F:F)</f>
        <v>Lương Ngoài giờ</v>
      </c>
      <c r="D750" s="173">
        <v>46142</v>
      </c>
      <c r="E750" s="169" t="s">
        <v>2252</v>
      </c>
      <c r="F750" s="169" t="s">
        <v>422</v>
      </c>
      <c r="G750" s="169" t="s">
        <v>423</v>
      </c>
      <c r="H750" s="169" t="s">
        <v>402</v>
      </c>
      <c r="I750" s="169" t="s">
        <v>403</v>
      </c>
      <c r="J750" s="169" t="s">
        <v>2025</v>
      </c>
      <c r="K750" s="169" t="s">
        <v>2026</v>
      </c>
      <c r="L750" s="169" t="s">
        <v>631</v>
      </c>
      <c r="M750" s="169" t="s">
        <v>1453</v>
      </c>
      <c r="N750" s="178">
        <v>395771720</v>
      </c>
      <c r="O750" s="169" t="s">
        <v>2253</v>
      </c>
      <c r="P750" s="169" t="s">
        <v>283</v>
      </c>
      <c r="Q750" s="169" t="s">
        <v>284</v>
      </c>
      <c r="R750" s="169" t="s">
        <v>283</v>
      </c>
      <c r="S750" s="169" t="s">
        <v>283</v>
      </c>
      <c r="T750" s="169">
        <v>0</v>
      </c>
    </row>
    <row r="751" spans="1:20" hidden="1" x14ac:dyDescent="0.2">
      <c r="A751" s="169" t="str">
        <f t="shared" si="12"/>
        <v>622</v>
      </c>
      <c r="B751" s="167" t="str">
        <f>_xlfn.XLOOKUP(I751,Mapping!D:D,Mapping!E:E)</f>
        <v>Xưởng Sản Xuất</v>
      </c>
      <c r="C751" s="167" t="str">
        <f>_xlfn.XLOOKUP(F751,Mapping!A:A,Mapping!F:F)</f>
        <v>Phụ Cấp</v>
      </c>
      <c r="D751" s="173">
        <v>46142</v>
      </c>
      <c r="E751" s="169" t="s">
        <v>2254</v>
      </c>
      <c r="F751" s="169" t="s">
        <v>414</v>
      </c>
      <c r="G751" s="169" t="s">
        <v>415</v>
      </c>
      <c r="H751" s="169" t="s">
        <v>402</v>
      </c>
      <c r="I751" s="169" t="s">
        <v>403</v>
      </c>
      <c r="J751" s="169" t="s">
        <v>2025</v>
      </c>
      <c r="K751" s="169" t="s">
        <v>2026</v>
      </c>
      <c r="L751" s="169" t="s">
        <v>631</v>
      </c>
      <c r="M751" s="169" t="s">
        <v>1453</v>
      </c>
      <c r="N751" s="178">
        <v>1150000</v>
      </c>
      <c r="O751" s="169" t="s">
        <v>2255</v>
      </c>
      <c r="P751" s="169" t="s">
        <v>283</v>
      </c>
      <c r="Q751" s="169" t="s">
        <v>284</v>
      </c>
      <c r="R751" s="169" t="s">
        <v>283</v>
      </c>
      <c r="S751" s="169" t="s">
        <v>283</v>
      </c>
      <c r="T751" s="169">
        <v>0</v>
      </c>
    </row>
    <row r="752" spans="1:20" hidden="1" x14ac:dyDescent="0.2">
      <c r="A752" s="169" t="str">
        <f t="shared" si="12"/>
        <v>627</v>
      </c>
      <c r="B752" s="167" t="str">
        <f>_xlfn.XLOOKUP(I752,Mapping!D:D,Mapping!E:E)</f>
        <v>Xưởng Sản Xuất</v>
      </c>
      <c r="C752" s="167" t="str">
        <f>_xlfn.XLOOKUP(F752,Mapping!A:A,Mapping!F:F)</f>
        <v>Phụ Cấp</v>
      </c>
      <c r="D752" s="173">
        <v>46142</v>
      </c>
      <c r="E752" s="169" t="s">
        <v>2256</v>
      </c>
      <c r="F752" s="169" t="s">
        <v>386</v>
      </c>
      <c r="G752" s="169" t="s">
        <v>341</v>
      </c>
      <c r="H752" s="169" t="s">
        <v>402</v>
      </c>
      <c r="I752" s="169" t="s">
        <v>403</v>
      </c>
      <c r="J752" s="169" t="s">
        <v>2025</v>
      </c>
      <c r="K752" s="169" t="s">
        <v>2026</v>
      </c>
      <c r="L752" s="169" t="s">
        <v>631</v>
      </c>
      <c r="M752" s="169" t="s">
        <v>1453</v>
      </c>
      <c r="N752" s="178">
        <v>14030020</v>
      </c>
      <c r="O752" s="169" t="s">
        <v>2257</v>
      </c>
      <c r="P752" s="169" t="s">
        <v>283</v>
      </c>
      <c r="Q752" s="169" t="s">
        <v>284</v>
      </c>
      <c r="R752" s="169" t="s">
        <v>283</v>
      </c>
      <c r="S752" s="169" t="s">
        <v>283</v>
      </c>
      <c r="T752" s="169">
        <v>0</v>
      </c>
    </row>
    <row r="753" spans="1:20" hidden="1" x14ac:dyDescent="0.2">
      <c r="A753" s="169" t="str">
        <f t="shared" si="12"/>
        <v>627</v>
      </c>
      <c r="B753" s="167" t="str">
        <f>_xlfn.XLOOKUP(I753,Mapping!D:D,Mapping!E:E)</f>
        <v>Xưởng Sản Xuất</v>
      </c>
      <c r="C753" s="167" t="str">
        <f>_xlfn.XLOOKUP(F753,Mapping!A:A,Mapping!F:F)</f>
        <v>Lương Chính +T13</v>
      </c>
      <c r="D753" s="173">
        <v>46142</v>
      </c>
      <c r="E753" s="169" t="s">
        <v>2258</v>
      </c>
      <c r="F753" s="169" t="s">
        <v>387</v>
      </c>
      <c r="G753" s="169" t="s">
        <v>275</v>
      </c>
      <c r="H753" s="169" t="s">
        <v>402</v>
      </c>
      <c r="I753" s="169" t="s">
        <v>403</v>
      </c>
      <c r="J753" s="169" t="s">
        <v>2025</v>
      </c>
      <c r="K753" s="169" t="s">
        <v>2026</v>
      </c>
      <c r="L753" s="169" t="s">
        <v>631</v>
      </c>
      <c r="M753" s="169" t="s">
        <v>1453</v>
      </c>
      <c r="N753" s="178">
        <v>451327998</v>
      </c>
      <c r="O753" s="169" t="s">
        <v>2259</v>
      </c>
      <c r="P753" s="169" t="s">
        <v>283</v>
      </c>
      <c r="Q753" s="169" t="s">
        <v>284</v>
      </c>
      <c r="R753" s="169" t="s">
        <v>283</v>
      </c>
      <c r="S753" s="169" t="s">
        <v>283</v>
      </c>
      <c r="T753" s="169">
        <v>0</v>
      </c>
    </row>
    <row r="754" spans="1:20" hidden="1" x14ac:dyDescent="0.2">
      <c r="A754" s="169" t="str">
        <f t="shared" si="12"/>
        <v>627</v>
      </c>
      <c r="B754" s="167" t="str">
        <f>_xlfn.XLOOKUP(I754,Mapping!D:D,Mapping!E:E)</f>
        <v>Xưởng Sản Xuất</v>
      </c>
      <c r="C754" s="167" t="str">
        <f>_xlfn.XLOOKUP(F754,Mapping!A:A,Mapping!F:F)</f>
        <v>Lương Chính +T13</v>
      </c>
      <c r="D754" s="173">
        <v>46142</v>
      </c>
      <c r="E754" s="169" t="s">
        <v>2260</v>
      </c>
      <c r="F754" s="169" t="s">
        <v>388</v>
      </c>
      <c r="G754" s="169" t="s">
        <v>286</v>
      </c>
      <c r="H754" s="169" t="s">
        <v>402</v>
      </c>
      <c r="I754" s="169" t="s">
        <v>403</v>
      </c>
      <c r="J754" s="169" t="s">
        <v>2025</v>
      </c>
      <c r="K754" s="169" t="s">
        <v>2026</v>
      </c>
      <c r="L754" s="169" t="s">
        <v>631</v>
      </c>
      <c r="M754" s="169" t="s">
        <v>1453</v>
      </c>
      <c r="N754" s="178">
        <v>9232286</v>
      </c>
      <c r="O754" s="169" t="s">
        <v>2261</v>
      </c>
      <c r="P754" s="169" t="s">
        <v>283</v>
      </c>
      <c r="Q754" s="169" t="s">
        <v>284</v>
      </c>
      <c r="R754" s="169" t="s">
        <v>283</v>
      </c>
      <c r="S754" s="169" t="s">
        <v>283</v>
      </c>
      <c r="T754" s="169">
        <v>0</v>
      </c>
    </row>
    <row r="755" spans="1:20" hidden="1" x14ac:dyDescent="0.2">
      <c r="A755" s="169" t="str">
        <f t="shared" si="12"/>
        <v>627</v>
      </c>
      <c r="B755" s="167" t="str">
        <f>_xlfn.XLOOKUP(I755,Mapping!D:D,Mapping!E:E)</f>
        <v>Xưởng Sản Xuất</v>
      </c>
      <c r="C755" s="167" t="str">
        <f>_xlfn.XLOOKUP(F755,Mapping!A:A,Mapping!F:F)</f>
        <v>Lương Ngoài giờ</v>
      </c>
      <c r="D755" s="173">
        <v>46142</v>
      </c>
      <c r="E755" s="169" t="s">
        <v>2262</v>
      </c>
      <c r="F755" s="169" t="s">
        <v>389</v>
      </c>
      <c r="G755" s="169" t="s">
        <v>390</v>
      </c>
      <c r="H755" s="169" t="s">
        <v>402</v>
      </c>
      <c r="I755" s="169" t="s">
        <v>403</v>
      </c>
      <c r="J755" s="169" t="s">
        <v>2025</v>
      </c>
      <c r="K755" s="169" t="s">
        <v>2026</v>
      </c>
      <c r="L755" s="169" t="s">
        <v>631</v>
      </c>
      <c r="M755" s="169" t="s">
        <v>1453</v>
      </c>
      <c r="N755" s="178">
        <v>62073184</v>
      </c>
      <c r="O755" s="169" t="s">
        <v>2263</v>
      </c>
      <c r="P755" s="169" t="s">
        <v>283</v>
      </c>
      <c r="Q755" s="169" t="s">
        <v>284</v>
      </c>
      <c r="R755" s="169" t="s">
        <v>283</v>
      </c>
      <c r="S755" s="169" t="s">
        <v>283</v>
      </c>
      <c r="T755" s="169">
        <v>0</v>
      </c>
    </row>
    <row r="756" spans="1:20" hidden="1" x14ac:dyDescent="0.2">
      <c r="A756" s="169" t="str">
        <f t="shared" si="12"/>
        <v>627</v>
      </c>
      <c r="B756" s="167" t="str">
        <f>_xlfn.XLOOKUP(I756,Mapping!D:D,Mapping!E:E)</f>
        <v>Xưởng Sản Xuất</v>
      </c>
      <c r="C756" s="167" t="str">
        <f>_xlfn.XLOOKUP(F756,Mapping!A:A,Mapping!F:F)</f>
        <v>Phụ Cấp</v>
      </c>
      <c r="D756" s="173">
        <v>46142</v>
      </c>
      <c r="E756" s="169" t="s">
        <v>2264</v>
      </c>
      <c r="F756" s="169" t="s">
        <v>375</v>
      </c>
      <c r="G756" s="169" t="s">
        <v>336</v>
      </c>
      <c r="H756" s="169" t="s">
        <v>402</v>
      </c>
      <c r="I756" s="169" t="s">
        <v>403</v>
      </c>
      <c r="J756" s="169" t="s">
        <v>2025</v>
      </c>
      <c r="K756" s="169" t="s">
        <v>2026</v>
      </c>
      <c r="L756" s="169" t="s">
        <v>631</v>
      </c>
      <c r="M756" s="169" t="s">
        <v>1453</v>
      </c>
      <c r="N756" s="178">
        <v>500000</v>
      </c>
      <c r="O756" s="169" t="s">
        <v>2265</v>
      </c>
      <c r="P756" s="169" t="s">
        <v>283</v>
      </c>
      <c r="Q756" s="169" t="s">
        <v>284</v>
      </c>
      <c r="R756" s="169" t="s">
        <v>283</v>
      </c>
      <c r="S756" s="169" t="s">
        <v>283</v>
      </c>
      <c r="T756" s="169">
        <v>0</v>
      </c>
    </row>
    <row r="757" spans="1:20" hidden="1" x14ac:dyDescent="0.2">
      <c r="A757" s="169" t="str">
        <f t="shared" si="12"/>
        <v>642</v>
      </c>
      <c r="B757" s="167" t="str">
        <f>_xlfn.XLOOKUP(I757,Mapping!D:D,Mapping!E:E)</f>
        <v>Mua Hàng &amp; XNK</v>
      </c>
      <c r="C757" s="167" t="str">
        <f>_xlfn.XLOOKUP(F757,Mapping!A:A,Mapping!F:F)</f>
        <v>BHXH, BHYT, KPCĐ</v>
      </c>
      <c r="D757" s="173">
        <v>46142</v>
      </c>
      <c r="E757" s="169" t="s">
        <v>2036</v>
      </c>
      <c r="F757" s="169" t="s">
        <v>295</v>
      </c>
      <c r="G757" s="169" t="s">
        <v>296</v>
      </c>
      <c r="H757" s="169" t="s">
        <v>378</v>
      </c>
      <c r="I757" s="169" t="s">
        <v>379</v>
      </c>
      <c r="J757" s="169" t="s">
        <v>2037</v>
      </c>
      <c r="K757" s="169" t="s">
        <v>2026</v>
      </c>
      <c r="L757" s="169" t="s">
        <v>631</v>
      </c>
      <c r="M757" s="169" t="s">
        <v>1453</v>
      </c>
      <c r="N757" s="178">
        <v>45919925</v>
      </c>
      <c r="O757" s="169" t="s">
        <v>2038</v>
      </c>
      <c r="P757" s="169" t="s">
        <v>283</v>
      </c>
      <c r="Q757" s="169" t="s">
        <v>284</v>
      </c>
      <c r="R757" s="169" t="s">
        <v>283</v>
      </c>
      <c r="S757" s="169" t="s">
        <v>283</v>
      </c>
      <c r="T757" s="169">
        <v>0</v>
      </c>
    </row>
    <row r="758" spans="1:20" hidden="1" x14ac:dyDescent="0.2">
      <c r="A758" s="169" t="str">
        <f t="shared" si="12"/>
        <v>627</v>
      </c>
      <c r="B758" s="167" t="str">
        <f>_xlfn.XLOOKUP(I758,Mapping!D:D,Mapping!E:E)</f>
        <v>Kỹ Thuật</v>
      </c>
      <c r="C758" s="167" t="str">
        <f>_xlfn.XLOOKUP(F758,Mapping!A:A,Mapping!F:F)</f>
        <v>BHXH, BHYT, KPCĐ</v>
      </c>
      <c r="D758" s="173">
        <v>46142</v>
      </c>
      <c r="E758" s="169" t="s">
        <v>2036</v>
      </c>
      <c r="F758" s="169" t="s">
        <v>393</v>
      </c>
      <c r="G758" s="169" t="s">
        <v>296</v>
      </c>
      <c r="H758" s="169" t="s">
        <v>376</v>
      </c>
      <c r="I758" s="169" t="s">
        <v>377</v>
      </c>
      <c r="J758" s="169" t="s">
        <v>2037</v>
      </c>
      <c r="K758" s="169" t="s">
        <v>2026</v>
      </c>
      <c r="L758" s="169" t="s">
        <v>631</v>
      </c>
      <c r="M758" s="169" t="s">
        <v>1453</v>
      </c>
      <c r="N758" s="178">
        <v>259336068</v>
      </c>
      <c r="O758" s="169" t="s">
        <v>2038</v>
      </c>
      <c r="P758" s="169" t="s">
        <v>283</v>
      </c>
      <c r="Q758" s="169" t="s">
        <v>284</v>
      </c>
      <c r="R758" s="169" t="s">
        <v>283</v>
      </c>
      <c r="S758" s="169" t="s">
        <v>283</v>
      </c>
      <c r="T758" s="169">
        <v>0</v>
      </c>
    </row>
    <row r="759" spans="1:20" hidden="1" x14ac:dyDescent="0.2">
      <c r="A759" s="169" t="str">
        <f t="shared" si="12"/>
        <v>627</v>
      </c>
      <c r="B759" s="167" t="str">
        <f>_xlfn.XLOOKUP(I759,Mapping!D:D,Mapping!E:E)</f>
        <v>Kiểm Soát Chất Lượng</v>
      </c>
      <c r="C759" s="167" t="str">
        <f>_xlfn.XLOOKUP(F759,Mapping!A:A,Mapping!F:F)</f>
        <v>BHXH, BHYT, KPCĐ</v>
      </c>
      <c r="D759" s="173">
        <v>46142</v>
      </c>
      <c r="E759" s="169" t="s">
        <v>2036</v>
      </c>
      <c r="F759" s="169" t="s">
        <v>393</v>
      </c>
      <c r="G759" s="169" t="s">
        <v>296</v>
      </c>
      <c r="H759" s="169" t="s">
        <v>411</v>
      </c>
      <c r="I759" s="169" t="s">
        <v>412</v>
      </c>
      <c r="J759" s="169" t="s">
        <v>2037</v>
      </c>
      <c r="K759" s="169" t="s">
        <v>2026</v>
      </c>
      <c r="L759" s="169" t="s">
        <v>631</v>
      </c>
      <c r="M759" s="169" t="s">
        <v>1453</v>
      </c>
      <c r="N759" s="178">
        <v>98939090</v>
      </c>
      <c r="O759" s="169" t="s">
        <v>2038</v>
      </c>
      <c r="P759" s="169" t="s">
        <v>283</v>
      </c>
      <c r="Q759" s="169" t="s">
        <v>284</v>
      </c>
      <c r="R759" s="169" t="s">
        <v>283</v>
      </c>
      <c r="S759" s="169" t="s">
        <v>283</v>
      </c>
      <c r="T759" s="169">
        <v>0</v>
      </c>
    </row>
    <row r="760" spans="1:20" hidden="1" x14ac:dyDescent="0.2">
      <c r="A760" s="169" t="str">
        <f t="shared" si="12"/>
        <v>627</v>
      </c>
      <c r="B760" s="167" t="str">
        <f>_xlfn.XLOOKUP(I760,Mapping!D:D,Mapping!E:E)</f>
        <v>Nghiên Cứu &amp; Phát Triển</v>
      </c>
      <c r="C760" s="167" t="str">
        <f>_xlfn.XLOOKUP(F760,Mapping!A:A,Mapping!F:F)</f>
        <v>BHXH, BHYT, KPCĐ</v>
      </c>
      <c r="D760" s="173">
        <v>46142</v>
      </c>
      <c r="E760" s="169" t="s">
        <v>2036</v>
      </c>
      <c r="F760" s="169" t="s">
        <v>393</v>
      </c>
      <c r="G760" s="169" t="s">
        <v>296</v>
      </c>
      <c r="H760" s="169" t="s">
        <v>418</v>
      </c>
      <c r="I760" s="169" t="s">
        <v>419</v>
      </c>
      <c r="J760" s="169" t="s">
        <v>2037</v>
      </c>
      <c r="K760" s="169" t="s">
        <v>2026</v>
      </c>
      <c r="L760" s="169" t="s">
        <v>631</v>
      </c>
      <c r="M760" s="169" t="s">
        <v>1453</v>
      </c>
      <c r="N760" s="178">
        <v>39368175</v>
      </c>
      <c r="O760" s="169" t="s">
        <v>2038</v>
      </c>
      <c r="P760" s="169" t="s">
        <v>283</v>
      </c>
      <c r="Q760" s="169" t="s">
        <v>284</v>
      </c>
      <c r="R760" s="169" t="s">
        <v>283</v>
      </c>
      <c r="S760" s="169" t="s">
        <v>283</v>
      </c>
      <c r="T760" s="169">
        <v>0</v>
      </c>
    </row>
    <row r="761" spans="1:20" hidden="1" x14ac:dyDescent="0.2">
      <c r="A761" s="169" t="str">
        <f t="shared" si="12"/>
        <v>622</v>
      </c>
      <c r="B761" s="167" t="str">
        <f>_xlfn.XLOOKUP(I761,Mapping!D:D,Mapping!E:E)</f>
        <v>Xưởng Sản Xuất</v>
      </c>
      <c r="C761" s="167" t="str">
        <f>_xlfn.XLOOKUP(F761,Mapping!A:A,Mapping!F:F)</f>
        <v>BHXH, BHYT, KPCĐ</v>
      </c>
      <c r="D761" s="173">
        <v>46142</v>
      </c>
      <c r="E761" s="169" t="s">
        <v>2036</v>
      </c>
      <c r="F761" s="169" t="s">
        <v>425</v>
      </c>
      <c r="G761" s="169" t="s">
        <v>296</v>
      </c>
      <c r="H761" s="169" t="s">
        <v>402</v>
      </c>
      <c r="I761" s="169" t="s">
        <v>403</v>
      </c>
      <c r="J761" s="169" t="s">
        <v>2037</v>
      </c>
      <c r="K761" s="169" t="s">
        <v>2026</v>
      </c>
      <c r="L761" s="169" t="s">
        <v>631</v>
      </c>
      <c r="M761" s="169" t="s">
        <v>1453</v>
      </c>
      <c r="N761" s="178">
        <v>213946055</v>
      </c>
      <c r="O761" s="169" t="s">
        <v>2038</v>
      </c>
      <c r="P761" s="169" t="s">
        <v>283</v>
      </c>
      <c r="Q761" s="169" t="s">
        <v>284</v>
      </c>
      <c r="R761" s="169" t="s">
        <v>283</v>
      </c>
      <c r="S761" s="169" t="s">
        <v>283</v>
      </c>
      <c r="T761" s="169">
        <v>0</v>
      </c>
    </row>
    <row r="762" spans="1:20" hidden="1" x14ac:dyDescent="0.2">
      <c r="A762" s="169" t="str">
        <f t="shared" si="12"/>
        <v>627</v>
      </c>
      <c r="B762" s="167" t="str">
        <f>_xlfn.XLOOKUP(I762,Mapping!D:D,Mapping!E:E)</f>
        <v>Xưởng Sản Xuất</v>
      </c>
      <c r="C762" s="167" t="str">
        <f>_xlfn.XLOOKUP(F762,Mapping!A:A,Mapping!F:F)</f>
        <v>BHXH, BHYT, KPCĐ</v>
      </c>
      <c r="D762" s="173">
        <v>46142</v>
      </c>
      <c r="E762" s="169" t="s">
        <v>2036</v>
      </c>
      <c r="F762" s="169" t="s">
        <v>393</v>
      </c>
      <c r="G762" s="169" t="s">
        <v>296</v>
      </c>
      <c r="H762" s="169" t="s">
        <v>402</v>
      </c>
      <c r="I762" s="169" t="s">
        <v>403</v>
      </c>
      <c r="J762" s="169" t="s">
        <v>2037</v>
      </c>
      <c r="K762" s="169" t="s">
        <v>2026</v>
      </c>
      <c r="L762" s="169" t="s">
        <v>631</v>
      </c>
      <c r="M762" s="169" t="s">
        <v>1453</v>
      </c>
      <c r="N762" s="178">
        <v>75710480</v>
      </c>
      <c r="O762" s="169" t="s">
        <v>2038</v>
      </c>
      <c r="P762" s="169" t="s">
        <v>283</v>
      </c>
      <c r="Q762" s="169" t="s">
        <v>284</v>
      </c>
      <c r="R762" s="169" t="s">
        <v>283</v>
      </c>
      <c r="S762" s="169" t="s">
        <v>283</v>
      </c>
      <c r="T762" s="169">
        <v>0</v>
      </c>
    </row>
    <row r="763" spans="1:20" hidden="1" x14ac:dyDescent="0.2">
      <c r="A763" s="169" t="str">
        <f t="shared" si="12"/>
        <v>642</v>
      </c>
      <c r="B763" s="167" t="str">
        <f>_xlfn.XLOOKUP(I763,Mapping!D:D,Mapping!E:E)</f>
        <v>Mua Hàng &amp; XNK</v>
      </c>
      <c r="C763" s="167" t="str">
        <f>_xlfn.XLOOKUP(F763,Mapping!A:A,Mapping!F:F)</f>
        <v>Lương Chính +T13</v>
      </c>
      <c r="D763" s="173">
        <v>46142</v>
      </c>
      <c r="E763" s="169" t="s">
        <v>2266</v>
      </c>
      <c r="F763" s="169" t="s">
        <v>285</v>
      </c>
      <c r="G763" s="169" t="s">
        <v>286</v>
      </c>
      <c r="H763" s="169" t="s">
        <v>378</v>
      </c>
      <c r="I763" s="169" t="s">
        <v>379</v>
      </c>
      <c r="J763" s="169" t="s">
        <v>2031</v>
      </c>
      <c r="K763" s="169" t="s">
        <v>2026</v>
      </c>
      <c r="L763" s="169" t="s">
        <v>631</v>
      </c>
      <c r="M763" s="169" t="s">
        <v>1453</v>
      </c>
      <c r="N763" s="178">
        <v>16937917</v>
      </c>
      <c r="O763" s="169" t="s">
        <v>2267</v>
      </c>
      <c r="P763" s="169" t="s">
        <v>283</v>
      </c>
      <c r="Q763" s="169" t="s">
        <v>284</v>
      </c>
      <c r="R763" s="169" t="s">
        <v>283</v>
      </c>
      <c r="S763" s="169" t="s">
        <v>283</v>
      </c>
      <c r="T763" s="169">
        <v>0</v>
      </c>
    </row>
    <row r="764" spans="1:20" hidden="1" x14ac:dyDescent="0.2">
      <c r="A764" s="169" t="str">
        <f t="shared" si="12"/>
        <v>642</v>
      </c>
      <c r="B764" s="167" t="str">
        <f>_xlfn.XLOOKUP(I764,Mapping!D:D,Mapping!E:E)</f>
        <v>Mua Hàng &amp; XNK</v>
      </c>
      <c r="C764" s="167" t="str">
        <f>_xlfn.XLOOKUP(F764,Mapping!A:A,Mapping!F:F)</f>
        <v>Thưởng</v>
      </c>
      <c r="D764" s="173">
        <v>46142</v>
      </c>
      <c r="E764" s="169" t="s">
        <v>2268</v>
      </c>
      <c r="F764" s="169" t="s">
        <v>292</v>
      </c>
      <c r="G764" s="169" t="s">
        <v>77</v>
      </c>
      <c r="H764" s="169" t="s">
        <v>378</v>
      </c>
      <c r="I764" s="169" t="s">
        <v>379</v>
      </c>
      <c r="J764" s="169" t="s">
        <v>2034</v>
      </c>
      <c r="K764" s="169" t="s">
        <v>2026</v>
      </c>
      <c r="L764" s="169" t="s">
        <v>631</v>
      </c>
      <c r="M764" s="169" t="s">
        <v>1453</v>
      </c>
      <c r="N764" s="178">
        <v>15582748</v>
      </c>
      <c r="O764" s="169" t="s">
        <v>2269</v>
      </c>
      <c r="P764" s="169" t="s">
        <v>283</v>
      </c>
      <c r="Q764" s="169" t="s">
        <v>284</v>
      </c>
      <c r="R764" s="169" t="s">
        <v>283</v>
      </c>
      <c r="S764" s="169" t="s">
        <v>283</v>
      </c>
      <c r="T764" s="169">
        <v>0</v>
      </c>
    </row>
    <row r="765" spans="1:20" hidden="1" x14ac:dyDescent="0.2">
      <c r="A765" s="169" t="str">
        <f t="shared" si="12"/>
        <v>627</v>
      </c>
      <c r="B765" s="167" t="str">
        <f>_xlfn.XLOOKUP(I765,Mapping!D:D,Mapping!E:E)</f>
        <v>Kỹ Thuật</v>
      </c>
      <c r="C765" s="167" t="str">
        <f>_xlfn.XLOOKUP(F765,Mapping!A:A,Mapping!F:F)</f>
        <v>Lương Chính +T13</v>
      </c>
      <c r="D765" s="173">
        <v>46142</v>
      </c>
      <c r="E765" s="169" t="s">
        <v>2270</v>
      </c>
      <c r="F765" s="169" t="s">
        <v>388</v>
      </c>
      <c r="G765" s="169" t="s">
        <v>286</v>
      </c>
      <c r="H765" s="169" t="s">
        <v>376</v>
      </c>
      <c r="I765" s="169" t="s">
        <v>377</v>
      </c>
      <c r="J765" s="169" t="s">
        <v>2031</v>
      </c>
      <c r="K765" s="169" t="s">
        <v>2026</v>
      </c>
      <c r="L765" s="169" t="s">
        <v>631</v>
      </c>
      <c r="M765" s="169" t="s">
        <v>1453</v>
      </c>
      <c r="N765" s="178">
        <v>96159067</v>
      </c>
      <c r="O765" s="169" t="s">
        <v>2271</v>
      </c>
      <c r="P765" s="169" t="s">
        <v>283</v>
      </c>
      <c r="Q765" s="169" t="s">
        <v>284</v>
      </c>
      <c r="R765" s="169" t="s">
        <v>283</v>
      </c>
      <c r="S765" s="169" t="s">
        <v>283</v>
      </c>
      <c r="T765" s="169">
        <v>0</v>
      </c>
    </row>
    <row r="766" spans="1:20" hidden="1" x14ac:dyDescent="0.2">
      <c r="A766" s="169" t="str">
        <f t="shared" ref="A766:A829" si="13">LEFT(F766,3)</f>
        <v>627</v>
      </c>
      <c r="B766" s="167" t="str">
        <f>_xlfn.XLOOKUP(I766,Mapping!D:D,Mapping!E:E)</f>
        <v>Kỹ Thuật</v>
      </c>
      <c r="C766" s="167" t="str">
        <f>_xlfn.XLOOKUP(F766,Mapping!A:A,Mapping!F:F)</f>
        <v>Thưởng</v>
      </c>
      <c r="D766" s="173">
        <v>46142</v>
      </c>
      <c r="E766" s="169" t="s">
        <v>2272</v>
      </c>
      <c r="F766" s="169" t="s">
        <v>395</v>
      </c>
      <c r="G766" s="169" t="s">
        <v>77</v>
      </c>
      <c r="H766" s="169" t="s">
        <v>376</v>
      </c>
      <c r="I766" s="169" t="s">
        <v>377</v>
      </c>
      <c r="J766" s="169" t="s">
        <v>2034</v>
      </c>
      <c r="K766" s="169" t="s">
        <v>2026</v>
      </c>
      <c r="L766" s="169" t="s">
        <v>631</v>
      </c>
      <c r="M766" s="169" t="s">
        <v>1453</v>
      </c>
      <c r="N766" s="178">
        <v>88465572</v>
      </c>
      <c r="O766" s="169" t="s">
        <v>2273</v>
      </c>
      <c r="P766" s="169" t="s">
        <v>283</v>
      </c>
      <c r="Q766" s="169" t="s">
        <v>284</v>
      </c>
      <c r="R766" s="169" t="s">
        <v>283</v>
      </c>
      <c r="S766" s="169" t="s">
        <v>283</v>
      </c>
      <c r="T766" s="169">
        <v>0</v>
      </c>
    </row>
    <row r="767" spans="1:20" hidden="1" x14ac:dyDescent="0.2">
      <c r="A767" s="169" t="str">
        <f t="shared" si="13"/>
        <v>627</v>
      </c>
      <c r="B767" s="167" t="str">
        <f>_xlfn.XLOOKUP(I767,Mapping!D:D,Mapping!E:E)</f>
        <v>Kiểm Soát Chất Lượng</v>
      </c>
      <c r="C767" s="167" t="str">
        <f>_xlfn.XLOOKUP(F767,Mapping!A:A,Mapping!F:F)</f>
        <v>Lương Chính +T13</v>
      </c>
      <c r="D767" s="173">
        <v>46142</v>
      </c>
      <c r="E767" s="169" t="s">
        <v>2274</v>
      </c>
      <c r="F767" s="169" t="s">
        <v>388</v>
      </c>
      <c r="G767" s="169" t="s">
        <v>286</v>
      </c>
      <c r="H767" s="169" t="s">
        <v>411</v>
      </c>
      <c r="I767" s="169" t="s">
        <v>412</v>
      </c>
      <c r="J767" s="169" t="s">
        <v>2031</v>
      </c>
      <c r="K767" s="169" t="s">
        <v>2026</v>
      </c>
      <c r="L767" s="169" t="s">
        <v>631</v>
      </c>
      <c r="M767" s="169" t="s">
        <v>1453</v>
      </c>
      <c r="N767" s="178">
        <v>36879083</v>
      </c>
      <c r="O767" s="169" t="s">
        <v>2275</v>
      </c>
      <c r="P767" s="169" t="s">
        <v>283</v>
      </c>
      <c r="Q767" s="169" t="s">
        <v>284</v>
      </c>
      <c r="R767" s="169" t="s">
        <v>283</v>
      </c>
      <c r="S767" s="169" t="s">
        <v>283</v>
      </c>
      <c r="T767" s="169">
        <v>0</v>
      </c>
    </row>
    <row r="768" spans="1:20" hidden="1" x14ac:dyDescent="0.2">
      <c r="A768" s="169" t="str">
        <f t="shared" si="13"/>
        <v>627</v>
      </c>
      <c r="B768" s="167" t="str">
        <f>_xlfn.XLOOKUP(I768,Mapping!D:D,Mapping!E:E)</f>
        <v>Kiểm Soát Chất Lượng</v>
      </c>
      <c r="C768" s="167" t="str">
        <f>_xlfn.XLOOKUP(F768,Mapping!A:A,Mapping!F:F)</f>
        <v>Thưởng</v>
      </c>
      <c r="D768" s="173">
        <v>46142</v>
      </c>
      <c r="E768" s="169" t="s">
        <v>2276</v>
      </c>
      <c r="F768" s="169" t="s">
        <v>395</v>
      </c>
      <c r="G768" s="169" t="s">
        <v>77</v>
      </c>
      <c r="H768" s="169" t="s">
        <v>411</v>
      </c>
      <c r="I768" s="169" t="s">
        <v>412</v>
      </c>
      <c r="J768" s="169" t="s">
        <v>2034</v>
      </c>
      <c r="K768" s="169" t="s">
        <v>2026</v>
      </c>
      <c r="L768" s="169" t="s">
        <v>631</v>
      </c>
      <c r="M768" s="169" t="s">
        <v>1453</v>
      </c>
      <c r="N768" s="178">
        <v>33928462</v>
      </c>
      <c r="O768" s="169" t="s">
        <v>2277</v>
      </c>
      <c r="P768" s="169" t="s">
        <v>283</v>
      </c>
      <c r="Q768" s="169" t="s">
        <v>284</v>
      </c>
      <c r="R768" s="169" t="s">
        <v>283</v>
      </c>
      <c r="S768" s="169" t="s">
        <v>283</v>
      </c>
      <c r="T768" s="169">
        <v>0</v>
      </c>
    </row>
    <row r="769" spans="1:20" hidden="1" x14ac:dyDescent="0.2">
      <c r="A769" s="169" t="str">
        <f t="shared" si="13"/>
        <v>627</v>
      </c>
      <c r="B769" s="167" t="str">
        <f>_xlfn.XLOOKUP(I769,Mapping!D:D,Mapping!E:E)</f>
        <v>Nghiên Cứu &amp; Phát Triển</v>
      </c>
      <c r="C769" s="167" t="str">
        <f>_xlfn.XLOOKUP(F769,Mapping!A:A,Mapping!F:F)</f>
        <v>Lương Chính +T13</v>
      </c>
      <c r="D769" s="173">
        <v>46142</v>
      </c>
      <c r="E769" s="169" t="s">
        <v>2278</v>
      </c>
      <c r="F769" s="169" t="s">
        <v>388</v>
      </c>
      <c r="G769" s="169" t="s">
        <v>286</v>
      </c>
      <c r="H769" s="169" t="s">
        <v>418</v>
      </c>
      <c r="I769" s="169" t="s">
        <v>419</v>
      </c>
      <c r="J769" s="169" t="s">
        <v>2031</v>
      </c>
      <c r="K769" s="169" t="s">
        <v>2026</v>
      </c>
      <c r="L769" s="169" t="s">
        <v>631</v>
      </c>
      <c r="M769" s="169" t="s">
        <v>1453</v>
      </c>
      <c r="N769" s="178">
        <v>14708750</v>
      </c>
      <c r="O769" s="169" t="s">
        <v>2279</v>
      </c>
      <c r="P769" s="169" t="s">
        <v>283</v>
      </c>
      <c r="Q769" s="169" t="s">
        <v>284</v>
      </c>
      <c r="R769" s="169" t="s">
        <v>283</v>
      </c>
      <c r="S769" s="169" t="s">
        <v>283</v>
      </c>
      <c r="T769" s="169">
        <v>0</v>
      </c>
    </row>
    <row r="770" spans="1:20" hidden="1" x14ac:dyDescent="0.2">
      <c r="A770" s="169" t="str">
        <f t="shared" si="13"/>
        <v>627</v>
      </c>
      <c r="B770" s="167" t="str">
        <f>_xlfn.XLOOKUP(I770,Mapping!D:D,Mapping!E:E)</f>
        <v>Nghiên Cứu &amp; Phát Triển</v>
      </c>
      <c r="C770" s="167" t="str">
        <f>_xlfn.XLOOKUP(F770,Mapping!A:A,Mapping!F:F)</f>
        <v>Thưởng</v>
      </c>
      <c r="D770" s="173">
        <v>46142</v>
      </c>
      <c r="E770" s="169" t="s">
        <v>2280</v>
      </c>
      <c r="F770" s="169" t="s">
        <v>395</v>
      </c>
      <c r="G770" s="169" t="s">
        <v>77</v>
      </c>
      <c r="H770" s="169" t="s">
        <v>418</v>
      </c>
      <c r="I770" s="169" t="s">
        <v>419</v>
      </c>
      <c r="J770" s="169" t="s">
        <v>2034</v>
      </c>
      <c r="K770" s="169" t="s">
        <v>2026</v>
      </c>
      <c r="L770" s="169" t="s">
        <v>631</v>
      </c>
      <c r="M770" s="169" t="s">
        <v>1453</v>
      </c>
      <c r="N770" s="178">
        <v>13531932</v>
      </c>
      <c r="O770" s="169" t="s">
        <v>2281</v>
      </c>
      <c r="P770" s="169" t="s">
        <v>283</v>
      </c>
      <c r="Q770" s="169" t="s">
        <v>284</v>
      </c>
      <c r="R770" s="169" t="s">
        <v>283</v>
      </c>
      <c r="S770" s="169" t="s">
        <v>283</v>
      </c>
      <c r="T770" s="169">
        <v>0</v>
      </c>
    </row>
    <row r="771" spans="1:20" hidden="1" x14ac:dyDescent="0.2">
      <c r="A771" s="169" t="str">
        <f t="shared" si="13"/>
        <v>627</v>
      </c>
      <c r="B771" s="167" t="str">
        <f>_xlfn.XLOOKUP(I771,Mapping!D:D,Mapping!E:E)</f>
        <v>Xưởng Sản Xuất</v>
      </c>
      <c r="C771" s="167" t="str">
        <f>_xlfn.XLOOKUP(F771,Mapping!A:A,Mapping!F:F)</f>
        <v>Lương Chính +T13</v>
      </c>
      <c r="D771" s="173">
        <v>46142</v>
      </c>
      <c r="E771" s="169" t="s">
        <v>2282</v>
      </c>
      <c r="F771" s="169" t="s">
        <v>388</v>
      </c>
      <c r="G771" s="169" t="s">
        <v>286</v>
      </c>
      <c r="H771" s="169" t="s">
        <v>402</v>
      </c>
      <c r="I771" s="169" t="s">
        <v>403</v>
      </c>
      <c r="J771" s="169" t="s">
        <v>2031</v>
      </c>
      <c r="K771" s="169" t="s">
        <v>2026</v>
      </c>
      <c r="L771" s="169" t="s">
        <v>631</v>
      </c>
      <c r="M771" s="169" t="s">
        <v>1453</v>
      </c>
      <c r="N771" s="178">
        <v>32855667</v>
      </c>
      <c r="O771" s="169" t="s">
        <v>2283</v>
      </c>
      <c r="P771" s="169" t="s">
        <v>283</v>
      </c>
      <c r="Q771" s="169" t="s">
        <v>284</v>
      </c>
      <c r="R771" s="169" t="s">
        <v>283</v>
      </c>
      <c r="S771" s="169" t="s">
        <v>283</v>
      </c>
      <c r="T771" s="169">
        <v>0</v>
      </c>
    </row>
    <row r="772" spans="1:20" hidden="1" x14ac:dyDescent="0.2">
      <c r="A772" s="169" t="str">
        <f t="shared" si="13"/>
        <v>627</v>
      </c>
      <c r="B772" s="167" t="str">
        <f>_xlfn.XLOOKUP(I772,Mapping!D:D,Mapping!E:E)</f>
        <v>Xưởng Sản Xuất</v>
      </c>
      <c r="C772" s="167" t="str">
        <f>_xlfn.XLOOKUP(F772,Mapping!A:A,Mapping!F:F)</f>
        <v>Thưởng</v>
      </c>
      <c r="D772" s="173">
        <v>46142</v>
      </c>
      <c r="E772" s="169" t="s">
        <v>2284</v>
      </c>
      <c r="F772" s="169" t="s">
        <v>395</v>
      </c>
      <c r="G772" s="169" t="s">
        <v>77</v>
      </c>
      <c r="H772" s="169" t="s">
        <v>402</v>
      </c>
      <c r="I772" s="169" t="s">
        <v>403</v>
      </c>
      <c r="J772" s="169" t="s">
        <v>2034</v>
      </c>
      <c r="K772" s="169" t="s">
        <v>2026</v>
      </c>
      <c r="L772" s="169" t="s">
        <v>631</v>
      </c>
      <c r="M772" s="169" t="s">
        <v>1453</v>
      </c>
      <c r="N772" s="178">
        <v>30226950</v>
      </c>
      <c r="O772" s="169" t="s">
        <v>2285</v>
      </c>
      <c r="P772" s="169" t="s">
        <v>283</v>
      </c>
      <c r="Q772" s="169" t="s">
        <v>284</v>
      </c>
      <c r="R772" s="169" t="s">
        <v>283</v>
      </c>
      <c r="S772" s="169" t="s">
        <v>283</v>
      </c>
      <c r="T772" s="169">
        <v>0</v>
      </c>
    </row>
    <row r="773" spans="1:20" hidden="1" x14ac:dyDescent="0.2">
      <c r="A773" s="169" t="str">
        <f t="shared" si="13"/>
        <v>622</v>
      </c>
      <c r="B773" s="167" t="str">
        <f>_xlfn.XLOOKUP(I773,Mapping!D:D,Mapping!E:E)</f>
        <v>Xưởng Sản Xuất</v>
      </c>
      <c r="C773" s="167" t="str">
        <f>_xlfn.XLOOKUP(F773,Mapping!A:A,Mapping!F:F)</f>
        <v>Lương Chính +T13</v>
      </c>
      <c r="D773" s="173">
        <v>46142</v>
      </c>
      <c r="E773" s="169" t="s">
        <v>2286</v>
      </c>
      <c r="F773" s="169" t="s">
        <v>420</v>
      </c>
      <c r="G773" s="169" t="s">
        <v>286</v>
      </c>
      <c r="H773" s="169" t="s">
        <v>402</v>
      </c>
      <c r="I773" s="169" t="s">
        <v>403</v>
      </c>
      <c r="J773" s="169" t="s">
        <v>2031</v>
      </c>
      <c r="K773" s="169" t="s">
        <v>2026</v>
      </c>
      <c r="L773" s="169" t="s">
        <v>631</v>
      </c>
      <c r="M773" s="169" t="s">
        <v>1453</v>
      </c>
      <c r="N773" s="178">
        <v>79984417</v>
      </c>
      <c r="O773" s="169" t="s">
        <v>2287</v>
      </c>
      <c r="P773" s="169" t="s">
        <v>283</v>
      </c>
      <c r="Q773" s="169" t="s">
        <v>284</v>
      </c>
      <c r="R773" s="169" t="s">
        <v>283</v>
      </c>
      <c r="S773" s="169" t="s">
        <v>283</v>
      </c>
      <c r="T773" s="169">
        <v>0</v>
      </c>
    </row>
    <row r="774" spans="1:20" hidden="1" x14ac:dyDescent="0.2">
      <c r="A774" s="169" t="str">
        <f t="shared" si="13"/>
        <v>622</v>
      </c>
      <c r="B774" s="167" t="str">
        <f>_xlfn.XLOOKUP(I774,Mapping!D:D,Mapping!E:E)</f>
        <v>Xưởng Sản Xuất</v>
      </c>
      <c r="C774" s="167" t="str">
        <f>_xlfn.XLOOKUP(F774,Mapping!A:A,Mapping!F:F)</f>
        <v>Thưởng</v>
      </c>
      <c r="D774" s="173">
        <v>46142</v>
      </c>
      <c r="E774" s="169" t="s">
        <v>2288</v>
      </c>
      <c r="F774" s="169" t="s">
        <v>426</v>
      </c>
      <c r="G774" s="169" t="s">
        <v>77</v>
      </c>
      <c r="H774" s="169" t="s">
        <v>402</v>
      </c>
      <c r="I774" s="169" t="s">
        <v>403</v>
      </c>
      <c r="J774" s="169" t="s">
        <v>2034</v>
      </c>
      <c r="K774" s="169" t="s">
        <v>2026</v>
      </c>
      <c r="L774" s="169" t="s">
        <v>631</v>
      </c>
      <c r="M774" s="169" t="s">
        <v>1453</v>
      </c>
      <c r="N774" s="178">
        <v>21277273</v>
      </c>
      <c r="O774" s="169" t="s">
        <v>2289</v>
      </c>
      <c r="P774" s="169" t="s">
        <v>283</v>
      </c>
      <c r="Q774" s="169" t="s">
        <v>284</v>
      </c>
      <c r="R774" s="169" t="s">
        <v>283</v>
      </c>
      <c r="S774" s="169" t="s">
        <v>283</v>
      </c>
      <c r="T774" s="169">
        <v>0</v>
      </c>
    </row>
    <row r="775" spans="1:20" hidden="1" x14ac:dyDescent="0.2">
      <c r="A775" s="169" t="str">
        <f t="shared" si="13"/>
        <v>627</v>
      </c>
      <c r="B775" s="167" t="str">
        <f>_xlfn.XLOOKUP(I775,Mapping!D:D,Mapping!E:E)</f>
        <v>Kiểm Soát Chất Lượng</v>
      </c>
      <c r="C775" s="167" t="str">
        <f>_xlfn.XLOOKUP(F775,Mapping!A:A,Mapping!F:F)</f>
        <v>BHXH, BHYT, KPCĐ</v>
      </c>
      <c r="D775" s="173">
        <v>46142</v>
      </c>
      <c r="E775" s="169" t="s">
        <v>2070</v>
      </c>
      <c r="F775" s="169" t="s">
        <v>393</v>
      </c>
      <c r="G775" s="169" t="s">
        <v>296</v>
      </c>
      <c r="H775" s="169" t="s">
        <v>411</v>
      </c>
      <c r="I775" s="169" t="s">
        <v>412</v>
      </c>
      <c r="J775" s="169" t="s">
        <v>2037</v>
      </c>
      <c r="K775" s="169" t="s">
        <v>2026</v>
      </c>
      <c r="L775" s="169" t="s">
        <v>631</v>
      </c>
      <c r="M775" s="169" t="s">
        <v>1453</v>
      </c>
      <c r="N775" s="178">
        <v>2820000</v>
      </c>
      <c r="O775" s="169" t="s">
        <v>2071</v>
      </c>
      <c r="P775" s="169" t="s">
        <v>283</v>
      </c>
      <c r="Q775" s="169" t="s">
        <v>284</v>
      </c>
      <c r="R775" s="169" t="s">
        <v>283</v>
      </c>
      <c r="S775" s="169" t="s">
        <v>283</v>
      </c>
      <c r="T775" s="169">
        <v>0</v>
      </c>
    </row>
    <row r="776" spans="1:20" hidden="1" x14ac:dyDescent="0.2">
      <c r="A776" s="169" t="str">
        <f t="shared" si="13"/>
        <v>622</v>
      </c>
      <c r="B776" s="167" t="str">
        <f>_xlfn.XLOOKUP(I776,Mapping!D:D,Mapping!E:E)</f>
        <v>Xưởng Sản Xuất</v>
      </c>
      <c r="C776" s="167" t="str">
        <f>_xlfn.XLOOKUP(F776,Mapping!A:A,Mapping!F:F)</f>
        <v>BHXH, BHYT, KPCĐ</v>
      </c>
      <c r="D776" s="173">
        <v>46142</v>
      </c>
      <c r="E776" s="169" t="s">
        <v>2070</v>
      </c>
      <c r="F776" s="169" t="s">
        <v>425</v>
      </c>
      <c r="G776" s="169" t="s">
        <v>296</v>
      </c>
      <c r="H776" s="169" t="s">
        <v>402</v>
      </c>
      <c r="I776" s="169" t="s">
        <v>403</v>
      </c>
      <c r="J776" s="169" t="s">
        <v>2037</v>
      </c>
      <c r="K776" s="169" t="s">
        <v>2026</v>
      </c>
      <c r="L776" s="169" t="s">
        <v>631</v>
      </c>
      <c r="M776" s="169" t="s">
        <v>1453</v>
      </c>
      <c r="N776" s="178">
        <v>2585000</v>
      </c>
      <c r="O776" s="169" t="s">
        <v>2071</v>
      </c>
      <c r="P776" s="169" t="s">
        <v>283</v>
      </c>
      <c r="Q776" s="169" t="s">
        <v>284</v>
      </c>
      <c r="R776" s="169" t="s">
        <v>283</v>
      </c>
      <c r="S776" s="169" t="s">
        <v>283</v>
      </c>
      <c r="T776" s="169">
        <v>0</v>
      </c>
    </row>
    <row r="777" spans="1:20" hidden="1" x14ac:dyDescent="0.2">
      <c r="A777" s="169" t="str">
        <f t="shared" si="13"/>
        <v>627</v>
      </c>
      <c r="B777" s="167" t="str">
        <f>_xlfn.XLOOKUP(I777,Mapping!D:D,Mapping!E:E)</f>
        <v>Xưởng Sản Xuất</v>
      </c>
      <c r="C777" s="167" t="str">
        <f>_xlfn.XLOOKUP(F777,Mapping!A:A,Mapping!F:F)</f>
        <v>Phụ Cấp</v>
      </c>
      <c r="D777" s="173">
        <v>46140</v>
      </c>
      <c r="E777" s="169" t="s">
        <v>2072</v>
      </c>
      <c r="F777" s="169" t="s">
        <v>375</v>
      </c>
      <c r="G777" s="169" t="s">
        <v>336</v>
      </c>
      <c r="H777" s="169" t="s">
        <v>402</v>
      </c>
      <c r="I777" s="169" t="s">
        <v>403</v>
      </c>
      <c r="J777" s="169" t="s">
        <v>2073</v>
      </c>
      <c r="K777" s="169" t="s">
        <v>741</v>
      </c>
      <c r="L777" s="169" t="s">
        <v>631</v>
      </c>
      <c r="M777" s="169" t="s">
        <v>1453</v>
      </c>
      <c r="N777" s="178">
        <v>137116000</v>
      </c>
      <c r="O777" s="169" t="s">
        <v>2074</v>
      </c>
      <c r="P777" s="169" t="s">
        <v>283</v>
      </c>
      <c r="Q777" s="169" t="s">
        <v>306</v>
      </c>
      <c r="R777" s="169" t="s">
        <v>283</v>
      </c>
      <c r="S777" s="169" t="s">
        <v>283</v>
      </c>
      <c r="T777" s="169">
        <v>0</v>
      </c>
    </row>
    <row r="778" spans="1:20" hidden="1" x14ac:dyDescent="0.2">
      <c r="A778" s="169" t="str">
        <f t="shared" si="13"/>
        <v>627</v>
      </c>
      <c r="B778" s="167" t="str">
        <f>_xlfn.XLOOKUP(I778,Mapping!D:D,Mapping!E:E)</f>
        <v>Kỹ Thuật</v>
      </c>
      <c r="C778" s="167" t="str">
        <f>_xlfn.XLOOKUP(F778,Mapping!A:A,Mapping!F:F)</f>
        <v>Phụ Cấp</v>
      </c>
      <c r="D778" s="173">
        <v>46140</v>
      </c>
      <c r="E778" s="169" t="s">
        <v>2072</v>
      </c>
      <c r="F778" s="169" t="s">
        <v>375</v>
      </c>
      <c r="G778" s="169" t="s">
        <v>336</v>
      </c>
      <c r="H778" s="169" t="s">
        <v>376</v>
      </c>
      <c r="I778" s="169" t="s">
        <v>377</v>
      </c>
      <c r="J778" s="169" t="s">
        <v>2073</v>
      </c>
      <c r="K778" s="169" t="s">
        <v>741</v>
      </c>
      <c r="L778" s="169" t="s">
        <v>631</v>
      </c>
      <c r="M778" s="169" t="s">
        <v>1453</v>
      </c>
      <c r="N778" s="178">
        <v>57232000</v>
      </c>
      <c r="O778" s="169" t="s">
        <v>2074</v>
      </c>
      <c r="P778" s="169" t="s">
        <v>283</v>
      </c>
      <c r="Q778" s="169" t="s">
        <v>306</v>
      </c>
      <c r="R778" s="169" t="s">
        <v>283</v>
      </c>
      <c r="S778" s="169" t="s">
        <v>283</v>
      </c>
      <c r="T778" s="169">
        <v>0</v>
      </c>
    </row>
    <row r="779" spans="1:20" hidden="1" x14ac:dyDescent="0.2">
      <c r="A779" s="169" t="str">
        <f t="shared" si="13"/>
        <v>627</v>
      </c>
      <c r="B779" s="167" t="str">
        <f>_xlfn.XLOOKUP(I779,Mapping!D:D,Mapping!E:E)</f>
        <v>Kiểm Soát Chất Lượng</v>
      </c>
      <c r="C779" s="167" t="str">
        <f>_xlfn.XLOOKUP(F779,Mapping!A:A,Mapping!F:F)</f>
        <v>Phụ Cấp</v>
      </c>
      <c r="D779" s="173">
        <v>46140</v>
      </c>
      <c r="E779" s="169" t="s">
        <v>2072</v>
      </c>
      <c r="F779" s="169" t="s">
        <v>375</v>
      </c>
      <c r="G779" s="169" t="s">
        <v>336</v>
      </c>
      <c r="H779" s="169" t="s">
        <v>411</v>
      </c>
      <c r="I779" s="169" t="s">
        <v>412</v>
      </c>
      <c r="J779" s="169" t="s">
        <v>2073</v>
      </c>
      <c r="K779" s="169" t="s">
        <v>741</v>
      </c>
      <c r="L779" s="169" t="s">
        <v>631</v>
      </c>
      <c r="M779" s="169" t="s">
        <v>1453</v>
      </c>
      <c r="N779" s="178">
        <v>31192000</v>
      </c>
      <c r="O779" s="169" t="s">
        <v>2074</v>
      </c>
      <c r="P779" s="169" t="s">
        <v>283</v>
      </c>
      <c r="Q779" s="169" t="s">
        <v>306</v>
      </c>
      <c r="R779" s="169" t="s">
        <v>283</v>
      </c>
      <c r="S779" s="169" t="s">
        <v>283</v>
      </c>
      <c r="T779" s="169">
        <v>0</v>
      </c>
    </row>
    <row r="780" spans="1:20" hidden="1" x14ac:dyDescent="0.2">
      <c r="A780" s="169" t="str">
        <f t="shared" si="13"/>
        <v>642</v>
      </c>
      <c r="B780" s="167" t="str">
        <f>_xlfn.XLOOKUP(I780,Mapping!D:D,Mapping!E:E)</f>
        <v>Mua Hàng &amp; XNK</v>
      </c>
      <c r="C780" s="167" t="str">
        <f>_xlfn.XLOOKUP(F780,Mapping!A:A,Mapping!F:F)</f>
        <v>Phụ Cấp</v>
      </c>
      <c r="D780" s="173">
        <v>46140</v>
      </c>
      <c r="E780" s="169" t="s">
        <v>2072</v>
      </c>
      <c r="F780" s="169" t="s">
        <v>335</v>
      </c>
      <c r="G780" s="169" t="s">
        <v>336</v>
      </c>
      <c r="H780" s="169" t="s">
        <v>378</v>
      </c>
      <c r="I780" s="169" t="s">
        <v>379</v>
      </c>
      <c r="J780" s="169" t="s">
        <v>2073</v>
      </c>
      <c r="K780" s="169" t="s">
        <v>741</v>
      </c>
      <c r="L780" s="169" t="s">
        <v>631</v>
      </c>
      <c r="M780" s="169" t="s">
        <v>1453</v>
      </c>
      <c r="N780" s="178">
        <v>5488000</v>
      </c>
      <c r="O780" s="169" t="s">
        <v>2074</v>
      </c>
      <c r="P780" s="169" t="s">
        <v>283</v>
      </c>
      <c r="Q780" s="169" t="s">
        <v>306</v>
      </c>
      <c r="R780" s="169" t="s">
        <v>283</v>
      </c>
      <c r="S780" s="169" t="s">
        <v>283</v>
      </c>
      <c r="T780" s="169">
        <v>0</v>
      </c>
    </row>
    <row r="781" spans="1:20" hidden="1" x14ac:dyDescent="0.2">
      <c r="A781" s="169" t="str">
        <f t="shared" si="13"/>
        <v>627</v>
      </c>
      <c r="B781" s="167" t="str">
        <f>_xlfn.XLOOKUP(I781,Mapping!D:D,Mapping!E:E)</f>
        <v>Kỹ Thuật</v>
      </c>
      <c r="C781" s="167" t="str">
        <f>_xlfn.XLOOKUP(F781,Mapping!A:A,Mapping!F:F)</f>
        <v>BHXH, BHYT, KPCĐ</v>
      </c>
      <c r="D781" s="173">
        <v>46142</v>
      </c>
      <c r="E781" s="169" t="s">
        <v>2039</v>
      </c>
      <c r="F781" s="169" t="s">
        <v>393</v>
      </c>
      <c r="G781" s="169" t="s">
        <v>296</v>
      </c>
      <c r="H781" s="169" t="s">
        <v>376</v>
      </c>
      <c r="I781" s="169" t="s">
        <v>377</v>
      </c>
      <c r="J781" s="169" t="s">
        <v>2040</v>
      </c>
      <c r="K781" s="169" t="s">
        <v>2026</v>
      </c>
      <c r="L781" s="169" t="s">
        <v>631</v>
      </c>
      <c r="M781" s="169" t="s">
        <v>1453</v>
      </c>
      <c r="N781" s="178">
        <v>1236600</v>
      </c>
      <c r="O781" s="169" t="s">
        <v>2041</v>
      </c>
      <c r="P781" s="169" t="s">
        <v>283</v>
      </c>
      <c r="Q781" s="169" t="s">
        <v>284</v>
      </c>
      <c r="R781" s="169" t="s">
        <v>283</v>
      </c>
      <c r="S781" s="169" t="s">
        <v>283</v>
      </c>
      <c r="T781" s="169">
        <v>0</v>
      </c>
    </row>
    <row r="782" spans="1:20" hidden="1" x14ac:dyDescent="0.2">
      <c r="A782" s="169" t="str">
        <f t="shared" si="13"/>
        <v>627</v>
      </c>
      <c r="B782" s="167" t="str">
        <f>_xlfn.XLOOKUP(I782,Mapping!D:D,Mapping!E:E)</f>
        <v>Nghiên Cứu &amp; Phát Triển</v>
      </c>
      <c r="C782" s="167" t="str">
        <f>_xlfn.XLOOKUP(F782,Mapping!A:A,Mapping!F:F)</f>
        <v>BHXH, BHYT, KPCĐ</v>
      </c>
      <c r="D782" s="173">
        <v>46142</v>
      </c>
      <c r="E782" s="169" t="s">
        <v>2039</v>
      </c>
      <c r="F782" s="169" t="s">
        <v>393</v>
      </c>
      <c r="G782" s="169" t="s">
        <v>296</v>
      </c>
      <c r="H782" s="169" t="s">
        <v>418</v>
      </c>
      <c r="I782" s="169" t="s">
        <v>419</v>
      </c>
      <c r="J782" s="169" t="s">
        <v>2040</v>
      </c>
      <c r="K782" s="169" t="s">
        <v>2026</v>
      </c>
      <c r="L782" s="169" t="s">
        <v>631</v>
      </c>
      <c r="M782" s="169" t="s">
        <v>1453</v>
      </c>
      <c r="N782" s="178">
        <v>1669500</v>
      </c>
      <c r="O782" s="169" t="s">
        <v>2041</v>
      </c>
      <c r="P782" s="169" t="s">
        <v>283</v>
      </c>
      <c r="Q782" s="169" t="s">
        <v>284</v>
      </c>
      <c r="R782" s="169" t="s">
        <v>283</v>
      </c>
      <c r="S782" s="169" t="s">
        <v>283</v>
      </c>
      <c r="T782" s="169">
        <v>0</v>
      </c>
    </row>
    <row r="783" spans="1:20" hidden="1" x14ac:dyDescent="0.2">
      <c r="A783" s="169" t="str">
        <f t="shared" si="13"/>
        <v>627</v>
      </c>
      <c r="B783" s="167" t="str">
        <f>_xlfn.XLOOKUP(I783,Mapping!D:D,Mapping!E:E)</f>
        <v>Kiểm Soát Chất Lượng</v>
      </c>
      <c r="C783" s="167" t="str">
        <f>_xlfn.XLOOKUP(F783,Mapping!A:A,Mapping!F:F)</f>
        <v>BHXH, BHYT, KPCĐ</v>
      </c>
      <c r="D783" s="173">
        <v>46142</v>
      </c>
      <c r="E783" s="169" t="s">
        <v>2039</v>
      </c>
      <c r="F783" s="169" t="s">
        <v>393</v>
      </c>
      <c r="G783" s="169" t="s">
        <v>296</v>
      </c>
      <c r="H783" s="169" t="s">
        <v>411</v>
      </c>
      <c r="I783" s="169" t="s">
        <v>412</v>
      </c>
      <c r="J783" s="169" t="s">
        <v>2040</v>
      </c>
      <c r="K783" s="169" t="s">
        <v>2026</v>
      </c>
      <c r="L783" s="169" t="s">
        <v>631</v>
      </c>
      <c r="M783" s="169" t="s">
        <v>1453</v>
      </c>
      <c r="N783" s="178">
        <v>340200</v>
      </c>
      <c r="O783" s="169" t="s">
        <v>2041</v>
      </c>
      <c r="P783" s="169" t="s">
        <v>283</v>
      </c>
      <c r="Q783" s="169" t="s">
        <v>284</v>
      </c>
      <c r="R783" s="169" t="s">
        <v>283</v>
      </c>
      <c r="S783" s="169" t="s">
        <v>283</v>
      </c>
      <c r="T783" s="169">
        <v>0</v>
      </c>
    </row>
    <row r="784" spans="1:20" hidden="1" x14ac:dyDescent="0.2">
      <c r="A784" s="169" t="str">
        <f t="shared" si="13"/>
        <v>622</v>
      </c>
      <c r="B784" s="167" t="str">
        <f>_xlfn.XLOOKUP(I784,Mapping!D:D,Mapping!E:E)</f>
        <v>Xưởng Sản Xuất</v>
      </c>
      <c r="C784" s="167" t="str">
        <f>_xlfn.XLOOKUP(F784,Mapping!A:A,Mapping!F:F)</f>
        <v>BHXH, BHYT, KPCĐ</v>
      </c>
      <c r="D784" s="173">
        <v>46142</v>
      </c>
      <c r="E784" s="169" t="s">
        <v>2039</v>
      </c>
      <c r="F784" s="169" t="s">
        <v>425</v>
      </c>
      <c r="G784" s="169" t="s">
        <v>296</v>
      </c>
      <c r="H784" s="169" t="s">
        <v>402</v>
      </c>
      <c r="I784" s="169" t="s">
        <v>403</v>
      </c>
      <c r="J784" s="169" t="s">
        <v>2040</v>
      </c>
      <c r="K784" s="169" t="s">
        <v>2026</v>
      </c>
      <c r="L784" s="169" t="s">
        <v>631</v>
      </c>
      <c r="M784" s="169" t="s">
        <v>1453</v>
      </c>
      <c r="N784" s="178">
        <v>8155305</v>
      </c>
      <c r="O784" s="169" t="s">
        <v>2041</v>
      </c>
      <c r="P784" s="169" t="s">
        <v>283</v>
      </c>
      <c r="Q784" s="169" t="s">
        <v>284</v>
      </c>
      <c r="R784" s="169" t="s">
        <v>283</v>
      </c>
      <c r="S784" s="169" t="s">
        <v>283</v>
      </c>
      <c r="T784" s="169">
        <v>0</v>
      </c>
    </row>
    <row r="785" spans="1:20" hidden="1" x14ac:dyDescent="0.2">
      <c r="A785" s="169" t="str">
        <f t="shared" si="13"/>
        <v>622</v>
      </c>
      <c r="B785" s="167" t="str">
        <f>_xlfn.XLOOKUP(I785,Mapping!D:D,Mapping!E:E)</f>
        <v>Xưởng Sản Xuất</v>
      </c>
      <c r="C785" s="167" t="str">
        <f>_xlfn.XLOOKUP(F785,Mapping!A:A,Mapping!F:F)</f>
        <v>Phụ Cấp</v>
      </c>
      <c r="D785" s="173">
        <v>46142</v>
      </c>
      <c r="E785" s="169" t="s">
        <v>2082</v>
      </c>
      <c r="F785" s="169" t="s">
        <v>414</v>
      </c>
      <c r="G785" s="169" t="s">
        <v>415</v>
      </c>
      <c r="H785" s="169" t="s">
        <v>402</v>
      </c>
      <c r="I785" s="169" t="s">
        <v>403</v>
      </c>
      <c r="J785" s="169" t="s">
        <v>2290</v>
      </c>
      <c r="K785" s="169" t="s">
        <v>2084</v>
      </c>
      <c r="L785" s="169" t="s">
        <v>631</v>
      </c>
      <c r="M785" s="169" t="s">
        <v>1453</v>
      </c>
      <c r="N785" s="178">
        <v>48134908</v>
      </c>
      <c r="O785" s="169" t="s">
        <v>2085</v>
      </c>
      <c r="P785" s="169" t="s">
        <v>283</v>
      </c>
      <c r="Q785" s="169" t="s">
        <v>306</v>
      </c>
      <c r="R785" s="169" t="s">
        <v>283</v>
      </c>
      <c r="S785" s="169" t="s">
        <v>283</v>
      </c>
      <c r="T785" s="169">
        <v>0</v>
      </c>
    </row>
    <row r="786" spans="1:20" hidden="1" x14ac:dyDescent="0.2">
      <c r="A786" s="169" t="str">
        <f t="shared" si="13"/>
        <v>627</v>
      </c>
      <c r="B786" s="167" t="str">
        <f>_xlfn.XLOOKUP(I786,Mapping!D:D,Mapping!E:E)</f>
        <v>Kỹ Thuật</v>
      </c>
      <c r="C786" s="167" t="str">
        <f>_xlfn.XLOOKUP(F786,Mapping!A:A,Mapping!F:F)</f>
        <v>Phụ Cấp</v>
      </c>
      <c r="D786" s="173">
        <v>46142</v>
      </c>
      <c r="E786" s="169" t="s">
        <v>2082</v>
      </c>
      <c r="F786" s="169" t="s">
        <v>375</v>
      </c>
      <c r="G786" s="169" t="s">
        <v>336</v>
      </c>
      <c r="H786" s="169" t="s">
        <v>376</v>
      </c>
      <c r="I786" s="169" t="s">
        <v>377</v>
      </c>
      <c r="J786" s="169" t="s">
        <v>2291</v>
      </c>
      <c r="K786" s="169" t="s">
        <v>2084</v>
      </c>
      <c r="L786" s="169" t="s">
        <v>631</v>
      </c>
      <c r="M786" s="169" t="s">
        <v>1453</v>
      </c>
      <c r="N786" s="178">
        <v>18631464</v>
      </c>
      <c r="O786" s="169" t="s">
        <v>2085</v>
      </c>
      <c r="P786" s="169" t="s">
        <v>283</v>
      </c>
      <c r="Q786" s="169" t="s">
        <v>306</v>
      </c>
      <c r="R786" s="169" t="s">
        <v>283</v>
      </c>
      <c r="S786" s="169" t="s">
        <v>283</v>
      </c>
      <c r="T786" s="169">
        <v>0</v>
      </c>
    </row>
    <row r="787" spans="1:20" hidden="1" x14ac:dyDescent="0.2">
      <c r="A787" s="169" t="str">
        <f t="shared" si="13"/>
        <v>627</v>
      </c>
      <c r="B787" s="167" t="str">
        <f>_xlfn.XLOOKUP(I787,Mapping!D:D,Mapping!E:E)</f>
        <v>Kiểm Soát Chất Lượng</v>
      </c>
      <c r="C787" s="167" t="str">
        <f>_xlfn.XLOOKUP(F787,Mapping!A:A,Mapping!F:F)</f>
        <v>Phụ Cấp</v>
      </c>
      <c r="D787" s="173">
        <v>46142</v>
      </c>
      <c r="E787" s="169" t="s">
        <v>2082</v>
      </c>
      <c r="F787" s="169" t="s">
        <v>375</v>
      </c>
      <c r="G787" s="169" t="s">
        <v>336</v>
      </c>
      <c r="H787" s="169" t="s">
        <v>411</v>
      </c>
      <c r="I787" s="169" t="s">
        <v>412</v>
      </c>
      <c r="J787" s="169" t="s">
        <v>2292</v>
      </c>
      <c r="K787" s="169" t="s">
        <v>2084</v>
      </c>
      <c r="L787" s="169" t="s">
        <v>631</v>
      </c>
      <c r="M787" s="169" t="s">
        <v>1453</v>
      </c>
      <c r="N787" s="178">
        <v>8741835</v>
      </c>
      <c r="O787" s="169" t="s">
        <v>2085</v>
      </c>
      <c r="P787" s="169" t="s">
        <v>283</v>
      </c>
      <c r="Q787" s="169" t="s">
        <v>306</v>
      </c>
      <c r="R787" s="169" t="s">
        <v>283</v>
      </c>
      <c r="S787" s="169" t="s">
        <v>283</v>
      </c>
      <c r="T787" s="169">
        <v>0</v>
      </c>
    </row>
    <row r="788" spans="1:20" hidden="1" x14ac:dyDescent="0.2">
      <c r="A788" s="169" t="str">
        <f t="shared" si="13"/>
        <v>622</v>
      </c>
      <c r="B788" s="167" t="str">
        <f>_xlfn.XLOOKUP(I788,Mapping!D:D,Mapping!E:E)</f>
        <v>Xưởng Sản Xuất</v>
      </c>
      <c r="C788" s="167" t="str">
        <f>_xlfn.XLOOKUP(F788,Mapping!A:A,Mapping!F:F)</f>
        <v>Lương Chính +T13</v>
      </c>
      <c r="D788" s="173">
        <v>46141</v>
      </c>
      <c r="E788" s="169" t="s">
        <v>2293</v>
      </c>
      <c r="F788" s="169" t="s">
        <v>400</v>
      </c>
      <c r="G788" s="169" t="s">
        <v>401</v>
      </c>
      <c r="H788" s="169" t="s">
        <v>402</v>
      </c>
      <c r="I788" s="169" t="s">
        <v>403</v>
      </c>
      <c r="J788" s="169" t="s">
        <v>2294</v>
      </c>
      <c r="K788" s="169" t="s">
        <v>405</v>
      </c>
      <c r="L788" s="169" t="s">
        <v>631</v>
      </c>
      <c r="M788" s="169" t="s">
        <v>1453</v>
      </c>
      <c r="N788" s="178">
        <v>116937500</v>
      </c>
      <c r="O788" s="169" t="s">
        <v>2295</v>
      </c>
      <c r="P788" s="169" t="s">
        <v>283</v>
      </c>
      <c r="Q788" s="169" t="s">
        <v>306</v>
      </c>
      <c r="R788" s="169" t="s">
        <v>283</v>
      </c>
      <c r="S788" s="169" t="s">
        <v>283</v>
      </c>
      <c r="T788" s="169">
        <v>0</v>
      </c>
    </row>
    <row r="789" spans="1:20" hidden="1" x14ac:dyDescent="0.2">
      <c r="A789" s="169" t="str">
        <f t="shared" si="13"/>
        <v>622</v>
      </c>
      <c r="B789" s="167" t="str">
        <f>_xlfn.XLOOKUP(I789,Mapping!D:D,Mapping!E:E)</f>
        <v>Xưởng Sản Xuất</v>
      </c>
      <c r="C789" s="167" t="str">
        <f>_xlfn.XLOOKUP(F789,Mapping!A:A,Mapping!F:F)</f>
        <v>Lương Chính +T13</v>
      </c>
      <c r="D789" s="173">
        <v>46141</v>
      </c>
      <c r="E789" s="169" t="s">
        <v>2086</v>
      </c>
      <c r="F789" s="169" t="s">
        <v>400</v>
      </c>
      <c r="G789" s="169" t="s">
        <v>401</v>
      </c>
      <c r="H789" s="169" t="s">
        <v>402</v>
      </c>
      <c r="I789" s="169" t="s">
        <v>403</v>
      </c>
      <c r="J789" s="169" t="s">
        <v>2087</v>
      </c>
      <c r="K789" s="169" t="s">
        <v>405</v>
      </c>
      <c r="L789" s="169" t="s">
        <v>631</v>
      </c>
      <c r="M789" s="169" t="s">
        <v>1453</v>
      </c>
      <c r="N789" s="178">
        <v>106426220</v>
      </c>
      <c r="O789" s="169" t="s">
        <v>2088</v>
      </c>
      <c r="P789" s="169" t="s">
        <v>283</v>
      </c>
      <c r="Q789" s="169" t="s">
        <v>306</v>
      </c>
      <c r="R789" s="169" t="s">
        <v>283</v>
      </c>
      <c r="S789" s="169" t="s">
        <v>283</v>
      </c>
      <c r="T789" s="169">
        <v>0</v>
      </c>
    </row>
    <row r="790" spans="1:20" hidden="1" x14ac:dyDescent="0.2">
      <c r="A790" s="169" t="str">
        <f t="shared" si="13"/>
        <v>622</v>
      </c>
      <c r="B790" s="167" t="str">
        <f>_xlfn.XLOOKUP(I790,Mapping!D:D,Mapping!E:E)</f>
        <v>Xưởng Sản Xuất</v>
      </c>
      <c r="C790" s="167" t="str">
        <f>_xlfn.XLOOKUP(F790,Mapping!A:A,Mapping!F:F)</f>
        <v>Lương Chính +T13</v>
      </c>
      <c r="D790" s="173">
        <v>46141</v>
      </c>
      <c r="E790" s="169" t="s">
        <v>2296</v>
      </c>
      <c r="F790" s="169" t="s">
        <v>400</v>
      </c>
      <c r="G790" s="169" t="s">
        <v>401</v>
      </c>
      <c r="H790" s="169" t="s">
        <v>402</v>
      </c>
      <c r="I790" s="169" t="s">
        <v>403</v>
      </c>
      <c r="J790" s="169" t="s">
        <v>2297</v>
      </c>
      <c r="K790" s="169" t="s">
        <v>405</v>
      </c>
      <c r="L790" s="169" t="s">
        <v>631</v>
      </c>
      <c r="M790" s="169" t="s">
        <v>1453</v>
      </c>
      <c r="N790" s="178">
        <v>24700896</v>
      </c>
      <c r="O790" s="169" t="s">
        <v>2298</v>
      </c>
      <c r="P790" s="169" t="s">
        <v>283</v>
      </c>
      <c r="Q790" s="169" t="s">
        <v>306</v>
      </c>
      <c r="R790" s="169" t="s">
        <v>283</v>
      </c>
      <c r="S790" s="169" t="s">
        <v>283</v>
      </c>
      <c r="T790" s="169">
        <v>0</v>
      </c>
    </row>
    <row r="791" spans="1:20" hidden="1" x14ac:dyDescent="0.2">
      <c r="A791" s="169" t="str">
        <f t="shared" si="13"/>
        <v>622</v>
      </c>
      <c r="B791" s="167" t="str">
        <f>_xlfn.XLOOKUP(I791,Mapping!D:D,Mapping!E:E)</f>
        <v>Xưởng Sản Xuất</v>
      </c>
      <c r="C791" s="167" t="str">
        <f>_xlfn.XLOOKUP(F791,Mapping!A:A,Mapping!F:F)</f>
        <v>Lương Chính +T13</v>
      </c>
      <c r="D791" s="173">
        <v>46141</v>
      </c>
      <c r="E791" s="169" t="s">
        <v>2299</v>
      </c>
      <c r="F791" s="169" t="s">
        <v>400</v>
      </c>
      <c r="G791" s="169" t="s">
        <v>401</v>
      </c>
      <c r="H791" s="169" t="s">
        <v>402</v>
      </c>
      <c r="I791" s="169" t="s">
        <v>403</v>
      </c>
      <c r="J791" s="169" t="s">
        <v>2300</v>
      </c>
      <c r="K791" s="169" t="s">
        <v>405</v>
      </c>
      <c r="L791" s="169" t="s">
        <v>631</v>
      </c>
      <c r="M791" s="169" t="s">
        <v>1453</v>
      </c>
      <c r="N791" s="178">
        <v>47648333</v>
      </c>
      <c r="O791" s="169" t="s">
        <v>2301</v>
      </c>
      <c r="P791" s="169" t="s">
        <v>283</v>
      </c>
      <c r="Q791" s="169" t="s">
        <v>306</v>
      </c>
      <c r="R791" s="169" t="s">
        <v>283</v>
      </c>
      <c r="S791" s="169" t="s">
        <v>283</v>
      </c>
      <c r="T791" s="169">
        <v>0</v>
      </c>
    </row>
    <row r="792" spans="1:20" hidden="1" x14ac:dyDescent="0.2">
      <c r="A792" s="169" t="str">
        <f t="shared" si="13"/>
        <v>622</v>
      </c>
      <c r="B792" s="167" t="str">
        <f>_xlfn.XLOOKUP(I792,Mapping!D:D,Mapping!E:E)</f>
        <v>Xưởng Sản Xuất</v>
      </c>
      <c r="C792" s="167" t="str">
        <f>_xlfn.XLOOKUP(F792,Mapping!A:A,Mapping!F:F)</f>
        <v>Lương Chính +T13</v>
      </c>
      <c r="D792" s="173">
        <v>46141</v>
      </c>
      <c r="E792" s="169" t="s">
        <v>2302</v>
      </c>
      <c r="F792" s="169" t="s">
        <v>400</v>
      </c>
      <c r="G792" s="169" t="s">
        <v>401</v>
      </c>
      <c r="H792" s="169" t="s">
        <v>402</v>
      </c>
      <c r="I792" s="169" t="s">
        <v>403</v>
      </c>
      <c r="J792" s="169" t="s">
        <v>2303</v>
      </c>
      <c r="K792" s="169" t="s">
        <v>405</v>
      </c>
      <c r="L792" s="169" t="s">
        <v>631</v>
      </c>
      <c r="M792" s="169" t="s">
        <v>1453</v>
      </c>
      <c r="N792" s="178">
        <v>15100000</v>
      </c>
      <c r="O792" s="169" t="s">
        <v>2304</v>
      </c>
      <c r="P792" s="169" t="s">
        <v>283</v>
      </c>
      <c r="Q792" s="169" t="s">
        <v>306</v>
      </c>
      <c r="R792" s="169" t="s">
        <v>283</v>
      </c>
      <c r="S792" s="169" t="s">
        <v>283</v>
      </c>
      <c r="T792" s="169">
        <v>0</v>
      </c>
    </row>
    <row r="793" spans="1:20" hidden="1" x14ac:dyDescent="0.2">
      <c r="A793" s="169" t="str">
        <f t="shared" si="13"/>
        <v>622</v>
      </c>
      <c r="B793" s="167" t="str">
        <f>_xlfn.XLOOKUP(I793,Mapping!D:D,Mapping!E:E)</f>
        <v>Xưởng Sản Xuất</v>
      </c>
      <c r="C793" s="167" t="str">
        <f>_xlfn.XLOOKUP(F793,Mapping!A:A,Mapping!F:F)</f>
        <v>Phụ Cấp</v>
      </c>
      <c r="D793" s="173">
        <v>46142</v>
      </c>
      <c r="E793" s="169" t="s">
        <v>2305</v>
      </c>
      <c r="F793" s="169" t="s">
        <v>414</v>
      </c>
      <c r="G793" s="169" t="s">
        <v>415</v>
      </c>
      <c r="H793" s="169" t="s">
        <v>402</v>
      </c>
      <c r="I793" s="169" t="s">
        <v>403</v>
      </c>
      <c r="J793" s="169" t="s">
        <v>416</v>
      </c>
      <c r="K793" s="169" t="s">
        <v>416</v>
      </c>
      <c r="L793" s="169" t="s">
        <v>631</v>
      </c>
      <c r="M793" s="169" t="s">
        <v>1453</v>
      </c>
      <c r="N793" s="178">
        <v>116816000</v>
      </c>
      <c r="O793" s="169" t="s">
        <v>2306</v>
      </c>
      <c r="P793" s="169" t="s">
        <v>283</v>
      </c>
      <c r="Q793" s="169" t="s">
        <v>348</v>
      </c>
      <c r="R793" s="169" t="s">
        <v>283</v>
      </c>
      <c r="S793" s="169" t="s">
        <v>283</v>
      </c>
      <c r="T793" s="169">
        <v>0</v>
      </c>
    </row>
    <row r="794" spans="1:20" hidden="1" x14ac:dyDescent="0.2">
      <c r="A794" s="169" t="str">
        <f t="shared" si="13"/>
        <v>627</v>
      </c>
      <c r="B794" s="167" t="str">
        <f>_xlfn.XLOOKUP(I794,Mapping!D:D,Mapping!E:E)</f>
        <v>Xưởng Sản Xuất</v>
      </c>
      <c r="C794" s="167" t="str">
        <f>_xlfn.XLOOKUP(F794,Mapping!A:A,Mapping!F:F)</f>
        <v>Phụ Cấp</v>
      </c>
      <c r="D794" s="173">
        <v>46142</v>
      </c>
      <c r="E794" s="169" t="s">
        <v>2305</v>
      </c>
      <c r="F794" s="169" t="s">
        <v>375</v>
      </c>
      <c r="G794" s="169" t="s">
        <v>336</v>
      </c>
      <c r="H794" s="169" t="s">
        <v>402</v>
      </c>
      <c r="I794" s="169" t="s">
        <v>403</v>
      </c>
      <c r="J794" s="169" t="s">
        <v>416</v>
      </c>
      <c r="K794" s="169" t="s">
        <v>416</v>
      </c>
      <c r="L794" s="169" t="s">
        <v>631</v>
      </c>
      <c r="M794" s="169" t="s">
        <v>1453</v>
      </c>
      <c r="N794" s="178">
        <v>-116816000</v>
      </c>
      <c r="O794" s="169" t="s">
        <v>2306</v>
      </c>
      <c r="P794" s="169" t="s">
        <v>283</v>
      </c>
      <c r="Q794" s="169" t="s">
        <v>348</v>
      </c>
      <c r="R794" s="169" t="s">
        <v>283</v>
      </c>
      <c r="S794" s="169" t="s">
        <v>283</v>
      </c>
      <c r="T794" s="169">
        <v>0</v>
      </c>
    </row>
    <row r="795" spans="1:20" hidden="1" x14ac:dyDescent="0.2">
      <c r="A795" s="169" t="str">
        <f t="shared" si="13"/>
        <v>622</v>
      </c>
      <c r="B795" s="167" t="str">
        <f>_xlfn.XLOOKUP(I795,Mapping!D:D,Mapping!E:E)</f>
        <v>Xưởng Sản Xuất</v>
      </c>
      <c r="C795" s="167" t="str">
        <f>_xlfn.XLOOKUP(F795,Mapping!A:A,Mapping!F:F)</f>
        <v>Lương Chính +T13</v>
      </c>
      <c r="D795" s="173">
        <v>46142</v>
      </c>
      <c r="E795" s="169" t="s">
        <v>2307</v>
      </c>
      <c r="F795" s="169" t="s">
        <v>400</v>
      </c>
      <c r="G795" s="169" t="s">
        <v>401</v>
      </c>
      <c r="H795" s="169" t="s">
        <v>430</v>
      </c>
      <c r="I795" s="169" t="s">
        <v>431</v>
      </c>
      <c r="J795" s="169" t="s">
        <v>2025</v>
      </c>
      <c r="K795" s="169" t="s">
        <v>2026</v>
      </c>
      <c r="L795" s="169" t="s">
        <v>631</v>
      </c>
      <c r="M795" s="169" t="s">
        <v>1453</v>
      </c>
      <c r="N795" s="178">
        <v>305978575</v>
      </c>
      <c r="O795" s="169" t="s">
        <v>2308</v>
      </c>
      <c r="P795" s="169" t="s">
        <v>283</v>
      </c>
      <c r="Q795" s="169" t="s">
        <v>284</v>
      </c>
      <c r="R795" s="169" t="s">
        <v>283</v>
      </c>
      <c r="S795" s="169" t="s">
        <v>283</v>
      </c>
      <c r="T795" s="169">
        <v>0</v>
      </c>
    </row>
    <row r="796" spans="1:20" hidden="1" x14ac:dyDescent="0.2">
      <c r="A796" s="169" t="str">
        <f t="shared" si="13"/>
        <v>622</v>
      </c>
      <c r="B796" s="167" t="str">
        <f>_xlfn.XLOOKUP(I796,Mapping!D:D,Mapping!E:E)</f>
        <v>Xưởng Sản Xuất</v>
      </c>
      <c r="C796" s="167" t="str">
        <f>_xlfn.XLOOKUP(F796,Mapping!A:A,Mapping!F:F)</f>
        <v>Lương Chính +T13</v>
      </c>
      <c r="D796" s="173">
        <v>46142</v>
      </c>
      <c r="E796" s="169" t="s">
        <v>2309</v>
      </c>
      <c r="F796" s="169" t="s">
        <v>420</v>
      </c>
      <c r="G796" s="169" t="s">
        <v>286</v>
      </c>
      <c r="H796" s="169" t="s">
        <v>430</v>
      </c>
      <c r="I796" s="169" t="s">
        <v>431</v>
      </c>
      <c r="J796" s="169" t="s">
        <v>2025</v>
      </c>
      <c r="K796" s="169" t="s">
        <v>2026</v>
      </c>
      <c r="L796" s="169" t="s">
        <v>631</v>
      </c>
      <c r="M796" s="169" t="s">
        <v>1453</v>
      </c>
      <c r="N796" s="178">
        <v>4108784</v>
      </c>
      <c r="O796" s="169" t="s">
        <v>2310</v>
      </c>
      <c r="P796" s="169" t="s">
        <v>283</v>
      </c>
      <c r="Q796" s="169" t="s">
        <v>284</v>
      </c>
      <c r="R796" s="169" t="s">
        <v>283</v>
      </c>
      <c r="S796" s="169" t="s">
        <v>283</v>
      </c>
      <c r="T796" s="169">
        <v>0</v>
      </c>
    </row>
    <row r="797" spans="1:20" hidden="1" x14ac:dyDescent="0.2">
      <c r="A797" s="169" t="str">
        <f t="shared" si="13"/>
        <v>622</v>
      </c>
      <c r="B797" s="167" t="str">
        <f>_xlfn.XLOOKUP(I797,Mapping!D:D,Mapping!E:E)</f>
        <v>Xưởng Sản Xuất</v>
      </c>
      <c r="C797" s="167" t="str">
        <f>_xlfn.XLOOKUP(F797,Mapping!A:A,Mapping!F:F)</f>
        <v>Phụ Cấp</v>
      </c>
      <c r="D797" s="173">
        <v>46142</v>
      </c>
      <c r="E797" s="169" t="s">
        <v>2311</v>
      </c>
      <c r="F797" s="169" t="s">
        <v>421</v>
      </c>
      <c r="G797" s="169" t="s">
        <v>341</v>
      </c>
      <c r="H797" s="169" t="s">
        <v>430</v>
      </c>
      <c r="I797" s="169" t="s">
        <v>431</v>
      </c>
      <c r="J797" s="169" t="s">
        <v>2025</v>
      </c>
      <c r="K797" s="169" t="s">
        <v>2026</v>
      </c>
      <c r="L797" s="169" t="s">
        <v>631</v>
      </c>
      <c r="M797" s="169" t="s">
        <v>1453</v>
      </c>
      <c r="N797" s="178">
        <v>26589453</v>
      </c>
      <c r="O797" s="169" t="s">
        <v>2312</v>
      </c>
      <c r="P797" s="169" t="s">
        <v>283</v>
      </c>
      <c r="Q797" s="169" t="s">
        <v>284</v>
      </c>
      <c r="R797" s="169" t="s">
        <v>283</v>
      </c>
      <c r="S797" s="169" t="s">
        <v>283</v>
      </c>
      <c r="T797" s="169">
        <v>0</v>
      </c>
    </row>
    <row r="798" spans="1:20" hidden="1" x14ac:dyDescent="0.2">
      <c r="A798" s="169" t="str">
        <f t="shared" si="13"/>
        <v>622</v>
      </c>
      <c r="B798" s="167" t="str">
        <f>_xlfn.XLOOKUP(I798,Mapping!D:D,Mapping!E:E)</f>
        <v>Xưởng Sản Xuất</v>
      </c>
      <c r="C798" s="167" t="str">
        <f>_xlfn.XLOOKUP(F798,Mapping!A:A,Mapping!F:F)</f>
        <v>Lương Ngoài giờ</v>
      </c>
      <c r="D798" s="173">
        <v>46142</v>
      </c>
      <c r="E798" s="169" t="s">
        <v>2313</v>
      </c>
      <c r="F798" s="169" t="s">
        <v>422</v>
      </c>
      <c r="G798" s="169" t="s">
        <v>423</v>
      </c>
      <c r="H798" s="169" t="s">
        <v>430</v>
      </c>
      <c r="I798" s="169" t="s">
        <v>431</v>
      </c>
      <c r="J798" s="169" t="s">
        <v>2025</v>
      </c>
      <c r="K798" s="169" t="s">
        <v>2026</v>
      </c>
      <c r="L798" s="169" t="s">
        <v>631</v>
      </c>
      <c r="M798" s="169" t="s">
        <v>1453</v>
      </c>
      <c r="N798" s="178">
        <v>100401298</v>
      </c>
      <c r="O798" s="169" t="s">
        <v>2314</v>
      </c>
      <c r="P798" s="169" t="s">
        <v>283</v>
      </c>
      <c r="Q798" s="169" t="s">
        <v>284</v>
      </c>
      <c r="R798" s="169" t="s">
        <v>283</v>
      </c>
      <c r="S798" s="169" t="s">
        <v>283</v>
      </c>
      <c r="T798" s="169">
        <v>0</v>
      </c>
    </row>
    <row r="799" spans="1:20" hidden="1" x14ac:dyDescent="0.2">
      <c r="A799" s="169" t="str">
        <f t="shared" si="13"/>
        <v>622</v>
      </c>
      <c r="B799" s="167" t="str">
        <f>_xlfn.XLOOKUP(I799,Mapping!D:D,Mapping!E:E)</f>
        <v>Xưởng Sản Xuất</v>
      </c>
      <c r="C799" s="167" t="str">
        <f>_xlfn.XLOOKUP(F799,Mapping!A:A,Mapping!F:F)</f>
        <v>Phụ Cấp</v>
      </c>
      <c r="D799" s="173">
        <v>46142</v>
      </c>
      <c r="E799" s="169" t="s">
        <v>2315</v>
      </c>
      <c r="F799" s="169" t="s">
        <v>414</v>
      </c>
      <c r="G799" s="169" t="s">
        <v>415</v>
      </c>
      <c r="H799" s="169" t="s">
        <v>430</v>
      </c>
      <c r="I799" s="169" t="s">
        <v>431</v>
      </c>
      <c r="J799" s="169" t="s">
        <v>2025</v>
      </c>
      <c r="K799" s="169" t="s">
        <v>2026</v>
      </c>
      <c r="L799" s="169" t="s">
        <v>631</v>
      </c>
      <c r="M799" s="169" t="s">
        <v>1453</v>
      </c>
      <c r="N799" s="178">
        <v>350000</v>
      </c>
      <c r="O799" s="169" t="s">
        <v>2316</v>
      </c>
      <c r="P799" s="169" t="s">
        <v>283</v>
      </c>
      <c r="Q799" s="169" t="s">
        <v>284</v>
      </c>
      <c r="R799" s="169" t="s">
        <v>283</v>
      </c>
      <c r="S799" s="169" t="s">
        <v>283</v>
      </c>
      <c r="T799" s="169">
        <v>0</v>
      </c>
    </row>
    <row r="800" spans="1:20" hidden="1" x14ac:dyDescent="0.2">
      <c r="A800" s="169" t="str">
        <f t="shared" si="13"/>
        <v>627</v>
      </c>
      <c r="B800" s="167" t="str">
        <f>_xlfn.XLOOKUP(I800,Mapping!D:D,Mapping!E:E)</f>
        <v>Xưởng Sản Xuất</v>
      </c>
      <c r="C800" s="167" t="str">
        <f>_xlfn.XLOOKUP(F800,Mapping!A:A,Mapping!F:F)</f>
        <v>Phụ Cấp</v>
      </c>
      <c r="D800" s="173">
        <v>46142</v>
      </c>
      <c r="E800" s="169" t="s">
        <v>2317</v>
      </c>
      <c r="F800" s="169" t="s">
        <v>386</v>
      </c>
      <c r="G800" s="169" t="s">
        <v>341</v>
      </c>
      <c r="H800" s="169" t="s">
        <v>430</v>
      </c>
      <c r="I800" s="169" t="s">
        <v>431</v>
      </c>
      <c r="J800" s="169" t="s">
        <v>2025</v>
      </c>
      <c r="K800" s="169" t="s">
        <v>2026</v>
      </c>
      <c r="L800" s="169" t="s">
        <v>631</v>
      </c>
      <c r="M800" s="169" t="s">
        <v>1453</v>
      </c>
      <c r="N800" s="178">
        <v>9917601</v>
      </c>
      <c r="O800" s="169" t="s">
        <v>2318</v>
      </c>
      <c r="P800" s="169" t="s">
        <v>283</v>
      </c>
      <c r="Q800" s="169" t="s">
        <v>284</v>
      </c>
      <c r="R800" s="169" t="s">
        <v>283</v>
      </c>
      <c r="S800" s="169" t="s">
        <v>283</v>
      </c>
      <c r="T800" s="169">
        <v>0</v>
      </c>
    </row>
    <row r="801" spans="1:20" hidden="1" x14ac:dyDescent="0.2">
      <c r="A801" s="169" t="str">
        <f t="shared" si="13"/>
        <v>627</v>
      </c>
      <c r="B801" s="167" t="str">
        <f>_xlfn.XLOOKUP(I801,Mapping!D:D,Mapping!E:E)</f>
        <v>Xưởng Sản Xuất</v>
      </c>
      <c r="C801" s="167" t="str">
        <f>_xlfn.XLOOKUP(F801,Mapping!A:A,Mapping!F:F)</f>
        <v>Lương Chính +T13</v>
      </c>
      <c r="D801" s="173">
        <v>46142</v>
      </c>
      <c r="E801" s="169" t="s">
        <v>2319</v>
      </c>
      <c r="F801" s="169" t="s">
        <v>387</v>
      </c>
      <c r="G801" s="169" t="s">
        <v>275</v>
      </c>
      <c r="H801" s="169" t="s">
        <v>430</v>
      </c>
      <c r="I801" s="169" t="s">
        <v>431</v>
      </c>
      <c r="J801" s="169" t="s">
        <v>2025</v>
      </c>
      <c r="K801" s="169" t="s">
        <v>2026</v>
      </c>
      <c r="L801" s="169" t="s">
        <v>631</v>
      </c>
      <c r="M801" s="169" t="s">
        <v>1453</v>
      </c>
      <c r="N801" s="178">
        <v>186070353</v>
      </c>
      <c r="O801" s="169" t="s">
        <v>2320</v>
      </c>
      <c r="P801" s="169" t="s">
        <v>283</v>
      </c>
      <c r="Q801" s="169" t="s">
        <v>284</v>
      </c>
      <c r="R801" s="169" t="s">
        <v>283</v>
      </c>
      <c r="S801" s="169" t="s">
        <v>283</v>
      </c>
      <c r="T801" s="169">
        <v>0</v>
      </c>
    </row>
    <row r="802" spans="1:20" hidden="1" x14ac:dyDescent="0.2">
      <c r="A802" s="169" t="str">
        <f t="shared" si="13"/>
        <v>627</v>
      </c>
      <c r="B802" s="167" t="str">
        <f>_xlfn.XLOOKUP(I802,Mapping!D:D,Mapping!E:E)</f>
        <v>Xưởng Sản Xuất</v>
      </c>
      <c r="C802" s="167" t="str">
        <f>_xlfn.XLOOKUP(F802,Mapping!A:A,Mapping!F:F)</f>
        <v>Lương Chính +T13</v>
      </c>
      <c r="D802" s="173">
        <v>46142</v>
      </c>
      <c r="E802" s="169" t="s">
        <v>2321</v>
      </c>
      <c r="F802" s="169" t="s">
        <v>388</v>
      </c>
      <c r="G802" s="169" t="s">
        <v>286</v>
      </c>
      <c r="H802" s="169" t="s">
        <v>430</v>
      </c>
      <c r="I802" s="169" t="s">
        <v>431</v>
      </c>
      <c r="J802" s="169" t="s">
        <v>2025</v>
      </c>
      <c r="K802" s="169" t="s">
        <v>2026</v>
      </c>
      <c r="L802" s="169" t="s">
        <v>631</v>
      </c>
      <c r="M802" s="169" t="s">
        <v>1453</v>
      </c>
      <c r="N802" s="178">
        <v>1888384</v>
      </c>
      <c r="O802" s="169" t="s">
        <v>2322</v>
      </c>
      <c r="P802" s="169" t="s">
        <v>283</v>
      </c>
      <c r="Q802" s="169" t="s">
        <v>284</v>
      </c>
      <c r="R802" s="169" t="s">
        <v>283</v>
      </c>
      <c r="S802" s="169" t="s">
        <v>283</v>
      </c>
      <c r="T802" s="169">
        <v>0</v>
      </c>
    </row>
    <row r="803" spans="1:20" hidden="1" x14ac:dyDescent="0.2">
      <c r="A803" s="169" t="str">
        <f t="shared" si="13"/>
        <v>627</v>
      </c>
      <c r="B803" s="167" t="str">
        <f>_xlfn.XLOOKUP(I803,Mapping!D:D,Mapping!E:E)</f>
        <v>Xưởng Sản Xuất</v>
      </c>
      <c r="C803" s="167" t="str">
        <f>_xlfn.XLOOKUP(F803,Mapping!A:A,Mapping!F:F)</f>
        <v>Lương Ngoài giờ</v>
      </c>
      <c r="D803" s="173">
        <v>46142</v>
      </c>
      <c r="E803" s="169" t="s">
        <v>2323</v>
      </c>
      <c r="F803" s="169" t="s">
        <v>389</v>
      </c>
      <c r="G803" s="169" t="s">
        <v>390</v>
      </c>
      <c r="H803" s="169" t="s">
        <v>430</v>
      </c>
      <c r="I803" s="169" t="s">
        <v>431</v>
      </c>
      <c r="J803" s="169" t="s">
        <v>2025</v>
      </c>
      <c r="K803" s="169" t="s">
        <v>2026</v>
      </c>
      <c r="L803" s="169" t="s">
        <v>631</v>
      </c>
      <c r="M803" s="169" t="s">
        <v>1453</v>
      </c>
      <c r="N803" s="178">
        <v>23059329</v>
      </c>
      <c r="O803" s="169" t="s">
        <v>2324</v>
      </c>
      <c r="P803" s="169" t="s">
        <v>283</v>
      </c>
      <c r="Q803" s="169" t="s">
        <v>284</v>
      </c>
      <c r="R803" s="169" t="s">
        <v>283</v>
      </c>
      <c r="S803" s="169" t="s">
        <v>283</v>
      </c>
      <c r="T803" s="169">
        <v>0</v>
      </c>
    </row>
    <row r="804" spans="1:20" hidden="1" x14ac:dyDescent="0.2">
      <c r="A804" s="169" t="str">
        <f t="shared" si="13"/>
        <v>622</v>
      </c>
      <c r="B804" s="167" t="str">
        <f>_xlfn.XLOOKUP(I804,Mapping!D:D,Mapping!E:E)</f>
        <v>Xưởng Sản Xuất</v>
      </c>
      <c r="C804" s="167" t="str">
        <f>_xlfn.XLOOKUP(F804,Mapping!A:A,Mapping!F:F)</f>
        <v>BHXH, BHYT, KPCĐ</v>
      </c>
      <c r="D804" s="173">
        <v>46142</v>
      </c>
      <c r="E804" s="169" t="s">
        <v>2036</v>
      </c>
      <c r="F804" s="169" t="s">
        <v>425</v>
      </c>
      <c r="G804" s="169" t="s">
        <v>296</v>
      </c>
      <c r="H804" s="169" t="s">
        <v>430</v>
      </c>
      <c r="I804" s="169" t="s">
        <v>431</v>
      </c>
      <c r="J804" s="169" t="s">
        <v>2037</v>
      </c>
      <c r="K804" s="169" t="s">
        <v>2026</v>
      </c>
      <c r="L804" s="169" t="s">
        <v>631</v>
      </c>
      <c r="M804" s="169" t="s">
        <v>1453</v>
      </c>
      <c r="N804" s="178">
        <v>50009695</v>
      </c>
      <c r="O804" s="169" t="s">
        <v>2038</v>
      </c>
      <c r="P804" s="169" t="s">
        <v>283</v>
      </c>
      <c r="Q804" s="169" t="s">
        <v>284</v>
      </c>
      <c r="R804" s="169" t="s">
        <v>283</v>
      </c>
      <c r="S804" s="169" t="s">
        <v>283</v>
      </c>
      <c r="T804" s="169">
        <v>0</v>
      </c>
    </row>
    <row r="805" spans="1:20" hidden="1" x14ac:dyDescent="0.2">
      <c r="A805" s="169" t="str">
        <f t="shared" si="13"/>
        <v>627</v>
      </c>
      <c r="B805" s="167" t="str">
        <f>_xlfn.XLOOKUP(I805,Mapping!D:D,Mapping!E:E)</f>
        <v>Xưởng Sản Xuất</v>
      </c>
      <c r="C805" s="167" t="str">
        <f>_xlfn.XLOOKUP(F805,Mapping!A:A,Mapping!F:F)</f>
        <v>BHXH, BHYT, KPCĐ</v>
      </c>
      <c r="D805" s="173">
        <v>46142</v>
      </c>
      <c r="E805" s="169" t="s">
        <v>2036</v>
      </c>
      <c r="F805" s="169" t="s">
        <v>393</v>
      </c>
      <c r="G805" s="169" t="s">
        <v>296</v>
      </c>
      <c r="H805" s="169" t="s">
        <v>430</v>
      </c>
      <c r="I805" s="169" t="s">
        <v>431</v>
      </c>
      <c r="J805" s="169" t="s">
        <v>2037</v>
      </c>
      <c r="K805" s="169" t="s">
        <v>2026</v>
      </c>
      <c r="L805" s="169" t="s">
        <v>631</v>
      </c>
      <c r="M805" s="169" t="s">
        <v>1453</v>
      </c>
      <c r="N805" s="178">
        <v>31937155</v>
      </c>
      <c r="O805" s="169" t="s">
        <v>2038</v>
      </c>
      <c r="P805" s="169" t="s">
        <v>283</v>
      </c>
      <c r="Q805" s="169" t="s">
        <v>284</v>
      </c>
      <c r="R805" s="169" t="s">
        <v>283</v>
      </c>
      <c r="S805" s="169" t="s">
        <v>283</v>
      </c>
      <c r="T805" s="169">
        <v>0</v>
      </c>
    </row>
    <row r="806" spans="1:20" hidden="1" x14ac:dyDescent="0.2">
      <c r="A806" s="169" t="str">
        <f t="shared" si="13"/>
        <v>627</v>
      </c>
      <c r="B806" s="167" t="str">
        <f>_xlfn.XLOOKUP(I806,Mapping!D:D,Mapping!E:E)</f>
        <v>Xưởng Sản Xuất</v>
      </c>
      <c r="C806" s="167" t="str">
        <f>_xlfn.XLOOKUP(F806,Mapping!A:A,Mapping!F:F)</f>
        <v>Lương Chính +T13</v>
      </c>
      <c r="D806" s="173">
        <v>46142</v>
      </c>
      <c r="E806" s="169" t="s">
        <v>2325</v>
      </c>
      <c r="F806" s="169" t="s">
        <v>388</v>
      </c>
      <c r="G806" s="169" t="s">
        <v>286</v>
      </c>
      <c r="H806" s="169" t="s">
        <v>430</v>
      </c>
      <c r="I806" s="169" t="s">
        <v>431</v>
      </c>
      <c r="J806" s="169" t="s">
        <v>2031</v>
      </c>
      <c r="K806" s="169" t="s">
        <v>2026</v>
      </c>
      <c r="L806" s="169" t="s">
        <v>631</v>
      </c>
      <c r="M806" s="169" t="s">
        <v>1453</v>
      </c>
      <c r="N806" s="178">
        <v>13173583</v>
      </c>
      <c r="O806" s="169" t="s">
        <v>2326</v>
      </c>
      <c r="P806" s="169" t="s">
        <v>283</v>
      </c>
      <c r="Q806" s="169" t="s">
        <v>284</v>
      </c>
      <c r="R806" s="169" t="s">
        <v>283</v>
      </c>
      <c r="S806" s="169" t="s">
        <v>283</v>
      </c>
      <c r="T806" s="169">
        <v>0</v>
      </c>
    </row>
    <row r="807" spans="1:20" hidden="1" x14ac:dyDescent="0.2">
      <c r="A807" s="169" t="str">
        <f t="shared" si="13"/>
        <v>627</v>
      </c>
      <c r="B807" s="167" t="str">
        <f>_xlfn.XLOOKUP(I807,Mapping!D:D,Mapping!E:E)</f>
        <v>Xưởng Sản Xuất</v>
      </c>
      <c r="C807" s="167" t="str">
        <f>_xlfn.XLOOKUP(F807,Mapping!A:A,Mapping!F:F)</f>
        <v>Thưởng</v>
      </c>
      <c r="D807" s="173">
        <v>46142</v>
      </c>
      <c r="E807" s="169" t="s">
        <v>2327</v>
      </c>
      <c r="F807" s="169" t="s">
        <v>395</v>
      </c>
      <c r="G807" s="169" t="s">
        <v>77</v>
      </c>
      <c r="H807" s="169" t="s">
        <v>430</v>
      </c>
      <c r="I807" s="169" t="s">
        <v>431</v>
      </c>
      <c r="J807" s="169" t="s">
        <v>2034</v>
      </c>
      <c r="K807" s="169" t="s">
        <v>2026</v>
      </c>
      <c r="L807" s="169" t="s">
        <v>631</v>
      </c>
      <c r="M807" s="169" t="s">
        <v>1453</v>
      </c>
      <c r="N807" s="178">
        <v>12119591</v>
      </c>
      <c r="O807" s="169" t="s">
        <v>2328</v>
      </c>
      <c r="P807" s="169" t="s">
        <v>283</v>
      </c>
      <c r="Q807" s="169" t="s">
        <v>284</v>
      </c>
      <c r="R807" s="169" t="s">
        <v>283</v>
      </c>
      <c r="S807" s="169" t="s">
        <v>283</v>
      </c>
      <c r="T807" s="169">
        <v>0</v>
      </c>
    </row>
    <row r="808" spans="1:20" hidden="1" x14ac:dyDescent="0.2">
      <c r="A808" s="169" t="str">
        <f t="shared" si="13"/>
        <v>622</v>
      </c>
      <c r="B808" s="167" t="str">
        <f>_xlfn.XLOOKUP(I808,Mapping!D:D,Mapping!E:E)</f>
        <v>Xưởng Sản Xuất</v>
      </c>
      <c r="C808" s="167" t="str">
        <f>_xlfn.XLOOKUP(F808,Mapping!A:A,Mapping!F:F)</f>
        <v>Lương Chính +T13</v>
      </c>
      <c r="D808" s="173">
        <v>46142</v>
      </c>
      <c r="E808" s="169" t="s">
        <v>2329</v>
      </c>
      <c r="F808" s="169" t="s">
        <v>420</v>
      </c>
      <c r="G808" s="169" t="s">
        <v>286</v>
      </c>
      <c r="H808" s="169" t="s">
        <v>430</v>
      </c>
      <c r="I808" s="169" t="s">
        <v>431</v>
      </c>
      <c r="J808" s="169" t="s">
        <v>2031</v>
      </c>
      <c r="K808" s="169" t="s">
        <v>2026</v>
      </c>
      <c r="L808" s="169" t="s">
        <v>631</v>
      </c>
      <c r="M808" s="169" t="s">
        <v>1453</v>
      </c>
      <c r="N808" s="178">
        <v>17260583</v>
      </c>
      <c r="O808" s="169" t="s">
        <v>2330</v>
      </c>
      <c r="P808" s="169" t="s">
        <v>283</v>
      </c>
      <c r="Q808" s="169" t="s">
        <v>284</v>
      </c>
      <c r="R808" s="169" t="s">
        <v>283</v>
      </c>
      <c r="S808" s="169" t="s">
        <v>283</v>
      </c>
      <c r="T808" s="169">
        <v>0</v>
      </c>
    </row>
    <row r="809" spans="1:20" hidden="1" x14ac:dyDescent="0.2">
      <c r="A809" s="169" t="str">
        <f t="shared" si="13"/>
        <v>622</v>
      </c>
      <c r="B809" s="167" t="str">
        <f>_xlfn.XLOOKUP(I809,Mapping!D:D,Mapping!E:E)</f>
        <v>Xưởng Sản Xuất</v>
      </c>
      <c r="C809" s="167" t="str">
        <f>_xlfn.XLOOKUP(F809,Mapping!A:A,Mapping!F:F)</f>
        <v>Thưởng</v>
      </c>
      <c r="D809" s="173">
        <v>46142</v>
      </c>
      <c r="E809" s="169" t="s">
        <v>2331</v>
      </c>
      <c r="F809" s="169" t="s">
        <v>426</v>
      </c>
      <c r="G809" s="169" t="s">
        <v>77</v>
      </c>
      <c r="H809" s="169" t="s">
        <v>430</v>
      </c>
      <c r="I809" s="169" t="s">
        <v>431</v>
      </c>
      <c r="J809" s="169" t="s">
        <v>2034</v>
      </c>
      <c r="K809" s="169" t="s">
        <v>2026</v>
      </c>
      <c r="L809" s="169" t="s">
        <v>631</v>
      </c>
      <c r="M809" s="169" t="s">
        <v>1453</v>
      </c>
      <c r="N809" s="178">
        <v>5029349</v>
      </c>
      <c r="O809" s="169" t="s">
        <v>2332</v>
      </c>
      <c r="P809" s="169" t="s">
        <v>283</v>
      </c>
      <c r="Q809" s="169" t="s">
        <v>284</v>
      </c>
      <c r="R809" s="169" t="s">
        <v>283</v>
      </c>
      <c r="S809" s="169" t="s">
        <v>283</v>
      </c>
      <c r="T809" s="169">
        <v>0</v>
      </c>
    </row>
    <row r="810" spans="1:20" hidden="1" x14ac:dyDescent="0.2">
      <c r="A810" s="169" t="str">
        <f t="shared" si="13"/>
        <v>627</v>
      </c>
      <c r="B810" s="167" t="str">
        <f>_xlfn.XLOOKUP(I810,Mapping!D:D,Mapping!E:E)</f>
        <v>Xưởng Sản Xuất</v>
      </c>
      <c r="C810" s="167" t="str">
        <f>_xlfn.XLOOKUP(F810,Mapping!A:A,Mapping!F:F)</f>
        <v>Phụ Cấp</v>
      </c>
      <c r="D810" s="173">
        <v>46140</v>
      </c>
      <c r="E810" s="169" t="s">
        <v>2072</v>
      </c>
      <c r="F810" s="169" t="s">
        <v>375</v>
      </c>
      <c r="G810" s="169" t="s">
        <v>336</v>
      </c>
      <c r="H810" s="169" t="s">
        <v>430</v>
      </c>
      <c r="I810" s="169" t="s">
        <v>431</v>
      </c>
      <c r="J810" s="169" t="s">
        <v>2073</v>
      </c>
      <c r="K810" s="169" t="s">
        <v>741</v>
      </c>
      <c r="L810" s="169" t="s">
        <v>631</v>
      </c>
      <c r="M810" s="169" t="s">
        <v>1453</v>
      </c>
      <c r="N810" s="178">
        <v>32508000</v>
      </c>
      <c r="O810" s="169" t="s">
        <v>2074</v>
      </c>
      <c r="P810" s="169" t="s">
        <v>283</v>
      </c>
      <c r="Q810" s="169" t="s">
        <v>306</v>
      </c>
      <c r="R810" s="169" t="s">
        <v>283</v>
      </c>
      <c r="S810" s="169" t="s">
        <v>283</v>
      </c>
      <c r="T810" s="169">
        <v>0</v>
      </c>
    </row>
    <row r="811" spans="1:20" hidden="1" x14ac:dyDescent="0.2">
      <c r="A811" s="169" t="str">
        <f t="shared" si="13"/>
        <v>622</v>
      </c>
      <c r="B811" s="167" t="str">
        <f>_xlfn.XLOOKUP(I811,Mapping!D:D,Mapping!E:E)</f>
        <v>Xưởng Sản Xuất</v>
      </c>
      <c r="C811" s="167" t="str">
        <f>_xlfn.XLOOKUP(F811,Mapping!A:A,Mapping!F:F)</f>
        <v>Phụ Cấp</v>
      </c>
      <c r="D811" s="173">
        <v>46142</v>
      </c>
      <c r="E811" s="169" t="s">
        <v>2082</v>
      </c>
      <c r="F811" s="169" t="s">
        <v>414</v>
      </c>
      <c r="G811" s="169" t="s">
        <v>415</v>
      </c>
      <c r="H811" s="169" t="s">
        <v>430</v>
      </c>
      <c r="I811" s="169" t="s">
        <v>431</v>
      </c>
      <c r="J811" s="169" t="s">
        <v>2333</v>
      </c>
      <c r="K811" s="169" t="s">
        <v>2084</v>
      </c>
      <c r="L811" s="169" t="s">
        <v>631</v>
      </c>
      <c r="M811" s="169" t="s">
        <v>1453</v>
      </c>
      <c r="N811" s="178">
        <v>11412820</v>
      </c>
      <c r="O811" s="169" t="s">
        <v>2085</v>
      </c>
      <c r="P811" s="169" t="s">
        <v>283</v>
      </c>
      <c r="Q811" s="169" t="s">
        <v>306</v>
      </c>
      <c r="R811" s="169" t="s">
        <v>283</v>
      </c>
      <c r="S811" s="169" t="s">
        <v>283</v>
      </c>
      <c r="T811" s="169">
        <v>0</v>
      </c>
    </row>
    <row r="812" spans="1:20" hidden="1" x14ac:dyDescent="0.2">
      <c r="A812" s="169" t="str">
        <f t="shared" si="13"/>
        <v>622</v>
      </c>
      <c r="B812" s="167" t="str">
        <f>_xlfn.XLOOKUP(I812,Mapping!D:D,Mapping!E:E)</f>
        <v>Xưởng Sản Xuất</v>
      </c>
      <c r="C812" s="167" t="str">
        <f>_xlfn.XLOOKUP(F812,Mapping!A:A,Mapping!F:F)</f>
        <v>Lương Chính +T13</v>
      </c>
      <c r="D812" s="173">
        <v>46141</v>
      </c>
      <c r="E812" s="169" t="s">
        <v>2293</v>
      </c>
      <c r="F812" s="169" t="s">
        <v>400</v>
      </c>
      <c r="G812" s="169" t="s">
        <v>401</v>
      </c>
      <c r="H812" s="169" t="s">
        <v>430</v>
      </c>
      <c r="I812" s="169" t="s">
        <v>431</v>
      </c>
      <c r="J812" s="169" t="s">
        <v>2294</v>
      </c>
      <c r="K812" s="169" t="s">
        <v>405</v>
      </c>
      <c r="L812" s="169" t="s">
        <v>631</v>
      </c>
      <c r="M812" s="169" t="s">
        <v>1453</v>
      </c>
      <c r="N812" s="178">
        <v>21756667</v>
      </c>
      <c r="O812" s="169" t="s">
        <v>2295</v>
      </c>
      <c r="P812" s="169" t="s">
        <v>283</v>
      </c>
      <c r="Q812" s="169" t="s">
        <v>306</v>
      </c>
      <c r="R812" s="169" t="s">
        <v>283</v>
      </c>
      <c r="S812" s="169" t="s">
        <v>283</v>
      </c>
      <c r="T812" s="169">
        <v>0</v>
      </c>
    </row>
    <row r="813" spans="1:20" hidden="1" x14ac:dyDescent="0.2">
      <c r="A813" s="169" t="str">
        <f t="shared" si="13"/>
        <v>622</v>
      </c>
      <c r="B813" s="167" t="str">
        <f>_xlfn.XLOOKUP(I813,Mapping!D:D,Mapping!E:E)</f>
        <v>Xưởng Sản Xuất</v>
      </c>
      <c r="C813" s="167" t="str">
        <f>_xlfn.XLOOKUP(F813,Mapping!A:A,Mapping!F:F)</f>
        <v>Lương Chính +T13</v>
      </c>
      <c r="D813" s="173">
        <v>46141</v>
      </c>
      <c r="E813" s="169" t="s">
        <v>2086</v>
      </c>
      <c r="F813" s="169" t="s">
        <v>400</v>
      </c>
      <c r="G813" s="169" t="s">
        <v>401</v>
      </c>
      <c r="H813" s="169" t="s">
        <v>430</v>
      </c>
      <c r="I813" s="169" t="s">
        <v>431</v>
      </c>
      <c r="J813" s="169" t="s">
        <v>2087</v>
      </c>
      <c r="K813" s="169" t="s">
        <v>405</v>
      </c>
      <c r="L813" s="169" t="s">
        <v>631</v>
      </c>
      <c r="M813" s="169" t="s">
        <v>1453</v>
      </c>
      <c r="N813" s="178">
        <v>10577517</v>
      </c>
      <c r="O813" s="169" t="s">
        <v>2088</v>
      </c>
      <c r="P813" s="169" t="s">
        <v>283</v>
      </c>
      <c r="Q813" s="169" t="s">
        <v>306</v>
      </c>
      <c r="R813" s="169" t="s">
        <v>283</v>
      </c>
      <c r="S813" s="169" t="s">
        <v>283</v>
      </c>
      <c r="T813" s="169">
        <v>0</v>
      </c>
    </row>
    <row r="814" spans="1:20" hidden="1" x14ac:dyDescent="0.2">
      <c r="A814" s="169" t="str">
        <f t="shared" si="13"/>
        <v>622</v>
      </c>
      <c r="B814" s="167" t="str">
        <f>_xlfn.XLOOKUP(I814,Mapping!D:D,Mapping!E:E)</f>
        <v>Xưởng Sản Xuất</v>
      </c>
      <c r="C814" s="167" t="str">
        <f>_xlfn.XLOOKUP(F814,Mapping!A:A,Mapping!F:F)</f>
        <v>Lương Chính +T13</v>
      </c>
      <c r="D814" s="173">
        <v>46141</v>
      </c>
      <c r="E814" s="169" t="s">
        <v>2296</v>
      </c>
      <c r="F814" s="169" t="s">
        <v>400</v>
      </c>
      <c r="G814" s="169" t="s">
        <v>401</v>
      </c>
      <c r="H814" s="169" t="s">
        <v>430</v>
      </c>
      <c r="I814" s="169" t="s">
        <v>431</v>
      </c>
      <c r="J814" s="169" t="s">
        <v>2297</v>
      </c>
      <c r="K814" s="169" t="s">
        <v>405</v>
      </c>
      <c r="L814" s="169" t="s">
        <v>631</v>
      </c>
      <c r="M814" s="169" t="s">
        <v>1453</v>
      </c>
      <c r="N814" s="178">
        <v>25204833</v>
      </c>
      <c r="O814" s="169" t="s">
        <v>2298</v>
      </c>
      <c r="P814" s="169" t="s">
        <v>283</v>
      </c>
      <c r="Q814" s="169" t="s">
        <v>306</v>
      </c>
      <c r="R814" s="169" t="s">
        <v>283</v>
      </c>
      <c r="S814" s="169" t="s">
        <v>283</v>
      </c>
      <c r="T814" s="169">
        <v>0</v>
      </c>
    </row>
    <row r="815" spans="1:20" hidden="1" x14ac:dyDescent="0.2">
      <c r="A815" s="169" t="str">
        <f t="shared" si="13"/>
        <v>622</v>
      </c>
      <c r="B815" s="167" t="str">
        <f>_xlfn.XLOOKUP(I815,Mapping!D:D,Mapping!E:E)</f>
        <v>Xưởng Sản Xuất</v>
      </c>
      <c r="C815" s="167" t="str">
        <f>_xlfn.XLOOKUP(F815,Mapping!A:A,Mapping!F:F)</f>
        <v>Lương Chính +T13</v>
      </c>
      <c r="D815" s="173">
        <v>46141</v>
      </c>
      <c r="E815" s="169" t="s">
        <v>2299</v>
      </c>
      <c r="F815" s="169" t="s">
        <v>400</v>
      </c>
      <c r="G815" s="169" t="s">
        <v>401</v>
      </c>
      <c r="H815" s="169" t="s">
        <v>430</v>
      </c>
      <c r="I815" s="169" t="s">
        <v>431</v>
      </c>
      <c r="J815" s="169" t="s">
        <v>2300</v>
      </c>
      <c r="K815" s="169" t="s">
        <v>405</v>
      </c>
      <c r="L815" s="169" t="s">
        <v>631</v>
      </c>
      <c r="M815" s="169" t="s">
        <v>1453</v>
      </c>
      <c r="N815" s="178">
        <v>6600000</v>
      </c>
      <c r="O815" s="169" t="s">
        <v>2301</v>
      </c>
      <c r="P815" s="169" t="s">
        <v>283</v>
      </c>
      <c r="Q815" s="169" t="s">
        <v>306</v>
      </c>
      <c r="R815" s="169" t="s">
        <v>283</v>
      </c>
      <c r="S815" s="169" t="s">
        <v>283</v>
      </c>
      <c r="T815" s="169">
        <v>0</v>
      </c>
    </row>
    <row r="816" spans="1:20" hidden="1" x14ac:dyDescent="0.2">
      <c r="A816" s="169" t="str">
        <f t="shared" si="13"/>
        <v>627</v>
      </c>
      <c r="B816" s="167" t="str">
        <f>_xlfn.XLOOKUP(I816,Mapping!D:D,Mapping!E:E)</f>
        <v>Xưởng Sản Xuất</v>
      </c>
      <c r="C816" s="167" t="str">
        <f>_xlfn.XLOOKUP(F816,Mapping!A:A,Mapping!F:F)</f>
        <v>Phụ Cấp</v>
      </c>
      <c r="D816" s="173">
        <v>46142</v>
      </c>
      <c r="E816" s="169" t="s">
        <v>2305</v>
      </c>
      <c r="F816" s="169" t="s">
        <v>375</v>
      </c>
      <c r="G816" s="169" t="s">
        <v>336</v>
      </c>
      <c r="H816" s="169" t="s">
        <v>430</v>
      </c>
      <c r="I816" s="169" t="s">
        <v>431</v>
      </c>
      <c r="J816" s="169" t="s">
        <v>416</v>
      </c>
      <c r="K816" s="169" t="s">
        <v>416</v>
      </c>
      <c r="L816" s="169" t="s">
        <v>631</v>
      </c>
      <c r="M816" s="169" t="s">
        <v>1453</v>
      </c>
      <c r="N816" s="178">
        <v>-196000</v>
      </c>
      <c r="O816" s="169" t="s">
        <v>2306</v>
      </c>
      <c r="P816" s="169" t="s">
        <v>283</v>
      </c>
      <c r="Q816" s="169" t="s">
        <v>348</v>
      </c>
      <c r="R816" s="169" t="s">
        <v>283</v>
      </c>
      <c r="S816" s="169" t="s">
        <v>283</v>
      </c>
      <c r="T816" s="169">
        <v>0</v>
      </c>
    </row>
    <row r="817" spans="1:20" hidden="1" x14ac:dyDescent="0.2">
      <c r="A817" s="169" t="str">
        <f t="shared" si="13"/>
        <v>622</v>
      </c>
      <c r="B817" s="167" t="str">
        <f>_xlfn.XLOOKUP(I817,Mapping!D:D,Mapping!E:E)</f>
        <v>Xưởng Sản Xuất</v>
      </c>
      <c r="C817" s="167" t="str">
        <f>_xlfn.XLOOKUP(F817,Mapping!A:A,Mapping!F:F)</f>
        <v>Phụ Cấp</v>
      </c>
      <c r="D817" s="173">
        <v>46142</v>
      </c>
      <c r="E817" s="169" t="s">
        <v>2305</v>
      </c>
      <c r="F817" s="169" t="s">
        <v>414</v>
      </c>
      <c r="G817" s="169" t="s">
        <v>415</v>
      </c>
      <c r="H817" s="169" t="s">
        <v>430</v>
      </c>
      <c r="I817" s="169" t="s">
        <v>431</v>
      </c>
      <c r="J817" s="169" t="s">
        <v>416</v>
      </c>
      <c r="K817" s="169" t="s">
        <v>416</v>
      </c>
      <c r="L817" s="169" t="s">
        <v>631</v>
      </c>
      <c r="M817" s="169" t="s">
        <v>1453</v>
      </c>
      <c r="N817" s="178">
        <v>21672000</v>
      </c>
      <c r="O817" s="169" t="s">
        <v>2306</v>
      </c>
      <c r="P817" s="169" t="s">
        <v>283</v>
      </c>
      <c r="Q817" s="169" t="s">
        <v>348</v>
      </c>
      <c r="R817" s="169" t="s">
        <v>283</v>
      </c>
      <c r="S817" s="169" t="s">
        <v>283</v>
      </c>
      <c r="T817" s="169">
        <v>0</v>
      </c>
    </row>
    <row r="818" spans="1:20" hidden="1" x14ac:dyDescent="0.2">
      <c r="A818" s="169" t="str">
        <f t="shared" si="13"/>
        <v>627</v>
      </c>
      <c r="B818" s="167" t="str">
        <f>_xlfn.XLOOKUP(I818,Mapping!D:D,Mapping!E:E)</f>
        <v>Xưởng Sản Xuất</v>
      </c>
      <c r="C818" s="167" t="str">
        <f>_xlfn.XLOOKUP(F818,Mapping!A:A,Mapping!F:F)</f>
        <v>Phụ Cấp</v>
      </c>
      <c r="D818" s="173">
        <v>46142</v>
      </c>
      <c r="E818" s="169" t="s">
        <v>2305</v>
      </c>
      <c r="F818" s="169" t="s">
        <v>375</v>
      </c>
      <c r="G818" s="169" t="s">
        <v>336</v>
      </c>
      <c r="H818" s="169" t="s">
        <v>430</v>
      </c>
      <c r="I818" s="169" t="s">
        <v>431</v>
      </c>
      <c r="J818" s="169" t="s">
        <v>416</v>
      </c>
      <c r="K818" s="169" t="s">
        <v>416</v>
      </c>
      <c r="L818" s="169" t="s">
        <v>631</v>
      </c>
      <c r="M818" s="169" t="s">
        <v>1453</v>
      </c>
      <c r="N818" s="178">
        <v>-21672000</v>
      </c>
      <c r="O818" s="169" t="s">
        <v>2306</v>
      </c>
      <c r="P818" s="169" t="s">
        <v>283</v>
      </c>
      <c r="Q818" s="169" t="s">
        <v>348</v>
      </c>
      <c r="R818" s="169" t="s">
        <v>283</v>
      </c>
      <c r="S818" s="169" t="s">
        <v>283</v>
      </c>
      <c r="T818" s="169">
        <v>0</v>
      </c>
    </row>
    <row r="819" spans="1:20" hidden="1" x14ac:dyDescent="0.2">
      <c r="A819" s="169" t="str">
        <f t="shared" si="13"/>
        <v>627</v>
      </c>
      <c r="B819" s="167" t="str">
        <f>_xlfn.XLOOKUP(I819,Mapping!D:D,Mapping!E:E)</f>
        <v>Xưởng Sản Xuất</v>
      </c>
      <c r="C819" s="167" t="str">
        <f>_xlfn.XLOOKUP(F819,Mapping!A:A,Mapping!F:F)</f>
        <v>Khen thưởng BD khác</v>
      </c>
      <c r="D819" s="173">
        <v>46135</v>
      </c>
      <c r="E819" s="169" t="s">
        <v>2334</v>
      </c>
      <c r="F819" s="169" t="s">
        <v>435</v>
      </c>
      <c r="G819" s="169" t="s">
        <v>222</v>
      </c>
      <c r="H819" s="169" t="s">
        <v>436</v>
      </c>
      <c r="I819" s="169" t="s">
        <v>437</v>
      </c>
      <c r="J819" s="169" t="s">
        <v>2335</v>
      </c>
      <c r="K819" s="169" t="s">
        <v>2336</v>
      </c>
      <c r="L819" s="169" t="s">
        <v>631</v>
      </c>
      <c r="M819" s="169" t="s">
        <v>1453</v>
      </c>
      <c r="N819" s="178">
        <v>10950000</v>
      </c>
      <c r="O819" s="169" t="s">
        <v>2337</v>
      </c>
      <c r="P819" s="169" t="s">
        <v>283</v>
      </c>
      <c r="Q819" s="169" t="s">
        <v>1344</v>
      </c>
      <c r="R819" s="169" t="s">
        <v>283</v>
      </c>
      <c r="S819" s="169" t="s">
        <v>283</v>
      </c>
      <c r="T819" s="169">
        <v>0</v>
      </c>
    </row>
    <row r="820" spans="1:20" hidden="1" x14ac:dyDescent="0.2">
      <c r="A820" s="169" t="str">
        <f t="shared" si="13"/>
        <v>627</v>
      </c>
      <c r="B820" s="167" t="str">
        <f>_xlfn.XLOOKUP(I820,Mapping!D:D,Mapping!E:E)</f>
        <v>Xưởng Sản Xuất</v>
      </c>
      <c r="C820" s="167" t="str">
        <f>_xlfn.XLOOKUP(F820,Mapping!A:A,Mapping!F:F)</f>
        <v>Phụ Cấp</v>
      </c>
      <c r="D820" s="173">
        <v>46142</v>
      </c>
      <c r="E820" s="169" t="s">
        <v>2338</v>
      </c>
      <c r="F820" s="169" t="s">
        <v>386</v>
      </c>
      <c r="G820" s="169" t="s">
        <v>341</v>
      </c>
      <c r="H820" s="169" t="s">
        <v>436</v>
      </c>
      <c r="I820" s="169" t="s">
        <v>437</v>
      </c>
      <c r="J820" s="169" t="s">
        <v>2025</v>
      </c>
      <c r="K820" s="169" t="s">
        <v>2026</v>
      </c>
      <c r="L820" s="169" t="s">
        <v>631</v>
      </c>
      <c r="M820" s="169" t="s">
        <v>1453</v>
      </c>
      <c r="N820" s="178">
        <v>5244624</v>
      </c>
      <c r="O820" s="169" t="s">
        <v>2339</v>
      </c>
      <c r="P820" s="169" t="s">
        <v>283</v>
      </c>
      <c r="Q820" s="169" t="s">
        <v>284</v>
      </c>
      <c r="R820" s="169" t="s">
        <v>283</v>
      </c>
      <c r="S820" s="169" t="s">
        <v>283</v>
      </c>
      <c r="T820" s="169">
        <v>0</v>
      </c>
    </row>
    <row r="821" spans="1:20" hidden="1" x14ac:dyDescent="0.2">
      <c r="A821" s="169" t="str">
        <f t="shared" si="13"/>
        <v>627</v>
      </c>
      <c r="B821" s="167" t="str">
        <f>_xlfn.XLOOKUP(I821,Mapping!D:D,Mapping!E:E)</f>
        <v>Xưởng Sản Xuất</v>
      </c>
      <c r="C821" s="167" t="str">
        <f>_xlfn.XLOOKUP(F821,Mapping!A:A,Mapping!F:F)</f>
        <v>Lương Chính +T13</v>
      </c>
      <c r="D821" s="173">
        <v>46142</v>
      </c>
      <c r="E821" s="169" t="s">
        <v>2340</v>
      </c>
      <c r="F821" s="169" t="s">
        <v>387</v>
      </c>
      <c r="G821" s="169" t="s">
        <v>275</v>
      </c>
      <c r="H821" s="169" t="s">
        <v>436</v>
      </c>
      <c r="I821" s="169" t="s">
        <v>437</v>
      </c>
      <c r="J821" s="169" t="s">
        <v>2025</v>
      </c>
      <c r="K821" s="169" t="s">
        <v>2026</v>
      </c>
      <c r="L821" s="169" t="s">
        <v>631</v>
      </c>
      <c r="M821" s="169" t="s">
        <v>1453</v>
      </c>
      <c r="N821" s="178">
        <v>405459434</v>
      </c>
      <c r="O821" s="169" t="s">
        <v>2341</v>
      </c>
      <c r="P821" s="169" t="s">
        <v>283</v>
      </c>
      <c r="Q821" s="169" t="s">
        <v>284</v>
      </c>
      <c r="R821" s="169" t="s">
        <v>283</v>
      </c>
      <c r="S821" s="169" t="s">
        <v>283</v>
      </c>
      <c r="T821" s="169">
        <v>0</v>
      </c>
    </row>
    <row r="822" spans="1:20" hidden="1" x14ac:dyDescent="0.2">
      <c r="A822" s="169" t="str">
        <f t="shared" si="13"/>
        <v>627</v>
      </c>
      <c r="B822" s="167" t="str">
        <f>_xlfn.XLOOKUP(I822,Mapping!D:D,Mapping!E:E)</f>
        <v>Xưởng Sản Xuất</v>
      </c>
      <c r="C822" s="167" t="str">
        <f>_xlfn.XLOOKUP(F822,Mapping!A:A,Mapping!F:F)</f>
        <v>Lương Chính +T13</v>
      </c>
      <c r="D822" s="173">
        <v>46142</v>
      </c>
      <c r="E822" s="169" t="s">
        <v>2342</v>
      </c>
      <c r="F822" s="169" t="s">
        <v>388</v>
      </c>
      <c r="G822" s="169" t="s">
        <v>286</v>
      </c>
      <c r="H822" s="169" t="s">
        <v>436</v>
      </c>
      <c r="I822" s="169" t="s">
        <v>437</v>
      </c>
      <c r="J822" s="169" t="s">
        <v>2025</v>
      </c>
      <c r="K822" s="169" t="s">
        <v>2026</v>
      </c>
      <c r="L822" s="169" t="s">
        <v>631</v>
      </c>
      <c r="M822" s="169" t="s">
        <v>1453</v>
      </c>
      <c r="N822" s="178">
        <v>1553076</v>
      </c>
      <c r="O822" s="169" t="s">
        <v>2343</v>
      </c>
      <c r="P822" s="169" t="s">
        <v>283</v>
      </c>
      <c r="Q822" s="169" t="s">
        <v>284</v>
      </c>
      <c r="R822" s="169" t="s">
        <v>283</v>
      </c>
      <c r="S822" s="169" t="s">
        <v>283</v>
      </c>
      <c r="T822" s="169">
        <v>0</v>
      </c>
    </row>
    <row r="823" spans="1:20" hidden="1" x14ac:dyDescent="0.2">
      <c r="A823" s="169" t="str">
        <f t="shared" si="13"/>
        <v>627</v>
      </c>
      <c r="B823" s="167" t="str">
        <f>_xlfn.XLOOKUP(I823,Mapping!D:D,Mapping!E:E)</f>
        <v>Xưởng Sản Xuất</v>
      </c>
      <c r="C823" s="167" t="str">
        <f>_xlfn.XLOOKUP(F823,Mapping!A:A,Mapping!F:F)</f>
        <v>Lương Ngoài giờ</v>
      </c>
      <c r="D823" s="173">
        <v>46142</v>
      </c>
      <c r="E823" s="169" t="s">
        <v>2344</v>
      </c>
      <c r="F823" s="169" t="s">
        <v>389</v>
      </c>
      <c r="G823" s="169" t="s">
        <v>390</v>
      </c>
      <c r="H823" s="169" t="s">
        <v>436</v>
      </c>
      <c r="I823" s="169" t="s">
        <v>437</v>
      </c>
      <c r="J823" s="169" t="s">
        <v>2025</v>
      </c>
      <c r="K823" s="169" t="s">
        <v>2026</v>
      </c>
      <c r="L823" s="169" t="s">
        <v>631</v>
      </c>
      <c r="M823" s="169" t="s">
        <v>1453</v>
      </c>
      <c r="N823" s="178">
        <v>61157269</v>
      </c>
      <c r="O823" s="169" t="s">
        <v>2345</v>
      </c>
      <c r="P823" s="169" t="s">
        <v>283</v>
      </c>
      <c r="Q823" s="169" t="s">
        <v>284</v>
      </c>
      <c r="R823" s="169" t="s">
        <v>283</v>
      </c>
      <c r="S823" s="169" t="s">
        <v>283</v>
      </c>
      <c r="T823" s="169">
        <v>0</v>
      </c>
    </row>
    <row r="824" spans="1:20" hidden="1" x14ac:dyDescent="0.2">
      <c r="A824" s="169" t="str">
        <f t="shared" si="13"/>
        <v>627</v>
      </c>
      <c r="B824" s="167" t="str">
        <f>_xlfn.XLOOKUP(I824,Mapping!D:D,Mapping!E:E)</f>
        <v>Xưởng Sản Xuất</v>
      </c>
      <c r="C824" s="167" t="str">
        <f>_xlfn.XLOOKUP(F824,Mapping!A:A,Mapping!F:F)</f>
        <v>Khen thưởng BD khác</v>
      </c>
      <c r="D824" s="173">
        <v>46142</v>
      </c>
      <c r="E824" s="169" t="s">
        <v>2346</v>
      </c>
      <c r="F824" s="169" t="s">
        <v>504</v>
      </c>
      <c r="G824" s="169" t="s">
        <v>505</v>
      </c>
      <c r="H824" s="169" t="s">
        <v>436</v>
      </c>
      <c r="I824" s="169" t="s">
        <v>437</v>
      </c>
      <c r="J824" s="169" t="s">
        <v>2025</v>
      </c>
      <c r="K824" s="169" t="s">
        <v>2026</v>
      </c>
      <c r="L824" s="169" t="s">
        <v>631</v>
      </c>
      <c r="M824" s="169" t="s">
        <v>1453</v>
      </c>
      <c r="N824" s="178">
        <v>2900000</v>
      </c>
      <c r="O824" s="169" t="s">
        <v>2347</v>
      </c>
      <c r="P824" s="169" t="s">
        <v>283</v>
      </c>
      <c r="Q824" s="169" t="s">
        <v>284</v>
      </c>
      <c r="R824" s="169" t="s">
        <v>283</v>
      </c>
      <c r="S824" s="169" t="s">
        <v>283</v>
      </c>
      <c r="T824" s="169">
        <v>0</v>
      </c>
    </row>
    <row r="825" spans="1:20" hidden="1" x14ac:dyDescent="0.2">
      <c r="A825" s="169" t="str">
        <f t="shared" si="13"/>
        <v>627</v>
      </c>
      <c r="B825" s="167" t="str">
        <f>_xlfn.XLOOKUP(I825,Mapping!D:D,Mapping!E:E)</f>
        <v>Xưởng Sản Xuất</v>
      </c>
      <c r="C825" s="167" t="str">
        <f>_xlfn.XLOOKUP(F825,Mapping!A:A,Mapping!F:F)</f>
        <v>Phụ Cấp</v>
      </c>
      <c r="D825" s="173">
        <v>46142</v>
      </c>
      <c r="E825" s="169" t="s">
        <v>2348</v>
      </c>
      <c r="F825" s="169" t="s">
        <v>375</v>
      </c>
      <c r="G825" s="169" t="s">
        <v>336</v>
      </c>
      <c r="H825" s="169" t="s">
        <v>436</v>
      </c>
      <c r="I825" s="169" t="s">
        <v>437</v>
      </c>
      <c r="J825" s="169" t="s">
        <v>2025</v>
      </c>
      <c r="K825" s="169" t="s">
        <v>2026</v>
      </c>
      <c r="L825" s="169" t="s">
        <v>631</v>
      </c>
      <c r="M825" s="169" t="s">
        <v>1453</v>
      </c>
      <c r="N825" s="178">
        <v>2220000</v>
      </c>
      <c r="O825" s="169" t="s">
        <v>2349</v>
      </c>
      <c r="P825" s="169" t="s">
        <v>283</v>
      </c>
      <c r="Q825" s="169" t="s">
        <v>284</v>
      </c>
      <c r="R825" s="169" t="s">
        <v>283</v>
      </c>
      <c r="S825" s="169" t="s">
        <v>283</v>
      </c>
      <c r="T825" s="169">
        <v>0</v>
      </c>
    </row>
    <row r="826" spans="1:20" hidden="1" x14ac:dyDescent="0.2">
      <c r="A826" s="169" t="str">
        <f t="shared" si="13"/>
        <v>642</v>
      </c>
      <c r="B826" s="167" t="str">
        <f>_xlfn.XLOOKUP(I826,Mapping!D:D,Mapping!E:E)</f>
        <v>Tư vấn dịch vụ</v>
      </c>
      <c r="C826" s="167" t="str">
        <f>_xlfn.XLOOKUP(F826,Mapping!A:A,Mapping!F:F)</f>
        <v>Lương Chính +T13</v>
      </c>
      <c r="D826" s="173">
        <v>46142</v>
      </c>
      <c r="E826" s="169" t="s">
        <v>2350</v>
      </c>
      <c r="F826" s="169" t="s">
        <v>274</v>
      </c>
      <c r="G826" s="169" t="s">
        <v>275</v>
      </c>
      <c r="H826" s="169" t="s">
        <v>443</v>
      </c>
      <c r="I826" s="169" t="s">
        <v>444</v>
      </c>
      <c r="J826" s="169" t="s">
        <v>2025</v>
      </c>
      <c r="K826" s="169" t="s">
        <v>2026</v>
      </c>
      <c r="L826" s="169" t="s">
        <v>631</v>
      </c>
      <c r="M826" s="169" t="s">
        <v>1453</v>
      </c>
      <c r="N826" s="178">
        <v>70000000</v>
      </c>
      <c r="O826" s="169" t="s">
        <v>2351</v>
      </c>
      <c r="P826" s="169" t="s">
        <v>283</v>
      </c>
      <c r="Q826" s="169" t="s">
        <v>284</v>
      </c>
      <c r="R826" s="169" t="s">
        <v>283</v>
      </c>
      <c r="S826" s="169" t="s">
        <v>283</v>
      </c>
      <c r="T826" s="169">
        <v>0</v>
      </c>
    </row>
    <row r="827" spans="1:20" hidden="1" x14ac:dyDescent="0.2">
      <c r="A827" s="169" t="str">
        <f t="shared" si="13"/>
        <v>622</v>
      </c>
      <c r="B827" s="167" t="str">
        <f>_xlfn.XLOOKUP(I827,Mapping!D:D,Mapping!E:E)</f>
        <v>Xưởng Sản Xuất</v>
      </c>
      <c r="C827" s="167" t="str">
        <f>_xlfn.XLOOKUP(F827,Mapping!A:A,Mapping!F:F)</f>
        <v>Lương Chính +T13</v>
      </c>
      <c r="D827" s="173">
        <v>46142</v>
      </c>
      <c r="E827" s="169" t="s">
        <v>2352</v>
      </c>
      <c r="F827" s="169" t="s">
        <v>400</v>
      </c>
      <c r="G827" s="169" t="s">
        <v>401</v>
      </c>
      <c r="H827" s="169" t="s">
        <v>441</v>
      </c>
      <c r="I827" s="169" t="s">
        <v>442</v>
      </c>
      <c r="J827" s="169" t="s">
        <v>2025</v>
      </c>
      <c r="K827" s="169" t="s">
        <v>2026</v>
      </c>
      <c r="L827" s="169" t="s">
        <v>631</v>
      </c>
      <c r="M827" s="169" t="s">
        <v>1453</v>
      </c>
      <c r="N827" s="178">
        <v>9068154</v>
      </c>
      <c r="O827" s="169" t="s">
        <v>2353</v>
      </c>
      <c r="P827" s="169" t="s">
        <v>283</v>
      </c>
      <c r="Q827" s="169" t="s">
        <v>284</v>
      </c>
      <c r="R827" s="169" t="s">
        <v>283</v>
      </c>
      <c r="S827" s="169" t="s">
        <v>283</v>
      </c>
      <c r="T827" s="169">
        <v>0</v>
      </c>
    </row>
    <row r="828" spans="1:20" hidden="1" x14ac:dyDescent="0.2">
      <c r="A828" s="169" t="str">
        <f t="shared" si="13"/>
        <v>622</v>
      </c>
      <c r="B828" s="167" t="str">
        <f>_xlfn.XLOOKUP(I828,Mapping!D:D,Mapping!E:E)</f>
        <v>Xưởng Sản Xuất</v>
      </c>
      <c r="C828" s="167" t="str">
        <f>_xlfn.XLOOKUP(F828,Mapping!A:A,Mapping!F:F)</f>
        <v>Phụ Cấp</v>
      </c>
      <c r="D828" s="173">
        <v>46142</v>
      </c>
      <c r="E828" s="169" t="s">
        <v>2354</v>
      </c>
      <c r="F828" s="169" t="s">
        <v>421</v>
      </c>
      <c r="G828" s="169" t="s">
        <v>341</v>
      </c>
      <c r="H828" s="169" t="s">
        <v>441</v>
      </c>
      <c r="I828" s="169" t="s">
        <v>442</v>
      </c>
      <c r="J828" s="169" t="s">
        <v>2025</v>
      </c>
      <c r="K828" s="169" t="s">
        <v>2026</v>
      </c>
      <c r="L828" s="169" t="s">
        <v>631</v>
      </c>
      <c r="M828" s="169" t="s">
        <v>1453</v>
      </c>
      <c r="N828" s="178">
        <v>811292</v>
      </c>
      <c r="O828" s="169" t="s">
        <v>2355</v>
      </c>
      <c r="P828" s="169" t="s">
        <v>283</v>
      </c>
      <c r="Q828" s="169" t="s">
        <v>284</v>
      </c>
      <c r="R828" s="169" t="s">
        <v>283</v>
      </c>
      <c r="S828" s="169" t="s">
        <v>283</v>
      </c>
      <c r="T828" s="169">
        <v>0</v>
      </c>
    </row>
    <row r="829" spans="1:20" hidden="1" x14ac:dyDescent="0.2">
      <c r="A829" s="169" t="str">
        <f t="shared" si="13"/>
        <v>622</v>
      </c>
      <c r="B829" s="167" t="str">
        <f>_xlfn.XLOOKUP(I829,Mapping!D:D,Mapping!E:E)</f>
        <v>Xưởng Sản Xuất</v>
      </c>
      <c r="C829" s="167" t="str">
        <f>_xlfn.XLOOKUP(F829,Mapping!A:A,Mapping!F:F)</f>
        <v>Lương Ngoài giờ</v>
      </c>
      <c r="D829" s="173">
        <v>46142</v>
      </c>
      <c r="E829" s="169" t="s">
        <v>2356</v>
      </c>
      <c r="F829" s="169" t="s">
        <v>422</v>
      </c>
      <c r="G829" s="169" t="s">
        <v>423</v>
      </c>
      <c r="H829" s="169" t="s">
        <v>441</v>
      </c>
      <c r="I829" s="169" t="s">
        <v>442</v>
      </c>
      <c r="J829" s="169" t="s">
        <v>2025</v>
      </c>
      <c r="K829" s="169" t="s">
        <v>2026</v>
      </c>
      <c r="L829" s="169" t="s">
        <v>631</v>
      </c>
      <c r="M829" s="169" t="s">
        <v>1453</v>
      </c>
      <c r="N829" s="178">
        <v>3582891</v>
      </c>
      <c r="O829" s="169" t="s">
        <v>2357</v>
      </c>
      <c r="P829" s="169" t="s">
        <v>283</v>
      </c>
      <c r="Q829" s="169" t="s">
        <v>284</v>
      </c>
      <c r="R829" s="169" t="s">
        <v>283</v>
      </c>
      <c r="S829" s="169" t="s">
        <v>283</v>
      </c>
      <c r="T829" s="169">
        <v>0</v>
      </c>
    </row>
    <row r="830" spans="1:20" hidden="1" x14ac:dyDescent="0.2">
      <c r="A830" s="169" t="str">
        <f t="shared" ref="A830:A847" si="14">LEFT(F830,3)</f>
        <v>627</v>
      </c>
      <c r="B830" s="167" t="str">
        <f>_xlfn.XLOOKUP(I830,Mapping!D:D,Mapping!E:E)</f>
        <v>Xưởng Sản Xuất</v>
      </c>
      <c r="C830" s="167" t="str">
        <f>_xlfn.XLOOKUP(F830,Mapping!A:A,Mapping!F:F)</f>
        <v>BHXH, BHYT, KPCĐ</v>
      </c>
      <c r="D830" s="173">
        <v>46142</v>
      </c>
      <c r="E830" s="169" t="s">
        <v>2036</v>
      </c>
      <c r="F830" s="169" t="s">
        <v>393</v>
      </c>
      <c r="G830" s="169" t="s">
        <v>296</v>
      </c>
      <c r="H830" s="169" t="s">
        <v>436</v>
      </c>
      <c r="I830" s="169" t="s">
        <v>437</v>
      </c>
      <c r="J830" s="169" t="s">
        <v>2037</v>
      </c>
      <c r="K830" s="169" t="s">
        <v>2026</v>
      </c>
      <c r="L830" s="169" t="s">
        <v>631</v>
      </c>
      <c r="M830" s="169" t="s">
        <v>1453</v>
      </c>
      <c r="N830" s="178">
        <v>56196625</v>
      </c>
      <c r="O830" s="169" t="s">
        <v>2038</v>
      </c>
      <c r="P830" s="169" t="s">
        <v>283</v>
      </c>
      <c r="Q830" s="169" t="s">
        <v>284</v>
      </c>
      <c r="R830" s="169" t="s">
        <v>283</v>
      </c>
      <c r="S830" s="169" t="s">
        <v>283</v>
      </c>
      <c r="T830" s="169">
        <v>0</v>
      </c>
    </row>
    <row r="831" spans="1:20" hidden="1" x14ac:dyDescent="0.2">
      <c r="A831" s="169" t="str">
        <f t="shared" si="14"/>
        <v>622</v>
      </c>
      <c r="B831" s="167" t="str">
        <f>_xlfn.XLOOKUP(I831,Mapping!D:D,Mapping!E:E)</f>
        <v>Xưởng Sản Xuất</v>
      </c>
      <c r="C831" s="167" t="str">
        <f>_xlfn.XLOOKUP(F831,Mapping!A:A,Mapping!F:F)</f>
        <v>BHXH, BHYT, KPCĐ</v>
      </c>
      <c r="D831" s="173">
        <v>46142</v>
      </c>
      <c r="E831" s="169" t="s">
        <v>2036</v>
      </c>
      <c r="F831" s="169" t="s">
        <v>425</v>
      </c>
      <c r="G831" s="169" t="s">
        <v>296</v>
      </c>
      <c r="H831" s="169" t="s">
        <v>441</v>
      </c>
      <c r="I831" s="169" t="s">
        <v>442</v>
      </c>
      <c r="J831" s="169" t="s">
        <v>2037</v>
      </c>
      <c r="K831" s="169" t="s">
        <v>2026</v>
      </c>
      <c r="L831" s="169" t="s">
        <v>631</v>
      </c>
      <c r="M831" s="169" t="s">
        <v>1453</v>
      </c>
      <c r="N831" s="178">
        <v>1406240</v>
      </c>
      <c r="O831" s="169" t="s">
        <v>2038</v>
      </c>
      <c r="P831" s="169" t="s">
        <v>283</v>
      </c>
      <c r="Q831" s="169" t="s">
        <v>284</v>
      </c>
      <c r="R831" s="169" t="s">
        <v>283</v>
      </c>
      <c r="S831" s="169" t="s">
        <v>283</v>
      </c>
      <c r="T831" s="169">
        <v>0</v>
      </c>
    </row>
    <row r="832" spans="1:20" hidden="1" x14ac:dyDescent="0.2">
      <c r="A832" s="169" t="str">
        <f t="shared" si="14"/>
        <v>627</v>
      </c>
      <c r="B832" s="167" t="str">
        <f>_xlfn.XLOOKUP(I832,Mapping!D:D,Mapping!E:E)</f>
        <v>Xưởng Sản Xuất</v>
      </c>
      <c r="C832" s="167" t="str">
        <f>_xlfn.XLOOKUP(F832,Mapping!A:A,Mapping!F:F)</f>
        <v>Lương Chính +T13</v>
      </c>
      <c r="D832" s="173">
        <v>46142</v>
      </c>
      <c r="E832" s="169" t="s">
        <v>2358</v>
      </c>
      <c r="F832" s="169" t="s">
        <v>388</v>
      </c>
      <c r="G832" s="169" t="s">
        <v>286</v>
      </c>
      <c r="H832" s="169" t="s">
        <v>436</v>
      </c>
      <c r="I832" s="169" t="s">
        <v>437</v>
      </c>
      <c r="J832" s="169" t="s">
        <v>2031</v>
      </c>
      <c r="K832" s="169" t="s">
        <v>2026</v>
      </c>
      <c r="L832" s="169" t="s">
        <v>631</v>
      </c>
      <c r="M832" s="169" t="s">
        <v>1453</v>
      </c>
      <c r="N832" s="178">
        <v>24989417</v>
      </c>
      <c r="O832" s="169" t="s">
        <v>2359</v>
      </c>
      <c r="P832" s="169" t="s">
        <v>283</v>
      </c>
      <c r="Q832" s="169" t="s">
        <v>284</v>
      </c>
      <c r="R832" s="169" t="s">
        <v>283</v>
      </c>
      <c r="S832" s="169" t="s">
        <v>283</v>
      </c>
      <c r="T832" s="169">
        <v>0</v>
      </c>
    </row>
    <row r="833" spans="1:20" hidden="1" x14ac:dyDescent="0.2">
      <c r="A833" s="169" t="str">
        <f t="shared" si="14"/>
        <v>627</v>
      </c>
      <c r="B833" s="167" t="str">
        <f>_xlfn.XLOOKUP(I833,Mapping!D:D,Mapping!E:E)</f>
        <v>Xưởng Sản Xuất</v>
      </c>
      <c r="C833" s="167" t="str">
        <f>_xlfn.XLOOKUP(F833,Mapping!A:A,Mapping!F:F)</f>
        <v>Thưởng</v>
      </c>
      <c r="D833" s="173">
        <v>46142</v>
      </c>
      <c r="E833" s="169" t="s">
        <v>2360</v>
      </c>
      <c r="F833" s="169" t="s">
        <v>395</v>
      </c>
      <c r="G833" s="169" t="s">
        <v>77</v>
      </c>
      <c r="H833" s="169" t="s">
        <v>436</v>
      </c>
      <c r="I833" s="169" t="s">
        <v>437</v>
      </c>
      <c r="J833" s="169" t="s">
        <v>2034</v>
      </c>
      <c r="K833" s="169" t="s">
        <v>2026</v>
      </c>
      <c r="L833" s="169" t="s">
        <v>631</v>
      </c>
      <c r="M833" s="169" t="s">
        <v>1453</v>
      </c>
      <c r="N833" s="178">
        <v>16734626</v>
      </c>
      <c r="O833" s="169" t="s">
        <v>2361</v>
      </c>
      <c r="P833" s="169" t="s">
        <v>283</v>
      </c>
      <c r="Q833" s="169" t="s">
        <v>284</v>
      </c>
      <c r="R833" s="169" t="s">
        <v>283</v>
      </c>
      <c r="S833" s="169" t="s">
        <v>283</v>
      </c>
      <c r="T833" s="169">
        <v>0</v>
      </c>
    </row>
    <row r="834" spans="1:20" hidden="1" x14ac:dyDescent="0.2">
      <c r="A834" s="169" t="str">
        <f t="shared" si="14"/>
        <v>622</v>
      </c>
      <c r="B834" s="167" t="str">
        <f>_xlfn.XLOOKUP(I834,Mapping!D:D,Mapping!E:E)</f>
        <v>Xưởng Sản Xuất</v>
      </c>
      <c r="C834" s="167" t="str">
        <f>_xlfn.XLOOKUP(F834,Mapping!A:A,Mapping!F:F)</f>
        <v>Lương Chính +T13</v>
      </c>
      <c r="D834" s="173">
        <v>46142</v>
      </c>
      <c r="E834" s="169" t="s">
        <v>2362</v>
      </c>
      <c r="F834" s="169" t="s">
        <v>420</v>
      </c>
      <c r="G834" s="169" t="s">
        <v>286</v>
      </c>
      <c r="H834" s="169" t="s">
        <v>441</v>
      </c>
      <c r="I834" s="169" t="s">
        <v>442</v>
      </c>
      <c r="J834" s="169" t="s">
        <v>2031</v>
      </c>
      <c r="K834" s="169" t="s">
        <v>2026</v>
      </c>
      <c r="L834" s="169" t="s">
        <v>631</v>
      </c>
      <c r="M834" s="169" t="s">
        <v>1453</v>
      </c>
      <c r="N834" s="178">
        <v>498667</v>
      </c>
      <c r="O834" s="169" t="s">
        <v>2363</v>
      </c>
      <c r="P834" s="169" t="s">
        <v>283</v>
      </c>
      <c r="Q834" s="169" t="s">
        <v>284</v>
      </c>
      <c r="R834" s="169" t="s">
        <v>283</v>
      </c>
      <c r="S834" s="169" t="s">
        <v>283</v>
      </c>
      <c r="T834" s="169">
        <v>0</v>
      </c>
    </row>
    <row r="835" spans="1:20" hidden="1" x14ac:dyDescent="0.2">
      <c r="A835" s="169" t="str">
        <f t="shared" si="14"/>
        <v>622</v>
      </c>
      <c r="B835" s="167" t="str">
        <f>_xlfn.XLOOKUP(I835,Mapping!D:D,Mapping!E:E)</f>
        <v>Xưởng Sản Xuất</v>
      </c>
      <c r="C835" s="167" t="str">
        <f>_xlfn.XLOOKUP(F835,Mapping!A:A,Mapping!F:F)</f>
        <v>Thưởng</v>
      </c>
      <c r="D835" s="173">
        <v>46142</v>
      </c>
      <c r="E835" s="169" t="s">
        <v>2364</v>
      </c>
      <c r="F835" s="169" t="s">
        <v>426</v>
      </c>
      <c r="G835" s="169" t="s">
        <v>77</v>
      </c>
      <c r="H835" s="169" t="s">
        <v>441</v>
      </c>
      <c r="I835" s="169" t="s">
        <v>442</v>
      </c>
      <c r="J835" s="169" t="s">
        <v>2034</v>
      </c>
      <c r="K835" s="169" t="s">
        <v>2026</v>
      </c>
      <c r="L835" s="169" t="s">
        <v>631</v>
      </c>
      <c r="M835" s="169" t="s">
        <v>1453</v>
      </c>
      <c r="N835" s="178">
        <v>84769</v>
      </c>
      <c r="O835" s="169" t="s">
        <v>2365</v>
      </c>
      <c r="P835" s="169" t="s">
        <v>283</v>
      </c>
      <c r="Q835" s="169" t="s">
        <v>284</v>
      </c>
      <c r="R835" s="169" t="s">
        <v>283</v>
      </c>
      <c r="S835" s="169" t="s">
        <v>283</v>
      </c>
      <c r="T835" s="169">
        <v>0</v>
      </c>
    </row>
    <row r="836" spans="1:20" hidden="1" x14ac:dyDescent="0.2">
      <c r="A836" s="169" t="str">
        <f t="shared" si="14"/>
        <v>627</v>
      </c>
      <c r="B836" s="167" t="str">
        <f>_xlfn.XLOOKUP(I836,Mapping!D:D,Mapping!E:E)</f>
        <v>Xưởng Sản Xuất</v>
      </c>
      <c r="C836" s="167" t="str">
        <f>_xlfn.XLOOKUP(F836,Mapping!A:A,Mapping!F:F)</f>
        <v>Khen thưởng BD khác</v>
      </c>
      <c r="D836" s="173">
        <v>46142</v>
      </c>
      <c r="E836" s="169" t="s">
        <v>2114</v>
      </c>
      <c r="F836" s="169" t="s">
        <v>504</v>
      </c>
      <c r="G836" s="169" t="s">
        <v>505</v>
      </c>
      <c r="H836" s="169" t="s">
        <v>436</v>
      </c>
      <c r="I836" s="169" t="s">
        <v>437</v>
      </c>
      <c r="J836" s="169" t="s">
        <v>2115</v>
      </c>
      <c r="K836" s="169" t="s">
        <v>2026</v>
      </c>
      <c r="L836" s="169" t="s">
        <v>631</v>
      </c>
      <c r="M836" s="169" t="s">
        <v>1453</v>
      </c>
      <c r="N836" s="178">
        <v>-1400000</v>
      </c>
      <c r="O836" s="169" t="s">
        <v>2116</v>
      </c>
      <c r="P836" s="169" t="s">
        <v>283</v>
      </c>
      <c r="Q836" s="169" t="s">
        <v>284</v>
      </c>
      <c r="R836" s="169" t="s">
        <v>283</v>
      </c>
      <c r="S836" s="169" t="s">
        <v>283</v>
      </c>
      <c r="T836" s="169">
        <v>0</v>
      </c>
    </row>
    <row r="837" spans="1:20" hidden="1" x14ac:dyDescent="0.2">
      <c r="A837" s="169" t="str">
        <f t="shared" si="14"/>
        <v>627</v>
      </c>
      <c r="B837" s="167" t="str">
        <f>_xlfn.XLOOKUP(I837,Mapping!D:D,Mapping!E:E)</f>
        <v>Xưởng Sản Xuất</v>
      </c>
      <c r="C837" s="167" t="str">
        <f>_xlfn.XLOOKUP(F837,Mapping!A:A,Mapping!F:F)</f>
        <v>Phụ Cấp</v>
      </c>
      <c r="D837" s="173">
        <v>46140</v>
      </c>
      <c r="E837" s="169" t="s">
        <v>2072</v>
      </c>
      <c r="F837" s="169" t="s">
        <v>375</v>
      </c>
      <c r="G837" s="169" t="s">
        <v>336</v>
      </c>
      <c r="H837" s="169" t="s">
        <v>441</v>
      </c>
      <c r="I837" s="169" t="s">
        <v>442</v>
      </c>
      <c r="J837" s="169" t="s">
        <v>2073</v>
      </c>
      <c r="K837" s="169" t="s">
        <v>741</v>
      </c>
      <c r="L837" s="169" t="s">
        <v>631</v>
      </c>
      <c r="M837" s="169" t="s">
        <v>1453</v>
      </c>
      <c r="N837" s="178">
        <v>476000</v>
      </c>
      <c r="O837" s="169" t="s">
        <v>2074</v>
      </c>
      <c r="P837" s="169" t="s">
        <v>283</v>
      </c>
      <c r="Q837" s="169" t="s">
        <v>306</v>
      </c>
      <c r="R837" s="169" t="s">
        <v>283</v>
      </c>
      <c r="S837" s="169" t="s">
        <v>283</v>
      </c>
      <c r="T837" s="169">
        <v>0</v>
      </c>
    </row>
    <row r="838" spans="1:20" hidden="1" x14ac:dyDescent="0.2">
      <c r="A838" s="169" t="str">
        <f t="shared" si="14"/>
        <v>627</v>
      </c>
      <c r="B838" s="167" t="str">
        <f>_xlfn.XLOOKUP(I838,Mapping!D:D,Mapping!E:E)</f>
        <v>Xưởng Sản Xuất</v>
      </c>
      <c r="C838" s="167" t="str">
        <f>_xlfn.XLOOKUP(F838,Mapping!A:A,Mapping!F:F)</f>
        <v>Phụ Cấp</v>
      </c>
      <c r="D838" s="173">
        <v>46140</v>
      </c>
      <c r="E838" s="169" t="s">
        <v>2072</v>
      </c>
      <c r="F838" s="169" t="s">
        <v>375</v>
      </c>
      <c r="G838" s="169" t="s">
        <v>336</v>
      </c>
      <c r="H838" s="169" t="s">
        <v>436</v>
      </c>
      <c r="I838" s="169" t="s">
        <v>437</v>
      </c>
      <c r="J838" s="169" t="s">
        <v>2073</v>
      </c>
      <c r="K838" s="169" t="s">
        <v>741</v>
      </c>
      <c r="L838" s="169" t="s">
        <v>631</v>
      </c>
      <c r="M838" s="169" t="s">
        <v>1453</v>
      </c>
      <c r="N838" s="178">
        <v>35252000</v>
      </c>
      <c r="O838" s="169" t="s">
        <v>2074</v>
      </c>
      <c r="P838" s="169" t="s">
        <v>283</v>
      </c>
      <c r="Q838" s="169" t="s">
        <v>306</v>
      </c>
      <c r="R838" s="169" t="s">
        <v>283</v>
      </c>
      <c r="S838" s="169" t="s">
        <v>283</v>
      </c>
      <c r="T838" s="169">
        <v>0</v>
      </c>
    </row>
    <row r="839" spans="1:20" hidden="1" x14ac:dyDescent="0.2">
      <c r="A839" s="169" t="str">
        <f t="shared" si="14"/>
        <v>627</v>
      </c>
      <c r="B839" s="167" t="str">
        <f>_xlfn.XLOOKUP(I839,Mapping!D:D,Mapping!E:E)</f>
        <v>Xưởng Sản Xuất</v>
      </c>
      <c r="C839" s="167" t="str">
        <f>_xlfn.XLOOKUP(F839,Mapping!A:A,Mapping!F:F)</f>
        <v>Phụ Cấp</v>
      </c>
      <c r="D839" s="173">
        <v>46142</v>
      </c>
      <c r="E839" s="169" t="s">
        <v>2082</v>
      </c>
      <c r="F839" s="169" t="s">
        <v>375</v>
      </c>
      <c r="G839" s="169" t="s">
        <v>336</v>
      </c>
      <c r="H839" s="169" t="s">
        <v>436</v>
      </c>
      <c r="I839" s="169" t="s">
        <v>437</v>
      </c>
      <c r="J839" s="169" t="s">
        <v>2366</v>
      </c>
      <c r="K839" s="169" t="s">
        <v>2084</v>
      </c>
      <c r="L839" s="169" t="s">
        <v>631</v>
      </c>
      <c r="M839" s="169" t="s">
        <v>1453</v>
      </c>
      <c r="N839" s="178">
        <v>8693688</v>
      </c>
      <c r="O839" s="169" t="s">
        <v>2085</v>
      </c>
      <c r="P839" s="169" t="s">
        <v>283</v>
      </c>
      <c r="Q839" s="169" t="s">
        <v>306</v>
      </c>
      <c r="R839" s="169" t="s">
        <v>283</v>
      </c>
      <c r="S839" s="169" t="s">
        <v>283</v>
      </c>
      <c r="T839" s="169">
        <v>0</v>
      </c>
    </row>
    <row r="840" spans="1:20" hidden="1" x14ac:dyDescent="0.2">
      <c r="A840" s="169" t="str">
        <f t="shared" si="14"/>
        <v>627</v>
      </c>
      <c r="B840" s="167" t="str">
        <f>_xlfn.XLOOKUP(I840,Mapping!D:D,Mapping!E:E)</f>
        <v>Xưởng Sản Xuất</v>
      </c>
      <c r="C840" s="167" t="str">
        <f>_xlfn.XLOOKUP(F840,Mapping!A:A,Mapping!F:F)</f>
        <v>Lương Chính +T13</v>
      </c>
      <c r="D840" s="173">
        <v>46141</v>
      </c>
      <c r="E840" s="169" t="s">
        <v>2293</v>
      </c>
      <c r="F840" s="169" t="s">
        <v>387</v>
      </c>
      <c r="G840" s="169" t="s">
        <v>275</v>
      </c>
      <c r="H840" s="169" t="s">
        <v>436</v>
      </c>
      <c r="I840" s="169" t="s">
        <v>437</v>
      </c>
      <c r="J840" s="169" t="s">
        <v>2294</v>
      </c>
      <c r="K840" s="169" t="s">
        <v>405</v>
      </c>
      <c r="L840" s="169" t="s">
        <v>631</v>
      </c>
      <c r="M840" s="169" t="s">
        <v>1453</v>
      </c>
      <c r="N840" s="178">
        <v>78341439</v>
      </c>
      <c r="O840" s="169" t="s">
        <v>2295</v>
      </c>
      <c r="P840" s="169" t="s">
        <v>283</v>
      </c>
      <c r="Q840" s="169" t="s">
        <v>306</v>
      </c>
      <c r="R840" s="169" t="s">
        <v>283</v>
      </c>
      <c r="S840" s="169" t="s">
        <v>283</v>
      </c>
      <c r="T840" s="169">
        <v>0</v>
      </c>
    </row>
    <row r="841" spans="1:20" hidden="1" x14ac:dyDescent="0.2">
      <c r="A841" s="169" t="str">
        <f t="shared" si="14"/>
        <v>627</v>
      </c>
      <c r="B841" s="167" t="str">
        <f>_xlfn.XLOOKUP(I841,Mapping!D:D,Mapping!E:E)</f>
        <v>Xưởng Sản Xuất</v>
      </c>
      <c r="C841" s="167" t="str">
        <f>_xlfn.XLOOKUP(F841,Mapping!A:A,Mapping!F:F)</f>
        <v>Lương Chính +T13</v>
      </c>
      <c r="D841" s="173">
        <v>46141</v>
      </c>
      <c r="E841" s="169" t="s">
        <v>2086</v>
      </c>
      <c r="F841" s="169" t="s">
        <v>387</v>
      </c>
      <c r="G841" s="169" t="s">
        <v>275</v>
      </c>
      <c r="H841" s="169" t="s">
        <v>436</v>
      </c>
      <c r="I841" s="169" t="s">
        <v>437</v>
      </c>
      <c r="J841" s="169" t="s">
        <v>2087</v>
      </c>
      <c r="K841" s="169" t="s">
        <v>405</v>
      </c>
      <c r="L841" s="169" t="s">
        <v>631</v>
      </c>
      <c r="M841" s="169" t="s">
        <v>1453</v>
      </c>
      <c r="N841" s="178">
        <v>45328709</v>
      </c>
      <c r="O841" s="169" t="s">
        <v>2088</v>
      </c>
      <c r="P841" s="169" t="s">
        <v>283</v>
      </c>
      <c r="Q841" s="169" t="s">
        <v>306</v>
      </c>
      <c r="R841" s="169" t="s">
        <v>283</v>
      </c>
      <c r="S841" s="169" t="s">
        <v>283</v>
      </c>
      <c r="T841" s="169">
        <v>0</v>
      </c>
    </row>
    <row r="842" spans="1:20" hidden="1" x14ac:dyDescent="0.2">
      <c r="A842" s="169" t="str">
        <f t="shared" si="14"/>
        <v>627</v>
      </c>
      <c r="B842" s="167" t="str">
        <f>_xlfn.XLOOKUP(I842,Mapping!D:D,Mapping!E:E)</f>
        <v>Xưởng Sản Xuất</v>
      </c>
      <c r="C842" s="167" t="str">
        <f>_xlfn.XLOOKUP(F842,Mapping!A:A,Mapping!F:F)</f>
        <v>Lương Chính +T13</v>
      </c>
      <c r="D842" s="173">
        <v>46141</v>
      </c>
      <c r="E842" s="169" t="s">
        <v>2296</v>
      </c>
      <c r="F842" s="169" t="s">
        <v>387</v>
      </c>
      <c r="G842" s="169" t="s">
        <v>275</v>
      </c>
      <c r="H842" s="169" t="s">
        <v>436</v>
      </c>
      <c r="I842" s="169" t="s">
        <v>437</v>
      </c>
      <c r="J842" s="169" t="s">
        <v>2297</v>
      </c>
      <c r="K842" s="169" t="s">
        <v>405</v>
      </c>
      <c r="L842" s="169" t="s">
        <v>631</v>
      </c>
      <c r="M842" s="169" t="s">
        <v>1453</v>
      </c>
      <c r="N842" s="178">
        <v>27244126</v>
      </c>
      <c r="O842" s="169" t="s">
        <v>2298</v>
      </c>
      <c r="P842" s="169" t="s">
        <v>283</v>
      </c>
      <c r="Q842" s="169" t="s">
        <v>306</v>
      </c>
      <c r="R842" s="169" t="s">
        <v>283</v>
      </c>
      <c r="S842" s="169" t="s">
        <v>283</v>
      </c>
      <c r="T842" s="169">
        <v>0</v>
      </c>
    </row>
    <row r="843" spans="1:20" hidden="1" x14ac:dyDescent="0.2">
      <c r="A843" s="169" t="str">
        <f t="shared" si="14"/>
        <v>622</v>
      </c>
      <c r="B843" s="167" t="str">
        <f>_xlfn.XLOOKUP(I843,Mapping!D:D,Mapping!E:E)</f>
        <v>Xưởng Sản Xuất</v>
      </c>
      <c r="C843" s="167" t="str">
        <f>_xlfn.XLOOKUP(F843,Mapping!A:A,Mapping!F:F)</f>
        <v>Phụ Cấp</v>
      </c>
      <c r="D843" s="173">
        <v>46142</v>
      </c>
      <c r="E843" s="169" t="s">
        <v>2305</v>
      </c>
      <c r="F843" s="169" t="s">
        <v>414</v>
      </c>
      <c r="G843" s="169" t="s">
        <v>415</v>
      </c>
      <c r="H843" s="169" t="s">
        <v>441</v>
      </c>
      <c r="I843" s="169" t="s">
        <v>442</v>
      </c>
      <c r="J843" s="169" t="s">
        <v>416</v>
      </c>
      <c r="K843" s="169" t="s">
        <v>416</v>
      </c>
      <c r="L843" s="169" t="s">
        <v>631</v>
      </c>
      <c r="M843" s="169" t="s">
        <v>1453</v>
      </c>
      <c r="N843" s="178">
        <v>476000</v>
      </c>
      <c r="O843" s="169" t="s">
        <v>2306</v>
      </c>
      <c r="P843" s="169" t="s">
        <v>283</v>
      </c>
      <c r="Q843" s="169" t="s">
        <v>348</v>
      </c>
      <c r="R843" s="169" t="s">
        <v>283</v>
      </c>
      <c r="S843" s="169" t="s">
        <v>283</v>
      </c>
      <c r="T843" s="169">
        <v>0</v>
      </c>
    </row>
    <row r="844" spans="1:20" hidden="1" x14ac:dyDescent="0.2">
      <c r="A844" s="169" t="str">
        <f t="shared" si="14"/>
        <v>627</v>
      </c>
      <c r="B844" s="167" t="str">
        <f>_xlfn.XLOOKUP(I844,Mapping!D:D,Mapping!E:E)</f>
        <v>Xưởng Sản Xuất</v>
      </c>
      <c r="C844" s="167" t="str">
        <f>_xlfn.XLOOKUP(F844,Mapping!A:A,Mapping!F:F)</f>
        <v>Phụ Cấp</v>
      </c>
      <c r="D844" s="173">
        <v>46142</v>
      </c>
      <c r="E844" s="169" t="s">
        <v>2305</v>
      </c>
      <c r="F844" s="169" t="s">
        <v>375</v>
      </c>
      <c r="G844" s="169" t="s">
        <v>336</v>
      </c>
      <c r="H844" s="169" t="s">
        <v>441</v>
      </c>
      <c r="I844" s="169" t="s">
        <v>442</v>
      </c>
      <c r="J844" s="169" t="s">
        <v>416</v>
      </c>
      <c r="K844" s="169" t="s">
        <v>416</v>
      </c>
      <c r="L844" s="169" t="s">
        <v>631</v>
      </c>
      <c r="M844" s="169" t="s">
        <v>1453</v>
      </c>
      <c r="N844" s="178">
        <v>-476000</v>
      </c>
      <c r="O844" s="169" t="s">
        <v>2306</v>
      </c>
      <c r="P844" s="169" t="s">
        <v>283</v>
      </c>
      <c r="Q844" s="169" t="s">
        <v>348</v>
      </c>
      <c r="R844" s="169" t="s">
        <v>283</v>
      </c>
      <c r="S844" s="169" t="s">
        <v>283</v>
      </c>
      <c r="T844" s="169">
        <v>0</v>
      </c>
    </row>
    <row r="845" spans="1:20" hidden="1" x14ac:dyDescent="0.2">
      <c r="A845" s="169" t="str">
        <f t="shared" si="14"/>
        <v>622</v>
      </c>
      <c r="B845" s="167" t="str">
        <f>_xlfn.XLOOKUP(I845,Mapping!D:D,Mapping!E:E)</f>
        <v>Xưởng Sản Xuất</v>
      </c>
      <c r="C845" s="167" t="str">
        <f>_xlfn.XLOOKUP(F845,Mapping!A:A,Mapping!F:F)</f>
        <v>Phụ Cấp</v>
      </c>
      <c r="D845" s="173">
        <v>46142</v>
      </c>
      <c r="E845" s="169" t="s">
        <v>2305</v>
      </c>
      <c r="F845" s="169" t="s">
        <v>414</v>
      </c>
      <c r="G845" s="169" t="s">
        <v>415</v>
      </c>
      <c r="H845" s="169" t="s">
        <v>441</v>
      </c>
      <c r="I845" s="169" t="s">
        <v>442</v>
      </c>
      <c r="J845" s="169" t="s">
        <v>416</v>
      </c>
      <c r="K845" s="169" t="s">
        <v>416</v>
      </c>
      <c r="L845" s="169" t="s">
        <v>631</v>
      </c>
      <c r="M845" s="169" t="s">
        <v>1453</v>
      </c>
      <c r="N845" s="178">
        <v>196000</v>
      </c>
      <c r="O845" s="169" t="s">
        <v>2306</v>
      </c>
      <c r="P845" s="169" t="s">
        <v>283</v>
      </c>
      <c r="Q845" s="169" t="s">
        <v>348</v>
      </c>
      <c r="R845" s="169" t="s">
        <v>283</v>
      </c>
      <c r="S845" s="169" t="s">
        <v>283</v>
      </c>
      <c r="T845" s="169">
        <v>0</v>
      </c>
    </row>
    <row r="846" spans="1:20" hidden="1" x14ac:dyDescent="0.2">
      <c r="A846" s="169" t="str">
        <f t="shared" si="14"/>
        <v>642</v>
      </c>
      <c r="B846" s="167" t="str">
        <f>_xlfn.XLOOKUP(I846,Mapping!D:D,Mapping!E:E)</f>
        <v>Kế Toán</v>
      </c>
      <c r="C846" s="167" t="str">
        <f>_xlfn.XLOOKUP(F846,Mapping!A:A,Mapping!F:F)</f>
        <v>Khen thưởng BD khác</v>
      </c>
      <c r="D846" s="173">
        <v>46142</v>
      </c>
      <c r="E846" s="169">
        <v>1013869803</v>
      </c>
      <c r="F846" s="169" t="s">
        <v>2106</v>
      </c>
      <c r="G846" s="169" t="s">
        <v>505</v>
      </c>
      <c r="H846" s="169" t="s">
        <v>356</v>
      </c>
      <c r="I846" s="169" t="s">
        <v>357</v>
      </c>
      <c r="J846" s="169" t="s">
        <v>2367</v>
      </c>
      <c r="K846" s="169" t="s">
        <v>2368</v>
      </c>
      <c r="L846" s="169" t="s">
        <v>631</v>
      </c>
      <c r="M846" s="169" t="s">
        <v>1453</v>
      </c>
      <c r="N846" s="178">
        <v>-2100000</v>
      </c>
      <c r="O846" s="169">
        <v>5100004112</v>
      </c>
      <c r="Q846" s="169" t="s">
        <v>284</v>
      </c>
      <c r="T846" s="169">
        <v>0</v>
      </c>
    </row>
    <row r="847" spans="1:20" hidden="1" x14ac:dyDescent="0.2">
      <c r="A847" s="169" t="str">
        <f t="shared" si="14"/>
        <v>642</v>
      </c>
      <c r="B847" s="167" t="str">
        <f>_xlfn.XLOOKUP(I847,Mapping!D:D,Mapping!E:E)</f>
        <v>Kế Toán</v>
      </c>
      <c r="C847" s="167" t="str">
        <f>_xlfn.XLOOKUP(F847,Mapping!A:A,Mapping!F:F)</f>
        <v>Khen thưởng BD khác</v>
      </c>
      <c r="D847" s="173">
        <v>46142</v>
      </c>
      <c r="E847" s="169">
        <v>1013869803</v>
      </c>
      <c r="F847" s="169" t="s">
        <v>300</v>
      </c>
      <c r="G847" s="169" t="s">
        <v>222</v>
      </c>
      <c r="H847" s="169" t="s">
        <v>356</v>
      </c>
      <c r="I847" s="169" t="s">
        <v>357</v>
      </c>
      <c r="J847" s="169" t="s">
        <v>2367</v>
      </c>
      <c r="K847" s="169" t="s">
        <v>2368</v>
      </c>
      <c r="L847" s="169" t="s">
        <v>631</v>
      </c>
      <c r="M847" s="169" t="s">
        <v>1453</v>
      </c>
      <c r="N847" s="178">
        <v>2100000</v>
      </c>
      <c r="O847" s="169">
        <v>5100004112</v>
      </c>
      <c r="Q847" s="169" t="s">
        <v>284</v>
      </c>
      <c r="T847" s="169">
        <v>0</v>
      </c>
    </row>
  </sheetData>
  <autoFilter ref="A2:T847" xr:uid="{A95656F1-EBF0-45F7-8115-ADCAF8E1B5AE}">
    <filterColumn colId="9">
      <filters>
        <filter val="CP công nhân thuê ngoài T02.2026"/>
        <filter val="CP công nhân thuê ngoài T02.2026 (VIN HR)"/>
      </filters>
    </filterColumn>
    <filterColumn colId="11">
      <filters>
        <filter val="2"/>
      </filters>
    </filterColumn>
  </autoFilter>
  <conditionalFormatting sqref="D3:J3">
    <cfRule type="timePeriod" dxfId="1" priority="2" timePeriod="lastMonth">
      <formula>AND(MONTH(D3)=MONTH(EDATE(TODAY(),0-1)),YEAR(D3)=YEAR(EDATE(TODAY(),0-1)))</formula>
    </cfRule>
  </conditionalFormatting>
  <conditionalFormatting sqref="D211:J212">
    <cfRule type="timePeriod" dxfId="0" priority="1" timePeriod="lastMonth">
      <formula>AND(MONTH(D211)=MONTH(EDATE(TODAY(),0-1)),YEAR(D211)=YEAR(EDATE(TODAY(),0-1)))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9865-457D-4DC9-AE8B-2FF3385E1DE1}">
  <sheetPr>
    <tabColor rgb="FF00B050"/>
  </sheetPr>
  <dimension ref="A1:O240"/>
  <sheetViews>
    <sheetView showGridLines="0" zoomScale="98" zoomScaleNormal="98" workbookViewId="0">
      <pane ySplit="4" topLeftCell="A19" activePane="bottomLeft" state="frozen"/>
      <selection pane="bottomLeft" activeCell="S65" sqref="S65"/>
    </sheetView>
  </sheetViews>
  <sheetFormatPr defaultRowHeight="15" outlineLevelRow="1" outlineLevelCol="1" x14ac:dyDescent="0.25"/>
  <cols>
    <col min="1" max="1" width="6.7109375" customWidth="1"/>
    <col min="2" max="2" width="4.42578125" customWidth="1"/>
    <col min="3" max="3" width="20.7109375" customWidth="1"/>
    <col min="4" max="4" width="7" style="131" customWidth="1"/>
    <col min="5" max="5" width="17.28515625" customWidth="1" outlineLevel="1"/>
    <col min="6" max="6" width="16" customWidth="1" outlineLevel="1"/>
    <col min="7" max="7" width="15.5703125" customWidth="1" outlineLevel="1"/>
    <col min="8" max="8" width="14.7109375" customWidth="1" outlineLevel="1"/>
    <col min="9" max="9" width="17.28515625" customWidth="1" outlineLevel="1"/>
    <col min="10" max="10" width="15.5703125" customWidth="1" outlineLevel="1"/>
    <col min="11" max="11" width="22.7109375" bestFit="1" customWidth="1"/>
    <col min="12" max="12" width="14.28515625" bestFit="1" customWidth="1"/>
    <col min="13" max="13" width="1.28515625" customWidth="1"/>
    <col min="14" max="14" width="24.7109375" bestFit="1" customWidth="1"/>
    <col min="15" max="15" width="10.28515625" customWidth="1"/>
  </cols>
  <sheetData>
    <row r="1" spans="1:15" ht="21" x14ac:dyDescent="0.35">
      <c r="A1" s="165" t="s">
        <v>254</v>
      </c>
      <c r="B1" s="124" t="s">
        <v>173</v>
      </c>
    </row>
    <row r="3" spans="1:15" ht="21" x14ac:dyDescent="0.35">
      <c r="C3" s="434">
        <v>2026</v>
      </c>
      <c r="K3" s="281"/>
      <c r="N3" s="281">
        <f>SUM(N19:N189)</f>
        <v>3148577052022.1484</v>
      </c>
      <c r="O3" s="282">
        <f>K3/$N$71</f>
        <v>0</v>
      </c>
    </row>
    <row r="4" spans="1:15" s="13" customFormat="1" ht="30" x14ac:dyDescent="0.25">
      <c r="A4" s="435" t="s">
        <v>172</v>
      </c>
      <c r="B4" s="435" t="s">
        <v>14</v>
      </c>
      <c r="C4" s="435" t="s">
        <v>11</v>
      </c>
      <c r="D4" s="435" t="s">
        <v>220</v>
      </c>
      <c r="E4" s="435" t="s">
        <v>22</v>
      </c>
      <c r="F4" s="435" t="s">
        <v>23</v>
      </c>
      <c r="G4" s="435" t="s">
        <v>24</v>
      </c>
      <c r="H4" s="435" t="s">
        <v>25</v>
      </c>
      <c r="I4" s="435" t="s">
        <v>170</v>
      </c>
      <c r="J4" s="435" t="s">
        <v>222</v>
      </c>
      <c r="K4" s="435" t="s">
        <v>171</v>
      </c>
      <c r="L4" s="184" t="s">
        <v>688</v>
      </c>
      <c r="N4" s="248" t="s">
        <v>1039</v>
      </c>
      <c r="O4" s="248" t="s">
        <v>1040</v>
      </c>
    </row>
    <row r="5" spans="1:15" hidden="1" outlineLevel="1" x14ac:dyDescent="0.25">
      <c r="A5" s="14">
        <v>1</v>
      </c>
      <c r="B5" s="1">
        <v>1</v>
      </c>
      <c r="C5" s="2" t="s">
        <v>0</v>
      </c>
      <c r="D5" s="132">
        <f>VLOOKUP(C5,'02. ĐỊNH BIÊN'!$C$6:$P$48,3,0)</f>
        <v>12</v>
      </c>
      <c r="E5" s="72">
        <f>SUMIFS('Data 2026&gt;&gt;'!$N:$N,'Data 2026&gt;&gt;'!$L:$L,'01. CP Nhân sự '!$A5,'Data 2026&gt;&gt;'!$B:$B,'01. CP Nhân sự '!$C5,'Data 2026&gt;&gt;'!$C:$C,'01. CP Nhân sự '!E$4)</f>
        <v>1746535476</v>
      </c>
      <c r="F5" s="72">
        <f>SUMIFS('Data 2026&gt;&gt;'!$N:$N,'Data 2026&gt;&gt;'!$L:$L,'01. CP Nhân sự '!$A5,'Data 2026&gt;&gt;'!$B:$B,'01. CP Nhân sự '!$C5,'Data 2026&gt;&gt;'!$C:$C,'01. CP Nhân sự '!F$4)</f>
        <v>0</v>
      </c>
      <c r="G5" s="72">
        <f>SUMIFS('Data 2026&gt;&gt;'!$N:$N,'Data 2026&gt;&gt;'!$L:$L,'01. CP Nhân sự '!$A5,'Data 2026&gt;&gt;'!$B:$B,'01. CP Nhân sự '!$C5,'Data 2026&gt;&gt;'!$C:$C,'01. CP Nhân sự '!G$4)</f>
        <v>113846447</v>
      </c>
      <c r="H5" s="72">
        <f>SUMIFS('Data 2026&gt;&gt;'!$N:$N,'Data 2026&gt;&gt;'!$L:$L,'01. CP Nhân sự '!$A5,'Data 2026&gt;&gt;'!$B:$B,'01. CP Nhân sự '!$C5,'Data 2026&gt;&gt;'!$C:$C,'01. CP Nhân sự '!H$4)</f>
        <v>0</v>
      </c>
      <c r="I5" s="72">
        <f>SUMIFS('Data 2026&gt;&gt;'!$N:$N,'Data 2026&gt;&gt;'!$L:$L,'01. CP Nhân sự '!$A5,'Data 2026&gt;&gt;'!$B:$B,'01. CP Nhân sự '!$C5,'Data 2026&gt;&gt;'!$C:$C,'01. CP Nhân sự '!I$4)</f>
        <v>126294310</v>
      </c>
      <c r="J5" s="72">
        <f>SUMIFS('Data 2026&gt;&gt;'!$N:$N,'Data 2026&gt;&gt;'!$L:$L,'01. CP Nhân sự '!$A5,'Data 2026&gt;&gt;'!$B:$B,'01. CP Nhân sự '!$C5,'Data 2026&gt;&gt;'!$C:$C,'01. CP Nhân sự '!J$4)</f>
        <v>0</v>
      </c>
      <c r="K5" s="76">
        <f>SUM(E5:J5)</f>
        <v>1986676233</v>
      </c>
      <c r="L5" s="179"/>
      <c r="N5" s="129"/>
      <c r="O5" s="249">
        <f>K5/N$19</f>
        <v>1.5754888232914311E-2</v>
      </c>
    </row>
    <row r="6" spans="1:15" hidden="1" outlineLevel="1" x14ac:dyDescent="0.25">
      <c r="A6" s="15">
        <v>1</v>
      </c>
      <c r="B6" s="3">
        <v>2</v>
      </c>
      <c r="C6" s="7" t="s">
        <v>1</v>
      </c>
      <c r="D6" s="133">
        <f>VLOOKUP(C6,'02. ĐỊNH BIÊN'!$C$6:$P$48,3,0)</f>
        <v>9</v>
      </c>
      <c r="E6" s="73">
        <f>SUMIFS('Data 2026&gt;&gt;'!$N:$N,'Data 2026&gt;&gt;'!$L:$L,'01. CP Nhân sự '!$A6,'Data 2026&gt;&gt;'!$B:$B,'01. CP Nhân sự '!$C6,'Data 2026&gt;&gt;'!$C:$C,'01. CP Nhân sự '!E$4)</f>
        <v>318673280</v>
      </c>
      <c r="F6" s="73">
        <f>SUMIFS('Data 2026&gt;&gt;'!$N:$N,'Data 2026&gt;&gt;'!$L:$L,'01. CP Nhân sự '!$A6,'Data 2026&gt;&gt;'!$B:$B,'01. CP Nhân sự '!$C6,'Data 2026&gt;&gt;'!$C:$C,'01. CP Nhân sự '!F$4)</f>
        <v>0</v>
      </c>
      <c r="G6" s="73">
        <f>SUMIFS('Data 2026&gt;&gt;'!$N:$N,'Data 2026&gt;&gt;'!$L:$L,'01. CP Nhân sự '!$A6,'Data 2026&gt;&gt;'!$B:$B,'01. CP Nhân sự '!$C6,'Data 2026&gt;&gt;'!$C:$C,'01. CP Nhân sự '!G$4)</f>
        <v>154838337</v>
      </c>
      <c r="H6" s="73">
        <f>SUMIFS('Data 2026&gt;&gt;'!$N:$N,'Data 2026&gt;&gt;'!$L:$L,'01. CP Nhân sự '!$A6,'Data 2026&gt;&gt;'!$B:$B,'01. CP Nhân sự '!$C6,'Data 2026&gt;&gt;'!$C:$C,'01. CP Nhân sự '!H$4)</f>
        <v>7162000</v>
      </c>
      <c r="I6" s="73">
        <f>SUMIFS('Data 2026&gt;&gt;'!$N:$N,'Data 2026&gt;&gt;'!$L:$L,'01. CP Nhân sự '!$A6,'Data 2026&gt;&gt;'!$B:$B,'01. CP Nhân sự '!$C6,'Data 2026&gt;&gt;'!$C:$C,'01. CP Nhân sự '!I$4)</f>
        <v>63587000</v>
      </c>
      <c r="J6" s="73">
        <f>SUMIFS('Data 2026&gt;&gt;'!$N:$N,'Data 2026&gt;&gt;'!$L:$L,'01. CP Nhân sự '!$A6,'Data 2026&gt;&gt;'!$B:$B,'01. CP Nhân sự '!$C6,'Data 2026&gt;&gt;'!$C:$C,'01. CP Nhân sự '!J$4)</f>
        <v>0</v>
      </c>
      <c r="K6" s="76">
        <f>SUM(E6:J6)</f>
        <v>544260617</v>
      </c>
      <c r="L6" s="179"/>
      <c r="O6" s="249">
        <f t="shared" ref="O6:O17" si="0">K6/N$19</f>
        <v>4.3161361916851312E-3</v>
      </c>
    </row>
    <row r="7" spans="1:15" hidden="1" outlineLevel="1" x14ac:dyDescent="0.25">
      <c r="A7" s="15">
        <v>1</v>
      </c>
      <c r="B7" s="3">
        <v>3</v>
      </c>
      <c r="C7" s="7" t="s">
        <v>2</v>
      </c>
      <c r="D7" s="133">
        <f>VLOOKUP(C7,'02. ĐỊNH BIÊN'!$C$6:$P$48,3,0)</f>
        <v>9</v>
      </c>
      <c r="E7" s="73">
        <f>SUMIFS('Data 2026&gt;&gt;'!$N:$N,'Data 2026&gt;&gt;'!$L:$L,'01. CP Nhân sự '!$A7,'Data 2026&gt;&gt;'!$B:$B,'01. CP Nhân sự '!$C7,'Data 2026&gt;&gt;'!$C:$C,'01. CP Nhân sự '!E$4)</f>
        <v>201719490</v>
      </c>
      <c r="F7" s="73">
        <f>SUMIFS('Data 2026&gt;&gt;'!$N:$N,'Data 2026&gt;&gt;'!$L:$L,'01. CP Nhân sự '!$A7,'Data 2026&gt;&gt;'!$B:$B,'01. CP Nhân sự '!$C7,'Data 2026&gt;&gt;'!$C:$C,'01. CP Nhân sự '!F$4)</f>
        <v>0</v>
      </c>
      <c r="G7" s="73">
        <f>SUMIFS('Data 2026&gt;&gt;'!$N:$N,'Data 2026&gt;&gt;'!$L:$L,'01. CP Nhân sự '!$A7,'Data 2026&gt;&gt;'!$B:$B,'01. CP Nhân sự '!$C7,'Data 2026&gt;&gt;'!$C:$C,'01. CP Nhân sự '!G$4)</f>
        <v>17382748</v>
      </c>
      <c r="H7" s="73">
        <f>SUMIFS('Data 2026&gt;&gt;'!$N:$N,'Data 2026&gt;&gt;'!$L:$L,'01. CP Nhân sự '!$A7,'Data 2026&gt;&gt;'!$B:$B,'01. CP Nhân sự '!$C7,'Data 2026&gt;&gt;'!$C:$C,'01. CP Nhân sự '!H$4)</f>
        <v>5447000</v>
      </c>
      <c r="I7" s="73">
        <f>SUMIFS('Data 2026&gt;&gt;'!$N:$N,'Data 2026&gt;&gt;'!$L:$L,'01. CP Nhân sự '!$A7,'Data 2026&gt;&gt;'!$B:$B,'01. CP Nhân sự '!$C7,'Data 2026&gt;&gt;'!$C:$C,'01. CP Nhân sự '!I$4)</f>
        <v>45919925</v>
      </c>
      <c r="J7" s="73">
        <f>SUMIFS('Data 2026&gt;&gt;'!$N:$N,'Data 2026&gt;&gt;'!$L:$L,'01. CP Nhân sự '!$A7,'Data 2026&gt;&gt;'!$B:$B,'01. CP Nhân sự '!$C7,'Data 2026&gt;&gt;'!$C:$C,'01. CP Nhân sự '!J$4)</f>
        <v>0</v>
      </c>
      <c r="K7" s="76">
        <f t="shared" ref="K7:K18" si="1">SUM(E7:J7)</f>
        <v>270469163</v>
      </c>
      <c r="L7" s="179"/>
      <c r="O7" s="249">
        <f t="shared" si="0"/>
        <v>2.144894755739942E-3</v>
      </c>
    </row>
    <row r="8" spans="1:15" hidden="1" outlineLevel="1" x14ac:dyDescent="0.25">
      <c r="A8" s="15">
        <v>1</v>
      </c>
      <c r="B8" s="3">
        <v>4</v>
      </c>
      <c r="C8" s="7" t="s">
        <v>3</v>
      </c>
      <c r="D8" s="133">
        <f>VLOOKUP(C8,'02. ĐỊNH BIÊN'!$C$6:$P$48,3,0)</f>
        <v>29</v>
      </c>
      <c r="E8" s="73">
        <f>SUMIFS('Data 2026&gt;&gt;'!$N:$N,'Data 2026&gt;&gt;'!$L:$L,'01. CP Nhân sự '!$A8,'Data 2026&gt;&gt;'!$B:$B,'01. CP Nhân sự '!$C8,'Data 2026&gt;&gt;'!$C:$C,'01. CP Nhân sự '!E$4)</f>
        <v>615389473</v>
      </c>
      <c r="F8" s="73">
        <f>SUMIFS('Data 2026&gt;&gt;'!$N:$N,'Data 2026&gt;&gt;'!$L:$L,'01. CP Nhân sự '!$A8,'Data 2026&gt;&gt;'!$B:$B,'01. CP Nhân sự '!$C8,'Data 2026&gt;&gt;'!$C:$C,'01. CP Nhân sự '!F$4)</f>
        <v>52518781</v>
      </c>
      <c r="G8" s="73">
        <f>SUMIFS('Data 2026&gt;&gt;'!$N:$N,'Data 2026&gt;&gt;'!$L:$L,'01. CP Nhân sự '!$A8,'Data 2026&gt;&gt;'!$B:$B,'01. CP Nhân sự '!$C8,'Data 2026&gt;&gt;'!$C:$C,'01. CP Nhân sự '!G$4)</f>
        <v>48792781</v>
      </c>
      <c r="H8" s="73">
        <f>SUMIFS('Data 2026&gt;&gt;'!$N:$N,'Data 2026&gt;&gt;'!$L:$L,'01. CP Nhân sự '!$A8,'Data 2026&gt;&gt;'!$B:$B,'01. CP Nhân sự '!$C8,'Data 2026&gt;&gt;'!$C:$C,'01. CP Nhân sự '!H$4)</f>
        <v>19303000</v>
      </c>
      <c r="I8" s="73">
        <f>SUMIFS('Data 2026&gt;&gt;'!$N:$N,'Data 2026&gt;&gt;'!$L:$L,'01. CP Nhân sự '!$A8,'Data 2026&gt;&gt;'!$B:$B,'01. CP Nhân sự '!$C8,'Data 2026&gt;&gt;'!$C:$C,'01. CP Nhân sự '!I$4)</f>
        <v>120509265</v>
      </c>
      <c r="J8" s="73">
        <f>SUMIFS('Data 2026&gt;&gt;'!$N:$N,'Data 2026&gt;&gt;'!$L:$L,'01. CP Nhân sự '!$A8,'Data 2026&gt;&gt;'!$B:$B,'01. CP Nhân sự '!$C8,'Data 2026&gt;&gt;'!$C:$C,'01. CP Nhân sự '!J$4)</f>
        <v>1600000</v>
      </c>
      <c r="K8" s="76">
        <f t="shared" si="1"/>
        <v>858113300</v>
      </c>
      <c r="L8" s="179"/>
      <c r="O8" s="249">
        <f t="shared" si="0"/>
        <v>6.8050741777194593E-3</v>
      </c>
    </row>
    <row r="9" spans="1:15" hidden="1" outlineLevel="1" x14ac:dyDescent="0.25">
      <c r="A9" s="15">
        <v>1</v>
      </c>
      <c r="B9" s="3">
        <v>5</v>
      </c>
      <c r="C9" s="7" t="s">
        <v>4</v>
      </c>
      <c r="D9" s="133">
        <f>VLOOKUP(C9,'02. ĐỊNH BIÊN'!$C$6:$P$48,3,0)</f>
        <v>8</v>
      </c>
      <c r="E9" s="73">
        <f>SUMIFS('Data 2026&gt;&gt;'!$N:$N,'Data 2026&gt;&gt;'!$L:$L,'01. CP Nhân sự '!$A9,'Data 2026&gt;&gt;'!$B:$B,'01. CP Nhân sự '!$C9,'Data 2026&gt;&gt;'!$C:$C,'01. CP Nhân sự '!E$4)</f>
        <v>220722113</v>
      </c>
      <c r="F9" s="73">
        <f>SUMIFS('Data 2026&gt;&gt;'!$N:$N,'Data 2026&gt;&gt;'!$L:$L,'01. CP Nhân sự '!$A9,'Data 2026&gt;&gt;'!$B:$B,'01. CP Nhân sự '!$C9,'Data 2026&gt;&gt;'!$C:$C,'01. CP Nhân sự '!F$4)</f>
        <v>0</v>
      </c>
      <c r="G9" s="73">
        <f>SUMIFS('Data 2026&gt;&gt;'!$N:$N,'Data 2026&gt;&gt;'!$L:$L,'01. CP Nhân sự '!$A9,'Data 2026&gt;&gt;'!$B:$B,'01. CP Nhân sự '!$C9,'Data 2026&gt;&gt;'!$C:$C,'01. CP Nhân sự '!G$4)</f>
        <v>17976241</v>
      </c>
      <c r="H9" s="73">
        <f>SUMIFS('Data 2026&gt;&gt;'!$N:$N,'Data 2026&gt;&gt;'!$L:$L,'01. CP Nhân sự '!$A9,'Data 2026&gt;&gt;'!$B:$B,'01. CP Nhân sự '!$C9,'Data 2026&gt;&gt;'!$C:$C,'01. CP Nhân sự '!H$4)</f>
        <v>750000</v>
      </c>
      <c r="I9" s="73">
        <f>SUMIFS('Data 2026&gt;&gt;'!$N:$N,'Data 2026&gt;&gt;'!$L:$L,'01. CP Nhân sự '!$A9,'Data 2026&gt;&gt;'!$B:$B,'01. CP Nhân sự '!$C9,'Data 2026&gt;&gt;'!$C:$C,'01. CP Nhân sự '!I$4)</f>
        <v>48086675</v>
      </c>
      <c r="J9" s="73">
        <f>SUMIFS('Data 2026&gt;&gt;'!$N:$N,'Data 2026&gt;&gt;'!$L:$L,'01. CP Nhân sự '!$A9,'Data 2026&gt;&gt;'!$B:$B,'01. CP Nhân sự '!$C9,'Data 2026&gt;&gt;'!$C:$C,'01. CP Nhân sự '!J$4)</f>
        <v>0</v>
      </c>
      <c r="K9" s="76">
        <f t="shared" si="1"/>
        <v>287535029</v>
      </c>
      <c r="L9" s="179"/>
      <c r="O9" s="249">
        <f t="shared" si="0"/>
        <v>2.2802317608149368E-3</v>
      </c>
    </row>
    <row r="10" spans="1:15" hidden="1" outlineLevel="1" x14ac:dyDescent="0.25">
      <c r="A10" s="15">
        <v>1</v>
      </c>
      <c r="B10" s="3">
        <v>6</v>
      </c>
      <c r="C10" s="7" t="s">
        <v>5</v>
      </c>
      <c r="D10" s="133">
        <f>VLOOKUP(C10,'02. ĐỊNH BIÊN'!$C$6:$P$48,3,0)</f>
        <v>4</v>
      </c>
      <c r="E10" s="73">
        <f>SUMIFS('Data 2026&gt;&gt;'!$N:$N,'Data 2026&gt;&gt;'!$L:$L,'01. CP Nhân sự '!$A10,'Data 2026&gt;&gt;'!$B:$B,'01. CP Nhân sự '!$C10,'Data 2026&gt;&gt;'!$C:$C,'01. CP Nhân sự '!E$4)</f>
        <v>127209795</v>
      </c>
      <c r="F10" s="73">
        <f>SUMIFS('Data 2026&gt;&gt;'!$N:$N,'Data 2026&gt;&gt;'!$L:$L,'01. CP Nhân sự '!$A10,'Data 2026&gt;&gt;'!$B:$B,'01. CP Nhân sự '!$C10,'Data 2026&gt;&gt;'!$C:$C,'01. CP Nhân sự '!F$4)</f>
        <v>0</v>
      </c>
      <c r="G10" s="73">
        <f>SUMIFS('Data 2026&gt;&gt;'!$N:$N,'Data 2026&gt;&gt;'!$L:$L,'01. CP Nhân sự '!$A10,'Data 2026&gt;&gt;'!$B:$B,'01. CP Nhân sự '!$C10,'Data 2026&gt;&gt;'!$C:$C,'01. CP Nhân sự '!G$4)</f>
        <v>10215658</v>
      </c>
      <c r="H10" s="73">
        <f>SUMIFS('Data 2026&gt;&gt;'!$N:$N,'Data 2026&gt;&gt;'!$L:$L,'01. CP Nhân sự '!$A10,'Data 2026&gt;&gt;'!$B:$B,'01. CP Nhân sự '!$C10,'Data 2026&gt;&gt;'!$C:$C,'01. CP Nhân sự '!H$4)</f>
        <v>2242000</v>
      </c>
      <c r="I10" s="73">
        <f>SUMIFS('Data 2026&gt;&gt;'!$N:$N,'Data 2026&gt;&gt;'!$L:$L,'01. CP Nhân sự '!$A10,'Data 2026&gt;&gt;'!$B:$B,'01. CP Nhân sự '!$C10,'Data 2026&gt;&gt;'!$C:$C,'01. CP Nhân sự '!I$4)</f>
        <v>28861290</v>
      </c>
      <c r="J10" s="73">
        <f>SUMIFS('Data 2026&gt;&gt;'!$N:$N,'Data 2026&gt;&gt;'!$L:$L,'01. CP Nhân sự '!$A10,'Data 2026&gt;&gt;'!$B:$B,'01. CP Nhân sự '!$C10,'Data 2026&gt;&gt;'!$C:$C,'01. CP Nhân sự '!J$4)</f>
        <v>0</v>
      </c>
      <c r="K10" s="76">
        <f t="shared" si="1"/>
        <v>168528743</v>
      </c>
      <c r="L10" s="179"/>
      <c r="O10" s="249">
        <f t="shared" si="0"/>
        <v>1.336479223888989E-3</v>
      </c>
    </row>
    <row r="11" spans="1:15" hidden="1" outlineLevel="1" x14ac:dyDescent="0.25">
      <c r="A11" s="15">
        <v>1</v>
      </c>
      <c r="B11" s="3">
        <v>7</v>
      </c>
      <c r="C11" s="7" t="s">
        <v>6</v>
      </c>
      <c r="D11" s="133">
        <f>VLOOKUP(C11,'02. ĐỊNH BIÊN'!$C$6:$P$48,3,0)</f>
        <v>47</v>
      </c>
      <c r="E11" s="73">
        <f>SUMIFS('Data 2026&gt;&gt;'!$N:$N,'Data 2026&gt;&gt;'!$L:$L,'01. CP Nhân sự '!$A11,'Data 2026&gt;&gt;'!$B:$B,'01. CP Nhân sự '!$C11,'Data 2026&gt;&gt;'!$C:$C,'01. CP Nhân sự '!E$4)</f>
        <v>562262364</v>
      </c>
      <c r="F11" s="73">
        <f>SUMIFS('Data 2026&gt;&gt;'!$N:$N,'Data 2026&gt;&gt;'!$L:$L,'01. CP Nhân sự '!$A11,'Data 2026&gt;&gt;'!$B:$B,'01. CP Nhân sự '!$C11,'Data 2026&gt;&gt;'!$C:$C,'01. CP Nhân sự '!F$4)</f>
        <v>146309178</v>
      </c>
      <c r="G11" s="73">
        <f>SUMIFS('Data 2026&gt;&gt;'!$N:$N,'Data 2026&gt;&gt;'!$L:$L,'01. CP Nhân sự '!$A11,'Data 2026&gt;&gt;'!$B:$B,'01. CP Nhân sự '!$C11,'Data 2026&gt;&gt;'!$C:$C,'01. CP Nhân sự '!G$4)</f>
        <v>45703344</v>
      </c>
      <c r="H11" s="73">
        <f>SUMIFS('Data 2026&gt;&gt;'!$N:$N,'Data 2026&gt;&gt;'!$L:$L,'01. CP Nhân sự '!$A11,'Data 2026&gt;&gt;'!$B:$B,'01. CP Nhân sự '!$C11,'Data 2026&gt;&gt;'!$C:$C,'01. CP Nhân sự '!H$4)</f>
        <v>64904556</v>
      </c>
      <c r="I11" s="73">
        <f>SUMIFS('Data 2026&gt;&gt;'!$N:$N,'Data 2026&gt;&gt;'!$L:$L,'01. CP Nhân sự '!$A11,'Data 2026&gt;&gt;'!$B:$B,'01. CP Nhân sự '!$C11,'Data 2026&gt;&gt;'!$C:$C,'01. CP Nhân sự '!I$4)</f>
        <v>111278610</v>
      </c>
      <c r="J11" s="73">
        <f>SUMIFS('Data 2026&gt;&gt;'!$N:$N,'Data 2026&gt;&gt;'!$L:$L,'01. CP Nhân sự '!$A11,'Data 2026&gt;&gt;'!$B:$B,'01. CP Nhân sự '!$C11,'Data 2026&gt;&gt;'!$C:$C,'01. CP Nhân sự '!J$4)</f>
        <v>0</v>
      </c>
      <c r="K11" s="76">
        <f t="shared" si="1"/>
        <v>930458052</v>
      </c>
      <c r="L11" s="179"/>
      <c r="O11" s="249">
        <f t="shared" si="0"/>
        <v>7.3787879329178909E-3</v>
      </c>
    </row>
    <row r="12" spans="1:15" hidden="1" outlineLevel="1" x14ac:dyDescent="0.25">
      <c r="A12" s="15">
        <v>1</v>
      </c>
      <c r="B12" s="3">
        <v>8</v>
      </c>
      <c r="C12" s="7" t="s">
        <v>7</v>
      </c>
      <c r="D12" s="133">
        <f>VLOOKUP(C12,'02. ĐỊNH BIÊN'!$C$6:$P$48,3,0)</f>
        <v>86</v>
      </c>
      <c r="E12" s="73">
        <f>SUMIFS('Data 2026&gt;&gt;'!$N:$N,'Data 2026&gt;&gt;'!$L:$L,'01. CP Nhân sự '!$A12,'Data 2026&gt;&gt;'!$B:$B,'01. CP Nhân sự '!$C12,'Data 2026&gt;&gt;'!$C:$C,'01. CP Nhân sự '!E$4)</f>
        <v>1344174744</v>
      </c>
      <c r="F12" s="73">
        <f>SUMIFS('Data 2026&gt;&gt;'!$N:$N,'Data 2026&gt;&gt;'!$L:$L,'01. CP Nhân sự '!$A12,'Data 2026&gt;&gt;'!$B:$B,'01. CP Nhân sự '!$C12,'Data 2026&gt;&gt;'!$C:$C,'01. CP Nhân sự '!F$4)</f>
        <v>293756631</v>
      </c>
      <c r="G12" s="73">
        <f>SUMIFS('Data 2026&gt;&gt;'!$N:$N,'Data 2026&gt;&gt;'!$L:$L,'01. CP Nhân sự '!$A12,'Data 2026&gt;&gt;'!$B:$B,'01. CP Nhân sự '!$C12,'Data 2026&gt;&gt;'!$C:$C,'01. CP Nhân sự '!G$4)</f>
        <v>109261054</v>
      </c>
      <c r="H12" s="73">
        <f>SUMIFS('Data 2026&gt;&gt;'!$N:$N,'Data 2026&gt;&gt;'!$L:$L,'01. CP Nhân sự '!$A12,'Data 2026&gt;&gt;'!$B:$B,'01. CP Nhân sự '!$C12,'Data 2026&gt;&gt;'!$C:$C,'01. CP Nhân sự '!H$4)</f>
        <v>116807536</v>
      </c>
      <c r="I12" s="73">
        <f>SUMIFS('Data 2026&gt;&gt;'!$N:$N,'Data 2026&gt;&gt;'!$L:$L,'01. CP Nhân sự '!$A12,'Data 2026&gt;&gt;'!$B:$B,'01. CP Nhân sự '!$C12,'Data 2026&gt;&gt;'!$C:$C,'01. CP Nhân sự '!I$4)</f>
        <v>280344598</v>
      </c>
      <c r="J12" s="73">
        <f>SUMIFS('Data 2026&gt;&gt;'!$N:$N,'Data 2026&gt;&gt;'!$L:$L,'01. CP Nhân sự '!$A12,'Data 2026&gt;&gt;'!$B:$B,'01. CP Nhân sự '!$C12,'Data 2026&gt;&gt;'!$C:$C,'01. CP Nhân sự '!J$4)</f>
        <v>0</v>
      </c>
      <c r="K12" s="76">
        <f t="shared" si="1"/>
        <v>2144344563</v>
      </c>
      <c r="L12" s="179"/>
      <c r="O12" s="249">
        <f t="shared" si="0"/>
        <v>1.7005241398547744E-2</v>
      </c>
    </row>
    <row r="13" spans="1:15" hidden="1" outlineLevel="1" x14ac:dyDescent="0.25">
      <c r="A13" s="15">
        <v>1</v>
      </c>
      <c r="B13" s="3">
        <v>9</v>
      </c>
      <c r="C13" s="7" t="s">
        <v>9</v>
      </c>
      <c r="D13" s="133">
        <f>VLOOKUP(C13,'02. ĐỊNH BIÊN'!$C$6:$P$48,3,0)</f>
        <v>43</v>
      </c>
      <c r="E13" s="73">
        <f>SUMIFS('Data 2026&gt;&gt;'!$N:$N,'Data 2026&gt;&gt;'!$L:$L,'01. CP Nhân sự '!$A13,'Data 2026&gt;&gt;'!$B:$B,'01. CP Nhân sự '!$C13,'Data 2026&gt;&gt;'!$C:$C,'01. CP Nhân sự '!E$4)</f>
        <v>831469202</v>
      </c>
      <c r="F13" s="73">
        <f>SUMIFS('Data 2026&gt;&gt;'!$N:$N,'Data 2026&gt;&gt;'!$L:$L,'01. CP Nhân sự '!$A13,'Data 2026&gt;&gt;'!$B:$B,'01. CP Nhân sự '!$C13,'Data 2026&gt;&gt;'!$C:$C,'01. CP Nhân sự '!F$4)</f>
        <v>88828583</v>
      </c>
      <c r="G13" s="73">
        <f>SUMIFS('Data 2026&gt;&gt;'!$N:$N,'Data 2026&gt;&gt;'!$L:$L,'01. CP Nhân sự '!$A13,'Data 2026&gt;&gt;'!$B:$B,'01. CP Nhân sự '!$C13,'Data 2026&gt;&gt;'!$C:$C,'01. CP Nhân sự '!G$4)</f>
        <v>58488209</v>
      </c>
      <c r="H13" s="73">
        <f>SUMIFS('Data 2026&gt;&gt;'!$N:$N,'Data 2026&gt;&gt;'!$L:$L,'01. CP Nhân sự '!$A13,'Data 2026&gt;&gt;'!$B:$B,'01. CP Nhân sự '!$C13,'Data 2026&gt;&gt;'!$C:$C,'01. CP Nhân sự '!H$4)</f>
        <v>45172765</v>
      </c>
      <c r="I13" s="73">
        <f>SUMIFS('Data 2026&gt;&gt;'!$N:$N,'Data 2026&gt;&gt;'!$L:$L,'01. CP Nhân sự '!$A13,'Data 2026&gt;&gt;'!$B:$B,'01. CP Nhân sự '!$C13,'Data 2026&gt;&gt;'!$C:$C,'01. CP Nhân sự '!I$4)</f>
        <v>159564035</v>
      </c>
      <c r="J13" s="73">
        <f>SUMIFS('Data 2026&gt;&gt;'!$N:$N,'Data 2026&gt;&gt;'!$L:$L,'01. CP Nhân sự '!$A13,'Data 2026&gt;&gt;'!$B:$B,'01. CP Nhân sự '!$C13,'Data 2026&gt;&gt;'!$C:$C,'01. CP Nhân sự '!J$4)</f>
        <v>13000000</v>
      </c>
      <c r="K13" s="76">
        <f t="shared" si="1"/>
        <v>1196522794</v>
      </c>
      <c r="L13" s="179"/>
      <c r="O13" s="249">
        <f t="shared" si="0"/>
        <v>9.4887544203103961E-3</v>
      </c>
    </row>
    <row r="14" spans="1:15" hidden="1" outlineLevel="1" x14ac:dyDescent="0.25">
      <c r="A14" s="15">
        <v>1</v>
      </c>
      <c r="B14" s="3">
        <v>10</v>
      </c>
      <c r="C14" s="7" t="s">
        <v>10</v>
      </c>
      <c r="D14" s="133">
        <f>VLOOKUP(C14,'02. ĐỊNH BIÊN'!$C$6:$P$48,3,0)</f>
        <v>39</v>
      </c>
      <c r="E14" s="73">
        <f>SUMIFS('Data 2026&gt;&gt;'!$N:$N,'Data 2026&gt;&gt;'!$L:$L,'01. CP Nhân sự '!$A14,'Data 2026&gt;&gt;'!$B:$B,'01. CP Nhân sự '!$C14,'Data 2026&gt;&gt;'!$C:$C,'01. CP Nhân sự '!E$4)</f>
        <v>527526723</v>
      </c>
      <c r="F14" s="73">
        <f>SUMIFS('Data 2026&gt;&gt;'!$N:$N,'Data 2026&gt;&gt;'!$L:$L,'01. CP Nhân sự '!$A14,'Data 2026&gt;&gt;'!$B:$B,'01. CP Nhân sự '!$C14,'Data 2026&gt;&gt;'!$C:$C,'01. CP Nhân sự '!F$4)</f>
        <v>0</v>
      </c>
      <c r="G14" s="73">
        <f>SUMIFS('Data 2026&gt;&gt;'!$N:$N,'Data 2026&gt;&gt;'!$L:$L,'01. CP Nhân sự '!$A14,'Data 2026&gt;&gt;'!$B:$B,'01. CP Nhân sự '!$C14,'Data 2026&gt;&gt;'!$C:$C,'01. CP Nhân sự '!G$4)</f>
        <v>371446153</v>
      </c>
      <c r="H14" s="73">
        <f>SUMIFS('Data 2026&gt;&gt;'!$N:$N,'Data 2026&gt;&gt;'!$L:$L,'01. CP Nhân sự '!$A14,'Data 2026&gt;&gt;'!$B:$B,'01. CP Nhân sự '!$C14,'Data 2026&gt;&gt;'!$C:$C,'01. CP Nhân sự '!H$4)</f>
        <v>12082000</v>
      </c>
      <c r="I14" s="73">
        <f>SUMIFS('Data 2026&gt;&gt;'!$N:$N,'Data 2026&gt;&gt;'!$L:$L,'01. CP Nhân sự '!$A14,'Data 2026&gt;&gt;'!$B:$B,'01. CP Nhân sự '!$C14,'Data 2026&gt;&gt;'!$C:$C,'01. CP Nhân sự '!I$4)</f>
        <v>97482815</v>
      </c>
      <c r="J14" s="73">
        <f>SUMIFS('Data 2026&gt;&gt;'!$N:$N,'Data 2026&gt;&gt;'!$L:$L,'01. CP Nhân sự '!$A14,'Data 2026&gt;&gt;'!$B:$B,'01. CP Nhân sự '!$C14,'Data 2026&gt;&gt;'!$C:$C,'01. CP Nhân sự '!J$4)</f>
        <v>0</v>
      </c>
      <c r="K14" s="76">
        <f t="shared" si="1"/>
        <v>1008537691</v>
      </c>
      <c r="L14" s="179"/>
      <c r="O14" s="249">
        <f t="shared" si="0"/>
        <v>7.9979809172995072E-3</v>
      </c>
    </row>
    <row r="15" spans="1:15" hidden="1" outlineLevel="1" x14ac:dyDescent="0.25">
      <c r="A15" s="15">
        <v>1</v>
      </c>
      <c r="B15" s="3">
        <v>11</v>
      </c>
      <c r="C15" s="7" t="s">
        <v>1539</v>
      </c>
      <c r="D15" s="133">
        <f>VLOOKUP(C15,'02. ĐỊNH BIÊN'!$C$6:$P$48,3,0)</f>
        <v>3</v>
      </c>
      <c r="E15" s="73">
        <f>SUMIFS('Data 2026&gt;&gt;'!$N:$N,'Data 2026&gt;&gt;'!$L:$L,'01. CP Nhân sự '!$A15,'Data 2026&gt;&gt;'!$B:$B,'01. CP Nhân sự '!$C15,'Data 2026&gt;&gt;'!$C:$C,'01. CP Nhân sự '!E$4)</f>
        <v>93060316</v>
      </c>
      <c r="F15" s="73">
        <f>SUMIFS('Data 2026&gt;&gt;'!$N:$N,'Data 2026&gt;&gt;'!$L:$L,'01. CP Nhân sự '!$A15,'Data 2026&gt;&gt;'!$B:$B,'01. CP Nhân sự '!$C15,'Data 2026&gt;&gt;'!$C:$C,'01. CP Nhân sự '!F$4)</f>
        <v>0</v>
      </c>
      <c r="G15" s="73">
        <f>SUMIFS('Data 2026&gt;&gt;'!$N:$N,'Data 2026&gt;&gt;'!$L:$L,'01. CP Nhân sự '!$A15,'Data 2026&gt;&gt;'!$B:$B,'01. CP Nhân sự '!$C15,'Data 2026&gt;&gt;'!$C:$C,'01. CP Nhân sự '!G$4)</f>
        <v>7136466</v>
      </c>
      <c r="H15" s="73">
        <f>SUMIFS('Data 2026&gt;&gt;'!$N:$N,'Data 2026&gt;&gt;'!$L:$L,'01. CP Nhân sự '!$A15,'Data 2026&gt;&gt;'!$B:$B,'01. CP Nhân sự '!$C15,'Data 2026&gt;&gt;'!$C:$C,'01. CP Nhân sự '!H$4)</f>
        <v>0</v>
      </c>
      <c r="I15" s="73">
        <f>SUMIFS('Data 2026&gt;&gt;'!$N:$N,'Data 2026&gt;&gt;'!$L:$L,'01. CP Nhân sự '!$A15,'Data 2026&gt;&gt;'!$B:$B,'01. CP Nhân sự '!$C15,'Data 2026&gt;&gt;'!$C:$C,'01. CP Nhân sự '!I$4)</f>
        <v>20035865</v>
      </c>
      <c r="J15" s="73">
        <f>SUMIFS('Data 2026&gt;&gt;'!$N:$N,'Data 2026&gt;&gt;'!$L:$L,'01. CP Nhân sự '!$A15,'Data 2026&gt;&gt;'!$B:$B,'01. CP Nhân sự '!$C15,'Data 2026&gt;&gt;'!$C:$C,'01. CP Nhân sự '!J$4)</f>
        <v>0</v>
      </c>
      <c r="K15" s="76">
        <f t="shared" ref="K15" si="2">SUM(E15:J15)</f>
        <v>120232647</v>
      </c>
      <c r="L15" s="179"/>
      <c r="O15" s="249">
        <f t="shared" si="0"/>
        <v>9.5347791651587154E-4</v>
      </c>
    </row>
    <row r="16" spans="1:15" hidden="1" outlineLevel="1" x14ac:dyDescent="0.25">
      <c r="A16" s="15">
        <v>1</v>
      </c>
      <c r="B16" s="3">
        <v>12</v>
      </c>
      <c r="C16" s="7" t="s">
        <v>8</v>
      </c>
      <c r="D16" s="133">
        <f>VLOOKUP(C16,'02. ĐỊNH BIÊN'!$C$6:$P$48,3,0)</f>
        <v>85</v>
      </c>
      <c r="E16" s="73">
        <f>SUMIFS('Data 2026&gt;&gt;'!$N:$N,'Data 2026&gt;&gt;'!$L:$L,'01. CP Nhân sự '!$A16,'Data 2026&gt;&gt;'!$B:$B,'01. CP Nhân sự '!$C16,'Data 2026&gt;&gt;'!$C:$C,'01. CP Nhân sự '!E$4,'Data 2026&gt;&gt;'!$A:$A,627)</f>
        <v>1103408545</v>
      </c>
      <c r="F16" s="73">
        <f>SUMIFS('Data 2026&gt;&gt;'!$N:$N,'Data 2026&gt;&gt;'!$L:$L,'01. CP Nhân sự '!$A16,'Data 2026&gt;&gt;'!$B:$B,'01. CP Nhân sự '!$C16,'Data 2026&gt;&gt;'!$C:$C,'01. CP Nhân sự '!F$4,'Data 2026&gt;&gt;'!$A:$A,627)</f>
        <v>108794452</v>
      </c>
      <c r="G16" s="73">
        <f>SUMIFS('Data 2026&gt;&gt;'!$N:$N,'Data 2026&gt;&gt;'!$L:$L,'01. CP Nhân sự '!$A16,'Data 2026&gt;&gt;'!$B:$B,'01. CP Nhân sự '!$C16,'Data 2026&gt;&gt;'!$C:$C,'01. CP Nhân sự '!G$4,'Data 2026&gt;&gt;'!$A:$A,627)</f>
        <v>75327773</v>
      </c>
      <c r="H16" s="73">
        <f>SUMIFS('Data 2026&gt;&gt;'!$N:$N,'Data 2026&gt;&gt;'!$L:$L,'01. CP Nhân sự '!$A16,'Data 2026&gt;&gt;'!$B:$B,'01. CP Nhân sự '!$C16,'Data 2026&gt;&gt;'!$C:$C,'01. CP Nhân sự '!H$4,'Data 2026&gt;&gt;'!$A:$A,627)</f>
        <v>86251230</v>
      </c>
      <c r="I16" s="73">
        <f>SUMIFS('Data 2026&gt;&gt;'!$N:$N,'Data 2026&gt;&gt;'!$L:$L,'01. CP Nhân sự '!$A16,'Data 2026&gt;&gt;'!$B:$B,'01. CP Nhân sự '!$C16,'Data 2026&gt;&gt;'!$C:$C,'01. CP Nhân sự '!I$4,'Data 2026&gt;&gt;'!$A:$A,627)</f>
        <v>182735765</v>
      </c>
      <c r="J16" s="73">
        <f>SUMIFS('Data 2026&gt;&gt;'!$N:$N,'Data 2026&gt;&gt;'!$L:$L,'01. CP Nhân sự '!$A16,'Data 2026&gt;&gt;'!$B:$B,'01. CP Nhân sự '!$C16,'Data 2026&gt;&gt;'!$C:$C,'01. CP Nhân sự '!J$4,'Data 2026&gt;&gt;'!$A:$A,627)</f>
        <v>7650000</v>
      </c>
      <c r="K16" s="76">
        <f t="shared" si="1"/>
        <v>1564167765</v>
      </c>
      <c r="L16" s="180"/>
      <c r="O16" s="249">
        <f t="shared" si="0"/>
        <v>1.2404280025985683E-2</v>
      </c>
    </row>
    <row r="17" spans="1:15" hidden="1" outlineLevel="1" x14ac:dyDescent="0.25">
      <c r="A17" s="15">
        <v>1</v>
      </c>
      <c r="B17" s="3">
        <v>13</v>
      </c>
      <c r="C17" s="7" t="s">
        <v>8</v>
      </c>
      <c r="D17" s="133">
        <v>236</v>
      </c>
      <c r="E17" s="73">
        <f>SUMIFS('Data 2026&gt;&gt;'!$N:$N,'Data 2026&gt;&gt;'!$L:$L,'01. CP Nhân sự '!$A17,'Data 2026&gt;&gt;'!$B:$B,'01. CP Nhân sự '!$C17,'Data 2026&gt;&gt;'!$C:$C,'01. CP Nhân sự '!E$4,'Data 2026&gt;&gt;'!$A:$A,622)</f>
        <v>2148599470</v>
      </c>
      <c r="F17" s="73">
        <f>SUMIFS('Data 2026&gt;&gt;'!$N:$N,'Data 2026&gt;&gt;'!$L:$L,'01. CP Nhân sự '!$A17,'Data 2026&gt;&gt;'!$B:$B,'01. CP Nhân sự '!$C17,'Data 2026&gt;&gt;'!$C:$C,'01. CP Nhân sự '!F$4,'Data 2026&gt;&gt;'!$A:$A,622)</f>
        <v>368816619</v>
      </c>
      <c r="G17" s="73">
        <f>SUMIFS('Data 2026&gt;&gt;'!$N:$N,'Data 2026&gt;&gt;'!$L:$L,'01. CP Nhân sự '!$A17,'Data 2026&gt;&gt;'!$B:$B,'01. CP Nhân sự '!$C17,'Data 2026&gt;&gt;'!$C:$C,'01. CP Nhân sự '!G$4,'Data 2026&gt;&gt;'!$A:$A,622)</f>
        <v>75911598</v>
      </c>
      <c r="H17" s="73">
        <f>SUMIFS('Data 2026&gt;&gt;'!$N:$N,'Data 2026&gt;&gt;'!$L:$L,'01. CP Nhân sự '!$A17,'Data 2026&gt;&gt;'!$B:$B,'01. CP Nhân sự '!$C17,'Data 2026&gt;&gt;'!$C:$C,'01. CP Nhân sự '!H$4,'Data 2026&gt;&gt;'!$A:$A,622)</f>
        <v>324726507</v>
      </c>
      <c r="I17" s="73">
        <f>SUMIFS('Data 2026&gt;&gt;'!$N:$N,'Data 2026&gt;&gt;'!$L:$L,'01. CP Nhân sự '!$A17,'Data 2026&gt;&gt;'!$B:$B,'01. CP Nhân sự '!$C17,'Data 2026&gt;&gt;'!$C:$C,'01. CP Nhân sự '!I$4,'Data 2026&gt;&gt;'!$A:$A,622)</f>
        <v>343794680</v>
      </c>
      <c r="J17" s="73">
        <f>SUMIFS('Data 2026&gt;&gt;'!$N:$N,'Data 2026&gt;&gt;'!$L:$L,'01. CP Nhân sự '!$A17,'Data 2026&gt;&gt;'!$B:$B,'01. CP Nhân sự '!$C17,'Data 2026&gt;&gt;'!$C:$C,'01. CP Nhân sự '!J$4,'Data 2026&gt;&gt;'!$A:$A,622)</f>
        <v>0</v>
      </c>
      <c r="K17" s="76">
        <f t="shared" si="1"/>
        <v>3261848874</v>
      </c>
      <c r="L17" s="179"/>
      <c r="O17" s="249">
        <f t="shared" si="0"/>
        <v>2.586735754367249E-2</v>
      </c>
    </row>
    <row r="18" spans="1:15" hidden="1" outlineLevel="1" x14ac:dyDescent="0.25">
      <c r="A18" s="70">
        <v>1</v>
      </c>
      <c r="B18" s="3">
        <v>14</v>
      </c>
      <c r="C18" s="71" t="s">
        <v>221</v>
      </c>
      <c r="D18" s="134">
        <f>VLOOKUP(C18,'02. ĐỊNH BIÊN'!$C$6:$P$48,3,0)</f>
        <v>1</v>
      </c>
      <c r="E18" s="74">
        <f>SUMIFS('Data 2026&gt;&gt;'!$N:$N,'Data 2026&gt;&gt;'!$L:$L,'01. CP Nhân sự '!$A18,'Data 2026&gt;&gt;'!$B:$B,'01. CP Nhân sự '!$C18,'Data 2026&gt;&gt;'!$C:$C,'01. CP Nhân sự '!E$4)</f>
        <v>70000000</v>
      </c>
      <c r="F18" s="74">
        <f>SUMIFS('Data 2026&gt;&gt;'!$N:$N,'Data 2026&gt;&gt;'!$L:$L,'01. CP Nhân sự '!$A18,'Data 2026&gt;&gt;'!$B:$B,'01. CP Nhân sự '!$C18,'Data 2026&gt;&gt;'!$C:$C,'01. CP Nhân sự '!F$4)</f>
        <v>0</v>
      </c>
      <c r="G18" s="74">
        <f>SUMIFS('Data 2026&gt;&gt;'!$N:$N,'Data 2026&gt;&gt;'!$L:$L,'01. CP Nhân sự '!$A18,'Data 2026&gt;&gt;'!$B:$B,'01. CP Nhân sự '!$C18,'Data 2026&gt;&gt;'!$C:$C,'01. CP Nhân sự '!G$4)</f>
        <v>0</v>
      </c>
      <c r="H18" s="74">
        <f>SUMIFS('Data 2026&gt;&gt;'!$N:$N,'Data 2026&gt;&gt;'!$L:$L,'01. CP Nhân sự '!$A18,'Data 2026&gt;&gt;'!$B:$B,'01. CP Nhân sự '!$C18,'Data 2026&gt;&gt;'!$C:$C,'01. CP Nhân sự '!H$4)</f>
        <v>0</v>
      </c>
      <c r="I18" s="74">
        <f>SUMIFS('Data 2026&gt;&gt;'!$N:$N,'Data 2026&gt;&gt;'!$L:$L,'01. CP Nhân sự '!$A18,'Data 2026&gt;&gt;'!$B:$B,'01. CP Nhân sự '!$C18,'Data 2026&gt;&gt;'!$C:$C,'01. CP Nhân sự '!I$4)</f>
        <v>0</v>
      </c>
      <c r="J18" s="74">
        <f>SUMIFS('Data 2026&gt;&gt;'!$N:$N,'Data 2026&gt;&gt;'!$L:$L,'01. CP Nhân sự '!$A18,'Data 2026&gt;&gt;'!$B:$B,'01. CP Nhân sự '!$C18,'Data 2026&gt;&gt;'!$C:$C,'01. CP Nhân sự '!J$4)</f>
        <v>0</v>
      </c>
      <c r="K18" s="76">
        <f t="shared" si="1"/>
        <v>70000000</v>
      </c>
      <c r="L18" s="179"/>
      <c r="O18" s="249">
        <f>K18/N$19</f>
        <v>5.5511922777605493E-4</v>
      </c>
    </row>
    <row r="19" spans="1:15" collapsed="1" x14ac:dyDescent="0.25">
      <c r="A19" s="17">
        <v>1</v>
      </c>
      <c r="B19" s="18"/>
      <c r="C19" s="19" t="s">
        <v>17</v>
      </c>
      <c r="D19" s="136">
        <f>SUM(D5:D18)</f>
        <v>611</v>
      </c>
      <c r="E19" s="75">
        <f t="shared" ref="E19:K19" si="3">SUM(E5:E18)</f>
        <v>9910750991</v>
      </c>
      <c r="F19" s="75">
        <f t="shared" si="3"/>
        <v>1059024244</v>
      </c>
      <c r="G19" s="75">
        <f t="shared" si="3"/>
        <v>1106326809</v>
      </c>
      <c r="H19" s="75">
        <f t="shared" si="3"/>
        <v>684848594</v>
      </c>
      <c r="I19" s="75">
        <f t="shared" si="3"/>
        <v>1628494833</v>
      </c>
      <c r="J19" s="75">
        <f t="shared" si="3"/>
        <v>22250000</v>
      </c>
      <c r="K19" s="75">
        <f t="shared" si="3"/>
        <v>14411695471</v>
      </c>
      <c r="L19" s="181">
        <f>K19/K240-1</f>
        <v>-0.29633664363035739</v>
      </c>
      <c r="N19" s="75">
        <v>126099036923</v>
      </c>
      <c r="O19" s="250">
        <f>K19/N$19</f>
        <v>0.11428870372578841</v>
      </c>
    </row>
    <row r="20" spans="1:15" hidden="1" outlineLevel="1" x14ac:dyDescent="0.25">
      <c r="A20" s="14">
        <v>2</v>
      </c>
      <c r="B20" s="1">
        <v>1</v>
      </c>
      <c r="C20" s="2" t="s">
        <v>0</v>
      </c>
      <c r="D20" s="132">
        <f>VLOOKUP(C20,'02. ĐỊNH BIÊN'!$C$6:$P$48,4,0)</f>
        <v>13</v>
      </c>
      <c r="E20" s="72">
        <f>SUMIFS('Data 2026&gt;&gt;'!$N:$N,'Data 2026&gt;&gt;'!$L:$L,'01. CP Nhân sự '!$A20,'Data 2026&gt;&gt;'!$B:$B,'01. CP Nhân sự '!$C20,'Data 2026&gt;&gt;'!$C:$C,'01. CP Nhân sự '!E$4)</f>
        <v>1588560885</v>
      </c>
      <c r="F20" s="72">
        <f>SUMIFS('Data 2026&gt;&gt;'!$N:$N,'Data 2026&gt;&gt;'!$L:$L,'01. CP Nhân sự '!$A20,'Data 2026&gt;&gt;'!$B:$B,'01. CP Nhân sự '!$C20,'Data 2026&gt;&gt;'!$C:$C,'01. CP Nhân sự '!F$4)</f>
        <v>0</v>
      </c>
      <c r="G20" s="72">
        <f>SUMIFS('Data 2026&gt;&gt;'!$N:$N,'Data 2026&gt;&gt;'!$L:$L,'01. CP Nhân sự '!$A20,'Data 2026&gt;&gt;'!$B:$B,'01. CP Nhân sự '!$C20,'Data 2026&gt;&gt;'!$C:$C,'01. CP Nhân sự '!G$4)</f>
        <v>107587084</v>
      </c>
      <c r="H20" s="72">
        <f>SUMIFS('Data 2026&gt;&gt;'!$N:$N,'Data 2026&gt;&gt;'!$L:$L,'01. CP Nhân sự '!$A20,'Data 2026&gt;&gt;'!$B:$B,'01. CP Nhân sự '!$C20,'Data 2026&gt;&gt;'!$C:$C,'01. CP Nhân sự '!H$4)</f>
        <v>0</v>
      </c>
      <c r="I20" s="72">
        <f>SUMIFS('Data 2026&gt;&gt;'!$N:$N,'Data 2026&gt;&gt;'!$L:$L,'01. CP Nhân sự '!$A20,'Data 2026&gt;&gt;'!$B:$B,'01. CP Nhân sự '!$C20,'Data 2026&gt;&gt;'!$C:$C,'01. CP Nhân sự '!I$4)</f>
        <v>137648720</v>
      </c>
      <c r="J20" s="72">
        <f>SUMIFS('Data 2026&gt;&gt;'!$N:$N,'Data 2026&gt;&gt;'!$L:$L,'01. CP Nhân sự '!$A20,'Data 2026&gt;&gt;'!$B:$B,'01. CP Nhân sự '!$C20,'Data 2026&gt;&gt;'!$C:$C,'01. CP Nhân sự '!J$4)</f>
        <v>0</v>
      </c>
      <c r="K20" s="76">
        <f>SUM(E20:J20)</f>
        <v>1833796689</v>
      </c>
      <c r="L20" s="179"/>
      <c r="N20" s="129"/>
      <c r="O20" s="249">
        <f>K20/N$34</f>
        <v>1.8989928083088449E-2</v>
      </c>
    </row>
    <row r="21" spans="1:15" hidden="1" outlineLevel="1" x14ac:dyDescent="0.25">
      <c r="A21" s="15">
        <v>2</v>
      </c>
      <c r="B21" s="3">
        <v>2</v>
      </c>
      <c r="C21" s="7" t="s">
        <v>1</v>
      </c>
      <c r="D21" s="133">
        <f>VLOOKUP(C21,'02. ĐỊNH BIÊN'!$C$6:$P$48,4,0)</f>
        <v>9</v>
      </c>
      <c r="E21" s="73">
        <f>SUMIFS('Data 2026&gt;&gt;'!$N:$N,'Data 2026&gt;&gt;'!$L:$L,'01. CP Nhân sự '!$A21,'Data 2026&gt;&gt;'!$B:$B,'01. CP Nhân sự '!$C21,'Data 2026&gt;&gt;'!$C:$C,'01. CP Nhân sự '!E$4)</f>
        <v>312855280</v>
      </c>
      <c r="F21" s="73">
        <f>SUMIFS('Data 2026&gt;&gt;'!$N:$N,'Data 2026&gt;&gt;'!$L:$L,'01. CP Nhân sự '!$A21,'Data 2026&gt;&gt;'!$B:$B,'01. CP Nhân sự '!$C21,'Data 2026&gt;&gt;'!$C:$C,'01. CP Nhân sự '!F$4)</f>
        <v>0</v>
      </c>
      <c r="G21" s="73">
        <f>SUMIFS('Data 2026&gt;&gt;'!$N:$N,'Data 2026&gt;&gt;'!$L:$L,'01. CP Nhân sự '!$A21,'Data 2026&gt;&gt;'!$B:$B,'01. CP Nhân sự '!$C21,'Data 2026&gt;&gt;'!$C:$C,'01. CP Nhân sự '!G$4)</f>
        <v>129205797</v>
      </c>
      <c r="H21" s="73">
        <f>SUMIFS('Data 2026&gt;&gt;'!$N:$N,'Data 2026&gt;&gt;'!$L:$L,'01. CP Nhân sự '!$A21,'Data 2026&gt;&gt;'!$B:$B,'01. CP Nhân sự '!$C21,'Data 2026&gt;&gt;'!$C:$C,'01. CP Nhân sự '!H$4)</f>
        <v>5190000</v>
      </c>
      <c r="I21" s="73">
        <f>SUMIFS('Data 2026&gt;&gt;'!$N:$N,'Data 2026&gt;&gt;'!$L:$L,'01. CP Nhân sự '!$A21,'Data 2026&gt;&gt;'!$B:$B,'01. CP Nhân sự '!$C21,'Data 2026&gt;&gt;'!$C:$C,'01. CP Nhân sự '!I$4)</f>
        <v>63587000</v>
      </c>
      <c r="J21" s="73">
        <f>SUMIFS('Data 2026&gt;&gt;'!$N:$N,'Data 2026&gt;&gt;'!$L:$L,'01. CP Nhân sự '!$A21,'Data 2026&gt;&gt;'!$B:$B,'01. CP Nhân sự '!$C21,'Data 2026&gt;&gt;'!$C:$C,'01. CP Nhân sự '!J$4)</f>
        <v>0</v>
      </c>
      <c r="K21" s="76">
        <f>SUM(E21:J21)</f>
        <v>510838077</v>
      </c>
      <c r="L21" s="179"/>
      <c r="O21" s="249">
        <f t="shared" ref="O21:O34" si="4">K21/N$34</f>
        <v>5.2899966514953168E-3</v>
      </c>
    </row>
    <row r="22" spans="1:15" hidden="1" outlineLevel="1" x14ac:dyDescent="0.25">
      <c r="A22" s="15">
        <v>2</v>
      </c>
      <c r="B22" s="3">
        <v>3</v>
      </c>
      <c r="C22" s="7" t="s">
        <v>2</v>
      </c>
      <c r="D22" s="133">
        <f>VLOOKUP(C22,'02. ĐỊNH BIÊN'!$C$6:$P$48,4,0)</f>
        <v>9</v>
      </c>
      <c r="E22" s="73">
        <f>SUMIFS('Data 2026&gt;&gt;'!$N:$N,'Data 2026&gt;&gt;'!$L:$L,'01. CP Nhân sự '!$A22,'Data 2026&gt;&gt;'!$B:$B,'01. CP Nhân sự '!$C22,'Data 2026&gt;&gt;'!$C:$C,'01. CP Nhân sự '!E$4)</f>
        <v>197392107</v>
      </c>
      <c r="F22" s="73">
        <f>SUMIFS('Data 2026&gt;&gt;'!$N:$N,'Data 2026&gt;&gt;'!$L:$L,'01. CP Nhân sự '!$A22,'Data 2026&gt;&gt;'!$B:$B,'01. CP Nhân sự '!$C22,'Data 2026&gt;&gt;'!$C:$C,'01. CP Nhân sự '!F$4)</f>
        <v>0</v>
      </c>
      <c r="G22" s="73">
        <f>SUMIFS('Data 2026&gt;&gt;'!$N:$N,'Data 2026&gt;&gt;'!$L:$L,'01. CP Nhân sự '!$A22,'Data 2026&gt;&gt;'!$B:$B,'01. CP Nhân sự '!$C22,'Data 2026&gt;&gt;'!$C:$C,'01. CP Nhân sự '!G$4)</f>
        <v>15582748</v>
      </c>
      <c r="H22" s="73">
        <f>SUMIFS('Data 2026&gt;&gt;'!$N:$N,'Data 2026&gt;&gt;'!$L:$L,'01. CP Nhân sự '!$A22,'Data 2026&gt;&gt;'!$B:$B,'01. CP Nhân sự '!$C22,'Data 2026&gt;&gt;'!$C:$C,'01. CP Nhân sự '!H$4)</f>
        <v>4060000</v>
      </c>
      <c r="I22" s="73">
        <f>SUMIFS('Data 2026&gt;&gt;'!$N:$N,'Data 2026&gt;&gt;'!$L:$L,'01. CP Nhân sự '!$A22,'Data 2026&gt;&gt;'!$B:$B,'01. CP Nhân sự '!$C22,'Data 2026&gt;&gt;'!$C:$C,'01. CP Nhân sự '!I$4)</f>
        <v>45919925</v>
      </c>
      <c r="J22" s="73">
        <f>SUMIFS('Data 2026&gt;&gt;'!$N:$N,'Data 2026&gt;&gt;'!$L:$L,'01. CP Nhân sự '!$A22,'Data 2026&gt;&gt;'!$B:$B,'01. CP Nhân sự '!$C22,'Data 2026&gt;&gt;'!$C:$C,'01. CP Nhân sự '!J$4)</f>
        <v>0</v>
      </c>
      <c r="K22" s="76">
        <f t="shared" ref="K22:K33" si="5">SUM(E22:J22)</f>
        <v>262954780</v>
      </c>
      <c r="L22" s="179"/>
      <c r="O22" s="249">
        <f t="shared" si="4"/>
        <v>2.7230348878137518E-3</v>
      </c>
    </row>
    <row r="23" spans="1:15" hidden="1" outlineLevel="1" x14ac:dyDescent="0.25">
      <c r="A23" s="15">
        <v>2</v>
      </c>
      <c r="B23" s="3">
        <v>4</v>
      </c>
      <c r="C23" s="7" t="s">
        <v>3</v>
      </c>
      <c r="D23" s="133">
        <f>VLOOKUP(C23,'02. ĐỊNH BIÊN'!$C$6:$P$48,4,0)</f>
        <v>28</v>
      </c>
      <c r="E23" s="73">
        <f>SUMIFS('Data 2026&gt;&gt;'!$N:$N,'Data 2026&gt;&gt;'!$L:$L,'01. CP Nhân sự '!$A23,'Data 2026&gt;&gt;'!$B:$B,'01. CP Nhân sự '!$C23,'Data 2026&gt;&gt;'!$C:$C,'01. CP Nhân sự '!E$4)</f>
        <v>591533989</v>
      </c>
      <c r="F23" s="73">
        <f>SUMIFS('Data 2026&gt;&gt;'!$N:$N,'Data 2026&gt;&gt;'!$L:$L,'01. CP Nhân sự '!$A23,'Data 2026&gt;&gt;'!$B:$B,'01. CP Nhân sự '!$C23,'Data 2026&gt;&gt;'!$C:$C,'01. CP Nhân sự '!F$4)</f>
        <v>33898246</v>
      </c>
      <c r="G23" s="73">
        <f>SUMIFS('Data 2026&gt;&gt;'!$N:$N,'Data 2026&gt;&gt;'!$L:$L,'01. CP Nhân sự '!$A23,'Data 2026&gt;&gt;'!$B:$B,'01. CP Nhân sự '!$C23,'Data 2026&gt;&gt;'!$C:$C,'01. CP Nhân sự '!G$4)</f>
        <v>41940825</v>
      </c>
      <c r="H23" s="73">
        <f>SUMIFS('Data 2026&gt;&gt;'!$N:$N,'Data 2026&gt;&gt;'!$L:$L,'01. CP Nhân sự '!$A23,'Data 2026&gt;&gt;'!$B:$B,'01. CP Nhân sự '!$C23,'Data 2026&gt;&gt;'!$C:$C,'01. CP Nhân sự '!H$4)</f>
        <v>14699000</v>
      </c>
      <c r="I23" s="73">
        <f>SUMIFS('Data 2026&gt;&gt;'!$N:$N,'Data 2026&gt;&gt;'!$L:$L,'01. CP Nhân sự '!$A23,'Data 2026&gt;&gt;'!$B:$B,'01. CP Nhân sự '!$C23,'Data 2026&gt;&gt;'!$C:$C,'01. CP Nhân sự '!I$4)</f>
        <v>120509265</v>
      </c>
      <c r="J23" s="73">
        <f>SUMIFS('Data 2026&gt;&gt;'!$N:$N,'Data 2026&gt;&gt;'!$L:$L,'01. CP Nhân sự '!$A23,'Data 2026&gt;&gt;'!$B:$B,'01. CP Nhân sự '!$C23,'Data 2026&gt;&gt;'!$C:$C,'01. CP Nhân sự '!J$4)</f>
        <v>0</v>
      </c>
      <c r="K23" s="76">
        <f t="shared" si="5"/>
        <v>802581325</v>
      </c>
      <c r="L23" s="179"/>
      <c r="O23" s="249">
        <f t="shared" si="4"/>
        <v>8.3111512492101761E-3</v>
      </c>
    </row>
    <row r="24" spans="1:15" hidden="1" outlineLevel="1" x14ac:dyDescent="0.25">
      <c r="A24" s="15">
        <v>2</v>
      </c>
      <c r="B24" s="3">
        <v>5</v>
      </c>
      <c r="C24" s="7" t="s">
        <v>4</v>
      </c>
      <c r="D24" s="133">
        <f>VLOOKUP(C24,'02. ĐỊNH BIÊN'!$C$6:$P$48,4,0)</f>
        <v>8</v>
      </c>
      <c r="E24" s="73">
        <f>SUMIFS('Data 2026&gt;&gt;'!$N:$N,'Data 2026&gt;&gt;'!$L:$L,'01. CP Nhân sự '!$A24,'Data 2026&gt;&gt;'!$B:$B,'01. CP Nhân sự '!$C24,'Data 2026&gt;&gt;'!$C:$C,'01. CP Nhân sự '!E$4)</f>
        <v>211680190</v>
      </c>
      <c r="F24" s="73">
        <f>SUMIFS('Data 2026&gt;&gt;'!$N:$N,'Data 2026&gt;&gt;'!$L:$L,'01. CP Nhân sự '!$A24,'Data 2026&gt;&gt;'!$B:$B,'01. CP Nhân sự '!$C24,'Data 2026&gt;&gt;'!$C:$C,'01. CP Nhân sự '!F$4)</f>
        <v>0</v>
      </c>
      <c r="G24" s="73">
        <f>SUMIFS('Data 2026&gt;&gt;'!$N:$N,'Data 2026&gt;&gt;'!$L:$L,'01. CP Nhân sự '!$A24,'Data 2026&gt;&gt;'!$B:$B,'01. CP Nhân sự '!$C24,'Data 2026&gt;&gt;'!$C:$C,'01. CP Nhân sự '!G$4)</f>
        <v>16376241</v>
      </c>
      <c r="H24" s="73">
        <f>SUMIFS('Data 2026&gt;&gt;'!$N:$N,'Data 2026&gt;&gt;'!$L:$L,'01. CP Nhân sự '!$A24,'Data 2026&gt;&gt;'!$B:$B,'01. CP Nhân sự '!$C24,'Data 2026&gt;&gt;'!$C:$C,'01. CP Nhân sự '!H$4)</f>
        <v>200000</v>
      </c>
      <c r="I24" s="73">
        <f>SUMIFS('Data 2026&gt;&gt;'!$N:$N,'Data 2026&gt;&gt;'!$L:$L,'01. CP Nhân sự '!$A24,'Data 2026&gt;&gt;'!$B:$B,'01. CP Nhân sự '!$C24,'Data 2026&gt;&gt;'!$C:$C,'01. CP Nhân sự '!I$4)</f>
        <v>48086675</v>
      </c>
      <c r="J24" s="73">
        <f>SUMIFS('Data 2026&gt;&gt;'!$N:$N,'Data 2026&gt;&gt;'!$L:$L,'01. CP Nhân sự '!$A24,'Data 2026&gt;&gt;'!$B:$B,'01. CP Nhân sự '!$C24,'Data 2026&gt;&gt;'!$C:$C,'01. CP Nhân sự '!J$4)</f>
        <v>0</v>
      </c>
      <c r="K24" s="76">
        <f t="shared" si="5"/>
        <v>276343106</v>
      </c>
      <c r="L24" s="179"/>
      <c r="O24" s="249">
        <f t="shared" si="4"/>
        <v>2.8616780369796423E-3</v>
      </c>
    </row>
    <row r="25" spans="1:15" hidden="1" outlineLevel="1" x14ac:dyDescent="0.25">
      <c r="A25" s="15">
        <v>2</v>
      </c>
      <c r="B25" s="3">
        <v>6</v>
      </c>
      <c r="C25" s="7" t="s">
        <v>5</v>
      </c>
      <c r="D25" s="133">
        <f>VLOOKUP(C25,'02. ĐỊNH BIÊN'!$C$6:$P$48,4,0)</f>
        <v>4</v>
      </c>
      <c r="E25" s="73">
        <f>SUMIFS('Data 2026&gt;&gt;'!$N:$N,'Data 2026&gt;&gt;'!$L:$L,'01. CP Nhân sự '!$A25,'Data 2026&gt;&gt;'!$B:$B,'01. CP Nhân sự '!$C25,'Data 2026&gt;&gt;'!$C:$C,'01. CP Nhân sự '!E$4)</f>
        <v>127022486</v>
      </c>
      <c r="F25" s="73">
        <f>SUMIFS('Data 2026&gt;&gt;'!$N:$N,'Data 2026&gt;&gt;'!$L:$L,'01. CP Nhân sự '!$A25,'Data 2026&gt;&gt;'!$B:$B,'01. CP Nhân sự '!$C25,'Data 2026&gt;&gt;'!$C:$C,'01. CP Nhân sự '!F$4)</f>
        <v>0</v>
      </c>
      <c r="G25" s="73">
        <f>SUMIFS('Data 2026&gt;&gt;'!$N:$N,'Data 2026&gt;&gt;'!$L:$L,'01. CP Nhân sự '!$A25,'Data 2026&gt;&gt;'!$B:$B,'01. CP Nhân sự '!$C25,'Data 2026&gt;&gt;'!$C:$C,'01. CP Nhân sự '!G$4)</f>
        <v>9415658</v>
      </c>
      <c r="H25" s="73">
        <f>SUMIFS('Data 2026&gt;&gt;'!$N:$N,'Data 2026&gt;&gt;'!$L:$L,'01. CP Nhân sự '!$A25,'Data 2026&gt;&gt;'!$B:$B,'01. CP Nhân sự '!$C25,'Data 2026&gt;&gt;'!$C:$C,'01. CP Nhân sự '!H$4)</f>
        <v>1848000</v>
      </c>
      <c r="I25" s="73">
        <f>SUMIFS('Data 2026&gt;&gt;'!$N:$N,'Data 2026&gt;&gt;'!$L:$L,'01. CP Nhân sự '!$A25,'Data 2026&gt;&gt;'!$B:$B,'01. CP Nhân sự '!$C25,'Data 2026&gt;&gt;'!$C:$C,'01. CP Nhân sự '!I$4)</f>
        <v>28861290</v>
      </c>
      <c r="J25" s="73">
        <f>SUMIFS('Data 2026&gt;&gt;'!$N:$N,'Data 2026&gt;&gt;'!$L:$L,'01. CP Nhân sự '!$A25,'Data 2026&gt;&gt;'!$B:$B,'01. CP Nhân sự '!$C25,'Data 2026&gt;&gt;'!$C:$C,'01. CP Nhân sự '!J$4)</f>
        <v>0</v>
      </c>
      <c r="K25" s="76">
        <f t="shared" si="5"/>
        <v>167147434</v>
      </c>
      <c r="L25" s="179"/>
      <c r="O25" s="249">
        <f t="shared" si="4"/>
        <v>1.7308994884616528E-3</v>
      </c>
    </row>
    <row r="26" spans="1:15" hidden="1" outlineLevel="1" x14ac:dyDescent="0.25">
      <c r="A26" s="15">
        <v>2</v>
      </c>
      <c r="B26" s="3">
        <v>7</v>
      </c>
      <c r="C26" s="7" t="s">
        <v>6</v>
      </c>
      <c r="D26" s="133">
        <f>VLOOKUP(C26,'02. ĐỊNH BIÊN'!$C$6:$P$48,4,0)</f>
        <v>44</v>
      </c>
      <c r="E26" s="73">
        <f>SUMIFS('Data 2026&gt;&gt;'!$N:$N,'Data 2026&gt;&gt;'!$L:$L,'01. CP Nhân sự '!$A26,'Data 2026&gt;&gt;'!$B:$B,'01. CP Nhân sự '!$C26,'Data 2026&gt;&gt;'!$C:$C,'01. CP Nhân sự '!E$4)</f>
        <v>512945214</v>
      </c>
      <c r="F26" s="73">
        <f>SUMIFS('Data 2026&gt;&gt;'!$N:$N,'Data 2026&gt;&gt;'!$L:$L,'01. CP Nhân sự '!$A26,'Data 2026&gt;&gt;'!$B:$B,'01. CP Nhân sự '!$C26,'Data 2026&gt;&gt;'!$C:$C,'01. CP Nhân sự '!F$4)</f>
        <v>111367237</v>
      </c>
      <c r="G26" s="73">
        <f>SUMIFS('Data 2026&gt;&gt;'!$N:$N,'Data 2026&gt;&gt;'!$L:$L,'01. CP Nhân sự '!$A26,'Data 2026&gt;&gt;'!$B:$B,'01. CP Nhân sự '!$C26,'Data 2026&gt;&gt;'!$C:$C,'01. CP Nhân sự '!G$4)</f>
        <v>34724025</v>
      </c>
      <c r="H26" s="73">
        <f>SUMIFS('Data 2026&gt;&gt;'!$N:$N,'Data 2026&gt;&gt;'!$L:$L,'01. CP Nhân sự '!$A26,'Data 2026&gt;&gt;'!$B:$B,'01. CP Nhân sự '!$C26,'Data 2026&gt;&gt;'!$C:$C,'01. CP Nhân sự '!H$4)</f>
        <v>48429918</v>
      </c>
      <c r="I26" s="73">
        <f>SUMIFS('Data 2026&gt;&gt;'!$N:$N,'Data 2026&gt;&gt;'!$L:$L,'01. CP Nhân sự '!$A26,'Data 2026&gt;&gt;'!$B:$B,'01. CP Nhân sự '!$C26,'Data 2026&gt;&gt;'!$C:$C,'01. CP Nhân sự '!I$4)</f>
        <v>111278610</v>
      </c>
      <c r="J26" s="73">
        <f>SUMIFS('Data 2026&gt;&gt;'!$N:$N,'Data 2026&gt;&gt;'!$L:$L,'01. CP Nhân sự '!$A26,'Data 2026&gt;&gt;'!$B:$B,'01. CP Nhân sự '!$C26,'Data 2026&gt;&gt;'!$C:$C,'01. CP Nhân sự '!J$4)</f>
        <v>0</v>
      </c>
      <c r="K26" s="76">
        <f t="shared" si="5"/>
        <v>818745004</v>
      </c>
      <c r="L26" s="179"/>
      <c r="O26" s="249">
        <f t="shared" si="4"/>
        <v>8.4785346366976471E-3</v>
      </c>
    </row>
    <row r="27" spans="1:15" hidden="1" outlineLevel="1" x14ac:dyDescent="0.25">
      <c r="A27" s="15">
        <v>2</v>
      </c>
      <c r="B27" s="3">
        <v>8</v>
      </c>
      <c r="C27" s="7" t="s">
        <v>7</v>
      </c>
      <c r="D27" s="133">
        <f>VLOOKUP(C27,'02. ĐỊNH BIÊN'!$C$6:$P$48,4,0)</f>
        <v>83</v>
      </c>
      <c r="E27" s="73">
        <f>SUMIFS('Data 2026&gt;&gt;'!$N:$N,'Data 2026&gt;&gt;'!$L:$L,'01. CP Nhân sự '!$A27,'Data 2026&gt;&gt;'!$B:$B,'01. CP Nhân sự '!$C27,'Data 2026&gt;&gt;'!$C:$C,'01. CP Nhân sự '!E$4)</f>
        <v>1286890073</v>
      </c>
      <c r="F27" s="73">
        <f>SUMIFS('Data 2026&gt;&gt;'!$N:$N,'Data 2026&gt;&gt;'!$L:$L,'01. CP Nhân sự '!$A27,'Data 2026&gt;&gt;'!$B:$B,'01. CP Nhân sự '!$C27,'Data 2026&gt;&gt;'!$C:$C,'01. CP Nhân sự '!F$4)</f>
        <v>259525891</v>
      </c>
      <c r="G27" s="73">
        <f>SUMIFS('Data 2026&gt;&gt;'!$N:$N,'Data 2026&gt;&gt;'!$L:$L,'01. CP Nhân sự '!$A27,'Data 2026&gt;&gt;'!$B:$B,'01. CP Nhân sự '!$C27,'Data 2026&gt;&gt;'!$C:$C,'01. CP Nhân sự '!G$4)</f>
        <v>89347844</v>
      </c>
      <c r="H27" s="73">
        <f>SUMIFS('Data 2026&gt;&gt;'!$N:$N,'Data 2026&gt;&gt;'!$L:$L,'01. CP Nhân sự '!$A27,'Data 2026&gt;&gt;'!$B:$B,'01. CP Nhân sự '!$C27,'Data 2026&gt;&gt;'!$C:$C,'01. CP Nhân sự '!H$4)</f>
        <v>87354494</v>
      </c>
      <c r="I27" s="73">
        <f>SUMIFS('Data 2026&gt;&gt;'!$N:$N,'Data 2026&gt;&gt;'!$L:$L,'01. CP Nhân sự '!$A27,'Data 2026&gt;&gt;'!$B:$B,'01. CP Nhân sự '!$C27,'Data 2026&gt;&gt;'!$C:$C,'01. CP Nhân sự '!I$4)</f>
        <v>272275164</v>
      </c>
      <c r="J27" s="73">
        <f>SUMIFS('Data 2026&gt;&gt;'!$N:$N,'Data 2026&gt;&gt;'!$L:$L,'01. CP Nhân sự '!$A27,'Data 2026&gt;&gt;'!$B:$B,'01. CP Nhân sự '!$C27,'Data 2026&gt;&gt;'!$C:$C,'01. CP Nhân sự '!J$4)</f>
        <v>0</v>
      </c>
      <c r="K27" s="76">
        <f t="shared" si="5"/>
        <v>1995393466</v>
      </c>
      <c r="L27" s="179"/>
      <c r="O27" s="249">
        <f t="shared" si="4"/>
        <v>2.0663347602327683E-2</v>
      </c>
    </row>
    <row r="28" spans="1:15" hidden="1" outlineLevel="1" x14ac:dyDescent="0.25">
      <c r="A28" s="15">
        <v>2</v>
      </c>
      <c r="B28" s="3">
        <v>9</v>
      </c>
      <c r="C28" s="7" t="s">
        <v>9</v>
      </c>
      <c r="D28" s="133">
        <f>VLOOKUP(C28,'02. ĐỊNH BIÊN'!$C$6:$P$48,4,0)</f>
        <v>42</v>
      </c>
      <c r="E28" s="73">
        <f>SUMIFS('Data 2026&gt;&gt;'!$N:$N,'Data 2026&gt;&gt;'!$L:$L,'01. CP Nhân sự '!$A28,'Data 2026&gt;&gt;'!$B:$B,'01. CP Nhân sự '!$C28,'Data 2026&gt;&gt;'!$C:$C,'01. CP Nhân sự '!E$4)</f>
        <v>801807241</v>
      </c>
      <c r="F28" s="73">
        <f>SUMIFS('Data 2026&gt;&gt;'!$N:$N,'Data 2026&gt;&gt;'!$L:$L,'01. CP Nhân sự '!$A28,'Data 2026&gt;&gt;'!$B:$B,'01. CP Nhân sự '!$C28,'Data 2026&gt;&gt;'!$C:$C,'01. CP Nhân sự '!F$4)</f>
        <v>113335683</v>
      </c>
      <c r="G28" s="73">
        <f>SUMIFS('Data 2026&gt;&gt;'!$N:$N,'Data 2026&gt;&gt;'!$L:$L,'01. CP Nhân sự '!$A28,'Data 2026&gt;&gt;'!$B:$B,'01. CP Nhân sự '!$C28,'Data 2026&gt;&gt;'!$C:$C,'01. CP Nhân sự '!G$4)</f>
        <v>48307126</v>
      </c>
      <c r="H28" s="73">
        <f>SUMIFS('Data 2026&gt;&gt;'!$N:$N,'Data 2026&gt;&gt;'!$L:$L,'01. CP Nhân sự '!$A28,'Data 2026&gt;&gt;'!$B:$B,'01. CP Nhân sự '!$C28,'Data 2026&gt;&gt;'!$C:$C,'01. CP Nhân sự '!H$4)</f>
        <v>46899069</v>
      </c>
      <c r="I28" s="73">
        <f>SUMIFS('Data 2026&gt;&gt;'!$N:$N,'Data 2026&gt;&gt;'!$L:$L,'01. CP Nhân sự '!$A28,'Data 2026&gt;&gt;'!$B:$B,'01. CP Nhân sự '!$C28,'Data 2026&gt;&gt;'!$C:$C,'01. CP Nhân sự '!I$4)</f>
        <v>156526630</v>
      </c>
      <c r="J28" s="73">
        <f>SUMIFS('Data 2026&gt;&gt;'!$N:$N,'Data 2026&gt;&gt;'!$L:$L,'01. CP Nhân sự '!$A28,'Data 2026&gt;&gt;'!$B:$B,'01. CP Nhân sự '!$C28,'Data 2026&gt;&gt;'!$C:$C,'01. CP Nhân sự '!J$4)</f>
        <v>10500000</v>
      </c>
      <c r="K28" s="76">
        <f t="shared" si="5"/>
        <v>1177375749</v>
      </c>
      <c r="L28" s="179"/>
      <c r="O28" s="249">
        <f t="shared" si="4"/>
        <v>1.2192344404588678E-2</v>
      </c>
    </row>
    <row r="29" spans="1:15" hidden="1" outlineLevel="1" x14ac:dyDescent="0.25">
      <c r="A29" s="15">
        <v>2</v>
      </c>
      <c r="B29" s="3">
        <v>10</v>
      </c>
      <c r="C29" s="7" t="s">
        <v>10</v>
      </c>
      <c r="D29" s="133">
        <f>VLOOKUP(C29,'02. ĐỊNH BIÊN'!$C$6:$P$48,4,0)</f>
        <v>36</v>
      </c>
      <c r="E29" s="73">
        <f>SUMIFS('Data 2026&gt;&gt;'!$N:$N,'Data 2026&gt;&gt;'!$L:$L,'01. CP Nhân sự '!$A29,'Data 2026&gt;&gt;'!$B:$B,'01. CP Nhân sự '!$C29,'Data 2026&gt;&gt;'!$C:$C,'01. CP Nhân sự '!E$4)</f>
        <v>466566632</v>
      </c>
      <c r="F29" s="73">
        <f>SUMIFS('Data 2026&gt;&gt;'!$N:$N,'Data 2026&gt;&gt;'!$L:$L,'01. CP Nhân sự '!$A29,'Data 2026&gt;&gt;'!$B:$B,'01. CP Nhân sự '!$C29,'Data 2026&gt;&gt;'!$C:$C,'01. CP Nhân sự '!F$4)</f>
        <v>0</v>
      </c>
      <c r="G29" s="73">
        <f>SUMIFS('Data 2026&gt;&gt;'!$N:$N,'Data 2026&gt;&gt;'!$L:$L,'01. CP Nhân sự '!$A29,'Data 2026&gt;&gt;'!$B:$B,'01. CP Nhân sự '!$C29,'Data 2026&gt;&gt;'!$C:$C,'01. CP Nhân sự '!G$4)</f>
        <v>343560470</v>
      </c>
      <c r="H29" s="73">
        <f>SUMIFS('Data 2026&gt;&gt;'!$N:$N,'Data 2026&gt;&gt;'!$L:$L,'01. CP Nhân sự '!$A29,'Data 2026&gt;&gt;'!$B:$B,'01. CP Nhân sự '!$C29,'Data 2026&gt;&gt;'!$C:$C,'01. CP Nhân sự '!H$4)</f>
        <v>10711000</v>
      </c>
      <c r="I29" s="73">
        <f>SUMIFS('Data 2026&gt;&gt;'!$N:$N,'Data 2026&gt;&gt;'!$L:$L,'01. CP Nhân sự '!$A29,'Data 2026&gt;&gt;'!$B:$B,'01. CP Nhân sự '!$C29,'Data 2026&gt;&gt;'!$C:$C,'01. CP Nhân sự '!I$4)</f>
        <v>95067515</v>
      </c>
      <c r="J29" s="73">
        <f>SUMIFS('Data 2026&gt;&gt;'!$N:$N,'Data 2026&gt;&gt;'!$L:$L,'01. CP Nhân sự '!$A29,'Data 2026&gt;&gt;'!$B:$B,'01. CP Nhân sự '!$C29,'Data 2026&gt;&gt;'!$C:$C,'01. CP Nhân sự '!J$4)</f>
        <v>0</v>
      </c>
      <c r="K29" s="76">
        <f t="shared" si="5"/>
        <v>915905617</v>
      </c>
      <c r="L29" s="179"/>
      <c r="O29" s="249">
        <f t="shared" si="4"/>
        <v>9.4846838267613164E-3</v>
      </c>
    </row>
    <row r="30" spans="1:15" hidden="1" outlineLevel="1" x14ac:dyDescent="0.25">
      <c r="A30" s="15">
        <v>2</v>
      </c>
      <c r="B30" s="3">
        <v>11</v>
      </c>
      <c r="C30" s="7" t="s">
        <v>1539</v>
      </c>
      <c r="D30" s="133">
        <f>VLOOKUP(C30,'02. ĐỊNH BIÊN'!$C$6:$P$48,4,0)</f>
        <v>3</v>
      </c>
      <c r="E30" s="73">
        <f>SUMIFS('Data 2026&gt;&gt;'!$N:$N,'Data 2026&gt;&gt;'!$L:$L,'01. CP Nhân sự '!$A30,'Data 2026&gt;&gt;'!$B:$B,'01. CP Nhân sự '!$C30,'Data 2026&gt;&gt;'!$C:$C,'01. CP Nhân sự '!E$4)</f>
        <v>93442469</v>
      </c>
      <c r="F30" s="73">
        <f>SUMIFS('Data 2026&gt;&gt;'!$N:$N,'Data 2026&gt;&gt;'!$L:$L,'01. CP Nhân sự '!$A30,'Data 2026&gt;&gt;'!$B:$B,'01. CP Nhân sự '!$C30,'Data 2026&gt;&gt;'!$C:$C,'01. CP Nhân sự '!F$4)</f>
        <v>0</v>
      </c>
      <c r="G30" s="73">
        <f>SUMIFS('Data 2026&gt;&gt;'!$N:$N,'Data 2026&gt;&gt;'!$L:$L,'01. CP Nhân sự '!$A30,'Data 2026&gt;&gt;'!$B:$B,'01. CP Nhân sự '!$C30,'Data 2026&gt;&gt;'!$C:$C,'01. CP Nhân sự '!G$4)</f>
        <v>6536466</v>
      </c>
      <c r="H30" s="73">
        <f>SUMIFS('Data 2026&gt;&gt;'!$N:$N,'Data 2026&gt;&gt;'!$L:$L,'01. CP Nhân sự '!$A30,'Data 2026&gt;&gt;'!$B:$B,'01. CP Nhân sự '!$C30,'Data 2026&gt;&gt;'!$C:$C,'01. CP Nhân sự '!H$4)</f>
        <v>0</v>
      </c>
      <c r="I30" s="73">
        <f>SUMIFS('Data 2026&gt;&gt;'!$N:$N,'Data 2026&gt;&gt;'!$L:$L,'01. CP Nhân sự '!$A30,'Data 2026&gt;&gt;'!$B:$B,'01. CP Nhân sự '!$C30,'Data 2026&gt;&gt;'!$C:$C,'01. CP Nhân sự '!I$4)</f>
        <v>20035865</v>
      </c>
      <c r="J30" s="73">
        <f>SUMIFS('Data 2026&gt;&gt;'!$N:$N,'Data 2026&gt;&gt;'!$L:$L,'01. CP Nhân sự '!$A30,'Data 2026&gt;&gt;'!$B:$B,'01. CP Nhân sự '!$C30,'Data 2026&gt;&gt;'!$C:$C,'01. CP Nhân sự '!J$4)</f>
        <v>0</v>
      </c>
      <c r="K30" s="76">
        <f t="shared" si="5"/>
        <v>120014800</v>
      </c>
      <c r="L30" s="179"/>
      <c r="O30" s="249">
        <f t="shared" si="4"/>
        <v>1.2428163026889636E-3</v>
      </c>
    </row>
    <row r="31" spans="1:15" hidden="1" outlineLevel="1" x14ac:dyDescent="0.25">
      <c r="A31" s="15">
        <v>2</v>
      </c>
      <c r="B31" s="3">
        <v>12</v>
      </c>
      <c r="C31" s="7" t="s">
        <v>8</v>
      </c>
      <c r="D31" s="133">
        <f>VLOOKUP(C31,'02. ĐỊNH BIÊN'!$C$6:$P$48,4,0)</f>
        <v>83</v>
      </c>
      <c r="E31" s="73">
        <f>SUMIFS('Data 2026&gt;&gt;'!$N:$N,'Data 2026&gt;&gt;'!$L:$L,'01. CP Nhân sự '!$A31,'Data 2026&gt;&gt;'!$B:$B,'01. CP Nhân sự '!$C31,'Data 2026&gt;&gt;'!$C:$C,'01. CP Nhân sự '!E$4,'Data 2026&gt;&gt;'!$A:$A,627)</f>
        <v>1030213582</v>
      </c>
      <c r="F31" s="73">
        <f>SUMIFS('Data 2026&gt;&gt;'!$N:$N,'Data 2026&gt;&gt;'!$L:$L,'01. CP Nhân sự '!$A31,'Data 2026&gt;&gt;'!$B:$B,'01. CP Nhân sự '!$C31,'Data 2026&gt;&gt;'!$C:$C,'01. CP Nhân sự '!F$4,'Data 2026&gt;&gt;'!$A:$A,627)</f>
        <v>89616549</v>
      </c>
      <c r="G31" s="73">
        <f>SUMIFS('Data 2026&gt;&gt;'!$N:$N,'Data 2026&gt;&gt;'!$L:$L,'01. CP Nhân sự '!$A31,'Data 2026&gt;&gt;'!$B:$B,'01. CP Nhân sự '!$C31,'Data 2026&gt;&gt;'!$C:$C,'01. CP Nhân sự '!G$4,'Data 2026&gt;&gt;'!$A:$A,627)</f>
        <v>59923737</v>
      </c>
      <c r="H31" s="73">
        <f>SUMIFS('Data 2026&gt;&gt;'!$N:$N,'Data 2026&gt;&gt;'!$L:$L,'01. CP Nhân sự '!$A31,'Data 2026&gt;&gt;'!$B:$B,'01. CP Nhân sự '!$C31,'Data 2026&gt;&gt;'!$C:$C,'01. CP Nhân sự '!H$4,'Data 2026&gt;&gt;'!$A:$A,627)</f>
        <v>62507740</v>
      </c>
      <c r="I31" s="73">
        <f>SUMIFS('Data 2026&gt;&gt;'!$N:$N,'Data 2026&gt;&gt;'!$L:$L,'01. CP Nhân sự '!$A31,'Data 2026&gt;&gt;'!$B:$B,'01. CP Nhân sự '!$C31,'Data 2026&gt;&gt;'!$C:$C,'01. CP Nhân sự '!I$4,'Data 2026&gt;&gt;'!$A:$A,627)</f>
        <v>178995175</v>
      </c>
      <c r="J31" s="73">
        <f>SUMIFS('Data 2026&gt;&gt;'!$N:$N,'Data 2026&gt;&gt;'!$L:$L,'01. CP Nhân sự '!$A31,'Data 2026&gt;&gt;'!$B:$B,'01. CP Nhân sự '!$C31,'Data 2026&gt;&gt;'!$C:$C,'01. CP Nhân sự '!J$4,'Data 2026&gt;&gt;'!$A:$A,627)</f>
        <v>0</v>
      </c>
      <c r="K31" s="76">
        <f t="shared" si="5"/>
        <v>1421256783</v>
      </c>
      <c r="L31" s="180"/>
      <c r="O31" s="249">
        <f t="shared" si="4"/>
        <v>1.47178606323526E-2</v>
      </c>
    </row>
    <row r="32" spans="1:15" hidden="1" outlineLevel="1" x14ac:dyDescent="0.25">
      <c r="A32" s="15">
        <v>2</v>
      </c>
      <c r="B32" s="3">
        <v>13</v>
      </c>
      <c r="C32" s="7" t="s">
        <v>8</v>
      </c>
      <c r="D32" s="133">
        <v>212</v>
      </c>
      <c r="E32" s="73">
        <f>SUMIFS('Data 2026&gt;&gt;'!$N:$N,'Data 2026&gt;&gt;'!$L:$L,'01. CP Nhân sự '!$A32,'Data 2026&gt;&gt;'!$B:$B,'01. CP Nhân sự '!$C32,'Data 2026&gt;&gt;'!$C:$C,'01. CP Nhân sự '!E$4,'Data 2026&gt;&gt;'!$A:$A,622)</f>
        <v>1718543145</v>
      </c>
      <c r="F32" s="73">
        <f>SUMIFS('Data 2026&gt;&gt;'!$N:$N,'Data 2026&gt;&gt;'!$L:$L,'01. CP Nhân sự '!$A32,'Data 2026&gt;&gt;'!$B:$B,'01. CP Nhân sự '!$C32,'Data 2026&gt;&gt;'!$C:$C,'01. CP Nhân sự '!F$4,'Data 2026&gt;&gt;'!$A:$A,622)</f>
        <v>248754636</v>
      </c>
      <c r="G32" s="73">
        <f>SUMIFS('Data 2026&gt;&gt;'!$N:$N,'Data 2026&gt;&gt;'!$L:$L,'01. CP Nhân sự '!$A32,'Data 2026&gt;&gt;'!$B:$B,'01. CP Nhân sự '!$C32,'Data 2026&gt;&gt;'!$C:$C,'01. CP Nhân sự '!G$4,'Data 2026&gt;&gt;'!$A:$A,622)</f>
        <v>25714510</v>
      </c>
      <c r="H32" s="73">
        <f>SUMIFS('Data 2026&gt;&gt;'!$N:$N,'Data 2026&gt;&gt;'!$L:$L,'01. CP Nhân sự '!$A32,'Data 2026&gt;&gt;'!$B:$B,'01. CP Nhân sự '!$C32,'Data 2026&gt;&gt;'!$C:$C,'01. CP Nhân sự '!H$4,'Data 2026&gt;&gt;'!$A:$A,622)</f>
        <v>207455996</v>
      </c>
      <c r="I32" s="73">
        <f>SUMIFS('Data 2026&gt;&gt;'!$N:$N,'Data 2026&gt;&gt;'!$L:$L,'01. CP Nhân sự '!$A32,'Data 2026&gt;&gt;'!$B:$B,'01. CP Nhân sự '!$C32,'Data 2026&gt;&gt;'!$C:$C,'01. CP Nhân sự '!I$4,'Data 2026&gt;&gt;'!$A:$A,622)</f>
        <v>305920464</v>
      </c>
      <c r="J32" s="73">
        <f>SUMIFS('Data 2026&gt;&gt;'!$N:$N,'Data 2026&gt;&gt;'!$L:$L,'01. CP Nhân sự '!$A32,'Data 2026&gt;&gt;'!$B:$B,'01. CP Nhân sự '!$C32,'Data 2026&gt;&gt;'!$C:$C,'01. CP Nhân sự '!J$4,'Data 2026&gt;&gt;'!$A:$A,622)</f>
        <v>0</v>
      </c>
      <c r="K32" s="76">
        <f t="shared" si="5"/>
        <v>2506388751</v>
      </c>
      <c r="L32" s="179"/>
      <c r="O32" s="249">
        <f t="shared" si="4"/>
        <v>2.59549722252508E-2</v>
      </c>
    </row>
    <row r="33" spans="1:15" hidden="1" outlineLevel="1" x14ac:dyDescent="0.25">
      <c r="A33" s="70">
        <v>2</v>
      </c>
      <c r="B33" s="3">
        <v>14</v>
      </c>
      <c r="C33" s="71" t="s">
        <v>221</v>
      </c>
      <c r="D33" s="134">
        <f>VLOOKUP(C33,'02. ĐỊNH BIÊN'!$C$6:$P$48,4,0)</f>
        <v>1</v>
      </c>
      <c r="E33" s="74">
        <f>SUMIFS('Data 2026&gt;&gt;'!$N:$N,'Data 2026&gt;&gt;'!$L:$L,'01. CP Nhân sự '!$A33,'Data 2026&gt;&gt;'!$B:$B,'01. CP Nhân sự '!$C33,'Data 2026&gt;&gt;'!$C:$C,'01. CP Nhân sự '!E$4)</f>
        <v>75833333</v>
      </c>
      <c r="F33" s="74">
        <f>SUMIFS('Data 2026&gt;&gt;'!$N:$N,'Data 2026&gt;&gt;'!$L:$L,'01. CP Nhân sự '!$A33,'Data 2026&gt;&gt;'!$B:$B,'01. CP Nhân sự '!$C33,'Data 2026&gt;&gt;'!$C:$C,'01. CP Nhân sự '!F$4)</f>
        <v>0</v>
      </c>
      <c r="G33" s="74">
        <f>SUMIFS('Data 2026&gt;&gt;'!$N:$N,'Data 2026&gt;&gt;'!$L:$L,'01. CP Nhân sự '!$A33,'Data 2026&gt;&gt;'!$B:$B,'01. CP Nhân sự '!$C33,'Data 2026&gt;&gt;'!$C:$C,'01. CP Nhân sự '!G$4)</f>
        <v>5366620</v>
      </c>
      <c r="H33" s="74">
        <f>SUMIFS('Data 2026&gt;&gt;'!$N:$N,'Data 2026&gt;&gt;'!$L:$L,'01. CP Nhân sự '!$A33,'Data 2026&gt;&gt;'!$B:$B,'01. CP Nhân sự '!$C33,'Data 2026&gt;&gt;'!$C:$C,'01. CP Nhân sự '!H$4)</f>
        <v>0</v>
      </c>
      <c r="I33" s="74">
        <f>SUMIFS('Data 2026&gt;&gt;'!$N:$N,'Data 2026&gt;&gt;'!$L:$L,'01. CP Nhân sự '!$A33,'Data 2026&gt;&gt;'!$B:$B,'01. CP Nhân sự '!$C33,'Data 2026&gt;&gt;'!$C:$C,'01. CP Nhân sự '!I$4)</f>
        <v>0</v>
      </c>
      <c r="J33" s="74">
        <f>SUMIFS('Data 2026&gt;&gt;'!$N:$N,'Data 2026&gt;&gt;'!$L:$L,'01. CP Nhân sự '!$A33,'Data 2026&gt;&gt;'!$B:$B,'01. CP Nhân sự '!$C33,'Data 2026&gt;&gt;'!$C:$C,'01. CP Nhân sự '!J$4)</f>
        <v>0</v>
      </c>
      <c r="K33" s="76">
        <f t="shared" si="5"/>
        <v>81199953</v>
      </c>
      <c r="L33" s="179"/>
      <c r="O33" s="249">
        <f t="shared" si="4"/>
        <v>8.4086817097539328E-4</v>
      </c>
    </row>
    <row r="34" spans="1:15" collapsed="1" x14ac:dyDescent="0.25">
      <c r="A34" s="17">
        <v>2</v>
      </c>
      <c r="B34" s="18"/>
      <c r="C34" s="19" t="s">
        <v>17</v>
      </c>
      <c r="D34" s="136">
        <f>SUM(D20:D33)</f>
        <v>575</v>
      </c>
      <c r="E34" s="75">
        <f t="shared" ref="E34:K34" si="6">SUM(E20:E33)</f>
        <v>9015286626</v>
      </c>
      <c r="F34" s="75">
        <f t="shared" si="6"/>
        <v>856498242</v>
      </c>
      <c r="G34" s="75">
        <f t="shared" si="6"/>
        <v>933589151</v>
      </c>
      <c r="H34" s="75">
        <f t="shared" si="6"/>
        <v>489355217</v>
      </c>
      <c r="I34" s="75">
        <f t="shared" si="6"/>
        <v>1584712298</v>
      </c>
      <c r="J34" s="75">
        <f t="shared" si="6"/>
        <v>10500000</v>
      </c>
      <c r="K34" s="75">
        <f t="shared" si="6"/>
        <v>12889941534</v>
      </c>
      <c r="L34" s="181">
        <f>K34/K19-1</f>
        <v>-0.10559159677375618</v>
      </c>
      <c r="N34" s="75">
        <v>96566805360</v>
      </c>
      <c r="O34" s="250">
        <f t="shared" si="4"/>
        <v>0.13348211619869207</v>
      </c>
    </row>
    <row r="35" spans="1:15" hidden="1" outlineLevel="1" x14ac:dyDescent="0.25">
      <c r="A35" s="14">
        <v>3</v>
      </c>
      <c r="B35" s="1">
        <v>1</v>
      </c>
      <c r="C35" s="2" t="s">
        <v>0</v>
      </c>
      <c r="D35" s="132">
        <f>VLOOKUP(C35,'02. ĐỊNH BIÊN'!$C$6:$P$48,5,0)</f>
        <v>14</v>
      </c>
      <c r="E35" s="72">
        <f>SUMIFS('Data 2026&gt;&gt;'!$N:$N,'Data 2026&gt;&gt;'!$L:$L,'01. CP Nhân sự '!$A35,'Data 2026&gt;&gt;'!$B:$B,'01. CP Nhân sự '!$C35,'Data 2026&gt;&gt;'!$C:$C,'01. CP Nhân sự '!E$4)</f>
        <v>1693411057</v>
      </c>
      <c r="F35" s="72">
        <f>SUMIFS('Data 2026&gt;&gt;'!$N:$N,'Data 2026&gt;&gt;'!$L:$L,'01. CP Nhân sự '!$A35,'Data 2026&gt;&gt;'!$B:$B,'01. CP Nhân sự '!$C35,'Data 2026&gt;&gt;'!$C:$C,'01. CP Nhân sự '!F$4)</f>
        <v>0</v>
      </c>
      <c r="G35" s="72">
        <f>SUMIFS('Data 2026&gt;&gt;'!$N:$N,'Data 2026&gt;&gt;'!$L:$L,'01. CP Nhân sự '!$A35,'Data 2026&gt;&gt;'!$B:$B,'01. CP Nhân sự '!$C35,'Data 2026&gt;&gt;'!$C:$C,'01. CP Nhân sự '!G$4)</f>
        <v>113188302</v>
      </c>
      <c r="H35" s="72">
        <f>SUMIFS('Data 2026&gt;&gt;'!$N:$N,'Data 2026&gt;&gt;'!$L:$L,'01. CP Nhân sự '!$A35,'Data 2026&gt;&gt;'!$B:$B,'01. CP Nhân sự '!$C35,'Data 2026&gt;&gt;'!$C:$C,'01. CP Nhân sự '!H$4)</f>
        <v>100000</v>
      </c>
      <c r="I35" s="72">
        <f>SUMIFS('Data 2026&gt;&gt;'!$N:$N,'Data 2026&gt;&gt;'!$L:$L,'01. CP Nhân sự '!$A35,'Data 2026&gt;&gt;'!$B:$B,'01. CP Nhân sự '!$C35,'Data 2026&gt;&gt;'!$C:$C,'01. CP Nhân sự '!I$4)</f>
        <v>156408545</v>
      </c>
      <c r="J35" s="72">
        <f>SUMIFS('Data 2026&gt;&gt;'!$N:$N,'Data 2026&gt;&gt;'!$L:$L,'01. CP Nhân sự '!$A35,'Data 2026&gt;&gt;'!$B:$B,'01. CP Nhân sự '!$C35,'Data 2026&gt;&gt;'!$C:$C,'01. CP Nhân sự '!J$4)</f>
        <v>2</v>
      </c>
      <c r="K35" s="76">
        <f>SUM(E35:J35)</f>
        <v>1963107906</v>
      </c>
      <c r="L35" s="179"/>
      <c r="N35" s="129"/>
      <c r="O35" s="249">
        <f>K35/N$49</f>
        <v>1.1327420379494201E-2</v>
      </c>
    </row>
    <row r="36" spans="1:15" hidden="1" outlineLevel="1" x14ac:dyDescent="0.25">
      <c r="A36" s="15">
        <v>3</v>
      </c>
      <c r="B36" s="3">
        <v>2</v>
      </c>
      <c r="C36" s="7" t="s">
        <v>1</v>
      </c>
      <c r="D36" s="133">
        <f>VLOOKUP(C36,'02. ĐỊNH BIÊN'!$C$6:$P$48,5,0)</f>
        <v>9</v>
      </c>
      <c r="E36" s="73">
        <f>SUMIFS('Data 2026&gt;&gt;'!$N:$N,'Data 2026&gt;&gt;'!$L:$L,'01. CP Nhân sự '!$A36,'Data 2026&gt;&gt;'!$B:$B,'01. CP Nhân sự '!$C36,'Data 2026&gt;&gt;'!$C:$C,'01. CP Nhân sự '!E$4)</f>
        <v>728092249</v>
      </c>
      <c r="F36" s="73">
        <f>SUMIFS('Data 2026&gt;&gt;'!$N:$N,'Data 2026&gt;&gt;'!$L:$L,'01. CP Nhân sự '!$A36,'Data 2026&gt;&gt;'!$B:$B,'01. CP Nhân sự '!$C36,'Data 2026&gt;&gt;'!$C:$C,'01. CP Nhân sự '!F$4)</f>
        <v>0</v>
      </c>
      <c r="G36" s="73">
        <f>SUMIFS('Data 2026&gt;&gt;'!$N:$N,'Data 2026&gt;&gt;'!$L:$L,'01. CP Nhân sự '!$A36,'Data 2026&gt;&gt;'!$B:$B,'01. CP Nhân sự '!$C36,'Data 2026&gt;&gt;'!$C:$C,'01. CP Nhân sự '!G$4)</f>
        <v>284840004</v>
      </c>
      <c r="H36" s="73">
        <f>SUMIFS('Data 2026&gt;&gt;'!$N:$N,'Data 2026&gt;&gt;'!$L:$L,'01. CP Nhân sự '!$A36,'Data 2026&gt;&gt;'!$B:$B,'01. CP Nhân sự '!$C36,'Data 2026&gt;&gt;'!$C:$C,'01. CP Nhân sự '!H$4)</f>
        <v>2744000</v>
      </c>
      <c r="I36" s="73">
        <f>SUMIFS('Data 2026&gt;&gt;'!$N:$N,'Data 2026&gt;&gt;'!$L:$L,'01. CP Nhân sự '!$A36,'Data 2026&gt;&gt;'!$B:$B,'01. CP Nhân sự '!$C36,'Data 2026&gt;&gt;'!$C:$C,'01. CP Nhân sự '!I$4)</f>
        <v>57741460</v>
      </c>
      <c r="J36" s="73">
        <f>SUMIFS('Data 2026&gt;&gt;'!$N:$N,'Data 2026&gt;&gt;'!$L:$L,'01. CP Nhân sự '!$A36,'Data 2026&gt;&gt;'!$B:$B,'01. CP Nhân sự '!$C36,'Data 2026&gt;&gt;'!$C:$C,'01. CP Nhân sự '!J$4)</f>
        <v>0</v>
      </c>
      <c r="K36" s="76">
        <f>SUM(E36:J36)</f>
        <v>1073417713</v>
      </c>
      <c r="L36" s="179"/>
      <c r="O36" s="249">
        <f t="shared" ref="O36:O49" si="7">K36/N$49</f>
        <v>6.1937775507824059E-3</v>
      </c>
    </row>
    <row r="37" spans="1:15" hidden="1" outlineLevel="1" x14ac:dyDescent="0.25">
      <c r="A37" s="15">
        <v>3</v>
      </c>
      <c r="B37" s="3">
        <v>3</v>
      </c>
      <c r="C37" s="7" t="s">
        <v>2</v>
      </c>
      <c r="D37" s="133">
        <f>VLOOKUP(C37,'02. ĐỊNH BIÊN'!$C$6:$P$48,5,0)</f>
        <v>9</v>
      </c>
      <c r="E37" s="73">
        <f>SUMIFS('Data 2026&gt;&gt;'!$N:$N,'Data 2026&gt;&gt;'!$L:$L,'01. CP Nhân sự '!$A37,'Data 2026&gt;&gt;'!$B:$B,'01. CP Nhân sự '!$C37,'Data 2026&gt;&gt;'!$C:$C,'01. CP Nhân sự '!E$4)</f>
        <v>190513798</v>
      </c>
      <c r="F37" s="73">
        <f>SUMIFS('Data 2026&gt;&gt;'!$N:$N,'Data 2026&gt;&gt;'!$L:$L,'01. CP Nhân sự '!$A37,'Data 2026&gt;&gt;'!$B:$B,'01. CP Nhân sự '!$C37,'Data 2026&gt;&gt;'!$C:$C,'01. CP Nhân sự '!F$4)</f>
        <v>0</v>
      </c>
      <c r="G37" s="73">
        <f>SUMIFS('Data 2026&gt;&gt;'!$N:$N,'Data 2026&gt;&gt;'!$L:$L,'01. CP Nhân sự '!$A37,'Data 2026&gt;&gt;'!$B:$B,'01. CP Nhân sự '!$C37,'Data 2026&gt;&gt;'!$C:$C,'01. CP Nhân sự '!G$4)</f>
        <v>15582748</v>
      </c>
      <c r="H37" s="73">
        <f>SUMIFS('Data 2026&gt;&gt;'!$N:$N,'Data 2026&gt;&gt;'!$L:$L,'01. CP Nhân sự '!$A37,'Data 2026&gt;&gt;'!$B:$B,'01. CP Nhân sự '!$C37,'Data 2026&gt;&gt;'!$C:$C,'01. CP Nhân sự '!H$4)</f>
        <v>6100000</v>
      </c>
      <c r="I37" s="73">
        <f>SUMIFS('Data 2026&gt;&gt;'!$N:$N,'Data 2026&gt;&gt;'!$L:$L,'01. CP Nhân sự '!$A37,'Data 2026&gt;&gt;'!$B:$B,'01. CP Nhân sự '!$C37,'Data 2026&gt;&gt;'!$C:$C,'01. CP Nhân sự '!I$4)</f>
        <v>45919925</v>
      </c>
      <c r="J37" s="73">
        <f>SUMIFS('Data 2026&gt;&gt;'!$N:$N,'Data 2026&gt;&gt;'!$L:$L,'01. CP Nhân sự '!$A37,'Data 2026&gt;&gt;'!$B:$B,'01. CP Nhân sự '!$C37,'Data 2026&gt;&gt;'!$C:$C,'01. CP Nhân sự '!J$4)</f>
        <v>0</v>
      </c>
      <c r="K37" s="76">
        <f t="shared" ref="K37:K48" si="8">SUM(E37:J37)</f>
        <v>258116471</v>
      </c>
      <c r="L37" s="179"/>
      <c r="O37" s="249">
        <f t="shared" si="7"/>
        <v>1.4893698736336933E-3</v>
      </c>
    </row>
    <row r="38" spans="1:15" hidden="1" outlineLevel="1" x14ac:dyDescent="0.25">
      <c r="A38" s="15">
        <v>3</v>
      </c>
      <c r="B38" s="3">
        <v>4</v>
      </c>
      <c r="C38" s="7" t="s">
        <v>3</v>
      </c>
      <c r="D38" s="133">
        <f>VLOOKUP(C38,'02. ĐỊNH BIÊN'!$C$6:$P$48,5,0)</f>
        <v>28</v>
      </c>
      <c r="E38" s="73">
        <f>SUMIFS('Data 2026&gt;&gt;'!$N:$N,'Data 2026&gt;&gt;'!$L:$L,'01. CP Nhân sự '!$A38,'Data 2026&gt;&gt;'!$B:$B,'01. CP Nhân sự '!$C38,'Data 2026&gt;&gt;'!$C:$C,'01. CP Nhân sự '!E$4)</f>
        <v>559379942</v>
      </c>
      <c r="F38" s="73">
        <f>SUMIFS('Data 2026&gt;&gt;'!$N:$N,'Data 2026&gt;&gt;'!$L:$L,'01. CP Nhân sự '!$A38,'Data 2026&gt;&gt;'!$B:$B,'01. CP Nhân sự '!$C38,'Data 2026&gt;&gt;'!$C:$C,'01. CP Nhân sự '!F$4)</f>
        <v>49401229</v>
      </c>
      <c r="G38" s="73">
        <f>SUMIFS('Data 2026&gt;&gt;'!$N:$N,'Data 2026&gt;&gt;'!$L:$L,'01. CP Nhân sự '!$A38,'Data 2026&gt;&gt;'!$B:$B,'01. CP Nhân sự '!$C38,'Data 2026&gt;&gt;'!$C:$C,'01. CP Nhân sự '!G$4)</f>
        <v>41940825</v>
      </c>
      <c r="H38" s="73">
        <f>SUMIFS('Data 2026&gt;&gt;'!$N:$N,'Data 2026&gt;&gt;'!$L:$L,'01. CP Nhân sự '!$A38,'Data 2026&gt;&gt;'!$B:$B,'01. CP Nhân sự '!$C38,'Data 2026&gt;&gt;'!$C:$C,'01. CP Nhân sự '!H$4)</f>
        <v>19708000</v>
      </c>
      <c r="I38" s="73">
        <f>SUMIFS('Data 2026&gt;&gt;'!$N:$N,'Data 2026&gt;&gt;'!$L:$L,'01. CP Nhân sự '!$A38,'Data 2026&gt;&gt;'!$B:$B,'01. CP Nhân sự '!$C38,'Data 2026&gt;&gt;'!$C:$C,'01. CP Nhân sự '!I$4)</f>
        <v>120509265</v>
      </c>
      <c r="J38" s="73">
        <f>SUMIFS('Data 2026&gt;&gt;'!$N:$N,'Data 2026&gt;&gt;'!$L:$L,'01. CP Nhân sự '!$A38,'Data 2026&gt;&gt;'!$B:$B,'01. CP Nhân sự '!$C38,'Data 2026&gt;&gt;'!$C:$C,'01. CP Nhân sự '!J$4)</f>
        <v>4400000</v>
      </c>
      <c r="K38" s="76">
        <f t="shared" si="8"/>
        <v>795339261</v>
      </c>
      <c r="L38" s="179"/>
      <c r="O38" s="249">
        <f t="shared" si="7"/>
        <v>4.5892241206547607E-3</v>
      </c>
    </row>
    <row r="39" spans="1:15" hidden="1" outlineLevel="1" x14ac:dyDescent="0.25">
      <c r="A39" s="15">
        <v>3</v>
      </c>
      <c r="B39" s="3">
        <v>5</v>
      </c>
      <c r="C39" s="7" t="s">
        <v>4</v>
      </c>
      <c r="D39" s="133">
        <f>VLOOKUP(C39,'02. ĐỊNH BIÊN'!$C$6:$P$48,5,0)</f>
        <v>7</v>
      </c>
      <c r="E39" s="73">
        <f>SUMIFS('Data 2026&gt;&gt;'!$N:$N,'Data 2026&gt;&gt;'!$L:$L,'01. CP Nhân sự '!$A39,'Data 2026&gt;&gt;'!$B:$B,'01. CP Nhân sự '!$C39,'Data 2026&gt;&gt;'!$C:$C,'01. CP Nhân sự '!E$4)</f>
        <v>165939868</v>
      </c>
      <c r="F39" s="73">
        <f>SUMIFS('Data 2026&gt;&gt;'!$N:$N,'Data 2026&gt;&gt;'!$L:$L,'01. CP Nhân sự '!$A39,'Data 2026&gt;&gt;'!$B:$B,'01. CP Nhân sự '!$C39,'Data 2026&gt;&gt;'!$C:$C,'01. CP Nhân sự '!F$4)</f>
        <v>0</v>
      </c>
      <c r="G39" s="73">
        <f>SUMIFS('Data 2026&gt;&gt;'!$N:$N,'Data 2026&gt;&gt;'!$L:$L,'01. CP Nhân sự '!$A39,'Data 2026&gt;&gt;'!$B:$B,'01. CP Nhân sự '!$C39,'Data 2026&gt;&gt;'!$C:$C,'01. CP Nhân sự '!G$4)</f>
        <v>13531932</v>
      </c>
      <c r="H39" s="73">
        <f>SUMIFS('Data 2026&gt;&gt;'!$N:$N,'Data 2026&gt;&gt;'!$L:$L,'01. CP Nhân sự '!$A39,'Data 2026&gt;&gt;'!$B:$B,'01. CP Nhân sự '!$C39,'Data 2026&gt;&gt;'!$C:$C,'01. CP Nhân sự '!H$4)</f>
        <v>350000</v>
      </c>
      <c r="I39" s="73">
        <f>SUMIFS('Data 2026&gt;&gt;'!$N:$N,'Data 2026&gt;&gt;'!$L:$L,'01. CP Nhân sự '!$A39,'Data 2026&gt;&gt;'!$B:$B,'01. CP Nhân sự '!$C39,'Data 2026&gt;&gt;'!$C:$C,'01. CP Nhân sự '!I$4)</f>
        <v>39368175</v>
      </c>
      <c r="J39" s="73">
        <f>SUMIFS('Data 2026&gt;&gt;'!$N:$N,'Data 2026&gt;&gt;'!$L:$L,'01. CP Nhân sự '!$A39,'Data 2026&gt;&gt;'!$B:$B,'01. CP Nhân sự '!$C39,'Data 2026&gt;&gt;'!$C:$C,'01. CP Nhân sự '!J$4)</f>
        <v>0</v>
      </c>
      <c r="K39" s="76">
        <f t="shared" si="8"/>
        <v>219189975</v>
      </c>
      <c r="L39" s="179"/>
      <c r="O39" s="249">
        <f t="shared" si="7"/>
        <v>1.2647582856791901E-3</v>
      </c>
    </row>
    <row r="40" spans="1:15" hidden="1" outlineLevel="1" x14ac:dyDescent="0.25">
      <c r="A40" s="15">
        <v>3</v>
      </c>
      <c r="B40" s="3">
        <v>6</v>
      </c>
      <c r="C40" s="7" t="s">
        <v>5</v>
      </c>
      <c r="D40" s="133">
        <f>VLOOKUP(C40,'02. ĐỊNH BIÊN'!$C$6:$P$48,5,0)</f>
        <v>5</v>
      </c>
      <c r="E40" s="73">
        <f>SUMIFS('Data 2026&gt;&gt;'!$N:$N,'Data 2026&gt;&gt;'!$L:$L,'01. CP Nhân sự '!$A40,'Data 2026&gt;&gt;'!$B:$B,'01. CP Nhân sự '!$C40,'Data 2026&gt;&gt;'!$C:$C,'01. CP Nhân sự '!E$4)</f>
        <v>151122307</v>
      </c>
      <c r="F40" s="73">
        <f>SUMIFS('Data 2026&gt;&gt;'!$N:$N,'Data 2026&gt;&gt;'!$L:$L,'01. CP Nhân sự '!$A40,'Data 2026&gt;&gt;'!$B:$B,'01. CP Nhân sự '!$C40,'Data 2026&gt;&gt;'!$C:$C,'01. CP Nhân sự '!F$4)</f>
        <v>0</v>
      </c>
      <c r="G40" s="73">
        <f>SUMIFS('Data 2026&gt;&gt;'!$N:$N,'Data 2026&gt;&gt;'!$L:$L,'01. CP Nhân sự '!$A40,'Data 2026&gt;&gt;'!$B:$B,'01. CP Nhân sự '!$C40,'Data 2026&gt;&gt;'!$C:$C,'01. CP Nhân sự '!G$4)</f>
        <v>12259967</v>
      </c>
      <c r="H40" s="73">
        <f>SUMIFS('Data 2026&gt;&gt;'!$N:$N,'Data 2026&gt;&gt;'!$L:$L,'01. CP Nhân sự '!$A40,'Data 2026&gt;&gt;'!$B:$B,'01. CP Nhân sự '!$C40,'Data 2026&gt;&gt;'!$C:$C,'01. CP Nhân sự '!H$4)</f>
        <v>2436000</v>
      </c>
      <c r="I40" s="73">
        <f>SUMIFS('Data 2026&gt;&gt;'!$N:$N,'Data 2026&gt;&gt;'!$L:$L,'01. CP Nhân sự '!$A40,'Data 2026&gt;&gt;'!$B:$B,'01. CP Nhân sự '!$C40,'Data 2026&gt;&gt;'!$C:$C,'01. CP Nhân sự '!I$4)</f>
        <v>37579790</v>
      </c>
      <c r="J40" s="73">
        <f>SUMIFS('Data 2026&gt;&gt;'!$N:$N,'Data 2026&gt;&gt;'!$L:$L,'01. CP Nhân sự '!$A40,'Data 2026&gt;&gt;'!$B:$B,'01. CP Nhân sự '!$C40,'Data 2026&gt;&gt;'!$C:$C,'01. CP Nhân sự '!J$4)</f>
        <v>0</v>
      </c>
      <c r="K40" s="76">
        <f t="shared" si="8"/>
        <v>203398064</v>
      </c>
      <c r="L40" s="179"/>
      <c r="O40" s="249">
        <f t="shared" si="7"/>
        <v>1.173636644354315E-3</v>
      </c>
    </row>
    <row r="41" spans="1:15" hidden="1" outlineLevel="1" x14ac:dyDescent="0.25">
      <c r="A41" s="15">
        <v>3</v>
      </c>
      <c r="B41" s="3">
        <v>7</v>
      </c>
      <c r="C41" s="7" t="s">
        <v>6</v>
      </c>
      <c r="D41" s="133">
        <f>VLOOKUP(C41,'02. ĐỊNH BIÊN'!$C$6:$P$48,5,0)</f>
        <v>43</v>
      </c>
      <c r="E41" s="73">
        <f>SUMIFS('Data 2026&gt;&gt;'!$N:$N,'Data 2026&gt;&gt;'!$L:$L,'01. CP Nhân sự '!$A41,'Data 2026&gt;&gt;'!$B:$B,'01. CP Nhân sự '!$C41,'Data 2026&gt;&gt;'!$C:$C,'01. CP Nhân sự '!E$4)</f>
        <v>509726891</v>
      </c>
      <c r="F41" s="73">
        <f>SUMIFS('Data 2026&gt;&gt;'!$N:$N,'Data 2026&gt;&gt;'!$L:$L,'01. CP Nhân sự '!$A41,'Data 2026&gt;&gt;'!$B:$B,'01. CP Nhân sự '!$C41,'Data 2026&gt;&gt;'!$C:$C,'01. CP Nhân sự '!F$4)</f>
        <v>155972811</v>
      </c>
      <c r="G41" s="73">
        <f>SUMIFS('Data 2026&gt;&gt;'!$N:$N,'Data 2026&gt;&gt;'!$L:$L,'01. CP Nhân sự '!$A41,'Data 2026&gt;&gt;'!$B:$B,'01. CP Nhân sự '!$C41,'Data 2026&gt;&gt;'!$C:$C,'01. CP Nhân sự '!G$4)</f>
        <v>34643525</v>
      </c>
      <c r="H41" s="73">
        <f>SUMIFS('Data 2026&gt;&gt;'!$N:$N,'Data 2026&gt;&gt;'!$L:$L,'01. CP Nhân sự '!$A41,'Data 2026&gt;&gt;'!$B:$B,'01. CP Nhân sự '!$C41,'Data 2026&gt;&gt;'!$C:$C,'01. CP Nhân sự '!H$4)</f>
        <v>63352591</v>
      </c>
      <c r="I41" s="73">
        <f>SUMIFS('Data 2026&gt;&gt;'!$N:$N,'Data 2026&gt;&gt;'!$L:$L,'01. CP Nhân sự '!$A41,'Data 2026&gt;&gt;'!$B:$B,'01. CP Nhân sự '!$C41,'Data 2026&gt;&gt;'!$C:$C,'01. CP Nhân sự '!I$4)</f>
        <v>103008110</v>
      </c>
      <c r="J41" s="73">
        <f>SUMIFS('Data 2026&gt;&gt;'!$N:$N,'Data 2026&gt;&gt;'!$L:$L,'01. CP Nhân sự '!$A41,'Data 2026&gt;&gt;'!$B:$B,'01. CP Nhân sự '!$C41,'Data 2026&gt;&gt;'!$C:$C,'01. CP Nhân sự '!J$4)</f>
        <v>0</v>
      </c>
      <c r="K41" s="76">
        <f t="shared" si="8"/>
        <v>866703928</v>
      </c>
      <c r="L41" s="179"/>
      <c r="O41" s="249">
        <f t="shared" si="7"/>
        <v>5.001008710223632E-3</v>
      </c>
    </row>
    <row r="42" spans="1:15" hidden="1" outlineLevel="1" x14ac:dyDescent="0.25">
      <c r="A42" s="15">
        <v>3</v>
      </c>
      <c r="B42" s="3">
        <v>8</v>
      </c>
      <c r="C42" s="7" t="s">
        <v>7</v>
      </c>
      <c r="D42" s="133">
        <f>VLOOKUP(C42,'02. ĐỊNH BIÊN'!$C$6:$P$48,5,0)</f>
        <v>79</v>
      </c>
      <c r="E42" s="73">
        <f>SUMIFS('Data 2026&gt;&gt;'!$N:$N,'Data 2026&gt;&gt;'!$L:$L,'01. CP Nhân sự '!$A42,'Data 2026&gt;&gt;'!$B:$B,'01. CP Nhân sự '!$C42,'Data 2026&gt;&gt;'!$C:$C,'01. CP Nhân sự '!E$4)</f>
        <v>1195702063</v>
      </c>
      <c r="F42" s="73">
        <f>SUMIFS('Data 2026&gt;&gt;'!$N:$N,'Data 2026&gt;&gt;'!$L:$L,'01. CP Nhân sự '!$A42,'Data 2026&gt;&gt;'!$B:$B,'01. CP Nhân sự '!$C42,'Data 2026&gt;&gt;'!$C:$C,'01. CP Nhân sự '!F$4)</f>
        <v>298833692</v>
      </c>
      <c r="G42" s="73">
        <f>SUMIFS('Data 2026&gt;&gt;'!$N:$N,'Data 2026&gt;&gt;'!$L:$L,'01. CP Nhân sự '!$A42,'Data 2026&gt;&gt;'!$B:$B,'01. CP Nhân sự '!$C42,'Data 2026&gt;&gt;'!$C:$C,'01. CP Nhân sự '!G$4)</f>
        <v>86649355</v>
      </c>
      <c r="H42" s="73">
        <f>SUMIFS('Data 2026&gt;&gt;'!$N:$N,'Data 2026&gt;&gt;'!$L:$L,'01. CP Nhân sự '!$A42,'Data 2026&gt;&gt;'!$B:$B,'01. CP Nhân sự '!$C42,'Data 2026&gt;&gt;'!$C:$C,'01. CP Nhân sự '!H$4)</f>
        <v>118240007</v>
      </c>
      <c r="I42" s="73">
        <f>SUMIFS('Data 2026&gt;&gt;'!$N:$N,'Data 2026&gt;&gt;'!$L:$L,'01. CP Nhân sự '!$A42,'Data 2026&gt;&gt;'!$B:$B,'01. CP Nhân sự '!$C42,'Data 2026&gt;&gt;'!$C:$C,'01. CP Nhân sự '!I$4)</f>
        <v>266987628</v>
      </c>
      <c r="J42" s="73">
        <f>SUMIFS('Data 2026&gt;&gt;'!$N:$N,'Data 2026&gt;&gt;'!$L:$L,'01. CP Nhân sự '!$A42,'Data 2026&gt;&gt;'!$B:$B,'01. CP Nhân sự '!$C42,'Data 2026&gt;&gt;'!$C:$C,'01. CP Nhân sự '!J$4)</f>
        <v>0</v>
      </c>
      <c r="K42" s="76">
        <f t="shared" si="8"/>
        <v>1966412745</v>
      </c>
      <c r="L42" s="179"/>
      <c r="O42" s="249">
        <f t="shared" si="7"/>
        <v>1.1346489784963524E-2</v>
      </c>
    </row>
    <row r="43" spans="1:15" hidden="1" outlineLevel="1" x14ac:dyDescent="0.25">
      <c r="A43" s="15">
        <v>3</v>
      </c>
      <c r="B43" s="3">
        <v>9</v>
      </c>
      <c r="C43" s="7" t="s">
        <v>9</v>
      </c>
      <c r="D43" s="133">
        <f>VLOOKUP(C43,'02. ĐỊNH BIÊN'!$C$6:$P$48,5,0)</f>
        <v>41</v>
      </c>
      <c r="E43" s="73">
        <f>SUMIFS('Data 2026&gt;&gt;'!$N:$N,'Data 2026&gt;&gt;'!$L:$L,'01. CP Nhân sự '!$A43,'Data 2026&gt;&gt;'!$B:$B,'01. CP Nhân sự '!$C43,'Data 2026&gt;&gt;'!$C:$C,'01. CP Nhân sự '!E$4)</f>
        <v>736536915</v>
      </c>
      <c r="F43" s="73">
        <f>SUMIFS('Data 2026&gt;&gt;'!$N:$N,'Data 2026&gt;&gt;'!$L:$L,'01. CP Nhân sự '!$A43,'Data 2026&gt;&gt;'!$B:$B,'01. CP Nhân sự '!$C43,'Data 2026&gt;&gt;'!$C:$C,'01. CP Nhân sự '!F$4)</f>
        <v>83008401</v>
      </c>
      <c r="G43" s="73">
        <f>SUMIFS('Data 2026&gt;&gt;'!$N:$N,'Data 2026&gt;&gt;'!$L:$L,'01. CP Nhân sự '!$A43,'Data 2026&gt;&gt;'!$B:$B,'01. CP Nhân sự '!$C43,'Data 2026&gt;&gt;'!$C:$C,'01. CP Nhân sự '!G$4)</f>
        <v>41825496</v>
      </c>
      <c r="H43" s="73">
        <f>SUMIFS('Data 2026&gt;&gt;'!$N:$N,'Data 2026&gt;&gt;'!$L:$L,'01. CP Nhân sự '!$A43,'Data 2026&gt;&gt;'!$B:$B,'01. CP Nhân sự '!$C43,'Data 2026&gt;&gt;'!$C:$C,'01. CP Nhân sự '!H$4)</f>
        <v>47310391</v>
      </c>
      <c r="I43" s="73">
        <f>SUMIFS('Data 2026&gt;&gt;'!$N:$N,'Data 2026&gt;&gt;'!$L:$L,'01. CP Nhân sự '!$A43,'Data 2026&gt;&gt;'!$B:$B,'01. CP Nhân sự '!$C43,'Data 2026&gt;&gt;'!$C:$C,'01. CP Nhân sự '!I$4)</f>
        <v>140067520</v>
      </c>
      <c r="J43" s="73">
        <f>SUMIFS('Data 2026&gt;&gt;'!$N:$N,'Data 2026&gt;&gt;'!$L:$L,'01. CP Nhân sự '!$A43,'Data 2026&gt;&gt;'!$B:$B,'01. CP Nhân sự '!$C43,'Data 2026&gt;&gt;'!$C:$C,'01. CP Nhân sự '!J$4)</f>
        <v>18800000</v>
      </c>
      <c r="K43" s="76">
        <f t="shared" si="8"/>
        <v>1067548723</v>
      </c>
      <c r="L43" s="179"/>
      <c r="O43" s="249">
        <f t="shared" si="7"/>
        <v>6.1599126181773991E-3</v>
      </c>
    </row>
    <row r="44" spans="1:15" hidden="1" outlineLevel="1" x14ac:dyDescent="0.25">
      <c r="A44" s="15">
        <v>3</v>
      </c>
      <c r="B44" s="3">
        <v>10</v>
      </c>
      <c r="C44" s="7" t="s">
        <v>10</v>
      </c>
      <c r="D44" s="133">
        <f>VLOOKUP(C44,'02. ĐỊNH BIÊN'!$C$6:$P$48,5,0)</f>
        <v>42</v>
      </c>
      <c r="E44" s="73">
        <f>SUMIFS('Data 2026&gt;&gt;'!$N:$N,'Data 2026&gt;&gt;'!$L:$L,'01. CP Nhân sự '!$A44,'Data 2026&gt;&gt;'!$B:$B,'01. CP Nhân sự '!$C44,'Data 2026&gt;&gt;'!$C:$C,'01. CP Nhân sự '!E$4)</f>
        <v>435584749</v>
      </c>
      <c r="F44" s="73">
        <f>SUMIFS('Data 2026&gt;&gt;'!$N:$N,'Data 2026&gt;&gt;'!$L:$L,'01. CP Nhân sự '!$A44,'Data 2026&gt;&gt;'!$B:$B,'01. CP Nhân sự '!$C44,'Data 2026&gt;&gt;'!$C:$C,'01. CP Nhân sự '!F$4)</f>
        <v>0</v>
      </c>
      <c r="G44" s="73">
        <f>SUMIFS('Data 2026&gt;&gt;'!$N:$N,'Data 2026&gt;&gt;'!$L:$L,'01. CP Nhân sự '!$A44,'Data 2026&gt;&gt;'!$B:$B,'01. CP Nhân sự '!$C44,'Data 2026&gt;&gt;'!$C:$C,'01. CP Nhân sự '!G$4)</f>
        <v>298086196</v>
      </c>
      <c r="H44" s="73">
        <f>SUMIFS('Data 2026&gt;&gt;'!$N:$N,'Data 2026&gt;&gt;'!$L:$L,'01. CP Nhân sự '!$A44,'Data 2026&gt;&gt;'!$B:$B,'01. CP Nhân sự '!$C44,'Data 2026&gt;&gt;'!$C:$C,'01. CP Nhân sự '!H$4)</f>
        <v>15673000</v>
      </c>
      <c r="I44" s="73">
        <f>SUMIFS('Data 2026&gt;&gt;'!$N:$N,'Data 2026&gt;&gt;'!$L:$L,'01. CP Nhân sự '!$A44,'Data 2026&gt;&gt;'!$B:$B,'01. CP Nhân sự '!$C44,'Data 2026&gt;&gt;'!$C:$C,'01. CP Nhân sự '!I$4)</f>
        <v>87423290</v>
      </c>
      <c r="J44" s="73">
        <f>SUMIFS('Data 2026&gt;&gt;'!$N:$N,'Data 2026&gt;&gt;'!$L:$L,'01. CP Nhân sự '!$A44,'Data 2026&gt;&gt;'!$B:$B,'01. CP Nhân sự '!$C44,'Data 2026&gt;&gt;'!$C:$C,'01. CP Nhân sự '!J$4)</f>
        <v>0</v>
      </c>
      <c r="K44" s="76">
        <f t="shared" si="8"/>
        <v>836767235</v>
      </c>
      <c r="L44" s="179"/>
      <c r="O44" s="249">
        <f t="shared" si="7"/>
        <v>4.8282696033480361E-3</v>
      </c>
    </row>
    <row r="45" spans="1:15" hidden="1" outlineLevel="1" x14ac:dyDescent="0.25">
      <c r="A45" s="15">
        <v>3</v>
      </c>
      <c r="B45" s="3">
        <v>11</v>
      </c>
      <c r="C45" s="7" t="s">
        <v>1539</v>
      </c>
      <c r="D45" s="133">
        <f>VLOOKUP(C45,'02. ĐỊNH BIÊN'!$C$6:$P$48,5,0)</f>
        <v>3</v>
      </c>
      <c r="E45" s="73">
        <f>SUMIFS('Data 2026&gt;&gt;'!$N:$N,'Data 2026&gt;&gt;'!$L:$L,'01. CP Nhân sự '!$A45,'Data 2026&gt;&gt;'!$B:$B,'01. CP Nhân sự '!$C45,'Data 2026&gt;&gt;'!$C:$C,'01. CP Nhân sự '!E$4)</f>
        <v>85046624</v>
      </c>
      <c r="F45" s="73">
        <f>SUMIFS('Data 2026&gt;&gt;'!$N:$N,'Data 2026&gt;&gt;'!$L:$L,'01. CP Nhân sự '!$A45,'Data 2026&gt;&gt;'!$B:$B,'01. CP Nhân sự '!$C45,'Data 2026&gt;&gt;'!$C:$C,'01. CP Nhân sự '!F$4)</f>
        <v>0</v>
      </c>
      <c r="G45" s="73">
        <f>SUMIFS('Data 2026&gt;&gt;'!$N:$N,'Data 2026&gt;&gt;'!$L:$L,'01. CP Nhân sự '!$A45,'Data 2026&gt;&gt;'!$B:$B,'01. CP Nhân sự '!$C45,'Data 2026&gt;&gt;'!$C:$C,'01. CP Nhân sự '!G$4)</f>
        <v>6536466</v>
      </c>
      <c r="H45" s="73">
        <f>SUMIFS('Data 2026&gt;&gt;'!$N:$N,'Data 2026&gt;&gt;'!$L:$L,'01. CP Nhân sự '!$A45,'Data 2026&gt;&gt;'!$B:$B,'01. CP Nhân sự '!$C45,'Data 2026&gt;&gt;'!$C:$C,'01. CP Nhân sự '!H$4)</f>
        <v>0</v>
      </c>
      <c r="I45" s="73">
        <f>SUMIFS('Data 2026&gt;&gt;'!$N:$N,'Data 2026&gt;&gt;'!$L:$L,'01. CP Nhân sự '!$A45,'Data 2026&gt;&gt;'!$B:$B,'01. CP Nhân sự '!$C45,'Data 2026&gt;&gt;'!$C:$C,'01. CP Nhân sự '!I$4)</f>
        <v>20035865</v>
      </c>
      <c r="J45" s="73">
        <f>SUMIFS('Data 2026&gt;&gt;'!$N:$N,'Data 2026&gt;&gt;'!$L:$L,'01. CP Nhân sự '!$A45,'Data 2026&gt;&gt;'!$B:$B,'01. CP Nhân sự '!$C45,'Data 2026&gt;&gt;'!$C:$C,'01. CP Nhân sự '!J$4)</f>
        <v>0</v>
      </c>
      <c r="K45" s="76">
        <f t="shared" si="8"/>
        <v>111618955</v>
      </c>
      <c r="L45" s="179"/>
      <c r="O45" s="249">
        <f t="shared" si="7"/>
        <v>6.4405773199756355E-4</v>
      </c>
    </row>
    <row r="46" spans="1:15" hidden="1" outlineLevel="1" x14ac:dyDescent="0.25">
      <c r="A46" s="15">
        <v>3</v>
      </c>
      <c r="B46" s="3">
        <v>12</v>
      </c>
      <c r="C46" s="7" t="s">
        <v>8</v>
      </c>
      <c r="D46" s="133">
        <f>VLOOKUP(C46,'02. ĐỊNH BIÊN'!$C$6:$P$48,5,0)</f>
        <v>79</v>
      </c>
      <c r="E46" s="73">
        <f>SUMIFS('Data 2026&gt;&gt;'!$N:$N,'Data 2026&gt;&gt;'!$L:$L,'01. CP Nhân sự '!$A46,'Data 2026&gt;&gt;'!$B:$B,'01. CP Nhân sự '!$C46,'Data 2026&gt;&gt;'!$C:$C,'01. CP Nhân sự '!E$4,'Data 2026&gt;&gt;'!$A:$A,627)</f>
        <v>1074333882</v>
      </c>
      <c r="F46" s="73">
        <f>SUMIFS('Data 2026&gt;&gt;'!$N:$N,'Data 2026&gt;&gt;'!$L:$L,'01. CP Nhân sự '!$A46,'Data 2026&gt;&gt;'!$B:$B,'01. CP Nhân sự '!$C46,'Data 2026&gt;&gt;'!$C:$C,'01. CP Nhân sự '!F$4,'Data 2026&gt;&gt;'!$A:$A,627)</f>
        <v>127349707</v>
      </c>
      <c r="G46" s="73">
        <f>SUMIFS('Data 2026&gt;&gt;'!$N:$N,'Data 2026&gt;&gt;'!$L:$L,'01. CP Nhân sự '!$A46,'Data 2026&gt;&gt;'!$B:$B,'01. CP Nhân sự '!$C46,'Data 2026&gt;&gt;'!$C:$C,'01. CP Nhân sự '!G$4,'Data 2026&gt;&gt;'!$A:$A,627)</f>
        <v>58005518</v>
      </c>
      <c r="H46" s="73">
        <f>SUMIFS('Data 2026&gt;&gt;'!$N:$N,'Data 2026&gt;&gt;'!$L:$L,'01. CP Nhân sự '!$A46,'Data 2026&gt;&gt;'!$B:$B,'01. CP Nhân sự '!$C46,'Data 2026&gt;&gt;'!$C:$C,'01. CP Nhân sự '!H$4,'Data 2026&gt;&gt;'!$A:$A,627)</f>
        <v>89287744</v>
      </c>
      <c r="I46" s="73">
        <f>SUMIFS('Data 2026&gt;&gt;'!$N:$N,'Data 2026&gt;&gt;'!$L:$L,'01. CP Nhân sự '!$A46,'Data 2026&gt;&gt;'!$B:$B,'01. CP Nhân sự '!$C46,'Data 2026&gt;&gt;'!$C:$C,'01. CP Nhân sự '!I$4,'Data 2026&gt;&gt;'!$A:$A,627)</f>
        <v>168325320</v>
      </c>
      <c r="J46" s="73">
        <f>SUMIFS('Data 2026&gt;&gt;'!$N:$N,'Data 2026&gt;&gt;'!$L:$L,'01. CP Nhân sự '!$A46,'Data 2026&gt;&gt;'!$B:$B,'01. CP Nhân sự '!$C46,'Data 2026&gt;&gt;'!$C:$C,'01. CP Nhân sự '!J$4,'Data 2026&gt;&gt;'!$A:$A,627)</f>
        <v>12750000</v>
      </c>
      <c r="K46" s="76">
        <f t="shared" si="8"/>
        <v>1530052171</v>
      </c>
      <c r="L46" s="180"/>
      <c r="O46" s="249">
        <f t="shared" si="7"/>
        <v>8.8286253091350696E-3</v>
      </c>
    </row>
    <row r="47" spans="1:15" hidden="1" outlineLevel="1" x14ac:dyDescent="0.25">
      <c r="A47" s="15">
        <v>3</v>
      </c>
      <c r="B47" s="3">
        <v>13</v>
      </c>
      <c r="C47" s="7" t="s">
        <v>8</v>
      </c>
      <c r="D47" s="133">
        <v>222</v>
      </c>
      <c r="E47" s="73">
        <f>SUMIFS('Data 2026&gt;&gt;'!$N:$N,'Data 2026&gt;&gt;'!$L:$L,'01. CP Nhân sự '!$A47,'Data 2026&gt;&gt;'!$B:$B,'01. CP Nhân sự '!$C47,'Data 2026&gt;&gt;'!$C:$C,'01. CP Nhân sự '!E$4,'Data 2026&gt;&gt;'!$A:$A,622)</f>
        <v>1992862114</v>
      </c>
      <c r="F47" s="73">
        <f>SUMIFS('Data 2026&gt;&gt;'!$N:$N,'Data 2026&gt;&gt;'!$L:$L,'01. CP Nhân sự '!$A47,'Data 2026&gt;&gt;'!$B:$B,'01. CP Nhân sự '!$C47,'Data 2026&gt;&gt;'!$C:$C,'01. CP Nhân sự '!F$4,'Data 2026&gt;&gt;'!$A:$A,622)</f>
        <v>337308264</v>
      </c>
      <c r="G47" s="73">
        <f>SUMIFS('Data 2026&gt;&gt;'!$N:$N,'Data 2026&gt;&gt;'!$L:$L,'01. CP Nhân sự '!$A47,'Data 2026&gt;&gt;'!$B:$B,'01. CP Nhân sự '!$C47,'Data 2026&gt;&gt;'!$C:$C,'01. CP Nhân sự '!G$4,'Data 2026&gt;&gt;'!$A:$A,622)</f>
        <v>26818117</v>
      </c>
      <c r="H47" s="73">
        <f>SUMIFS('Data 2026&gt;&gt;'!$N:$N,'Data 2026&gt;&gt;'!$L:$L,'01. CP Nhân sự '!$A47,'Data 2026&gt;&gt;'!$B:$B,'01. CP Nhân sự '!$C47,'Data 2026&gt;&gt;'!$C:$C,'01. CP Nhân sự '!H$4,'Data 2026&gt;&gt;'!$A:$A,622)</f>
        <v>314000136</v>
      </c>
      <c r="I47" s="73">
        <f>SUMIFS('Data 2026&gt;&gt;'!$N:$N,'Data 2026&gt;&gt;'!$L:$L,'01. CP Nhân sự '!$A47,'Data 2026&gt;&gt;'!$B:$B,'01. CP Nhân sự '!$C47,'Data 2026&gt;&gt;'!$C:$C,'01. CP Nhân sự '!I$4,'Data 2026&gt;&gt;'!$A:$A,622)</f>
        <v>266241645</v>
      </c>
      <c r="J47" s="73">
        <f>SUMIFS('Data 2026&gt;&gt;'!$N:$N,'Data 2026&gt;&gt;'!$L:$L,'01. CP Nhân sự '!$A47,'Data 2026&gt;&gt;'!$B:$B,'01. CP Nhân sự '!$C47,'Data 2026&gt;&gt;'!$C:$C,'01. CP Nhân sự '!J$4,'Data 2026&gt;&gt;'!$A:$A,622)</f>
        <v>0</v>
      </c>
      <c r="K47" s="76">
        <f t="shared" si="8"/>
        <v>2937230276</v>
      </c>
      <c r="L47" s="179"/>
      <c r="O47" s="249">
        <f t="shared" si="7"/>
        <v>1.6948249245973837E-2</v>
      </c>
    </row>
    <row r="48" spans="1:15" hidden="1" outlineLevel="1" x14ac:dyDescent="0.25">
      <c r="A48" s="70">
        <v>3</v>
      </c>
      <c r="B48" s="3">
        <v>14</v>
      </c>
      <c r="C48" s="71" t="s">
        <v>221</v>
      </c>
      <c r="D48" s="134">
        <f>VLOOKUP(C48,'02. ĐỊNH BIÊN'!$C$6:$P$48,5,0)</f>
        <v>1</v>
      </c>
      <c r="E48" s="74">
        <f>SUMIFS('Data 2026&gt;&gt;'!$N:$N,'Data 2026&gt;&gt;'!$L:$L,'01. CP Nhân sự '!$A48,'Data 2026&gt;&gt;'!$B:$B,'01. CP Nhân sự '!$C48,'Data 2026&gt;&gt;'!$C:$C,'01. CP Nhân sự '!E$4)</f>
        <v>64166667</v>
      </c>
      <c r="F48" s="74">
        <f>SUMIFS('Data 2026&gt;&gt;'!$N:$N,'Data 2026&gt;&gt;'!$L:$L,'01. CP Nhân sự '!$A48,'Data 2026&gt;&gt;'!$B:$B,'01. CP Nhân sự '!$C48,'Data 2026&gt;&gt;'!$C:$C,'01. CP Nhân sự '!F$4)</f>
        <v>0</v>
      </c>
      <c r="G48" s="74">
        <f>SUMIFS('Data 2026&gt;&gt;'!$N:$N,'Data 2026&gt;&gt;'!$L:$L,'01. CP Nhân sự '!$A48,'Data 2026&gt;&gt;'!$B:$B,'01. CP Nhân sự '!$C48,'Data 2026&gt;&gt;'!$C:$C,'01. CP Nhân sự '!G$4)</f>
        <v>-5366620</v>
      </c>
      <c r="H48" s="74">
        <f>SUMIFS('Data 2026&gt;&gt;'!$N:$N,'Data 2026&gt;&gt;'!$L:$L,'01. CP Nhân sự '!$A48,'Data 2026&gt;&gt;'!$B:$B,'01. CP Nhân sự '!$C48,'Data 2026&gt;&gt;'!$C:$C,'01. CP Nhân sự '!H$4)</f>
        <v>0</v>
      </c>
      <c r="I48" s="74">
        <f>SUMIFS('Data 2026&gt;&gt;'!$N:$N,'Data 2026&gt;&gt;'!$L:$L,'01. CP Nhân sự '!$A48,'Data 2026&gt;&gt;'!$B:$B,'01. CP Nhân sự '!$C48,'Data 2026&gt;&gt;'!$C:$C,'01. CP Nhân sự '!I$4)</f>
        <v>0</v>
      </c>
      <c r="J48" s="74">
        <f>SUMIFS('Data 2026&gt;&gt;'!$N:$N,'Data 2026&gt;&gt;'!$L:$L,'01. CP Nhân sự '!$A48,'Data 2026&gt;&gt;'!$B:$B,'01. CP Nhân sự '!$C48,'Data 2026&gt;&gt;'!$C:$C,'01. CP Nhân sự '!J$4)</f>
        <v>0</v>
      </c>
      <c r="K48" s="76">
        <f t="shared" si="8"/>
        <v>58800047</v>
      </c>
      <c r="L48" s="179"/>
      <c r="O48" s="249">
        <f t="shared" si="7"/>
        <v>3.392848903859577E-4</v>
      </c>
    </row>
    <row r="49" spans="1:15" collapsed="1" x14ac:dyDescent="0.25">
      <c r="A49" s="17">
        <v>3</v>
      </c>
      <c r="B49" s="18"/>
      <c r="C49" s="19" t="s">
        <v>17</v>
      </c>
      <c r="D49" s="136">
        <f>SUM(D35:D48)</f>
        <v>582</v>
      </c>
      <c r="E49" s="75">
        <f t="shared" ref="E49:K49" si="9">SUM(E35:E48)</f>
        <v>9582419126</v>
      </c>
      <c r="F49" s="75">
        <f t="shared" si="9"/>
        <v>1051874104</v>
      </c>
      <c r="G49" s="75">
        <f t="shared" si="9"/>
        <v>1028541831</v>
      </c>
      <c r="H49" s="75">
        <f t="shared" si="9"/>
        <v>679301869</v>
      </c>
      <c r="I49" s="75">
        <f t="shared" si="9"/>
        <v>1509616538</v>
      </c>
      <c r="J49" s="75">
        <f t="shared" si="9"/>
        <v>35950002</v>
      </c>
      <c r="K49" s="75">
        <f t="shared" si="9"/>
        <v>13887703470</v>
      </c>
      <c r="L49" s="439">
        <f>K49/K34-1</f>
        <v>7.7406242174814288E-2</v>
      </c>
      <c r="N49" s="75">
        <v>173305822529</v>
      </c>
      <c r="O49" s="250">
        <f t="shared" si="7"/>
        <v>8.0134084748803583E-2</v>
      </c>
    </row>
    <row r="50" spans="1:15" outlineLevel="1" x14ac:dyDescent="0.25">
      <c r="A50" s="14">
        <v>4</v>
      </c>
      <c r="B50" s="1">
        <v>1</v>
      </c>
      <c r="C50" s="2" t="s">
        <v>0</v>
      </c>
      <c r="D50" s="132">
        <f>VLOOKUP(C50,'02. ĐỊNH BIÊN'!$C$6:$P$48,6,0)</f>
        <v>14</v>
      </c>
      <c r="E50" s="72">
        <f>SUMIFS('Data 2026&gt;&gt;'!$N:$N,'Data 2026&gt;&gt;'!$L:$L,'01. CP Nhân sự '!$A50,'Data 2026&gt;&gt;'!$B:$B,'01. CP Nhân sự '!$C50,'Data 2026&gt;&gt;'!$C:$C,'01. CP Nhân sự '!E$4)</f>
        <v>2085095604</v>
      </c>
      <c r="F50" s="72">
        <f>SUMIFS('Data 2026&gt;&gt;'!$N:$N,'Data 2026&gt;&gt;'!$L:$L,'01. CP Nhân sự '!$A50,'Data 2026&gt;&gt;'!$B:$B,'01. CP Nhân sự '!$C50,'Data 2026&gt;&gt;'!$C:$C,'01. CP Nhân sự '!F$4)</f>
        <v>0</v>
      </c>
      <c r="G50" s="72">
        <f>SUMIFS('Data 2026&gt;&gt;'!$N:$N,'Data 2026&gt;&gt;'!$L:$L,'01. CP Nhân sự '!$A50,'Data 2026&gt;&gt;'!$B:$B,'01. CP Nhân sự '!$C50,'Data 2026&gt;&gt;'!$C:$C,'01. CP Nhân sự '!G$4)</f>
        <v>124663112</v>
      </c>
      <c r="H50" s="72">
        <f>SUMIFS('Data 2026&gt;&gt;'!$N:$N,'Data 2026&gt;&gt;'!$L:$L,'01. CP Nhân sự '!$A50,'Data 2026&gt;&gt;'!$B:$B,'01. CP Nhân sự '!$C50,'Data 2026&gt;&gt;'!$C:$C,'01. CP Nhân sự '!H$4)</f>
        <v>0</v>
      </c>
      <c r="I50" s="72">
        <f>SUMIFS('Data 2026&gt;&gt;'!$N:$N,'Data 2026&gt;&gt;'!$L:$L,'01. CP Nhân sự '!$A50,'Data 2026&gt;&gt;'!$B:$B,'01. CP Nhân sự '!$C50,'Data 2026&gt;&gt;'!$C:$C,'01. CP Nhân sự '!I$4)</f>
        <v>165000545</v>
      </c>
      <c r="J50" s="72">
        <f>SUMIFS('Data 2026&gt;&gt;'!$N:$N,'Data 2026&gt;&gt;'!$L:$L,'01. CP Nhân sự '!$A50,'Data 2026&gt;&gt;'!$B:$B,'01. CP Nhân sự '!$C50,'Data 2026&gt;&gt;'!$C:$C,'01. CP Nhân sự '!J$4)</f>
        <v>54820407</v>
      </c>
      <c r="K50" s="76">
        <f>SUM(E50:J50)</f>
        <v>2429579668</v>
      </c>
      <c r="L50" s="179"/>
      <c r="N50" s="129"/>
      <c r="O50" s="249">
        <f>K50/N$64</f>
        <v>1.5274913304503665E-2</v>
      </c>
    </row>
    <row r="51" spans="1:15" outlineLevel="1" x14ac:dyDescent="0.25">
      <c r="A51" s="15">
        <v>4</v>
      </c>
      <c r="B51" s="3">
        <v>2</v>
      </c>
      <c r="C51" s="7" t="s">
        <v>1</v>
      </c>
      <c r="D51" s="133">
        <f>VLOOKUP(C51,'02. ĐỊNH BIÊN'!$C$6:$P$48,6,0)</f>
        <v>9</v>
      </c>
      <c r="E51" s="73">
        <f>SUMIFS('Data 2026&gt;&gt;'!$N:$N,'Data 2026&gt;&gt;'!$L:$L,'01. CP Nhân sự '!$A51,'Data 2026&gt;&gt;'!$B:$B,'01. CP Nhân sự '!$C51,'Data 2026&gt;&gt;'!$C:$C,'01. CP Nhân sự '!E$4)</f>
        <v>418102432</v>
      </c>
      <c r="F51" s="73">
        <f>SUMIFS('Data 2026&gt;&gt;'!$N:$N,'Data 2026&gt;&gt;'!$L:$L,'01. CP Nhân sự '!$A51,'Data 2026&gt;&gt;'!$B:$B,'01. CP Nhân sự '!$C51,'Data 2026&gt;&gt;'!$C:$C,'01. CP Nhân sự '!F$4)</f>
        <v>0</v>
      </c>
      <c r="G51" s="73">
        <f>SUMIFS('Data 2026&gt;&gt;'!$N:$N,'Data 2026&gt;&gt;'!$L:$L,'01. CP Nhân sự '!$A51,'Data 2026&gt;&gt;'!$B:$B,'01. CP Nhân sự '!$C51,'Data 2026&gt;&gt;'!$C:$C,'01. CP Nhân sự '!G$4)</f>
        <v>307923526</v>
      </c>
      <c r="H51" s="73">
        <f>SUMIFS('Data 2026&gt;&gt;'!$N:$N,'Data 2026&gt;&gt;'!$L:$L,'01. CP Nhân sự '!$A51,'Data 2026&gt;&gt;'!$B:$B,'01. CP Nhân sự '!$C51,'Data 2026&gt;&gt;'!$C:$C,'01. CP Nhân sự '!H$4)</f>
        <v>4844000</v>
      </c>
      <c r="I51" s="73">
        <f>SUMIFS('Data 2026&gt;&gt;'!$N:$N,'Data 2026&gt;&gt;'!$L:$L,'01. CP Nhân sự '!$A51,'Data 2026&gt;&gt;'!$B:$B,'01. CP Nhân sự '!$C51,'Data 2026&gt;&gt;'!$C:$C,'01. CP Nhân sự '!I$4)</f>
        <v>56356990</v>
      </c>
      <c r="J51" s="73">
        <f>SUMIFS('Data 2026&gt;&gt;'!$N:$N,'Data 2026&gt;&gt;'!$L:$L,'01. CP Nhân sự '!$A51,'Data 2026&gt;&gt;'!$B:$B,'01. CP Nhân sự '!$C51,'Data 2026&gt;&gt;'!$C:$C,'01. CP Nhân sự '!J$4)</f>
        <v>0</v>
      </c>
      <c r="K51" s="76">
        <f>SUM(E51:J51)</f>
        <v>787226948</v>
      </c>
      <c r="L51" s="179"/>
      <c r="O51" s="249">
        <f t="shared" ref="O51:O64" si="10">K51/N$64</f>
        <v>4.949343106566125E-3</v>
      </c>
    </row>
    <row r="52" spans="1:15" outlineLevel="1" x14ac:dyDescent="0.25">
      <c r="A52" s="15">
        <v>4</v>
      </c>
      <c r="B52" s="3">
        <v>3</v>
      </c>
      <c r="C52" s="7" t="s">
        <v>2</v>
      </c>
      <c r="D52" s="133">
        <f>VLOOKUP(C52,'02. ĐỊNH BIÊN'!$C$6:$P$48,6,0)</f>
        <v>9</v>
      </c>
      <c r="E52" s="73">
        <f>SUMIFS('Data 2026&gt;&gt;'!$N:$N,'Data 2026&gt;&gt;'!$L:$L,'01. CP Nhân sự '!$A52,'Data 2026&gt;&gt;'!$B:$B,'01. CP Nhân sự '!$C52,'Data 2026&gt;&gt;'!$C:$C,'01. CP Nhân sự '!E$4)</f>
        <v>211686760</v>
      </c>
      <c r="F52" s="73">
        <f>SUMIFS('Data 2026&gt;&gt;'!$N:$N,'Data 2026&gt;&gt;'!$L:$L,'01. CP Nhân sự '!$A52,'Data 2026&gt;&gt;'!$B:$B,'01. CP Nhân sự '!$C52,'Data 2026&gt;&gt;'!$C:$C,'01. CP Nhân sự '!F$4)</f>
        <v>0</v>
      </c>
      <c r="G52" s="73">
        <f>SUMIFS('Data 2026&gt;&gt;'!$N:$N,'Data 2026&gt;&gt;'!$L:$L,'01. CP Nhân sự '!$A52,'Data 2026&gt;&gt;'!$B:$B,'01. CP Nhân sự '!$C52,'Data 2026&gt;&gt;'!$C:$C,'01. CP Nhân sự '!G$4)</f>
        <v>15582748</v>
      </c>
      <c r="H52" s="73">
        <f>SUMIFS('Data 2026&gt;&gt;'!$N:$N,'Data 2026&gt;&gt;'!$L:$L,'01. CP Nhân sự '!$A52,'Data 2026&gt;&gt;'!$B:$B,'01. CP Nhân sự '!$C52,'Data 2026&gt;&gt;'!$C:$C,'01. CP Nhân sự '!H$4)</f>
        <v>6938000</v>
      </c>
      <c r="I52" s="73">
        <f>SUMIFS('Data 2026&gt;&gt;'!$N:$N,'Data 2026&gt;&gt;'!$L:$L,'01. CP Nhân sự '!$A52,'Data 2026&gt;&gt;'!$B:$B,'01. CP Nhân sự '!$C52,'Data 2026&gt;&gt;'!$C:$C,'01. CP Nhân sự '!I$4)</f>
        <v>45919925</v>
      </c>
      <c r="J52" s="73">
        <f>SUMIFS('Data 2026&gt;&gt;'!$N:$N,'Data 2026&gt;&gt;'!$L:$L,'01. CP Nhân sự '!$A52,'Data 2026&gt;&gt;'!$B:$B,'01. CP Nhân sự '!$C52,'Data 2026&gt;&gt;'!$C:$C,'01. CP Nhân sự '!J$4)</f>
        <v>0</v>
      </c>
      <c r="K52" s="76">
        <f t="shared" ref="K52:K63" si="11">SUM(E52:J52)</f>
        <v>280127433</v>
      </c>
      <c r="L52" s="179"/>
      <c r="O52" s="249">
        <f t="shared" si="10"/>
        <v>1.7611779970197539E-3</v>
      </c>
    </row>
    <row r="53" spans="1:15" outlineLevel="1" x14ac:dyDescent="0.25">
      <c r="A53" s="15">
        <v>4</v>
      </c>
      <c r="B53" s="3">
        <v>4</v>
      </c>
      <c r="C53" s="7" t="s">
        <v>3</v>
      </c>
      <c r="D53" s="133">
        <f>VLOOKUP(C53,'02. ĐỊNH BIÊN'!$C$6:$P$48,6,0)</f>
        <v>28</v>
      </c>
      <c r="E53" s="73">
        <f>SUMIFS('Data 2026&gt;&gt;'!$N:$N,'Data 2026&gt;&gt;'!$L:$L,'01. CP Nhân sự '!$A53,'Data 2026&gt;&gt;'!$B:$B,'01. CP Nhân sự '!$C53,'Data 2026&gt;&gt;'!$C:$C,'01. CP Nhân sự '!E$4)</f>
        <v>624800160</v>
      </c>
      <c r="F53" s="73">
        <f>SUMIFS('Data 2026&gt;&gt;'!$N:$N,'Data 2026&gt;&gt;'!$L:$L,'01. CP Nhân sự '!$A53,'Data 2026&gt;&gt;'!$B:$B,'01. CP Nhân sự '!$C53,'Data 2026&gt;&gt;'!$C:$C,'01. CP Nhân sự '!F$4)</f>
        <v>52957912</v>
      </c>
      <c r="G53" s="73">
        <f>SUMIFS('Data 2026&gt;&gt;'!$N:$N,'Data 2026&gt;&gt;'!$L:$L,'01. CP Nhân sự '!$A53,'Data 2026&gt;&gt;'!$B:$B,'01. CP Nhân sự '!$C53,'Data 2026&gt;&gt;'!$C:$C,'01. CP Nhân sự '!G$4)</f>
        <v>41940825</v>
      </c>
      <c r="H53" s="73">
        <f>SUMIFS('Data 2026&gt;&gt;'!$N:$N,'Data 2026&gt;&gt;'!$L:$L,'01. CP Nhân sự '!$A53,'Data 2026&gt;&gt;'!$B:$B,'01. CP Nhân sự '!$C53,'Data 2026&gt;&gt;'!$C:$C,'01. CP Nhân sự '!H$4)</f>
        <v>22261000</v>
      </c>
      <c r="I53" s="73">
        <f>SUMIFS('Data 2026&gt;&gt;'!$N:$N,'Data 2026&gt;&gt;'!$L:$L,'01. CP Nhân sự '!$A53,'Data 2026&gt;&gt;'!$B:$B,'01. CP Nhân sự '!$C53,'Data 2026&gt;&gt;'!$C:$C,'01. CP Nhân sự '!I$4)</f>
        <v>120509265</v>
      </c>
      <c r="J53" s="73">
        <f>SUMIFS('Data 2026&gt;&gt;'!$N:$N,'Data 2026&gt;&gt;'!$L:$L,'01. CP Nhân sự '!$A53,'Data 2026&gt;&gt;'!$B:$B,'01. CP Nhân sự '!$C53,'Data 2026&gt;&gt;'!$C:$C,'01. CP Nhân sự '!J$4)</f>
        <v>15900000</v>
      </c>
      <c r="K53" s="76">
        <f t="shared" si="11"/>
        <v>878369162</v>
      </c>
      <c r="L53" s="179"/>
      <c r="O53" s="249">
        <f t="shared" si="10"/>
        <v>5.5223596804068803E-3</v>
      </c>
    </row>
    <row r="54" spans="1:15" outlineLevel="1" x14ac:dyDescent="0.25">
      <c r="A54" s="15">
        <v>4</v>
      </c>
      <c r="B54" s="3">
        <v>5</v>
      </c>
      <c r="C54" s="7" t="s">
        <v>4</v>
      </c>
      <c r="D54" s="133">
        <f>VLOOKUP(C54,'02. ĐỊNH BIÊN'!$C$6:$P$48,6,0)</f>
        <v>7</v>
      </c>
      <c r="E54" s="73">
        <f>SUMIFS('Data 2026&gt;&gt;'!$N:$N,'Data 2026&gt;&gt;'!$L:$L,'01. CP Nhân sự '!$A54,'Data 2026&gt;&gt;'!$B:$B,'01. CP Nhân sự '!$C54,'Data 2026&gt;&gt;'!$C:$C,'01. CP Nhân sự '!E$4)</f>
        <v>186048272</v>
      </c>
      <c r="F54" s="73">
        <f>SUMIFS('Data 2026&gt;&gt;'!$N:$N,'Data 2026&gt;&gt;'!$L:$L,'01. CP Nhân sự '!$A54,'Data 2026&gt;&gt;'!$B:$B,'01. CP Nhân sự '!$C54,'Data 2026&gt;&gt;'!$C:$C,'01. CP Nhân sự '!F$4)</f>
        <v>0</v>
      </c>
      <c r="G54" s="73">
        <f>SUMIFS('Data 2026&gt;&gt;'!$N:$N,'Data 2026&gt;&gt;'!$L:$L,'01. CP Nhân sự '!$A54,'Data 2026&gt;&gt;'!$B:$B,'01. CP Nhân sự '!$C54,'Data 2026&gt;&gt;'!$C:$C,'01. CP Nhân sự '!G$4)</f>
        <v>13531932</v>
      </c>
      <c r="H54" s="73">
        <f>SUMIFS('Data 2026&gt;&gt;'!$N:$N,'Data 2026&gt;&gt;'!$L:$L,'01. CP Nhân sự '!$A54,'Data 2026&gt;&gt;'!$B:$B,'01. CP Nhân sự '!$C54,'Data 2026&gt;&gt;'!$C:$C,'01. CP Nhân sự '!H$4)</f>
        <v>250000</v>
      </c>
      <c r="I54" s="73">
        <f>SUMIFS('Data 2026&gt;&gt;'!$N:$N,'Data 2026&gt;&gt;'!$L:$L,'01. CP Nhân sự '!$A54,'Data 2026&gt;&gt;'!$B:$B,'01. CP Nhân sự '!$C54,'Data 2026&gt;&gt;'!$C:$C,'01. CP Nhân sự '!I$4)</f>
        <v>41037675</v>
      </c>
      <c r="J54" s="73">
        <f>SUMIFS('Data 2026&gt;&gt;'!$N:$N,'Data 2026&gt;&gt;'!$L:$L,'01. CP Nhân sự '!$A54,'Data 2026&gt;&gt;'!$B:$B,'01. CP Nhân sự '!$C54,'Data 2026&gt;&gt;'!$C:$C,'01. CP Nhân sự '!J$4)</f>
        <v>0</v>
      </c>
      <c r="K54" s="76">
        <f t="shared" si="11"/>
        <v>240867879</v>
      </c>
      <c r="L54" s="179"/>
      <c r="O54" s="249">
        <f t="shared" si="10"/>
        <v>1.51435082291143E-3</v>
      </c>
    </row>
    <row r="55" spans="1:15" outlineLevel="1" x14ac:dyDescent="0.25">
      <c r="A55" s="15">
        <v>4</v>
      </c>
      <c r="B55" s="3">
        <v>6</v>
      </c>
      <c r="C55" s="7" t="s">
        <v>5</v>
      </c>
      <c r="D55" s="133">
        <f>VLOOKUP(C55,'02. ĐỊNH BIÊN'!$C$6:$P$48,6,0)</f>
        <v>3</v>
      </c>
      <c r="E55" s="73">
        <f>SUMIFS('Data 2026&gt;&gt;'!$N:$N,'Data 2026&gt;&gt;'!$L:$L,'01. CP Nhân sự '!$A55,'Data 2026&gt;&gt;'!$B:$B,'01. CP Nhân sự '!$C55,'Data 2026&gt;&gt;'!$C:$C,'01. CP Nhân sự '!E$4)</f>
        <v>246377179</v>
      </c>
      <c r="F55" s="73">
        <f>SUMIFS('Data 2026&gt;&gt;'!$N:$N,'Data 2026&gt;&gt;'!$L:$L,'01. CP Nhân sự '!$A55,'Data 2026&gt;&gt;'!$B:$B,'01. CP Nhân sự '!$C55,'Data 2026&gt;&gt;'!$C:$C,'01. CP Nhân sự '!F$4)</f>
        <v>0</v>
      </c>
      <c r="G55" s="73">
        <f>SUMIFS('Data 2026&gt;&gt;'!$N:$N,'Data 2026&gt;&gt;'!$L:$L,'01. CP Nhân sự '!$A55,'Data 2026&gt;&gt;'!$B:$B,'01. CP Nhân sự '!$C55,'Data 2026&gt;&gt;'!$C:$C,'01. CP Nhân sự '!G$4)</f>
        <v>6114727</v>
      </c>
      <c r="H55" s="73">
        <f>SUMIFS('Data 2026&gt;&gt;'!$N:$N,'Data 2026&gt;&gt;'!$L:$L,'01. CP Nhân sự '!$A55,'Data 2026&gt;&gt;'!$B:$B,'01. CP Nhân sự '!$C55,'Data 2026&gt;&gt;'!$C:$C,'01. CP Nhân sự '!H$4)</f>
        <v>2604000</v>
      </c>
      <c r="I55" s="73">
        <f>SUMIFS('Data 2026&gt;&gt;'!$N:$N,'Data 2026&gt;&gt;'!$L:$L,'01. CP Nhân sự '!$A55,'Data 2026&gt;&gt;'!$B:$B,'01. CP Nhân sự '!$C55,'Data 2026&gt;&gt;'!$C:$C,'01. CP Nhân sự '!I$4)</f>
        <v>28861290</v>
      </c>
      <c r="J55" s="73">
        <f>SUMIFS('Data 2026&gt;&gt;'!$N:$N,'Data 2026&gt;&gt;'!$L:$L,'01. CP Nhân sự '!$A55,'Data 2026&gt;&gt;'!$B:$B,'01. CP Nhân sự '!$C55,'Data 2026&gt;&gt;'!$C:$C,'01. CP Nhân sự '!J$4)</f>
        <v>0</v>
      </c>
      <c r="K55" s="76">
        <f t="shared" si="11"/>
        <v>283957196</v>
      </c>
      <c r="L55" s="179"/>
      <c r="O55" s="249">
        <f t="shared" si="10"/>
        <v>1.785255947034026E-3</v>
      </c>
    </row>
    <row r="56" spans="1:15" outlineLevel="1" x14ac:dyDescent="0.25">
      <c r="A56" s="15">
        <v>4</v>
      </c>
      <c r="B56" s="3">
        <v>7</v>
      </c>
      <c r="C56" s="7" t="s">
        <v>6</v>
      </c>
      <c r="D56" s="133">
        <f>VLOOKUP(C56,'02. ĐỊNH BIÊN'!$C$6:$P$48,6,0)</f>
        <v>42</v>
      </c>
      <c r="E56" s="73">
        <f>SUMIFS('Data 2026&gt;&gt;'!$N:$N,'Data 2026&gt;&gt;'!$L:$L,'01. CP Nhân sự '!$A56,'Data 2026&gt;&gt;'!$B:$B,'01. CP Nhân sự '!$C56,'Data 2026&gt;&gt;'!$C:$C,'01. CP Nhân sự '!E$4)</f>
        <v>560502592</v>
      </c>
      <c r="F56" s="73">
        <f>SUMIFS('Data 2026&gt;&gt;'!$N:$N,'Data 2026&gt;&gt;'!$L:$L,'01. CP Nhân sự '!$A56,'Data 2026&gt;&gt;'!$B:$B,'01. CP Nhân sự '!$C56,'Data 2026&gt;&gt;'!$C:$C,'01. CP Nhân sự '!F$4)</f>
        <v>163858135</v>
      </c>
      <c r="G56" s="73">
        <f>SUMIFS('Data 2026&gt;&gt;'!$N:$N,'Data 2026&gt;&gt;'!$L:$L,'01. CP Nhân sự '!$A56,'Data 2026&gt;&gt;'!$B:$B,'01. CP Nhân sự '!$C56,'Data 2026&gt;&gt;'!$C:$C,'01. CP Nhân sự '!G$4)</f>
        <v>33928462</v>
      </c>
      <c r="H56" s="73">
        <f>SUMIFS('Data 2026&gt;&gt;'!$N:$N,'Data 2026&gt;&gt;'!$L:$L,'01. CP Nhân sự '!$A56,'Data 2026&gt;&gt;'!$B:$B,'01. CP Nhân sự '!$C56,'Data 2026&gt;&gt;'!$C:$C,'01. CP Nhân sự '!H$4)</f>
        <v>64447301</v>
      </c>
      <c r="I56" s="73">
        <f>SUMIFS('Data 2026&gt;&gt;'!$N:$N,'Data 2026&gt;&gt;'!$L:$L,'01. CP Nhân sự '!$A56,'Data 2026&gt;&gt;'!$B:$B,'01. CP Nhân sự '!$C56,'Data 2026&gt;&gt;'!$C:$C,'01. CP Nhân sự '!I$4)</f>
        <v>102099290</v>
      </c>
      <c r="J56" s="73">
        <f>SUMIFS('Data 2026&gt;&gt;'!$N:$N,'Data 2026&gt;&gt;'!$L:$L,'01. CP Nhân sự '!$A56,'Data 2026&gt;&gt;'!$B:$B,'01. CP Nhân sự '!$C56,'Data 2026&gt;&gt;'!$C:$C,'01. CP Nhân sự '!J$4)</f>
        <v>0</v>
      </c>
      <c r="K56" s="76">
        <f t="shared" si="11"/>
        <v>924835780</v>
      </c>
      <c r="L56" s="179"/>
      <c r="O56" s="249">
        <f t="shared" si="10"/>
        <v>5.814498098772789E-3</v>
      </c>
    </row>
    <row r="57" spans="1:15" outlineLevel="1" x14ac:dyDescent="0.25">
      <c r="A57" s="15">
        <v>4</v>
      </c>
      <c r="B57" s="3">
        <v>8</v>
      </c>
      <c r="C57" s="7" t="s">
        <v>7</v>
      </c>
      <c r="D57" s="133">
        <f>VLOOKUP(C57,'02. ĐỊNH BIÊN'!$C$6:$P$48,6,0)</f>
        <v>83</v>
      </c>
      <c r="E57" s="73">
        <f>SUMIFS('Data 2026&gt;&gt;'!$N:$N,'Data 2026&gt;&gt;'!$L:$L,'01. CP Nhân sự '!$A57,'Data 2026&gt;&gt;'!$B:$B,'01. CP Nhân sự '!$C57,'Data 2026&gt;&gt;'!$C:$C,'01. CP Nhân sự '!E$4)</f>
        <v>1304447747</v>
      </c>
      <c r="F57" s="73">
        <f>SUMIFS('Data 2026&gt;&gt;'!$N:$N,'Data 2026&gt;&gt;'!$L:$L,'01. CP Nhân sự '!$A57,'Data 2026&gt;&gt;'!$B:$B,'01. CP Nhân sự '!$C57,'Data 2026&gt;&gt;'!$C:$C,'01. CP Nhân sự '!F$4)</f>
        <v>380470791</v>
      </c>
      <c r="G57" s="73">
        <f>SUMIFS('Data 2026&gt;&gt;'!$N:$N,'Data 2026&gt;&gt;'!$L:$L,'01. CP Nhân sự '!$A57,'Data 2026&gt;&gt;'!$B:$B,'01. CP Nhân sự '!$C57,'Data 2026&gt;&gt;'!$C:$C,'01. CP Nhân sự '!G$4)</f>
        <v>88465572</v>
      </c>
      <c r="H57" s="73">
        <f>SUMIFS('Data 2026&gt;&gt;'!$N:$N,'Data 2026&gt;&gt;'!$L:$L,'01. CP Nhân sự '!$A57,'Data 2026&gt;&gt;'!$B:$B,'01. CP Nhân sự '!$C57,'Data 2026&gt;&gt;'!$C:$C,'01. CP Nhân sự '!H$4)</f>
        <v>129454388</v>
      </c>
      <c r="I57" s="73">
        <f>SUMIFS('Data 2026&gt;&gt;'!$N:$N,'Data 2026&gt;&gt;'!$L:$L,'01. CP Nhân sự '!$A57,'Data 2026&gt;&gt;'!$B:$B,'01. CP Nhân sự '!$C57,'Data 2026&gt;&gt;'!$C:$C,'01. CP Nhân sự '!I$4)</f>
        <v>260572668</v>
      </c>
      <c r="J57" s="73">
        <f>SUMIFS('Data 2026&gt;&gt;'!$N:$N,'Data 2026&gt;&gt;'!$L:$L,'01. CP Nhân sự '!$A57,'Data 2026&gt;&gt;'!$B:$B,'01. CP Nhân sự '!$C57,'Data 2026&gt;&gt;'!$C:$C,'01. CP Nhân sự '!J$4)</f>
        <v>0</v>
      </c>
      <c r="K57" s="76">
        <f t="shared" si="11"/>
        <v>2163411166</v>
      </c>
      <c r="L57" s="179"/>
      <c r="O57" s="249">
        <f t="shared" si="10"/>
        <v>1.3601495945118842E-2</v>
      </c>
    </row>
    <row r="58" spans="1:15" outlineLevel="1" x14ac:dyDescent="0.25">
      <c r="A58" s="15">
        <v>4</v>
      </c>
      <c r="B58" s="3">
        <v>9</v>
      </c>
      <c r="C58" s="7" t="s">
        <v>9</v>
      </c>
      <c r="D58" s="133">
        <f>VLOOKUP(C58,'02. ĐỊNH BIÊN'!$C$6:$P$48,6,0)</f>
        <v>39</v>
      </c>
      <c r="E58" s="73">
        <f>SUMIFS('Data 2026&gt;&gt;'!$N:$N,'Data 2026&gt;&gt;'!$L:$L,'01. CP Nhân sự '!$A58,'Data 2026&gt;&gt;'!$B:$B,'01. CP Nhân sự '!$C58,'Data 2026&gt;&gt;'!$C:$C,'01. CP Nhân sự '!E$4)</f>
        <v>741682893</v>
      </c>
      <c r="F58" s="73">
        <f>SUMIFS('Data 2026&gt;&gt;'!$N:$N,'Data 2026&gt;&gt;'!$L:$L,'01. CP Nhân sự '!$A58,'Data 2026&gt;&gt;'!$B:$B,'01. CP Nhân sự '!$C58,'Data 2026&gt;&gt;'!$C:$C,'01. CP Nhân sự '!F$4)</f>
        <v>87795214</v>
      </c>
      <c r="G58" s="73">
        <f>SUMIFS('Data 2026&gt;&gt;'!$N:$N,'Data 2026&gt;&gt;'!$L:$L,'01. CP Nhân sự '!$A58,'Data 2026&gt;&gt;'!$B:$B,'01. CP Nhân sự '!$C58,'Data 2026&gt;&gt;'!$C:$C,'01. CP Nhân sự '!G$4)</f>
        <v>41323926</v>
      </c>
      <c r="H58" s="73">
        <f>SUMIFS('Data 2026&gt;&gt;'!$N:$N,'Data 2026&gt;&gt;'!$L:$L,'01. CP Nhân sự '!$A58,'Data 2026&gt;&gt;'!$B:$B,'01. CP Nhân sự '!$C58,'Data 2026&gt;&gt;'!$C:$C,'01. CP Nhân sự '!H$4)</f>
        <v>50534681</v>
      </c>
      <c r="I58" s="73">
        <f>SUMIFS('Data 2026&gt;&gt;'!$N:$N,'Data 2026&gt;&gt;'!$L:$L,'01. CP Nhân sự '!$A58,'Data 2026&gt;&gt;'!$B:$B,'01. CP Nhân sự '!$C58,'Data 2026&gt;&gt;'!$C:$C,'01. CP Nhân sự '!I$4)</f>
        <v>137870810</v>
      </c>
      <c r="J58" s="73">
        <f>SUMIFS('Data 2026&gt;&gt;'!$N:$N,'Data 2026&gt;&gt;'!$L:$L,'01. CP Nhân sự '!$A58,'Data 2026&gt;&gt;'!$B:$B,'01. CP Nhân sự '!$C58,'Data 2026&gt;&gt;'!$C:$C,'01. CP Nhân sự '!J$4)</f>
        <v>185700000</v>
      </c>
      <c r="K58" s="76">
        <f t="shared" si="11"/>
        <v>1244907524</v>
      </c>
      <c r="L58" s="179"/>
      <c r="O58" s="249">
        <f t="shared" si="10"/>
        <v>7.8268083782895379E-3</v>
      </c>
    </row>
    <row r="59" spans="1:15" outlineLevel="1" x14ac:dyDescent="0.25">
      <c r="A59" s="15">
        <v>4</v>
      </c>
      <c r="B59" s="3">
        <v>10</v>
      </c>
      <c r="C59" s="7" t="s">
        <v>10</v>
      </c>
      <c r="D59" s="133">
        <f>VLOOKUP(C59,'02. ĐỊNH BIÊN'!$C$6:$P$48,6,0)</f>
        <v>39</v>
      </c>
      <c r="E59" s="73">
        <f>SUMIFS('Data 2026&gt;&gt;'!$N:$N,'Data 2026&gt;&gt;'!$L:$L,'01. CP Nhân sự '!$A59,'Data 2026&gt;&gt;'!$B:$B,'01. CP Nhân sự '!$C59,'Data 2026&gt;&gt;'!$C:$C,'01. CP Nhân sự '!E$4)</f>
        <v>533344260</v>
      </c>
      <c r="F59" s="73">
        <f>SUMIFS('Data 2026&gt;&gt;'!$N:$N,'Data 2026&gt;&gt;'!$L:$L,'01. CP Nhân sự '!$A59,'Data 2026&gt;&gt;'!$B:$B,'01. CP Nhân sự '!$C59,'Data 2026&gt;&gt;'!$C:$C,'01. CP Nhân sự '!F$4)</f>
        <v>0</v>
      </c>
      <c r="G59" s="73">
        <f>SUMIFS('Data 2026&gt;&gt;'!$N:$N,'Data 2026&gt;&gt;'!$L:$L,'01. CP Nhân sự '!$A59,'Data 2026&gt;&gt;'!$B:$B,'01. CP Nhân sự '!$C59,'Data 2026&gt;&gt;'!$C:$C,'01. CP Nhân sự '!G$4)</f>
        <v>295203108</v>
      </c>
      <c r="H59" s="73">
        <f>SUMIFS('Data 2026&gt;&gt;'!$N:$N,'Data 2026&gt;&gt;'!$L:$L,'01. CP Nhân sự '!$A59,'Data 2026&gt;&gt;'!$B:$B,'01. CP Nhân sự '!$C59,'Data 2026&gt;&gt;'!$C:$C,'01. CP Nhân sự '!H$4)</f>
        <v>27060000</v>
      </c>
      <c r="I59" s="73">
        <f>SUMIFS('Data 2026&gt;&gt;'!$N:$N,'Data 2026&gt;&gt;'!$L:$L,'01. CP Nhân sự '!$A59,'Data 2026&gt;&gt;'!$B:$B,'01. CP Nhân sự '!$C59,'Data 2026&gt;&gt;'!$C:$C,'01. CP Nhân sự '!I$4)</f>
        <v>91521840</v>
      </c>
      <c r="J59" s="73">
        <f>SUMIFS('Data 2026&gt;&gt;'!$N:$N,'Data 2026&gt;&gt;'!$L:$L,'01. CP Nhân sự '!$A59,'Data 2026&gt;&gt;'!$B:$B,'01. CP Nhân sự '!$C59,'Data 2026&gt;&gt;'!$C:$C,'01. CP Nhân sự '!J$4)</f>
        <v>0</v>
      </c>
      <c r="K59" s="76">
        <f t="shared" si="11"/>
        <v>947129208</v>
      </c>
      <c r="L59" s="179"/>
      <c r="O59" s="249">
        <f t="shared" si="10"/>
        <v>5.9546582196551455E-3</v>
      </c>
    </row>
    <row r="60" spans="1:15" outlineLevel="1" x14ac:dyDescent="0.25">
      <c r="A60" s="15">
        <v>4</v>
      </c>
      <c r="B60" s="3">
        <v>11</v>
      </c>
      <c r="C60" s="7" t="s">
        <v>1539</v>
      </c>
      <c r="D60" s="133">
        <f>VLOOKUP(C60,'02. ĐỊNH BIÊN'!$C$6:$P$48,6,0)</f>
        <v>3</v>
      </c>
      <c r="E60" s="73">
        <f>SUMIFS('Data 2026&gt;&gt;'!$N:$N,'Data 2026&gt;&gt;'!$L:$L,'01. CP Nhân sự '!$A60,'Data 2026&gt;&gt;'!$B:$B,'01. CP Nhân sự '!$C60,'Data 2026&gt;&gt;'!$C:$C,'01. CP Nhân sự '!E$4)</f>
        <v>94924201</v>
      </c>
      <c r="F60" s="73">
        <f>SUMIFS('Data 2026&gt;&gt;'!$N:$N,'Data 2026&gt;&gt;'!$L:$L,'01. CP Nhân sự '!$A60,'Data 2026&gt;&gt;'!$B:$B,'01. CP Nhân sự '!$C60,'Data 2026&gt;&gt;'!$C:$C,'01. CP Nhân sự '!F$4)</f>
        <v>0</v>
      </c>
      <c r="G60" s="73">
        <f>SUMIFS('Data 2026&gt;&gt;'!$N:$N,'Data 2026&gt;&gt;'!$L:$L,'01. CP Nhân sự '!$A60,'Data 2026&gt;&gt;'!$B:$B,'01. CP Nhân sự '!$C60,'Data 2026&gt;&gt;'!$C:$C,'01. CP Nhân sự '!G$4)</f>
        <v>6536466</v>
      </c>
      <c r="H60" s="73">
        <f>SUMIFS('Data 2026&gt;&gt;'!$N:$N,'Data 2026&gt;&gt;'!$L:$L,'01. CP Nhân sự '!$A60,'Data 2026&gt;&gt;'!$B:$B,'01. CP Nhân sự '!$C60,'Data 2026&gt;&gt;'!$C:$C,'01. CP Nhân sự '!H$4)</f>
        <v>50000</v>
      </c>
      <c r="I60" s="73">
        <f>SUMIFS('Data 2026&gt;&gt;'!$N:$N,'Data 2026&gt;&gt;'!$L:$L,'01. CP Nhân sự '!$A60,'Data 2026&gt;&gt;'!$B:$B,'01. CP Nhân sự '!$C60,'Data 2026&gt;&gt;'!$C:$C,'01. CP Nhân sự '!I$4)</f>
        <v>20035865</v>
      </c>
      <c r="J60" s="73">
        <f>SUMIFS('Data 2026&gt;&gt;'!$N:$N,'Data 2026&gt;&gt;'!$L:$L,'01. CP Nhân sự '!$A60,'Data 2026&gt;&gt;'!$B:$B,'01. CP Nhân sự '!$C60,'Data 2026&gt;&gt;'!$C:$C,'01. CP Nhân sự '!J$4)</f>
        <v>0</v>
      </c>
      <c r="K60" s="76">
        <f t="shared" si="11"/>
        <v>121546532</v>
      </c>
      <c r="L60" s="179"/>
      <c r="O60" s="249">
        <f t="shared" si="10"/>
        <v>7.6417034733066444E-4</v>
      </c>
    </row>
    <row r="61" spans="1:15" outlineLevel="1" x14ac:dyDescent="0.25">
      <c r="A61" s="15">
        <v>4</v>
      </c>
      <c r="B61" s="3">
        <v>12</v>
      </c>
      <c r="C61" s="7" t="s">
        <v>8</v>
      </c>
      <c r="D61" s="133">
        <f>VLOOKUP(C61,'02. ĐỊNH BIÊN'!$C$6:$P$48,6,0)</f>
        <v>86</v>
      </c>
      <c r="E61" s="73">
        <f>SUMIFS('Data 2026&gt;&gt;'!$N:$N,'Data 2026&gt;&gt;'!$L:$L,'01. CP Nhân sự '!$A61,'Data 2026&gt;&gt;'!$B:$B,'01. CP Nhân sự '!$C61,'Data 2026&gt;&gt;'!$C:$C,'01. CP Nhân sự '!E$4,'Data 2026&gt;&gt;'!$A:$A,627)</f>
        <v>1277464472</v>
      </c>
      <c r="F61" s="73">
        <f>SUMIFS('Data 2026&gt;&gt;'!$N:$N,'Data 2026&gt;&gt;'!$L:$L,'01. CP Nhân sự '!$A61,'Data 2026&gt;&gt;'!$B:$B,'01. CP Nhân sự '!$C61,'Data 2026&gt;&gt;'!$C:$C,'01. CP Nhân sự '!F$4,'Data 2026&gt;&gt;'!$A:$A,627)</f>
        <v>146289782</v>
      </c>
      <c r="G61" s="73">
        <f>SUMIFS('Data 2026&gt;&gt;'!$N:$N,'Data 2026&gt;&gt;'!$L:$L,'01. CP Nhân sự '!$A61,'Data 2026&gt;&gt;'!$B:$B,'01. CP Nhân sự '!$C61,'Data 2026&gt;&gt;'!$C:$C,'01. CP Nhân sự '!G$4,'Data 2026&gt;&gt;'!$A:$A,627)</f>
        <v>59081167</v>
      </c>
      <c r="H61" s="73">
        <f>SUMIFS('Data 2026&gt;&gt;'!$N:$N,'Data 2026&gt;&gt;'!$L:$L,'01. CP Nhân sự '!$A61,'Data 2026&gt;&gt;'!$B:$B,'01. CP Nhân sự '!$C61,'Data 2026&gt;&gt;'!$C:$C,'01. CP Nhân sự '!H$4,'Data 2026&gt;&gt;'!$A:$A,627)</f>
        <v>106797933</v>
      </c>
      <c r="I61" s="73">
        <f>SUMIFS('Data 2026&gt;&gt;'!$N:$N,'Data 2026&gt;&gt;'!$L:$L,'01. CP Nhân sự '!$A61,'Data 2026&gt;&gt;'!$B:$B,'01. CP Nhân sự '!$C61,'Data 2026&gt;&gt;'!$C:$C,'01. CP Nhân sự '!I$4,'Data 2026&gt;&gt;'!$A:$A,627)</f>
        <v>163844260</v>
      </c>
      <c r="J61" s="73">
        <f>SUMIFS('Data 2026&gt;&gt;'!$N:$N,'Data 2026&gt;&gt;'!$L:$L,'01. CP Nhân sự '!$A61,'Data 2026&gt;&gt;'!$B:$B,'01. CP Nhân sự '!$C61,'Data 2026&gt;&gt;'!$C:$C,'01. CP Nhân sự '!J$4,'Data 2026&gt;&gt;'!$A:$A,627)</f>
        <v>12450000</v>
      </c>
      <c r="K61" s="76">
        <f t="shared" si="11"/>
        <v>1765927614</v>
      </c>
      <c r="L61" s="180"/>
      <c r="O61" s="249">
        <f t="shared" si="10"/>
        <v>1.1102492978995003E-2</v>
      </c>
    </row>
    <row r="62" spans="1:15" outlineLevel="1" x14ac:dyDescent="0.25">
      <c r="A62" s="15">
        <v>4</v>
      </c>
      <c r="B62" s="3">
        <v>13</v>
      </c>
      <c r="C62" s="7" t="s">
        <v>8</v>
      </c>
      <c r="D62" s="133">
        <v>208</v>
      </c>
      <c r="E62" s="73">
        <f>SUMIFS('Data 2026&gt;&gt;'!$N:$N,'Data 2026&gt;&gt;'!$L:$L,'01. CP Nhân sự '!$A62,'Data 2026&gt;&gt;'!$B:$B,'01. CP Nhân sự '!$C62,'Data 2026&gt;&gt;'!$C:$C,'01. CP Nhân sự '!E$4,'Data 2026&gt;&gt;'!$A:$A,622)</f>
        <v>2291562896</v>
      </c>
      <c r="F62" s="73">
        <f>SUMIFS('Data 2026&gt;&gt;'!$N:$N,'Data 2026&gt;&gt;'!$L:$L,'01. CP Nhân sự '!$A62,'Data 2026&gt;&gt;'!$B:$B,'01. CP Nhân sự '!$C62,'Data 2026&gt;&gt;'!$C:$C,'01. CP Nhân sự '!F$4,'Data 2026&gt;&gt;'!$A:$A,622)</f>
        <v>499755909</v>
      </c>
      <c r="G62" s="73">
        <f>SUMIFS('Data 2026&gt;&gt;'!$N:$N,'Data 2026&gt;&gt;'!$L:$L,'01. CP Nhân sự '!$A62,'Data 2026&gt;&gt;'!$B:$B,'01. CP Nhân sự '!$C62,'Data 2026&gt;&gt;'!$C:$C,'01. CP Nhân sự '!G$4,'Data 2026&gt;&gt;'!$A:$A,622)</f>
        <v>26391391</v>
      </c>
      <c r="H62" s="73">
        <f>SUMIFS('Data 2026&gt;&gt;'!$N:$N,'Data 2026&gt;&gt;'!$L:$L,'01. CP Nhân sự '!$A62,'Data 2026&gt;&gt;'!$B:$B,'01. CP Nhân sự '!$C62,'Data 2026&gt;&gt;'!$C:$C,'01. CP Nhân sự '!H$4,'Data 2026&gt;&gt;'!$A:$A,622)</f>
        <v>318167275</v>
      </c>
      <c r="I62" s="73">
        <f>SUMIFS('Data 2026&gt;&gt;'!$N:$N,'Data 2026&gt;&gt;'!$L:$L,'01. CP Nhân sự '!$A62,'Data 2026&gt;&gt;'!$B:$B,'01. CP Nhân sự '!$C62,'Data 2026&gt;&gt;'!$C:$C,'01. CP Nhân sự '!I$4,'Data 2026&gt;&gt;'!$A:$A,622)</f>
        <v>276102295</v>
      </c>
      <c r="J62" s="73">
        <f>SUMIFS('Data 2026&gt;&gt;'!$N:$N,'Data 2026&gt;&gt;'!$L:$L,'01. CP Nhân sự '!$A62,'Data 2026&gt;&gt;'!$B:$B,'01. CP Nhân sự '!$C62,'Data 2026&gt;&gt;'!$C:$C,'01. CP Nhân sự '!J$4,'Data 2026&gt;&gt;'!$A:$A,622)</f>
        <v>0</v>
      </c>
      <c r="K62" s="76">
        <f t="shared" si="11"/>
        <v>3411979766</v>
      </c>
      <c r="L62" s="179"/>
      <c r="O62" s="249">
        <f t="shared" si="10"/>
        <v>2.1451321728121534E-2</v>
      </c>
    </row>
    <row r="63" spans="1:15" outlineLevel="1" x14ac:dyDescent="0.25">
      <c r="A63" s="70">
        <v>4</v>
      </c>
      <c r="B63" s="3">
        <v>14</v>
      </c>
      <c r="C63" s="71" t="s">
        <v>221</v>
      </c>
      <c r="D63" s="134">
        <f>VLOOKUP(C63,'02. ĐỊNH BIÊN'!$C$6:$P$48,6,0)</f>
        <v>1</v>
      </c>
      <c r="E63" s="74">
        <f>SUMIFS('Data 2026&gt;&gt;'!$N:$N,'Data 2026&gt;&gt;'!$L:$L,'01. CP Nhân sự '!$A63,'Data 2026&gt;&gt;'!$B:$B,'01. CP Nhân sự '!$C63,'Data 2026&gt;&gt;'!$C:$C,'01. CP Nhân sự '!E$4)</f>
        <v>70000000</v>
      </c>
      <c r="F63" s="74">
        <f>SUMIFS('Data 2026&gt;&gt;'!$N:$N,'Data 2026&gt;&gt;'!$L:$L,'01. CP Nhân sự '!$A63,'Data 2026&gt;&gt;'!$B:$B,'01. CP Nhân sự '!$C63,'Data 2026&gt;&gt;'!$C:$C,'01. CP Nhân sự '!F$4)</f>
        <v>0</v>
      </c>
      <c r="G63" s="74">
        <f>SUMIFS('Data 2026&gt;&gt;'!$N:$N,'Data 2026&gt;&gt;'!$L:$L,'01. CP Nhân sự '!$A63,'Data 2026&gt;&gt;'!$B:$B,'01. CP Nhân sự '!$C63,'Data 2026&gt;&gt;'!$C:$C,'01. CP Nhân sự '!G$4)</f>
        <v>0</v>
      </c>
      <c r="H63" s="74">
        <f>SUMIFS('Data 2026&gt;&gt;'!$N:$N,'Data 2026&gt;&gt;'!$L:$L,'01. CP Nhân sự '!$A63,'Data 2026&gt;&gt;'!$B:$B,'01. CP Nhân sự '!$C63,'Data 2026&gt;&gt;'!$C:$C,'01. CP Nhân sự '!H$4)</f>
        <v>0</v>
      </c>
      <c r="I63" s="74">
        <f>SUMIFS('Data 2026&gt;&gt;'!$N:$N,'Data 2026&gt;&gt;'!$L:$L,'01. CP Nhân sự '!$A63,'Data 2026&gt;&gt;'!$B:$B,'01. CP Nhân sự '!$C63,'Data 2026&gt;&gt;'!$C:$C,'01. CP Nhân sự '!I$4)</f>
        <v>0</v>
      </c>
      <c r="J63" s="74">
        <f>SUMIFS('Data 2026&gt;&gt;'!$N:$N,'Data 2026&gt;&gt;'!$L:$L,'01. CP Nhân sự '!$A63,'Data 2026&gt;&gt;'!$B:$B,'01. CP Nhân sự '!$C63,'Data 2026&gt;&gt;'!$C:$C,'01. CP Nhân sự '!J$4)</f>
        <v>0</v>
      </c>
      <c r="K63" s="76">
        <f t="shared" si="11"/>
        <v>70000000</v>
      </c>
      <c r="L63" s="179"/>
      <c r="O63" s="249">
        <f t="shared" si="10"/>
        <v>4.4009420452363471E-4</v>
      </c>
    </row>
    <row r="64" spans="1:15" x14ac:dyDescent="0.25">
      <c r="A64" s="17">
        <v>4</v>
      </c>
      <c r="B64" s="18"/>
      <c r="C64" s="19" t="s">
        <v>17</v>
      </c>
      <c r="D64" s="136">
        <f>SUM(D50:D63)</f>
        <v>571</v>
      </c>
      <c r="E64" s="75">
        <f t="shared" ref="E64:K64" si="12">SUM(E50:E63)</f>
        <v>10646039468</v>
      </c>
      <c r="F64" s="75">
        <f t="shared" si="12"/>
        <v>1331127743</v>
      </c>
      <c r="G64" s="75">
        <f t="shared" si="12"/>
        <v>1060686962</v>
      </c>
      <c r="H64" s="75">
        <f t="shared" si="12"/>
        <v>733408578</v>
      </c>
      <c r="I64" s="75">
        <f t="shared" si="12"/>
        <v>1509732718</v>
      </c>
      <c r="J64" s="75">
        <f t="shared" si="12"/>
        <v>268870407</v>
      </c>
      <c r="K64" s="75">
        <f t="shared" si="12"/>
        <v>15549865876</v>
      </c>
      <c r="L64" s="439">
        <f>K64/K49-1</f>
        <v>0.11968590844343541</v>
      </c>
      <c r="N64" s="75">
        <v>159056854829</v>
      </c>
      <c r="O64" s="250">
        <f t="shared" si="10"/>
        <v>9.7762940759249031E-2</v>
      </c>
    </row>
    <row r="70" spans="1:15" x14ac:dyDescent="0.25">
      <c r="K70" s="129"/>
    </row>
    <row r="71" spans="1:15" ht="21" x14ac:dyDescent="0.35">
      <c r="C71" s="434">
        <v>2025</v>
      </c>
      <c r="K71" s="281">
        <f>SUM(K86,K100,K114,K128,K142,K156,K170,K184,K198,K212,K226,K240)</f>
        <v>173230515310</v>
      </c>
      <c r="N71" s="281">
        <f>SUM(N86:N226)</f>
        <v>1437767702455.0742</v>
      </c>
      <c r="O71" s="282">
        <f>K71/$N$71</f>
        <v>0.1204857467685486</v>
      </c>
    </row>
    <row r="72" spans="1:15" s="13" customFormat="1" ht="30" x14ac:dyDescent="0.25">
      <c r="A72" s="435" t="s">
        <v>172</v>
      </c>
      <c r="B72" s="435" t="s">
        <v>14</v>
      </c>
      <c r="C72" s="435" t="s">
        <v>11</v>
      </c>
      <c r="D72" s="435" t="s">
        <v>220</v>
      </c>
      <c r="E72" s="435" t="s">
        <v>22</v>
      </c>
      <c r="F72" s="435" t="s">
        <v>23</v>
      </c>
      <c r="G72" s="435" t="s">
        <v>24</v>
      </c>
      <c r="H72" s="435" t="s">
        <v>25</v>
      </c>
      <c r="I72" s="435" t="s">
        <v>170</v>
      </c>
      <c r="J72" s="435" t="s">
        <v>222</v>
      </c>
      <c r="K72" s="435" t="s">
        <v>171</v>
      </c>
      <c r="L72" s="184" t="s">
        <v>688</v>
      </c>
      <c r="N72" s="248" t="s">
        <v>1039</v>
      </c>
      <c r="O72" s="248" t="s">
        <v>1040</v>
      </c>
    </row>
    <row r="73" spans="1:15" hidden="1" outlineLevel="1" x14ac:dyDescent="0.25">
      <c r="A73" s="14">
        <v>1</v>
      </c>
      <c r="B73" s="1">
        <v>1</v>
      </c>
      <c r="C73" s="2" t="s">
        <v>0</v>
      </c>
      <c r="D73" s="132">
        <f>VLOOKUP(C73,'02. ĐỊNH BIÊN'!$C$6:$AI$47,3,0)</f>
        <v>12</v>
      </c>
      <c r="E73" s="72">
        <v>1264140856</v>
      </c>
      <c r="F73" s="72"/>
      <c r="G73" s="72">
        <v>87812330</v>
      </c>
      <c r="H73" s="72"/>
      <c r="I73" s="72">
        <v>101568010</v>
      </c>
      <c r="J73" s="72"/>
      <c r="K73" s="76">
        <f>SUM(E73:J73)</f>
        <v>1453521196</v>
      </c>
      <c r="L73" s="179"/>
      <c r="N73" s="129"/>
      <c r="O73" s="249">
        <f>K73/$N$86</f>
        <v>1.2698666060137387E-2</v>
      </c>
    </row>
    <row r="74" spans="1:15" hidden="1" outlineLevel="1" x14ac:dyDescent="0.25">
      <c r="A74" s="15">
        <v>1</v>
      </c>
      <c r="B74" s="3">
        <v>2</v>
      </c>
      <c r="C74" s="7" t="s">
        <v>1</v>
      </c>
      <c r="D74" s="133">
        <f>VLOOKUP(C74,'02. ĐỊNH BIÊN'!$C$6:$AI$47,3,0)</f>
        <v>9</v>
      </c>
      <c r="E74" s="73">
        <v>266365959</v>
      </c>
      <c r="F74" s="73"/>
      <c r="G74" s="73">
        <v>66215507</v>
      </c>
      <c r="H74" s="73"/>
      <c r="I74" s="73">
        <v>51324945</v>
      </c>
      <c r="J74" s="73"/>
      <c r="K74" s="76">
        <f>SUM(E74:J74)</f>
        <v>383906411</v>
      </c>
      <c r="L74" s="179"/>
      <c r="O74" s="249">
        <f t="shared" ref="O74:O86" si="13">K74/$N$86</f>
        <v>3.3539925837000688E-3</v>
      </c>
    </row>
    <row r="75" spans="1:15" hidden="1" outlineLevel="1" x14ac:dyDescent="0.25">
      <c r="A75" s="15">
        <v>1</v>
      </c>
      <c r="B75" s="3">
        <v>3</v>
      </c>
      <c r="C75" s="7" t="s">
        <v>2</v>
      </c>
      <c r="D75" s="133">
        <f>VLOOKUP(C75,'02. ĐỊNH BIÊN'!$C$6:$AI$47,3,0)</f>
        <v>9</v>
      </c>
      <c r="E75" s="73">
        <v>164395004</v>
      </c>
      <c r="F75" s="73"/>
      <c r="G75" s="73">
        <v>8470467</v>
      </c>
      <c r="H75" s="73">
        <v>3850000</v>
      </c>
      <c r="I75" s="73">
        <v>16645755</v>
      </c>
      <c r="J75" s="73"/>
      <c r="K75" s="76">
        <f t="shared" ref="K75:K85" si="14">SUM(E75:J75)</f>
        <v>193361226</v>
      </c>
      <c r="L75" s="179"/>
      <c r="O75" s="249">
        <f t="shared" si="13"/>
        <v>1.6892974417641411E-3</v>
      </c>
    </row>
    <row r="76" spans="1:15" hidden="1" outlineLevel="1" x14ac:dyDescent="0.25">
      <c r="A76" s="15">
        <v>1</v>
      </c>
      <c r="B76" s="3">
        <v>4</v>
      </c>
      <c r="C76" s="7" t="s">
        <v>3</v>
      </c>
      <c r="D76" s="133">
        <f>VLOOKUP(C76,'02. ĐỊNH BIÊN'!$C$6:$AI$47,3,0)</f>
        <v>29</v>
      </c>
      <c r="E76" s="73">
        <v>473875397</v>
      </c>
      <c r="F76" s="73">
        <v>46152955</v>
      </c>
      <c r="G76" s="73">
        <v>38217504</v>
      </c>
      <c r="H76" s="73">
        <v>16375385</v>
      </c>
      <c r="I76" s="73">
        <v>86246195</v>
      </c>
      <c r="J76" s="73"/>
      <c r="K76" s="76">
        <f t="shared" si="14"/>
        <v>660867436</v>
      </c>
      <c r="L76" s="179"/>
      <c r="O76" s="249">
        <f t="shared" si="13"/>
        <v>5.7736584116405395E-3</v>
      </c>
    </row>
    <row r="77" spans="1:15" hidden="1" outlineLevel="1" x14ac:dyDescent="0.25">
      <c r="A77" s="15">
        <v>1</v>
      </c>
      <c r="B77" s="3">
        <v>5</v>
      </c>
      <c r="C77" s="7" t="s">
        <v>4</v>
      </c>
      <c r="D77" s="133">
        <f>VLOOKUP(C77,'02. ĐỊNH BIÊN'!$C$6:$AI$47,3,0)</f>
        <v>8</v>
      </c>
      <c r="E77" s="73">
        <v>158791577</v>
      </c>
      <c r="F77" s="73"/>
      <c r="G77" s="73">
        <v>13123786</v>
      </c>
      <c r="H77" s="73">
        <v>50000</v>
      </c>
      <c r="I77" s="73">
        <v>35154315</v>
      </c>
      <c r="J77" s="73"/>
      <c r="K77" s="76">
        <f t="shared" si="14"/>
        <v>207119678</v>
      </c>
      <c r="L77" s="179"/>
      <c r="O77" s="249">
        <f t="shared" si="13"/>
        <v>1.8094979506615907E-3</v>
      </c>
    </row>
    <row r="78" spans="1:15" hidden="1" outlineLevel="1" x14ac:dyDescent="0.25">
      <c r="A78" s="15">
        <v>1</v>
      </c>
      <c r="B78" s="3">
        <v>6</v>
      </c>
      <c r="C78" s="7" t="s">
        <v>5</v>
      </c>
      <c r="D78" s="133">
        <f>VLOOKUP(C78,'02. ĐỊNH BIÊN'!$C$6:$AI$47,3,0)</f>
        <v>4</v>
      </c>
      <c r="E78" s="73">
        <v>99254688</v>
      </c>
      <c r="F78" s="73"/>
      <c r="G78" s="73">
        <v>8838430</v>
      </c>
      <c r="H78" s="73">
        <v>5550000</v>
      </c>
      <c r="I78" s="73">
        <v>30888225</v>
      </c>
      <c r="J78" s="73">
        <v>4792753</v>
      </c>
      <c r="K78" s="76">
        <f t="shared" si="14"/>
        <v>149324096</v>
      </c>
      <c r="L78" s="179"/>
      <c r="O78" s="249">
        <f t="shared" si="13"/>
        <v>1.3045677180726141E-3</v>
      </c>
    </row>
    <row r="79" spans="1:15" hidden="1" outlineLevel="1" x14ac:dyDescent="0.25">
      <c r="A79" s="15">
        <v>1</v>
      </c>
      <c r="B79" s="3">
        <v>7</v>
      </c>
      <c r="C79" s="7" t="s">
        <v>6</v>
      </c>
      <c r="D79" s="133">
        <f>VLOOKUP(C79,'02. ĐỊNH BIÊN'!$C$6:$AI$47,3,0)</f>
        <v>47</v>
      </c>
      <c r="E79" s="73">
        <v>534769107</v>
      </c>
      <c r="F79" s="73">
        <v>158408018</v>
      </c>
      <c r="G79" s="73">
        <v>52061339</v>
      </c>
      <c r="H79" s="73">
        <v>59537328</v>
      </c>
      <c r="I79" s="73">
        <v>101945350</v>
      </c>
      <c r="J79" s="73"/>
      <c r="K79" s="76">
        <f t="shared" si="14"/>
        <v>906721142</v>
      </c>
      <c r="L79" s="179"/>
      <c r="O79" s="249">
        <f t="shared" si="13"/>
        <v>7.9215556151576143E-3</v>
      </c>
    </row>
    <row r="80" spans="1:15" hidden="1" outlineLevel="1" x14ac:dyDescent="0.25">
      <c r="A80" s="15">
        <v>1</v>
      </c>
      <c r="B80" s="3">
        <v>8</v>
      </c>
      <c r="C80" s="7" t="s">
        <v>7</v>
      </c>
      <c r="D80" s="133">
        <f>VLOOKUP(C80,'02. ĐỊNH BIÊN'!$C$6:$AI$47,3,0)</f>
        <v>86</v>
      </c>
      <c r="E80" s="73">
        <v>1110867901</v>
      </c>
      <c r="F80" s="73">
        <v>275691629</v>
      </c>
      <c r="G80" s="73">
        <v>99942604</v>
      </c>
      <c r="H80" s="73">
        <v>93620134</v>
      </c>
      <c r="I80" s="73">
        <v>228967370</v>
      </c>
      <c r="J80" s="73">
        <v>4500000</v>
      </c>
      <c r="K80" s="76">
        <f t="shared" si="14"/>
        <v>1813589638</v>
      </c>
      <c r="L80" s="179"/>
      <c r="O80" s="249">
        <f t="shared" si="13"/>
        <v>1.5844398586319239E-2</v>
      </c>
    </row>
    <row r="81" spans="1:15" hidden="1" outlineLevel="1" x14ac:dyDescent="0.25">
      <c r="A81" s="15">
        <v>1</v>
      </c>
      <c r="B81" s="3">
        <v>9</v>
      </c>
      <c r="C81" s="7" t="s">
        <v>9</v>
      </c>
      <c r="D81" s="133">
        <f>VLOOKUP(C81,'02. ĐỊNH BIÊN'!$C$6:$AI$47,3,0)</f>
        <v>43</v>
      </c>
      <c r="E81" s="73">
        <v>727256871</v>
      </c>
      <c r="F81" s="73">
        <v>100517421</v>
      </c>
      <c r="G81" s="73">
        <v>54907749</v>
      </c>
      <c r="H81" s="73">
        <v>44467681</v>
      </c>
      <c r="I81" s="73">
        <v>103648325</v>
      </c>
      <c r="J81" s="73">
        <v>5400000</v>
      </c>
      <c r="K81" s="76">
        <f t="shared" si="14"/>
        <v>1036198047</v>
      </c>
      <c r="L81" s="179"/>
      <c r="O81" s="249">
        <f t="shared" si="13"/>
        <v>9.0527286476664113E-3</v>
      </c>
    </row>
    <row r="82" spans="1:15" hidden="1" outlineLevel="1" x14ac:dyDescent="0.25">
      <c r="A82" s="15">
        <v>1</v>
      </c>
      <c r="B82" s="3">
        <v>10</v>
      </c>
      <c r="C82" s="7" t="s">
        <v>10</v>
      </c>
      <c r="D82" s="133">
        <f>VLOOKUP(C82,'02. ĐỊNH BIÊN'!$C$6:$AI$47,3,0)</f>
        <v>39</v>
      </c>
      <c r="E82" s="73">
        <v>543777219</v>
      </c>
      <c r="F82" s="73"/>
      <c r="G82" s="73">
        <v>198877610</v>
      </c>
      <c r="H82" s="73">
        <v>13970000</v>
      </c>
      <c r="I82" s="73">
        <v>98662635</v>
      </c>
      <c r="J82" s="73"/>
      <c r="K82" s="76">
        <f t="shared" si="14"/>
        <v>855287464</v>
      </c>
      <c r="L82" s="179"/>
      <c r="O82" s="249">
        <f t="shared" si="13"/>
        <v>7.4722060611476472E-3</v>
      </c>
    </row>
    <row r="83" spans="1:15" hidden="1" outlineLevel="1" x14ac:dyDescent="0.25">
      <c r="A83" s="15">
        <v>1</v>
      </c>
      <c r="B83" s="3">
        <v>11</v>
      </c>
      <c r="C83" s="7" t="s">
        <v>8</v>
      </c>
      <c r="D83" s="133">
        <f>VLOOKUP(C83,'02. ĐỊNH BIÊN'!$C$6:$AI$47,3,0)</f>
        <v>85</v>
      </c>
      <c r="E83" s="73">
        <v>1231903621</v>
      </c>
      <c r="F83" s="73">
        <v>121068303</v>
      </c>
      <c r="G83" s="73">
        <v>91899296</v>
      </c>
      <c r="H83" s="73">
        <v>107240314</v>
      </c>
      <c r="I83" s="73">
        <v>188011260</v>
      </c>
      <c r="J83" s="73">
        <v>5150000</v>
      </c>
      <c r="K83" s="76">
        <f t="shared" si="14"/>
        <v>1745272794</v>
      </c>
      <c r="L83" s="180">
        <f>K83+K84</f>
        <v>4703024708</v>
      </c>
      <c r="O83" s="249">
        <f t="shared" si="13"/>
        <v>1.5247549506563199E-2</v>
      </c>
    </row>
    <row r="84" spans="1:15" hidden="1" outlineLevel="1" x14ac:dyDescent="0.25">
      <c r="A84" s="15">
        <v>1</v>
      </c>
      <c r="B84" s="3">
        <v>12</v>
      </c>
      <c r="C84" s="7" t="s">
        <v>8</v>
      </c>
      <c r="D84" s="133">
        <v>218</v>
      </c>
      <c r="E84" s="73">
        <v>1950381801</v>
      </c>
      <c r="F84" s="73">
        <v>326525959</v>
      </c>
      <c r="G84" s="73">
        <v>131737986</v>
      </c>
      <c r="H84" s="73">
        <v>258406333</v>
      </c>
      <c r="I84" s="73">
        <v>290699835</v>
      </c>
      <c r="J84" s="73"/>
      <c r="K84" s="76">
        <f t="shared" si="14"/>
        <v>2957751914</v>
      </c>
      <c r="L84" s="179"/>
      <c r="O84" s="249">
        <f t="shared" si="13"/>
        <v>2.5840355096285912E-2</v>
      </c>
    </row>
    <row r="85" spans="1:15" hidden="1" outlineLevel="1" x14ac:dyDescent="0.25">
      <c r="A85" s="70">
        <v>1</v>
      </c>
      <c r="B85" s="3">
        <v>13</v>
      </c>
      <c r="C85" s="71" t="s">
        <v>221</v>
      </c>
      <c r="D85" s="134">
        <v>2</v>
      </c>
      <c r="E85" s="74">
        <v>113750000</v>
      </c>
      <c r="F85" s="74"/>
      <c r="G85" s="74">
        <v>8049930</v>
      </c>
      <c r="H85" s="74"/>
      <c r="I85" s="74"/>
      <c r="J85" s="74"/>
      <c r="K85" s="76">
        <f t="shared" si="14"/>
        <v>121799930</v>
      </c>
      <c r="L85" s="179"/>
      <c r="O85" s="249">
        <f t="shared" si="13"/>
        <v>1.0641032559239746E-3</v>
      </c>
    </row>
    <row r="86" spans="1:15" collapsed="1" x14ac:dyDescent="0.25">
      <c r="A86" s="17">
        <v>1</v>
      </c>
      <c r="B86" s="18"/>
      <c r="C86" s="19" t="s">
        <v>17</v>
      </c>
      <c r="D86" s="136">
        <f>SUM(D73:D85)</f>
        <v>591</v>
      </c>
      <c r="E86" s="75">
        <f t="shared" ref="E86:K86" si="15">SUM(E73:E85)</f>
        <v>8639530001</v>
      </c>
      <c r="F86" s="75">
        <f t="shared" si="15"/>
        <v>1028364285</v>
      </c>
      <c r="G86" s="75">
        <f t="shared" si="15"/>
        <v>860154538</v>
      </c>
      <c r="H86" s="75">
        <f t="shared" si="15"/>
        <v>603067175</v>
      </c>
      <c r="I86" s="75">
        <f t="shared" si="15"/>
        <v>1333762220</v>
      </c>
      <c r="J86" s="75">
        <f t="shared" si="15"/>
        <v>19842753</v>
      </c>
      <c r="K86" s="75">
        <f t="shared" si="15"/>
        <v>12484720972</v>
      </c>
      <c r="L86" s="179"/>
      <c r="N86" s="75">
        <v>114462510402</v>
      </c>
      <c r="O86" s="250">
        <f t="shared" si="13"/>
        <v>0.10907257693504034</v>
      </c>
    </row>
    <row r="87" spans="1:15" hidden="1" outlineLevel="1" x14ac:dyDescent="0.25">
      <c r="A87" s="14">
        <v>2</v>
      </c>
      <c r="B87" s="1">
        <v>1</v>
      </c>
      <c r="C87" s="2" t="s">
        <v>0</v>
      </c>
      <c r="D87" s="132">
        <f>VLOOKUP(C87,'02. ĐỊNH BIÊN'!$C$6:$AJ$47,4,0)</f>
        <v>13</v>
      </c>
      <c r="E87" s="72">
        <v>1282964721</v>
      </c>
      <c r="F87" s="72"/>
      <c r="G87" s="72">
        <v>95992326</v>
      </c>
      <c r="H87" s="72"/>
      <c r="I87" s="72">
        <v>112158010</v>
      </c>
      <c r="J87" s="72"/>
      <c r="K87" s="128">
        <f>SUM(E87:J87)</f>
        <v>1491115057</v>
      </c>
      <c r="L87" s="179"/>
      <c r="O87" s="251">
        <f>K87/$N$100</f>
        <v>7.9314858063983616E-3</v>
      </c>
    </row>
    <row r="88" spans="1:15" hidden="1" outlineLevel="1" x14ac:dyDescent="0.25">
      <c r="A88" s="15">
        <v>2</v>
      </c>
      <c r="B88" s="3">
        <v>2</v>
      </c>
      <c r="C88" s="7" t="s">
        <v>1</v>
      </c>
      <c r="D88" s="133">
        <f>VLOOKUP(C88,'02. ĐỊNH BIÊN'!$C$6:$AJ$47,4,0)</f>
        <v>9</v>
      </c>
      <c r="E88" s="73">
        <v>256598460</v>
      </c>
      <c r="F88" s="73"/>
      <c r="G88" s="73">
        <v>58223048</v>
      </c>
      <c r="H88" s="73">
        <v>50000</v>
      </c>
      <c r="I88" s="73">
        <v>57199945</v>
      </c>
      <c r="J88" s="73"/>
      <c r="K88" s="128">
        <f>SUM(E88:J88)</f>
        <v>372071453</v>
      </c>
      <c r="L88" s="179"/>
      <c r="O88" s="251">
        <f t="shared" ref="O88:O100" si="16">K88/$N$100</f>
        <v>1.9791091469311848E-3</v>
      </c>
    </row>
    <row r="89" spans="1:15" hidden="1" outlineLevel="1" x14ac:dyDescent="0.25">
      <c r="A89" s="15">
        <v>2</v>
      </c>
      <c r="B89" s="3">
        <v>3</v>
      </c>
      <c r="C89" s="7" t="s">
        <v>2</v>
      </c>
      <c r="D89" s="133">
        <f>VLOOKUP(C89,'02. ĐỊNH BIÊN'!$C$6:$AJ$47,4,0)</f>
        <v>9</v>
      </c>
      <c r="E89" s="73">
        <v>100998488</v>
      </c>
      <c r="F89" s="73">
        <v>10838778</v>
      </c>
      <c r="G89" s="73"/>
      <c r="H89" s="73">
        <v>2900000</v>
      </c>
      <c r="I89" s="73">
        <v>22638255</v>
      </c>
      <c r="J89" s="73"/>
      <c r="K89" s="128">
        <f t="shared" ref="K89:K99" si="17">SUM(E89:J89)</f>
        <v>137375521</v>
      </c>
      <c r="L89" s="179"/>
      <c r="O89" s="251">
        <f t="shared" si="16"/>
        <v>7.3072295115190436E-4</v>
      </c>
    </row>
    <row r="90" spans="1:15" hidden="1" outlineLevel="1" x14ac:dyDescent="0.25">
      <c r="A90" s="15">
        <v>2</v>
      </c>
      <c r="B90" s="3">
        <v>4</v>
      </c>
      <c r="C90" s="7" t="s">
        <v>3</v>
      </c>
      <c r="D90" s="133">
        <f>VLOOKUP(C90,'02. ĐỊNH BIÊN'!$C$6:$AJ$47,4,0)</f>
        <v>28</v>
      </c>
      <c r="E90" s="73">
        <v>449665471</v>
      </c>
      <c r="F90" s="73">
        <v>36055040</v>
      </c>
      <c r="G90" s="73">
        <v>42644566</v>
      </c>
      <c r="H90" s="73">
        <v>12820000</v>
      </c>
      <c r="I90" s="73">
        <v>87773695</v>
      </c>
      <c r="J90" s="73"/>
      <c r="K90" s="128">
        <f t="shared" si="17"/>
        <v>628958772</v>
      </c>
      <c r="L90" s="179"/>
      <c r="O90" s="251">
        <f t="shared" si="16"/>
        <v>3.3455349736487461E-3</v>
      </c>
    </row>
    <row r="91" spans="1:15" hidden="1" outlineLevel="1" x14ac:dyDescent="0.25">
      <c r="A91" s="15">
        <v>2</v>
      </c>
      <c r="B91" s="3">
        <v>5</v>
      </c>
      <c r="C91" s="7" t="s">
        <v>4</v>
      </c>
      <c r="D91" s="133">
        <f>VLOOKUP(C91,'02. ĐỊNH BIÊN'!$C$6:$AJ$47,4,0)</f>
        <v>8</v>
      </c>
      <c r="E91" s="73">
        <v>156797884</v>
      </c>
      <c r="F91" s="73"/>
      <c r="G91" s="73">
        <v>14923786</v>
      </c>
      <c r="H91" s="73"/>
      <c r="I91" s="73">
        <v>35154315</v>
      </c>
      <c r="J91" s="73"/>
      <c r="K91" s="128">
        <f t="shared" si="17"/>
        <v>206875985</v>
      </c>
      <c r="L91" s="179"/>
      <c r="O91" s="251">
        <f t="shared" si="16"/>
        <v>1.1004073300778026E-3</v>
      </c>
    </row>
    <row r="92" spans="1:15" hidden="1" outlineLevel="1" x14ac:dyDescent="0.25">
      <c r="A92" s="15">
        <v>2</v>
      </c>
      <c r="B92" s="3">
        <v>6</v>
      </c>
      <c r="C92" s="7" t="s">
        <v>5</v>
      </c>
      <c r="D92" s="133">
        <f>VLOOKUP(C92,'02. ĐỊNH BIÊN'!$C$6:$AJ$47,4,0)</f>
        <v>4</v>
      </c>
      <c r="E92" s="73">
        <v>87674558</v>
      </c>
      <c r="F92" s="73"/>
      <c r="G92" s="73">
        <v>8189109</v>
      </c>
      <c r="H92" s="73">
        <v>2400000</v>
      </c>
      <c r="I92" s="73">
        <v>20503750</v>
      </c>
      <c r="J92" s="73"/>
      <c r="K92" s="128">
        <f t="shared" si="17"/>
        <v>118767417</v>
      </c>
      <c r="L92" s="179"/>
      <c r="O92" s="251">
        <f t="shared" si="16"/>
        <v>6.3174339081071694E-4</v>
      </c>
    </row>
    <row r="93" spans="1:15" hidden="1" outlineLevel="1" x14ac:dyDescent="0.25">
      <c r="A93" s="15">
        <v>2</v>
      </c>
      <c r="B93" s="3">
        <v>7</v>
      </c>
      <c r="C93" s="7" t="s">
        <v>6</v>
      </c>
      <c r="D93" s="133">
        <f>VLOOKUP(C93,'02. ĐỊNH BIÊN'!$C$6:$AJ$47,4,0)</f>
        <v>44</v>
      </c>
      <c r="E93" s="73">
        <v>514268646</v>
      </c>
      <c r="F93" s="73">
        <v>134337444</v>
      </c>
      <c r="G93" s="73">
        <v>66215238</v>
      </c>
      <c r="H93" s="73">
        <v>50273803</v>
      </c>
      <c r="I93" s="73">
        <v>106643940</v>
      </c>
      <c r="J93" s="73"/>
      <c r="K93" s="128">
        <f t="shared" si="17"/>
        <v>871739071</v>
      </c>
      <c r="L93" s="179"/>
      <c r="O93" s="251">
        <f t="shared" si="16"/>
        <v>4.6369232448300558E-3</v>
      </c>
    </row>
    <row r="94" spans="1:15" hidden="1" outlineLevel="1" x14ac:dyDescent="0.25">
      <c r="A94" s="15">
        <v>2</v>
      </c>
      <c r="B94" s="3">
        <v>8</v>
      </c>
      <c r="C94" s="7" t="s">
        <v>7</v>
      </c>
      <c r="D94" s="133">
        <f>VLOOKUP(C94,'02. ĐỊNH BIÊN'!$C$6:$AJ$47,4,0)</f>
        <v>83</v>
      </c>
      <c r="E94" s="73">
        <v>1030234344</v>
      </c>
      <c r="F94" s="73">
        <v>279940724</v>
      </c>
      <c r="G94" s="73">
        <v>189713746</v>
      </c>
      <c r="H94" s="73">
        <v>82048756</v>
      </c>
      <c r="I94" s="73">
        <v>217149870</v>
      </c>
      <c r="J94" s="73"/>
      <c r="K94" s="128">
        <f t="shared" si="17"/>
        <v>1799087440</v>
      </c>
      <c r="L94" s="179"/>
      <c r="O94" s="251">
        <f t="shared" si="16"/>
        <v>9.5696414759156734E-3</v>
      </c>
    </row>
    <row r="95" spans="1:15" hidden="1" outlineLevel="1" x14ac:dyDescent="0.25">
      <c r="A95" s="15">
        <v>2</v>
      </c>
      <c r="B95" s="3">
        <v>9</v>
      </c>
      <c r="C95" s="7" t="s">
        <v>9</v>
      </c>
      <c r="D95" s="133">
        <f>VLOOKUP(C95,'02. ĐỊNH BIÊN'!$C$6:$AJ$47,4,0)</f>
        <v>42</v>
      </c>
      <c r="E95" s="73">
        <v>697796771</v>
      </c>
      <c r="F95" s="73">
        <v>141925157</v>
      </c>
      <c r="G95" s="73">
        <v>62132823</v>
      </c>
      <c r="H95" s="73">
        <v>46573980</v>
      </c>
      <c r="I95" s="73">
        <v>132056975</v>
      </c>
      <c r="J95" s="73">
        <f>2981191+10900000</f>
        <v>13881191</v>
      </c>
      <c r="K95" s="128">
        <f t="shared" si="17"/>
        <v>1094366897</v>
      </c>
      <c r="L95" s="179"/>
      <c r="O95" s="251">
        <f t="shared" si="16"/>
        <v>5.8211172033974827E-3</v>
      </c>
    </row>
    <row r="96" spans="1:15" hidden="1" outlineLevel="1" x14ac:dyDescent="0.25">
      <c r="A96" s="15">
        <v>2</v>
      </c>
      <c r="B96" s="3">
        <v>10</v>
      </c>
      <c r="C96" s="7" t="s">
        <v>10</v>
      </c>
      <c r="D96" s="133">
        <f>VLOOKUP(C96,'02. ĐỊNH BIÊN'!$C$6:$AJ$47,4,0)</f>
        <v>36</v>
      </c>
      <c r="E96" s="73">
        <v>527553705</v>
      </c>
      <c r="F96" s="73"/>
      <c r="G96" s="73">
        <v>280249130</v>
      </c>
      <c r="H96" s="73">
        <v>11800000</v>
      </c>
      <c r="I96" s="73">
        <v>98662635</v>
      </c>
      <c r="J96" s="73"/>
      <c r="K96" s="128">
        <f t="shared" si="17"/>
        <v>918265470</v>
      </c>
      <c r="L96" s="179"/>
      <c r="O96" s="251">
        <f t="shared" si="16"/>
        <v>4.8844048000319541E-3</v>
      </c>
    </row>
    <row r="97" spans="1:15" hidden="1" outlineLevel="1" x14ac:dyDescent="0.25">
      <c r="A97" s="15">
        <v>2</v>
      </c>
      <c r="B97" s="3">
        <v>11</v>
      </c>
      <c r="C97" s="7" t="s">
        <v>8</v>
      </c>
      <c r="D97" s="133">
        <f>VLOOKUP(C97,'02. ĐỊNH BIÊN'!$C$6:$AJ$47,4,0)</f>
        <v>83</v>
      </c>
      <c r="E97" s="73">
        <v>2002581833</v>
      </c>
      <c r="F97" s="73">
        <v>301395737</v>
      </c>
      <c r="G97" s="73">
        <v>128601782</v>
      </c>
      <c r="H97" s="73">
        <v>240936665</v>
      </c>
      <c r="I97" s="73">
        <v>282778795</v>
      </c>
      <c r="J97" s="73"/>
      <c r="K97" s="128">
        <f t="shared" si="17"/>
        <v>2956294812</v>
      </c>
      <c r="L97" s="180"/>
      <c r="O97" s="251">
        <f t="shared" si="16"/>
        <v>1.5725017483280038E-2</v>
      </c>
    </row>
    <row r="98" spans="1:15" hidden="1" outlineLevel="1" x14ac:dyDescent="0.25">
      <c r="A98" s="15">
        <v>2</v>
      </c>
      <c r="B98" s="3">
        <v>12</v>
      </c>
      <c r="C98" s="7" t="s">
        <v>8</v>
      </c>
      <c r="D98" s="133">
        <v>233</v>
      </c>
      <c r="E98" s="73">
        <v>1097100836</v>
      </c>
      <c r="F98" s="73">
        <v>118641454</v>
      </c>
      <c r="G98" s="73">
        <v>102701901</v>
      </c>
      <c r="H98" s="73">
        <v>74369452</v>
      </c>
      <c r="I98" s="73">
        <v>184031815</v>
      </c>
      <c r="J98" s="73">
        <v>7500000</v>
      </c>
      <c r="K98" s="128">
        <f t="shared" si="17"/>
        <v>1584345458</v>
      </c>
      <c r="L98" s="179"/>
      <c r="O98" s="251">
        <f t="shared" si="16"/>
        <v>8.427393616318845E-3</v>
      </c>
    </row>
    <row r="99" spans="1:15" hidden="1" outlineLevel="1" x14ac:dyDescent="0.25">
      <c r="A99" s="16">
        <v>2</v>
      </c>
      <c r="B99" s="3">
        <v>13</v>
      </c>
      <c r="C99" s="4" t="s">
        <v>221</v>
      </c>
      <c r="D99" s="135">
        <f>VLOOKUP(C99,'02. ĐỊNH BIÊN'!$C$6:$AJ$47,4,0)</f>
        <v>1</v>
      </c>
      <c r="E99" s="125">
        <v>243750000</v>
      </c>
      <c r="F99" s="125"/>
      <c r="G99" s="125">
        <v>17249850</v>
      </c>
      <c r="H99" s="125"/>
      <c r="I99" s="125"/>
      <c r="J99" s="125"/>
      <c r="K99" s="128">
        <f t="shared" si="17"/>
        <v>260999850</v>
      </c>
      <c r="L99" s="179"/>
      <c r="O99" s="251">
        <f t="shared" si="16"/>
        <v>1.3883010543210559E-3</v>
      </c>
    </row>
    <row r="100" spans="1:15" collapsed="1" x14ac:dyDescent="0.25">
      <c r="A100" s="17">
        <v>2</v>
      </c>
      <c r="B100" s="18"/>
      <c r="C100" s="19" t="s">
        <v>17</v>
      </c>
      <c r="D100" s="136">
        <f>SUM(D87:D99)</f>
        <v>593</v>
      </c>
      <c r="E100" s="75">
        <f>SUM(E87:E99)</f>
        <v>8447985717</v>
      </c>
      <c r="F100" s="75">
        <f t="shared" ref="F100:J100" si="18">SUM(F87:F99)</f>
        <v>1023134334</v>
      </c>
      <c r="G100" s="75">
        <f t="shared" si="18"/>
        <v>1066837305</v>
      </c>
      <c r="H100" s="75">
        <f t="shared" si="18"/>
        <v>524172656</v>
      </c>
      <c r="I100" s="75">
        <f t="shared" si="18"/>
        <v>1356752000</v>
      </c>
      <c r="J100" s="75">
        <f t="shared" si="18"/>
        <v>21381191</v>
      </c>
      <c r="K100" s="75">
        <f>SUM(K87:K99)</f>
        <v>12440263203</v>
      </c>
      <c r="L100" s="181">
        <f>K100/K86-1</f>
        <v>-3.5609741779337734E-3</v>
      </c>
      <c r="N100" s="75">
        <v>187999461059</v>
      </c>
      <c r="O100" s="250">
        <f t="shared" si="16"/>
        <v>6.6171802477113822E-2</v>
      </c>
    </row>
    <row r="101" spans="1:15" hidden="1" outlineLevel="1" x14ac:dyDescent="0.25">
      <c r="A101" s="14">
        <v>3</v>
      </c>
      <c r="B101" s="1">
        <v>1</v>
      </c>
      <c r="C101" s="2" t="s">
        <v>0</v>
      </c>
      <c r="D101" s="132">
        <f>VLOOKUP(C101,'02. ĐỊNH BIÊN'!$C$6:$AK$47,5,0)</f>
        <v>14</v>
      </c>
      <c r="E101" s="72">
        <f>SUMIFS('Data&gt;&gt; 2025'!$N:$N,'Data&gt;&gt; 2025'!$L:$L,'01. CP Nhân sự '!$A101,'Data&gt;&gt; 2025'!$B:$B,'01. CP Nhân sự '!$C101,'Data&gt;&gt; 2025'!$C:$C,'01. CP Nhân sự '!E$72)</f>
        <v>1290464719</v>
      </c>
      <c r="F101" s="72">
        <f>SUMIFS('Data&gt;&gt; 2025'!$N:$N,'Data&gt;&gt; 2025'!$L:$L,'01. CP Nhân sự '!$A101,'Data&gt;&gt; 2025'!$B:$B,'01. CP Nhân sự '!$C101,'Data&gt;&gt; 2025'!$C:$C,'01. CP Nhân sự '!F$72)</f>
        <v>0</v>
      </c>
      <c r="G101" s="72">
        <f>SUMIFS('Data&gt;&gt; 2025'!$N:$N,'Data&gt;&gt; 2025'!$L:$L,'01. CP Nhân sự '!$A101,'Data&gt;&gt; 2025'!$B:$B,'01. CP Nhân sự '!$C101,'Data&gt;&gt; 2025'!$C:$C,'01. CP Nhân sự '!G$72)</f>
        <v>86272326</v>
      </c>
      <c r="H101" s="72">
        <f>SUMIFS('Data&gt;&gt; 2025'!$N:$N,'Data&gt;&gt; 2025'!$L:$L,'01. CP Nhân sự '!$A101,'Data&gt;&gt; 2025'!$B:$B,'01. CP Nhân sự '!$C101,'Data&gt;&gt; 2025'!$C:$C,'01. CP Nhân sự '!H$72)</f>
        <v>0</v>
      </c>
      <c r="I101" s="72">
        <f>SUMIFS('Data&gt;&gt; 2025'!$N:$N,'Data&gt;&gt; 2025'!$L:$L,'01. CP Nhân sự '!$A101,'Data&gt;&gt; 2025'!$B:$B,'01. CP Nhân sự '!$C101,'Data&gt;&gt; 2025'!$C:$C,'01. CP Nhân sự '!I$72)</f>
        <v>123680010</v>
      </c>
      <c r="J101" s="72">
        <f>SUMIFS('Data&gt;&gt; 2025'!$N:$N,'Data&gt;&gt; 2025'!$L:$L,'01. CP Nhân sự '!$A101,'Data&gt;&gt; 2025'!$B:$B,'01. CP Nhân sự '!$C101,'Data&gt;&gt; 2025'!$C:$C,'01. CP Nhân sự '!J$72)</f>
        <v>0</v>
      </c>
      <c r="K101" s="128">
        <f>SUM(E101:J101)</f>
        <v>1500417055</v>
      </c>
      <c r="L101" s="182"/>
      <c r="O101" s="251">
        <f>K101/$N$114</f>
        <v>9.9859153087505405E-3</v>
      </c>
    </row>
    <row r="102" spans="1:15" hidden="1" outlineLevel="1" x14ac:dyDescent="0.25">
      <c r="A102" s="15">
        <v>3</v>
      </c>
      <c r="B102" s="3">
        <v>2</v>
      </c>
      <c r="C102" s="7" t="s">
        <v>1</v>
      </c>
      <c r="D102" s="133">
        <f>VLOOKUP(C102,'02. ĐỊNH BIÊN'!$C$6:$AK$47,5,0)</f>
        <v>9</v>
      </c>
      <c r="E102" s="73">
        <f>SUMIFS('Data&gt;&gt; 2025'!$N:$N,'Data&gt;&gt; 2025'!$L:$L,'01. CP Nhân sự '!$A102,'Data&gt;&gt; 2025'!$B:$B,'01. CP Nhân sự '!$C102,'Data&gt;&gt; 2025'!$C:$C,'01. CP Nhân sự '!E$72)</f>
        <v>247831117</v>
      </c>
      <c r="F102" s="73">
        <f>SUMIFS('Data&gt;&gt; 2025'!$N:$N,'Data&gt;&gt; 2025'!$L:$L,'01. CP Nhân sự '!$A102,'Data&gt;&gt; 2025'!$B:$B,'01. CP Nhân sự '!$C102,'Data&gt;&gt; 2025'!$C:$C,'01. CP Nhân sự '!F$72)</f>
        <v>0</v>
      </c>
      <c r="G102" s="73">
        <f>SUMIFS('Data&gt;&gt; 2025'!$N:$N,'Data&gt;&gt; 2025'!$L:$L,'01. CP Nhân sự '!$A102,'Data&gt;&gt; 2025'!$B:$B,'01. CP Nhân sự '!$C102,'Data&gt;&gt; 2025'!$C:$C,'01. CP Nhân sự '!G$72)</f>
        <v>348973474</v>
      </c>
      <c r="H102" s="73">
        <f>SUMIFS('Data&gt;&gt; 2025'!$N:$N,'Data&gt;&gt; 2025'!$L:$L,'01. CP Nhân sự '!$A102,'Data&gt;&gt; 2025'!$B:$B,'01. CP Nhân sự '!$C102,'Data&gt;&gt; 2025'!$C:$C,'01. CP Nhân sự '!H$72)</f>
        <v>10262739</v>
      </c>
      <c r="I102" s="73">
        <f>SUMIFS('Data&gt;&gt; 2025'!$N:$N,'Data&gt;&gt; 2025'!$L:$L,'01. CP Nhân sự '!$A102,'Data&gt;&gt; 2025'!$B:$B,'01. CP Nhân sự '!$C102,'Data&gt;&gt; 2025'!$C:$C,'01. CP Nhân sự '!I$72)</f>
        <v>62369945</v>
      </c>
      <c r="J102" s="73">
        <f>SUMIFS('Data&gt;&gt; 2025'!$N:$N,'Data&gt;&gt; 2025'!$L:$L,'01. CP Nhân sự '!$A102,'Data&gt;&gt; 2025'!$B:$B,'01. CP Nhân sự '!$C102,'Data&gt;&gt; 2025'!$C:$C,'01. CP Nhân sự '!J$72)</f>
        <v>0</v>
      </c>
      <c r="K102" s="128">
        <f>SUM(E102:J102)</f>
        <v>669437275</v>
      </c>
      <c r="L102" s="182"/>
      <c r="O102" s="251">
        <f t="shared" ref="O102:O114" si="19">K102/$N$114</f>
        <v>4.4553905265164728E-3</v>
      </c>
    </row>
    <row r="103" spans="1:15" hidden="1" outlineLevel="1" x14ac:dyDescent="0.25">
      <c r="A103" s="15">
        <v>3</v>
      </c>
      <c r="B103" s="3">
        <v>3</v>
      </c>
      <c r="C103" s="7" t="s">
        <v>2</v>
      </c>
      <c r="D103" s="133">
        <f>VLOOKUP(C103,'02. ĐỊNH BIÊN'!$C$6:$AK$47,5,0)</f>
        <v>9</v>
      </c>
      <c r="E103" s="73">
        <f>SUMIFS('Data&gt;&gt; 2025'!$N:$N,'Data&gt;&gt; 2025'!$L:$L,'01. CP Nhân sự '!$A103,'Data&gt;&gt; 2025'!$B:$B,'01. CP Nhân sự '!$C103,'Data&gt;&gt; 2025'!$C:$C,'01. CP Nhân sự '!E$72)</f>
        <v>116437913</v>
      </c>
      <c r="F103" s="73">
        <f>SUMIFS('Data&gt;&gt; 2025'!$N:$N,'Data&gt;&gt; 2025'!$L:$L,'01. CP Nhân sự '!$A103,'Data&gt;&gt; 2025'!$B:$B,'01. CP Nhân sự '!$C103,'Data&gt;&gt; 2025'!$C:$C,'01. CP Nhân sự '!F$72)</f>
        <v>0</v>
      </c>
      <c r="G103" s="73">
        <f>SUMIFS('Data&gt;&gt; 2025'!$N:$N,'Data&gt;&gt; 2025'!$L:$L,'01. CP Nhân sự '!$A103,'Data&gt;&gt; 2025'!$B:$B,'01. CP Nhân sự '!$C103,'Data&gt;&gt; 2025'!$C:$C,'01. CP Nhân sự '!G$72)</f>
        <v>9838778</v>
      </c>
      <c r="H103" s="73">
        <f>SUMIFS('Data&gt;&gt; 2025'!$N:$N,'Data&gt;&gt; 2025'!$L:$L,'01. CP Nhân sự '!$A103,'Data&gt;&gt; 2025'!$B:$B,'01. CP Nhân sự '!$C103,'Data&gt;&gt; 2025'!$C:$C,'01. CP Nhân sự '!H$72)</f>
        <v>4550000</v>
      </c>
      <c r="I103" s="73">
        <f>SUMIFS('Data&gt;&gt; 2025'!$N:$N,'Data&gt;&gt; 2025'!$L:$L,'01. CP Nhân sự '!$A103,'Data&gt;&gt; 2025'!$B:$B,'01. CP Nhân sự '!$C103,'Data&gt;&gt; 2025'!$C:$C,'01. CP Nhân sự '!I$72)</f>
        <v>22638255</v>
      </c>
      <c r="J103" s="73">
        <f>SUMIFS('Data&gt;&gt; 2025'!$N:$N,'Data&gt;&gt; 2025'!$L:$L,'01. CP Nhân sự '!$A103,'Data&gt;&gt; 2025'!$B:$B,'01. CP Nhân sự '!$C103,'Data&gt;&gt; 2025'!$C:$C,'01. CP Nhân sự '!J$72)</f>
        <v>0</v>
      </c>
      <c r="K103" s="128">
        <f t="shared" ref="K103:K113" si="20">SUM(E103:J103)</f>
        <v>153464946</v>
      </c>
      <c r="L103" s="182"/>
      <c r="O103" s="251">
        <f t="shared" si="19"/>
        <v>1.0213746561405057E-3</v>
      </c>
    </row>
    <row r="104" spans="1:15" hidden="1" outlineLevel="1" x14ac:dyDescent="0.25">
      <c r="A104" s="15">
        <v>3</v>
      </c>
      <c r="B104" s="3">
        <v>4</v>
      </c>
      <c r="C104" s="7" t="s">
        <v>3</v>
      </c>
      <c r="D104" s="133">
        <f>VLOOKUP(C104,'02. ĐỊNH BIÊN'!$C$6:$AK$47,5,0)</f>
        <v>28</v>
      </c>
      <c r="E104" s="73">
        <f>SUMIFS('Data&gt;&gt; 2025'!$N:$N,'Data&gt;&gt; 2025'!$L:$L,'01. CP Nhân sự '!$A104,'Data&gt;&gt; 2025'!$B:$B,'01. CP Nhân sự '!$C104,'Data&gt;&gt; 2025'!$C:$C,'01. CP Nhân sự '!E$72)</f>
        <v>420976789</v>
      </c>
      <c r="F104" s="73">
        <f>SUMIFS('Data&gt;&gt; 2025'!$N:$N,'Data&gt;&gt; 2025'!$L:$L,'01. CP Nhân sự '!$A104,'Data&gt;&gt; 2025'!$B:$B,'01. CP Nhân sự '!$C104,'Data&gt;&gt; 2025'!$C:$C,'01. CP Nhân sự '!F$72)</f>
        <v>43454986</v>
      </c>
      <c r="G104" s="73">
        <f>SUMIFS('Data&gt;&gt; 2025'!$N:$N,'Data&gt;&gt; 2025'!$L:$L,'01. CP Nhân sự '!$A104,'Data&gt;&gt; 2025'!$B:$B,'01. CP Nhân sự '!$C104,'Data&gt;&gt; 2025'!$C:$C,'01. CP Nhân sự '!G$72)</f>
        <v>30991234</v>
      </c>
      <c r="H104" s="73">
        <f>SUMIFS('Data&gt;&gt; 2025'!$N:$N,'Data&gt;&gt; 2025'!$L:$L,'01. CP Nhân sự '!$A104,'Data&gt;&gt; 2025'!$B:$B,'01. CP Nhân sự '!$C104,'Data&gt;&gt; 2025'!$C:$C,'01. CP Nhân sự '!H$72)</f>
        <v>13730000</v>
      </c>
      <c r="I104" s="73">
        <f>SUMIFS('Data&gt;&gt; 2025'!$N:$N,'Data&gt;&gt; 2025'!$L:$L,'01. CP Nhân sự '!$A104,'Data&gt;&gt; 2025'!$B:$B,'01. CP Nhân sự '!$C104,'Data&gt;&gt; 2025'!$C:$C,'01. CP Nhân sự '!I$72)</f>
        <v>85188695</v>
      </c>
      <c r="J104" s="73">
        <f>SUMIFS('Data&gt;&gt; 2025'!$N:$N,'Data&gt;&gt; 2025'!$L:$L,'01. CP Nhân sự '!$A104,'Data&gt;&gt; 2025'!$B:$B,'01. CP Nhân sự '!$C104,'Data&gt;&gt; 2025'!$C:$C,'01. CP Nhân sự '!J$72)</f>
        <v>0</v>
      </c>
      <c r="K104" s="128">
        <f t="shared" si="20"/>
        <v>594341704</v>
      </c>
      <c r="L104" s="182"/>
      <c r="O104" s="251">
        <f t="shared" si="19"/>
        <v>3.9555974792638456E-3</v>
      </c>
    </row>
    <row r="105" spans="1:15" hidden="1" outlineLevel="1" x14ac:dyDescent="0.25">
      <c r="A105" s="15">
        <v>3</v>
      </c>
      <c r="B105" s="3">
        <v>5</v>
      </c>
      <c r="C105" s="7" t="s">
        <v>4</v>
      </c>
      <c r="D105" s="133">
        <f>VLOOKUP(C105,'02. ĐỊNH BIÊN'!$C$6:$AK$47,5,0)</f>
        <v>7</v>
      </c>
      <c r="E105" s="73">
        <f>SUMIFS('Data&gt;&gt; 2025'!$N:$N,'Data&gt;&gt; 2025'!$L:$L,'01. CP Nhân sự '!$A105,'Data&gt;&gt; 2025'!$B:$B,'01. CP Nhân sự '!$C105,'Data&gt;&gt; 2025'!$C:$C,'01. CP Nhân sự '!E$72)</f>
        <v>161901104</v>
      </c>
      <c r="F105" s="73">
        <f>SUMIFS('Data&gt;&gt; 2025'!$N:$N,'Data&gt;&gt; 2025'!$L:$L,'01. CP Nhân sự '!$A105,'Data&gt;&gt; 2025'!$B:$B,'01. CP Nhân sự '!$C105,'Data&gt;&gt; 2025'!$C:$C,'01. CP Nhân sự '!F$72)</f>
        <v>0</v>
      </c>
      <c r="G105" s="73">
        <f>SUMIFS('Data&gt;&gt; 2025'!$N:$N,'Data&gt;&gt; 2025'!$L:$L,'01. CP Nhân sự '!$A105,'Data&gt;&gt; 2025'!$B:$B,'01. CP Nhân sự '!$C105,'Data&gt;&gt; 2025'!$C:$C,'01. CP Nhân sự '!G$72)</f>
        <v>12805445</v>
      </c>
      <c r="H105" s="73">
        <f>SUMIFS('Data&gt;&gt; 2025'!$N:$N,'Data&gt;&gt; 2025'!$L:$L,'01. CP Nhân sự '!$A105,'Data&gt;&gt; 2025'!$B:$B,'01. CP Nhân sự '!$C105,'Data&gt;&gt; 2025'!$C:$C,'01. CP Nhân sự '!H$72)</f>
        <v>0</v>
      </c>
      <c r="I105" s="73">
        <f>SUMIFS('Data&gt;&gt; 2025'!$N:$N,'Data&gt;&gt; 2025'!$L:$L,'01. CP Nhân sự '!$A105,'Data&gt;&gt; 2025'!$B:$B,'01. CP Nhân sự '!$C105,'Data&gt;&gt; 2025'!$C:$C,'01. CP Nhân sự '!I$72)</f>
        <v>35154315</v>
      </c>
      <c r="J105" s="73">
        <f>SUMIFS('Data&gt;&gt; 2025'!$N:$N,'Data&gt;&gt; 2025'!$L:$L,'01. CP Nhân sự '!$A105,'Data&gt;&gt; 2025'!$B:$B,'01. CP Nhân sự '!$C105,'Data&gt;&gt; 2025'!$C:$C,'01. CP Nhân sự '!J$72)</f>
        <v>0</v>
      </c>
      <c r="K105" s="128">
        <f t="shared" si="20"/>
        <v>209860864</v>
      </c>
      <c r="L105" s="182"/>
      <c r="O105" s="251">
        <f t="shared" si="19"/>
        <v>1.3967135387735348E-3</v>
      </c>
    </row>
    <row r="106" spans="1:15" hidden="1" outlineLevel="1" x14ac:dyDescent="0.25">
      <c r="A106" s="15">
        <v>3</v>
      </c>
      <c r="B106" s="3">
        <v>6</v>
      </c>
      <c r="C106" s="7" t="s">
        <v>5</v>
      </c>
      <c r="D106" s="133">
        <f>VLOOKUP(C106,'02. ĐỊNH BIÊN'!$C$6:$AK$47,5,0)</f>
        <v>5</v>
      </c>
      <c r="E106" s="73">
        <f>SUMIFS('Data&gt;&gt; 2025'!$N:$N,'Data&gt;&gt; 2025'!$L:$L,'01. CP Nhân sự '!$A106,'Data&gt;&gt; 2025'!$B:$B,'01. CP Nhân sự '!$C106,'Data&gt;&gt; 2025'!$C:$C,'01. CP Nhân sự '!E$72)</f>
        <v>84618789</v>
      </c>
      <c r="F106" s="73">
        <f>SUMIFS('Data&gt;&gt; 2025'!$N:$N,'Data&gt;&gt; 2025'!$L:$L,'01. CP Nhân sự '!$A106,'Data&gt;&gt; 2025'!$B:$B,'01. CP Nhân sự '!$C106,'Data&gt;&gt; 2025'!$C:$C,'01. CP Nhân sự '!F$72)</f>
        <v>0</v>
      </c>
      <c r="G106" s="73">
        <f>SUMIFS('Data&gt;&gt; 2025'!$N:$N,'Data&gt;&gt; 2025'!$L:$L,'01. CP Nhân sự '!$A106,'Data&gt;&gt; 2025'!$B:$B,'01. CP Nhân sự '!$C106,'Data&gt;&gt; 2025'!$C:$C,'01. CP Nhân sự '!G$72)</f>
        <v>6689109</v>
      </c>
      <c r="H106" s="73">
        <f>SUMIFS('Data&gt;&gt; 2025'!$N:$N,'Data&gt;&gt; 2025'!$L:$L,'01. CP Nhân sự '!$A106,'Data&gt;&gt; 2025'!$B:$B,'01. CP Nhân sự '!$C106,'Data&gt;&gt; 2025'!$C:$C,'01. CP Nhân sự '!H$72)</f>
        <v>1750000</v>
      </c>
      <c r="I106" s="73">
        <f>SUMIFS('Data&gt;&gt; 2025'!$N:$N,'Data&gt;&gt; 2025'!$L:$L,'01. CP Nhân sự '!$A106,'Data&gt;&gt; 2025'!$B:$B,'01. CP Nhân sự '!$C106,'Data&gt;&gt; 2025'!$C:$C,'01. CP Nhân sự '!I$72)</f>
        <v>20503750</v>
      </c>
      <c r="J106" s="73">
        <f>SUMIFS('Data&gt;&gt; 2025'!$N:$N,'Data&gt;&gt; 2025'!$L:$L,'01. CP Nhân sự '!$A106,'Data&gt;&gt; 2025'!$B:$B,'01. CP Nhân sự '!$C106,'Data&gt;&gt; 2025'!$C:$C,'01. CP Nhân sự '!J$72)</f>
        <v>0</v>
      </c>
      <c r="K106" s="128">
        <f t="shared" si="20"/>
        <v>113561648</v>
      </c>
      <c r="L106" s="182"/>
      <c r="O106" s="251">
        <f t="shared" si="19"/>
        <v>7.5580119238923232E-4</v>
      </c>
    </row>
    <row r="107" spans="1:15" hidden="1" outlineLevel="1" x14ac:dyDescent="0.25">
      <c r="A107" s="15">
        <v>3</v>
      </c>
      <c r="B107" s="3">
        <v>7</v>
      </c>
      <c r="C107" s="7" t="s">
        <v>6</v>
      </c>
      <c r="D107" s="133">
        <f>VLOOKUP(C107,'02. ĐỊNH BIÊN'!$C$6:$AK$47,5,0)</f>
        <v>43</v>
      </c>
      <c r="E107" s="73">
        <f>SUMIFS('Data&gt;&gt; 2025'!$N:$N,'Data&gt;&gt; 2025'!$L:$L,'01. CP Nhân sự '!$A107,'Data&gt;&gt; 2025'!$B:$B,'01. CP Nhân sự '!$C107,'Data&gt;&gt; 2025'!$C:$C,'01. CP Nhân sự '!E$72)</f>
        <v>538848633</v>
      </c>
      <c r="F107" s="73">
        <f>SUMIFS('Data&gt;&gt; 2025'!$N:$N,'Data&gt;&gt; 2025'!$L:$L,'01. CP Nhân sự '!$A107,'Data&gt;&gt; 2025'!$B:$B,'01. CP Nhân sự '!$C107,'Data&gt;&gt; 2025'!$C:$C,'01. CP Nhân sự '!F$72)</f>
        <v>176485897</v>
      </c>
      <c r="G107" s="73">
        <f>SUMIFS('Data&gt;&gt; 2025'!$N:$N,'Data&gt;&gt; 2025'!$L:$L,'01. CP Nhân sự '!$A107,'Data&gt;&gt; 2025'!$B:$B,'01. CP Nhân sự '!$C107,'Data&gt;&gt; 2025'!$C:$C,'01. CP Nhân sự '!G$72)</f>
        <v>38457122</v>
      </c>
      <c r="H107" s="73">
        <f>SUMIFS('Data&gt;&gt; 2025'!$N:$N,'Data&gt;&gt; 2025'!$L:$L,'01. CP Nhân sự '!$A107,'Data&gt;&gt; 2025'!$B:$B,'01. CP Nhân sự '!$C107,'Data&gt;&gt; 2025'!$C:$C,'01. CP Nhân sự '!H$72)</f>
        <v>63690810</v>
      </c>
      <c r="I107" s="73">
        <f>SUMIFS('Data&gt;&gt; 2025'!$N:$N,'Data&gt;&gt; 2025'!$L:$L,'01. CP Nhân sự '!$A107,'Data&gt;&gt; 2025'!$B:$B,'01. CP Nhân sự '!$C107,'Data&gt;&gt; 2025'!$C:$C,'01. CP Nhân sự '!I$72)</f>
        <v>105552365</v>
      </c>
      <c r="J107" s="73">
        <f>SUMIFS('Data&gt;&gt; 2025'!$N:$N,'Data&gt;&gt; 2025'!$L:$L,'01. CP Nhân sự '!$A107,'Data&gt;&gt; 2025'!$B:$B,'01. CP Nhân sự '!$C107,'Data&gt;&gt; 2025'!$C:$C,'01. CP Nhân sự '!J$72)</f>
        <v>0</v>
      </c>
      <c r="K107" s="128">
        <f t="shared" si="20"/>
        <v>923034827</v>
      </c>
      <c r="L107" s="182"/>
      <c r="O107" s="251">
        <f t="shared" si="19"/>
        <v>6.1431903741251508E-3</v>
      </c>
    </row>
    <row r="108" spans="1:15" hidden="1" outlineLevel="1" x14ac:dyDescent="0.25">
      <c r="A108" s="15">
        <v>3</v>
      </c>
      <c r="B108" s="3">
        <v>8</v>
      </c>
      <c r="C108" s="7" t="s">
        <v>7</v>
      </c>
      <c r="D108" s="133">
        <f>VLOOKUP(C108,'02. ĐỊNH BIÊN'!$C$6:$AK$47,5,0)</f>
        <v>79</v>
      </c>
      <c r="E108" s="73">
        <f>SUMIFS('Data&gt;&gt; 2025'!$N:$N,'Data&gt;&gt; 2025'!$L:$L,'01. CP Nhân sự '!$A108,'Data&gt;&gt; 2025'!$B:$B,'01. CP Nhân sự '!$C108,'Data&gt;&gt; 2025'!$C:$C,'01. CP Nhân sự '!E$72)</f>
        <v>985747351</v>
      </c>
      <c r="F108" s="73">
        <f>SUMIFS('Data&gt;&gt; 2025'!$N:$N,'Data&gt;&gt; 2025'!$L:$L,'01. CP Nhân sự '!$A108,'Data&gt;&gt; 2025'!$B:$B,'01. CP Nhân sự '!$C108,'Data&gt;&gt; 2025'!$C:$C,'01. CP Nhân sự '!F$72)</f>
        <v>291038225</v>
      </c>
      <c r="G108" s="73">
        <f>SUMIFS('Data&gt;&gt; 2025'!$N:$N,'Data&gt;&gt; 2025'!$L:$L,'01. CP Nhân sự '!$A108,'Data&gt;&gt; 2025'!$B:$B,'01. CP Nhân sự '!$C108,'Data&gt;&gt; 2025'!$C:$C,'01. CP Nhân sự '!G$72)</f>
        <v>73263716</v>
      </c>
      <c r="H108" s="73">
        <f>SUMIFS('Data&gt;&gt; 2025'!$N:$N,'Data&gt;&gt; 2025'!$L:$L,'01. CP Nhân sự '!$A108,'Data&gt;&gt; 2025'!$B:$B,'01. CP Nhân sự '!$C108,'Data&gt;&gt; 2025'!$C:$C,'01. CP Nhân sự '!H$72)</f>
        <v>92181120</v>
      </c>
      <c r="I108" s="73">
        <f>SUMIFS('Data&gt;&gt; 2025'!$N:$N,'Data&gt;&gt; 2025'!$L:$L,'01. CP Nhân sự '!$A108,'Data&gt;&gt; 2025'!$B:$B,'01. CP Nhân sự '!$C108,'Data&gt;&gt; 2025'!$C:$C,'01. CP Nhân sự '!I$72)</f>
        <v>213996170</v>
      </c>
      <c r="J108" s="73">
        <f>SUMIFS('Data&gt;&gt; 2025'!$N:$N,'Data&gt;&gt; 2025'!$L:$L,'01. CP Nhân sự '!$A108,'Data&gt;&gt; 2025'!$B:$B,'01. CP Nhân sự '!$C108,'Data&gt;&gt; 2025'!$C:$C,'01. CP Nhân sự '!J$72)</f>
        <v>0</v>
      </c>
      <c r="K108" s="128">
        <f t="shared" si="20"/>
        <v>1656226582</v>
      </c>
      <c r="L108" s="182"/>
      <c r="O108" s="251">
        <f t="shared" si="19"/>
        <v>1.1022894151222097E-2</v>
      </c>
    </row>
    <row r="109" spans="1:15" hidden="1" outlineLevel="1" x14ac:dyDescent="0.25">
      <c r="A109" s="15">
        <v>3</v>
      </c>
      <c r="B109" s="3">
        <v>9</v>
      </c>
      <c r="C109" s="7" t="s">
        <v>9</v>
      </c>
      <c r="D109" s="133">
        <f>VLOOKUP(C109,'02. ĐỊNH BIÊN'!$C$6:$AK$47,5,0)</f>
        <v>41</v>
      </c>
      <c r="E109" s="73">
        <f>SUMIFS('Data&gt;&gt; 2025'!$N:$N,'Data&gt;&gt; 2025'!$L:$L,'01. CP Nhân sự '!$A109,'Data&gt;&gt; 2025'!$B:$B,'01. CP Nhân sự '!$C109,'Data&gt;&gt; 2025'!$C:$C,'01. CP Nhân sự '!E$72)</f>
        <v>716066208</v>
      </c>
      <c r="F109" s="73">
        <f>SUMIFS('Data&gt;&gt; 2025'!$N:$N,'Data&gt;&gt; 2025'!$L:$L,'01. CP Nhân sự '!$A109,'Data&gt;&gt; 2025'!$B:$B,'01. CP Nhân sự '!$C109,'Data&gt;&gt; 2025'!$C:$C,'01. CP Nhân sự '!F$72)</f>
        <v>85045966</v>
      </c>
      <c r="G109" s="73">
        <f>SUMIFS('Data&gt;&gt; 2025'!$N:$N,'Data&gt;&gt; 2025'!$L:$L,'01. CP Nhân sự '!$A109,'Data&gt;&gt; 2025'!$B:$B,'01. CP Nhân sự '!$C109,'Data&gt;&gt; 2025'!$C:$C,'01. CP Nhân sự '!G$72)</f>
        <v>43613230</v>
      </c>
      <c r="H109" s="73">
        <f>SUMIFS('Data&gt;&gt; 2025'!$N:$N,'Data&gt;&gt; 2025'!$L:$L,'01. CP Nhân sự '!$A109,'Data&gt;&gt; 2025'!$B:$B,'01. CP Nhân sự '!$C109,'Data&gt;&gt; 2025'!$C:$C,'01. CP Nhân sự '!H$72)</f>
        <v>48658512</v>
      </c>
      <c r="I109" s="73">
        <f>SUMIFS('Data&gt;&gt; 2025'!$N:$N,'Data&gt;&gt; 2025'!$L:$L,'01. CP Nhân sự '!$A109,'Data&gt;&gt; 2025'!$B:$B,'01. CP Nhân sự '!$C109,'Data&gt;&gt; 2025'!$C:$C,'01. CP Nhân sự '!I$72)</f>
        <v>139741165</v>
      </c>
      <c r="J109" s="73">
        <f>SUMIFS('Data&gt;&gt; 2025'!$N:$N,'Data&gt;&gt; 2025'!$L:$L,'01. CP Nhân sự '!$A109,'Data&gt;&gt; 2025'!$B:$B,'01. CP Nhân sự '!$C109,'Data&gt;&gt; 2025'!$C:$C,'01. CP Nhân sự '!J$72)</f>
        <v>14276937</v>
      </c>
      <c r="K109" s="128">
        <f t="shared" si="20"/>
        <v>1047402018</v>
      </c>
      <c r="L109" s="182"/>
      <c r="O109" s="251">
        <f t="shared" si="19"/>
        <v>6.9709070628782011E-3</v>
      </c>
    </row>
    <row r="110" spans="1:15" hidden="1" outlineLevel="1" x14ac:dyDescent="0.25">
      <c r="A110" s="15">
        <v>3</v>
      </c>
      <c r="B110" s="3">
        <v>10</v>
      </c>
      <c r="C110" s="7" t="s">
        <v>10</v>
      </c>
      <c r="D110" s="133">
        <f>VLOOKUP(C110,'02. ĐỊNH BIÊN'!$C$6:$AK$47,5,0)</f>
        <v>42</v>
      </c>
      <c r="E110" s="73">
        <f>SUMIFS('Data&gt;&gt; 2025'!$N:$N,'Data&gt;&gt; 2025'!$L:$L,'01. CP Nhân sự '!$A110,'Data&gt;&gt; 2025'!$B:$B,'01. CP Nhân sự '!$C110,'Data&gt;&gt; 2025'!$C:$C,'01. CP Nhân sự '!E$72)</f>
        <v>510664003</v>
      </c>
      <c r="F110" s="73">
        <f>SUMIFS('Data&gt;&gt; 2025'!$N:$N,'Data&gt;&gt; 2025'!$L:$L,'01. CP Nhân sự '!$A110,'Data&gt;&gt; 2025'!$B:$B,'01. CP Nhân sự '!$C110,'Data&gt;&gt; 2025'!$C:$C,'01. CP Nhân sự '!F$72)</f>
        <v>0</v>
      </c>
      <c r="G110" s="73">
        <f>SUMIFS('Data&gt;&gt; 2025'!$N:$N,'Data&gt;&gt; 2025'!$L:$L,'01. CP Nhân sự '!$A110,'Data&gt;&gt; 2025'!$B:$B,'01. CP Nhân sự '!$C110,'Data&gt;&gt; 2025'!$C:$C,'01. CP Nhân sự '!G$72)</f>
        <v>214602372</v>
      </c>
      <c r="H110" s="73">
        <f>SUMIFS('Data&gt;&gt; 2025'!$N:$N,'Data&gt;&gt; 2025'!$L:$L,'01. CP Nhân sự '!$A110,'Data&gt;&gt; 2025'!$B:$B,'01. CP Nhân sự '!$C110,'Data&gt;&gt; 2025'!$C:$C,'01. CP Nhân sự '!H$72)</f>
        <v>16390000</v>
      </c>
      <c r="I110" s="73">
        <f>SUMIFS('Data&gt;&gt; 2025'!$N:$N,'Data&gt;&gt; 2025'!$L:$L,'01. CP Nhân sự '!$A110,'Data&gt;&gt; 2025'!$B:$B,'01. CP Nhân sự '!$C110,'Data&gt;&gt; 2025'!$C:$C,'01. CP Nhân sự '!I$72)</f>
        <v>102246385</v>
      </c>
      <c r="J110" s="73">
        <f>SUMIFS('Data&gt;&gt; 2025'!$N:$N,'Data&gt;&gt; 2025'!$L:$L,'01. CP Nhân sự '!$A110,'Data&gt;&gt; 2025'!$B:$B,'01. CP Nhân sự '!$C110,'Data&gt;&gt; 2025'!$C:$C,'01. CP Nhân sự '!J$72)</f>
        <v>0</v>
      </c>
      <c r="K110" s="128">
        <f t="shared" si="20"/>
        <v>843902760</v>
      </c>
      <c r="L110" s="182"/>
      <c r="O110" s="251">
        <f t="shared" si="19"/>
        <v>5.6165327247502091E-3</v>
      </c>
    </row>
    <row r="111" spans="1:15" hidden="1" outlineLevel="1" x14ac:dyDescent="0.25">
      <c r="A111" s="15">
        <v>3</v>
      </c>
      <c r="B111" s="3">
        <v>11</v>
      </c>
      <c r="C111" s="7" t="s">
        <v>8</v>
      </c>
      <c r="D111" s="133">
        <f>VLOOKUP(C111,'02. ĐỊNH BIÊN'!$C$6:$AK$47,5,0)</f>
        <v>79</v>
      </c>
      <c r="E111" s="73">
        <f>SUMIFS('Data&gt;&gt; 2025'!$N:$N,'Data&gt;&gt; 2025'!$L:$L,'01. CP Nhân sự '!$A111,'Data&gt;&gt; 2025'!$B:$B,'01. CP Nhân sự '!$C111,'Data&gt;&gt; 2025'!$C:$C,'01. CP Nhân sự '!E$72,'Data&gt;&gt; 2025'!$A:$A,627)</f>
        <v>1095606795</v>
      </c>
      <c r="F111" s="73">
        <f>SUMIFS('Data&gt;&gt; 2025'!$N:$N,'Data&gt;&gt; 2025'!$L:$L,'01. CP Nhân sự '!$A111,'Data&gt;&gt; 2025'!$B:$B,'01. CP Nhân sự '!$C111,'Data&gt;&gt; 2025'!$C:$C,'01. CP Nhân sự '!F$72,'Data&gt;&gt; 2025'!$A:$A,627)</f>
        <v>136207241</v>
      </c>
      <c r="G111" s="73">
        <f>SUMIFS('Data&gt;&gt; 2025'!$N:$N,'Data&gt;&gt; 2025'!$L:$L,'01. CP Nhân sự '!$A111,'Data&gt;&gt; 2025'!$B:$B,'01. CP Nhân sự '!$C111,'Data&gt;&gt; 2025'!$C:$C,'01. CP Nhân sự '!G$72,'Data&gt;&gt; 2025'!$A:$A,627)</f>
        <v>61591156</v>
      </c>
      <c r="H111" s="73">
        <f>SUMIFS('Data&gt;&gt; 2025'!$N:$N,'Data&gt;&gt; 2025'!$L:$L,'01. CP Nhân sự '!$A111,'Data&gt;&gt; 2025'!$B:$B,'01. CP Nhân sự '!$C111,'Data&gt;&gt; 2025'!$C:$C,'01. CP Nhân sự '!H$72,'Data&gt;&gt; 2025'!$A:$A,627)</f>
        <v>104061083</v>
      </c>
      <c r="I111" s="73">
        <f>SUMIFS('Data&gt;&gt; 2025'!$N:$N,'Data&gt;&gt; 2025'!$L:$L,'01. CP Nhân sự '!$A111,'Data&gt;&gt; 2025'!$B:$B,'01. CP Nhân sự '!$C111,'Data&gt;&gt; 2025'!$C:$C,'01. CP Nhân sự '!I$72,'Data&gt;&gt; 2025'!$A:$A,627)</f>
        <v>164185645</v>
      </c>
      <c r="J111" s="73">
        <f>SUMIFS('Data&gt;&gt; 2025'!$N:$N,'Data&gt;&gt; 2025'!$L:$L,'01. CP Nhân sự '!$A111,'Data&gt;&gt; 2025'!$B:$B,'01. CP Nhân sự '!$C111,'Data&gt;&gt; 2025'!$C:$C,'01. CP Nhân sự '!J$72,'Data&gt;&gt; 2025'!$A:$A,627)</f>
        <v>7800000</v>
      </c>
      <c r="K111" s="128">
        <f t="shared" si="20"/>
        <v>1569451920</v>
      </c>
      <c r="L111" s="182"/>
      <c r="O111" s="251">
        <f t="shared" si="19"/>
        <v>1.0445371773167381E-2</v>
      </c>
    </row>
    <row r="112" spans="1:15" hidden="1" outlineLevel="1" x14ac:dyDescent="0.25">
      <c r="A112" s="15">
        <v>3</v>
      </c>
      <c r="B112" s="3">
        <v>12</v>
      </c>
      <c r="C112" s="7" t="s">
        <v>8</v>
      </c>
      <c r="D112" s="133">
        <v>237</v>
      </c>
      <c r="E112" s="73">
        <f>SUMIFS('Data&gt;&gt; 2025'!$N:$N,'Data&gt;&gt; 2025'!$L:$L,'01. CP Nhân sự '!$A112,'Data&gt;&gt; 2025'!$B:$B,'01. CP Nhân sự '!$C112,'Data&gt;&gt; 2025'!$C:$C,'01. CP Nhân sự '!E$72,'Data&gt;&gt; 2025'!$A:$A,622)</f>
        <v>1985974828</v>
      </c>
      <c r="F112" s="73">
        <f>SUMIFS('Data&gt;&gt; 2025'!$N:$N,'Data&gt;&gt; 2025'!$L:$L,'01. CP Nhân sự '!$A112,'Data&gt;&gt; 2025'!$B:$B,'01. CP Nhân sự '!$C112,'Data&gt;&gt; 2025'!$C:$C,'01. CP Nhân sự '!F$72,'Data&gt;&gt; 2025'!$A:$A,622)</f>
        <v>353064382</v>
      </c>
      <c r="G112" s="73">
        <f>SUMIFS('Data&gt;&gt; 2025'!$N:$N,'Data&gt;&gt; 2025'!$L:$L,'01. CP Nhân sự '!$A112,'Data&gt;&gt; 2025'!$B:$B,'01. CP Nhân sự '!$C112,'Data&gt;&gt; 2025'!$C:$C,'01. CP Nhân sự '!G$72,'Data&gt;&gt; 2025'!$A:$A,622)</f>
        <v>29468425</v>
      </c>
      <c r="H112" s="73">
        <f>SUMIFS('Data&gt;&gt; 2025'!$N:$N,'Data&gt;&gt; 2025'!$L:$L,'01. CP Nhân sự '!$A112,'Data&gt;&gt; 2025'!$B:$B,'01. CP Nhân sự '!$C112,'Data&gt;&gt; 2025'!$C:$C,'01. CP Nhân sự '!H$72,'Data&gt;&gt; 2025'!$A:$A,622)</f>
        <v>273008624</v>
      </c>
      <c r="I112" s="73">
        <f>SUMIFS('Data&gt;&gt; 2025'!$N:$N,'Data&gt;&gt; 2025'!$L:$L,'01. CP Nhân sự '!$A112,'Data&gt;&gt; 2025'!$B:$B,'01. CP Nhân sự '!$C112,'Data&gt;&gt; 2025'!$C:$C,'01. CP Nhân sự '!I$72,'Data&gt;&gt; 2025'!$A:$A,622)</f>
        <v>287845515</v>
      </c>
      <c r="J112" s="73">
        <f>SUMIFS('Data&gt;&gt; 2025'!$N:$N,'Data&gt;&gt; 2025'!$L:$L,'01. CP Nhân sự '!$A112,'Data&gt;&gt; 2025'!$B:$B,'01. CP Nhân sự '!$C112,'Data&gt;&gt; 2025'!$C:$C,'01. CP Nhân sự '!J$72,'Data&gt;&gt; 2025'!$A:$A,622)</f>
        <v>0</v>
      </c>
      <c r="K112" s="128">
        <f t="shared" si="20"/>
        <v>2929361774</v>
      </c>
      <c r="L112" s="182"/>
      <c r="O112" s="251">
        <f t="shared" si="19"/>
        <v>1.9496151744193047E-2</v>
      </c>
    </row>
    <row r="113" spans="1:15" hidden="1" outlineLevel="1" x14ac:dyDescent="0.25">
      <c r="A113" s="16">
        <v>3</v>
      </c>
      <c r="B113" s="3">
        <v>13</v>
      </c>
      <c r="C113" s="4" t="s">
        <v>221</v>
      </c>
      <c r="D113" s="135">
        <f>VLOOKUP(C113,'02. ĐỊNH BIÊN'!$C$6:$AK$47,5,0)</f>
        <v>1</v>
      </c>
      <c r="E113" s="125">
        <f>SUMIFS('Data&gt;&gt; 2025'!$N:$N,'Data&gt;&gt; 2025'!$L:$L,'01. CP Nhân sự '!$A113,'Data&gt;&gt; 2025'!$B:$B,'01. CP Nhân sự '!$C113,'Data&gt;&gt; 2025'!$C:$C,'01. CP Nhân sự '!E$72)</f>
        <v>243750000</v>
      </c>
      <c r="F113" s="125">
        <f>SUMIFS('Data&gt;&gt; 2025'!$N:$N,'Data&gt;&gt; 2025'!$L:$L,'01. CP Nhân sự '!$A113,'Data&gt;&gt; 2025'!$B:$B,'01. CP Nhân sự '!$C113,'Data&gt;&gt; 2025'!$C:$C,'01. CP Nhân sự '!F$72)</f>
        <v>0</v>
      </c>
      <c r="G113" s="125">
        <f>SUMIFS('Data&gt;&gt; 2025'!$N:$N,'Data&gt;&gt; 2025'!$L:$L,'01. CP Nhân sự '!$A113,'Data&gt;&gt; 2025'!$B:$B,'01. CP Nhân sự '!$C113,'Data&gt;&gt; 2025'!$C:$C,'01. CP Nhân sự '!G$72)</f>
        <v>17249850</v>
      </c>
      <c r="H113" s="125">
        <f>SUMIFS('Data&gt;&gt; 2025'!$N:$N,'Data&gt;&gt; 2025'!$L:$L,'01. CP Nhân sự '!$A113,'Data&gt;&gt; 2025'!$B:$B,'01. CP Nhân sự '!$C113,'Data&gt;&gt; 2025'!$C:$C,'01. CP Nhân sự '!H$72)</f>
        <v>0</v>
      </c>
      <c r="I113" s="125">
        <f>SUMIFS('Data&gt;&gt; 2025'!$N:$N,'Data&gt;&gt; 2025'!$L:$L,'01. CP Nhân sự '!$A113,'Data&gt;&gt; 2025'!$B:$B,'01. CP Nhân sự '!$C113,'Data&gt;&gt; 2025'!$C:$C,'01. CP Nhân sự '!I$72)</f>
        <v>0</v>
      </c>
      <c r="J113" s="125">
        <f>SUMIFS('Data&gt;&gt; 2025'!$N:$N,'Data&gt;&gt; 2025'!$L:$L,'01. CP Nhân sự '!$A113,'Data&gt;&gt; 2025'!$B:$B,'01. CP Nhân sự '!$C113,'Data&gt;&gt; 2025'!$C:$C,'01. CP Nhân sự '!J$72)</f>
        <v>0</v>
      </c>
      <c r="K113" s="128">
        <f t="shared" si="20"/>
        <v>260999850</v>
      </c>
      <c r="L113" s="182"/>
      <c r="O113" s="251">
        <f t="shared" si="19"/>
        <v>1.7370652972860236E-3</v>
      </c>
    </row>
    <row r="114" spans="1:15" collapsed="1" x14ac:dyDescent="0.25">
      <c r="A114" s="17">
        <v>3</v>
      </c>
      <c r="B114" s="18"/>
      <c r="C114" s="19" t="s">
        <v>17</v>
      </c>
      <c r="D114" s="136">
        <f>SUM(D101:D113)</f>
        <v>594</v>
      </c>
      <c r="E114" s="75">
        <f>SUM(E101:E113)</f>
        <v>8398888249</v>
      </c>
      <c r="F114" s="75">
        <f t="shared" ref="F114:J114" si="21">SUM(F101:F113)</f>
        <v>1085296697</v>
      </c>
      <c r="G114" s="75">
        <f t="shared" si="21"/>
        <v>973816237</v>
      </c>
      <c r="H114" s="75">
        <f t="shared" si="21"/>
        <v>628282888</v>
      </c>
      <c r="I114" s="75">
        <f t="shared" si="21"/>
        <v>1363102215</v>
      </c>
      <c r="J114" s="75">
        <f t="shared" si="21"/>
        <v>22076937</v>
      </c>
      <c r="K114" s="75">
        <f>SUM(K101:K113)</f>
        <v>12471463223</v>
      </c>
      <c r="L114" s="181">
        <f>K114/K100-1</f>
        <v>2.5079871294424461E-3</v>
      </c>
      <c r="N114" s="75">
        <v>150253332680</v>
      </c>
      <c r="O114" s="250">
        <f t="shared" si="19"/>
        <v>8.3002905829456242E-2</v>
      </c>
    </row>
    <row r="115" spans="1:15" hidden="1" outlineLevel="1" x14ac:dyDescent="0.25">
      <c r="A115" s="14">
        <v>4</v>
      </c>
      <c r="B115" s="1">
        <v>1</v>
      </c>
      <c r="C115" s="2" t="s">
        <v>0</v>
      </c>
      <c r="D115" s="132">
        <f>VLOOKUP(C115,'02. ĐỊNH BIÊN'!$C$6:$AL$47,6,0)</f>
        <v>14</v>
      </c>
      <c r="E115" s="72">
        <f>SUMIFS('Data&gt;&gt; 2025'!$N:$N,'Data&gt;&gt; 2025'!$L:$L,'01. CP Nhân sự '!$A115,'Data&gt;&gt; 2025'!$B:$B,'01. CP Nhân sự '!$C115,'Data&gt;&gt; 2025'!$C:$C,'01. CP Nhân sự '!E$72)</f>
        <v>1442416935</v>
      </c>
      <c r="F115" s="72">
        <f>SUMIFS('Data&gt;&gt; 2025'!$N:$N,'Data&gt;&gt; 2025'!$L:$L,'01. CP Nhân sự '!$A115,'Data&gt;&gt; 2025'!$B:$B,'01. CP Nhân sự '!$C115,'Data&gt;&gt; 2025'!$C:$C,'01. CP Nhân sự '!F$72)</f>
        <v>0</v>
      </c>
      <c r="G115" s="72">
        <f>SUMIFS('Data&gt;&gt; 2025'!$N:$N,'Data&gt;&gt; 2025'!$L:$L,'01. CP Nhân sự '!$A115,'Data&gt;&gt; 2025'!$B:$B,'01. CP Nhân sự '!$C115,'Data&gt;&gt; 2025'!$C:$C,'01. CP Nhân sự '!G$72)</f>
        <v>98638906</v>
      </c>
      <c r="H115" s="72">
        <f>SUMIFS('Data&gt;&gt; 2025'!$N:$N,'Data&gt;&gt; 2025'!$L:$L,'01. CP Nhân sự '!$A115,'Data&gt;&gt; 2025'!$B:$B,'01. CP Nhân sự '!$C115,'Data&gt;&gt; 2025'!$C:$C,'01. CP Nhân sự '!H$72)</f>
        <v>375000</v>
      </c>
      <c r="I115" s="72">
        <f>SUMIFS('Data&gt;&gt; 2025'!$N:$N,'Data&gt;&gt; 2025'!$L:$L,'01. CP Nhân sự '!$A115,'Data&gt;&gt; 2025'!$B:$B,'01. CP Nhân sự '!$C115,'Data&gt;&gt; 2025'!$C:$C,'01. CP Nhân sự '!I$72)</f>
        <v>123680010</v>
      </c>
      <c r="J115" s="72">
        <f>SUMIFS('Data&gt;&gt; 2025'!$N:$N,'Data&gt;&gt; 2025'!$L:$L,'01. CP Nhân sự '!$A115,'Data&gt;&gt; 2025'!$B:$B,'01. CP Nhân sự '!$C115,'Data&gt;&gt; 2025'!$C:$C,'01. CP Nhân sự '!J$72)</f>
        <v>0</v>
      </c>
      <c r="K115" s="128">
        <f>SUM(E115:J115)</f>
        <v>1665110851</v>
      </c>
      <c r="L115" s="182"/>
      <c r="O115" s="251">
        <f t="shared" ref="O115:O127" si="22">K115/$N$128</f>
        <v>1.3275257109661967E-2</v>
      </c>
    </row>
    <row r="116" spans="1:15" hidden="1" outlineLevel="1" x14ac:dyDescent="0.25">
      <c r="A116" s="15">
        <v>4</v>
      </c>
      <c r="B116" s="3">
        <v>2</v>
      </c>
      <c r="C116" s="7" t="s">
        <v>1</v>
      </c>
      <c r="D116" s="133">
        <f>VLOOKUP(C116,'02. ĐỊNH BIÊN'!$C$6:$AL$47,6,0)</f>
        <v>9</v>
      </c>
      <c r="E116" s="73">
        <f>SUMIFS('Data&gt;&gt; 2025'!$N:$N,'Data&gt;&gt; 2025'!$L:$L,'01. CP Nhân sự '!$A116,'Data&gt;&gt; 2025'!$B:$B,'01. CP Nhân sự '!$C116,'Data&gt;&gt; 2025'!$C:$C,'01. CP Nhân sự '!E$72)</f>
        <v>287280846</v>
      </c>
      <c r="F116" s="73">
        <f>SUMIFS('Data&gt;&gt; 2025'!$N:$N,'Data&gt;&gt; 2025'!$L:$L,'01. CP Nhân sự '!$A116,'Data&gt;&gt; 2025'!$B:$B,'01. CP Nhân sự '!$C116,'Data&gt;&gt; 2025'!$C:$C,'01. CP Nhân sự '!F$72)</f>
        <v>0</v>
      </c>
      <c r="G116" s="73">
        <f>SUMIFS('Data&gt;&gt; 2025'!$N:$N,'Data&gt;&gt; 2025'!$L:$L,'01. CP Nhân sự '!$A116,'Data&gt;&gt; 2025'!$B:$B,'01. CP Nhân sự '!$C116,'Data&gt;&gt; 2025'!$C:$C,'01. CP Nhân sự '!G$72)</f>
        <v>381576034</v>
      </c>
      <c r="H116" s="73">
        <f>SUMIFS('Data&gt;&gt; 2025'!$N:$N,'Data&gt;&gt; 2025'!$L:$L,'01. CP Nhân sự '!$A116,'Data&gt;&gt; 2025'!$B:$B,'01. CP Nhân sự '!$C116,'Data&gt;&gt; 2025'!$C:$C,'01. CP Nhân sự '!H$72)</f>
        <v>5859296</v>
      </c>
      <c r="I116" s="73">
        <f>SUMIFS('Data&gt;&gt; 2025'!$N:$N,'Data&gt;&gt; 2025'!$L:$L,'01. CP Nhân sự '!$A116,'Data&gt;&gt; 2025'!$B:$B,'01. CP Nhân sự '!$C116,'Data&gt;&gt; 2025'!$C:$C,'01. CP Nhân sự '!I$72)</f>
        <v>62369945</v>
      </c>
      <c r="J116" s="73">
        <f>SUMIFS('Data&gt;&gt; 2025'!$N:$N,'Data&gt;&gt; 2025'!$L:$L,'01. CP Nhân sự '!$A116,'Data&gt;&gt; 2025'!$B:$B,'01. CP Nhân sự '!$C116,'Data&gt;&gt; 2025'!$C:$C,'01. CP Nhân sự '!J$72)</f>
        <v>0</v>
      </c>
      <c r="K116" s="128">
        <f>SUM(E116:J116)</f>
        <v>737086121</v>
      </c>
      <c r="L116" s="182"/>
      <c r="O116" s="251">
        <f t="shared" si="22"/>
        <v>5.8764903023494934E-3</v>
      </c>
    </row>
    <row r="117" spans="1:15" hidden="1" outlineLevel="1" x14ac:dyDescent="0.25">
      <c r="A117" s="15">
        <v>4</v>
      </c>
      <c r="B117" s="3">
        <v>3</v>
      </c>
      <c r="C117" s="7" t="s">
        <v>2</v>
      </c>
      <c r="D117" s="133">
        <f>VLOOKUP(C117,'02. ĐỊNH BIÊN'!$C$6:$AL$47,6,0)</f>
        <v>9</v>
      </c>
      <c r="E117" s="73">
        <f>SUMIFS('Data&gt;&gt; 2025'!$N:$N,'Data&gt;&gt; 2025'!$L:$L,'01. CP Nhân sự '!$A117,'Data&gt;&gt; 2025'!$B:$B,'01. CP Nhân sự '!$C117,'Data&gt;&gt; 2025'!$C:$C,'01. CP Nhân sự '!E$72)</f>
        <v>131069211</v>
      </c>
      <c r="F117" s="73">
        <f>SUMIFS('Data&gt;&gt; 2025'!$N:$N,'Data&gt;&gt; 2025'!$L:$L,'01. CP Nhân sự '!$A117,'Data&gt;&gt; 2025'!$B:$B,'01. CP Nhân sự '!$C117,'Data&gt;&gt; 2025'!$C:$C,'01. CP Nhân sự '!F$72)</f>
        <v>0</v>
      </c>
      <c r="G117" s="73">
        <f>SUMIFS('Data&gt;&gt; 2025'!$N:$N,'Data&gt;&gt; 2025'!$L:$L,'01. CP Nhân sự '!$A117,'Data&gt;&gt; 2025'!$B:$B,'01. CP Nhân sự '!$C117,'Data&gt;&gt; 2025'!$C:$C,'01. CP Nhân sự '!G$72)</f>
        <v>11015778</v>
      </c>
      <c r="H117" s="73">
        <f>SUMIFS('Data&gt;&gt; 2025'!$N:$N,'Data&gt;&gt; 2025'!$L:$L,'01. CP Nhân sự '!$A117,'Data&gt;&gt; 2025'!$B:$B,'01. CP Nhân sự '!$C117,'Data&gt;&gt; 2025'!$C:$C,'01. CP Nhân sự '!H$72)</f>
        <v>4025000</v>
      </c>
      <c r="I117" s="73">
        <f>SUMIFS('Data&gt;&gt; 2025'!$N:$N,'Data&gt;&gt; 2025'!$L:$L,'01. CP Nhân sự '!$A117,'Data&gt;&gt; 2025'!$B:$B,'01. CP Nhân sự '!$C117,'Data&gt;&gt; 2025'!$C:$C,'01. CP Nhân sự '!I$72)</f>
        <v>19512755</v>
      </c>
      <c r="J117" s="73">
        <f>SUMIFS('Data&gt;&gt; 2025'!$N:$N,'Data&gt;&gt; 2025'!$L:$L,'01. CP Nhân sự '!$A117,'Data&gt;&gt; 2025'!$B:$B,'01. CP Nhân sự '!$C117,'Data&gt;&gt; 2025'!$C:$C,'01. CP Nhân sự '!J$72)</f>
        <v>0</v>
      </c>
      <c r="K117" s="128">
        <f t="shared" ref="K117:K127" si="23">SUM(E117:J117)</f>
        <v>165622744</v>
      </c>
      <c r="L117" s="182"/>
      <c r="O117" s="251">
        <f t="shared" si="22"/>
        <v>1.3204433257325064E-3</v>
      </c>
    </row>
    <row r="118" spans="1:15" hidden="1" outlineLevel="1" x14ac:dyDescent="0.25">
      <c r="A118" s="15">
        <v>4</v>
      </c>
      <c r="B118" s="3">
        <v>4</v>
      </c>
      <c r="C118" s="7" t="s">
        <v>3</v>
      </c>
      <c r="D118" s="133">
        <f>VLOOKUP(C118,'02. ĐỊNH BIÊN'!$C$6:$AL$47,6,0)</f>
        <v>28</v>
      </c>
      <c r="E118" s="73">
        <f>SUMIFS('Data&gt;&gt; 2025'!$N:$N,'Data&gt;&gt; 2025'!$L:$L,'01. CP Nhân sự '!$A118,'Data&gt;&gt; 2025'!$B:$B,'01. CP Nhân sự '!$C118,'Data&gt;&gt; 2025'!$C:$C,'01. CP Nhân sự '!E$72)</f>
        <v>477805323</v>
      </c>
      <c r="F118" s="73">
        <f>SUMIFS('Data&gt;&gt; 2025'!$N:$N,'Data&gt;&gt; 2025'!$L:$L,'01. CP Nhân sự '!$A118,'Data&gt;&gt; 2025'!$B:$B,'01. CP Nhân sự '!$C118,'Data&gt;&gt; 2025'!$C:$C,'01. CP Nhân sự '!F$72)</f>
        <v>49665984</v>
      </c>
      <c r="G118" s="73">
        <f>SUMIFS('Data&gt;&gt; 2025'!$N:$N,'Data&gt;&gt; 2025'!$L:$L,'01. CP Nhân sự '!$A118,'Data&gt;&gt; 2025'!$B:$B,'01. CP Nhân sự '!$C118,'Data&gt;&gt; 2025'!$C:$C,'01. CP Nhân sự '!G$72)</f>
        <v>35967566</v>
      </c>
      <c r="H118" s="73">
        <f>SUMIFS('Data&gt;&gt; 2025'!$N:$N,'Data&gt;&gt; 2025'!$L:$L,'01. CP Nhân sự '!$A118,'Data&gt;&gt; 2025'!$B:$B,'01. CP Nhân sự '!$C118,'Data&gt;&gt; 2025'!$C:$C,'01. CP Nhân sự '!H$72)</f>
        <v>15845000</v>
      </c>
      <c r="I118" s="73">
        <f>SUMIFS('Data&gt;&gt; 2025'!$N:$N,'Data&gt;&gt; 2025'!$L:$L,'01. CP Nhân sự '!$A118,'Data&gt;&gt; 2025'!$B:$B,'01. CP Nhân sự '!$C118,'Data&gt;&gt; 2025'!$C:$C,'01. CP Nhân sự '!I$72)</f>
        <v>85893695</v>
      </c>
      <c r="J118" s="73">
        <f>SUMIFS('Data&gt;&gt; 2025'!$N:$N,'Data&gt;&gt; 2025'!$L:$L,'01. CP Nhân sự '!$A118,'Data&gt;&gt; 2025'!$B:$B,'01. CP Nhân sự '!$C118,'Data&gt;&gt; 2025'!$C:$C,'01. CP Nhân sự '!J$72)</f>
        <v>0</v>
      </c>
      <c r="K118" s="128">
        <f t="shared" si="23"/>
        <v>665177568</v>
      </c>
      <c r="L118" s="182"/>
      <c r="O118" s="251">
        <f t="shared" si="22"/>
        <v>5.303192417175388E-3</v>
      </c>
    </row>
    <row r="119" spans="1:15" hidden="1" outlineLevel="1" x14ac:dyDescent="0.25">
      <c r="A119" s="15">
        <v>4</v>
      </c>
      <c r="B119" s="3">
        <v>5</v>
      </c>
      <c r="C119" s="7" t="s">
        <v>4</v>
      </c>
      <c r="D119" s="133">
        <f>VLOOKUP(C119,'02. ĐỊNH BIÊN'!$C$6:$AL$47,6,0)</f>
        <v>7</v>
      </c>
      <c r="E119" s="73">
        <f>SUMIFS('Data&gt;&gt; 2025'!$N:$N,'Data&gt;&gt; 2025'!$L:$L,'01. CP Nhân sự '!$A119,'Data&gt;&gt; 2025'!$B:$B,'01. CP Nhân sự '!$C119,'Data&gt;&gt; 2025'!$C:$C,'01. CP Nhân sự '!E$72)</f>
        <v>178612873</v>
      </c>
      <c r="F119" s="73">
        <f>SUMIFS('Data&gt;&gt; 2025'!$N:$N,'Data&gt;&gt; 2025'!$L:$L,'01. CP Nhân sự '!$A119,'Data&gt;&gt; 2025'!$B:$B,'01. CP Nhân sự '!$C119,'Data&gt;&gt; 2025'!$C:$C,'01. CP Nhân sự '!F$72)</f>
        <v>0</v>
      </c>
      <c r="G119" s="73">
        <f>SUMIFS('Data&gt;&gt; 2025'!$N:$N,'Data&gt;&gt; 2025'!$L:$L,'01. CP Nhân sự '!$A119,'Data&gt;&gt; 2025'!$B:$B,'01. CP Nhân sự '!$C119,'Data&gt;&gt; 2025'!$C:$C,'01. CP Nhân sự '!G$72)</f>
        <v>14205445</v>
      </c>
      <c r="H119" s="73">
        <f>SUMIFS('Data&gt;&gt; 2025'!$N:$N,'Data&gt;&gt; 2025'!$L:$L,'01. CP Nhân sự '!$A119,'Data&gt;&gt; 2025'!$B:$B,'01. CP Nhân sự '!$C119,'Data&gt;&gt; 2025'!$C:$C,'01. CP Nhân sự '!H$72)</f>
        <v>275000</v>
      </c>
      <c r="I119" s="73">
        <f>SUMIFS('Data&gt;&gt; 2025'!$N:$N,'Data&gt;&gt; 2025'!$L:$L,'01. CP Nhân sự '!$A119,'Data&gt;&gt; 2025'!$B:$B,'01. CP Nhân sự '!$C119,'Data&gt;&gt; 2025'!$C:$C,'01. CP Nhân sự '!I$72)</f>
        <v>35154315</v>
      </c>
      <c r="J119" s="73">
        <f>SUMIFS('Data&gt;&gt; 2025'!$N:$N,'Data&gt;&gt; 2025'!$L:$L,'01. CP Nhân sự '!$A119,'Data&gt;&gt; 2025'!$B:$B,'01. CP Nhân sự '!$C119,'Data&gt;&gt; 2025'!$C:$C,'01. CP Nhân sự '!J$72)</f>
        <v>0</v>
      </c>
      <c r="K119" s="128">
        <f t="shared" si="23"/>
        <v>228247633</v>
      </c>
      <c r="L119" s="182"/>
      <c r="O119" s="251">
        <f t="shared" si="22"/>
        <v>1.8197263028626829E-3</v>
      </c>
    </row>
    <row r="120" spans="1:15" hidden="1" outlineLevel="1" x14ac:dyDescent="0.25">
      <c r="A120" s="15">
        <v>4</v>
      </c>
      <c r="B120" s="3">
        <v>6</v>
      </c>
      <c r="C120" s="7" t="s">
        <v>5</v>
      </c>
      <c r="D120" s="133">
        <f>VLOOKUP(C120,'02. ĐỊNH BIÊN'!$C$6:$AL$47,6,0)</f>
        <v>3</v>
      </c>
      <c r="E120" s="73">
        <f>SUMIFS('Data&gt;&gt; 2025'!$N:$N,'Data&gt;&gt; 2025'!$L:$L,'01. CP Nhân sự '!$A120,'Data&gt;&gt; 2025'!$B:$B,'01. CP Nhân sự '!$C120,'Data&gt;&gt; 2025'!$C:$C,'01. CP Nhân sự '!E$72)</f>
        <v>96916867</v>
      </c>
      <c r="F120" s="73">
        <f>SUMIFS('Data&gt;&gt; 2025'!$N:$N,'Data&gt;&gt; 2025'!$L:$L,'01. CP Nhân sự '!$A120,'Data&gt;&gt; 2025'!$B:$B,'01. CP Nhân sự '!$C120,'Data&gt;&gt; 2025'!$C:$C,'01. CP Nhân sự '!F$72)</f>
        <v>0</v>
      </c>
      <c r="G120" s="73">
        <f>SUMIFS('Data&gt;&gt; 2025'!$N:$N,'Data&gt;&gt; 2025'!$L:$L,'01. CP Nhân sự '!$A120,'Data&gt;&gt; 2025'!$B:$B,'01. CP Nhân sự '!$C120,'Data&gt;&gt; 2025'!$C:$C,'01. CP Nhân sự '!G$72)</f>
        <v>7689109</v>
      </c>
      <c r="H120" s="73">
        <f>SUMIFS('Data&gt;&gt; 2025'!$N:$N,'Data&gt;&gt; 2025'!$L:$L,'01. CP Nhân sự '!$A120,'Data&gt;&gt; 2025'!$B:$B,'01. CP Nhân sự '!$C120,'Data&gt;&gt; 2025'!$C:$C,'01. CP Nhân sự '!H$72)</f>
        <v>1750000</v>
      </c>
      <c r="I120" s="73">
        <f>SUMIFS('Data&gt;&gt; 2025'!$N:$N,'Data&gt;&gt; 2025'!$L:$L,'01. CP Nhân sự '!$A120,'Data&gt;&gt; 2025'!$B:$B,'01. CP Nhân sự '!$C120,'Data&gt;&gt; 2025'!$C:$C,'01. CP Nhân sự '!I$72)</f>
        <v>20503750</v>
      </c>
      <c r="J120" s="73">
        <f>SUMIFS('Data&gt;&gt; 2025'!$N:$N,'Data&gt;&gt; 2025'!$L:$L,'01. CP Nhân sự '!$A120,'Data&gt;&gt; 2025'!$B:$B,'01. CP Nhân sự '!$C120,'Data&gt;&gt; 2025'!$C:$C,'01. CP Nhân sự '!J$72)</f>
        <v>0</v>
      </c>
      <c r="K120" s="128">
        <f t="shared" si="23"/>
        <v>126859726</v>
      </c>
      <c r="L120" s="182"/>
      <c r="O120" s="251">
        <f t="shared" si="22"/>
        <v>1.0114014202116741E-3</v>
      </c>
    </row>
    <row r="121" spans="1:15" hidden="1" outlineLevel="1" x14ac:dyDescent="0.25">
      <c r="A121" s="15">
        <v>4</v>
      </c>
      <c r="B121" s="3">
        <v>7</v>
      </c>
      <c r="C121" s="7" t="s">
        <v>6</v>
      </c>
      <c r="D121" s="133">
        <f>VLOOKUP(C121,'02. ĐỊNH BIÊN'!$C$6:$AL$47,6,0)</f>
        <v>42</v>
      </c>
      <c r="E121" s="73">
        <f>SUMIFS('Data&gt;&gt; 2025'!$N:$N,'Data&gt;&gt; 2025'!$L:$L,'01. CP Nhân sự '!$A121,'Data&gt;&gt; 2025'!$B:$B,'01. CP Nhân sự '!$C121,'Data&gt;&gt; 2025'!$C:$C,'01. CP Nhân sự '!E$72)</f>
        <v>590766488</v>
      </c>
      <c r="F121" s="73">
        <f>SUMIFS('Data&gt;&gt; 2025'!$N:$N,'Data&gt;&gt; 2025'!$L:$L,'01. CP Nhân sự '!$A121,'Data&gt;&gt; 2025'!$B:$B,'01. CP Nhân sự '!$C121,'Data&gt;&gt; 2025'!$C:$C,'01. CP Nhân sự '!F$72)</f>
        <v>193569297</v>
      </c>
      <c r="G121" s="73">
        <f>SUMIFS('Data&gt;&gt; 2025'!$N:$N,'Data&gt;&gt; 2025'!$L:$L,'01. CP Nhân sự '!$A121,'Data&gt;&gt; 2025'!$B:$B,'01. CP Nhân sự '!$C121,'Data&gt;&gt; 2025'!$C:$C,'01. CP Nhân sự '!G$72)</f>
        <v>47831705</v>
      </c>
      <c r="H121" s="73">
        <f>SUMIFS('Data&gt;&gt; 2025'!$N:$N,'Data&gt;&gt; 2025'!$L:$L,'01. CP Nhân sự '!$A121,'Data&gt;&gt; 2025'!$B:$B,'01. CP Nhân sự '!$C121,'Data&gt;&gt; 2025'!$C:$C,'01. CP Nhân sự '!H$72)</f>
        <v>72069180</v>
      </c>
      <c r="I121" s="73">
        <f>SUMIFS('Data&gt;&gt; 2025'!$N:$N,'Data&gt;&gt; 2025'!$L:$L,'01. CP Nhân sự '!$A121,'Data&gt;&gt; 2025'!$B:$B,'01. CP Nhân sự '!$C121,'Data&gt;&gt; 2025'!$C:$C,'01. CP Nhân sự '!I$72)</f>
        <v>94425115</v>
      </c>
      <c r="J121" s="73">
        <f>SUMIFS('Data&gt;&gt; 2025'!$N:$N,'Data&gt;&gt; 2025'!$L:$L,'01. CP Nhân sự '!$A121,'Data&gt;&gt; 2025'!$B:$B,'01. CP Nhân sự '!$C121,'Data&gt;&gt; 2025'!$C:$C,'01. CP Nhân sự '!J$72)</f>
        <v>0</v>
      </c>
      <c r="K121" s="128">
        <f t="shared" si="23"/>
        <v>998661785</v>
      </c>
      <c r="L121" s="182"/>
      <c r="O121" s="251">
        <f t="shared" si="22"/>
        <v>7.9619275518546008E-3</v>
      </c>
    </row>
    <row r="122" spans="1:15" hidden="1" outlineLevel="1" x14ac:dyDescent="0.25">
      <c r="A122" s="15">
        <v>4</v>
      </c>
      <c r="B122" s="3">
        <v>8</v>
      </c>
      <c r="C122" s="7" t="s">
        <v>7</v>
      </c>
      <c r="D122" s="133">
        <f>VLOOKUP(C122,'02. ĐỊNH BIÊN'!$C$6:$AL$47,6,0)</f>
        <v>83</v>
      </c>
      <c r="E122" s="73">
        <f>SUMIFS('Data&gt;&gt; 2025'!$N:$N,'Data&gt;&gt; 2025'!$L:$L,'01. CP Nhân sự '!$A122,'Data&gt;&gt; 2025'!$B:$B,'01. CP Nhân sự '!$C122,'Data&gt;&gt; 2025'!$C:$C,'01. CP Nhân sự '!E$72)</f>
        <v>1206029303</v>
      </c>
      <c r="F122" s="73">
        <f>SUMIFS('Data&gt;&gt; 2025'!$N:$N,'Data&gt;&gt; 2025'!$L:$L,'01. CP Nhân sự '!$A122,'Data&gt;&gt; 2025'!$B:$B,'01. CP Nhân sự '!$C122,'Data&gt;&gt; 2025'!$C:$C,'01. CP Nhân sự '!F$72)</f>
        <v>330007588</v>
      </c>
      <c r="G122" s="73">
        <f>SUMIFS('Data&gt;&gt; 2025'!$N:$N,'Data&gt;&gt; 2025'!$L:$L,'01. CP Nhân sự '!$A122,'Data&gt;&gt; 2025'!$B:$B,'01. CP Nhân sự '!$C122,'Data&gt;&gt; 2025'!$C:$C,'01. CP Nhân sự '!G$72)</f>
        <v>97158663</v>
      </c>
      <c r="H122" s="73">
        <f>SUMIFS('Data&gt;&gt; 2025'!$N:$N,'Data&gt;&gt; 2025'!$L:$L,'01. CP Nhân sự '!$A122,'Data&gt;&gt; 2025'!$B:$B,'01. CP Nhân sự '!$C122,'Data&gt;&gt; 2025'!$C:$C,'01. CP Nhân sự '!H$72)</f>
        <v>106234352</v>
      </c>
      <c r="I122" s="73">
        <f>SUMIFS('Data&gt;&gt; 2025'!$N:$N,'Data&gt;&gt; 2025'!$L:$L,'01. CP Nhân sự '!$A122,'Data&gt;&gt; 2025'!$B:$B,'01. CP Nhân sự '!$C122,'Data&gt;&gt; 2025'!$C:$C,'01. CP Nhân sự '!I$72)</f>
        <v>213996170</v>
      </c>
      <c r="J122" s="73">
        <f>SUMIFS('Data&gt;&gt; 2025'!$N:$N,'Data&gt;&gt; 2025'!$L:$L,'01. CP Nhân sự '!$A122,'Data&gt;&gt; 2025'!$B:$B,'01. CP Nhân sự '!$C122,'Data&gt;&gt; 2025'!$C:$C,'01. CP Nhân sự '!J$72)</f>
        <v>0</v>
      </c>
      <c r="K122" s="128">
        <f t="shared" si="23"/>
        <v>1953426076</v>
      </c>
      <c r="L122" s="182"/>
      <c r="O122" s="251">
        <f t="shared" si="22"/>
        <v>1.5573878092286889E-2</v>
      </c>
    </row>
    <row r="123" spans="1:15" hidden="1" outlineLevel="1" x14ac:dyDescent="0.25">
      <c r="A123" s="15">
        <v>4</v>
      </c>
      <c r="B123" s="3">
        <v>9</v>
      </c>
      <c r="C123" s="7" t="s">
        <v>9</v>
      </c>
      <c r="D123" s="133">
        <f>VLOOKUP(C123,'02. ĐỊNH BIÊN'!$C$6:$AL$47,6,0)</f>
        <v>39</v>
      </c>
      <c r="E123" s="73">
        <f>SUMIFS('Data&gt;&gt; 2025'!$N:$N,'Data&gt;&gt; 2025'!$L:$L,'01. CP Nhân sự '!$A123,'Data&gt;&gt; 2025'!$B:$B,'01. CP Nhân sự '!$C123,'Data&gt;&gt; 2025'!$C:$C,'01. CP Nhân sự '!E$72)</f>
        <v>801989161</v>
      </c>
      <c r="F123" s="73">
        <f>SUMIFS('Data&gt;&gt; 2025'!$N:$N,'Data&gt;&gt; 2025'!$L:$L,'01. CP Nhân sự '!$A123,'Data&gt;&gt; 2025'!$B:$B,'01. CP Nhân sự '!$C123,'Data&gt;&gt; 2025'!$C:$C,'01. CP Nhân sự '!F$72)</f>
        <v>100572213</v>
      </c>
      <c r="G123" s="73">
        <f>SUMIFS('Data&gt;&gt; 2025'!$N:$N,'Data&gt;&gt; 2025'!$L:$L,'01. CP Nhân sự '!$A123,'Data&gt;&gt; 2025'!$B:$B,'01. CP Nhân sự '!$C123,'Data&gt;&gt; 2025'!$C:$C,'01. CP Nhân sự '!G$72)</f>
        <v>55002631</v>
      </c>
      <c r="H123" s="73">
        <f>SUMIFS('Data&gt;&gt; 2025'!$N:$N,'Data&gt;&gt; 2025'!$L:$L,'01. CP Nhân sự '!$A123,'Data&gt;&gt; 2025'!$B:$B,'01. CP Nhân sự '!$C123,'Data&gt;&gt; 2025'!$C:$C,'01. CP Nhân sự '!H$72)</f>
        <v>49250834</v>
      </c>
      <c r="I123" s="73">
        <f>SUMIFS('Data&gt;&gt; 2025'!$N:$N,'Data&gt;&gt; 2025'!$L:$L,'01. CP Nhân sự '!$A123,'Data&gt;&gt; 2025'!$B:$B,'01. CP Nhân sự '!$C123,'Data&gt;&gt; 2025'!$C:$C,'01. CP Nhân sự '!I$72)</f>
        <v>142587315</v>
      </c>
      <c r="J123" s="73">
        <f>SUMIFS('Data&gt;&gt; 2025'!$N:$N,'Data&gt;&gt; 2025'!$L:$L,'01. CP Nhân sự '!$A123,'Data&gt;&gt; 2025'!$B:$B,'01. CP Nhân sự '!$C123,'Data&gt;&gt; 2025'!$C:$C,'01. CP Nhân sự '!J$72)</f>
        <v>6900000</v>
      </c>
      <c r="K123" s="128">
        <f t="shared" si="23"/>
        <v>1156302154</v>
      </c>
      <c r="L123" s="182"/>
      <c r="O123" s="251">
        <f t="shared" si="22"/>
        <v>9.2187306218004753E-3</v>
      </c>
    </row>
    <row r="124" spans="1:15" hidden="1" outlineLevel="1" x14ac:dyDescent="0.25">
      <c r="A124" s="15">
        <v>4</v>
      </c>
      <c r="B124" s="3">
        <v>10</v>
      </c>
      <c r="C124" s="7" t="s">
        <v>10</v>
      </c>
      <c r="D124" s="133">
        <f>VLOOKUP(C124,'02. ĐỊNH BIÊN'!$C$6:$AL$47,6,0)</f>
        <v>39</v>
      </c>
      <c r="E124" s="73">
        <f>SUMIFS('Data&gt;&gt; 2025'!$N:$N,'Data&gt;&gt; 2025'!$L:$L,'01. CP Nhân sự '!$A124,'Data&gt;&gt; 2025'!$B:$B,'01. CP Nhân sự '!$C124,'Data&gt;&gt; 2025'!$C:$C,'01. CP Nhân sự '!E$72)</f>
        <v>578126133</v>
      </c>
      <c r="F124" s="73">
        <f>SUMIFS('Data&gt;&gt; 2025'!$N:$N,'Data&gt;&gt; 2025'!$L:$L,'01. CP Nhân sự '!$A124,'Data&gt;&gt; 2025'!$B:$B,'01. CP Nhân sự '!$C124,'Data&gt;&gt; 2025'!$C:$C,'01. CP Nhân sự '!F$72)</f>
        <v>0</v>
      </c>
      <c r="G124" s="73">
        <f>SUMIFS('Data&gt;&gt; 2025'!$N:$N,'Data&gt;&gt; 2025'!$L:$L,'01. CP Nhân sự '!$A124,'Data&gt;&gt; 2025'!$B:$B,'01. CP Nhân sự '!$C124,'Data&gt;&gt; 2025'!$C:$C,'01. CP Nhân sự '!G$72)</f>
        <v>293172475</v>
      </c>
      <c r="H124" s="73">
        <f>SUMIFS('Data&gt;&gt; 2025'!$N:$N,'Data&gt;&gt; 2025'!$L:$L,'01. CP Nhân sự '!$A124,'Data&gt;&gt; 2025'!$B:$B,'01. CP Nhân sự '!$C124,'Data&gt;&gt; 2025'!$C:$C,'01. CP Nhân sự '!H$72)</f>
        <v>14454444</v>
      </c>
      <c r="I124" s="73">
        <f>SUMIFS('Data&gt;&gt; 2025'!$N:$N,'Data&gt;&gt; 2025'!$L:$L,'01. CP Nhân sự '!$A124,'Data&gt;&gt; 2025'!$B:$B,'01. CP Nhân sự '!$C124,'Data&gt;&gt; 2025'!$C:$C,'01. CP Nhân sự '!I$72)</f>
        <v>104831385</v>
      </c>
      <c r="J124" s="73">
        <f>SUMIFS('Data&gt;&gt; 2025'!$N:$N,'Data&gt;&gt; 2025'!$L:$L,'01. CP Nhân sự '!$A124,'Data&gt;&gt; 2025'!$B:$B,'01. CP Nhân sự '!$C124,'Data&gt;&gt; 2025'!$C:$C,'01. CP Nhân sự '!J$72)</f>
        <v>0</v>
      </c>
      <c r="K124" s="128">
        <f t="shared" si="23"/>
        <v>990584437</v>
      </c>
      <c r="L124" s="182"/>
      <c r="O124" s="251">
        <f t="shared" si="22"/>
        <v>7.8975301146510558E-3</v>
      </c>
    </row>
    <row r="125" spans="1:15" hidden="1" outlineLevel="1" x14ac:dyDescent="0.25">
      <c r="A125" s="15">
        <v>4</v>
      </c>
      <c r="B125" s="3">
        <v>11</v>
      </c>
      <c r="C125" s="7" t="s">
        <v>8</v>
      </c>
      <c r="D125" s="133">
        <f>VLOOKUP(C125,'02. ĐỊNH BIÊN'!$C$6:$AL$47,6,0)</f>
        <v>86</v>
      </c>
      <c r="E125" s="73">
        <f>SUMIFS('Data&gt;&gt; 2025'!$N:$N,'Data&gt;&gt; 2025'!$L:$L,'01. CP Nhân sự '!$A125,'Data&gt;&gt; 2025'!$B:$B,'01. CP Nhân sự '!$C125,'Data&gt;&gt; 2025'!$C:$C,'01. CP Nhân sự '!E$72,'Data&gt;&gt; 2025'!$A:$A,627)</f>
        <v>1199442565</v>
      </c>
      <c r="F125" s="73">
        <f>SUMIFS('Data&gt;&gt; 2025'!$N:$N,'Data&gt;&gt; 2025'!$L:$L,'01. CP Nhân sự '!$A125,'Data&gt;&gt; 2025'!$B:$B,'01. CP Nhân sự '!$C125,'Data&gt;&gt; 2025'!$C:$C,'01. CP Nhân sự '!F$72,'Data&gt;&gt; 2025'!$A:$A,627)</f>
        <v>141188360</v>
      </c>
      <c r="G125" s="73">
        <f>SUMIFS('Data&gt;&gt; 2025'!$N:$N,'Data&gt;&gt; 2025'!$L:$L,'01. CP Nhân sự '!$A125,'Data&gt;&gt; 2025'!$B:$B,'01. CP Nhân sự '!$C125,'Data&gt;&gt; 2025'!$C:$C,'01. CP Nhân sự '!G$72,'Data&gt;&gt; 2025'!$A:$A,627)</f>
        <v>79294618</v>
      </c>
      <c r="H125" s="73">
        <f>SUMIFS('Data&gt;&gt; 2025'!$N:$N,'Data&gt;&gt; 2025'!$L:$L,'01. CP Nhân sự '!$A125,'Data&gt;&gt; 2025'!$B:$B,'01. CP Nhân sự '!$C125,'Data&gt;&gt; 2025'!$C:$C,'01. CP Nhân sự '!H$72,'Data&gt;&gt; 2025'!$A:$A,627)</f>
        <v>110596969</v>
      </c>
      <c r="I125" s="73">
        <f>SUMIFS('Data&gt;&gt; 2025'!$N:$N,'Data&gt;&gt; 2025'!$L:$L,'01. CP Nhân sự '!$A125,'Data&gt;&gt; 2025'!$B:$B,'01. CP Nhân sự '!$C125,'Data&gt;&gt; 2025'!$C:$C,'01. CP Nhân sự '!I$72,'Data&gt;&gt; 2025'!$A:$A,627)</f>
        <v>174794240</v>
      </c>
      <c r="J125" s="73">
        <f>SUMIFS('Data&gt;&gt; 2025'!$N:$N,'Data&gt;&gt; 2025'!$L:$L,'01. CP Nhân sự '!$A125,'Data&gt;&gt; 2025'!$B:$B,'01. CP Nhân sự '!$C125,'Data&gt;&gt; 2025'!$C:$C,'01. CP Nhân sự '!J$72,'Data&gt;&gt; 2025'!$A:$A,627)</f>
        <v>12500000</v>
      </c>
      <c r="K125" s="128">
        <f t="shared" si="23"/>
        <v>1717816752</v>
      </c>
      <c r="L125" s="182"/>
      <c r="O125" s="251">
        <f t="shared" si="22"/>
        <v>1.3695459996785781E-2</v>
      </c>
    </row>
    <row r="126" spans="1:15" hidden="1" outlineLevel="1" x14ac:dyDescent="0.25">
      <c r="A126" s="15">
        <v>4</v>
      </c>
      <c r="B126" s="3">
        <v>12</v>
      </c>
      <c r="C126" s="7" t="s">
        <v>8</v>
      </c>
      <c r="D126" s="133">
        <v>244</v>
      </c>
      <c r="E126" s="73">
        <f>SUMIFS('Data&gt;&gt; 2025'!$N:$N,'Data&gt;&gt; 2025'!$L:$L,'01. CP Nhân sự '!$A126,'Data&gt;&gt; 2025'!$B:$B,'01. CP Nhân sự '!$C126,'Data&gt;&gt; 2025'!$C:$C,'01. CP Nhân sự '!E$72,'Data&gt;&gt; 2025'!$A:$A,622)</f>
        <v>2029999294</v>
      </c>
      <c r="F126" s="73">
        <f>SUMIFS('Data&gt;&gt; 2025'!$N:$N,'Data&gt;&gt; 2025'!$L:$L,'01. CP Nhân sự '!$A126,'Data&gt;&gt; 2025'!$B:$B,'01. CP Nhân sự '!$C126,'Data&gt;&gt; 2025'!$C:$C,'01. CP Nhân sự '!F$72,'Data&gt;&gt; 2025'!$A:$A,622)</f>
        <v>367893640</v>
      </c>
      <c r="G126" s="73">
        <f>SUMIFS('Data&gt;&gt; 2025'!$N:$N,'Data&gt;&gt; 2025'!$L:$L,'01. CP Nhân sự '!$A126,'Data&gt;&gt; 2025'!$B:$B,'01. CP Nhân sự '!$C126,'Data&gt;&gt; 2025'!$C:$C,'01. CP Nhân sự '!G$72,'Data&gt;&gt; 2025'!$A:$A,622)</f>
        <v>76331440</v>
      </c>
      <c r="H126" s="73">
        <f>SUMIFS('Data&gt;&gt; 2025'!$N:$N,'Data&gt;&gt; 2025'!$L:$L,'01. CP Nhân sự '!$A126,'Data&gt;&gt; 2025'!$B:$B,'01. CP Nhân sự '!$C126,'Data&gt;&gt; 2025'!$C:$C,'01. CP Nhân sự '!H$72,'Data&gt;&gt; 2025'!$A:$A,622)</f>
        <v>312218140</v>
      </c>
      <c r="I126" s="73">
        <f>SUMIFS('Data&gt;&gt; 2025'!$N:$N,'Data&gt;&gt; 2025'!$L:$L,'01. CP Nhân sự '!$A126,'Data&gt;&gt; 2025'!$B:$B,'01. CP Nhân sự '!$C126,'Data&gt;&gt; 2025'!$C:$C,'01. CP Nhân sự '!I$72,'Data&gt;&gt; 2025'!$A:$A,622)</f>
        <v>296698100</v>
      </c>
      <c r="J126" s="73">
        <f>SUMIFS('Data&gt;&gt; 2025'!$N:$N,'Data&gt;&gt; 2025'!$L:$L,'01. CP Nhân sự '!$A126,'Data&gt;&gt; 2025'!$B:$B,'01. CP Nhân sự '!$C126,'Data&gt;&gt; 2025'!$C:$C,'01. CP Nhân sự '!J$72,'Data&gt;&gt; 2025'!$A:$A,622)</f>
        <v>0</v>
      </c>
      <c r="K126" s="128">
        <f t="shared" si="23"/>
        <v>3083140614</v>
      </c>
      <c r="L126" s="182"/>
      <c r="O126" s="251">
        <f t="shared" si="22"/>
        <v>2.4580636377157971E-2</v>
      </c>
    </row>
    <row r="127" spans="1:15" hidden="1" outlineLevel="1" x14ac:dyDescent="0.25">
      <c r="A127" s="16">
        <v>4</v>
      </c>
      <c r="B127" s="3">
        <v>13</v>
      </c>
      <c r="C127" s="4" t="s">
        <v>221</v>
      </c>
      <c r="D127" s="135">
        <f>VLOOKUP(C127,'02. ĐỊNH BIÊN'!$C$6:$AL$47,6,0)</f>
        <v>1</v>
      </c>
      <c r="E127" s="125">
        <f>SUMIFS('Data&gt;&gt; 2025'!$N:$N,'Data&gt;&gt; 2025'!$L:$L,'01. CP Nhân sự '!$A127,'Data&gt;&gt; 2025'!$B:$B,'01. CP Nhân sự '!$C127,'Data&gt;&gt; 2025'!$C:$C,'01. CP Nhân sự '!E$72)</f>
        <v>228717947</v>
      </c>
      <c r="F127" s="125">
        <f>SUMIFS('Data&gt;&gt; 2025'!$N:$N,'Data&gt;&gt; 2025'!$L:$L,'01. CP Nhân sự '!$A127,'Data&gt;&gt; 2025'!$B:$B,'01. CP Nhân sự '!$C127,'Data&gt;&gt; 2025'!$C:$C,'01. CP Nhân sự '!F$72)</f>
        <v>0</v>
      </c>
      <c r="G127" s="125">
        <f>SUMIFS('Data&gt;&gt; 2025'!$N:$N,'Data&gt;&gt; 2025'!$L:$L,'01. CP Nhân sự '!$A127,'Data&gt;&gt; 2025'!$B:$B,'01. CP Nhân sự '!$C127,'Data&gt;&gt; 2025'!$C:$C,'01. CP Nhân sự '!G$72)</f>
        <v>14566540</v>
      </c>
      <c r="H127" s="125">
        <f>SUMIFS('Data&gt;&gt; 2025'!$N:$N,'Data&gt;&gt; 2025'!$L:$L,'01. CP Nhân sự '!$A127,'Data&gt;&gt; 2025'!$B:$B,'01. CP Nhân sự '!$C127,'Data&gt;&gt; 2025'!$C:$C,'01. CP Nhân sự '!H$72)</f>
        <v>0</v>
      </c>
      <c r="I127" s="125">
        <f>SUMIFS('Data&gt;&gt; 2025'!$N:$N,'Data&gt;&gt; 2025'!$L:$L,'01. CP Nhân sự '!$A127,'Data&gt;&gt; 2025'!$B:$B,'01. CP Nhân sự '!$C127,'Data&gt;&gt; 2025'!$C:$C,'01. CP Nhân sự '!I$72)</f>
        <v>0</v>
      </c>
      <c r="J127" s="125">
        <f>SUMIFS('Data&gt;&gt; 2025'!$N:$N,'Data&gt;&gt; 2025'!$L:$L,'01. CP Nhân sự '!$A127,'Data&gt;&gt; 2025'!$B:$B,'01. CP Nhân sự '!$C127,'Data&gt;&gt; 2025'!$C:$C,'01. CP Nhân sự '!J$72)</f>
        <v>0</v>
      </c>
      <c r="K127" s="128">
        <f t="shared" si="23"/>
        <v>243284487</v>
      </c>
      <c r="L127" s="182"/>
      <c r="O127" s="251">
        <f t="shared" si="22"/>
        <v>1.9396090739409965E-3</v>
      </c>
    </row>
    <row r="128" spans="1:15" collapsed="1" x14ac:dyDescent="0.25">
      <c r="A128" s="17">
        <v>4</v>
      </c>
      <c r="B128" s="18"/>
      <c r="C128" s="19" t="s">
        <v>17</v>
      </c>
      <c r="D128" s="136">
        <f>SUM(D115:D127)</f>
        <v>604</v>
      </c>
      <c r="E128" s="75">
        <f>SUM(E115:E127)</f>
        <v>9249172946</v>
      </c>
      <c r="F128" s="75">
        <f t="shared" ref="F128:J128" si="24">SUM(F115:F127)</f>
        <v>1182897082</v>
      </c>
      <c r="G128" s="75">
        <f t="shared" si="24"/>
        <v>1212450910</v>
      </c>
      <c r="H128" s="75">
        <f t="shared" si="24"/>
        <v>692953215</v>
      </c>
      <c r="I128" s="75">
        <f t="shared" si="24"/>
        <v>1374446795</v>
      </c>
      <c r="J128" s="75">
        <f t="shared" si="24"/>
        <v>19400000</v>
      </c>
      <c r="K128" s="75">
        <f>SUM(K115:K127)</f>
        <v>13731320948</v>
      </c>
      <c r="L128" s="181">
        <f>K128/K114-1</f>
        <v>0.10101923907986654</v>
      </c>
      <c r="N128" s="75">
        <v>125429649855</v>
      </c>
      <c r="O128" s="250">
        <f>K128/$N$128</f>
        <v>0.10947428270647148</v>
      </c>
    </row>
    <row r="129" spans="1:15" hidden="1" outlineLevel="1" x14ac:dyDescent="0.25">
      <c r="A129" s="14">
        <v>5</v>
      </c>
      <c r="B129" s="1">
        <v>1</v>
      </c>
      <c r="C129" s="2" t="s">
        <v>0</v>
      </c>
      <c r="D129" s="132">
        <f>VLOOKUP(C129,'02. ĐỊNH BIÊN'!$C$6:$AM$47,7,0)</f>
        <v>0</v>
      </c>
      <c r="E129" s="72">
        <f>SUMIFS('Data&gt;&gt; 2025'!$N:$N,'Data&gt;&gt; 2025'!$L:$L,'01. CP Nhân sự '!$A129,'Data&gt;&gt; 2025'!$B:$B,'01. CP Nhân sự '!$C129,'Data&gt;&gt; 2025'!$C:$C,'01. CP Nhân sự '!E$72)</f>
        <v>1609479872</v>
      </c>
      <c r="F129" s="72">
        <f>SUMIFS('Data&gt;&gt; 2025'!$N:$N,'Data&gt;&gt; 2025'!$L:$L,'01. CP Nhân sự '!$A129,'Data&gt;&gt; 2025'!$B:$B,'01. CP Nhân sự '!$C129,'Data&gt;&gt; 2025'!$C:$C,'01. CP Nhân sự '!F$72)</f>
        <v>0</v>
      </c>
      <c r="G129" s="72">
        <f>SUMIFS('Data&gt;&gt; 2025'!$N:$N,'Data&gt;&gt; 2025'!$L:$L,'01. CP Nhân sự '!$A129,'Data&gt;&gt; 2025'!$B:$B,'01. CP Nhân sự '!$C129,'Data&gt;&gt; 2025'!$C:$C,'01. CP Nhân sự '!G$72)</f>
        <v>110338806</v>
      </c>
      <c r="H129" s="72">
        <f>SUMIFS('Data&gt;&gt; 2025'!$N:$N,'Data&gt;&gt; 2025'!$L:$L,'01. CP Nhân sự '!$A129,'Data&gt;&gt; 2025'!$B:$B,'01. CP Nhân sự '!$C129,'Data&gt;&gt; 2025'!$C:$C,'01. CP Nhân sự '!H$72)</f>
        <v>0</v>
      </c>
      <c r="I129" s="72">
        <f>SUMIFS('Data&gt;&gt; 2025'!$N:$N,'Data&gt;&gt; 2025'!$L:$L,'01. CP Nhân sự '!$A129,'Data&gt;&gt; 2025'!$B:$B,'01. CP Nhân sự '!$C129,'Data&gt;&gt; 2025'!$C:$C,'01. CP Nhân sự '!I$72)</f>
        <v>124672010</v>
      </c>
      <c r="J129" s="72">
        <f>SUMIFS('Data&gt;&gt; 2025'!$N:$N,'Data&gt;&gt; 2025'!$L:$L,'01. CP Nhân sự '!$A129,'Data&gt;&gt; 2025'!$B:$B,'01. CP Nhân sự '!$C129,'Data&gt;&gt; 2025'!$C:$C,'01. CP Nhân sự '!J$72)</f>
        <v>0</v>
      </c>
      <c r="K129" s="128">
        <f>SUM(E129:J129)</f>
        <v>1844490688</v>
      </c>
      <c r="L129" s="182"/>
      <c r="O129" s="251">
        <f t="shared" ref="O129:O141" si="25">K129/$N$142</f>
        <v>1.2129449224901005E-2</v>
      </c>
    </row>
    <row r="130" spans="1:15" hidden="1" outlineLevel="1" x14ac:dyDescent="0.25">
      <c r="A130" s="15">
        <v>5</v>
      </c>
      <c r="B130" s="3">
        <v>2</v>
      </c>
      <c r="C130" s="7" t="s">
        <v>1</v>
      </c>
      <c r="D130" s="133">
        <f>VLOOKUP(C130,'02. ĐỊNH BIÊN'!$C$6:$AM$47,7,0)</f>
        <v>0</v>
      </c>
      <c r="E130" s="73">
        <f>SUMIFS('Data&gt;&gt; 2025'!$N:$N,'Data&gt;&gt; 2025'!$L:$L,'01. CP Nhân sự '!$A130,'Data&gt;&gt; 2025'!$B:$B,'01. CP Nhân sự '!$C130,'Data&gt;&gt; 2025'!$C:$C,'01. CP Nhân sự '!E$72)</f>
        <v>237599375</v>
      </c>
      <c r="F130" s="73">
        <f>SUMIFS('Data&gt;&gt; 2025'!$N:$N,'Data&gt;&gt; 2025'!$L:$L,'01. CP Nhân sự '!$A130,'Data&gt;&gt; 2025'!$B:$B,'01. CP Nhân sự '!$C130,'Data&gt;&gt; 2025'!$C:$C,'01. CP Nhân sự '!F$72)</f>
        <v>0</v>
      </c>
      <c r="G130" s="73">
        <f>SUMIFS('Data&gt;&gt; 2025'!$N:$N,'Data&gt;&gt; 2025'!$L:$L,'01. CP Nhân sự '!$A130,'Data&gt;&gt; 2025'!$B:$B,'01. CP Nhân sự '!$C130,'Data&gt;&gt; 2025'!$C:$C,'01. CP Nhân sự '!G$72)</f>
        <v>236892509</v>
      </c>
      <c r="H130" s="73">
        <f>SUMIFS('Data&gt;&gt; 2025'!$N:$N,'Data&gt;&gt; 2025'!$L:$L,'01. CP Nhân sự '!$A130,'Data&gt;&gt; 2025'!$B:$B,'01. CP Nhân sự '!$C130,'Data&gt;&gt; 2025'!$C:$C,'01. CP Nhân sự '!H$72)</f>
        <v>5135890</v>
      </c>
      <c r="I130" s="73">
        <f>SUMIFS('Data&gt;&gt; 2025'!$N:$N,'Data&gt;&gt; 2025'!$L:$L,'01. CP Nhân sự '!$A130,'Data&gt;&gt; 2025'!$B:$B,'01. CP Nhân sự '!$C130,'Data&gt;&gt; 2025'!$C:$C,'01. CP Nhân sự '!I$72)</f>
        <v>56494945</v>
      </c>
      <c r="J130" s="73">
        <f>SUMIFS('Data&gt;&gt; 2025'!$N:$N,'Data&gt;&gt; 2025'!$L:$L,'01. CP Nhân sự '!$A130,'Data&gt;&gt; 2025'!$B:$B,'01. CP Nhân sự '!$C130,'Data&gt;&gt; 2025'!$C:$C,'01. CP Nhân sự '!J$72)</f>
        <v>0</v>
      </c>
      <c r="K130" s="128">
        <f>SUM(E130:J130)</f>
        <v>536122719</v>
      </c>
      <c r="L130" s="182"/>
      <c r="O130" s="251">
        <f t="shared" si="25"/>
        <v>3.5255658056357552E-3</v>
      </c>
    </row>
    <row r="131" spans="1:15" hidden="1" outlineLevel="1" x14ac:dyDescent="0.25">
      <c r="A131" s="15">
        <v>5</v>
      </c>
      <c r="B131" s="3">
        <v>3</v>
      </c>
      <c r="C131" s="7" t="s">
        <v>2</v>
      </c>
      <c r="D131" s="133">
        <f>VLOOKUP(C131,'02. ĐỊNH BIÊN'!$C$6:$AM$47,7,0)</f>
        <v>0</v>
      </c>
      <c r="E131" s="73">
        <f>SUMIFS('Data&gt;&gt; 2025'!$N:$N,'Data&gt;&gt; 2025'!$L:$L,'01. CP Nhân sự '!$A131,'Data&gt;&gt; 2025'!$B:$B,'01. CP Nhân sự '!$C131,'Data&gt;&gt; 2025'!$C:$C,'01. CP Nhân sự '!E$72)</f>
        <v>127895390</v>
      </c>
      <c r="F131" s="73">
        <f>SUMIFS('Data&gt;&gt; 2025'!$N:$N,'Data&gt;&gt; 2025'!$L:$L,'01. CP Nhân sự '!$A131,'Data&gt;&gt; 2025'!$B:$B,'01. CP Nhân sự '!$C131,'Data&gt;&gt; 2025'!$C:$C,'01. CP Nhân sự '!F$72)</f>
        <v>0</v>
      </c>
      <c r="G131" s="73">
        <f>SUMIFS('Data&gt;&gt; 2025'!$N:$N,'Data&gt;&gt; 2025'!$L:$L,'01. CP Nhân sự '!$A131,'Data&gt;&gt; 2025'!$B:$B,'01. CP Nhân sự '!$C131,'Data&gt;&gt; 2025'!$C:$C,'01. CP Nhân sự '!G$72)</f>
        <v>12327435</v>
      </c>
      <c r="H131" s="73">
        <f>SUMIFS('Data&gt;&gt; 2025'!$N:$N,'Data&gt;&gt; 2025'!$L:$L,'01. CP Nhân sự '!$A131,'Data&gt;&gt; 2025'!$B:$B,'01. CP Nhân sự '!$C131,'Data&gt;&gt; 2025'!$C:$C,'01. CP Nhân sự '!H$72)</f>
        <v>3300000</v>
      </c>
      <c r="I131" s="73">
        <f>SUMIFS('Data&gt;&gt; 2025'!$N:$N,'Data&gt;&gt; 2025'!$L:$L,'01. CP Nhân sự '!$A131,'Data&gt;&gt; 2025'!$B:$B,'01. CP Nhân sự '!$C131,'Data&gt;&gt; 2025'!$C:$C,'01. CP Nhân sự '!I$72)</f>
        <v>27385255</v>
      </c>
      <c r="J131" s="73">
        <f>SUMIFS('Data&gt;&gt; 2025'!$N:$N,'Data&gt;&gt; 2025'!$L:$L,'01. CP Nhân sự '!$A131,'Data&gt;&gt; 2025'!$B:$B,'01. CP Nhân sự '!$C131,'Data&gt;&gt; 2025'!$C:$C,'01. CP Nhân sự '!J$72)</f>
        <v>0</v>
      </c>
      <c r="K131" s="128">
        <f t="shared" ref="K131:K141" si="26">SUM(E131:J131)</f>
        <v>170908080</v>
      </c>
      <c r="L131" s="182"/>
      <c r="O131" s="251">
        <f t="shared" si="25"/>
        <v>1.1238988041371552E-3</v>
      </c>
    </row>
    <row r="132" spans="1:15" hidden="1" outlineLevel="1" x14ac:dyDescent="0.25">
      <c r="A132" s="15">
        <v>5</v>
      </c>
      <c r="B132" s="3">
        <v>4</v>
      </c>
      <c r="C132" s="7" t="s">
        <v>3</v>
      </c>
      <c r="D132" s="133">
        <f>VLOOKUP(C132,'02. ĐỊNH BIÊN'!$C$6:$AM$47,7,0)</f>
        <v>0</v>
      </c>
      <c r="E132" s="73">
        <f>SUMIFS('Data&gt;&gt; 2025'!$N:$N,'Data&gt;&gt; 2025'!$L:$L,'01. CP Nhân sự '!$A132,'Data&gt;&gt; 2025'!$B:$B,'01. CP Nhân sự '!$C132,'Data&gt;&gt; 2025'!$C:$C,'01. CP Nhân sự '!E$72)</f>
        <v>491526305</v>
      </c>
      <c r="F132" s="73">
        <f>SUMIFS('Data&gt;&gt; 2025'!$N:$N,'Data&gt;&gt; 2025'!$L:$L,'01. CP Nhân sự '!$A132,'Data&gt;&gt; 2025'!$B:$B,'01. CP Nhân sự '!$C132,'Data&gt;&gt; 2025'!$C:$C,'01. CP Nhân sự '!F$72)</f>
        <v>58349279</v>
      </c>
      <c r="G132" s="73">
        <f>SUMIFS('Data&gt;&gt; 2025'!$N:$N,'Data&gt;&gt; 2025'!$L:$L,'01. CP Nhân sự '!$A132,'Data&gt;&gt; 2025'!$B:$B,'01. CP Nhân sự '!$C132,'Data&gt;&gt; 2025'!$C:$C,'01. CP Nhân sự '!G$72)</f>
        <v>40165489</v>
      </c>
      <c r="H132" s="73">
        <f>SUMIFS('Data&gt;&gt; 2025'!$N:$N,'Data&gt;&gt; 2025'!$L:$L,'01. CP Nhân sự '!$A132,'Data&gt;&gt; 2025'!$B:$B,'01. CP Nhân sự '!$C132,'Data&gt;&gt; 2025'!$C:$C,'01. CP Nhân sự '!H$72)</f>
        <v>15325000</v>
      </c>
      <c r="I132" s="73">
        <f>SUMIFS('Data&gt;&gt; 2025'!$N:$N,'Data&gt;&gt; 2025'!$L:$L,'01. CP Nhân sự '!$A132,'Data&gt;&gt; 2025'!$B:$B,'01. CP Nhân sự '!$C132,'Data&gt;&gt; 2025'!$C:$C,'01. CP Nhân sự '!I$72)</f>
        <v>91781855</v>
      </c>
      <c r="J132" s="73">
        <f>SUMIFS('Data&gt;&gt; 2025'!$N:$N,'Data&gt;&gt; 2025'!$L:$L,'01. CP Nhân sự '!$A132,'Data&gt;&gt; 2025'!$B:$B,'01. CP Nhân sự '!$C132,'Data&gt;&gt; 2025'!$C:$C,'01. CP Nhân sự '!J$72)</f>
        <v>0</v>
      </c>
      <c r="K132" s="128">
        <f t="shared" si="26"/>
        <v>697147928</v>
      </c>
      <c r="L132" s="182"/>
      <c r="O132" s="251">
        <f t="shared" si="25"/>
        <v>4.5844744296811221E-3</v>
      </c>
    </row>
    <row r="133" spans="1:15" hidden="1" outlineLevel="1" x14ac:dyDescent="0.25">
      <c r="A133" s="15">
        <v>5</v>
      </c>
      <c r="B133" s="3">
        <v>5</v>
      </c>
      <c r="C133" s="7" t="s">
        <v>4</v>
      </c>
      <c r="D133" s="133">
        <f>VLOOKUP(C133,'02. ĐỊNH BIÊN'!$C$6:$AM$47,7,0)</f>
        <v>0</v>
      </c>
      <c r="E133" s="73">
        <f>SUMIFS('Data&gt;&gt; 2025'!$N:$N,'Data&gt;&gt; 2025'!$L:$L,'01. CP Nhân sự '!$A133,'Data&gt;&gt; 2025'!$B:$B,'01. CP Nhân sự '!$C133,'Data&gt;&gt; 2025'!$C:$C,'01. CP Nhân sự '!E$72)</f>
        <v>162722420</v>
      </c>
      <c r="F133" s="73">
        <f>SUMIFS('Data&gt;&gt; 2025'!$N:$N,'Data&gt;&gt; 2025'!$L:$L,'01. CP Nhân sự '!$A133,'Data&gt;&gt; 2025'!$B:$B,'01. CP Nhân sự '!$C133,'Data&gt;&gt; 2025'!$C:$C,'01. CP Nhân sự '!F$72)</f>
        <v>0</v>
      </c>
      <c r="G133" s="73">
        <f>SUMIFS('Data&gt;&gt; 2025'!$N:$N,'Data&gt;&gt; 2025'!$L:$L,'01. CP Nhân sự '!$A133,'Data&gt;&gt; 2025'!$B:$B,'01. CP Nhân sự '!$C133,'Data&gt;&gt; 2025'!$C:$C,'01. CP Nhân sự '!G$72)</f>
        <v>14320444</v>
      </c>
      <c r="H133" s="73">
        <f>SUMIFS('Data&gt;&gt; 2025'!$N:$N,'Data&gt;&gt; 2025'!$L:$L,'01. CP Nhân sự '!$A133,'Data&gt;&gt; 2025'!$B:$B,'01. CP Nhân sự '!$C133,'Data&gt;&gt; 2025'!$C:$C,'01. CP Nhân sự '!H$72)</f>
        <v>100000</v>
      </c>
      <c r="I133" s="73">
        <f>SUMIFS('Data&gt;&gt; 2025'!$N:$N,'Data&gt;&gt; 2025'!$L:$L,'01. CP Nhân sự '!$A133,'Data&gt;&gt; 2025'!$B:$B,'01. CP Nhân sự '!$C133,'Data&gt;&gt; 2025'!$C:$C,'01. CP Nhân sự '!I$72)</f>
        <v>38209315</v>
      </c>
      <c r="J133" s="73">
        <f>SUMIFS('Data&gt;&gt; 2025'!$N:$N,'Data&gt;&gt; 2025'!$L:$L,'01. CP Nhân sự '!$A133,'Data&gt;&gt; 2025'!$B:$B,'01. CP Nhân sự '!$C133,'Data&gt;&gt; 2025'!$C:$C,'01. CP Nhân sự '!J$72)</f>
        <v>0</v>
      </c>
      <c r="K133" s="128">
        <f t="shared" si="26"/>
        <v>215352179</v>
      </c>
      <c r="L133" s="182"/>
      <c r="O133" s="251">
        <f t="shared" si="25"/>
        <v>1.4161650897162416E-3</v>
      </c>
    </row>
    <row r="134" spans="1:15" hidden="1" outlineLevel="1" x14ac:dyDescent="0.25">
      <c r="A134" s="15">
        <v>5</v>
      </c>
      <c r="B134" s="3">
        <v>6</v>
      </c>
      <c r="C134" s="7" t="s">
        <v>5</v>
      </c>
      <c r="D134" s="133">
        <f>VLOOKUP(C134,'02. ĐỊNH BIÊN'!$C$6:$AM$47,7,0)</f>
        <v>0</v>
      </c>
      <c r="E134" s="73">
        <f>SUMIFS('Data&gt;&gt; 2025'!$N:$N,'Data&gt;&gt; 2025'!$L:$L,'01. CP Nhân sự '!$A134,'Data&gt;&gt; 2025'!$B:$B,'01. CP Nhân sự '!$C134,'Data&gt;&gt; 2025'!$C:$C,'01. CP Nhân sự '!E$72)</f>
        <v>89882252</v>
      </c>
      <c r="F134" s="73">
        <f>SUMIFS('Data&gt;&gt; 2025'!$N:$N,'Data&gt;&gt; 2025'!$L:$L,'01. CP Nhân sự '!$A134,'Data&gt;&gt; 2025'!$B:$B,'01. CP Nhân sự '!$C134,'Data&gt;&gt; 2025'!$C:$C,'01. CP Nhân sự '!F$72)</f>
        <v>0</v>
      </c>
      <c r="G134" s="73">
        <f>SUMIFS('Data&gt;&gt; 2025'!$N:$N,'Data&gt;&gt; 2025'!$L:$L,'01. CP Nhân sự '!$A134,'Data&gt;&gt; 2025'!$B:$B,'01. CP Nhân sự '!$C134,'Data&gt;&gt; 2025'!$C:$C,'01. CP Nhân sự '!G$72)</f>
        <v>7289109</v>
      </c>
      <c r="H134" s="73">
        <f>SUMIFS('Data&gt;&gt; 2025'!$N:$N,'Data&gt;&gt; 2025'!$L:$L,'01. CP Nhân sự '!$A134,'Data&gt;&gt; 2025'!$B:$B,'01. CP Nhân sự '!$C134,'Data&gt;&gt; 2025'!$C:$C,'01. CP Nhân sự '!H$72)</f>
        <v>1625000</v>
      </c>
      <c r="I134" s="73">
        <f>SUMIFS('Data&gt;&gt; 2025'!$N:$N,'Data&gt;&gt; 2025'!$L:$L,'01. CP Nhân sự '!$A134,'Data&gt;&gt; 2025'!$B:$B,'01. CP Nhân sự '!$C134,'Data&gt;&gt; 2025'!$C:$C,'01. CP Nhân sự '!I$72)</f>
        <v>20503750</v>
      </c>
      <c r="J134" s="73">
        <f>SUMIFS('Data&gt;&gt; 2025'!$N:$N,'Data&gt;&gt; 2025'!$L:$L,'01. CP Nhân sự '!$A134,'Data&gt;&gt; 2025'!$B:$B,'01. CP Nhân sự '!$C134,'Data&gt;&gt; 2025'!$C:$C,'01. CP Nhân sự '!J$72)</f>
        <v>0</v>
      </c>
      <c r="K134" s="128">
        <f t="shared" si="26"/>
        <v>119300111</v>
      </c>
      <c r="L134" s="182"/>
      <c r="O134" s="251">
        <f t="shared" si="25"/>
        <v>7.8452260470265585E-4</v>
      </c>
    </row>
    <row r="135" spans="1:15" hidden="1" outlineLevel="1" x14ac:dyDescent="0.25">
      <c r="A135" s="15">
        <v>5</v>
      </c>
      <c r="B135" s="3">
        <v>7</v>
      </c>
      <c r="C135" s="7" t="s">
        <v>6</v>
      </c>
      <c r="D135" s="133">
        <f>VLOOKUP(C135,'02. ĐỊNH BIÊN'!$C$6:$AM$47,7,0)</f>
        <v>0</v>
      </c>
      <c r="E135" s="73">
        <f>SUMIFS('Data&gt;&gt; 2025'!$N:$N,'Data&gt;&gt; 2025'!$L:$L,'01. CP Nhân sự '!$A135,'Data&gt;&gt; 2025'!$B:$B,'01. CP Nhân sự '!$C135,'Data&gt;&gt; 2025'!$C:$C,'01. CP Nhân sự '!E$72)</f>
        <v>513367085</v>
      </c>
      <c r="F135" s="73">
        <f>SUMIFS('Data&gt;&gt; 2025'!$N:$N,'Data&gt;&gt; 2025'!$L:$L,'01. CP Nhân sự '!$A135,'Data&gt;&gt; 2025'!$B:$B,'01. CP Nhân sự '!$C135,'Data&gt;&gt; 2025'!$C:$C,'01. CP Nhân sự '!F$72)</f>
        <v>211357684</v>
      </c>
      <c r="G135" s="73">
        <f>SUMIFS('Data&gt;&gt; 2025'!$N:$N,'Data&gt;&gt; 2025'!$L:$L,'01. CP Nhân sự '!$A135,'Data&gt;&gt; 2025'!$B:$B,'01. CP Nhân sự '!$C135,'Data&gt;&gt; 2025'!$C:$C,'01. CP Nhân sự '!G$72)</f>
        <v>45880093</v>
      </c>
      <c r="H135" s="73">
        <f>SUMIFS('Data&gt;&gt; 2025'!$N:$N,'Data&gt;&gt; 2025'!$L:$L,'01. CP Nhân sự '!$A135,'Data&gt;&gt; 2025'!$B:$B,'01. CP Nhân sự '!$C135,'Data&gt;&gt; 2025'!$C:$C,'01. CP Nhân sự '!H$72)</f>
        <v>67350590</v>
      </c>
      <c r="I135" s="73">
        <f>SUMIFS('Data&gt;&gt; 2025'!$N:$N,'Data&gt;&gt; 2025'!$L:$L,'01. CP Nhân sự '!$A135,'Data&gt;&gt; 2025'!$B:$B,'01. CP Nhân sự '!$C135,'Data&gt;&gt; 2025'!$C:$C,'01. CP Nhân sự '!I$72)</f>
        <v>101197920</v>
      </c>
      <c r="J135" s="73">
        <f>SUMIFS('Data&gt;&gt; 2025'!$N:$N,'Data&gt;&gt; 2025'!$L:$L,'01. CP Nhân sự '!$A135,'Data&gt;&gt; 2025'!$B:$B,'01. CP Nhân sự '!$C135,'Data&gt;&gt; 2025'!$C:$C,'01. CP Nhân sự '!J$72)</f>
        <v>0</v>
      </c>
      <c r="K135" s="128">
        <f t="shared" si="26"/>
        <v>939153372</v>
      </c>
      <c r="L135" s="182"/>
      <c r="O135" s="251">
        <f t="shared" si="25"/>
        <v>6.1759125238091545E-3</v>
      </c>
    </row>
    <row r="136" spans="1:15" hidden="1" outlineLevel="1" x14ac:dyDescent="0.25">
      <c r="A136" s="15">
        <v>5</v>
      </c>
      <c r="B136" s="3">
        <v>8</v>
      </c>
      <c r="C136" s="7" t="s">
        <v>7</v>
      </c>
      <c r="D136" s="133">
        <f>VLOOKUP(C136,'02. ĐỊNH BIÊN'!$C$6:$AM$47,7,0)</f>
        <v>0</v>
      </c>
      <c r="E136" s="73">
        <f>SUMIFS('Data&gt;&gt; 2025'!$N:$N,'Data&gt;&gt; 2025'!$L:$L,'01. CP Nhân sự '!$A136,'Data&gt;&gt; 2025'!$B:$B,'01. CP Nhân sự '!$C136,'Data&gt;&gt; 2025'!$C:$C,'01. CP Nhân sự '!E$72)</f>
        <v>1135241933</v>
      </c>
      <c r="F136" s="73">
        <f>SUMIFS('Data&gt;&gt; 2025'!$N:$N,'Data&gt;&gt; 2025'!$L:$L,'01. CP Nhân sự '!$A136,'Data&gt;&gt; 2025'!$B:$B,'01. CP Nhân sự '!$C136,'Data&gt;&gt; 2025'!$C:$C,'01. CP Nhân sự '!F$72)</f>
        <v>443431514</v>
      </c>
      <c r="G136" s="73">
        <f>SUMIFS('Data&gt;&gt; 2025'!$N:$N,'Data&gt;&gt; 2025'!$L:$L,'01. CP Nhân sự '!$A136,'Data&gt;&gt; 2025'!$B:$B,'01. CP Nhân sự '!$C136,'Data&gt;&gt; 2025'!$C:$C,'01. CP Nhân sự '!G$72)</f>
        <v>94362005</v>
      </c>
      <c r="H136" s="73">
        <f>SUMIFS('Data&gt;&gt; 2025'!$N:$N,'Data&gt;&gt; 2025'!$L:$L,'01. CP Nhân sự '!$A136,'Data&gt;&gt; 2025'!$B:$B,'01. CP Nhân sự '!$C136,'Data&gt;&gt; 2025'!$C:$C,'01. CP Nhân sự '!H$72)</f>
        <v>105452328</v>
      </c>
      <c r="I136" s="73">
        <f>SUMIFS('Data&gt;&gt; 2025'!$N:$N,'Data&gt;&gt; 2025'!$L:$L,'01. CP Nhân sự '!$A136,'Data&gt;&gt; 2025'!$B:$B,'01. CP Nhân sự '!$C136,'Data&gt;&gt; 2025'!$C:$C,'01. CP Nhân sự '!I$72)</f>
        <v>212116170</v>
      </c>
      <c r="J136" s="73">
        <f>SUMIFS('Data&gt;&gt; 2025'!$N:$N,'Data&gt;&gt; 2025'!$L:$L,'01. CP Nhân sự '!$A136,'Data&gt;&gt; 2025'!$B:$B,'01. CP Nhân sự '!$C136,'Data&gt;&gt; 2025'!$C:$C,'01. CP Nhân sự '!J$72)</f>
        <v>0</v>
      </c>
      <c r="K136" s="128">
        <f t="shared" si="26"/>
        <v>1990603950</v>
      </c>
      <c r="L136" s="182"/>
      <c r="O136" s="251">
        <f t="shared" si="25"/>
        <v>1.3090296251152652E-2</v>
      </c>
    </row>
    <row r="137" spans="1:15" hidden="1" outlineLevel="1" x14ac:dyDescent="0.25">
      <c r="A137" s="15">
        <v>5</v>
      </c>
      <c r="B137" s="3">
        <v>9</v>
      </c>
      <c r="C137" s="7" t="s">
        <v>9</v>
      </c>
      <c r="D137" s="133">
        <f>VLOOKUP(C137,'02. ĐỊNH BIÊN'!$C$6:$AM$47,7,0)</f>
        <v>0</v>
      </c>
      <c r="E137" s="73">
        <f>SUMIFS('Data&gt;&gt; 2025'!$N:$N,'Data&gt;&gt; 2025'!$L:$L,'01. CP Nhân sự '!$A137,'Data&gt;&gt; 2025'!$B:$B,'01. CP Nhân sự '!$C137,'Data&gt;&gt; 2025'!$C:$C,'01. CP Nhân sự '!E$72)</f>
        <v>739749846</v>
      </c>
      <c r="F137" s="73">
        <f>SUMIFS('Data&gt;&gt; 2025'!$N:$N,'Data&gt;&gt; 2025'!$L:$L,'01. CP Nhân sự '!$A137,'Data&gt;&gt; 2025'!$B:$B,'01. CP Nhân sự '!$C137,'Data&gt;&gt; 2025'!$C:$C,'01. CP Nhân sự '!F$72)</f>
        <v>102736172</v>
      </c>
      <c r="G137" s="73">
        <f>SUMIFS('Data&gt;&gt; 2025'!$N:$N,'Data&gt;&gt; 2025'!$L:$L,'01. CP Nhân sự '!$A137,'Data&gt;&gt; 2025'!$B:$B,'01. CP Nhân sự '!$C137,'Data&gt;&gt; 2025'!$C:$C,'01. CP Nhân sự '!G$72)</f>
        <v>54393324</v>
      </c>
      <c r="H137" s="73">
        <f>SUMIFS('Data&gt;&gt; 2025'!$N:$N,'Data&gt;&gt; 2025'!$L:$L,'01. CP Nhân sự '!$A137,'Data&gt;&gt; 2025'!$B:$B,'01. CP Nhân sự '!$C137,'Data&gt;&gt; 2025'!$C:$C,'01. CP Nhân sự '!H$72)</f>
        <v>43231386</v>
      </c>
      <c r="I137" s="73">
        <f>SUMIFS('Data&gt;&gt; 2025'!$N:$N,'Data&gt;&gt; 2025'!$L:$L,'01. CP Nhân sự '!$A137,'Data&gt;&gt; 2025'!$B:$B,'01. CP Nhân sự '!$C137,'Data&gt;&gt; 2025'!$C:$C,'01. CP Nhân sự '!I$72)</f>
        <v>138199055</v>
      </c>
      <c r="J137" s="73">
        <f>SUMIFS('Data&gt;&gt; 2025'!$N:$N,'Data&gt;&gt; 2025'!$L:$L,'01. CP Nhân sự '!$A137,'Data&gt;&gt; 2025'!$B:$B,'01. CP Nhân sự '!$C137,'Data&gt;&gt; 2025'!$C:$C,'01. CP Nhân sự '!J$72)</f>
        <v>14525000</v>
      </c>
      <c r="K137" s="128">
        <f t="shared" si="26"/>
        <v>1092834783</v>
      </c>
      <c r="L137" s="182"/>
      <c r="O137" s="251">
        <f t="shared" si="25"/>
        <v>7.1865280198173632E-3</v>
      </c>
    </row>
    <row r="138" spans="1:15" hidden="1" outlineLevel="1" x14ac:dyDescent="0.25">
      <c r="A138" s="15">
        <v>5</v>
      </c>
      <c r="B138" s="3">
        <v>10</v>
      </c>
      <c r="C138" s="7" t="s">
        <v>10</v>
      </c>
      <c r="D138" s="133">
        <f>VLOOKUP(C138,'02. ĐỊNH BIÊN'!$C$6:$AM$47,7,0)</f>
        <v>0</v>
      </c>
      <c r="E138" s="73">
        <f>SUMIFS('Data&gt;&gt; 2025'!$N:$N,'Data&gt;&gt; 2025'!$L:$L,'01. CP Nhân sự '!$A138,'Data&gt;&gt; 2025'!$B:$B,'01. CP Nhân sự '!$C138,'Data&gt;&gt; 2025'!$C:$C,'01. CP Nhân sự '!E$72)</f>
        <v>547684567</v>
      </c>
      <c r="F138" s="73">
        <f>SUMIFS('Data&gt;&gt; 2025'!$N:$N,'Data&gt;&gt; 2025'!$L:$L,'01. CP Nhân sự '!$A138,'Data&gt;&gt; 2025'!$B:$B,'01. CP Nhân sự '!$C138,'Data&gt;&gt; 2025'!$C:$C,'01. CP Nhân sự '!F$72)</f>
        <v>0</v>
      </c>
      <c r="G138" s="73">
        <f>SUMIFS('Data&gt;&gt; 2025'!$N:$N,'Data&gt;&gt; 2025'!$L:$L,'01. CP Nhân sự '!$A138,'Data&gt;&gt; 2025'!$B:$B,'01. CP Nhân sự '!$C138,'Data&gt;&gt; 2025'!$C:$C,'01. CP Nhân sự '!G$72)</f>
        <v>283652720</v>
      </c>
      <c r="H138" s="73">
        <f>SUMIFS('Data&gt;&gt; 2025'!$N:$N,'Data&gt;&gt; 2025'!$L:$L,'01. CP Nhân sự '!$A138,'Data&gt;&gt; 2025'!$B:$B,'01. CP Nhân sự '!$C138,'Data&gt;&gt; 2025'!$C:$C,'01. CP Nhân sự '!H$72)</f>
        <v>12670000</v>
      </c>
      <c r="I138" s="73">
        <f>SUMIFS('Data&gt;&gt; 2025'!$N:$N,'Data&gt;&gt; 2025'!$L:$L,'01. CP Nhân sự '!$A138,'Data&gt;&gt; 2025'!$B:$B,'01. CP Nhân sự '!$C138,'Data&gt;&gt; 2025'!$C:$C,'01. CP Nhân sự '!I$72)</f>
        <v>104831385</v>
      </c>
      <c r="J138" s="73">
        <f>SUMIFS('Data&gt;&gt; 2025'!$N:$N,'Data&gt;&gt; 2025'!$L:$L,'01. CP Nhân sự '!$A138,'Data&gt;&gt; 2025'!$B:$B,'01. CP Nhân sự '!$C138,'Data&gt;&gt; 2025'!$C:$C,'01. CP Nhân sự '!J$72)</f>
        <v>0</v>
      </c>
      <c r="K138" s="128">
        <f t="shared" si="26"/>
        <v>948838672</v>
      </c>
      <c r="L138" s="182"/>
      <c r="O138" s="251">
        <f t="shared" si="25"/>
        <v>6.2396034686007032E-3</v>
      </c>
    </row>
    <row r="139" spans="1:15" hidden="1" outlineLevel="1" x14ac:dyDescent="0.25">
      <c r="A139" s="15">
        <v>5</v>
      </c>
      <c r="B139" s="3">
        <v>11</v>
      </c>
      <c r="C139" s="7" t="s">
        <v>8</v>
      </c>
      <c r="D139" s="133">
        <f>VLOOKUP(C139,'02. ĐỊNH BIÊN'!$C$6:$AM$47,7,0)</f>
        <v>0</v>
      </c>
      <c r="E139" s="73">
        <f>SUMIFS('Data&gt;&gt; 2025'!$N:$N,'Data&gt;&gt; 2025'!$L:$L,'01. CP Nhân sự '!$A139,'Data&gt;&gt; 2025'!$B:$B,'01. CP Nhân sự '!$C139,'Data&gt;&gt; 2025'!$C:$C,'01. CP Nhân sự '!E$72,'Data&gt;&gt; 2025'!$A:$A,627)</f>
        <v>1127834970</v>
      </c>
      <c r="F139" s="73">
        <f>SUMIFS('Data&gt;&gt; 2025'!$N:$N,'Data&gt;&gt; 2025'!$L:$L,'01. CP Nhân sự '!$A139,'Data&gt;&gt; 2025'!$B:$B,'01. CP Nhân sự '!$C139,'Data&gt;&gt; 2025'!$C:$C,'01. CP Nhân sự '!F$72,'Data&gt;&gt; 2025'!$A:$A,627)</f>
        <v>157998496</v>
      </c>
      <c r="G139" s="73">
        <f>SUMIFS('Data&gt;&gt; 2025'!$N:$N,'Data&gt;&gt; 2025'!$L:$L,'01. CP Nhân sự '!$A139,'Data&gt;&gt; 2025'!$B:$B,'01. CP Nhân sự '!$C139,'Data&gt;&gt; 2025'!$C:$C,'01. CP Nhân sự '!G$72,'Data&gt;&gt; 2025'!$A:$A,627)</f>
        <v>77882960</v>
      </c>
      <c r="H139" s="73">
        <f>SUMIFS('Data&gt;&gt; 2025'!$N:$N,'Data&gt;&gt; 2025'!$L:$L,'01. CP Nhân sự '!$A139,'Data&gt;&gt; 2025'!$B:$B,'01. CP Nhân sự '!$C139,'Data&gt;&gt; 2025'!$C:$C,'01. CP Nhân sự '!H$72,'Data&gt;&gt; 2025'!$A:$A,627)</f>
        <v>97975647</v>
      </c>
      <c r="I139" s="73">
        <f>SUMIFS('Data&gt;&gt; 2025'!$N:$N,'Data&gt;&gt; 2025'!$L:$L,'01. CP Nhân sự '!$A139,'Data&gt;&gt; 2025'!$B:$B,'01. CP Nhân sự '!$C139,'Data&gt;&gt; 2025'!$C:$C,'01. CP Nhân sự '!I$72,'Data&gt;&gt; 2025'!$A:$A,627)</f>
        <v>178627425</v>
      </c>
      <c r="J139" s="73">
        <f>SUMIFS('Data&gt;&gt; 2025'!$N:$N,'Data&gt;&gt; 2025'!$L:$L,'01. CP Nhân sự '!$A139,'Data&gt;&gt; 2025'!$B:$B,'01. CP Nhân sự '!$C139,'Data&gt;&gt; 2025'!$C:$C,'01. CP Nhân sự '!J$72,'Data&gt;&gt; 2025'!$A:$A,627)</f>
        <v>10650000</v>
      </c>
      <c r="K139" s="128">
        <f t="shared" si="26"/>
        <v>1650969498</v>
      </c>
      <c r="L139" s="182"/>
      <c r="O139" s="251">
        <f t="shared" si="25"/>
        <v>1.0856845647491445E-2</v>
      </c>
    </row>
    <row r="140" spans="1:15" hidden="1" outlineLevel="1" x14ac:dyDescent="0.25">
      <c r="A140" s="15">
        <v>5</v>
      </c>
      <c r="B140" s="3">
        <v>12</v>
      </c>
      <c r="C140" s="7" t="s">
        <v>8</v>
      </c>
      <c r="D140" s="133">
        <v>241</v>
      </c>
      <c r="E140" s="73">
        <f>SUMIFS('Data&gt;&gt; 2025'!$N:$N,'Data&gt;&gt; 2025'!$L:$L,'01. CP Nhân sự '!$A140,'Data&gt;&gt; 2025'!$B:$B,'01. CP Nhân sự '!$C140,'Data&gt;&gt; 2025'!$C:$C,'01. CP Nhân sự '!E$72,'Data&gt;&gt; 2025'!$A:$A,622)</f>
        <v>2141451938</v>
      </c>
      <c r="F140" s="73">
        <f>SUMIFS('Data&gt;&gt; 2025'!$N:$N,'Data&gt;&gt; 2025'!$L:$L,'01. CP Nhân sự '!$A140,'Data&gt;&gt; 2025'!$B:$B,'01. CP Nhân sự '!$C140,'Data&gt;&gt; 2025'!$C:$C,'01. CP Nhân sự '!F$72,'Data&gt;&gt; 2025'!$A:$A,622)</f>
        <v>583268535</v>
      </c>
      <c r="G140" s="73">
        <f>SUMIFS('Data&gt;&gt; 2025'!$N:$N,'Data&gt;&gt; 2025'!$L:$L,'01. CP Nhân sự '!$A140,'Data&gt;&gt; 2025'!$B:$B,'01. CP Nhân sự '!$C140,'Data&gt;&gt; 2025'!$C:$C,'01. CP Nhân sự '!G$72,'Data&gt;&gt; 2025'!$A:$A,622)</f>
        <v>73227195</v>
      </c>
      <c r="H140" s="73">
        <f>SUMIFS('Data&gt;&gt; 2025'!$N:$N,'Data&gt;&gt; 2025'!$L:$L,'01. CP Nhân sự '!$A140,'Data&gt;&gt; 2025'!$B:$B,'01. CP Nhân sự '!$C140,'Data&gt;&gt; 2025'!$C:$C,'01. CP Nhân sự '!H$72,'Data&gt;&gt; 2025'!$A:$A,622)</f>
        <v>320151262</v>
      </c>
      <c r="I140" s="73">
        <f>SUMIFS('Data&gt;&gt; 2025'!$N:$N,'Data&gt;&gt; 2025'!$L:$L,'01. CP Nhân sự '!$A140,'Data&gt;&gt; 2025'!$B:$B,'01. CP Nhân sự '!$C140,'Data&gt;&gt; 2025'!$C:$C,'01. CP Nhân sự '!I$72,'Data&gt;&gt; 2025'!$A:$A,622)</f>
        <v>292494940</v>
      </c>
      <c r="J140" s="73">
        <f>SUMIFS('Data&gt;&gt; 2025'!$N:$N,'Data&gt;&gt; 2025'!$L:$L,'01. CP Nhân sự '!$A140,'Data&gt;&gt; 2025'!$B:$B,'01. CP Nhân sự '!$C140,'Data&gt;&gt; 2025'!$C:$C,'01. CP Nhân sự '!J$72,'Data&gt;&gt; 2025'!$A:$A,622)</f>
        <v>0</v>
      </c>
      <c r="K140" s="128">
        <f t="shared" si="26"/>
        <v>3410593870</v>
      </c>
      <c r="L140" s="182"/>
      <c r="O140" s="251">
        <f t="shared" si="25"/>
        <v>2.242821036834837E-2</v>
      </c>
    </row>
    <row r="141" spans="1:15" hidden="1" outlineLevel="1" x14ac:dyDescent="0.25">
      <c r="A141" s="16">
        <v>5</v>
      </c>
      <c r="B141" s="3">
        <v>13</v>
      </c>
      <c r="C141" s="4" t="s">
        <v>221</v>
      </c>
      <c r="D141" s="135">
        <f>VLOOKUP(C141,'02. ĐỊNH BIÊN'!$C$6:$AM$47,7,0)</f>
        <v>0</v>
      </c>
      <c r="E141" s="125">
        <f>SUMIFS('Data&gt;&gt; 2025'!$N:$N,'Data&gt;&gt; 2025'!$L:$L,'01. CP Nhân sự '!$A141,'Data&gt;&gt; 2025'!$B:$B,'01. CP Nhân sự '!$C141,'Data&gt;&gt; 2025'!$C:$C,'01. CP Nhân sự '!E$72)</f>
        <v>205833333</v>
      </c>
      <c r="F141" s="125">
        <f>SUMIFS('Data&gt;&gt; 2025'!$N:$N,'Data&gt;&gt; 2025'!$L:$L,'01. CP Nhân sự '!$A141,'Data&gt;&gt; 2025'!$B:$B,'01. CP Nhân sự '!$C141,'Data&gt;&gt; 2025'!$C:$C,'01. CP Nhân sự '!F$72)</f>
        <v>0</v>
      </c>
      <c r="G141" s="125">
        <f>SUMIFS('Data&gt;&gt; 2025'!$N:$N,'Data&gt;&gt; 2025'!$L:$L,'01. CP Nhân sự '!$A141,'Data&gt;&gt; 2025'!$B:$B,'01. CP Nhân sự '!$C141,'Data&gt;&gt; 2025'!$C:$C,'01. CP Nhân sự '!G$72)</f>
        <v>14566540</v>
      </c>
      <c r="H141" s="125">
        <f>SUMIFS('Data&gt;&gt; 2025'!$N:$N,'Data&gt;&gt; 2025'!$L:$L,'01. CP Nhân sự '!$A141,'Data&gt;&gt; 2025'!$B:$B,'01. CP Nhân sự '!$C141,'Data&gt;&gt; 2025'!$C:$C,'01. CP Nhân sự '!H$72)</f>
        <v>0</v>
      </c>
      <c r="I141" s="125">
        <f>SUMIFS('Data&gt;&gt; 2025'!$N:$N,'Data&gt;&gt; 2025'!$L:$L,'01. CP Nhân sự '!$A141,'Data&gt;&gt; 2025'!$B:$B,'01. CP Nhân sự '!$C141,'Data&gt;&gt; 2025'!$C:$C,'01. CP Nhân sự '!I$72)</f>
        <v>0</v>
      </c>
      <c r="J141" s="125">
        <f>SUMIFS('Data&gt;&gt; 2025'!$N:$N,'Data&gt;&gt; 2025'!$L:$L,'01. CP Nhân sự '!$A141,'Data&gt;&gt; 2025'!$B:$B,'01. CP Nhân sự '!$C141,'Data&gt;&gt; 2025'!$C:$C,'01. CP Nhân sự '!J$72)</f>
        <v>0</v>
      </c>
      <c r="K141" s="128">
        <f t="shared" si="26"/>
        <v>220399873</v>
      </c>
      <c r="L141" s="182"/>
      <c r="O141" s="251">
        <f t="shared" si="25"/>
        <v>1.4493589401781408E-3</v>
      </c>
    </row>
    <row r="142" spans="1:15" collapsed="1" x14ac:dyDescent="0.25">
      <c r="A142" s="17">
        <v>5</v>
      </c>
      <c r="B142" s="18"/>
      <c r="C142" s="19" t="s">
        <v>17</v>
      </c>
      <c r="D142" s="136">
        <f>SUM(D129:D141)</f>
        <v>241</v>
      </c>
      <c r="E142" s="75">
        <f>SUM(E129:E141)</f>
        <v>9130269286</v>
      </c>
      <c r="F142" s="75">
        <f t="shared" ref="F142:J142" si="27">SUM(F129:F141)</f>
        <v>1557141680</v>
      </c>
      <c r="G142" s="75">
        <f t="shared" si="27"/>
        <v>1065298629</v>
      </c>
      <c r="H142" s="75">
        <f t="shared" si="27"/>
        <v>672317103</v>
      </c>
      <c r="I142" s="75">
        <f t="shared" si="27"/>
        <v>1386514025</v>
      </c>
      <c r="J142" s="75">
        <f t="shared" si="27"/>
        <v>25175000</v>
      </c>
      <c r="K142" s="75">
        <f>SUM(K129:K141)</f>
        <v>13836715723</v>
      </c>
      <c r="L142" s="181">
        <f>K142/K128-1</f>
        <v>7.6755015339839971E-3</v>
      </c>
      <c r="N142" s="75">
        <v>152067142852.07407</v>
      </c>
      <c r="O142" s="250">
        <f>K142/$N$142</f>
        <v>9.0990831178171763E-2</v>
      </c>
    </row>
    <row r="143" spans="1:15" hidden="1" outlineLevel="1" x14ac:dyDescent="0.25">
      <c r="A143" s="14">
        <v>6</v>
      </c>
      <c r="B143" s="1">
        <v>1</v>
      </c>
      <c r="C143" s="2" t="s">
        <v>0</v>
      </c>
      <c r="D143" s="132">
        <f>VLOOKUP(C143,'02. ĐỊNH BIÊN'!$C$6:$AN$47,8,0)</f>
        <v>0</v>
      </c>
      <c r="E143" s="72">
        <f>SUMIFS('Data&gt;&gt; 2025'!$N:$N,'Data&gt;&gt; 2025'!$L:$L,'01. CP Nhân sự '!$A143,'Data&gt;&gt; 2025'!$B:$B,'01. CP Nhân sự '!$C143,'Data&gt;&gt; 2025'!$C:$C,'01. CP Nhân sự '!E$72)</f>
        <v>1570186120</v>
      </c>
      <c r="F143" s="72">
        <f>SUMIFS('Data&gt;&gt; 2025'!$N:$N,'Data&gt;&gt; 2025'!$L:$L,'01. CP Nhân sự '!$A143,'Data&gt;&gt; 2025'!$B:$B,'01. CP Nhân sự '!$C143,'Data&gt;&gt; 2025'!$C:$C,'01. CP Nhân sự '!F$72)</f>
        <v>0</v>
      </c>
      <c r="G143" s="72">
        <f>SUMIFS('Data&gt;&gt; 2025'!$N:$N,'Data&gt;&gt; 2025'!$L:$L,'01. CP Nhân sự '!$A143,'Data&gt;&gt; 2025'!$B:$B,'01. CP Nhân sự '!$C143,'Data&gt;&gt; 2025'!$C:$C,'01. CP Nhân sự '!G$72)</f>
        <v>104564834</v>
      </c>
      <c r="H143" s="72">
        <f>SUMIFS('Data&gt;&gt; 2025'!$N:$N,'Data&gt;&gt; 2025'!$L:$L,'01. CP Nhân sự '!$A143,'Data&gt;&gt; 2025'!$B:$B,'01. CP Nhân sự '!$C143,'Data&gt;&gt; 2025'!$C:$C,'01. CP Nhân sự '!H$72)</f>
        <v>0</v>
      </c>
      <c r="I143" s="72">
        <f>SUMIFS('Data&gt;&gt; 2025'!$N:$N,'Data&gt;&gt; 2025'!$L:$L,'01. CP Nhân sự '!$A143,'Data&gt;&gt; 2025'!$B:$B,'01. CP Nhân sự '!$C143,'Data&gt;&gt; 2025'!$C:$C,'01. CP Nhân sự '!I$72)</f>
        <v>168309455</v>
      </c>
      <c r="J143" s="72">
        <f>SUMIFS('Data&gt;&gt; 2025'!$N:$N,'Data&gt;&gt; 2025'!$L:$L,'01. CP Nhân sự '!$A143,'Data&gt;&gt; 2025'!$B:$B,'01. CP Nhân sự '!$C143,'Data&gt;&gt; 2025'!$C:$C,'01. CP Nhân sự '!J$72)</f>
        <v>0</v>
      </c>
      <c r="K143" s="128">
        <f>SUM(E143:J143)</f>
        <v>1843060409</v>
      </c>
      <c r="L143" s="182"/>
      <c r="O143" s="251">
        <f t="shared" ref="O143:O155" si="28">K143/$N$156</f>
        <v>1.5470394686360453E-2</v>
      </c>
    </row>
    <row r="144" spans="1:15" hidden="1" outlineLevel="1" x14ac:dyDescent="0.25">
      <c r="A144" s="15">
        <v>6</v>
      </c>
      <c r="B144" s="3">
        <v>2</v>
      </c>
      <c r="C144" s="7" t="s">
        <v>1</v>
      </c>
      <c r="D144" s="133">
        <f>VLOOKUP(C144,'02. ĐỊNH BIÊN'!$C$6:$AN$47,8,0)</f>
        <v>0</v>
      </c>
      <c r="E144" s="73">
        <f>SUMIFS('Data&gt;&gt; 2025'!$N:$N,'Data&gt;&gt; 2025'!$L:$L,'01. CP Nhân sự '!$A144,'Data&gt;&gt; 2025'!$B:$B,'01. CP Nhân sự '!$C144,'Data&gt;&gt; 2025'!$C:$C,'01. CP Nhân sự '!E$72)</f>
        <v>261541743</v>
      </c>
      <c r="F144" s="73">
        <f>SUMIFS('Data&gt;&gt; 2025'!$N:$N,'Data&gt;&gt; 2025'!$L:$L,'01. CP Nhân sự '!$A144,'Data&gt;&gt; 2025'!$B:$B,'01. CP Nhân sự '!$C144,'Data&gt;&gt; 2025'!$C:$C,'01. CP Nhân sự '!F$72)</f>
        <v>0</v>
      </c>
      <c r="G144" s="73">
        <f>SUMIFS('Data&gt;&gt; 2025'!$N:$N,'Data&gt;&gt; 2025'!$L:$L,'01. CP Nhân sự '!$A144,'Data&gt;&gt; 2025'!$B:$B,'01. CP Nhân sự '!$C144,'Data&gt;&gt; 2025'!$C:$C,'01. CP Nhân sự '!G$72)</f>
        <v>165981145</v>
      </c>
      <c r="H144" s="73">
        <f>SUMIFS('Data&gt;&gt; 2025'!$N:$N,'Data&gt;&gt; 2025'!$L:$L,'01. CP Nhân sự '!$A144,'Data&gt;&gt; 2025'!$B:$B,'01. CP Nhân sự '!$C144,'Data&gt;&gt; 2025'!$C:$C,'01. CP Nhân sự '!H$72)</f>
        <v>4949048</v>
      </c>
      <c r="I144" s="73">
        <f>SUMIFS('Data&gt;&gt; 2025'!$N:$N,'Data&gt;&gt; 2025'!$L:$L,'01. CP Nhân sự '!$A144,'Data&gt;&gt; 2025'!$B:$B,'01. CP Nhân sự '!$C144,'Data&gt;&gt; 2025'!$C:$C,'01. CP Nhân sự '!I$72)</f>
        <v>56494945</v>
      </c>
      <c r="J144" s="73">
        <f>SUMIFS('Data&gt;&gt; 2025'!$N:$N,'Data&gt;&gt; 2025'!$L:$L,'01. CP Nhân sự '!$A144,'Data&gt;&gt; 2025'!$B:$B,'01. CP Nhân sự '!$C144,'Data&gt;&gt; 2025'!$C:$C,'01. CP Nhân sự '!J$72)</f>
        <v>0</v>
      </c>
      <c r="K144" s="128">
        <f>SUM(E144:J144)</f>
        <v>488966881</v>
      </c>
      <c r="L144" s="182"/>
      <c r="O144" s="251">
        <f t="shared" si="28"/>
        <v>4.1043205098920035E-3</v>
      </c>
    </row>
    <row r="145" spans="1:15" hidden="1" outlineLevel="1" x14ac:dyDescent="0.25">
      <c r="A145" s="15">
        <v>6</v>
      </c>
      <c r="B145" s="3">
        <v>3</v>
      </c>
      <c r="C145" s="7" t="s">
        <v>2</v>
      </c>
      <c r="D145" s="133">
        <f>VLOOKUP(C145,'02. ĐỊNH BIÊN'!$C$6:$AN$47,8,0)</f>
        <v>0</v>
      </c>
      <c r="E145" s="73">
        <f>SUMIFS('Data&gt;&gt; 2025'!$N:$N,'Data&gt;&gt; 2025'!$L:$L,'01. CP Nhân sự '!$A145,'Data&gt;&gt; 2025'!$B:$B,'01. CP Nhân sự '!$C145,'Data&gt;&gt; 2025'!$C:$C,'01. CP Nhân sự '!E$72)</f>
        <v>152250832</v>
      </c>
      <c r="F145" s="73">
        <f>SUMIFS('Data&gt;&gt; 2025'!$N:$N,'Data&gt;&gt; 2025'!$L:$L,'01. CP Nhân sự '!$A145,'Data&gt;&gt; 2025'!$B:$B,'01. CP Nhân sự '!$C145,'Data&gt;&gt; 2025'!$C:$C,'01. CP Nhân sự '!F$72)</f>
        <v>0</v>
      </c>
      <c r="G145" s="73">
        <f>SUMIFS('Data&gt;&gt; 2025'!$N:$N,'Data&gt;&gt; 2025'!$L:$L,'01. CP Nhân sự '!$A145,'Data&gt;&gt; 2025'!$B:$B,'01. CP Nhân sự '!$C145,'Data&gt;&gt; 2025'!$C:$C,'01. CP Nhân sự '!G$72)</f>
        <v>10927435</v>
      </c>
      <c r="H145" s="73">
        <f>SUMIFS('Data&gt;&gt; 2025'!$N:$N,'Data&gt;&gt; 2025'!$L:$L,'01. CP Nhân sự '!$A145,'Data&gt;&gt; 2025'!$B:$B,'01. CP Nhân sự '!$C145,'Data&gt;&gt; 2025'!$C:$C,'01. CP Nhân sự '!H$72)</f>
        <v>5325000</v>
      </c>
      <c r="I145" s="73">
        <f>SUMIFS('Data&gt;&gt; 2025'!$N:$N,'Data&gt;&gt; 2025'!$L:$L,'01. CP Nhân sự '!$A145,'Data&gt;&gt; 2025'!$B:$B,'01. CP Nhân sự '!$C145,'Data&gt;&gt; 2025'!$C:$C,'01. CP Nhân sự '!I$72)</f>
        <v>27385255</v>
      </c>
      <c r="J145" s="73">
        <f>SUMIFS('Data&gt;&gt; 2025'!$N:$N,'Data&gt;&gt; 2025'!$L:$L,'01. CP Nhân sự '!$A145,'Data&gt;&gt; 2025'!$B:$B,'01. CP Nhân sự '!$C145,'Data&gt;&gt; 2025'!$C:$C,'01. CP Nhân sự '!J$72)</f>
        <v>0</v>
      </c>
      <c r="K145" s="128">
        <f t="shared" ref="K145:K155" si="29">SUM(E145:J145)</f>
        <v>195888522</v>
      </c>
      <c r="L145" s="182"/>
      <c r="O145" s="251">
        <f t="shared" si="28"/>
        <v>1.6442612163277187E-3</v>
      </c>
    </row>
    <row r="146" spans="1:15" hidden="1" outlineLevel="1" x14ac:dyDescent="0.25">
      <c r="A146" s="15">
        <v>6</v>
      </c>
      <c r="B146" s="3">
        <v>4</v>
      </c>
      <c r="C146" s="7" t="s">
        <v>3</v>
      </c>
      <c r="D146" s="133">
        <f>VLOOKUP(C146,'02. ĐỊNH BIÊN'!$C$6:$AN$47,8,0)</f>
        <v>0</v>
      </c>
      <c r="E146" s="73">
        <f>SUMIFS('Data&gt;&gt; 2025'!$N:$N,'Data&gt;&gt; 2025'!$L:$L,'01. CP Nhân sự '!$A146,'Data&gt;&gt; 2025'!$B:$B,'01. CP Nhân sự '!$C146,'Data&gt;&gt; 2025'!$C:$C,'01. CP Nhân sự '!E$72)</f>
        <v>531704267</v>
      </c>
      <c r="F146" s="73">
        <f>SUMIFS('Data&gt;&gt; 2025'!$N:$N,'Data&gt;&gt; 2025'!$L:$L,'01. CP Nhân sự '!$A146,'Data&gt;&gt; 2025'!$B:$B,'01. CP Nhân sự '!$C146,'Data&gt;&gt; 2025'!$C:$C,'01. CP Nhân sự '!F$72)</f>
        <v>48849223</v>
      </c>
      <c r="G146" s="73">
        <f>SUMIFS('Data&gt;&gt; 2025'!$N:$N,'Data&gt;&gt; 2025'!$L:$L,'01. CP Nhân sự '!$A146,'Data&gt;&gt; 2025'!$B:$B,'01. CP Nhân sự '!$C146,'Data&gt;&gt; 2025'!$C:$C,'01. CP Nhân sự '!G$72)</f>
        <v>34852210</v>
      </c>
      <c r="H146" s="73">
        <f>SUMIFS('Data&gt;&gt; 2025'!$N:$N,'Data&gt;&gt; 2025'!$L:$L,'01. CP Nhân sự '!$A146,'Data&gt;&gt; 2025'!$B:$B,'01. CP Nhân sự '!$C146,'Data&gt;&gt; 2025'!$C:$C,'01. CP Nhân sự '!H$72)</f>
        <v>17165000</v>
      </c>
      <c r="I146" s="73">
        <f>SUMIFS('Data&gt;&gt; 2025'!$N:$N,'Data&gt;&gt; 2025'!$L:$L,'01. CP Nhân sự '!$A146,'Data&gt;&gt; 2025'!$B:$B,'01. CP Nhân sự '!$C146,'Data&gt;&gt; 2025'!$C:$C,'01. CP Nhân sự '!I$72)</f>
        <v>95261030</v>
      </c>
      <c r="J146" s="73">
        <f>SUMIFS('Data&gt;&gt; 2025'!$N:$N,'Data&gt;&gt; 2025'!$L:$L,'01. CP Nhân sự '!$A146,'Data&gt;&gt; 2025'!$B:$B,'01. CP Nhân sự '!$C146,'Data&gt;&gt; 2025'!$C:$C,'01. CP Nhân sự '!J$72)</f>
        <v>0</v>
      </c>
      <c r="K146" s="128">
        <f t="shared" si="29"/>
        <v>727831730</v>
      </c>
      <c r="L146" s="182"/>
      <c r="O146" s="251">
        <f t="shared" si="28"/>
        <v>6.1093190832881353E-3</v>
      </c>
    </row>
    <row r="147" spans="1:15" hidden="1" outlineLevel="1" x14ac:dyDescent="0.25">
      <c r="A147" s="15">
        <v>6</v>
      </c>
      <c r="B147" s="3">
        <v>5</v>
      </c>
      <c r="C147" s="7" t="s">
        <v>4</v>
      </c>
      <c r="D147" s="133">
        <f>VLOOKUP(C147,'02. ĐỊNH BIÊN'!$C$6:$AN$47,8,0)</f>
        <v>0</v>
      </c>
      <c r="E147" s="73">
        <f>SUMIFS('Data&gt;&gt; 2025'!$N:$N,'Data&gt;&gt; 2025'!$L:$L,'01. CP Nhân sự '!$A147,'Data&gt;&gt; 2025'!$B:$B,'01. CP Nhân sự '!$C147,'Data&gt;&gt; 2025'!$C:$C,'01. CP Nhân sự '!E$72)</f>
        <v>153541240</v>
      </c>
      <c r="F147" s="73">
        <f>SUMIFS('Data&gt;&gt; 2025'!$N:$N,'Data&gt;&gt; 2025'!$L:$L,'01. CP Nhân sự '!$A147,'Data&gt;&gt; 2025'!$B:$B,'01. CP Nhân sự '!$C147,'Data&gt;&gt; 2025'!$C:$C,'01. CP Nhân sự '!F$72)</f>
        <v>0</v>
      </c>
      <c r="G147" s="73">
        <f>SUMIFS('Data&gt;&gt; 2025'!$N:$N,'Data&gt;&gt; 2025'!$L:$L,'01. CP Nhân sự '!$A147,'Data&gt;&gt; 2025'!$B:$B,'01. CP Nhân sự '!$C147,'Data&gt;&gt; 2025'!$C:$C,'01. CP Nhân sự '!G$72)</f>
        <v>10029829</v>
      </c>
      <c r="H147" s="73">
        <f>SUMIFS('Data&gt;&gt; 2025'!$N:$N,'Data&gt;&gt; 2025'!$L:$L,'01. CP Nhân sự '!$A147,'Data&gt;&gt; 2025'!$B:$B,'01. CP Nhân sự '!$C147,'Data&gt;&gt; 2025'!$C:$C,'01. CP Nhân sự '!H$72)</f>
        <v>200000</v>
      </c>
      <c r="I147" s="73">
        <f>SUMIFS('Data&gt;&gt; 2025'!$N:$N,'Data&gt;&gt; 2025'!$L:$L,'01. CP Nhân sự '!$A147,'Data&gt;&gt; 2025'!$B:$B,'01. CP Nhân sự '!$C147,'Data&gt;&gt; 2025'!$C:$C,'01. CP Nhân sự '!I$72)</f>
        <v>26528875</v>
      </c>
      <c r="J147" s="73">
        <f>SUMIFS('Data&gt;&gt; 2025'!$N:$N,'Data&gt;&gt; 2025'!$L:$L,'01. CP Nhân sự '!$A147,'Data&gt;&gt; 2025'!$B:$B,'01. CP Nhân sự '!$C147,'Data&gt;&gt; 2025'!$C:$C,'01. CP Nhân sự '!J$72)</f>
        <v>0</v>
      </c>
      <c r="K147" s="128">
        <f t="shared" si="29"/>
        <v>190299944</v>
      </c>
      <c r="L147" s="182"/>
      <c r="O147" s="251">
        <f t="shared" si="28"/>
        <v>1.5973514639542625E-3</v>
      </c>
    </row>
    <row r="148" spans="1:15" hidden="1" outlineLevel="1" x14ac:dyDescent="0.25">
      <c r="A148" s="15">
        <v>6</v>
      </c>
      <c r="B148" s="3">
        <v>6</v>
      </c>
      <c r="C148" s="7" t="s">
        <v>5</v>
      </c>
      <c r="D148" s="133">
        <f>VLOOKUP(C148,'02. ĐỊNH BIÊN'!$C$6:$AN$47,8,0)</f>
        <v>0</v>
      </c>
      <c r="E148" s="73">
        <f>SUMIFS('Data&gt;&gt; 2025'!$N:$N,'Data&gt;&gt; 2025'!$L:$L,'01. CP Nhân sự '!$A148,'Data&gt;&gt; 2025'!$B:$B,'01. CP Nhân sự '!$C148,'Data&gt;&gt; 2025'!$C:$C,'01. CP Nhân sự '!E$72)</f>
        <v>138811579</v>
      </c>
      <c r="F148" s="73">
        <f>SUMIFS('Data&gt;&gt; 2025'!$N:$N,'Data&gt;&gt; 2025'!$L:$L,'01. CP Nhân sự '!$A148,'Data&gt;&gt; 2025'!$B:$B,'01. CP Nhân sự '!$C148,'Data&gt;&gt; 2025'!$C:$C,'01. CP Nhân sự '!F$72)</f>
        <v>0</v>
      </c>
      <c r="G148" s="73">
        <f>SUMIFS('Data&gt;&gt; 2025'!$N:$N,'Data&gt;&gt; 2025'!$L:$L,'01. CP Nhân sự '!$A148,'Data&gt;&gt; 2025'!$B:$B,'01. CP Nhân sự '!$C148,'Data&gt;&gt; 2025'!$C:$C,'01. CP Nhân sự '!G$72)</f>
        <v>9863081</v>
      </c>
      <c r="H148" s="73">
        <f>SUMIFS('Data&gt;&gt; 2025'!$N:$N,'Data&gt;&gt; 2025'!$L:$L,'01. CP Nhân sự '!$A148,'Data&gt;&gt; 2025'!$B:$B,'01. CP Nhân sự '!$C148,'Data&gt;&gt; 2025'!$C:$C,'01. CP Nhân sự '!H$72)</f>
        <v>2000000</v>
      </c>
      <c r="I148" s="73">
        <f>SUMIFS('Data&gt;&gt; 2025'!$N:$N,'Data&gt;&gt; 2025'!$L:$L,'01. CP Nhân sự '!$A148,'Data&gt;&gt; 2025'!$B:$B,'01. CP Nhân sự '!$C148,'Data&gt;&gt; 2025'!$C:$C,'01. CP Nhân sự '!I$72)</f>
        <v>20917750</v>
      </c>
      <c r="J148" s="73">
        <f>SUMIFS('Data&gt;&gt; 2025'!$N:$N,'Data&gt;&gt; 2025'!$L:$L,'01. CP Nhân sự '!$A148,'Data&gt;&gt; 2025'!$B:$B,'01. CP Nhân sự '!$C148,'Data&gt;&gt; 2025'!$C:$C,'01. CP Nhân sự '!J$72)</f>
        <v>0</v>
      </c>
      <c r="K148" s="128">
        <f t="shared" si="29"/>
        <v>171592410</v>
      </c>
      <c r="L148" s="182"/>
      <c r="O148" s="251">
        <f t="shared" si="28"/>
        <v>1.4403230056491243E-3</v>
      </c>
    </row>
    <row r="149" spans="1:15" hidden="1" outlineLevel="1" x14ac:dyDescent="0.25">
      <c r="A149" s="15">
        <v>6</v>
      </c>
      <c r="B149" s="3">
        <v>7</v>
      </c>
      <c r="C149" s="7" t="s">
        <v>6</v>
      </c>
      <c r="D149" s="133">
        <f>VLOOKUP(C149,'02. ĐỊNH BIÊN'!$C$6:$AN$47,8,0)</f>
        <v>0</v>
      </c>
      <c r="E149" s="73">
        <f>SUMIFS('Data&gt;&gt; 2025'!$N:$N,'Data&gt;&gt; 2025'!$L:$L,'01. CP Nhân sự '!$A149,'Data&gt;&gt; 2025'!$B:$B,'01. CP Nhân sự '!$C149,'Data&gt;&gt; 2025'!$C:$C,'01. CP Nhân sự '!E$72)</f>
        <v>610360827</v>
      </c>
      <c r="F149" s="73">
        <f>SUMIFS('Data&gt;&gt; 2025'!$N:$N,'Data&gt;&gt; 2025'!$L:$L,'01. CP Nhân sự '!$A149,'Data&gt;&gt; 2025'!$B:$B,'01. CP Nhân sự '!$C149,'Data&gt;&gt; 2025'!$C:$C,'01. CP Nhân sự '!F$72)</f>
        <v>202181562</v>
      </c>
      <c r="G149" s="73">
        <f>SUMIFS('Data&gt;&gt; 2025'!$N:$N,'Data&gt;&gt; 2025'!$L:$L,'01. CP Nhân sự '!$A149,'Data&gt;&gt; 2025'!$B:$B,'01. CP Nhân sự '!$C149,'Data&gt;&gt; 2025'!$C:$C,'01. CP Nhân sự '!G$72)</f>
        <v>41045520</v>
      </c>
      <c r="H149" s="73">
        <f>SUMIFS('Data&gt;&gt; 2025'!$N:$N,'Data&gt;&gt; 2025'!$L:$L,'01. CP Nhân sự '!$A149,'Data&gt;&gt; 2025'!$B:$B,'01. CP Nhân sự '!$C149,'Data&gt;&gt; 2025'!$C:$C,'01. CP Nhân sự '!H$72)</f>
        <v>72097483</v>
      </c>
      <c r="I149" s="73">
        <f>SUMIFS('Data&gt;&gt; 2025'!$N:$N,'Data&gt;&gt; 2025'!$L:$L,'01. CP Nhân sự '!$A149,'Data&gt;&gt; 2025'!$B:$B,'01. CP Nhân sự '!$C149,'Data&gt;&gt; 2025'!$C:$C,'01. CP Nhân sự '!I$72)</f>
        <v>107367035</v>
      </c>
      <c r="J149" s="73">
        <f>SUMIFS('Data&gt;&gt; 2025'!$N:$N,'Data&gt;&gt; 2025'!$L:$L,'01. CP Nhân sự '!$A149,'Data&gt;&gt; 2025'!$B:$B,'01. CP Nhân sự '!$C149,'Data&gt;&gt; 2025'!$C:$C,'01. CP Nhân sự '!J$72)</f>
        <v>0</v>
      </c>
      <c r="K149" s="128">
        <f t="shared" si="29"/>
        <v>1033052427</v>
      </c>
      <c r="L149" s="182"/>
      <c r="O149" s="251">
        <f t="shared" si="28"/>
        <v>8.6712994860889386E-3</v>
      </c>
    </row>
    <row r="150" spans="1:15" hidden="1" outlineLevel="1" x14ac:dyDescent="0.25">
      <c r="A150" s="15">
        <v>6</v>
      </c>
      <c r="B150" s="3">
        <v>8</v>
      </c>
      <c r="C150" s="7" t="s">
        <v>7</v>
      </c>
      <c r="D150" s="133">
        <f>VLOOKUP(C150,'02. ĐỊNH BIÊN'!$C$6:$AN$47,8,0)</f>
        <v>0</v>
      </c>
      <c r="E150" s="73">
        <f>SUMIFS('Data&gt;&gt; 2025'!$N:$N,'Data&gt;&gt; 2025'!$L:$L,'01. CP Nhân sự '!$A150,'Data&gt;&gt; 2025'!$B:$B,'01. CP Nhân sự '!$C150,'Data&gt;&gt; 2025'!$C:$C,'01. CP Nhân sự '!E$72)</f>
        <v>1245502404</v>
      </c>
      <c r="F150" s="73">
        <f>SUMIFS('Data&gt;&gt; 2025'!$N:$N,'Data&gt;&gt; 2025'!$L:$L,'01. CP Nhân sự '!$A150,'Data&gt;&gt; 2025'!$B:$B,'01. CP Nhân sự '!$C150,'Data&gt;&gt; 2025'!$C:$C,'01. CP Nhân sự '!F$72)</f>
        <v>361637450</v>
      </c>
      <c r="G150" s="73">
        <f>SUMIFS('Data&gt;&gt; 2025'!$N:$N,'Data&gt;&gt; 2025'!$L:$L,'01. CP Nhân sự '!$A150,'Data&gt;&gt; 2025'!$B:$B,'01. CP Nhân sự '!$C150,'Data&gt;&gt; 2025'!$C:$C,'01. CP Nhân sự '!G$72)</f>
        <v>80393654</v>
      </c>
      <c r="H150" s="73">
        <f>SUMIFS('Data&gt;&gt; 2025'!$N:$N,'Data&gt;&gt; 2025'!$L:$L,'01. CP Nhân sự '!$A150,'Data&gt;&gt; 2025'!$B:$B,'01. CP Nhân sự '!$C150,'Data&gt;&gt; 2025'!$C:$C,'01. CP Nhân sự '!H$72)</f>
        <v>109078812</v>
      </c>
      <c r="I150" s="73">
        <f>SUMIFS('Data&gt;&gt; 2025'!$N:$N,'Data&gt;&gt; 2025'!$L:$L,'01. CP Nhân sự '!$A150,'Data&gt;&gt; 2025'!$B:$B,'01. CP Nhân sự '!$C150,'Data&gt;&gt; 2025'!$C:$C,'01. CP Nhân sự '!I$72)</f>
        <v>237026170</v>
      </c>
      <c r="J150" s="73">
        <f>SUMIFS('Data&gt;&gt; 2025'!$N:$N,'Data&gt;&gt; 2025'!$L:$L,'01. CP Nhân sự '!$A150,'Data&gt;&gt; 2025'!$B:$B,'01. CP Nhân sự '!$C150,'Data&gt;&gt; 2025'!$C:$C,'01. CP Nhân sự '!J$72)</f>
        <v>0</v>
      </c>
      <c r="K150" s="128">
        <f t="shared" si="29"/>
        <v>2033638490</v>
      </c>
      <c r="L150" s="182"/>
      <c r="O150" s="251">
        <f t="shared" si="28"/>
        <v>1.7070080793903101E-2</v>
      </c>
    </row>
    <row r="151" spans="1:15" hidden="1" outlineLevel="1" x14ac:dyDescent="0.25">
      <c r="A151" s="15">
        <v>6</v>
      </c>
      <c r="B151" s="3">
        <v>9</v>
      </c>
      <c r="C151" s="7" t="s">
        <v>9</v>
      </c>
      <c r="D151" s="133">
        <f>VLOOKUP(C151,'02. ĐỊNH BIÊN'!$C$6:$AN$47,8,0)</f>
        <v>0</v>
      </c>
      <c r="E151" s="73">
        <f>SUMIFS('Data&gt;&gt; 2025'!$N:$N,'Data&gt;&gt; 2025'!$L:$L,'01. CP Nhân sự '!$A151,'Data&gt;&gt; 2025'!$B:$B,'01. CP Nhân sự '!$C151,'Data&gt;&gt; 2025'!$C:$C,'01. CP Nhân sự '!E$72)</f>
        <v>810444512</v>
      </c>
      <c r="F151" s="73">
        <f>SUMIFS('Data&gt;&gt; 2025'!$N:$N,'Data&gt;&gt; 2025'!$L:$L,'01. CP Nhân sự '!$A151,'Data&gt;&gt; 2025'!$B:$B,'01. CP Nhân sự '!$C151,'Data&gt;&gt; 2025'!$C:$C,'01. CP Nhân sự '!F$72)</f>
        <v>89191644</v>
      </c>
      <c r="G151" s="73">
        <f>SUMIFS('Data&gt;&gt; 2025'!$N:$N,'Data&gt;&gt; 2025'!$L:$L,'01. CP Nhân sự '!$A151,'Data&gt;&gt; 2025'!$B:$B,'01. CP Nhân sự '!$C151,'Data&gt;&gt; 2025'!$C:$C,'01. CP Nhân sự '!G$72)</f>
        <v>46533151</v>
      </c>
      <c r="H151" s="73">
        <f>SUMIFS('Data&gt;&gt; 2025'!$N:$N,'Data&gt;&gt; 2025'!$L:$L,'01. CP Nhân sự '!$A151,'Data&gt;&gt; 2025'!$B:$B,'01. CP Nhân sự '!$C151,'Data&gt;&gt; 2025'!$C:$C,'01. CP Nhân sự '!H$72)</f>
        <v>52999057</v>
      </c>
      <c r="I151" s="73">
        <f>SUMIFS('Data&gt;&gt; 2025'!$N:$N,'Data&gt;&gt; 2025'!$L:$L,'01. CP Nhân sự '!$A151,'Data&gt;&gt; 2025'!$B:$B,'01. CP Nhân sự '!$C151,'Data&gt;&gt; 2025'!$C:$C,'01. CP Nhân sự '!I$72)</f>
        <v>148440275</v>
      </c>
      <c r="J151" s="73">
        <f>SUMIFS('Data&gt;&gt; 2025'!$N:$N,'Data&gt;&gt; 2025'!$L:$L,'01. CP Nhân sự '!$A151,'Data&gt;&gt; 2025'!$B:$B,'01. CP Nhân sự '!$C151,'Data&gt;&gt; 2025'!$C:$C,'01. CP Nhân sự '!J$72)</f>
        <v>16100000</v>
      </c>
      <c r="K151" s="128">
        <f t="shared" si="29"/>
        <v>1163708639</v>
      </c>
      <c r="L151" s="182"/>
      <c r="O151" s="251">
        <f t="shared" si="28"/>
        <v>9.7680096959086461E-3</v>
      </c>
    </row>
    <row r="152" spans="1:15" hidden="1" outlineLevel="1" x14ac:dyDescent="0.25">
      <c r="A152" s="15">
        <v>6</v>
      </c>
      <c r="B152" s="3">
        <v>10</v>
      </c>
      <c r="C152" s="7" t="s">
        <v>10</v>
      </c>
      <c r="D152" s="133">
        <f>VLOOKUP(C152,'02. ĐỊNH BIÊN'!$C$6:$AN$47,8,0)</f>
        <v>0</v>
      </c>
      <c r="E152" s="73">
        <f>SUMIFS('Data&gt;&gt; 2025'!$N:$N,'Data&gt;&gt; 2025'!$L:$L,'01. CP Nhân sự '!$A152,'Data&gt;&gt; 2025'!$B:$B,'01. CP Nhân sự '!$C152,'Data&gt;&gt; 2025'!$C:$C,'01. CP Nhân sự '!E$72)</f>
        <v>600038223</v>
      </c>
      <c r="F152" s="73">
        <f>SUMIFS('Data&gt;&gt; 2025'!$N:$N,'Data&gt;&gt; 2025'!$L:$L,'01. CP Nhân sự '!$A152,'Data&gt;&gt; 2025'!$B:$B,'01. CP Nhân sự '!$C152,'Data&gt;&gt; 2025'!$C:$C,'01. CP Nhân sự '!F$72)</f>
        <v>0</v>
      </c>
      <c r="G152" s="73">
        <f>SUMIFS('Data&gt;&gt; 2025'!$N:$N,'Data&gt;&gt; 2025'!$L:$L,'01. CP Nhân sự '!$A152,'Data&gt;&gt; 2025'!$B:$B,'01. CP Nhân sự '!$C152,'Data&gt;&gt; 2025'!$C:$C,'01. CP Nhân sự '!G$72)</f>
        <v>294441408</v>
      </c>
      <c r="H152" s="73">
        <f>SUMIFS('Data&gt;&gt; 2025'!$N:$N,'Data&gt;&gt; 2025'!$L:$L,'01. CP Nhân sự '!$A152,'Data&gt;&gt; 2025'!$B:$B,'01. CP Nhân sự '!$C152,'Data&gt;&gt; 2025'!$C:$C,'01. CP Nhân sự '!H$72)</f>
        <v>14850000</v>
      </c>
      <c r="I152" s="73">
        <f>SUMIFS('Data&gt;&gt; 2025'!$N:$N,'Data&gt;&gt; 2025'!$L:$L,'01. CP Nhân sự '!$A152,'Data&gt;&gt; 2025'!$B:$B,'01. CP Nhân sự '!$C152,'Data&gt;&gt; 2025'!$C:$C,'01. CP Nhân sự '!I$72)</f>
        <v>104623615</v>
      </c>
      <c r="J152" s="73">
        <f>SUMIFS('Data&gt;&gt; 2025'!$N:$N,'Data&gt;&gt; 2025'!$L:$L,'01. CP Nhân sự '!$A152,'Data&gt;&gt; 2025'!$B:$B,'01. CP Nhân sự '!$C152,'Data&gt;&gt; 2025'!$C:$C,'01. CP Nhân sự '!J$72)</f>
        <v>0</v>
      </c>
      <c r="K152" s="128">
        <f t="shared" si="29"/>
        <v>1013953246</v>
      </c>
      <c r="L152" s="182"/>
      <c r="O152" s="251">
        <f t="shared" si="28"/>
        <v>8.510983596922532E-3</v>
      </c>
    </row>
    <row r="153" spans="1:15" hidden="1" outlineLevel="1" x14ac:dyDescent="0.25">
      <c r="A153" s="15">
        <v>6</v>
      </c>
      <c r="B153" s="3">
        <v>11</v>
      </c>
      <c r="C153" s="7" t="s">
        <v>8</v>
      </c>
      <c r="D153" s="133">
        <f>VLOOKUP(C153,'02. ĐỊNH BIÊN'!$C$6:$AN$47,8,0)</f>
        <v>0</v>
      </c>
      <c r="E153" s="73">
        <f>SUMIFS('Data&gt;&gt; 2025'!$N:$N,'Data&gt;&gt; 2025'!$L:$L,'01. CP Nhân sự '!$A153,'Data&gt;&gt; 2025'!$B:$B,'01. CP Nhân sự '!$C153,'Data&gt;&gt; 2025'!$C:$C,'01. CP Nhân sự '!E$72,'Data&gt;&gt; 2025'!$A:$A,627)</f>
        <v>1153979957</v>
      </c>
      <c r="F153" s="73">
        <f>SUMIFS('Data&gt;&gt; 2025'!$N:$N,'Data&gt;&gt; 2025'!$L:$L,'01. CP Nhân sự '!$A153,'Data&gt;&gt; 2025'!$B:$B,'01. CP Nhân sự '!$C153,'Data&gt;&gt; 2025'!$C:$C,'01. CP Nhân sự '!F$72,'Data&gt;&gt; 2025'!$A:$A,627)</f>
        <v>133593595</v>
      </c>
      <c r="G153" s="73">
        <f>SUMIFS('Data&gt;&gt; 2025'!$N:$N,'Data&gt;&gt; 2025'!$L:$L,'01. CP Nhân sự '!$A153,'Data&gt;&gt; 2025'!$B:$B,'01. CP Nhân sự '!$C153,'Data&gt;&gt; 2025'!$C:$C,'01. CP Nhân sự '!G$72,'Data&gt;&gt; 2025'!$A:$A,627)</f>
        <v>58865212</v>
      </c>
      <c r="H153" s="73">
        <f>SUMIFS('Data&gt;&gt; 2025'!$N:$N,'Data&gt;&gt; 2025'!$L:$L,'01. CP Nhân sự '!$A153,'Data&gt;&gt; 2025'!$B:$B,'01. CP Nhân sự '!$C153,'Data&gt;&gt; 2025'!$C:$C,'01. CP Nhân sự '!H$72,'Data&gt;&gt; 2025'!$A:$A,627)</f>
        <v>109346073</v>
      </c>
      <c r="I153" s="73">
        <f>SUMIFS('Data&gt;&gt; 2025'!$N:$N,'Data&gt;&gt; 2025'!$L:$L,'01. CP Nhân sự '!$A153,'Data&gt;&gt; 2025'!$B:$B,'01. CP Nhân sự '!$C153,'Data&gt;&gt; 2025'!$C:$C,'01. CP Nhân sự '!I$72,'Data&gt;&gt; 2025'!$A:$A,627)</f>
        <v>171449385</v>
      </c>
      <c r="J153" s="73">
        <f>SUMIFS('Data&gt;&gt; 2025'!$N:$N,'Data&gt;&gt; 2025'!$L:$L,'01. CP Nhân sự '!$A153,'Data&gt;&gt; 2025'!$B:$B,'01. CP Nhân sự '!$C153,'Data&gt;&gt; 2025'!$C:$C,'01. CP Nhân sự '!J$72,'Data&gt;&gt; 2025'!$A:$A,627)</f>
        <v>9850000</v>
      </c>
      <c r="K153" s="128">
        <f t="shared" si="29"/>
        <v>1637084222</v>
      </c>
      <c r="L153" s="182"/>
      <c r="O153" s="251">
        <f t="shared" si="28"/>
        <v>1.3741459002363789E-2</v>
      </c>
    </row>
    <row r="154" spans="1:15" hidden="1" outlineLevel="1" x14ac:dyDescent="0.25">
      <c r="A154" s="15">
        <v>6</v>
      </c>
      <c r="B154" s="3">
        <v>12</v>
      </c>
      <c r="C154" s="7" t="s">
        <v>8</v>
      </c>
      <c r="D154" s="133">
        <v>249</v>
      </c>
      <c r="E154" s="73">
        <f>SUMIFS('Data&gt;&gt; 2025'!$N:$N,'Data&gt;&gt; 2025'!$L:$L,'01. CP Nhân sự '!$A154,'Data&gt;&gt; 2025'!$B:$B,'01. CP Nhân sự '!$C154,'Data&gt;&gt; 2025'!$C:$C,'01. CP Nhân sự '!E$72,'Data&gt;&gt; 2025'!$A:$A,622)</f>
        <v>2364274241</v>
      </c>
      <c r="F154" s="73">
        <f>SUMIFS('Data&gt;&gt; 2025'!$N:$N,'Data&gt;&gt; 2025'!$L:$L,'01. CP Nhân sự '!$A154,'Data&gt;&gt; 2025'!$B:$B,'01. CP Nhân sự '!$C154,'Data&gt;&gt; 2025'!$C:$C,'01. CP Nhân sự '!F$72,'Data&gt;&gt; 2025'!$A:$A,622)</f>
        <v>409683221</v>
      </c>
      <c r="G154" s="73">
        <f>SUMIFS('Data&gt;&gt; 2025'!$N:$N,'Data&gt;&gt; 2025'!$L:$L,'01. CP Nhân sự '!$A154,'Data&gt;&gt; 2025'!$B:$B,'01. CP Nhân sự '!$C154,'Data&gt;&gt; 2025'!$C:$C,'01. CP Nhân sự '!G$72,'Data&gt;&gt; 2025'!$A:$A,622)</f>
        <v>28131827</v>
      </c>
      <c r="H154" s="73">
        <f>SUMIFS('Data&gt;&gt; 2025'!$N:$N,'Data&gt;&gt; 2025'!$L:$L,'01. CP Nhân sự '!$A154,'Data&gt;&gt; 2025'!$B:$B,'01. CP Nhân sự '!$C154,'Data&gt;&gt; 2025'!$C:$C,'01. CP Nhân sự '!H$72,'Data&gt;&gt; 2025'!$A:$A,622)</f>
        <v>381076801</v>
      </c>
      <c r="I154" s="73">
        <f>SUMIFS('Data&gt;&gt; 2025'!$N:$N,'Data&gt;&gt; 2025'!$L:$L,'01. CP Nhân sự '!$A154,'Data&gt;&gt; 2025'!$B:$B,'01. CP Nhân sự '!$C154,'Data&gt;&gt; 2025'!$C:$C,'01. CP Nhân sự '!I$72,'Data&gt;&gt; 2025'!$A:$A,622)</f>
        <v>280832080</v>
      </c>
      <c r="J154" s="73">
        <f>SUMIFS('Data&gt;&gt; 2025'!$N:$N,'Data&gt;&gt; 2025'!$L:$L,'01. CP Nhân sự '!$A154,'Data&gt;&gt; 2025'!$B:$B,'01. CP Nhân sự '!$C154,'Data&gt;&gt; 2025'!$C:$C,'01. CP Nhân sự '!J$72,'Data&gt;&gt; 2025'!$A:$A,622)</f>
        <v>0</v>
      </c>
      <c r="K154" s="128">
        <f t="shared" si="29"/>
        <v>3463998170</v>
      </c>
      <c r="L154" s="182"/>
      <c r="O154" s="251">
        <f t="shared" si="28"/>
        <v>2.9076322523691262E-2</v>
      </c>
    </row>
    <row r="155" spans="1:15" hidden="1" outlineLevel="1" x14ac:dyDescent="0.25">
      <c r="A155" s="16">
        <v>6</v>
      </c>
      <c r="B155" s="3">
        <v>13</v>
      </c>
      <c r="C155" s="4" t="s">
        <v>221</v>
      </c>
      <c r="D155" s="135">
        <f>VLOOKUP(C155,'02. ĐỊNH BIÊN'!$C$6:$AN$47,8,0)</f>
        <v>0</v>
      </c>
      <c r="E155" s="125">
        <f>SUMIFS('Data&gt;&gt; 2025'!$N:$N,'Data&gt;&gt; 2025'!$L:$L,'01. CP Nhân sự '!$A155,'Data&gt;&gt; 2025'!$B:$B,'01. CP Nhân sự '!$C155,'Data&gt;&gt; 2025'!$C:$C,'01. CP Nhân sự '!E$72)</f>
        <v>205833333</v>
      </c>
      <c r="F155" s="125">
        <f>SUMIFS('Data&gt;&gt; 2025'!$N:$N,'Data&gt;&gt; 2025'!$L:$L,'01. CP Nhân sự '!$A155,'Data&gt;&gt; 2025'!$B:$B,'01. CP Nhân sự '!$C155,'Data&gt;&gt; 2025'!$C:$C,'01. CP Nhân sự '!F$72)</f>
        <v>0</v>
      </c>
      <c r="G155" s="125">
        <f>SUMIFS('Data&gt;&gt; 2025'!$N:$N,'Data&gt;&gt; 2025'!$L:$L,'01. CP Nhân sự '!$A155,'Data&gt;&gt; 2025'!$B:$B,'01. CP Nhân sự '!$C155,'Data&gt;&gt; 2025'!$C:$C,'01. CP Nhân sự '!G$72)</f>
        <v>14566540</v>
      </c>
      <c r="H155" s="125">
        <f>SUMIFS('Data&gt;&gt; 2025'!$N:$N,'Data&gt;&gt; 2025'!$L:$L,'01. CP Nhân sự '!$A155,'Data&gt;&gt; 2025'!$B:$B,'01. CP Nhân sự '!$C155,'Data&gt;&gt; 2025'!$C:$C,'01. CP Nhân sự '!H$72)</f>
        <v>0</v>
      </c>
      <c r="I155" s="125">
        <f>SUMIFS('Data&gt;&gt; 2025'!$N:$N,'Data&gt;&gt; 2025'!$L:$L,'01. CP Nhân sự '!$A155,'Data&gt;&gt; 2025'!$B:$B,'01. CP Nhân sự '!$C155,'Data&gt;&gt; 2025'!$C:$C,'01. CP Nhân sự '!I$72)</f>
        <v>0</v>
      </c>
      <c r="J155" s="125">
        <f>SUMIFS('Data&gt;&gt; 2025'!$N:$N,'Data&gt;&gt; 2025'!$L:$L,'01. CP Nhân sự '!$A155,'Data&gt;&gt; 2025'!$B:$B,'01. CP Nhân sự '!$C155,'Data&gt;&gt; 2025'!$C:$C,'01. CP Nhân sự '!J$72)</f>
        <v>0</v>
      </c>
      <c r="K155" s="128">
        <f t="shared" si="29"/>
        <v>220399873</v>
      </c>
      <c r="L155" s="182"/>
      <c r="O155" s="251">
        <f t="shared" si="28"/>
        <v>1.8500061134641402E-3</v>
      </c>
    </row>
    <row r="156" spans="1:15" collapsed="1" x14ac:dyDescent="0.25">
      <c r="A156" s="17">
        <v>6</v>
      </c>
      <c r="B156" s="18"/>
      <c r="C156" s="19" t="s">
        <v>17</v>
      </c>
      <c r="D156" s="136">
        <f>SUM(D143:D155)</f>
        <v>249</v>
      </c>
      <c r="E156" s="75">
        <f>SUM(E143:E155)</f>
        <v>9798469278</v>
      </c>
      <c r="F156" s="75">
        <f t="shared" ref="F156:J156" si="30">SUM(F143:F155)</f>
        <v>1245136695</v>
      </c>
      <c r="G156" s="75">
        <f t="shared" si="30"/>
        <v>900195846</v>
      </c>
      <c r="H156" s="75">
        <f t="shared" si="30"/>
        <v>769087274</v>
      </c>
      <c r="I156" s="75">
        <f t="shared" si="30"/>
        <v>1444635870</v>
      </c>
      <c r="J156" s="75">
        <f t="shared" si="30"/>
        <v>25950000</v>
      </c>
      <c r="K156" s="75">
        <f>SUM(K143:K155)</f>
        <v>14183474963</v>
      </c>
      <c r="L156" s="181">
        <f>K156/K142-1</f>
        <v>2.50608053921062E-2</v>
      </c>
      <c r="N156" s="75">
        <v>119134672797</v>
      </c>
      <c r="O156" s="250">
        <f>K156/$N$156</f>
        <v>0.1190541311778141</v>
      </c>
    </row>
    <row r="157" spans="1:15" hidden="1" outlineLevel="1" x14ac:dyDescent="0.25">
      <c r="A157" s="14">
        <v>7</v>
      </c>
      <c r="B157" s="1">
        <v>1</v>
      </c>
      <c r="C157" s="2" t="s">
        <v>0</v>
      </c>
      <c r="D157" s="132">
        <f>VLOOKUP(C157,'02. ĐỊNH BIÊN'!$C$6:$AT$47,9,0)</f>
        <v>0</v>
      </c>
      <c r="E157" s="72">
        <f>SUMIFS('Data&gt;&gt; 2025'!$N:$N,'Data&gt;&gt; 2025'!$L:$L,'01. CP Nhân sự '!$A157,'Data&gt;&gt; 2025'!$B:$B,'01. CP Nhân sự '!$C157,'Data&gt;&gt; 2025'!$C:$C,'01. CP Nhân sự '!E$72)</f>
        <v>1523534065</v>
      </c>
      <c r="F157" s="72">
        <f>SUMIFS('Data&gt;&gt; 2025'!$N:$N,'Data&gt;&gt; 2025'!$L:$L,'01. CP Nhân sự '!$A157,'Data&gt;&gt; 2025'!$B:$B,'01. CP Nhân sự '!$C157,'Data&gt;&gt; 2025'!$C:$C,'01. CP Nhân sự '!F$72)</f>
        <v>0</v>
      </c>
      <c r="G157" s="72">
        <f>SUMIFS('Data&gt;&gt; 2025'!$N:$N,'Data&gt;&gt; 2025'!$L:$L,'01. CP Nhân sự '!$A157,'Data&gt;&gt; 2025'!$B:$B,'01. CP Nhân sự '!$C157,'Data&gt;&gt; 2025'!$C:$C,'01. CP Nhân sự '!G$72)</f>
        <v>99198214</v>
      </c>
      <c r="H157" s="72">
        <f>SUMIFS('Data&gt;&gt; 2025'!$N:$N,'Data&gt;&gt; 2025'!$L:$L,'01. CP Nhân sự '!$A157,'Data&gt;&gt; 2025'!$B:$B,'01. CP Nhân sự '!$C157,'Data&gt;&gt; 2025'!$C:$C,'01. CP Nhân sự '!H$72)</f>
        <v>0</v>
      </c>
      <c r="I157" s="72">
        <f>SUMIFS('Data&gt;&gt; 2025'!$N:$N,'Data&gt;&gt; 2025'!$L:$L,'01. CP Nhân sự '!$A157,'Data&gt;&gt; 2025'!$B:$B,'01. CP Nhân sự '!$C157,'Data&gt;&gt; 2025'!$C:$C,'01. CP Nhân sự '!I$72)</f>
        <v>137186010</v>
      </c>
      <c r="J157" s="72">
        <f>SUMIFS('Data&gt;&gt; 2025'!$N:$N,'Data&gt;&gt; 2025'!$L:$L,'01. CP Nhân sự '!$A157,'Data&gt;&gt; 2025'!$B:$B,'01. CP Nhân sự '!$C157,'Data&gt;&gt; 2025'!$C:$C,'01. CP Nhân sự '!J$72)</f>
        <v>0</v>
      </c>
      <c r="K157" s="128">
        <f>SUM(E157:J157)</f>
        <v>1759918289</v>
      </c>
      <c r="L157" s="182"/>
      <c r="O157" s="251">
        <f t="shared" ref="O157:O169" si="31">K157/$N$170</f>
        <v>1.2753825245805995E-2</v>
      </c>
    </row>
    <row r="158" spans="1:15" hidden="1" outlineLevel="1" x14ac:dyDescent="0.25">
      <c r="A158" s="15">
        <v>7</v>
      </c>
      <c r="B158" s="3">
        <v>2</v>
      </c>
      <c r="C158" s="7" t="s">
        <v>1</v>
      </c>
      <c r="D158" s="133">
        <f>VLOOKUP(C158,'02. ĐỊNH BIÊN'!$C$6:$AT$47,9,0)</f>
        <v>0</v>
      </c>
      <c r="E158" s="73">
        <f>SUMIFS('Data&gt;&gt; 2025'!$N:$N,'Data&gt;&gt; 2025'!$L:$L,'01. CP Nhân sự '!$A158,'Data&gt;&gt; 2025'!$B:$B,'01. CP Nhân sự '!$C158,'Data&gt;&gt; 2025'!$C:$C,'01. CP Nhân sự '!E$72)</f>
        <v>266495012</v>
      </c>
      <c r="F158" s="73">
        <f>SUMIFS('Data&gt;&gt; 2025'!$N:$N,'Data&gt;&gt; 2025'!$L:$L,'01. CP Nhân sự '!$A158,'Data&gt;&gt; 2025'!$B:$B,'01. CP Nhân sự '!$C158,'Data&gt;&gt; 2025'!$C:$C,'01. CP Nhân sự '!F$72)</f>
        <v>0</v>
      </c>
      <c r="G158" s="73">
        <f>SUMIFS('Data&gt;&gt; 2025'!$N:$N,'Data&gt;&gt; 2025'!$L:$L,'01. CP Nhân sự '!$A158,'Data&gt;&gt; 2025'!$B:$B,'01. CP Nhân sự '!$C158,'Data&gt;&gt; 2025'!$C:$C,'01. CP Nhân sự '!G$72)</f>
        <v>119761001</v>
      </c>
      <c r="H158" s="73">
        <f>SUMIFS('Data&gt;&gt; 2025'!$N:$N,'Data&gt;&gt; 2025'!$L:$L,'01. CP Nhân sự '!$A158,'Data&gt;&gt; 2025'!$B:$B,'01. CP Nhân sự '!$C158,'Data&gt;&gt; 2025'!$C:$C,'01. CP Nhân sự '!H$72)</f>
        <v>5320000</v>
      </c>
      <c r="I158" s="73">
        <f>SUMIFS('Data&gt;&gt; 2025'!$N:$N,'Data&gt;&gt; 2025'!$L:$L,'01. CP Nhân sự '!$A158,'Data&gt;&gt; 2025'!$B:$B,'01. CP Nhân sự '!$C158,'Data&gt;&gt; 2025'!$C:$C,'01. CP Nhân sự '!I$72)</f>
        <v>56494945</v>
      </c>
      <c r="J158" s="73">
        <f>SUMIFS('Data&gt;&gt; 2025'!$N:$N,'Data&gt;&gt; 2025'!$L:$L,'01. CP Nhân sự '!$A158,'Data&gt;&gt; 2025'!$B:$B,'01. CP Nhân sự '!$C158,'Data&gt;&gt; 2025'!$C:$C,'01. CP Nhân sự '!J$72)</f>
        <v>0</v>
      </c>
      <c r="K158" s="128">
        <f>SUM(E158:J158)</f>
        <v>448070958</v>
      </c>
      <c r="L158" s="182"/>
      <c r="O158" s="251">
        <f t="shared" si="31"/>
        <v>3.2470931927754275E-3</v>
      </c>
    </row>
    <row r="159" spans="1:15" hidden="1" outlineLevel="1" x14ac:dyDescent="0.25">
      <c r="A159" s="15">
        <v>7</v>
      </c>
      <c r="B159" s="3">
        <v>3</v>
      </c>
      <c r="C159" s="7" t="s">
        <v>2</v>
      </c>
      <c r="D159" s="133">
        <f>VLOOKUP(C159,'02. ĐỊNH BIÊN'!$C$6:$AT$47,9,0)</f>
        <v>0</v>
      </c>
      <c r="E159" s="73">
        <f>SUMIFS('Data&gt;&gt; 2025'!$N:$N,'Data&gt;&gt; 2025'!$L:$L,'01. CP Nhân sự '!$A159,'Data&gt;&gt; 2025'!$B:$B,'01. CP Nhân sự '!$C159,'Data&gt;&gt; 2025'!$C:$C,'01. CP Nhân sự '!E$72)</f>
        <v>137843621</v>
      </c>
      <c r="F159" s="73">
        <f>SUMIFS('Data&gt;&gt; 2025'!$N:$N,'Data&gt;&gt; 2025'!$L:$L,'01. CP Nhân sự '!$A159,'Data&gt;&gt; 2025'!$B:$B,'01. CP Nhân sự '!$C159,'Data&gt;&gt; 2025'!$C:$C,'01. CP Nhân sự '!F$72)</f>
        <v>0</v>
      </c>
      <c r="G159" s="73">
        <f>SUMIFS('Data&gt;&gt; 2025'!$N:$N,'Data&gt;&gt; 2025'!$L:$L,'01. CP Nhân sự '!$A159,'Data&gt;&gt; 2025'!$B:$B,'01. CP Nhân sự '!$C159,'Data&gt;&gt; 2025'!$C:$C,'01. CP Nhân sự '!G$72)</f>
        <v>10007443</v>
      </c>
      <c r="H159" s="73">
        <f>SUMIFS('Data&gt;&gt; 2025'!$N:$N,'Data&gt;&gt; 2025'!$L:$L,'01. CP Nhân sự '!$A159,'Data&gt;&gt; 2025'!$B:$B,'01. CP Nhân sự '!$C159,'Data&gt;&gt; 2025'!$C:$C,'01. CP Nhân sự '!H$72)</f>
        <v>5050000</v>
      </c>
      <c r="I159" s="73">
        <f>SUMIFS('Data&gt;&gt; 2025'!$N:$N,'Data&gt;&gt; 2025'!$L:$L,'01. CP Nhân sự '!$A159,'Data&gt;&gt; 2025'!$B:$B,'01. CP Nhân sự '!$C159,'Data&gt;&gt; 2025'!$C:$C,'01. CP Nhân sự '!I$72)</f>
        <v>27620255</v>
      </c>
      <c r="J159" s="73">
        <f>SUMIFS('Data&gt;&gt; 2025'!$N:$N,'Data&gt;&gt; 2025'!$L:$L,'01. CP Nhân sự '!$A159,'Data&gt;&gt; 2025'!$B:$B,'01. CP Nhân sự '!$C159,'Data&gt;&gt; 2025'!$C:$C,'01. CP Nhân sự '!J$72)</f>
        <v>0</v>
      </c>
      <c r="K159" s="128">
        <f t="shared" ref="K159:K169" si="32">SUM(E159:J159)</f>
        <v>180521319</v>
      </c>
      <c r="L159" s="182"/>
      <c r="O159" s="251">
        <f t="shared" si="31"/>
        <v>1.3082069605496313E-3</v>
      </c>
    </row>
    <row r="160" spans="1:15" hidden="1" outlineLevel="1" x14ac:dyDescent="0.25">
      <c r="A160" s="15">
        <v>7</v>
      </c>
      <c r="B160" s="3">
        <v>4</v>
      </c>
      <c r="C160" s="7" t="s">
        <v>3</v>
      </c>
      <c r="D160" s="133">
        <f>VLOOKUP(C160,'02. ĐỊNH BIÊN'!$C$6:$AT$47,9,0)</f>
        <v>0</v>
      </c>
      <c r="E160" s="73">
        <f>SUMIFS('Data&gt;&gt; 2025'!$N:$N,'Data&gt;&gt; 2025'!$L:$L,'01. CP Nhân sự '!$A160,'Data&gt;&gt; 2025'!$B:$B,'01. CP Nhân sự '!$C160,'Data&gt;&gt; 2025'!$C:$C,'01. CP Nhân sự '!E$72)</f>
        <v>543300706</v>
      </c>
      <c r="F160" s="73">
        <f>SUMIFS('Data&gt;&gt; 2025'!$N:$N,'Data&gt;&gt; 2025'!$L:$L,'01. CP Nhân sự '!$A160,'Data&gt;&gt; 2025'!$B:$B,'01. CP Nhân sự '!$C160,'Data&gt;&gt; 2025'!$C:$C,'01. CP Nhân sự '!F$72)</f>
        <v>52196018</v>
      </c>
      <c r="G160" s="73">
        <f>SUMIFS('Data&gt;&gt; 2025'!$N:$N,'Data&gt;&gt; 2025'!$L:$L,'01. CP Nhân sự '!$A160,'Data&gt;&gt; 2025'!$B:$B,'01. CP Nhân sự '!$C160,'Data&gt;&gt; 2025'!$C:$C,'01. CP Nhân sự '!G$72)</f>
        <v>39052204</v>
      </c>
      <c r="H160" s="73">
        <f>SUMIFS('Data&gt;&gt; 2025'!$N:$N,'Data&gt;&gt; 2025'!$L:$L,'01. CP Nhân sự '!$A160,'Data&gt;&gt; 2025'!$B:$B,'01. CP Nhân sự '!$C160,'Data&gt;&gt; 2025'!$C:$C,'01. CP Nhân sự '!H$72)</f>
        <v>18325000</v>
      </c>
      <c r="I160" s="73">
        <f>SUMIFS('Data&gt;&gt; 2025'!$N:$N,'Data&gt;&gt; 2025'!$L:$L,'01. CP Nhân sự '!$A160,'Data&gt;&gt; 2025'!$B:$B,'01. CP Nhân sự '!$C160,'Data&gt;&gt; 2025'!$C:$C,'01. CP Nhân sự '!I$72)</f>
        <v>100027535</v>
      </c>
      <c r="J160" s="73">
        <f>SUMIFS('Data&gt;&gt; 2025'!$N:$N,'Data&gt;&gt; 2025'!$L:$L,'01. CP Nhân sự '!$A160,'Data&gt;&gt; 2025'!$B:$B,'01. CP Nhân sự '!$C160,'Data&gt;&gt; 2025'!$C:$C,'01. CP Nhân sự '!J$72)</f>
        <v>0</v>
      </c>
      <c r="K160" s="128">
        <f t="shared" si="32"/>
        <v>752901463</v>
      </c>
      <c r="L160" s="182"/>
      <c r="O160" s="251">
        <f t="shared" si="31"/>
        <v>5.456147450953428E-3</v>
      </c>
    </row>
    <row r="161" spans="1:15" hidden="1" outlineLevel="1" x14ac:dyDescent="0.25">
      <c r="A161" s="15">
        <v>7</v>
      </c>
      <c r="B161" s="3">
        <v>5</v>
      </c>
      <c r="C161" s="7" t="s">
        <v>4</v>
      </c>
      <c r="D161" s="133">
        <f>VLOOKUP(C161,'02. ĐỊNH BIÊN'!$C$6:$AT$47,9,0)</f>
        <v>0</v>
      </c>
      <c r="E161" s="73">
        <f>SUMIFS('Data&gt;&gt; 2025'!$N:$N,'Data&gt;&gt; 2025'!$L:$L,'01. CP Nhân sự '!$A161,'Data&gt;&gt; 2025'!$B:$B,'01. CP Nhân sự '!$C161,'Data&gt;&gt; 2025'!$C:$C,'01. CP Nhân sự '!E$72)</f>
        <v>191042357</v>
      </c>
      <c r="F161" s="73">
        <f>SUMIFS('Data&gt;&gt; 2025'!$N:$N,'Data&gt;&gt; 2025'!$L:$L,'01. CP Nhân sự '!$A161,'Data&gt;&gt; 2025'!$B:$B,'01. CP Nhân sự '!$C161,'Data&gt;&gt; 2025'!$C:$C,'01. CP Nhân sự '!F$72)</f>
        <v>0</v>
      </c>
      <c r="G161" s="73">
        <f>SUMIFS('Data&gt;&gt; 2025'!$N:$N,'Data&gt;&gt; 2025'!$L:$L,'01. CP Nhân sự '!$A161,'Data&gt;&gt; 2025'!$B:$B,'01. CP Nhân sự '!$C161,'Data&gt;&gt; 2025'!$C:$C,'01. CP Nhân sự '!G$72)</f>
        <v>12879888</v>
      </c>
      <c r="H161" s="73">
        <f>SUMIFS('Data&gt;&gt; 2025'!$N:$N,'Data&gt;&gt; 2025'!$L:$L,'01. CP Nhân sự '!$A161,'Data&gt;&gt; 2025'!$B:$B,'01. CP Nhân sự '!$C161,'Data&gt;&gt; 2025'!$C:$C,'01. CP Nhân sự '!H$72)</f>
        <v>350000</v>
      </c>
      <c r="I161" s="73">
        <f>SUMIFS('Data&gt;&gt; 2025'!$N:$N,'Data&gt;&gt; 2025'!$L:$L,'01. CP Nhân sự '!$A161,'Data&gt;&gt; 2025'!$B:$B,'01. CP Nhân sự '!$C161,'Data&gt;&gt; 2025'!$C:$C,'01. CP Nhân sự '!I$72)</f>
        <v>28279475</v>
      </c>
      <c r="J161" s="73">
        <f>SUMIFS('Data&gt;&gt; 2025'!$N:$N,'Data&gt;&gt; 2025'!$L:$L,'01. CP Nhân sự '!$A161,'Data&gt;&gt; 2025'!$B:$B,'01. CP Nhân sự '!$C161,'Data&gt;&gt; 2025'!$C:$C,'01. CP Nhân sự '!J$72)</f>
        <v>3200000</v>
      </c>
      <c r="K161" s="128">
        <f t="shared" si="32"/>
        <v>235751720</v>
      </c>
      <c r="L161" s="182"/>
      <c r="O161" s="251">
        <f t="shared" si="31"/>
        <v>1.7084521804626726E-3</v>
      </c>
    </row>
    <row r="162" spans="1:15" hidden="1" outlineLevel="1" x14ac:dyDescent="0.25">
      <c r="A162" s="15">
        <v>7</v>
      </c>
      <c r="B162" s="3">
        <v>6</v>
      </c>
      <c r="C162" s="7" t="s">
        <v>5</v>
      </c>
      <c r="D162" s="133">
        <f>VLOOKUP(C162,'02. ĐỊNH BIÊN'!$C$6:$AT$47,9,0)</f>
        <v>0</v>
      </c>
      <c r="E162" s="73">
        <f>SUMIFS('Data&gt;&gt; 2025'!$N:$N,'Data&gt;&gt; 2025'!$L:$L,'01. CP Nhân sự '!$A162,'Data&gt;&gt; 2025'!$B:$B,'01. CP Nhân sự '!$C162,'Data&gt;&gt; 2025'!$C:$C,'01. CP Nhân sự '!E$72)</f>
        <v>106985298</v>
      </c>
      <c r="F162" s="73">
        <f>SUMIFS('Data&gt;&gt; 2025'!$N:$N,'Data&gt;&gt; 2025'!$L:$L,'01. CP Nhân sự '!$A162,'Data&gt;&gt; 2025'!$B:$B,'01. CP Nhân sự '!$C162,'Data&gt;&gt; 2025'!$C:$C,'01. CP Nhân sự '!F$72)</f>
        <v>0</v>
      </c>
      <c r="G162" s="73">
        <f>SUMIFS('Data&gt;&gt; 2025'!$N:$N,'Data&gt;&gt; 2025'!$L:$L,'01. CP Nhân sự '!$A162,'Data&gt;&gt; 2025'!$B:$B,'01. CP Nhân sự '!$C162,'Data&gt;&gt; 2025'!$C:$C,'01. CP Nhân sự '!G$72)</f>
        <v>8835757</v>
      </c>
      <c r="H162" s="73">
        <f>SUMIFS('Data&gt;&gt; 2025'!$N:$N,'Data&gt;&gt; 2025'!$L:$L,'01. CP Nhân sự '!$A162,'Data&gt;&gt; 2025'!$B:$B,'01. CP Nhân sự '!$C162,'Data&gt;&gt; 2025'!$C:$C,'01. CP Nhân sự '!H$72)</f>
        <v>1475000</v>
      </c>
      <c r="I162" s="73">
        <f>SUMIFS('Data&gt;&gt; 2025'!$N:$N,'Data&gt;&gt; 2025'!$L:$L,'01. CP Nhân sự '!$A162,'Data&gt;&gt; 2025'!$B:$B,'01. CP Nhân sự '!$C162,'Data&gt;&gt; 2025'!$C:$C,'01. CP Nhân sự '!I$72)</f>
        <v>22379750</v>
      </c>
      <c r="J162" s="73">
        <f>SUMIFS('Data&gt;&gt; 2025'!$N:$N,'Data&gt;&gt; 2025'!$L:$L,'01. CP Nhân sự '!$A162,'Data&gt;&gt; 2025'!$B:$B,'01. CP Nhân sự '!$C162,'Data&gt;&gt; 2025'!$C:$C,'01. CP Nhân sự '!J$72)</f>
        <v>0</v>
      </c>
      <c r="K162" s="128">
        <f t="shared" si="32"/>
        <v>139675805</v>
      </c>
      <c r="L162" s="182"/>
      <c r="O162" s="251">
        <f t="shared" si="31"/>
        <v>1.0122065434353103E-3</v>
      </c>
    </row>
    <row r="163" spans="1:15" hidden="1" outlineLevel="1" x14ac:dyDescent="0.25">
      <c r="A163" s="15">
        <v>7</v>
      </c>
      <c r="B163" s="3">
        <v>7</v>
      </c>
      <c r="C163" s="7" t="s">
        <v>6</v>
      </c>
      <c r="D163" s="133">
        <f>VLOOKUP(C163,'02. ĐỊNH BIÊN'!$C$6:$AT$47,9,0)</f>
        <v>0</v>
      </c>
      <c r="E163" s="73">
        <f>SUMIFS('Data&gt;&gt; 2025'!$N:$N,'Data&gt;&gt; 2025'!$L:$L,'01. CP Nhân sự '!$A163,'Data&gt;&gt; 2025'!$B:$B,'01. CP Nhân sự '!$C163,'Data&gt;&gt; 2025'!$C:$C,'01. CP Nhân sự '!E$72)</f>
        <v>610524201</v>
      </c>
      <c r="F163" s="73">
        <f>SUMIFS('Data&gt;&gt; 2025'!$N:$N,'Data&gt;&gt; 2025'!$L:$L,'01. CP Nhân sự '!$A163,'Data&gt;&gt; 2025'!$B:$B,'01. CP Nhân sự '!$C163,'Data&gt;&gt; 2025'!$C:$C,'01. CP Nhân sự '!F$72)</f>
        <v>196909674</v>
      </c>
      <c r="G163" s="73">
        <f>SUMIFS('Data&gt;&gt; 2025'!$N:$N,'Data&gt;&gt; 2025'!$L:$L,'01. CP Nhân sự '!$A163,'Data&gt;&gt; 2025'!$B:$B,'01. CP Nhân sự '!$C163,'Data&gt;&gt; 2025'!$C:$C,'01. CP Nhân sự '!G$72)</f>
        <v>36904942</v>
      </c>
      <c r="H163" s="73">
        <f>SUMIFS('Data&gt;&gt; 2025'!$N:$N,'Data&gt;&gt; 2025'!$L:$L,'01. CP Nhân sự '!$A163,'Data&gt;&gt; 2025'!$B:$B,'01. CP Nhân sự '!$C163,'Data&gt;&gt; 2025'!$C:$C,'01. CP Nhân sự '!H$72)</f>
        <v>70526480</v>
      </c>
      <c r="I163" s="73">
        <f>SUMIFS('Data&gt;&gt; 2025'!$N:$N,'Data&gt;&gt; 2025'!$L:$L,'01. CP Nhân sự '!$A163,'Data&gt;&gt; 2025'!$B:$B,'01. CP Nhân sự '!$C163,'Data&gt;&gt; 2025'!$C:$C,'01. CP Nhân sự '!I$72)</f>
        <v>108894535</v>
      </c>
      <c r="J163" s="73">
        <f>SUMIFS('Data&gt;&gt; 2025'!$N:$N,'Data&gt;&gt; 2025'!$L:$L,'01. CP Nhân sự '!$A163,'Data&gt;&gt; 2025'!$B:$B,'01. CP Nhân sự '!$C163,'Data&gt;&gt; 2025'!$C:$C,'01. CP Nhân sự '!J$72)</f>
        <v>9600000</v>
      </c>
      <c r="K163" s="128">
        <f t="shared" si="32"/>
        <v>1033359832</v>
      </c>
      <c r="L163" s="182"/>
      <c r="O163" s="251">
        <f t="shared" si="31"/>
        <v>7.4885810300045373E-3</v>
      </c>
    </row>
    <row r="164" spans="1:15" hidden="1" outlineLevel="1" x14ac:dyDescent="0.25">
      <c r="A164" s="15">
        <v>7</v>
      </c>
      <c r="B164" s="3">
        <v>8</v>
      </c>
      <c r="C164" s="7" t="s">
        <v>7</v>
      </c>
      <c r="D164" s="133">
        <f>VLOOKUP(C164,'02. ĐỊNH BIÊN'!$C$6:$AT$47,9,0)</f>
        <v>0</v>
      </c>
      <c r="E164" s="73">
        <f>SUMIFS('Data&gt;&gt; 2025'!$N:$N,'Data&gt;&gt; 2025'!$L:$L,'01. CP Nhân sự '!$A164,'Data&gt;&gt; 2025'!$B:$B,'01. CP Nhân sự '!$C164,'Data&gt;&gt; 2025'!$C:$C,'01. CP Nhân sự '!E$72)</f>
        <v>1241887613</v>
      </c>
      <c r="F164" s="73">
        <f>SUMIFS('Data&gt;&gt; 2025'!$N:$N,'Data&gt;&gt; 2025'!$L:$L,'01. CP Nhân sự '!$A164,'Data&gt;&gt; 2025'!$B:$B,'01. CP Nhân sự '!$C164,'Data&gt;&gt; 2025'!$C:$C,'01. CP Nhân sự '!F$72)</f>
        <v>358041860</v>
      </c>
      <c r="G164" s="73">
        <f>SUMIFS('Data&gt;&gt; 2025'!$N:$N,'Data&gt;&gt; 2025'!$L:$L,'01. CP Nhân sự '!$A164,'Data&gt;&gt; 2025'!$B:$B,'01. CP Nhân sự '!$C164,'Data&gt;&gt; 2025'!$C:$C,'01. CP Nhân sự '!G$72)</f>
        <v>81773642</v>
      </c>
      <c r="H164" s="73">
        <f>SUMIFS('Data&gt;&gt; 2025'!$N:$N,'Data&gt;&gt; 2025'!$L:$L,'01. CP Nhân sự '!$A164,'Data&gt;&gt; 2025'!$B:$B,'01. CP Nhân sự '!$C164,'Data&gt;&gt; 2025'!$C:$C,'01. CP Nhân sự '!H$72)</f>
        <v>108962086</v>
      </c>
      <c r="I164" s="73">
        <f>SUMIFS('Data&gt;&gt; 2025'!$N:$N,'Data&gt;&gt; 2025'!$L:$L,'01. CP Nhân sự '!$A164,'Data&gt;&gt; 2025'!$B:$B,'01. CP Nhân sự '!$C164,'Data&gt;&gt; 2025'!$C:$C,'01. CP Nhân sự '!I$72)</f>
        <v>242548670</v>
      </c>
      <c r="J164" s="73">
        <f>SUMIFS('Data&gt;&gt; 2025'!$N:$N,'Data&gt;&gt; 2025'!$L:$L,'01. CP Nhân sự '!$A164,'Data&gt;&gt; 2025'!$B:$B,'01. CP Nhân sự '!$C164,'Data&gt;&gt; 2025'!$C:$C,'01. CP Nhân sự '!J$72)</f>
        <v>4800000</v>
      </c>
      <c r="K164" s="128">
        <f t="shared" si="32"/>
        <v>2038013871</v>
      </c>
      <c r="L164" s="182"/>
      <c r="O164" s="251">
        <f t="shared" si="31"/>
        <v>1.476913611371795E-2</v>
      </c>
    </row>
    <row r="165" spans="1:15" hidden="1" outlineLevel="1" x14ac:dyDescent="0.25">
      <c r="A165" s="15">
        <v>7</v>
      </c>
      <c r="B165" s="3">
        <v>9</v>
      </c>
      <c r="C165" s="7" t="s">
        <v>9</v>
      </c>
      <c r="D165" s="133">
        <f>VLOOKUP(C165,'02. ĐỊNH BIÊN'!$C$6:$AT$47,9,0)</f>
        <v>0</v>
      </c>
      <c r="E165" s="73">
        <f>SUMIFS('Data&gt;&gt; 2025'!$N:$N,'Data&gt;&gt; 2025'!$L:$L,'01. CP Nhân sự '!$A165,'Data&gt;&gt; 2025'!$B:$B,'01. CP Nhân sự '!$C165,'Data&gt;&gt; 2025'!$C:$C,'01. CP Nhân sự '!E$72)</f>
        <v>793708480</v>
      </c>
      <c r="F165" s="73">
        <f>SUMIFS('Data&gt;&gt; 2025'!$N:$N,'Data&gt;&gt; 2025'!$L:$L,'01. CP Nhân sự '!$A165,'Data&gt;&gt; 2025'!$B:$B,'01. CP Nhân sự '!$C165,'Data&gt;&gt; 2025'!$C:$C,'01. CP Nhân sự '!F$72)</f>
        <v>83690926</v>
      </c>
      <c r="G165" s="73">
        <f>SUMIFS('Data&gt;&gt; 2025'!$N:$N,'Data&gt;&gt; 2025'!$L:$L,'01. CP Nhân sự '!$A165,'Data&gt;&gt; 2025'!$B:$B,'01. CP Nhân sự '!$C165,'Data&gt;&gt; 2025'!$C:$C,'01. CP Nhân sự '!G$72)</f>
        <v>46198761</v>
      </c>
      <c r="H165" s="73">
        <f>SUMIFS('Data&gt;&gt; 2025'!$N:$N,'Data&gt;&gt; 2025'!$L:$L,'01. CP Nhân sự '!$A165,'Data&gt;&gt; 2025'!$B:$B,'01. CP Nhân sự '!$C165,'Data&gt;&gt; 2025'!$C:$C,'01. CP Nhân sự '!H$72)</f>
        <v>55762130</v>
      </c>
      <c r="I165" s="73">
        <f>SUMIFS('Data&gt;&gt; 2025'!$N:$N,'Data&gt;&gt; 2025'!$L:$L,'01. CP Nhân sự '!$A165,'Data&gt;&gt; 2025'!$B:$B,'01. CP Nhân sự '!$C165,'Data&gt;&gt; 2025'!$C:$C,'01. CP Nhân sự '!I$72)</f>
        <v>144700080</v>
      </c>
      <c r="J165" s="73">
        <f>SUMIFS('Data&gt;&gt; 2025'!$N:$N,'Data&gt;&gt; 2025'!$L:$L,'01. CP Nhân sự '!$A165,'Data&gt;&gt; 2025'!$B:$B,'01. CP Nhân sự '!$C165,'Data&gt;&gt; 2025'!$C:$C,'01. CP Nhân sự '!J$72)</f>
        <v>15700000</v>
      </c>
      <c r="K165" s="128">
        <f t="shared" si="32"/>
        <v>1139760377</v>
      </c>
      <c r="L165" s="182"/>
      <c r="O165" s="251">
        <f t="shared" si="31"/>
        <v>8.2596474854588885E-3</v>
      </c>
    </row>
    <row r="166" spans="1:15" hidden="1" outlineLevel="1" x14ac:dyDescent="0.25">
      <c r="A166" s="15">
        <v>7</v>
      </c>
      <c r="B166" s="3">
        <v>10</v>
      </c>
      <c r="C166" s="7" t="s">
        <v>10</v>
      </c>
      <c r="D166" s="133">
        <f>VLOOKUP(C166,'02. ĐỊNH BIÊN'!$C$6:$AT$47,9,0)</f>
        <v>0</v>
      </c>
      <c r="E166" s="73">
        <f>SUMIFS('Data&gt;&gt; 2025'!$N:$N,'Data&gt;&gt; 2025'!$L:$L,'01. CP Nhân sự '!$A166,'Data&gt;&gt; 2025'!$B:$B,'01. CP Nhân sự '!$C166,'Data&gt;&gt; 2025'!$C:$C,'01. CP Nhân sự '!E$72)</f>
        <v>579809683</v>
      </c>
      <c r="F166" s="73">
        <f>SUMIFS('Data&gt;&gt; 2025'!$N:$N,'Data&gt;&gt; 2025'!$L:$L,'01. CP Nhân sự '!$A166,'Data&gt;&gt; 2025'!$B:$B,'01. CP Nhân sự '!$C166,'Data&gt;&gt; 2025'!$C:$C,'01. CP Nhân sự '!F$72)</f>
        <v>0</v>
      </c>
      <c r="G166" s="73">
        <f>SUMIFS('Data&gt;&gt; 2025'!$N:$N,'Data&gt;&gt; 2025'!$L:$L,'01. CP Nhân sự '!$A166,'Data&gt;&gt; 2025'!$B:$B,'01. CP Nhân sự '!$C166,'Data&gt;&gt; 2025'!$C:$C,'01. CP Nhân sự '!G$72)</f>
        <v>319682849</v>
      </c>
      <c r="H166" s="73">
        <f>SUMIFS('Data&gt;&gt; 2025'!$N:$N,'Data&gt;&gt; 2025'!$L:$L,'01. CP Nhân sự '!$A166,'Data&gt;&gt; 2025'!$B:$B,'01. CP Nhân sự '!$C166,'Data&gt;&gt; 2025'!$C:$C,'01. CP Nhân sự '!H$72)</f>
        <v>15300000</v>
      </c>
      <c r="I166" s="73">
        <f>SUMIFS('Data&gt;&gt; 2025'!$N:$N,'Data&gt;&gt; 2025'!$L:$L,'01. CP Nhân sự '!$A166,'Data&gt;&gt; 2025'!$B:$B,'01. CP Nhân sự '!$C166,'Data&gt;&gt; 2025'!$C:$C,'01. CP Nhân sự '!I$72)</f>
        <v>108285885</v>
      </c>
      <c r="J166" s="73">
        <f>SUMIFS('Data&gt;&gt; 2025'!$N:$N,'Data&gt;&gt; 2025'!$L:$L,'01. CP Nhân sự '!$A166,'Data&gt;&gt; 2025'!$B:$B,'01. CP Nhân sự '!$C166,'Data&gt;&gt; 2025'!$C:$C,'01. CP Nhân sự '!J$72)</f>
        <v>4700000</v>
      </c>
      <c r="K166" s="128">
        <f t="shared" si="32"/>
        <v>1027778417</v>
      </c>
      <c r="L166" s="182"/>
      <c r="O166" s="251">
        <f t="shared" si="31"/>
        <v>7.4481334751497217E-3</v>
      </c>
    </row>
    <row r="167" spans="1:15" hidden="1" outlineLevel="1" x14ac:dyDescent="0.25">
      <c r="A167" s="15">
        <v>7</v>
      </c>
      <c r="B167" s="3">
        <v>11</v>
      </c>
      <c r="C167" s="7" t="s">
        <v>8</v>
      </c>
      <c r="D167" s="133">
        <f>VLOOKUP(C167,'02. ĐỊNH BIÊN'!$C$6:$AT$47,9,0)</f>
        <v>0</v>
      </c>
      <c r="E167" s="73">
        <f>SUMIFS('Data&gt;&gt; 2025'!$N:$N,'Data&gt;&gt; 2025'!$L:$L,'01. CP Nhân sự '!$A167,'Data&gt;&gt; 2025'!$B:$B,'01. CP Nhân sự '!$C167,'Data&gt;&gt; 2025'!$C:$C,'01. CP Nhân sự '!E$72,'Data&gt;&gt; 2025'!$A:$A,627)</f>
        <v>1121736495</v>
      </c>
      <c r="F167" s="73">
        <f>SUMIFS('Data&gt;&gt; 2025'!$N:$N,'Data&gt;&gt; 2025'!$L:$L,'01. CP Nhân sự '!$A167,'Data&gt;&gt; 2025'!$B:$B,'01. CP Nhân sự '!$C167,'Data&gt;&gt; 2025'!$C:$C,'01. CP Nhân sự '!F$72,'Data&gt;&gt; 2025'!$A:$A,627)</f>
        <v>129105084</v>
      </c>
      <c r="G167" s="73">
        <f>SUMIFS('Data&gt;&gt; 2025'!$N:$N,'Data&gt;&gt; 2025'!$L:$L,'01. CP Nhân sự '!$A167,'Data&gt;&gt; 2025'!$B:$B,'01. CP Nhân sự '!$C167,'Data&gt;&gt; 2025'!$C:$C,'01. CP Nhân sự '!G$72,'Data&gt;&gt; 2025'!$A:$A,627)</f>
        <v>60276824</v>
      </c>
      <c r="H167" s="73">
        <f>SUMIFS('Data&gt;&gt; 2025'!$N:$N,'Data&gt;&gt; 2025'!$L:$L,'01. CP Nhân sự '!$A167,'Data&gt;&gt; 2025'!$B:$B,'01. CP Nhân sự '!$C167,'Data&gt;&gt; 2025'!$C:$C,'01. CP Nhân sự '!H$72,'Data&gt;&gt; 2025'!$A:$A,627)</f>
        <v>102593135</v>
      </c>
      <c r="I167" s="73">
        <f>SUMIFS('Data&gt;&gt; 2025'!$N:$N,'Data&gt;&gt; 2025'!$L:$L,'01. CP Nhân sự '!$A167,'Data&gt;&gt; 2025'!$B:$B,'01. CP Nhân sự '!$C167,'Data&gt;&gt; 2025'!$C:$C,'01. CP Nhân sự '!I$72,'Data&gt;&gt; 2025'!$A:$A,627)</f>
        <v>171691410</v>
      </c>
      <c r="J167" s="73">
        <f>SUMIFS('Data&gt;&gt; 2025'!$N:$N,'Data&gt;&gt; 2025'!$L:$L,'01. CP Nhân sự '!$A167,'Data&gt;&gt; 2025'!$B:$B,'01. CP Nhân sự '!$C167,'Data&gt;&gt; 2025'!$C:$C,'01. CP Nhân sự '!J$72,'Data&gt;&gt; 2025'!$A:$A,627)</f>
        <v>20350000</v>
      </c>
      <c r="K167" s="128">
        <f t="shared" si="32"/>
        <v>1605752948</v>
      </c>
      <c r="L167" s="182"/>
      <c r="O167" s="251">
        <f t="shared" si="31"/>
        <v>1.1636615526261971E-2</v>
      </c>
    </row>
    <row r="168" spans="1:15" hidden="1" outlineLevel="1" x14ac:dyDescent="0.25">
      <c r="A168" s="15">
        <v>7</v>
      </c>
      <c r="B168" s="3">
        <v>12</v>
      </c>
      <c r="C168" s="7" t="s">
        <v>8</v>
      </c>
      <c r="D168" s="133">
        <v>259</v>
      </c>
      <c r="E168" s="73">
        <f>SUMIFS('Data&gt;&gt; 2025'!$N:$N,'Data&gt;&gt; 2025'!$L:$L,'01. CP Nhân sự '!$A168,'Data&gt;&gt; 2025'!$B:$B,'01. CP Nhân sự '!$C168,'Data&gt;&gt; 2025'!$C:$C,'01. CP Nhân sự '!E$72,'Data&gt;&gt; 2025'!$A:$A,622)</f>
        <v>3261586503</v>
      </c>
      <c r="F168" s="73">
        <f>SUMIFS('Data&gt;&gt; 2025'!$N:$N,'Data&gt;&gt; 2025'!$L:$L,'01. CP Nhân sự '!$A168,'Data&gt;&gt; 2025'!$B:$B,'01. CP Nhân sự '!$C168,'Data&gt;&gt; 2025'!$C:$C,'01. CP Nhân sự '!F$72,'Data&gt;&gt; 2025'!$A:$A,622)</f>
        <v>382580514</v>
      </c>
      <c r="G168" s="73">
        <f>SUMIFS('Data&gt;&gt; 2025'!$N:$N,'Data&gt;&gt; 2025'!$L:$L,'01. CP Nhân sự '!$A168,'Data&gt;&gt; 2025'!$B:$B,'01. CP Nhân sự '!$C168,'Data&gt;&gt; 2025'!$C:$C,'01. CP Nhân sự '!G$72,'Data&gt;&gt; 2025'!$A:$A,622)</f>
        <v>28837017</v>
      </c>
      <c r="H168" s="73">
        <f>SUMIFS('Data&gt;&gt; 2025'!$N:$N,'Data&gt;&gt; 2025'!$L:$L,'01. CP Nhân sự '!$A168,'Data&gt;&gt; 2025'!$B:$B,'01. CP Nhân sự '!$C168,'Data&gt;&gt; 2025'!$C:$C,'01. CP Nhân sự '!H$72,'Data&gt;&gt; 2025'!$A:$A,622)</f>
        <v>359402843</v>
      </c>
      <c r="I168" s="73">
        <f>SUMIFS('Data&gt;&gt; 2025'!$N:$N,'Data&gt;&gt; 2025'!$L:$L,'01. CP Nhân sự '!$A168,'Data&gt;&gt; 2025'!$B:$B,'01. CP Nhân sự '!$C168,'Data&gt;&gt; 2025'!$C:$C,'01. CP Nhân sự '!I$72,'Data&gt;&gt; 2025'!$A:$A,622)</f>
        <v>299633675</v>
      </c>
      <c r="J168" s="73">
        <f>SUMIFS('Data&gt;&gt; 2025'!$N:$N,'Data&gt;&gt; 2025'!$L:$L,'01. CP Nhân sự '!$A168,'Data&gt;&gt; 2025'!$B:$B,'01. CP Nhân sự '!$C168,'Data&gt;&gt; 2025'!$C:$C,'01. CP Nhân sự '!J$72,'Data&gt;&gt; 2025'!$A:$A,622)</f>
        <v>0</v>
      </c>
      <c r="K168" s="128">
        <f t="shared" si="32"/>
        <v>4332040552</v>
      </c>
      <c r="L168" s="182"/>
      <c r="O168" s="251">
        <f t="shared" si="31"/>
        <v>3.1393553043503226E-2</v>
      </c>
    </row>
    <row r="169" spans="1:15" hidden="1" outlineLevel="1" x14ac:dyDescent="0.25">
      <c r="A169" s="16">
        <v>7</v>
      </c>
      <c r="B169" s="3">
        <v>13</v>
      </c>
      <c r="C169" s="4" t="s">
        <v>221</v>
      </c>
      <c r="D169" s="135">
        <f>VLOOKUP(C169,'02. ĐỊNH BIÊN'!$C$6:$AT$47,9,0)</f>
        <v>0</v>
      </c>
      <c r="E169" s="125">
        <f>SUMIFS('Data&gt;&gt; 2025'!$N:$N,'Data&gt;&gt; 2025'!$L:$L,'01. CP Nhân sự '!$A169,'Data&gt;&gt; 2025'!$B:$B,'01. CP Nhân sự '!$C169,'Data&gt;&gt; 2025'!$C:$C,'01. CP Nhân sự '!E$72)</f>
        <v>96250001</v>
      </c>
      <c r="F169" s="125">
        <f>SUMIFS('Data&gt;&gt; 2025'!$N:$N,'Data&gt;&gt; 2025'!$L:$L,'01. CP Nhân sự '!$A169,'Data&gt;&gt; 2025'!$B:$B,'01. CP Nhân sự '!$C169,'Data&gt;&gt; 2025'!$C:$C,'01. CP Nhân sự '!F$72)</f>
        <v>0</v>
      </c>
      <c r="G169" s="125">
        <f>SUMIFS('Data&gt;&gt; 2025'!$N:$N,'Data&gt;&gt; 2025'!$L:$L,'01. CP Nhân sự '!$A169,'Data&gt;&gt; 2025'!$B:$B,'01. CP Nhân sự '!$C169,'Data&gt;&gt; 2025'!$C:$C,'01. CP Nhân sự '!G$72)</f>
        <v>-86249250</v>
      </c>
      <c r="H169" s="125">
        <f>SUMIFS('Data&gt;&gt; 2025'!$N:$N,'Data&gt;&gt; 2025'!$L:$L,'01. CP Nhân sự '!$A169,'Data&gt;&gt; 2025'!$B:$B,'01. CP Nhân sự '!$C169,'Data&gt;&gt; 2025'!$C:$C,'01. CP Nhân sự '!H$72)</f>
        <v>0</v>
      </c>
      <c r="I169" s="125">
        <f>SUMIFS('Data&gt;&gt; 2025'!$N:$N,'Data&gt;&gt; 2025'!$L:$L,'01. CP Nhân sự '!$A169,'Data&gt;&gt; 2025'!$B:$B,'01. CP Nhân sự '!$C169,'Data&gt;&gt; 2025'!$C:$C,'01. CP Nhân sự '!I$72)</f>
        <v>0</v>
      </c>
      <c r="J169" s="125">
        <f>SUMIFS('Data&gt;&gt; 2025'!$N:$N,'Data&gt;&gt; 2025'!$L:$L,'01. CP Nhân sự '!$A169,'Data&gt;&gt; 2025'!$B:$B,'01. CP Nhân sự '!$C169,'Data&gt;&gt; 2025'!$C:$C,'01. CP Nhân sự '!J$72)</f>
        <v>0</v>
      </c>
      <c r="K169" s="128">
        <f t="shared" si="32"/>
        <v>10000751</v>
      </c>
      <c r="L169" s="182"/>
      <c r="O169" s="251">
        <f t="shared" si="31"/>
        <v>7.2473723000681631E-5</v>
      </c>
    </row>
    <row r="170" spans="1:15" collapsed="1" x14ac:dyDescent="0.25">
      <c r="A170" s="17">
        <v>7</v>
      </c>
      <c r="B170" s="18"/>
      <c r="C170" s="19" t="s">
        <v>17</v>
      </c>
      <c r="D170" s="136">
        <f>SUM(D157:D169)</f>
        <v>259</v>
      </c>
      <c r="E170" s="75">
        <f>SUM(E157:E169)</f>
        <v>10474704035</v>
      </c>
      <c r="F170" s="75">
        <f t="shared" ref="F170:J170" si="33">SUM(F157:F169)</f>
        <v>1202524076</v>
      </c>
      <c r="G170" s="75">
        <f t="shared" si="33"/>
        <v>777159292</v>
      </c>
      <c r="H170" s="75">
        <f t="shared" si="33"/>
        <v>743066674</v>
      </c>
      <c r="I170" s="75">
        <f t="shared" si="33"/>
        <v>1447742225</v>
      </c>
      <c r="J170" s="75">
        <f t="shared" si="33"/>
        <v>58350000</v>
      </c>
      <c r="K170" s="75">
        <f>SUM(K157:K169)</f>
        <v>14703546302</v>
      </c>
      <c r="L170" s="181">
        <f>K170/K156-1</f>
        <v>3.6667413335356391E-2</v>
      </c>
      <c r="N170" s="75">
        <v>137991406898</v>
      </c>
      <c r="O170" s="250">
        <f>K170/$N$170</f>
        <v>0.10655407197107944</v>
      </c>
    </row>
    <row r="171" spans="1:15" hidden="1" outlineLevel="1" x14ac:dyDescent="0.25">
      <c r="A171" s="14">
        <v>8</v>
      </c>
      <c r="B171" s="1">
        <v>1</v>
      </c>
      <c r="C171" s="2" t="s">
        <v>0</v>
      </c>
      <c r="D171" s="132">
        <f>VLOOKUP(C171,'02. ĐỊNH BIÊN'!$C$6:$AT$47,10,0)</f>
        <v>0</v>
      </c>
      <c r="E171" s="72">
        <f>SUMIFS('Data&gt;&gt; 2025'!$N:$N,'Data&gt;&gt; 2025'!$L:$L,'01. CP Nhân sự '!$A171,'Data&gt;&gt; 2025'!$B:$B,'01. CP Nhân sự '!$C171,'Data&gt;&gt; 2025'!$C:$C,'01. CP Nhân sự '!E$72)</f>
        <v>1590905792</v>
      </c>
      <c r="F171" s="72">
        <f>SUMIFS('Data&gt;&gt; 2025'!$N:$N,'Data&gt;&gt; 2025'!$L:$L,'01. CP Nhân sự '!$A171,'Data&gt;&gt; 2025'!$B:$B,'01. CP Nhân sự '!$C171,'Data&gt;&gt; 2025'!$C:$C,'01. CP Nhân sự '!F$72)</f>
        <v>0</v>
      </c>
      <c r="G171" s="72">
        <f>SUMIFS('Data&gt;&gt; 2025'!$N:$N,'Data&gt;&gt; 2025'!$L:$L,'01. CP Nhân sự '!$A171,'Data&gt;&gt; 2025'!$B:$B,'01. CP Nhân sự '!$C171,'Data&gt;&gt; 2025'!$C:$C,'01. CP Nhân sự '!G$72)</f>
        <v>93907800</v>
      </c>
      <c r="H171" s="72">
        <f>SUMIFS('Data&gt;&gt; 2025'!$N:$N,'Data&gt;&gt; 2025'!$L:$L,'01. CP Nhân sự '!$A171,'Data&gt;&gt; 2025'!$B:$B,'01. CP Nhân sự '!$C171,'Data&gt;&gt; 2025'!$C:$C,'01. CP Nhân sự '!H$72)</f>
        <v>0</v>
      </c>
      <c r="I171" s="72">
        <f>SUMIFS('Data&gt;&gt; 2025'!$N:$N,'Data&gt;&gt; 2025'!$L:$L,'01. CP Nhân sự '!$A171,'Data&gt;&gt; 2025'!$B:$B,'01. CP Nhân sự '!$C171,'Data&gt;&gt; 2025'!$C:$C,'01. CP Nhân sự '!I$72)</f>
        <v>125965950</v>
      </c>
      <c r="J171" s="72">
        <f>SUMIFS('Data&gt;&gt; 2025'!$N:$N,'Data&gt;&gt; 2025'!$L:$L,'01. CP Nhân sự '!$A171,'Data&gt;&gt; 2025'!$B:$B,'01. CP Nhân sự '!$C171,'Data&gt;&gt; 2025'!$C:$C,'01. CP Nhân sự '!J$72)</f>
        <v>0</v>
      </c>
      <c r="K171" s="128">
        <f>SUM(E171:J171)</f>
        <v>1810779542</v>
      </c>
      <c r="L171" s="182"/>
    </row>
    <row r="172" spans="1:15" hidden="1" outlineLevel="1" x14ac:dyDescent="0.25">
      <c r="A172" s="14">
        <v>8</v>
      </c>
      <c r="B172" s="3">
        <v>2</v>
      </c>
      <c r="C172" s="7" t="s">
        <v>1</v>
      </c>
      <c r="D172" s="133">
        <f>VLOOKUP(C172,'02. ĐỊNH BIÊN'!$C$6:$AT$47,10,0)</f>
        <v>0</v>
      </c>
      <c r="E172" s="73">
        <f>SUMIFS('Data&gt;&gt; 2025'!$N:$N,'Data&gt;&gt; 2025'!$L:$L,'01. CP Nhân sự '!$A172,'Data&gt;&gt; 2025'!$B:$B,'01. CP Nhân sự '!$C172,'Data&gt;&gt; 2025'!$C:$C,'01. CP Nhân sự '!E$72)</f>
        <v>475216203</v>
      </c>
      <c r="F172" s="73">
        <f>SUMIFS('Data&gt;&gt; 2025'!$N:$N,'Data&gt;&gt; 2025'!$L:$L,'01. CP Nhân sự '!$A172,'Data&gt;&gt; 2025'!$B:$B,'01. CP Nhân sự '!$C172,'Data&gt;&gt; 2025'!$C:$C,'01. CP Nhân sự '!F$72)</f>
        <v>0</v>
      </c>
      <c r="G172" s="73">
        <f>SUMIFS('Data&gt;&gt; 2025'!$N:$N,'Data&gt;&gt; 2025'!$L:$L,'01. CP Nhân sự '!$A172,'Data&gt;&gt; 2025'!$B:$B,'01. CP Nhân sự '!$C172,'Data&gt;&gt; 2025'!$C:$C,'01. CP Nhân sự '!G$72)</f>
        <v>235280655</v>
      </c>
      <c r="H172" s="73">
        <f>SUMIFS('Data&gt;&gt; 2025'!$N:$N,'Data&gt;&gt; 2025'!$L:$L,'01. CP Nhân sự '!$A172,'Data&gt;&gt; 2025'!$B:$B,'01. CP Nhân sự '!$C172,'Data&gt;&gt; 2025'!$C:$C,'01. CP Nhân sự '!H$72)</f>
        <v>50000</v>
      </c>
      <c r="I172" s="73">
        <f>SUMIFS('Data&gt;&gt; 2025'!$N:$N,'Data&gt;&gt; 2025'!$L:$L,'01. CP Nhân sự '!$A172,'Data&gt;&gt; 2025'!$B:$B,'01. CP Nhân sự '!$C172,'Data&gt;&gt; 2025'!$C:$C,'01. CP Nhân sự '!I$72)</f>
        <v>56494945</v>
      </c>
      <c r="J172" s="73">
        <f>SUMIFS('Data&gt;&gt; 2025'!$N:$N,'Data&gt;&gt; 2025'!$L:$L,'01. CP Nhân sự '!$A172,'Data&gt;&gt; 2025'!$B:$B,'01. CP Nhân sự '!$C172,'Data&gt;&gt; 2025'!$C:$C,'01. CP Nhân sự '!J$72)</f>
        <v>0</v>
      </c>
      <c r="K172" s="128">
        <f>SUM(E172:J172)</f>
        <v>767041803</v>
      </c>
      <c r="L172" s="182"/>
    </row>
    <row r="173" spans="1:15" hidden="1" outlineLevel="1" x14ac:dyDescent="0.25">
      <c r="A173" s="14">
        <v>8</v>
      </c>
      <c r="B173" s="3">
        <v>3</v>
      </c>
      <c r="C173" s="7" t="s">
        <v>2</v>
      </c>
      <c r="D173" s="133">
        <f>VLOOKUP(C173,'02. ĐỊNH BIÊN'!$C$6:$AT$47,10,0)</f>
        <v>0</v>
      </c>
      <c r="E173" s="73">
        <f>SUMIFS('Data&gt;&gt; 2025'!$N:$N,'Data&gt;&gt; 2025'!$L:$L,'01. CP Nhân sự '!$A173,'Data&gt;&gt; 2025'!$B:$B,'01. CP Nhân sự '!$C173,'Data&gt;&gt; 2025'!$C:$C,'01. CP Nhân sự '!E$72)</f>
        <v>139846653</v>
      </c>
      <c r="F173" s="73">
        <f>SUMIFS('Data&gt;&gt; 2025'!$N:$N,'Data&gt;&gt; 2025'!$L:$L,'01. CP Nhân sự '!$A173,'Data&gt;&gt; 2025'!$B:$B,'01. CP Nhân sự '!$C173,'Data&gt;&gt; 2025'!$C:$C,'01. CP Nhân sự '!F$72)</f>
        <v>0</v>
      </c>
      <c r="G173" s="73">
        <f>SUMIFS('Data&gt;&gt; 2025'!$N:$N,'Data&gt;&gt; 2025'!$L:$L,'01. CP Nhân sự '!$A173,'Data&gt;&gt; 2025'!$B:$B,'01. CP Nhân sự '!$C173,'Data&gt;&gt; 2025'!$C:$C,'01. CP Nhân sự '!G$72)</f>
        <v>10620771</v>
      </c>
      <c r="H173" s="73">
        <f>SUMIFS('Data&gt;&gt; 2025'!$N:$N,'Data&gt;&gt; 2025'!$L:$L,'01. CP Nhân sự '!$A173,'Data&gt;&gt; 2025'!$B:$B,'01. CP Nhân sự '!$C173,'Data&gt;&gt; 2025'!$C:$C,'01. CP Nhân sự '!H$72)</f>
        <v>5075000</v>
      </c>
      <c r="I173" s="73">
        <f>SUMIFS('Data&gt;&gt; 2025'!$N:$N,'Data&gt;&gt; 2025'!$L:$L,'01. CP Nhân sự '!$A173,'Data&gt;&gt; 2025'!$B:$B,'01. CP Nhân sự '!$C173,'Data&gt;&gt; 2025'!$C:$C,'01. CP Nhân sự '!I$72)</f>
        <v>30675255</v>
      </c>
      <c r="J173" s="73">
        <f>SUMIFS('Data&gt;&gt; 2025'!$N:$N,'Data&gt;&gt; 2025'!$L:$L,'01. CP Nhân sự '!$A173,'Data&gt;&gt; 2025'!$B:$B,'01. CP Nhân sự '!$C173,'Data&gt;&gt; 2025'!$C:$C,'01. CP Nhân sự '!J$72)</f>
        <v>0</v>
      </c>
      <c r="K173" s="128">
        <f t="shared" ref="K173:K183" si="34">SUM(E173:J173)</f>
        <v>186217679</v>
      </c>
      <c r="L173" s="182"/>
    </row>
    <row r="174" spans="1:15" hidden="1" outlineLevel="1" x14ac:dyDescent="0.25">
      <c r="A174" s="14">
        <v>8</v>
      </c>
      <c r="B174" s="3">
        <v>4</v>
      </c>
      <c r="C174" s="7" t="s">
        <v>3</v>
      </c>
      <c r="D174" s="133">
        <f>VLOOKUP(C174,'02. ĐỊNH BIÊN'!$C$6:$AT$47,10,0)</f>
        <v>0</v>
      </c>
      <c r="E174" s="73">
        <f>SUMIFS('Data&gt;&gt; 2025'!$N:$N,'Data&gt;&gt; 2025'!$L:$L,'01. CP Nhân sự '!$A174,'Data&gt;&gt; 2025'!$B:$B,'01. CP Nhân sự '!$C174,'Data&gt;&gt; 2025'!$C:$C,'01. CP Nhân sự '!E$72)</f>
        <v>573820857</v>
      </c>
      <c r="F174" s="73">
        <f>SUMIFS('Data&gt;&gt; 2025'!$N:$N,'Data&gt;&gt; 2025'!$L:$L,'01. CP Nhân sự '!$A174,'Data&gt;&gt; 2025'!$B:$B,'01. CP Nhân sự '!$C174,'Data&gt;&gt; 2025'!$C:$C,'01. CP Nhân sự '!F$72)</f>
        <v>49682613</v>
      </c>
      <c r="G174" s="73">
        <f>SUMIFS('Data&gt;&gt; 2025'!$N:$N,'Data&gt;&gt; 2025'!$L:$L,'01. CP Nhân sự '!$A174,'Data&gt;&gt; 2025'!$B:$B,'01. CP Nhân sự '!$C174,'Data&gt;&gt; 2025'!$C:$C,'01. CP Nhân sự '!G$72)</f>
        <v>39282202</v>
      </c>
      <c r="H174" s="73">
        <f>SUMIFS('Data&gt;&gt; 2025'!$N:$N,'Data&gt;&gt; 2025'!$L:$L,'01. CP Nhân sự '!$A174,'Data&gt;&gt; 2025'!$B:$B,'01. CP Nhân sự '!$C174,'Data&gt;&gt; 2025'!$C:$C,'01. CP Nhân sự '!H$72)</f>
        <v>18725000</v>
      </c>
      <c r="I174" s="73">
        <f>SUMIFS('Data&gt;&gt; 2025'!$N:$N,'Data&gt;&gt; 2025'!$L:$L,'01. CP Nhân sự '!$A174,'Data&gt;&gt; 2025'!$B:$B,'01. CP Nhân sự '!$C174,'Data&gt;&gt; 2025'!$C:$C,'01. CP Nhân sự '!I$72)</f>
        <v>100057535</v>
      </c>
      <c r="J174" s="73">
        <f>SUMIFS('Data&gt;&gt; 2025'!$N:$N,'Data&gt;&gt; 2025'!$L:$L,'01. CP Nhân sự '!$A174,'Data&gt;&gt; 2025'!$B:$B,'01. CP Nhân sự '!$C174,'Data&gt;&gt; 2025'!$C:$C,'01. CP Nhân sự '!J$72)</f>
        <v>0</v>
      </c>
      <c r="K174" s="128">
        <f t="shared" si="34"/>
        <v>781568207</v>
      </c>
      <c r="L174" s="182"/>
    </row>
    <row r="175" spans="1:15" hidden="1" outlineLevel="1" x14ac:dyDescent="0.25">
      <c r="A175" s="14">
        <v>8</v>
      </c>
      <c r="B175" s="3">
        <v>5</v>
      </c>
      <c r="C175" s="7" t="s">
        <v>4</v>
      </c>
      <c r="D175" s="133">
        <f>VLOOKUP(C175,'02. ĐỊNH BIÊN'!$C$6:$AT$47,10,0)</f>
        <v>0</v>
      </c>
      <c r="E175" s="73">
        <f>SUMIFS('Data&gt;&gt; 2025'!$N:$N,'Data&gt;&gt; 2025'!$L:$L,'01. CP Nhân sự '!$A175,'Data&gt;&gt; 2025'!$B:$B,'01. CP Nhân sự '!$C175,'Data&gt;&gt; 2025'!$C:$C,'01. CP Nhân sự '!E$72)</f>
        <v>179977162</v>
      </c>
      <c r="F175" s="73">
        <f>SUMIFS('Data&gt;&gt; 2025'!$N:$N,'Data&gt;&gt; 2025'!$L:$L,'01. CP Nhân sự '!$A175,'Data&gt;&gt; 2025'!$B:$B,'01. CP Nhân sự '!$C175,'Data&gt;&gt; 2025'!$C:$C,'01. CP Nhân sự '!F$72)</f>
        <v>0</v>
      </c>
      <c r="G175" s="73">
        <f>SUMIFS('Data&gt;&gt; 2025'!$N:$N,'Data&gt;&gt; 2025'!$L:$L,'01. CP Nhân sự '!$A175,'Data&gt;&gt; 2025'!$B:$B,'01. CP Nhân sự '!$C175,'Data&gt;&gt; 2025'!$C:$C,'01. CP Nhân sự '!G$72)</f>
        <v>12879888</v>
      </c>
      <c r="H175" s="73">
        <f>SUMIFS('Data&gt;&gt; 2025'!$N:$N,'Data&gt;&gt; 2025'!$L:$L,'01. CP Nhân sự '!$A175,'Data&gt;&gt; 2025'!$B:$B,'01. CP Nhân sự '!$C175,'Data&gt;&gt; 2025'!$C:$C,'01. CP Nhân sự '!H$72)</f>
        <v>250000</v>
      </c>
      <c r="I175" s="73">
        <f>SUMIFS('Data&gt;&gt; 2025'!$N:$N,'Data&gt;&gt; 2025'!$L:$L,'01. CP Nhân sự '!$A175,'Data&gt;&gt; 2025'!$B:$B,'01. CP Nhân sự '!$C175,'Data&gt;&gt; 2025'!$C:$C,'01. CP Nhân sự '!I$72)</f>
        <v>28195325</v>
      </c>
      <c r="J175" s="73">
        <f>SUMIFS('Data&gt;&gt; 2025'!$N:$N,'Data&gt;&gt; 2025'!$L:$L,'01. CP Nhân sự '!$A175,'Data&gt;&gt; 2025'!$B:$B,'01. CP Nhân sự '!$C175,'Data&gt;&gt; 2025'!$C:$C,'01. CP Nhân sự '!J$72)</f>
        <v>12600000</v>
      </c>
      <c r="K175" s="128">
        <f t="shared" si="34"/>
        <v>233902375</v>
      </c>
      <c r="L175" s="182"/>
    </row>
    <row r="176" spans="1:15" hidden="1" outlineLevel="1" x14ac:dyDescent="0.25">
      <c r="A176" s="14">
        <v>8</v>
      </c>
      <c r="B176" s="3">
        <v>6</v>
      </c>
      <c r="C176" s="7" t="s">
        <v>5</v>
      </c>
      <c r="D176" s="133">
        <f>VLOOKUP(C176,'02. ĐỊNH BIÊN'!$C$6:$AT$47,10,0)</f>
        <v>0</v>
      </c>
      <c r="E176" s="73">
        <f>SUMIFS('Data&gt;&gt; 2025'!$N:$N,'Data&gt;&gt; 2025'!$L:$L,'01. CP Nhân sự '!$A176,'Data&gt;&gt; 2025'!$B:$B,'01. CP Nhân sự '!$C176,'Data&gt;&gt; 2025'!$C:$C,'01. CP Nhân sự '!E$72)</f>
        <v>122441066</v>
      </c>
      <c r="F176" s="73">
        <f>SUMIFS('Data&gt;&gt; 2025'!$N:$N,'Data&gt;&gt; 2025'!$L:$L,'01. CP Nhân sự '!$A176,'Data&gt;&gt; 2025'!$B:$B,'01. CP Nhân sự '!$C176,'Data&gt;&gt; 2025'!$C:$C,'01. CP Nhân sự '!F$72)</f>
        <v>0</v>
      </c>
      <c r="G176" s="73">
        <f>SUMIFS('Data&gt;&gt; 2025'!$N:$N,'Data&gt;&gt; 2025'!$L:$L,'01. CP Nhân sự '!$A176,'Data&gt;&gt; 2025'!$B:$B,'01. CP Nhân sự '!$C176,'Data&gt;&gt; 2025'!$C:$C,'01. CP Nhân sự '!G$72)</f>
        <v>8835757</v>
      </c>
      <c r="H176" s="73">
        <f>SUMIFS('Data&gt;&gt; 2025'!$N:$N,'Data&gt;&gt; 2025'!$L:$L,'01. CP Nhân sự '!$A176,'Data&gt;&gt; 2025'!$B:$B,'01. CP Nhân sự '!$C176,'Data&gt;&gt; 2025'!$C:$C,'01. CP Nhân sự '!H$72)</f>
        <v>1750000</v>
      </c>
      <c r="I176" s="73">
        <f>SUMIFS('Data&gt;&gt; 2025'!$N:$N,'Data&gt;&gt; 2025'!$L:$L,'01. CP Nhân sự '!$A176,'Data&gt;&gt; 2025'!$B:$B,'01. CP Nhân sự '!$C176,'Data&gt;&gt; 2025'!$C:$C,'01. CP Nhân sự '!I$72)</f>
        <v>25643750</v>
      </c>
      <c r="J176" s="73">
        <f>SUMIFS('Data&gt;&gt; 2025'!$N:$N,'Data&gt;&gt; 2025'!$L:$L,'01. CP Nhân sự '!$A176,'Data&gt;&gt; 2025'!$B:$B,'01. CP Nhân sự '!$C176,'Data&gt;&gt; 2025'!$C:$C,'01. CP Nhân sự '!J$72)</f>
        <v>0</v>
      </c>
      <c r="K176" s="128">
        <f t="shared" si="34"/>
        <v>158670573</v>
      </c>
      <c r="L176" s="182"/>
    </row>
    <row r="177" spans="1:15" hidden="1" outlineLevel="1" x14ac:dyDescent="0.25">
      <c r="A177" s="14">
        <v>8</v>
      </c>
      <c r="B177" s="3">
        <v>7</v>
      </c>
      <c r="C177" s="7" t="s">
        <v>6</v>
      </c>
      <c r="D177" s="133">
        <f>VLOOKUP(C177,'02. ĐỊNH BIÊN'!$C$6:$AT$47,10,0)</f>
        <v>0</v>
      </c>
      <c r="E177" s="73">
        <f>SUMIFS('Data&gt;&gt; 2025'!$N:$N,'Data&gt;&gt; 2025'!$L:$L,'01. CP Nhân sự '!$A177,'Data&gt;&gt; 2025'!$B:$B,'01. CP Nhân sự '!$C177,'Data&gt;&gt; 2025'!$C:$C,'01. CP Nhân sự '!E$72)</f>
        <v>576587314</v>
      </c>
      <c r="F177" s="73">
        <f>SUMIFS('Data&gt;&gt; 2025'!$N:$N,'Data&gt;&gt; 2025'!$L:$L,'01. CP Nhân sự '!$A177,'Data&gt;&gt; 2025'!$B:$B,'01. CP Nhân sự '!$C177,'Data&gt;&gt; 2025'!$C:$C,'01. CP Nhân sự '!F$72)</f>
        <v>191485300</v>
      </c>
      <c r="G177" s="73">
        <f>SUMIFS('Data&gt;&gt; 2025'!$N:$N,'Data&gt;&gt; 2025'!$L:$L,'01. CP Nhân sự '!$A177,'Data&gt;&gt; 2025'!$B:$B,'01. CP Nhân sự '!$C177,'Data&gt;&gt; 2025'!$C:$C,'01. CP Nhân sự '!G$72)</f>
        <v>36904942</v>
      </c>
      <c r="H177" s="73">
        <f>SUMIFS('Data&gt;&gt; 2025'!$N:$N,'Data&gt;&gt; 2025'!$L:$L,'01. CP Nhân sự '!$A177,'Data&gt;&gt; 2025'!$B:$B,'01. CP Nhân sự '!$C177,'Data&gt;&gt; 2025'!$C:$C,'01. CP Nhân sự '!H$72)</f>
        <v>71535945</v>
      </c>
      <c r="I177" s="73">
        <f>SUMIFS('Data&gt;&gt; 2025'!$N:$N,'Data&gt;&gt; 2025'!$L:$L,'01. CP Nhân sự '!$A177,'Data&gt;&gt; 2025'!$B:$B,'01. CP Nhân sự '!$C177,'Data&gt;&gt; 2025'!$C:$C,'01. CP Nhân sự '!I$72)</f>
        <v>105729515</v>
      </c>
      <c r="J177" s="73">
        <f>SUMIFS('Data&gt;&gt; 2025'!$N:$N,'Data&gt;&gt; 2025'!$L:$L,'01. CP Nhân sự '!$A177,'Data&gt;&gt; 2025'!$B:$B,'01. CP Nhân sự '!$C177,'Data&gt;&gt; 2025'!$C:$C,'01. CP Nhân sự '!J$72)</f>
        <v>35800000</v>
      </c>
      <c r="K177" s="128">
        <f t="shared" si="34"/>
        <v>1018043016</v>
      </c>
      <c r="L177" s="182"/>
    </row>
    <row r="178" spans="1:15" hidden="1" outlineLevel="1" x14ac:dyDescent="0.25">
      <c r="A178" s="14">
        <v>8</v>
      </c>
      <c r="B178" s="3">
        <v>8</v>
      </c>
      <c r="C178" s="7" t="s">
        <v>7</v>
      </c>
      <c r="D178" s="133">
        <f>VLOOKUP(C178,'02. ĐỊNH BIÊN'!$C$6:$AT$47,10,0)</f>
        <v>0</v>
      </c>
      <c r="E178" s="73">
        <f>SUMIFS('Data&gt;&gt; 2025'!$N:$N,'Data&gt;&gt; 2025'!$L:$L,'01. CP Nhân sự '!$A178,'Data&gt;&gt; 2025'!$B:$B,'01. CP Nhân sự '!$C178,'Data&gt;&gt; 2025'!$C:$C,'01. CP Nhân sự '!E$72)</f>
        <v>1257100301</v>
      </c>
      <c r="F178" s="73">
        <f>SUMIFS('Data&gt;&gt; 2025'!$N:$N,'Data&gt;&gt; 2025'!$L:$L,'01. CP Nhân sự '!$A178,'Data&gt;&gt; 2025'!$B:$B,'01. CP Nhân sự '!$C178,'Data&gt;&gt; 2025'!$C:$C,'01. CP Nhân sự '!F$72)</f>
        <v>406556893</v>
      </c>
      <c r="G178" s="73">
        <f>SUMIFS('Data&gt;&gt; 2025'!$N:$N,'Data&gt;&gt; 2025'!$L:$L,'01. CP Nhân sự '!$A178,'Data&gt;&gt; 2025'!$B:$B,'01. CP Nhân sự '!$C178,'Data&gt;&gt; 2025'!$C:$C,'01. CP Nhân sự '!G$72)</f>
        <v>82330237</v>
      </c>
      <c r="H178" s="73">
        <f>SUMIFS('Data&gt;&gt; 2025'!$N:$N,'Data&gt;&gt; 2025'!$L:$L,'01. CP Nhân sự '!$A178,'Data&gt;&gt; 2025'!$B:$B,'01. CP Nhân sự '!$C178,'Data&gt;&gt; 2025'!$C:$C,'01. CP Nhân sự '!H$72)</f>
        <v>115255106</v>
      </c>
      <c r="I178" s="73">
        <f>SUMIFS('Data&gt;&gt; 2025'!$N:$N,'Data&gt;&gt; 2025'!$L:$L,'01. CP Nhân sự '!$A178,'Data&gt;&gt; 2025'!$B:$B,'01. CP Nhân sự '!$C178,'Data&gt;&gt; 2025'!$C:$C,'01. CP Nhân sự '!I$72)</f>
        <v>246678770</v>
      </c>
      <c r="J178" s="73">
        <f>SUMIFS('Data&gt;&gt; 2025'!$N:$N,'Data&gt;&gt; 2025'!$L:$L,'01. CP Nhân sự '!$A178,'Data&gt;&gt; 2025'!$B:$B,'01. CP Nhân sự '!$C178,'Data&gt;&gt; 2025'!$C:$C,'01. CP Nhân sự '!J$72)</f>
        <v>18600000</v>
      </c>
      <c r="K178" s="128">
        <f t="shared" si="34"/>
        <v>2126521307</v>
      </c>
      <c r="L178" s="182"/>
    </row>
    <row r="179" spans="1:15" hidden="1" outlineLevel="1" x14ac:dyDescent="0.25">
      <c r="A179" s="14">
        <v>8</v>
      </c>
      <c r="B179" s="3">
        <v>9</v>
      </c>
      <c r="C179" s="7" t="s">
        <v>9</v>
      </c>
      <c r="D179" s="133">
        <f>VLOOKUP(C179,'02. ĐỊNH BIÊN'!$C$6:$AT$47,10,0)</f>
        <v>0</v>
      </c>
      <c r="E179" s="73">
        <f>SUMIFS('Data&gt;&gt; 2025'!$N:$N,'Data&gt;&gt; 2025'!$L:$L,'01. CP Nhân sự '!$A179,'Data&gt;&gt; 2025'!$B:$B,'01. CP Nhân sự '!$C179,'Data&gt;&gt; 2025'!$C:$C,'01. CP Nhân sự '!E$72)</f>
        <v>808738124</v>
      </c>
      <c r="F179" s="73">
        <f>SUMIFS('Data&gt;&gt; 2025'!$N:$N,'Data&gt;&gt; 2025'!$L:$L,'01. CP Nhân sự '!$A179,'Data&gt;&gt; 2025'!$B:$B,'01. CP Nhân sự '!$C179,'Data&gt;&gt; 2025'!$C:$C,'01. CP Nhân sự '!F$72)</f>
        <v>85259084</v>
      </c>
      <c r="G179" s="73">
        <f>SUMIFS('Data&gt;&gt; 2025'!$N:$N,'Data&gt;&gt; 2025'!$L:$L,'01. CP Nhân sự '!$A179,'Data&gt;&gt; 2025'!$B:$B,'01. CP Nhân sự '!$C179,'Data&gt;&gt; 2025'!$C:$C,'01. CP Nhân sự '!G$72)</f>
        <v>45687218</v>
      </c>
      <c r="H179" s="73">
        <f>SUMIFS('Data&gt;&gt; 2025'!$N:$N,'Data&gt;&gt; 2025'!$L:$L,'01. CP Nhân sự '!$A179,'Data&gt;&gt; 2025'!$B:$B,'01. CP Nhân sự '!$C179,'Data&gt;&gt; 2025'!$C:$C,'01. CP Nhân sự '!H$72)</f>
        <v>50604293</v>
      </c>
      <c r="I179" s="73">
        <f>SUMIFS('Data&gt;&gt; 2025'!$N:$N,'Data&gt;&gt; 2025'!$L:$L,'01. CP Nhân sự '!$A179,'Data&gt;&gt; 2025'!$B:$B,'01. CP Nhân sự '!$C179,'Data&gt;&gt; 2025'!$C:$C,'01. CP Nhân sự '!I$72)</f>
        <v>145678130</v>
      </c>
      <c r="J179" s="73">
        <f>SUMIFS('Data&gt;&gt; 2025'!$N:$N,'Data&gt;&gt; 2025'!$L:$L,'01. CP Nhân sự '!$A179,'Data&gt;&gt; 2025'!$B:$B,'01. CP Nhân sự '!$C179,'Data&gt;&gt; 2025'!$C:$C,'01. CP Nhân sự '!J$72)</f>
        <v>15600000</v>
      </c>
      <c r="K179" s="128">
        <f t="shared" si="34"/>
        <v>1151566849</v>
      </c>
      <c r="L179" s="182"/>
    </row>
    <row r="180" spans="1:15" hidden="1" outlineLevel="1" x14ac:dyDescent="0.25">
      <c r="A180" s="14">
        <v>8</v>
      </c>
      <c r="B180" s="3">
        <v>10</v>
      </c>
      <c r="C180" s="7" t="s">
        <v>10</v>
      </c>
      <c r="D180" s="133">
        <f>VLOOKUP(C180,'02. ĐỊNH BIÊN'!$C$6:$AT$47,10,0)</f>
        <v>0</v>
      </c>
      <c r="E180" s="73">
        <f>SUMIFS('Data&gt;&gt; 2025'!$N:$N,'Data&gt;&gt; 2025'!$L:$L,'01. CP Nhân sự '!$A180,'Data&gt;&gt; 2025'!$B:$B,'01. CP Nhân sự '!$C180,'Data&gt;&gt; 2025'!$C:$C,'01. CP Nhân sự '!E$72)</f>
        <v>597346464</v>
      </c>
      <c r="F180" s="73">
        <f>SUMIFS('Data&gt;&gt; 2025'!$N:$N,'Data&gt;&gt; 2025'!$L:$L,'01. CP Nhân sự '!$A180,'Data&gt;&gt; 2025'!$B:$B,'01. CP Nhân sự '!$C180,'Data&gt;&gt; 2025'!$C:$C,'01. CP Nhân sự '!F$72)</f>
        <v>0</v>
      </c>
      <c r="G180" s="73">
        <f>SUMIFS('Data&gt;&gt; 2025'!$N:$N,'Data&gt;&gt; 2025'!$L:$L,'01. CP Nhân sự '!$A180,'Data&gt;&gt; 2025'!$B:$B,'01. CP Nhân sự '!$C180,'Data&gt;&gt; 2025'!$C:$C,'01. CP Nhân sự '!G$72)</f>
        <v>349218908</v>
      </c>
      <c r="H180" s="73">
        <f>SUMIFS('Data&gt;&gt; 2025'!$N:$N,'Data&gt;&gt; 2025'!$L:$L,'01. CP Nhân sự '!$A180,'Data&gt;&gt; 2025'!$B:$B,'01. CP Nhân sự '!$C180,'Data&gt;&gt; 2025'!$C:$C,'01. CP Nhân sự '!H$72)</f>
        <v>15205000</v>
      </c>
      <c r="I180" s="73">
        <f>SUMIFS('Data&gt;&gt; 2025'!$N:$N,'Data&gt;&gt; 2025'!$L:$L,'01. CP Nhân sự '!$A180,'Data&gt;&gt; 2025'!$B:$B,'01. CP Nhân sự '!$C180,'Data&gt;&gt; 2025'!$C:$C,'01. CP Nhân sự '!I$72)</f>
        <v>111458385</v>
      </c>
      <c r="J180" s="73">
        <f>SUMIFS('Data&gt;&gt; 2025'!$N:$N,'Data&gt;&gt; 2025'!$L:$L,'01. CP Nhân sự '!$A180,'Data&gt;&gt; 2025'!$B:$B,'01. CP Nhân sự '!$C180,'Data&gt;&gt; 2025'!$C:$C,'01. CP Nhân sự '!J$72)</f>
        <v>19000000</v>
      </c>
      <c r="K180" s="128">
        <f t="shared" si="34"/>
        <v>1092228757</v>
      </c>
      <c r="L180" s="182"/>
    </row>
    <row r="181" spans="1:15" hidden="1" outlineLevel="1" x14ac:dyDescent="0.25">
      <c r="A181" s="14">
        <v>8</v>
      </c>
      <c r="B181" s="3">
        <v>11</v>
      </c>
      <c r="C181" s="7" t="s">
        <v>8</v>
      </c>
      <c r="D181" s="133">
        <f>VLOOKUP(C181,'02. ĐỊNH BIÊN'!$C$6:$AT$47,10,0)</f>
        <v>0</v>
      </c>
      <c r="E181" s="73">
        <f>SUMIFS('Data&gt;&gt; 2025'!$N:$N,'Data&gt;&gt; 2025'!$L:$L,'01. CP Nhân sự '!$A181,'Data&gt;&gt; 2025'!$B:$B,'01. CP Nhân sự '!$C181,'Data&gt;&gt; 2025'!$C:$C,'01. CP Nhân sự '!E$72,'Data&gt;&gt; 2025'!$A:$A,627)</f>
        <v>1122126593</v>
      </c>
      <c r="F181" s="73">
        <f>SUMIFS('Data&gt;&gt; 2025'!$N:$N,'Data&gt;&gt; 2025'!$L:$L,'01. CP Nhân sự '!$A181,'Data&gt;&gt; 2025'!$B:$B,'01. CP Nhân sự '!$C181,'Data&gt;&gt; 2025'!$C:$C,'01. CP Nhân sự '!F$72,'Data&gt;&gt; 2025'!$A:$A,627)</f>
        <v>138622566</v>
      </c>
      <c r="G181" s="73">
        <f>SUMIFS('Data&gt;&gt; 2025'!$N:$N,'Data&gt;&gt; 2025'!$L:$L,'01. CP Nhân sự '!$A181,'Data&gt;&gt; 2025'!$B:$B,'01. CP Nhân sự '!$C181,'Data&gt;&gt; 2025'!$C:$C,'01. CP Nhân sự '!G$72,'Data&gt;&gt; 2025'!$A:$A,627)</f>
        <v>61053541</v>
      </c>
      <c r="H181" s="73">
        <f>SUMIFS('Data&gt;&gt; 2025'!$N:$N,'Data&gt;&gt; 2025'!$L:$L,'01. CP Nhân sự '!$A181,'Data&gt;&gt; 2025'!$B:$B,'01. CP Nhân sự '!$C181,'Data&gt;&gt; 2025'!$C:$C,'01. CP Nhân sự '!H$72,'Data&gt;&gt; 2025'!$A:$A,627)</f>
        <v>98343923</v>
      </c>
      <c r="I181" s="73">
        <f>SUMIFS('Data&gt;&gt; 2025'!$N:$N,'Data&gt;&gt; 2025'!$L:$L,'01. CP Nhân sự '!$A181,'Data&gt;&gt; 2025'!$B:$B,'01. CP Nhân sự '!$C181,'Data&gt;&gt; 2025'!$C:$C,'01. CP Nhân sự '!I$72,'Data&gt;&gt; 2025'!$A:$A,627)</f>
        <v>178716300</v>
      </c>
      <c r="J181" s="73">
        <f>SUMIFS('Data&gt;&gt; 2025'!$N:$N,'Data&gt;&gt; 2025'!$L:$L,'01. CP Nhân sự '!$A181,'Data&gt;&gt; 2025'!$B:$B,'01. CP Nhân sự '!$C181,'Data&gt;&gt; 2025'!$C:$C,'01. CP Nhân sự '!J$72,'Data&gt;&gt; 2025'!$A:$A,627)</f>
        <v>45150000</v>
      </c>
      <c r="K181" s="128">
        <f t="shared" si="34"/>
        <v>1644012923</v>
      </c>
      <c r="L181" s="182"/>
    </row>
    <row r="182" spans="1:15" hidden="1" outlineLevel="1" x14ac:dyDescent="0.25">
      <c r="A182" s="14">
        <v>8</v>
      </c>
      <c r="B182" s="3">
        <v>12</v>
      </c>
      <c r="C182" s="7" t="s">
        <v>8</v>
      </c>
      <c r="D182" s="133">
        <v>285</v>
      </c>
      <c r="E182" s="73">
        <f>SUMIFS('Data&gt;&gt; 2025'!$N:$N,'Data&gt;&gt; 2025'!$L:$L,'01. CP Nhân sự '!$A182,'Data&gt;&gt; 2025'!$B:$B,'01. CP Nhân sự '!$C182,'Data&gt;&gt; 2025'!$C:$C,'01. CP Nhân sự '!E$72,'Data&gt;&gt; 2025'!$A:$A,622)</f>
        <v>2696931208</v>
      </c>
      <c r="F182" s="73">
        <f>SUMIFS('Data&gt;&gt; 2025'!$N:$N,'Data&gt;&gt; 2025'!$L:$L,'01. CP Nhân sự '!$A182,'Data&gt;&gt; 2025'!$B:$B,'01. CP Nhân sự '!$C182,'Data&gt;&gt; 2025'!$C:$C,'01. CP Nhân sự '!F$72,'Data&gt;&gt; 2025'!$A:$A,622)</f>
        <v>409675223</v>
      </c>
      <c r="G182" s="73">
        <f>SUMIFS('Data&gt;&gt; 2025'!$N:$N,'Data&gt;&gt; 2025'!$L:$L,'01. CP Nhân sự '!$A182,'Data&gt;&gt; 2025'!$B:$B,'01. CP Nhân sự '!$C182,'Data&gt;&gt; 2025'!$C:$C,'01. CP Nhân sự '!G$72,'Data&gt;&gt; 2025'!$A:$A,622)</f>
        <v>31016273</v>
      </c>
      <c r="H182" s="73">
        <f>SUMIFS('Data&gt;&gt; 2025'!$N:$N,'Data&gt;&gt; 2025'!$L:$L,'01. CP Nhân sự '!$A182,'Data&gt;&gt; 2025'!$B:$B,'01. CP Nhân sự '!$C182,'Data&gt;&gt; 2025'!$C:$C,'01. CP Nhân sự '!H$72,'Data&gt;&gt; 2025'!$A:$A,622)</f>
        <v>358214630</v>
      </c>
      <c r="I182" s="73">
        <f>SUMIFS('Data&gt;&gt; 2025'!$N:$N,'Data&gt;&gt; 2025'!$L:$L,'01. CP Nhân sự '!$A182,'Data&gt;&gt; 2025'!$B:$B,'01. CP Nhân sự '!$C182,'Data&gt;&gt; 2025'!$C:$C,'01. CP Nhân sự '!I$72,'Data&gt;&gt; 2025'!$A:$A,622)</f>
        <v>317736665</v>
      </c>
      <c r="J182" s="73">
        <f>SUMIFS('Data&gt;&gt; 2025'!$N:$N,'Data&gt;&gt; 2025'!$L:$L,'01. CP Nhân sự '!$A182,'Data&gt;&gt; 2025'!$B:$B,'01. CP Nhân sự '!$C182,'Data&gt;&gt; 2025'!$C:$C,'01. CP Nhân sự '!J$72,'Data&gt;&gt; 2025'!$A:$A,622)</f>
        <v>0</v>
      </c>
      <c r="K182" s="128">
        <f t="shared" si="34"/>
        <v>3813573999</v>
      </c>
      <c r="L182" s="182"/>
    </row>
    <row r="183" spans="1:15" hidden="1" outlineLevel="1" x14ac:dyDescent="0.25">
      <c r="A183" s="14">
        <v>8</v>
      </c>
      <c r="B183" s="3">
        <v>13</v>
      </c>
      <c r="C183" s="4" t="s">
        <v>221</v>
      </c>
      <c r="D183" s="135">
        <f>VLOOKUP(C183,'02. ĐỊNH BIÊN'!$C$6:$AT$47,10,0)</f>
        <v>0</v>
      </c>
      <c r="E183" s="125">
        <f>SUMIFS('Data&gt;&gt; 2025'!$N:$N,'Data&gt;&gt; 2025'!$L:$L,'01. CP Nhân sự '!$A183,'Data&gt;&gt; 2025'!$B:$B,'01. CP Nhân sự '!$C183,'Data&gt;&gt; 2025'!$C:$C,'01. CP Nhân sự '!E$72)</f>
        <v>190000000</v>
      </c>
      <c r="F183" s="125">
        <f>SUMIFS('Data&gt;&gt; 2025'!$N:$N,'Data&gt;&gt; 2025'!$L:$L,'01. CP Nhân sự '!$A183,'Data&gt;&gt; 2025'!$B:$B,'01. CP Nhân sự '!$C183,'Data&gt;&gt; 2025'!$C:$C,'01. CP Nhân sự '!F$72)</f>
        <v>0</v>
      </c>
      <c r="G183" s="125">
        <f>SUMIFS('Data&gt;&gt; 2025'!$N:$N,'Data&gt;&gt; 2025'!$L:$L,'01. CP Nhân sự '!$A183,'Data&gt;&gt; 2025'!$B:$B,'01. CP Nhân sự '!$C183,'Data&gt;&gt; 2025'!$C:$C,'01. CP Nhân sự '!G$72)</f>
        <v>0</v>
      </c>
      <c r="H183" s="125">
        <f>SUMIFS('Data&gt;&gt; 2025'!$N:$N,'Data&gt;&gt; 2025'!$L:$L,'01. CP Nhân sự '!$A183,'Data&gt;&gt; 2025'!$B:$B,'01. CP Nhân sự '!$C183,'Data&gt;&gt; 2025'!$C:$C,'01. CP Nhân sự '!H$72)</f>
        <v>0</v>
      </c>
      <c r="I183" s="125">
        <f>SUMIFS('Data&gt;&gt; 2025'!$N:$N,'Data&gt;&gt; 2025'!$L:$L,'01. CP Nhân sự '!$A183,'Data&gt;&gt; 2025'!$B:$B,'01. CP Nhân sự '!$C183,'Data&gt;&gt; 2025'!$C:$C,'01. CP Nhân sự '!I$72)</f>
        <v>0</v>
      </c>
      <c r="J183" s="125">
        <f>SUMIFS('Data&gt;&gt; 2025'!$N:$N,'Data&gt;&gt; 2025'!$L:$L,'01. CP Nhân sự '!$A183,'Data&gt;&gt; 2025'!$B:$B,'01. CP Nhân sự '!$C183,'Data&gt;&gt; 2025'!$C:$C,'01. CP Nhân sự '!J$72)</f>
        <v>0</v>
      </c>
      <c r="K183" s="128">
        <f t="shared" si="34"/>
        <v>190000000</v>
      </c>
      <c r="L183" s="182"/>
    </row>
    <row r="184" spans="1:15" collapsed="1" x14ac:dyDescent="0.25">
      <c r="A184" s="17">
        <v>8</v>
      </c>
      <c r="B184" s="18"/>
      <c r="C184" s="19" t="s">
        <v>17</v>
      </c>
      <c r="D184" s="136">
        <f>SUM(D171:D183)</f>
        <v>285</v>
      </c>
      <c r="E184" s="75">
        <f>SUM(E171:E183)</f>
        <v>10331037737</v>
      </c>
      <c r="F184" s="75">
        <f t="shared" ref="F184:J184" si="35">SUM(F171:F183)</f>
        <v>1281281679</v>
      </c>
      <c r="G184" s="75">
        <f t="shared" si="35"/>
        <v>1007018192</v>
      </c>
      <c r="H184" s="75">
        <f t="shared" si="35"/>
        <v>735008897</v>
      </c>
      <c r="I184" s="75">
        <f t="shared" si="35"/>
        <v>1473030525</v>
      </c>
      <c r="J184" s="75">
        <f t="shared" si="35"/>
        <v>146750000</v>
      </c>
      <c r="K184" s="75">
        <f>SUM(K171:K183)</f>
        <v>14974127030</v>
      </c>
      <c r="L184" s="181">
        <f>K184/K170-1</f>
        <v>1.8402412754207065E-2</v>
      </c>
      <c r="N184" s="75">
        <v>168442653383</v>
      </c>
      <c r="O184" s="250">
        <f>K184/$N$184</f>
        <v>8.8897477742482869E-2</v>
      </c>
    </row>
    <row r="185" spans="1:15" hidden="1" outlineLevel="1" x14ac:dyDescent="0.25">
      <c r="A185" s="14">
        <v>9</v>
      </c>
      <c r="B185" s="1">
        <v>1</v>
      </c>
      <c r="C185" s="2" t="s">
        <v>0</v>
      </c>
      <c r="D185" s="132">
        <f>VLOOKUP(C185,'02. ĐỊNH BIÊN'!$C$6:$AT$47,11,0)</f>
        <v>0</v>
      </c>
      <c r="E185" s="72">
        <f>SUMIFS('Data&gt;&gt; 2025'!$N:$N,'Data&gt;&gt; 2025'!$L:$L,'01. CP Nhân sự '!$A185,'Data&gt;&gt; 2025'!$B:$B,'01. CP Nhân sự '!$C185,'Data&gt;&gt; 2025'!$C:$C,'01. CP Nhân sự '!E$72)</f>
        <v>1573990230</v>
      </c>
      <c r="F185" s="72">
        <f>SUMIFS('Data&gt;&gt; 2025'!$N:$N,'Data&gt;&gt; 2025'!$L:$L,'01. CP Nhân sự '!$A185,'Data&gt;&gt; 2025'!$B:$B,'01. CP Nhân sự '!$C185,'Data&gt;&gt; 2025'!$C:$C,'01. CP Nhân sự '!F$72)</f>
        <v>0</v>
      </c>
      <c r="G185" s="72">
        <f>SUMIFS('Data&gt;&gt; 2025'!$N:$N,'Data&gt;&gt; 2025'!$L:$L,'01. CP Nhân sự '!$A185,'Data&gt;&gt; 2025'!$B:$B,'01. CP Nhân sự '!$C185,'Data&gt;&gt; 2025'!$C:$C,'01. CP Nhân sự '!G$72)</f>
        <v>106841040</v>
      </c>
      <c r="H185" s="72">
        <f>SUMIFS('Data&gt;&gt; 2025'!$N:$N,'Data&gt;&gt; 2025'!$L:$L,'01. CP Nhân sự '!$A185,'Data&gt;&gt; 2025'!$B:$B,'01. CP Nhân sự '!$C185,'Data&gt;&gt; 2025'!$C:$C,'01. CP Nhân sự '!H$72)</f>
        <v>0</v>
      </c>
      <c r="I185" s="72">
        <f>SUMIFS('Data&gt;&gt; 2025'!$N:$N,'Data&gt;&gt; 2025'!$L:$L,'01. CP Nhân sự '!$A185,'Data&gt;&gt; 2025'!$B:$B,'01. CP Nhân sự '!$C185,'Data&gt;&gt; 2025'!$C:$C,'01. CP Nhân sự '!I$72)</f>
        <v>124851950</v>
      </c>
      <c r="J185" s="72">
        <f>SUMIFS('Data&gt;&gt; 2025'!$N:$N,'Data&gt;&gt; 2025'!$L:$L,'01. CP Nhân sự '!$A185,'Data&gt;&gt; 2025'!$B:$B,'01. CP Nhân sự '!$C185,'Data&gt;&gt; 2025'!$C:$C,'01. CP Nhân sự '!J$72)</f>
        <v>0</v>
      </c>
      <c r="K185" s="128">
        <f>SUM(E185:J185)</f>
        <v>1805683220</v>
      </c>
      <c r="L185" s="182"/>
    </row>
    <row r="186" spans="1:15" hidden="1" outlineLevel="1" x14ac:dyDescent="0.25">
      <c r="A186" s="14">
        <v>9</v>
      </c>
      <c r="B186" s="3">
        <v>2</v>
      </c>
      <c r="C186" s="7" t="s">
        <v>1</v>
      </c>
      <c r="D186" s="133">
        <f>VLOOKUP(C186,'02. ĐỊNH BIÊN'!$C$6:$AT$47,11,0)</f>
        <v>0</v>
      </c>
      <c r="E186" s="73">
        <f>SUMIFS('Data&gt;&gt; 2025'!$N:$N,'Data&gt;&gt; 2025'!$L:$L,'01. CP Nhân sự '!$A186,'Data&gt;&gt; 2025'!$B:$B,'01. CP Nhân sự '!$C186,'Data&gt;&gt; 2025'!$C:$C,'01. CP Nhân sự '!E$72)</f>
        <v>399776005</v>
      </c>
      <c r="F186" s="73">
        <f>SUMIFS('Data&gt;&gt; 2025'!$N:$N,'Data&gt;&gt; 2025'!$L:$L,'01. CP Nhân sự '!$A186,'Data&gt;&gt; 2025'!$B:$B,'01. CP Nhân sự '!$C186,'Data&gt;&gt; 2025'!$C:$C,'01. CP Nhân sự '!F$72)</f>
        <v>0</v>
      </c>
      <c r="G186" s="73">
        <f>SUMIFS('Data&gt;&gt; 2025'!$N:$N,'Data&gt;&gt; 2025'!$L:$L,'01. CP Nhân sự '!$A186,'Data&gt;&gt; 2025'!$B:$B,'01. CP Nhân sự '!$C186,'Data&gt;&gt; 2025'!$C:$C,'01. CP Nhân sự '!G$72)</f>
        <v>76442565</v>
      </c>
      <c r="H186" s="73">
        <f>SUMIFS('Data&gt;&gt; 2025'!$N:$N,'Data&gt;&gt; 2025'!$L:$L,'01. CP Nhân sự '!$A186,'Data&gt;&gt; 2025'!$B:$B,'01. CP Nhân sự '!$C186,'Data&gt;&gt; 2025'!$C:$C,'01. CP Nhân sự '!H$72)</f>
        <v>7056000</v>
      </c>
      <c r="I186" s="73">
        <f>SUMIFS('Data&gt;&gt; 2025'!$N:$N,'Data&gt;&gt; 2025'!$L:$L,'01. CP Nhân sự '!$A186,'Data&gt;&gt; 2025'!$B:$B,'01. CP Nhân sự '!$C186,'Data&gt;&gt; 2025'!$C:$C,'01. CP Nhân sự '!I$72)</f>
        <v>59197445</v>
      </c>
      <c r="J186" s="73">
        <f>SUMIFS('Data&gt;&gt; 2025'!$N:$N,'Data&gt;&gt; 2025'!$L:$L,'01. CP Nhân sự '!$A186,'Data&gt;&gt; 2025'!$B:$B,'01. CP Nhân sự '!$C186,'Data&gt;&gt; 2025'!$C:$C,'01. CP Nhân sự '!J$72)</f>
        <v>0</v>
      </c>
      <c r="K186" s="128">
        <f>SUM(E186:J186)</f>
        <v>542472015</v>
      </c>
      <c r="L186" s="182"/>
    </row>
    <row r="187" spans="1:15" hidden="1" outlineLevel="1" x14ac:dyDescent="0.25">
      <c r="A187" s="14">
        <v>9</v>
      </c>
      <c r="B187" s="3">
        <v>3</v>
      </c>
      <c r="C187" s="7" t="s">
        <v>2</v>
      </c>
      <c r="D187" s="133">
        <f>VLOOKUP(C187,'02. ĐỊNH BIÊN'!$C$6:$AT$47,11,0)</f>
        <v>0</v>
      </c>
      <c r="E187" s="73">
        <f>SUMIFS('Data&gt;&gt; 2025'!$N:$N,'Data&gt;&gt; 2025'!$L:$L,'01. CP Nhân sự '!$A187,'Data&gt;&gt; 2025'!$B:$B,'01. CP Nhân sự '!$C187,'Data&gt;&gt; 2025'!$C:$C,'01. CP Nhân sự '!E$72)</f>
        <v>141497366</v>
      </c>
      <c r="F187" s="73">
        <f>SUMIFS('Data&gt;&gt; 2025'!$N:$N,'Data&gt;&gt; 2025'!$L:$L,'01. CP Nhân sự '!$A187,'Data&gt;&gt; 2025'!$B:$B,'01. CP Nhân sự '!$C187,'Data&gt;&gt; 2025'!$C:$C,'01. CP Nhân sự '!F$72)</f>
        <v>0</v>
      </c>
      <c r="G187" s="73">
        <f>SUMIFS('Data&gt;&gt; 2025'!$N:$N,'Data&gt;&gt; 2025'!$L:$L,'01. CP Nhân sự '!$A187,'Data&gt;&gt; 2025'!$B:$B,'01. CP Nhân sự '!$C187,'Data&gt;&gt; 2025'!$C:$C,'01. CP Nhân sự '!G$72)</f>
        <v>12220771</v>
      </c>
      <c r="H187" s="73">
        <f>SUMIFS('Data&gt;&gt; 2025'!$N:$N,'Data&gt;&gt; 2025'!$L:$L,'01. CP Nhân sự '!$A187,'Data&gt;&gt; 2025'!$B:$B,'01. CP Nhân sự '!$C187,'Data&gt;&gt; 2025'!$C:$C,'01. CP Nhân sự '!H$72)</f>
        <v>5675000</v>
      </c>
      <c r="I187" s="73">
        <f>SUMIFS('Data&gt;&gt; 2025'!$N:$N,'Data&gt;&gt; 2025'!$L:$L,'01. CP Nhân sự '!$A187,'Data&gt;&gt; 2025'!$B:$B,'01. CP Nhân sự '!$C187,'Data&gt;&gt; 2025'!$C:$C,'01. CP Nhân sự '!I$72)</f>
        <v>30675255</v>
      </c>
      <c r="J187" s="73">
        <f>SUMIFS('Data&gt;&gt; 2025'!$N:$N,'Data&gt;&gt; 2025'!$L:$L,'01. CP Nhân sự '!$A187,'Data&gt;&gt; 2025'!$B:$B,'01. CP Nhân sự '!$C187,'Data&gt;&gt; 2025'!$C:$C,'01. CP Nhân sự '!J$72)</f>
        <v>0</v>
      </c>
      <c r="K187" s="128">
        <f t="shared" ref="K187:K197" si="36">SUM(E187:J187)</f>
        <v>190068392</v>
      </c>
      <c r="L187" s="182"/>
    </row>
    <row r="188" spans="1:15" hidden="1" outlineLevel="1" x14ac:dyDescent="0.25">
      <c r="A188" s="14">
        <v>9</v>
      </c>
      <c r="B188" s="3">
        <v>4</v>
      </c>
      <c r="C188" s="7" t="s">
        <v>3</v>
      </c>
      <c r="D188" s="133">
        <f>VLOOKUP(C188,'02. ĐỊNH BIÊN'!$C$6:$AT$47,11,0)</f>
        <v>0</v>
      </c>
      <c r="E188" s="73">
        <f>SUMIFS('Data&gt;&gt; 2025'!$N:$N,'Data&gt;&gt; 2025'!$L:$L,'01. CP Nhân sự '!$A188,'Data&gt;&gt; 2025'!$B:$B,'01. CP Nhân sự '!$C188,'Data&gt;&gt; 2025'!$C:$C,'01. CP Nhân sự '!E$72)</f>
        <v>597812873</v>
      </c>
      <c r="F188" s="73">
        <f>SUMIFS('Data&gt;&gt; 2025'!$N:$N,'Data&gt;&gt; 2025'!$L:$L,'01. CP Nhân sự '!$A188,'Data&gt;&gt; 2025'!$B:$B,'01. CP Nhân sự '!$C188,'Data&gt;&gt; 2025'!$C:$C,'01. CP Nhân sự '!F$72)</f>
        <v>58786665</v>
      </c>
      <c r="G188" s="73">
        <f>SUMIFS('Data&gt;&gt; 2025'!$N:$N,'Data&gt;&gt; 2025'!$L:$L,'01. CP Nhân sự '!$A188,'Data&gt;&gt; 2025'!$B:$B,'01. CP Nhân sự '!$C188,'Data&gt;&gt; 2025'!$C:$C,'01. CP Nhân sự '!G$72)</f>
        <v>45640527</v>
      </c>
      <c r="H188" s="73">
        <f>SUMIFS('Data&gt;&gt; 2025'!$N:$N,'Data&gt;&gt; 2025'!$L:$L,'01. CP Nhân sự '!$A188,'Data&gt;&gt; 2025'!$B:$B,'01. CP Nhân sự '!$C188,'Data&gt;&gt; 2025'!$C:$C,'01. CP Nhân sự '!H$72)</f>
        <v>19245000</v>
      </c>
      <c r="I188" s="73">
        <f>SUMIFS('Data&gt;&gt; 2025'!$N:$N,'Data&gt;&gt; 2025'!$L:$L,'01. CP Nhân sự '!$A188,'Data&gt;&gt; 2025'!$B:$B,'01. CP Nhân sự '!$C188,'Data&gt;&gt; 2025'!$C:$C,'01. CP Nhân sự '!I$72)</f>
        <v>110622535</v>
      </c>
      <c r="J188" s="73">
        <f>SUMIFS('Data&gt;&gt; 2025'!$N:$N,'Data&gt;&gt; 2025'!$L:$L,'01. CP Nhân sự '!$A188,'Data&gt;&gt; 2025'!$B:$B,'01. CP Nhân sự '!$C188,'Data&gt;&gt; 2025'!$C:$C,'01. CP Nhân sự '!J$72)</f>
        <v>0</v>
      </c>
      <c r="K188" s="128">
        <f t="shared" si="36"/>
        <v>832107600</v>
      </c>
      <c r="L188" s="182"/>
    </row>
    <row r="189" spans="1:15" hidden="1" outlineLevel="1" x14ac:dyDescent="0.25">
      <c r="A189" s="14">
        <v>9</v>
      </c>
      <c r="B189" s="3">
        <v>5</v>
      </c>
      <c r="C189" s="7" t="s">
        <v>4</v>
      </c>
      <c r="D189" s="133">
        <f>VLOOKUP(C189,'02. ĐỊNH BIÊN'!$C$6:$AT$47,11,0)</f>
        <v>0</v>
      </c>
      <c r="E189" s="73">
        <f>SUMIFS('Data&gt;&gt; 2025'!$N:$N,'Data&gt;&gt; 2025'!$L:$L,'01. CP Nhân sự '!$A189,'Data&gt;&gt; 2025'!$B:$B,'01. CP Nhân sự '!$C189,'Data&gt;&gt; 2025'!$C:$C,'01. CP Nhân sự '!E$72)</f>
        <v>186279472</v>
      </c>
      <c r="F189" s="73">
        <f>SUMIFS('Data&gt;&gt; 2025'!$N:$N,'Data&gt;&gt; 2025'!$L:$L,'01. CP Nhân sự '!$A189,'Data&gt;&gt; 2025'!$B:$B,'01. CP Nhân sự '!$C189,'Data&gt;&gt; 2025'!$C:$C,'01. CP Nhân sự '!F$72)</f>
        <v>0</v>
      </c>
      <c r="G189" s="73">
        <f>SUMIFS('Data&gt;&gt; 2025'!$N:$N,'Data&gt;&gt; 2025'!$L:$L,'01. CP Nhân sự '!$A189,'Data&gt;&gt; 2025'!$B:$B,'01. CP Nhân sự '!$C189,'Data&gt;&gt; 2025'!$C:$C,'01. CP Nhân sự '!G$72)</f>
        <v>14279888</v>
      </c>
      <c r="H189" s="73">
        <f>SUMIFS('Data&gt;&gt; 2025'!$N:$N,'Data&gt;&gt; 2025'!$L:$L,'01. CP Nhân sự '!$A189,'Data&gt;&gt; 2025'!$B:$B,'01. CP Nhân sự '!$C189,'Data&gt;&gt; 2025'!$C:$C,'01. CP Nhân sự '!H$72)</f>
        <v>400000</v>
      </c>
      <c r="I189" s="73">
        <f>SUMIFS('Data&gt;&gt; 2025'!$N:$N,'Data&gt;&gt; 2025'!$L:$L,'01. CP Nhân sự '!$A189,'Data&gt;&gt; 2025'!$B:$B,'01. CP Nhân sự '!$C189,'Data&gt;&gt; 2025'!$C:$C,'01. CP Nhân sự '!I$72)</f>
        <v>30210000</v>
      </c>
      <c r="J189" s="73">
        <f>SUMIFS('Data&gt;&gt; 2025'!$N:$N,'Data&gt;&gt; 2025'!$L:$L,'01. CP Nhân sự '!$A189,'Data&gt;&gt; 2025'!$B:$B,'01. CP Nhân sự '!$C189,'Data&gt;&gt; 2025'!$C:$C,'01. CP Nhân sự '!J$72)</f>
        <v>7600000</v>
      </c>
      <c r="K189" s="128">
        <f t="shared" si="36"/>
        <v>238769360</v>
      </c>
      <c r="L189" s="182"/>
    </row>
    <row r="190" spans="1:15" hidden="1" outlineLevel="1" x14ac:dyDescent="0.25">
      <c r="A190" s="14">
        <v>9</v>
      </c>
      <c r="B190" s="3">
        <v>6</v>
      </c>
      <c r="C190" s="7" t="s">
        <v>5</v>
      </c>
      <c r="D190" s="133">
        <f>VLOOKUP(C190,'02. ĐỊNH BIÊN'!$C$6:$AT$47,11,0)</f>
        <v>0</v>
      </c>
      <c r="E190" s="73">
        <f>SUMIFS('Data&gt;&gt; 2025'!$N:$N,'Data&gt;&gt; 2025'!$L:$L,'01. CP Nhân sự '!$A190,'Data&gt;&gt; 2025'!$B:$B,'01. CP Nhân sự '!$C190,'Data&gt;&gt; 2025'!$C:$C,'01. CP Nhân sự '!E$72)</f>
        <v>120889911</v>
      </c>
      <c r="F190" s="73">
        <f>SUMIFS('Data&gt;&gt; 2025'!$N:$N,'Data&gt;&gt; 2025'!$L:$L,'01. CP Nhân sự '!$A190,'Data&gt;&gt; 2025'!$B:$B,'01. CP Nhân sự '!$C190,'Data&gt;&gt; 2025'!$C:$C,'01. CP Nhân sự '!F$72)</f>
        <v>0</v>
      </c>
      <c r="G190" s="73">
        <f>SUMIFS('Data&gt;&gt; 2025'!$N:$N,'Data&gt;&gt; 2025'!$L:$L,'01. CP Nhân sự '!$A190,'Data&gt;&gt; 2025'!$B:$B,'01. CP Nhân sự '!$C190,'Data&gt;&gt; 2025'!$C:$C,'01. CP Nhân sự '!G$72)</f>
        <v>9635757</v>
      </c>
      <c r="H190" s="73">
        <f>SUMIFS('Data&gt;&gt; 2025'!$N:$N,'Data&gt;&gt; 2025'!$L:$L,'01. CP Nhân sự '!$A190,'Data&gt;&gt; 2025'!$B:$B,'01. CP Nhân sự '!$C190,'Data&gt;&gt; 2025'!$C:$C,'01. CP Nhân sự '!H$72)</f>
        <v>1475000</v>
      </c>
      <c r="I190" s="73">
        <f>SUMIFS('Data&gt;&gt; 2025'!$N:$N,'Data&gt;&gt; 2025'!$L:$L,'01. CP Nhân sự '!$A190,'Data&gt;&gt; 2025'!$B:$B,'01. CP Nhân sự '!$C190,'Data&gt;&gt; 2025'!$C:$C,'01. CP Nhân sự '!I$72)</f>
        <v>25643750</v>
      </c>
      <c r="J190" s="73">
        <f>SUMIFS('Data&gt;&gt; 2025'!$N:$N,'Data&gt;&gt; 2025'!$L:$L,'01. CP Nhân sự '!$A190,'Data&gt;&gt; 2025'!$B:$B,'01. CP Nhân sự '!$C190,'Data&gt;&gt; 2025'!$C:$C,'01. CP Nhân sự '!J$72)</f>
        <v>0</v>
      </c>
      <c r="K190" s="128">
        <f t="shared" si="36"/>
        <v>157644418</v>
      </c>
      <c r="L190" s="182"/>
    </row>
    <row r="191" spans="1:15" hidden="1" outlineLevel="1" x14ac:dyDescent="0.25">
      <c r="A191" s="14">
        <v>9</v>
      </c>
      <c r="B191" s="3">
        <v>7</v>
      </c>
      <c r="C191" s="7" t="s">
        <v>6</v>
      </c>
      <c r="D191" s="133">
        <f>VLOOKUP(C191,'02. ĐỊNH BIÊN'!$C$6:$AT$47,11,0)</f>
        <v>0</v>
      </c>
      <c r="E191" s="73">
        <f>SUMIFS('Data&gt;&gt; 2025'!$N:$N,'Data&gt;&gt; 2025'!$L:$L,'01. CP Nhân sự '!$A191,'Data&gt;&gt; 2025'!$B:$B,'01. CP Nhân sự '!$C191,'Data&gt;&gt; 2025'!$C:$C,'01. CP Nhân sự '!E$72)</f>
        <v>580257239</v>
      </c>
      <c r="F191" s="73">
        <f>SUMIFS('Data&gt;&gt; 2025'!$N:$N,'Data&gt;&gt; 2025'!$L:$L,'01. CP Nhân sự '!$A191,'Data&gt;&gt; 2025'!$B:$B,'01. CP Nhân sự '!$C191,'Data&gt;&gt; 2025'!$C:$C,'01. CP Nhân sự '!F$72)</f>
        <v>220295183</v>
      </c>
      <c r="G191" s="73">
        <f>SUMIFS('Data&gt;&gt; 2025'!$N:$N,'Data&gt;&gt; 2025'!$L:$L,'01. CP Nhân sự '!$A191,'Data&gt;&gt; 2025'!$B:$B,'01. CP Nhân sự '!$C191,'Data&gt;&gt; 2025'!$C:$C,'01. CP Nhân sự '!G$72)</f>
        <v>45028355</v>
      </c>
      <c r="H191" s="73">
        <f>SUMIFS('Data&gt;&gt; 2025'!$N:$N,'Data&gt;&gt; 2025'!$L:$L,'01. CP Nhân sự '!$A191,'Data&gt;&gt; 2025'!$B:$B,'01. CP Nhân sự '!$C191,'Data&gt;&gt; 2025'!$C:$C,'01. CP Nhân sự '!H$72)</f>
        <v>71928013</v>
      </c>
      <c r="I191" s="73">
        <f>SUMIFS('Data&gt;&gt; 2025'!$N:$N,'Data&gt;&gt; 2025'!$L:$L,'01. CP Nhân sự '!$A191,'Data&gt;&gt; 2025'!$B:$B,'01. CP Nhân sự '!$C191,'Data&gt;&gt; 2025'!$C:$C,'01. CP Nhân sự '!I$72)</f>
        <v>110005145</v>
      </c>
      <c r="J191" s="73">
        <f>SUMIFS('Data&gt;&gt; 2025'!$N:$N,'Data&gt;&gt; 2025'!$L:$L,'01. CP Nhân sự '!$A191,'Data&gt;&gt; 2025'!$B:$B,'01. CP Nhân sự '!$C191,'Data&gt;&gt; 2025'!$C:$C,'01. CP Nhân sự '!J$72)</f>
        <v>3600000</v>
      </c>
      <c r="K191" s="128">
        <f t="shared" si="36"/>
        <v>1031113935</v>
      </c>
      <c r="L191" s="182"/>
    </row>
    <row r="192" spans="1:15" hidden="1" outlineLevel="1" x14ac:dyDescent="0.25">
      <c r="A192" s="14">
        <v>9</v>
      </c>
      <c r="B192" s="3">
        <v>8</v>
      </c>
      <c r="C192" s="7" t="s">
        <v>7</v>
      </c>
      <c r="D192" s="133">
        <f>VLOOKUP(C192,'02. ĐỊNH BIÊN'!$C$6:$AT$47,11,0)</f>
        <v>0</v>
      </c>
      <c r="E192" s="73">
        <f>SUMIFS('Data&gt;&gt; 2025'!$N:$N,'Data&gt;&gt; 2025'!$L:$L,'01. CP Nhân sự '!$A192,'Data&gt;&gt; 2025'!$B:$B,'01. CP Nhân sự '!$C192,'Data&gt;&gt; 2025'!$C:$C,'01. CP Nhân sự '!E$72)</f>
        <v>1278208503</v>
      </c>
      <c r="F192" s="73">
        <f>SUMIFS('Data&gt;&gt; 2025'!$N:$N,'Data&gt;&gt; 2025'!$L:$L,'01. CP Nhân sự '!$A192,'Data&gt;&gt; 2025'!$B:$B,'01. CP Nhân sự '!$C192,'Data&gt;&gt; 2025'!$C:$C,'01. CP Nhân sự '!F$72)</f>
        <v>492192168</v>
      </c>
      <c r="G192" s="73">
        <f>SUMIFS('Data&gt;&gt; 2025'!$N:$N,'Data&gt;&gt; 2025'!$L:$L,'01. CP Nhân sự '!$A192,'Data&gt;&gt; 2025'!$B:$B,'01. CP Nhân sự '!$C192,'Data&gt;&gt; 2025'!$C:$C,'01. CP Nhân sự '!G$72)</f>
        <v>98628974</v>
      </c>
      <c r="H192" s="73">
        <f>SUMIFS('Data&gt;&gt; 2025'!$N:$N,'Data&gt;&gt; 2025'!$L:$L,'01. CP Nhân sự '!$A192,'Data&gt;&gt; 2025'!$B:$B,'01. CP Nhân sự '!$C192,'Data&gt;&gt; 2025'!$C:$C,'01. CP Nhân sự '!H$72)</f>
        <v>117764692</v>
      </c>
      <c r="I192" s="73">
        <f>SUMIFS('Data&gt;&gt; 2025'!$N:$N,'Data&gt;&gt; 2025'!$L:$L,'01. CP Nhân sự '!$A192,'Data&gt;&gt; 2025'!$B:$B,'01. CP Nhân sự '!$C192,'Data&gt;&gt; 2025'!$C:$C,'01. CP Nhân sự '!I$72)</f>
        <v>242577540</v>
      </c>
      <c r="J192" s="73">
        <f>SUMIFS('Data&gt;&gt; 2025'!$N:$N,'Data&gt;&gt; 2025'!$L:$L,'01. CP Nhân sự '!$A192,'Data&gt;&gt; 2025'!$B:$B,'01. CP Nhân sự '!$C192,'Data&gt;&gt; 2025'!$C:$C,'01. CP Nhân sự '!J$72)</f>
        <v>0</v>
      </c>
      <c r="K192" s="128">
        <f t="shared" si="36"/>
        <v>2229371877</v>
      </c>
      <c r="L192" s="182"/>
    </row>
    <row r="193" spans="1:15" hidden="1" outlineLevel="1" x14ac:dyDescent="0.25">
      <c r="A193" s="14">
        <v>9</v>
      </c>
      <c r="B193" s="3">
        <v>9</v>
      </c>
      <c r="C193" s="7" t="s">
        <v>9</v>
      </c>
      <c r="D193" s="133">
        <f>VLOOKUP(C193,'02. ĐỊNH BIÊN'!$C$6:$AT$47,11,0)</f>
        <v>0</v>
      </c>
      <c r="E193" s="73">
        <f>SUMIFS('Data&gt;&gt; 2025'!$N:$N,'Data&gt;&gt; 2025'!$L:$L,'01. CP Nhân sự '!$A193,'Data&gt;&gt; 2025'!$B:$B,'01. CP Nhân sự '!$C193,'Data&gt;&gt; 2025'!$C:$C,'01. CP Nhân sự '!E$72)</f>
        <v>837010606</v>
      </c>
      <c r="F193" s="73">
        <f>SUMIFS('Data&gt;&gt; 2025'!$N:$N,'Data&gt;&gt; 2025'!$L:$L,'01. CP Nhân sự '!$A193,'Data&gt;&gt; 2025'!$B:$B,'01. CP Nhân sự '!$C193,'Data&gt;&gt; 2025'!$C:$C,'01. CP Nhân sự '!F$72)</f>
        <v>98974549</v>
      </c>
      <c r="G193" s="73">
        <f>SUMIFS('Data&gt;&gt; 2025'!$N:$N,'Data&gt;&gt; 2025'!$L:$L,'01. CP Nhân sự '!$A193,'Data&gt;&gt; 2025'!$B:$B,'01. CP Nhân sự '!$C193,'Data&gt;&gt; 2025'!$C:$C,'01. CP Nhân sự '!G$72)</f>
        <v>55130544</v>
      </c>
      <c r="H193" s="73">
        <f>SUMIFS('Data&gt;&gt; 2025'!$N:$N,'Data&gt;&gt; 2025'!$L:$L,'01. CP Nhân sự '!$A193,'Data&gt;&gt; 2025'!$B:$B,'01. CP Nhân sự '!$C193,'Data&gt;&gt; 2025'!$C:$C,'01. CP Nhân sự '!H$72)</f>
        <v>45803435</v>
      </c>
      <c r="I193" s="73">
        <f>SUMIFS('Data&gt;&gt; 2025'!$N:$N,'Data&gt;&gt; 2025'!$L:$L,'01. CP Nhân sự '!$A193,'Data&gt;&gt; 2025'!$B:$B,'01. CP Nhân sự '!$C193,'Data&gt;&gt; 2025'!$C:$C,'01. CP Nhân sự '!I$72)</f>
        <v>147904015</v>
      </c>
      <c r="J193" s="73">
        <f>SUMIFS('Data&gt;&gt; 2025'!$N:$N,'Data&gt;&gt; 2025'!$L:$L,'01. CP Nhân sự '!$A193,'Data&gt;&gt; 2025'!$B:$B,'01. CP Nhân sự '!$C193,'Data&gt;&gt; 2025'!$C:$C,'01. CP Nhân sự '!J$72)</f>
        <v>9900000</v>
      </c>
      <c r="K193" s="128">
        <f t="shared" si="36"/>
        <v>1194723149</v>
      </c>
      <c r="L193" s="182"/>
    </row>
    <row r="194" spans="1:15" hidden="1" outlineLevel="1" x14ac:dyDescent="0.25">
      <c r="A194" s="14">
        <v>9</v>
      </c>
      <c r="B194" s="3">
        <v>10</v>
      </c>
      <c r="C194" s="7" t="s">
        <v>10</v>
      </c>
      <c r="D194" s="133">
        <f>VLOOKUP(C194,'02. ĐỊNH BIÊN'!$C$6:$AT$47,11,0)</f>
        <v>0</v>
      </c>
      <c r="E194" s="73">
        <f>SUMIFS('Data&gt;&gt; 2025'!$N:$N,'Data&gt;&gt; 2025'!$L:$L,'01. CP Nhân sự '!$A194,'Data&gt;&gt; 2025'!$B:$B,'01. CP Nhân sự '!$C194,'Data&gt;&gt; 2025'!$C:$C,'01. CP Nhân sự '!E$72)</f>
        <v>634145499</v>
      </c>
      <c r="F194" s="73">
        <f>SUMIFS('Data&gt;&gt; 2025'!$N:$N,'Data&gt;&gt; 2025'!$L:$L,'01. CP Nhân sự '!$A194,'Data&gt;&gt; 2025'!$B:$B,'01. CP Nhân sự '!$C194,'Data&gt;&gt; 2025'!$C:$C,'01. CP Nhân sự '!F$72)</f>
        <v>0</v>
      </c>
      <c r="G194" s="73">
        <f>SUMIFS('Data&gt;&gt; 2025'!$N:$N,'Data&gt;&gt; 2025'!$L:$L,'01. CP Nhân sự '!$A194,'Data&gt;&gt; 2025'!$B:$B,'01. CP Nhân sự '!$C194,'Data&gt;&gt; 2025'!$C:$C,'01. CP Nhân sự '!G$72)</f>
        <v>193360802</v>
      </c>
      <c r="H194" s="73">
        <f>SUMIFS('Data&gt;&gt; 2025'!$N:$N,'Data&gt;&gt; 2025'!$L:$L,'01. CP Nhân sự '!$A194,'Data&gt;&gt; 2025'!$B:$B,'01. CP Nhân sự '!$C194,'Data&gt;&gt; 2025'!$C:$C,'01. CP Nhân sự '!H$72)</f>
        <v>15950000</v>
      </c>
      <c r="I194" s="73">
        <f>SUMIFS('Data&gt;&gt; 2025'!$N:$N,'Data&gt;&gt; 2025'!$L:$L,'01. CP Nhân sự '!$A194,'Data&gt;&gt; 2025'!$B:$B,'01. CP Nhân sự '!$C194,'Data&gt;&gt; 2025'!$C:$C,'01. CP Nhân sự '!I$72)</f>
        <v>111458385</v>
      </c>
      <c r="J194" s="73">
        <f>SUMIFS('Data&gt;&gt; 2025'!$N:$N,'Data&gt;&gt; 2025'!$L:$L,'01. CP Nhân sự '!$A194,'Data&gt;&gt; 2025'!$B:$B,'01. CP Nhân sự '!$C194,'Data&gt;&gt; 2025'!$C:$C,'01. CP Nhân sự '!J$72)</f>
        <v>0</v>
      </c>
      <c r="K194" s="128">
        <f t="shared" si="36"/>
        <v>954914686</v>
      </c>
      <c r="L194" s="182"/>
    </row>
    <row r="195" spans="1:15" hidden="1" outlineLevel="1" x14ac:dyDescent="0.25">
      <c r="A195" s="14">
        <v>9</v>
      </c>
      <c r="B195" s="3">
        <v>11</v>
      </c>
      <c r="C195" s="7" t="s">
        <v>8</v>
      </c>
      <c r="D195" s="133">
        <v>92</v>
      </c>
      <c r="E195" s="73">
        <f>SUMIFS('Data&gt;&gt; 2025'!$N:$N,'Data&gt;&gt; 2025'!$L:$L,'01. CP Nhân sự '!$A195,'Data&gt;&gt; 2025'!$B:$B,'01. CP Nhân sự '!$C195,'Data&gt;&gt; 2025'!$C:$C,'01. CP Nhân sự '!E$72,'Data&gt;&gt; 2025'!$A:$A,627)</f>
        <v>1177591275</v>
      </c>
      <c r="F195" s="73">
        <f>SUMIFS('Data&gt;&gt; 2025'!$N:$N,'Data&gt;&gt; 2025'!$L:$L,'01. CP Nhân sự '!$A195,'Data&gt;&gt; 2025'!$B:$B,'01. CP Nhân sự '!$C195,'Data&gt;&gt; 2025'!$C:$C,'01. CP Nhân sự '!F$72,'Data&gt;&gt; 2025'!$A:$A,627)</f>
        <v>165783729</v>
      </c>
      <c r="G195" s="73">
        <f>SUMIFS('Data&gt;&gt; 2025'!$N:$N,'Data&gt;&gt; 2025'!$L:$L,'01. CP Nhân sự '!$A195,'Data&gt;&gt; 2025'!$B:$B,'01. CP Nhân sự '!$C195,'Data&gt;&gt; 2025'!$C:$C,'01. CP Nhân sự '!G$72,'Data&gt;&gt; 2025'!$A:$A,627)</f>
        <v>78483928</v>
      </c>
      <c r="H195" s="73">
        <f>SUMIFS('Data&gt;&gt; 2025'!$N:$N,'Data&gt;&gt; 2025'!$L:$L,'01. CP Nhân sự '!$A195,'Data&gt;&gt; 2025'!$B:$B,'01. CP Nhân sự '!$C195,'Data&gt;&gt; 2025'!$C:$C,'01. CP Nhân sự '!H$72,'Data&gt;&gt; 2025'!$A:$A,627)</f>
        <v>96907625</v>
      </c>
      <c r="I195" s="73">
        <f>SUMIFS('Data&gt;&gt; 2025'!$N:$N,'Data&gt;&gt; 2025'!$L:$L,'01. CP Nhân sự '!$A195,'Data&gt;&gt; 2025'!$B:$B,'01. CP Nhân sự '!$C195,'Data&gt;&gt; 2025'!$C:$C,'01. CP Nhân sự '!I$72,'Data&gt;&gt; 2025'!$A:$A,627)</f>
        <v>179762840</v>
      </c>
      <c r="J195" s="73">
        <f>SUMIFS('Data&gt;&gt; 2025'!$N:$N,'Data&gt;&gt; 2025'!$L:$L,'01. CP Nhân sự '!$A195,'Data&gt;&gt; 2025'!$B:$B,'01. CP Nhân sự '!$C195,'Data&gt;&gt; 2025'!$C:$C,'01. CP Nhân sự '!J$72,'Data&gt;&gt; 2025'!$A:$A,627)</f>
        <v>23000000</v>
      </c>
      <c r="K195" s="128">
        <f t="shared" si="36"/>
        <v>1721529397</v>
      </c>
      <c r="L195" s="182"/>
    </row>
    <row r="196" spans="1:15" hidden="1" outlineLevel="1" x14ac:dyDescent="0.25">
      <c r="A196" s="14">
        <v>9</v>
      </c>
      <c r="B196" s="3">
        <v>12</v>
      </c>
      <c r="C196" s="7" t="s">
        <v>8</v>
      </c>
      <c r="D196" s="133">
        <v>303</v>
      </c>
      <c r="E196" s="73">
        <f>SUMIFS('Data&gt;&gt; 2025'!$N:$N,'Data&gt;&gt; 2025'!$L:$L,'01. CP Nhân sự '!$A196,'Data&gt;&gt; 2025'!$B:$B,'01. CP Nhân sự '!$C196,'Data&gt;&gt; 2025'!$C:$C,'01. CP Nhân sự '!E$72,'Data&gt;&gt; 2025'!$A:$A,622)</f>
        <v>2848121254</v>
      </c>
      <c r="F196" s="73">
        <f>SUMIFS('Data&gt;&gt; 2025'!$N:$N,'Data&gt;&gt; 2025'!$L:$L,'01. CP Nhân sự '!$A196,'Data&gt;&gt; 2025'!$B:$B,'01. CP Nhân sự '!$C196,'Data&gt;&gt; 2025'!$C:$C,'01. CP Nhân sự '!F$72,'Data&gt;&gt; 2025'!$A:$A,622)</f>
        <v>681336938</v>
      </c>
      <c r="G196" s="73">
        <f>SUMIFS('Data&gt;&gt; 2025'!$N:$N,'Data&gt;&gt; 2025'!$L:$L,'01. CP Nhân sự '!$A196,'Data&gt;&gt; 2025'!$B:$B,'01. CP Nhân sự '!$C196,'Data&gt;&gt; 2025'!$C:$C,'01. CP Nhân sự '!G$72,'Data&gt;&gt; 2025'!$A:$A,622)</f>
        <v>88290128</v>
      </c>
      <c r="H196" s="73">
        <f>SUMIFS('Data&gt;&gt; 2025'!$N:$N,'Data&gt;&gt; 2025'!$L:$L,'01. CP Nhân sự '!$A196,'Data&gt;&gt; 2025'!$B:$B,'01. CP Nhân sự '!$C196,'Data&gt;&gt; 2025'!$C:$C,'01. CP Nhân sự '!H$72,'Data&gt;&gt; 2025'!$A:$A,622)</f>
        <v>405339865</v>
      </c>
      <c r="I196" s="73">
        <f>SUMIFS('Data&gt;&gt; 2025'!$N:$N,'Data&gt;&gt; 2025'!$L:$L,'01. CP Nhân sự '!$A196,'Data&gt;&gt; 2025'!$B:$B,'01. CP Nhân sự '!$C196,'Data&gt;&gt; 2025'!$C:$C,'01. CP Nhân sự '!I$72,'Data&gt;&gt; 2025'!$A:$A,622)</f>
        <v>337905900</v>
      </c>
      <c r="J196" s="73">
        <f>SUMIFS('Data&gt;&gt; 2025'!$N:$N,'Data&gt;&gt; 2025'!$L:$L,'01. CP Nhân sự '!$A196,'Data&gt;&gt; 2025'!$B:$B,'01. CP Nhân sự '!$C196,'Data&gt;&gt; 2025'!$C:$C,'01. CP Nhân sự '!J$72,'Data&gt;&gt; 2025'!$A:$A,622)</f>
        <v>0</v>
      </c>
      <c r="K196" s="128">
        <f t="shared" si="36"/>
        <v>4360994085</v>
      </c>
      <c r="L196" s="182"/>
    </row>
    <row r="197" spans="1:15" hidden="1" outlineLevel="1" x14ac:dyDescent="0.25">
      <c r="A197" s="14">
        <v>9</v>
      </c>
      <c r="B197" s="3">
        <v>13</v>
      </c>
      <c r="C197" s="4" t="s">
        <v>221</v>
      </c>
      <c r="D197" s="135">
        <f>VLOOKUP(C197,'02. ĐỊNH BIÊN'!$C$6:$AT$47,11,0)</f>
        <v>0</v>
      </c>
      <c r="E197" s="125">
        <f>SUMIFS('Data&gt;&gt; 2025'!$N:$N,'Data&gt;&gt; 2025'!$L:$L,'01. CP Nhân sự '!$A197,'Data&gt;&gt; 2025'!$B:$B,'01. CP Nhân sự '!$C197,'Data&gt;&gt; 2025'!$C:$C,'01. CP Nhân sự '!E$72)</f>
        <v>70000000</v>
      </c>
      <c r="F197" s="125">
        <f>SUMIFS('Data&gt;&gt; 2025'!$N:$N,'Data&gt;&gt; 2025'!$L:$L,'01. CP Nhân sự '!$A197,'Data&gt;&gt; 2025'!$B:$B,'01. CP Nhân sự '!$C197,'Data&gt;&gt; 2025'!$C:$C,'01. CP Nhân sự '!F$72)</f>
        <v>0</v>
      </c>
      <c r="G197" s="125">
        <f>SUMIFS('Data&gt;&gt; 2025'!$N:$N,'Data&gt;&gt; 2025'!$L:$L,'01. CP Nhân sự '!$A197,'Data&gt;&gt; 2025'!$B:$B,'01. CP Nhân sự '!$C197,'Data&gt;&gt; 2025'!$C:$C,'01. CP Nhân sự '!G$72)</f>
        <v>0</v>
      </c>
      <c r="H197" s="125">
        <f>SUMIFS('Data&gt;&gt; 2025'!$N:$N,'Data&gt;&gt; 2025'!$L:$L,'01. CP Nhân sự '!$A197,'Data&gt;&gt; 2025'!$B:$B,'01. CP Nhân sự '!$C197,'Data&gt;&gt; 2025'!$C:$C,'01. CP Nhân sự '!H$72)</f>
        <v>0</v>
      </c>
      <c r="I197" s="125">
        <f>SUMIFS('Data&gt;&gt; 2025'!$N:$N,'Data&gt;&gt; 2025'!$L:$L,'01. CP Nhân sự '!$A197,'Data&gt;&gt; 2025'!$B:$B,'01. CP Nhân sự '!$C197,'Data&gt;&gt; 2025'!$C:$C,'01. CP Nhân sự '!I$72)</f>
        <v>0</v>
      </c>
      <c r="J197" s="125">
        <f>SUMIFS('Data&gt;&gt; 2025'!$N:$N,'Data&gt;&gt; 2025'!$L:$L,'01. CP Nhân sự '!$A197,'Data&gt;&gt; 2025'!$B:$B,'01. CP Nhân sự '!$C197,'Data&gt;&gt; 2025'!$C:$C,'01. CP Nhân sự '!J$72)</f>
        <v>0</v>
      </c>
      <c r="K197" s="128">
        <f t="shared" si="36"/>
        <v>70000000</v>
      </c>
      <c r="L197" s="182"/>
    </row>
    <row r="198" spans="1:15" collapsed="1" x14ac:dyDescent="0.25">
      <c r="A198" s="14">
        <v>9</v>
      </c>
      <c r="B198" s="18"/>
      <c r="C198" s="19" t="s">
        <v>17</v>
      </c>
      <c r="D198" s="136">
        <f>SUM(D185:D197)</f>
        <v>395</v>
      </c>
      <c r="E198" s="75">
        <f>SUM(E185:E197)</f>
        <v>10445580233</v>
      </c>
      <c r="F198" s="75">
        <f t="shared" ref="F198:J198" si="37">SUM(F185:F197)</f>
        <v>1717369232</v>
      </c>
      <c r="G198" s="75">
        <f t="shared" si="37"/>
        <v>823983279</v>
      </c>
      <c r="H198" s="75">
        <f t="shared" si="37"/>
        <v>787544630</v>
      </c>
      <c r="I198" s="75">
        <f t="shared" si="37"/>
        <v>1510814760</v>
      </c>
      <c r="J198" s="75">
        <f t="shared" si="37"/>
        <v>44100000</v>
      </c>
      <c r="K198" s="75">
        <f>SUM(K185:K197)</f>
        <v>15329392134</v>
      </c>
      <c r="L198" s="181">
        <f>K198/K184-1</f>
        <v>2.3725263134755092E-2</v>
      </c>
      <c r="N198" s="75">
        <v>84710435067</v>
      </c>
      <c r="O198" s="250">
        <f>K198/N198</f>
        <v>0.18096226423433581</v>
      </c>
    </row>
    <row r="199" spans="1:15" hidden="1" outlineLevel="1" x14ac:dyDescent="0.25">
      <c r="A199" s="14">
        <v>10</v>
      </c>
      <c r="B199" s="1">
        <v>1</v>
      </c>
      <c r="C199" s="2" t="s">
        <v>0</v>
      </c>
      <c r="D199" s="132">
        <f>VLOOKUP(C199,'02. ĐỊNH BIÊN'!$C$6:$AT$47,12,0)</f>
        <v>0</v>
      </c>
      <c r="E199" s="72">
        <f>SUMIFS('Data&gt;&gt; 2025'!$N:$N,'Data&gt;&gt; 2025'!$L:$L,'01. CP Nhân sự '!$A199,'Data&gt;&gt; 2025'!$B:$B,'01. CP Nhân sự '!$C199,'Data&gt;&gt; 2025'!$C:$C,'01. CP Nhân sự '!E$72)</f>
        <v>1625027465</v>
      </c>
      <c r="F199" s="72">
        <f>SUMIFS('Data&gt;&gt; 2025'!$N:$N,'Data&gt;&gt; 2025'!$L:$L,'01. CP Nhân sự '!$A199,'Data&gt;&gt; 2025'!$B:$B,'01. CP Nhân sự '!$C199,'Data&gt;&gt; 2025'!$C:$C,'01. CP Nhân sự '!F$72)</f>
        <v>0</v>
      </c>
      <c r="G199" s="72">
        <f>SUMIFS('Data&gt;&gt; 2025'!$N:$N,'Data&gt;&gt; 2025'!$L:$L,'01. CP Nhân sự '!$A199,'Data&gt;&gt; 2025'!$B:$B,'01. CP Nhân sự '!$C199,'Data&gt;&gt; 2025'!$C:$C,'01. CP Nhân sự '!G$72)</f>
        <v>108244342</v>
      </c>
      <c r="H199" s="72">
        <f>SUMIFS('Data&gt;&gt; 2025'!$N:$N,'Data&gt;&gt; 2025'!$L:$L,'01. CP Nhân sự '!$A199,'Data&gt;&gt; 2025'!$B:$B,'01. CP Nhân sự '!$C199,'Data&gt;&gt; 2025'!$C:$C,'01. CP Nhân sự '!H$72)</f>
        <v>0</v>
      </c>
      <c r="I199" s="72">
        <f>SUMIFS('Data&gt;&gt; 2025'!$N:$N,'Data&gt;&gt; 2025'!$L:$L,'01. CP Nhân sự '!$A199,'Data&gt;&gt; 2025'!$B:$B,'01. CP Nhân sự '!$C199,'Data&gt;&gt; 2025'!$C:$C,'01. CP Nhân sự '!I$72)</f>
        <v>126066950</v>
      </c>
      <c r="J199" s="72">
        <f>SUMIFS('Data&gt;&gt; 2025'!$N:$N,'Data&gt;&gt; 2025'!$L:$L,'01. CP Nhân sự '!$A199,'Data&gt;&gt; 2025'!$B:$B,'01. CP Nhân sự '!$C199,'Data&gt;&gt; 2025'!$C:$C,'01. CP Nhân sự '!J$72)</f>
        <v>0</v>
      </c>
      <c r="K199" s="128">
        <f>SUM(E199:J199)</f>
        <v>1859338757</v>
      </c>
      <c r="L199" s="182"/>
    </row>
    <row r="200" spans="1:15" hidden="1" outlineLevel="1" x14ac:dyDescent="0.25">
      <c r="A200" s="14">
        <v>10</v>
      </c>
      <c r="B200" s="3">
        <v>2</v>
      </c>
      <c r="C200" s="7" t="s">
        <v>1</v>
      </c>
      <c r="D200" s="133">
        <f>VLOOKUP(C200,'02. ĐỊNH BIÊN'!$C$6:$AT$47,12,0)</f>
        <v>0</v>
      </c>
      <c r="E200" s="73">
        <f>SUMIFS('Data&gt;&gt; 2025'!$N:$N,'Data&gt;&gt; 2025'!$L:$L,'01. CP Nhân sự '!$A200,'Data&gt;&gt; 2025'!$B:$B,'01. CP Nhân sự '!$C200,'Data&gt;&gt; 2025'!$C:$C,'01. CP Nhân sự '!E$72)</f>
        <v>269907966</v>
      </c>
      <c r="F200" s="73">
        <f>SUMIFS('Data&gt;&gt; 2025'!$N:$N,'Data&gt;&gt; 2025'!$L:$L,'01. CP Nhân sự '!$A200,'Data&gt;&gt; 2025'!$B:$B,'01. CP Nhân sự '!$C200,'Data&gt;&gt; 2025'!$C:$C,'01. CP Nhân sự '!F$72)</f>
        <v>0</v>
      </c>
      <c r="G200" s="73">
        <f>SUMIFS('Data&gt;&gt; 2025'!$N:$N,'Data&gt;&gt; 2025'!$L:$L,'01. CP Nhân sự '!$A200,'Data&gt;&gt; 2025'!$B:$B,'01. CP Nhân sự '!$C200,'Data&gt;&gt; 2025'!$C:$C,'01. CP Nhân sự '!G$72)</f>
        <v>186771955</v>
      </c>
      <c r="H200" s="73">
        <f>SUMIFS('Data&gt;&gt; 2025'!$N:$N,'Data&gt;&gt; 2025'!$L:$L,'01. CP Nhân sự '!$A200,'Data&gt;&gt; 2025'!$B:$B,'01. CP Nhân sự '!$C200,'Data&gt;&gt; 2025'!$C:$C,'01. CP Nhân sự '!H$72)</f>
        <v>7224000</v>
      </c>
      <c r="I200" s="73">
        <f>SUMIFS('Data&gt;&gt; 2025'!$N:$N,'Data&gt;&gt; 2025'!$L:$L,'01. CP Nhân sự '!$A200,'Data&gt;&gt; 2025'!$B:$B,'01. CP Nhân sự '!$C200,'Data&gt;&gt; 2025'!$C:$C,'01. CP Nhân sự '!I$72)</f>
        <v>59197445</v>
      </c>
      <c r="J200" s="73">
        <f>SUMIFS('Data&gt;&gt; 2025'!$N:$N,'Data&gt;&gt; 2025'!$L:$L,'01. CP Nhân sự '!$A200,'Data&gt;&gt; 2025'!$B:$B,'01. CP Nhân sự '!$C200,'Data&gt;&gt; 2025'!$C:$C,'01. CP Nhân sự '!J$72)</f>
        <v>0</v>
      </c>
      <c r="K200" s="128">
        <f>SUM(E200:J200)</f>
        <v>523101366</v>
      </c>
      <c r="L200" s="182"/>
    </row>
    <row r="201" spans="1:15" hidden="1" outlineLevel="1" x14ac:dyDescent="0.25">
      <c r="A201" s="14">
        <v>10</v>
      </c>
      <c r="B201" s="3">
        <v>3</v>
      </c>
      <c r="C201" s="7" t="s">
        <v>2</v>
      </c>
      <c r="D201" s="133">
        <f>VLOOKUP(C201,'02. ĐỊNH BIÊN'!$C$6:$AT$47,12,0)</f>
        <v>0</v>
      </c>
      <c r="E201" s="73">
        <f>SUMIFS('Data&gt;&gt; 2025'!$N:$N,'Data&gt;&gt; 2025'!$L:$L,'01. CP Nhân sự '!$A201,'Data&gt;&gt; 2025'!$B:$B,'01. CP Nhân sự '!$C201,'Data&gt;&gt; 2025'!$C:$C,'01. CP Nhân sự '!E$72)</f>
        <v>143729924</v>
      </c>
      <c r="F201" s="73">
        <f>SUMIFS('Data&gt;&gt; 2025'!$N:$N,'Data&gt;&gt; 2025'!$L:$L,'01. CP Nhân sự '!$A201,'Data&gt;&gt; 2025'!$B:$B,'01. CP Nhân sự '!$C201,'Data&gt;&gt; 2025'!$C:$C,'01. CP Nhân sự '!F$72)</f>
        <v>0</v>
      </c>
      <c r="G201" s="73">
        <f>SUMIFS('Data&gt;&gt; 2025'!$N:$N,'Data&gt;&gt; 2025'!$L:$L,'01. CP Nhân sự '!$A201,'Data&gt;&gt; 2025'!$B:$B,'01. CP Nhân sự '!$C201,'Data&gt;&gt; 2025'!$C:$C,'01. CP Nhân sự '!G$72)</f>
        <v>10620771</v>
      </c>
      <c r="H201" s="73">
        <f>SUMIFS('Data&gt;&gt; 2025'!$N:$N,'Data&gt;&gt; 2025'!$L:$L,'01. CP Nhân sự '!$A201,'Data&gt;&gt; 2025'!$B:$B,'01. CP Nhân sự '!$C201,'Data&gt;&gt; 2025'!$C:$C,'01. CP Nhân sự '!H$72)</f>
        <v>5700000</v>
      </c>
      <c r="I201" s="73">
        <f>SUMIFS('Data&gt;&gt; 2025'!$N:$N,'Data&gt;&gt; 2025'!$L:$L,'01. CP Nhân sự '!$A201,'Data&gt;&gt; 2025'!$B:$B,'01. CP Nhân sự '!$C201,'Data&gt;&gt; 2025'!$C:$C,'01. CP Nhân sự '!I$72)</f>
        <v>32555255</v>
      </c>
      <c r="J201" s="73">
        <f>SUMIFS('Data&gt;&gt; 2025'!$N:$N,'Data&gt;&gt; 2025'!$L:$L,'01. CP Nhân sự '!$A201,'Data&gt;&gt; 2025'!$B:$B,'01. CP Nhân sự '!$C201,'Data&gt;&gt; 2025'!$C:$C,'01. CP Nhân sự '!J$72)</f>
        <v>0</v>
      </c>
      <c r="K201" s="128">
        <f t="shared" ref="K201:K211" si="38">SUM(E201:J201)</f>
        <v>192605950</v>
      </c>
      <c r="L201" s="182"/>
    </row>
    <row r="202" spans="1:15" hidden="1" outlineLevel="1" x14ac:dyDescent="0.25">
      <c r="A202" s="14">
        <v>10</v>
      </c>
      <c r="B202" s="3">
        <v>4</v>
      </c>
      <c r="C202" s="7" t="s">
        <v>3</v>
      </c>
      <c r="D202" s="133">
        <f>VLOOKUP(C202,'02. ĐỊNH BIÊN'!$C$6:$AT$47,12,0)</f>
        <v>0</v>
      </c>
      <c r="E202" s="73">
        <f>SUMIFS('Data&gt;&gt; 2025'!$N:$N,'Data&gt;&gt; 2025'!$L:$L,'01. CP Nhân sự '!$A202,'Data&gt;&gt; 2025'!$B:$B,'01. CP Nhân sự '!$C202,'Data&gt;&gt; 2025'!$C:$C,'01. CP Nhân sự '!E$72)</f>
        <v>586830214</v>
      </c>
      <c r="F202" s="73">
        <f>SUMIFS('Data&gt;&gt; 2025'!$N:$N,'Data&gt;&gt; 2025'!$L:$L,'01. CP Nhân sự '!$A202,'Data&gt;&gt; 2025'!$B:$B,'01. CP Nhân sự '!$C202,'Data&gt;&gt; 2025'!$C:$C,'01. CP Nhân sự '!F$72)</f>
        <v>47228200</v>
      </c>
      <c r="G202" s="73">
        <f>SUMIFS('Data&gt;&gt; 2025'!$N:$N,'Data&gt;&gt; 2025'!$L:$L,'01. CP Nhân sự '!$A202,'Data&gt;&gt; 2025'!$B:$B,'01. CP Nhân sự '!$C202,'Data&gt;&gt; 2025'!$C:$C,'01. CP Nhân sự '!G$72)</f>
        <v>40738856</v>
      </c>
      <c r="H202" s="73">
        <f>SUMIFS('Data&gt;&gt; 2025'!$N:$N,'Data&gt;&gt; 2025'!$L:$L,'01. CP Nhân sự '!$A202,'Data&gt;&gt; 2025'!$B:$B,'01. CP Nhân sự '!$C202,'Data&gt;&gt; 2025'!$C:$C,'01. CP Nhân sự '!H$72)</f>
        <v>20460000</v>
      </c>
      <c r="I202" s="73">
        <f>SUMIFS('Data&gt;&gt; 2025'!$N:$N,'Data&gt;&gt; 2025'!$L:$L,'01. CP Nhân sự '!$A202,'Data&gt;&gt; 2025'!$B:$B,'01. CP Nhân sự '!$C202,'Data&gt;&gt; 2025'!$C:$C,'01. CP Nhân sự '!I$72)</f>
        <v>113305035</v>
      </c>
      <c r="J202" s="73">
        <f>SUMIFS('Data&gt;&gt; 2025'!$N:$N,'Data&gt;&gt; 2025'!$L:$L,'01. CP Nhân sự '!$A202,'Data&gt;&gt; 2025'!$B:$B,'01. CP Nhân sự '!$C202,'Data&gt;&gt; 2025'!$C:$C,'01. CP Nhân sự '!J$72)</f>
        <v>0</v>
      </c>
      <c r="K202" s="128">
        <f t="shared" si="38"/>
        <v>808562305</v>
      </c>
      <c r="L202" s="182"/>
    </row>
    <row r="203" spans="1:15" hidden="1" outlineLevel="1" x14ac:dyDescent="0.25">
      <c r="A203" s="14">
        <v>10</v>
      </c>
      <c r="B203" s="3">
        <v>5</v>
      </c>
      <c r="C203" s="7" t="s">
        <v>4</v>
      </c>
      <c r="D203" s="133">
        <f>VLOOKUP(C203,'02. ĐỊNH BIÊN'!$C$6:$AT$47,12,0)</f>
        <v>0</v>
      </c>
      <c r="E203" s="73">
        <f>SUMIFS('Data&gt;&gt; 2025'!$N:$N,'Data&gt;&gt; 2025'!$L:$L,'01. CP Nhân sự '!$A203,'Data&gt;&gt; 2025'!$B:$B,'01. CP Nhân sự '!$C203,'Data&gt;&gt; 2025'!$C:$C,'01. CP Nhân sự '!E$72)</f>
        <v>219000178</v>
      </c>
      <c r="F203" s="73">
        <f>SUMIFS('Data&gt;&gt; 2025'!$N:$N,'Data&gt;&gt; 2025'!$L:$L,'01. CP Nhân sự '!$A203,'Data&gt;&gt; 2025'!$B:$B,'01. CP Nhân sự '!$C203,'Data&gt;&gt; 2025'!$C:$C,'01. CP Nhân sự '!F$72)</f>
        <v>0</v>
      </c>
      <c r="G203" s="73">
        <f>SUMIFS('Data&gt;&gt; 2025'!$N:$N,'Data&gt;&gt; 2025'!$L:$L,'01. CP Nhân sự '!$A203,'Data&gt;&gt; 2025'!$B:$B,'01. CP Nhân sự '!$C203,'Data&gt;&gt; 2025'!$C:$C,'01. CP Nhân sự '!G$72)</f>
        <v>15563198</v>
      </c>
      <c r="H203" s="73">
        <f>SUMIFS('Data&gt;&gt; 2025'!$N:$N,'Data&gt;&gt; 2025'!$L:$L,'01. CP Nhân sự '!$A203,'Data&gt;&gt; 2025'!$B:$B,'01. CP Nhân sự '!$C203,'Data&gt;&gt; 2025'!$C:$C,'01. CP Nhân sự '!H$72)</f>
        <v>900000</v>
      </c>
      <c r="I203" s="73">
        <f>SUMIFS('Data&gt;&gt; 2025'!$N:$N,'Data&gt;&gt; 2025'!$L:$L,'01. CP Nhân sự '!$A203,'Data&gt;&gt; 2025'!$B:$B,'01. CP Nhân sự '!$C203,'Data&gt;&gt; 2025'!$C:$C,'01. CP Nhân sự '!I$72)</f>
        <v>38435000</v>
      </c>
      <c r="J203" s="73">
        <f>SUMIFS('Data&gt;&gt; 2025'!$N:$N,'Data&gt;&gt; 2025'!$L:$L,'01. CP Nhân sự '!$A203,'Data&gt;&gt; 2025'!$B:$B,'01. CP Nhân sự '!$C203,'Data&gt;&gt; 2025'!$C:$C,'01. CP Nhân sự '!J$72)</f>
        <v>8600000</v>
      </c>
      <c r="K203" s="128">
        <f t="shared" si="38"/>
        <v>282498376</v>
      </c>
      <c r="L203" s="182"/>
    </row>
    <row r="204" spans="1:15" hidden="1" outlineLevel="1" x14ac:dyDescent="0.25">
      <c r="A204" s="14">
        <v>10</v>
      </c>
      <c r="B204" s="3">
        <v>6</v>
      </c>
      <c r="C204" s="7" t="s">
        <v>5</v>
      </c>
      <c r="D204" s="133">
        <f>VLOOKUP(C204,'02. ĐỊNH BIÊN'!$C$6:$AT$47,12,0)</f>
        <v>0</v>
      </c>
      <c r="E204" s="73">
        <f>SUMIFS('Data&gt;&gt; 2025'!$N:$N,'Data&gt;&gt; 2025'!$L:$L,'01. CP Nhân sự '!$A204,'Data&gt;&gt; 2025'!$B:$B,'01. CP Nhân sự '!$C204,'Data&gt;&gt; 2025'!$C:$C,'01. CP Nhân sự '!E$72)</f>
        <v>121811066</v>
      </c>
      <c r="F204" s="73">
        <f>SUMIFS('Data&gt;&gt; 2025'!$N:$N,'Data&gt;&gt; 2025'!$L:$L,'01. CP Nhân sự '!$A204,'Data&gt;&gt; 2025'!$B:$B,'01. CP Nhân sự '!$C204,'Data&gt;&gt; 2025'!$C:$C,'01. CP Nhân sự '!F$72)</f>
        <v>0</v>
      </c>
      <c r="G204" s="73">
        <f>SUMIFS('Data&gt;&gt; 2025'!$N:$N,'Data&gt;&gt; 2025'!$L:$L,'01. CP Nhân sự '!$A204,'Data&gt;&gt; 2025'!$B:$B,'01. CP Nhân sự '!$C204,'Data&gt;&gt; 2025'!$C:$C,'01. CP Nhân sự '!G$72)</f>
        <v>8835757</v>
      </c>
      <c r="H204" s="73">
        <f>SUMIFS('Data&gt;&gt; 2025'!$N:$N,'Data&gt;&gt; 2025'!$L:$L,'01. CP Nhân sự '!$A204,'Data&gt;&gt; 2025'!$B:$B,'01. CP Nhân sự '!$C204,'Data&gt;&gt; 2025'!$C:$C,'01. CP Nhân sự '!H$72)</f>
        <v>1975000</v>
      </c>
      <c r="I204" s="73">
        <f>SUMIFS('Data&gt;&gt; 2025'!$N:$N,'Data&gt;&gt; 2025'!$L:$L,'01. CP Nhân sự '!$A204,'Data&gt;&gt; 2025'!$B:$B,'01. CP Nhân sự '!$C204,'Data&gt;&gt; 2025'!$C:$C,'01. CP Nhân sự '!I$72)</f>
        <v>34958750</v>
      </c>
      <c r="J204" s="73">
        <f>SUMIFS('Data&gt;&gt; 2025'!$N:$N,'Data&gt;&gt; 2025'!$L:$L,'01. CP Nhân sự '!$A204,'Data&gt;&gt; 2025'!$B:$B,'01. CP Nhân sự '!$C204,'Data&gt;&gt; 2025'!$C:$C,'01. CP Nhân sự '!J$72)</f>
        <v>0</v>
      </c>
      <c r="K204" s="128">
        <f t="shared" si="38"/>
        <v>167580573</v>
      </c>
      <c r="L204" s="182"/>
    </row>
    <row r="205" spans="1:15" hidden="1" outlineLevel="1" x14ac:dyDescent="0.25">
      <c r="A205" s="14">
        <v>10</v>
      </c>
      <c r="B205" s="3">
        <v>7</v>
      </c>
      <c r="C205" s="7" t="s">
        <v>6</v>
      </c>
      <c r="D205" s="133">
        <f>VLOOKUP(C205,'02. ĐỊNH BIÊN'!$C$6:$AT$47,12,0)</f>
        <v>0</v>
      </c>
      <c r="E205" s="73">
        <f>SUMIFS('Data&gt;&gt; 2025'!$N:$N,'Data&gt;&gt; 2025'!$L:$L,'01. CP Nhân sự '!$A205,'Data&gt;&gt; 2025'!$B:$B,'01. CP Nhân sự '!$C205,'Data&gt;&gt; 2025'!$C:$C,'01. CP Nhân sự '!E$72)</f>
        <v>543535290</v>
      </c>
      <c r="F205" s="73">
        <f>SUMIFS('Data&gt;&gt; 2025'!$N:$N,'Data&gt;&gt; 2025'!$L:$L,'01. CP Nhân sự '!$A205,'Data&gt;&gt; 2025'!$B:$B,'01. CP Nhân sự '!$C205,'Data&gt;&gt; 2025'!$C:$C,'01. CP Nhân sự '!F$72)</f>
        <v>174387546</v>
      </c>
      <c r="G205" s="73">
        <f>SUMIFS('Data&gt;&gt; 2025'!$N:$N,'Data&gt;&gt; 2025'!$L:$L,'01. CP Nhân sự '!$A205,'Data&gt;&gt; 2025'!$B:$B,'01. CP Nhân sự '!$C205,'Data&gt;&gt; 2025'!$C:$C,'01. CP Nhân sự '!G$72)</f>
        <v>35457182</v>
      </c>
      <c r="H205" s="73">
        <f>SUMIFS('Data&gt;&gt; 2025'!$N:$N,'Data&gt;&gt; 2025'!$L:$L,'01. CP Nhân sự '!$A205,'Data&gt;&gt; 2025'!$B:$B,'01. CP Nhân sự '!$C205,'Data&gt;&gt; 2025'!$C:$C,'01. CP Nhân sự '!H$72)</f>
        <v>69069828</v>
      </c>
      <c r="I205" s="73">
        <f>SUMIFS('Data&gt;&gt; 2025'!$N:$N,'Data&gt;&gt; 2025'!$L:$L,'01. CP Nhân sự '!$A205,'Data&gt;&gt; 2025'!$B:$B,'01. CP Nhân sự '!$C205,'Data&gt;&gt; 2025'!$C:$C,'01. CP Nhân sự '!I$72)</f>
        <v>108534045</v>
      </c>
      <c r="J205" s="73">
        <f>SUMIFS('Data&gt;&gt; 2025'!$N:$N,'Data&gt;&gt; 2025'!$L:$L,'01. CP Nhân sự '!$A205,'Data&gt;&gt; 2025'!$B:$B,'01. CP Nhân sự '!$C205,'Data&gt;&gt; 2025'!$C:$C,'01. CP Nhân sự '!J$72)</f>
        <v>3600000</v>
      </c>
      <c r="K205" s="128">
        <f t="shared" si="38"/>
        <v>934583891</v>
      </c>
      <c r="L205" s="182"/>
    </row>
    <row r="206" spans="1:15" hidden="1" outlineLevel="1" x14ac:dyDescent="0.25">
      <c r="A206" s="14">
        <v>10</v>
      </c>
      <c r="B206" s="3">
        <v>8</v>
      </c>
      <c r="C206" s="7" t="s">
        <v>7</v>
      </c>
      <c r="D206" s="133">
        <f>VLOOKUP(C206,'02. ĐỊNH BIÊN'!$C$6:$AT$47,12,0)</f>
        <v>0</v>
      </c>
      <c r="E206" s="73">
        <f>SUMIFS('Data&gt;&gt; 2025'!$N:$N,'Data&gt;&gt; 2025'!$L:$L,'01. CP Nhân sự '!$A206,'Data&gt;&gt; 2025'!$B:$B,'01. CP Nhân sự '!$C206,'Data&gt;&gt; 2025'!$C:$C,'01. CP Nhân sự '!E$72)</f>
        <v>1214622449</v>
      </c>
      <c r="F206" s="73">
        <f>SUMIFS('Data&gt;&gt; 2025'!$N:$N,'Data&gt;&gt; 2025'!$L:$L,'01. CP Nhân sự '!$A206,'Data&gt;&gt; 2025'!$B:$B,'01. CP Nhân sự '!$C206,'Data&gt;&gt; 2025'!$C:$C,'01. CP Nhân sự '!F$72)</f>
        <v>330753556</v>
      </c>
      <c r="G206" s="73">
        <f>SUMIFS('Data&gt;&gt; 2025'!$N:$N,'Data&gt;&gt; 2025'!$L:$L,'01. CP Nhân sự '!$A206,'Data&gt;&gt; 2025'!$B:$B,'01. CP Nhân sự '!$C206,'Data&gt;&gt; 2025'!$C:$C,'01. CP Nhân sự '!G$72)</f>
        <v>81743973</v>
      </c>
      <c r="H206" s="73">
        <f>SUMIFS('Data&gt;&gt; 2025'!$N:$N,'Data&gt;&gt; 2025'!$L:$L,'01. CP Nhân sự '!$A206,'Data&gt;&gt; 2025'!$B:$B,'01. CP Nhân sự '!$C206,'Data&gt;&gt; 2025'!$C:$C,'01. CP Nhân sự '!H$72)</f>
        <v>117268719</v>
      </c>
      <c r="I206" s="73">
        <f>SUMIFS('Data&gt;&gt; 2025'!$N:$N,'Data&gt;&gt; 2025'!$L:$L,'01. CP Nhân sự '!$A206,'Data&gt;&gt; 2025'!$B:$B,'01. CP Nhân sự '!$C206,'Data&gt;&gt; 2025'!$C:$C,'01. CP Nhân sự '!I$72)</f>
        <v>243985225</v>
      </c>
      <c r="J206" s="73">
        <f>SUMIFS('Data&gt;&gt; 2025'!$N:$N,'Data&gt;&gt; 2025'!$L:$L,'01. CP Nhân sự '!$A206,'Data&gt;&gt; 2025'!$B:$B,'01. CP Nhân sự '!$C206,'Data&gt;&gt; 2025'!$C:$C,'01. CP Nhân sự '!J$72)</f>
        <v>0</v>
      </c>
      <c r="K206" s="128">
        <f t="shared" si="38"/>
        <v>1988373922</v>
      </c>
      <c r="L206" s="182"/>
    </row>
    <row r="207" spans="1:15" hidden="1" outlineLevel="1" x14ac:dyDescent="0.25">
      <c r="A207" s="14">
        <v>10</v>
      </c>
      <c r="B207" s="3">
        <v>9</v>
      </c>
      <c r="C207" s="7" t="s">
        <v>9</v>
      </c>
      <c r="D207" s="133">
        <f>VLOOKUP(C207,'02. ĐỊNH BIÊN'!$C$6:$AT$47,12,0)</f>
        <v>0</v>
      </c>
      <c r="E207" s="73">
        <f>SUMIFS('Data&gt;&gt; 2025'!$N:$N,'Data&gt;&gt; 2025'!$L:$L,'01. CP Nhân sự '!$A207,'Data&gt;&gt; 2025'!$B:$B,'01. CP Nhân sự '!$C207,'Data&gt;&gt; 2025'!$C:$C,'01. CP Nhân sự '!E$72)</f>
        <v>787706034</v>
      </c>
      <c r="F207" s="73">
        <f>SUMIFS('Data&gt;&gt; 2025'!$N:$N,'Data&gt;&gt; 2025'!$L:$L,'01. CP Nhân sự '!$A207,'Data&gt;&gt; 2025'!$B:$B,'01. CP Nhân sự '!$C207,'Data&gt;&gt; 2025'!$C:$C,'01. CP Nhân sự '!F$72)</f>
        <v>81483867</v>
      </c>
      <c r="G207" s="73">
        <f>SUMIFS('Data&gt;&gt; 2025'!$N:$N,'Data&gt;&gt; 2025'!$L:$L,'01. CP Nhân sự '!$A207,'Data&gt;&gt; 2025'!$B:$B,'01. CP Nhân sự '!$C207,'Data&gt;&gt; 2025'!$C:$C,'01. CP Nhân sự '!G$72)</f>
        <v>46602791</v>
      </c>
      <c r="H207" s="73">
        <f>SUMIFS('Data&gt;&gt; 2025'!$N:$N,'Data&gt;&gt; 2025'!$L:$L,'01. CP Nhân sự '!$A207,'Data&gt;&gt; 2025'!$B:$B,'01. CP Nhân sự '!$C207,'Data&gt;&gt; 2025'!$C:$C,'01. CP Nhân sự '!H$72)</f>
        <v>44432049</v>
      </c>
      <c r="I207" s="73">
        <f>SUMIFS('Data&gt;&gt; 2025'!$N:$N,'Data&gt;&gt; 2025'!$L:$L,'01. CP Nhân sự '!$A207,'Data&gt;&gt; 2025'!$B:$B,'01. CP Nhân sự '!$C207,'Data&gt;&gt; 2025'!$C:$C,'01. CP Nhân sự '!I$72)</f>
        <v>154231045</v>
      </c>
      <c r="J207" s="73">
        <f>SUMIFS('Data&gt;&gt; 2025'!$N:$N,'Data&gt;&gt; 2025'!$L:$L,'01. CP Nhân sự '!$A207,'Data&gt;&gt; 2025'!$B:$B,'01. CP Nhân sự '!$C207,'Data&gt;&gt; 2025'!$C:$C,'01. CP Nhân sự '!J$72)</f>
        <v>9500000</v>
      </c>
      <c r="K207" s="128">
        <f t="shared" si="38"/>
        <v>1123955786</v>
      </c>
      <c r="L207" s="182"/>
    </row>
    <row r="208" spans="1:15" hidden="1" outlineLevel="1" x14ac:dyDescent="0.25">
      <c r="A208" s="14">
        <v>10</v>
      </c>
      <c r="B208" s="3">
        <v>10</v>
      </c>
      <c r="C208" s="7" t="s">
        <v>10</v>
      </c>
      <c r="D208" s="133">
        <f>VLOOKUP(C208,'02. ĐỊNH BIÊN'!$C$6:$AT$47,12,0)</f>
        <v>0</v>
      </c>
      <c r="E208" s="73">
        <f>SUMIFS('Data&gt;&gt; 2025'!$N:$N,'Data&gt;&gt; 2025'!$L:$L,'01. CP Nhân sự '!$A208,'Data&gt;&gt; 2025'!$B:$B,'01. CP Nhân sự '!$C208,'Data&gt;&gt; 2025'!$C:$C,'01. CP Nhân sự '!E$72)</f>
        <v>601519668</v>
      </c>
      <c r="F208" s="73">
        <f>SUMIFS('Data&gt;&gt; 2025'!$N:$N,'Data&gt;&gt; 2025'!$L:$L,'01. CP Nhân sự '!$A208,'Data&gt;&gt; 2025'!$B:$B,'01. CP Nhân sự '!$C208,'Data&gt;&gt; 2025'!$C:$C,'01. CP Nhân sự '!F$72)</f>
        <v>0</v>
      </c>
      <c r="G208" s="73">
        <f>SUMIFS('Data&gt;&gt; 2025'!$N:$N,'Data&gt;&gt; 2025'!$L:$L,'01. CP Nhân sự '!$A208,'Data&gt;&gt; 2025'!$B:$B,'01. CP Nhân sự '!$C208,'Data&gt;&gt; 2025'!$C:$C,'01. CP Nhân sự '!G$72)</f>
        <v>376361106</v>
      </c>
      <c r="H208" s="73">
        <f>SUMIFS('Data&gt;&gt; 2025'!$N:$N,'Data&gt;&gt; 2025'!$L:$L,'01. CP Nhân sự '!$A208,'Data&gt;&gt; 2025'!$B:$B,'01. CP Nhân sự '!$C208,'Data&gt;&gt; 2025'!$C:$C,'01. CP Nhân sự '!H$72)</f>
        <v>16220000</v>
      </c>
      <c r="I208" s="73">
        <f>SUMIFS('Data&gt;&gt; 2025'!$N:$N,'Data&gt;&gt; 2025'!$L:$L,'01. CP Nhân sự '!$A208,'Data&gt;&gt; 2025'!$B:$B,'01. CP Nhân sự '!$C208,'Data&gt;&gt; 2025'!$C:$C,'01. CP Nhân sự '!I$72)</f>
        <v>113291385</v>
      </c>
      <c r="J208" s="73">
        <f>SUMIFS('Data&gt;&gt; 2025'!$N:$N,'Data&gt;&gt; 2025'!$L:$L,'01. CP Nhân sự '!$A208,'Data&gt;&gt; 2025'!$B:$B,'01. CP Nhân sự '!$C208,'Data&gt;&gt; 2025'!$C:$C,'01. CP Nhân sự '!J$72)</f>
        <v>0</v>
      </c>
      <c r="K208" s="128">
        <f t="shared" si="38"/>
        <v>1107392159</v>
      </c>
      <c r="L208" s="182"/>
    </row>
    <row r="209" spans="1:15" hidden="1" outlineLevel="1" x14ac:dyDescent="0.25">
      <c r="A209" s="14">
        <v>10</v>
      </c>
      <c r="B209" s="3">
        <v>11</v>
      </c>
      <c r="C209" s="7" t="s">
        <v>8</v>
      </c>
      <c r="D209" s="133">
        <v>87</v>
      </c>
      <c r="E209" s="73">
        <f>SUMIFS('Data&gt;&gt; 2025'!$N:$N,'Data&gt;&gt; 2025'!$L:$L,'01. CP Nhân sự '!$A209,'Data&gt;&gt; 2025'!$B:$B,'01. CP Nhân sự '!$C209,'Data&gt;&gt; 2025'!$C:$C,'01. CP Nhân sự '!E$72,'Data&gt;&gt; 2025'!$A:$A,627)</f>
        <v>1136070219</v>
      </c>
      <c r="F209" s="73">
        <f>SUMIFS('Data&gt;&gt; 2025'!$N:$N,'Data&gt;&gt; 2025'!$L:$L,'01. CP Nhân sự '!$A209,'Data&gt;&gt; 2025'!$B:$B,'01. CP Nhân sự '!$C209,'Data&gt;&gt; 2025'!$C:$C,'01. CP Nhân sự '!F$72,'Data&gt;&gt; 2025'!$A:$A,627)</f>
        <v>109139996</v>
      </c>
      <c r="G209" s="73">
        <f>SUMIFS('Data&gt;&gt; 2025'!$N:$N,'Data&gt;&gt; 2025'!$L:$L,'01. CP Nhân sự '!$A209,'Data&gt;&gt; 2025'!$B:$B,'01. CP Nhân sự '!$C209,'Data&gt;&gt; 2025'!$C:$C,'01. CP Nhân sự '!G$72,'Data&gt;&gt; 2025'!$A:$A,627)</f>
        <v>63990043</v>
      </c>
      <c r="H209" s="73">
        <f>SUMIFS('Data&gt;&gt; 2025'!$N:$N,'Data&gt;&gt; 2025'!$L:$L,'01. CP Nhân sự '!$A209,'Data&gt;&gt; 2025'!$B:$B,'01. CP Nhân sự '!$C209,'Data&gt;&gt; 2025'!$C:$C,'01. CP Nhân sự '!H$72,'Data&gt;&gt; 2025'!$A:$A,627)</f>
        <v>98243816</v>
      </c>
      <c r="I209" s="73">
        <f>SUMIFS('Data&gt;&gt; 2025'!$N:$N,'Data&gt;&gt; 2025'!$L:$L,'01. CP Nhân sự '!$A209,'Data&gt;&gt; 2025'!$B:$B,'01. CP Nhân sự '!$C209,'Data&gt;&gt; 2025'!$C:$C,'01. CP Nhân sự '!I$72,'Data&gt;&gt; 2025'!$A:$A,627)</f>
        <v>181862430</v>
      </c>
      <c r="J209" s="73">
        <f>SUMIFS('Data&gt;&gt; 2025'!$N:$N,'Data&gt;&gt; 2025'!$L:$L,'01. CP Nhân sự '!$A209,'Data&gt;&gt; 2025'!$B:$B,'01. CP Nhân sự '!$C209,'Data&gt;&gt; 2025'!$C:$C,'01. CP Nhân sự '!J$72,'Data&gt;&gt; 2025'!$A:$A,627)</f>
        <v>4900000</v>
      </c>
      <c r="K209" s="128">
        <f t="shared" si="38"/>
        <v>1594206504</v>
      </c>
      <c r="L209" s="182"/>
    </row>
    <row r="210" spans="1:15" hidden="1" outlineLevel="1" x14ac:dyDescent="0.25">
      <c r="A210" s="14">
        <v>10</v>
      </c>
      <c r="B210" s="3">
        <v>12</v>
      </c>
      <c r="C210" s="7" t="s">
        <v>8</v>
      </c>
      <c r="D210" s="133">
        <v>282</v>
      </c>
      <c r="E210" s="73">
        <f>SUMIFS('Data&gt;&gt; 2025'!$N:$N,'Data&gt;&gt; 2025'!$L:$L,'01. CP Nhân sự '!$A210,'Data&gt;&gt; 2025'!$B:$B,'01. CP Nhân sự '!$C210,'Data&gt;&gt; 2025'!$C:$C,'01. CP Nhân sự '!E$72,'Data&gt;&gt; 2025'!$A:$A,622)</f>
        <v>2592316860</v>
      </c>
      <c r="F210" s="73">
        <f>SUMIFS('Data&gt;&gt; 2025'!$N:$N,'Data&gt;&gt; 2025'!$L:$L,'01. CP Nhân sự '!$A210,'Data&gt;&gt; 2025'!$B:$B,'01. CP Nhân sự '!$C210,'Data&gt;&gt; 2025'!$C:$C,'01. CP Nhân sự '!F$72,'Data&gt;&gt; 2025'!$A:$A,622)</f>
        <v>434513561</v>
      </c>
      <c r="G210" s="73">
        <f>SUMIFS('Data&gt;&gt; 2025'!$N:$N,'Data&gt;&gt; 2025'!$L:$L,'01. CP Nhân sự '!$A210,'Data&gt;&gt; 2025'!$B:$B,'01. CP Nhân sự '!$C210,'Data&gt;&gt; 2025'!$C:$C,'01. CP Nhân sự '!G$72,'Data&gt;&gt; 2025'!$A:$A,622)</f>
        <v>30764563</v>
      </c>
      <c r="H210" s="73">
        <f>SUMIFS('Data&gt;&gt; 2025'!$N:$N,'Data&gt;&gt; 2025'!$L:$L,'01. CP Nhân sự '!$A210,'Data&gt;&gt; 2025'!$B:$B,'01. CP Nhân sự '!$C210,'Data&gt;&gt; 2025'!$C:$C,'01. CP Nhân sự '!H$72,'Data&gt;&gt; 2025'!$A:$A,622)</f>
        <v>399807089</v>
      </c>
      <c r="I210" s="73">
        <f>SUMIFS('Data&gt;&gt; 2025'!$N:$N,'Data&gt;&gt; 2025'!$L:$L,'01. CP Nhân sự '!$A210,'Data&gt;&gt; 2025'!$B:$B,'01. CP Nhân sự '!$C210,'Data&gt;&gt; 2025'!$C:$C,'01. CP Nhân sự '!I$72,'Data&gt;&gt; 2025'!$A:$A,622)</f>
        <v>395105800</v>
      </c>
      <c r="J210" s="73">
        <f>SUMIFS('Data&gt;&gt; 2025'!$N:$N,'Data&gt;&gt; 2025'!$L:$L,'01. CP Nhân sự '!$A210,'Data&gt;&gt; 2025'!$B:$B,'01. CP Nhân sự '!$C210,'Data&gt;&gt; 2025'!$C:$C,'01. CP Nhân sự '!J$72,'Data&gt;&gt; 2025'!$A:$A,622)</f>
        <v>0</v>
      </c>
      <c r="K210" s="128">
        <f t="shared" si="38"/>
        <v>3852507873</v>
      </c>
      <c r="L210" s="182"/>
    </row>
    <row r="211" spans="1:15" hidden="1" outlineLevel="1" x14ac:dyDescent="0.25">
      <c r="A211" s="14">
        <v>10</v>
      </c>
      <c r="B211" s="3">
        <v>13</v>
      </c>
      <c r="C211" s="4" t="s">
        <v>221</v>
      </c>
      <c r="D211" s="135">
        <f>VLOOKUP(C211,'02. ĐỊNH BIÊN'!$C$6:$AT$47,12,0)</f>
        <v>0</v>
      </c>
      <c r="E211" s="125">
        <f>SUMIFS('Data&gt;&gt; 2025'!$N:$N,'Data&gt;&gt; 2025'!$L:$L,'01. CP Nhân sự '!$A211,'Data&gt;&gt; 2025'!$B:$B,'01. CP Nhân sự '!$C211,'Data&gt;&gt; 2025'!$C:$C,'01. CP Nhân sự '!E$72)</f>
        <v>70504808</v>
      </c>
      <c r="F211" s="125">
        <f>SUMIFS('Data&gt;&gt; 2025'!$N:$N,'Data&gt;&gt; 2025'!$L:$L,'01. CP Nhân sự '!$A211,'Data&gt;&gt; 2025'!$B:$B,'01. CP Nhân sự '!$C211,'Data&gt;&gt; 2025'!$C:$C,'01. CP Nhân sự '!F$72)</f>
        <v>0</v>
      </c>
      <c r="G211" s="125">
        <f>SUMIFS('Data&gt;&gt; 2025'!$N:$N,'Data&gt;&gt; 2025'!$L:$L,'01. CP Nhân sự '!$A211,'Data&gt;&gt; 2025'!$B:$B,'01. CP Nhân sự '!$C211,'Data&gt;&gt; 2025'!$C:$C,'01. CP Nhân sự '!G$72)</f>
        <v>0</v>
      </c>
      <c r="H211" s="125">
        <f>SUMIFS('Data&gt;&gt; 2025'!$N:$N,'Data&gt;&gt; 2025'!$L:$L,'01. CP Nhân sự '!$A211,'Data&gt;&gt; 2025'!$B:$B,'01. CP Nhân sự '!$C211,'Data&gt;&gt; 2025'!$C:$C,'01. CP Nhân sự '!H$72)</f>
        <v>0</v>
      </c>
      <c r="I211" s="125">
        <f>SUMIFS('Data&gt;&gt; 2025'!$N:$N,'Data&gt;&gt; 2025'!$L:$L,'01. CP Nhân sự '!$A211,'Data&gt;&gt; 2025'!$B:$B,'01. CP Nhân sự '!$C211,'Data&gt;&gt; 2025'!$C:$C,'01. CP Nhân sự '!I$72)</f>
        <v>0</v>
      </c>
      <c r="J211" s="125">
        <f>SUMIFS('Data&gt;&gt; 2025'!$N:$N,'Data&gt;&gt; 2025'!$L:$L,'01. CP Nhân sự '!$A211,'Data&gt;&gt; 2025'!$B:$B,'01. CP Nhân sự '!$C211,'Data&gt;&gt; 2025'!$C:$C,'01. CP Nhân sự '!J$72)</f>
        <v>0</v>
      </c>
      <c r="K211" s="128">
        <f t="shared" si="38"/>
        <v>70504808</v>
      </c>
      <c r="L211" s="182"/>
    </row>
    <row r="212" spans="1:15" collapsed="1" x14ac:dyDescent="0.25">
      <c r="A212" s="14">
        <v>10</v>
      </c>
      <c r="B212" s="18"/>
      <c r="C212" s="19" t="s">
        <v>17</v>
      </c>
      <c r="D212" s="136">
        <f>SUM(D199:D211)</f>
        <v>369</v>
      </c>
      <c r="E212" s="75">
        <f>SUM(E199:E211)</f>
        <v>9912582141</v>
      </c>
      <c r="F212" s="75">
        <f t="shared" ref="F212:J212" si="39">SUM(F199:F211)</f>
        <v>1177506726</v>
      </c>
      <c r="G212" s="75">
        <f t="shared" si="39"/>
        <v>1005694537</v>
      </c>
      <c r="H212" s="75">
        <f t="shared" si="39"/>
        <v>781300501</v>
      </c>
      <c r="I212" s="75">
        <f t="shared" si="39"/>
        <v>1601528365</v>
      </c>
      <c r="J212" s="75">
        <f t="shared" si="39"/>
        <v>26600000</v>
      </c>
      <c r="K212" s="75">
        <f>SUM(K199:K211)</f>
        <v>14505212270</v>
      </c>
      <c r="L212" s="181">
        <f>K212/K198-1</f>
        <v>-5.3764680086172523E-2</v>
      </c>
      <c r="N212" s="75">
        <v>108928556660</v>
      </c>
      <c r="O212" s="250">
        <f>K212/N212</f>
        <v>0.13316262250013366</v>
      </c>
    </row>
    <row r="213" spans="1:15" hidden="1" outlineLevel="1" x14ac:dyDescent="0.25">
      <c r="A213" s="14">
        <v>11</v>
      </c>
      <c r="B213" s="1">
        <v>1</v>
      </c>
      <c r="C213" s="2" t="s">
        <v>0</v>
      </c>
      <c r="D213" s="132">
        <f>VLOOKUP(C213,'02. ĐỊNH BIÊN'!$C$6:$AT$47,13,0)</f>
        <v>0</v>
      </c>
      <c r="E213" s="72">
        <f>SUMIFS('Data&gt;&gt; 2025'!$N:$N,'Data&gt;&gt; 2025'!$L:$L,'01. CP Nhân sự '!$A213,'Data&gt;&gt; 2025'!$B:$B,'01. CP Nhân sự '!$C213,'Data&gt;&gt; 2025'!$C:$C,'01. CP Nhân sự '!E$72)</f>
        <v>1666649311</v>
      </c>
      <c r="F213" s="72">
        <f>SUMIFS('Data&gt;&gt; 2025'!$N:$N,'Data&gt;&gt; 2025'!$L:$L,'01. CP Nhân sự '!$A213,'Data&gt;&gt; 2025'!$B:$B,'01. CP Nhân sự '!$C213,'Data&gt;&gt; 2025'!$C:$C,'01. CP Nhân sự '!F$72)</f>
        <v>0</v>
      </c>
      <c r="G213" s="72">
        <f>SUMIFS('Data&gt;&gt; 2025'!$N:$N,'Data&gt;&gt; 2025'!$L:$L,'01. CP Nhân sự '!$A213,'Data&gt;&gt; 2025'!$B:$B,'01. CP Nhân sự '!$C213,'Data&gt;&gt; 2025'!$C:$C,'01. CP Nhân sự '!G$72)</f>
        <v>115910942</v>
      </c>
      <c r="H213" s="72">
        <f>SUMIFS('Data&gt;&gt; 2025'!$N:$N,'Data&gt;&gt; 2025'!$L:$L,'01. CP Nhân sự '!$A213,'Data&gt;&gt; 2025'!$B:$B,'01. CP Nhân sự '!$C213,'Data&gt;&gt; 2025'!$C:$C,'01. CP Nhân sự '!H$72)</f>
        <v>0</v>
      </c>
      <c r="I213" s="72">
        <f>SUMIFS('Data&gt;&gt; 2025'!$N:$N,'Data&gt;&gt; 2025'!$L:$L,'01. CP Nhân sự '!$A213,'Data&gt;&gt; 2025'!$B:$B,'01. CP Nhân sự '!$C213,'Data&gt;&gt; 2025'!$C:$C,'01. CP Nhân sự '!I$72)</f>
        <v>126066950</v>
      </c>
      <c r="J213" s="72">
        <f>SUMIFS('Data&gt;&gt; 2025'!$N:$N,'Data&gt;&gt; 2025'!$L:$L,'01. CP Nhân sự '!$A213,'Data&gt;&gt; 2025'!$B:$B,'01. CP Nhân sự '!$C213,'Data&gt;&gt; 2025'!$C:$C,'01. CP Nhân sự '!J$72)</f>
        <v>0</v>
      </c>
      <c r="K213" s="128">
        <f>SUM(E213:J213)</f>
        <v>1908627203</v>
      </c>
      <c r="L213" s="182"/>
    </row>
    <row r="214" spans="1:15" hidden="1" outlineLevel="1" x14ac:dyDescent="0.25">
      <c r="A214" s="14">
        <v>11</v>
      </c>
      <c r="B214" s="3">
        <v>2</v>
      </c>
      <c r="C214" s="7" t="s">
        <v>1</v>
      </c>
      <c r="D214" s="133">
        <f>VLOOKUP(C214,'02. ĐỊNH BIÊN'!$C$6:$AT$47,13,0)</f>
        <v>0</v>
      </c>
      <c r="E214" s="73">
        <f>SUMIFS('Data&gt;&gt; 2025'!$N:$N,'Data&gt;&gt; 2025'!$L:$L,'01. CP Nhân sự '!$A214,'Data&gt;&gt; 2025'!$B:$B,'01. CP Nhân sự '!$C214,'Data&gt;&gt; 2025'!$C:$C,'01. CP Nhân sự '!E$72)</f>
        <v>398957583</v>
      </c>
      <c r="F214" s="73">
        <f>SUMIFS('Data&gt;&gt; 2025'!$N:$N,'Data&gt;&gt; 2025'!$L:$L,'01. CP Nhân sự '!$A214,'Data&gt;&gt; 2025'!$B:$B,'01. CP Nhân sự '!$C214,'Data&gt;&gt; 2025'!$C:$C,'01. CP Nhân sự '!F$72)</f>
        <v>0</v>
      </c>
      <c r="G214" s="73">
        <f>SUMIFS('Data&gt;&gt; 2025'!$N:$N,'Data&gt;&gt; 2025'!$L:$L,'01. CP Nhân sự '!$A214,'Data&gt;&gt; 2025'!$B:$B,'01. CP Nhân sự '!$C214,'Data&gt;&gt; 2025'!$C:$C,'01. CP Nhân sự '!G$72)</f>
        <v>173582964</v>
      </c>
      <c r="H214" s="73">
        <f>SUMIFS('Data&gt;&gt; 2025'!$N:$N,'Data&gt;&gt; 2025'!$L:$L,'01. CP Nhân sự '!$A214,'Data&gt;&gt; 2025'!$B:$B,'01. CP Nhân sự '!$C214,'Data&gt;&gt; 2025'!$C:$C,'01. CP Nhân sự '!H$72)</f>
        <v>6512000</v>
      </c>
      <c r="I214" s="73">
        <f>SUMIFS('Data&gt;&gt; 2025'!$N:$N,'Data&gt;&gt; 2025'!$L:$L,'01. CP Nhân sự '!$A214,'Data&gt;&gt; 2025'!$B:$B,'01. CP Nhân sự '!$C214,'Data&gt;&gt; 2025'!$C:$C,'01. CP Nhân sự '!I$72)</f>
        <v>65072445</v>
      </c>
      <c r="J214" s="73">
        <f>SUMIFS('Data&gt;&gt; 2025'!$N:$N,'Data&gt;&gt; 2025'!$L:$L,'01. CP Nhân sự '!$A214,'Data&gt;&gt; 2025'!$B:$B,'01. CP Nhân sự '!$C214,'Data&gt;&gt; 2025'!$C:$C,'01. CP Nhân sự '!J$72)</f>
        <v>0</v>
      </c>
      <c r="K214" s="128">
        <f>SUM(E214:J214)</f>
        <v>644124992</v>
      </c>
      <c r="L214" s="182"/>
    </row>
    <row r="215" spans="1:15" hidden="1" outlineLevel="1" x14ac:dyDescent="0.25">
      <c r="A215" s="14">
        <v>11</v>
      </c>
      <c r="B215" s="3">
        <v>3</v>
      </c>
      <c r="C215" s="7" t="s">
        <v>2</v>
      </c>
      <c r="D215" s="133">
        <f>VLOOKUP(C215,'02. ĐỊNH BIÊN'!$C$6:$AT$47,13,0)</f>
        <v>0</v>
      </c>
      <c r="E215" s="73">
        <f>SUMIFS('Data&gt;&gt; 2025'!$N:$N,'Data&gt;&gt; 2025'!$L:$L,'01. CP Nhân sự '!$A215,'Data&gt;&gt; 2025'!$B:$B,'01. CP Nhân sự '!$C215,'Data&gt;&gt; 2025'!$C:$C,'01. CP Nhân sự '!E$72)</f>
        <v>193019141</v>
      </c>
      <c r="F215" s="73">
        <f>SUMIFS('Data&gt;&gt; 2025'!$N:$N,'Data&gt;&gt; 2025'!$L:$L,'01. CP Nhân sự '!$A215,'Data&gt;&gt; 2025'!$B:$B,'01. CP Nhân sự '!$C215,'Data&gt;&gt; 2025'!$C:$C,'01. CP Nhân sự '!F$72)</f>
        <v>0</v>
      </c>
      <c r="G215" s="73">
        <f>SUMIFS('Data&gt;&gt; 2025'!$N:$N,'Data&gt;&gt; 2025'!$L:$L,'01. CP Nhân sự '!$A215,'Data&gt;&gt; 2025'!$B:$B,'01. CP Nhân sự '!$C215,'Data&gt;&gt; 2025'!$C:$C,'01. CP Nhân sự '!G$72)</f>
        <v>14837401</v>
      </c>
      <c r="H215" s="73">
        <f>SUMIFS('Data&gt;&gt; 2025'!$N:$N,'Data&gt;&gt; 2025'!$L:$L,'01. CP Nhân sự '!$A215,'Data&gt;&gt; 2025'!$B:$B,'01. CP Nhân sự '!$C215,'Data&gt;&gt; 2025'!$C:$C,'01. CP Nhân sự '!H$72)</f>
        <v>5250000</v>
      </c>
      <c r="I215" s="73">
        <f>SUMIFS('Data&gt;&gt; 2025'!$N:$N,'Data&gt;&gt; 2025'!$L:$L,'01. CP Nhân sự '!$A215,'Data&gt;&gt; 2025'!$B:$B,'01. CP Nhân sự '!$C215,'Data&gt;&gt; 2025'!$C:$C,'01. CP Nhân sự '!I$72)</f>
        <v>32555255</v>
      </c>
      <c r="J215" s="73">
        <f>SUMIFS('Data&gt;&gt; 2025'!$N:$N,'Data&gt;&gt; 2025'!$L:$L,'01. CP Nhân sự '!$A215,'Data&gt;&gt; 2025'!$B:$B,'01. CP Nhân sự '!$C215,'Data&gt;&gt; 2025'!$C:$C,'01. CP Nhân sự '!J$72)</f>
        <v>0</v>
      </c>
      <c r="K215" s="128">
        <f t="shared" ref="K215:K225" si="40">SUM(E215:J215)</f>
        <v>245661797</v>
      </c>
      <c r="L215" s="182"/>
    </row>
    <row r="216" spans="1:15" hidden="1" outlineLevel="1" x14ac:dyDescent="0.25">
      <c r="A216" s="14">
        <v>11</v>
      </c>
      <c r="B216" s="3">
        <v>4</v>
      </c>
      <c r="C216" s="7" t="s">
        <v>3</v>
      </c>
      <c r="D216" s="133">
        <f>VLOOKUP(C216,'02. ĐỊNH BIÊN'!$C$6:$AT$47,13,0)</f>
        <v>0</v>
      </c>
      <c r="E216" s="73">
        <f>SUMIFS('Data&gt;&gt; 2025'!$N:$N,'Data&gt;&gt; 2025'!$L:$L,'01. CP Nhân sự '!$A216,'Data&gt;&gt; 2025'!$B:$B,'01. CP Nhân sự '!$C216,'Data&gt;&gt; 2025'!$C:$C,'01. CP Nhân sự '!E$72)</f>
        <v>574929957</v>
      </c>
      <c r="F216" s="73">
        <f>SUMIFS('Data&gt;&gt; 2025'!$N:$N,'Data&gt;&gt; 2025'!$L:$L,'01. CP Nhân sự '!$A216,'Data&gt;&gt; 2025'!$B:$B,'01. CP Nhân sự '!$C216,'Data&gt;&gt; 2025'!$C:$C,'01. CP Nhân sự '!F$72)</f>
        <v>51796508</v>
      </c>
      <c r="G216" s="73">
        <f>SUMIFS('Data&gt;&gt; 2025'!$N:$N,'Data&gt;&gt; 2025'!$L:$L,'01. CP Nhân sự '!$A216,'Data&gt;&gt; 2025'!$B:$B,'01. CP Nhân sự '!$C216,'Data&gt;&gt; 2025'!$C:$C,'01. CP Nhân sự '!G$72)</f>
        <v>39512200</v>
      </c>
      <c r="H216" s="73">
        <f>SUMIFS('Data&gt;&gt; 2025'!$N:$N,'Data&gt;&gt; 2025'!$L:$L,'01. CP Nhân sự '!$A216,'Data&gt;&gt; 2025'!$B:$B,'01. CP Nhân sự '!$C216,'Data&gt;&gt; 2025'!$C:$C,'01. CP Nhân sự '!H$72)</f>
        <v>19455000</v>
      </c>
      <c r="I216" s="73">
        <f>SUMIFS('Data&gt;&gt; 2025'!$N:$N,'Data&gt;&gt; 2025'!$L:$L,'01. CP Nhân sự '!$A216,'Data&gt;&gt; 2025'!$B:$B,'01. CP Nhân sự '!$C216,'Data&gt;&gt; 2025'!$C:$C,'01. CP Nhân sự '!I$72)</f>
        <v>113305035</v>
      </c>
      <c r="J216" s="73">
        <f>SUMIFS('Data&gt;&gt; 2025'!$N:$N,'Data&gt;&gt; 2025'!$L:$L,'01. CP Nhân sự '!$A216,'Data&gt;&gt; 2025'!$B:$B,'01. CP Nhân sự '!$C216,'Data&gt;&gt; 2025'!$C:$C,'01. CP Nhân sự '!J$72)</f>
        <v>0</v>
      </c>
      <c r="K216" s="128">
        <f t="shared" si="40"/>
        <v>798998700</v>
      </c>
      <c r="L216" s="182"/>
    </row>
    <row r="217" spans="1:15" hidden="1" outlineLevel="1" x14ac:dyDescent="0.25">
      <c r="A217" s="14">
        <v>11</v>
      </c>
      <c r="B217" s="3">
        <v>5</v>
      </c>
      <c r="C217" s="7" t="s">
        <v>4</v>
      </c>
      <c r="D217" s="133">
        <f>VLOOKUP(C217,'02. ĐỊNH BIÊN'!$C$6:$AT$47,13,0)</f>
        <v>0</v>
      </c>
      <c r="E217" s="73">
        <f>SUMIFS('Data&gt;&gt; 2025'!$N:$N,'Data&gt;&gt; 2025'!$L:$L,'01. CP Nhân sự '!$A217,'Data&gt;&gt; 2025'!$B:$B,'01. CP Nhân sự '!$C217,'Data&gt;&gt; 2025'!$C:$C,'01. CP Nhân sự '!E$72)</f>
        <v>211444985</v>
      </c>
      <c r="F217" s="73">
        <f>SUMIFS('Data&gt;&gt; 2025'!$N:$N,'Data&gt;&gt; 2025'!$L:$L,'01. CP Nhân sự '!$A217,'Data&gt;&gt; 2025'!$B:$B,'01. CP Nhân sự '!$C217,'Data&gt;&gt; 2025'!$C:$C,'01. CP Nhân sự '!F$72)</f>
        <v>0</v>
      </c>
      <c r="G217" s="73">
        <f>SUMIFS('Data&gt;&gt; 2025'!$N:$N,'Data&gt;&gt; 2025'!$L:$L,'01. CP Nhân sự '!$A217,'Data&gt;&gt; 2025'!$B:$B,'01. CP Nhân sự '!$C217,'Data&gt;&gt; 2025'!$C:$C,'01. CP Nhân sự '!G$72)</f>
        <v>15563198</v>
      </c>
      <c r="H217" s="73">
        <f>SUMIFS('Data&gt;&gt; 2025'!$N:$N,'Data&gt;&gt; 2025'!$L:$L,'01. CP Nhân sự '!$A217,'Data&gt;&gt; 2025'!$B:$B,'01. CP Nhân sự '!$C217,'Data&gt;&gt; 2025'!$C:$C,'01. CP Nhân sự '!H$72)</f>
        <v>800000</v>
      </c>
      <c r="I217" s="73">
        <f>SUMIFS('Data&gt;&gt; 2025'!$N:$N,'Data&gt;&gt; 2025'!$L:$L,'01. CP Nhân sự '!$A217,'Data&gt;&gt; 2025'!$B:$B,'01. CP Nhân sự '!$C217,'Data&gt;&gt; 2025'!$C:$C,'01. CP Nhân sự '!I$72)</f>
        <v>38435000</v>
      </c>
      <c r="J217" s="73">
        <f>SUMIFS('Data&gt;&gt; 2025'!$N:$N,'Data&gt;&gt; 2025'!$L:$L,'01. CP Nhân sự '!$A217,'Data&gt;&gt; 2025'!$B:$B,'01. CP Nhân sự '!$C217,'Data&gt;&gt; 2025'!$C:$C,'01. CP Nhân sự '!J$72)</f>
        <v>0</v>
      </c>
      <c r="K217" s="128">
        <f t="shared" si="40"/>
        <v>266243183</v>
      </c>
      <c r="L217" s="182"/>
    </row>
    <row r="218" spans="1:15" hidden="1" outlineLevel="1" x14ac:dyDescent="0.25">
      <c r="A218" s="14">
        <v>11</v>
      </c>
      <c r="B218" s="3">
        <v>6</v>
      </c>
      <c r="C218" s="7" t="s">
        <v>5</v>
      </c>
      <c r="D218" s="133">
        <f>VLOOKUP(C218,'02. ĐỊNH BIÊN'!$C$6:$AT$47,13,0)</f>
        <v>0</v>
      </c>
      <c r="E218" s="73">
        <f>SUMIFS('Data&gt;&gt; 2025'!$N:$N,'Data&gt;&gt; 2025'!$L:$L,'01. CP Nhân sự '!$A218,'Data&gt;&gt; 2025'!$B:$B,'01. CP Nhân sự '!$C218,'Data&gt;&gt; 2025'!$C:$C,'01. CP Nhân sự '!E$72)</f>
        <v>122996451</v>
      </c>
      <c r="F218" s="73">
        <f>SUMIFS('Data&gt;&gt; 2025'!$N:$N,'Data&gt;&gt; 2025'!$L:$L,'01. CP Nhân sự '!$A218,'Data&gt;&gt; 2025'!$B:$B,'01. CP Nhân sự '!$C218,'Data&gt;&gt; 2025'!$C:$C,'01. CP Nhân sự '!F$72)</f>
        <v>0</v>
      </c>
      <c r="G218" s="73">
        <f>SUMIFS('Data&gt;&gt; 2025'!$N:$N,'Data&gt;&gt; 2025'!$L:$L,'01. CP Nhân sự '!$A218,'Data&gt;&gt; 2025'!$B:$B,'01. CP Nhân sự '!$C218,'Data&gt;&gt; 2025'!$C:$C,'01. CP Nhân sự '!G$72)</f>
        <v>8835757</v>
      </c>
      <c r="H218" s="73">
        <f>SUMIFS('Data&gt;&gt; 2025'!$N:$N,'Data&gt;&gt; 2025'!$L:$L,'01. CP Nhân sự '!$A218,'Data&gt;&gt; 2025'!$B:$B,'01. CP Nhân sự '!$C218,'Data&gt;&gt; 2025'!$C:$C,'01. CP Nhân sự '!H$72)</f>
        <v>2025000</v>
      </c>
      <c r="I218" s="73">
        <f>SUMIFS('Data&gt;&gt; 2025'!$N:$N,'Data&gt;&gt; 2025'!$L:$L,'01. CP Nhân sự '!$A218,'Data&gt;&gt; 2025'!$B:$B,'01. CP Nhân sự '!$C218,'Data&gt;&gt; 2025'!$C:$C,'01. CP Nhân sự '!I$72)</f>
        <v>34958750</v>
      </c>
      <c r="J218" s="73">
        <f>SUMIFS('Data&gt;&gt; 2025'!$N:$N,'Data&gt;&gt; 2025'!$L:$L,'01. CP Nhân sự '!$A218,'Data&gt;&gt; 2025'!$B:$B,'01. CP Nhân sự '!$C218,'Data&gt;&gt; 2025'!$C:$C,'01. CP Nhân sự '!J$72)</f>
        <v>0</v>
      </c>
      <c r="K218" s="128">
        <f t="shared" si="40"/>
        <v>168815958</v>
      </c>
      <c r="L218" s="182"/>
    </row>
    <row r="219" spans="1:15" hidden="1" outlineLevel="1" x14ac:dyDescent="0.25">
      <c r="A219" s="14">
        <v>11</v>
      </c>
      <c r="B219" s="3">
        <v>7</v>
      </c>
      <c r="C219" s="7" t="s">
        <v>6</v>
      </c>
      <c r="D219" s="133">
        <f>VLOOKUP(C219,'02. ĐỊNH BIÊN'!$C$6:$AT$47,13,0)</f>
        <v>0</v>
      </c>
      <c r="E219" s="73">
        <f>SUMIFS('Data&gt;&gt; 2025'!$N:$N,'Data&gt;&gt; 2025'!$L:$L,'01. CP Nhân sự '!$A219,'Data&gt;&gt; 2025'!$B:$B,'01. CP Nhân sự '!$C219,'Data&gt;&gt; 2025'!$C:$C,'01. CP Nhân sự '!E$72)</f>
        <v>554835492</v>
      </c>
      <c r="F219" s="73">
        <f>SUMIFS('Data&gt;&gt; 2025'!$N:$N,'Data&gt;&gt; 2025'!$L:$L,'01. CP Nhân sự '!$A219,'Data&gt;&gt; 2025'!$B:$B,'01. CP Nhân sự '!$C219,'Data&gt;&gt; 2025'!$C:$C,'01. CP Nhân sự '!F$72)</f>
        <v>151663660</v>
      </c>
      <c r="G219" s="73">
        <f>SUMIFS('Data&gt;&gt; 2025'!$N:$N,'Data&gt;&gt; 2025'!$L:$L,'01. CP Nhân sự '!$A219,'Data&gt;&gt; 2025'!$B:$B,'01. CP Nhân sự '!$C219,'Data&gt;&gt; 2025'!$C:$C,'01. CP Nhân sự '!G$72)</f>
        <v>35457182</v>
      </c>
      <c r="H219" s="73">
        <f>SUMIFS('Data&gt;&gt; 2025'!$N:$N,'Data&gt;&gt; 2025'!$L:$L,'01. CP Nhân sự '!$A219,'Data&gt;&gt; 2025'!$B:$B,'01. CP Nhân sự '!$C219,'Data&gt;&gt; 2025'!$C:$C,'01. CP Nhân sự '!H$72)</f>
        <v>71104312</v>
      </c>
      <c r="I219" s="73">
        <f>SUMIFS('Data&gt;&gt; 2025'!$N:$N,'Data&gt;&gt; 2025'!$L:$L,'01. CP Nhân sự '!$A219,'Data&gt;&gt; 2025'!$B:$B,'01. CP Nhân sự '!$C219,'Data&gt;&gt; 2025'!$C:$C,'01. CP Nhân sự '!I$72)</f>
        <v>105864915</v>
      </c>
      <c r="J219" s="73">
        <f>SUMIFS('Data&gt;&gt; 2025'!$N:$N,'Data&gt;&gt; 2025'!$L:$L,'01. CP Nhân sự '!$A219,'Data&gt;&gt; 2025'!$B:$B,'01. CP Nhân sự '!$C219,'Data&gt;&gt; 2025'!$C:$C,'01. CP Nhân sự '!J$72)</f>
        <v>0</v>
      </c>
      <c r="K219" s="128">
        <f t="shared" si="40"/>
        <v>918925561</v>
      </c>
      <c r="L219" s="182"/>
    </row>
    <row r="220" spans="1:15" hidden="1" outlineLevel="1" x14ac:dyDescent="0.25">
      <c r="A220" s="14">
        <v>11</v>
      </c>
      <c r="B220" s="3">
        <v>8</v>
      </c>
      <c r="C220" s="7" t="s">
        <v>7</v>
      </c>
      <c r="D220" s="133">
        <f>VLOOKUP(C220,'02. ĐỊNH BIÊN'!$C$6:$AT$47,13,0)</f>
        <v>0</v>
      </c>
      <c r="E220" s="73">
        <f>SUMIFS('Data&gt;&gt; 2025'!$N:$N,'Data&gt;&gt; 2025'!$L:$L,'01. CP Nhân sự '!$A220,'Data&gt;&gt; 2025'!$B:$B,'01. CP Nhân sự '!$C220,'Data&gt;&gt; 2025'!$C:$C,'01. CP Nhân sự '!E$72)</f>
        <v>1233693986</v>
      </c>
      <c r="F220" s="73">
        <f>SUMIFS('Data&gt;&gt; 2025'!$N:$N,'Data&gt;&gt; 2025'!$L:$L,'01. CP Nhân sự '!$A220,'Data&gt;&gt; 2025'!$B:$B,'01. CP Nhân sự '!$C220,'Data&gt;&gt; 2025'!$C:$C,'01. CP Nhân sự '!F$72)</f>
        <v>275445780</v>
      </c>
      <c r="G220" s="73">
        <f>SUMIFS('Data&gt;&gt; 2025'!$N:$N,'Data&gt;&gt; 2025'!$L:$L,'01. CP Nhân sự '!$A220,'Data&gt;&gt; 2025'!$B:$B,'01. CP Nhân sự '!$C220,'Data&gt;&gt; 2025'!$C:$C,'01. CP Nhân sự '!G$72)</f>
        <v>81743973</v>
      </c>
      <c r="H220" s="73">
        <f>SUMIFS('Data&gt;&gt; 2025'!$N:$N,'Data&gt;&gt; 2025'!$L:$L,'01. CP Nhân sự '!$A220,'Data&gt;&gt; 2025'!$B:$B,'01. CP Nhân sự '!$C220,'Data&gt;&gt; 2025'!$C:$C,'01. CP Nhân sự '!H$72)</f>
        <v>115062857</v>
      </c>
      <c r="I220" s="73">
        <f>SUMIFS('Data&gt;&gt; 2025'!$N:$N,'Data&gt;&gt; 2025'!$L:$L,'01. CP Nhân sự '!$A220,'Data&gt;&gt; 2025'!$B:$B,'01. CP Nhân sự '!$C220,'Data&gt;&gt; 2025'!$C:$C,'01. CP Nhân sự '!I$72)</f>
        <v>250565225</v>
      </c>
      <c r="J220" s="73">
        <f>SUMIFS('Data&gt;&gt; 2025'!$N:$N,'Data&gt;&gt; 2025'!$L:$L,'01. CP Nhân sự '!$A220,'Data&gt;&gt; 2025'!$B:$B,'01. CP Nhân sự '!$C220,'Data&gt;&gt; 2025'!$C:$C,'01. CP Nhân sự '!J$72)</f>
        <v>0</v>
      </c>
      <c r="K220" s="128">
        <f t="shared" si="40"/>
        <v>1956511821</v>
      </c>
      <c r="L220" s="182"/>
    </row>
    <row r="221" spans="1:15" hidden="1" outlineLevel="1" x14ac:dyDescent="0.25">
      <c r="A221" s="14">
        <v>11</v>
      </c>
      <c r="B221" s="3">
        <v>9</v>
      </c>
      <c r="C221" s="7" t="s">
        <v>9</v>
      </c>
      <c r="D221" s="133">
        <f>VLOOKUP(C221,'02. ĐỊNH BIÊN'!$C$6:$AT$47,13,0)</f>
        <v>0</v>
      </c>
      <c r="E221" s="73">
        <f>SUMIFS('Data&gt;&gt; 2025'!$N:$N,'Data&gt;&gt; 2025'!$L:$L,'01. CP Nhân sự '!$A221,'Data&gt;&gt; 2025'!$B:$B,'01. CP Nhân sự '!$C221,'Data&gt;&gt; 2025'!$C:$C,'01. CP Nhân sự '!E$72)</f>
        <v>808306756</v>
      </c>
      <c r="F221" s="73">
        <f>SUMIFS('Data&gt;&gt; 2025'!$N:$N,'Data&gt;&gt; 2025'!$L:$L,'01. CP Nhân sự '!$A221,'Data&gt;&gt; 2025'!$B:$B,'01. CP Nhân sự '!$C221,'Data&gt;&gt; 2025'!$C:$C,'01. CP Nhân sự '!F$72)</f>
        <v>81374538</v>
      </c>
      <c r="G221" s="73">
        <f>SUMIFS('Data&gt;&gt; 2025'!$N:$N,'Data&gt;&gt; 2025'!$L:$L,'01. CP Nhân sự '!$A221,'Data&gt;&gt; 2025'!$B:$B,'01. CP Nhân sự '!$C221,'Data&gt;&gt; 2025'!$C:$C,'01. CP Nhân sự '!G$72)</f>
        <v>46602791</v>
      </c>
      <c r="H221" s="73">
        <f>SUMIFS('Data&gt;&gt; 2025'!$N:$N,'Data&gt;&gt; 2025'!$L:$L,'01. CP Nhân sự '!$A221,'Data&gt;&gt; 2025'!$B:$B,'01. CP Nhân sự '!$C221,'Data&gt;&gt; 2025'!$C:$C,'01. CP Nhân sự '!H$72)</f>
        <v>45497812</v>
      </c>
      <c r="I221" s="73">
        <f>SUMIFS('Data&gt;&gt; 2025'!$N:$N,'Data&gt;&gt; 2025'!$L:$L,'01. CP Nhân sự '!$A221,'Data&gt;&gt; 2025'!$B:$B,'01. CP Nhân sự '!$C221,'Data&gt;&gt; 2025'!$C:$C,'01. CP Nhân sự '!I$72)</f>
        <v>153808180</v>
      </c>
      <c r="J221" s="73">
        <f>SUMIFS('Data&gt;&gt; 2025'!$N:$N,'Data&gt;&gt; 2025'!$L:$L,'01. CP Nhân sự '!$A221,'Data&gt;&gt; 2025'!$B:$B,'01. CP Nhân sự '!$C221,'Data&gt;&gt; 2025'!$C:$C,'01. CP Nhân sự '!J$72)</f>
        <v>12500000</v>
      </c>
      <c r="K221" s="128">
        <f t="shared" si="40"/>
        <v>1148090077</v>
      </c>
      <c r="L221" s="182"/>
    </row>
    <row r="222" spans="1:15" hidden="1" outlineLevel="1" x14ac:dyDescent="0.25">
      <c r="A222" s="14">
        <v>11</v>
      </c>
      <c r="B222" s="3">
        <v>10</v>
      </c>
      <c r="C222" s="7" t="s">
        <v>10</v>
      </c>
      <c r="D222" s="133">
        <f>VLOOKUP(C222,'02. ĐỊNH BIÊN'!$C$6:$AT$47,13,0)</f>
        <v>0</v>
      </c>
      <c r="E222" s="73">
        <f>SUMIFS('Data&gt;&gt; 2025'!$N:$N,'Data&gt;&gt; 2025'!$L:$L,'01. CP Nhân sự '!$A222,'Data&gt;&gt; 2025'!$B:$B,'01. CP Nhân sự '!$C222,'Data&gt;&gt; 2025'!$C:$C,'01. CP Nhân sự '!E$72)</f>
        <v>600826043</v>
      </c>
      <c r="F222" s="73">
        <f>SUMIFS('Data&gt;&gt; 2025'!$N:$N,'Data&gt;&gt; 2025'!$L:$L,'01. CP Nhân sự '!$A222,'Data&gt;&gt; 2025'!$B:$B,'01. CP Nhân sự '!$C222,'Data&gt;&gt; 2025'!$C:$C,'01. CP Nhân sự '!F$72)</f>
        <v>0</v>
      </c>
      <c r="G222" s="73">
        <f>SUMIFS('Data&gt;&gt; 2025'!$N:$N,'Data&gt;&gt; 2025'!$L:$L,'01. CP Nhân sự '!$A222,'Data&gt;&gt; 2025'!$B:$B,'01. CP Nhân sự '!$C222,'Data&gt;&gt; 2025'!$C:$C,'01. CP Nhân sự '!G$72)</f>
        <v>363563154</v>
      </c>
      <c r="H222" s="73">
        <f>SUMIFS('Data&gt;&gt; 2025'!$N:$N,'Data&gt;&gt; 2025'!$L:$L,'01. CP Nhân sự '!$A222,'Data&gt;&gt; 2025'!$B:$B,'01. CP Nhân sự '!$C222,'Data&gt;&gt; 2025'!$C:$C,'01. CP Nhân sự '!H$72)</f>
        <v>13690000</v>
      </c>
      <c r="I222" s="73">
        <f>SUMIFS('Data&gt;&gt; 2025'!$N:$N,'Data&gt;&gt; 2025'!$L:$L,'01. CP Nhân sự '!$A222,'Data&gt;&gt; 2025'!$B:$B,'01. CP Nhân sự '!$C222,'Data&gt;&gt; 2025'!$C:$C,'01. CP Nhân sự '!I$72)</f>
        <v>115375835</v>
      </c>
      <c r="J222" s="73">
        <f>SUMIFS('Data&gt;&gt; 2025'!$N:$N,'Data&gt;&gt; 2025'!$L:$L,'01. CP Nhân sự '!$A222,'Data&gt;&gt; 2025'!$B:$B,'01. CP Nhân sự '!$C222,'Data&gt;&gt; 2025'!$C:$C,'01. CP Nhân sự '!J$72)</f>
        <v>0</v>
      </c>
      <c r="K222" s="128">
        <f t="shared" si="40"/>
        <v>1093455032</v>
      </c>
      <c r="L222" s="182"/>
    </row>
    <row r="223" spans="1:15" hidden="1" outlineLevel="1" x14ac:dyDescent="0.25">
      <c r="A223" s="14">
        <v>11</v>
      </c>
      <c r="B223" s="3">
        <v>11</v>
      </c>
      <c r="C223" s="7" t="s">
        <v>8</v>
      </c>
      <c r="D223" s="133">
        <v>83</v>
      </c>
      <c r="E223" s="73">
        <f>SUMIFS('Data&gt;&gt; 2025'!$N:$N,'Data&gt;&gt; 2025'!$L:$L,'01. CP Nhân sự '!$A223,'Data&gt;&gt; 2025'!$B:$B,'01. CP Nhân sự '!$C223,'Data&gt;&gt; 2025'!$C:$C,'01. CP Nhân sự '!E$72,'Data&gt;&gt; 2025'!$A:$A,627)</f>
        <v>1049462494</v>
      </c>
      <c r="F223" s="73">
        <f>SUMIFS('Data&gt;&gt; 2025'!$N:$N,'Data&gt;&gt; 2025'!$L:$L,'01. CP Nhân sự '!$A223,'Data&gt;&gt; 2025'!$B:$B,'01. CP Nhân sự '!$C223,'Data&gt;&gt; 2025'!$C:$C,'01. CP Nhân sự '!F$72,'Data&gt;&gt; 2025'!$A:$A,627)</f>
        <v>93568354</v>
      </c>
      <c r="G223" s="73">
        <f>SUMIFS('Data&gt;&gt; 2025'!$N:$N,'Data&gt;&gt; 2025'!$L:$L,'01. CP Nhân sự '!$A223,'Data&gt;&gt; 2025'!$B:$B,'01. CP Nhân sự '!$C223,'Data&gt;&gt; 2025'!$C:$C,'01. CP Nhân sự '!G$72,'Data&gt;&gt; 2025'!$A:$A,627)</f>
        <v>58118901</v>
      </c>
      <c r="H223" s="73">
        <f>SUMIFS('Data&gt;&gt; 2025'!$N:$N,'Data&gt;&gt; 2025'!$L:$L,'01. CP Nhân sự '!$A223,'Data&gt;&gt; 2025'!$B:$B,'01. CP Nhân sự '!$C223,'Data&gt;&gt; 2025'!$C:$C,'01. CP Nhân sự '!H$72,'Data&gt;&gt; 2025'!$A:$A,627)</f>
        <v>88897529</v>
      </c>
      <c r="I223" s="73">
        <f>SUMIFS('Data&gt;&gt; 2025'!$N:$N,'Data&gt;&gt; 2025'!$L:$L,'01. CP Nhân sự '!$A223,'Data&gt;&gt; 2025'!$B:$B,'01. CP Nhân sự '!$C223,'Data&gt;&gt; 2025'!$C:$C,'01. CP Nhân sự '!I$72,'Data&gt;&gt; 2025'!$A:$A,627)</f>
        <v>180045180</v>
      </c>
      <c r="J223" s="73">
        <f>SUMIFS('Data&gt;&gt; 2025'!$N:$N,'Data&gt;&gt; 2025'!$L:$L,'01. CP Nhân sự '!$A223,'Data&gt;&gt; 2025'!$B:$B,'01. CP Nhân sự '!$C223,'Data&gt;&gt; 2025'!$C:$C,'01. CP Nhân sự '!J$72,'Data&gt;&gt; 2025'!$A:$A,627)</f>
        <v>5000000</v>
      </c>
      <c r="K223" s="128">
        <f t="shared" si="40"/>
        <v>1475092458</v>
      </c>
      <c r="L223" s="182"/>
    </row>
    <row r="224" spans="1:15" hidden="1" outlineLevel="1" x14ac:dyDescent="0.25">
      <c r="A224" s="14">
        <v>11</v>
      </c>
      <c r="B224" s="3">
        <v>12</v>
      </c>
      <c r="C224" s="7" t="s">
        <v>8</v>
      </c>
      <c r="D224" s="133">
        <v>268</v>
      </c>
      <c r="E224" s="73">
        <f>SUMIFS('Data&gt;&gt; 2025'!$N:$N,'Data&gt;&gt; 2025'!$L:$L,'01. CP Nhân sự '!$A224,'Data&gt;&gt; 2025'!$B:$B,'01. CP Nhân sự '!$C224,'Data&gt;&gt; 2025'!$C:$C,'01. CP Nhân sự '!E$72,'Data&gt;&gt; 2025'!$A:$A,622)</f>
        <v>2290332658</v>
      </c>
      <c r="F224" s="73">
        <f>SUMIFS('Data&gt;&gt; 2025'!$N:$N,'Data&gt;&gt; 2025'!$L:$L,'01. CP Nhân sự '!$A224,'Data&gt;&gt; 2025'!$B:$B,'01. CP Nhân sự '!$C224,'Data&gt;&gt; 2025'!$C:$C,'01. CP Nhân sự '!F$72,'Data&gt;&gt; 2025'!$A:$A,622)</f>
        <v>359300470</v>
      </c>
      <c r="G224" s="73">
        <f>SUMIFS('Data&gt;&gt; 2025'!$N:$N,'Data&gt;&gt; 2025'!$L:$L,'01. CP Nhân sự '!$A224,'Data&gt;&gt; 2025'!$B:$B,'01. CP Nhân sự '!$C224,'Data&gt;&gt; 2025'!$C:$C,'01. CP Nhân sự '!G$72,'Data&gt;&gt; 2025'!$A:$A,622)</f>
        <v>29102535</v>
      </c>
      <c r="H224" s="73">
        <f>SUMIFS('Data&gt;&gt; 2025'!$N:$N,'Data&gt;&gt; 2025'!$L:$L,'01. CP Nhân sự '!$A224,'Data&gt;&gt; 2025'!$B:$B,'01. CP Nhân sự '!$C224,'Data&gt;&gt; 2025'!$C:$C,'01. CP Nhân sự '!H$72,'Data&gt;&gt; 2025'!$A:$A,622)</f>
        <v>374485535</v>
      </c>
      <c r="I224" s="73">
        <f>SUMIFS('Data&gt;&gt; 2025'!$N:$N,'Data&gt;&gt; 2025'!$L:$L,'01. CP Nhân sự '!$A224,'Data&gt;&gt; 2025'!$B:$B,'01. CP Nhân sự '!$C224,'Data&gt;&gt; 2025'!$C:$C,'01. CP Nhân sự '!I$72,'Data&gt;&gt; 2025'!$A:$A,622)</f>
        <v>341053690</v>
      </c>
      <c r="J224" s="73">
        <f>SUMIFS('Data&gt;&gt; 2025'!$N:$N,'Data&gt;&gt; 2025'!$L:$L,'01. CP Nhân sự '!$A224,'Data&gt;&gt; 2025'!$B:$B,'01. CP Nhân sự '!$C224,'Data&gt;&gt; 2025'!$C:$C,'01. CP Nhân sự '!J$72,'Data&gt;&gt; 2025'!$A:$A,622)</f>
        <v>0</v>
      </c>
      <c r="K224" s="128">
        <f t="shared" si="40"/>
        <v>3394274888</v>
      </c>
      <c r="L224" s="182"/>
    </row>
    <row r="225" spans="1:15" hidden="1" outlineLevel="1" x14ac:dyDescent="0.25">
      <c r="A225" s="14">
        <v>11</v>
      </c>
      <c r="B225" s="3">
        <v>13</v>
      </c>
      <c r="C225" s="4" t="s">
        <v>221</v>
      </c>
      <c r="D225" s="135">
        <f>VLOOKUP(C225,'02. ĐỊNH BIÊN'!$C$6:$AT$47,13,0)</f>
        <v>0</v>
      </c>
      <c r="E225" s="125">
        <f>SUMIFS('Data&gt;&gt; 2025'!$N:$N,'Data&gt;&gt; 2025'!$L:$L,'01. CP Nhân sự '!$A225,'Data&gt;&gt; 2025'!$B:$B,'01. CP Nhân sự '!$C225,'Data&gt;&gt; 2025'!$C:$C,'01. CP Nhân sự '!E$72)</f>
        <v>70504808</v>
      </c>
      <c r="F225" s="125">
        <f>SUMIFS('Data&gt;&gt; 2025'!$N:$N,'Data&gt;&gt; 2025'!$L:$L,'01. CP Nhân sự '!$A225,'Data&gt;&gt; 2025'!$B:$B,'01. CP Nhân sự '!$C225,'Data&gt;&gt; 2025'!$C:$C,'01. CP Nhân sự '!F$72)</f>
        <v>0</v>
      </c>
      <c r="G225" s="125">
        <f>SUMIFS('Data&gt;&gt; 2025'!$N:$N,'Data&gt;&gt; 2025'!$L:$L,'01. CP Nhân sự '!$A225,'Data&gt;&gt; 2025'!$B:$B,'01. CP Nhân sự '!$C225,'Data&gt;&gt; 2025'!$C:$C,'01. CP Nhân sự '!G$72)</f>
        <v>0</v>
      </c>
      <c r="H225" s="125">
        <f>SUMIFS('Data&gt;&gt; 2025'!$N:$N,'Data&gt;&gt; 2025'!$L:$L,'01. CP Nhân sự '!$A225,'Data&gt;&gt; 2025'!$B:$B,'01. CP Nhân sự '!$C225,'Data&gt;&gt; 2025'!$C:$C,'01. CP Nhân sự '!H$72)</f>
        <v>0</v>
      </c>
      <c r="I225" s="125">
        <f>SUMIFS('Data&gt;&gt; 2025'!$N:$N,'Data&gt;&gt; 2025'!$L:$L,'01. CP Nhân sự '!$A225,'Data&gt;&gt; 2025'!$B:$B,'01. CP Nhân sự '!$C225,'Data&gt;&gt; 2025'!$C:$C,'01. CP Nhân sự '!I$72)</f>
        <v>0</v>
      </c>
      <c r="J225" s="125">
        <f>SUMIFS('Data&gt;&gt; 2025'!$N:$N,'Data&gt;&gt; 2025'!$L:$L,'01. CP Nhân sự '!$A225,'Data&gt;&gt; 2025'!$B:$B,'01. CP Nhân sự '!$C225,'Data&gt;&gt; 2025'!$C:$C,'01. CP Nhân sự '!J$72)</f>
        <v>0</v>
      </c>
      <c r="K225" s="128">
        <f t="shared" si="40"/>
        <v>70504808</v>
      </c>
      <c r="L225" s="182"/>
    </row>
    <row r="226" spans="1:15" collapsed="1" x14ac:dyDescent="0.25">
      <c r="A226" s="14">
        <v>11</v>
      </c>
      <c r="B226" s="18"/>
      <c r="C226" s="19" t="s">
        <v>17</v>
      </c>
      <c r="D226" s="136">
        <f>SUM(D213:D225)</f>
        <v>351</v>
      </c>
      <c r="E226" s="75">
        <f>SUM(E213:E225)</f>
        <v>9775959665</v>
      </c>
      <c r="F226" s="75">
        <f t="shared" ref="F226:J226" si="41">SUM(F213:F225)</f>
        <v>1013149310</v>
      </c>
      <c r="G226" s="75">
        <f t="shared" si="41"/>
        <v>982830998</v>
      </c>
      <c r="H226" s="75">
        <f t="shared" si="41"/>
        <v>742780045</v>
      </c>
      <c r="I226" s="75">
        <f t="shared" si="41"/>
        <v>1557106460</v>
      </c>
      <c r="J226" s="75">
        <f t="shared" si="41"/>
        <v>17500000</v>
      </c>
      <c r="K226" s="75">
        <f>SUM(K213:K225)</f>
        <v>14089326478</v>
      </c>
      <c r="L226" s="181">
        <f>K226/K212-1</f>
        <v>-2.8671472313448576E-2</v>
      </c>
      <c r="N226" s="75">
        <v>88347880802</v>
      </c>
      <c r="O226" s="250">
        <f>K226/N226</f>
        <v>0.15947554542452647</v>
      </c>
    </row>
    <row r="227" spans="1:15" hidden="1" outlineLevel="1" x14ac:dyDescent="0.25">
      <c r="A227" s="14">
        <v>12</v>
      </c>
      <c r="B227" s="1">
        <v>1</v>
      </c>
      <c r="C227" s="2" t="s">
        <v>0</v>
      </c>
      <c r="D227" s="132">
        <f>VLOOKUP(C227,'02. ĐỊNH BIÊN'!$C$6:$AT$47,14,0)</f>
        <v>0</v>
      </c>
      <c r="E227" s="72">
        <f>SUMIFS('Data&gt;&gt; 2025'!$N:$N,'Data&gt;&gt; 2025'!$L:$L,'01. CP Nhân sự '!$A227,'Data&gt;&gt; 2025'!$B:$B,'01. CP Nhân sự '!$C227,'Data&gt;&gt; 2025'!$C:$C,'01. CP Nhân sự '!E$72)</f>
        <v>1770933698</v>
      </c>
      <c r="F227" s="72">
        <f>SUMIFS('Data&gt;&gt; 2025'!$N:$N,'Data&gt;&gt; 2025'!$L:$L,'01. CP Nhân sự '!$A227,'Data&gt;&gt; 2025'!$B:$B,'01. CP Nhân sự '!$C227,'Data&gt;&gt; 2025'!$C:$C,'01. CP Nhân sự '!F$72)</f>
        <v>0</v>
      </c>
      <c r="G227" s="72">
        <f>SUMIFS('Data&gt;&gt; 2025'!$N:$N,'Data&gt;&gt; 2025'!$L:$L,'01. CP Nhân sự '!$A227,'Data&gt;&gt; 2025'!$B:$B,'01. CP Nhân sự '!$C227,'Data&gt;&gt; 2025'!$C:$C,'01. CP Nhân sự '!G$72)</f>
        <v>1267668967</v>
      </c>
      <c r="H227" s="72">
        <f>SUMIFS('Data&gt;&gt; 2025'!$N:$N,'Data&gt;&gt; 2025'!$L:$L,'01. CP Nhân sự '!$A227,'Data&gt;&gt; 2025'!$B:$B,'01. CP Nhân sự '!$C227,'Data&gt;&gt; 2025'!$C:$C,'01. CP Nhân sự '!H$72)</f>
        <v>150000</v>
      </c>
      <c r="I227" s="72">
        <f>SUMIFS('Data&gt;&gt; 2025'!$N:$N,'Data&gt;&gt; 2025'!$L:$L,'01. CP Nhân sự '!$A227,'Data&gt;&gt; 2025'!$B:$B,'01. CP Nhân sự '!$C227,'Data&gt;&gt; 2025'!$C:$C,'01. CP Nhân sự '!I$72)</f>
        <v>137066950</v>
      </c>
      <c r="J227" s="72">
        <f>SUMIFS('Data&gt;&gt; 2025'!$N:$N,'Data&gt;&gt; 2025'!$L:$L,'01. CP Nhân sự '!$A227,'Data&gt;&gt; 2025'!$B:$B,'01. CP Nhân sự '!$C227,'Data&gt;&gt; 2025'!$C:$C,'01. CP Nhân sự '!J$72)</f>
        <v>1656873038</v>
      </c>
      <c r="K227" s="128">
        <f>SUM(E227:J227)</f>
        <v>4832692653</v>
      </c>
      <c r="L227" s="182"/>
    </row>
    <row r="228" spans="1:15" hidden="1" outlineLevel="1" x14ac:dyDescent="0.25">
      <c r="A228" s="14">
        <v>12</v>
      </c>
      <c r="B228" s="3">
        <v>2</v>
      </c>
      <c r="C228" s="7" t="s">
        <v>1</v>
      </c>
      <c r="D228" s="133">
        <f>VLOOKUP(C228,'02. ĐỊNH BIÊN'!$C$6:$AT$47,14,0)</f>
        <v>0</v>
      </c>
      <c r="E228" s="73">
        <f>SUMIFS('Data&gt;&gt; 2025'!$N:$N,'Data&gt;&gt; 2025'!$L:$L,'01. CP Nhân sự '!$A228,'Data&gt;&gt; 2025'!$B:$B,'01. CP Nhân sự '!$C228,'Data&gt;&gt; 2025'!$C:$C,'01. CP Nhân sự '!E$72)</f>
        <v>473588838</v>
      </c>
      <c r="F228" s="73">
        <f>SUMIFS('Data&gt;&gt; 2025'!$N:$N,'Data&gt;&gt; 2025'!$L:$L,'01. CP Nhân sự '!$A228,'Data&gt;&gt; 2025'!$B:$B,'01. CP Nhân sự '!$C228,'Data&gt;&gt; 2025'!$C:$C,'01. CP Nhân sự '!F$72)</f>
        <v>0</v>
      </c>
      <c r="G228" s="73">
        <f>SUMIFS('Data&gt;&gt; 2025'!$N:$N,'Data&gt;&gt; 2025'!$L:$L,'01. CP Nhân sự '!$A228,'Data&gt;&gt; 2025'!$B:$B,'01. CP Nhân sự '!$C228,'Data&gt;&gt; 2025'!$C:$C,'01. CP Nhân sự '!G$72)</f>
        <v>225223031</v>
      </c>
      <c r="H228" s="73">
        <f>SUMIFS('Data&gt;&gt; 2025'!$N:$N,'Data&gt;&gt; 2025'!$L:$L,'01. CP Nhân sự '!$A228,'Data&gt;&gt; 2025'!$B:$B,'01. CP Nhân sự '!$C228,'Data&gt;&gt; 2025'!$C:$C,'01. CP Nhân sự '!H$72)</f>
        <v>6459000</v>
      </c>
      <c r="I228" s="73">
        <f>SUMIFS('Data&gt;&gt; 2025'!$N:$N,'Data&gt;&gt; 2025'!$L:$L,'01. CP Nhân sự '!$A228,'Data&gt;&gt; 2025'!$B:$B,'01. CP Nhân sự '!$C228,'Data&gt;&gt; 2025'!$C:$C,'01. CP Nhân sự '!I$72)</f>
        <v>65072445</v>
      </c>
      <c r="J228" s="73">
        <f>SUMIFS('Data&gt;&gt; 2025'!$N:$N,'Data&gt;&gt; 2025'!$L:$L,'01. CP Nhân sự '!$A228,'Data&gt;&gt; 2025'!$B:$B,'01. CP Nhân sự '!$C228,'Data&gt;&gt; 2025'!$C:$C,'01. CP Nhân sự '!J$72)</f>
        <v>0</v>
      </c>
      <c r="K228" s="128">
        <f>SUM(E228:J228)</f>
        <v>770343314</v>
      </c>
      <c r="L228" s="182"/>
    </row>
    <row r="229" spans="1:15" hidden="1" outlineLevel="1" x14ac:dyDescent="0.25">
      <c r="A229" s="14">
        <v>12</v>
      </c>
      <c r="B229" s="3">
        <v>3</v>
      </c>
      <c r="C229" s="7" t="s">
        <v>2</v>
      </c>
      <c r="D229" s="133">
        <f>VLOOKUP(C229,'02. ĐỊNH BIÊN'!$C$6:$AT$47,14,0)</f>
        <v>0</v>
      </c>
      <c r="E229" s="73">
        <f>SUMIFS('Data&gt;&gt; 2025'!$N:$N,'Data&gt;&gt; 2025'!$L:$L,'01. CP Nhân sự '!$A229,'Data&gt;&gt; 2025'!$B:$B,'01. CP Nhân sự '!$C229,'Data&gt;&gt; 2025'!$C:$C,'01. CP Nhân sự '!E$72)</f>
        <v>182514753</v>
      </c>
      <c r="F229" s="73">
        <f>SUMIFS('Data&gt;&gt; 2025'!$N:$N,'Data&gt;&gt; 2025'!$L:$L,'01. CP Nhân sự '!$A229,'Data&gt;&gt; 2025'!$B:$B,'01. CP Nhân sự '!$C229,'Data&gt;&gt; 2025'!$C:$C,'01. CP Nhân sự '!F$72)</f>
        <v>0</v>
      </c>
      <c r="G229" s="73">
        <f>SUMIFS('Data&gt;&gt; 2025'!$N:$N,'Data&gt;&gt; 2025'!$L:$L,'01. CP Nhân sự '!$A229,'Data&gt;&gt; 2025'!$B:$B,'01. CP Nhân sự '!$C229,'Data&gt;&gt; 2025'!$C:$C,'01. CP Nhân sự '!G$72)</f>
        <v>63272005</v>
      </c>
      <c r="H229" s="73">
        <f>SUMIFS('Data&gt;&gt; 2025'!$N:$N,'Data&gt;&gt; 2025'!$L:$L,'01. CP Nhân sự '!$A229,'Data&gt;&gt; 2025'!$B:$B,'01. CP Nhân sự '!$C229,'Data&gt;&gt; 2025'!$C:$C,'01. CP Nhân sự '!H$72)</f>
        <v>6000000</v>
      </c>
      <c r="I229" s="73">
        <f>SUMIFS('Data&gt;&gt; 2025'!$N:$N,'Data&gt;&gt; 2025'!$L:$L,'01. CP Nhân sự '!$A229,'Data&gt;&gt; 2025'!$B:$B,'01. CP Nhân sự '!$C229,'Data&gt;&gt; 2025'!$C:$C,'01. CP Nhân sự '!I$72)</f>
        <v>43635255</v>
      </c>
      <c r="J229" s="73">
        <f>SUMIFS('Data&gt;&gt; 2025'!$N:$N,'Data&gt;&gt; 2025'!$L:$L,'01. CP Nhân sự '!$A229,'Data&gt;&gt; 2025'!$B:$B,'01. CP Nhân sự '!$C229,'Data&gt;&gt; 2025'!$C:$C,'01. CP Nhân sự '!J$72)</f>
        <v>0</v>
      </c>
      <c r="K229" s="128">
        <f t="shared" ref="K229:K239" si="42">SUM(E229:J229)</f>
        <v>295422013</v>
      </c>
      <c r="L229" s="182"/>
    </row>
    <row r="230" spans="1:15" hidden="1" outlineLevel="1" x14ac:dyDescent="0.25">
      <c r="A230" s="14">
        <v>12</v>
      </c>
      <c r="B230" s="3">
        <v>4</v>
      </c>
      <c r="C230" s="7" t="s">
        <v>3</v>
      </c>
      <c r="D230" s="133">
        <f>VLOOKUP(C230,'02. ĐỊNH BIÊN'!$C$6:$AT$47,14,0)</f>
        <v>0</v>
      </c>
      <c r="E230" s="73">
        <f>SUMIFS('Data&gt;&gt; 2025'!$N:$N,'Data&gt;&gt; 2025'!$L:$L,'01. CP Nhân sự '!$A230,'Data&gt;&gt; 2025'!$B:$B,'01. CP Nhân sự '!$C230,'Data&gt;&gt; 2025'!$C:$C,'01. CP Nhân sự '!E$72)</f>
        <v>567861661</v>
      </c>
      <c r="F230" s="73">
        <f>SUMIFS('Data&gt;&gt; 2025'!$N:$N,'Data&gt;&gt; 2025'!$L:$L,'01. CP Nhân sự '!$A230,'Data&gt;&gt; 2025'!$B:$B,'01. CP Nhân sự '!$C230,'Data&gt;&gt; 2025'!$C:$C,'01. CP Nhân sự '!F$72)</f>
        <v>51263863</v>
      </c>
      <c r="G230" s="73">
        <f>SUMIFS('Data&gt;&gt; 2025'!$N:$N,'Data&gt;&gt; 2025'!$L:$L,'01. CP Nhân sự '!$A230,'Data&gt;&gt; 2025'!$B:$B,'01. CP Nhân sự '!$C230,'Data&gt;&gt; 2025'!$C:$C,'01. CP Nhân sự '!G$72)</f>
        <v>394127526</v>
      </c>
      <c r="H230" s="73">
        <f>SUMIFS('Data&gt;&gt; 2025'!$N:$N,'Data&gt;&gt; 2025'!$L:$L,'01. CP Nhân sự '!$A230,'Data&gt;&gt; 2025'!$B:$B,'01. CP Nhân sự '!$C230,'Data&gt;&gt; 2025'!$C:$C,'01. CP Nhân sự '!H$72)</f>
        <v>19755000</v>
      </c>
      <c r="I230" s="73">
        <f>SUMIFS('Data&gt;&gt; 2025'!$N:$N,'Data&gt;&gt; 2025'!$L:$L,'01. CP Nhân sự '!$A230,'Data&gt;&gt; 2025'!$B:$B,'01. CP Nhân sự '!$C230,'Data&gt;&gt; 2025'!$C:$C,'01. CP Nhân sự '!I$72)</f>
        <v>115039335</v>
      </c>
      <c r="J230" s="73">
        <f>SUMIFS('Data&gt;&gt; 2025'!$N:$N,'Data&gt;&gt; 2025'!$L:$L,'01. CP Nhân sự '!$A230,'Data&gt;&gt; 2025'!$B:$B,'01. CP Nhân sự '!$C230,'Data&gt;&gt; 2025'!$C:$C,'01. CP Nhân sự '!J$72)</f>
        <v>0</v>
      </c>
      <c r="K230" s="128">
        <f t="shared" si="42"/>
        <v>1148047385</v>
      </c>
      <c r="L230" s="182"/>
    </row>
    <row r="231" spans="1:15" hidden="1" outlineLevel="1" x14ac:dyDescent="0.25">
      <c r="A231" s="14">
        <v>12</v>
      </c>
      <c r="B231" s="3">
        <v>5</v>
      </c>
      <c r="C231" s="7" t="s">
        <v>4</v>
      </c>
      <c r="D231" s="133">
        <f>VLOOKUP(C231,'02. ĐỊNH BIÊN'!$C$6:$AT$47,14,0)</f>
        <v>0</v>
      </c>
      <c r="E231" s="73">
        <f>SUMIFS('Data&gt;&gt; 2025'!$N:$N,'Data&gt;&gt; 2025'!$L:$L,'01. CP Nhân sự '!$A231,'Data&gt;&gt; 2025'!$B:$B,'01. CP Nhân sự '!$C231,'Data&gt;&gt; 2025'!$C:$C,'01. CP Nhân sự '!E$72)</f>
        <v>230509025</v>
      </c>
      <c r="F231" s="73">
        <f>SUMIFS('Data&gt;&gt; 2025'!$N:$N,'Data&gt;&gt; 2025'!$L:$L,'01. CP Nhân sự '!$A231,'Data&gt;&gt; 2025'!$B:$B,'01. CP Nhân sự '!$C231,'Data&gt;&gt; 2025'!$C:$C,'01. CP Nhân sự '!F$72)</f>
        <v>0</v>
      </c>
      <c r="G231" s="73">
        <f>SUMIFS('Data&gt;&gt; 2025'!$N:$N,'Data&gt;&gt; 2025'!$L:$L,'01. CP Nhân sự '!$A231,'Data&gt;&gt; 2025'!$B:$B,'01. CP Nhân sự '!$C231,'Data&gt;&gt; 2025'!$C:$C,'01. CP Nhân sự '!G$72)</f>
        <v>72346038</v>
      </c>
      <c r="H231" s="73">
        <f>SUMIFS('Data&gt;&gt; 2025'!$N:$N,'Data&gt;&gt; 2025'!$L:$L,'01. CP Nhân sự '!$A231,'Data&gt;&gt; 2025'!$B:$B,'01. CP Nhân sự '!$C231,'Data&gt;&gt; 2025'!$C:$C,'01. CP Nhân sự '!H$72)</f>
        <v>1200000</v>
      </c>
      <c r="I231" s="73">
        <f>SUMIFS('Data&gt;&gt; 2025'!$N:$N,'Data&gt;&gt; 2025'!$L:$L,'01. CP Nhân sự '!$A231,'Data&gt;&gt; 2025'!$B:$B,'01. CP Nhân sự '!$C231,'Data&gt;&gt; 2025'!$C:$C,'01. CP Nhân sự '!I$72)</f>
        <v>38435000</v>
      </c>
      <c r="J231" s="73">
        <f>SUMIFS('Data&gt;&gt; 2025'!$N:$N,'Data&gt;&gt; 2025'!$L:$L,'01. CP Nhân sự '!$A231,'Data&gt;&gt; 2025'!$B:$B,'01. CP Nhân sự '!$C231,'Data&gt;&gt; 2025'!$C:$C,'01. CP Nhân sự '!J$72)</f>
        <v>0</v>
      </c>
      <c r="K231" s="128">
        <f t="shared" si="42"/>
        <v>342490063</v>
      </c>
      <c r="L231" s="182"/>
    </row>
    <row r="232" spans="1:15" hidden="1" outlineLevel="1" x14ac:dyDescent="0.25">
      <c r="A232" s="14">
        <v>12</v>
      </c>
      <c r="B232" s="3">
        <v>6</v>
      </c>
      <c r="C232" s="7" t="s">
        <v>5</v>
      </c>
      <c r="D232" s="133">
        <f>VLOOKUP(C232,'02. ĐỊNH BIÊN'!$C$6:$AT$47,14,0)</f>
        <v>0</v>
      </c>
      <c r="E232" s="73">
        <f>SUMIFS('Data&gt;&gt; 2025'!$N:$N,'Data&gt;&gt; 2025'!$L:$L,'01. CP Nhân sự '!$A232,'Data&gt;&gt; 2025'!$B:$B,'01. CP Nhân sự '!$C232,'Data&gt;&gt; 2025'!$C:$C,'01. CP Nhân sự '!E$72)</f>
        <v>135009015</v>
      </c>
      <c r="F232" s="73">
        <f>SUMIFS('Data&gt;&gt; 2025'!$N:$N,'Data&gt;&gt; 2025'!$L:$L,'01. CP Nhân sự '!$A232,'Data&gt;&gt; 2025'!$B:$B,'01. CP Nhân sự '!$C232,'Data&gt;&gt; 2025'!$C:$C,'01. CP Nhân sự '!F$72)</f>
        <v>0</v>
      </c>
      <c r="G232" s="73">
        <f>SUMIFS('Data&gt;&gt; 2025'!$N:$N,'Data&gt;&gt; 2025'!$L:$L,'01. CP Nhân sự '!$A232,'Data&gt;&gt; 2025'!$B:$B,'01. CP Nhân sự '!$C232,'Data&gt;&gt; 2025'!$C:$C,'01. CP Nhân sự '!G$72)</f>
        <v>69213268</v>
      </c>
      <c r="H232" s="73">
        <f>SUMIFS('Data&gt;&gt; 2025'!$N:$N,'Data&gt;&gt; 2025'!$L:$L,'01. CP Nhân sự '!$A232,'Data&gt;&gt; 2025'!$B:$B,'01. CP Nhân sự '!$C232,'Data&gt;&gt; 2025'!$C:$C,'01. CP Nhân sự '!H$72)</f>
        <v>2300000</v>
      </c>
      <c r="I232" s="73">
        <f>SUMIFS('Data&gt;&gt; 2025'!$N:$N,'Data&gt;&gt; 2025'!$L:$L,'01. CP Nhân sự '!$A232,'Data&gt;&gt; 2025'!$B:$B,'01. CP Nhân sự '!$C232,'Data&gt;&gt; 2025'!$C:$C,'01. CP Nhân sự '!I$72)</f>
        <v>34958750</v>
      </c>
      <c r="J232" s="73">
        <f>SUMIFS('Data&gt;&gt; 2025'!$N:$N,'Data&gt;&gt; 2025'!$L:$L,'01. CP Nhân sự '!$A232,'Data&gt;&gt; 2025'!$B:$B,'01. CP Nhân sự '!$C232,'Data&gt;&gt; 2025'!$C:$C,'01. CP Nhân sự '!J$72)</f>
        <v>0</v>
      </c>
      <c r="K232" s="128">
        <f t="shared" si="42"/>
        <v>241481033</v>
      </c>
      <c r="L232" s="182"/>
    </row>
    <row r="233" spans="1:15" hidden="1" outlineLevel="1" x14ac:dyDescent="0.25">
      <c r="A233" s="14">
        <v>12</v>
      </c>
      <c r="B233" s="3">
        <v>7</v>
      </c>
      <c r="C233" s="7" t="s">
        <v>6</v>
      </c>
      <c r="D233" s="133">
        <f>VLOOKUP(C233,'02. ĐỊNH BIÊN'!$C$6:$AT$47,14,0)</f>
        <v>0</v>
      </c>
      <c r="E233" s="73">
        <f>SUMIFS('Data&gt;&gt; 2025'!$N:$N,'Data&gt;&gt; 2025'!$L:$L,'01. CP Nhân sự '!$A233,'Data&gt;&gt; 2025'!$B:$B,'01. CP Nhân sự '!$C233,'Data&gt;&gt; 2025'!$C:$C,'01. CP Nhân sự '!E$72)</f>
        <v>498745770</v>
      </c>
      <c r="F233" s="73">
        <f>SUMIFS('Data&gt;&gt; 2025'!$N:$N,'Data&gt;&gt; 2025'!$L:$L,'01. CP Nhân sự '!$A233,'Data&gt;&gt; 2025'!$B:$B,'01. CP Nhân sự '!$C233,'Data&gt;&gt; 2025'!$C:$C,'01. CP Nhân sự '!F$72)</f>
        <v>154590071</v>
      </c>
      <c r="G233" s="73">
        <f>SUMIFS('Data&gt;&gt; 2025'!$N:$N,'Data&gt;&gt; 2025'!$L:$L,'01. CP Nhân sự '!$A233,'Data&gt;&gt; 2025'!$B:$B,'01. CP Nhân sự '!$C233,'Data&gt;&gt; 2025'!$C:$C,'01. CP Nhân sự '!G$72)</f>
        <v>255338714</v>
      </c>
      <c r="H233" s="73">
        <f>SUMIFS('Data&gt;&gt; 2025'!$N:$N,'Data&gt;&gt; 2025'!$L:$L,'01. CP Nhân sự '!$A233,'Data&gt;&gt; 2025'!$B:$B,'01. CP Nhân sự '!$C233,'Data&gt;&gt; 2025'!$C:$C,'01. CP Nhân sự '!H$72)</f>
        <v>68905395</v>
      </c>
      <c r="I233" s="73">
        <f>SUMIFS('Data&gt;&gt; 2025'!$N:$N,'Data&gt;&gt; 2025'!$L:$L,'01. CP Nhân sự '!$A233,'Data&gt;&gt; 2025'!$B:$B,'01. CP Nhân sự '!$C233,'Data&gt;&gt; 2025'!$C:$C,'01. CP Nhân sự '!I$72)</f>
        <v>105984915</v>
      </c>
      <c r="J233" s="73">
        <f>SUMIFS('Data&gt;&gt; 2025'!$N:$N,'Data&gt;&gt; 2025'!$L:$L,'01. CP Nhân sự '!$A233,'Data&gt;&gt; 2025'!$B:$B,'01. CP Nhân sự '!$C233,'Data&gt;&gt; 2025'!$C:$C,'01. CP Nhân sự '!J$72)</f>
        <v>0</v>
      </c>
      <c r="K233" s="128">
        <f t="shared" si="42"/>
        <v>1083564865</v>
      </c>
      <c r="L233" s="182"/>
    </row>
    <row r="234" spans="1:15" hidden="1" outlineLevel="1" x14ac:dyDescent="0.25">
      <c r="A234" s="14">
        <v>12</v>
      </c>
      <c r="B234" s="3">
        <v>8</v>
      </c>
      <c r="C234" s="7" t="s">
        <v>7</v>
      </c>
      <c r="D234" s="133">
        <f>VLOOKUP(C234,'02. ĐỊNH BIÊN'!$C$6:$AT$47,14,0)</f>
        <v>0</v>
      </c>
      <c r="E234" s="73">
        <f>SUMIFS('Data&gt;&gt; 2025'!$N:$N,'Data&gt;&gt; 2025'!$L:$L,'01. CP Nhân sự '!$A234,'Data&gt;&gt; 2025'!$B:$B,'01. CP Nhân sự '!$C234,'Data&gt;&gt; 2025'!$C:$C,'01. CP Nhân sự '!E$72)</f>
        <v>1294679635</v>
      </c>
      <c r="F234" s="73">
        <f>SUMIFS('Data&gt;&gt; 2025'!$N:$N,'Data&gt;&gt; 2025'!$L:$L,'01. CP Nhân sự '!$A234,'Data&gt;&gt; 2025'!$B:$B,'01. CP Nhân sự '!$C234,'Data&gt;&gt; 2025'!$C:$C,'01. CP Nhân sự '!F$72)</f>
        <v>297663882</v>
      </c>
      <c r="G234" s="73">
        <f>SUMIFS('Data&gt;&gt; 2025'!$N:$N,'Data&gt;&gt; 2025'!$L:$L,'01. CP Nhân sự '!$A234,'Data&gt;&gt; 2025'!$B:$B,'01. CP Nhân sự '!$C234,'Data&gt;&gt; 2025'!$C:$C,'01. CP Nhân sự '!G$72)</f>
        <v>631439729</v>
      </c>
      <c r="H234" s="73">
        <f>SUMIFS('Data&gt;&gt; 2025'!$N:$N,'Data&gt;&gt; 2025'!$L:$L,'01. CP Nhân sự '!$A234,'Data&gt;&gt; 2025'!$B:$B,'01. CP Nhân sự '!$C234,'Data&gt;&gt; 2025'!$C:$C,'01. CP Nhân sự '!H$72)</f>
        <v>118879625</v>
      </c>
      <c r="I234" s="73">
        <f>SUMIFS('Data&gt;&gt; 2025'!$N:$N,'Data&gt;&gt; 2025'!$L:$L,'01. CP Nhân sự '!$A234,'Data&gt;&gt; 2025'!$B:$B,'01. CP Nhân sự '!$C234,'Data&gt;&gt; 2025'!$C:$C,'01. CP Nhân sự '!I$72)</f>
        <v>261874725</v>
      </c>
      <c r="J234" s="73">
        <f>SUMIFS('Data&gt;&gt; 2025'!$N:$N,'Data&gt;&gt; 2025'!$L:$L,'01. CP Nhân sự '!$A234,'Data&gt;&gt; 2025'!$B:$B,'01. CP Nhân sự '!$C234,'Data&gt;&gt; 2025'!$C:$C,'01. CP Nhân sự '!J$72)</f>
        <v>0</v>
      </c>
      <c r="K234" s="128">
        <f t="shared" si="42"/>
        <v>2604537596</v>
      </c>
      <c r="L234" s="182"/>
    </row>
    <row r="235" spans="1:15" hidden="1" outlineLevel="1" x14ac:dyDescent="0.25">
      <c r="A235" s="14">
        <v>12</v>
      </c>
      <c r="B235" s="3">
        <v>9</v>
      </c>
      <c r="C235" s="7" t="s">
        <v>9</v>
      </c>
      <c r="D235" s="133">
        <f>VLOOKUP(C235,'02. ĐỊNH BIÊN'!$C$6:$AT$47,14,0)</f>
        <v>0</v>
      </c>
      <c r="E235" s="73">
        <f>SUMIFS('Data&gt;&gt; 2025'!$N:$N,'Data&gt;&gt; 2025'!$L:$L,'01. CP Nhân sự '!$A235,'Data&gt;&gt; 2025'!$B:$B,'01. CP Nhân sự '!$C235,'Data&gt;&gt; 2025'!$C:$C,'01. CP Nhân sự '!E$72)</f>
        <v>791340046</v>
      </c>
      <c r="F235" s="73">
        <f>SUMIFS('Data&gt;&gt; 2025'!$N:$N,'Data&gt;&gt; 2025'!$L:$L,'01. CP Nhân sự '!$A235,'Data&gt;&gt; 2025'!$B:$B,'01. CP Nhân sự '!$C235,'Data&gt;&gt; 2025'!$C:$C,'01. CP Nhân sự '!F$72)</f>
        <v>74783511</v>
      </c>
      <c r="G235" s="73">
        <f>SUMIFS('Data&gt;&gt; 2025'!$N:$N,'Data&gt;&gt; 2025'!$L:$L,'01. CP Nhân sự '!$A235,'Data&gt;&gt; 2025'!$B:$B,'01. CP Nhân sự '!$C235,'Data&gt;&gt; 2025'!$C:$C,'01. CP Nhân sự '!G$72)</f>
        <v>355305154</v>
      </c>
      <c r="H235" s="73">
        <f>SUMIFS('Data&gt;&gt; 2025'!$N:$N,'Data&gt;&gt; 2025'!$L:$L,'01. CP Nhân sự '!$A235,'Data&gt;&gt; 2025'!$B:$B,'01. CP Nhân sự '!$C235,'Data&gt;&gt; 2025'!$C:$C,'01. CP Nhân sự '!H$72)</f>
        <v>43448053</v>
      </c>
      <c r="I235" s="73">
        <f>SUMIFS('Data&gt;&gt; 2025'!$N:$N,'Data&gt;&gt; 2025'!$L:$L,'01. CP Nhân sự '!$A235,'Data&gt;&gt; 2025'!$B:$B,'01. CP Nhân sự '!$C235,'Data&gt;&gt; 2025'!$C:$C,'01. CP Nhân sự '!I$72)</f>
        <v>153177495</v>
      </c>
      <c r="J235" s="73">
        <f>SUMIFS('Data&gt;&gt; 2025'!$N:$N,'Data&gt;&gt; 2025'!$L:$L,'01. CP Nhân sự '!$A235,'Data&gt;&gt; 2025'!$B:$B,'01. CP Nhân sự '!$C235,'Data&gt;&gt; 2025'!$C:$C,'01. CP Nhân sự '!J$72)</f>
        <v>1580526669</v>
      </c>
      <c r="K235" s="128">
        <f t="shared" si="42"/>
        <v>2998580928</v>
      </c>
      <c r="L235" s="182"/>
    </row>
    <row r="236" spans="1:15" hidden="1" outlineLevel="1" x14ac:dyDescent="0.25">
      <c r="A236" s="14">
        <v>12</v>
      </c>
      <c r="B236" s="3">
        <v>10</v>
      </c>
      <c r="C236" s="7" t="s">
        <v>10</v>
      </c>
      <c r="D236" s="133">
        <f>VLOOKUP(C236,'02. ĐỊNH BIÊN'!$C$6:$AT$47,14,0)</f>
        <v>0</v>
      </c>
      <c r="E236" s="73">
        <f>SUMIFS('Data&gt;&gt; 2025'!$N:$N,'Data&gt;&gt; 2025'!$L:$L,'01. CP Nhân sự '!$A236,'Data&gt;&gt; 2025'!$B:$B,'01. CP Nhân sự '!$C236,'Data&gt;&gt; 2025'!$C:$C,'01. CP Nhân sự '!E$72)</f>
        <v>570832235</v>
      </c>
      <c r="F236" s="73">
        <f>SUMIFS('Data&gt;&gt; 2025'!$N:$N,'Data&gt;&gt; 2025'!$L:$L,'01. CP Nhân sự '!$A236,'Data&gt;&gt; 2025'!$B:$B,'01. CP Nhân sự '!$C236,'Data&gt;&gt; 2025'!$C:$C,'01. CP Nhân sự '!F$72)</f>
        <v>0</v>
      </c>
      <c r="G236" s="73">
        <f>SUMIFS('Data&gt;&gt; 2025'!$N:$N,'Data&gt;&gt; 2025'!$L:$L,'01. CP Nhân sự '!$A236,'Data&gt;&gt; 2025'!$B:$B,'01. CP Nhân sự '!$C236,'Data&gt;&gt; 2025'!$C:$C,'01. CP Nhân sự '!G$72)</f>
        <v>511400463</v>
      </c>
      <c r="H236" s="73">
        <f>SUMIFS('Data&gt;&gt; 2025'!$N:$N,'Data&gt;&gt; 2025'!$L:$L,'01. CP Nhân sự '!$A236,'Data&gt;&gt; 2025'!$B:$B,'01. CP Nhân sự '!$C236,'Data&gt;&gt; 2025'!$C:$C,'01. CP Nhân sự '!H$72)</f>
        <v>15085000</v>
      </c>
      <c r="I236" s="73">
        <f>SUMIFS('Data&gt;&gt; 2025'!$N:$N,'Data&gt;&gt; 2025'!$L:$L,'01. CP Nhân sự '!$A236,'Data&gt;&gt; 2025'!$B:$B,'01. CP Nhân sự '!$C236,'Data&gt;&gt; 2025'!$C:$C,'01. CP Nhân sự '!I$72)</f>
        <v>116574335</v>
      </c>
      <c r="J236" s="73">
        <f>SUMIFS('Data&gt;&gt; 2025'!$N:$N,'Data&gt;&gt; 2025'!$L:$L,'01. CP Nhân sự '!$A236,'Data&gt;&gt; 2025'!$B:$B,'01. CP Nhân sự '!$C236,'Data&gt;&gt; 2025'!$C:$C,'01. CP Nhân sự '!J$72)</f>
        <v>0</v>
      </c>
      <c r="K236" s="128">
        <f t="shared" si="42"/>
        <v>1213892033</v>
      </c>
      <c r="L236" s="182"/>
    </row>
    <row r="237" spans="1:15" hidden="1" outlineLevel="1" x14ac:dyDescent="0.25">
      <c r="A237" s="14">
        <v>12</v>
      </c>
      <c r="B237" s="3">
        <v>11</v>
      </c>
      <c r="C237" s="7" t="s">
        <v>8</v>
      </c>
      <c r="D237" s="133">
        <f>VLOOKUP(C237,'02. ĐỊNH BIÊN'!$C$6:$AT$47,14,0)</f>
        <v>0</v>
      </c>
      <c r="E237" s="73">
        <f>SUMIFS('Data&gt;&gt; 2025'!$N:$N,'Data&gt;&gt; 2025'!$L:$L,'01. CP Nhân sự '!$A237,'Data&gt;&gt; 2025'!$B:$B,'01. CP Nhân sự '!$C237,'Data&gt;&gt; 2025'!$C:$C,'01. CP Nhân sự '!E$72,'Data&gt;&gt; 2025'!$A:$A,627)</f>
        <v>962751759</v>
      </c>
      <c r="F237" s="73">
        <f>SUMIFS('Data&gt;&gt; 2025'!$N:$N,'Data&gt;&gt; 2025'!$L:$L,'01. CP Nhân sự '!$A237,'Data&gt;&gt; 2025'!$B:$B,'01. CP Nhân sự '!$C237,'Data&gt;&gt; 2025'!$C:$C,'01. CP Nhân sự '!F$72,'Data&gt;&gt; 2025'!$A:$A,627)</f>
        <v>93893329</v>
      </c>
      <c r="G237" s="73">
        <f>SUMIFS('Data&gt;&gt; 2025'!$N:$N,'Data&gt;&gt; 2025'!$L:$L,'01. CP Nhân sự '!$A237,'Data&gt;&gt; 2025'!$B:$B,'01. CP Nhân sự '!$C237,'Data&gt;&gt; 2025'!$C:$C,'01. CP Nhân sự '!G$72,'Data&gt;&gt; 2025'!$A:$A,627)</f>
        <v>556437251</v>
      </c>
      <c r="H237" s="73">
        <f>SUMIFS('Data&gt;&gt; 2025'!$N:$N,'Data&gt;&gt; 2025'!$L:$L,'01. CP Nhân sự '!$A237,'Data&gt;&gt; 2025'!$B:$B,'01. CP Nhân sự '!$C237,'Data&gt;&gt; 2025'!$C:$C,'01. CP Nhân sự '!H$72,'Data&gt;&gt; 2025'!$A:$A,627)</f>
        <v>87162976</v>
      </c>
      <c r="I237" s="73">
        <f>SUMIFS('Data&gt;&gt; 2025'!$N:$N,'Data&gt;&gt; 2025'!$L:$L,'01. CP Nhân sự '!$A237,'Data&gt;&gt; 2025'!$B:$B,'01. CP Nhân sự '!$C237,'Data&gt;&gt; 2025'!$C:$C,'01. CP Nhân sự '!I$72,'Data&gt;&gt; 2025'!$A:$A,627)</f>
        <v>175310730</v>
      </c>
      <c r="J237" s="73">
        <f>SUMIFS('Data&gt;&gt; 2025'!$N:$N,'Data&gt;&gt; 2025'!$L:$L,'01. CP Nhân sự '!$A237,'Data&gt;&gt; 2025'!$B:$B,'01. CP Nhân sự '!$C237,'Data&gt;&gt; 2025'!$C:$C,'01. CP Nhân sự '!J$72,'Data&gt;&gt; 2025'!$A:$A,627)</f>
        <v>4200000</v>
      </c>
      <c r="K237" s="128">
        <f t="shared" si="42"/>
        <v>1879756045</v>
      </c>
      <c r="L237" s="182"/>
    </row>
    <row r="238" spans="1:15" hidden="1" outlineLevel="1" x14ac:dyDescent="0.25">
      <c r="A238" s="14">
        <v>12</v>
      </c>
      <c r="B238" s="3">
        <v>12</v>
      </c>
      <c r="C238" s="7" t="s">
        <v>8</v>
      </c>
      <c r="D238" s="133">
        <v>253</v>
      </c>
      <c r="E238" s="73">
        <f>SUMIFS('Data&gt;&gt; 2025'!$N:$N,'Data&gt;&gt; 2025'!$L:$L,'01. CP Nhân sự '!$A238,'Data&gt;&gt; 2025'!$B:$B,'01. CP Nhân sự '!$C238,'Data&gt;&gt; 2025'!$C:$C,'01. CP Nhân sự '!E$72,'Data&gt;&gt; 2025'!$A:$A,622)</f>
        <v>1909157650</v>
      </c>
      <c r="F238" s="73">
        <f>SUMIFS('Data&gt;&gt; 2025'!$N:$N,'Data&gt;&gt; 2025'!$L:$L,'01. CP Nhân sự '!$A238,'Data&gt;&gt; 2025'!$B:$B,'01. CP Nhân sự '!$C238,'Data&gt;&gt; 2025'!$C:$C,'01. CP Nhân sự '!F$72,'Data&gt;&gt; 2025'!$A:$A,622)</f>
        <v>371608824</v>
      </c>
      <c r="G238" s="73">
        <f>SUMIFS('Data&gt;&gt; 2025'!$N:$N,'Data&gt;&gt; 2025'!$L:$L,'01. CP Nhân sự '!$A238,'Data&gt;&gt; 2025'!$B:$B,'01. CP Nhân sự '!$C238,'Data&gt;&gt; 2025'!$C:$C,'01. CP Nhân sự '!G$72,'Data&gt;&gt; 2025'!$A:$A,622)</f>
        <v>28018042</v>
      </c>
      <c r="H238" s="73">
        <f>SUMIFS('Data&gt;&gt; 2025'!$N:$N,'Data&gt;&gt; 2025'!$L:$L,'01. CP Nhân sự '!$A238,'Data&gt;&gt; 2025'!$B:$B,'01. CP Nhân sự '!$C238,'Data&gt;&gt; 2025'!$C:$C,'01. CP Nhân sự '!H$72,'Data&gt;&gt; 2025'!$A:$A,622)</f>
        <v>357918735</v>
      </c>
      <c r="I238" s="73">
        <f>SUMIFS('Data&gt;&gt; 2025'!$N:$N,'Data&gt;&gt; 2025'!$L:$L,'01. CP Nhân sự '!$A238,'Data&gt;&gt; 2025'!$B:$B,'01. CP Nhân sự '!$C238,'Data&gt;&gt; 2025'!$C:$C,'01. CP Nhân sự '!I$72,'Data&gt;&gt; 2025'!$A:$A,622)</f>
        <v>333440885</v>
      </c>
      <c r="J238" s="73">
        <f>SUMIFS('Data&gt;&gt; 2025'!$N:$N,'Data&gt;&gt; 2025'!$L:$L,'01. CP Nhân sự '!$A238,'Data&gt;&gt; 2025'!$B:$B,'01. CP Nhân sự '!$C238,'Data&gt;&gt; 2025'!$C:$C,'01. CP Nhân sự '!J$72,'Data&gt;&gt; 2025'!$A:$A,622)</f>
        <v>0</v>
      </c>
      <c r="K238" s="128">
        <f t="shared" si="42"/>
        <v>3000144136</v>
      </c>
      <c r="L238" s="182"/>
    </row>
    <row r="239" spans="1:15" hidden="1" outlineLevel="1" x14ac:dyDescent="0.25">
      <c r="A239" s="14">
        <v>12</v>
      </c>
      <c r="B239" s="3">
        <v>13</v>
      </c>
      <c r="C239" s="4" t="s">
        <v>221</v>
      </c>
      <c r="D239" s="135">
        <f>VLOOKUP(C239,'02. ĐỊNH BIÊN'!$C$6:$AT$47,14,0)</f>
        <v>0</v>
      </c>
      <c r="E239" s="125">
        <f>SUMIFS('Data&gt;&gt; 2025'!$N:$N,'Data&gt;&gt; 2025'!$L:$L,'01. CP Nhân sự '!$A239,'Data&gt;&gt; 2025'!$B:$B,'01. CP Nhân sự '!$C239,'Data&gt;&gt; 2025'!$C:$C,'01. CP Nhân sự '!E$72)</f>
        <v>70000000</v>
      </c>
      <c r="F239" s="125">
        <f>SUMIFS('Data&gt;&gt; 2025'!$N:$N,'Data&gt;&gt; 2025'!$L:$L,'01. CP Nhân sự '!$A239,'Data&gt;&gt; 2025'!$B:$B,'01. CP Nhân sự '!$C239,'Data&gt;&gt; 2025'!$C:$C,'01. CP Nhân sự '!F$72)</f>
        <v>0</v>
      </c>
      <c r="G239" s="125">
        <f>SUMIFS('Data&gt;&gt; 2025'!$N:$N,'Data&gt;&gt; 2025'!$L:$L,'01. CP Nhân sự '!$A239,'Data&gt;&gt; 2025'!$B:$B,'01. CP Nhân sự '!$C239,'Data&gt;&gt; 2025'!$C:$C,'01. CP Nhân sự '!G$72)</f>
        <v>0</v>
      </c>
      <c r="H239" s="125">
        <f>SUMIFS('Data&gt;&gt; 2025'!$N:$N,'Data&gt;&gt; 2025'!$L:$L,'01. CP Nhân sự '!$A239,'Data&gt;&gt; 2025'!$B:$B,'01. CP Nhân sự '!$C239,'Data&gt;&gt; 2025'!$C:$C,'01. CP Nhân sự '!H$72)</f>
        <v>0</v>
      </c>
      <c r="I239" s="125">
        <f>SUMIFS('Data&gt;&gt; 2025'!$N:$N,'Data&gt;&gt; 2025'!$L:$L,'01. CP Nhân sự '!$A239,'Data&gt;&gt; 2025'!$B:$B,'01. CP Nhân sự '!$C239,'Data&gt;&gt; 2025'!$C:$C,'01. CP Nhân sự '!I$72)</f>
        <v>0</v>
      </c>
      <c r="J239" s="125">
        <f>SUMIFS('Data&gt;&gt; 2025'!$N:$N,'Data&gt;&gt; 2025'!$L:$L,'01. CP Nhân sự '!$A239,'Data&gt;&gt; 2025'!$B:$B,'01. CP Nhân sự '!$C239,'Data&gt;&gt; 2025'!$C:$C,'01. CP Nhân sự '!J$72)</f>
        <v>0</v>
      </c>
      <c r="K239" s="128">
        <f t="shared" si="42"/>
        <v>70000000</v>
      </c>
      <c r="L239" s="182"/>
    </row>
    <row r="240" spans="1:15" collapsed="1" x14ac:dyDescent="0.25">
      <c r="A240" s="14">
        <v>12</v>
      </c>
      <c r="B240" s="18"/>
      <c r="C240" s="19" t="s">
        <v>17</v>
      </c>
      <c r="D240" s="136">
        <f>SUM(D227:D239)</f>
        <v>253</v>
      </c>
      <c r="E240" s="75">
        <f>SUM(E227:E239)</f>
        <v>9457924085</v>
      </c>
      <c r="F240" s="75">
        <f t="shared" ref="F240:J240" si="43">SUM(F227:F239)</f>
        <v>1043803480</v>
      </c>
      <c r="G240" s="75">
        <f t="shared" si="43"/>
        <v>4429790188</v>
      </c>
      <c r="H240" s="75">
        <f t="shared" si="43"/>
        <v>727263784</v>
      </c>
      <c r="I240" s="75">
        <f t="shared" si="43"/>
        <v>1580570820</v>
      </c>
      <c r="J240" s="75">
        <f t="shared" si="43"/>
        <v>3241599707</v>
      </c>
      <c r="K240" s="75">
        <f>SUM(K227:K239)</f>
        <v>20480952064</v>
      </c>
      <c r="L240" s="439">
        <f>K240/K226-1</f>
        <v>0.45365018661327094</v>
      </c>
      <c r="N240" s="75">
        <v>118664294581</v>
      </c>
      <c r="O240" s="250">
        <f>K240/N240</f>
        <v>0.1725957427743334</v>
      </c>
    </row>
  </sheetData>
  <autoFilter ref="A72:L212" xr:uid="{EFE0F34A-B2BE-4E09-A0D0-F2525E3BE533}"/>
  <hyperlinks>
    <hyperlink ref="A1" location="'00. DM'!A1" display="00. DM" xr:uid="{EB782B47-4631-4642-BFC8-657613E025E1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E004-7709-47C0-80F0-5EDEF14CEB58}">
  <sheetPr filterMode="1">
    <tabColor rgb="FF00B050"/>
  </sheetPr>
  <dimension ref="A1:BY78"/>
  <sheetViews>
    <sheetView showGridLines="0" zoomScale="80" zoomScaleNormal="80" workbookViewId="0">
      <pane xSplit="4" ySplit="5" topLeftCell="E6" activePane="bottomRight" state="frozen"/>
      <selection activeCell="E20" sqref="E20"/>
      <selection pane="topRight" activeCell="E20" sqref="E20"/>
      <selection pane="bottomLeft" activeCell="E20" sqref="E20"/>
      <selection pane="bottomRight" activeCell="Q40" sqref="A40:XFD40"/>
    </sheetView>
  </sheetViews>
  <sheetFormatPr defaultColWidth="8.7109375" defaultRowHeight="15" outlineLevelRow="1" outlineLevelCol="1" x14ac:dyDescent="0.25"/>
  <cols>
    <col min="1" max="1" width="5.28515625" style="20" customWidth="1"/>
    <col min="2" max="2" width="5.5703125" style="20" customWidth="1"/>
    <col min="3" max="3" width="23.7109375" style="20" customWidth="1"/>
    <col min="4" max="16" width="9.42578125" style="20" customWidth="1"/>
    <col min="17" max="17" width="9.42578125" style="247" customWidth="1"/>
    <col min="18" max="20" width="9.42578125" style="20" customWidth="1"/>
    <col min="21" max="21" width="2.7109375" style="20" customWidth="1"/>
    <col min="22" max="33" width="9.42578125" style="20" customWidth="1"/>
    <col min="34" max="34" width="3.5703125" style="20" customWidth="1"/>
    <col min="35" max="35" width="8.7109375" style="20" customWidth="1" outlineLevel="1"/>
    <col min="36" max="42" width="9" style="20" customWidth="1" outlineLevel="1"/>
    <col min="43" max="45" width="8" style="20" customWidth="1" outlineLevel="1"/>
    <col min="46" max="46" width="8.5703125" style="20" customWidth="1" outlineLevel="1"/>
    <col min="47" max="47" width="14" style="20" bestFit="1" customWidth="1"/>
    <col min="48" max="48" width="12.7109375" style="20" bestFit="1" customWidth="1"/>
    <col min="49" max="49" width="10.28515625" style="20" bestFit="1" customWidth="1"/>
    <col min="50" max="50" width="1.28515625" style="20" customWidth="1"/>
    <col min="51" max="62" width="8.42578125" style="20" hidden="1" customWidth="1" outlineLevel="1"/>
    <col min="63" max="63" width="1.7109375" style="20" customWidth="1" collapsed="1"/>
    <col min="64" max="70" width="7.42578125" style="20" hidden="1" customWidth="1" outlineLevel="1"/>
    <col min="71" max="73" width="8.5703125" style="20" hidden="1" customWidth="1" outlineLevel="1"/>
    <col min="74" max="75" width="7.42578125" style="20" hidden="1" customWidth="1" outlineLevel="1"/>
    <col min="76" max="76" width="8.7109375" style="20" collapsed="1"/>
    <col min="77" max="16384" width="8.7109375" style="20"/>
  </cols>
  <sheetData>
    <row r="1" spans="1:75" ht="14.45" x14ac:dyDescent="0.3">
      <c r="A1" s="165" t="s">
        <v>254</v>
      </c>
    </row>
    <row r="2" spans="1:75" ht="13.9" x14ac:dyDescent="0.25">
      <c r="Q2" s="247">
        <f>+Q17+Q18+Q35</f>
        <v>210</v>
      </c>
      <c r="R2" s="438">
        <f>+R17+R18+R35</f>
        <v>239.66666666666669</v>
      </c>
      <c r="S2" s="438">
        <f>+R2-Q2</f>
        <v>29.666666666666686</v>
      </c>
      <c r="W2" s="20">
        <f>+W17+W18+W35</f>
        <v>232</v>
      </c>
      <c r="X2" s="20">
        <f>+X17+X18+X35</f>
        <v>240</v>
      </c>
    </row>
    <row r="3" spans="1:75" ht="20.25" x14ac:dyDescent="0.3">
      <c r="B3" s="21" t="s">
        <v>21</v>
      </c>
      <c r="C3" s="22" t="s">
        <v>20</v>
      </c>
      <c r="R3" s="337"/>
      <c r="AV3" s="242"/>
      <c r="BL3" s="40"/>
    </row>
    <row r="4" spans="1:75" ht="20.25" x14ac:dyDescent="0.3">
      <c r="E4" s="22" t="s">
        <v>1431</v>
      </c>
      <c r="I4" s="247"/>
      <c r="J4" s="247"/>
      <c r="K4" s="247"/>
      <c r="L4" s="247"/>
      <c r="M4" s="247"/>
      <c r="N4" s="247"/>
      <c r="O4" s="247"/>
      <c r="P4" s="247"/>
      <c r="R4" s="247"/>
      <c r="S4" s="247"/>
      <c r="V4" s="39" t="s">
        <v>1430</v>
      </c>
      <c r="AI4" s="22" t="s">
        <v>16</v>
      </c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7"/>
      <c r="AY4" s="39" t="s">
        <v>18</v>
      </c>
      <c r="BL4" s="40" t="s">
        <v>19</v>
      </c>
    </row>
    <row r="5" spans="1:75" ht="42.75" x14ac:dyDescent="0.25">
      <c r="B5" s="160" t="s">
        <v>14</v>
      </c>
      <c r="C5" s="160" t="s">
        <v>11</v>
      </c>
      <c r="D5" s="160" t="s">
        <v>15</v>
      </c>
      <c r="E5" s="161">
        <v>1</v>
      </c>
      <c r="F5" s="161">
        <v>2</v>
      </c>
      <c r="G5" s="161">
        <v>3</v>
      </c>
      <c r="H5" s="162">
        <v>4</v>
      </c>
      <c r="I5" s="161">
        <v>5</v>
      </c>
      <c r="J5" s="162">
        <v>6</v>
      </c>
      <c r="K5" s="161">
        <v>7</v>
      </c>
      <c r="L5" s="162">
        <v>8</v>
      </c>
      <c r="M5" s="161">
        <v>9</v>
      </c>
      <c r="N5" s="162">
        <v>10</v>
      </c>
      <c r="O5" s="161">
        <v>11</v>
      </c>
      <c r="P5" s="162">
        <v>12</v>
      </c>
      <c r="Q5" s="441" t="s">
        <v>1432</v>
      </c>
      <c r="R5" s="279" t="s">
        <v>1433</v>
      </c>
      <c r="S5" s="430" t="s">
        <v>217</v>
      </c>
      <c r="T5" s="430" t="s">
        <v>219</v>
      </c>
      <c r="U5" s="376"/>
      <c r="V5" s="23">
        <v>1</v>
      </c>
      <c r="W5" s="23">
        <v>2</v>
      </c>
      <c r="X5" s="23">
        <v>3</v>
      </c>
      <c r="Y5" s="24">
        <v>4</v>
      </c>
      <c r="Z5" s="23">
        <v>5</v>
      </c>
      <c r="AA5" s="24">
        <v>6</v>
      </c>
      <c r="AB5" s="23">
        <v>7</v>
      </c>
      <c r="AC5" s="24">
        <v>8</v>
      </c>
      <c r="AD5" s="23">
        <v>9</v>
      </c>
      <c r="AE5" s="24">
        <v>10</v>
      </c>
      <c r="AF5" s="23">
        <v>11</v>
      </c>
      <c r="AG5" s="24">
        <v>12</v>
      </c>
      <c r="AH5" s="376"/>
      <c r="AI5" s="161">
        <v>1</v>
      </c>
      <c r="AJ5" s="161">
        <v>2</v>
      </c>
      <c r="AK5" s="161">
        <v>3</v>
      </c>
      <c r="AL5" s="162">
        <v>4</v>
      </c>
      <c r="AM5" s="161">
        <v>5</v>
      </c>
      <c r="AN5" s="162">
        <v>6</v>
      </c>
      <c r="AO5" s="161">
        <v>7</v>
      </c>
      <c r="AP5" s="162">
        <v>8</v>
      </c>
      <c r="AQ5" s="161">
        <v>9</v>
      </c>
      <c r="AR5" s="162">
        <v>10</v>
      </c>
      <c r="AS5" s="161">
        <v>11</v>
      </c>
      <c r="AT5" s="162">
        <v>12</v>
      </c>
      <c r="AU5" s="430" t="s">
        <v>217</v>
      </c>
      <c r="AV5" s="431" t="s">
        <v>218</v>
      </c>
      <c r="AW5" s="430" t="s">
        <v>219</v>
      </c>
      <c r="AY5" s="23">
        <v>1</v>
      </c>
      <c r="AZ5" s="23">
        <v>2</v>
      </c>
      <c r="BA5" s="23">
        <v>3</v>
      </c>
      <c r="BB5" s="24">
        <v>4</v>
      </c>
      <c r="BC5" s="23">
        <v>5</v>
      </c>
      <c r="BD5" s="24">
        <v>6</v>
      </c>
      <c r="BE5" s="23">
        <v>7</v>
      </c>
      <c r="BF5" s="24">
        <v>8</v>
      </c>
      <c r="BG5" s="23">
        <v>9</v>
      </c>
      <c r="BH5" s="24">
        <v>10</v>
      </c>
      <c r="BI5" s="23">
        <v>11</v>
      </c>
      <c r="BJ5" s="24">
        <v>12</v>
      </c>
      <c r="BL5" s="41">
        <v>1</v>
      </c>
      <c r="BM5" s="41">
        <v>2</v>
      </c>
      <c r="BN5" s="41">
        <v>3</v>
      </c>
      <c r="BO5" s="42">
        <v>4</v>
      </c>
      <c r="BP5" s="41">
        <v>5</v>
      </c>
      <c r="BQ5" s="42">
        <v>6</v>
      </c>
      <c r="BR5" s="41">
        <v>7</v>
      </c>
      <c r="BS5" s="42">
        <v>8</v>
      </c>
      <c r="BT5" s="41">
        <v>9</v>
      </c>
      <c r="BU5" s="42">
        <v>10</v>
      </c>
      <c r="BV5" s="41">
        <v>11</v>
      </c>
      <c r="BW5" s="42">
        <v>12</v>
      </c>
    </row>
    <row r="6" spans="1:75" x14ac:dyDescent="0.25">
      <c r="A6" s="54">
        <v>642</v>
      </c>
      <c r="B6" s="289">
        <v>1</v>
      </c>
      <c r="C6" s="290" t="s">
        <v>0</v>
      </c>
      <c r="D6" s="289" t="s">
        <v>12</v>
      </c>
      <c r="E6" s="289">
        <v>12</v>
      </c>
      <c r="F6" s="289">
        <v>13</v>
      </c>
      <c r="G6" s="289">
        <v>14</v>
      </c>
      <c r="H6" s="289">
        <v>14</v>
      </c>
      <c r="I6" s="289"/>
      <c r="J6" s="289"/>
      <c r="K6" s="289"/>
      <c r="L6" s="289"/>
      <c r="M6" s="289"/>
      <c r="N6" s="289"/>
      <c r="O6" s="289"/>
      <c r="P6" s="289"/>
      <c r="Q6" s="442">
        <f>SUBTOTAL(1,E6:P6)</f>
        <v>13.25</v>
      </c>
      <c r="R6" s="385">
        <f>SUBTOTAL(1,V6:AG6)</f>
        <v>12.75</v>
      </c>
      <c r="S6" s="451">
        <f>AU6</f>
        <v>11.666666666666666</v>
      </c>
      <c r="T6" s="385">
        <f>AW6</f>
        <v>9.75</v>
      </c>
      <c r="U6" s="289"/>
      <c r="V6" s="26">
        <v>12</v>
      </c>
      <c r="W6" s="26">
        <v>12</v>
      </c>
      <c r="X6" s="26">
        <v>12</v>
      </c>
      <c r="Y6" s="27">
        <v>13</v>
      </c>
      <c r="Z6" s="27">
        <v>13</v>
      </c>
      <c r="AA6" s="27">
        <v>13</v>
      </c>
      <c r="AB6" s="27">
        <v>13</v>
      </c>
      <c r="AC6" s="27">
        <v>13</v>
      </c>
      <c r="AD6" s="27">
        <v>13</v>
      </c>
      <c r="AE6" s="27">
        <v>13</v>
      </c>
      <c r="AF6" s="27">
        <v>13</v>
      </c>
      <c r="AG6" s="27">
        <v>13</v>
      </c>
      <c r="AH6" s="289"/>
      <c r="AI6" s="192">
        <v>11</v>
      </c>
      <c r="AJ6" s="192">
        <v>11</v>
      </c>
      <c r="AK6" s="192">
        <v>11</v>
      </c>
      <c r="AL6" s="192">
        <v>12</v>
      </c>
      <c r="AM6" s="192">
        <v>13</v>
      </c>
      <c r="AN6" s="192">
        <v>12</v>
      </c>
      <c r="AO6" s="192">
        <v>11</v>
      </c>
      <c r="AP6" s="192">
        <v>10</v>
      </c>
      <c r="AQ6" s="192">
        <v>11</v>
      </c>
      <c r="AR6" s="192">
        <v>12</v>
      </c>
      <c r="AS6" s="192">
        <v>13</v>
      </c>
      <c r="AT6" s="192">
        <v>13</v>
      </c>
      <c r="AU6" s="193">
        <f>SUBTOTAL(1,AI6:AT6)</f>
        <v>11.666666666666666</v>
      </c>
      <c r="AV6" s="193">
        <f>SUBTOTAL(1,AY6:BJ6)</f>
        <v>12.166666666666666</v>
      </c>
      <c r="AW6" s="291">
        <f>SUBTOTAL(1,BL6:BW6)</f>
        <v>9.75</v>
      </c>
      <c r="AY6" s="26">
        <v>10</v>
      </c>
      <c r="AZ6" s="26">
        <v>12</v>
      </c>
      <c r="BA6" s="26">
        <v>12</v>
      </c>
      <c r="BB6" s="27">
        <v>12</v>
      </c>
      <c r="BC6" s="27">
        <v>12</v>
      </c>
      <c r="BD6" s="27">
        <v>12</v>
      </c>
      <c r="BE6" s="27">
        <v>12</v>
      </c>
      <c r="BF6" s="27">
        <v>12</v>
      </c>
      <c r="BG6" s="27">
        <v>13</v>
      </c>
      <c r="BH6" s="27">
        <v>13</v>
      </c>
      <c r="BI6" s="27">
        <v>13</v>
      </c>
      <c r="BJ6" s="27">
        <v>13</v>
      </c>
      <c r="BL6" s="26">
        <v>10</v>
      </c>
      <c r="BM6" s="26">
        <v>10</v>
      </c>
      <c r="BN6" s="26">
        <v>10</v>
      </c>
      <c r="BO6" s="27">
        <v>10</v>
      </c>
      <c r="BP6" s="27">
        <v>9</v>
      </c>
      <c r="BQ6" s="27">
        <v>9</v>
      </c>
      <c r="BR6" s="27">
        <v>10</v>
      </c>
      <c r="BS6" s="27">
        <v>10</v>
      </c>
      <c r="BT6" s="27">
        <v>10</v>
      </c>
      <c r="BU6" s="27">
        <v>10</v>
      </c>
      <c r="BV6" s="27">
        <v>9</v>
      </c>
      <c r="BW6" s="27">
        <v>10</v>
      </c>
    </row>
    <row r="7" spans="1:75" x14ac:dyDescent="0.25">
      <c r="A7" s="56">
        <v>641</v>
      </c>
      <c r="B7" s="292">
        <v>2</v>
      </c>
      <c r="C7" s="293" t="s">
        <v>1</v>
      </c>
      <c r="D7" s="292" t="s">
        <v>12</v>
      </c>
      <c r="E7" s="292">
        <v>9</v>
      </c>
      <c r="F7" s="292">
        <v>9</v>
      </c>
      <c r="G7" s="292">
        <v>9</v>
      </c>
      <c r="H7" s="292">
        <v>9</v>
      </c>
      <c r="I7" s="292"/>
      <c r="J7" s="292"/>
      <c r="K7" s="292"/>
      <c r="L7" s="292"/>
      <c r="M7" s="292"/>
      <c r="N7" s="292"/>
      <c r="O7" s="292"/>
      <c r="P7" s="292"/>
      <c r="Q7" s="436">
        <f t="shared" ref="Q7:Q48" si="0">SUBTOTAL(1,E7:P7)</f>
        <v>9</v>
      </c>
      <c r="R7" s="382">
        <f t="shared" ref="R7:R48" si="1">SUBTOTAL(1,V7:AG7)</f>
        <v>9</v>
      </c>
      <c r="S7" s="452">
        <f t="shared" ref="S7:S48" si="2">AU7</f>
        <v>8.8333333333333339</v>
      </c>
      <c r="T7" s="382">
        <f t="shared" ref="T7:T48" si="3">AW7</f>
        <v>6.916666666666667</v>
      </c>
      <c r="U7" s="292"/>
      <c r="V7" s="29">
        <v>9</v>
      </c>
      <c r="W7" s="29">
        <v>9</v>
      </c>
      <c r="X7" s="29">
        <v>9</v>
      </c>
      <c r="Y7" s="30">
        <v>9</v>
      </c>
      <c r="Z7" s="30">
        <v>9</v>
      </c>
      <c r="AA7" s="30">
        <v>9</v>
      </c>
      <c r="AB7" s="30">
        <v>9</v>
      </c>
      <c r="AC7" s="30">
        <v>9</v>
      </c>
      <c r="AD7" s="30">
        <v>9</v>
      </c>
      <c r="AE7" s="30">
        <v>9</v>
      </c>
      <c r="AF7" s="30">
        <v>9</v>
      </c>
      <c r="AG7" s="30">
        <v>9</v>
      </c>
      <c r="AH7" s="292"/>
      <c r="AI7" s="198">
        <v>9</v>
      </c>
      <c r="AJ7" s="198">
        <v>9</v>
      </c>
      <c r="AK7" s="198">
        <v>9</v>
      </c>
      <c r="AL7" s="198">
        <v>9</v>
      </c>
      <c r="AM7" s="198">
        <v>8</v>
      </c>
      <c r="AN7" s="198">
        <v>8</v>
      </c>
      <c r="AO7" s="198">
        <v>9</v>
      </c>
      <c r="AP7" s="198">
        <v>9</v>
      </c>
      <c r="AQ7" s="198">
        <v>9</v>
      </c>
      <c r="AR7" s="198">
        <v>9</v>
      </c>
      <c r="AS7" s="198">
        <v>9</v>
      </c>
      <c r="AT7" s="198">
        <v>9</v>
      </c>
      <c r="AU7" s="194">
        <f t="shared" ref="AU7:AU39" si="4">SUBTOTAL(1,AI7:AT7)</f>
        <v>8.8333333333333339</v>
      </c>
      <c r="AV7" s="194">
        <f t="shared" ref="AV7:AV40" si="5">SUBTOTAL(1,AY7:BJ7)</f>
        <v>9.5833333333333339</v>
      </c>
      <c r="AW7" s="294">
        <f t="shared" ref="AW7:AW35" si="6">SUBTOTAL(1,BL7:BW7)</f>
        <v>6.916666666666667</v>
      </c>
      <c r="AY7" s="29">
        <v>8</v>
      </c>
      <c r="AZ7" s="29">
        <v>8</v>
      </c>
      <c r="BA7" s="29">
        <v>9</v>
      </c>
      <c r="BB7" s="30">
        <v>10</v>
      </c>
      <c r="BC7" s="30">
        <v>10</v>
      </c>
      <c r="BD7" s="30">
        <v>10</v>
      </c>
      <c r="BE7" s="30">
        <v>10</v>
      </c>
      <c r="BF7" s="30">
        <v>10</v>
      </c>
      <c r="BG7" s="30">
        <v>10</v>
      </c>
      <c r="BH7" s="30">
        <v>10</v>
      </c>
      <c r="BI7" s="30">
        <v>10</v>
      </c>
      <c r="BJ7" s="30">
        <v>10</v>
      </c>
      <c r="BL7" s="29">
        <v>6</v>
      </c>
      <c r="BM7" s="29">
        <v>6</v>
      </c>
      <c r="BN7" s="29">
        <v>7</v>
      </c>
      <c r="BO7" s="30">
        <v>7</v>
      </c>
      <c r="BP7" s="30">
        <v>7</v>
      </c>
      <c r="BQ7" s="30">
        <v>7</v>
      </c>
      <c r="BR7" s="30">
        <v>7</v>
      </c>
      <c r="BS7" s="30">
        <v>7</v>
      </c>
      <c r="BT7" s="30">
        <v>7</v>
      </c>
      <c r="BU7" s="30">
        <v>7</v>
      </c>
      <c r="BV7" s="30">
        <v>7</v>
      </c>
      <c r="BW7" s="30">
        <v>8</v>
      </c>
    </row>
    <row r="8" spans="1:75" x14ac:dyDescent="0.25">
      <c r="A8" s="54">
        <v>642</v>
      </c>
      <c r="B8" s="292">
        <v>3</v>
      </c>
      <c r="C8" s="293" t="s">
        <v>2</v>
      </c>
      <c r="D8" s="292" t="s">
        <v>12</v>
      </c>
      <c r="E8" s="292">
        <v>9</v>
      </c>
      <c r="F8" s="292">
        <v>9</v>
      </c>
      <c r="G8" s="292">
        <v>9</v>
      </c>
      <c r="H8" s="292">
        <v>9</v>
      </c>
      <c r="I8" s="292"/>
      <c r="J8" s="292"/>
      <c r="K8" s="292"/>
      <c r="L8" s="292"/>
      <c r="M8" s="292"/>
      <c r="N8" s="292"/>
      <c r="O8" s="292"/>
      <c r="P8" s="292"/>
      <c r="Q8" s="436">
        <f t="shared" si="0"/>
        <v>9</v>
      </c>
      <c r="R8" s="382">
        <f t="shared" si="1"/>
        <v>9</v>
      </c>
      <c r="S8" s="452">
        <f t="shared" si="2"/>
        <v>7.666666666666667</v>
      </c>
      <c r="T8" s="382">
        <f t="shared" si="3"/>
        <v>5.666666666666667</v>
      </c>
      <c r="U8" s="292"/>
      <c r="V8" s="29">
        <v>9</v>
      </c>
      <c r="W8" s="29">
        <v>9</v>
      </c>
      <c r="X8" s="29">
        <v>9</v>
      </c>
      <c r="Y8" s="30">
        <v>9</v>
      </c>
      <c r="Z8" s="30">
        <v>9</v>
      </c>
      <c r="AA8" s="30">
        <v>9</v>
      </c>
      <c r="AB8" s="30">
        <v>9</v>
      </c>
      <c r="AC8" s="30">
        <v>9</v>
      </c>
      <c r="AD8" s="30">
        <v>9</v>
      </c>
      <c r="AE8" s="30">
        <v>9</v>
      </c>
      <c r="AF8" s="30">
        <v>9</v>
      </c>
      <c r="AG8" s="30">
        <v>9</v>
      </c>
      <c r="AH8" s="292"/>
      <c r="AI8" s="198">
        <v>6</v>
      </c>
      <c r="AJ8" s="198">
        <v>7</v>
      </c>
      <c r="AK8" s="198">
        <v>7</v>
      </c>
      <c r="AL8" s="198">
        <v>7</v>
      </c>
      <c r="AM8" s="198">
        <v>8</v>
      </c>
      <c r="AN8" s="198">
        <v>8</v>
      </c>
      <c r="AO8" s="198">
        <v>7</v>
      </c>
      <c r="AP8" s="198">
        <v>8</v>
      </c>
      <c r="AQ8" s="198">
        <v>8</v>
      </c>
      <c r="AR8" s="198">
        <v>8</v>
      </c>
      <c r="AS8" s="198">
        <v>9</v>
      </c>
      <c r="AT8" s="198">
        <v>9</v>
      </c>
      <c r="AU8" s="194">
        <f t="shared" si="4"/>
        <v>7.666666666666667</v>
      </c>
      <c r="AV8" s="194">
        <f t="shared" si="5"/>
        <v>6.666666666666667</v>
      </c>
      <c r="AW8" s="294">
        <f t="shared" si="6"/>
        <v>5.666666666666667</v>
      </c>
      <c r="AY8" s="29">
        <v>6</v>
      </c>
      <c r="AZ8" s="29">
        <v>6</v>
      </c>
      <c r="BA8" s="29">
        <v>6</v>
      </c>
      <c r="BB8" s="30">
        <v>6</v>
      </c>
      <c r="BC8" s="30">
        <v>7</v>
      </c>
      <c r="BD8" s="30">
        <v>7</v>
      </c>
      <c r="BE8" s="30">
        <v>7</v>
      </c>
      <c r="BF8" s="30">
        <v>7</v>
      </c>
      <c r="BG8" s="30">
        <v>7</v>
      </c>
      <c r="BH8" s="30">
        <v>7</v>
      </c>
      <c r="BI8" s="30">
        <v>7</v>
      </c>
      <c r="BJ8" s="30">
        <v>7</v>
      </c>
      <c r="BL8" s="29">
        <v>5</v>
      </c>
      <c r="BM8" s="29">
        <v>5</v>
      </c>
      <c r="BN8" s="29">
        <v>5</v>
      </c>
      <c r="BO8" s="30">
        <v>6</v>
      </c>
      <c r="BP8" s="30">
        <v>6</v>
      </c>
      <c r="BQ8" s="30">
        <v>6</v>
      </c>
      <c r="BR8" s="30">
        <v>6</v>
      </c>
      <c r="BS8" s="30">
        <v>6</v>
      </c>
      <c r="BT8" s="30">
        <v>6</v>
      </c>
      <c r="BU8" s="30">
        <v>5</v>
      </c>
      <c r="BV8" s="30">
        <v>6</v>
      </c>
      <c r="BW8" s="30">
        <v>6</v>
      </c>
    </row>
    <row r="9" spans="1:75" x14ac:dyDescent="0.25">
      <c r="A9" s="54">
        <v>642</v>
      </c>
      <c r="B9" s="292">
        <v>4</v>
      </c>
      <c r="C9" s="293" t="s">
        <v>3</v>
      </c>
      <c r="D9" s="292" t="s">
        <v>12</v>
      </c>
      <c r="E9" s="292">
        <f>SUM(E10:E12)</f>
        <v>29</v>
      </c>
      <c r="F9" s="292">
        <f>SUM(F10:F12)</f>
        <v>28</v>
      </c>
      <c r="G9" s="292">
        <f>SUM(G10:G12)</f>
        <v>28</v>
      </c>
      <c r="H9" s="292">
        <f>SUM(H10:H12)</f>
        <v>28</v>
      </c>
      <c r="I9" s="292"/>
      <c r="J9" s="292"/>
      <c r="K9" s="292"/>
      <c r="L9" s="292"/>
      <c r="M9" s="292"/>
      <c r="N9" s="292"/>
      <c r="O9" s="292"/>
      <c r="P9" s="292"/>
      <c r="Q9" s="436">
        <f t="shared" si="0"/>
        <v>28.25</v>
      </c>
      <c r="R9" s="382">
        <f t="shared" si="1"/>
        <v>29</v>
      </c>
      <c r="S9" s="452">
        <f t="shared" si="2"/>
        <v>26.166666666666668</v>
      </c>
      <c r="T9" s="382">
        <f t="shared" si="3"/>
        <v>19.666666666666668</v>
      </c>
      <c r="U9" s="292"/>
      <c r="V9" s="29">
        <v>29</v>
      </c>
      <c r="W9" s="29">
        <v>29</v>
      </c>
      <c r="X9" s="29">
        <v>29</v>
      </c>
      <c r="Y9" s="30">
        <v>29</v>
      </c>
      <c r="Z9" s="30">
        <v>29</v>
      </c>
      <c r="AA9" s="30">
        <v>29</v>
      </c>
      <c r="AB9" s="30">
        <v>29</v>
      </c>
      <c r="AC9" s="30">
        <v>29</v>
      </c>
      <c r="AD9" s="30">
        <v>29</v>
      </c>
      <c r="AE9" s="30">
        <v>29</v>
      </c>
      <c r="AF9" s="30">
        <v>29</v>
      </c>
      <c r="AG9" s="30">
        <v>29</v>
      </c>
      <c r="AH9" s="292"/>
      <c r="AI9" s="198">
        <v>24</v>
      </c>
      <c r="AJ9" s="198">
        <v>23</v>
      </c>
      <c r="AK9" s="198">
        <v>23</v>
      </c>
      <c r="AL9" s="198">
        <v>23</v>
      </c>
      <c r="AM9" s="198">
        <v>26</v>
      </c>
      <c r="AN9" s="198">
        <v>25</v>
      </c>
      <c r="AO9" s="198">
        <v>28</v>
      </c>
      <c r="AP9" s="198">
        <v>28</v>
      </c>
      <c r="AQ9" s="198">
        <v>28</v>
      </c>
      <c r="AR9" s="198">
        <v>29</v>
      </c>
      <c r="AS9" s="198">
        <v>29</v>
      </c>
      <c r="AT9" s="198">
        <v>28</v>
      </c>
      <c r="AU9" s="194">
        <f t="shared" si="4"/>
        <v>26.166666666666668</v>
      </c>
      <c r="AV9" s="194">
        <f t="shared" si="5"/>
        <v>26.25</v>
      </c>
      <c r="AW9" s="294">
        <f t="shared" si="6"/>
        <v>19.666666666666668</v>
      </c>
      <c r="AY9" s="29">
        <v>24</v>
      </c>
      <c r="AZ9" s="29">
        <v>25</v>
      </c>
      <c r="BA9" s="29">
        <v>25</v>
      </c>
      <c r="BB9" s="30">
        <v>25</v>
      </c>
      <c r="BC9" s="30">
        <v>27</v>
      </c>
      <c r="BD9" s="30">
        <v>27</v>
      </c>
      <c r="BE9" s="30">
        <v>27</v>
      </c>
      <c r="BF9" s="30">
        <v>27</v>
      </c>
      <c r="BG9" s="30">
        <v>27</v>
      </c>
      <c r="BH9" s="30">
        <v>27</v>
      </c>
      <c r="BI9" s="30">
        <v>27</v>
      </c>
      <c r="BJ9" s="30">
        <v>27</v>
      </c>
      <c r="BL9" s="29">
        <v>18</v>
      </c>
      <c r="BM9" s="29">
        <v>15</v>
      </c>
      <c r="BN9" s="29">
        <v>17</v>
      </c>
      <c r="BO9" s="30">
        <v>20</v>
      </c>
      <c r="BP9" s="30">
        <v>19</v>
      </c>
      <c r="BQ9" s="30">
        <v>18</v>
      </c>
      <c r="BR9" s="30">
        <v>20</v>
      </c>
      <c r="BS9" s="30">
        <v>20</v>
      </c>
      <c r="BT9" s="30">
        <v>21</v>
      </c>
      <c r="BU9" s="30">
        <v>22</v>
      </c>
      <c r="BV9" s="30">
        <v>22</v>
      </c>
      <c r="BW9" s="30">
        <v>24</v>
      </c>
    </row>
    <row r="10" spans="1:75" ht="14.45" hidden="1" outlineLevel="1" x14ac:dyDescent="0.3">
      <c r="A10" s="54"/>
      <c r="B10" s="284"/>
      <c r="C10" s="285" t="s">
        <v>1294</v>
      </c>
      <c r="D10" s="286"/>
      <c r="E10" s="286">
        <v>10</v>
      </c>
      <c r="F10" s="286">
        <v>10</v>
      </c>
      <c r="G10" s="286">
        <v>10</v>
      </c>
      <c r="H10" s="286">
        <v>10</v>
      </c>
      <c r="I10" s="286"/>
      <c r="J10" s="286"/>
      <c r="K10" s="286"/>
      <c r="L10" s="286"/>
      <c r="M10" s="286"/>
      <c r="N10" s="286"/>
      <c r="O10" s="286"/>
      <c r="P10" s="286"/>
      <c r="Q10" s="437" t="e">
        <f t="shared" si="0"/>
        <v>#DIV/0!</v>
      </c>
      <c r="R10" s="383" t="e">
        <f t="shared" si="1"/>
        <v>#DIV/0!</v>
      </c>
      <c r="S10" s="450" t="e">
        <f t="shared" si="2"/>
        <v>#DIV/0!</v>
      </c>
      <c r="T10" s="383">
        <f t="shared" si="3"/>
        <v>0</v>
      </c>
      <c r="U10" s="286"/>
      <c r="V10" s="299">
        <v>10</v>
      </c>
      <c r="W10" s="299">
        <v>10</v>
      </c>
      <c r="X10" s="299">
        <v>10</v>
      </c>
      <c r="Y10" s="299">
        <v>10</v>
      </c>
      <c r="Z10" s="299">
        <v>10</v>
      </c>
      <c r="AA10" s="299">
        <v>10</v>
      </c>
      <c r="AB10" s="299">
        <v>10</v>
      </c>
      <c r="AC10" s="299">
        <v>10</v>
      </c>
      <c r="AD10" s="299">
        <v>10</v>
      </c>
      <c r="AE10" s="299">
        <v>10</v>
      </c>
      <c r="AF10" s="299">
        <v>10</v>
      </c>
      <c r="AG10" s="299">
        <v>10</v>
      </c>
      <c r="AH10" s="286"/>
      <c r="AI10" s="287">
        <v>10</v>
      </c>
      <c r="AJ10" s="287">
        <v>10</v>
      </c>
      <c r="AK10" s="287">
        <v>10</v>
      </c>
      <c r="AL10" s="287">
        <v>10</v>
      </c>
      <c r="AM10" s="287">
        <v>11</v>
      </c>
      <c r="AN10" s="287">
        <v>10</v>
      </c>
      <c r="AO10" s="287">
        <v>10</v>
      </c>
      <c r="AP10" s="287">
        <v>10</v>
      </c>
      <c r="AQ10" s="287">
        <v>9</v>
      </c>
      <c r="AR10" s="287">
        <v>10</v>
      </c>
      <c r="AS10" s="287">
        <v>10</v>
      </c>
      <c r="AT10" s="287">
        <v>10</v>
      </c>
      <c r="AU10" s="300" t="e">
        <f t="shared" ref="AU10:AU12" si="7">SUBTOTAL(1,AI10:AT10)</f>
        <v>#DIV/0!</v>
      </c>
      <c r="AV10" s="300" t="e">
        <f t="shared" ref="AV10:AV12" si="8">SUBTOTAL(1,AY10:BJ10)</f>
        <v>#DIV/0!</v>
      </c>
      <c r="AW10" s="288"/>
      <c r="AY10" s="299">
        <v>10</v>
      </c>
      <c r="AZ10" s="299">
        <v>10</v>
      </c>
      <c r="BA10" s="299">
        <v>10</v>
      </c>
      <c r="BB10" s="299">
        <v>10</v>
      </c>
      <c r="BC10" s="299">
        <v>11</v>
      </c>
      <c r="BD10" s="299">
        <v>11</v>
      </c>
      <c r="BE10" s="299">
        <v>11</v>
      </c>
      <c r="BF10" s="299">
        <v>11</v>
      </c>
      <c r="BG10" s="299">
        <v>11</v>
      </c>
      <c r="BH10" s="299">
        <v>11</v>
      </c>
      <c r="BI10" s="299">
        <v>11</v>
      </c>
      <c r="BJ10" s="299">
        <v>11</v>
      </c>
      <c r="BL10" s="29"/>
      <c r="BM10" s="29"/>
      <c r="BN10" s="29"/>
      <c r="BO10" s="30"/>
      <c r="BP10" s="30"/>
      <c r="BQ10" s="30"/>
      <c r="BR10" s="30"/>
      <c r="BS10" s="30"/>
      <c r="BT10" s="30"/>
      <c r="BU10" s="30"/>
      <c r="BV10" s="30"/>
      <c r="BW10" s="30"/>
    </row>
    <row r="11" spans="1:75" ht="14.45" hidden="1" outlineLevel="1" x14ac:dyDescent="0.3">
      <c r="A11" s="54"/>
      <c r="B11" s="284"/>
      <c r="C11" s="285" t="s">
        <v>1295</v>
      </c>
      <c r="D11" s="286"/>
      <c r="E11" s="286">
        <v>8</v>
      </c>
      <c r="F11" s="286">
        <v>8</v>
      </c>
      <c r="G11" s="286">
        <v>8</v>
      </c>
      <c r="H11" s="286">
        <v>8</v>
      </c>
      <c r="I11" s="286"/>
      <c r="J11" s="286"/>
      <c r="K11" s="286"/>
      <c r="L11" s="286"/>
      <c r="M11" s="286"/>
      <c r="N11" s="286"/>
      <c r="O11" s="286"/>
      <c r="P11" s="286"/>
      <c r="Q11" s="437" t="e">
        <f t="shared" si="0"/>
        <v>#DIV/0!</v>
      </c>
      <c r="R11" s="383" t="e">
        <f t="shared" si="1"/>
        <v>#DIV/0!</v>
      </c>
      <c r="S11" s="450" t="e">
        <f t="shared" si="2"/>
        <v>#DIV/0!</v>
      </c>
      <c r="T11" s="383">
        <f t="shared" si="3"/>
        <v>0</v>
      </c>
      <c r="U11" s="286"/>
      <c r="V11" s="299">
        <v>8</v>
      </c>
      <c r="W11" s="299">
        <v>8</v>
      </c>
      <c r="X11" s="299">
        <v>8</v>
      </c>
      <c r="Y11" s="299">
        <v>8</v>
      </c>
      <c r="Z11" s="299">
        <v>8</v>
      </c>
      <c r="AA11" s="299">
        <v>8</v>
      </c>
      <c r="AB11" s="299">
        <v>8</v>
      </c>
      <c r="AC11" s="299">
        <v>8</v>
      </c>
      <c r="AD11" s="299">
        <v>8</v>
      </c>
      <c r="AE11" s="299">
        <v>8</v>
      </c>
      <c r="AF11" s="299">
        <v>8</v>
      </c>
      <c r="AG11" s="299">
        <v>8</v>
      </c>
      <c r="AH11" s="286"/>
      <c r="AI11" s="287">
        <v>6</v>
      </c>
      <c r="AJ11" s="287">
        <v>6</v>
      </c>
      <c r="AK11" s="287">
        <v>6</v>
      </c>
      <c r="AL11" s="287">
        <v>6</v>
      </c>
      <c r="AM11" s="287">
        <v>6</v>
      </c>
      <c r="AN11" s="287">
        <v>6</v>
      </c>
      <c r="AO11" s="287">
        <v>8</v>
      </c>
      <c r="AP11" s="287">
        <v>8</v>
      </c>
      <c r="AQ11" s="287">
        <v>8</v>
      </c>
      <c r="AR11" s="287">
        <v>8</v>
      </c>
      <c r="AS11" s="287">
        <v>8</v>
      </c>
      <c r="AT11" s="287">
        <v>8</v>
      </c>
      <c r="AU11" s="300" t="e">
        <f t="shared" si="7"/>
        <v>#DIV/0!</v>
      </c>
      <c r="AV11" s="300" t="e">
        <f t="shared" si="8"/>
        <v>#DIV/0!</v>
      </c>
      <c r="AW11" s="288"/>
      <c r="AY11" s="299">
        <v>6</v>
      </c>
      <c r="AZ11" s="299">
        <v>6</v>
      </c>
      <c r="BA11" s="299">
        <v>6</v>
      </c>
      <c r="BB11" s="299">
        <v>6</v>
      </c>
      <c r="BC11" s="299">
        <v>6</v>
      </c>
      <c r="BD11" s="299">
        <v>6</v>
      </c>
      <c r="BE11" s="299">
        <v>6</v>
      </c>
      <c r="BF11" s="299">
        <v>6</v>
      </c>
      <c r="BG11" s="299">
        <v>6</v>
      </c>
      <c r="BH11" s="299">
        <v>6</v>
      </c>
      <c r="BI11" s="299">
        <v>6</v>
      </c>
      <c r="BJ11" s="299">
        <v>6</v>
      </c>
      <c r="BL11" s="29"/>
      <c r="BM11" s="29"/>
      <c r="BN11" s="29"/>
      <c r="BO11" s="30"/>
      <c r="BP11" s="30"/>
      <c r="BQ11" s="30"/>
      <c r="BR11" s="30"/>
      <c r="BS11" s="30"/>
      <c r="BT11" s="30"/>
      <c r="BU11" s="30"/>
      <c r="BV11" s="30"/>
      <c r="BW11" s="30"/>
    </row>
    <row r="12" spans="1:75" ht="14.45" hidden="1" outlineLevel="1" x14ac:dyDescent="0.3">
      <c r="A12" s="54"/>
      <c r="B12" s="284"/>
      <c r="C12" s="285" t="s">
        <v>1296</v>
      </c>
      <c r="D12" s="286"/>
      <c r="E12" s="286">
        <v>11</v>
      </c>
      <c r="F12" s="286">
        <v>10</v>
      </c>
      <c r="G12" s="286">
        <v>10</v>
      </c>
      <c r="H12" s="286">
        <v>10</v>
      </c>
      <c r="I12" s="286"/>
      <c r="J12" s="286"/>
      <c r="K12" s="286"/>
      <c r="L12" s="286"/>
      <c r="M12" s="286"/>
      <c r="N12" s="286"/>
      <c r="O12" s="286"/>
      <c r="P12" s="286"/>
      <c r="Q12" s="437" t="e">
        <f t="shared" si="0"/>
        <v>#DIV/0!</v>
      </c>
      <c r="R12" s="383" t="e">
        <f t="shared" si="1"/>
        <v>#DIV/0!</v>
      </c>
      <c r="S12" s="450" t="e">
        <f t="shared" si="2"/>
        <v>#DIV/0!</v>
      </c>
      <c r="T12" s="383">
        <f t="shared" si="3"/>
        <v>0</v>
      </c>
      <c r="U12" s="286"/>
      <c r="V12" s="299">
        <v>11</v>
      </c>
      <c r="W12" s="299">
        <v>11</v>
      </c>
      <c r="X12" s="299">
        <v>11</v>
      </c>
      <c r="Y12" s="299">
        <v>11</v>
      </c>
      <c r="Z12" s="299">
        <v>11</v>
      </c>
      <c r="AA12" s="299">
        <v>11</v>
      </c>
      <c r="AB12" s="299">
        <v>11</v>
      </c>
      <c r="AC12" s="299">
        <v>11</v>
      </c>
      <c r="AD12" s="299">
        <v>11</v>
      </c>
      <c r="AE12" s="299">
        <v>11</v>
      </c>
      <c r="AF12" s="299">
        <v>11</v>
      </c>
      <c r="AG12" s="299">
        <v>11</v>
      </c>
      <c r="AH12" s="286"/>
      <c r="AI12" s="287">
        <v>8</v>
      </c>
      <c r="AJ12" s="287">
        <v>7</v>
      </c>
      <c r="AK12" s="287">
        <v>7</v>
      </c>
      <c r="AL12" s="287">
        <v>7</v>
      </c>
      <c r="AM12" s="287">
        <v>9</v>
      </c>
      <c r="AN12" s="287">
        <v>9</v>
      </c>
      <c r="AO12" s="287">
        <v>10</v>
      </c>
      <c r="AP12" s="287">
        <v>10</v>
      </c>
      <c r="AQ12" s="287">
        <v>11</v>
      </c>
      <c r="AR12" s="287">
        <v>11</v>
      </c>
      <c r="AS12" s="287">
        <v>11</v>
      </c>
      <c r="AT12" s="287">
        <v>10</v>
      </c>
      <c r="AU12" s="300" t="e">
        <f t="shared" si="7"/>
        <v>#DIV/0!</v>
      </c>
      <c r="AV12" s="300" t="e">
        <f t="shared" si="8"/>
        <v>#DIV/0!</v>
      </c>
      <c r="AW12" s="288"/>
      <c r="AY12" s="299">
        <v>8</v>
      </c>
      <c r="AZ12" s="299">
        <v>9</v>
      </c>
      <c r="BA12" s="299">
        <v>9</v>
      </c>
      <c r="BB12" s="299">
        <v>9</v>
      </c>
      <c r="BC12" s="299">
        <v>10</v>
      </c>
      <c r="BD12" s="299">
        <v>10</v>
      </c>
      <c r="BE12" s="299">
        <v>10</v>
      </c>
      <c r="BF12" s="299">
        <v>10</v>
      </c>
      <c r="BG12" s="299">
        <v>10</v>
      </c>
      <c r="BH12" s="299">
        <v>10</v>
      </c>
      <c r="BI12" s="299">
        <v>10</v>
      </c>
      <c r="BJ12" s="299">
        <v>10</v>
      </c>
      <c r="BL12" s="29"/>
      <c r="BM12" s="29"/>
      <c r="BN12" s="29"/>
      <c r="BO12" s="30"/>
      <c r="BP12" s="30"/>
      <c r="BQ12" s="30"/>
      <c r="BR12" s="30"/>
      <c r="BS12" s="30"/>
      <c r="BT12" s="30"/>
      <c r="BU12" s="30"/>
      <c r="BV12" s="30"/>
      <c r="BW12" s="30"/>
    </row>
    <row r="13" spans="1:75" ht="28.5" collapsed="1" x14ac:dyDescent="0.25">
      <c r="A13" s="55">
        <v>627</v>
      </c>
      <c r="B13" s="292">
        <v>5</v>
      </c>
      <c r="C13" s="293" t="s">
        <v>4</v>
      </c>
      <c r="D13" s="292" t="s">
        <v>12</v>
      </c>
      <c r="E13" s="292">
        <v>8</v>
      </c>
      <c r="F13" s="292">
        <v>8</v>
      </c>
      <c r="G13" s="292">
        <v>7</v>
      </c>
      <c r="H13" s="292">
        <v>7</v>
      </c>
      <c r="I13" s="292"/>
      <c r="J13" s="292"/>
      <c r="K13" s="292"/>
      <c r="L13" s="292"/>
      <c r="M13" s="292"/>
      <c r="N13" s="292"/>
      <c r="O13" s="292"/>
      <c r="P13" s="292"/>
      <c r="Q13" s="436">
        <f t="shared" si="0"/>
        <v>7.5</v>
      </c>
      <c r="R13" s="382">
        <f t="shared" si="1"/>
        <v>8.75</v>
      </c>
      <c r="S13" s="452">
        <f t="shared" si="2"/>
        <v>7</v>
      </c>
      <c r="T13" s="382">
        <f t="shared" si="3"/>
        <v>5</v>
      </c>
      <c r="U13" s="292"/>
      <c r="V13" s="29">
        <v>8</v>
      </c>
      <c r="W13" s="29">
        <v>8</v>
      </c>
      <c r="X13" s="29">
        <v>8</v>
      </c>
      <c r="Y13" s="30">
        <v>9</v>
      </c>
      <c r="Z13" s="30">
        <v>9</v>
      </c>
      <c r="AA13" s="30">
        <v>9</v>
      </c>
      <c r="AB13" s="30">
        <v>9</v>
      </c>
      <c r="AC13" s="30">
        <v>9</v>
      </c>
      <c r="AD13" s="30">
        <v>9</v>
      </c>
      <c r="AE13" s="30">
        <v>9</v>
      </c>
      <c r="AF13" s="30">
        <v>9</v>
      </c>
      <c r="AG13" s="30">
        <v>9</v>
      </c>
      <c r="AH13" s="292"/>
      <c r="AI13" s="198">
        <v>6</v>
      </c>
      <c r="AJ13" s="198">
        <v>6</v>
      </c>
      <c r="AK13" s="198">
        <v>7</v>
      </c>
      <c r="AL13" s="198">
        <v>7</v>
      </c>
      <c r="AM13" s="198">
        <v>7</v>
      </c>
      <c r="AN13" s="198">
        <v>6</v>
      </c>
      <c r="AO13" s="198">
        <v>7</v>
      </c>
      <c r="AP13" s="198">
        <v>7</v>
      </c>
      <c r="AQ13" s="198">
        <v>7</v>
      </c>
      <c r="AR13" s="198">
        <v>8</v>
      </c>
      <c r="AS13" s="198">
        <v>8</v>
      </c>
      <c r="AT13" s="198">
        <v>8</v>
      </c>
      <c r="AU13" s="194">
        <f t="shared" si="4"/>
        <v>7</v>
      </c>
      <c r="AV13" s="194">
        <f t="shared" si="5"/>
        <v>6.916666666666667</v>
      </c>
      <c r="AW13" s="294">
        <f t="shared" si="6"/>
        <v>5</v>
      </c>
      <c r="AY13" s="29">
        <v>6</v>
      </c>
      <c r="AZ13" s="29">
        <v>6</v>
      </c>
      <c r="BA13" s="29">
        <v>6</v>
      </c>
      <c r="BB13" s="30">
        <v>6</v>
      </c>
      <c r="BC13" s="30">
        <v>6</v>
      </c>
      <c r="BD13" s="30">
        <v>7</v>
      </c>
      <c r="BE13" s="30">
        <v>7</v>
      </c>
      <c r="BF13" s="30">
        <v>7</v>
      </c>
      <c r="BG13" s="30">
        <v>8</v>
      </c>
      <c r="BH13" s="30">
        <v>8</v>
      </c>
      <c r="BI13" s="30">
        <v>8</v>
      </c>
      <c r="BJ13" s="30">
        <v>8</v>
      </c>
      <c r="BL13" s="29">
        <v>4</v>
      </c>
      <c r="BM13" s="29">
        <v>4</v>
      </c>
      <c r="BN13" s="29">
        <v>4</v>
      </c>
      <c r="BO13" s="30">
        <v>5</v>
      </c>
      <c r="BP13" s="30">
        <v>5</v>
      </c>
      <c r="BQ13" s="30">
        <v>5</v>
      </c>
      <c r="BR13" s="30">
        <v>5</v>
      </c>
      <c r="BS13" s="30">
        <v>5</v>
      </c>
      <c r="BT13" s="30">
        <v>5</v>
      </c>
      <c r="BU13" s="30">
        <v>6</v>
      </c>
      <c r="BV13" s="30">
        <v>6</v>
      </c>
      <c r="BW13" s="30">
        <v>6</v>
      </c>
    </row>
    <row r="14" spans="1:75" x14ac:dyDescent="0.25">
      <c r="A14" s="54">
        <v>642</v>
      </c>
      <c r="B14" s="292">
        <v>6</v>
      </c>
      <c r="C14" s="293" t="s">
        <v>5</v>
      </c>
      <c r="D14" s="292" t="s">
        <v>12</v>
      </c>
      <c r="E14" s="292">
        <f>SUM(E15:E16)</f>
        <v>4</v>
      </c>
      <c r="F14" s="292">
        <f>SUM(F15:F16)</f>
        <v>4</v>
      </c>
      <c r="G14" s="292">
        <f>SUM(G15:G16)</f>
        <v>5</v>
      </c>
      <c r="H14" s="292">
        <f>SUM(H15:H16)</f>
        <v>3</v>
      </c>
      <c r="I14" s="292"/>
      <c r="J14" s="292"/>
      <c r="K14" s="292"/>
      <c r="L14" s="292"/>
      <c r="M14" s="292"/>
      <c r="N14" s="292"/>
      <c r="O14" s="292"/>
      <c r="P14" s="292"/>
      <c r="Q14" s="436">
        <f t="shared" si="0"/>
        <v>4</v>
      </c>
      <c r="R14" s="382">
        <f t="shared" si="1"/>
        <v>3.25</v>
      </c>
      <c r="S14" s="452">
        <f t="shared" si="2"/>
        <v>3.6666666666666665</v>
      </c>
      <c r="T14" s="382">
        <f t="shared" si="3"/>
        <v>9.1666666666666661</v>
      </c>
      <c r="U14" s="292"/>
      <c r="V14" s="29">
        <v>4</v>
      </c>
      <c r="W14" s="29">
        <v>4</v>
      </c>
      <c r="X14" s="29">
        <v>4</v>
      </c>
      <c r="Y14" s="30">
        <v>3</v>
      </c>
      <c r="Z14" s="30">
        <v>3</v>
      </c>
      <c r="AA14" s="30">
        <v>3</v>
      </c>
      <c r="AB14" s="30">
        <v>3</v>
      </c>
      <c r="AC14" s="30">
        <v>3</v>
      </c>
      <c r="AD14" s="30">
        <v>3</v>
      </c>
      <c r="AE14" s="30">
        <v>3</v>
      </c>
      <c r="AF14" s="30">
        <v>3</v>
      </c>
      <c r="AG14" s="30">
        <v>3</v>
      </c>
      <c r="AH14" s="292"/>
      <c r="AI14" s="198">
        <v>4</v>
      </c>
      <c r="AJ14" s="198">
        <v>3</v>
      </c>
      <c r="AK14" s="198">
        <v>3</v>
      </c>
      <c r="AL14" s="198">
        <v>3</v>
      </c>
      <c r="AM14" s="198">
        <v>3</v>
      </c>
      <c r="AN14" s="198">
        <v>4</v>
      </c>
      <c r="AO14" s="198">
        <v>4</v>
      </c>
      <c r="AP14" s="198">
        <v>4</v>
      </c>
      <c r="AQ14" s="198">
        <v>4</v>
      </c>
      <c r="AR14" s="198">
        <v>4</v>
      </c>
      <c r="AS14" s="198">
        <v>4</v>
      </c>
      <c r="AT14" s="198">
        <v>4</v>
      </c>
      <c r="AU14" s="194">
        <f t="shared" si="4"/>
        <v>3.6666666666666665</v>
      </c>
      <c r="AV14" s="194">
        <f t="shared" si="5"/>
        <v>4.75</v>
      </c>
      <c r="AW14" s="294">
        <f t="shared" si="6"/>
        <v>9.1666666666666661</v>
      </c>
      <c r="AY14" s="29">
        <v>4</v>
      </c>
      <c r="AZ14" s="29">
        <v>4</v>
      </c>
      <c r="BA14" s="29">
        <v>4</v>
      </c>
      <c r="BB14" s="30">
        <v>5</v>
      </c>
      <c r="BC14" s="30">
        <v>5</v>
      </c>
      <c r="BD14" s="30">
        <v>5</v>
      </c>
      <c r="BE14" s="30">
        <v>5</v>
      </c>
      <c r="BF14" s="30">
        <v>5</v>
      </c>
      <c r="BG14" s="30">
        <v>5</v>
      </c>
      <c r="BH14" s="30">
        <v>5</v>
      </c>
      <c r="BI14" s="30">
        <v>5</v>
      </c>
      <c r="BJ14" s="30">
        <v>5</v>
      </c>
      <c r="BL14" s="29">
        <v>6</v>
      </c>
      <c r="BM14" s="29">
        <v>6</v>
      </c>
      <c r="BN14" s="29">
        <v>8</v>
      </c>
      <c r="BO14" s="30">
        <v>9</v>
      </c>
      <c r="BP14" s="30">
        <v>10</v>
      </c>
      <c r="BQ14" s="30">
        <v>10</v>
      </c>
      <c r="BR14" s="30">
        <v>10</v>
      </c>
      <c r="BS14" s="30">
        <v>10</v>
      </c>
      <c r="BT14" s="30">
        <v>10</v>
      </c>
      <c r="BU14" s="30">
        <v>10</v>
      </c>
      <c r="BV14" s="30">
        <v>10</v>
      </c>
      <c r="BW14" s="30">
        <v>11</v>
      </c>
    </row>
    <row r="15" spans="1:75" ht="14.45" hidden="1" outlineLevel="1" x14ac:dyDescent="0.3">
      <c r="A15" s="54"/>
      <c r="B15" s="284"/>
      <c r="C15" s="285" t="s">
        <v>201</v>
      </c>
      <c r="D15" s="286"/>
      <c r="E15" s="286">
        <v>4</v>
      </c>
      <c r="F15" s="286">
        <v>4</v>
      </c>
      <c r="G15" s="286">
        <v>5</v>
      </c>
      <c r="H15" s="286">
        <v>3</v>
      </c>
      <c r="I15" s="286"/>
      <c r="J15" s="286"/>
      <c r="K15" s="286"/>
      <c r="L15" s="286"/>
      <c r="M15" s="286"/>
      <c r="N15" s="286"/>
      <c r="O15" s="286"/>
      <c r="P15" s="286"/>
      <c r="Q15" s="437" t="e">
        <f t="shared" si="0"/>
        <v>#DIV/0!</v>
      </c>
      <c r="R15" s="383" t="e">
        <f t="shared" si="1"/>
        <v>#DIV/0!</v>
      </c>
      <c r="S15" s="450" t="e">
        <f t="shared" si="2"/>
        <v>#DIV/0!</v>
      </c>
      <c r="T15" s="383">
        <f t="shared" si="3"/>
        <v>0</v>
      </c>
      <c r="U15" s="286"/>
      <c r="V15" s="299">
        <v>4</v>
      </c>
      <c r="W15" s="299">
        <v>4</v>
      </c>
      <c r="X15" s="299">
        <v>4</v>
      </c>
      <c r="Y15" s="299">
        <v>3</v>
      </c>
      <c r="Z15" s="299">
        <v>3</v>
      </c>
      <c r="AA15" s="299">
        <v>3</v>
      </c>
      <c r="AB15" s="299">
        <v>3</v>
      </c>
      <c r="AC15" s="299">
        <v>3</v>
      </c>
      <c r="AD15" s="299">
        <v>3</v>
      </c>
      <c r="AE15" s="299">
        <v>3</v>
      </c>
      <c r="AF15" s="299">
        <v>3</v>
      </c>
      <c r="AG15" s="299">
        <v>3</v>
      </c>
      <c r="AH15" s="286"/>
      <c r="AI15" s="287">
        <v>4</v>
      </c>
      <c r="AJ15" s="287">
        <v>3</v>
      </c>
      <c r="AK15" s="287">
        <v>3</v>
      </c>
      <c r="AL15" s="287">
        <v>3</v>
      </c>
      <c r="AM15" s="287">
        <v>3</v>
      </c>
      <c r="AN15" s="287">
        <v>4</v>
      </c>
      <c r="AO15" s="287">
        <v>4</v>
      </c>
      <c r="AP15" s="287">
        <v>4</v>
      </c>
      <c r="AQ15" s="287">
        <v>4</v>
      </c>
      <c r="AR15" s="287">
        <v>4</v>
      </c>
      <c r="AS15" s="287">
        <v>4</v>
      </c>
      <c r="AT15" s="287">
        <v>4</v>
      </c>
      <c r="AU15" s="300" t="e">
        <f t="shared" ref="AU15:AU16" si="9">SUBTOTAL(1,AI15:AT15)</f>
        <v>#DIV/0!</v>
      </c>
      <c r="AV15" s="300" t="e">
        <f t="shared" ref="AV15:AV16" si="10">SUBTOTAL(1,AY15:BJ15)</f>
        <v>#DIV/0!</v>
      </c>
      <c r="AW15" s="288"/>
      <c r="AY15" s="299">
        <v>3</v>
      </c>
      <c r="AZ15" s="299">
        <v>3</v>
      </c>
      <c r="BA15" s="299">
        <v>3</v>
      </c>
      <c r="BB15" s="299">
        <v>4</v>
      </c>
      <c r="BC15" s="299">
        <v>4</v>
      </c>
      <c r="BD15" s="299">
        <v>4</v>
      </c>
      <c r="BE15" s="299">
        <v>4</v>
      </c>
      <c r="BF15" s="299">
        <v>4</v>
      </c>
      <c r="BG15" s="299">
        <v>4</v>
      </c>
      <c r="BH15" s="299">
        <v>4</v>
      </c>
      <c r="BI15" s="299">
        <v>4</v>
      </c>
      <c r="BJ15" s="299">
        <v>4</v>
      </c>
      <c r="BL15" s="29"/>
      <c r="BM15" s="29"/>
      <c r="BN15" s="29"/>
      <c r="BO15" s="30"/>
      <c r="BP15" s="30"/>
      <c r="BQ15" s="30"/>
      <c r="BR15" s="30"/>
      <c r="BS15" s="30"/>
      <c r="BT15" s="30"/>
      <c r="BU15" s="30"/>
      <c r="BV15" s="30"/>
      <c r="BW15" s="30"/>
    </row>
    <row r="16" spans="1:75" ht="14.45" hidden="1" outlineLevel="1" x14ac:dyDescent="0.3">
      <c r="A16" s="54"/>
      <c r="B16" s="284"/>
      <c r="C16" s="285" t="s">
        <v>1293</v>
      </c>
      <c r="D16" s="286"/>
      <c r="E16" s="286">
        <v>0</v>
      </c>
      <c r="F16" s="286">
        <v>0</v>
      </c>
      <c r="G16" s="286">
        <v>0</v>
      </c>
      <c r="H16" s="286">
        <v>0</v>
      </c>
      <c r="I16" s="286"/>
      <c r="J16" s="286"/>
      <c r="K16" s="286"/>
      <c r="L16" s="286"/>
      <c r="M16" s="286"/>
      <c r="N16" s="286"/>
      <c r="O16" s="286"/>
      <c r="P16" s="286"/>
      <c r="Q16" s="437" t="e">
        <f t="shared" si="0"/>
        <v>#DIV/0!</v>
      </c>
      <c r="R16" s="383" t="e">
        <f t="shared" si="1"/>
        <v>#DIV/0!</v>
      </c>
      <c r="S16" s="450" t="e">
        <f t="shared" si="2"/>
        <v>#DIV/0!</v>
      </c>
      <c r="T16" s="383">
        <f t="shared" si="3"/>
        <v>0</v>
      </c>
      <c r="U16" s="286"/>
      <c r="V16" s="299"/>
      <c r="W16" s="299"/>
      <c r="X16" s="299"/>
      <c r="Y16" s="299"/>
      <c r="Z16" s="299"/>
      <c r="AA16" s="299"/>
      <c r="AB16" s="299"/>
      <c r="AC16" s="299"/>
      <c r="AD16" s="299"/>
      <c r="AE16" s="299"/>
      <c r="AF16" s="299"/>
      <c r="AG16" s="299"/>
      <c r="AH16" s="286"/>
      <c r="AI16" s="287"/>
      <c r="AJ16" s="287"/>
      <c r="AK16" s="287"/>
      <c r="AL16" s="287"/>
      <c r="AM16" s="287"/>
      <c r="AN16" s="287"/>
      <c r="AO16" s="287"/>
      <c r="AP16" s="287"/>
      <c r="AQ16" s="287"/>
      <c r="AR16" s="287"/>
      <c r="AS16" s="287"/>
      <c r="AT16" s="287"/>
      <c r="AU16" s="300" t="e">
        <f t="shared" si="9"/>
        <v>#DIV/0!</v>
      </c>
      <c r="AV16" s="300" t="e">
        <f t="shared" si="10"/>
        <v>#DIV/0!</v>
      </c>
      <c r="AW16" s="288"/>
      <c r="AY16" s="299">
        <v>1</v>
      </c>
      <c r="AZ16" s="299">
        <v>1</v>
      </c>
      <c r="BA16" s="299">
        <v>1</v>
      </c>
      <c r="BB16" s="299">
        <v>1</v>
      </c>
      <c r="BC16" s="299">
        <v>1</v>
      </c>
      <c r="BD16" s="299">
        <v>1</v>
      </c>
      <c r="BE16" s="299">
        <v>1</v>
      </c>
      <c r="BF16" s="299">
        <v>1</v>
      </c>
      <c r="BG16" s="299">
        <v>1</v>
      </c>
      <c r="BH16" s="299">
        <v>1</v>
      </c>
      <c r="BI16" s="299">
        <v>1</v>
      </c>
      <c r="BJ16" s="299">
        <v>1</v>
      </c>
      <c r="BL16" s="29"/>
      <c r="BM16" s="29"/>
      <c r="BN16" s="29"/>
      <c r="BO16" s="30"/>
      <c r="BP16" s="30"/>
      <c r="BQ16" s="30"/>
      <c r="BR16" s="30"/>
      <c r="BS16" s="30"/>
      <c r="BT16" s="30"/>
      <c r="BU16" s="30"/>
      <c r="BV16" s="30"/>
      <c r="BW16" s="30"/>
    </row>
    <row r="17" spans="1:75" collapsed="1" x14ac:dyDescent="0.25">
      <c r="A17" s="55">
        <v>627</v>
      </c>
      <c r="B17" s="292">
        <v>7</v>
      </c>
      <c r="C17" s="293" t="s">
        <v>6</v>
      </c>
      <c r="D17" s="292" t="s">
        <v>12</v>
      </c>
      <c r="E17" s="292">
        <v>47</v>
      </c>
      <c r="F17" s="292">
        <v>44</v>
      </c>
      <c r="G17" s="292">
        <v>43</v>
      </c>
      <c r="H17" s="292">
        <v>42</v>
      </c>
      <c r="I17" s="292"/>
      <c r="J17" s="292"/>
      <c r="K17" s="292"/>
      <c r="L17" s="292"/>
      <c r="M17" s="292"/>
      <c r="N17" s="292"/>
      <c r="O17" s="292"/>
      <c r="P17" s="292"/>
      <c r="Q17" s="436">
        <f t="shared" si="0"/>
        <v>44</v>
      </c>
      <c r="R17" s="382">
        <f t="shared" si="1"/>
        <v>50</v>
      </c>
      <c r="S17" s="452">
        <f t="shared" si="2"/>
        <v>49.666666666666664</v>
      </c>
      <c r="T17" s="382">
        <f t="shared" si="3"/>
        <v>43.25</v>
      </c>
      <c r="U17" s="292"/>
      <c r="V17" s="29">
        <v>50</v>
      </c>
      <c r="W17" s="29">
        <v>50</v>
      </c>
      <c r="X17" s="29">
        <v>50</v>
      </c>
      <c r="Y17" s="30">
        <v>50</v>
      </c>
      <c r="Z17" s="30">
        <v>50</v>
      </c>
      <c r="AA17" s="30">
        <v>50</v>
      </c>
      <c r="AB17" s="30">
        <v>50</v>
      </c>
      <c r="AC17" s="30">
        <v>50</v>
      </c>
      <c r="AD17" s="30">
        <v>50</v>
      </c>
      <c r="AE17" s="30">
        <v>50</v>
      </c>
      <c r="AF17" s="30">
        <v>50</v>
      </c>
      <c r="AG17" s="30">
        <v>50</v>
      </c>
      <c r="AH17" s="292"/>
      <c r="AI17" s="198">
        <v>47</v>
      </c>
      <c r="AJ17" s="198">
        <v>47</v>
      </c>
      <c r="AK17" s="198">
        <v>53</v>
      </c>
      <c r="AL17" s="198">
        <v>51</v>
      </c>
      <c r="AM17" s="198">
        <v>50</v>
      </c>
      <c r="AN17" s="198">
        <v>54</v>
      </c>
      <c r="AO17" s="198">
        <v>51</v>
      </c>
      <c r="AP17" s="198">
        <v>51</v>
      </c>
      <c r="AQ17" s="198">
        <v>48</v>
      </c>
      <c r="AR17" s="198">
        <v>48</v>
      </c>
      <c r="AS17" s="198">
        <v>48</v>
      </c>
      <c r="AT17" s="198">
        <v>48</v>
      </c>
      <c r="AU17" s="194">
        <f>SUBTOTAL(1,AI17:AT17)</f>
        <v>49.666666666666664</v>
      </c>
      <c r="AV17" s="194">
        <f t="shared" si="5"/>
        <v>52</v>
      </c>
      <c r="AW17" s="294">
        <f t="shared" si="6"/>
        <v>43.25</v>
      </c>
      <c r="AY17" s="29">
        <v>47</v>
      </c>
      <c r="AZ17" s="29">
        <v>47</v>
      </c>
      <c r="BA17" s="29">
        <v>48</v>
      </c>
      <c r="BB17" s="30">
        <v>51</v>
      </c>
      <c r="BC17" s="30">
        <v>53</v>
      </c>
      <c r="BD17" s="30">
        <v>54</v>
      </c>
      <c r="BE17" s="30">
        <v>54</v>
      </c>
      <c r="BF17" s="30">
        <v>54</v>
      </c>
      <c r="BG17" s="30">
        <v>54</v>
      </c>
      <c r="BH17" s="30">
        <v>54</v>
      </c>
      <c r="BI17" s="30">
        <v>54</v>
      </c>
      <c r="BJ17" s="30">
        <v>54</v>
      </c>
      <c r="BL17" s="29">
        <v>37</v>
      </c>
      <c r="BM17" s="29">
        <v>37</v>
      </c>
      <c r="BN17" s="29">
        <v>38</v>
      </c>
      <c r="BO17" s="30">
        <v>41</v>
      </c>
      <c r="BP17" s="30">
        <v>42</v>
      </c>
      <c r="BQ17" s="30">
        <v>44</v>
      </c>
      <c r="BR17" s="30">
        <v>46</v>
      </c>
      <c r="BS17" s="30">
        <v>46</v>
      </c>
      <c r="BT17" s="30">
        <v>46</v>
      </c>
      <c r="BU17" s="30">
        <v>47</v>
      </c>
      <c r="BV17" s="30">
        <v>47</v>
      </c>
      <c r="BW17" s="30">
        <v>48</v>
      </c>
    </row>
    <row r="18" spans="1:75" x14ac:dyDescent="0.25">
      <c r="A18" s="55">
        <v>627</v>
      </c>
      <c r="B18" s="292">
        <v>8</v>
      </c>
      <c r="C18" s="293" t="s">
        <v>7</v>
      </c>
      <c r="D18" s="292" t="s">
        <v>12</v>
      </c>
      <c r="E18" s="292">
        <f>SUM(E19:E24)</f>
        <v>86</v>
      </c>
      <c r="F18" s="292">
        <f>SUM(F19:F24)</f>
        <v>83</v>
      </c>
      <c r="G18" s="292">
        <f>SUM(G19:G24)</f>
        <v>79</v>
      </c>
      <c r="H18" s="292">
        <f>SUM(H19:H24)</f>
        <v>83</v>
      </c>
      <c r="I18" s="292"/>
      <c r="J18" s="292"/>
      <c r="K18" s="292"/>
      <c r="L18" s="292"/>
      <c r="M18" s="292"/>
      <c r="N18" s="292"/>
      <c r="O18" s="292"/>
      <c r="P18" s="292"/>
      <c r="Q18" s="436">
        <f t="shared" si="0"/>
        <v>82.75</v>
      </c>
      <c r="R18" s="382">
        <f t="shared" si="1"/>
        <v>86</v>
      </c>
      <c r="S18" s="452">
        <f t="shared" si="2"/>
        <v>81.5</v>
      </c>
      <c r="T18" s="382">
        <f t="shared" si="3"/>
        <v>62.666666666666664</v>
      </c>
      <c r="U18" s="292"/>
      <c r="V18" s="29">
        <v>86</v>
      </c>
      <c r="W18" s="29">
        <v>86</v>
      </c>
      <c r="X18" s="29">
        <v>86</v>
      </c>
      <c r="Y18" s="30">
        <v>86</v>
      </c>
      <c r="Z18" s="30">
        <v>86</v>
      </c>
      <c r="AA18" s="30">
        <v>86</v>
      </c>
      <c r="AB18" s="30">
        <v>86</v>
      </c>
      <c r="AC18" s="30">
        <v>86</v>
      </c>
      <c r="AD18" s="30">
        <v>86</v>
      </c>
      <c r="AE18" s="30">
        <v>86</v>
      </c>
      <c r="AF18" s="30">
        <v>86</v>
      </c>
      <c r="AG18" s="30">
        <v>86</v>
      </c>
      <c r="AH18" s="292"/>
      <c r="AI18" s="198">
        <v>72</v>
      </c>
      <c r="AJ18" s="198">
        <v>71</v>
      </c>
      <c r="AK18" s="198">
        <v>76</v>
      </c>
      <c r="AL18" s="198">
        <v>82</v>
      </c>
      <c r="AM18" s="198">
        <v>82</v>
      </c>
      <c r="AN18" s="198">
        <v>84</v>
      </c>
      <c r="AO18" s="198">
        <v>85</v>
      </c>
      <c r="AP18" s="198">
        <v>85</v>
      </c>
      <c r="AQ18" s="198">
        <v>85</v>
      </c>
      <c r="AR18" s="198">
        <v>85</v>
      </c>
      <c r="AS18" s="198">
        <v>85</v>
      </c>
      <c r="AT18" s="198">
        <v>86</v>
      </c>
      <c r="AU18" s="194">
        <f t="shared" si="4"/>
        <v>81.5</v>
      </c>
      <c r="AV18" s="194">
        <f t="shared" si="5"/>
        <v>83.666666666666671</v>
      </c>
      <c r="AW18" s="294">
        <f t="shared" si="6"/>
        <v>62.666666666666664</v>
      </c>
      <c r="AY18" s="29">
        <v>74</v>
      </c>
      <c r="AZ18" s="29">
        <v>76</v>
      </c>
      <c r="BA18" s="29">
        <v>81</v>
      </c>
      <c r="BB18" s="30">
        <v>83</v>
      </c>
      <c r="BC18" s="30">
        <v>84</v>
      </c>
      <c r="BD18" s="30">
        <v>85</v>
      </c>
      <c r="BE18" s="30">
        <v>86</v>
      </c>
      <c r="BF18" s="30">
        <v>87</v>
      </c>
      <c r="BG18" s="30">
        <v>87</v>
      </c>
      <c r="BH18" s="30">
        <v>87</v>
      </c>
      <c r="BI18" s="30">
        <v>87</v>
      </c>
      <c r="BJ18" s="30">
        <v>87</v>
      </c>
      <c r="BL18" s="29">
        <v>55</v>
      </c>
      <c r="BM18" s="29">
        <v>56</v>
      </c>
      <c r="BN18" s="29">
        <v>55</v>
      </c>
      <c r="BO18" s="30">
        <v>57</v>
      </c>
      <c r="BP18" s="30">
        <v>66</v>
      </c>
      <c r="BQ18" s="30">
        <v>64</v>
      </c>
      <c r="BR18" s="30">
        <v>61</v>
      </c>
      <c r="BS18" s="30">
        <v>61</v>
      </c>
      <c r="BT18" s="30">
        <v>66</v>
      </c>
      <c r="BU18" s="30">
        <v>68</v>
      </c>
      <c r="BV18" s="30">
        <v>71</v>
      </c>
      <c r="BW18" s="30">
        <v>72</v>
      </c>
    </row>
    <row r="19" spans="1:75" ht="14.45" hidden="1" outlineLevel="1" x14ac:dyDescent="0.3">
      <c r="A19" s="54"/>
      <c r="B19" s="284"/>
      <c r="C19" s="285" t="s">
        <v>193</v>
      </c>
      <c r="D19" s="286"/>
      <c r="E19" s="286">
        <v>13</v>
      </c>
      <c r="F19" s="286">
        <v>13</v>
      </c>
      <c r="G19" s="286">
        <v>12</v>
      </c>
      <c r="H19" s="286">
        <v>12</v>
      </c>
      <c r="I19" s="286"/>
      <c r="J19" s="286"/>
      <c r="K19" s="286"/>
      <c r="L19" s="286"/>
      <c r="M19" s="286"/>
      <c r="N19" s="286"/>
      <c r="O19" s="286"/>
      <c r="P19" s="286"/>
      <c r="Q19" s="437" t="e">
        <f t="shared" si="0"/>
        <v>#DIV/0!</v>
      </c>
      <c r="R19" s="383" t="e">
        <f t="shared" si="1"/>
        <v>#DIV/0!</v>
      </c>
      <c r="S19" s="450" t="e">
        <f t="shared" si="2"/>
        <v>#DIV/0!</v>
      </c>
      <c r="T19" s="383">
        <f t="shared" si="3"/>
        <v>0</v>
      </c>
      <c r="U19" s="286"/>
      <c r="V19" s="299">
        <v>13</v>
      </c>
      <c r="W19" s="299">
        <v>13</v>
      </c>
      <c r="X19" s="299">
        <v>13</v>
      </c>
      <c r="Y19" s="299">
        <v>13</v>
      </c>
      <c r="Z19" s="299">
        <v>13</v>
      </c>
      <c r="AA19" s="299">
        <v>13</v>
      </c>
      <c r="AB19" s="299">
        <v>13</v>
      </c>
      <c r="AC19" s="299">
        <v>13</v>
      </c>
      <c r="AD19" s="299">
        <v>13</v>
      </c>
      <c r="AE19" s="299">
        <v>13</v>
      </c>
      <c r="AF19" s="299">
        <v>13</v>
      </c>
      <c r="AG19" s="299">
        <v>13</v>
      </c>
      <c r="AH19" s="286"/>
      <c r="AI19" s="287">
        <v>10</v>
      </c>
      <c r="AJ19" s="287">
        <v>10</v>
      </c>
      <c r="AK19" s="287">
        <v>11</v>
      </c>
      <c r="AL19" s="287">
        <v>12</v>
      </c>
      <c r="AM19" s="287">
        <v>12</v>
      </c>
      <c r="AN19" s="287">
        <v>12</v>
      </c>
      <c r="AO19" s="287">
        <v>12</v>
      </c>
      <c r="AP19" s="287">
        <v>12</v>
      </c>
      <c r="AQ19" s="287">
        <v>13</v>
      </c>
      <c r="AR19" s="287">
        <v>13</v>
      </c>
      <c r="AS19" s="287">
        <v>13</v>
      </c>
      <c r="AT19" s="287">
        <v>13</v>
      </c>
      <c r="AU19" s="300" t="e">
        <f t="shared" ref="AU19:AU24" si="11">SUBTOTAL(1,AI19:AT19)</f>
        <v>#DIV/0!</v>
      </c>
      <c r="AV19" s="300" t="e">
        <f t="shared" ref="AV19:AV24" si="12">SUBTOTAL(1,AY19:BJ19)</f>
        <v>#DIV/0!</v>
      </c>
      <c r="AW19" s="288"/>
      <c r="AY19" s="299">
        <v>11</v>
      </c>
      <c r="AZ19" s="299">
        <v>11</v>
      </c>
      <c r="BA19" s="299">
        <v>12</v>
      </c>
      <c r="BB19" s="299">
        <v>12</v>
      </c>
      <c r="BC19" s="299">
        <v>12</v>
      </c>
      <c r="BD19" s="299">
        <v>12</v>
      </c>
      <c r="BE19" s="299">
        <v>12</v>
      </c>
      <c r="BF19" s="299">
        <v>12</v>
      </c>
      <c r="BG19" s="299">
        <v>12</v>
      </c>
      <c r="BH19" s="299">
        <v>12</v>
      </c>
      <c r="BI19" s="299">
        <v>12</v>
      </c>
      <c r="BJ19" s="299">
        <v>12</v>
      </c>
      <c r="BL19" s="29"/>
      <c r="BM19" s="29"/>
      <c r="BN19" s="29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14.45" hidden="1" outlineLevel="1" x14ac:dyDescent="0.3">
      <c r="A20" s="54"/>
      <c r="B20" s="284"/>
      <c r="C20" s="285" t="s">
        <v>194</v>
      </c>
      <c r="D20" s="286"/>
      <c r="E20" s="286">
        <v>9</v>
      </c>
      <c r="F20" s="286">
        <v>9</v>
      </c>
      <c r="G20" s="286">
        <v>9</v>
      </c>
      <c r="H20" s="286">
        <v>9</v>
      </c>
      <c r="I20" s="286"/>
      <c r="J20" s="286"/>
      <c r="K20" s="286"/>
      <c r="L20" s="286"/>
      <c r="M20" s="286"/>
      <c r="N20" s="286"/>
      <c r="O20" s="286"/>
      <c r="P20" s="286"/>
      <c r="Q20" s="437" t="e">
        <f t="shared" si="0"/>
        <v>#DIV/0!</v>
      </c>
      <c r="R20" s="383" t="e">
        <f t="shared" si="1"/>
        <v>#DIV/0!</v>
      </c>
      <c r="S20" s="450" t="e">
        <f t="shared" si="2"/>
        <v>#DIV/0!</v>
      </c>
      <c r="T20" s="383">
        <f t="shared" si="3"/>
        <v>0</v>
      </c>
      <c r="U20" s="286"/>
      <c r="V20" s="299">
        <v>9</v>
      </c>
      <c r="W20" s="299">
        <v>9</v>
      </c>
      <c r="X20" s="299">
        <v>9</v>
      </c>
      <c r="Y20" s="299">
        <v>9</v>
      </c>
      <c r="Z20" s="299">
        <v>9</v>
      </c>
      <c r="AA20" s="299">
        <v>9</v>
      </c>
      <c r="AB20" s="299">
        <v>9</v>
      </c>
      <c r="AC20" s="299">
        <v>9</v>
      </c>
      <c r="AD20" s="299">
        <v>9</v>
      </c>
      <c r="AE20" s="299">
        <v>9</v>
      </c>
      <c r="AF20" s="299">
        <v>9</v>
      </c>
      <c r="AG20" s="299">
        <v>9</v>
      </c>
      <c r="AH20" s="286"/>
      <c r="AI20" s="287">
        <v>8</v>
      </c>
      <c r="AJ20" s="287">
        <v>8</v>
      </c>
      <c r="AK20" s="287">
        <v>9</v>
      </c>
      <c r="AL20" s="287">
        <v>9</v>
      </c>
      <c r="AM20" s="287">
        <v>9</v>
      </c>
      <c r="AN20" s="287">
        <v>9</v>
      </c>
      <c r="AO20" s="287">
        <v>9</v>
      </c>
      <c r="AP20" s="287">
        <v>9</v>
      </c>
      <c r="AQ20" s="287">
        <v>9</v>
      </c>
      <c r="AR20" s="287">
        <v>9</v>
      </c>
      <c r="AS20" s="287">
        <v>9</v>
      </c>
      <c r="AT20" s="287">
        <v>9</v>
      </c>
      <c r="AU20" s="300" t="e">
        <f t="shared" si="11"/>
        <v>#DIV/0!</v>
      </c>
      <c r="AV20" s="300" t="e">
        <f t="shared" si="12"/>
        <v>#DIV/0!</v>
      </c>
      <c r="AW20" s="288"/>
      <c r="AY20" s="299">
        <v>9</v>
      </c>
      <c r="AZ20" s="299">
        <v>9</v>
      </c>
      <c r="BA20" s="299">
        <v>10</v>
      </c>
      <c r="BB20" s="299">
        <v>11</v>
      </c>
      <c r="BC20" s="299">
        <v>11</v>
      </c>
      <c r="BD20" s="299">
        <v>11</v>
      </c>
      <c r="BE20" s="299">
        <v>11</v>
      </c>
      <c r="BF20" s="299">
        <v>11</v>
      </c>
      <c r="BG20" s="299">
        <v>11</v>
      </c>
      <c r="BH20" s="299">
        <v>11</v>
      </c>
      <c r="BI20" s="299">
        <v>11</v>
      </c>
      <c r="BJ20" s="299">
        <v>11</v>
      </c>
      <c r="BL20" s="29"/>
      <c r="BM20" s="29"/>
      <c r="BN20" s="29"/>
      <c r="BO20" s="30"/>
      <c r="BP20" s="30"/>
      <c r="BQ20" s="30"/>
      <c r="BR20" s="30"/>
      <c r="BS20" s="30"/>
      <c r="BT20" s="30"/>
      <c r="BU20" s="30"/>
      <c r="BV20" s="30"/>
      <c r="BW20" s="30"/>
    </row>
    <row r="21" spans="1:75" ht="14.45" hidden="1" outlineLevel="1" x14ac:dyDescent="0.3">
      <c r="A21" s="54"/>
      <c r="B21" s="284"/>
      <c r="C21" s="285" t="s">
        <v>195</v>
      </c>
      <c r="D21" s="286"/>
      <c r="E21" s="286">
        <v>9</v>
      </c>
      <c r="F21" s="286">
        <v>9</v>
      </c>
      <c r="G21" s="286">
        <v>8</v>
      </c>
      <c r="H21" s="286">
        <v>8</v>
      </c>
      <c r="I21" s="286"/>
      <c r="J21" s="286"/>
      <c r="K21" s="286"/>
      <c r="L21" s="286"/>
      <c r="M21" s="286"/>
      <c r="N21" s="286"/>
      <c r="O21" s="286"/>
      <c r="P21" s="286"/>
      <c r="Q21" s="437" t="e">
        <f t="shared" si="0"/>
        <v>#DIV/0!</v>
      </c>
      <c r="R21" s="383" t="e">
        <f t="shared" si="1"/>
        <v>#DIV/0!</v>
      </c>
      <c r="S21" s="450" t="e">
        <f t="shared" si="2"/>
        <v>#DIV/0!</v>
      </c>
      <c r="T21" s="383">
        <f t="shared" si="3"/>
        <v>0</v>
      </c>
      <c r="U21" s="286"/>
      <c r="V21" s="299">
        <v>9</v>
      </c>
      <c r="W21" s="299">
        <v>9</v>
      </c>
      <c r="X21" s="299">
        <v>9</v>
      </c>
      <c r="Y21" s="299">
        <v>9</v>
      </c>
      <c r="Z21" s="299">
        <v>9</v>
      </c>
      <c r="AA21" s="299">
        <v>9</v>
      </c>
      <c r="AB21" s="299">
        <v>9</v>
      </c>
      <c r="AC21" s="299">
        <v>9</v>
      </c>
      <c r="AD21" s="299">
        <v>9</v>
      </c>
      <c r="AE21" s="299">
        <v>9</v>
      </c>
      <c r="AF21" s="299">
        <v>9</v>
      </c>
      <c r="AG21" s="299">
        <v>9</v>
      </c>
      <c r="AH21" s="286"/>
      <c r="AI21" s="287">
        <v>9</v>
      </c>
      <c r="AJ21" s="287">
        <v>9</v>
      </c>
      <c r="AK21" s="287">
        <v>9</v>
      </c>
      <c r="AL21" s="287">
        <v>9</v>
      </c>
      <c r="AM21" s="287">
        <v>9</v>
      </c>
      <c r="AN21" s="287">
        <v>9</v>
      </c>
      <c r="AO21" s="287">
        <v>9</v>
      </c>
      <c r="AP21" s="287">
        <v>9</v>
      </c>
      <c r="AQ21" s="287">
        <v>9</v>
      </c>
      <c r="AR21" s="287">
        <v>9</v>
      </c>
      <c r="AS21" s="287">
        <v>9</v>
      </c>
      <c r="AT21" s="287">
        <v>9</v>
      </c>
      <c r="AU21" s="300" t="e">
        <f t="shared" si="11"/>
        <v>#DIV/0!</v>
      </c>
      <c r="AV21" s="300" t="e">
        <f t="shared" si="12"/>
        <v>#DIV/0!</v>
      </c>
      <c r="AW21" s="288"/>
      <c r="AY21" s="299">
        <v>9</v>
      </c>
      <c r="AZ21" s="299">
        <v>9</v>
      </c>
      <c r="BA21" s="299">
        <v>9</v>
      </c>
      <c r="BB21" s="299">
        <v>9</v>
      </c>
      <c r="BC21" s="299">
        <v>10</v>
      </c>
      <c r="BD21" s="299">
        <v>10</v>
      </c>
      <c r="BE21" s="299">
        <v>10</v>
      </c>
      <c r="BF21" s="299">
        <v>10</v>
      </c>
      <c r="BG21" s="299">
        <v>10</v>
      </c>
      <c r="BH21" s="299">
        <v>10</v>
      </c>
      <c r="BI21" s="299">
        <v>10</v>
      </c>
      <c r="BJ21" s="299">
        <v>10</v>
      </c>
      <c r="BL21" s="29"/>
      <c r="BM21" s="29"/>
      <c r="BN21" s="29"/>
      <c r="BO21" s="30"/>
      <c r="BP21" s="30"/>
      <c r="BQ21" s="30"/>
      <c r="BR21" s="30"/>
      <c r="BS21" s="30"/>
      <c r="BT21" s="30"/>
      <c r="BU21" s="30"/>
      <c r="BV21" s="30"/>
      <c r="BW21" s="30"/>
    </row>
    <row r="22" spans="1:75" ht="14.45" hidden="1" outlineLevel="1" x14ac:dyDescent="0.3">
      <c r="A22" s="54"/>
      <c r="B22" s="284"/>
      <c r="C22" s="285" t="s">
        <v>196</v>
      </c>
      <c r="D22" s="286"/>
      <c r="E22" s="286">
        <v>3</v>
      </c>
      <c r="F22" s="286">
        <v>3</v>
      </c>
      <c r="G22" s="286">
        <v>3</v>
      </c>
      <c r="H22" s="286">
        <v>3</v>
      </c>
      <c r="I22" s="286"/>
      <c r="J22" s="286"/>
      <c r="K22" s="286"/>
      <c r="L22" s="286"/>
      <c r="M22" s="286"/>
      <c r="N22" s="286"/>
      <c r="O22" s="286"/>
      <c r="P22" s="286"/>
      <c r="Q22" s="437" t="e">
        <f t="shared" si="0"/>
        <v>#DIV/0!</v>
      </c>
      <c r="R22" s="383" t="e">
        <f t="shared" si="1"/>
        <v>#DIV/0!</v>
      </c>
      <c r="S22" s="450" t="e">
        <f t="shared" si="2"/>
        <v>#DIV/0!</v>
      </c>
      <c r="T22" s="383">
        <f t="shared" si="3"/>
        <v>0</v>
      </c>
      <c r="U22" s="286"/>
      <c r="V22" s="299">
        <v>3</v>
      </c>
      <c r="W22" s="299">
        <v>3</v>
      </c>
      <c r="X22" s="299">
        <v>3</v>
      </c>
      <c r="Y22" s="299">
        <v>3</v>
      </c>
      <c r="Z22" s="299">
        <v>3</v>
      </c>
      <c r="AA22" s="299">
        <v>3</v>
      </c>
      <c r="AB22" s="299">
        <v>3</v>
      </c>
      <c r="AC22" s="299">
        <v>3</v>
      </c>
      <c r="AD22" s="299">
        <v>3</v>
      </c>
      <c r="AE22" s="299">
        <v>3</v>
      </c>
      <c r="AF22" s="299">
        <v>3</v>
      </c>
      <c r="AG22" s="299">
        <v>3</v>
      </c>
      <c r="AH22" s="286"/>
      <c r="AI22" s="287">
        <v>2</v>
      </c>
      <c r="AJ22" s="287">
        <v>2</v>
      </c>
      <c r="AK22" s="287">
        <v>2</v>
      </c>
      <c r="AL22" s="287">
        <v>2</v>
      </c>
      <c r="AM22" s="287">
        <v>2</v>
      </c>
      <c r="AN22" s="287">
        <v>2</v>
      </c>
      <c r="AO22" s="287">
        <v>2</v>
      </c>
      <c r="AP22" s="287">
        <v>3</v>
      </c>
      <c r="AQ22" s="287">
        <v>3</v>
      </c>
      <c r="AR22" s="287">
        <v>3</v>
      </c>
      <c r="AS22" s="287">
        <v>3</v>
      </c>
      <c r="AT22" s="287">
        <v>3</v>
      </c>
      <c r="AU22" s="300" t="e">
        <f t="shared" si="11"/>
        <v>#DIV/0!</v>
      </c>
      <c r="AV22" s="300" t="e">
        <f t="shared" si="12"/>
        <v>#DIV/0!</v>
      </c>
      <c r="AW22" s="288"/>
      <c r="AY22" s="299">
        <v>2</v>
      </c>
      <c r="AZ22" s="299">
        <v>2</v>
      </c>
      <c r="BA22" s="299">
        <v>3</v>
      </c>
      <c r="BB22" s="299">
        <v>4</v>
      </c>
      <c r="BC22" s="299">
        <v>4</v>
      </c>
      <c r="BD22" s="299">
        <v>4</v>
      </c>
      <c r="BE22" s="299">
        <v>4</v>
      </c>
      <c r="BF22" s="299">
        <v>4</v>
      </c>
      <c r="BG22" s="299">
        <v>4</v>
      </c>
      <c r="BH22" s="299">
        <v>4</v>
      </c>
      <c r="BI22" s="299">
        <v>4</v>
      </c>
      <c r="BJ22" s="299">
        <v>4</v>
      </c>
      <c r="BL22" s="29"/>
      <c r="BM22" s="29"/>
      <c r="BN22" s="29"/>
      <c r="BO22" s="30"/>
      <c r="BP22" s="30"/>
      <c r="BQ22" s="30"/>
      <c r="BR22" s="30"/>
      <c r="BS22" s="30"/>
      <c r="BT22" s="30"/>
      <c r="BU22" s="30"/>
      <c r="BV22" s="30"/>
      <c r="BW22" s="30"/>
    </row>
    <row r="23" spans="1:75" ht="14.45" hidden="1" outlineLevel="1" x14ac:dyDescent="0.3">
      <c r="A23" s="54"/>
      <c r="B23" s="284"/>
      <c r="C23" s="285" t="s">
        <v>197</v>
      </c>
      <c r="D23" s="286"/>
      <c r="E23" s="286">
        <v>39</v>
      </c>
      <c r="F23" s="286">
        <v>37</v>
      </c>
      <c r="G23" s="286">
        <v>35</v>
      </c>
      <c r="H23" s="286">
        <v>40</v>
      </c>
      <c r="I23" s="286"/>
      <c r="J23" s="286"/>
      <c r="K23" s="286"/>
      <c r="L23" s="286"/>
      <c r="M23" s="286"/>
      <c r="N23" s="286"/>
      <c r="O23" s="286"/>
      <c r="P23" s="286"/>
      <c r="Q23" s="437" t="e">
        <f t="shared" si="0"/>
        <v>#DIV/0!</v>
      </c>
      <c r="R23" s="383" t="e">
        <f t="shared" si="1"/>
        <v>#DIV/0!</v>
      </c>
      <c r="S23" s="450" t="e">
        <f t="shared" si="2"/>
        <v>#DIV/0!</v>
      </c>
      <c r="T23" s="383">
        <f t="shared" si="3"/>
        <v>0</v>
      </c>
      <c r="U23" s="286"/>
      <c r="V23" s="299">
        <v>39</v>
      </c>
      <c r="W23" s="299">
        <v>39</v>
      </c>
      <c r="X23" s="299">
        <v>39</v>
      </c>
      <c r="Y23" s="299">
        <v>39</v>
      </c>
      <c r="Z23" s="299">
        <v>39</v>
      </c>
      <c r="AA23" s="299">
        <v>39</v>
      </c>
      <c r="AB23" s="299">
        <v>39</v>
      </c>
      <c r="AC23" s="299">
        <v>39</v>
      </c>
      <c r="AD23" s="299">
        <v>39</v>
      </c>
      <c r="AE23" s="299">
        <v>39</v>
      </c>
      <c r="AF23" s="299">
        <v>39</v>
      </c>
      <c r="AG23" s="299">
        <v>39</v>
      </c>
      <c r="AH23" s="286"/>
      <c r="AI23" s="287">
        <v>33</v>
      </c>
      <c r="AJ23" s="287">
        <v>33</v>
      </c>
      <c r="AK23" s="287">
        <v>35</v>
      </c>
      <c r="AL23" s="287">
        <v>37</v>
      </c>
      <c r="AM23" s="287">
        <v>37</v>
      </c>
      <c r="AN23" s="287">
        <v>39</v>
      </c>
      <c r="AO23" s="287">
        <v>40</v>
      </c>
      <c r="AP23" s="287">
        <v>39</v>
      </c>
      <c r="AQ23" s="287">
        <v>39</v>
      </c>
      <c r="AR23" s="287">
        <v>39</v>
      </c>
      <c r="AS23" s="287">
        <v>39</v>
      </c>
      <c r="AT23" s="287">
        <v>39</v>
      </c>
      <c r="AU23" s="300" t="e">
        <f t="shared" si="11"/>
        <v>#DIV/0!</v>
      </c>
      <c r="AV23" s="300" t="e">
        <f t="shared" si="12"/>
        <v>#DIV/0!</v>
      </c>
      <c r="AW23" s="288"/>
      <c r="AY23" s="299">
        <v>33</v>
      </c>
      <c r="AZ23" s="299">
        <v>35</v>
      </c>
      <c r="BA23" s="299">
        <v>37</v>
      </c>
      <c r="BB23" s="299">
        <v>37</v>
      </c>
      <c r="BC23" s="299">
        <v>37</v>
      </c>
      <c r="BD23" s="299">
        <v>37</v>
      </c>
      <c r="BE23" s="299">
        <v>37</v>
      </c>
      <c r="BF23" s="299">
        <v>37</v>
      </c>
      <c r="BG23" s="299">
        <v>37</v>
      </c>
      <c r="BH23" s="299">
        <v>37</v>
      </c>
      <c r="BI23" s="299">
        <v>37</v>
      </c>
      <c r="BJ23" s="299">
        <v>37</v>
      </c>
      <c r="BL23" s="29"/>
      <c r="BM23" s="29"/>
      <c r="BN23" s="29"/>
      <c r="BO23" s="30"/>
      <c r="BP23" s="30"/>
      <c r="BQ23" s="30"/>
      <c r="BR23" s="30"/>
      <c r="BS23" s="30"/>
      <c r="BT23" s="30"/>
      <c r="BU23" s="30"/>
      <c r="BV23" s="30"/>
      <c r="BW23" s="30"/>
    </row>
    <row r="24" spans="1:75" ht="14.45" hidden="1" outlineLevel="1" x14ac:dyDescent="0.3">
      <c r="A24" s="54"/>
      <c r="B24" s="284"/>
      <c r="C24" s="285" t="s">
        <v>198</v>
      </c>
      <c r="D24" s="286"/>
      <c r="E24" s="286">
        <v>13</v>
      </c>
      <c r="F24" s="286">
        <v>12</v>
      </c>
      <c r="G24" s="286">
        <v>12</v>
      </c>
      <c r="H24" s="286">
        <v>11</v>
      </c>
      <c r="I24" s="286"/>
      <c r="J24" s="286"/>
      <c r="K24" s="286"/>
      <c r="L24" s="286"/>
      <c r="M24" s="286"/>
      <c r="N24" s="286"/>
      <c r="O24" s="286"/>
      <c r="P24" s="286"/>
      <c r="Q24" s="437" t="e">
        <f t="shared" si="0"/>
        <v>#DIV/0!</v>
      </c>
      <c r="R24" s="383" t="e">
        <f t="shared" si="1"/>
        <v>#DIV/0!</v>
      </c>
      <c r="S24" s="450" t="e">
        <f t="shared" si="2"/>
        <v>#DIV/0!</v>
      </c>
      <c r="T24" s="383">
        <f t="shared" si="3"/>
        <v>0</v>
      </c>
      <c r="U24" s="286"/>
      <c r="V24" s="299">
        <v>13</v>
      </c>
      <c r="W24" s="299">
        <v>13</v>
      </c>
      <c r="X24" s="299">
        <v>13</v>
      </c>
      <c r="Y24" s="299">
        <v>13</v>
      </c>
      <c r="Z24" s="299">
        <v>13</v>
      </c>
      <c r="AA24" s="299">
        <v>13</v>
      </c>
      <c r="AB24" s="299">
        <v>13</v>
      </c>
      <c r="AC24" s="299">
        <v>13</v>
      </c>
      <c r="AD24" s="299">
        <v>13</v>
      </c>
      <c r="AE24" s="299">
        <v>13</v>
      </c>
      <c r="AF24" s="299">
        <v>13</v>
      </c>
      <c r="AG24" s="299">
        <v>13</v>
      </c>
      <c r="AH24" s="286"/>
      <c r="AI24" s="287">
        <v>10</v>
      </c>
      <c r="AJ24" s="287">
        <v>9</v>
      </c>
      <c r="AK24" s="287">
        <v>10</v>
      </c>
      <c r="AL24" s="287">
        <v>13</v>
      </c>
      <c r="AM24" s="287">
        <v>13</v>
      </c>
      <c r="AN24" s="287">
        <v>13</v>
      </c>
      <c r="AO24" s="287">
        <v>13</v>
      </c>
      <c r="AP24" s="287">
        <v>13</v>
      </c>
      <c r="AQ24" s="287">
        <v>12</v>
      </c>
      <c r="AR24" s="287">
        <v>12</v>
      </c>
      <c r="AS24" s="287">
        <v>12</v>
      </c>
      <c r="AT24" s="287">
        <v>13</v>
      </c>
      <c r="AU24" s="300" t="e">
        <f t="shared" si="11"/>
        <v>#DIV/0!</v>
      </c>
      <c r="AV24" s="300" t="e">
        <f t="shared" si="12"/>
        <v>#DIV/0!</v>
      </c>
      <c r="AW24" s="288"/>
      <c r="AY24" s="299">
        <v>10</v>
      </c>
      <c r="AZ24" s="299">
        <v>10</v>
      </c>
      <c r="BA24" s="299">
        <v>10</v>
      </c>
      <c r="BB24" s="299">
        <v>10</v>
      </c>
      <c r="BC24" s="299">
        <v>10</v>
      </c>
      <c r="BD24" s="299">
        <v>11</v>
      </c>
      <c r="BE24" s="299">
        <v>12</v>
      </c>
      <c r="BF24" s="299">
        <v>13</v>
      </c>
      <c r="BG24" s="299">
        <v>13</v>
      </c>
      <c r="BH24" s="299">
        <v>13</v>
      </c>
      <c r="BI24" s="299">
        <v>13</v>
      </c>
      <c r="BJ24" s="299">
        <v>13</v>
      </c>
      <c r="BL24" s="29"/>
      <c r="BM24" s="29"/>
      <c r="BN24" s="29"/>
      <c r="BO24" s="30"/>
      <c r="BP24" s="30"/>
      <c r="BQ24" s="30"/>
      <c r="BR24" s="30"/>
      <c r="BS24" s="30"/>
      <c r="BT24" s="30"/>
      <c r="BU24" s="30"/>
      <c r="BV24" s="30"/>
      <c r="BW24" s="30"/>
    </row>
    <row r="25" spans="1:75" collapsed="1" x14ac:dyDescent="0.25">
      <c r="A25" s="54">
        <v>642</v>
      </c>
      <c r="B25" s="292">
        <v>9</v>
      </c>
      <c r="C25" s="293" t="s">
        <v>9</v>
      </c>
      <c r="D25" s="292" t="s">
        <v>12</v>
      </c>
      <c r="E25" s="292">
        <f>SUM(E26:E31)</f>
        <v>43</v>
      </c>
      <c r="F25" s="292">
        <f>SUM(F26:F31)</f>
        <v>42</v>
      </c>
      <c r="G25" s="292">
        <f>SUM(G26:G31)</f>
        <v>41</v>
      </c>
      <c r="H25" s="292">
        <f>SUM(H26:H31)</f>
        <v>39</v>
      </c>
      <c r="I25" s="292"/>
      <c r="J25" s="292"/>
      <c r="K25" s="292"/>
      <c r="L25" s="292"/>
      <c r="M25" s="292"/>
      <c r="N25" s="292"/>
      <c r="O25" s="292"/>
      <c r="P25" s="292"/>
      <c r="Q25" s="436">
        <f t="shared" si="0"/>
        <v>41.25</v>
      </c>
      <c r="R25" s="382">
        <f t="shared" si="1"/>
        <v>45</v>
      </c>
      <c r="S25" s="452">
        <f t="shared" si="2"/>
        <v>43.75</v>
      </c>
      <c r="T25" s="382">
        <f t="shared" si="3"/>
        <v>33.666666666666664</v>
      </c>
      <c r="U25" s="292"/>
      <c r="V25" s="29">
        <v>45</v>
      </c>
      <c r="W25" s="29">
        <v>45</v>
      </c>
      <c r="X25" s="29">
        <v>45</v>
      </c>
      <c r="Y25" s="30">
        <v>45</v>
      </c>
      <c r="Z25" s="30">
        <v>45</v>
      </c>
      <c r="AA25" s="30">
        <v>45</v>
      </c>
      <c r="AB25" s="30">
        <v>45</v>
      </c>
      <c r="AC25" s="30">
        <v>45</v>
      </c>
      <c r="AD25" s="30">
        <v>45</v>
      </c>
      <c r="AE25" s="30">
        <v>45</v>
      </c>
      <c r="AF25" s="30">
        <v>45</v>
      </c>
      <c r="AG25" s="30">
        <v>45</v>
      </c>
      <c r="AH25" s="292"/>
      <c r="AI25" s="198">
        <v>43</v>
      </c>
      <c r="AJ25" s="198">
        <v>43</v>
      </c>
      <c r="AK25" s="198">
        <v>43</v>
      </c>
      <c r="AL25" s="198">
        <v>44</v>
      </c>
      <c r="AM25" s="198">
        <v>44</v>
      </c>
      <c r="AN25" s="198">
        <v>45</v>
      </c>
      <c r="AO25" s="198">
        <v>45</v>
      </c>
      <c r="AP25" s="198">
        <v>43</v>
      </c>
      <c r="AQ25" s="198">
        <v>43</v>
      </c>
      <c r="AR25" s="198">
        <v>44</v>
      </c>
      <c r="AS25" s="198">
        <v>44</v>
      </c>
      <c r="AT25" s="198">
        <v>44</v>
      </c>
      <c r="AU25" s="194">
        <f t="shared" si="4"/>
        <v>43.75</v>
      </c>
      <c r="AV25" s="194">
        <f t="shared" si="5"/>
        <v>46.166666666666664</v>
      </c>
      <c r="AW25" s="294">
        <f t="shared" si="6"/>
        <v>33.666666666666664</v>
      </c>
      <c r="AY25" s="29">
        <v>44</v>
      </c>
      <c r="AZ25" s="29">
        <v>44</v>
      </c>
      <c r="BA25" s="29">
        <v>46</v>
      </c>
      <c r="BB25" s="30">
        <v>46</v>
      </c>
      <c r="BC25" s="30">
        <v>46</v>
      </c>
      <c r="BD25" s="30">
        <v>46</v>
      </c>
      <c r="BE25" s="30">
        <v>47</v>
      </c>
      <c r="BF25" s="30">
        <v>47</v>
      </c>
      <c r="BG25" s="30">
        <v>47</v>
      </c>
      <c r="BH25" s="30">
        <v>47</v>
      </c>
      <c r="BI25" s="30">
        <v>47</v>
      </c>
      <c r="BJ25" s="30">
        <v>47</v>
      </c>
      <c r="BL25" s="29">
        <v>32</v>
      </c>
      <c r="BM25" s="29">
        <v>31</v>
      </c>
      <c r="BN25" s="29">
        <v>33</v>
      </c>
      <c r="BO25" s="30">
        <v>35</v>
      </c>
      <c r="BP25" s="30">
        <v>35</v>
      </c>
      <c r="BQ25" s="30">
        <v>34</v>
      </c>
      <c r="BR25" s="30">
        <v>34</v>
      </c>
      <c r="BS25" s="30">
        <v>33</v>
      </c>
      <c r="BT25" s="30">
        <v>34</v>
      </c>
      <c r="BU25" s="30">
        <v>34</v>
      </c>
      <c r="BV25" s="30">
        <v>34</v>
      </c>
      <c r="BW25" s="30">
        <v>35</v>
      </c>
    </row>
    <row r="26" spans="1:75" ht="14.45" hidden="1" outlineLevel="1" x14ac:dyDescent="0.3">
      <c r="A26" s="54"/>
      <c r="B26" s="284"/>
      <c r="C26" s="285" t="s">
        <v>183</v>
      </c>
      <c r="D26" s="286"/>
      <c r="E26" s="286">
        <v>10</v>
      </c>
      <c r="F26" s="286">
        <v>10</v>
      </c>
      <c r="G26" s="286">
        <v>10</v>
      </c>
      <c r="H26" s="286">
        <v>9</v>
      </c>
      <c r="I26" s="286"/>
      <c r="J26" s="286"/>
      <c r="K26" s="286"/>
      <c r="L26" s="286"/>
      <c r="M26" s="286"/>
      <c r="N26" s="286"/>
      <c r="O26" s="286"/>
      <c r="P26" s="286"/>
      <c r="Q26" s="437" t="e">
        <f t="shared" si="0"/>
        <v>#DIV/0!</v>
      </c>
      <c r="R26" s="383" t="e">
        <f t="shared" si="1"/>
        <v>#DIV/0!</v>
      </c>
      <c r="S26" s="450" t="e">
        <f t="shared" si="2"/>
        <v>#DIV/0!</v>
      </c>
      <c r="T26" s="383">
        <f t="shared" si="3"/>
        <v>0</v>
      </c>
      <c r="U26" s="286"/>
      <c r="V26" s="299">
        <v>10</v>
      </c>
      <c r="W26" s="299">
        <v>10</v>
      </c>
      <c r="X26" s="299">
        <v>10</v>
      </c>
      <c r="Y26" s="299">
        <v>10</v>
      </c>
      <c r="Z26" s="299">
        <v>10</v>
      </c>
      <c r="AA26" s="299">
        <v>10</v>
      </c>
      <c r="AB26" s="299">
        <v>10</v>
      </c>
      <c r="AC26" s="299">
        <v>10</v>
      </c>
      <c r="AD26" s="299">
        <v>10</v>
      </c>
      <c r="AE26" s="299">
        <v>10</v>
      </c>
      <c r="AF26" s="299">
        <v>10</v>
      </c>
      <c r="AG26" s="299">
        <v>10</v>
      </c>
      <c r="AH26" s="286"/>
      <c r="AI26" s="287">
        <v>11</v>
      </c>
      <c r="AJ26" s="287">
        <v>11</v>
      </c>
      <c r="AK26" s="287">
        <v>10</v>
      </c>
      <c r="AL26" s="287">
        <v>10</v>
      </c>
      <c r="AM26" s="287">
        <v>10</v>
      </c>
      <c r="AN26" s="287">
        <v>11</v>
      </c>
      <c r="AO26" s="287">
        <v>10</v>
      </c>
      <c r="AP26" s="287">
        <v>9</v>
      </c>
      <c r="AQ26" s="287">
        <v>9</v>
      </c>
      <c r="AR26" s="287">
        <v>9</v>
      </c>
      <c r="AS26" s="287">
        <v>9</v>
      </c>
      <c r="AT26" s="287">
        <v>9</v>
      </c>
      <c r="AU26" s="300" t="e">
        <f t="shared" ref="AU26:AU31" si="13">SUBTOTAL(1,AI26:AT26)</f>
        <v>#DIV/0!</v>
      </c>
      <c r="AV26" s="300" t="e">
        <f t="shared" ref="AV26:AV31" si="14">SUBTOTAL(1,AY26:BJ26)</f>
        <v>#DIV/0!</v>
      </c>
      <c r="AW26" s="288"/>
      <c r="AY26" s="299">
        <v>12</v>
      </c>
      <c r="AZ26" s="299">
        <v>12</v>
      </c>
      <c r="BA26" s="299">
        <v>12</v>
      </c>
      <c r="BB26" s="299">
        <v>12</v>
      </c>
      <c r="BC26" s="299">
        <v>12</v>
      </c>
      <c r="BD26" s="299">
        <v>12</v>
      </c>
      <c r="BE26" s="299">
        <v>12</v>
      </c>
      <c r="BF26" s="299">
        <v>12</v>
      </c>
      <c r="BG26" s="299">
        <v>12</v>
      </c>
      <c r="BH26" s="299">
        <v>12</v>
      </c>
      <c r="BI26" s="299">
        <v>12</v>
      </c>
      <c r="BJ26" s="299">
        <v>12</v>
      </c>
      <c r="BL26" s="29"/>
      <c r="BM26" s="29"/>
      <c r="BN26" s="29"/>
      <c r="BO26" s="30"/>
      <c r="BP26" s="30"/>
      <c r="BQ26" s="30"/>
      <c r="BR26" s="30"/>
      <c r="BS26" s="30"/>
      <c r="BT26" s="30"/>
      <c r="BU26" s="30"/>
      <c r="BV26" s="30"/>
      <c r="BW26" s="30"/>
    </row>
    <row r="27" spans="1:75" ht="14.45" hidden="1" outlineLevel="1" x14ac:dyDescent="0.3">
      <c r="A27" s="54"/>
      <c r="B27" s="284"/>
      <c r="C27" s="285" t="s">
        <v>184</v>
      </c>
      <c r="D27" s="286"/>
      <c r="E27" s="286">
        <v>8</v>
      </c>
      <c r="F27" s="286">
        <v>8</v>
      </c>
      <c r="G27" s="286">
        <v>8</v>
      </c>
      <c r="H27" s="286">
        <v>8</v>
      </c>
      <c r="I27" s="286"/>
      <c r="J27" s="286"/>
      <c r="K27" s="286"/>
      <c r="L27" s="286"/>
      <c r="M27" s="286"/>
      <c r="N27" s="286"/>
      <c r="O27" s="286"/>
      <c r="P27" s="286"/>
      <c r="Q27" s="437" t="e">
        <f t="shared" si="0"/>
        <v>#DIV/0!</v>
      </c>
      <c r="R27" s="383" t="e">
        <f t="shared" si="1"/>
        <v>#DIV/0!</v>
      </c>
      <c r="S27" s="450" t="e">
        <f t="shared" si="2"/>
        <v>#DIV/0!</v>
      </c>
      <c r="T27" s="383">
        <f t="shared" si="3"/>
        <v>0</v>
      </c>
      <c r="U27" s="286"/>
      <c r="V27" s="299">
        <v>8</v>
      </c>
      <c r="W27" s="299">
        <v>8</v>
      </c>
      <c r="X27" s="299">
        <v>8</v>
      </c>
      <c r="Y27" s="299">
        <v>8</v>
      </c>
      <c r="Z27" s="299">
        <v>8</v>
      </c>
      <c r="AA27" s="299">
        <v>8</v>
      </c>
      <c r="AB27" s="299">
        <v>8</v>
      </c>
      <c r="AC27" s="299">
        <v>8</v>
      </c>
      <c r="AD27" s="299">
        <v>8</v>
      </c>
      <c r="AE27" s="299">
        <v>8</v>
      </c>
      <c r="AF27" s="299">
        <v>8</v>
      </c>
      <c r="AG27" s="299">
        <v>8</v>
      </c>
      <c r="AH27" s="286"/>
      <c r="AI27" s="287">
        <v>8</v>
      </c>
      <c r="AJ27" s="287">
        <v>8</v>
      </c>
      <c r="AK27" s="287">
        <v>8</v>
      </c>
      <c r="AL27" s="287">
        <v>8</v>
      </c>
      <c r="AM27" s="287">
        <v>8</v>
      </c>
      <c r="AN27" s="287">
        <v>8</v>
      </c>
      <c r="AO27" s="287">
        <v>8</v>
      </c>
      <c r="AP27" s="287">
        <v>8</v>
      </c>
      <c r="AQ27" s="287">
        <v>8</v>
      </c>
      <c r="AR27" s="287">
        <v>8</v>
      </c>
      <c r="AS27" s="287">
        <v>8</v>
      </c>
      <c r="AT27" s="287">
        <v>8</v>
      </c>
      <c r="AU27" s="300" t="e">
        <f t="shared" si="13"/>
        <v>#DIV/0!</v>
      </c>
      <c r="AV27" s="300" t="e">
        <f t="shared" si="14"/>
        <v>#DIV/0!</v>
      </c>
      <c r="AW27" s="288"/>
      <c r="AY27" s="299">
        <v>8</v>
      </c>
      <c r="AZ27" s="299">
        <v>8</v>
      </c>
      <c r="BA27" s="299">
        <v>8</v>
      </c>
      <c r="BB27" s="299">
        <v>8</v>
      </c>
      <c r="BC27" s="299">
        <v>8</v>
      </c>
      <c r="BD27" s="299">
        <v>8</v>
      </c>
      <c r="BE27" s="299">
        <v>8</v>
      </c>
      <c r="BF27" s="299">
        <v>8</v>
      </c>
      <c r="BG27" s="299">
        <v>8</v>
      </c>
      <c r="BH27" s="299">
        <v>8</v>
      </c>
      <c r="BI27" s="299">
        <v>8</v>
      </c>
      <c r="BJ27" s="299">
        <v>8</v>
      </c>
      <c r="BL27" s="29"/>
      <c r="BM27" s="29"/>
      <c r="BN27" s="29"/>
      <c r="BO27" s="30"/>
      <c r="BP27" s="30"/>
      <c r="BQ27" s="30"/>
      <c r="BR27" s="30"/>
      <c r="BS27" s="30"/>
      <c r="BT27" s="30"/>
      <c r="BU27" s="30"/>
      <c r="BV27" s="30"/>
      <c r="BW27" s="30"/>
    </row>
    <row r="28" spans="1:75" ht="14.45" hidden="1" outlineLevel="1" x14ac:dyDescent="0.3">
      <c r="A28" s="54"/>
      <c r="B28" s="284"/>
      <c r="C28" s="285" t="s">
        <v>185</v>
      </c>
      <c r="D28" s="286"/>
      <c r="E28" s="286">
        <v>8</v>
      </c>
      <c r="F28" s="286">
        <v>7</v>
      </c>
      <c r="G28" s="286">
        <v>5</v>
      </c>
      <c r="H28" s="286">
        <v>5</v>
      </c>
      <c r="I28" s="286"/>
      <c r="J28" s="286"/>
      <c r="K28" s="286"/>
      <c r="L28" s="286"/>
      <c r="M28" s="286"/>
      <c r="N28" s="286"/>
      <c r="O28" s="286"/>
      <c r="P28" s="286"/>
      <c r="Q28" s="437" t="e">
        <f t="shared" si="0"/>
        <v>#DIV/0!</v>
      </c>
      <c r="R28" s="383" t="e">
        <f t="shared" si="1"/>
        <v>#DIV/0!</v>
      </c>
      <c r="S28" s="450" t="e">
        <f t="shared" si="2"/>
        <v>#DIV/0!</v>
      </c>
      <c r="T28" s="383">
        <f t="shared" si="3"/>
        <v>0</v>
      </c>
      <c r="U28" s="286"/>
      <c r="V28" s="299">
        <v>8</v>
      </c>
      <c r="W28" s="299">
        <v>8</v>
      </c>
      <c r="X28" s="299">
        <v>8</v>
      </c>
      <c r="Y28" s="299">
        <v>8</v>
      </c>
      <c r="Z28" s="299">
        <v>8</v>
      </c>
      <c r="AA28" s="299">
        <v>8</v>
      </c>
      <c r="AB28" s="299">
        <v>8</v>
      </c>
      <c r="AC28" s="299">
        <v>8</v>
      </c>
      <c r="AD28" s="299">
        <v>8</v>
      </c>
      <c r="AE28" s="299">
        <v>8</v>
      </c>
      <c r="AF28" s="299">
        <v>8</v>
      </c>
      <c r="AG28" s="299">
        <v>8</v>
      </c>
      <c r="AH28" s="286"/>
      <c r="AI28" s="287">
        <v>6</v>
      </c>
      <c r="AJ28" s="287">
        <v>6</v>
      </c>
      <c r="AK28" s="287">
        <v>7</v>
      </c>
      <c r="AL28" s="287">
        <v>8</v>
      </c>
      <c r="AM28" s="287">
        <v>8</v>
      </c>
      <c r="AN28" s="287">
        <v>8</v>
      </c>
      <c r="AO28" s="287">
        <v>8</v>
      </c>
      <c r="AP28" s="287">
        <v>8</v>
      </c>
      <c r="AQ28" s="287">
        <v>8</v>
      </c>
      <c r="AR28" s="287">
        <v>8</v>
      </c>
      <c r="AS28" s="287">
        <v>8</v>
      </c>
      <c r="AT28" s="287">
        <v>8</v>
      </c>
      <c r="AU28" s="300" t="e">
        <f t="shared" si="13"/>
        <v>#DIV/0!</v>
      </c>
      <c r="AV28" s="300" t="e">
        <f t="shared" si="14"/>
        <v>#DIV/0!</v>
      </c>
      <c r="AW28" s="288"/>
      <c r="AY28" s="299">
        <v>6</v>
      </c>
      <c r="AZ28" s="299">
        <v>6</v>
      </c>
      <c r="BA28" s="299">
        <v>6</v>
      </c>
      <c r="BB28" s="299">
        <v>6</v>
      </c>
      <c r="BC28" s="299">
        <v>6</v>
      </c>
      <c r="BD28" s="299">
        <v>6</v>
      </c>
      <c r="BE28" s="299">
        <v>6</v>
      </c>
      <c r="BF28" s="299">
        <v>6</v>
      </c>
      <c r="BG28" s="299">
        <v>6</v>
      </c>
      <c r="BH28" s="299">
        <v>6</v>
      </c>
      <c r="BI28" s="299">
        <v>6</v>
      </c>
      <c r="BJ28" s="299">
        <v>6</v>
      </c>
      <c r="BL28" s="29"/>
      <c r="BM28" s="29"/>
      <c r="BN28" s="29"/>
      <c r="BO28" s="30"/>
      <c r="BP28" s="30"/>
      <c r="BQ28" s="30"/>
      <c r="BR28" s="30"/>
      <c r="BS28" s="30"/>
      <c r="BT28" s="30"/>
      <c r="BU28" s="30"/>
      <c r="BV28" s="30"/>
      <c r="BW28" s="30"/>
    </row>
    <row r="29" spans="1:75" ht="14.45" hidden="1" outlineLevel="1" x14ac:dyDescent="0.3">
      <c r="A29" s="54"/>
      <c r="B29" s="284"/>
      <c r="C29" s="285" t="s">
        <v>186</v>
      </c>
      <c r="D29" s="286"/>
      <c r="E29" s="286">
        <v>9</v>
      </c>
      <c r="F29" s="286">
        <v>9</v>
      </c>
      <c r="G29" s="286">
        <v>10</v>
      </c>
      <c r="H29" s="286">
        <v>9</v>
      </c>
      <c r="I29" s="286"/>
      <c r="J29" s="286"/>
      <c r="K29" s="286"/>
      <c r="L29" s="286"/>
      <c r="M29" s="286"/>
      <c r="N29" s="286"/>
      <c r="O29" s="286"/>
      <c r="P29" s="286"/>
      <c r="Q29" s="437" t="e">
        <f t="shared" si="0"/>
        <v>#DIV/0!</v>
      </c>
      <c r="R29" s="383" t="e">
        <f t="shared" si="1"/>
        <v>#DIV/0!</v>
      </c>
      <c r="S29" s="450" t="e">
        <f t="shared" si="2"/>
        <v>#DIV/0!</v>
      </c>
      <c r="T29" s="383">
        <f t="shared" si="3"/>
        <v>0</v>
      </c>
      <c r="U29" s="286"/>
      <c r="V29" s="299">
        <v>11</v>
      </c>
      <c r="W29" s="299">
        <v>11</v>
      </c>
      <c r="X29" s="299">
        <v>11</v>
      </c>
      <c r="Y29" s="299">
        <v>11</v>
      </c>
      <c r="Z29" s="299">
        <v>11</v>
      </c>
      <c r="AA29" s="299">
        <v>11</v>
      </c>
      <c r="AB29" s="299">
        <v>11</v>
      </c>
      <c r="AC29" s="299">
        <v>11</v>
      </c>
      <c r="AD29" s="299">
        <v>11</v>
      </c>
      <c r="AE29" s="299">
        <v>11</v>
      </c>
      <c r="AF29" s="299">
        <v>11</v>
      </c>
      <c r="AG29" s="299">
        <v>11</v>
      </c>
      <c r="AH29" s="286"/>
      <c r="AI29" s="287">
        <v>11</v>
      </c>
      <c r="AJ29" s="287">
        <v>11</v>
      </c>
      <c r="AK29" s="287">
        <v>11</v>
      </c>
      <c r="AL29" s="287">
        <v>10</v>
      </c>
      <c r="AM29" s="287">
        <v>10</v>
      </c>
      <c r="AN29" s="287">
        <v>10</v>
      </c>
      <c r="AO29" s="287">
        <v>11</v>
      </c>
      <c r="AP29" s="287">
        <v>10</v>
      </c>
      <c r="AQ29" s="287">
        <v>10</v>
      </c>
      <c r="AR29" s="287">
        <v>11</v>
      </c>
      <c r="AS29" s="287">
        <v>11</v>
      </c>
      <c r="AT29" s="287">
        <v>11</v>
      </c>
      <c r="AU29" s="300" t="e">
        <f t="shared" si="13"/>
        <v>#DIV/0!</v>
      </c>
      <c r="AV29" s="300" t="e">
        <f t="shared" si="14"/>
        <v>#DIV/0!</v>
      </c>
      <c r="AW29" s="288"/>
      <c r="AY29" s="299">
        <v>11</v>
      </c>
      <c r="AZ29" s="299">
        <v>11</v>
      </c>
      <c r="BA29" s="299">
        <v>11</v>
      </c>
      <c r="BB29" s="299">
        <v>11</v>
      </c>
      <c r="BC29" s="299">
        <v>11</v>
      </c>
      <c r="BD29" s="299">
        <v>11</v>
      </c>
      <c r="BE29" s="299">
        <v>12</v>
      </c>
      <c r="BF29" s="299">
        <v>12</v>
      </c>
      <c r="BG29" s="299">
        <v>12</v>
      </c>
      <c r="BH29" s="299">
        <v>12</v>
      </c>
      <c r="BI29" s="299">
        <v>12</v>
      </c>
      <c r="BJ29" s="299">
        <v>12</v>
      </c>
      <c r="BL29" s="29"/>
      <c r="BM29" s="29"/>
      <c r="BN29" s="29"/>
      <c r="BO29" s="30"/>
      <c r="BP29" s="30"/>
      <c r="BQ29" s="30"/>
      <c r="BR29" s="30"/>
      <c r="BS29" s="30"/>
      <c r="BT29" s="30"/>
      <c r="BU29" s="30"/>
      <c r="BV29" s="30"/>
      <c r="BW29" s="30"/>
    </row>
    <row r="30" spans="1:75" ht="14.45" hidden="1" outlineLevel="1" x14ac:dyDescent="0.3">
      <c r="A30" s="54"/>
      <c r="B30" s="284"/>
      <c r="C30" s="285" t="s">
        <v>199</v>
      </c>
      <c r="D30" s="286"/>
      <c r="E30" s="286">
        <v>5</v>
      </c>
      <c r="F30" s="286">
        <v>5</v>
      </c>
      <c r="G30" s="286">
        <v>5</v>
      </c>
      <c r="H30" s="286">
        <v>5</v>
      </c>
      <c r="I30" s="286"/>
      <c r="J30" s="286"/>
      <c r="K30" s="286"/>
      <c r="L30" s="286"/>
      <c r="M30" s="286"/>
      <c r="N30" s="286"/>
      <c r="O30" s="286"/>
      <c r="P30" s="286"/>
      <c r="Q30" s="437" t="e">
        <f t="shared" si="0"/>
        <v>#DIV/0!</v>
      </c>
      <c r="R30" s="383" t="e">
        <f t="shared" si="1"/>
        <v>#DIV/0!</v>
      </c>
      <c r="S30" s="450" t="e">
        <f t="shared" si="2"/>
        <v>#DIV/0!</v>
      </c>
      <c r="T30" s="383">
        <f t="shared" si="3"/>
        <v>0</v>
      </c>
      <c r="U30" s="286"/>
      <c r="V30" s="299">
        <v>5</v>
      </c>
      <c r="W30" s="299">
        <v>5</v>
      </c>
      <c r="X30" s="299">
        <v>5</v>
      </c>
      <c r="Y30" s="299">
        <v>5</v>
      </c>
      <c r="Z30" s="299">
        <v>5</v>
      </c>
      <c r="AA30" s="299">
        <v>5</v>
      </c>
      <c r="AB30" s="299">
        <v>5</v>
      </c>
      <c r="AC30" s="299">
        <v>5</v>
      </c>
      <c r="AD30" s="299">
        <v>5</v>
      </c>
      <c r="AE30" s="299">
        <v>5</v>
      </c>
      <c r="AF30" s="299">
        <v>5</v>
      </c>
      <c r="AG30" s="299">
        <v>5</v>
      </c>
      <c r="AH30" s="286"/>
      <c r="AI30" s="287">
        <v>4</v>
      </c>
      <c r="AJ30" s="287">
        <v>4</v>
      </c>
      <c r="AK30" s="287">
        <v>4</v>
      </c>
      <c r="AL30" s="287">
        <v>5</v>
      </c>
      <c r="AM30" s="287">
        <v>5</v>
      </c>
      <c r="AN30" s="287">
        <v>5</v>
      </c>
      <c r="AO30" s="287">
        <v>5</v>
      </c>
      <c r="AP30" s="287">
        <v>5</v>
      </c>
      <c r="AQ30" s="287">
        <v>5</v>
      </c>
      <c r="AR30" s="287">
        <v>5</v>
      </c>
      <c r="AS30" s="287">
        <v>5</v>
      </c>
      <c r="AT30" s="287">
        <v>5</v>
      </c>
      <c r="AU30" s="300" t="e">
        <f t="shared" si="13"/>
        <v>#DIV/0!</v>
      </c>
      <c r="AV30" s="300" t="e">
        <f t="shared" si="14"/>
        <v>#DIV/0!</v>
      </c>
      <c r="AW30" s="288"/>
      <c r="AY30" s="299">
        <v>4</v>
      </c>
      <c r="AZ30" s="299">
        <v>4</v>
      </c>
      <c r="BA30" s="299">
        <v>5</v>
      </c>
      <c r="BB30" s="299">
        <v>5</v>
      </c>
      <c r="BC30" s="299">
        <v>5</v>
      </c>
      <c r="BD30" s="299">
        <v>5</v>
      </c>
      <c r="BE30" s="299">
        <v>5</v>
      </c>
      <c r="BF30" s="299">
        <v>5</v>
      </c>
      <c r="BG30" s="299">
        <v>5</v>
      </c>
      <c r="BH30" s="299">
        <v>5</v>
      </c>
      <c r="BI30" s="299">
        <v>5</v>
      </c>
      <c r="BJ30" s="299">
        <v>5</v>
      </c>
      <c r="BL30" s="29"/>
      <c r="BM30" s="29"/>
      <c r="BN30" s="29"/>
      <c r="BO30" s="30"/>
      <c r="BP30" s="30"/>
      <c r="BQ30" s="30"/>
      <c r="BR30" s="30"/>
      <c r="BS30" s="30"/>
      <c r="BT30" s="30"/>
      <c r="BU30" s="30"/>
      <c r="BV30" s="30"/>
      <c r="BW30" s="30"/>
    </row>
    <row r="31" spans="1:75" ht="14.45" hidden="1" outlineLevel="1" x14ac:dyDescent="0.3">
      <c r="A31" s="54"/>
      <c r="B31" s="284"/>
      <c r="C31" s="285" t="s">
        <v>200</v>
      </c>
      <c r="D31" s="286"/>
      <c r="E31" s="286">
        <v>3</v>
      </c>
      <c r="F31" s="286">
        <v>3</v>
      </c>
      <c r="G31" s="286">
        <v>3</v>
      </c>
      <c r="H31" s="286">
        <v>3</v>
      </c>
      <c r="I31" s="286"/>
      <c r="J31" s="286"/>
      <c r="K31" s="286"/>
      <c r="L31" s="286"/>
      <c r="M31" s="286"/>
      <c r="N31" s="286"/>
      <c r="O31" s="286"/>
      <c r="P31" s="286"/>
      <c r="Q31" s="437" t="e">
        <f t="shared" si="0"/>
        <v>#DIV/0!</v>
      </c>
      <c r="R31" s="383" t="e">
        <f t="shared" si="1"/>
        <v>#DIV/0!</v>
      </c>
      <c r="S31" s="450" t="e">
        <f t="shared" si="2"/>
        <v>#DIV/0!</v>
      </c>
      <c r="T31" s="383">
        <f t="shared" si="3"/>
        <v>0</v>
      </c>
      <c r="U31" s="286"/>
      <c r="V31" s="299">
        <v>3</v>
      </c>
      <c r="W31" s="299">
        <v>3</v>
      </c>
      <c r="X31" s="299">
        <v>3</v>
      </c>
      <c r="Y31" s="299">
        <v>3</v>
      </c>
      <c r="Z31" s="299">
        <v>3</v>
      </c>
      <c r="AA31" s="299">
        <v>3</v>
      </c>
      <c r="AB31" s="299">
        <v>3</v>
      </c>
      <c r="AC31" s="299">
        <v>3</v>
      </c>
      <c r="AD31" s="299">
        <v>3</v>
      </c>
      <c r="AE31" s="299">
        <v>3</v>
      </c>
      <c r="AF31" s="299">
        <v>3</v>
      </c>
      <c r="AG31" s="299">
        <v>3</v>
      </c>
      <c r="AH31" s="286"/>
      <c r="AI31" s="287">
        <v>3</v>
      </c>
      <c r="AJ31" s="287">
        <v>3</v>
      </c>
      <c r="AK31" s="287">
        <v>3</v>
      </c>
      <c r="AL31" s="287">
        <v>3</v>
      </c>
      <c r="AM31" s="287">
        <v>3</v>
      </c>
      <c r="AN31" s="287">
        <v>3</v>
      </c>
      <c r="AO31" s="287">
        <v>3</v>
      </c>
      <c r="AP31" s="287">
        <v>3</v>
      </c>
      <c r="AQ31" s="287">
        <v>3</v>
      </c>
      <c r="AR31" s="287">
        <v>3</v>
      </c>
      <c r="AS31" s="287">
        <v>3</v>
      </c>
      <c r="AT31" s="287">
        <v>3</v>
      </c>
      <c r="AU31" s="300" t="e">
        <f t="shared" si="13"/>
        <v>#DIV/0!</v>
      </c>
      <c r="AV31" s="300" t="e">
        <f t="shared" si="14"/>
        <v>#DIV/0!</v>
      </c>
      <c r="AW31" s="288"/>
      <c r="AY31" s="299">
        <v>3</v>
      </c>
      <c r="AZ31" s="299">
        <v>3</v>
      </c>
      <c r="BA31" s="299">
        <v>4</v>
      </c>
      <c r="BB31" s="299">
        <v>4</v>
      </c>
      <c r="BC31" s="299">
        <v>4</v>
      </c>
      <c r="BD31" s="299">
        <v>4</v>
      </c>
      <c r="BE31" s="299">
        <v>4</v>
      </c>
      <c r="BF31" s="299">
        <v>4</v>
      </c>
      <c r="BG31" s="299">
        <v>4</v>
      </c>
      <c r="BH31" s="299">
        <v>4</v>
      </c>
      <c r="BI31" s="299">
        <v>4</v>
      </c>
      <c r="BJ31" s="299">
        <v>4</v>
      </c>
      <c r="BL31" s="29"/>
      <c r="BM31" s="29"/>
      <c r="BN31" s="29"/>
      <c r="BO31" s="30"/>
      <c r="BP31" s="30"/>
      <c r="BQ31" s="30"/>
      <c r="BR31" s="30"/>
      <c r="BS31" s="30"/>
      <c r="BT31" s="30"/>
      <c r="BU31" s="30"/>
      <c r="BV31" s="30"/>
      <c r="BW31" s="30"/>
    </row>
    <row r="32" spans="1:75" collapsed="1" x14ac:dyDescent="0.25">
      <c r="A32" s="54">
        <v>642</v>
      </c>
      <c r="B32" s="292">
        <v>10</v>
      </c>
      <c r="C32" s="293" t="s">
        <v>10</v>
      </c>
      <c r="D32" s="292" t="s">
        <v>12</v>
      </c>
      <c r="E32" s="292">
        <f>SUM(E33:E34)</f>
        <v>39</v>
      </c>
      <c r="F32" s="292">
        <f>SUM(F33:F34)</f>
        <v>36</v>
      </c>
      <c r="G32" s="292">
        <f>SUM(G33:G34)</f>
        <v>42</v>
      </c>
      <c r="H32" s="292">
        <f>SUM(H33:H34)</f>
        <v>39</v>
      </c>
      <c r="I32" s="292"/>
      <c r="J32" s="292"/>
      <c r="K32" s="292"/>
      <c r="L32" s="292"/>
      <c r="M32" s="292"/>
      <c r="N32" s="292"/>
      <c r="O32" s="292"/>
      <c r="P32" s="292"/>
      <c r="Q32" s="436">
        <f t="shared" si="0"/>
        <v>39</v>
      </c>
      <c r="R32" s="382">
        <f t="shared" si="1"/>
        <v>45.666666666666664</v>
      </c>
      <c r="S32" s="452">
        <f t="shared" si="2"/>
        <v>39.5</v>
      </c>
      <c r="T32" s="382">
        <f t="shared" si="3"/>
        <v>31.5</v>
      </c>
      <c r="U32" s="292"/>
      <c r="V32" s="29">
        <v>40</v>
      </c>
      <c r="W32" s="29">
        <v>40</v>
      </c>
      <c r="X32" s="29">
        <v>40</v>
      </c>
      <c r="Y32" s="30">
        <v>40</v>
      </c>
      <c r="Z32" s="30">
        <v>45</v>
      </c>
      <c r="AA32" s="30">
        <v>49</v>
      </c>
      <c r="AB32" s="30">
        <v>49</v>
      </c>
      <c r="AC32" s="30">
        <v>49</v>
      </c>
      <c r="AD32" s="30">
        <v>49</v>
      </c>
      <c r="AE32" s="30">
        <v>49</v>
      </c>
      <c r="AF32" s="30">
        <v>49</v>
      </c>
      <c r="AG32" s="30">
        <v>49</v>
      </c>
      <c r="AH32" s="292"/>
      <c r="AI32" s="198">
        <v>36</v>
      </c>
      <c r="AJ32" s="198">
        <v>37</v>
      </c>
      <c r="AK32" s="198">
        <v>36</v>
      </c>
      <c r="AL32" s="198">
        <v>37</v>
      </c>
      <c r="AM32" s="198">
        <v>38</v>
      </c>
      <c r="AN32" s="198">
        <v>38</v>
      </c>
      <c r="AO32" s="198">
        <v>38</v>
      </c>
      <c r="AP32" s="198">
        <v>41</v>
      </c>
      <c r="AQ32" s="198">
        <v>43</v>
      </c>
      <c r="AR32" s="198">
        <v>43</v>
      </c>
      <c r="AS32" s="198">
        <v>43</v>
      </c>
      <c r="AT32" s="198">
        <v>44</v>
      </c>
      <c r="AU32" s="194">
        <f t="shared" si="4"/>
        <v>39.5</v>
      </c>
      <c r="AV32" s="194">
        <f t="shared" si="5"/>
        <v>36.666666666666664</v>
      </c>
      <c r="AW32" s="294">
        <f t="shared" si="6"/>
        <v>31.5</v>
      </c>
      <c r="AY32" s="29">
        <v>36</v>
      </c>
      <c r="AZ32" s="29">
        <v>36</v>
      </c>
      <c r="BA32" s="29">
        <v>36</v>
      </c>
      <c r="BB32" s="30">
        <v>36</v>
      </c>
      <c r="BC32" s="30">
        <v>37</v>
      </c>
      <c r="BD32" s="30">
        <v>37</v>
      </c>
      <c r="BE32" s="30">
        <v>37</v>
      </c>
      <c r="BF32" s="30">
        <v>37</v>
      </c>
      <c r="BG32" s="30">
        <v>37</v>
      </c>
      <c r="BH32" s="30">
        <v>37</v>
      </c>
      <c r="BI32" s="30">
        <v>37</v>
      </c>
      <c r="BJ32" s="30">
        <v>37</v>
      </c>
      <c r="BL32" s="29">
        <v>28</v>
      </c>
      <c r="BM32" s="29">
        <v>28</v>
      </c>
      <c r="BN32" s="29">
        <v>30</v>
      </c>
      <c r="BO32" s="30">
        <v>30</v>
      </c>
      <c r="BP32" s="30">
        <v>32</v>
      </c>
      <c r="BQ32" s="30">
        <v>32</v>
      </c>
      <c r="BR32" s="30">
        <v>32</v>
      </c>
      <c r="BS32" s="30">
        <v>31</v>
      </c>
      <c r="BT32" s="30">
        <v>32</v>
      </c>
      <c r="BU32" s="30">
        <v>33</v>
      </c>
      <c r="BV32" s="30">
        <v>35</v>
      </c>
      <c r="BW32" s="30">
        <v>35</v>
      </c>
    </row>
    <row r="33" spans="1:75" ht="14.45" hidden="1" outlineLevel="1" x14ac:dyDescent="0.3">
      <c r="A33" s="54"/>
      <c r="B33" s="284"/>
      <c r="C33" s="285" t="s">
        <v>179</v>
      </c>
      <c r="D33" s="286"/>
      <c r="E33" s="286">
        <v>14</v>
      </c>
      <c r="F33" s="286">
        <v>14</v>
      </c>
      <c r="G33" s="286">
        <v>20</v>
      </c>
      <c r="H33" s="286">
        <v>17</v>
      </c>
      <c r="I33" s="286"/>
      <c r="J33" s="286"/>
      <c r="K33" s="286"/>
      <c r="L33" s="286"/>
      <c r="M33" s="286"/>
      <c r="N33" s="286"/>
      <c r="O33" s="286"/>
      <c r="P33" s="286"/>
      <c r="Q33" s="437" t="e">
        <f t="shared" si="0"/>
        <v>#DIV/0!</v>
      </c>
      <c r="R33" s="383" t="e">
        <f t="shared" si="1"/>
        <v>#DIV/0!</v>
      </c>
      <c r="S33" s="450" t="e">
        <f t="shared" si="2"/>
        <v>#DIV/0!</v>
      </c>
      <c r="T33" s="383">
        <f t="shared" si="3"/>
        <v>0</v>
      </c>
      <c r="U33" s="286"/>
      <c r="V33" s="299">
        <v>16</v>
      </c>
      <c r="W33" s="299">
        <v>16</v>
      </c>
      <c r="X33" s="299">
        <v>16</v>
      </c>
      <c r="Y33" s="299">
        <v>16</v>
      </c>
      <c r="Z33" s="299">
        <v>21</v>
      </c>
      <c r="AA33" s="299">
        <v>25</v>
      </c>
      <c r="AB33" s="299">
        <v>25</v>
      </c>
      <c r="AC33" s="299">
        <v>25</v>
      </c>
      <c r="AD33" s="299">
        <v>25</v>
      </c>
      <c r="AE33" s="299">
        <v>25</v>
      </c>
      <c r="AF33" s="299">
        <v>25</v>
      </c>
      <c r="AG33" s="299">
        <v>25</v>
      </c>
      <c r="AH33" s="286"/>
      <c r="AI33" s="287">
        <v>17</v>
      </c>
      <c r="AJ33" s="287">
        <v>17</v>
      </c>
      <c r="AK33" s="287">
        <v>16</v>
      </c>
      <c r="AL33" s="287">
        <v>17</v>
      </c>
      <c r="AM33" s="287">
        <v>18</v>
      </c>
      <c r="AN33" s="287">
        <v>18</v>
      </c>
      <c r="AO33" s="287">
        <v>18</v>
      </c>
      <c r="AP33" s="287">
        <v>19</v>
      </c>
      <c r="AQ33" s="287">
        <v>19</v>
      </c>
      <c r="AR33" s="287">
        <v>18</v>
      </c>
      <c r="AS33" s="287">
        <v>18</v>
      </c>
      <c r="AT33" s="287">
        <v>19</v>
      </c>
      <c r="AU33" s="301" t="e">
        <f t="shared" ref="AU33:AU34" si="15">SUBTOTAL(1,AI33:AT33)</f>
        <v>#DIV/0!</v>
      </c>
      <c r="AV33" s="301" t="e">
        <f t="shared" ref="AV33:AV34" si="16">SUBTOTAL(1,AY33:BJ33)</f>
        <v>#DIV/0!</v>
      </c>
      <c r="AW33" s="288"/>
      <c r="AY33" s="299">
        <v>20</v>
      </c>
      <c r="AZ33" s="299">
        <v>20</v>
      </c>
      <c r="BA33" s="299">
        <v>20</v>
      </c>
      <c r="BB33" s="299">
        <v>20</v>
      </c>
      <c r="BC33" s="299">
        <v>20</v>
      </c>
      <c r="BD33" s="299">
        <v>20</v>
      </c>
      <c r="BE33" s="299">
        <v>20</v>
      </c>
      <c r="BF33" s="299">
        <v>20</v>
      </c>
      <c r="BG33" s="299">
        <v>20</v>
      </c>
      <c r="BH33" s="299">
        <v>20</v>
      </c>
      <c r="BI33" s="299">
        <v>20</v>
      </c>
      <c r="BJ33" s="299">
        <v>20</v>
      </c>
      <c r="BL33" s="29"/>
      <c r="BM33" s="29"/>
      <c r="BN33" s="29"/>
      <c r="BO33" s="30"/>
      <c r="BP33" s="30"/>
      <c r="BQ33" s="30"/>
      <c r="BR33" s="30"/>
      <c r="BS33" s="30"/>
      <c r="BT33" s="30"/>
      <c r="BU33" s="30"/>
      <c r="BV33" s="30"/>
      <c r="BW33" s="30"/>
    </row>
    <row r="34" spans="1:75" ht="14.45" hidden="1" outlineLevel="1" x14ac:dyDescent="0.3">
      <c r="A34" s="54"/>
      <c r="B34" s="284"/>
      <c r="C34" s="285" t="s">
        <v>181</v>
      </c>
      <c r="D34" s="286"/>
      <c r="E34" s="286">
        <v>25</v>
      </c>
      <c r="F34" s="286">
        <v>22</v>
      </c>
      <c r="G34" s="286">
        <v>22</v>
      </c>
      <c r="H34" s="286">
        <v>22</v>
      </c>
      <c r="I34" s="286"/>
      <c r="J34" s="286"/>
      <c r="K34" s="286"/>
      <c r="L34" s="286"/>
      <c r="M34" s="286"/>
      <c r="N34" s="286"/>
      <c r="O34" s="286"/>
      <c r="P34" s="286"/>
      <c r="Q34" s="437" t="e">
        <f t="shared" si="0"/>
        <v>#DIV/0!</v>
      </c>
      <c r="R34" s="383" t="e">
        <f t="shared" si="1"/>
        <v>#DIV/0!</v>
      </c>
      <c r="S34" s="450" t="e">
        <f t="shared" si="2"/>
        <v>#DIV/0!</v>
      </c>
      <c r="T34" s="383">
        <f t="shared" si="3"/>
        <v>0</v>
      </c>
      <c r="U34" s="286"/>
      <c r="V34" s="299">
        <v>24</v>
      </c>
      <c r="W34" s="299">
        <v>24</v>
      </c>
      <c r="X34" s="299">
        <v>24</v>
      </c>
      <c r="Y34" s="299">
        <v>24</v>
      </c>
      <c r="Z34" s="299">
        <v>24</v>
      </c>
      <c r="AA34" s="299">
        <v>24</v>
      </c>
      <c r="AB34" s="299">
        <v>24</v>
      </c>
      <c r="AC34" s="299">
        <v>24</v>
      </c>
      <c r="AD34" s="299">
        <v>24</v>
      </c>
      <c r="AE34" s="299">
        <v>24</v>
      </c>
      <c r="AF34" s="299">
        <v>24</v>
      </c>
      <c r="AG34" s="299">
        <v>24</v>
      </c>
      <c r="AH34" s="286"/>
      <c r="AI34" s="287">
        <v>19</v>
      </c>
      <c r="AJ34" s="287">
        <v>20</v>
      </c>
      <c r="AK34" s="287">
        <v>20</v>
      </c>
      <c r="AL34" s="287">
        <v>20</v>
      </c>
      <c r="AM34" s="287">
        <v>20</v>
      </c>
      <c r="AN34" s="287">
        <v>20</v>
      </c>
      <c r="AO34" s="287">
        <v>20</v>
      </c>
      <c r="AP34" s="287">
        <v>22</v>
      </c>
      <c r="AQ34" s="287">
        <v>24</v>
      </c>
      <c r="AR34" s="287">
        <v>25</v>
      </c>
      <c r="AS34" s="287">
        <v>25</v>
      </c>
      <c r="AT34" s="287">
        <v>25</v>
      </c>
      <c r="AU34" s="301" t="e">
        <f t="shared" si="15"/>
        <v>#DIV/0!</v>
      </c>
      <c r="AV34" s="301" t="e">
        <f t="shared" si="16"/>
        <v>#DIV/0!</v>
      </c>
      <c r="AW34" s="288"/>
      <c r="AY34" s="299">
        <v>16</v>
      </c>
      <c r="AZ34" s="299">
        <v>16</v>
      </c>
      <c r="BA34" s="299">
        <v>16</v>
      </c>
      <c r="BB34" s="299">
        <v>16</v>
      </c>
      <c r="BC34" s="299">
        <v>17</v>
      </c>
      <c r="BD34" s="299">
        <v>17</v>
      </c>
      <c r="BE34" s="299">
        <v>17</v>
      </c>
      <c r="BF34" s="299">
        <v>17</v>
      </c>
      <c r="BG34" s="299">
        <v>17</v>
      </c>
      <c r="BH34" s="299">
        <v>17</v>
      </c>
      <c r="BI34" s="299">
        <v>17</v>
      </c>
      <c r="BJ34" s="299">
        <v>17</v>
      </c>
      <c r="BL34" s="29"/>
      <c r="BM34" s="29"/>
      <c r="BN34" s="29"/>
      <c r="BO34" s="30"/>
      <c r="BP34" s="30"/>
      <c r="BQ34" s="30"/>
      <c r="BR34" s="30"/>
      <c r="BS34" s="30"/>
      <c r="BT34" s="30"/>
      <c r="BU34" s="30"/>
      <c r="BV34" s="30"/>
      <c r="BW34" s="30"/>
    </row>
    <row r="35" spans="1:75" collapsed="1" x14ac:dyDescent="0.25">
      <c r="A35" s="55">
        <v>627</v>
      </c>
      <c r="B35" s="292">
        <v>11</v>
      </c>
      <c r="C35" s="293" t="s">
        <v>8</v>
      </c>
      <c r="D35" s="292" t="s">
        <v>12</v>
      </c>
      <c r="E35" s="292">
        <f>SUM(E36:E39)</f>
        <v>85</v>
      </c>
      <c r="F35" s="292">
        <f>SUM(F36:F39)</f>
        <v>83</v>
      </c>
      <c r="G35" s="292">
        <f>SUM(G36:G39)</f>
        <v>79</v>
      </c>
      <c r="H35" s="292">
        <f>SUM(H36:H39)</f>
        <v>86</v>
      </c>
      <c r="I35" s="292"/>
      <c r="J35" s="292"/>
      <c r="K35" s="292"/>
      <c r="L35" s="292"/>
      <c r="M35" s="292"/>
      <c r="N35" s="292"/>
      <c r="O35" s="292"/>
      <c r="P35" s="292"/>
      <c r="Q35" s="436">
        <f t="shared" si="0"/>
        <v>83.25</v>
      </c>
      <c r="R35" s="382">
        <f t="shared" si="1"/>
        <v>103.66666666666667</v>
      </c>
      <c r="S35" s="452">
        <f t="shared" si="2"/>
        <v>88.833333333333329</v>
      </c>
      <c r="T35" s="382">
        <f t="shared" si="3"/>
        <v>76.75</v>
      </c>
      <c r="U35" s="292"/>
      <c r="V35" s="29">
        <f>SUM(V36:V39)</f>
        <v>96</v>
      </c>
      <c r="W35" s="29">
        <f t="shared" ref="W35:AG35" si="17">SUM(W36:W39)</f>
        <v>96</v>
      </c>
      <c r="X35" s="29">
        <f t="shared" si="17"/>
        <v>104</v>
      </c>
      <c r="Y35" s="30">
        <f t="shared" si="17"/>
        <v>104</v>
      </c>
      <c r="Z35" s="30">
        <f t="shared" si="17"/>
        <v>105</v>
      </c>
      <c r="AA35" s="30">
        <f t="shared" si="17"/>
        <v>105</v>
      </c>
      <c r="AB35" s="30">
        <f t="shared" si="17"/>
        <v>105</v>
      </c>
      <c r="AC35" s="30">
        <f t="shared" si="17"/>
        <v>105</v>
      </c>
      <c r="AD35" s="30">
        <f t="shared" si="17"/>
        <v>106</v>
      </c>
      <c r="AE35" s="30">
        <f t="shared" si="17"/>
        <v>106</v>
      </c>
      <c r="AF35" s="30">
        <f t="shared" si="17"/>
        <v>106</v>
      </c>
      <c r="AG35" s="30">
        <f t="shared" si="17"/>
        <v>106</v>
      </c>
      <c r="AH35" s="292"/>
      <c r="AI35" s="198">
        <v>91</v>
      </c>
      <c r="AJ35" s="198">
        <v>92</v>
      </c>
      <c r="AK35" s="198">
        <v>94</v>
      </c>
      <c r="AL35" s="198">
        <v>93</v>
      </c>
      <c r="AM35" s="198">
        <v>87</v>
      </c>
      <c r="AN35" s="198">
        <v>86</v>
      </c>
      <c r="AO35" s="198">
        <v>89</v>
      </c>
      <c r="AP35" s="198">
        <v>90</v>
      </c>
      <c r="AQ35" s="198">
        <v>92</v>
      </c>
      <c r="AR35" s="198">
        <v>87</v>
      </c>
      <c r="AS35" s="198">
        <v>83</v>
      </c>
      <c r="AT35" s="198">
        <f>AT36+AT37+AT38+AT39</f>
        <v>82</v>
      </c>
      <c r="AU35" s="194">
        <f t="shared" si="4"/>
        <v>88.833333333333329</v>
      </c>
      <c r="AV35" s="194">
        <f t="shared" si="5"/>
        <v>114.33333333333333</v>
      </c>
      <c r="AW35" s="294">
        <f t="shared" si="6"/>
        <v>76.75</v>
      </c>
      <c r="AY35" s="29">
        <v>107</v>
      </c>
      <c r="AZ35" s="29">
        <v>109</v>
      </c>
      <c r="BA35" s="29">
        <v>112</v>
      </c>
      <c r="BB35" s="30">
        <v>113</v>
      </c>
      <c r="BC35" s="30">
        <v>115</v>
      </c>
      <c r="BD35" s="30">
        <v>115</v>
      </c>
      <c r="BE35" s="30">
        <v>116</v>
      </c>
      <c r="BF35" s="30">
        <v>117</v>
      </c>
      <c r="BG35" s="30">
        <v>117</v>
      </c>
      <c r="BH35" s="30">
        <v>117</v>
      </c>
      <c r="BI35" s="30">
        <v>117</v>
      </c>
      <c r="BJ35" s="30">
        <v>117</v>
      </c>
      <c r="BL35" s="29">
        <v>52</v>
      </c>
      <c r="BM35" s="29">
        <v>54</v>
      </c>
      <c r="BN35" s="29">
        <v>63</v>
      </c>
      <c r="BO35" s="30">
        <v>66</v>
      </c>
      <c r="BP35" s="30">
        <v>72</v>
      </c>
      <c r="BQ35" s="30">
        <v>78</v>
      </c>
      <c r="BR35" s="30">
        <v>83</v>
      </c>
      <c r="BS35" s="30">
        <v>85</v>
      </c>
      <c r="BT35" s="30">
        <v>91</v>
      </c>
      <c r="BU35" s="30">
        <v>92</v>
      </c>
      <c r="BV35" s="30">
        <v>90</v>
      </c>
      <c r="BW35" s="30">
        <v>95</v>
      </c>
    </row>
    <row r="36" spans="1:75" ht="32.65" hidden="1" customHeight="1" outlineLevel="1" x14ac:dyDescent="0.3">
      <c r="A36" s="54"/>
      <c r="B36" s="284"/>
      <c r="C36" s="285" t="s">
        <v>202</v>
      </c>
      <c r="D36" s="286"/>
      <c r="E36" s="286">
        <v>12</v>
      </c>
      <c r="F36" s="286">
        <v>11</v>
      </c>
      <c r="G36" s="286">
        <v>12</v>
      </c>
      <c r="H36" s="286">
        <v>12</v>
      </c>
      <c r="I36" s="286"/>
      <c r="J36" s="286"/>
      <c r="K36" s="286"/>
      <c r="L36" s="286"/>
      <c r="M36" s="286"/>
      <c r="N36" s="286"/>
      <c r="O36" s="286"/>
      <c r="P36" s="286"/>
      <c r="Q36" s="437" t="e">
        <f t="shared" si="0"/>
        <v>#DIV/0!</v>
      </c>
      <c r="R36" s="383" t="e">
        <f t="shared" si="1"/>
        <v>#DIV/0!</v>
      </c>
      <c r="S36" s="450" t="e">
        <f t="shared" si="2"/>
        <v>#DIV/0!</v>
      </c>
      <c r="T36" s="383">
        <f t="shared" si="3"/>
        <v>0</v>
      </c>
      <c r="U36" s="286"/>
      <c r="V36" s="299">
        <v>12</v>
      </c>
      <c r="W36" s="299">
        <v>12</v>
      </c>
      <c r="X36" s="299">
        <v>12</v>
      </c>
      <c r="Y36" s="299">
        <v>12</v>
      </c>
      <c r="Z36" s="299">
        <v>12</v>
      </c>
      <c r="AA36" s="299">
        <v>12</v>
      </c>
      <c r="AB36" s="299">
        <v>12</v>
      </c>
      <c r="AC36" s="299">
        <v>12</v>
      </c>
      <c r="AD36" s="299">
        <v>12</v>
      </c>
      <c r="AE36" s="299">
        <v>12</v>
      </c>
      <c r="AF36" s="299">
        <v>12</v>
      </c>
      <c r="AG36" s="299">
        <v>12</v>
      </c>
      <c r="AH36" s="286"/>
      <c r="AI36" s="287">
        <v>11</v>
      </c>
      <c r="AJ36" s="287">
        <v>12</v>
      </c>
      <c r="AK36" s="287">
        <v>12</v>
      </c>
      <c r="AL36" s="287">
        <v>13</v>
      </c>
      <c r="AM36" s="287">
        <v>12</v>
      </c>
      <c r="AN36" s="287">
        <v>11</v>
      </c>
      <c r="AO36" s="287">
        <v>12</v>
      </c>
      <c r="AP36" s="287">
        <v>12</v>
      </c>
      <c r="AQ36" s="287">
        <v>11</v>
      </c>
      <c r="AR36" s="287">
        <v>11</v>
      </c>
      <c r="AS36" s="287">
        <v>11</v>
      </c>
      <c r="AT36" s="287">
        <v>11</v>
      </c>
      <c r="AU36" s="301" t="e">
        <f t="shared" si="4"/>
        <v>#DIV/0!</v>
      </c>
      <c r="AV36" s="301" t="e">
        <f t="shared" si="5"/>
        <v>#DIV/0!</v>
      </c>
      <c r="AW36" s="288"/>
      <c r="AY36" s="299">
        <v>10</v>
      </c>
      <c r="AZ36" s="299">
        <v>10</v>
      </c>
      <c r="BA36" s="299">
        <v>10</v>
      </c>
      <c r="BB36" s="299">
        <v>10</v>
      </c>
      <c r="BC36" s="299">
        <v>10</v>
      </c>
      <c r="BD36" s="299">
        <v>10</v>
      </c>
      <c r="BE36" s="299">
        <v>11</v>
      </c>
      <c r="BF36" s="299">
        <v>12</v>
      </c>
      <c r="BG36" s="299">
        <v>12</v>
      </c>
      <c r="BH36" s="299">
        <v>12</v>
      </c>
      <c r="BI36" s="299">
        <v>12</v>
      </c>
      <c r="BJ36" s="299">
        <v>12</v>
      </c>
      <c r="BL36" s="29"/>
      <c r="BM36" s="29"/>
      <c r="BN36" s="29"/>
      <c r="BO36" s="30"/>
      <c r="BP36" s="30"/>
      <c r="BQ36" s="30"/>
      <c r="BR36" s="30"/>
      <c r="BS36" s="30"/>
      <c r="BT36" s="30"/>
      <c r="BU36" s="30"/>
      <c r="BV36" s="30"/>
      <c r="BW36" s="30"/>
    </row>
    <row r="37" spans="1:75" ht="14.45" hidden="1" outlineLevel="1" x14ac:dyDescent="0.3">
      <c r="A37" s="54"/>
      <c r="B37" s="284"/>
      <c r="C37" s="285" t="s">
        <v>203</v>
      </c>
      <c r="D37" s="286"/>
      <c r="E37" s="286">
        <v>26</v>
      </c>
      <c r="F37" s="286">
        <v>28</v>
      </c>
      <c r="G37" s="286">
        <v>28</v>
      </c>
      <c r="H37" s="286">
        <v>28</v>
      </c>
      <c r="I37" s="286"/>
      <c r="J37" s="286"/>
      <c r="K37" s="286"/>
      <c r="L37" s="286"/>
      <c r="M37" s="286"/>
      <c r="N37" s="286"/>
      <c r="O37" s="286"/>
      <c r="P37" s="286"/>
      <c r="Q37" s="437" t="e">
        <f t="shared" si="0"/>
        <v>#DIV/0!</v>
      </c>
      <c r="R37" s="383" t="e">
        <f t="shared" si="1"/>
        <v>#DIV/0!</v>
      </c>
      <c r="S37" s="450" t="e">
        <f t="shared" si="2"/>
        <v>#DIV/0!</v>
      </c>
      <c r="T37" s="383">
        <f t="shared" si="3"/>
        <v>0</v>
      </c>
      <c r="U37" s="286"/>
      <c r="V37" s="299">
        <v>31</v>
      </c>
      <c r="W37" s="299">
        <v>31</v>
      </c>
      <c r="X37" s="299">
        <v>32</v>
      </c>
      <c r="Y37" s="299">
        <v>32</v>
      </c>
      <c r="Z37" s="299">
        <v>33</v>
      </c>
      <c r="AA37" s="299">
        <v>33</v>
      </c>
      <c r="AB37" s="299">
        <v>33</v>
      </c>
      <c r="AC37" s="299">
        <v>33</v>
      </c>
      <c r="AD37" s="299">
        <v>34</v>
      </c>
      <c r="AE37" s="299">
        <v>34</v>
      </c>
      <c r="AF37" s="299">
        <v>34</v>
      </c>
      <c r="AG37" s="299">
        <v>34</v>
      </c>
      <c r="AH37" s="286"/>
      <c r="AI37" s="287">
        <v>28</v>
      </c>
      <c r="AJ37" s="287">
        <v>27</v>
      </c>
      <c r="AK37" s="287">
        <v>32</v>
      </c>
      <c r="AL37" s="287">
        <v>30</v>
      </c>
      <c r="AM37" s="287">
        <v>31</v>
      </c>
      <c r="AN37" s="287">
        <v>30</v>
      </c>
      <c r="AO37" s="287">
        <v>31</v>
      </c>
      <c r="AP37" s="287">
        <v>31</v>
      </c>
      <c r="AQ37" s="287">
        <v>31</v>
      </c>
      <c r="AR37" s="287">
        <v>29</v>
      </c>
      <c r="AS37" s="287">
        <v>27</v>
      </c>
      <c r="AT37" s="287">
        <v>27</v>
      </c>
      <c r="AU37" s="301" t="e">
        <f t="shared" si="4"/>
        <v>#DIV/0!</v>
      </c>
      <c r="AV37" s="301" t="e">
        <f t="shared" si="5"/>
        <v>#DIV/0!</v>
      </c>
      <c r="AW37" s="288"/>
      <c r="AY37" s="299">
        <v>28</v>
      </c>
      <c r="AZ37" s="299">
        <v>29</v>
      </c>
      <c r="BA37" s="299">
        <v>31</v>
      </c>
      <c r="BB37" s="299">
        <v>31</v>
      </c>
      <c r="BC37" s="299">
        <v>31</v>
      </c>
      <c r="BD37" s="299">
        <v>31</v>
      </c>
      <c r="BE37" s="299">
        <v>31</v>
      </c>
      <c r="BF37" s="299">
        <v>31</v>
      </c>
      <c r="BG37" s="299">
        <v>31</v>
      </c>
      <c r="BH37" s="299">
        <v>31</v>
      </c>
      <c r="BI37" s="299">
        <v>31</v>
      </c>
      <c r="BJ37" s="299">
        <v>31</v>
      </c>
      <c r="BL37" s="29"/>
      <c r="BM37" s="29"/>
      <c r="BN37" s="29"/>
      <c r="BO37" s="30"/>
      <c r="BP37" s="30"/>
      <c r="BQ37" s="30"/>
      <c r="BR37" s="30"/>
      <c r="BS37" s="30"/>
      <c r="BT37" s="30"/>
      <c r="BU37" s="30"/>
      <c r="BV37" s="30"/>
      <c r="BW37" s="30"/>
    </row>
    <row r="38" spans="1:75" ht="14.45" hidden="1" outlineLevel="1" x14ac:dyDescent="0.3">
      <c r="A38" s="54"/>
      <c r="B38" s="284"/>
      <c r="C38" s="285" t="s">
        <v>206</v>
      </c>
      <c r="D38" s="286"/>
      <c r="E38" s="286">
        <v>4</v>
      </c>
      <c r="F38" s="286">
        <v>4</v>
      </c>
      <c r="G38" s="286">
        <v>4</v>
      </c>
      <c r="H38" s="286">
        <v>4</v>
      </c>
      <c r="I38" s="286"/>
      <c r="J38" s="286"/>
      <c r="K38" s="286"/>
      <c r="L38" s="286"/>
      <c r="M38" s="286"/>
      <c r="N38" s="286"/>
      <c r="O38" s="286"/>
      <c r="P38" s="286"/>
      <c r="Q38" s="437" t="e">
        <f t="shared" si="0"/>
        <v>#DIV/0!</v>
      </c>
      <c r="R38" s="383" t="e">
        <f t="shared" si="1"/>
        <v>#DIV/0!</v>
      </c>
      <c r="S38" s="450" t="e">
        <f t="shared" si="2"/>
        <v>#DIV/0!</v>
      </c>
      <c r="T38" s="383">
        <f t="shared" si="3"/>
        <v>0</v>
      </c>
      <c r="U38" s="286"/>
      <c r="V38" s="299">
        <v>4</v>
      </c>
      <c r="W38" s="299">
        <v>4</v>
      </c>
      <c r="X38" s="299">
        <v>4</v>
      </c>
      <c r="Y38" s="299">
        <v>4</v>
      </c>
      <c r="Z38" s="299">
        <v>4</v>
      </c>
      <c r="AA38" s="299">
        <v>4</v>
      </c>
      <c r="AB38" s="299">
        <v>4</v>
      </c>
      <c r="AC38" s="299">
        <v>4</v>
      </c>
      <c r="AD38" s="299">
        <v>4</v>
      </c>
      <c r="AE38" s="299">
        <v>4</v>
      </c>
      <c r="AF38" s="299">
        <v>4</v>
      </c>
      <c r="AG38" s="299">
        <v>4</v>
      </c>
      <c r="AH38" s="286"/>
      <c r="AI38" s="287">
        <v>3</v>
      </c>
      <c r="AJ38" s="287">
        <v>3</v>
      </c>
      <c r="AK38" s="287">
        <v>3</v>
      </c>
      <c r="AL38" s="287">
        <v>3</v>
      </c>
      <c r="AM38" s="287">
        <v>3</v>
      </c>
      <c r="AN38" s="287">
        <v>4</v>
      </c>
      <c r="AO38" s="287">
        <v>4</v>
      </c>
      <c r="AP38" s="287">
        <v>4</v>
      </c>
      <c r="AQ38" s="287">
        <v>4</v>
      </c>
      <c r="AR38" s="287">
        <v>4</v>
      </c>
      <c r="AS38" s="287">
        <v>4</v>
      </c>
      <c r="AT38" s="287">
        <v>4</v>
      </c>
      <c r="AU38" s="301" t="e">
        <f t="shared" si="4"/>
        <v>#DIV/0!</v>
      </c>
      <c r="AV38" s="301" t="e">
        <f t="shared" si="5"/>
        <v>#DIV/0!</v>
      </c>
      <c r="AW38" s="288"/>
      <c r="AY38" s="299">
        <v>3</v>
      </c>
      <c r="AZ38" s="299">
        <v>3</v>
      </c>
      <c r="BA38" s="299">
        <v>3</v>
      </c>
      <c r="BB38" s="299">
        <v>4</v>
      </c>
      <c r="BC38" s="299">
        <v>4</v>
      </c>
      <c r="BD38" s="299">
        <v>4</v>
      </c>
      <c r="BE38" s="299">
        <v>4</v>
      </c>
      <c r="BF38" s="299">
        <v>4</v>
      </c>
      <c r="BG38" s="299">
        <v>4</v>
      </c>
      <c r="BH38" s="299">
        <v>4</v>
      </c>
      <c r="BI38" s="299">
        <v>4</v>
      </c>
      <c r="BJ38" s="299">
        <v>4</v>
      </c>
      <c r="BL38" s="29"/>
      <c r="BM38" s="29"/>
      <c r="BN38" s="29"/>
      <c r="BO38" s="30"/>
      <c r="BP38" s="30"/>
      <c r="BQ38" s="30"/>
      <c r="BR38" s="30"/>
      <c r="BS38" s="30"/>
      <c r="BT38" s="30"/>
      <c r="BU38" s="30"/>
      <c r="BV38" s="30"/>
      <c r="BW38" s="30"/>
    </row>
    <row r="39" spans="1:75" ht="14.45" hidden="1" outlineLevel="1" x14ac:dyDescent="0.3">
      <c r="A39" s="54"/>
      <c r="B39" s="284"/>
      <c r="C39" s="285" t="s">
        <v>207</v>
      </c>
      <c r="D39" s="286"/>
      <c r="E39" s="286">
        <v>43</v>
      </c>
      <c r="F39" s="286">
        <v>40</v>
      </c>
      <c r="G39" s="286">
        <v>35</v>
      </c>
      <c r="H39" s="286">
        <v>42</v>
      </c>
      <c r="I39" s="286"/>
      <c r="J39" s="286"/>
      <c r="K39" s="286"/>
      <c r="L39" s="286"/>
      <c r="M39" s="286"/>
      <c r="N39" s="286"/>
      <c r="O39" s="286"/>
      <c r="P39" s="286"/>
      <c r="Q39" s="437" t="e">
        <f t="shared" si="0"/>
        <v>#DIV/0!</v>
      </c>
      <c r="R39" s="383" t="e">
        <f t="shared" si="1"/>
        <v>#DIV/0!</v>
      </c>
      <c r="S39" s="450" t="e">
        <f t="shared" si="2"/>
        <v>#DIV/0!</v>
      </c>
      <c r="T39" s="383">
        <f t="shared" si="3"/>
        <v>0</v>
      </c>
      <c r="U39" s="286"/>
      <c r="V39" s="299">
        <v>49</v>
      </c>
      <c r="W39" s="299">
        <v>49</v>
      </c>
      <c r="X39" s="299">
        <v>56</v>
      </c>
      <c r="Y39" s="299">
        <v>56</v>
      </c>
      <c r="Z39" s="299">
        <v>56</v>
      </c>
      <c r="AA39" s="299">
        <v>56</v>
      </c>
      <c r="AB39" s="299">
        <v>56</v>
      </c>
      <c r="AC39" s="299">
        <v>56</v>
      </c>
      <c r="AD39" s="299">
        <v>56</v>
      </c>
      <c r="AE39" s="299">
        <v>56</v>
      </c>
      <c r="AF39" s="299">
        <v>56</v>
      </c>
      <c r="AG39" s="299">
        <v>56</v>
      </c>
      <c r="AH39" s="286"/>
      <c r="AI39" s="287">
        <v>49</v>
      </c>
      <c r="AJ39" s="287">
        <v>50</v>
      </c>
      <c r="AK39" s="287">
        <v>47</v>
      </c>
      <c r="AL39" s="287">
        <v>47</v>
      </c>
      <c r="AM39" s="287">
        <v>41</v>
      </c>
      <c r="AN39" s="287">
        <v>41</v>
      </c>
      <c r="AO39" s="287">
        <v>42</v>
      </c>
      <c r="AP39" s="287">
        <v>43</v>
      </c>
      <c r="AQ39" s="287">
        <v>46</v>
      </c>
      <c r="AR39" s="287">
        <v>43</v>
      </c>
      <c r="AS39" s="287">
        <v>41</v>
      </c>
      <c r="AT39" s="287">
        <v>40</v>
      </c>
      <c r="AU39" s="301" t="e">
        <f t="shared" si="4"/>
        <v>#DIV/0!</v>
      </c>
      <c r="AV39" s="301" t="e">
        <f t="shared" si="5"/>
        <v>#DIV/0!</v>
      </c>
      <c r="AW39" s="288"/>
      <c r="AY39" s="299">
        <v>66</v>
      </c>
      <c r="AZ39" s="299">
        <v>67</v>
      </c>
      <c r="BA39" s="299">
        <v>68</v>
      </c>
      <c r="BB39" s="299">
        <v>68</v>
      </c>
      <c r="BC39" s="299">
        <v>70</v>
      </c>
      <c r="BD39" s="299">
        <v>70</v>
      </c>
      <c r="BE39" s="299">
        <v>70</v>
      </c>
      <c r="BF39" s="299">
        <v>70</v>
      </c>
      <c r="BG39" s="299">
        <v>70</v>
      </c>
      <c r="BH39" s="299">
        <v>70</v>
      </c>
      <c r="BI39" s="299">
        <v>70</v>
      </c>
      <c r="BJ39" s="299">
        <v>70</v>
      </c>
      <c r="BL39" s="29"/>
      <c r="BM39" s="29"/>
      <c r="BN39" s="29"/>
      <c r="BO39" s="30"/>
      <c r="BP39" s="30"/>
      <c r="BQ39" s="30"/>
      <c r="BR39" s="30"/>
      <c r="BS39" s="30"/>
      <c r="BT39" s="30"/>
      <c r="BU39" s="30"/>
      <c r="BV39" s="30"/>
      <c r="BW39" s="30"/>
    </row>
    <row r="40" spans="1:75" collapsed="1" x14ac:dyDescent="0.25">
      <c r="A40" s="57">
        <v>622</v>
      </c>
      <c r="B40" s="292"/>
      <c r="C40" s="293" t="s">
        <v>8</v>
      </c>
      <c r="D40" s="292" t="s">
        <v>13</v>
      </c>
      <c r="E40" s="292">
        <f>SUM(E41:E46)</f>
        <v>236</v>
      </c>
      <c r="F40" s="292">
        <f>SUM(F41:F46)</f>
        <v>212</v>
      </c>
      <c r="G40" s="292">
        <f>SUM(G41:G46)</f>
        <v>222</v>
      </c>
      <c r="H40" s="292">
        <f>SUM(H41:H46)</f>
        <v>208</v>
      </c>
      <c r="I40" s="292"/>
      <c r="J40" s="292"/>
      <c r="K40" s="292"/>
      <c r="L40" s="292"/>
      <c r="M40" s="292"/>
      <c r="N40" s="292"/>
      <c r="O40" s="292"/>
      <c r="P40" s="292"/>
      <c r="Q40" s="436">
        <f t="shared" si="0"/>
        <v>219.5</v>
      </c>
      <c r="R40" s="382">
        <f>SUBTOTAL(1,V40:AG40)</f>
        <v>263.75</v>
      </c>
      <c r="S40" s="452">
        <f>AU40</f>
        <v>256</v>
      </c>
      <c r="T40" s="382">
        <f t="shared" si="3"/>
        <v>206.41666666666666</v>
      </c>
      <c r="U40" s="292"/>
      <c r="V40" s="32">
        <f>SUM(V41:V47)</f>
        <v>270</v>
      </c>
      <c r="W40" s="32">
        <f t="shared" ref="W40:AG40" si="18">SUM(W41:W47)</f>
        <v>259</v>
      </c>
      <c r="X40" s="32">
        <f t="shared" si="18"/>
        <v>260</v>
      </c>
      <c r="Y40" s="33">
        <f t="shared" si="18"/>
        <v>264</v>
      </c>
      <c r="Z40" s="33">
        <f t="shared" si="18"/>
        <v>264</v>
      </c>
      <c r="AA40" s="33">
        <f t="shared" si="18"/>
        <v>264</v>
      </c>
      <c r="AB40" s="33">
        <f t="shared" si="18"/>
        <v>264</v>
      </c>
      <c r="AC40" s="33">
        <f t="shared" si="18"/>
        <v>264</v>
      </c>
      <c r="AD40" s="33">
        <f t="shared" si="18"/>
        <v>264</v>
      </c>
      <c r="AE40" s="33">
        <f t="shared" si="18"/>
        <v>264</v>
      </c>
      <c r="AF40" s="33">
        <f t="shared" si="18"/>
        <v>264</v>
      </c>
      <c r="AG40" s="33">
        <f t="shared" si="18"/>
        <v>264</v>
      </c>
      <c r="AH40" s="292"/>
      <c r="AI40" s="198">
        <v>218</v>
      </c>
      <c r="AJ40" s="198">
        <v>233</v>
      </c>
      <c r="AK40" s="198">
        <v>237</v>
      </c>
      <c r="AL40" s="198">
        <v>244</v>
      </c>
      <c r="AM40" s="198">
        <v>241</v>
      </c>
      <c r="AN40" s="198">
        <v>249</v>
      </c>
      <c r="AO40" s="198">
        <v>259</v>
      </c>
      <c r="AP40" s="198">
        <v>285</v>
      </c>
      <c r="AQ40" s="198">
        <v>303</v>
      </c>
      <c r="AR40" s="198">
        <v>282</v>
      </c>
      <c r="AS40" s="198">
        <v>268</v>
      </c>
      <c r="AT40" s="198">
        <f>+AT41+AT42+AT43+AT44+AT45+AT46</f>
        <v>253</v>
      </c>
      <c r="AU40" s="194">
        <f>SUBTOTAL(1,AI40:AT40)</f>
        <v>256</v>
      </c>
      <c r="AV40" s="194">
        <f t="shared" si="5"/>
        <v>257.75</v>
      </c>
      <c r="AW40" s="294">
        <f>SUBTOTAL(1,BL40:BW40)</f>
        <v>206.41666666666666</v>
      </c>
      <c r="AY40" s="32">
        <v>243</v>
      </c>
      <c r="AZ40" s="32">
        <v>243</v>
      </c>
      <c r="BA40" s="32">
        <v>246</v>
      </c>
      <c r="BB40" s="33">
        <v>250</v>
      </c>
      <c r="BC40" s="33">
        <v>250</v>
      </c>
      <c r="BD40" s="33">
        <v>263</v>
      </c>
      <c r="BE40" s="33">
        <v>263</v>
      </c>
      <c r="BF40" s="33">
        <v>263</v>
      </c>
      <c r="BG40" s="33">
        <v>268</v>
      </c>
      <c r="BH40" s="33">
        <v>268</v>
      </c>
      <c r="BI40" s="33">
        <v>268</v>
      </c>
      <c r="BJ40" s="33">
        <v>268</v>
      </c>
      <c r="BL40" s="32">
        <v>178</v>
      </c>
      <c r="BM40" s="32">
        <v>168</v>
      </c>
      <c r="BN40" s="32">
        <v>191</v>
      </c>
      <c r="BO40" s="33">
        <v>197</v>
      </c>
      <c r="BP40" s="33">
        <v>204</v>
      </c>
      <c r="BQ40" s="33">
        <v>208</v>
      </c>
      <c r="BR40" s="33">
        <v>206</v>
      </c>
      <c r="BS40" s="33">
        <v>204</v>
      </c>
      <c r="BT40" s="33">
        <v>223</v>
      </c>
      <c r="BU40" s="33">
        <v>228</v>
      </c>
      <c r="BV40" s="33">
        <v>238</v>
      </c>
      <c r="BW40" s="33">
        <v>232</v>
      </c>
    </row>
    <row r="41" spans="1:75" ht="14.45" hidden="1" outlineLevel="1" x14ac:dyDescent="0.3">
      <c r="A41" s="54"/>
      <c r="B41" s="284"/>
      <c r="C41" s="285" t="s">
        <v>209</v>
      </c>
      <c r="D41" s="286"/>
      <c r="E41" s="286">
        <v>177</v>
      </c>
      <c r="F41" s="286">
        <v>158</v>
      </c>
      <c r="G41" s="286">
        <v>164</v>
      </c>
      <c r="H41" s="286">
        <v>149</v>
      </c>
      <c r="I41" s="286"/>
      <c r="J41" s="286"/>
      <c r="K41" s="286"/>
      <c r="L41" s="286"/>
      <c r="M41" s="286"/>
      <c r="N41" s="286"/>
      <c r="O41" s="286"/>
      <c r="P41" s="286"/>
      <c r="Q41" s="437" t="e">
        <f t="shared" si="0"/>
        <v>#DIV/0!</v>
      </c>
      <c r="R41" s="383" t="e">
        <f t="shared" si="1"/>
        <v>#DIV/0!</v>
      </c>
      <c r="S41" s="450" t="e">
        <f t="shared" si="2"/>
        <v>#DIV/0!</v>
      </c>
      <c r="T41" s="383">
        <f t="shared" si="3"/>
        <v>0</v>
      </c>
      <c r="U41" s="286"/>
      <c r="V41" s="299">
        <v>201</v>
      </c>
      <c r="W41" s="299">
        <v>191</v>
      </c>
      <c r="X41" s="299">
        <v>189</v>
      </c>
      <c r="Y41" s="299">
        <v>189</v>
      </c>
      <c r="Z41" s="299">
        <v>189</v>
      </c>
      <c r="AA41" s="299">
        <v>189</v>
      </c>
      <c r="AB41" s="299">
        <v>189</v>
      </c>
      <c r="AC41" s="299">
        <v>189</v>
      </c>
      <c r="AD41" s="299">
        <v>189</v>
      </c>
      <c r="AE41" s="299">
        <v>189</v>
      </c>
      <c r="AF41" s="299">
        <v>189</v>
      </c>
      <c r="AG41" s="299">
        <v>189</v>
      </c>
      <c r="AH41" s="286"/>
      <c r="AI41" s="287">
        <v>156</v>
      </c>
      <c r="AJ41" s="287">
        <v>175</v>
      </c>
      <c r="AK41" s="287">
        <v>175</v>
      </c>
      <c r="AL41" s="287">
        <v>178</v>
      </c>
      <c r="AM41" s="287">
        <v>180</v>
      </c>
      <c r="AN41" s="287">
        <v>184</v>
      </c>
      <c r="AO41" s="287">
        <v>195</v>
      </c>
      <c r="AP41" s="287">
        <v>219</v>
      </c>
      <c r="AQ41" s="287">
        <v>235</v>
      </c>
      <c r="AR41" s="287">
        <v>217</v>
      </c>
      <c r="AS41" s="287">
        <v>208</v>
      </c>
      <c r="AT41" s="287">
        <v>194</v>
      </c>
      <c r="AU41" s="301" t="e">
        <f>SUBTOTAL(1,AI41:AT41)</f>
        <v>#DIV/0!</v>
      </c>
      <c r="AV41" s="301" t="e">
        <f>SUBTOTAL(1,AY41:BJ41)</f>
        <v>#DIV/0!</v>
      </c>
      <c r="AW41" s="288"/>
      <c r="AY41" s="299">
        <v>176</v>
      </c>
      <c r="AZ41" s="299">
        <v>176</v>
      </c>
      <c r="BA41" s="299">
        <v>176</v>
      </c>
      <c r="BB41" s="299">
        <v>178</v>
      </c>
      <c r="BC41" s="299">
        <v>178</v>
      </c>
      <c r="BD41" s="299">
        <v>188</v>
      </c>
      <c r="BE41" s="299">
        <v>188</v>
      </c>
      <c r="BF41" s="299">
        <v>188</v>
      </c>
      <c r="BG41" s="299">
        <v>192</v>
      </c>
      <c r="BH41" s="299">
        <v>192</v>
      </c>
      <c r="BI41" s="299">
        <v>192</v>
      </c>
      <c r="BJ41" s="299">
        <v>192</v>
      </c>
      <c r="BL41" s="29"/>
      <c r="BM41" s="29"/>
      <c r="BN41" s="29"/>
      <c r="BO41" s="30"/>
      <c r="BP41" s="30"/>
      <c r="BQ41" s="30"/>
      <c r="BR41" s="30"/>
      <c r="BS41" s="30"/>
      <c r="BT41" s="30"/>
      <c r="BU41" s="30"/>
      <c r="BV41" s="30"/>
      <c r="BW41" s="30"/>
    </row>
    <row r="42" spans="1:75" ht="14.45" hidden="1" outlineLevel="1" x14ac:dyDescent="0.3">
      <c r="A42" s="54"/>
      <c r="B42" s="284"/>
      <c r="C42" s="285" t="s">
        <v>205</v>
      </c>
      <c r="D42" s="286"/>
      <c r="E42" s="286">
        <v>21</v>
      </c>
      <c r="F42" s="286">
        <v>19</v>
      </c>
      <c r="G42" s="286">
        <v>19</v>
      </c>
      <c r="H42" s="286">
        <v>21</v>
      </c>
      <c r="I42" s="286"/>
      <c r="J42" s="286"/>
      <c r="K42" s="286"/>
      <c r="L42" s="286"/>
      <c r="M42" s="286"/>
      <c r="N42" s="286"/>
      <c r="O42" s="286"/>
      <c r="P42" s="286"/>
      <c r="Q42" s="437" t="e">
        <f t="shared" si="0"/>
        <v>#DIV/0!</v>
      </c>
      <c r="R42" s="383" t="e">
        <f t="shared" si="1"/>
        <v>#DIV/0!</v>
      </c>
      <c r="S42" s="450" t="e">
        <f t="shared" si="2"/>
        <v>#DIV/0!</v>
      </c>
      <c r="T42" s="383">
        <f t="shared" si="3"/>
        <v>0</v>
      </c>
      <c r="U42" s="286"/>
      <c r="V42" s="299">
        <v>24</v>
      </c>
      <c r="W42" s="299">
        <v>24</v>
      </c>
      <c r="X42" s="299">
        <v>24</v>
      </c>
      <c r="Y42" s="299">
        <v>24</v>
      </c>
      <c r="Z42" s="299">
        <v>24</v>
      </c>
      <c r="AA42" s="299">
        <v>24</v>
      </c>
      <c r="AB42" s="299">
        <v>24</v>
      </c>
      <c r="AC42" s="299">
        <v>24</v>
      </c>
      <c r="AD42" s="299">
        <v>24</v>
      </c>
      <c r="AE42" s="299">
        <v>24</v>
      </c>
      <c r="AF42" s="299">
        <v>24</v>
      </c>
      <c r="AG42" s="299">
        <v>24</v>
      </c>
      <c r="AH42" s="286"/>
      <c r="AI42" s="287">
        <v>27</v>
      </c>
      <c r="AJ42" s="287">
        <v>26</v>
      </c>
      <c r="AK42" s="287">
        <v>28</v>
      </c>
      <c r="AL42" s="287">
        <v>27</v>
      </c>
      <c r="AM42" s="287">
        <v>26</v>
      </c>
      <c r="AN42" s="287">
        <v>23</v>
      </c>
      <c r="AO42" s="287">
        <v>22</v>
      </c>
      <c r="AP42" s="287">
        <v>23</v>
      </c>
      <c r="AQ42" s="287">
        <v>23</v>
      </c>
      <c r="AR42" s="287">
        <v>23</v>
      </c>
      <c r="AS42" s="287">
        <v>21</v>
      </c>
      <c r="AT42" s="287">
        <v>21</v>
      </c>
      <c r="AU42" s="301" t="e">
        <f>SUBTOTAL(1,AI42:AT42)</f>
        <v>#DIV/0!</v>
      </c>
      <c r="AV42" s="301" t="e">
        <f>SUBTOTAL(1,AY42:BJ42)</f>
        <v>#DIV/0!</v>
      </c>
      <c r="AW42" s="288"/>
      <c r="AY42" s="299">
        <v>27</v>
      </c>
      <c r="AZ42" s="299">
        <v>27</v>
      </c>
      <c r="BA42" s="299">
        <v>27</v>
      </c>
      <c r="BB42" s="299">
        <v>28</v>
      </c>
      <c r="BC42" s="299">
        <v>28</v>
      </c>
      <c r="BD42" s="299">
        <v>28</v>
      </c>
      <c r="BE42" s="299">
        <v>28</v>
      </c>
      <c r="BF42" s="299">
        <v>28</v>
      </c>
      <c r="BG42" s="299">
        <v>28</v>
      </c>
      <c r="BH42" s="299">
        <v>28</v>
      </c>
      <c r="BI42" s="299">
        <v>28</v>
      </c>
      <c r="BJ42" s="299">
        <v>28</v>
      </c>
      <c r="BL42" s="29"/>
      <c r="BM42" s="29"/>
      <c r="BN42" s="29"/>
      <c r="BO42" s="30"/>
      <c r="BP42" s="30"/>
      <c r="BQ42" s="30"/>
      <c r="BR42" s="30"/>
      <c r="BS42" s="30"/>
      <c r="BT42" s="30"/>
      <c r="BU42" s="30"/>
      <c r="BV42" s="30"/>
      <c r="BW42" s="30"/>
    </row>
    <row r="43" spans="1:75" ht="14.45" hidden="1" outlineLevel="1" x14ac:dyDescent="0.3">
      <c r="A43" s="54"/>
      <c r="B43" s="284"/>
      <c r="C43" s="285" t="s">
        <v>204</v>
      </c>
      <c r="D43" s="286"/>
      <c r="E43" s="286">
        <v>6</v>
      </c>
      <c r="F43" s="286">
        <v>5</v>
      </c>
      <c r="G43" s="286">
        <v>6</v>
      </c>
      <c r="H43" s="286">
        <v>6</v>
      </c>
      <c r="I43" s="286"/>
      <c r="J43" s="286"/>
      <c r="K43" s="286"/>
      <c r="L43" s="286"/>
      <c r="M43" s="286"/>
      <c r="N43" s="286"/>
      <c r="O43" s="286"/>
      <c r="P43" s="286"/>
      <c r="Q43" s="437" t="e">
        <f t="shared" si="0"/>
        <v>#DIV/0!</v>
      </c>
      <c r="R43" s="383" t="e">
        <f t="shared" si="1"/>
        <v>#DIV/0!</v>
      </c>
      <c r="S43" s="450" t="e">
        <f t="shared" si="2"/>
        <v>#DIV/0!</v>
      </c>
      <c r="T43" s="383">
        <f t="shared" si="3"/>
        <v>0</v>
      </c>
      <c r="U43" s="286"/>
      <c r="V43" s="299">
        <v>6</v>
      </c>
      <c r="W43" s="299">
        <v>6</v>
      </c>
      <c r="X43" s="299">
        <v>6</v>
      </c>
      <c r="Y43" s="299">
        <v>6</v>
      </c>
      <c r="Z43" s="299">
        <v>6</v>
      </c>
      <c r="AA43" s="299">
        <v>6</v>
      </c>
      <c r="AB43" s="299">
        <v>6</v>
      </c>
      <c r="AC43" s="299">
        <v>6</v>
      </c>
      <c r="AD43" s="299">
        <v>6</v>
      </c>
      <c r="AE43" s="299">
        <v>6</v>
      </c>
      <c r="AF43" s="299">
        <v>6</v>
      </c>
      <c r="AG43" s="299">
        <v>6</v>
      </c>
      <c r="AH43" s="286"/>
      <c r="AI43" s="287">
        <v>6</v>
      </c>
      <c r="AJ43" s="287">
        <v>6</v>
      </c>
      <c r="AK43" s="287">
        <v>6</v>
      </c>
      <c r="AL43" s="287">
        <v>7</v>
      </c>
      <c r="AM43" s="287">
        <v>5</v>
      </c>
      <c r="AN43" s="287">
        <v>5</v>
      </c>
      <c r="AO43" s="287">
        <v>6</v>
      </c>
      <c r="AP43" s="287">
        <v>6</v>
      </c>
      <c r="AQ43" s="287">
        <v>6</v>
      </c>
      <c r="AR43" s="287">
        <v>6</v>
      </c>
      <c r="AS43" s="287">
        <v>6</v>
      </c>
      <c r="AT43" s="287">
        <v>6</v>
      </c>
      <c r="AU43" s="301" t="e">
        <f t="shared" ref="AU43:AU46" si="19">SUBTOTAL(1,AI43:AT43)</f>
        <v>#DIV/0!</v>
      </c>
      <c r="AV43" s="301" t="e">
        <f t="shared" ref="AV43:AV46" si="20">SUBTOTAL(1,AY43:BJ43)</f>
        <v>#DIV/0!</v>
      </c>
      <c r="AW43" s="288"/>
      <c r="AY43" s="299">
        <v>6</v>
      </c>
      <c r="AZ43" s="299">
        <v>6</v>
      </c>
      <c r="BA43" s="299">
        <v>6</v>
      </c>
      <c r="BB43" s="299">
        <v>6</v>
      </c>
      <c r="BC43" s="299">
        <v>6</v>
      </c>
      <c r="BD43" s="299">
        <v>6</v>
      </c>
      <c r="BE43" s="299">
        <v>6</v>
      </c>
      <c r="BF43" s="299">
        <v>6</v>
      </c>
      <c r="BG43" s="299">
        <v>6</v>
      </c>
      <c r="BH43" s="299">
        <v>6</v>
      </c>
      <c r="BI43" s="299">
        <v>6</v>
      </c>
      <c r="BJ43" s="299">
        <v>6</v>
      </c>
      <c r="BL43" s="29"/>
      <c r="BM43" s="29"/>
      <c r="BN43" s="29"/>
      <c r="BO43" s="30"/>
      <c r="BP43" s="30"/>
      <c r="BQ43" s="30"/>
      <c r="BR43" s="30"/>
      <c r="BS43" s="30"/>
      <c r="BT43" s="30"/>
      <c r="BU43" s="30"/>
      <c r="BV43" s="30"/>
      <c r="BW43" s="30"/>
    </row>
    <row r="44" spans="1:75" ht="14.45" hidden="1" outlineLevel="1" x14ac:dyDescent="0.3">
      <c r="A44" s="54"/>
      <c r="B44" s="284"/>
      <c r="C44" s="285" t="s">
        <v>1297</v>
      </c>
      <c r="D44" s="286"/>
      <c r="E44" s="286">
        <v>0</v>
      </c>
      <c r="F44" s="286">
        <v>0</v>
      </c>
      <c r="G44" s="286">
        <v>0</v>
      </c>
      <c r="H44" s="286">
        <v>0</v>
      </c>
      <c r="I44" s="286"/>
      <c r="J44" s="286"/>
      <c r="K44" s="286"/>
      <c r="L44" s="286"/>
      <c r="M44" s="286"/>
      <c r="N44" s="286"/>
      <c r="O44" s="286"/>
      <c r="P44" s="286"/>
      <c r="Q44" s="437" t="e">
        <f t="shared" si="0"/>
        <v>#DIV/0!</v>
      </c>
      <c r="R44" s="383" t="e">
        <f t="shared" si="1"/>
        <v>#DIV/0!</v>
      </c>
      <c r="S44" s="450">
        <f t="shared" si="2"/>
        <v>0</v>
      </c>
      <c r="T44" s="383">
        <f t="shared" si="3"/>
        <v>0</v>
      </c>
      <c r="U44" s="286"/>
      <c r="V44" s="299">
        <v>0</v>
      </c>
      <c r="W44" s="299">
        <v>0</v>
      </c>
      <c r="X44" s="299">
        <v>0</v>
      </c>
      <c r="Y44" s="299">
        <v>0</v>
      </c>
      <c r="Z44" s="299">
        <v>0</v>
      </c>
      <c r="AA44" s="299">
        <v>0</v>
      </c>
      <c r="AB44" s="299">
        <v>0</v>
      </c>
      <c r="AC44" s="299">
        <v>0</v>
      </c>
      <c r="AD44" s="299">
        <v>0</v>
      </c>
      <c r="AE44" s="299">
        <v>0</v>
      </c>
      <c r="AF44" s="299">
        <v>0</v>
      </c>
      <c r="AG44" s="299">
        <v>0</v>
      </c>
      <c r="AH44" s="286"/>
      <c r="AI44" s="287"/>
      <c r="AJ44" s="287"/>
      <c r="AK44" s="287"/>
      <c r="AL44" s="287"/>
      <c r="AM44" s="287"/>
      <c r="AN44" s="287"/>
      <c r="AO44" s="287"/>
      <c r="AP44" s="287"/>
      <c r="AQ44" s="287"/>
      <c r="AR44" s="287"/>
      <c r="AS44" s="287"/>
      <c r="AT44" s="287"/>
      <c r="AU44" s="301"/>
      <c r="AV44" s="301" t="e">
        <f t="shared" si="20"/>
        <v>#DIV/0!</v>
      </c>
      <c r="AW44" s="288"/>
      <c r="AY44" s="299">
        <v>0</v>
      </c>
      <c r="AZ44" s="299">
        <v>0</v>
      </c>
      <c r="BA44" s="299">
        <v>1</v>
      </c>
      <c r="BB44" s="299">
        <v>2</v>
      </c>
      <c r="BC44" s="299">
        <v>2</v>
      </c>
      <c r="BD44" s="299">
        <v>2</v>
      </c>
      <c r="BE44" s="299">
        <v>2</v>
      </c>
      <c r="BF44" s="299">
        <v>2</v>
      </c>
      <c r="BG44" s="299">
        <v>2</v>
      </c>
      <c r="BH44" s="299">
        <v>2</v>
      </c>
      <c r="BI44" s="299">
        <v>2</v>
      </c>
      <c r="BJ44" s="299">
        <v>2</v>
      </c>
      <c r="BL44" s="29"/>
      <c r="BM44" s="29"/>
      <c r="BN44" s="29"/>
      <c r="BO44" s="30"/>
      <c r="BP44" s="30"/>
      <c r="BQ44" s="30"/>
      <c r="BR44" s="30"/>
      <c r="BS44" s="30"/>
      <c r="BT44" s="30"/>
      <c r="BU44" s="30"/>
      <c r="BV44" s="30"/>
      <c r="BW44" s="30"/>
    </row>
    <row r="45" spans="1:75" ht="14.45" hidden="1" outlineLevel="1" x14ac:dyDescent="0.3">
      <c r="A45" s="54"/>
      <c r="B45" s="284"/>
      <c r="C45" s="285" t="s">
        <v>208</v>
      </c>
      <c r="D45" s="286"/>
      <c r="E45" s="286">
        <v>31</v>
      </c>
      <c r="F45" s="286">
        <v>29</v>
      </c>
      <c r="G45" s="286">
        <v>32</v>
      </c>
      <c r="H45" s="286">
        <v>31</v>
      </c>
      <c r="I45" s="286"/>
      <c r="J45" s="286"/>
      <c r="K45" s="286"/>
      <c r="L45" s="286"/>
      <c r="M45" s="286"/>
      <c r="N45" s="286"/>
      <c r="O45" s="286"/>
      <c r="P45" s="286"/>
      <c r="Q45" s="437" t="e">
        <f t="shared" si="0"/>
        <v>#DIV/0!</v>
      </c>
      <c r="R45" s="383" t="e">
        <f t="shared" si="1"/>
        <v>#DIV/0!</v>
      </c>
      <c r="S45" s="450" t="e">
        <f t="shared" si="2"/>
        <v>#DIV/0!</v>
      </c>
      <c r="T45" s="383">
        <f t="shared" si="3"/>
        <v>0</v>
      </c>
      <c r="U45" s="286"/>
      <c r="V45" s="299">
        <v>38</v>
      </c>
      <c r="W45" s="299">
        <v>38</v>
      </c>
      <c r="X45" s="299">
        <v>41</v>
      </c>
      <c r="Y45" s="299">
        <v>45</v>
      </c>
      <c r="Z45" s="299">
        <v>45</v>
      </c>
      <c r="AA45" s="299">
        <v>45</v>
      </c>
      <c r="AB45" s="299">
        <v>45</v>
      </c>
      <c r="AC45" s="299">
        <v>45</v>
      </c>
      <c r="AD45" s="299">
        <v>45</v>
      </c>
      <c r="AE45" s="299">
        <v>45</v>
      </c>
      <c r="AF45" s="299">
        <v>45</v>
      </c>
      <c r="AG45" s="299">
        <v>45</v>
      </c>
      <c r="AH45" s="286"/>
      <c r="AI45" s="287">
        <v>26</v>
      </c>
      <c r="AJ45" s="287">
        <v>24</v>
      </c>
      <c r="AK45" s="287">
        <v>26</v>
      </c>
      <c r="AL45" s="287">
        <v>30</v>
      </c>
      <c r="AM45" s="287">
        <v>29</v>
      </c>
      <c r="AN45" s="287">
        <v>36</v>
      </c>
      <c r="AO45" s="287">
        <v>35</v>
      </c>
      <c r="AP45" s="287">
        <v>36</v>
      </c>
      <c r="AQ45" s="287">
        <v>38</v>
      </c>
      <c r="AR45" s="287">
        <v>35</v>
      </c>
      <c r="AS45" s="287">
        <v>32</v>
      </c>
      <c r="AT45" s="287">
        <v>31</v>
      </c>
      <c r="AU45" s="301" t="e">
        <f t="shared" si="19"/>
        <v>#DIV/0!</v>
      </c>
      <c r="AV45" s="301" t="e">
        <f t="shared" si="20"/>
        <v>#DIV/0!</v>
      </c>
      <c r="AW45" s="288"/>
      <c r="AY45" s="299">
        <v>31</v>
      </c>
      <c r="AZ45" s="299">
        <v>31</v>
      </c>
      <c r="BA45" s="299">
        <v>33</v>
      </c>
      <c r="BB45" s="299">
        <v>33</v>
      </c>
      <c r="BC45" s="299">
        <v>33</v>
      </c>
      <c r="BD45" s="299">
        <v>35</v>
      </c>
      <c r="BE45" s="299">
        <v>35</v>
      </c>
      <c r="BF45" s="299">
        <v>35</v>
      </c>
      <c r="BG45" s="299">
        <v>35</v>
      </c>
      <c r="BH45" s="299">
        <v>35</v>
      </c>
      <c r="BI45" s="299">
        <v>35</v>
      </c>
      <c r="BJ45" s="299">
        <v>35</v>
      </c>
      <c r="BL45" s="29"/>
      <c r="BM45" s="29"/>
      <c r="BN45" s="29"/>
      <c r="BO45" s="30"/>
      <c r="BP45" s="30"/>
      <c r="BQ45" s="30"/>
      <c r="BR45" s="30"/>
      <c r="BS45" s="30"/>
      <c r="BT45" s="30"/>
      <c r="BU45" s="30"/>
      <c r="BV45" s="30"/>
      <c r="BW45" s="30"/>
    </row>
    <row r="46" spans="1:75" ht="14.45" hidden="1" outlineLevel="1" x14ac:dyDescent="0.3">
      <c r="A46" s="54"/>
      <c r="B46" s="284"/>
      <c r="C46" s="285" t="s">
        <v>210</v>
      </c>
      <c r="D46" s="286"/>
      <c r="E46" s="286">
        <v>1</v>
      </c>
      <c r="F46" s="286">
        <v>1</v>
      </c>
      <c r="G46" s="286">
        <v>1</v>
      </c>
      <c r="H46" s="286">
        <v>1</v>
      </c>
      <c r="I46" s="286"/>
      <c r="J46" s="286"/>
      <c r="K46" s="286"/>
      <c r="L46" s="286"/>
      <c r="M46" s="286"/>
      <c r="N46" s="286"/>
      <c r="O46" s="286"/>
      <c r="P46" s="286"/>
      <c r="Q46" s="437" t="e">
        <f t="shared" si="0"/>
        <v>#DIV/0!</v>
      </c>
      <c r="R46" s="383" t="e">
        <f t="shared" si="1"/>
        <v>#DIV/0!</v>
      </c>
      <c r="S46" s="450" t="e">
        <f t="shared" si="2"/>
        <v>#DIV/0!</v>
      </c>
      <c r="T46" s="383">
        <f t="shared" si="3"/>
        <v>0</v>
      </c>
      <c r="U46" s="286"/>
      <c r="V46" s="299">
        <v>1</v>
      </c>
      <c r="W46" s="299">
        <v>0</v>
      </c>
      <c r="X46" s="299">
        <v>0</v>
      </c>
      <c r="Y46" s="299">
        <v>0</v>
      </c>
      <c r="Z46" s="299">
        <v>0</v>
      </c>
      <c r="AA46" s="299">
        <v>0</v>
      </c>
      <c r="AB46" s="299">
        <v>0</v>
      </c>
      <c r="AC46" s="299">
        <v>0</v>
      </c>
      <c r="AD46" s="299">
        <v>0</v>
      </c>
      <c r="AE46" s="299">
        <v>0</v>
      </c>
      <c r="AF46" s="299">
        <v>0</v>
      </c>
      <c r="AG46" s="299">
        <v>0</v>
      </c>
      <c r="AH46" s="286"/>
      <c r="AI46" s="287">
        <v>3</v>
      </c>
      <c r="AJ46" s="287">
        <v>2</v>
      </c>
      <c r="AK46" s="287">
        <v>2</v>
      </c>
      <c r="AL46" s="287">
        <v>2</v>
      </c>
      <c r="AM46" s="287">
        <v>1</v>
      </c>
      <c r="AN46" s="287">
        <v>1</v>
      </c>
      <c r="AO46" s="287">
        <v>1</v>
      </c>
      <c r="AP46" s="287">
        <v>1</v>
      </c>
      <c r="AQ46" s="287">
        <v>1</v>
      </c>
      <c r="AR46" s="287">
        <v>1</v>
      </c>
      <c r="AS46" s="287">
        <v>1</v>
      </c>
      <c r="AT46" s="287">
        <v>1</v>
      </c>
      <c r="AU46" s="301" t="e">
        <f t="shared" si="19"/>
        <v>#DIV/0!</v>
      </c>
      <c r="AV46" s="301" t="e">
        <f t="shared" si="20"/>
        <v>#DIV/0!</v>
      </c>
      <c r="AW46" s="288"/>
      <c r="AY46" s="299">
        <v>3</v>
      </c>
      <c r="AZ46" s="299">
        <v>3</v>
      </c>
      <c r="BA46" s="299">
        <v>3</v>
      </c>
      <c r="BB46" s="299">
        <v>3</v>
      </c>
      <c r="BC46" s="299">
        <v>3</v>
      </c>
      <c r="BD46" s="299">
        <v>4</v>
      </c>
      <c r="BE46" s="299">
        <v>4</v>
      </c>
      <c r="BF46" s="299">
        <v>4</v>
      </c>
      <c r="BG46" s="299">
        <v>5</v>
      </c>
      <c r="BH46" s="299">
        <v>5</v>
      </c>
      <c r="BI46" s="299">
        <v>5</v>
      </c>
      <c r="BJ46" s="299">
        <v>5</v>
      </c>
      <c r="BL46" s="29"/>
      <c r="BM46" s="29"/>
      <c r="BN46" s="29"/>
      <c r="BO46" s="30"/>
      <c r="BP46" s="30"/>
      <c r="BQ46" s="30"/>
      <c r="BR46" s="30"/>
      <c r="BS46" s="30"/>
      <c r="BT46" s="30"/>
      <c r="BU46" s="30"/>
      <c r="BV46" s="30"/>
      <c r="BW46" s="30"/>
    </row>
    <row r="47" spans="1:75" collapsed="1" x14ac:dyDescent="0.25">
      <c r="A47" s="54">
        <v>642</v>
      </c>
      <c r="B47" s="295">
        <v>12</v>
      </c>
      <c r="C47" s="296" t="s">
        <v>221</v>
      </c>
      <c r="D47" s="295" t="s">
        <v>12</v>
      </c>
      <c r="E47" s="295">
        <v>1</v>
      </c>
      <c r="F47" s="295">
        <v>1</v>
      </c>
      <c r="G47" s="295">
        <v>1</v>
      </c>
      <c r="H47" s="295">
        <v>1</v>
      </c>
      <c r="I47" s="295"/>
      <c r="J47" s="295"/>
      <c r="K47" s="295"/>
      <c r="L47" s="295"/>
      <c r="M47" s="295"/>
      <c r="N47" s="295"/>
      <c r="O47" s="295"/>
      <c r="P47" s="295"/>
      <c r="Q47" s="443">
        <f t="shared" si="0"/>
        <v>1</v>
      </c>
      <c r="R47" s="384">
        <f t="shared" si="1"/>
        <v>0</v>
      </c>
      <c r="S47" s="453">
        <f t="shared" si="2"/>
        <v>1.8333333333333333</v>
      </c>
      <c r="T47" s="384">
        <f t="shared" si="3"/>
        <v>0</v>
      </c>
      <c r="U47" s="295"/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  <c r="AC47" s="29">
        <v>0</v>
      </c>
      <c r="AD47" s="29">
        <v>0</v>
      </c>
      <c r="AE47" s="29">
        <v>0</v>
      </c>
      <c r="AF47" s="29">
        <v>0</v>
      </c>
      <c r="AG47" s="29">
        <v>0</v>
      </c>
      <c r="AH47" s="295"/>
      <c r="AI47" s="297">
        <v>2</v>
      </c>
      <c r="AJ47" s="297">
        <v>3</v>
      </c>
      <c r="AK47" s="297">
        <v>3</v>
      </c>
      <c r="AL47" s="297">
        <v>2</v>
      </c>
      <c r="AM47" s="297">
        <v>2</v>
      </c>
      <c r="AN47" s="297">
        <v>2</v>
      </c>
      <c r="AO47" s="297">
        <v>2</v>
      </c>
      <c r="AP47" s="297">
        <v>2</v>
      </c>
      <c r="AQ47" s="297">
        <v>1</v>
      </c>
      <c r="AR47" s="297">
        <v>1</v>
      </c>
      <c r="AS47" s="297">
        <v>1</v>
      </c>
      <c r="AT47" s="297">
        <v>1</v>
      </c>
      <c r="AU47" s="195">
        <f>SUBTOTAL(1,AI47:AT47)</f>
        <v>1.8333333333333333</v>
      </c>
      <c r="AV47" s="195">
        <v>0</v>
      </c>
      <c r="AW47" s="297">
        <v>0</v>
      </c>
      <c r="AY47" s="29">
        <v>0</v>
      </c>
      <c r="AZ47" s="29">
        <v>0</v>
      </c>
      <c r="BA47" s="29">
        <v>0</v>
      </c>
      <c r="BB47" s="29">
        <v>0</v>
      </c>
      <c r="BC47" s="29">
        <v>0</v>
      </c>
      <c r="BD47" s="29">
        <v>0</v>
      </c>
      <c r="BE47" s="29">
        <v>0</v>
      </c>
      <c r="BF47" s="29">
        <v>0</v>
      </c>
      <c r="BG47" s="29">
        <v>0</v>
      </c>
      <c r="BH47" s="29">
        <v>0</v>
      </c>
      <c r="BI47" s="29">
        <v>0</v>
      </c>
      <c r="BJ47" s="29">
        <v>0</v>
      </c>
      <c r="BL47" s="29"/>
      <c r="BM47" s="29"/>
      <c r="BN47" s="29"/>
      <c r="BO47" s="30"/>
      <c r="BP47" s="30"/>
      <c r="BQ47" s="30"/>
      <c r="BR47" s="30"/>
      <c r="BS47" s="30"/>
      <c r="BT47" s="30"/>
      <c r="BU47" s="30"/>
      <c r="BV47" s="30"/>
      <c r="BW47" s="30"/>
    </row>
    <row r="48" spans="1:75" x14ac:dyDescent="0.25">
      <c r="A48" s="54">
        <v>642</v>
      </c>
      <c r="B48" s="295">
        <v>13</v>
      </c>
      <c r="C48" s="296" t="s">
        <v>1576</v>
      </c>
      <c r="D48" s="295" t="s">
        <v>12</v>
      </c>
      <c r="E48" s="295">
        <v>3</v>
      </c>
      <c r="F48" s="295">
        <v>3</v>
      </c>
      <c r="G48" s="295">
        <v>3</v>
      </c>
      <c r="H48" s="295">
        <v>3</v>
      </c>
      <c r="I48" s="295"/>
      <c r="J48" s="295"/>
      <c r="K48" s="295"/>
      <c r="L48" s="295"/>
      <c r="M48" s="295"/>
      <c r="N48" s="295"/>
      <c r="O48" s="295"/>
      <c r="P48" s="295"/>
      <c r="Q48" s="443">
        <f t="shared" si="0"/>
        <v>3</v>
      </c>
      <c r="R48" s="384">
        <f t="shared" si="1"/>
        <v>3</v>
      </c>
      <c r="S48" s="453">
        <f t="shared" si="2"/>
        <v>0</v>
      </c>
      <c r="T48" s="384">
        <f t="shared" si="3"/>
        <v>0</v>
      </c>
      <c r="U48" s="295"/>
      <c r="V48" s="29">
        <v>3</v>
      </c>
      <c r="W48" s="29">
        <v>3</v>
      </c>
      <c r="X48" s="29">
        <v>3</v>
      </c>
      <c r="Y48" s="29">
        <v>3</v>
      </c>
      <c r="Z48" s="29">
        <v>3</v>
      </c>
      <c r="AA48" s="29">
        <v>3</v>
      </c>
      <c r="AB48" s="29">
        <v>3</v>
      </c>
      <c r="AC48" s="29">
        <v>3</v>
      </c>
      <c r="AD48" s="29">
        <v>3</v>
      </c>
      <c r="AE48" s="29">
        <v>3</v>
      </c>
      <c r="AF48" s="29">
        <v>3</v>
      </c>
      <c r="AG48" s="29">
        <v>3</v>
      </c>
      <c r="AH48" s="295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195"/>
      <c r="AV48" s="195"/>
      <c r="AW48" s="297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L48" s="29"/>
      <c r="BM48" s="29"/>
      <c r="BN48" s="29"/>
      <c r="BO48" s="30"/>
      <c r="BP48" s="30"/>
      <c r="BQ48" s="30"/>
      <c r="BR48" s="30"/>
      <c r="BS48" s="30"/>
      <c r="BT48" s="30"/>
      <c r="BU48" s="30"/>
      <c r="BV48" s="30"/>
      <c r="BW48" s="30"/>
    </row>
    <row r="49" spans="1:77" ht="13.9" hidden="1" x14ac:dyDescent="0.25">
      <c r="B49" s="34"/>
      <c r="C49" s="38" t="s">
        <v>17</v>
      </c>
      <c r="D49" s="34"/>
      <c r="E49" s="298">
        <f>+E6+E7+E8+E9+E13+E14+E17+E18+E25+E32+E35+E40+E47+E48</f>
        <v>611</v>
      </c>
      <c r="F49" s="298">
        <f t="shared" ref="F49" si="21">+F6+F7+F8+F9+F13+F14+F17+F18+F25+F32+F35+F40+F47+F48</f>
        <v>575</v>
      </c>
      <c r="G49" s="298">
        <f t="shared" ref="G49" si="22">+G6+G7+G8+G9+G13+G14+G17+G18+G25+G32+G35+G40+G47+G48</f>
        <v>582</v>
      </c>
      <c r="H49" s="298">
        <f t="shared" ref="H49" si="23">+H6+H7+H8+H9+H13+H14+H17+H18+H25+H32+H35+H40+H47+H48</f>
        <v>571</v>
      </c>
      <c r="I49" s="298">
        <f t="shared" ref="I49" si="24">+I6+I7+I8+I9+I13+I14+I17+I18+I25+I32+I35+I40+I47+I48</f>
        <v>0</v>
      </c>
      <c r="J49" s="298">
        <f t="shared" ref="J49" si="25">+J6+J7+J8+J9+J13+J14+J17+J18+J25+J32+J35+J40+J47+J48</f>
        <v>0</v>
      </c>
      <c r="K49" s="298">
        <f t="shared" ref="K49" si="26">+K6+K7+K8+K9+K13+K14+K17+K18+K25+K32+K35+K40+K47+K48</f>
        <v>0</v>
      </c>
      <c r="L49" s="298">
        <f t="shared" ref="L49" si="27">+L6+L7+L8+L9+L13+L14+L17+L18+L25+L32+L35+L40+L47+L48</f>
        <v>0</v>
      </c>
      <c r="M49" s="298">
        <f t="shared" ref="M49" si="28">+M6+M7+M8+M9+M13+M14+M17+M18+M25+M32+M35+M40+M47+M48</f>
        <v>0</v>
      </c>
      <c r="N49" s="298">
        <f t="shared" ref="N49" si="29">+N6+N7+N8+N9+N13+N14+N17+N18+N25+N32+N35+N40+N47+N48</f>
        <v>0</v>
      </c>
      <c r="O49" s="298">
        <f t="shared" ref="O49" si="30">+O6+O7+O8+O9+O13+O14+O17+O18+O25+O32+O35+O40+O47+O48</f>
        <v>0</v>
      </c>
      <c r="P49" s="298">
        <f t="shared" ref="P49" si="31">+P6+P7+P8+P9+P13+P14+P17+P18+P25+P32+P35+P40+P47+P48</f>
        <v>0</v>
      </c>
      <c r="Q49" s="298">
        <f t="shared" ref="Q49" si="32">+Q6+Q7+Q8+Q9+Q13+Q14+Q17+Q18+Q25+Q32+Q35+Q40+Q47+Q48</f>
        <v>584.75</v>
      </c>
      <c r="R49" s="298">
        <f t="shared" ref="R49" si="33">+R6+R7+R8+R9+R13+R14+R17+R18+R25+R32+R35+R40+R47+R48</f>
        <v>668.83333333333337</v>
      </c>
      <c r="S49" s="298">
        <f>+S6+S7+S8+S9+S13+S14+S17+S18+S25+S32+S35+S40+S47+S48</f>
        <v>626.08333333333337</v>
      </c>
      <c r="T49" s="298">
        <f t="shared" ref="T49" si="34">+T6+T7+T8+T9+T13+T14+T17+T18+T25+T32+T35+T40+T47+T48</f>
        <v>510.41666666666663</v>
      </c>
      <c r="U49" s="377"/>
      <c r="V49" s="298">
        <f>+V6+V7+V8+V9+V13+V14+V17+V18+V25+V32+V35+V40+V47+V48</f>
        <v>661</v>
      </c>
      <c r="W49" s="298">
        <f t="shared" ref="W49:AG49" si="35">+W6+W7+W8+W9+W13+W14+W17+W18+W25+W32+W35+W40+W47+W48</f>
        <v>650</v>
      </c>
      <c r="X49" s="298">
        <f t="shared" si="35"/>
        <v>659</v>
      </c>
      <c r="Y49" s="298">
        <f t="shared" si="35"/>
        <v>664</v>
      </c>
      <c r="Z49" s="298">
        <f t="shared" si="35"/>
        <v>670</v>
      </c>
      <c r="AA49" s="298">
        <f t="shared" si="35"/>
        <v>674</v>
      </c>
      <c r="AB49" s="298">
        <f t="shared" si="35"/>
        <v>674</v>
      </c>
      <c r="AC49" s="298">
        <f t="shared" si="35"/>
        <v>674</v>
      </c>
      <c r="AD49" s="298">
        <f t="shared" si="35"/>
        <v>675</v>
      </c>
      <c r="AE49" s="298">
        <f t="shared" si="35"/>
        <v>675</v>
      </c>
      <c r="AF49" s="298">
        <f t="shared" si="35"/>
        <v>675</v>
      </c>
      <c r="AG49" s="298">
        <f t="shared" si="35"/>
        <v>675</v>
      </c>
      <c r="AH49" s="377"/>
      <c r="AI49" s="298">
        <f t="shared" ref="AI49:AW49" si="36">+AI6+AI7+AI8+AI9+AI13+AI14+AI17+AI18+AI25+AI32+AI35+AI40+AI47</f>
        <v>569</v>
      </c>
      <c r="AJ49" s="298">
        <f t="shared" si="36"/>
        <v>585</v>
      </c>
      <c r="AK49" s="298">
        <f t="shared" si="36"/>
        <v>602</v>
      </c>
      <c r="AL49" s="298">
        <f t="shared" si="36"/>
        <v>614</v>
      </c>
      <c r="AM49" s="298">
        <f t="shared" si="36"/>
        <v>609</v>
      </c>
      <c r="AN49" s="298">
        <f t="shared" si="36"/>
        <v>621</v>
      </c>
      <c r="AO49" s="298">
        <f t="shared" si="36"/>
        <v>635</v>
      </c>
      <c r="AP49" s="298">
        <f t="shared" si="36"/>
        <v>663</v>
      </c>
      <c r="AQ49" s="298">
        <f t="shared" si="36"/>
        <v>682</v>
      </c>
      <c r="AR49" s="298">
        <f t="shared" si="36"/>
        <v>660</v>
      </c>
      <c r="AS49" s="298">
        <f t="shared" si="36"/>
        <v>644</v>
      </c>
      <c r="AT49" s="298">
        <f t="shared" si="36"/>
        <v>629</v>
      </c>
      <c r="AU49" s="298">
        <f t="shared" si="36"/>
        <v>626.08333333333337</v>
      </c>
      <c r="AV49" s="298">
        <f t="shared" si="36"/>
        <v>656.91666666666663</v>
      </c>
      <c r="AW49" s="298">
        <f t="shared" si="36"/>
        <v>510.41666666666663</v>
      </c>
      <c r="AY49" s="298">
        <f t="shared" ref="AY49:BJ49" si="37">+AY6+AY7+AY8+AY9+AY13+AY14+AY17+AY18+AY25+AY32+AY35+AY40+AY47</f>
        <v>609</v>
      </c>
      <c r="AZ49" s="298">
        <f t="shared" si="37"/>
        <v>616</v>
      </c>
      <c r="BA49" s="298">
        <f t="shared" si="37"/>
        <v>631</v>
      </c>
      <c r="BB49" s="298">
        <f t="shared" si="37"/>
        <v>643</v>
      </c>
      <c r="BC49" s="298">
        <f t="shared" si="37"/>
        <v>652</v>
      </c>
      <c r="BD49" s="298">
        <f t="shared" si="37"/>
        <v>668</v>
      </c>
      <c r="BE49" s="298">
        <f t="shared" si="37"/>
        <v>671</v>
      </c>
      <c r="BF49" s="298">
        <f t="shared" si="37"/>
        <v>673</v>
      </c>
      <c r="BG49" s="298">
        <f t="shared" si="37"/>
        <v>680</v>
      </c>
      <c r="BH49" s="298">
        <f t="shared" si="37"/>
        <v>680</v>
      </c>
      <c r="BI49" s="298">
        <f t="shared" si="37"/>
        <v>680</v>
      </c>
      <c r="BJ49" s="298">
        <f t="shared" si="37"/>
        <v>680</v>
      </c>
      <c r="BL49" s="34">
        <f t="shared" ref="BL49:BW49" si="38">SUM(BL6:BL40)</f>
        <v>431</v>
      </c>
      <c r="BM49" s="34">
        <f t="shared" si="38"/>
        <v>420</v>
      </c>
      <c r="BN49" s="34">
        <f t="shared" si="38"/>
        <v>461</v>
      </c>
      <c r="BO49" s="34">
        <f t="shared" si="38"/>
        <v>483</v>
      </c>
      <c r="BP49" s="34">
        <f t="shared" si="38"/>
        <v>507</v>
      </c>
      <c r="BQ49" s="34">
        <f t="shared" si="38"/>
        <v>515</v>
      </c>
      <c r="BR49" s="34">
        <f t="shared" si="38"/>
        <v>520</v>
      </c>
      <c r="BS49" s="34">
        <f t="shared" si="38"/>
        <v>518</v>
      </c>
      <c r="BT49" s="34">
        <f t="shared" si="38"/>
        <v>551</v>
      </c>
      <c r="BU49" s="34">
        <f t="shared" si="38"/>
        <v>562</v>
      </c>
      <c r="BV49" s="34">
        <f t="shared" si="38"/>
        <v>575</v>
      </c>
      <c r="BW49" s="34">
        <f t="shared" si="38"/>
        <v>582</v>
      </c>
    </row>
    <row r="50" spans="1:77" ht="13.9" hidden="1" x14ac:dyDescent="0.25">
      <c r="D50" s="64" t="s">
        <v>12</v>
      </c>
      <c r="E50" s="64">
        <f>SUMIF($D$6:$D$48,$D50,E$6:E$48)</f>
        <v>375</v>
      </c>
      <c r="F50" s="64">
        <f t="shared" ref="F50:T51" si="39">SUMIF($D$6:$D$48,$D50,F$6:F$48)</f>
        <v>363</v>
      </c>
      <c r="G50" s="64">
        <f t="shared" si="39"/>
        <v>360</v>
      </c>
      <c r="H50" s="64">
        <f t="shared" si="39"/>
        <v>363</v>
      </c>
      <c r="I50" s="64">
        <f t="shared" si="39"/>
        <v>0</v>
      </c>
      <c r="J50" s="64">
        <f t="shared" si="39"/>
        <v>0</v>
      </c>
      <c r="K50" s="64">
        <f t="shared" si="39"/>
        <v>0</v>
      </c>
      <c r="L50" s="64">
        <f t="shared" si="39"/>
        <v>0</v>
      </c>
      <c r="M50" s="64">
        <f t="shared" si="39"/>
        <v>0</v>
      </c>
      <c r="N50" s="64">
        <f t="shared" si="39"/>
        <v>0</v>
      </c>
      <c r="O50" s="64">
        <f t="shared" si="39"/>
        <v>0</v>
      </c>
      <c r="P50" s="64">
        <f t="shared" si="39"/>
        <v>0</v>
      </c>
      <c r="Q50" s="386">
        <f t="shared" si="39"/>
        <v>365.25</v>
      </c>
      <c r="R50" s="386">
        <f t="shared" si="39"/>
        <v>405.08333333333337</v>
      </c>
      <c r="S50" s="386">
        <f t="shared" si="39"/>
        <v>370.08333333333326</v>
      </c>
      <c r="T50" s="386">
        <f t="shared" si="39"/>
        <v>304</v>
      </c>
      <c r="U50" s="64"/>
      <c r="V50" s="64">
        <f>SUMIF($D$6:$D$48,$D50,V$6:V$48)</f>
        <v>391</v>
      </c>
      <c r="W50" s="64">
        <f t="shared" ref="W50:AG51" si="40">SUMIF($D$6:$D$48,$D50,W$6:W$48)</f>
        <v>391</v>
      </c>
      <c r="X50" s="64">
        <f t="shared" si="40"/>
        <v>399</v>
      </c>
      <c r="Y50" s="64">
        <f t="shared" si="40"/>
        <v>400</v>
      </c>
      <c r="Z50" s="64">
        <f t="shared" si="40"/>
        <v>406</v>
      </c>
      <c r="AA50" s="64">
        <f t="shared" si="40"/>
        <v>410</v>
      </c>
      <c r="AB50" s="64">
        <f t="shared" si="40"/>
        <v>410</v>
      </c>
      <c r="AC50" s="64">
        <f t="shared" si="40"/>
        <v>410</v>
      </c>
      <c r="AD50" s="64">
        <f t="shared" si="40"/>
        <v>411</v>
      </c>
      <c r="AE50" s="64">
        <f t="shared" si="40"/>
        <v>411</v>
      </c>
      <c r="AF50" s="64">
        <f t="shared" si="40"/>
        <v>411</v>
      </c>
      <c r="AG50" s="64">
        <f t="shared" si="40"/>
        <v>411</v>
      </c>
      <c r="AH50" s="64"/>
      <c r="AI50" s="64">
        <f t="shared" ref="AI50:AT51" si="41">SUMIF($D$6:$D$47,$D50,AI$6:AI$47)</f>
        <v>351</v>
      </c>
      <c r="AJ50" s="64">
        <f t="shared" si="41"/>
        <v>352</v>
      </c>
      <c r="AK50" s="64">
        <f t="shared" si="41"/>
        <v>365</v>
      </c>
      <c r="AL50" s="64">
        <f t="shared" si="41"/>
        <v>370</v>
      </c>
      <c r="AM50" s="64">
        <f t="shared" si="41"/>
        <v>368</v>
      </c>
      <c r="AN50" s="64">
        <f t="shared" si="41"/>
        <v>372</v>
      </c>
      <c r="AO50" s="64">
        <f t="shared" si="41"/>
        <v>376</v>
      </c>
      <c r="AP50" s="64">
        <f t="shared" si="41"/>
        <v>378</v>
      </c>
      <c r="AQ50" s="64">
        <f t="shared" si="41"/>
        <v>379</v>
      </c>
      <c r="AR50" s="64">
        <f t="shared" si="41"/>
        <v>378</v>
      </c>
      <c r="AS50" s="64">
        <f t="shared" si="41"/>
        <v>376</v>
      </c>
      <c r="AT50" s="64">
        <f t="shared" si="41"/>
        <v>376</v>
      </c>
      <c r="AU50" s="64">
        <f>ROUND(SUMIF($D$6:$D$47,$D50,AU$6:AU$47),0)</f>
        <v>370</v>
      </c>
      <c r="AV50" s="84">
        <f>SUMIF($D$6:$D$47,$D50,AV$6:AV$47)</f>
        <v>399.16666666666663</v>
      </c>
      <c r="AW50" s="68">
        <f>SUMIF($D$6:$D$40,$D50,AW$6:AW$40)</f>
        <v>304</v>
      </c>
      <c r="AX50" s="64"/>
      <c r="AY50" s="64">
        <f t="shared" ref="AY50:BJ51" si="42">SUMIF($D$6:$D$40,$D50,AY$6:AY$40)</f>
        <v>366</v>
      </c>
      <c r="AZ50" s="64">
        <f t="shared" si="42"/>
        <v>373</v>
      </c>
      <c r="BA50" s="64">
        <f t="shared" si="42"/>
        <v>385</v>
      </c>
      <c r="BB50" s="64">
        <f t="shared" si="42"/>
        <v>393</v>
      </c>
      <c r="BC50" s="64">
        <f t="shared" si="42"/>
        <v>402</v>
      </c>
      <c r="BD50" s="64">
        <f t="shared" si="42"/>
        <v>405</v>
      </c>
      <c r="BE50" s="64">
        <f t="shared" si="42"/>
        <v>408</v>
      </c>
      <c r="BF50" s="64">
        <f t="shared" si="42"/>
        <v>410</v>
      </c>
      <c r="BG50" s="64">
        <f t="shared" si="42"/>
        <v>412</v>
      </c>
      <c r="BH50" s="64">
        <f t="shared" si="42"/>
        <v>412</v>
      </c>
      <c r="BI50" s="64">
        <f t="shared" si="42"/>
        <v>412</v>
      </c>
      <c r="BJ50" s="64">
        <f t="shared" si="42"/>
        <v>412</v>
      </c>
      <c r="BK50" s="64"/>
      <c r="BL50" s="64">
        <f t="shared" ref="BL50:BW51" si="43">SUMIF($D$6:$D$40,$D50,BL$6:BL$40)</f>
        <v>253</v>
      </c>
      <c r="BM50" s="64">
        <f t="shared" si="43"/>
        <v>252</v>
      </c>
      <c r="BN50" s="64">
        <f t="shared" si="43"/>
        <v>270</v>
      </c>
      <c r="BO50" s="64">
        <f t="shared" si="43"/>
        <v>286</v>
      </c>
      <c r="BP50" s="64">
        <f t="shared" si="43"/>
        <v>303</v>
      </c>
      <c r="BQ50" s="64">
        <f t="shared" si="43"/>
        <v>307</v>
      </c>
      <c r="BR50" s="64">
        <f t="shared" si="43"/>
        <v>314</v>
      </c>
      <c r="BS50" s="64">
        <f t="shared" si="43"/>
        <v>314</v>
      </c>
      <c r="BT50" s="64">
        <f t="shared" si="43"/>
        <v>328</v>
      </c>
      <c r="BU50" s="64">
        <f t="shared" si="43"/>
        <v>334</v>
      </c>
      <c r="BV50" s="64">
        <f t="shared" si="43"/>
        <v>337</v>
      </c>
      <c r="BW50" s="64">
        <f t="shared" si="43"/>
        <v>350</v>
      </c>
      <c r="BX50" s="20">
        <f>ROUND(SUM(BL50:BW50)/12,0)</f>
        <v>304</v>
      </c>
    </row>
    <row r="51" spans="1:77" ht="13.9" hidden="1" x14ac:dyDescent="0.25">
      <c r="D51" s="64" t="s">
        <v>13</v>
      </c>
      <c r="E51" s="64">
        <f>SUMIF($D$6:$D$48,$D51,E$6:E$48)</f>
        <v>236</v>
      </c>
      <c r="F51" s="64">
        <f t="shared" si="39"/>
        <v>212</v>
      </c>
      <c r="G51" s="64">
        <f t="shared" si="39"/>
        <v>222</v>
      </c>
      <c r="H51" s="64">
        <f t="shared" si="39"/>
        <v>208</v>
      </c>
      <c r="I51" s="64">
        <f t="shared" si="39"/>
        <v>0</v>
      </c>
      <c r="J51" s="64">
        <f t="shared" si="39"/>
        <v>0</v>
      </c>
      <c r="K51" s="64">
        <f t="shared" si="39"/>
        <v>0</v>
      </c>
      <c r="L51" s="64">
        <f t="shared" si="39"/>
        <v>0</v>
      </c>
      <c r="M51" s="64">
        <f t="shared" si="39"/>
        <v>0</v>
      </c>
      <c r="N51" s="64">
        <f t="shared" si="39"/>
        <v>0</v>
      </c>
      <c r="O51" s="64">
        <f t="shared" si="39"/>
        <v>0</v>
      </c>
      <c r="P51" s="64">
        <f t="shared" si="39"/>
        <v>0</v>
      </c>
      <c r="Q51" s="386">
        <f t="shared" si="39"/>
        <v>219.5</v>
      </c>
      <c r="R51" s="386">
        <f t="shared" si="39"/>
        <v>263.75</v>
      </c>
      <c r="S51" s="386">
        <f t="shared" si="39"/>
        <v>256</v>
      </c>
      <c r="T51" s="386">
        <f t="shared" si="39"/>
        <v>206.41666666666666</v>
      </c>
      <c r="U51" s="64"/>
      <c r="V51" s="64">
        <f>SUMIF($D$6:$D$48,$D51,V$6:V$48)</f>
        <v>270</v>
      </c>
      <c r="W51" s="64">
        <f t="shared" si="40"/>
        <v>259</v>
      </c>
      <c r="X51" s="64">
        <f t="shared" si="40"/>
        <v>260</v>
      </c>
      <c r="Y51" s="64">
        <f t="shared" si="40"/>
        <v>264</v>
      </c>
      <c r="Z51" s="64">
        <f t="shared" si="40"/>
        <v>264</v>
      </c>
      <c r="AA51" s="64">
        <f t="shared" si="40"/>
        <v>264</v>
      </c>
      <c r="AB51" s="64">
        <f t="shared" si="40"/>
        <v>264</v>
      </c>
      <c r="AC51" s="64">
        <f t="shared" si="40"/>
        <v>264</v>
      </c>
      <c r="AD51" s="64">
        <f t="shared" si="40"/>
        <v>264</v>
      </c>
      <c r="AE51" s="64">
        <f t="shared" si="40"/>
        <v>264</v>
      </c>
      <c r="AF51" s="64">
        <f t="shared" si="40"/>
        <v>264</v>
      </c>
      <c r="AG51" s="64">
        <f t="shared" si="40"/>
        <v>264</v>
      </c>
      <c r="AH51" s="64"/>
      <c r="AI51" s="64">
        <f t="shared" si="41"/>
        <v>218</v>
      </c>
      <c r="AJ51" s="64">
        <f t="shared" si="41"/>
        <v>233</v>
      </c>
      <c r="AK51" s="64">
        <f t="shared" si="41"/>
        <v>237</v>
      </c>
      <c r="AL51" s="64">
        <f t="shared" si="41"/>
        <v>244</v>
      </c>
      <c r="AM51" s="64">
        <f t="shared" si="41"/>
        <v>241</v>
      </c>
      <c r="AN51" s="64">
        <f t="shared" si="41"/>
        <v>249</v>
      </c>
      <c r="AO51" s="64">
        <f t="shared" si="41"/>
        <v>259</v>
      </c>
      <c r="AP51" s="64">
        <f t="shared" si="41"/>
        <v>285</v>
      </c>
      <c r="AQ51" s="64">
        <f t="shared" si="41"/>
        <v>303</v>
      </c>
      <c r="AR51" s="64">
        <f t="shared" si="41"/>
        <v>282</v>
      </c>
      <c r="AS51" s="64">
        <f t="shared" si="41"/>
        <v>268</v>
      </c>
      <c r="AT51" s="64">
        <f t="shared" si="41"/>
        <v>253</v>
      </c>
      <c r="AU51" s="64">
        <f>ROUND(SUMIF($D$6:$D$47,$D51,AU$6:AU$47),0)</f>
        <v>256</v>
      </c>
      <c r="AV51" s="84">
        <f>SUMIF($D$6:$D$47,$D51,AV$6:AV$47)</f>
        <v>257.75</v>
      </c>
      <c r="AW51" s="68">
        <f>SUMIF($D$6:$D$40,$D51,AW$6:AW$40)</f>
        <v>206.41666666666666</v>
      </c>
      <c r="AX51" s="64"/>
      <c r="AY51" s="64">
        <f t="shared" si="42"/>
        <v>243</v>
      </c>
      <c r="AZ51" s="64">
        <f t="shared" si="42"/>
        <v>243</v>
      </c>
      <c r="BA51" s="64">
        <f t="shared" si="42"/>
        <v>246</v>
      </c>
      <c r="BB51" s="64">
        <f t="shared" si="42"/>
        <v>250</v>
      </c>
      <c r="BC51" s="64">
        <f t="shared" si="42"/>
        <v>250</v>
      </c>
      <c r="BD51" s="64">
        <f t="shared" si="42"/>
        <v>263</v>
      </c>
      <c r="BE51" s="64">
        <f t="shared" si="42"/>
        <v>263</v>
      </c>
      <c r="BF51" s="64">
        <f t="shared" si="42"/>
        <v>263</v>
      </c>
      <c r="BG51" s="64">
        <f t="shared" si="42"/>
        <v>268</v>
      </c>
      <c r="BH51" s="64">
        <f t="shared" si="42"/>
        <v>268</v>
      </c>
      <c r="BI51" s="64">
        <f t="shared" si="42"/>
        <v>268</v>
      </c>
      <c r="BJ51" s="64">
        <f t="shared" si="42"/>
        <v>268</v>
      </c>
      <c r="BK51" s="64"/>
      <c r="BL51" s="64">
        <f t="shared" si="43"/>
        <v>178</v>
      </c>
      <c r="BM51" s="64">
        <f t="shared" si="43"/>
        <v>168</v>
      </c>
      <c r="BN51" s="64">
        <f t="shared" si="43"/>
        <v>191</v>
      </c>
      <c r="BO51" s="64">
        <f t="shared" si="43"/>
        <v>197</v>
      </c>
      <c r="BP51" s="64">
        <f t="shared" si="43"/>
        <v>204</v>
      </c>
      <c r="BQ51" s="64">
        <f t="shared" si="43"/>
        <v>208</v>
      </c>
      <c r="BR51" s="64">
        <f t="shared" si="43"/>
        <v>206</v>
      </c>
      <c r="BS51" s="64">
        <f t="shared" si="43"/>
        <v>204</v>
      </c>
      <c r="BT51" s="64">
        <f t="shared" si="43"/>
        <v>223</v>
      </c>
      <c r="BU51" s="64">
        <f t="shared" si="43"/>
        <v>228</v>
      </c>
      <c r="BV51" s="64">
        <f t="shared" si="43"/>
        <v>238</v>
      </c>
      <c r="BW51" s="64">
        <f t="shared" si="43"/>
        <v>232</v>
      </c>
      <c r="BX51" s="20">
        <f>ROUND(SUM(BL51:BW51)/12,0)</f>
        <v>206</v>
      </c>
    </row>
    <row r="53" spans="1:77" x14ac:dyDescent="0.25">
      <c r="C53" s="164" t="s">
        <v>214</v>
      </c>
      <c r="D53" s="164"/>
      <c r="E53" s="161">
        <v>1</v>
      </c>
      <c r="F53" s="161">
        <v>2</v>
      </c>
      <c r="G53" s="161">
        <v>3</v>
      </c>
      <c r="H53" s="162">
        <v>4</v>
      </c>
      <c r="I53" s="161">
        <v>5</v>
      </c>
      <c r="J53" s="162">
        <v>6</v>
      </c>
      <c r="K53" s="161">
        <v>7</v>
      </c>
      <c r="L53" s="162">
        <v>8</v>
      </c>
      <c r="M53" s="161">
        <v>9</v>
      </c>
      <c r="N53" s="162">
        <v>10</v>
      </c>
      <c r="O53" s="161">
        <v>11</v>
      </c>
      <c r="P53" s="162">
        <v>12</v>
      </c>
      <c r="Q53" s="444" t="s">
        <v>1436</v>
      </c>
      <c r="R53" s="162" t="s">
        <v>1437</v>
      </c>
      <c r="S53" s="162" t="s">
        <v>217</v>
      </c>
      <c r="T53" s="163" t="s">
        <v>219</v>
      </c>
      <c r="U53" s="378"/>
      <c r="V53" s="23">
        <v>1</v>
      </c>
      <c r="W53" s="23">
        <v>2</v>
      </c>
      <c r="X53" s="23">
        <v>3</v>
      </c>
      <c r="Y53" s="24">
        <v>4</v>
      </c>
      <c r="Z53" s="23">
        <v>5</v>
      </c>
      <c r="AA53" s="24">
        <v>6</v>
      </c>
      <c r="AB53" s="23">
        <v>7</v>
      </c>
      <c r="AC53" s="24">
        <v>8</v>
      </c>
      <c r="AD53" s="23">
        <v>9</v>
      </c>
      <c r="AE53" s="24">
        <v>10</v>
      </c>
      <c r="AF53" s="23">
        <v>11</v>
      </c>
      <c r="AG53" s="24">
        <v>12</v>
      </c>
      <c r="AH53" s="378"/>
      <c r="AI53" s="161">
        <v>1</v>
      </c>
      <c r="AJ53" s="161">
        <v>2</v>
      </c>
      <c r="AK53" s="161">
        <v>3</v>
      </c>
      <c r="AL53" s="162">
        <v>4</v>
      </c>
      <c r="AM53" s="161">
        <v>5</v>
      </c>
      <c r="AN53" s="162">
        <v>6</v>
      </c>
      <c r="AO53" s="161">
        <v>7</v>
      </c>
      <c r="AP53" s="162">
        <v>8</v>
      </c>
      <c r="AQ53" s="161">
        <v>9</v>
      </c>
      <c r="AR53" s="162">
        <v>10</v>
      </c>
      <c r="AS53" s="161">
        <v>11</v>
      </c>
      <c r="AT53" s="162">
        <v>12</v>
      </c>
      <c r="AU53" s="430" t="s">
        <v>213</v>
      </c>
      <c r="AV53" s="431" t="s">
        <v>215</v>
      </c>
      <c r="AW53" s="430" t="s">
        <v>216</v>
      </c>
      <c r="AY53" s="23">
        <v>1</v>
      </c>
      <c r="AZ53" s="23">
        <v>2</v>
      </c>
      <c r="BA53" s="23">
        <v>3</v>
      </c>
      <c r="BB53" s="24">
        <v>4</v>
      </c>
      <c r="BC53" s="23">
        <v>5</v>
      </c>
      <c r="BD53" s="24">
        <v>6</v>
      </c>
      <c r="BE53" s="23">
        <v>7</v>
      </c>
      <c r="BF53" s="24">
        <v>8</v>
      </c>
      <c r="BG53" s="23">
        <v>9</v>
      </c>
      <c r="BH53" s="24">
        <v>10</v>
      </c>
      <c r="BI53" s="23">
        <v>11</v>
      </c>
      <c r="BJ53" s="24">
        <v>12</v>
      </c>
      <c r="BL53" s="41">
        <v>1</v>
      </c>
      <c r="BM53" s="41">
        <v>2</v>
      </c>
      <c r="BN53" s="41">
        <v>3</v>
      </c>
      <c r="BO53" s="42">
        <v>4</v>
      </c>
      <c r="BP53" s="41">
        <v>5</v>
      </c>
      <c r="BQ53" s="42">
        <v>6</v>
      </c>
      <c r="BR53" s="41">
        <v>7</v>
      </c>
      <c r="BS53" s="42">
        <v>8</v>
      </c>
      <c r="BT53" s="41">
        <v>9</v>
      </c>
      <c r="BU53" s="42">
        <v>10</v>
      </c>
      <c r="BV53" s="41">
        <v>11</v>
      </c>
      <c r="BW53" s="42">
        <v>12</v>
      </c>
    </row>
    <row r="54" spans="1:77" x14ac:dyDescent="0.25">
      <c r="C54" s="43" t="s">
        <v>174</v>
      </c>
      <c r="D54" s="44"/>
      <c r="E54" s="404">
        <v>2868.56925</v>
      </c>
      <c r="F54" s="404">
        <v>1811.1000000000001</v>
      </c>
      <c r="G54" s="404">
        <v>4279.4889999999996</v>
      </c>
      <c r="H54" s="404">
        <v>4370.2853999999998</v>
      </c>
      <c r="I54" s="44"/>
      <c r="J54" s="44"/>
      <c r="K54" s="44"/>
      <c r="L54" s="44"/>
      <c r="M54" s="44"/>
      <c r="N54" s="44"/>
      <c r="O54" s="44"/>
      <c r="P54" s="44"/>
      <c r="Q54" s="404">
        <f>SUM(E54:P54)</f>
        <v>13329.443650000001</v>
      </c>
      <c r="R54" s="404">
        <f>SUBTOTAL(1,V54:AG54)</f>
        <v>4166.666666666667</v>
      </c>
      <c r="S54" s="404">
        <f>SUBTOTAL(1,AI54:AT54)</f>
        <v>3792.1955249999996</v>
      </c>
      <c r="T54" s="407">
        <f>AW54</f>
        <v>3688.0240249999988</v>
      </c>
      <c r="U54" s="379"/>
      <c r="V54" s="404">
        <v>3955</v>
      </c>
      <c r="W54" s="404">
        <v>3245</v>
      </c>
      <c r="X54" s="404">
        <v>4145</v>
      </c>
      <c r="Y54" s="404">
        <v>4155</v>
      </c>
      <c r="Z54" s="404">
        <v>4145</v>
      </c>
      <c r="AA54" s="404">
        <v>4230</v>
      </c>
      <c r="AB54" s="404">
        <v>4330</v>
      </c>
      <c r="AC54" s="404">
        <v>4370</v>
      </c>
      <c r="AD54" s="404">
        <v>4355</v>
      </c>
      <c r="AE54" s="404">
        <v>4380</v>
      </c>
      <c r="AF54" s="404">
        <v>4320</v>
      </c>
      <c r="AG54" s="404">
        <v>4370</v>
      </c>
      <c r="AH54" s="379"/>
      <c r="AI54" s="66">
        <v>1839.7309999999998</v>
      </c>
      <c r="AJ54" s="66">
        <v>2957.2660000000001</v>
      </c>
      <c r="AK54" s="66">
        <v>4821.92</v>
      </c>
      <c r="AL54" s="66">
        <v>4088.2489999999993</v>
      </c>
      <c r="AM54" s="66">
        <v>4828.9710000000005</v>
      </c>
      <c r="AN54" s="66">
        <v>4232.4530000000004</v>
      </c>
      <c r="AO54" s="66">
        <v>4561.6410000000005</v>
      </c>
      <c r="AP54" s="66">
        <v>4570.5645000000004</v>
      </c>
      <c r="AQ54" s="66">
        <v>4555.5080000000007</v>
      </c>
      <c r="AR54" s="66">
        <v>3173.9179999999997</v>
      </c>
      <c r="AS54" s="66">
        <v>2323.2629999999999</v>
      </c>
      <c r="AT54" s="66">
        <v>3552.8617999999997</v>
      </c>
      <c r="AU54" s="69">
        <f>SUM(AI54:AT54)</f>
        <v>45506.346299999997</v>
      </c>
      <c r="AV54" s="69">
        <f>SUBTOTAL(1,AY54:BJ54)</f>
        <v>4750</v>
      </c>
      <c r="AW54" s="69">
        <f t="shared" ref="AW54:AW56" si="44">SUBTOTAL(1,BL54:BW54)</f>
        <v>3688.0240249999988</v>
      </c>
      <c r="AY54" s="66">
        <v>3425</v>
      </c>
      <c r="AZ54" s="66">
        <v>3625</v>
      </c>
      <c r="BA54" s="66">
        <v>4655</v>
      </c>
      <c r="BB54" s="66">
        <v>4810</v>
      </c>
      <c r="BC54" s="66">
        <v>4810</v>
      </c>
      <c r="BD54" s="66">
        <v>4810</v>
      </c>
      <c r="BE54" s="66">
        <v>5150</v>
      </c>
      <c r="BF54" s="66">
        <v>5150</v>
      </c>
      <c r="BG54" s="66">
        <v>5050</v>
      </c>
      <c r="BH54" s="66">
        <v>5205</v>
      </c>
      <c r="BI54" s="66">
        <v>5105</v>
      </c>
      <c r="BJ54" s="66">
        <v>5205</v>
      </c>
      <c r="BL54" s="66">
        <v>4748.3130000000001</v>
      </c>
      <c r="BM54" s="66">
        <v>2926.5019999999995</v>
      </c>
      <c r="BN54" s="66">
        <v>4896.4380000000001</v>
      </c>
      <c r="BO54" s="66">
        <v>4526.3689999999997</v>
      </c>
      <c r="BP54" s="66">
        <v>4417.8749999999991</v>
      </c>
      <c r="BQ54" s="66">
        <v>3495.0744999999997</v>
      </c>
      <c r="BR54" s="66">
        <v>1866.424</v>
      </c>
      <c r="BS54" s="66">
        <v>2192.5825</v>
      </c>
      <c r="BT54" s="66">
        <v>2799.3996999999999</v>
      </c>
      <c r="BU54" s="66">
        <v>4293.2714999999989</v>
      </c>
      <c r="BV54" s="66">
        <v>4775.3970000000008</v>
      </c>
      <c r="BW54" s="66">
        <v>3318.6420999999996</v>
      </c>
    </row>
    <row r="55" spans="1:77" s="274" customFormat="1" ht="30" x14ac:dyDescent="0.25">
      <c r="C55" s="45" t="s">
        <v>175</v>
      </c>
      <c r="D55" s="275"/>
      <c r="E55" s="408">
        <f t="shared" ref="E55:P55" si="45">IFERROR(E54/E49,0)</f>
        <v>4.6948760229132569</v>
      </c>
      <c r="F55" s="408">
        <f t="shared" si="45"/>
        <v>3.1497391304347828</v>
      </c>
      <c r="G55" s="408">
        <f t="shared" si="45"/>
        <v>7.3530738831615112</v>
      </c>
      <c r="H55" s="408">
        <f t="shared" si="45"/>
        <v>7.6537397548161117</v>
      </c>
      <c r="I55" s="408">
        <f t="shared" si="45"/>
        <v>0</v>
      </c>
      <c r="J55" s="408">
        <f t="shared" si="45"/>
        <v>0</v>
      </c>
      <c r="K55" s="408">
        <f t="shared" si="45"/>
        <v>0</v>
      </c>
      <c r="L55" s="408">
        <f t="shared" si="45"/>
        <v>0</v>
      </c>
      <c r="M55" s="408">
        <f t="shared" si="45"/>
        <v>0</v>
      </c>
      <c r="N55" s="408">
        <f t="shared" si="45"/>
        <v>0</v>
      </c>
      <c r="O55" s="408">
        <f t="shared" si="45"/>
        <v>0</v>
      </c>
      <c r="P55" s="408">
        <f t="shared" si="45"/>
        <v>0</v>
      </c>
      <c r="Q55" s="445">
        <f>Q54/Q49</f>
        <v>22.795115262932878</v>
      </c>
      <c r="R55" s="410">
        <f t="shared" ref="R55:R56" si="46">SUBTOTAL(1,V55:AG55)</f>
        <v>6.2256989734159243</v>
      </c>
      <c r="S55" s="408">
        <f>S54/S49</f>
        <v>6.0570140157061081</v>
      </c>
      <c r="T55" s="408">
        <f>T54/T49</f>
        <v>7.225516457142855</v>
      </c>
      <c r="U55" s="380"/>
      <c r="V55" s="410">
        <f t="shared" ref="V55:AG55" si="47">V54/V49</f>
        <v>5.9833585476550679</v>
      </c>
      <c r="W55" s="410">
        <f t="shared" si="47"/>
        <v>4.9923076923076923</v>
      </c>
      <c r="X55" s="410">
        <f t="shared" si="47"/>
        <v>6.2898330804248861</v>
      </c>
      <c r="Y55" s="410">
        <f t="shared" si="47"/>
        <v>6.2575301204819276</v>
      </c>
      <c r="Z55" s="410">
        <f t="shared" si="47"/>
        <v>6.1865671641791042</v>
      </c>
      <c r="AA55" s="410">
        <f t="shared" si="47"/>
        <v>6.275964391691395</v>
      </c>
      <c r="AB55" s="410">
        <f t="shared" si="47"/>
        <v>6.4243323442136502</v>
      </c>
      <c r="AC55" s="410">
        <f t="shared" si="47"/>
        <v>6.4836795252225521</v>
      </c>
      <c r="AD55" s="410">
        <f t="shared" si="47"/>
        <v>6.4518518518518517</v>
      </c>
      <c r="AE55" s="410">
        <f t="shared" si="47"/>
        <v>6.4888888888888889</v>
      </c>
      <c r="AF55" s="410">
        <f t="shared" si="47"/>
        <v>6.4</v>
      </c>
      <c r="AG55" s="410">
        <f t="shared" si="47"/>
        <v>6.4740740740740739</v>
      </c>
      <c r="AH55" s="380"/>
      <c r="AI55" s="276">
        <f>IFERROR(AI54/AI49,0)</f>
        <v>3.2332706502636199</v>
      </c>
      <c r="AJ55" s="276">
        <f t="shared" ref="AJ55:AW55" si="48">IFERROR(AJ54/AJ49,0)</f>
        <v>5.0551555555555554</v>
      </c>
      <c r="AK55" s="276">
        <f>IFERROR(AK54/AK49,0)</f>
        <v>8.0098338870431895</v>
      </c>
      <c r="AL55" s="276">
        <f t="shared" si="48"/>
        <v>6.6583859934853411</v>
      </c>
      <c r="AM55" s="276">
        <f t="shared" si="48"/>
        <v>7.929344827586208</v>
      </c>
      <c r="AN55" s="276">
        <f t="shared" si="48"/>
        <v>6.8155442834138489</v>
      </c>
      <c r="AO55" s="276">
        <f t="shared" si="48"/>
        <v>7.1836866141732294</v>
      </c>
      <c r="AP55" s="276">
        <f t="shared" si="48"/>
        <v>6.8937624434389146</v>
      </c>
      <c r="AQ55" s="276">
        <f t="shared" si="48"/>
        <v>6.6796304985337258</v>
      </c>
      <c r="AR55" s="276">
        <f t="shared" si="48"/>
        <v>4.8089666666666657</v>
      </c>
      <c r="AS55" s="276">
        <f t="shared" si="48"/>
        <v>3.6075512422360245</v>
      </c>
      <c r="AT55" s="276">
        <f t="shared" si="48"/>
        <v>5.6484289348171695</v>
      </c>
      <c r="AU55" s="277">
        <f t="shared" si="48"/>
        <v>72.684168188473308</v>
      </c>
      <c r="AV55" s="277">
        <f t="shared" si="48"/>
        <v>7.2307497145756692</v>
      </c>
      <c r="AW55" s="277">
        <f t="shared" si="48"/>
        <v>7.225516457142855</v>
      </c>
      <c r="AX55" s="278"/>
      <c r="AY55" s="276">
        <f>IFERROR(AY54/AY49,0)</f>
        <v>5.623973727422003</v>
      </c>
      <c r="AZ55" s="276">
        <f t="shared" ref="AZ55" si="49">IFERROR(AZ54/AZ49,0)</f>
        <v>5.8847402597402594</v>
      </c>
      <c r="BA55" s="276">
        <f t="shared" ref="BA55" si="50">IFERROR(BA54/BA49,0)</f>
        <v>7.3771790808240887</v>
      </c>
      <c r="BB55" s="276">
        <f t="shared" ref="BB55" si="51">IFERROR(BB54/BB49,0)</f>
        <v>7.4805598755832037</v>
      </c>
      <c r="BC55" s="276">
        <f t="shared" ref="BC55" si="52">IFERROR(BC54/BC49,0)</f>
        <v>7.3773006134969323</v>
      </c>
      <c r="BD55" s="276">
        <f t="shared" ref="BD55" si="53">IFERROR(BD54/BD49,0)</f>
        <v>7.2005988023952092</v>
      </c>
      <c r="BE55" s="276">
        <f t="shared" ref="BE55" si="54">IFERROR(BE54/BE49,0)</f>
        <v>7.6751117734724295</v>
      </c>
      <c r="BF55" s="276">
        <f t="shared" ref="BF55" si="55">IFERROR(BF54/BF49,0)</f>
        <v>7.6523031203566125</v>
      </c>
      <c r="BG55" s="276">
        <f t="shared" ref="BG55" si="56">IFERROR(BG54/BG49,0)</f>
        <v>7.4264705882352944</v>
      </c>
      <c r="BH55" s="276">
        <f t="shared" ref="BH55" si="57">IFERROR(BH54/BH49,0)</f>
        <v>7.6544117647058822</v>
      </c>
      <c r="BI55" s="276">
        <f t="shared" ref="BI55" si="58">IFERROR(BI54/BI49,0)</f>
        <v>7.507352941176471</v>
      </c>
      <c r="BJ55" s="276">
        <f t="shared" ref="BJ55" si="59">IFERROR(BJ54/BJ49,0)</f>
        <v>7.6544117647058822</v>
      </c>
      <c r="BK55" s="278"/>
      <c r="BL55" s="276">
        <f>IFERROR(BL54/BL49,0)</f>
        <v>11.016967517401392</v>
      </c>
      <c r="BM55" s="276">
        <f t="shared" ref="BM55" si="60">IFERROR(BM54/BM49,0)</f>
        <v>6.9678619047619037</v>
      </c>
      <c r="BN55" s="276">
        <f t="shared" ref="BN55" si="61">IFERROR(BN54/BN49,0)</f>
        <v>10.621340563991323</v>
      </c>
      <c r="BO55" s="276">
        <f t="shared" ref="BO55" si="62">IFERROR(BO54/BO49,0)</f>
        <v>9.3713643892339533</v>
      </c>
      <c r="BP55" s="276">
        <f t="shared" ref="BP55" si="63">IFERROR(BP54/BP49,0)</f>
        <v>8.7137573964497026</v>
      </c>
      <c r="BQ55" s="276">
        <f t="shared" ref="BQ55" si="64">IFERROR(BQ54/BQ49,0)</f>
        <v>6.7865524271844651</v>
      </c>
      <c r="BR55" s="276">
        <f t="shared" ref="BR55" si="65">IFERROR(BR54/BR49,0)</f>
        <v>3.5892769230769233</v>
      </c>
      <c r="BS55" s="276">
        <f t="shared" ref="BS55" si="66">IFERROR(BS54/BS49,0)</f>
        <v>4.2327847490347494</v>
      </c>
      <c r="BT55" s="276">
        <f t="shared" ref="BT55" si="67">IFERROR(BT54/BT49,0)</f>
        <v>5.0805802177858439</v>
      </c>
      <c r="BU55" s="276">
        <f t="shared" ref="BU55" si="68">IFERROR(BU54/BU49,0)</f>
        <v>7.6392731316725957</v>
      </c>
      <c r="BV55" s="276">
        <f t="shared" ref="BV55" si="69">IFERROR(BV54/BV49,0)</f>
        <v>8.3050382608695674</v>
      </c>
      <c r="BW55" s="276">
        <f t="shared" ref="BW55" si="70">IFERROR(BW54/BW49,0)</f>
        <v>5.7021341924398614</v>
      </c>
    </row>
    <row r="56" spans="1:77" ht="30" x14ac:dyDescent="0.25">
      <c r="C56" s="58" t="s">
        <v>211</v>
      </c>
      <c r="D56" s="59"/>
      <c r="E56" s="432">
        <v>119816.90830757401</v>
      </c>
      <c r="F56" s="405">
        <v>92160.661784600001</v>
      </c>
      <c r="G56" s="405">
        <v>161088.29054943501</v>
      </c>
      <c r="H56" s="405">
        <v>149421.84365967501</v>
      </c>
      <c r="I56" s="59"/>
      <c r="J56" s="59"/>
      <c r="K56" s="59"/>
      <c r="L56" s="59"/>
      <c r="M56" s="59"/>
      <c r="N56" s="59"/>
      <c r="O56" s="59"/>
      <c r="P56" s="59"/>
      <c r="Q56" s="405">
        <f>SUM(E56:P56)</f>
        <v>522487.70430128404</v>
      </c>
      <c r="R56" s="405">
        <f t="shared" si="46"/>
        <v>134630.21932953413</v>
      </c>
      <c r="S56" s="405">
        <f>SUBTOTAL(1,AI56:AT56)</f>
        <v>120678.36156657705</v>
      </c>
      <c r="T56" s="409">
        <f>AW56</f>
        <v>87980.139235680821</v>
      </c>
      <c r="U56" s="379"/>
      <c r="V56" s="405">
        <v>127180.58981519013</v>
      </c>
      <c r="W56" s="405">
        <v>125404.29985620012</v>
      </c>
      <c r="X56" s="405">
        <v>138512.60050616058</v>
      </c>
      <c r="Y56" s="405">
        <v>129526.53519693512</v>
      </c>
      <c r="Z56" s="405">
        <v>137579.94023807041</v>
      </c>
      <c r="AA56" s="405">
        <v>138246.56297257697</v>
      </c>
      <c r="AB56" s="405">
        <v>137701.28648674788</v>
      </c>
      <c r="AC56" s="405">
        <v>133733.95761693252</v>
      </c>
      <c r="AD56" s="405">
        <v>139824.28564107046</v>
      </c>
      <c r="AE56" s="405">
        <v>130375.29734195152</v>
      </c>
      <c r="AF56" s="405">
        <v>138054.08643761481</v>
      </c>
      <c r="AG56" s="405">
        <v>139423.1898449593</v>
      </c>
      <c r="AH56" s="379"/>
      <c r="AI56" s="67">
        <v>108225.11736400001</v>
      </c>
      <c r="AJ56" s="67">
        <v>174797.791610074</v>
      </c>
      <c r="AK56" s="67">
        <v>142719.91297072801</v>
      </c>
      <c r="AL56" s="67">
        <v>120286.664580667</v>
      </c>
      <c r="AM56" s="67">
        <v>145453.82019196299</v>
      </c>
      <c r="AN56" s="67">
        <v>112817.30783000001</v>
      </c>
      <c r="AO56" s="67">
        <v>134508.07455689501</v>
      </c>
      <c r="AP56" s="67">
        <v>159890.34929985201</v>
      </c>
      <c r="AQ56" s="67">
        <v>75560.223210300799</v>
      </c>
      <c r="AR56" s="67">
        <v>94420.6656258859</v>
      </c>
      <c r="AS56" s="67">
        <v>75896.927019632902</v>
      </c>
      <c r="AT56" s="67">
        <v>103563.484538926</v>
      </c>
      <c r="AU56" s="79">
        <f>SUM(AI56:AT56)</f>
        <v>1448140.3387989246</v>
      </c>
      <c r="AV56" s="79">
        <f t="shared" ref="AV56" si="71">SUM(AJ56:AU56)</f>
        <v>2788055.5602338491</v>
      </c>
      <c r="AW56" s="79">
        <f t="shared" si="44"/>
        <v>87980.139235680821</v>
      </c>
      <c r="AY56" s="67">
        <v>95204.235000000001</v>
      </c>
      <c r="AZ56" s="67">
        <v>114524.735</v>
      </c>
      <c r="BA56" s="67">
        <v>113074.83500000001</v>
      </c>
      <c r="BB56" s="67">
        <v>120689.2975</v>
      </c>
      <c r="BC56" s="67">
        <v>159024.14750000002</v>
      </c>
      <c r="BD56" s="67">
        <v>152600.13500000001</v>
      </c>
      <c r="BE56" s="67">
        <v>172356.26</v>
      </c>
      <c r="BF56" s="67">
        <v>173592.36</v>
      </c>
      <c r="BG56" s="67">
        <v>202971.61</v>
      </c>
      <c r="BH56" s="67">
        <v>206775.81</v>
      </c>
      <c r="BI56" s="67">
        <v>191524.9</v>
      </c>
      <c r="BJ56" s="67">
        <v>190077.26</v>
      </c>
      <c r="BL56" s="67">
        <v>64428.716101999999</v>
      </c>
      <c r="BM56" s="67">
        <v>63066.335440000003</v>
      </c>
      <c r="BN56" s="67">
        <v>88381.305485670004</v>
      </c>
      <c r="BO56" s="67">
        <v>93745.315533200002</v>
      </c>
      <c r="BP56" s="67">
        <v>96472.135009000005</v>
      </c>
      <c r="BQ56" s="67">
        <v>56643.561715518517</v>
      </c>
      <c r="BR56" s="67">
        <v>51895.643643000003</v>
      </c>
      <c r="BS56" s="67">
        <v>138793.51485941114</v>
      </c>
      <c r="BT56" s="67">
        <v>137548.13701348146</v>
      </c>
      <c r="BU56" s="67">
        <v>106136.13591851853</v>
      </c>
      <c r="BV56" s="67">
        <v>65046.447024370369</v>
      </c>
      <c r="BW56" s="67">
        <v>93604.423083999995</v>
      </c>
    </row>
    <row r="57" spans="1:77" x14ac:dyDescent="0.25">
      <c r="C57" s="60" t="s">
        <v>212</v>
      </c>
      <c r="D57" s="61"/>
      <c r="E57" s="433">
        <f>IFERROR(E56/E49,0)</f>
        <v>196.09968626444191</v>
      </c>
      <c r="F57" s="433">
        <f t="shared" ref="F57:Q57" si="72">IFERROR(F56/F49,0)</f>
        <v>160.27941179930434</v>
      </c>
      <c r="G57" s="433">
        <f t="shared" si="72"/>
        <v>276.78400438047254</v>
      </c>
      <c r="H57" s="433">
        <f t="shared" si="72"/>
        <v>261.68448977176007</v>
      </c>
      <c r="I57" s="433">
        <f t="shared" si="72"/>
        <v>0</v>
      </c>
      <c r="J57" s="433">
        <f t="shared" si="72"/>
        <v>0</v>
      </c>
      <c r="K57" s="433">
        <f t="shared" si="72"/>
        <v>0</v>
      </c>
      <c r="L57" s="433">
        <f t="shared" si="72"/>
        <v>0</v>
      </c>
      <c r="M57" s="433">
        <f t="shared" si="72"/>
        <v>0</v>
      </c>
      <c r="N57" s="433">
        <f t="shared" si="72"/>
        <v>0</v>
      </c>
      <c r="O57" s="433">
        <f t="shared" si="72"/>
        <v>0</v>
      </c>
      <c r="P57" s="433">
        <f t="shared" si="72"/>
        <v>0</v>
      </c>
      <c r="Q57" s="406">
        <f t="shared" si="72"/>
        <v>893.52322240493208</v>
      </c>
      <c r="R57" s="406">
        <f>R56/R49</f>
        <v>201.29113281266004</v>
      </c>
      <c r="S57" s="406">
        <f>S56/S49</f>
        <v>192.75127629427985</v>
      </c>
      <c r="T57" s="406">
        <f>T56/T49</f>
        <v>172.36925238010937</v>
      </c>
      <c r="U57" s="381"/>
      <c r="V57" s="406">
        <f t="shared" ref="V57:AG57" si="73">IFERROR(V56/V49,0)</f>
        <v>192.40633860089278</v>
      </c>
      <c r="W57" s="406">
        <f t="shared" si="73"/>
        <v>192.92969208646173</v>
      </c>
      <c r="X57" s="406">
        <f t="shared" si="73"/>
        <v>210.18604022179147</v>
      </c>
      <c r="Y57" s="406">
        <f t="shared" si="73"/>
        <v>195.07008312791433</v>
      </c>
      <c r="Z57" s="406">
        <f t="shared" si="73"/>
        <v>205.34319438517971</v>
      </c>
      <c r="AA57" s="406">
        <f t="shared" si="73"/>
        <v>205.11359491480263</v>
      </c>
      <c r="AB57" s="406">
        <f t="shared" si="73"/>
        <v>204.30457935719269</v>
      </c>
      <c r="AC57" s="406">
        <f t="shared" si="73"/>
        <v>198.41833474322331</v>
      </c>
      <c r="AD57" s="406">
        <f t="shared" si="73"/>
        <v>207.14708983862289</v>
      </c>
      <c r="AE57" s="406">
        <f t="shared" si="73"/>
        <v>193.14858865474298</v>
      </c>
      <c r="AF57" s="406">
        <f t="shared" si="73"/>
        <v>204.52457250017008</v>
      </c>
      <c r="AG57" s="406">
        <f t="shared" si="73"/>
        <v>206.55287384438415</v>
      </c>
      <c r="AH57" s="381"/>
      <c r="AI57" s="62">
        <f>IFERROR(AI56/AI49,0)</f>
        <v>190.20231522671355</v>
      </c>
      <c r="AJ57" s="62">
        <f t="shared" ref="AJ57:AW57" si="74">IFERROR(AJ56/AJ49,0)</f>
        <v>298.79964377790429</v>
      </c>
      <c r="AK57" s="62">
        <f t="shared" si="74"/>
        <v>237.0762673932359</v>
      </c>
      <c r="AL57" s="62">
        <f t="shared" si="74"/>
        <v>195.90661983821985</v>
      </c>
      <c r="AM57" s="62">
        <f t="shared" si="74"/>
        <v>238.84042724460261</v>
      </c>
      <c r="AN57" s="62">
        <f t="shared" si="74"/>
        <v>181.67038297906603</v>
      </c>
      <c r="AO57" s="62">
        <f t="shared" si="74"/>
        <v>211.82373945967717</v>
      </c>
      <c r="AP57" s="62">
        <f t="shared" si="74"/>
        <v>241.1619144794148</v>
      </c>
      <c r="AQ57" s="62">
        <f t="shared" si="74"/>
        <v>110.79211614413607</v>
      </c>
      <c r="AR57" s="62">
        <f t="shared" si="74"/>
        <v>143.0616145846756</v>
      </c>
      <c r="AS57" s="62">
        <f t="shared" si="74"/>
        <v>117.85237114849829</v>
      </c>
      <c r="AT57" s="62">
        <f t="shared" si="74"/>
        <v>164.64782915568523</v>
      </c>
      <c r="AU57" s="63">
        <f t="shared" si="74"/>
        <v>2313.0153155313583</v>
      </c>
      <c r="AV57" s="63">
        <f>IFERROR(AV56/AV49,0)</f>
        <v>4244.1540939751603</v>
      </c>
      <c r="AW57" s="63">
        <f t="shared" si="74"/>
        <v>172.36925238010937</v>
      </c>
      <c r="AY57" s="62">
        <f>IFERROR(AY56/AY49,0)</f>
        <v>156.32879310344828</v>
      </c>
      <c r="AZ57" s="62">
        <f t="shared" ref="AZ57" si="75">IFERROR(AZ56/AZ49,0)</f>
        <v>185.91677759740259</v>
      </c>
      <c r="BA57" s="62">
        <f t="shared" ref="BA57" si="76">IFERROR(BA56/BA49,0)</f>
        <v>179.19942155309033</v>
      </c>
      <c r="BB57" s="62">
        <f t="shared" ref="BB57" si="77">IFERROR(BB56/BB49,0)</f>
        <v>187.6971967340591</v>
      </c>
      <c r="BC57" s="62">
        <f t="shared" ref="BC57" si="78">IFERROR(BC56/BC49,0)</f>
        <v>243.90206671779146</v>
      </c>
      <c r="BD57" s="62">
        <f t="shared" ref="BD57" si="79">IFERROR(BD56/BD49,0)</f>
        <v>228.44331586826348</v>
      </c>
      <c r="BE57" s="62">
        <f t="shared" ref="BE57" si="80">IFERROR(BE56/BE49,0)</f>
        <v>256.86476900149034</v>
      </c>
      <c r="BF57" s="62">
        <f t="shared" ref="BF57" si="81">IFERROR(BF56/BF49,0)</f>
        <v>257.93812778603268</v>
      </c>
      <c r="BG57" s="62">
        <f t="shared" ref="BG57" si="82">IFERROR(BG56/BG49,0)</f>
        <v>298.48766176470588</v>
      </c>
      <c r="BH57" s="62">
        <f t="shared" ref="BH57" si="83">IFERROR(BH56/BH49,0)</f>
        <v>304.08207352941179</v>
      </c>
      <c r="BI57" s="62">
        <f t="shared" ref="BI57" si="84">IFERROR(BI56/BI49,0)</f>
        <v>281.65426470588233</v>
      </c>
      <c r="BJ57" s="62">
        <f t="shared" ref="BJ57" si="85">IFERROR(BJ56/BJ49,0)</f>
        <v>279.52538235294116</v>
      </c>
      <c r="BL57" s="62">
        <f>IFERROR(BL56/BL49,0)</f>
        <v>149.48658028306264</v>
      </c>
      <c r="BM57" s="62">
        <f t="shared" ref="BM57" si="86">IFERROR(BM56/BM49,0)</f>
        <v>150.15794152380954</v>
      </c>
      <c r="BN57" s="62">
        <f t="shared" ref="BN57" si="87">IFERROR(BN56/BN49,0)</f>
        <v>191.71649779971801</v>
      </c>
      <c r="BO57" s="62">
        <f t="shared" ref="BO57" si="88">IFERROR(BO56/BO49,0)</f>
        <v>194.08968019296066</v>
      </c>
      <c r="BP57" s="62">
        <f t="shared" ref="BP57" si="89">IFERROR(BP56/BP49,0)</f>
        <v>190.28034518540434</v>
      </c>
      <c r="BQ57" s="62">
        <f t="shared" ref="BQ57" si="90">IFERROR(BQ56/BQ49,0)</f>
        <v>109.98749847673498</v>
      </c>
      <c r="BR57" s="62">
        <f t="shared" ref="BR57" si="91">IFERROR(BR56/BR49,0)</f>
        <v>99.799314698076927</v>
      </c>
      <c r="BS57" s="62">
        <f t="shared" ref="BS57" si="92">IFERROR(BS56/BS49,0)</f>
        <v>267.94114837724157</v>
      </c>
      <c r="BT57" s="62">
        <f t="shared" ref="BT57" si="93">IFERROR(BT56/BT49,0)</f>
        <v>249.63364249270683</v>
      </c>
      <c r="BU57" s="62">
        <f t="shared" ref="BU57" si="94">IFERROR(BU56/BU49,0)</f>
        <v>188.85433437458812</v>
      </c>
      <c r="BV57" s="62">
        <f t="shared" ref="BV57" si="95">IFERROR(BV56/BV49,0)</f>
        <v>113.12425569455716</v>
      </c>
      <c r="BW57" s="62">
        <f t="shared" ref="BW57" si="96">IFERROR(BW56/BW49,0)</f>
        <v>160.83234206872851</v>
      </c>
    </row>
    <row r="58" spans="1:77" ht="13.9" x14ac:dyDescent="0.25">
      <c r="AU58" s="246"/>
    </row>
    <row r="59" spans="1:77" ht="13.9" x14ac:dyDescent="0.25">
      <c r="AU59" s="246"/>
      <c r="AV59" s="243"/>
    </row>
    <row r="60" spans="1:77" ht="20.25" x14ac:dyDescent="0.3">
      <c r="B60" s="21" t="s">
        <v>689</v>
      </c>
      <c r="C60" s="22" t="s">
        <v>690</v>
      </c>
    </row>
    <row r="61" spans="1:77" ht="20.25" x14ac:dyDescent="0.3">
      <c r="AI61" s="22" t="s">
        <v>213</v>
      </c>
      <c r="BL61" s="40" t="s">
        <v>692</v>
      </c>
      <c r="BY61" s="197">
        <f>COUNTIF($AI$76:$AT$76,"&lt;&gt;0")</f>
        <v>12</v>
      </c>
    </row>
    <row r="62" spans="1:77" ht="42.75" x14ac:dyDescent="0.25">
      <c r="B62" s="160" t="s">
        <v>14</v>
      </c>
      <c r="C62" s="160" t="s">
        <v>11</v>
      </c>
      <c r="D62" s="160" t="s">
        <v>15</v>
      </c>
      <c r="E62" s="161">
        <v>1</v>
      </c>
      <c r="F62" s="161">
        <v>2</v>
      </c>
      <c r="G62" s="161">
        <v>3</v>
      </c>
      <c r="H62" s="162">
        <v>4</v>
      </c>
      <c r="I62" s="161">
        <v>5</v>
      </c>
      <c r="J62" s="162">
        <v>6</v>
      </c>
      <c r="K62" s="161">
        <v>7</v>
      </c>
      <c r="L62" s="162">
        <v>8</v>
      </c>
      <c r="M62" s="161">
        <v>9</v>
      </c>
      <c r="N62" s="162">
        <v>10</v>
      </c>
      <c r="O62" s="161">
        <v>11</v>
      </c>
      <c r="P62" s="162">
        <v>12</v>
      </c>
      <c r="Q62" s="441" t="s">
        <v>1432</v>
      </c>
      <c r="R62" s="163" t="s">
        <v>1434</v>
      </c>
      <c r="S62" s="163" t="s">
        <v>691</v>
      </c>
      <c r="T62" s="163" t="s">
        <v>1435</v>
      </c>
      <c r="U62" s="387"/>
      <c r="V62" s="392"/>
      <c r="W62" s="392"/>
      <c r="X62" s="392"/>
      <c r="Y62" s="392"/>
      <c r="Z62" s="392"/>
      <c r="AA62" s="392"/>
      <c r="AB62" s="392"/>
      <c r="AC62" s="392"/>
      <c r="AD62" s="392"/>
      <c r="AE62" s="392"/>
      <c r="AF62" s="392"/>
      <c r="AG62" s="392"/>
      <c r="AH62" s="400"/>
      <c r="AI62" s="395">
        <v>1</v>
      </c>
      <c r="AJ62" s="161">
        <v>2</v>
      </c>
      <c r="AK62" s="161">
        <v>3</v>
      </c>
      <c r="AL62" s="162">
        <v>4</v>
      </c>
      <c r="AM62" s="161">
        <v>5</v>
      </c>
      <c r="AN62" s="162">
        <v>6</v>
      </c>
      <c r="AO62" s="161">
        <v>7</v>
      </c>
      <c r="AP62" s="162">
        <v>8</v>
      </c>
      <c r="AQ62" s="161">
        <v>9</v>
      </c>
      <c r="AR62" s="162">
        <v>10</v>
      </c>
      <c r="AS62" s="161">
        <v>11</v>
      </c>
      <c r="AT62" s="162">
        <v>12</v>
      </c>
      <c r="AU62" s="163" t="s">
        <v>217</v>
      </c>
      <c r="AV62" s="163" t="s">
        <v>691</v>
      </c>
      <c r="AW62" s="163" t="s">
        <v>219</v>
      </c>
      <c r="BL62" s="41">
        <v>1</v>
      </c>
      <c r="BM62" s="41">
        <v>2</v>
      </c>
      <c r="BN62" s="41">
        <v>3</v>
      </c>
      <c r="BO62" s="42">
        <v>4</v>
      </c>
      <c r="BP62" s="41">
        <v>5</v>
      </c>
      <c r="BQ62" s="42">
        <v>6</v>
      </c>
      <c r="BR62" s="41">
        <v>7</v>
      </c>
      <c r="BS62" s="42">
        <v>8</v>
      </c>
      <c r="BT62" s="41">
        <v>9</v>
      </c>
      <c r="BU62" s="42">
        <v>10</v>
      </c>
      <c r="BV62" s="41">
        <v>11</v>
      </c>
      <c r="BW62" s="42">
        <v>12</v>
      </c>
      <c r="BX62" s="42">
        <v>2024</v>
      </c>
      <c r="BY62" s="42" t="s">
        <v>694</v>
      </c>
    </row>
    <row r="63" spans="1:77" x14ac:dyDescent="0.25">
      <c r="A63" s="54">
        <v>642</v>
      </c>
      <c r="B63" s="25">
        <v>1</v>
      </c>
      <c r="C63" s="35" t="s">
        <v>0</v>
      </c>
      <c r="D63" s="25" t="s">
        <v>12</v>
      </c>
      <c r="E63" s="25">
        <v>1</v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446"/>
      <c r="R63" s="25">
        <f>SUM(E63:P63)</f>
        <v>1</v>
      </c>
      <c r="S63" s="403">
        <f>AV63</f>
        <v>3</v>
      </c>
      <c r="T63" s="25"/>
      <c r="U63" s="388"/>
      <c r="V63" s="393"/>
      <c r="W63" s="393"/>
      <c r="X63" s="393"/>
      <c r="Y63" s="393"/>
      <c r="Z63" s="393"/>
      <c r="AA63" s="393"/>
      <c r="AB63" s="393"/>
      <c r="AC63" s="393"/>
      <c r="AD63" s="393"/>
      <c r="AE63" s="393"/>
      <c r="AF63" s="393"/>
      <c r="AG63" s="393"/>
      <c r="AH63" s="401"/>
      <c r="AI63" s="396"/>
      <c r="AJ63" s="185"/>
      <c r="AK63" s="185"/>
      <c r="AL63" s="185"/>
      <c r="AM63" s="185"/>
      <c r="AN63" s="186"/>
      <c r="AO63" s="186">
        <v>1</v>
      </c>
      <c r="AP63" s="186">
        <v>2</v>
      </c>
      <c r="AQ63" s="186"/>
      <c r="AR63" s="186"/>
      <c r="AS63" s="186"/>
      <c r="AT63" s="186"/>
      <c r="AU63" s="185"/>
      <c r="AV63" s="186">
        <f>SUM(AI63:AT63)</f>
        <v>3</v>
      </c>
      <c r="AW63" s="196"/>
      <c r="BL63" s="27"/>
      <c r="BM63" s="27"/>
      <c r="BN63" s="27"/>
      <c r="BO63" s="27"/>
      <c r="BP63" s="27">
        <v>1</v>
      </c>
      <c r="BQ63" s="27">
        <v>1</v>
      </c>
      <c r="BR63" s="27"/>
      <c r="BS63" s="27"/>
      <c r="BT63" s="27">
        <v>1</v>
      </c>
      <c r="BU63" s="27">
        <v>1</v>
      </c>
      <c r="BV63" s="27">
        <v>1</v>
      </c>
      <c r="BW63" s="27"/>
      <c r="BX63" s="193">
        <f>SUM(BL63:BW63)</f>
        <v>5</v>
      </c>
      <c r="BY63" s="192">
        <f ca="1">SUM(OFFSET(BL63:BW63,0,0,1,$BY$61))</f>
        <v>5</v>
      </c>
    </row>
    <row r="64" spans="1:77" x14ac:dyDescent="0.25">
      <c r="A64" s="56">
        <v>641</v>
      </c>
      <c r="B64" s="28">
        <v>2</v>
      </c>
      <c r="C64" s="36" t="s">
        <v>1</v>
      </c>
      <c r="D64" s="28" t="s">
        <v>12</v>
      </c>
      <c r="E64" s="28"/>
      <c r="F64" s="28"/>
      <c r="G64" s="28">
        <v>1</v>
      </c>
      <c r="H64" s="28"/>
      <c r="I64" s="28"/>
      <c r="J64" s="28"/>
      <c r="K64" s="28"/>
      <c r="L64" s="28"/>
      <c r="M64" s="28"/>
      <c r="N64" s="28"/>
      <c r="O64" s="28"/>
      <c r="P64" s="28"/>
      <c r="Q64" s="447"/>
      <c r="R64" s="28">
        <f t="shared" ref="R64:R75" si="97">SUM(E64:P64)</f>
        <v>1</v>
      </c>
      <c r="S64" s="28">
        <f t="shared" ref="S64:S75" si="98">AV64</f>
        <v>2</v>
      </c>
      <c r="T64" s="28"/>
      <c r="U64" s="389"/>
      <c r="V64" s="393"/>
      <c r="W64" s="393"/>
      <c r="X64" s="393"/>
      <c r="Y64" s="393"/>
      <c r="Z64" s="393"/>
      <c r="AA64" s="393"/>
      <c r="AB64" s="393"/>
      <c r="AC64" s="393"/>
      <c r="AD64" s="393"/>
      <c r="AE64" s="393"/>
      <c r="AF64" s="393"/>
      <c r="AG64" s="393"/>
      <c r="AH64" s="401"/>
      <c r="AI64" s="397"/>
      <c r="AJ64" s="187"/>
      <c r="AK64" s="187"/>
      <c r="AL64" s="187"/>
      <c r="AM64" s="187">
        <v>1</v>
      </c>
      <c r="AN64" s="188"/>
      <c r="AO64" s="188"/>
      <c r="AP64" s="188"/>
      <c r="AQ64" s="188">
        <v>1</v>
      </c>
      <c r="AR64" s="188"/>
      <c r="AS64" s="188"/>
      <c r="AT64" s="188"/>
      <c r="AU64" s="187"/>
      <c r="AV64" s="188">
        <f t="shared" ref="AV64:AV75" si="99">SUM(AI64:AT64)</f>
        <v>2</v>
      </c>
      <c r="AW64" s="85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194">
        <f t="shared" ref="BX64:BX75" si="100">SUM(BL64:BW64)</f>
        <v>0</v>
      </c>
      <c r="BY64" s="198">
        <f t="shared" ref="BY64:BY75" ca="1" si="101">SUM(OFFSET(BL64:BW64,0,0,1,$BY$61))</f>
        <v>0</v>
      </c>
    </row>
    <row r="65" spans="1:77" x14ac:dyDescent="0.25">
      <c r="A65" s="54">
        <v>642</v>
      </c>
      <c r="B65" s="28">
        <v>3</v>
      </c>
      <c r="C65" s="36" t="s">
        <v>2</v>
      </c>
      <c r="D65" s="28" t="s">
        <v>12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447"/>
      <c r="R65" s="28">
        <f t="shared" si="97"/>
        <v>0</v>
      </c>
      <c r="S65" s="28">
        <f t="shared" si="98"/>
        <v>2</v>
      </c>
      <c r="T65" s="28"/>
      <c r="U65" s="389"/>
      <c r="V65" s="393"/>
      <c r="W65" s="393"/>
      <c r="X65" s="393"/>
      <c r="Y65" s="393"/>
      <c r="Z65" s="393"/>
      <c r="AA65" s="393"/>
      <c r="AB65" s="393"/>
      <c r="AC65" s="393"/>
      <c r="AD65" s="393"/>
      <c r="AE65" s="393"/>
      <c r="AF65" s="393"/>
      <c r="AG65" s="393"/>
      <c r="AH65" s="401"/>
      <c r="AI65" s="397"/>
      <c r="AJ65" s="187"/>
      <c r="AK65" s="187"/>
      <c r="AL65" s="187">
        <v>1</v>
      </c>
      <c r="AM65" s="187"/>
      <c r="AN65" s="188"/>
      <c r="AO65" s="188">
        <v>1</v>
      </c>
      <c r="AP65" s="188"/>
      <c r="AQ65" s="188"/>
      <c r="AR65" s="188"/>
      <c r="AS65" s="188"/>
      <c r="AT65" s="188"/>
      <c r="AU65" s="187"/>
      <c r="AV65" s="188">
        <f t="shared" si="99"/>
        <v>2</v>
      </c>
      <c r="AW65" s="85"/>
      <c r="BL65" s="30"/>
      <c r="BM65" s="30"/>
      <c r="BN65" s="30"/>
      <c r="BO65" s="30"/>
      <c r="BP65" s="30"/>
      <c r="BQ65" s="30"/>
      <c r="BR65" s="30"/>
      <c r="BS65" s="30"/>
      <c r="BT65" s="30"/>
      <c r="BU65" s="30">
        <v>1</v>
      </c>
      <c r="BV65" s="30"/>
      <c r="BW65" s="30">
        <v>1</v>
      </c>
      <c r="BX65" s="194">
        <f t="shared" si="100"/>
        <v>2</v>
      </c>
      <c r="BY65" s="198">
        <f t="shared" ca="1" si="101"/>
        <v>2</v>
      </c>
    </row>
    <row r="66" spans="1:77" x14ac:dyDescent="0.25">
      <c r="A66" s="54">
        <v>642</v>
      </c>
      <c r="B66" s="28">
        <v>4</v>
      </c>
      <c r="C66" s="36" t="s">
        <v>3</v>
      </c>
      <c r="D66" s="28" t="s">
        <v>12</v>
      </c>
      <c r="E66" s="28"/>
      <c r="F66" s="28"/>
      <c r="G66" s="28"/>
      <c r="H66" s="28">
        <v>1</v>
      </c>
      <c r="I66" s="28"/>
      <c r="J66" s="28"/>
      <c r="K66" s="28"/>
      <c r="L66" s="28"/>
      <c r="M66" s="28"/>
      <c r="N66" s="28"/>
      <c r="O66" s="28"/>
      <c r="P66" s="28"/>
      <c r="Q66" s="447"/>
      <c r="R66" s="28">
        <f t="shared" si="97"/>
        <v>1</v>
      </c>
      <c r="S66" s="28">
        <f t="shared" si="98"/>
        <v>6</v>
      </c>
      <c r="T66" s="28"/>
      <c r="U66" s="389"/>
      <c r="V66" s="393"/>
      <c r="W66" s="393"/>
      <c r="X66" s="393"/>
      <c r="Y66" s="393"/>
      <c r="Z66" s="393"/>
      <c r="AA66" s="393"/>
      <c r="AB66" s="393"/>
      <c r="AC66" s="393"/>
      <c r="AD66" s="393"/>
      <c r="AE66" s="393"/>
      <c r="AF66" s="393"/>
      <c r="AG66" s="393"/>
      <c r="AH66" s="401"/>
      <c r="AI66" s="397"/>
      <c r="AJ66" s="187"/>
      <c r="AK66" s="187">
        <v>1</v>
      </c>
      <c r="AL66" s="187">
        <v>2</v>
      </c>
      <c r="AM66" s="187"/>
      <c r="AN66" s="188">
        <v>1</v>
      </c>
      <c r="AO66" s="188">
        <v>1</v>
      </c>
      <c r="AP66" s="188"/>
      <c r="AQ66" s="188">
        <v>1</v>
      </c>
      <c r="AR66" s="188"/>
      <c r="AS66" s="188"/>
      <c r="AT66" s="188"/>
      <c r="AU66" s="187"/>
      <c r="AV66" s="188">
        <f t="shared" si="99"/>
        <v>6</v>
      </c>
      <c r="AW66" s="85"/>
      <c r="BL66" s="30">
        <v>1</v>
      </c>
      <c r="BM66" s="30">
        <v>4</v>
      </c>
      <c r="BN66" s="30">
        <v>1</v>
      </c>
      <c r="BO66" s="30">
        <v>2</v>
      </c>
      <c r="BP66" s="30">
        <v>1</v>
      </c>
      <c r="BQ66" s="30">
        <v>3</v>
      </c>
      <c r="BR66" s="30"/>
      <c r="BS66" s="30"/>
      <c r="BT66" s="30"/>
      <c r="BU66" s="30">
        <v>1</v>
      </c>
      <c r="BV66" s="30"/>
      <c r="BW66" s="30"/>
      <c r="BX66" s="194">
        <f t="shared" si="100"/>
        <v>13</v>
      </c>
      <c r="BY66" s="198">
        <f t="shared" ca="1" si="101"/>
        <v>13</v>
      </c>
    </row>
    <row r="67" spans="1:77" x14ac:dyDescent="0.25">
      <c r="A67" s="55">
        <v>627</v>
      </c>
      <c r="B67" s="28">
        <v>5</v>
      </c>
      <c r="C67" s="36" t="s">
        <v>4</v>
      </c>
      <c r="D67" s="28" t="s">
        <v>12</v>
      </c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447"/>
      <c r="R67" s="28">
        <f t="shared" si="97"/>
        <v>0</v>
      </c>
      <c r="S67" s="28">
        <f t="shared" si="98"/>
        <v>3</v>
      </c>
      <c r="T67" s="28"/>
      <c r="U67" s="389"/>
      <c r="V67" s="393"/>
      <c r="W67" s="393"/>
      <c r="X67" s="393"/>
      <c r="Y67" s="393"/>
      <c r="Z67" s="393"/>
      <c r="AA67" s="393"/>
      <c r="AB67" s="393"/>
      <c r="AC67" s="393"/>
      <c r="AD67" s="393"/>
      <c r="AE67" s="393"/>
      <c r="AF67" s="393"/>
      <c r="AG67" s="393"/>
      <c r="AH67" s="401"/>
      <c r="AI67" s="397"/>
      <c r="AJ67" s="187"/>
      <c r="AK67" s="187"/>
      <c r="AL67" s="187"/>
      <c r="AM67" s="187"/>
      <c r="AN67" s="188">
        <v>2</v>
      </c>
      <c r="AO67" s="188">
        <v>1</v>
      </c>
      <c r="AP67" s="188"/>
      <c r="AQ67" s="188"/>
      <c r="AR67" s="188"/>
      <c r="AS67" s="188"/>
      <c r="AT67" s="188"/>
      <c r="AU67" s="187"/>
      <c r="AV67" s="188">
        <f t="shared" si="99"/>
        <v>3</v>
      </c>
      <c r="AW67" s="85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194">
        <f t="shared" si="100"/>
        <v>0</v>
      </c>
      <c r="BY67" s="198">
        <f t="shared" ca="1" si="101"/>
        <v>0</v>
      </c>
    </row>
    <row r="68" spans="1:77" x14ac:dyDescent="0.25">
      <c r="A68" s="54">
        <v>642</v>
      </c>
      <c r="B68" s="28">
        <v>6</v>
      </c>
      <c r="C68" s="36" t="s">
        <v>5</v>
      </c>
      <c r="D68" s="28" t="s">
        <v>12</v>
      </c>
      <c r="E68" s="28"/>
      <c r="F68" s="28"/>
      <c r="G68" s="28"/>
      <c r="H68" s="28">
        <v>2</v>
      </c>
      <c r="I68" s="28"/>
      <c r="J68" s="28"/>
      <c r="K68" s="28"/>
      <c r="L68" s="28"/>
      <c r="M68" s="28"/>
      <c r="N68" s="28"/>
      <c r="O68" s="28"/>
      <c r="P68" s="28"/>
      <c r="Q68" s="447"/>
      <c r="R68" s="28">
        <f t="shared" si="97"/>
        <v>2</v>
      </c>
      <c r="S68" s="28">
        <f t="shared" si="98"/>
        <v>0</v>
      </c>
      <c r="T68" s="28"/>
      <c r="U68" s="389"/>
      <c r="V68" s="393"/>
      <c r="W68" s="393"/>
      <c r="X68" s="393"/>
      <c r="Y68" s="393"/>
      <c r="Z68" s="393"/>
      <c r="AA68" s="393"/>
      <c r="AB68" s="393"/>
      <c r="AC68" s="393"/>
      <c r="AD68" s="393"/>
      <c r="AE68" s="393"/>
      <c r="AF68" s="393"/>
      <c r="AG68" s="393"/>
      <c r="AH68" s="401"/>
      <c r="AI68" s="397"/>
      <c r="AJ68" s="187"/>
      <c r="AK68" s="187"/>
      <c r="AL68" s="187"/>
      <c r="AM68" s="187"/>
      <c r="AN68" s="188"/>
      <c r="AO68" s="188"/>
      <c r="AP68" s="188"/>
      <c r="AQ68" s="188"/>
      <c r="AR68" s="188"/>
      <c r="AS68" s="188"/>
      <c r="AT68" s="188"/>
      <c r="AU68" s="187"/>
      <c r="AV68" s="188">
        <f t="shared" si="99"/>
        <v>0</v>
      </c>
      <c r="AW68" s="85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>
        <v>1</v>
      </c>
      <c r="BW68" s="30"/>
      <c r="BX68" s="194">
        <f t="shared" si="100"/>
        <v>1</v>
      </c>
      <c r="BY68" s="198">
        <f t="shared" ca="1" si="101"/>
        <v>1</v>
      </c>
    </row>
    <row r="69" spans="1:77" x14ac:dyDescent="0.25">
      <c r="A69" s="55">
        <v>627</v>
      </c>
      <c r="B69" s="28">
        <v>7</v>
      </c>
      <c r="C69" s="36" t="s">
        <v>6</v>
      </c>
      <c r="D69" s="28" t="s">
        <v>12</v>
      </c>
      <c r="E69" s="28">
        <v>1</v>
      </c>
      <c r="F69" s="28">
        <v>3</v>
      </c>
      <c r="G69" s="28">
        <v>3</v>
      </c>
      <c r="H69" s="28">
        <v>3</v>
      </c>
      <c r="I69" s="28"/>
      <c r="J69" s="28"/>
      <c r="K69" s="28"/>
      <c r="L69" s="28"/>
      <c r="M69" s="28"/>
      <c r="N69" s="28"/>
      <c r="O69" s="28"/>
      <c r="P69" s="28"/>
      <c r="Q69" s="447"/>
      <c r="R69" s="28">
        <f t="shared" si="97"/>
        <v>10</v>
      </c>
      <c r="S69" s="28">
        <f t="shared" si="98"/>
        <v>22</v>
      </c>
      <c r="T69" s="28"/>
      <c r="U69" s="389"/>
      <c r="V69" s="393"/>
      <c r="W69" s="393"/>
      <c r="X69" s="393"/>
      <c r="Y69" s="393"/>
      <c r="Z69" s="393"/>
      <c r="AA69" s="393"/>
      <c r="AB69" s="393"/>
      <c r="AC69" s="393"/>
      <c r="AD69" s="393"/>
      <c r="AE69" s="393"/>
      <c r="AF69" s="393"/>
      <c r="AG69" s="393"/>
      <c r="AH69" s="401"/>
      <c r="AI69" s="397">
        <v>1</v>
      </c>
      <c r="AJ69" s="187">
        <v>1</v>
      </c>
      <c r="AK69" s="187">
        <v>1</v>
      </c>
      <c r="AL69" s="187">
        <v>3</v>
      </c>
      <c r="AM69" s="187">
        <v>2</v>
      </c>
      <c r="AN69" s="188">
        <v>1</v>
      </c>
      <c r="AO69" s="188">
        <v>4</v>
      </c>
      <c r="AP69" s="188">
        <v>4</v>
      </c>
      <c r="AQ69" s="188">
        <v>3</v>
      </c>
      <c r="AR69" s="188">
        <v>2</v>
      </c>
      <c r="AS69" s="188"/>
      <c r="AT69" s="188"/>
      <c r="AU69" s="187"/>
      <c r="AV69" s="188">
        <f t="shared" si="99"/>
        <v>22</v>
      </c>
      <c r="AW69" s="85"/>
      <c r="BL69" s="30">
        <v>1</v>
      </c>
      <c r="BM69" s="30"/>
      <c r="BN69" s="30">
        <v>5</v>
      </c>
      <c r="BO69" s="30">
        <v>4</v>
      </c>
      <c r="BP69" s="30">
        <v>2</v>
      </c>
      <c r="BQ69" s="30"/>
      <c r="BR69" s="30"/>
      <c r="BS69" s="30"/>
      <c r="BT69" s="30"/>
      <c r="BU69" s="30"/>
      <c r="BV69" s="30"/>
      <c r="BW69" s="30"/>
      <c r="BX69" s="194">
        <f t="shared" si="100"/>
        <v>12</v>
      </c>
      <c r="BY69" s="198">
        <f t="shared" ca="1" si="101"/>
        <v>12</v>
      </c>
    </row>
    <row r="70" spans="1:77" x14ac:dyDescent="0.25">
      <c r="A70" s="55">
        <v>627</v>
      </c>
      <c r="B70" s="28">
        <v>8</v>
      </c>
      <c r="C70" s="36" t="s">
        <v>7</v>
      </c>
      <c r="D70" s="28" t="s">
        <v>12</v>
      </c>
      <c r="E70" s="28"/>
      <c r="F70" s="28">
        <v>3</v>
      </c>
      <c r="G70" s="28">
        <v>4</v>
      </c>
      <c r="H70" s="28">
        <v>1</v>
      </c>
      <c r="I70" s="28"/>
      <c r="J70" s="28"/>
      <c r="K70" s="28"/>
      <c r="L70" s="28"/>
      <c r="M70" s="28"/>
      <c r="N70" s="28"/>
      <c r="O70" s="28"/>
      <c r="P70" s="28"/>
      <c r="Q70" s="447"/>
      <c r="R70" s="28">
        <f t="shared" si="97"/>
        <v>8</v>
      </c>
      <c r="S70" s="28">
        <f t="shared" si="98"/>
        <v>8</v>
      </c>
      <c r="T70" s="28"/>
      <c r="U70" s="389"/>
      <c r="V70" s="393"/>
      <c r="W70" s="393"/>
      <c r="X70" s="393"/>
      <c r="Y70" s="393"/>
      <c r="Z70" s="393"/>
      <c r="AA70" s="393"/>
      <c r="AB70" s="393"/>
      <c r="AC70" s="393"/>
      <c r="AD70" s="393"/>
      <c r="AE70" s="393"/>
      <c r="AF70" s="393"/>
      <c r="AG70" s="393"/>
      <c r="AH70" s="401"/>
      <c r="AI70" s="397"/>
      <c r="AJ70" s="187">
        <v>1</v>
      </c>
      <c r="AK70" s="187"/>
      <c r="AL70" s="187">
        <v>2</v>
      </c>
      <c r="AM70" s="187">
        <v>2</v>
      </c>
      <c r="AN70" s="188">
        <v>1</v>
      </c>
      <c r="AO70" s="188"/>
      <c r="AP70" s="188">
        <v>1</v>
      </c>
      <c r="AQ70" s="188">
        <v>1</v>
      </c>
      <c r="AR70" s="188"/>
      <c r="AS70" s="188"/>
      <c r="AT70" s="188"/>
      <c r="AU70" s="187"/>
      <c r="AV70" s="188">
        <f t="shared" si="99"/>
        <v>8</v>
      </c>
      <c r="AW70" s="85"/>
      <c r="BL70" s="30">
        <v>1</v>
      </c>
      <c r="BM70" s="30"/>
      <c r="BN70" s="30">
        <v>1</v>
      </c>
      <c r="BO70" s="30">
        <v>2</v>
      </c>
      <c r="BP70" s="30"/>
      <c r="BQ70" s="30">
        <v>4</v>
      </c>
      <c r="BR70" s="30">
        <v>3</v>
      </c>
      <c r="BS70" s="30"/>
      <c r="BT70" s="30">
        <v>2</v>
      </c>
      <c r="BU70" s="30">
        <v>3</v>
      </c>
      <c r="BV70" s="30">
        <v>1</v>
      </c>
      <c r="BW70" s="30">
        <v>1</v>
      </c>
      <c r="BX70" s="194">
        <f t="shared" si="100"/>
        <v>18</v>
      </c>
      <c r="BY70" s="198">
        <f t="shared" ca="1" si="101"/>
        <v>18</v>
      </c>
    </row>
    <row r="71" spans="1:77" x14ac:dyDescent="0.25">
      <c r="A71" s="54">
        <v>642</v>
      </c>
      <c r="B71" s="28">
        <v>9</v>
      </c>
      <c r="C71" s="36" t="s">
        <v>9</v>
      </c>
      <c r="D71" s="28" t="s">
        <v>12</v>
      </c>
      <c r="E71" s="28">
        <v>2</v>
      </c>
      <c r="F71" s="28">
        <v>1</v>
      </c>
      <c r="G71" s="28">
        <v>1</v>
      </c>
      <c r="H71" s="28">
        <v>1</v>
      </c>
      <c r="I71" s="28"/>
      <c r="J71" s="28"/>
      <c r="K71" s="28"/>
      <c r="L71" s="28"/>
      <c r="M71" s="28"/>
      <c r="N71" s="28"/>
      <c r="O71" s="28"/>
      <c r="P71" s="28"/>
      <c r="Q71" s="447"/>
      <c r="R71" s="28">
        <f t="shared" si="97"/>
        <v>5</v>
      </c>
      <c r="S71" s="28">
        <f t="shared" si="98"/>
        <v>11</v>
      </c>
      <c r="T71" s="28"/>
      <c r="U71" s="389"/>
      <c r="V71" s="393"/>
      <c r="W71" s="393"/>
      <c r="X71" s="393"/>
      <c r="Y71" s="393"/>
      <c r="Z71" s="393"/>
      <c r="AA71" s="393"/>
      <c r="AB71" s="393"/>
      <c r="AC71" s="393"/>
      <c r="AD71" s="393"/>
      <c r="AE71" s="393"/>
      <c r="AF71" s="393"/>
      <c r="AG71" s="393"/>
      <c r="AH71" s="401"/>
      <c r="AI71" s="397"/>
      <c r="AJ71" s="187"/>
      <c r="AK71" s="187">
        <v>4</v>
      </c>
      <c r="AL71" s="187">
        <v>1</v>
      </c>
      <c r="AM71" s="187">
        <v>1</v>
      </c>
      <c r="AN71" s="188">
        <v>2</v>
      </c>
      <c r="AO71" s="188">
        <v>1</v>
      </c>
      <c r="AP71" s="188">
        <v>2</v>
      </c>
      <c r="AQ71" s="188"/>
      <c r="AR71" s="188"/>
      <c r="AS71" s="188"/>
      <c r="AT71" s="188"/>
      <c r="AU71" s="187"/>
      <c r="AV71" s="188">
        <f t="shared" si="99"/>
        <v>11</v>
      </c>
      <c r="AW71" s="85"/>
      <c r="BL71" s="30"/>
      <c r="BM71" s="30">
        <v>2</v>
      </c>
      <c r="BN71" s="30">
        <v>1</v>
      </c>
      <c r="BO71" s="30">
        <v>3</v>
      </c>
      <c r="BP71" s="30">
        <v>1</v>
      </c>
      <c r="BQ71" s="30">
        <v>2</v>
      </c>
      <c r="BR71" s="30"/>
      <c r="BS71" s="30"/>
      <c r="BT71" s="30"/>
      <c r="BU71" s="30"/>
      <c r="BV71" s="30">
        <v>1</v>
      </c>
      <c r="BW71" s="30">
        <v>1</v>
      </c>
      <c r="BX71" s="194">
        <f t="shared" si="100"/>
        <v>11</v>
      </c>
      <c r="BY71" s="198">
        <f t="shared" ca="1" si="101"/>
        <v>11</v>
      </c>
    </row>
    <row r="72" spans="1:77" x14ac:dyDescent="0.25">
      <c r="A72" s="54">
        <v>642</v>
      </c>
      <c r="B72" s="28">
        <v>10</v>
      </c>
      <c r="C72" s="36" t="s">
        <v>10</v>
      </c>
      <c r="D72" s="28" t="s">
        <v>12</v>
      </c>
      <c r="E72" s="28">
        <v>2</v>
      </c>
      <c r="F72" s="28">
        <v>2</v>
      </c>
      <c r="G72" s="28"/>
      <c r="H72" s="28">
        <v>4</v>
      </c>
      <c r="I72" s="28"/>
      <c r="J72" s="28"/>
      <c r="K72" s="28"/>
      <c r="L72" s="28"/>
      <c r="M72" s="28"/>
      <c r="N72" s="28"/>
      <c r="O72" s="28"/>
      <c r="P72" s="28"/>
      <c r="Q72" s="447"/>
      <c r="R72" s="28">
        <f t="shared" si="97"/>
        <v>8</v>
      </c>
      <c r="S72" s="28">
        <f t="shared" si="98"/>
        <v>5</v>
      </c>
      <c r="T72" s="28"/>
      <c r="U72" s="389"/>
      <c r="V72" s="393"/>
      <c r="W72" s="393"/>
      <c r="X72" s="393"/>
      <c r="Y72" s="393"/>
      <c r="Z72" s="393"/>
      <c r="AA72" s="393"/>
      <c r="AB72" s="393"/>
      <c r="AC72" s="393"/>
      <c r="AD72" s="393"/>
      <c r="AE72" s="393"/>
      <c r="AF72" s="393"/>
      <c r="AG72" s="393"/>
      <c r="AH72" s="401"/>
      <c r="AI72" s="397">
        <v>1</v>
      </c>
      <c r="AJ72" s="187"/>
      <c r="AK72" s="187">
        <v>1</v>
      </c>
      <c r="AL72" s="187"/>
      <c r="AM72" s="187">
        <v>1</v>
      </c>
      <c r="AN72" s="188"/>
      <c r="AO72" s="188"/>
      <c r="AP72" s="188">
        <v>1</v>
      </c>
      <c r="AQ72" s="188"/>
      <c r="AR72" s="188"/>
      <c r="AS72" s="188">
        <v>1</v>
      </c>
      <c r="AT72" s="188"/>
      <c r="AU72" s="187"/>
      <c r="AV72" s="188">
        <f t="shared" si="99"/>
        <v>5</v>
      </c>
      <c r="AW72" s="85"/>
      <c r="BL72" s="30"/>
      <c r="BM72" s="30">
        <v>1</v>
      </c>
      <c r="BN72" s="30"/>
      <c r="BO72" s="30">
        <v>1</v>
      </c>
      <c r="BP72" s="30"/>
      <c r="BQ72" s="30">
        <v>1</v>
      </c>
      <c r="BR72" s="30">
        <v>2</v>
      </c>
      <c r="BS72" s="30">
        <v>1</v>
      </c>
      <c r="BT72" s="30"/>
      <c r="BU72" s="30"/>
      <c r="BV72" s="30">
        <v>1</v>
      </c>
      <c r="BW72" s="30"/>
      <c r="BX72" s="194">
        <f t="shared" si="100"/>
        <v>7</v>
      </c>
      <c r="BY72" s="198">
        <f t="shared" ca="1" si="101"/>
        <v>7</v>
      </c>
    </row>
    <row r="73" spans="1:77" x14ac:dyDescent="0.25">
      <c r="A73" s="55">
        <v>627</v>
      </c>
      <c r="B73" s="28">
        <v>11</v>
      </c>
      <c r="C73" s="36" t="s">
        <v>8</v>
      </c>
      <c r="D73" s="28" t="s">
        <v>12</v>
      </c>
      <c r="E73" s="28">
        <v>11</v>
      </c>
      <c r="F73" s="28">
        <v>5</v>
      </c>
      <c r="G73" s="28">
        <v>16</v>
      </c>
      <c r="H73" s="28">
        <v>9</v>
      </c>
      <c r="I73" s="28"/>
      <c r="J73" s="28"/>
      <c r="K73" s="28"/>
      <c r="L73" s="28"/>
      <c r="M73" s="28"/>
      <c r="N73" s="28"/>
      <c r="O73" s="28"/>
      <c r="P73" s="28"/>
      <c r="Q73" s="447"/>
      <c r="R73" s="28">
        <f t="shared" si="97"/>
        <v>41</v>
      </c>
      <c r="S73" s="28">
        <f t="shared" si="98"/>
        <v>94</v>
      </c>
      <c r="T73" s="28"/>
      <c r="U73" s="389"/>
      <c r="V73" s="393"/>
      <c r="W73" s="393"/>
      <c r="X73" s="393"/>
      <c r="Y73" s="393"/>
      <c r="Z73" s="393"/>
      <c r="AA73" s="393"/>
      <c r="AB73" s="393"/>
      <c r="AC73" s="393"/>
      <c r="AD73" s="393"/>
      <c r="AE73" s="393"/>
      <c r="AF73" s="393"/>
      <c r="AG73" s="393"/>
      <c r="AH73" s="401"/>
      <c r="AI73" s="397">
        <v>5</v>
      </c>
      <c r="AJ73" s="187">
        <v>13</v>
      </c>
      <c r="AK73" s="187">
        <v>10</v>
      </c>
      <c r="AL73" s="187">
        <v>10</v>
      </c>
      <c r="AM73" s="187">
        <v>8</v>
      </c>
      <c r="AN73" s="188">
        <v>11</v>
      </c>
      <c r="AO73" s="188">
        <v>9</v>
      </c>
      <c r="AP73" s="188">
        <v>9</v>
      </c>
      <c r="AQ73" s="188">
        <v>3</v>
      </c>
      <c r="AR73" s="188">
        <v>9</v>
      </c>
      <c r="AS73" s="188">
        <v>3</v>
      </c>
      <c r="AT73" s="188">
        <v>4</v>
      </c>
      <c r="AU73" s="374"/>
      <c r="AV73" s="191">
        <f t="shared" si="99"/>
        <v>94</v>
      </c>
      <c r="AW73" s="85"/>
      <c r="BL73" s="30">
        <v>0</v>
      </c>
      <c r="BM73" s="30">
        <v>5</v>
      </c>
      <c r="BN73" s="30">
        <v>3</v>
      </c>
      <c r="BO73" s="30">
        <v>5</v>
      </c>
      <c r="BP73" s="30">
        <v>4</v>
      </c>
      <c r="BQ73" s="30">
        <v>7</v>
      </c>
      <c r="BR73" s="30">
        <v>1</v>
      </c>
      <c r="BS73" s="30">
        <v>8</v>
      </c>
      <c r="BT73" s="30">
        <v>5</v>
      </c>
      <c r="BU73" s="30">
        <v>4</v>
      </c>
      <c r="BV73" s="30">
        <v>4</v>
      </c>
      <c r="BW73" s="30">
        <v>2</v>
      </c>
      <c r="BX73" s="194">
        <f t="shared" si="100"/>
        <v>48</v>
      </c>
      <c r="BY73" s="198">
        <f t="shared" ca="1" si="101"/>
        <v>48</v>
      </c>
    </row>
    <row r="74" spans="1:77" x14ac:dyDescent="0.25">
      <c r="A74" s="57">
        <v>622</v>
      </c>
      <c r="B74" s="28"/>
      <c r="C74" s="36" t="s">
        <v>8</v>
      </c>
      <c r="D74" s="28" t="s">
        <v>13</v>
      </c>
      <c r="E74" s="28">
        <v>19</v>
      </c>
      <c r="F74" s="28">
        <v>24</v>
      </c>
      <c r="G74" s="28">
        <v>41</v>
      </c>
      <c r="H74" s="28">
        <v>36</v>
      </c>
      <c r="I74" s="28"/>
      <c r="J74" s="28"/>
      <c r="K74" s="28"/>
      <c r="L74" s="28"/>
      <c r="M74" s="28"/>
      <c r="N74" s="28"/>
      <c r="O74" s="28"/>
      <c r="P74" s="28"/>
      <c r="Q74" s="447"/>
      <c r="R74" s="28">
        <f t="shared" si="97"/>
        <v>120</v>
      </c>
      <c r="S74" s="28">
        <f t="shared" si="98"/>
        <v>240</v>
      </c>
      <c r="T74" s="28"/>
      <c r="U74" s="389"/>
      <c r="V74" s="393"/>
      <c r="W74" s="393"/>
      <c r="X74" s="393"/>
      <c r="Y74" s="393"/>
      <c r="Z74" s="393"/>
      <c r="AA74" s="393"/>
      <c r="AB74" s="393"/>
      <c r="AC74" s="393"/>
      <c r="AD74" s="393"/>
      <c r="AE74" s="393"/>
      <c r="AF74" s="393"/>
      <c r="AG74" s="393"/>
      <c r="AH74" s="401"/>
      <c r="AI74" s="397">
        <v>13</v>
      </c>
      <c r="AJ74" s="187">
        <v>20</v>
      </c>
      <c r="AK74" s="187">
        <v>18</v>
      </c>
      <c r="AL74" s="187">
        <v>21</v>
      </c>
      <c r="AM74" s="187">
        <v>31</v>
      </c>
      <c r="AN74" s="188">
        <v>24</v>
      </c>
      <c r="AO74" s="188">
        <v>18</v>
      </c>
      <c r="AP74" s="188">
        <v>17</v>
      </c>
      <c r="AQ74" s="188">
        <v>24</v>
      </c>
      <c r="AR74" s="188">
        <v>27</v>
      </c>
      <c r="AS74" s="188">
        <v>12</v>
      </c>
      <c r="AT74" s="188">
        <v>15</v>
      </c>
      <c r="AU74" s="374"/>
      <c r="AV74" s="191">
        <f t="shared" si="99"/>
        <v>240</v>
      </c>
      <c r="AW74" s="85"/>
      <c r="BL74" s="30">
        <v>7</v>
      </c>
      <c r="BM74" s="30">
        <v>21</v>
      </c>
      <c r="BN74" s="30">
        <v>17</v>
      </c>
      <c r="BO74" s="30">
        <v>32</v>
      </c>
      <c r="BP74" s="30">
        <v>26</v>
      </c>
      <c r="BQ74" s="30">
        <v>29</v>
      </c>
      <c r="BR74" s="30">
        <v>20</v>
      </c>
      <c r="BS74" s="30">
        <v>12</v>
      </c>
      <c r="BT74" s="30">
        <v>14</v>
      </c>
      <c r="BU74" s="30">
        <v>15</v>
      </c>
      <c r="BV74" s="30">
        <v>13</v>
      </c>
      <c r="BW74" s="30">
        <v>10</v>
      </c>
      <c r="BX74" s="194">
        <f t="shared" si="100"/>
        <v>216</v>
      </c>
      <c r="BY74" s="198">
        <f t="shared" ca="1" si="101"/>
        <v>216</v>
      </c>
    </row>
    <row r="75" spans="1:77" x14ac:dyDescent="0.25">
      <c r="A75" s="54">
        <v>642</v>
      </c>
      <c r="B75" s="31">
        <v>12</v>
      </c>
      <c r="C75" s="37" t="s">
        <v>221</v>
      </c>
      <c r="D75" s="31" t="s">
        <v>12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448"/>
      <c r="R75" s="31">
        <f t="shared" si="97"/>
        <v>0</v>
      </c>
      <c r="S75" s="31">
        <f t="shared" si="98"/>
        <v>1</v>
      </c>
      <c r="T75" s="31"/>
      <c r="U75" s="390"/>
      <c r="V75" s="393"/>
      <c r="W75" s="393"/>
      <c r="X75" s="393"/>
      <c r="Y75" s="393"/>
      <c r="Z75" s="393"/>
      <c r="AA75" s="393"/>
      <c r="AB75" s="393"/>
      <c r="AC75" s="393"/>
      <c r="AD75" s="393"/>
      <c r="AE75" s="393"/>
      <c r="AF75" s="393"/>
      <c r="AG75" s="393"/>
      <c r="AH75" s="401"/>
      <c r="AI75" s="398"/>
      <c r="AJ75" s="189"/>
      <c r="AK75" s="189"/>
      <c r="AL75" s="189">
        <v>1</v>
      </c>
      <c r="AM75" s="189"/>
      <c r="AN75" s="190"/>
      <c r="AO75" s="190"/>
      <c r="AP75" s="190"/>
      <c r="AQ75" s="190"/>
      <c r="AR75" s="190"/>
      <c r="AS75" s="190"/>
      <c r="AT75" s="190"/>
      <c r="AU75" s="189"/>
      <c r="AV75" s="190">
        <f t="shared" si="99"/>
        <v>1</v>
      </c>
      <c r="AW75" s="190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195">
        <f t="shared" si="100"/>
        <v>0</v>
      </c>
      <c r="BY75" s="198">
        <f t="shared" ca="1" si="101"/>
        <v>0</v>
      </c>
    </row>
    <row r="76" spans="1:77" x14ac:dyDescent="0.25">
      <c r="B76" s="34"/>
      <c r="C76" s="38" t="s">
        <v>17</v>
      </c>
      <c r="D76" s="34"/>
      <c r="E76" s="399">
        <f>SUM(E63:E75)</f>
        <v>36</v>
      </c>
      <c r="F76" s="399">
        <f t="shared" ref="F76:T76" si="102">SUM(F63:F75)</f>
        <v>38</v>
      </c>
      <c r="G76" s="399">
        <f t="shared" si="102"/>
        <v>66</v>
      </c>
      <c r="H76" s="399">
        <f t="shared" si="102"/>
        <v>57</v>
      </c>
      <c r="I76" s="399">
        <f t="shared" si="102"/>
        <v>0</v>
      </c>
      <c r="J76" s="399">
        <f t="shared" si="102"/>
        <v>0</v>
      </c>
      <c r="K76" s="399">
        <f t="shared" si="102"/>
        <v>0</v>
      </c>
      <c r="L76" s="399">
        <f t="shared" si="102"/>
        <v>0</v>
      </c>
      <c r="M76" s="399">
        <f t="shared" si="102"/>
        <v>0</v>
      </c>
      <c r="N76" s="399">
        <f t="shared" si="102"/>
        <v>0</v>
      </c>
      <c r="O76" s="399">
        <f t="shared" si="102"/>
        <v>0</v>
      </c>
      <c r="P76" s="399">
        <f t="shared" si="102"/>
        <v>0</v>
      </c>
      <c r="Q76" s="449">
        <f t="shared" si="102"/>
        <v>0</v>
      </c>
      <c r="R76" s="399">
        <f t="shared" si="102"/>
        <v>197</v>
      </c>
      <c r="S76" s="399">
        <f t="shared" si="102"/>
        <v>397</v>
      </c>
      <c r="T76" s="399">
        <f t="shared" si="102"/>
        <v>0</v>
      </c>
      <c r="U76" s="391"/>
      <c r="V76" s="394"/>
      <c r="W76" s="394"/>
      <c r="X76" s="394"/>
      <c r="Y76" s="394"/>
      <c r="Z76" s="394"/>
      <c r="AA76" s="394"/>
      <c r="AB76" s="394"/>
      <c r="AC76" s="394"/>
      <c r="AD76" s="394"/>
      <c r="AE76" s="394"/>
      <c r="AF76" s="394"/>
      <c r="AG76" s="394"/>
      <c r="AH76" s="402"/>
      <c r="AI76" s="399">
        <f>SUM(AI63:AI75)</f>
        <v>20</v>
      </c>
      <c r="AJ76" s="65">
        <f t="shared" ref="AJ76:AW76" si="103">SUM(AJ63:AJ75)</f>
        <v>35</v>
      </c>
      <c r="AK76" s="65">
        <f t="shared" si="103"/>
        <v>35</v>
      </c>
      <c r="AL76" s="65">
        <f t="shared" si="103"/>
        <v>41</v>
      </c>
      <c r="AM76" s="65">
        <f t="shared" si="103"/>
        <v>46</v>
      </c>
      <c r="AN76" s="65">
        <f t="shared" si="103"/>
        <v>42</v>
      </c>
      <c r="AO76" s="65">
        <f t="shared" si="103"/>
        <v>36</v>
      </c>
      <c r="AP76" s="65">
        <f t="shared" si="103"/>
        <v>36</v>
      </c>
      <c r="AQ76" s="65">
        <f t="shared" si="103"/>
        <v>33</v>
      </c>
      <c r="AR76" s="65">
        <f t="shared" si="103"/>
        <v>38</v>
      </c>
      <c r="AS76" s="65">
        <f t="shared" si="103"/>
        <v>16</v>
      </c>
      <c r="AT76" s="65">
        <f t="shared" si="103"/>
        <v>19</v>
      </c>
      <c r="AU76" s="65">
        <f t="shared" si="103"/>
        <v>0</v>
      </c>
      <c r="AV76" s="65">
        <f t="shared" si="103"/>
        <v>397</v>
      </c>
      <c r="AW76" s="65">
        <f t="shared" si="103"/>
        <v>0</v>
      </c>
      <c r="BL76" s="65">
        <f>SUM(BL63:BL75)</f>
        <v>10</v>
      </c>
      <c r="BM76" s="65">
        <f t="shared" ref="BM76:BW76" si="104">SUM(BM63:BM75)</f>
        <v>33</v>
      </c>
      <c r="BN76" s="65">
        <f t="shared" si="104"/>
        <v>28</v>
      </c>
      <c r="BO76" s="65">
        <f t="shared" si="104"/>
        <v>49</v>
      </c>
      <c r="BP76" s="65">
        <f t="shared" si="104"/>
        <v>35</v>
      </c>
      <c r="BQ76" s="65">
        <f t="shared" si="104"/>
        <v>47</v>
      </c>
      <c r="BR76" s="65">
        <f t="shared" si="104"/>
        <v>26</v>
      </c>
      <c r="BS76" s="65">
        <f t="shared" si="104"/>
        <v>21</v>
      </c>
      <c r="BT76" s="65">
        <f t="shared" si="104"/>
        <v>22</v>
      </c>
      <c r="BU76" s="65">
        <f t="shared" si="104"/>
        <v>25</v>
      </c>
      <c r="BV76" s="65">
        <f t="shared" si="104"/>
        <v>22</v>
      </c>
      <c r="BW76" s="65">
        <f t="shared" si="104"/>
        <v>15</v>
      </c>
      <c r="BX76" s="65">
        <f t="shared" ref="BX76:BY76" si="105">SUM(BX63:BX75)</f>
        <v>333</v>
      </c>
      <c r="BY76" s="65">
        <f t="shared" ca="1" si="105"/>
        <v>333</v>
      </c>
    </row>
    <row r="77" spans="1:77" x14ac:dyDescent="0.25">
      <c r="D77" s="64" t="s">
        <v>12</v>
      </c>
      <c r="E77" s="64">
        <f>SUMIF($D$63:$D$75,$D77,E$63:E$75)</f>
        <v>17</v>
      </c>
      <c r="F77" s="64">
        <f t="shared" ref="F77:T78" si="106">SUMIF($D$63:$D$75,$D77,F$63:F$75)</f>
        <v>14</v>
      </c>
      <c r="G77" s="64">
        <f t="shared" si="106"/>
        <v>25</v>
      </c>
      <c r="H77" s="64">
        <f t="shared" si="106"/>
        <v>21</v>
      </c>
      <c r="I77" s="64">
        <f t="shared" si="106"/>
        <v>0</v>
      </c>
      <c r="J77" s="64">
        <f t="shared" si="106"/>
        <v>0</v>
      </c>
      <c r="K77" s="64">
        <f t="shared" si="106"/>
        <v>0</v>
      </c>
      <c r="L77" s="64">
        <f t="shared" si="106"/>
        <v>0</v>
      </c>
      <c r="M77" s="64">
        <f t="shared" si="106"/>
        <v>0</v>
      </c>
      <c r="N77" s="64">
        <f t="shared" si="106"/>
        <v>0</v>
      </c>
      <c r="O77" s="64">
        <f t="shared" si="106"/>
        <v>0</v>
      </c>
      <c r="P77" s="64">
        <f t="shared" si="106"/>
        <v>0</v>
      </c>
      <c r="Q77" s="386">
        <f t="shared" si="106"/>
        <v>0</v>
      </c>
      <c r="R77" s="64">
        <f t="shared" si="106"/>
        <v>77</v>
      </c>
      <c r="S77" s="64">
        <f t="shared" si="106"/>
        <v>157</v>
      </c>
      <c r="T77" s="64">
        <f t="shared" si="106"/>
        <v>0</v>
      </c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>
        <f>SUMIF($D$63:$D$75,$D77,AI$63:AI$75)</f>
        <v>7</v>
      </c>
      <c r="AJ77" s="64">
        <f t="shared" ref="AJ77:AU78" si="107">SUMIF($D$63:$D$75,$D77,AJ$63:AJ$75)</f>
        <v>15</v>
      </c>
      <c r="AK77" s="64">
        <f t="shared" si="107"/>
        <v>17</v>
      </c>
      <c r="AL77" s="64">
        <f t="shared" si="107"/>
        <v>20</v>
      </c>
      <c r="AM77" s="64">
        <f t="shared" si="107"/>
        <v>15</v>
      </c>
      <c r="AN77" s="64">
        <f t="shared" si="107"/>
        <v>18</v>
      </c>
      <c r="AO77" s="64">
        <f t="shared" si="107"/>
        <v>18</v>
      </c>
      <c r="AP77" s="64">
        <f t="shared" si="107"/>
        <v>19</v>
      </c>
      <c r="AQ77" s="64">
        <f t="shared" si="107"/>
        <v>9</v>
      </c>
      <c r="AR77" s="64">
        <f t="shared" si="107"/>
        <v>11</v>
      </c>
      <c r="AS77" s="64">
        <f t="shared" si="107"/>
        <v>4</v>
      </c>
      <c r="AT77" s="64">
        <f t="shared" si="107"/>
        <v>4</v>
      </c>
      <c r="AU77" s="68">
        <f t="shared" si="107"/>
        <v>0</v>
      </c>
      <c r="AV77" s="84">
        <f>SUMIF($D$6:$D$47,$D77,AV$6:AV$47)</f>
        <v>399.16666666666663</v>
      </c>
      <c r="AW77" s="68">
        <f>SUMIF($D$6:$D$40,$D77,AW$6:AW$40)</f>
        <v>304</v>
      </c>
      <c r="BL77" s="64">
        <f t="shared" ref="BL77:BY78" si="108">SUMIF($D$63:$D$75,$D77,BL$63:BL$75)</f>
        <v>3</v>
      </c>
      <c r="BM77" s="64">
        <f t="shared" si="108"/>
        <v>12</v>
      </c>
      <c r="BN77" s="64">
        <f t="shared" si="108"/>
        <v>11</v>
      </c>
      <c r="BO77" s="64">
        <f t="shared" si="108"/>
        <v>17</v>
      </c>
      <c r="BP77" s="64">
        <f t="shared" si="108"/>
        <v>9</v>
      </c>
      <c r="BQ77" s="64">
        <f t="shared" si="108"/>
        <v>18</v>
      </c>
      <c r="BR77" s="64">
        <f t="shared" si="108"/>
        <v>6</v>
      </c>
      <c r="BS77" s="64">
        <f t="shared" si="108"/>
        <v>9</v>
      </c>
      <c r="BT77" s="64">
        <f t="shared" si="108"/>
        <v>8</v>
      </c>
      <c r="BU77" s="64">
        <f t="shared" si="108"/>
        <v>10</v>
      </c>
      <c r="BV77" s="64">
        <f t="shared" si="108"/>
        <v>9</v>
      </c>
      <c r="BW77" s="64">
        <f t="shared" si="108"/>
        <v>5</v>
      </c>
      <c r="BX77" s="64">
        <f t="shared" si="108"/>
        <v>117</v>
      </c>
      <c r="BY77" s="64">
        <f t="shared" ca="1" si="108"/>
        <v>117</v>
      </c>
    </row>
    <row r="78" spans="1:77" x14ac:dyDescent="0.25">
      <c r="D78" s="64" t="s">
        <v>13</v>
      </c>
      <c r="E78" s="64">
        <f>SUMIF($D$63:$D$75,$D78,E$63:E$75)</f>
        <v>19</v>
      </c>
      <c r="F78" s="64">
        <f t="shared" si="106"/>
        <v>24</v>
      </c>
      <c r="G78" s="64">
        <f t="shared" si="106"/>
        <v>41</v>
      </c>
      <c r="H78" s="64">
        <f t="shared" si="106"/>
        <v>36</v>
      </c>
      <c r="I78" s="64">
        <f t="shared" si="106"/>
        <v>0</v>
      </c>
      <c r="J78" s="64">
        <f t="shared" si="106"/>
        <v>0</v>
      </c>
      <c r="K78" s="64">
        <f t="shared" si="106"/>
        <v>0</v>
      </c>
      <c r="L78" s="64">
        <f t="shared" si="106"/>
        <v>0</v>
      </c>
      <c r="M78" s="64">
        <f t="shared" si="106"/>
        <v>0</v>
      </c>
      <c r="N78" s="64">
        <f t="shared" si="106"/>
        <v>0</v>
      </c>
      <c r="O78" s="64">
        <f t="shared" si="106"/>
        <v>0</v>
      </c>
      <c r="P78" s="64">
        <f t="shared" si="106"/>
        <v>0</v>
      </c>
      <c r="Q78" s="386">
        <f t="shared" si="106"/>
        <v>0</v>
      </c>
      <c r="R78" s="64">
        <f t="shared" si="106"/>
        <v>120</v>
      </c>
      <c r="S78" s="64">
        <f t="shared" si="106"/>
        <v>240</v>
      </c>
      <c r="T78" s="64">
        <f t="shared" si="106"/>
        <v>0</v>
      </c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>
        <f>SUMIF($D$63:$D$75,$D78,AI$63:AI$75)</f>
        <v>13</v>
      </c>
      <c r="AJ78" s="64">
        <f t="shared" si="107"/>
        <v>20</v>
      </c>
      <c r="AK78" s="64">
        <f t="shared" si="107"/>
        <v>18</v>
      </c>
      <c r="AL78" s="64">
        <f t="shared" si="107"/>
        <v>21</v>
      </c>
      <c r="AM78" s="64">
        <f t="shared" si="107"/>
        <v>31</v>
      </c>
      <c r="AN78" s="64">
        <f t="shared" si="107"/>
        <v>24</v>
      </c>
      <c r="AO78" s="64">
        <f t="shared" si="107"/>
        <v>18</v>
      </c>
      <c r="AP78" s="64">
        <f t="shared" si="107"/>
        <v>17</v>
      </c>
      <c r="AQ78" s="64">
        <f t="shared" si="107"/>
        <v>24</v>
      </c>
      <c r="AR78" s="64">
        <f t="shared" si="107"/>
        <v>27</v>
      </c>
      <c r="AS78" s="64">
        <f t="shared" si="107"/>
        <v>12</v>
      </c>
      <c r="AT78" s="64">
        <f t="shared" si="107"/>
        <v>15</v>
      </c>
      <c r="AU78" s="68">
        <f t="shared" si="107"/>
        <v>0</v>
      </c>
      <c r="AV78" s="84">
        <f>SUMIF($D$6:$D$47,$D78,AV$6:AV$47)</f>
        <v>257.75</v>
      </c>
      <c r="AW78" s="68">
        <f>SUMIF($D$6:$D$40,$D78,AW$6:AW$40)</f>
        <v>206.41666666666666</v>
      </c>
      <c r="BL78" s="64">
        <f t="shared" si="108"/>
        <v>7</v>
      </c>
      <c r="BM78" s="64">
        <f t="shared" si="108"/>
        <v>21</v>
      </c>
      <c r="BN78" s="64">
        <f t="shared" si="108"/>
        <v>17</v>
      </c>
      <c r="BO78" s="64">
        <f t="shared" si="108"/>
        <v>32</v>
      </c>
      <c r="BP78" s="64">
        <f t="shared" si="108"/>
        <v>26</v>
      </c>
      <c r="BQ78" s="64">
        <f t="shared" si="108"/>
        <v>29</v>
      </c>
      <c r="BR78" s="64">
        <f t="shared" si="108"/>
        <v>20</v>
      </c>
      <c r="BS78" s="64">
        <f t="shared" si="108"/>
        <v>12</v>
      </c>
      <c r="BT78" s="64">
        <f t="shared" si="108"/>
        <v>14</v>
      </c>
      <c r="BU78" s="64">
        <f t="shared" si="108"/>
        <v>15</v>
      </c>
      <c r="BV78" s="64">
        <f t="shared" si="108"/>
        <v>13</v>
      </c>
      <c r="BW78" s="64">
        <f t="shared" si="108"/>
        <v>10</v>
      </c>
      <c r="BX78" s="64">
        <f t="shared" si="108"/>
        <v>216</v>
      </c>
      <c r="BY78" s="64">
        <f t="shared" ca="1" si="108"/>
        <v>216</v>
      </c>
    </row>
  </sheetData>
  <autoFilter ref="A5:BW51" xr:uid="{4A09E004-7709-47C0-80F0-5EDEF14CEB58}">
    <filterColumn colId="0">
      <customFilters>
        <customFilter operator="notEqual" val=" "/>
      </customFilters>
    </filterColumn>
  </autoFilter>
  <hyperlinks>
    <hyperlink ref="A1" location="'00. DM'!A1" display="00. DM" xr:uid="{D3690E19-36E7-4F03-A30A-56D9B9AB6173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29C9-53F1-4CD9-B432-5FCE8055F702}">
  <dimension ref="A1:K50"/>
  <sheetViews>
    <sheetView workbookViewId="0">
      <pane ySplit="5" topLeftCell="A6" activePane="bottomLeft" state="frozen"/>
      <selection pane="bottomLeft" activeCell="G15" sqref="G15"/>
    </sheetView>
  </sheetViews>
  <sheetFormatPr defaultColWidth="8.7109375" defaultRowHeight="15" x14ac:dyDescent="0.25"/>
  <cols>
    <col min="1" max="1" width="21.5703125" style="20" bestFit="1" customWidth="1"/>
    <col min="2" max="2" width="25.28515625" style="20" bestFit="1" customWidth="1"/>
    <col min="3" max="3" width="9.28515625" style="20" bestFit="1" customWidth="1"/>
    <col min="4" max="16384" width="8.7109375" style="20"/>
  </cols>
  <sheetData>
    <row r="1" spans="1:6" x14ac:dyDescent="0.25">
      <c r="B1" s="230" t="s">
        <v>811</v>
      </c>
      <c r="C1" s="231"/>
    </row>
    <row r="5" spans="1:6" x14ac:dyDescent="0.25">
      <c r="A5" s="232" t="s">
        <v>809</v>
      </c>
      <c r="B5" s="232" t="s">
        <v>810</v>
      </c>
      <c r="C5" s="232">
        <v>5</v>
      </c>
      <c r="D5" s="232">
        <v>6</v>
      </c>
      <c r="E5" s="232">
        <v>7</v>
      </c>
      <c r="F5" s="233"/>
    </row>
    <row r="6" spans="1:6" x14ac:dyDescent="0.25">
      <c r="A6" s="237" t="s">
        <v>17</v>
      </c>
      <c r="B6" s="235"/>
      <c r="C6" s="234">
        <v>609</v>
      </c>
      <c r="D6" s="235"/>
      <c r="E6" s="235"/>
      <c r="F6" s="236"/>
    </row>
    <row r="7" spans="1:6" x14ac:dyDescent="0.25">
      <c r="A7" s="36" t="s">
        <v>0</v>
      </c>
      <c r="B7" s="239" t="s">
        <v>0</v>
      </c>
      <c r="C7" s="239">
        <v>13</v>
      </c>
      <c r="D7" s="30"/>
      <c r="E7" s="30"/>
      <c r="F7" s="30"/>
    </row>
    <row r="8" spans="1:6" x14ac:dyDescent="0.25">
      <c r="A8" s="36" t="s">
        <v>10</v>
      </c>
      <c r="B8" s="239" t="s">
        <v>10</v>
      </c>
      <c r="C8" s="239">
        <v>38</v>
      </c>
      <c r="D8" s="30"/>
      <c r="E8" s="30"/>
      <c r="F8" s="30"/>
    </row>
    <row r="9" spans="1:6" x14ac:dyDescent="0.25">
      <c r="A9" s="30"/>
      <c r="B9" s="240" t="s">
        <v>179</v>
      </c>
      <c r="C9" s="240">
        <v>18</v>
      </c>
      <c r="D9" s="30"/>
      <c r="E9" s="30"/>
      <c r="F9" s="30"/>
    </row>
    <row r="10" spans="1:6" x14ac:dyDescent="0.25">
      <c r="A10" s="30"/>
      <c r="B10" s="240" t="s">
        <v>181</v>
      </c>
      <c r="C10" s="240">
        <v>20</v>
      </c>
      <c r="D10" s="30"/>
      <c r="E10" s="30"/>
      <c r="F10" s="30"/>
    </row>
    <row r="11" spans="1:6" x14ac:dyDescent="0.25">
      <c r="A11" s="36" t="s">
        <v>9</v>
      </c>
      <c r="B11" s="239" t="s">
        <v>9</v>
      </c>
      <c r="C11" s="239">
        <v>44</v>
      </c>
      <c r="D11" s="30"/>
      <c r="E11" s="30"/>
      <c r="F11" s="30"/>
    </row>
    <row r="12" spans="1:6" x14ac:dyDescent="0.25">
      <c r="A12" s="30"/>
      <c r="B12" s="240" t="s">
        <v>183</v>
      </c>
      <c r="C12" s="240">
        <v>10</v>
      </c>
      <c r="D12" s="30"/>
      <c r="E12" s="30"/>
      <c r="F12" s="30"/>
    </row>
    <row r="13" spans="1:6" x14ac:dyDescent="0.25">
      <c r="A13" s="30"/>
      <c r="B13" s="240" t="s">
        <v>184</v>
      </c>
      <c r="C13" s="240">
        <v>8</v>
      </c>
      <c r="D13" s="30"/>
      <c r="E13" s="30"/>
      <c r="F13" s="30"/>
    </row>
    <row r="14" spans="1:6" x14ac:dyDescent="0.25">
      <c r="A14" s="30"/>
      <c r="B14" s="240" t="s">
        <v>185</v>
      </c>
      <c r="C14" s="240">
        <v>8</v>
      </c>
      <c r="D14" s="30"/>
      <c r="E14" s="30"/>
      <c r="F14" s="30"/>
    </row>
    <row r="15" spans="1:6" x14ac:dyDescent="0.25">
      <c r="A15" s="30"/>
      <c r="B15" s="240" t="s">
        <v>199</v>
      </c>
      <c r="C15" s="240">
        <v>5</v>
      </c>
      <c r="D15" s="30"/>
      <c r="E15" s="30"/>
      <c r="F15" s="30"/>
    </row>
    <row r="16" spans="1:6" x14ac:dyDescent="0.25">
      <c r="A16" s="30"/>
      <c r="B16" s="240" t="s">
        <v>200</v>
      </c>
      <c r="C16" s="240">
        <v>3</v>
      </c>
      <c r="D16" s="30"/>
      <c r="E16" s="30"/>
      <c r="F16" s="30"/>
    </row>
    <row r="17" spans="1:6" x14ac:dyDescent="0.25">
      <c r="A17" s="30"/>
      <c r="B17" s="240" t="s">
        <v>186</v>
      </c>
      <c r="C17" s="240">
        <v>10</v>
      </c>
      <c r="D17" s="30"/>
      <c r="E17" s="30"/>
      <c r="F17" s="30"/>
    </row>
    <row r="18" spans="1:6" x14ac:dyDescent="0.25">
      <c r="A18" s="36" t="s">
        <v>3</v>
      </c>
      <c r="B18" s="239" t="s">
        <v>3</v>
      </c>
      <c r="C18" s="239">
        <v>26</v>
      </c>
      <c r="D18" s="30"/>
      <c r="E18" s="30"/>
      <c r="F18" s="30"/>
    </row>
    <row r="19" spans="1:6" x14ac:dyDescent="0.25">
      <c r="A19" s="30"/>
      <c r="B19" s="240" t="s">
        <v>187</v>
      </c>
      <c r="C19" s="240">
        <v>11</v>
      </c>
      <c r="D19" s="30"/>
      <c r="E19" s="30"/>
      <c r="F19" s="30"/>
    </row>
    <row r="20" spans="1:6" x14ac:dyDescent="0.25">
      <c r="A20" s="30"/>
      <c r="B20" s="240" t="s">
        <v>188</v>
      </c>
      <c r="C20" s="240">
        <v>6</v>
      </c>
      <c r="D20" s="30"/>
      <c r="E20" s="30"/>
      <c r="F20" s="30"/>
    </row>
    <row r="21" spans="1:6" x14ac:dyDescent="0.25">
      <c r="A21" s="30"/>
      <c r="B21" s="240" t="s">
        <v>189</v>
      </c>
      <c r="C21" s="240">
        <v>9</v>
      </c>
      <c r="D21" s="30"/>
      <c r="E21" s="30"/>
      <c r="F21" s="30"/>
    </row>
    <row r="22" spans="1:6" x14ac:dyDescent="0.25">
      <c r="A22" s="36" t="s">
        <v>1</v>
      </c>
      <c r="B22" s="239" t="s">
        <v>1</v>
      </c>
      <c r="C22" s="239">
        <v>8</v>
      </c>
      <c r="D22" s="30"/>
      <c r="E22" s="30"/>
      <c r="F22" s="30"/>
    </row>
    <row r="23" spans="1:6" x14ac:dyDescent="0.25">
      <c r="A23" s="36" t="s">
        <v>7</v>
      </c>
      <c r="B23" s="239" t="s">
        <v>7</v>
      </c>
      <c r="C23" s="239">
        <v>81</v>
      </c>
      <c r="D23" s="30"/>
      <c r="E23" s="30"/>
      <c r="F23" s="30"/>
    </row>
    <row r="24" spans="1:6" x14ac:dyDescent="0.25">
      <c r="A24" s="30"/>
      <c r="B24" s="240" t="s">
        <v>193</v>
      </c>
      <c r="C24" s="240">
        <v>12</v>
      </c>
      <c r="D24" s="30"/>
      <c r="E24" s="30"/>
      <c r="F24" s="30"/>
    </row>
    <row r="25" spans="1:6" x14ac:dyDescent="0.25">
      <c r="A25" s="30"/>
      <c r="B25" s="240" t="s">
        <v>194</v>
      </c>
      <c r="C25" s="240">
        <v>9</v>
      </c>
      <c r="D25" s="30"/>
      <c r="E25" s="30"/>
      <c r="F25" s="30"/>
    </row>
    <row r="26" spans="1:6" x14ac:dyDescent="0.25">
      <c r="A26" s="30"/>
      <c r="B26" s="240" t="s">
        <v>195</v>
      </c>
      <c r="C26" s="240">
        <v>9</v>
      </c>
      <c r="D26" s="30"/>
      <c r="E26" s="30"/>
      <c r="F26" s="30"/>
    </row>
    <row r="27" spans="1:6" x14ac:dyDescent="0.25">
      <c r="A27" s="30"/>
      <c r="B27" s="240" t="s">
        <v>196</v>
      </c>
      <c r="C27" s="240">
        <v>2</v>
      </c>
      <c r="D27" s="30"/>
      <c r="E27" s="30"/>
      <c r="F27" s="30"/>
    </row>
    <row r="28" spans="1:6" x14ac:dyDescent="0.25">
      <c r="A28" s="30"/>
      <c r="B28" s="240" t="s">
        <v>197</v>
      </c>
      <c r="C28" s="240">
        <v>36</v>
      </c>
      <c r="D28" s="30"/>
      <c r="E28" s="30"/>
      <c r="F28" s="30"/>
    </row>
    <row r="29" spans="1:6" x14ac:dyDescent="0.25">
      <c r="A29" s="30"/>
      <c r="B29" s="240" t="s">
        <v>198</v>
      </c>
      <c r="C29" s="240">
        <v>13</v>
      </c>
      <c r="D29" s="30"/>
      <c r="E29" s="30"/>
      <c r="F29" s="30"/>
    </row>
    <row r="30" spans="1:6" x14ac:dyDescent="0.25">
      <c r="A30" s="36" t="s">
        <v>2</v>
      </c>
      <c r="B30" s="239" t="s">
        <v>2</v>
      </c>
      <c r="C30" s="239">
        <v>8</v>
      </c>
      <c r="D30" s="30"/>
      <c r="E30" s="30"/>
      <c r="F30" s="30"/>
    </row>
    <row r="31" spans="1:6" ht="30" x14ac:dyDescent="0.25">
      <c r="A31" s="36" t="s">
        <v>4</v>
      </c>
      <c r="B31" s="239" t="s">
        <v>4</v>
      </c>
      <c r="C31" s="239">
        <v>7</v>
      </c>
      <c r="D31" s="30"/>
      <c r="E31" s="30"/>
      <c r="F31" s="30"/>
    </row>
    <row r="32" spans="1:6" x14ac:dyDescent="0.25">
      <c r="A32" s="36" t="s">
        <v>6</v>
      </c>
      <c r="B32" s="239" t="s">
        <v>803</v>
      </c>
      <c r="C32" s="239">
        <v>50</v>
      </c>
      <c r="D32" s="30"/>
      <c r="E32" s="30"/>
      <c r="F32" s="30"/>
    </row>
    <row r="33" spans="1:11" x14ac:dyDescent="0.25">
      <c r="A33" s="30"/>
      <c r="B33" s="240" t="s">
        <v>804</v>
      </c>
      <c r="C33" s="240">
        <v>13</v>
      </c>
      <c r="D33" s="30"/>
      <c r="E33" s="30"/>
      <c r="F33" s="30"/>
    </row>
    <row r="34" spans="1:11" x14ac:dyDescent="0.25">
      <c r="A34" s="30"/>
      <c r="B34" s="240" t="s">
        <v>805</v>
      </c>
      <c r="C34" s="240">
        <v>7</v>
      </c>
      <c r="D34" s="30"/>
      <c r="E34" s="30"/>
      <c r="F34" s="30"/>
    </row>
    <row r="35" spans="1:11" x14ac:dyDescent="0.25">
      <c r="A35" s="30"/>
      <c r="B35" s="240" t="s">
        <v>806</v>
      </c>
      <c r="C35" s="240">
        <v>28</v>
      </c>
      <c r="D35" s="30"/>
      <c r="E35" s="30"/>
      <c r="F35" s="30"/>
    </row>
    <row r="36" spans="1:11" x14ac:dyDescent="0.25">
      <c r="A36" s="30"/>
      <c r="B36" s="240" t="s">
        <v>807</v>
      </c>
      <c r="C36" s="240">
        <v>2</v>
      </c>
      <c r="D36" s="30"/>
      <c r="E36" s="30"/>
      <c r="F36" s="30"/>
      <c r="K36" s="238"/>
    </row>
    <row r="37" spans="1:11" x14ac:dyDescent="0.25">
      <c r="A37" s="36" t="s">
        <v>221</v>
      </c>
      <c r="B37" s="239" t="s">
        <v>444</v>
      </c>
      <c r="C37" s="239">
        <v>2</v>
      </c>
      <c r="D37" s="30"/>
      <c r="E37" s="30"/>
      <c r="F37" s="30"/>
    </row>
    <row r="38" spans="1:11" x14ac:dyDescent="0.25">
      <c r="A38" s="36" t="s">
        <v>5</v>
      </c>
      <c r="B38" s="239" t="s">
        <v>5</v>
      </c>
      <c r="C38" s="239">
        <v>3</v>
      </c>
      <c r="D38" s="30"/>
      <c r="E38" s="30"/>
      <c r="F38" s="30"/>
    </row>
    <row r="39" spans="1:11" x14ac:dyDescent="0.25">
      <c r="A39" s="30"/>
      <c r="B39" s="240" t="s">
        <v>201</v>
      </c>
      <c r="C39" s="240">
        <v>3</v>
      </c>
      <c r="D39" s="30"/>
      <c r="E39" s="30"/>
      <c r="F39" s="30"/>
    </row>
    <row r="40" spans="1:11" x14ac:dyDescent="0.25">
      <c r="A40" s="36" t="s">
        <v>8</v>
      </c>
      <c r="B40" s="239" t="s">
        <v>8</v>
      </c>
      <c r="C40" s="239">
        <v>329</v>
      </c>
      <c r="D40" s="30"/>
      <c r="E40" s="30"/>
      <c r="F40" s="30"/>
    </row>
    <row r="41" spans="1:11" x14ac:dyDescent="0.25">
      <c r="A41" s="30"/>
      <c r="B41" s="240" t="s">
        <v>808</v>
      </c>
      <c r="C41" s="240">
        <v>1</v>
      </c>
      <c r="D41" s="30"/>
      <c r="E41" s="30"/>
      <c r="F41" s="30"/>
    </row>
    <row r="42" spans="1:11" x14ac:dyDescent="0.25">
      <c r="A42" s="30"/>
      <c r="B42" s="240" t="s">
        <v>202</v>
      </c>
      <c r="C42" s="240">
        <v>12</v>
      </c>
      <c r="D42" s="30"/>
      <c r="E42" s="30"/>
      <c r="F42" s="30"/>
    </row>
    <row r="43" spans="1:11" x14ac:dyDescent="0.25">
      <c r="A43" s="30"/>
      <c r="B43" s="240" t="s">
        <v>203</v>
      </c>
      <c r="C43" s="240">
        <v>30</v>
      </c>
      <c r="D43" s="30"/>
      <c r="E43" s="30"/>
      <c r="F43" s="30"/>
    </row>
    <row r="44" spans="1:11" x14ac:dyDescent="0.25">
      <c r="A44" s="30"/>
      <c r="B44" s="240" t="s">
        <v>204</v>
      </c>
      <c r="C44" s="240">
        <v>5</v>
      </c>
      <c r="D44" s="30"/>
      <c r="E44" s="30"/>
      <c r="F44" s="30"/>
    </row>
    <row r="45" spans="1:11" x14ac:dyDescent="0.25">
      <c r="A45" s="30"/>
      <c r="B45" s="240" t="s">
        <v>205</v>
      </c>
      <c r="C45" s="240">
        <v>26</v>
      </c>
      <c r="D45" s="30"/>
      <c r="E45" s="30"/>
      <c r="F45" s="30"/>
    </row>
    <row r="46" spans="1:11" x14ac:dyDescent="0.25">
      <c r="A46" s="30"/>
      <c r="B46" s="240" t="s">
        <v>206</v>
      </c>
      <c r="C46" s="240">
        <v>4</v>
      </c>
      <c r="D46" s="30"/>
      <c r="E46" s="30"/>
      <c r="F46" s="30"/>
    </row>
    <row r="47" spans="1:11" x14ac:dyDescent="0.25">
      <c r="A47" s="30"/>
      <c r="B47" s="240" t="s">
        <v>207</v>
      </c>
      <c r="C47" s="240">
        <v>41</v>
      </c>
      <c r="D47" s="30"/>
      <c r="E47" s="30"/>
      <c r="F47" s="30"/>
    </row>
    <row r="48" spans="1:11" x14ac:dyDescent="0.25">
      <c r="A48" s="30"/>
      <c r="B48" s="240" t="s">
        <v>208</v>
      </c>
      <c r="C48" s="240">
        <v>29</v>
      </c>
      <c r="D48" s="30"/>
      <c r="E48" s="30"/>
      <c r="F48" s="30"/>
    </row>
    <row r="49" spans="1:6" x14ac:dyDescent="0.25">
      <c r="A49" s="30"/>
      <c r="B49" s="240" t="s">
        <v>209</v>
      </c>
      <c r="C49" s="240">
        <v>180</v>
      </c>
      <c r="D49" s="30"/>
      <c r="E49" s="30"/>
      <c r="F49" s="30"/>
    </row>
    <row r="50" spans="1:6" x14ac:dyDescent="0.25">
      <c r="A50" s="33"/>
      <c r="B50" s="241" t="s">
        <v>210</v>
      </c>
      <c r="C50" s="241">
        <v>1</v>
      </c>
      <c r="D50" s="33"/>
      <c r="E50" s="33"/>
      <c r="F50" s="33"/>
    </row>
  </sheetData>
  <autoFilter ref="A5:F50" xr:uid="{C10C29C9-53F1-4CD9-B432-5FCE8055F70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496B-EB9D-471A-A861-5FD0C4B4023F}">
  <dimension ref="A1"/>
  <sheetViews>
    <sheetView workbookViewId="0">
      <selection activeCell="P14" sqref="P13:P14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0F36-A8DF-45FE-A60E-55315217D4BA}">
  <sheetPr>
    <tabColor rgb="FF00B0F0"/>
  </sheetPr>
  <dimension ref="A1:AS85"/>
  <sheetViews>
    <sheetView showGridLines="0" zoomScaleNormal="100" workbookViewId="0">
      <pane ySplit="2" topLeftCell="A41" activePane="bottomLeft" state="frozen"/>
      <selection pane="bottomLeft" activeCell="R73" sqref="R73"/>
    </sheetView>
  </sheetViews>
  <sheetFormatPr defaultRowHeight="15" outlineLevelRow="1" x14ac:dyDescent="0.25"/>
  <cols>
    <col min="1" max="1" width="20.28515625" customWidth="1"/>
    <col min="2" max="2" width="10" customWidth="1"/>
    <col min="3" max="14" width="9.5703125" customWidth="1"/>
    <col min="15" max="15" width="10.5703125" customWidth="1"/>
    <col min="16" max="16" width="7" customWidth="1"/>
    <col min="17" max="18" width="9.5703125" customWidth="1"/>
    <col min="19" max="19" width="4.7109375" bestFit="1" customWidth="1"/>
    <col min="20" max="21" width="9.5703125" customWidth="1"/>
    <col min="22" max="22" width="4.7109375" bestFit="1" customWidth="1"/>
    <col min="23" max="24" width="9.5703125" customWidth="1"/>
    <col min="25" max="25" width="4.7109375" bestFit="1" customWidth="1"/>
    <col min="26" max="27" width="9.5703125" customWidth="1"/>
    <col min="28" max="28" width="7.7109375" bestFit="1" customWidth="1"/>
    <col min="29" max="35" width="9.5703125" customWidth="1"/>
  </cols>
  <sheetData>
    <row r="1" spans="1:45" ht="21" x14ac:dyDescent="0.35">
      <c r="A1" s="165" t="s">
        <v>254</v>
      </c>
      <c r="B1" s="124" t="s">
        <v>255</v>
      </c>
    </row>
    <row r="3" spans="1:45" ht="18.75" x14ac:dyDescent="0.3">
      <c r="A3" s="82">
        <v>1</v>
      </c>
      <c r="B3" s="82" t="s">
        <v>227</v>
      </c>
    </row>
    <row r="4" spans="1:45" x14ac:dyDescent="0.25">
      <c r="C4" s="81"/>
    </row>
    <row r="5" spans="1:45" ht="0.6" customHeight="1" x14ac:dyDescent="0.25">
      <c r="B5" s="80">
        <v>1</v>
      </c>
      <c r="C5" s="80">
        <v>1</v>
      </c>
      <c r="D5" s="80">
        <v>2</v>
      </c>
      <c r="E5" s="80">
        <v>2</v>
      </c>
      <c r="F5" s="80">
        <v>3</v>
      </c>
      <c r="G5" s="80">
        <v>3</v>
      </c>
      <c r="H5" s="80">
        <v>4</v>
      </c>
      <c r="I5" s="80">
        <v>4</v>
      </c>
      <c r="J5" s="80">
        <v>5</v>
      </c>
      <c r="K5" s="80">
        <v>5</v>
      </c>
      <c r="L5" s="80">
        <v>6</v>
      </c>
      <c r="M5" s="80">
        <v>6</v>
      </c>
      <c r="N5" s="80">
        <v>7</v>
      </c>
      <c r="O5" s="80">
        <v>7</v>
      </c>
      <c r="P5" s="80">
        <v>8</v>
      </c>
      <c r="Q5" s="80">
        <v>8</v>
      </c>
      <c r="R5" s="80">
        <v>9</v>
      </c>
      <c r="S5" s="80">
        <v>9</v>
      </c>
      <c r="T5" s="80">
        <v>10</v>
      </c>
      <c r="U5" s="80">
        <v>10</v>
      </c>
      <c r="V5" s="80">
        <v>11</v>
      </c>
      <c r="W5" s="80">
        <v>12</v>
      </c>
      <c r="X5" s="80">
        <v>12</v>
      </c>
      <c r="Y5" s="80">
        <v>12</v>
      </c>
    </row>
    <row r="7" spans="1:45" x14ac:dyDescent="0.25">
      <c r="A7" s="263"/>
      <c r="B7" s="261">
        <v>1</v>
      </c>
      <c r="C7" s="229"/>
      <c r="D7" s="229"/>
      <c r="E7" s="229">
        <f>B7+1</f>
        <v>2</v>
      </c>
      <c r="F7" s="229"/>
      <c r="G7" s="229"/>
      <c r="H7" s="229">
        <f>E7+1</f>
        <v>3</v>
      </c>
      <c r="I7" s="229"/>
      <c r="J7" s="229"/>
      <c r="K7" s="229">
        <f>H7+1</f>
        <v>4</v>
      </c>
      <c r="L7" s="229"/>
      <c r="M7" s="229"/>
      <c r="N7" s="229">
        <f>K7+1</f>
        <v>5</v>
      </c>
      <c r="O7" s="229"/>
      <c r="P7" s="229"/>
      <c r="Q7" s="229">
        <f>N7+1</f>
        <v>6</v>
      </c>
      <c r="R7" s="229"/>
      <c r="S7" s="229"/>
      <c r="T7" s="229">
        <f t="shared" ref="T7" si="0">Q7+1</f>
        <v>7</v>
      </c>
      <c r="U7" s="229"/>
      <c r="V7" s="229"/>
      <c r="W7" s="229">
        <f t="shared" ref="W7" si="1">T7+1</f>
        <v>8</v>
      </c>
      <c r="X7" s="229"/>
      <c r="Y7" s="229"/>
      <c r="Z7" s="229">
        <f t="shared" ref="Z7" si="2">W7+1</f>
        <v>9</v>
      </c>
      <c r="AA7" s="229"/>
      <c r="AB7" s="229"/>
      <c r="AC7" s="229">
        <f t="shared" ref="AC7" si="3">Z7+1</f>
        <v>10</v>
      </c>
      <c r="AD7" s="229"/>
      <c r="AE7" s="229"/>
      <c r="AF7" s="229">
        <f t="shared" ref="AF7" si="4">AC7+1</f>
        <v>11</v>
      </c>
      <c r="AG7" s="229"/>
      <c r="AH7" s="229"/>
      <c r="AI7" s="229">
        <f t="shared" ref="AI7" si="5">AF7+1</f>
        <v>12</v>
      </c>
      <c r="AJ7" s="229"/>
      <c r="AK7" s="229"/>
      <c r="AL7" s="229" t="s">
        <v>1438</v>
      </c>
      <c r="AM7" s="229"/>
      <c r="AN7" s="229"/>
      <c r="AO7" s="229" t="s">
        <v>708</v>
      </c>
      <c r="AP7" s="229"/>
      <c r="AQ7" s="229"/>
      <c r="AR7" s="229" t="s">
        <v>709</v>
      </c>
      <c r="AS7" s="229"/>
    </row>
    <row r="8" spans="1:45" x14ac:dyDescent="0.25">
      <c r="A8" s="264"/>
      <c r="B8" s="262" t="s">
        <v>224</v>
      </c>
      <c r="C8" s="252" t="s">
        <v>225</v>
      </c>
      <c r="D8" s="252"/>
      <c r="E8" s="252" t="s">
        <v>224</v>
      </c>
      <c r="F8" s="252" t="s">
        <v>225</v>
      </c>
      <c r="G8" s="252"/>
      <c r="H8" s="252" t="s">
        <v>224</v>
      </c>
      <c r="I8" s="252" t="s">
        <v>225</v>
      </c>
      <c r="J8" s="252"/>
      <c r="K8" s="252" t="s">
        <v>224</v>
      </c>
      <c r="L8" s="252" t="s">
        <v>225</v>
      </c>
      <c r="M8" s="252"/>
      <c r="N8" s="252" t="s">
        <v>224</v>
      </c>
      <c r="O8" s="252" t="s">
        <v>225</v>
      </c>
      <c r="P8" s="252"/>
      <c r="Q8" s="252" t="s">
        <v>224</v>
      </c>
      <c r="R8" s="252" t="s">
        <v>225</v>
      </c>
      <c r="S8" s="252"/>
      <c r="T8" s="252" t="s">
        <v>224</v>
      </c>
      <c r="U8" s="252" t="s">
        <v>225</v>
      </c>
      <c r="V8" s="252"/>
      <c r="W8" s="252" t="s">
        <v>224</v>
      </c>
      <c r="X8" s="252" t="s">
        <v>225</v>
      </c>
      <c r="Y8" s="252"/>
      <c r="Z8" s="252" t="s">
        <v>224</v>
      </c>
      <c r="AA8" s="252" t="s">
        <v>225</v>
      </c>
      <c r="AB8" s="252"/>
      <c r="AC8" s="252" t="s">
        <v>224</v>
      </c>
      <c r="AD8" s="252" t="s">
        <v>225</v>
      </c>
      <c r="AE8" s="252"/>
      <c r="AF8" s="252" t="s">
        <v>224</v>
      </c>
      <c r="AG8" s="252" t="s">
        <v>225</v>
      </c>
      <c r="AH8" s="252"/>
      <c r="AI8" s="252" t="s">
        <v>224</v>
      </c>
      <c r="AJ8" s="252" t="s">
        <v>225</v>
      </c>
      <c r="AK8" s="252"/>
      <c r="AL8" s="252" t="s">
        <v>224</v>
      </c>
      <c r="AM8" s="252" t="s">
        <v>225</v>
      </c>
      <c r="AN8" s="252"/>
      <c r="AO8" s="252" t="s">
        <v>224</v>
      </c>
      <c r="AP8" s="252" t="s">
        <v>225</v>
      </c>
      <c r="AQ8" s="252"/>
      <c r="AR8" s="252" t="s">
        <v>224</v>
      </c>
      <c r="AS8" s="252" t="s">
        <v>225</v>
      </c>
    </row>
    <row r="9" spans="1:45" x14ac:dyDescent="0.25">
      <c r="A9" s="265" t="s">
        <v>1041</v>
      </c>
      <c r="B9" s="256" cm="1">
        <f t="array" ref="B9">SUMPRODUCT('02. ĐỊNH BIÊN'!$V$50:$AG$51*('02. ĐỊNH BIÊN'!$V$5:$AG$5='03. Chart'!B$7)*('02. ĐỊNH BIÊN'!$D$50:$D$51=RIGHT($A9,9)))</f>
        <v>391</v>
      </c>
      <c r="C9" s="256" cm="1">
        <f t="array" ref="C9">SUMPRODUCT('02. ĐỊNH BIÊN'!$E$50:$P$51*('02. ĐỊNH BIÊN'!$E$5:$P$5=B$7)*('02. ĐỊNH BIÊN'!$D$50:$D$51=RIGHT($A9,9)))</f>
        <v>375</v>
      </c>
      <c r="D9" s="213"/>
      <c r="E9" s="256" cm="1">
        <f t="array" ref="E9">SUMPRODUCT('02. ĐỊNH BIÊN'!$V$50:$AG$51*('02. ĐỊNH BIÊN'!$V$5:$AG$5='03. Chart'!E$7)*('02. ĐỊNH BIÊN'!$D$50:$D$51=RIGHT($A9,9)))</f>
        <v>391</v>
      </c>
      <c r="F9" s="256" cm="1">
        <f t="array" ref="F9">SUMPRODUCT('02. ĐỊNH BIÊN'!$E$50:$P$51*('02. ĐỊNH BIÊN'!$E$5:$P$5=E$7)*('02. ĐỊNH BIÊN'!$D$50:$D$51=RIGHT($A9,9)))</f>
        <v>363</v>
      </c>
      <c r="G9" s="213"/>
      <c r="H9" s="256" cm="1">
        <f t="array" ref="H9">SUMPRODUCT('02. ĐỊNH BIÊN'!$V$50:$AG$51*('02. ĐỊNH BIÊN'!$V$5:$AG$5='03. Chart'!H$7)*('02. ĐỊNH BIÊN'!$D$50:$D$51=RIGHT($A9,9)))</f>
        <v>399</v>
      </c>
      <c r="I9" s="256" cm="1">
        <f t="array" ref="I9">SUMPRODUCT('02. ĐỊNH BIÊN'!$E$50:$P$51*('02. ĐỊNH BIÊN'!$E$5:$P$5=H$7)*('02. ĐỊNH BIÊN'!$D$50:$D$51=RIGHT($A9,9)))</f>
        <v>360</v>
      </c>
      <c r="J9" s="213"/>
      <c r="K9" s="256" cm="1">
        <f t="array" ref="K9">SUMPRODUCT('02. ĐỊNH BIÊN'!$V$50:$AG$51*('02. ĐỊNH BIÊN'!$V$5:$AG$5='03. Chart'!K$7)*('02. ĐỊNH BIÊN'!$D$50:$D$51=RIGHT($A9,9)))</f>
        <v>400</v>
      </c>
      <c r="L9" s="256" cm="1">
        <f t="array" ref="L9">SUMPRODUCT('02. ĐỊNH BIÊN'!$E$50:$P$51*('02. ĐỊNH BIÊN'!$E$5:$P$5=K$7)*('02. ĐỊNH BIÊN'!$D$50:$D$51=RIGHT($A9,9)))</f>
        <v>363</v>
      </c>
      <c r="M9" s="213"/>
      <c r="N9" s="256" cm="1">
        <f t="array" ref="N9">SUMPRODUCT('02. ĐỊNH BIÊN'!$V$50:$AG$51*('02. ĐỊNH BIÊN'!$V$5:$AG$5='03. Chart'!N$7)*('02. ĐỊNH BIÊN'!$D$50:$D$51=RIGHT($A9,9)))</f>
        <v>406</v>
      </c>
      <c r="O9" s="256" cm="1">
        <f t="array" ref="O9">SUMPRODUCT('02. ĐỊNH BIÊN'!$E$50:$P$51*('02. ĐỊNH BIÊN'!$E$5:$P$5=N$7)*('02. ĐỊNH BIÊN'!$D$50:$D$51=RIGHT($A9,9)))</f>
        <v>0</v>
      </c>
      <c r="P9" s="213"/>
      <c r="Q9" s="256" cm="1">
        <f t="array" ref="Q9">SUMPRODUCT('02. ĐỊNH BIÊN'!$V$50:$AG$51*('02. ĐỊNH BIÊN'!$V$5:$AG$5='03. Chart'!Q$7)*('02. ĐỊNH BIÊN'!$D$50:$D$51=RIGHT($A9,9)))</f>
        <v>410</v>
      </c>
      <c r="R9" s="256" cm="1">
        <f t="array" ref="R9">SUMPRODUCT('02. ĐỊNH BIÊN'!$E$50:$P$51*('02. ĐỊNH BIÊN'!$E$5:$P$5=Q$7)*('02. ĐỊNH BIÊN'!$D$50:$D$51=RIGHT($A9,9)))</f>
        <v>0</v>
      </c>
      <c r="S9" s="213"/>
      <c r="T9" s="256" cm="1">
        <f t="array" ref="T9">SUMPRODUCT('02. ĐỊNH BIÊN'!$V$50:$AG$51*('02. ĐỊNH BIÊN'!$V$5:$AG$5='03. Chart'!T$7)*('02. ĐỊNH BIÊN'!$D$50:$D$51=RIGHT($A9,9)))</f>
        <v>410</v>
      </c>
      <c r="U9" s="256" cm="1">
        <f t="array" ref="U9">SUMPRODUCT('02. ĐỊNH BIÊN'!$E$50:$P$51*('02. ĐỊNH BIÊN'!$E$5:$P$5=T$7)*('02. ĐỊNH BIÊN'!$D$50:$D$51=RIGHT($A9,9)))</f>
        <v>0</v>
      </c>
      <c r="V9" s="213"/>
      <c r="W9" s="256" cm="1">
        <f t="array" ref="W9">SUMPRODUCT('02. ĐỊNH BIÊN'!$V$50:$AG$51*('02. ĐỊNH BIÊN'!$V$5:$AG$5='03. Chart'!W$7)*('02. ĐỊNH BIÊN'!$D$50:$D$51=RIGHT($A9,9)))</f>
        <v>410</v>
      </c>
      <c r="X9" s="256" cm="1">
        <f t="array" ref="X9">SUMPRODUCT('02. ĐỊNH BIÊN'!$E$50:$P$51*('02. ĐỊNH BIÊN'!$E$5:$P$5=W$7)*('02. ĐỊNH BIÊN'!$D$50:$D$51=RIGHT($A9,9)))</f>
        <v>0</v>
      </c>
      <c r="Y9" s="213"/>
      <c r="Z9" s="256" cm="1">
        <f t="array" ref="Z9">SUMPRODUCT('02. ĐỊNH BIÊN'!$V$50:$AG$51*('02. ĐỊNH BIÊN'!$V$5:$AG$5='03. Chart'!Z$7)*('02. ĐỊNH BIÊN'!$D$50:$D$51=RIGHT($A9,9)))</f>
        <v>411</v>
      </c>
      <c r="AA9" s="256" cm="1">
        <f t="array" ref="AA9">SUMPRODUCT('02. ĐỊNH BIÊN'!$E$50:$P$51*('02. ĐỊNH BIÊN'!$E$5:$P$5=Z$7)*('02. ĐỊNH BIÊN'!$D$50:$D$51=RIGHT($A9,9)))</f>
        <v>0</v>
      </c>
      <c r="AB9" s="213"/>
      <c r="AC9" s="256" cm="1">
        <f t="array" ref="AC9">SUMPRODUCT('02. ĐỊNH BIÊN'!$V$50:$AG$51*('02. ĐỊNH BIÊN'!$V$5:$AG$5='03. Chart'!AC$7)*('02. ĐỊNH BIÊN'!$D$50:$D$51=RIGHT($A9,9)))</f>
        <v>411</v>
      </c>
      <c r="AD9" s="256" cm="1">
        <f t="array" ref="AD9">SUMPRODUCT('02. ĐỊNH BIÊN'!$E$50:$P$51*('02. ĐỊNH BIÊN'!$E$5:$P$5=AC$7)*('02. ĐỊNH BIÊN'!$D$50:$D$51=RIGHT($A9,9)))</f>
        <v>0</v>
      </c>
      <c r="AE9" s="213"/>
      <c r="AF9" s="256" cm="1">
        <f t="array" ref="AF9">SUMPRODUCT('02. ĐỊNH BIÊN'!$V$50:$AG$51*('02. ĐỊNH BIÊN'!$V$5:$AG$5='03. Chart'!AF$7)*('02. ĐỊNH BIÊN'!$D$50:$D$51=RIGHT($A9,9)))</f>
        <v>411</v>
      </c>
      <c r="AG9" s="256" cm="1">
        <f t="array" ref="AG9">SUMPRODUCT('02. ĐỊNH BIÊN'!$E$50:$P$51*('02. ĐỊNH BIÊN'!$E$5:$P$5=AF$7)*('02. ĐỊNH BIÊN'!$D$50:$D$51=RIGHT($A9,9)))</f>
        <v>0</v>
      </c>
      <c r="AH9" s="213"/>
      <c r="AI9" s="256" cm="1">
        <f t="array" ref="AI9">SUMPRODUCT('02. ĐỊNH BIÊN'!$V$50:$AG$51*('02. ĐỊNH BIÊN'!$V$5:$AG$5='03. Chart'!AI$7)*('02. ĐỊNH BIÊN'!$D$50:$D$51=RIGHT($A9,9)))</f>
        <v>411</v>
      </c>
      <c r="AJ9" s="256" cm="1">
        <f t="array" ref="AJ9">SUMPRODUCT('02. ĐỊNH BIÊN'!$E$50:$P$51*('02. ĐỊNH BIÊN'!$E$5:$P$5=AI$7)*('02. ĐỊNH BIÊN'!$D$50:$D$51=RIGHT($A9,9)))</f>
        <v>0</v>
      </c>
      <c r="AK9" s="256"/>
      <c r="AL9" s="411">
        <f>AVERAGEIFS($B9:$AK9,$B$8:$AK$8,"KH")</f>
        <v>405.08333333333331</v>
      </c>
      <c r="AM9" s="411">
        <f>AVERAGEIFS($B9:$AK9,$B$8:$AK$8,"TT",$B9:$AK9,"&lt;&gt;0")</f>
        <v>365.25</v>
      </c>
      <c r="AN9" s="213"/>
      <c r="AO9" s="268">
        <v>399.16666666666669</v>
      </c>
      <c r="AP9" s="268">
        <v>370.08333333333331</v>
      </c>
      <c r="AQ9" s="269"/>
      <c r="AR9" s="269">
        <v>321.83333333333337</v>
      </c>
      <c r="AS9" s="269">
        <v>304</v>
      </c>
    </row>
    <row r="10" spans="1:45" x14ac:dyDescent="0.25">
      <c r="A10" s="266" t="s">
        <v>1042</v>
      </c>
      <c r="B10" s="257" cm="1">
        <f t="array" ref="B10">SUMPRODUCT('02. ĐỊNH BIÊN'!$V$50:$AG$51*('02. ĐỊNH BIÊN'!$V$5:$AG$5='03. Chart'!B$7)*('02. ĐỊNH BIÊN'!$D$50:$D$51=RIGHT($A10,9)))</f>
        <v>270</v>
      </c>
      <c r="C10" s="5" cm="1">
        <f t="array" ref="C10">SUMPRODUCT('02. ĐỊNH BIÊN'!$E$50:$P$51*('02. ĐỊNH BIÊN'!$E$5:$P$5=B$7)*('02. ĐỊNH BIÊN'!$D$50:$D$51=RIGHT($A10,9)))</f>
        <v>236</v>
      </c>
      <c r="D10" s="5"/>
      <c r="E10" s="257" cm="1">
        <f t="array" ref="E10">SUMPRODUCT('02. ĐỊNH BIÊN'!$V$50:$AG$51*('02. ĐỊNH BIÊN'!$V$5:$AG$5='03. Chart'!E$7)*('02. ĐỊNH BIÊN'!$D$50:$D$51=RIGHT($A10,9)))</f>
        <v>259</v>
      </c>
      <c r="F10" s="5" cm="1">
        <f t="array" ref="F10">SUMPRODUCT('02. ĐỊNH BIÊN'!$E$50:$P$51*('02. ĐỊNH BIÊN'!$E$5:$P$5=E$7)*('02. ĐỊNH BIÊN'!$D$50:$D$51=RIGHT($A10,9)))</f>
        <v>212</v>
      </c>
      <c r="G10" s="5"/>
      <c r="H10" s="257" cm="1">
        <f t="array" ref="H10">SUMPRODUCT('02. ĐỊNH BIÊN'!$V$50:$AG$51*('02. ĐỊNH BIÊN'!$V$5:$AG$5='03. Chart'!H$7)*('02. ĐỊNH BIÊN'!$D$50:$D$51=RIGHT($A10,9)))</f>
        <v>260</v>
      </c>
      <c r="I10" s="5" cm="1">
        <f t="array" ref="I10">SUMPRODUCT('02. ĐỊNH BIÊN'!$E$50:$P$51*('02. ĐỊNH BIÊN'!$E$5:$P$5=H$7)*('02. ĐỊNH BIÊN'!$D$50:$D$51=RIGHT($A10,9)))</f>
        <v>222</v>
      </c>
      <c r="J10" s="5"/>
      <c r="K10" s="257" cm="1">
        <f t="array" ref="K10">SUMPRODUCT('02. ĐỊNH BIÊN'!$V$50:$AG$51*('02. ĐỊNH BIÊN'!$V$5:$AG$5='03. Chart'!K$7)*('02. ĐỊNH BIÊN'!$D$50:$D$51=RIGHT($A10,9)))</f>
        <v>264</v>
      </c>
      <c r="L10" s="5" cm="1">
        <f t="array" ref="L10">SUMPRODUCT('02. ĐỊNH BIÊN'!$E$50:$P$51*('02. ĐỊNH BIÊN'!$E$5:$P$5=K$7)*('02. ĐỊNH BIÊN'!$D$50:$D$51=RIGHT($A10,9)))</f>
        <v>208</v>
      </c>
      <c r="M10" s="5"/>
      <c r="N10" s="257" cm="1">
        <f t="array" ref="N10">SUMPRODUCT('02. ĐỊNH BIÊN'!$V$50:$AG$51*('02. ĐỊNH BIÊN'!$V$5:$AG$5='03. Chart'!N$7)*('02. ĐỊNH BIÊN'!$D$50:$D$51=RIGHT($A10,9)))</f>
        <v>264</v>
      </c>
      <c r="O10" s="5" cm="1">
        <f t="array" ref="O10">SUMPRODUCT('02. ĐỊNH BIÊN'!$E$50:$P$51*('02. ĐỊNH BIÊN'!$E$5:$P$5=N$7)*('02. ĐỊNH BIÊN'!$D$50:$D$51=RIGHT($A10,9)))</f>
        <v>0</v>
      </c>
      <c r="P10" s="5"/>
      <c r="Q10" s="257" cm="1">
        <f t="array" ref="Q10">SUMPRODUCT('02. ĐỊNH BIÊN'!$V$50:$AG$51*('02. ĐỊNH BIÊN'!$V$5:$AG$5='03. Chart'!Q$7)*('02. ĐỊNH BIÊN'!$D$50:$D$51=RIGHT($A10,9)))</f>
        <v>264</v>
      </c>
      <c r="R10" s="5" cm="1">
        <f t="array" ref="R10">SUMPRODUCT('02. ĐỊNH BIÊN'!$E$50:$P$51*('02. ĐỊNH BIÊN'!$E$5:$P$5=Q$7)*('02. ĐỊNH BIÊN'!$D$50:$D$51=RIGHT($A10,9)))</f>
        <v>0</v>
      </c>
      <c r="S10" s="5"/>
      <c r="T10" s="257" cm="1">
        <f t="array" ref="T10">SUMPRODUCT('02. ĐỊNH BIÊN'!$V$50:$AG$51*('02. ĐỊNH BIÊN'!$V$5:$AG$5='03. Chart'!T$7)*('02. ĐỊNH BIÊN'!$D$50:$D$51=RIGHT($A10,9)))</f>
        <v>264</v>
      </c>
      <c r="U10" s="5" cm="1">
        <f t="array" ref="U10">SUMPRODUCT('02. ĐỊNH BIÊN'!$E$50:$P$51*('02. ĐỊNH BIÊN'!$E$5:$P$5=T$7)*('02. ĐỊNH BIÊN'!$D$50:$D$51=RIGHT($A10,9)))</f>
        <v>0</v>
      </c>
      <c r="V10" s="5"/>
      <c r="W10" s="257" cm="1">
        <f t="array" ref="W10">SUMPRODUCT('02. ĐỊNH BIÊN'!$V$50:$AG$51*('02. ĐỊNH BIÊN'!$V$5:$AG$5='03. Chart'!W$7)*('02. ĐỊNH BIÊN'!$D$50:$D$51=RIGHT($A10,9)))</f>
        <v>264</v>
      </c>
      <c r="X10" s="5" cm="1">
        <f t="array" ref="X10">SUMPRODUCT('02. ĐỊNH BIÊN'!$E$50:$P$51*('02. ĐỊNH BIÊN'!$E$5:$P$5=W$7)*('02. ĐỊNH BIÊN'!$D$50:$D$51=RIGHT($A10,9)))</f>
        <v>0</v>
      </c>
      <c r="Y10" s="5"/>
      <c r="Z10" s="257" cm="1">
        <f t="array" ref="Z10">SUMPRODUCT('02. ĐỊNH BIÊN'!$V$50:$AG$51*('02. ĐỊNH BIÊN'!$V$5:$AG$5='03. Chart'!Z$7)*('02. ĐỊNH BIÊN'!$D$50:$D$51=RIGHT($A10,9)))</f>
        <v>264</v>
      </c>
      <c r="AA10" s="5" cm="1">
        <f t="array" ref="AA10">SUMPRODUCT('02. ĐỊNH BIÊN'!$E$50:$P$51*('02. ĐỊNH BIÊN'!$E$5:$P$5=Z$7)*('02. ĐỊNH BIÊN'!$D$50:$D$51=RIGHT($A10,9)))</f>
        <v>0</v>
      </c>
      <c r="AB10" s="5"/>
      <c r="AC10" s="257" cm="1">
        <f t="array" ref="AC10">SUMPRODUCT('02. ĐỊNH BIÊN'!$V$50:$AG$51*('02. ĐỊNH BIÊN'!$V$5:$AG$5='03. Chart'!AC$7)*('02. ĐỊNH BIÊN'!$D$50:$D$51=RIGHT($A10,9)))</f>
        <v>264</v>
      </c>
      <c r="AD10" s="5" cm="1">
        <f t="array" ref="AD10">SUMPRODUCT('02. ĐỊNH BIÊN'!$E$50:$P$51*('02. ĐỊNH BIÊN'!$E$5:$P$5=AC$7)*('02. ĐỊNH BIÊN'!$D$50:$D$51=RIGHT($A10,9)))</f>
        <v>0</v>
      </c>
      <c r="AE10" s="5"/>
      <c r="AF10" s="257" cm="1">
        <f t="array" ref="AF10">SUMPRODUCT('02. ĐỊNH BIÊN'!$V$50:$AG$51*('02. ĐỊNH BIÊN'!$V$5:$AG$5='03. Chart'!AF$7)*('02. ĐỊNH BIÊN'!$D$50:$D$51=RIGHT($A10,9)))</f>
        <v>264</v>
      </c>
      <c r="AG10" s="5" cm="1">
        <f t="array" ref="AG10">SUMPRODUCT('02. ĐỊNH BIÊN'!$E$50:$P$51*('02. ĐỊNH BIÊN'!$E$5:$P$5=AF$7)*('02. ĐỊNH BIÊN'!$D$50:$D$51=RIGHT($A10,9)))</f>
        <v>0</v>
      </c>
      <c r="AH10" s="5"/>
      <c r="AI10" s="257" cm="1">
        <f t="array" ref="AI10">SUMPRODUCT('02. ĐỊNH BIÊN'!$V$50:$AG$51*('02. ĐỊNH BIÊN'!$V$5:$AG$5='03. Chart'!AI$7)*('02. ĐỊNH BIÊN'!$D$50:$D$51=RIGHT($A10,9)))</f>
        <v>264</v>
      </c>
      <c r="AJ10" s="5" cm="1">
        <f t="array" ref="AJ10">SUMPRODUCT('02. ĐỊNH BIÊN'!$E$50:$P$51*('02. ĐỊNH BIÊN'!$E$5:$P$5=AI$7)*('02. ĐỊNH BIÊN'!$D$50:$D$51=RIGHT($A10,9)))</f>
        <v>0</v>
      </c>
      <c r="AK10" s="5"/>
      <c r="AL10" s="412">
        <f>AVERAGEIFS($B10:$AK10,$B$8:$AK$8,"KH")</f>
        <v>263.75</v>
      </c>
      <c r="AM10" s="412">
        <f>AVERAGEIFS($B10:$AK10,$B$8:$AK$8,"TT",$B10:$AK10,"&lt;&gt;0")</f>
        <v>219.5</v>
      </c>
      <c r="AN10" s="5"/>
      <c r="AO10" s="270">
        <v>257.75</v>
      </c>
      <c r="AP10" s="270">
        <v>256</v>
      </c>
      <c r="AQ10" s="270"/>
      <c r="AR10" s="270">
        <v>223.75</v>
      </c>
      <c r="AS10" s="270">
        <v>206</v>
      </c>
    </row>
    <row r="11" spans="1:45" x14ac:dyDescent="0.25">
      <c r="A11" s="266" t="s">
        <v>1043</v>
      </c>
      <c r="B11" s="258">
        <f>B9+B10</f>
        <v>661</v>
      </c>
      <c r="C11" s="253">
        <f>C9+C10</f>
        <v>611</v>
      </c>
      <c r="D11" s="253"/>
      <c r="E11" s="258">
        <f>E9+E10</f>
        <v>650</v>
      </c>
      <c r="F11" s="253">
        <f>F9+F10</f>
        <v>575</v>
      </c>
      <c r="G11" s="253"/>
      <c r="H11" s="258">
        <f>H9+H10</f>
        <v>659</v>
      </c>
      <c r="I11" s="253">
        <f>I9+I10</f>
        <v>582</v>
      </c>
      <c r="J11" s="253"/>
      <c r="K11" s="258">
        <f>K9+K10</f>
        <v>664</v>
      </c>
      <c r="L11" s="253">
        <f>L9+L10</f>
        <v>571</v>
      </c>
      <c r="M11" s="253"/>
      <c r="N11" s="258">
        <f>N9+N10</f>
        <v>670</v>
      </c>
      <c r="O11" s="253">
        <f>O9+O10</f>
        <v>0</v>
      </c>
      <c r="P11" s="253"/>
      <c r="Q11" s="258">
        <f>Q9+Q10</f>
        <v>674</v>
      </c>
      <c r="R11" s="253">
        <f>R9+R10</f>
        <v>0</v>
      </c>
      <c r="S11" s="253"/>
      <c r="T11" s="258">
        <f>T9+T10</f>
        <v>674</v>
      </c>
      <c r="U11" s="253">
        <f>U9+U10</f>
        <v>0</v>
      </c>
      <c r="V11" s="253"/>
      <c r="W11" s="258">
        <f>W9+W10</f>
        <v>674</v>
      </c>
      <c r="X11" s="253">
        <f>X9+X10</f>
        <v>0</v>
      </c>
      <c r="Y11" s="253"/>
      <c r="Z11" s="258">
        <f>Z9+Z10</f>
        <v>675</v>
      </c>
      <c r="AA11" s="253">
        <f>AA9+AA10</f>
        <v>0</v>
      </c>
      <c r="AB11" s="253"/>
      <c r="AC11" s="258">
        <f>AC9+AC10</f>
        <v>675</v>
      </c>
      <c r="AD11" s="253">
        <f>AD9+AD10</f>
        <v>0</v>
      </c>
      <c r="AE11" s="253"/>
      <c r="AF11" s="258">
        <f>AF9+AF10</f>
        <v>675</v>
      </c>
      <c r="AG11" s="253">
        <f>AG9+AG10</f>
        <v>0</v>
      </c>
      <c r="AH11" s="253"/>
      <c r="AI11" s="258">
        <f>AI9+AI10</f>
        <v>675</v>
      </c>
      <c r="AJ11" s="253">
        <f>AJ9+AJ10</f>
        <v>0</v>
      </c>
      <c r="AK11" s="253"/>
      <c r="AL11" s="258">
        <f>AL9+AL10</f>
        <v>668.83333333333326</v>
      </c>
      <c r="AM11" s="253">
        <f>AM9+AM10</f>
        <v>584.75</v>
      </c>
      <c r="AN11" s="253"/>
      <c r="AO11" s="258">
        <f>AO9+AO10</f>
        <v>656.91666666666674</v>
      </c>
      <c r="AP11" s="253">
        <f>AP9+AP10</f>
        <v>626.08333333333326</v>
      </c>
      <c r="AQ11" s="271"/>
      <c r="AR11" s="258">
        <f>AR9+AR10</f>
        <v>545.58333333333337</v>
      </c>
      <c r="AS11" s="253">
        <f>AS9+AS10</f>
        <v>510</v>
      </c>
    </row>
    <row r="12" spans="1:45" x14ac:dyDescent="0.25">
      <c r="A12" s="266" t="s">
        <v>1044</v>
      </c>
      <c r="B12" s="259">
        <f>IFERROR(B9/B$11,0)</f>
        <v>0.59152798789712557</v>
      </c>
      <c r="C12" s="259">
        <f>IFERROR(C9/C$11,0)</f>
        <v>0.61374795417348604</v>
      </c>
      <c r="D12" s="254"/>
      <c r="E12" s="259">
        <f t="shared" ref="E12:F12" si="6">IFERROR(E9/E$11,0)</f>
        <v>0.60153846153846158</v>
      </c>
      <c r="F12" s="259">
        <f t="shared" si="6"/>
        <v>0.63130434782608691</v>
      </c>
      <c r="G12" s="254"/>
      <c r="H12" s="259">
        <f t="shared" ref="H12:I12" si="7">IFERROR(H9/H$11,0)</f>
        <v>0.6054628224582701</v>
      </c>
      <c r="I12" s="259">
        <f t="shared" si="7"/>
        <v>0.61855670103092786</v>
      </c>
      <c r="J12" s="254"/>
      <c r="K12" s="259">
        <f t="shared" ref="K12:L12" si="8">IFERROR(K9/K$11,0)</f>
        <v>0.60240963855421692</v>
      </c>
      <c r="L12" s="259">
        <f t="shared" si="8"/>
        <v>0.63572679509632224</v>
      </c>
      <c r="M12" s="254"/>
      <c r="N12" s="259">
        <f t="shared" ref="N12:O12" si="9">IFERROR(N9/N$11,0)</f>
        <v>0.60597014925373138</v>
      </c>
      <c r="O12" s="259">
        <f t="shared" si="9"/>
        <v>0</v>
      </c>
      <c r="P12" s="254"/>
      <c r="Q12" s="259">
        <f>IFERROR(Q9/Q$11,0)</f>
        <v>0.60830860534124631</v>
      </c>
      <c r="R12" s="259">
        <f>IFERROR(R9/R$11,0)</f>
        <v>0</v>
      </c>
      <c r="S12" s="254"/>
      <c r="T12" s="259">
        <f t="shared" ref="T12:U12" si="10">IFERROR(T9/T$11,0)</f>
        <v>0.60830860534124631</v>
      </c>
      <c r="U12" s="259">
        <f t="shared" si="10"/>
        <v>0</v>
      </c>
      <c r="V12" s="254"/>
      <c r="W12" s="259">
        <f t="shared" ref="W12:X12" si="11">IFERROR(W9/W$11,0)</f>
        <v>0.60830860534124631</v>
      </c>
      <c r="X12" s="259">
        <f t="shared" si="11"/>
        <v>0</v>
      </c>
      <c r="Y12" s="254"/>
      <c r="Z12" s="259">
        <f t="shared" ref="Z12:AA12" si="12">IFERROR(Z9/Z$11,0)</f>
        <v>0.60888888888888892</v>
      </c>
      <c r="AA12" s="259">
        <f t="shared" si="12"/>
        <v>0</v>
      </c>
      <c r="AB12" s="254"/>
      <c r="AC12" s="259">
        <f t="shared" ref="AC12" si="13">IFERROR(AC9/AC$11,0)</f>
        <v>0.60888888888888892</v>
      </c>
      <c r="AD12" s="259">
        <f>IFERROR(AD9/AD$11,0)</f>
        <v>0</v>
      </c>
      <c r="AE12" s="254"/>
      <c r="AF12" s="259">
        <f t="shared" ref="AF12:AG12" si="14">IFERROR(AF9/AF$11,0)</f>
        <v>0.60888888888888892</v>
      </c>
      <c r="AG12" s="259">
        <f t="shared" si="14"/>
        <v>0</v>
      </c>
      <c r="AH12" s="254"/>
      <c r="AI12" s="259">
        <f t="shared" ref="AI12:AJ12" si="15">IFERROR(AI9/AI$11,0)</f>
        <v>0.60888888888888892</v>
      </c>
      <c r="AJ12" s="259">
        <f t="shared" si="15"/>
        <v>0</v>
      </c>
      <c r="AK12" s="259"/>
      <c r="AL12" s="259">
        <f t="shared" ref="AL12:AM12" si="16">IFERROR(AL9/AL$11,0)</f>
        <v>0.60565661599800646</v>
      </c>
      <c r="AM12" s="259">
        <f t="shared" si="16"/>
        <v>0.62462590850790933</v>
      </c>
      <c r="AN12" s="254"/>
      <c r="AO12" s="259">
        <f t="shared" ref="AO12:AP12" si="17">IFERROR(AO9/AO$11,0)</f>
        <v>0.60763668654065706</v>
      </c>
      <c r="AP12" s="259">
        <f t="shared" si="17"/>
        <v>0.59110874484227338</v>
      </c>
      <c r="AQ12" s="272"/>
      <c r="AR12" s="259">
        <f t="shared" ref="AR12:AS12" si="18">IFERROR(AR9/AR$11,0)</f>
        <v>0.58988849854895375</v>
      </c>
      <c r="AS12" s="259">
        <f t="shared" si="18"/>
        <v>0.59607843137254901</v>
      </c>
    </row>
    <row r="13" spans="1:45" x14ac:dyDescent="0.25">
      <c r="A13" s="267" t="s">
        <v>1045</v>
      </c>
      <c r="B13" s="260">
        <f>IFERROR(B10/B$11,0)</f>
        <v>0.40847201210287443</v>
      </c>
      <c r="C13" s="260">
        <f>IFERROR(C10/C$11,0)</f>
        <v>0.3862520458265139</v>
      </c>
      <c r="D13" s="255"/>
      <c r="E13" s="260">
        <f t="shared" ref="E13:F13" si="19">IFERROR(E10/E$11,0)</f>
        <v>0.39846153846153848</v>
      </c>
      <c r="F13" s="260">
        <f t="shared" si="19"/>
        <v>0.36869565217391304</v>
      </c>
      <c r="G13" s="255"/>
      <c r="H13" s="260">
        <f t="shared" ref="H13:I13" si="20">IFERROR(H10/H$11,0)</f>
        <v>0.3945371775417299</v>
      </c>
      <c r="I13" s="260">
        <f t="shared" si="20"/>
        <v>0.38144329896907214</v>
      </c>
      <c r="J13" s="255"/>
      <c r="K13" s="260">
        <f t="shared" ref="K13:L13" si="21">IFERROR(K10/K$11,0)</f>
        <v>0.39759036144578314</v>
      </c>
      <c r="L13" s="260">
        <f t="shared" si="21"/>
        <v>0.36427320490367776</v>
      </c>
      <c r="M13" s="255"/>
      <c r="N13" s="260">
        <f t="shared" ref="N13:O13" si="22">IFERROR(N10/N$11,0)</f>
        <v>0.39402985074626867</v>
      </c>
      <c r="O13" s="260">
        <f t="shared" si="22"/>
        <v>0</v>
      </c>
      <c r="P13" s="255"/>
      <c r="Q13" s="260">
        <f>IFERROR(Q10/Q$11,0)</f>
        <v>0.39169139465875369</v>
      </c>
      <c r="R13" s="260">
        <f>IFERROR(R10/R$11,0)</f>
        <v>0</v>
      </c>
      <c r="S13" s="255"/>
      <c r="T13" s="260">
        <f t="shared" ref="T13:U13" si="23">IFERROR(T10/T$11,0)</f>
        <v>0.39169139465875369</v>
      </c>
      <c r="U13" s="260">
        <f t="shared" si="23"/>
        <v>0</v>
      </c>
      <c r="V13" s="255"/>
      <c r="W13" s="260">
        <f t="shared" ref="W13:X13" si="24">IFERROR(W10/W$11,0)</f>
        <v>0.39169139465875369</v>
      </c>
      <c r="X13" s="260">
        <f t="shared" si="24"/>
        <v>0</v>
      </c>
      <c r="Y13" s="255"/>
      <c r="Z13" s="260">
        <f t="shared" ref="Z13:AA13" si="25">IFERROR(Z10/Z$11,0)</f>
        <v>0.39111111111111113</v>
      </c>
      <c r="AA13" s="260">
        <f t="shared" si="25"/>
        <v>0</v>
      </c>
      <c r="AB13" s="255"/>
      <c r="AC13" s="260">
        <f t="shared" ref="AC13:AD13" si="26">IFERROR(AC10/AC$11,0)</f>
        <v>0.39111111111111113</v>
      </c>
      <c r="AD13" s="260">
        <f t="shared" si="26"/>
        <v>0</v>
      </c>
      <c r="AE13" s="255"/>
      <c r="AF13" s="260">
        <f t="shared" ref="AF13:AG13" si="27">IFERROR(AF10/AF$11,0)</f>
        <v>0.39111111111111113</v>
      </c>
      <c r="AG13" s="260">
        <f t="shared" si="27"/>
        <v>0</v>
      </c>
      <c r="AH13" s="255"/>
      <c r="AI13" s="260">
        <f t="shared" ref="AI13:AJ13" si="28">IFERROR(AI10/AI$11,0)</f>
        <v>0.39111111111111113</v>
      </c>
      <c r="AJ13" s="260">
        <f t="shared" si="28"/>
        <v>0</v>
      </c>
      <c r="AK13" s="260"/>
      <c r="AL13" s="260">
        <f t="shared" ref="AL13:AM13" si="29">IFERROR(AL10/AL$11,0)</f>
        <v>0.39434338400199359</v>
      </c>
      <c r="AM13" s="260">
        <f t="shared" si="29"/>
        <v>0.37537409149209061</v>
      </c>
      <c r="AN13" s="255"/>
      <c r="AO13" s="260">
        <f t="shared" ref="AO13:AP13" si="30">IFERROR(AO10/AO$11,0)</f>
        <v>0.39236331345934283</v>
      </c>
      <c r="AP13" s="260">
        <f t="shared" si="30"/>
        <v>0.40889125515772667</v>
      </c>
      <c r="AQ13" s="273"/>
      <c r="AR13" s="260">
        <f t="shared" ref="AR13:AS13" si="31">IFERROR(AR10/AR$11,0)</f>
        <v>0.41011150145104625</v>
      </c>
      <c r="AS13" s="260">
        <f t="shared" si="31"/>
        <v>0.40392156862745099</v>
      </c>
    </row>
    <row r="25" spans="1:16" x14ac:dyDescent="0.25">
      <c r="P25" t="s">
        <v>226</v>
      </c>
    </row>
    <row r="27" spans="1:16" x14ac:dyDescent="0.25">
      <c r="A27" s="9"/>
      <c r="B27" s="77"/>
    </row>
    <row r="28" spans="1:16" x14ac:dyDescent="0.25">
      <c r="A28" s="9"/>
      <c r="B28" s="77"/>
    </row>
    <row r="29" spans="1:16" x14ac:dyDescent="0.25">
      <c r="A29" s="9"/>
      <c r="B29" s="77"/>
    </row>
    <row r="33" spans="1:17" ht="18.75" x14ac:dyDescent="0.3">
      <c r="A33" s="82">
        <v>2</v>
      </c>
      <c r="B33" s="82" t="s">
        <v>228</v>
      </c>
    </row>
    <row r="34" spans="1:17" ht="18.75" outlineLevel="1" x14ac:dyDescent="0.3">
      <c r="A34" s="82"/>
      <c r="B34" s="82"/>
      <c r="M34" s="86" t="s">
        <v>229</v>
      </c>
    </row>
    <row r="35" spans="1:17" ht="18.75" outlineLevel="1" x14ac:dyDescent="0.25">
      <c r="A35" s="88"/>
      <c r="B35" s="89"/>
      <c r="C35" s="87">
        <v>1</v>
      </c>
      <c r="D35" s="83">
        <v>2</v>
      </c>
      <c r="E35" s="83">
        <v>3</v>
      </c>
      <c r="F35" s="83">
        <v>4</v>
      </c>
      <c r="G35" s="83">
        <v>5</v>
      </c>
      <c r="H35" s="83">
        <v>6</v>
      </c>
      <c r="I35" s="83">
        <v>7</v>
      </c>
      <c r="J35" s="83">
        <v>8</v>
      </c>
      <c r="K35" s="83">
        <v>9</v>
      </c>
      <c r="L35" s="83">
        <v>10</v>
      </c>
      <c r="M35" s="83">
        <v>11</v>
      </c>
      <c r="N35" s="83">
        <v>12</v>
      </c>
      <c r="O35" s="83" t="s">
        <v>230</v>
      </c>
    </row>
    <row r="36" spans="1:17" outlineLevel="1" x14ac:dyDescent="0.25">
      <c r="A36" s="98"/>
      <c r="B36" s="99" t="s">
        <v>1439</v>
      </c>
      <c r="C36" s="90">
        <f>'02. ĐỊNH BIÊN'!E49</f>
        <v>611</v>
      </c>
      <c r="D36" s="90">
        <f>'02. ĐỊNH BIÊN'!F49</f>
        <v>575</v>
      </c>
      <c r="E36" s="90">
        <f>'02. ĐỊNH BIÊN'!G49</f>
        <v>582</v>
      </c>
      <c r="F36" s="90">
        <f>'02. ĐỊNH BIÊN'!H49</f>
        <v>571</v>
      </c>
      <c r="G36" s="90">
        <f>'02. ĐỊNH BIÊN'!I49</f>
        <v>0</v>
      </c>
      <c r="H36" s="90">
        <f>'02. ĐỊNH BIÊN'!J49</f>
        <v>0</v>
      </c>
      <c r="I36" s="90">
        <f>'02. ĐỊNH BIÊN'!K49</f>
        <v>0</v>
      </c>
      <c r="J36" s="90">
        <f>'02. ĐỊNH BIÊN'!L49</f>
        <v>0</v>
      </c>
      <c r="K36" s="90">
        <f>'02. ĐỊNH BIÊN'!M49</f>
        <v>0</v>
      </c>
      <c r="L36" s="90">
        <f>'02. ĐỊNH BIÊN'!N49</f>
        <v>0</v>
      </c>
      <c r="M36" s="90">
        <f>'02. ĐỊNH BIÊN'!O49</f>
        <v>0</v>
      </c>
      <c r="N36" s="90">
        <f>'02. ĐỊNH BIÊN'!P49</f>
        <v>0</v>
      </c>
      <c r="O36" s="90"/>
    </row>
    <row r="37" spans="1:17" outlineLevel="1" x14ac:dyDescent="0.25">
      <c r="A37" s="100"/>
      <c r="B37" s="101" t="s">
        <v>1440</v>
      </c>
      <c r="C37" s="91">
        <f>'02. ĐỊNH BIÊN'!E54</f>
        <v>2868.56925</v>
      </c>
      <c r="D37" s="91">
        <f>'02. ĐỊNH BIÊN'!F54</f>
        <v>1811.1000000000001</v>
      </c>
      <c r="E37" s="91">
        <f>'02. ĐỊNH BIÊN'!G54</f>
        <v>4279.4889999999996</v>
      </c>
      <c r="F37" s="91">
        <f>'02. ĐỊNH BIÊN'!H54</f>
        <v>4370.2853999999998</v>
      </c>
      <c r="G37" s="91">
        <f>'02. ĐỊNH BIÊN'!I54</f>
        <v>0</v>
      </c>
      <c r="H37" s="91">
        <f>'02. ĐỊNH BIÊN'!J54</f>
        <v>0</v>
      </c>
      <c r="I37" s="91">
        <f>'02. ĐỊNH BIÊN'!K54</f>
        <v>0</v>
      </c>
      <c r="J37" s="91">
        <f>'02. ĐỊNH BIÊN'!L54</f>
        <v>0</v>
      </c>
      <c r="K37" s="91">
        <f>'02. ĐỊNH BIÊN'!M54</f>
        <v>0</v>
      </c>
      <c r="L37" s="91">
        <f>'02. ĐỊNH BIÊN'!N54</f>
        <v>0</v>
      </c>
      <c r="M37" s="91">
        <f>'02. ĐỊNH BIÊN'!O54</f>
        <v>0</v>
      </c>
      <c r="N37" s="91">
        <f>'02. ĐỊNH BIÊN'!P54</f>
        <v>0</v>
      </c>
      <c r="O37" s="91"/>
      <c r="P37" s="137"/>
    </row>
    <row r="38" spans="1:17" outlineLevel="1" x14ac:dyDescent="0.25">
      <c r="A38" s="106"/>
      <c r="B38" s="115" t="s">
        <v>1436</v>
      </c>
      <c r="C38" s="119">
        <f>IFERROR(ROUND(C37/C36,1),0)</f>
        <v>4.7</v>
      </c>
      <c r="D38" s="119">
        <f>IFERROR(ROUND(D37/D36,1),0)</f>
        <v>3.1</v>
      </c>
      <c r="E38" s="119">
        <f t="shared" ref="E38:N38" si="32">IFERROR(ROUND(E37/E36,1),0)</f>
        <v>7.4</v>
      </c>
      <c r="F38" s="119">
        <f t="shared" si="32"/>
        <v>7.7</v>
      </c>
      <c r="G38" s="119">
        <f t="shared" si="32"/>
        <v>0</v>
      </c>
      <c r="H38" s="119">
        <f t="shared" si="32"/>
        <v>0</v>
      </c>
      <c r="I38" s="119">
        <f t="shared" si="32"/>
        <v>0</v>
      </c>
      <c r="J38" s="119">
        <f t="shared" si="32"/>
        <v>0</v>
      </c>
      <c r="K38" s="119">
        <f t="shared" si="32"/>
        <v>0</v>
      </c>
      <c r="L38" s="119">
        <f t="shared" si="32"/>
        <v>0</v>
      </c>
      <c r="M38" s="119">
        <f t="shared" si="32"/>
        <v>0</v>
      </c>
      <c r="N38" s="119">
        <f t="shared" si="32"/>
        <v>0</v>
      </c>
      <c r="O38" s="119">
        <f>ROUND(SUM(C38:N38)/(12-COUNTIF(C38:N38,0)),1)</f>
        <v>5.7</v>
      </c>
    </row>
    <row r="39" spans="1:17" outlineLevel="1" x14ac:dyDescent="0.25">
      <c r="A39" s="107"/>
      <c r="B39" s="108" t="s">
        <v>1441</v>
      </c>
      <c r="C39" s="109">
        <f>'02. ĐỊNH BIÊN'!V49</f>
        <v>661</v>
      </c>
      <c r="D39" s="109">
        <f>'02. ĐỊNH BIÊN'!W49</f>
        <v>650</v>
      </c>
      <c r="E39" s="109">
        <f>'02. ĐỊNH BIÊN'!X49</f>
        <v>659</v>
      </c>
      <c r="F39" s="109">
        <f>'02. ĐỊNH BIÊN'!Y49</f>
        <v>664</v>
      </c>
      <c r="G39" s="109">
        <f>'02. ĐỊNH BIÊN'!Z49</f>
        <v>670</v>
      </c>
      <c r="H39" s="109">
        <f>'02. ĐỊNH BIÊN'!AA49</f>
        <v>674</v>
      </c>
      <c r="I39" s="109">
        <f>'02. ĐỊNH BIÊN'!AB49</f>
        <v>674</v>
      </c>
      <c r="J39" s="109">
        <f>'02. ĐỊNH BIÊN'!AC49</f>
        <v>674</v>
      </c>
      <c r="K39" s="109">
        <f>'02. ĐỊNH BIÊN'!AD49</f>
        <v>675</v>
      </c>
      <c r="L39" s="109">
        <f>'02. ĐỊNH BIÊN'!AE49</f>
        <v>675</v>
      </c>
      <c r="M39" s="109">
        <f>'02. ĐỊNH BIÊN'!AF49</f>
        <v>675</v>
      </c>
      <c r="N39" s="109">
        <f>'02. ĐỊNH BIÊN'!AG49</f>
        <v>675</v>
      </c>
      <c r="O39" s="110"/>
    </row>
    <row r="40" spans="1:17" outlineLevel="1" x14ac:dyDescent="0.25">
      <c r="A40" s="102"/>
      <c r="B40" s="103" t="s">
        <v>1442</v>
      </c>
      <c r="C40" s="93">
        <f>'02. ĐỊNH BIÊN'!V54</f>
        <v>3955</v>
      </c>
      <c r="D40" s="93">
        <f>'02. ĐỊNH BIÊN'!W54</f>
        <v>3245</v>
      </c>
      <c r="E40" s="93">
        <f>'02. ĐỊNH BIÊN'!X54</f>
        <v>4145</v>
      </c>
      <c r="F40" s="93">
        <f>'02. ĐỊNH BIÊN'!Y54</f>
        <v>4155</v>
      </c>
      <c r="G40" s="93">
        <f>'02. ĐỊNH BIÊN'!Z54</f>
        <v>4145</v>
      </c>
      <c r="H40" s="93">
        <f>'02. ĐỊNH BIÊN'!AA54</f>
        <v>4230</v>
      </c>
      <c r="I40" s="93">
        <f>'02. ĐỊNH BIÊN'!AB54</f>
        <v>4330</v>
      </c>
      <c r="J40" s="93">
        <f>'02. ĐỊNH BIÊN'!AC54</f>
        <v>4370</v>
      </c>
      <c r="K40" s="93">
        <f>'02. ĐỊNH BIÊN'!AD54</f>
        <v>4355</v>
      </c>
      <c r="L40" s="93">
        <f>'02. ĐỊNH BIÊN'!AE54</f>
        <v>4380</v>
      </c>
      <c r="M40" s="93">
        <f>'02. ĐỊNH BIÊN'!AF54</f>
        <v>4320</v>
      </c>
      <c r="N40" s="93">
        <f>'02. ĐỊNH BIÊN'!AG54</f>
        <v>4370</v>
      </c>
      <c r="O40" s="92"/>
      <c r="P40" s="137"/>
      <c r="Q40" s="97"/>
    </row>
    <row r="41" spans="1:17" outlineLevel="1" x14ac:dyDescent="0.25">
      <c r="A41" s="111"/>
      <c r="B41" s="116" t="s">
        <v>1443</v>
      </c>
      <c r="C41" s="94">
        <f>ROUND(C40/C39,1)</f>
        <v>6</v>
      </c>
      <c r="D41" s="94">
        <f t="shared" ref="D41:N41" si="33">ROUND(D40/D39,1)</f>
        <v>5</v>
      </c>
      <c r="E41" s="94">
        <f t="shared" si="33"/>
        <v>6.3</v>
      </c>
      <c r="F41" s="94">
        <f t="shared" si="33"/>
        <v>6.3</v>
      </c>
      <c r="G41" s="94">
        <f t="shared" si="33"/>
        <v>6.2</v>
      </c>
      <c r="H41" s="94">
        <f t="shared" si="33"/>
        <v>6.3</v>
      </c>
      <c r="I41" s="94">
        <f t="shared" si="33"/>
        <v>6.4</v>
      </c>
      <c r="J41" s="94">
        <f t="shared" si="33"/>
        <v>6.5</v>
      </c>
      <c r="K41" s="94">
        <f t="shared" si="33"/>
        <v>6.5</v>
      </c>
      <c r="L41" s="94">
        <f t="shared" si="33"/>
        <v>6.5</v>
      </c>
      <c r="M41" s="94">
        <f t="shared" si="33"/>
        <v>6.4</v>
      </c>
      <c r="N41" s="94">
        <f t="shared" si="33"/>
        <v>6.5</v>
      </c>
      <c r="O41" s="112">
        <f>ROUND(SUM(C41:N41)/(12-COUNTIF(C41:N41,0)),1)</f>
        <v>6.2</v>
      </c>
    </row>
    <row r="42" spans="1:17" outlineLevel="1" x14ac:dyDescent="0.25">
      <c r="A42" s="413"/>
      <c r="B42" s="414" t="s">
        <v>231</v>
      </c>
      <c r="C42" s="413">
        <f>'02. ĐỊNH BIÊN'!AI49</f>
        <v>569</v>
      </c>
      <c r="D42" s="413">
        <f>'02. ĐỊNH BIÊN'!AJ49</f>
        <v>585</v>
      </c>
      <c r="E42" s="413">
        <f>'02. ĐỊNH BIÊN'!AK49</f>
        <v>602</v>
      </c>
      <c r="F42" s="413">
        <f>'02. ĐỊNH BIÊN'!AL49</f>
        <v>614</v>
      </c>
      <c r="G42" s="413">
        <f>'02. ĐỊNH BIÊN'!AM49</f>
        <v>609</v>
      </c>
      <c r="H42" s="413">
        <f>'02. ĐỊNH BIÊN'!AN49</f>
        <v>621</v>
      </c>
      <c r="I42" s="413">
        <f>'02. ĐỊNH BIÊN'!AO49</f>
        <v>635</v>
      </c>
      <c r="J42" s="413">
        <f>'02. ĐỊNH BIÊN'!AP49</f>
        <v>663</v>
      </c>
      <c r="K42" s="413">
        <f>'02. ĐỊNH BIÊN'!AQ49</f>
        <v>682</v>
      </c>
      <c r="L42" s="413">
        <f>'02. ĐỊNH BIÊN'!AR49</f>
        <v>660</v>
      </c>
      <c r="M42" s="413">
        <f>'02. ĐỊNH BIÊN'!AS49</f>
        <v>644</v>
      </c>
      <c r="N42" s="413">
        <f>'02. ĐỊNH BIÊN'!AT49</f>
        <v>629</v>
      </c>
      <c r="O42" s="413"/>
    </row>
    <row r="43" spans="1:17" outlineLevel="1" x14ac:dyDescent="0.25">
      <c r="A43" s="415"/>
      <c r="B43" s="416" t="s">
        <v>232</v>
      </c>
      <c r="C43" s="417">
        <f>'02. ĐỊNH BIÊN'!AI54</f>
        <v>1839.7309999999998</v>
      </c>
      <c r="D43" s="417">
        <f>'02. ĐỊNH BIÊN'!AJ54</f>
        <v>2957.2660000000001</v>
      </c>
      <c r="E43" s="417">
        <f>'02. ĐỊNH BIÊN'!AK54</f>
        <v>4821.92</v>
      </c>
      <c r="F43" s="417">
        <f>'02. ĐỊNH BIÊN'!AL54</f>
        <v>4088.2489999999993</v>
      </c>
      <c r="G43" s="417">
        <f>'02. ĐỊNH BIÊN'!AM54</f>
        <v>4828.9710000000005</v>
      </c>
      <c r="H43" s="417">
        <f>'02. ĐỊNH BIÊN'!AN54</f>
        <v>4232.4530000000004</v>
      </c>
      <c r="I43" s="417">
        <f>'02. ĐỊNH BIÊN'!AO54</f>
        <v>4561.6410000000005</v>
      </c>
      <c r="J43" s="417">
        <f>'02. ĐỊNH BIÊN'!AP54</f>
        <v>4570.5645000000004</v>
      </c>
      <c r="K43" s="417">
        <f>'02. ĐỊNH BIÊN'!AQ54</f>
        <v>4555.5080000000007</v>
      </c>
      <c r="L43" s="417">
        <f>'02. ĐỊNH BIÊN'!AR54</f>
        <v>3173.9179999999997</v>
      </c>
      <c r="M43" s="417">
        <f>'02. ĐỊNH BIÊN'!AS54</f>
        <v>2323.2629999999999</v>
      </c>
      <c r="N43" s="417">
        <f>'02. ĐỊNH BIÊN'!AT54</f>
        <v>3552.8617999999997</v>
      </c>
      <c r="O43" s="415"/>
      <c r="P43" s="137"/>
    </row>
    <row r="44" spans="1:17" outlineLevel="1" x14ac:dyDescent="0.25">
      <c r="A44" s="418"/>
      <c r="B44" s="419" t="s">
        <v>213</v>
      </c>
      <c r="C44" s="420">
        <f>ROUND(C43/C42,1)</f>
        <v>3.2</v>
      </c>
      <c r="D44" s="420">
        <f t="shared" ref="D44:N44" si="34">ROUND(D43/D42,1)</f>
        <v>5.0999999999999996</v>
      </c>
      <c r="E44" s="420">
        <f t="shared" si="34"/>
        <v>8</v>
      </c>
      <c r="F44" s="420">
        <f t="shared" si="34"/>
        <v>6.7</v>
      </c>
      <c r="G44" s="420">
        <f t="shared" si="34"/>
        <v>7.9</v>
      </c>
      <c r="H44" s="420">
        <f t="shared" si="34"/>
        <v>6.8</v>
      </c>
      <c r="I44" s="420">
        <f t="shared" si="34"/>
        <v>7.2</v>
      </c>
      <c r="J44" s="420">
        <f t="shared" si="34"/>
        <v>6.9</v>
      </c>
      <c r="K44" s="420">
        <f t="shared" si="34"/>
        <v>6.7</v>
      </c>
      <c r="L44" s="420">
        <f t="shared" si="34"/>
        <v>4.8</v>
      </c>
      <c r="M44" s="420">
        <f t="shared" si="34"/>
        <v>3.6</v>
      </c>
      <c r="N44" s="420">
        <f t="shared" si="34"/>
        <v>5.6</v>
      </c>
      <c r="O44" s="421">
        <f>ROUND(SUM(C44:N44)/(12-COUNTIF(C44:N44,0)),1)</f>
        <v>6</v>
      </c>
    </row>
    <row r="45" spans="1:17" outlineLevel="1" x14ac:dyDescent="0.25">
      <c r="A45" s="113"/>
      <c r="B45" s="114" t="s">
        <v>233</v>
      </c>
      <c r="C45" s="113">
        <f>'02. ĐỊNH BIÊN'!BL49</f>
        <v>431</v>
      </c>
      <c r="D45" s="113">
        <f>'02. ĐỊNH BIÊN'!BM49</f>
        <v>420</v>
      </c>
      <c r="E45" s="113">
        <f>'02. ĐỊNH BIÊN'!BN49</f>
        <v>461</v>
      </c>
      <c r="F45" s="113">
        <f>'02. ĐỊNH BIÊN'!BO49</f>
        <v>483</v>
      </c>
      <c r="G45" s="113">
        <f>'02. ĐỊNH BIÊN'!BP49</f>
        <v>507</v>
      </c>
      <c r="H45" s="113">
        <f>'02. ĐỊNH BIÊN'!BQ49</f>
        <v>515</v>
      </c>
      <c r="I45" s="113">
        <f>'02. ĐỊNH BIÊN'!BR49</f>
        <v>520</v>
      </c>
      <c r="J45" s="113">
        <f>'02. ĐỊNH BIÊN'!BS49</f>
        <v>518</v>
      </c>
      <c r="K45" s="113">
        <f>'02. ĐỊNH BIÊN'!BT49</f>
        <v>551</v>
      </c>
      <c r="L45" s="113">
        <f>'02. ĐỊNH BIÊN'!BU49</f>
        <v>562</v>
      </c>
      <c r="M45" s="113">
        <f>'02. ĐỊNH BIÊN'!BV49</f>
        <v>575</v>
      </c>
      <c r="N45" s="113">
        <f>'02. ĐỊNH BIÊN'!BW49</f>
        <v>582</v>
      </c>
      <c r="O45" s="113"/>
    </row>
    <row r="46" spans="1:17" outlineLevel="1" x14ac:dyDescent="0.25">
      <c r="A46" s="95"/>
      <c r="B46" s="104" t="s">
        <v>234</v>
      </c>
      <c r="C46" s="96">
        <f>'02. ĐỊNH BIÊN'!BL54</f>
        <v>4748.3130000000001</v>
      </c>
      <c r="D46" s="96">
        <f>'02. ĐỊNH BIÊN'!BM54</f>
        <v>2926.5019999999995</v>
      </c>
      <c r="E46" s="96">
        <f>'02. ĐỊNH BIÊN'!BN54</f>
        <v>4896.4380000000001</v>
      </c>
      <c r="F46" s="96">
        <f>'02. ĐỊNH BIÊN'!BO54</f>
        <v>4526.3689999999997</v>
      </c>
      <c r="G46" s="96">
        <f>'02. ĐỊNH BIÊN'!BP54</f>
        <v>4417.8749999999991</v>
      </c>
      <c r="H46" s="96">
        <f>'02. ĐỊNH BIÊN'!BQ54</f>
        <v>3495.0744999999997</v>
      </c>
      <c r="I46" s="96">
        <f>'02. ĐỊNH BIÊN'!BR54</f>
        <v>1866.424</v>
      </c>
      <c r="J46" s="96">
        <f>'02. ĐỊNH BIÊN'!BS54</f>
        <v>2192.5825</v>
      </c>
      <c r="K46" s="96">
        <f>'02. ĐỊNH BIÊN'!BT54</f>
        <v>2799.3996999999999</v>
      </c>
      <c r="L46" s="96">
        <f>'02. ĐỊNH BIÊN'!BU54</f>
        <v>4293.2714999999989</v>
      </c>
      <c r="M46" s="96">
        <f>'02. ĐỊNH BIÊN'!BV54</f>
        <v>4775.3970000000008</v>
      </c>
      <c r="N46" s="96">
        <f>'02. ĐỊNH BIÊN'!BW54</f>
        <v>3318.6420999999996</v>
      </c>
      <c r="O46" s="95"/>
      <c r="P46" s="137"/>
    </row>
    <row r="47" spans="1:17" outlineLevel="1" x14ac:dyDescent="0.25">
      <c r="A47" s="105"/>
      <c r="B47" s="117" t="s">
        <v>241</v>
      </c>
      <c r="C47" s="118">
        <f>ROUND(C46/C45,1)</f>
        <v>11</v>
      </c>
      <c r="D47" s="118">
        <f t="shared" ref="D47:N47" si="35">ROUND(D46/D45,1)</f>
        <v>7</v>
      </c>
      <c r="E47" s="118">
        <f t="shared" si="35"/>
        <v>10.6</v>
      </c>
      <c r="F47" s="118">
        <f t="shared" si="35"/>
        <v>9.4</v>
      </c>
      <c r="G47" s="118">
        <f t="shared" si="35"/>
        <v>8.6999999999999993</v>
      </c>
      <c r="H47" s="118">
        <f t="shared" si="35"/>
        <v>6.8</v>
      </c>
      <c r="I47" s="118">
        <f t="shared" si="35"/>
        <v>3.6</v>
      </c>
      <c r="J47" s="118">
        <f t="shared" si="35"/>
        <v>4.2</v>
      </c>
      <c r="K47" s="118">
        <f t="shared" si="35"/>
        <v>5.0999999999999996</v>
      </c>
      <c r="L47" s="118">
        <f t="shared" si="35"/>
        <v>7.6</v>
      </c>
      <c r="M47" s="118">
        <f t="shared" si="35"/>
        <v>8.3000000000000007</v>
      </c>
      <c r="N47" s="118">
        <f t="shared" si="35"/>
        <v>5.7</v>
      </c>
      <c r="O47" s="119">
        <f>ROUND(SUM(C47:N47)/(12-COUNTIF(C47:N47,0)),1)</f>
        <v>7.3</v>
      </c>
    </row>
    <row r="71" spans="1:17" ht="18.75" x14ac:dyDescent="0.3">
      <c r="A71" s="82">
        <v>3</v>
      </c>
      <c r="B71" s="82" t="s">
        <v>240</v>
      </c>
    </row>
    <row r="72" spans="1:17" ht="18.75" outlineLevel="1" x14ac:dyDescent="0.3">
      <c r="A72" s="82"/>
      <c r="B72" s="82"/>
      <c r="M72" s="86" t="s">
        <v>229</v>
      </c>
    </row>
    <row r="73" spans="1:17" ht="18.75" outlineLevel="1" x14ac:dyDescent="0.25">
      <c r="A73" s="88"/>
      <c r="B73" s="89"/>
      <c r="C73" s="87">
        <v>1</v>
      </c>
      <c r="D73" s="83">
        <v>2</v>
      </c>
      <c r="E73" s="83">
        <v>3</v>
      </c>
      <c r="F73" s="83">
        <v>4</v>
      </c>
      <c r="G73" s="83">
        <v>5</v>
      </c>
      <c r="H73" s="83">
        <v>6</v>
      </c>
      <c r="I73" s="83">
        <v>7</v>
      </c>
      <c r="J73" s="83">
        <v>8</v>
      </c>
      <c r="K73" s="83">
        <v>9</v>
      </c>
      <c r="L73" s="83">
        <v>10</v>
      </c>
      <c r="M73" s="83">
        <v>11</v>
      </c>
      <c r="N73" s="83">
        <v>12</v>
      </c>
      <c r="O73" s="83" t="s">
        <v>230</v>
      </c>
    </row>
    <row r="74" spans="1:17" outlineLevel="1" x14ac:dyDescent="0.25">
      <c r="A74" s="98"/>
      <c r="B74" s="99" t="s">
        <v>1439</v>
      </c>
      <c r="C74" s="90">
        <f>'02. ĐỊNH BIÊN'!E49</f>
        <v>611</v>
      </c>
      <c r="D74" s="90">
        <f>'02. ĐỊNH BIÊN'!F49</f>
        <v>575</v>
      </c>
      <c r="E74" s="90">
        <f>'02. ĐỊNH BIÊN'!G49</f>
        <v>582</v>
      </c>
      <c r="F74" s="90">
        <f>'02. ĐỊNH BIÊN'!H49</f>
        <v>571</v>
      </c>
      <c r="G74" s="90">
        <f>'02. ĐỊNH BIÊN'!I49</f>
        <v>0</v>
      </c>
      <c r="H74" s="90">
        <f>'02. ĐỊNH BIÊN'!J49</f>
        <v>0</v>
      </c>
      <c r="I74" s="90">
        <f>'02. ĐỊNH BIÊN'!K49</f>
        <v>0</v>
      </c>
      <c r="J74" s="90">
        <f>'02. ĐỊNH BIÊN'!L49</f>
        <v>0</v>
      </c>
      <c r="K74" s="90">
        <f>'02. ĐỊNH BIÊN'!M49</f>
        <v>0</v>
      </c>
      <c r="L74" s="90">
        <f>'02. ĐỊNH BIÊN'!N49</f>
        <v>0</v>
      </c>
      <c r="M74" s="90">
        <f>'02. ĐỊNH BIÊN'!O49</f>
        <v>0</v>
      </c>
      <c r="N74" s="90">
        <f>'02. ĐỊNH BIÊN'!P49</f>
        <v>0</v>
      </c>
      <c r="O74" s="139">
        <f>'02. ĐỊNH BIÊN'!AU49</f>
        <v>626.08333333333337</v>
      </c>
    </row>
    <row r="75" spans="1:17" outlineLevel="1" x14ac:dyDescent="0.25">
      <c r="A75" s="100"/>
      <c r="B75" s="101" t="s">
        <v>1444</v>
      </c>
      <c r="C75" s="91">
        <f>'02. ĐỊNH BIÊN'!E56</f>
        <v>119816.90830757401</v>
      </c>
      <c r="D75" s="91">
        <f>'02. ĐỊNH BIÊN'!F56</f>
        <v>92160.661784600001</v>
      </c>
      <c r="E75" s="91">
        <f>'02. ĐỊNH BIÊN'!G56</f>
        <v>161088.29054943501</v>
      </c>
      <c r="F75" s="91">
        <f>'02. ĐỊNH BIÊN'!H56</f>
        <v>149421.84365967501</v>
      </c>
      <c r="G75" s="91">
        <f>'02. ĐỊNH BIÊN'!I56</f>
        <v>0</v>
      </c>
      <c r="H75" s="91">
        <f>'02. ĐỊNH BIÊN'!J56</f>
        <v>0</v>
      </c>
      <c r="I75" s="91">
        <f>'02. ĐỊNH BIÊN'!K56</f>
        <v>0</v>
      </c>
      <c r="J75" s="91">
        <f>'02. ĐỊNH BIÊN'!L56</f>
        <v>0</v>
      </c>
      <c r="K75" s="91">
        <f>'02. ĐỊNH BIÊN'!M56</f>
        <v>0</v>
      </c>
      <c r="L75" s="91">
        <f>'02. ĐỊNH BIÊN'!N56</f>
        <v>0</v>
      </c>
      <c r="M75" s="91">
        <f>'02. ĐỊNH BIÊN'!O56</f>
        <v>0</v>
      </c>
      <c r="N75" s="91">
        <f>'02. ĐỊNH BIÊN'!P56</f>
        <v>0</v>
      </c>
      <c r="O75" s="140">
        <f>'02. ĐỊNH BIÊN'!AU56</f>
        <v>1448140.3387989246</v>
      </c>
      <c r="P75" s="137"/>
    </row>
    <row r="76" spans="1:17" outlineLevel="1" x14ac:dyDescent="0.25">
      <c r="A76" s="106"/>
      <c r="B76" s="115" t="s">
        <v>1436</v>
      </c>
      <c r="C76" s="138">
        <f>IFERROR(ROUND(C75/C74,1),0)</f>
        <v>196.1</v>
      </c>
      <c r="D76" s="138">
        <f>IFERROR(ROUND(D75/D74,1),0)</f>
        <v>160.30000000000001</v>
      </c>
      <c r="E76" s="138">
        <f t="shared" ref="E76:N76" si="36">IFERROR(ROUND(E75/E74,1),0)</f>
        <v>276.8</v>
      </c>
      <c r="F76" s="138">
        <f t="shared" si="36"/>
        <v>261.7</v>
      </c>
      <c r="G76" s="138">
        <f t="shared" si="36"/>
        <v>0</v>
      </c>
      <c r="H76" s="138">
        <f t="shared" si="36"/>
        <v>0</v>
      </c>
      <c r="I76" s="138">
        <f t="shared" si="36"/>
        <v>0</v>
      </c>
      <c r="J76" s="138">
        <f t="shared" si="36"/>
        <v>0</v>
      </c>
      <c r="K76" s="138">
        <f t="shared" si="36"/>
        <v>0</v>
      </c>
      <c r="L76" s="138">
        <f t="shared" si="36"/>
        <v>0</v>
      </c>
      <c r="M76" s="138">
        <f t="shared" si="36"/>
        <v>0</v>
      </c>
      <c r="N76" s="138">
        <f t="shared" si="36"/>
        <v>0</v>
      </c>
      <c r="O76" s="138">
        <f>ROUND(SUM(C76:N76)/(12-COUNTIF(C76:N76,0)),1)</f>
        <v>223.7</v>
      </c>
    </row>
    <row r="77" spans="1:17" outlineLevel="1" x14ac:dyDescent="0.25">
      <c r="A77" s="107"/>
      <c r="B77" s="108" t="s">
        <v>1441</v>
      </c>
      <c r="C77" s="109">
        <f>'02. ĐỊNH BIÊN'!V49</f>
        <v>661</v>
      </c>
      <c r="D77" s="109">
        <f>'02. ĐỊNH BIÊN'!W49</f>
        <v>650</v>
      </c>
      <c r="E77" s="109">
        <f>'02. ĐỊNH BIÊN'!X49</f>
        <v>659</v>
      </c>
      <c r="F77" s="109">
        <f>'02. ĐỊNH BIÊN'!Y49</f>
        <v>664</v>
      </c>
      <c r="G77" s="109">
        <f>'02. ĐỊNH BIÊN'!Z49</f>
        <v>670</v>
      </c>
      <c r="H77" s="109">
        <f>'02. ĐỊNH BIÊN'!AA49</f>
        <v>674</v>
      </c>
      <c r="I77" s="109">
        <f>'02. ĐỊNH BIÊN'!AB49</f>
        <v>674</v>
      </c>
      <c r="J77" s="109">
        <f>'02. ĐỊNH BIÊN'!AC49</f>
        <v>674</v>
      </c>
      <c r="K77" s="109">
        <f>'02. ĐỊNH BIÊN'!AD49</f>
        <v>675</v>
      </c>
      <c r="L77" s="109">
        <f>'02. ĐỊNH BIÊN'!AE49</f>
        <v>675</v>
      </c>
      <c r="M77" s="109">
        <f>'02. ĐỊNH BIÊN'!AF49</f>
        <v>675</v>
      </c>
      <c r="N77" s="109">
        <f>'02. ĐỊNH BIÊN'!AG49</f>
        <v>675</v>
      </c>
      <c r="O77" s="110"/>
    </row>
    <row r="78" spans="1:17" outlineLevel="1" x14ac:dyDescent="0.25">
      <c r="A78" s="102"/>
      <c r="B78" s="103" t="s">
        <v>1445</v>
      </c>
      <c r="C78" s="93">
        <f>'02. ĐỊNH BIÊN'!V56</f>
        <v>127180.58981519013</v>
      </c>
      <c r="D78" s="93">
        <f>'02. ĐỊNH BIÊN'!W56</f>
        <v>125404.29985620012</v>
      </c>
      <c r="E78" s="93">
        <f>'02. ĐỊNH BIÊN'!X56</f>
        <v>138512.60050616058</v>
      </c>
      <c r="F78" s="93">
        <f>'02. ĐỊNH BIÊN'!Y56</f>
        <v>129526.53519693512</v>
      </c>
      <c r="G78" s="93">
        <f>'02. ĐỊNH BIÊN'!Z56</f>
        <v>137579.94023807041</v>
      </c>
      <c r="H78" s="93">
        <f>'02. ĐỊNH BIÊN'!AA56</f>
        <v>138246.56297257697</v>
      </c>
      <c r="I78" s="93">
        <f>'02. ĐỊNH BIÊN'!AB56</f>
        <v>137701.28648674788</v>
      </c>
      <c r="J78" s="93">
        <f>'02. ĐỊNH BIÊN'!AC56</f>
        <v>133733.95761693252</v>
      </c>
      <c r="K78" s="93">
        <f>'02. ĐỊNH BIÊN'!AD56</f>
        <v>139824.28564107046</v>
      </c>
      <c r="L78" s="93">
        <f>'02. ĐỊNH BIÊN'!AE56</f>
        <v>130375.29734195152</v>
      </c>
      <c r="M78" s="93">
        <f>'02. ĐỊNH BIÊN'!AF56</f>
        <v>138054.08643761481</v>
      </c>
      <c r="N78" s="93">
        <f>'02. ĐỊNH BIÊN'!AG56</f>
        <v>139423.1898449593</v>
      </c>
      <c r="O78" s="92"/>
      <c r="P78" s="137"/>
      <c r="Q78" s="97"/>
    </row>
    <row r="79" spans="1:17" outlineLevel="1" x14ac:dyDescent="0.25">
      <c r="A79" s="111"/>
      <c r="B79" s="116" t="s">
        <v>1443</v>
      </c>
      <c r="C79" s="143">
        <f>ROUND(C78/C77,1)</f>
        <v>192.4</v>
      </c>
      <c r="D79" s="143">
        <f t="shared" ref="D79:N79" si="37">ROUND(D78/D77,1)</f>
        <v>192.9</v>
      </c>
      <c r="E79" s="143">
        <f t="shared" si="37"/>
        <v>210.2</v>
      </c>
      <c r="F79" s="143">
        <f t="shared" si="37"/>
        <v>195.1</v>
      </c>
      <c r="G79" s="143">
        <f t="shared" si="37"/>
        <v>205.3</v>
      </c>
      <c r="H79" s="143">
        <f t="shared" si="37"/>
        <v>205.1</v>
      </c>
      <c r="I79" s="143">
        <f t="shared" si="37"/>
        <v>204.3</v>
      </c>
      <c r="J79" s="143">
        <f t="shared" si="37"/>
        <v>198.4</v>
      </c>
      <c r="K79" s="143">
        <f t="shared" si="37"/>
        <v>207.1</v>
      </c>
      <c r="L79" s="143">
        <f t="shared" si="37"/>
        <v>193.1</v>
      </c>
      <c r="M79" s="143">
        <f t="shared" si="37"/>
        <v>204.5</v>
      </c>
      <c r="N79" s="143">
        <f t="shared" si="37"/>
        <v>206.6</v>
      </c>
      <c r="O79" s="145">
        <f>ROUND(SUM(C79:N79)/(12-COUNTIF(C79:N79,0)),1)</f>
        <v>201.3</v>
      </c>
    </row>
    <row r="80" spans="1:17" outlineLevel="1" x14ac:dyDescent="0.25">
      <c r="A80" s="413"/>
      <c r="B80" s="414" t="s">
        <v>231</v>
      </c>
      <c r="C80" s="413">
        <f>'02. ĐỊNH BIÊN'!AI49</f>
        <v>569</v>
      </c>
      <c r="D80" s="413">
        <f>'02. ĐỊNH BIÊN'!AJ49</f>
        <v>585</v>
      </c>
      <c r="E80" s="413">
        <f>'02. ĐỊNH BIÊN'!AK49</f>
        <v>602</v>
      </c>
      <c r="F80" s="413">
        <f>'02. ĐỊNH BIÊN'!AL49</f>
        <v>614</v>
      </c>
      <c r="G80" s="413">
        <f>'02. ĐỊNH BIÊN'!AM49</f>
        <v>609</v>
      </c>
      <c r="H80" s="413">
        <f>'02. ĐỊNH BIÊN'!AN49</f>
        <v>621</v>
      </c>
      <c r="I80" s="413">
        <f>'02. ĐỊNH BIÊN'!AO49</f>
        <v>635</v>
      </c>
      <c r="J80" s="413">
        <f>'02. ĐỊNH BIÊN'!AP49</f>
        <v>663</v>
      </c>
      <c r="K80" s="413">
        <f>'02. ĐỊNH BIÊN'!AQ49</f>
        <v>682</v>
      </c>
      <c r="L80" s="413">
        <f>'02. ĐỊNH BIÊN'!AR49</f>
        <v>660</v>
      </c>
      <c r="M80" s="413">
        <f>'02. ĐỊNH BIÊN'!AS49</f>
        <v>644</v>
      </c>
      <c r="N80" s="413">
        <f>'02. ĐỊNH BIÊN'!AT49</f>
        <v>629</v>
      </c>
      <c r="O80" s="422"/>
    </row>
    <row r="81" spans="1:16" outlineLevel="1" x14ac:dyDescent="0.25">
      <c r="A81" s="415"/>
      <c r="B81" s="416" t="s">
        <v>238</v>
      </c>
      <c r="C81" s="417">
        <f>'02. ĐỊNH BIÊN'!AI56</f>
        <v>108225.11736400001</v>
      </c>
      <c r="D81" s="417">
        <f>'02. ĐỊNH BIÊN'!AJ56</f>
        <v>174797.791610074</v>
      </c>
      <c r="E81" s="417">
        <f>'02. ĐỊNH BIÊN'!AK56</f>
        <v>142719.91297072801</v>
      </c>
      <c r="F81" s="417">
        <f>'02. ĐỊNH BIÊN'!AL56</f>
        <v>120286.664580667</v>
      </c>
      <c r="G81" s="417">
        <f>'02. ĐỊNH BIÊN'!AM56</f>
        <v>145453.82019196299</v>
      </c>
      <c r="H81" s="417">
        <f>'02. ĐỊNH BIÊN'!AN56</f>
        <v>112817.30783000001</v>
      </c>
      <c r="I81" s="417">
        <f>'02. ĐỊNH BIÊN'!AO56</f>
        <v>134508.07455689501</v>
      </c>
      <c r="J81" s="417">
        <f>'02. ĐỊNH BIÊN'!AP56</f>
        <v>159890.34929985201</v>
      </c>
      <c r="K81" s="417">
        <f>'02. ĐỊNH BIÊN'!AQ56</f>
        <v>75560.223210300799</v>
      </c>
      <c r="L81" s="417">
        <f>'02. ĐỊNH BIÊN'!AR56</f>
        <v>94420.6656258859</v>
      </c>
      <c r="M81" s="417">
        <f>'02. ĐỊNH BIÊN'!AS56</f>
        <v>75896.927019632902</v>
      </c>
      <c r="N81" s="417">
        <f>'02. ĐỊNH BIÊN'!AT56</f>
        <v>103563.484538926</v>
      </c>
      <c r="O81" s="423"/>
      <c r="P81" s="137"/>
    </row>
    <row r="82" spans="1:16" outlineLevel="1" x14ac:dyDescent="0.25">
      <c r="A82" s="418"/>
      <c r="B82" s="419" t="s">
        <v>213</v>
      </c>
      <c r="C82" s="424">
        <f>ROUND(C81/C80,1)</f>
        <v>190.2</v>
      </c>
      <c r="D82" s="424">
        <f t="shared" ref="D82:N82" si="38">ROUND(D81/D80,1)</f>
        <v>298.8</v>
      </c>
      <c r="E82" s="424">
        <f t="shared" si="38"/>
        <v>237.1</v>
      </c>
      <c r="F82" s="424">
        <f t="shared" si="38"/>
        <v>195.9</v>
      </c>
      <c r="G82" s="424">
        <f t="shared" si="38"/>
        <v>238.8</v>
      </c>
      <c r="H82" s="424">
        <f t="shared" si="38"/>
        <v>181.7</v>
      </c>
      <c r="I82" s="424">
        <f t="shared" si="38"/>
        <v>211.8</v>
      </c>
      <c r="J82" s="424">
        <f t="shared" si="38"/>
        <v>241.2</v>
      </c>
      <c r="K82" s="424">
        <f t="shared" si="38"/>
        <v>110.8</v>
      </c>
      <c r="L82" s="424">
        <f t="shared" si="38"/>
        <v>143.1</v>
      </c>
      <c r="M82" s="424">
        <f t="shared" si="38"/>
        <v>117.9</v>
      </c>
      <c r="N82" s="424">
        <f t="shared" si="38"/>
        <v>164.6</v>
      </c>
      <c r="O82" s="424">
        <f>ROUND(SUM(C82:N82)/(12-COUNTIF(C82:N82,0)),1)</f>
        <v>194.3</v>
      </c>
      <c r="P82" s="129"/>
    </row>
    <row r="83" spans="1:16" outlineLevel="1" x14ac:dyDescent="0.25">
      <c r="A83" s="113"/>
      <c r="B83" s="114" t="s">
        <v>233</v>
      </c>
      <c r="C83" s="113">
        <f>'02. ĐỊNH BIÊN'!BL49</f>
        <v>431</v>
      </c>
      <c r="D83" s="113">
        <f>'02. ĐỊNH BIÊN'!BM49</f>
        <v>420</v>
      </c>
      <c r="E83" s="113">
        <f>'02. ĐỊNH BIÊN'!BN49</f>
        <v>461</v>
      </c>
      <c r="F83" s="113">
        <f>'02. ĐỊNH BIÊN'!BO49</f>
        <v>483</v>
      </c>
      <c r="G83" s="113">
        <f>'02. ĐỊNH BIÊN'!BP49</f>
        <v>507</v>
      </c>
      <c r="H83" s="113">
        <f>'02. ĐỊNH BIÊN'!BQ49</f>
        <v>515</v>
      </c>
      <c r="I83" s="113">
        <f>'02. ĐỊNH BIÊN'!BR49</f>
        <v>520</v>
      </c>
      <c r="J83" s="113">
        <f>'02. ĐỊNH BIÊN'!BS49</f>
        <v>518</v>
      </c>
      <c r="K83" s="113">
        <f>'02. ĐỊNH BIÊN'!BT49</f>
        <v>551</v>
      </c>
      <c r="L83" s="113">
        <f>'02. ĐỊNH BIÊN'!BU49</f>
        <v>562</v>
      </c>
      <c r="M83" s="113">
        <f>'02. ĐỊNH BIÊN'!BV49</f>
        <v>575</v>
      </c>
      <c r="N83" s="113">
        <f>'02. ĐỊNH BIÊN'!BW49</f>
        <v>582</v>
      </c>
      <c r="O83" s="141"/>
    </row>
    <row r="84" spans="1:16" outlineLevel="1" x14ac:dyDescent="0.25">
      <c r="A84" s="95"/>
      <c r="B84" s="104" t="s">
        <v>239</v>
      </c>
      <c r="C84" s="96">
        <f>'02. ĐỊNH BIÊN'!BL56</f>
        <v>64428.716101999999</v>
      </c>
      <c r="D84" s="96">
        <f>'02. ĐỊNH BIÊN'!BM56</f>
        <v>63066.335440000003</v>
      </c>
      <c r="E84" s="96">
        <f>'02. ĐỊNH BIÊN'!BN56</f>
        <v>88381.305485670004</v>
      </c>
      <c r="F84" s="96">
        <f>'02. ĐỊNH BIÊN'!BO56</f>
        <v>93745.315533200002</v>
      </c>
      <c r="G84" s="96">
        <f>'02. ĐỊNH BIÊN'!BP56</f>
        <v>96472.135009000005</v>
      </c>
      <c r="H84" s="96">
        <f>'02. ĐỊNH BIÊN'!BQ56</f>
        <v>56643.561715518517</v>
      </c>
      <c r="I84" s="96">
        <f>'02. ĐỊNH BIÊN'!BR56</f>
        <v>51895.643643000003</v>
      </c>
      <c r="J84" s="96">
        <f>'02. ĐỊNH BIÊN'!BS56</f>
        <v>138793.51485941114</v>
      </c>
      <c r="K84" s="96">
        <f>'02. ĐỊNH BIÊN'!BT56</f>
        <v>137548.13701348146</v>
      </c>
      <c r="L84" s="96">
        <f>'02. ĐỊNH BIÊN'!BU56</f>
        <v>106136.13591851853</v>
      </c>
      <c r="M84" s="96">
        <f>'02. ĐỊNH BIÊN'!BV56</f>
        <v>65046.447024370369</v>
      </c>
      <c r="N84" s="96">
        <f>'02. ĐỊNH BIÊN'!BW56</f>
        <v>93604.423083999995</v>
      </c>
      <c r="O84" s="142"/>
      <c r="P84" s="137"/>
    </row>
    <row r="85" spans="1:16" outlineLevel="1" x14ac:dyDescent="0.25">
      <c r="A85" s="105"/>
      <c r="B85" s="117" t="s">
        <v>241</v>
      </c>
      <c r="C85" s="144">
        <f>ROUND(C84/C83,1)</f>
        <v>149.5</v>
      </c>
      <c r="D85" s="144">
        <f t="shared" ref="D85:N85" si="39">ROUND(D84/D83,1)</f>
        <v>150.19999999999999</v>
      </c>
      <c r="E85" s="144">
        <f t="shared" si="39"/>
        <v>191.7</v>
      </c>
      <c r="F85" s="144">
        <f t="shared" si="39"/>
        <v>194.1</v>
      </c>
      <c r="G85" s="144">
        <f t="shared" si="39"/>
        <v>190.3</v>
      </c>
      <c r="H85" s="144">
        <f t="shared" si="39"/>
        <v>110</v>
      </c>
      <c r="I85" s="144">
        <f t="shared" si="39"/>
        <v>99.8</v>
      </c>
      <c r="J85" s="144">
        <f t="shared" si="39"/>
        <v>267.89999999999998</v>
      </c>
      <c r="K85" s="144">
        <f t="shared" si="39"/>
        <v>249.6</v>
      </c>
      <c r="L85" s="144">
        <f t="shared" si="39"/>
        <v>188.9</v>
      </c>
      <c r="M85" s="144">
        <f t="shared" si="39"/>
        <v>113.1</v>
      </c>
      <c r="N85" s="144">
        <f t="shared" si="39"/>
        <v>160.80000000000001</v>
      </c>
      <c r="O85" s="144">
        <f>ROUND(SUM(C85:N85)/(12-COUNTIF(C85:N85,0)),1)</f>
        <v>172.2</v>
      </c>
      <c r="P85" s="129"/>
    </row>
  </sheetData>
  <hyperlinks>
    <hyperlink ref="A1" location="'00. DM'!A1" display="00. DM" xr:uid="{B12F1123-1749-44E0-A428-E04235170DF5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6723-C450-4AA1-911A-DF97524A6EB3}">
  <sheetPr>
    <tabColor rgb="FF00B0F0"/>
  </sheetPr>
  <dimension ref="A1:R20"/>
  <sheetViews>
    <sheetView tabSelected="1" zoomScale="115" zoomScaleNormal="115" workbookViewId="0">
      <pane ySplit="5" topLeftCell="A6" activePane="bottomLeft" state="frozen"/>
      <selection activeCell="Q84" sqref="Q84"/>
      <selection pane="bottomLeft" activeCell="F30" sqref="F30"/>
    </sheetView>
  </sheetViews>
  <sheetFormatPr defaultRowHeight="15" x14ac:dyDescent="0.25"/>
  <cols>
    <col min="1" max="1" width="9.7109375" customWidth="1"/>
    <col min="2" max="3" width="15.28515625" customWidth="1"/>
    <col min="4" max="4" width="15.7109375" customWidth="1"/>
    <col min="5" max="5" width="16.42578125" customWidth="1"/>
    <col min="6" max="6" width="15.7109375" customWidth="1"/>
    <col min="7" max="7" width="16.42578125" customWidth="1"/>
    <col min="8" max="8" width="1.42578125" customWidth="1"/>
    <col min="9" max="9" width="10" hidden="1" customWidth="1"/>
    <col min="10" max="10" width="8.7109375" hidden="1" customWidth="1"/>
    <col min="11" max="11" width="1" hidden="1" customWidth="1"/>
    <col min="12" max="13" width="8.7109375" hidden="1" customWidth="1"/>
    <col min="14" max="14" width="2" customWidth="1"/>
    <col min="15" max="15" width="10" customWidth="1"/>
    <col min="16" max="16" width="8.7109375" customWidth="1"/>
  </cols>
  <sheetData>
    <row r="1" spans="1:18" ht="21" x14ac:dyDescent="0.35">
      <c r="A1" s="165" t="s">
        <v>254</v>
      </c>
      <c r="B1" s="124" t="s">
        <v>237</v>
      </c>
    </row>
    <row r="2" spans="1:18" x14ac:dyDescent="0.25">
      <c r="B2" s="166"/>
      <c r="C2" s="166"/>
    </row>
    <row r="3" spans="1:18" ht="9" customHeight="1" x14ac:dyDescent="0.25">
      <c r="A3" s="78"/>
      <c r="B3" s="78"/>
      <c r="C3" s="78"/>
    </row>
    <row r="4" spans="1:18" x14ac:dyDescent="0.25">
      <c r="A4" s="459" t="s">
        <v>235</v>
      </c>
      <c r="B4" s="461">
        <v>2024</v>
      </c>
      <c r="C4" s="462"/>
      <c r="D4" s="457">
        <v>2025</v>
      </c>
      <c r="E4" s="458"/>
      <c r="F4" s="455">
        <v>2026</v>
      </c>
      <c r="G4" s="456"/>
      <c r="I4" s="457" t="s">
        <v>812</v>
      </c>
      <c r="J4" s="458"/>
      <c r="L4" s="457" t="s">
        <v>1292</v>
      </c>
      <c r="M4" s="458"/>
      <c r="O4" s="455" t="s">
        <v>1661</v>
      </c>
      <c r="P4" s="456"/>
      <c r="Q4" s="455" t="s">
        <v>1446</v>
      </c>
      <c r="R4" s="456"/>
    </row>
    <row r="5" spans="1:18" x14ac:dyDescent="0.25">
      <c r="A5" s="460"/>
      <c r="B5" s="127" t="s">
        <v>236</v>
      </c>
      <c r="C5" s="127" t="s">
        <v>183</v>
      </c>
      <c r="D5" s="130" t="s">
        <v>236</v>
      </c>
      <c r="E5" s="130" t="s">
        <v>183</v>
      </c>
      <c r="F5" s="425" t="s">
        <v>236</v>
      </c>
      <c r="G5" s="425" t="s">
        <v>183</v>
      </c>
      <c r="I5" s="130" t="s">
        <v>236</v>
      </c>
      <c r="J5" s="130" t="s">
        <v>183</v>
      </c>
      <c r="L5" s="130" t="s">
        <v>236</v>
      </c>
      <c r="M5" s="130"/>
      <c r="O5" s="425" t="s">
        <v>236</v>
      </c>
      <c r="P5" s="425" t="s">
        <v>183</v>
      </c>
      <c r="Q5" s="425" t="s">
        <v>236</v>
      </c>
      <c r="R5" s="425"/>
    </row>
    <row r="6" spans="1:18" x14ac:dyDescent="0.25">
      <c r="A6" s="120">
        <v>1</v>
      </c>
      <c r="B6" s="72">
        <v>190750317</v>
      </c>
      <c r="C6" s="72"/>
      <c r="D6" s="72">
        <f>198670833.333333+12500000</f>
        <v>211170833.33333299</v>
      </c>
      <c r="E6" s="72">
        <v>83314193</v>
      </c>
      <c r="F6" s="72">
        <v>72308989</v>
      </c>
      <c r="G6" s="72">
        <v>84410968</v>
      </c>
      <c r="I6" s="72">
        <v>30</v>
      </c>
      <c r="J6" s="72">
        <v>9</v>
      </c>
      <c r="L6" s="72">
        <f>409.42*12+26*12</f>
        <v>5225.04</v>
      </c>
      <c r="M6" s="72"/>
      <c r="O6" s="72"/>
      <c r="P6" s="72">
        <v>9</v>
      </c>
      <c r="Q6" s="72">
        <v>1554</v>
      </c>
      <c r="R6" s="72"/>
    </row>
    <row r="7" spans="1:18" x14ac:dyDescent="0.25">
      <c r="A7" s="121">
        <v>2</v>
      </c>
      <c r="B7" s="73">
        <v>74412404</v>
      </c>
      <c r="C7" s="73"/>
      <c r="D7" s="73">
        <v>99025000</v>
      </c>
      <c r="E7" s="73">
        <v>75016430</v>
      </c>
      <c r="F7" s="73">
        <v>65553003</v>
      </c>
      <c r="G7" s="73">
        <v>97732143</v>
      </c>
      <c r="I7" s="73">
        <v>34</v>
      </c>
      <c r="J7" s="73">
        <v>8</v>
      </c>
      <c r="L7" s="73">
        <f>2433.96+120</f>
        <v>2553.96</v>
      </c>
      <c r="M7" s="73"/>
      <c r="O7" s="73"/>
      <c r="P7" s="73">
        <v>9</v>
      </c>
      <c r="Q7" s="73">
        <v>1175</v>
      </c>
      <c r="R7" s="73"/>
    </row>
    <row r="8" spans="1:18" x14ac:dyDescent="0.25">
      <c r="A8" s="121">
        <v>3</v>
      </c>
      <c r="B8" s="73">
        <v>17048136</v>
      </c>
      <c r="C8" s="73">
        <v>58185484</v>
      </c>
      <c r="D8" s="73">
        <f>93781250+1500000+2000000</f>
        <v>97281250</v>
      </c>
      <c r="E8" s="73">
        <v>74000000</v>
      </c>
      <c r="F8" s="73">
        <v>330029848</v>
      </c>
      <c r="G8" s="73">
        <v>81758065</v>
      </c>
      <c r="I8" s="73">
        <v>17</v>
      </c>
      <c r="J8" s="73">
        <v>8</v>
      </c>
      <c r="L8" s="73">
        <v>2412.48</v>
      </c>
      <c r="M8" s="73"/>
      <c r="O8" s="73"/>
      <c r="P8" s="73">
        <v>9</v>
      </c>
      <c r="Q8" s="73">
        <v>6546.5</v>
      </c>
      <c r="R8" s="73"/>
    </row>
    <row r="9" spans="1:18" x14ac:dyDescent="0.25">
      <c r="A9" s="121">
        <v>4</v>
      </c>
      <c r="B9" s="73">
        <v>115979525</v>
      </c>
      <c r="C9" s="73">
        <v>69793333</v>
      </c>
      <c r="D9" s="73">
        <v>88670833.333333328</v>
      </c>
      <c r="E9" s="73">
        <v>86340000</v>
      </c>
      <c r="F9" s="73">
        <v>525866240</v>
      </c>
      <c r="G9" s="73">
        <v>80275000</v>
      </c>
      <c r="I9" s="73">
        <v>12</v>
      </c>
      <c r="J9" s="73">
        <v>9</v>
      </c>
      <c r="L9" s="73">
        <v>2277</v>
      </c>
      <c r="M9" s="73"/>
      <c r="O9" s="73"/>
      <c r="P9" s="73">
        <v>9</v>
      </c>
      <c r="Q9" s="73">
        <f>1364+564+3370+1490+4497</f>
        <v>11285</v>
      </c>
      <c r="R9" s="73"/>
    </row>
    <row r="10" spans="1:18" x14ac:dyDescent="0.25">
      <c r="A10" s="121">
        <v>5</v>
      </c>
      <c r="B10" s="73">
        <v>47389706</v>
      </c>
      <c r="C10" s="73">
        <v>66981291</v>
      </c>
      <c r="D10" s="73">
        <f>66123977+1650000</f>
        <v>67773977</v>
      </c>
      <c r="E10" s="73">
        <v>84884516</v>
      </c>
      <c r="F10" s="73"/>
      <c r="G10" s="73"/>
      <c r="I10" s="73">
        <v>17</v>
      </c>
      <c r="J10" s="73">
        <v>9</v>
      </c>
      <c r="L10" s="73">
        <f>1323+332</f>
        <v>1655</v>
      </c>
      <c r="M10" s="73"/>
      <c r="O10" s="73"/>
      <c r="P10" s="73"/>
      <c r="Q10" s="73"/>
      <c r="R10" s="73"/>
    </row>
    <row r="11" spans="1:18" x14ac:dyDescent="0.25">
      <c r="A11" s="121">
        <v>6</v>
      </c>
      <c r="B11" s="73">
        <v>49846677</v>
      </c>
      <c r="C11" s="73">
        <v>64750000</v>
      </c>
      <c r="D11" s="73">
        <f>160868884+333355000+39371667</f>
        <v>533595551</v>
      </c>
      <c r="E11" s="73">
        <v>83250000</v>
      </c>
      <c r="F11" s="73"/>
      <c r="G11" s="73"/>
      <c r="I11" s="73">
        <v>88</v>
      </c>
      <c r="J11" s="73">
        <v>9</v>
      </c>
      <c r="L11" s="73">
        <v>3024</v>
      </c>
      <c r="M11" s="73"/>
      <c r="O11" s="73"/>
      <c r="P11" s="73"/>
      <c r="Q11" s="73"/>
      <c r="R11" s="73"/>
    </row>
    <row r="12" spans="1:18" x14ac:dyDescent="0.25">
      <c r="A12" s="121">
        <v>7</v>
      </c>
      <c r="B12" s="73">
        <v>51420833</v>
      </c>
      <c r="C12" s="73">
        <v>64750000</v>
      </c>
      <c r="D12" s="73">
        <f>820219118</f>
        <v>820219118</v>
      </c>
      <c r="E12" s="73">
        <v>83250000</v>
      </c>
      <c r="F12" s="73"/>
      <c r="G12" s="73"/>
      <c r="I12" s="73">
        <f>44+72</f>
        <v>116</v>
      </c>
      <c r="J12" s="73">
        <v>9</v>
      </c>
      <c r="L12" s="73">
        <f>11217.5+5128.5</f>
        <v>16346</v>
      </c>
      <c r="M12" s="73"/>
      <c r="O12" s="73"/>
      <c r="P12" s="73"/>
      <c r="Q12" s="73"/>
      <c r="R12" s="73"/>
    </row>
    <row r="13" spans="1:18" x14ac:dyDescent="0.25">
      <c r="A13" s="121">
        <v>8</v>
      </c>
      <c r="B13" s="73">
        <v>9285000</v>
      </c>
      <c r="C13" s="73">
        <v>64750000</v>
      </c>
      <c r="D13" s="73">
        <v>513263988</v>
      </c>
      <c r="E13" s="73">
        <v>96820000</v>
      </c>
      <c r="F13" s="73"/>
      <c r="G13" s="73"/>
      <c r="I13" s="73">
        <f>47+32</f>
        <v>79</v>
      </c>
      <c r="J13" s="73">
        <v>10</v>
      </c>
      <c r="L13" s="73">
        <f>5873+4403</f>
        <v>10276</v>
      </c>
      <c r="M13" s="73"/>
      <c r="O13" s="73"/>
      <c r="P13" s="73"/>
      <c r="Q13" s="73"/>
      <c r="R13" s="73"/>
    </row>
    <row r="14" spans="1:18" x14ac:dyDescent="0.25">
      <c r="A14" s="121">
        <v>9</v>
      </c>
      <c r="B14" s="73">
        <v>5710000</v>
      </c>
      <c r="C14" s="73">
        <v>70513333</v>
      </c>
      <c r="D14" s="73">
        <v>363107914</v>
      </c>
      <c r="E14" s="73">
        <v>96413333</v>
      </c>
      <c r="F14" s="73"/>
      <c r="G14" s="73"/>
      <c r="I14" s="73">
        <f>41+28</f>
        <v>69</v>
      </c>
      <c r="J14" s="73">
        <v>10</v>
      </c>
      <c r="L14" s="283">
        <f>3408+3703</f>
        <v>7111</v>
      </c>
      <c r="M14" s="73"/>
      <c r="O14" s="283"/>
      <c r="P14" s="73"/>
      <c r="Q14" s="283"/>
      <c r="R14" s="73"/>
    </row>
    <row r="15" spans="1:18" x14ac:dyDescent="0.25">
      <c r="A15" s="121">
        <v>10</v>
      </c>
      <c r="B15" s="73">
        <v>71270000</v>
      </c>
      <c r="C15" s="73">
        <v>64451613</v>
      </c>
      <c r="D15" s="73">
        <v>223990898</v>
      </c>
      <c r="E15" s="73">
        <v>92500000</v>
      </c>
      <c r="F15" s="73"/>
      <c r="G15" s="73"/>
      <c r="I15" s="280">
        <f>11+15</f>
        <v>26</v>
      </c>
      <c r="J15" s="73">
        <v>10</v>
      </c>
      <c r="L15" s="283">
        <f>2807+1904</f>
        <v>4711</v>
      </c>
      <c r="M15" s="73"/>
      <c r="O15" s="283"/>
      <c r="P15" s="73"/>
      <c r="Q15" s="283"/>
      <c r="R15" s="73"/>
    </row>
    <row r="16" spans="1:18" x14ac:dyDescent="0.25">
      <c r="A16" s="121">
        <v>11</v>
      </c>
      <c r="B16" s="73">
        <v>259933333</v>
      </c>
      <c r="C16" s="73">
        <v>66291667</v>
      </c>
      <c r="D16" s="73">
        <v>83728953</v>
      </c>
      <c r="E16" s="73">
        <v>90958333</v>
      </c>
      <c r="F16" s="73"/>
      <c r="G16" s="73"/>
      <c r="I16" s="73">
        <v>8</v>
      </c>
      <c r="J16" s="73">
        <v>10</v>
      </c>
      <c r="L16" s="283">
        <v>1880.5</v>
      </c>
      <c r="M16" s="73"/>
      <c r="O16" s="73"/>
      <c r="P16" s="73"/>
      <c r="Q16" s="283"/>
      <c r="R16" s="73"/>
    </row>
    <row r="17" spans="1:18" x14ac:dyDescent="0.25">
      <c r="A17" s="122">
        <v>12</v>
      </c>
      <c r="B17" s="125">
        <f>273819333+1793750</f>
        <v>275613083</v>
      </c>
      <c r="C17" s="125">
        <v>74000000</v>
      </c>
      <c r="D17" s="125">
        <v>80272366</v>
      </c>
      <c r="E17" s="125">
        <v>91306452</v>
      </c>
      <c r="F17" s="125"/>
      <c r="G17" s="125"/>
      <c r="I17" s="125">
        <v>9</v>
      </c>
      <c r="J17" s="125">
        <v>10</v>
      </c>
      <c r="L17" s="125">
        <v>1644</v>
      </c>
      <c r="M17" s="125"/>
      <c r="O17" s="125"/>
      <c r="P17" s="125"/>
      <c r="Q17" s="125"/>
      <c r="R17" s="125"/>
    </row>
    <row r="18" spans="1:18" x14ac:dyDescent="0.25">
      <c r="A18" s="123" t="s">
        <v>17</v>
      </c>
      <c r="B18" s="126">
        <f t="shared" ref="B18:G18" si="0">SUM(B6:B17)</f>
        <v>1168659014</v>
      </c>
      <c r="C18" s="126">
        <f t="shared" si="0"/>
        <v>664466721</v>
      </c>
      <c r="D18" s="126">
        <f t="shared" si="0"/>
        <v>3182100681.666666</v>
      </c>
      <c r="E18" s="126">
        <f t="shared" si="0"/>
        <v>1038053257</v>
      </c>
      <c r="F18" s="126">
        <f t="shared" si="0"/>
        <v>993758080</v>
      </c>
      <c r="G18" s="126">
        <f t="shared" si="0"/>
        <v>344176176</v>
      </c>
      <c r="I18" s="126">
        <f>SUM(I6:I17)</f>
        <v>505</v>
      </c>
      <c r="J18" s="126">
        <f>SUM(J6:J17)</f>
        <v>111</v>
      </c>
      <c r="L18" s="126">
        <f>SUM(L6:L17)</f>
        <v>59115.979999999996</v>
      </c>
      <c r="M18" s="126">
        <f>SUM(M6:M17)</f>
        <v>0</v>
      </c>
      <c r="O18" s="126">
        <f>SUM(O6:O17)</f>
        <v>0</v>
      </c>
      <c r="P18" s="126">
        <f>SUM(P6:P17)</f>
        <v>36</v>
      </c>
      <c r="Q18" s="126">
        <f>SUM(Q6:Q17)</f>
        <v>20560.5</v>
      </c>
      <c r="R18" s="126">
        <f>SUM(R6:R17)</f>
        <v>0</v>
      </c>
    </row>
    <row r="19" spans="1:18" x14ac:dyDescent="0.25">
      <c r="A19" s="463" t="s">
        <v>2369</v>
      </c>
      <c r="B19" s="464">
        <f>B18/12</f>
        <v>97388251.166666672</v>
      </c>
      <c r="C19" s="464">
        <f>C18/COUNTA(C6:C17)</f>
        <v>66446672.100000001</v>
      </c>
      <c r="D19" s="464">
        <f>D18/12</f>
        <v>265175056.80555549</v>
      </c>
      <c r="E19" s="464">
        <f>E18/COUNTA(E6:E17)</f>
        <v>86504438.083333328</v>
      </c>
      <c r="F19" s="464">
        <f>F18/COUNTA(F6:F17)</f>
        <v>248439520</v>
      </c>
      <c r="G19" s="464">
        <f>G18/COUNTA(G6:G17)</f>
        <v>86044044</v>
      </c>
    </row>
    <row r="20" spans="1:18" x14ac:dyDescent="0.25">
      <c r="D20" s="129"/>
      <c r="F20" s="129"/>
    </row>
  </sheetData>
  <mergeCells count="8">
    <mergeCell ref="Q4:R4"/>
    <mergeCell ref="D4:E4"/>
    <mergeCell ref="A4:A5"/>
    <mergeCell ref="B4:C4"/>
    <mergeCell ref="I4:J4"/>
    <mergeCell ref="L4:M4"/>
    <mergeCell ref="F4:G4"/>
    <mergeCell ref="O4:P4"/>
  </mergeCells>
  <hyperlinks>
    <hyperlink ref="A1" location="'00. DM'!A1" display="00. DM" xr:uid="{C7684819-819D-4159-8DC3-2E81A4E2454F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73B4-031D-463F-AC5D-9E68D6E6C15F}">
  <sheetPr>
    <tabColor rgb="FF00B0F0"/>
  </sheetPr>
  <dimension ref="A1:BO37"/>
  <sheetViews>
    <sheetView showGridLines="0" workbookViewId="0">
      <pane xSplit="6" ySplit="5" topLeftCell="AE7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8.7109375" defaultRowHeight="15" outlineLevelRow="1" outlineLevelCol="1" x14ac:dyDescent="0.25"/>
  <cols>
    <col min="1" max="1" width="5" style="305" customWidth="1"/>
    <col min="2" max="2" width="5.28515625" style="305" customWidth="1"/>
    <col min="3" max="3" width="18.5703125" style="305" customWidth="1"/>
    <col min="4" max="4" width="11" style="305" customWidth="1"/>
    <col min="5" max="5" width="12.7109375" style="305" customWidth="1"/>
    <col min="6" max="6" width="22.5703125" style="305" customWidth="1"/>
    <col min="7" max="10" width="8.7109375" style="306" hidden="1" customWidth="1" outlineLevel="1"/>
    <col min="11" max="11" width="10.42578125" style="306" bestFit="1" customWidth="1" collapsed="1"/>
    <col min="12" max="15" width="8.7109375" style="305" hidden="1" customWidth="1" outlineLevel="1"/>
    <col min="16" max="16" width="8.7109375" style="305" collapsed="1"/>
    <col min="17" max="20" width="8.7109375" style="305" hidden="1" customWidth="1" outlineLevel="1"/>
    <col min="21" max="21" width="8.7109375" style="305" collapsed="1"/>
    <col min="22" max="25" width="8.7109375" style="305" hidden="1" customWidth="1" outlineLevel="1"/>
    <col min="26" max="26" width="8.7109375" style="305" collapsed="1"/>
    <col min="27" max="30" width="8.7109375" style="305" hidden="1" customWidth="1" outlineLevel="1"/>
    <col min="31" max="31" width="8.7109375" style="305" collapsed="1"/>
    <col min="32" max="35" width="8.7109375" style="305" hidden="1" customWidth="1" outlineLevel="1"/>
    <col min="36" max="36" width="8.7109375" style="305" collapsed="1"/>
    <col min="37" max="40" width="8.7109375" style="305" hidden="1" customWidth="1" outlineLevel="1"/>
    <col min="41" max="41" width="8.7109375" style="305" collapsed="1"/>
    <col min="42" max="45" width="8.7109375" style="305" hidden="1" customWidth="1" outlineLevel="1"/>
    <col min="46" max="46" width="8.7109375" style="305" collapsed="1"/>
    <col min="47" max="50" width="8.7109375" style="305" hidden="1" customWidth="1" outlineLevel="1"/>
    <col min="51" max="51" width="8.7109375" style="305" collapsed="1"/>
    <col min="52" max="55" width="8.7109375" style="305" hidden="1" customWidth="1" outlineLevel="1"/>
    <col min="56" max="56" width="8.7109375" style="305" collapsed="1"/>
    <col min="57" max="60" width="8.7109375" style="305" hidden="1" customWidth="1" outlineLevel="1"/>
    <col min="61" max="61" width="8.7109375" style="305" collapsed="1"/>
    <col min="62" max="65" width="8.7109375" style="305" hidden="1" customWidth="1" outlineLevel="1"/>
    <col min="66" max="66" width="8.7109375" style="305" collapsed="1"/>
    <col min="67" max="16384" width="8.7109375" style="305"/>
  </cols>
  <sheetData>
    <row r="1" spans="1:67" x14ac:dyDescent="0.25">
      <c r="A1" s="165" t="s">
        <v>254</v>
      </c>
    </row>
    <row r="2" spans="1:67" s="303" customFormat="1" ht="18.75" x14ac:dyDescent="0.3">
      <c r="C2" s="302" t="s">
        <v>1298</v>
      </c>
      <c r="D2" s="302"/>
      <c r="E2" s="302"/>
      <c r="G2" s="304"/>
      <c r="H2" s="304"/>
      <c r="I2" s="304"/>
      <c r="J2" s="304"/>
      <c r="K2" s="304"/>
    </row>
    <row r="3" spans="1:67" x14ac:dyDescent="0.25"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6"/>
      <c r="AP3" s="306"/>
      <c r="AQ3" s="306"/>
      <c r="AR3" s="306"/>
      <c r="AS3" s="306"/>
      <c r="AT3" s="306"/>
      <c r="AU3" s="306"/>
      <c r="AV3" s="306"/>
      <c r="AW3" s="306"/>
      <c r="AX3" s="306"/>
      <c r="AY3" s="306"/>
      <c r="AZ3" s="306"/>
      <c r="BA3" s="306"/>
      <c r="BB3" s="306"/>
      <c r="BC3" s="306"/>
      <c r="BD3" s="306"/>
      <c r="BE3" s="306"/>
      <c r="BF3" s="306"/>
      <c r="BG3" s="306"/>
      <c r="BH3" s="306"/>
      <c r="BI3" s="306"/>
      <c r="BJ3" s="306"/>
      <c r="BK3" s="306"/>
      <c r="BL3" s="306"/>
      <c r="BM3" s="306"/>
      <c r="BN3" s="306"/>
    </row>
    <row r="4" spans="1:67" s="309" customFormat="1" ht="14.25" x14ac:dyDescent="0.2">
      <c r="B4" s="307" t="s">
        <v>14</v>
      </c>
      <c r="C4" s="310" t="s">
        <v>1299</v>
      </c>
      <c r="D4" s="354"/>
      <c r="E4" s="354"/>
      <c r="F4" s="307" t="s">
        <v>235</v>
      </c>
      <c r="G4" s="308" t="s">
        <v>458</v>
      </c>
      <c r="H4" s="308" t="s">
        <v>458</v>
      </c>
      <c r="I4" s="308" t="s">
        <v>458</v>
      </c>
      <c r="J4" s="320" t="s">
        <v>458</v>
      </c>
      <c r="K4" s="328" t="s">
        <v>458</v>
      </c>
      <c r="L4" s="323">
        <v>2</v>
      </c>
      <c r="M4" s="307">
        <v>2</v>
      </c>
      <c r="N4" s="307">
        <v>2</v>
      </c>
      <c r="O4" s="307">
        <v>2</v>
      </c>
      <c r="P4" s="334">
        <v>2</v>
      </c>
      <c r="Q4" s="307">
        <v>3</v>
      </c>
      <c r="R4" s="307">
        <v>3</v>
      </c>
      <c r="S4" s="307">
        <v>3</v>
      </c>
      <c r="T4" s="307">
        <v>3</v>
      </c>
      <c r="U4" s="334">
        <v>3</v>
      </c>
      <c r="V4" s="307">
        <v>4</v>
      </c>
      <c r="W4" s="307">
        <v>4</v>
      </c>
      <c r="X4" s="307">
        <v>4</v>
      </c>
      <c r="Y4" s="307">
        <v>4</v>
      </c>
      <c r="Z4" s="334">
        <v>4</v>
      </c>
      <c r="AA4" s="307">
        <v>5</v>
      </c>
      <c r="AB4" s="307">
        <v>5</v>
      </c>
      <c r="AC4" s="307">
        <v>5</v>
      </c>
      <c r="AD4" s="307">
        <v>5</v>
      </c>
      <c r="AE4" s="334">
        <v>5</v>
      </c>
      <c r="AF4" s="307">
        <v>6</v>
      </c>
      <c r="AG4" s="307">
        <v>6</v>
      </c>
      <c r="AH4" s="307">
        <v>6</v>
      </c>
      <c r="AI4" s="307">
        <v>6</v>
      </c>
      <c r="AJ4" s="334">
        <v>6</v>
      </c>
      <c r="AK4" s="307">
        <v>7</v>
      </c>
      <c r="AL4" s="307">
        <v>7</v>
      </c>
      <c r="AM4" s="307">
        <v>7</v>
      </c>
      <c r="AN4" s="307">
        <v>7</v>
      </c>
      <c r="AO4" s="334">
        <v>7</v>
      </c>
      <c r="AP4" s="307">
        <v>8</v>
      </c>
      <c r="AQ4" s="307">
        <v>8</v>
      </c>
      <c r="AR4" s="307">
        <v>8</v>
      </c>
      <c r="AS4" s="307">
        <v>8</v>
      </c>
      <c r="AT4" s="334">
        <v>8</v>
      </c>
      <c r="AU4" s="307">
        <v>9</v>
      </c>
      <c r="AV4" s="307">
        <v>9</v>
      </c>
      <c r="AW4" s="307">
        <v>9</v>
      </c>
      <c r="AX4" s="307">
        <v>9</v>
      </c>
      <c r="AY4" s="334">
        <v>9</v>
      </c>
      <c r="AZ4" s="307">
        <v>10</v>
      </c>
      <c r="BA4" s="307">
        <v>10</v>
      </c>
      <c r="BB4" s="307">
        <v>10</v>
      </c>
      <c r="BC4" s="307">
        <v>10</v>
      </c>
      <c r="BD4" s="334">
        <v>10</v>
      </c>
      <c r="BE4" s="307">
        <v>11</v>
      </c>
      <c r="BF4" s="307">
        <v>11</v>
      </c>
      <c r="BG4" s="307">
        <v>11</v>
      </c>
      <c r="BH4" s="307">
        <v>11</v>
      </c>
      <c r="BI4" s="334">
        <v>11</v>
      </c>
      <c r="BJ4" s="307">
        <v>12</v>
      </c>
      <c r="BK4" s="307">
        <v>12</v>
      </c>
      <c r="BL4" s="307">
        <v>12</v>
      </c>
      <c r="BM4" s="307">
        <v>12</v>
      </c>
      <c r="BN4" s="360">
        <v>12</v>
      </c>
    </row>
    <row r="5" spans="1:67" ht="24" x14ac:dyDescent="0.25">
      <c r="B5" s="310"/>
      <c r="C5" s="310"/>
      <c r="D5" s="310"/>
      <c r="E5" s="310"/>
      <c r="F5" s="310" t="s">
        <v>1300</v>
      </c>
      <c r="G5" s="311" t="s">
        <v>1301</v>
      </c>
      <c r="H5" s="311" t="s">
        <v>1302</v>
      </c>
      <c r="I5" s="311" t="s">
        <v>1303</v>
      </c>
      <c r="J5" s="321" t="s">
        <v>1304</v>
      </c>
      <c r="K5" s="329" t="s">
        <v>1305</v>
      </c>
      <c r="L5" s="324" t="s">
        <v>1301</v>
      </c>
      <c r="M5" s="311" t="s">
        <v>1302</v>
      </c>
      <c r="N5" s="312" t="s">
        <v>1303</v>
      </c>
      <c r="O5" s="312" t="s">
        <v>1304</v>
      </c>
      <c r="P5" s="329" t="s">
        <v>1305</v>
      </c>
      <c r="Q5" s="311" t="s">
        <v>1301</v>
      </c>
      <c r="R5" s="311" t="s">
        <v>1302</v>
      </c>
      <c r="S5" s="312" t="s">
        <v>1303</v>
      </c>
      <c r="T5" s="312" t="s">
        <v>1304</v>
      </c>
      <c r="U5" s="329" t="s">
        <v>1305</v>
      </c>
      <c r="V5" s="311" t="s">
        <v>1301</v>
      </c>
      <c r="W5" s="311" t="s">
        <v>1302</v>
      </c>
      <c r="X5" s="312" t="s">
        <v>1303</v>
      </c>
      <c r="Y5" s="312" t="s">
        <v>1304</v>
      </c>
      <c r="Z5" s="329" t="s">
        <v>1305</v>
      </c>
      <c r="AA5" s="311" t="s">
        <v>1301</v>
      </c>
      <c r="AB5" s="311" t="s">
        <v>1302</v>
      </c>
      <c r="AC5" s="312" t="s">
        <v>1303</v>
      </c>
      <c r="AD5" s="312" t="s">
        <v>1304</v>
      </c>
      <c r="AE5" s="329" t="s">
        <v>1305</v>
      </c>
      <c r="AF5" s="311" t="s">
        <v>1301</v>
      </c>
      <c r="AG5" s="311" t="s">
        <v>1302</v>
      </c>
      <c r="AH5" s="312" t="s">
        <v>1303</v>
      </c>
      <c r="AI5" s="312" t="s">
        <v>1304</v>
      </c>
      <c r="AJ5" s="329" t="s">
        <v>1305</v>
      </c>
      <c r="AK5" s="311" t="s">
        <v>1301</v>
      </c>
      <c r="AL5" s="311" t="s">
        <v>1302</v>
      </c>
      <c r="AM5" s="312" t="s">
        <v>1303</v>
      </c>
      <c r="AN5" s="312" t="s">
        <v>1304</v>
      </c>
      <c r="AO5" s="329" t="s">
        <v>1305</v>
      </c>
      <c r="AP5" s="311" t="s">
        <v>1301</v>
      </c>
      <c r="AQ5" s="311" t="s">
        <v>1302</v>
      </c>
      <c r="AR5" s="312" t="s">
        <v>1303</v>
      </c>
      <c r="AS5" s="312" t="s">
        <v>1304</v>
      </c>
      <c r="AT5" s="329" t="s">
        <v>1305</v>
      </c>
      <c r="AU5" s="311" t="s">
        <v>1301</v>
      </c>
      <c r="AV5" s="311" t="s">
        <v>1302</v>
      </c>
      <c r="AW5" s="312" t="s">
        <v>1303</v>
      </c>
      <c r="AX5" s="312" t="s">
        <v>1304</v>
      </c>
      <c r="AY5" s="329" t="s">
        <v>1305</v>
      </c>
      <c r="AZ5" s="311" t="s">
        <v>1301</v>
      </c>
      <c r="BA5" s="311" t="s">
        <v>1302</v>
      </c>
      <c r="BB5" s="312" t="s">
        <v>1303</v>
      </c>
      <c r="BC5" s="312" t="s">
        <v>1304</v>
      </c>
      <c r="BD5" s="329" t="s">
        <v>1305</v>
      </c>
      <c r="BE5" s="311" t="s">
        <v>1301</v>
      </c>
      <c r="BF5" s="311" t="s">
        <v>1302</v>
      </c>
      <c r="BG5" s="312" t="s">
        <v>1303</v>
      </c>
      <c r="BH5" s="312" t="s">
        <v>1304</v>
      </c>
      <c r="BI5" s="329" t="s">
        <v>1305</v>
      </c>
      <c r="BJ5" s="311" t="s">
        <v>1301</v>
      </c>
      <c r="BK5" s="311" t="s">
        <v>1302</v>
      </c>
      <c r="BL5" s="312" t="s">
        <v>1303</v>
      </c>
      <c r="BM5" s="312" t="s">
        <v>1304</v>
      </c>
      <c r="BN5" s="329" t="s">
        <v>1305</v>
      </c>
    </row>
    <row r="6" spans="1:67" ht="20.25" hidden="1" customHeight="1" outlineLevel="1" x14ac:dyDescent="0.25">
      <c r="B6" s="336">
        <f>SUBTOTAL(103,$C$6:C6)</f>
        <v>0</v>
      </c>
      <c r="C6" s="318" t="s">
        <v>8</v>
      </c>
      <c r="D6" s="336"/>
      <c r="E6" s="357" t="s">
        <v>12</v>
      </c>
      <c r="F6" s="318" t="s">
        <v>206</v>
      </c>
      <c r="G6" s="313">
        <v>524</v>
      </c>
      <c r="H6" s="313">
        <v>0</v>
      </c>
      <c r="I6" s="313">
        <v>0</v>
      </c>
      <c r="J6" s="322">
        <v>0</v>
      </c>
      <c r="K6" s="330">
        <f>SUM(G6:J6)</f>
        <v>524</v>
      </c>
      <c r="L6" s="325">
        <v>448</v>
      </c>
      <c r="M6" s="313">
        <v>0</v>
      </c>
      <c r="N6" s="313">
        <v>0</v>
      </c>
      <c r="O6" s="313">
        <v>0</v>
      </c>
      <c r="P6" s="331">
        <f>SUM(L6:O6)</f>
        <v>448</v>
      </c>
      <c r="Q6" s="313">
        <v>544</v>
      </c>
      <c r="R6" s="313">
        <v>0</v>
      </c>
      <c r="S6" s="313">
        <v>0</v>
      </c>
      <c r="T6" s="313">
        <v>0</v>
      </c>
      <c r="U6" s="331">
        <f>SUM(Q6:T6)</f>
        <v>544</v>
      </c>
      <c r="V6" s="313">
        <v>600</v>
      </c>
      <c r="W6" s="313">
        <v>0</v>
      </c>
      <c r="X6" s="313">
        <v>0</v>
      </c>
      <c r="Y6" s="313">
        <v>0</v>
      </c>
      <c r="Z6" s="331">
        <f>SUM(V6:Y6)</f>
        <v>600</v>
      </c>
      <c r="AA6" s="313">
        <v>660</v>
      </c>
      <c r="AB6" s="313">
        <v>0</v>
      </c>
      <c r="AC6" s="313">
        <v>0</v>
      </c>
      <c r="AD6" s="313">
        <v>0</v>
      </c>
      <c r="AE6" s="331">
        <f>SUM(AA6:AD6)</f>
        <v>660</v>
      </c>
      <c r="AF6" s="313">
        <v>800</v>
      </c>
      <c r="AG6" s="313">
        <v>0</v>
      </c>
      <c r="AH6" s="313">
        <v>0</v>
      </c>
      <c r="AI6" s="313">
        <v>0</v>
      </c>
      <c r="AJ6" s="331">
        <f>SUM(AF6:AI6)</f>
        <v>800</v>
      </c>
      <c r="AK6" s="313">
        <v>788</v>
      </c>
      <c r="AL6" s="313">
        <v>0</v>
      </c>
      <c r="AM6" s="313">
        <v>0</v>
      </c>
      <c r="AN6" s="313">
        <v>0</v>
      </c>
      <c r="AO6" s="331">
        <f>SUM(AK6:AN6)</f>
        <v>788</v>
      </c>
      <c r="AP6" s="313">
        <v>736</v>
      </c>
      <c r="AQ6" s="313">
        <v>0</v>
      </c>
      <c r="AR6" s="313">
        <v>0</v>
      </c>
      <c r="AS6" s="313">
        <v>0</v>
      </c>
      <c r="AT6" s="331">
        <f>SUM(AP6:AS6)</f>
        <v>736</v>
      </c>
      <c r="AU6" s="313">
        <v>752</v>
      </c>
      <c r="AV6" s="313">
        <v>0</v>
      </c>
      <c r="AW6" s="313">
        <v>0</v>
      </c>
      <c r="AX6" s="313">
        <v>0</v>
      </c>
      <c r="AY6" s="331">
        <f>SUM(AU6:AX6)</f>
        <v>752</v>
      </c>
      <c r="AZ6" s="313">
        <v>704</v>
      </c>
      <c r="BA6" s="313">
        <v>0</v>
      </c>
      <c r="BB6" s="313">
        <v>0</v>
      </c>
      <c r="BC6" s="313">
        <v>0</v>
      </c>
      <c r="BD6" s="331">
        <f>SUM(AZ6:BC6)</f>
        <v>704</v>
      </c>
      <c r="BE6" s="313">
        <v>584</v>
      </c>
      <c r="BF6" s="313">
        <v>0</v>
      </c>
      <c r="BG6" s="313">
        <v>0</v>
      </c>
      <c r="BH6" s="313">
        <v>0</v>
      </c>
      <c r="BI6" s="331">
        <f>SUM(BE6:BH6)</f>
        <v>584</v>
      </c>
      <c r="BJ6" s="313">
        <v>708</v>
      </c>
      <c r="BK6" s="313">
        <v>0</v>
      </c>
      <c r="BL6" s="313">
        <v>0</v>
      </c>
      <c r="BM6" s="313">
        <v>0</v>
      </c>
      <c r="BN6" s="331">
        <f>SUM(BJ6:BM6)</f>
        <v>708</v>
      </c>
    </row>
    <row r="7" spans="1:67" ht="20.25" customHeight="1" collapsed="1" x14ac:dyDescent="0.25">
      <c r="B7" s="336">
        <f>SUBTOTAL(103,$C$6:C7)</f>
        <v>1</v>
      </c>
      <c r="C7" s="318" t="s">
        <v>8</v>
      </c>
      <c r="D7" s="336"/>
      <c r="E7" s="357" t="s">
        <v>12</v>
      </c>
      <c r="F7" s="318" t="s">
        <v>207</v>
      </c>
      <c r="G7" s="313">
        <v>9248</v>
      </c>
      <c r="H7" s="313">
        <v>1535</v>
      </c>
      <c r="I7" s="313">
        <v>0</v>
      </c>
      <c r="J7" s="322">
        <v>0</v>
      </c>
      <c r="K7" s="331">
        <f>SUM(G7:J7)</f>
        <v>10783</v>
      </c>
      <c r="L7" s="325">
        <v>7296</v>
      </c>
      <c r="M7" s="313">
        <v>1634</v>
      </c>
      <c r="N7" s="313">
        <v>0</v>
      </c>
      <c r="O7" s="313">
        <v>0</v>
      </c>
      <c r="P7" s="331">
        <f>SUM(L7:O7)</f>
        <v>8930</v>
      </c>
      <c r="Q7" s="313">
        <v>8768</v>
      </c>
      <c r="R7" s="313">
        <v>1669</v>
      </c>
      <c r="S7" s="313">
        <v>0</v>
      </c>
      <c r="T7" s="313">
        <v>0</v>
      </c>
      <c r="U7" s="331">
        <f>SUM(Q7:T7)</f>
        <v>10437</v>
      </c>
      <c r="V7" s="313">
        <v>9072</v>
      </c>
      <c r="W7" s="313">
        <v>1574</v>
      </c>
      <c r="X7" s="313">
        <v>0</v>
      </c>
      <c r="Y7" s="313">
        <v>0</v>
      </c>
      <c r="Z7" s="331">
        <f>SUM(V7:Y7)</f>
        <v>10646</v>
      </c>
      <c r="AA7" s="313">
        <v>7628</v>
      </c>
      <c r="AB7" s="313">
        <v>1405</v>
      </c>
      <c r="AC7" s="313">
        <v>0</v>
      </c>
      <c r="AD7" s="313">
        <v>38</v>
      </c>
      <c r="AE7" s="331">
        <f>SUM(AA7:AD7)</f>
        <v>9071</v>
      </c>
      <c r="AF7" s="313">
        <v>8140</v>
      </c>
      <c r="AG7" s="313">
        <v>1404</v>
      </c>
      <c r="AH7" s="313">
        <v>0</v>
      </c>
      <c r="AI7" s="313">
        <v>0</v>
      </c>
      <c r="AJ7" s="331">
        <f>SUM(AF7:AI7)</f>
        <v>9544</v>
      </c>
      <c r="AK7" s="313">
        <v>7968</v>
      </c>
      <c r="AL7" s="313">
        <v>1382</v>
      </c>
      <c r="AM7" s="313">
        <v>0</v>
      </c>
      <c r="AN7" s="313">
        <v>0</v>
      </c>
      <c r="AO7" s="331">
        <f>SUM(AK7:AN7)</f>
        <v>9350</v>
      </c>
      <c r="AP7" s="313">
        <v>8216</v>
      </c>
      <c r="AQ7" s="313">
        <v>1614</v>
      </c>
      <c r="AR7" s="313">
        <v>0</v>
      </c>
      <c r="AS7" s="313">
        <v>0</v>
      </c>
      <c r="AT7" s="331">
        <f>SUM(AP7:AS7)</f>
        <v>9830</v>
      </c>
      <c r="AU7" s="313">
        <v>8344</v>
      </c>
      <c r="AV7" s="313">
        <v>1432</v>
      </c>
      <c r="AW7" s="313">
        <v>0</v>
      </c>
      <c r="AX7" s="313">
        <v>63</v>
      </c>
      <c r="AY7" s="331">
        <f>SUM(AU7:AX7)</f>
        <v>9839</v>
      </c>
      <c r="AZ7" s="313">
        <v>8574</v>
      </c>
      <c r="BA7" s="313">
        <v>1130.6300000000001</v>
      </c>
      <c r="BB7" s="313">
        <v>0</v>
      </c>
      <c r="BC7" s="313">
        <v>0</v>
      </c>
      <c r="BD7" s="331">
        <f>SUM(AZ7:BC7)</f>
        <v>9704.630000000001</v>
      </c>
      <c r="BE7" s="313">
        <v>8004</v>
      </c>
      <c r="BF7" s="313">
        <v>907</v>
      </c>
      <c r="BG7" s="313">
        <v>0</v>
      </c>
      <c r="BH7" s="313">
        <v>0</v>
      </c>
      <c r="BI7" s="331">
        <f>SUM(BE7:BH7)</f>
        <v>8911</v>
      </c>
      <c r="BJ7" s="313">
        <v>7624</v>
      </c>
      <c r="BK7" s="313">
        <v>873</v>
      </c>
      <c r="BL7" s="313">
        <v>0</v>
      </c>
      <c r="BM7" s="313">
        <v>0</v>
      </c>
      <c r="BN7" s="331">
        <f>SUM(BJ7:BM7)</f>
        <v>8497</v>
      </c>
    </row>
    <row r="8" spans="1:67" ht="20.25" customHeight="1" x14ac:dyDescent="0.25">
      <c r="B8" s="336">
        <f>SUBTOTAL(103,$C$6:C8)</f>
        <v>2</v>
      </c>
      <c r="C8" s="318" t="s">
        <v>8</v>
      </c>
      <c r="D8" s="358" t="s">
        <v>1306</v>
      </c>
      <c r="E8" s="357" t="s">
        <v>12</v>
      </c>
      <c r="F8" s="318" t="s">
        <v>203</v>
      </c>
      <c r="G8" s="313">
        <v>4948</v>
      </c>
      <c r="H8" s="313">
        <v>698.36</v>
      </c>
      <c r="I8" s="313">
        <v>0</v>
      </c>
      <c r="J8" s="322">
        <v>0</v>
      </c>
      <c r="K8" s="331">
        <f t="shared" ref="K8:K14" si="0">SUM(G8:J8)</f>
        <v>5646.36</v>
      </c>
      <c r="L8" s="325">
        <v>4024</v>
      </c>
      <c r="M8" s="313">
        <v>639.21</v>
      </c>
      <c r="N8" s="313">
        <v>0</v>
      </c>
      <c r="O8" s="313">
        <v>0</v>
      </c>
      <c r="P8" s="331">
        <f t="shared" ref="P8:P14" si="1">SUM(L8:O8)</f>
        <v>4663.21</v>
      </c>
      <c r="Q8" s="313">
        <v>5366</v>
      </c>
      <c r="R8" s="313">
        <v>826.14</v>
      </c>
      <c r="S8" s="313">
        <v>0</v>
      </c>
      <c r="T8" s="313">
        <v>0</v>
      </c>
      <c r="U8" s="331">
        <f t="shared" ref="U8:U14" si="2">SUM(Q8:T8)</f>
        <v>6192.14</v>
      </c>
      <c r="V8" s="313">
        <v>5858</v>
      </c>
      <c r="W8" s="313">
        <v>904.16000000000008</v>
      </c>
      <c r="X8" s="313">
        <v>0</v>
      </c>
      <c r="Y8" s="313">
        <v>0</v>
      </c>
      <c r="Z8" s="331">
        <f t="shared" ref="Z8:Z14" si="3">SUM(V8:Y8)</f>
        <v>6762.16</v>
      </c>
      <c r="AA8" s="313">
        <v>5268</v>
      </c>
      <c r="AB8" s="313">
        <v>897.06999999999994</v>
      </c>
      <c r="AC8" s="313">
        <v>0</v>
      </c>
      <c r="AD8" s="313">
        <v>216</v>
      </c>
      <c r="AE8" s="331">
        <f t="shared" ref="AE8:AE14" si="4">SUM(AA8:AD8)</f>
        <v>6381.07</v>
      </c>
      <c r="AF8" s="313">
        <v>6090</v>
      </c>
      <c r="AG8" s="313">
        <v>951.58000000000015</v>
      </c>
      <c r="AH8" s="313">
        <v>0</v>
      </c>
      <c r="AI8" s="313">
        <v>0</v>
      </c>
      <c r="AJ8" s="331">
        <f t="shared" ref="AJ8:AJ14" si="5">SUM(AF8:AI8)</f>
        <v>7041.58</v>
      </c>
      <c r="AK8" s="313">
        <v>5736</v>
      </c>
      <c r="AL8" s="313">
        <v>920.21999999999991</v>
      </c>
      <c r="AM8" s="313">
        <v>0</v>
      </c>
      <c r="AN8" s="313">
        <v>0</v>
      </c>
      <c r="AO8" s="331">
        <f t="shared" ref="AO8:AO14" si="6">SUM(AK8:AN8)</f>
        <v>6656.22</v>
      </c>
      <c r="AP8" s="313">
        <v>5584</v>
      </c>
      <c r="AQ8" s="313">
        <v>939.06000000000006</v>
      </c>
      <c r="AR8" s="313">
        <v>0</v>
      </c>
      <c r="AS8" s="313">
        <v>0</v>
      </c>
      <c r="AT8" s="331">
        <f t="shared" ref="AT8:AT14" si="7">SUM(AP8:AS8)</f>
        <v>6523.06</v>
      </c>
      <c r="AU8" s="313">
        <v>5532</v>
      </c>
      <c r="AV8" s="313">
        <v>925.62000000000012</v>
      </c>
      <c r="AW8" s="313">
        <v>0</v>
      </c>
      <c r="AX8" s="313">
        <v>289</v>
      </c>
      <c r="AY8" s="331">
        <f t="shared" ref="AY8:AY14" si="8">SUM(AU8:AX8)</f>
        <v>6746.62</v>
      </c>
      <c r="AZ8" s="313">
        <v>5402</v>
      </c>
      <c r="BA8" s="313">
        <v>814.65000000000009</v>
      </c>
      <c r="BB8" s="313">
        <v>0</v>
      </c>
      <c r="BC8" s="313">
        <v>0</v>
      </c>
      <c r="BD8" s="331">
        <f t="shared" ref="BD8:BD14" si="9">SUM(AZ8:BC8)</f>
        <v>6216.65</v>
      </c>
      <c r="BE8" s="313">
        <v>5066</v>
      </c>
      <c r="BF8" s="313">
        <v>702.82</v>
      </c>
      <c r="BG8" s="313">
        <v>0</v>
      </c>
      <c r="BH8" s="313">
        <v>0</v>
      </c>
      <c r="BI8" s="331">
        <f t="shared" ref="BI8:BI14" si="10">SUM(BE8:BH8)</f>
        <v>5768.82</v>
      </c>
      <c r="BJ8" s="313">
        <v>5022</v>
      </c>
      <c r="BK8" s="313">
        <v>706.2700000000001</v>
      </c>
      <c r="BL8" s="313">
        <v>0</v>
      </c>
      <c r="BM8" s="313">
        <v>0</v>
      </c>
      <c r="BN8" s="331">
        <f t="shared" ref="BN8:BN14" si="11">SUM(BJ8:BM8)</f>
        <v>5728.27</v>
      </c>
    </row>
    <row r="9" spans="1:67" ht="20.25" customHeight="1" x14ac:dyDescent="0.25">
      <c r="B9" s="336">
        <f>SUBTOTAL(103,$C$6:C9)</f>
        <v>3</v>
      </c>
      <c r="C9" s="318" t="s">
        <v>8</v>
      </c>
      <c r="D9" s="358" t="s">
        <v>1306</v>
      </c>
      <c r="E9" s="359" t="s">
        <v>13</v>
      </c>
      <c r="F9" s="318" t="s">
        <v>205</v>
      </c>
      <c r="G9" s="313">
        <v>5004</v>
      </c>
      <c r="H9" s="313">
        <v>1064.4199999999998</v>
      </c>
      <c r="I9" s="313">
        <v>0</v>
      </c>
      <c r="J9" s="322">
        <v>0</v>
      </c>
      <c r="K9" s="331">
        <f>SUM(G9:J9)</f>
        <v>6068.42</v>
      </c>
      <c r="L9" s="325">
        <v>3722</v>
      </c>
      <c r="M9" s="313">
        <v>832.72</v>
      </c>
      <c r="N9" s="313">
        <v>0</v>
      </c>
      <c r="O9" s="313">
        <v>0</v>
      </c>
      <c r="P9" s="331">
        <f>SUM(L9:O9)</f>
        <v>4554.72</v>
      </c>
      <c r="Q9" s="313">
        <v>4928</v>
      </c>
      <c r="R9" s="313">
        <v>1076.1299999999999</v>
      </c>
      <c r="S9" s="313">
        <v>0</v>
      </c>
      <c r="T9" s="313">
        <v>0</v>
      </c>
      <c r="U9" s="331">
        <f>SUM(Q9:T9)</f>
        <v>6004.13</v>
      </c>
      <c r="V9" s="313">
        <v>5210</v>
      </c>
      <c r="W9" s="313">
        <v>1047.24</v>
      </c>
      <c r="X9" s="313">
        <v>0</v>
      </c>
      <c r="Y9" s="313">
        <v>0</v>
      </c>
      <c r="Z9" s="331">
        <f>SUM(V9:Y9)</f>
        <v>6257.24</v>
      </c>
      <c r="AA9" s="313">
        <v>4692</v>
      </c>
      <c r="AB9" s="313">
        <v>1017.2899999999998</v>
      </c>
      <c r="AC9" s="313">
        <v>0</v>
      </c>
      <c r="AD9" s="313">
        <v>340.5</v>
      </c>
      <c r="AE9" s="331">
        <f>SUM(AA9:AD9)</f>
        <v>6049.79</v>
      </c>
      <c r="AF9" s="313">
        <v>4434</v>
      </c>
      <c r="AG9" s="313">
        <v>891.82</v>
      </c>
      <c r="AH9" s="313">
        <v>0</v>
      </c>
      <c r="AI9" s="313">
        <v>0</v>
      </c>
      <c r="AJ9" s="331">
        <f>SUM(AF9:AI9)</f>
        <v>5325.82</v>
      </c>
      <c r="AK9" s="313">
        <v>4226</v>
      </c>
      <c r="AL9" s="313">
        <v>855.79000000000008</v>
      </c>
      <c r="AM9" s="313">
        <v>0</v>
      </c>
      <c r="AN9" s="313">
        <v>0</v>
      </c>
      <c r="AO9" s="331">
        <f>SUM(AK9:AN9)</f>
        <v>5081.79</v>
      </c>
      <c r="AP9" s="313">
        <v>4240</v>
      </c>
      <c r="AQ9" s="313">
        <v>869.65</v>
      </c>
      <c r="AR9" s="313">
        <v>0</v>
      </c>
      <c r="AS9" s="313">
        <v>0</v>
      </c>
      <c r="AT9" s="331">
        <f>SUM(AP9:AS9)</f>
        <v>5109.6499999999996</v>
      </c>
      <c r="AU9" s="313">
        <v>4366</v>
      </c>
      <c r="AV9" s="313">
        <v>863.14999999999986</v>
      </c>
      <c r="AW9" s="313">
        <v>0</v>
      </c>
      <c r="AX9" s="313">
        <v>330</v>
      </c>
      <c r="AY9" s="331">
        <f>SUM(AU9:AX9)</f>
        <v>5559.15</v>
      </c>
      <c r="AZ9" s="313">
        <v>4552</v>
      </c>
      <c r="BA9" s="313">
        <v>911.62000000000012</v>
      </c>
      <c r="BB9" s="313">
        <v>0</v>
      </c>
      <c r="BC9" s="313">
        <v>0</v>
      </c>
      <c r="BD9" s="331">
        <f>SUM(AZ9:BC9)</f>
        <v>5463.62</v>
      </c>
      <c r="BE9" s="313">
        <v>4036</v>
      </c>
      <c r="BF9" s="313">
        <v>776.26000000000022</v>
      </c>
      <c r="BG9" s="313">
        <v>0</v>
      </c>
      <c r="BH9" s="313">
        <v>0</v>
      </c>
      <c r="BI9" s="331">
        <f>SUM(BE9:BH9)</f>
        <v>4812.26</v>
      </c>
      <c r="BJ9" s="313">
        <v>3990</v>
      </c>
      <c r="BK9" s="313">
        <v>786.9</v>
      </c>
      <c r="BL9" s="313">
        <v>0</v>
      </c>
      <c r="BM9" s="313">
        <v>0</v>
      </c>
      <c r="BN9" s="331">
        <f>SUM(BJ9:BM9)</f>
        <v>4776.8999999999996</v>
      </c>
    </row>
    <row r="10" spans="1:67" ht="20.25" customHeight="1" x14ac:dyDescent="0.25">
      <c r="B10" s="336">
        <f>SUBTOTAL(103,$C$6:C10)</f>
        <v>4</v>
      </c>
      <c r="C10" s="318" t="s">
        <v>8</v>
      </c>
      <c r="D10" s="358" t="s">
        <v>1306</v>
      </c>
      <c r="E10" s="359" t="s">
        <v>13</v>
      </c>
      <c r="F10" s="318" t="s">
        <v>209</v>
      </c>
      <c r="G10" s="313">
        <v>27390</v>
      </c>
      <c r="H10" s="313">
        <v>5620.9100000000017</v>
      </c>
      <c r="I10" s="313">
        <v>0</v>
      </c>
      <c r="J10" s="322">
        <v>0</v>
      </c>
      <c r="K10" s="332">
        <f>SUM(G10:J10)</f>
        <v>33010.910000000003</v>
      </c>
      <c r="L10" s="325">
        <v>24442</v>
      </c>
      <c r="M10" s="313">
        <v>5546.19</v>
      </c>
      <c r="N10" s="313">
        <v>0</v>
      </c>
      <c r="O10" s="313">
        <v>0</v>
      </c>
      <c r="P10" s="331">
        <f>SUM(L10:O10)</f>
        <v>29988.19</v>
      </c>
      <c r="Q10" s="313">
        <v>29518</v>
      </c>
      <c r="R10" s="313">
        <v>6359.1900000000023</v>
      </c>
      <c r="S10" s="313">
        <v>0</v>
      </c>
      <c r="T10" s="313">
        <v>0</v>
      </c>
      <c r="U10" s="331">
        <f>SUM(Q10:T10)</f>
        <v>35877.19</v>
      </c>
      <c r="V10" s="313">
        <v>33632</v>
      </c>
      <c r="W10" s="313">
        <v>6668.0599999999986</v>
      </c>
      <c r="X10" s="313">
        <v>0</v>
      </c>
      <c r="Y10" s="313">
        <v>0</v>
      </c>
      <c r="Z10" s="331">
        <f>SUM(V10:Y10)</f>
        <v>40300.06</v>
      </c>
      <c r="AA10" s="313">
        <v>31312</v>
      </c>
      <c r="AB10" s="313">
        <v>6616.5499999999993</v>
      </c>
      <c r="AC10" s="313">
        <v>0</v>
      </c>
      <c r="AD10" s="313">
        <v>2083.5</v>
      </c>
      <c r="AE10" s="331">
        <f>SUM(AA10:AD10)</f>
        <v>40012.050000000003</v>
      </c>
      <c r="AF10" s="313">
        <v>37862</v>
      </c>
      <c r="AG10" s="313">
        <v>7332.8700000000035</v>
      </c>
      <c r="AH10" s="313">
        <v>0</v>
      </c>
      <c r="AI10" s="313">
        <v>0</v>
      </c>
      <c r="AJ10" s="331">
        <f>SUM(AF10:AI10)</f>
        <v>45194.87</v>
      </c>
      <c r="AK10" s="313">
        <v>34952</v>
      </c>
      <c r="AL10" s="313">
        <v>7037.41</v>
      </c>
      <c r="AM10" s="313">
        <v>0</v>
      </c>
      <c r="AN10" s="313">
        <v>0</v>
      </c>
      <c r="AO10" s="331">
        <f>SUM(AK10:AN10)</f>
        <v>41989.41</v>
      </c>
      <c r="AP10" s="313">
        <v>37566</v>
      </c>
      <c r="AQ10" s="313">
        <v>7686.3999999999987</v>
      </c>
      <c r="AR10" s="313">
        <v>0</v>
      </c>
      <c r="AS10" s="313">
        <v>0</v>
      </c>
      <c r="AT10" s="331">
        <f>SUM(AP10:AS10)</f>
        <v>45252.4</v>
      </c>
      <c r="AU10" s="313">
        <v>41662</v>
      </c>
      <c r="AV10" s="313">
        <v>8719.6300000000028</v>
      </c>
      <c r="AW10" s="313">
        <v>0</v>
      </c>
      <c r="AX10" s="313">
        <v>2333</v>
      </c>
      <c r="AY10" s="331">
        <f>SUM(AU10:AX10)</f>
        <v>52714.630000000005</v>
      </c>
      <c r="AZ10" s="313">
        <v>41324</v>
      </c>
      <c r="BA10" s="313">
        <v>8535.9199999999983</v>
      </c>
      <c r="BB10" s="313">
        <v>0</v>
      </c>
      <c r="BC10" s="313">
        <v>0</v>
      </c>
      <c r="BD10" s="331">
        <f>SUM(AZ10:BC10)</f>
        <v>49859.92</v>
      </c>
      <c r="BE10" s="313">
        <v>38208</v>
      </c>
      <c r="BF10" s="313">
        <v>6951.8100000000022</v>
      </c>
      <c r="BG10" s="313">
        <v>0</v>
      </c>
      <c r="BH10" s="313">
        <v>0</v>
      </c>
      <c r="BI10" s="331">
        <f>SUM(BE10:BH10)</f>
        <v>45159.810000000005</v>
      </c>
      <c r="BJ10" s="313">
        <v>36366</v>
      </c>
      <c r="BK10" s="313">
        <v>7317.3</v>
      </c>
      <c r="BL10" s="313">
        <v>0</v>
      </c>
      <c r="BM10" s="313">
        <v>0</v>
      </c>
      <c r="BN10" s="331">
        <f>SUM(BJ10:BM10)</f>
        <v>43683.3</v>
      </c>
    </row>
    <row r="11" spans="1:67" ht="20.25" customHeight="1" x14ac:dyDescent="0.25">
      <c r="B11" s="336">
        <f>SUBTOTAL(103,$C$6:C11)</f>
        <v>5</v>
      </c>
      <c r="C11" s="318" t="s">
        <v>8</v>
      </c>
      <c r="D11" s="357" t="s">
        <v>1307</v>
      </c>
      <c r="E11" s="357" t="s">
        <v>12</v>
      </c>
      <c r="F11" s="318" t="s">
        <v>202</v>
      </c>
      <c r="G11" s="313">
        <v>2120</v>
      </c>
      <c r="H11" s="313">
        <v>335.10999999999996</v>
      </c>
      <c r="I11" s="313">
        <v>0</v>
      </c>
      <c r="J11" s="322">
        <v>0</v>
      </c>
      <c r="K11" s="331">
        <f>SUM(G11:J11)</f>
        <v>2455.11</v>
      </c>
      <c r="L11" s="325">
        <v>1670</v>
      </c>
      <c r="M11" s="313">
        <v>269.39999999999998</v>
      </c>
      <c r="N11" s="313">
        <v>0</v>
      </c>
      <c r="O11" s="313">
        <v>0</v>
      </c>
      <c r="P11" s="331">
        <f>SUM(L11:O11)</f>
        <v>1939.4</v>
      </c>
      <c r="Q11" s="313">
        <v>2194</v>
      </c>
      <c r="R11" s="313">
        <v>375.52</v>
      </c>
      <c r="S11" s="313">
        <v>0</v>
      </c>
      <c r="T11" s="313">
        <v>0</v>
      </c>
      <c r="U11" s="331">
        <f>SUM(Q11:T11)</f>
        <v>2569.52</v>
      </c>
      <c r="V11" s="313">
        <v>2476</v>
      </c>
      <c r="W11" s="313">
        <v>397.77</v>
      </c>
      <c r="X11" s="313">
        <v>0</v>
      </c>
      <c r="Y11" s="313">
        <v>0</v>
      </c>
      <c r="Z11" s="331">
        <f>SUM(V11:Y11)</f>
        <v>2873.77</v>
      </c>
      <c r="AA11" s="313">
        <v>2186</v>
      </c>
      <c r="AB11" s="313">
        <v>352.44</v>
      </c>
      <c r="AC11" s="313">
        <v>0</v>
      </c>
      <c r="AD11" s="313">
        <v>0</v>
      </c>
      <c r="AE11" s="331">
        <f>SUM(AA11:AD11)</f>
        <v>2538.44</v>
      </c>
      <c r="AF11" s="313">
        <v>2492</v>
      </c>
      <c r="AG11" s="313">
        <v>366.44</v>
      </c>
      <c r="AH11" s="313">
        <v>0</v>
      </c>
      <c r="AI11" s="313">
        <v>0</v>
      </c>
      <c r="AJ11" s="331">
        <f>SUM(AF11:AI11)</f>
        <v>2858.44</v>
      </c>
      <c r="AK11" s="313">
        <v>2288</v>
      </c>
      <c r="AL11" s="313">
        <v>345.91</v>
      </c>
      <c r="AM11" s="313">
        <v>0</v>
      </c>
      <c r="AN11" s="313">
        <v>0</v>
      </c>
      <c r="AO11" s="331">
        <f>SUM(AK11:AN11)</f>
        <v>2633.91</v>
      </c>
      <c r="AP11" s="313">
        <v>2070</v>
      </c>
      <c r="AQ11" s="313">
        <v>333.81</v>
      </c>
      <c r="AR11" s="313">
        <v>0</v>
      </c>
      <c r="AS11" s="313">
        <v>0</v>
      </c>
      <c r="AT11" s="331">
        <f>SUM(AP11:AS11)</f>
        <v>2403.81</v>
      </c>
      <c r="AU11" s="313">
        <v>2100</v>
      </c>
      <c r="AV11" s="313">
        <v>311.02999999999997</v>
      </c>
      <c r="AW11" s="313">
        <v>0</v>
      </c>
      <c r="AX11" s="313">
        <v>0</v>
      </c>
      <c r="AY11" s="331">
        <f>SUM(AU11:AX11)</f>
        <v>2411.0299999999997</v>
      </c>
      <c r="AZ11" s="313">
        <v>2152</v>
      </c>
      <c r="BA11" s="313">
        <v>286.32</v>
      </c>
      <c r="BB11" s="313">
        <v>0</v>
      </c>
      <c r="BC11" s="313">
        <v>0</v>
      </c>
      <c r="BD11" s="331">
        <f>SUM(AZ11:BC11)</f>
        <v>2438.3200000000002</v>
      </c>
      <c r="BE11" s="313">
        <v>2160</v>
      </c>
      <c r="BF11" s="313">
        <v>278.25</v>
      </c>
      <c r="BG11" s="313">
        <v>0</v>
      </c>
      <c r="BH11" s="313">
        <v>0</v>
      </c>
      <c r="BI11" s="331">
        <f>SUM(BE11:BH11)</f>
        <v>2438.25</v>
      </c>
      <c r="BJ11" s="313">
        <v>2162</v>
      </c>
      <c r="BK11" s="313">
        <v>294.03000000000003</v>
      </c>
      <c r="BL11" s="313">
        <v>0</v>
      </c>
      <c r="BM11" s="313">
        <v>0</v>
      </c>
      <c r="BN11" s="331">
        <f>SUM(BJ11:BM11)</f>
        <v>2456.0300000000002</v>
      </c>
      <c r="BO11" s="314"/>
    </row>
    <row r="12" spans="1:67" ht="20.25" customHeight="1" x14ac:dyDescent="0.25">
      <c r="B12" s="336">
        <f>SUBTOTAL(103,$C$6:C12)</f>
        <v>6</v>
      </c>
      <c r="C12" s="318" t="s">
        <v>8</v>
      </c>
      <c r="D12" s="357" t="s">
        <v>1307</v>
      </c>
      <c r="E12" s="359" t="s">
        <v>13</v>
      </c>
      <c r="F12" s="318" t="s">
        <v>204</v>
      </c>
      <c r="G12" s="313">
        <v>1086</v>
      </c>
      <c r="H12" s="313">
        <v>236.57</v>
      </c>
      <c r="I12" s="313">
        <v>0</v>
      </c>
      <c r="J12" s="322">
        <v>0</v>
      </c>
      <c r="K12" s="331">
        <f t="shared" si="0"/>
        <v>1322.57</v>
      </c>
      <c r="L12" s="325">
        <v>800</v>
      </c>
      <c r="M12" s="313">
        <v>179.07999999999998</v>
      </c>
      <c r="N12" s="313">
        <v>0</v>
      </c>
      <c r="O12" s="313">
        <v>0</v>
      </c>
      <c r="P12" s="331">
        <f t="shared" si="1"/>
        <v>979.07999999999993</v>
      </c>
      <c r="Q12" s="313">
        <v>1030</v>
      </c>
      <c r="R12" s="313">
        <v>233.81</v>
      </c>
      <c r="S12" s="313">
        <v>0</v>
      </c>
      <c r="T12" s="313">
        <v>0</v>
      </c>
      <c r="U12" s="331">
        <f t="shared" si="2"/>
        <v>1263.81</v>
      </c>
      <c r="V12" s="313">
        <v>1106</v>
      </c>
      <c r="W12" s="313">
        <v>223.02</v>
      </c>
      <c r="X12" s="313">
        <v>0</v>
      </c>
      <c r="Y12" s="313">
        <v>0</v>
      </c>
      <c r="Z12" s="331">
        <f t="shared" si="3"/>
        <v>1329.02</v>
      </c>
      <c r="AA12" s="313">
        <v>1124</v>
      </c>
      <c r="AB12" s="313">
        <v>216.53</v>
      </c>
      <c r="AC12" s="313">
        <v>0</v>
      </c>
      <c r="AD12" s="313">
        <v>0</v>
      </c>
      <c r="AE12" s="331">
        <f t="shared" si="4"/>
        <v>1340.53</v>
      </c>
      <c r="AF12" s="313">
        <v>1250</v>
      </c>
      <c r="AG12" s="313">
        <v>244.67000000000002</v>
      </c>
      <c r="AH12" s="313">
        <v>0</v>
      </c>
      <c r="AI12" s="313">
        <v>0</v>
      </c>
      <c r="AJ12" s="331">
        <f t="shared" si="5"/>
        <v>1494.67</v>
      </c>
      <c r="AK12" s="313">
        <v>1140</v>
      </c>
      <c r="AL12" s="313">
        <v>231.68</v>
      </c>
      <c r="AM12" s="313">
        <v>0</v>
      </c>
      <c r="AN12" s="313">
        <v>0</v>
      </c>
      <c r="AO12" s="331">
        <f t="shared" si="6"/>
        <v>1371.68</v>
      </c>
      <c r="AP12" s="313">
        <v>1042</v>
      </c>
      <c r="AQ12" s="313">
        <v>232.04999999999998</v>
      </c>
      <c r="AR12" s="313">
        <v>0</v>
      </c>
      <c r="AS12" s="313">
        <v>0</v>
      </c>
      <c r="AT12" s="331">
        <f t="shared" si="7"/>
        <v>1274.05</v>
      </c>
      <c r="AU12" s="313">
        <v>1060</v>
      </c>
      <c r="AV12" s="313">
        <v>225.01</v>
      </c>
      <c r="AW12" s="313">
        <v>0</v>
      </c>
      <c r="AX12" s="313">
        <v>0</v>
      </c>
      <c r="AY12" s="331">
        <f t="shared" si="8"/>
        <v>1285.01</v>
      </c>
      <c r="AZ12" s="313">
        <v>1078</v>
      </c>
      <c r="BA12" s="313">
        <v>196.77999999999997</v>
      </c>
      <c r="BB12" s="313">
        <v>0</v>
      </c>
      <c r="BC12" s="313">
        <v>0</v>
      </c>
      <c r="BD12" s="331">
        <f t="shared" si="9"/>
        <v>1274.78</v>
      </c>
      <c r="BE12" s="313">
        <v>1102</v>
      </c>
      <c r="BF12" s="313">
        <v>194.64999999999998</v>
      </c>
      <c r="BG12" s="313">
        <v>0</v>
      </c>
      <c r="BH12" s="313">
        <v>0</v>
      </c>
      <c r="BI12" s="331">
        <f t="shared" si="10"/>
        <v>1296.6500000000001</v>
      </c>
      <c r="BJ12" s="313">
        <v>1126</v>
      </c>
      <c r="BK12" s="313">
        <v>186.84</v>
      </c>
      <c r="BL12" s="313">
        <v>0</v>
      </c>
      <c r="BM12" s="313">
        <v>0</v>
      </c>
      <c r="BN12" s="331">
        <f t="shared" si="11"/>
        <v>1312.84</v>
      </c>
      <c r="BO12" s="314"/>
    </row>
    <row r="13" spans="1:67" ht="20.25" customHeight="1" x14ac:dyDescent="0.25">
      <c r="B13" s="336">
        <f>SUBTOTAL(103,$C$6:C13)</f>
        <v>7</v>
      </c>
      <c r="C13" s="318" t="s">
        <v>8</v>
      </c>
      <c r="D13" s="357" t="s">
        <v>1307</v>
      </c>
      <c r="E13" s="359" t="s">
        <v>13</v>
      </c>
      <c r="F13" s="318" t="s">
        <v>208</v>
      </c>
      <c r="G13" s="313">
        <v>4416</v>
      </c>
      <c r="H13" s="313">
        <v>935.95999999999992</v>
      </c>
      <c r="I13" s="313">
        <v>0</v>
      </c>
      <c r="J13" s="322">
        <v>0</v>
      </c>
      <c r="K13" s="331">
        <f t="shared" si="0"/>
        <v>5351.96</v>
      </c>
      <c r="L13" s="325">
        <v>3648</v>
      </c>
      <c r="M13" s="313">
        <v>766.6</v>
      </c>
      <c r="N13" s="313">
        <v>0</v>
      </c>
      <c r="O13" s="313">
        <v>0</v>
      </c>
      <c r="P13" s="331">
        <f t="shared" si="1"/>
        <v>4414.6000000000004</v>
      </c>
      <c r="Q13" s="313">
        <v>4262</v>
      </c>
      <c r="R13" s="313">
        <v>948.17</v>
      </c>
      <c r="S13" s="313">
        <v>0</v>
      </c>
      <c r="T13" s="313">
        <v>0</v>
      </c>
      <c r="U13" s="331">
        <f t="shared" si="2"/>
        <v>5210.17</v>
      </c>
      <c r="V13" s="313">
        <v>5126</v>
      </c>
      <c r="W13" s="313">
        <v>1061.0999999999999</v>
      </c>
      <c r="X13" s="313">
        <v>0</v>
      </c>
      <c r="Y13" s="313">
        <v>0</v>
      </c>
      <c r="Z13" s="331">
        <f t="shared" si="3"/>
        <v>6187.1</v>
      </c>
      <c r="AA13" s="313">
        <v>5744</v>
      </c>
      <c r="AB13" s="313">
        <v>1178.5900000000001</v>
      </c>
      <c r="AC13" s="313">
        <v>0</v>
      </c>
      <c r="AD13" s="313">
        <v>0</v>
      </c>
      <c r="AE13" s="331">
        <f t="shared" si="4"/>
        <v>6922.59</v>
      </c>
      <c r="AF13" s="313">
        <v>8574</v>
      </c>
      <c r="AG13" s="313">
        <v>1619.5599999999997</v>
      </c>
      <c r="AH13" s="313">
        <v>0</v>
      </c>
      <c r="AI13" s="313">
        <v>0</v>
      </c>
      <c r="AJ13" s="331">
        <f t="shared" si="5"/>
        <v>10193.56</v>
      </c>
      <c r="AK13" s="313">
        <v>6496</v>
      </c>
      <c r="AL13" s="313">
        <v>1324.5199999999998</v>
      </c>
      <c r="AM13" s="313">
        <v>0</v>
      </c>
      <c r="AN13" s="313">
        <v>0</v>
      </c>
      <c r="AO13" s="331">
        <f t="shared" si="6"/>
        <v>7820.5199999999995</v>
      </c>
      <c r="AP13" s="313">
        <v>6034</v>
      </c>
      <c r="AQ13" s="313">
        <v>1348.0399999999997</v>
      </c>
      <c r="AR13" s="313">
        <v>0</v>
      </c>
      <c r="AS13" s="313">
        <v>0</v>
      </c>
      <c r="AT13" s="331">
        <f t="shared" si="7"/>
        <v>7382.04</v>
      </c>
      <c r="AU13" s="313">
        <v>6638</v>
      </c>
      <c r="AV13" s="313">
        <v>1377.4399999999998</v>
      </c>
      <c r="AW13" s="313">
        <v>0</v>
      </c>
      <c r="AX13" s="313">
        <v>0</v>
      </c>
      <c r="AY13" s="331">
        <f t="shared" si="8"/>
        <v>8015.44</v>
      </c>
      <c r="AZ13" s="313">
        <v>6560</v>
      </c>
      <c r="BA13" s="313">
        <v>1172.4100000000001</v>
      </c>
      <c r="BB13" s="313">
        <v>0</v>
      </c>
      <c r="BC13" s="313">
        <v>0</v>
      </c>
      <c r="BD13" s="331">
        <f t="shared" si="9"/>
        <v>7732.41</v>
      </c>
      <c r="BE13" s="313">
        <v>6110</v>
      </c>
      <c r="BF13" s="313">
        <v>1016.7500000000001</v>
      </c>
      <c r="BG13" s="313">
        <v>0</v>
      </c>
      <c r="BH13" s="313">
        <v>0</v>
      </c>
      <c r="BI13" s="331">
        <f t="shared" si="10"/>
        <v>7126.75</v>
      </c>
      <c r="BJ13" s="313">
        <v>5720</v>
      </c>
      <c r="BK13" s="313">
        <v>977.9100000000002</v>
      </c>
      <c r="BL13" s="313">
        <v>0</v>
      </c>
      <c r="BM13" s="313">
        <v>0</v>
      </c>
      <c r="BN13" s="331">
        <f t="shared" si="11"/>
        <v>6697.91</v>
      </c>
    </row>
    <row r="14" spans="1:67" ht="20.25" customHeight="1" x14ac:dyDescent="0.25">
      <c r="B14" s="336">
        <f>SUBTOTAL(103,$C$6:C14)</f>
        <v>8</v>
      </c>
      <c r="C14" s="319" t="s">
        <v>8</v>
      </c>
      <c r="D14" s="357" t="s">
        <v>1307</v>
      </c>
      <c r="E14" s="359" t="s">
        <v>13</v>
      </c>
      <c r="F14" s="319" t="s">
        <v>210</v>
      </c>
      <c r="G14" s="315">
        <v>496</v>
      </c>
      <c r="H14" s="315">
        <v>115.08</v>
      </c>
      <c r="I14" s="315">
        <v>0</v>
      </c>
      <c r="J14" s="327">
        <v>0</v>
      </c>
      <c r="K14" s="333">
        <f t="shared" si="0"/>
        <v>611.08000000000004</v>
      </c>
      <c r="L14" s="326">
        <v>302</v>
      </c>
      <c r="M14" s="315">
        <v>70</v>
      </c>
      <c r="N14" s="315">
        <v>0</v>
      </c>
      <c r="O14" s="315">
        <v>0</v>
      </c>
      <c r="P14" s="335">
        <f t="shared" si="1"/>
        <v>372</v>
      </c>
      <c r="Q14" s="315">
        <v>360</v>
      </c>
      <c r="R14" s="315">
        <v>84</v>
      </c>
      <c r="S14" s="315">
        <v>0</v>
      </c>
      <c r="T14" s="315">
        <v>0</v>
      </c>
      <c r="U14" s="335">
        <f t="shared" si="2"/>
        <v>444</v>
      </c>
      <c r="V14" s="315">
        <v>380</v>
      </c>
      <c r="W14" s="315">
        <v>82.02000000000001</v>
      </c>
      <c r="X14" s="315">
        <v>0</v>
      </c>
      <c r="Y14" s="315">
        <v>0</v>
      </c>
      <c r="Z14" s="335">
        <f t="shared" si="3"/>
        <v>462.02</v>
      </c>
      <c r="AA14" s="315">
        <v>238</v>
      </c>
      <c r="AB14" s="315">
        <v>50</v>
      </c>
      <c r="AC14" s="315">
        <v>0</v>
      </c>
      <c r="AD14" s="315">
        <v>0</v>
      </c>
      <c r="AE14" s="335">
        <f t="shared" si="4"/>
        <v>288</v>
      </c>
      <c r="AF14" s="315">
        <v>260</v>
      </c>
      <c r="AG14" s="315">
        <v>50.1</v>
      </c>
      <c r="AH14" s="315">
        <v>0</v>
      </c>
      <c r="AI14" s="315">
        <v>0</v>
      </c>
      <c r="AJ14" s="335">
        <f t="shared" si="5"/>
        <v>310.10000000000002</v>
      </c>
      <c r="AK14" s="315">
        <v>194</v>
      </c>
      <c r="AL14" s="315">
        <v>41.17</v>
      </c>
      <c r="AM14" s="315">
        <v>0</v>
      </c>
      <c r="AN14" s="315">
        <v>0</v>
      </c>
      <c r="AO14" s="335">
        <f t="shared" si="6"/>
        <v>235.17000000000002</v>
      </c>
      <c r="AP14" s="315">
        <v>194</v>
      </c>
      <c r="AQ14" s="315">
        <v>44.43</v>
      </c>
      <c r="AR14" s="315">
        <v>0</v>
      </c>
      <c r="AS14" s="315">
        <v>0</v>
      </c>
      <c r="AT14" s="335">
        <f t="shared" si="7"/>
        <v>238.43</v>
      </c>
      <c r="AU14" s="315">
        <v>176</v>
      </c>
      <c r="AV14" s="315">
        <v>40</v>
      </c>
      <c r="AW14" s="315">
        <v>0</v>
      </c>
      <c r="AX14" s="315">
        <v>0</v>
      </c>
      <c r="AY14" s="335">
        <f t="shared" si="8"/>
        <v>216</v>
      </c>
      <c r="AZ14" s="315">
        <v>196</v>
      </c>
      <c r="BA14" s="315">
        <v>30.44</v>
      </c>
      <c r="BB14" s="315">
        <v>0</v>
      </c>
      <c r="BC14" s="315">
        <v>0</v>
      </c>
      <c r="BD14" s="335">
        <f t="shared" si="9"/>
        <v>226.44</v>
      </c>
      <c r="BE14" s="315">
        <v>184</v>
      </c>
      <c r="BF14" s="315">
        <v>33.22</v>
      </c>
      <c r="BG14" s="315">
        <v>0</v>
      </c>
      <c r="BH14" s="315">
        <v>0</v>
      </c>
      <c r="BI14" s="335">
        <f t="shared" si="10"/>
        <v>217.22</v>
      </c>
      <c r="BJ14" s="315">
        <v>184</v>
      </c>
      <c r="BK14" s="315">
        <v>31.84</v>
      </c>
      <c r="BL14" s="315">
        <v>0</v>
      </c>
      <c r="BM14" s="315">
        <v>0</v>
      </c>
      <c r="BN14" s="335">
        <f t="shared" si="11"/>
        <v>215.84</v>
      </c>
    </row>
    <row r="15" spans="1:67" s="316" customFormat="1" ht="20.25" customHeight="1" x14ac:dyDescent="0.2">
      <c r="B15" s="317"/>
      <c r="C15" s="350"/>
      <c r="D15" s="350"/>
      <c r="E15" s="350"/>
      <c r="F15" s="350" t="s">
        <v>223</v>
      </c>
      <c r="G15" s="351">
        <f t="shared" ref="G15:BN15" si="12">SUBTOTAL(9,G6:G14)</f>
        <v>55232</v>
      </c>
      <c r="H15" s="351">
        <f t="shared" si="12"/>
        <v>10541.410000000002</v>
      </c>
      <c r="I15" s="351">
        <f t="shared" si="12"/>
        <v>0</v>
      </c>
      <c r="J15" s="351">
        <f t="shared" si="12"/>
        <v>0</v>
      </c>
      <c r="K15" s="352">
        <f t="shared" si="12"/>
        <v>65773.41</v>
      </c>
      <c r="L15" s="353">
        <f t="shared" si="12"/>
        <v>46352</v>
      </c>
      <c r="M15" s="353">
        <f t="shared" si="12"/>
        <v>9937.1999999999989</v>
      </c>
      <c r="N15" s="353">
        <f t="shared" si="12"/>
        <v>0</v>
      </c>
      <c r="O15" s="353">
        <f t="shared" si="12"/>
        <v>0</v>
      </c>
      <c r="P15" s="352">
        <f t="shared" si="12"/>
        <v>56289.2</v>
      </c>
      <c r="Q15" s="353">
        <f t="shared" si="12"/>
        <v>56970</v>
      </c>
      <c r="R15" s="353">
        <f t="shared" si="12"/>
        <v>11571.960000000003</v>
      </c>
      <c r="S15" s="353">
        <f t="shared" si="12"/>
        <v>0</v>
      </c>
      <c r="T15" s="353">
        <f t="shared" si="12"/>
        <v>0</v>
      </c>
      <c r="U15" s="352">
        <f t="shared" si="12"/>
        <v>68541.960000000006</v>
      </c>
      <c r="V15" s="353">
        <f t="shared" si="12"/>
        <v>63460</v>
      </c>
      <c r="W15" s="353">
        <f t="shared" si="12"/>
        <v>11957.37</v>
      </c>
      <c r="X15" s="353">
        <f t="shared" si="12"/>
        <v>0</v>
      </c>
      <c r="Y15" s="353">
        <f t="shared" si="12"/>
        <v>0</v>
      </c>
      <c r="Z15" s="352">
        <f t="shared" si="12"/>
        <v>75417.37000000001</v>
      </c>
      <c r="AA15" s="353">
        <f t="shared" si="12"/>
        <v>58852</v>
      </c>
      <c r="AB15" s="353">
        <f t="shared" si="12"/>
        <v>11733.470000000001</v>
      </c>
      <c r="AC15" s="353">
        <f t="shared" si="12"/>
        <v>0</v>
      </c>
      <c r="AD15" s="353">
        <f t="shared" si="12"/>
        <v>2678</v>
      </c>
      <c r="AE15" s="352">
        <f t="shared" si="12"/>
        <v>73263.47</v>
      </c>
      <c r="AF15" s="353">
        <f t="shared" si="12"/>
        <v>69902</v>
      </c>
      <c r="AG15" s="353">
        <f t="shared" si="12"/>
        <v>12861.040000000005</v>
      </c>
      <c r="AH15" s="353">
        <f t="shared" si="12"/>
        <v>0</v>
      </c>
      <c r="AI15" s="353">
        <f t="shared" si="12"/>
        <v>0</v>
      </c>
      <c r="AJ15" s="352">
        <f t="shared" si="12"/>
        <v>82763.040000000008</v>
      </c>
      <c r="AK15" s="353">
        <f t="shared" si="12"/>
        <v>63788</v>
      </c>
      <c r="AL15" s="353">
        <f t="shared" si="12"/>
        <v>12138.7</v>
      </c>
      <c r="AM15" s="353">
        <f t="shared" si="12"/>
        <v>0</v>
      </c>
      <c r="AN15" s="353">
        <f t="shared" si="12"/>
        <v>0</v>
      </c>
      <c r="AO15" s="352">
        <f t="shared" si="12"/>
        <v>75926.7</v>
      </c>
      <c r="AP15" s="353">
        <f t="shared" si="12"/>
        <v>65682</v>
      </c>
      <c r="AQ15" s="353">
        <f t="shared" si="12"/>
        <v>13067.439999999997</v>
      </c>
      <c r="AR15" s="353">
        <f t="shared" si="12"/>
        <v>0</v>
      </c>
      <c r="AS15" s="353">
        <f t="shared" si="12"/>
        <v>0</v>
      </c>
      <c r="AT15" s="352">
        <f t="shared" si="12"/>
        <v>78749.439999999988</v>
      </c>
      <c r="AU15" s="353">
        <f t="shared" si="12"/>
        <v>70630</v>
      </c>
      <c r="AV15" s="353">
        <f t="shared" si="12"/>
        <v>13893.880000000003</v>
      </c>
      <c r="AW15" s="353">
        <f t="shared" si="12"/>
        <v>0</v>
      </c>
      <c r="AX15" s="353">
        <f t="shared" si="12"/>
        <v>3015</v>
      </c>
      <c r="AY15" s="352">
        <f t="shared" si="12"/>
        <v>87538.87999999999</v>
      </c>
      <c r="AZ15" s="353">
        <f t="shared" si="12"/>
        <v>70542</v>
      </c>
      <c r="BA15" s="353">
        <f t="shared" si="12"/>
        <v>13078.77</v>
      </c>
      <c r="BB15" s="353">
        <f t="shared" si="12"/>
        <v>0</v>
      </c>
      <c r="BC15" s="353">
        <f t="shared" si="12"/>
        <v>0</v>
      </c>
      <c r="BD15" s="352">
        <f t="shared" si="12"/>
        <v>83620.77</v>
      </c>
      <c r="BE15" s="353">
        <f t="shared" si="12"/>
        <v>65454</v>
      </c>
      <c r="BF15" s="353">
        <f t="shared" si="12"/>
        <v>10860.760000000002</v>
      </c>
      <c r="BG15" s="353">
        <f t="shared" si="12"/>
        <v>0</v>
      </c>
      <c r="BH15" s="353">
        <f t="shared" si="12"/>
        <v>0</v>
      </c>
      <c r="BI15" s="352">
        <f t="shared" si="12"/>
        <v>76314.760000000009</v>
      </c>
      <c r="BJ15" s="353">
        <f t="shared" si="12"/>
        <v>62902</v>
      </c>
      <c r="BK15" s="353">
        <f t="shared" si="12"/>
        <v>11174.090000000002</v>
      </c>
      <c r="BL15" s="353">
        <f t="shared" si="12"/>
        <v>0</v>
      </c>
      <c r="BM15" s="353">
        <f t="shared" si="12"/>
        <v>0</v>
      </c>
      <c r="BN15" s="352">
        <f t="shared" si="12"/>
        <v>74076.09</v>
      </c>
    </row>
    <row r="17" spans="1:66" x14ac:dyDescent="0.25">
      <c r="B17" s="342" t="s">
        <v>1321</v>
      </c>
      <c r="C17" s="343" t="s">
        <v>1320</v>
      </c>
      <c r="D17" s="343"/>
      <c r="E17" s="343"/>
      <c r="F17" s="316" t="s">
        <v>1306</v>
      </c>
      <c r="G17" s="344"/>
      <c r="H17" s="344"/>
      <c r="I17" s="344"/>
      <c r="J17" s="344"/>
      <c r="K17" s="345">
        <f>K18+K19</f>
        <v>4357.9079999999994</v>
      </c>
      <c r="L17" s="345"/>
      <c r="M17" s="345"/>
      <c r="N17" s="345"/>
      <c r="O17" s="345"/>
      <c r="P17" s="345">
        <f>P18+P19</f>
        <v>6545.2999999999993</v>
      </c>
      <c r="Q17" s="345"/>
      <c r="R17" s="345"/>
      <c r="S17" s="345"/>
      <c r="T17" s="345"/>
      <c r="U17" s="345">
        <f>U18+U19</f>
        <v>9498.1918999999998</v>
      </c>
      <c r="V17" s="345"/>
      <c r="W17" s="345"/>
      <c r="X17" s="345"/>
      <c r="Y17" s="345"/>
      <c r="Z17" s="345">
        <f>Z18+Z19</f>
        <v>8856.6529999999984</v>
      </c>
      <c r="AA17" s="345"/>
      <c r="AB17" s="345"/>
      <c r="AC17" s="345"/>
      <c r="AD17" s="345"/>
      <c r="AE17" s="345">
        <f>AE18+AE19</f>
        <v>10130.725</v>
      </c>
      <c r="AF17" s="345"/>
      <c r="AG17" s="345"/>
      <c r="AH17" s="345"/>
      <c r="AI17" s="345"/>
      <c r="AJ17" s="345">
        <f>AJ18+AJ19</f>
        <v>9066.3140000000003</v>
      </c>
      <c r="AK17" s="345"/>
      <c r="AL17" s="345"/>
      <c r="AM17" s="345"/>
      <c r="AN17" s="345"/>
      <c r="AO17" s="345">
        <f>AO18+AO19</f>
        <v>9513.3029999999999</v>
      </c>
      <c r="AP17" s="345"/>
      <c r="AQ17" s="345"/>
      <c r="AR17" s="345"/>
      <c r="AS17" s="345"/>
      <c r="AT17" s="345">
        <f>AT18+AT19</f>
        <v>10136.465</v>
      </c>
      <c r="AU17" s="345"/>
      <c r="AV17" s="345"/>
      <c r="AW17" s="345"/>
      <c r="AX17" s="345"/>
      <c r="AY17" s="345">
        <f>AY18+AY19</f>
        <v>10131.881000000001</v>
      </c>
      <c r="AZ17" s="345"/>
      <c r="BA17" s="345"/>
      <c r="BB17" s="345"/>
      <c r="BC17" s="345"/>
      <c r="BD17" s="345">
        <f>BD18+BD19</f>
        <v>9147.7219999999998</v>
      </c>
      <c r="BE17" s="345"/>
      <c r="BF17" s="345"/>
      <c r="BG17" s="345"/>
      <c r="BH17" s="345"/>
      <c r="BI17" s="345">
        <f>BI18+BI19</f>
        <v>7082.5690000000004</v>
      </c>
      <c r="BJ17" s="316"/>
      <c r="BK17" s="316"/>
      <c r="BL17" s="316"/>
      <c r="BM17" s="316"/>
      <c r="BN17" s="345">
        <f>BN18+BN19</f>
        <v>2988</v>
      </c>
    </row>
    <row r="18" spans="1:66" hidden="1" outlineLevel="1" x14ac:dyDescent="0.25">
      <c r="E18" s="305" t="s">
        <v>1327</v>
      </c>
      <c r="F18" s="346" t="s">
        <v>1318</v>
      </c>
      <c r="G18" s="347"/>
      <c r="H18" s="347"/>
      <c r="I18" s="347"/>
      <c r="J18" s="347"/>
      <c r="K18" s="348">
        <f>SLSX!D3+SLSX!D4</f>
        <v>1590.7339999999999</v>
      </c>
      <c r="L18" s="348"/>
      <c r="M18" s="348"/>
      <c r="N18" s="348"/>
      <c r="O18" s="348"/>
      <c r="P18" s="348">
        <f>SLSX!E3+SLSX!E4</f>
        <v>2618.14</v>
      </c>
      <c r="Q18" s="348"/>
      <c r="R18" s="348"/>
      <c r="S18" s="348"/>
      <c r="T18" s="348"/>
      <c r="U18" s="348">
        <f>SLSX!F3+SLSX!F4</f>
        <v>4353.3959999999997</v>
      </c>
      <c r="V18" s="348"/>
      <c r="W18" s="348"/>
      <c r="X18" s="348"/>
      <c r="Y18" s="348"/>
      <c r="Z18" s="348">
        <f>SLSX!G3+SLSX!G4</f>
        <v>3665.8779999999997</v>
      </c>
      <c r="AA18" s="348"/>
      <c r="AB18" s="348"/>
      <c r="AC18" s="348"/>
      <c r="AD18" s="348"/>
      <c r="AE18" s="348">
        <f>SLSX!H3+SLSX!H4</f>
        <v>4250.3620000000001</v>
      </c>
      <c r="AF18" s="348"/>
      <c r="AG18" s="348"/>
      <c r="AH18" s="348"/>
      <c r="AI18" s="348"/>
      <c r="AJ18" s="348">
        <f>SLSX!I3+SLSX!I4</f>
        <v>3840.9380000000001</v>
      </c>
      <c r="AK18" s="348"/>
      <c r="AL18" s="348"/>
      <c r="AM18" s="348"/>
      <c r="AN18" s="348"/>
      <c r="AO18" s="348">
        <f>SLSX!J3+SLSX!J4</f>
        <v>4147.8</v>
      </c>
      <c r="AP18" s="348"/>
      <c r="AQ18" s="348"/>
      <c r="AR18" s="348"/>
      <c r="AS18" s="348"/>
      <c r="AT18" s="348">
        <f>SLSX!K3+SLSX!K4</f>
        <v>4184.9000000000005</v>
      </c>
      <c r="AU18" s="348"/>
      <c r="AV18" s="348"/>
      <c r="AW18" s="348"/>
      <c r="AX18" s="348"/>
      <c r="AY18" s="348">
        <f>SLSX!L3+SLSX!L4</f>
        <v>4163.55</v>
      </c>
      <c r="AZ18" s="348"/>
      <c r="BA18" s="348"/>
      <c r="BB18" s="348"/>
      <c r="BC18" s="348"/>
      <c r="BD18" s="348">
        <f>SLSX!M3+SLSX!M4</f>
        <v>2698.5499999999997</v>
      </c>
      <c r="BE18" s="348"/>
      <c r="BF18" s="348"/>
      <c r="BG18" s="348"/>
      <c r="BH18" s="348"/>
      <c r="BI18" s="348">
        <f>SLSX!N3+SLSX!N4</f>
        <v>1923.509</v>
      </c>
      <c r="BJ18" s="349"/>
      <c r="BK18" s="349"/>
      <c r="BL18" s="349"/>
      <c r="BM18" s="349"/>
      <c r="BN18" s="348">
        <f>SLSX!O3+SLSX!O4</f>
        <v>2988</v>
      </c>
    </row>
    <row r="19" spans="1:66" hidden="1" outlineLevel="1" x14ac:dyDescent="0.25">
      <c r="E19" s="305" t="s">
        <v>1328</v>
      </c>
      <c r="F19" s="346" t="s">
        <v>1319</v>
      </c>
      <c r="G19" s="347"/>
      <c r="H19" s="347"/>
      <c r="I19" s="347"/>
      <c r="J19" s="347"/>
      <c r="K19" s="348">
        <f>SLSX!D5+SLSX!D6</f>
        <v>2767.174</v>
      </c>
      <c r="L19" s="348"/>
      <c r="M19" s="348"/>
      <c r="N19" s="348"/>
      <c r="O19" s="348"/>
      <c r="P19" s="348">
        <f>SLSX!E5+SLSX!E6</f>
        <v>3927.16</v>
      </c>
      <c r="Q19" s="348"/>
      <c r="R19" s="348"/>
      <c r="S19" s="348"/>
      <c r="T19" s="348"/>
      <c r="U19" s="348">
        <f>SLSX!F5+SLSX!F6</f>
        <v>5144.7959000000001</v>
      </c>
      <c r="V19" s="348"/>
      <c r="W19" s="348"/>
      <c r="X19" s="348"/>
      <c r="Y19" s="348"/>
      <c r="Z19" s="348">
        <f>SLSX!G5+SLSX!G6</f>
        <v>5190.7749999999996</v>
      </c>
      <c r="AA19" s="348"/>
      <c r="AB19" s="348"/>
      <c r="AC19" s="348"/>
      <c r="AD19" s="348"/>
      <c r="AE19" s="348">
        <f>SLSX!H5+SLSX!H6</f>
        <v>5880.3630000000003</v>
      </c>
      <c r="AF19" s="348"/>
      <c r="AG19" s="348"/>
      <c r="AH19" s="348"/>
      <c r="AI19" s="348"/>
      <c r="AJ19" s="348">
        <f>SLSX!I5+SLSX!I6</f>
        <v>5225.3760000000002</v>
      </c>
      <c r="AK19" s="348"/>
      <c r="AL19" s="348"/>
      <c r="AM19" s="348"/>
      <c r="AN19" s="348"/>
      <c r="AO19" s="348">
        <f>SLSX!J5+SLSX!J6</f>
        <v>5365.5030000000006</v>
      </c>
      <c r="AP19" s="348"/>
      <c r="AQ19" s="348"/>
      <c r="AR19" s="348"/>
      <c r="AS19" s="348"/>
      <c r="AT19" s="348">
        <f>SLSX!K5+SLSX!K6</f>
        <v>5951.5650000000005</v>
      </c>
      <c r="AU19" s="348"/>
      <c r="AV19" s="348"/>
      <c r="AW19" s="348"/>
      <c r="AX19" s="348"/>
      <c r="AY19" s="348">
        <f>SLSX!L5+SLSX!L6</f>
        <v>5968.3310000000001</v>
      </c>
      <c r="AZ19" s="348"/>
      <c r="BA19" s="348"/>
      <c r="BB19" s="348"/>
      <c r="BC19" s="348"/>
      <c r="BD19" s="348">
        <f>SLSX!M5+SLSX!M6</f>
        <v>6449.1720000000005</v>
      </c>
      <c r="BE19" s="348"/>
      <c r="BF19" s="348"/>
      <c r="BG19" s="348"/>
      <c r="BH19" s="348"/>
      <c r="BI19" s="348">
        <f>SLSX!N5+SLSX!N6</f>
        <v>5159.0600000000004</v>
      </c>
      <c r="BJ19" s="349"/>
      <c r="BK19" s="349"/>
      <c r="BL19" s="349"/>
      <c r="BM19" s="349"/>
      <c r="BN19" s="348">
        <f>SLSX!O5+SLSX!O6</f>
        <v>0</v>
      </c>
    </row>
    <row r="20" spans="1:66" collapsed="1" x14ac:dyDescent="0.25">
      <c r="F20" s="316" t="s">
        <v>1307</v>
      </c>
      <c r="G20" s="344"/>
      <c r="H20" s="344"/>
      <c r="I20" s="344"/>
      <c r="J20" s="344"/>
      <c r="K20" s="345">
        <f>K21+K22</f>
        <v>647.65699999999993</v>
      </c>
      <c r="L20" s="345"/>
      <c r="M20" s="345"/>
      <c r="N20" s="345"/>
      <c r="O20" s="345"/>
      <c r="P20" s="345">
        <f>P21+P22</f>
        <v>831.63099999999997</v>
      </c>
      <c r="Q20" s="345"/>
      <c r="R20" s="345"/>
      <c r="S20" s="345"/>
      <c r="T20" s="345"/>
      <c r="U20" s="345">
        <f>U21+U22</f>
        <v>977.38299999999992</v>
      </c>
      <c r="V20" s="345"/>
      <c r="W20" s="345"/>
      <c r="X20" s="345"/>
      <c r="Y20" s="345"/>
      <c r="Z20" s="345">
        <f>Z21+Z22</f>
        <v>929.88800000000015</v>
      </c>
      <c r="AA20" s="345"/>
      <c r="AB20" s="345"/>
      <c r="AC20" s="345"/>
      <c r="AD20" s="345"/>
      <c r="AE20" s="345">
        <f>AE21+AE22</f>
        <v>823.60899999999992</v>
      </c>
      <c r="AF20" s="345"/>
      <c r="AG20" s="345"/>
      <c r="AH20" s="345"/>
      <c r="AI20" s="345"/>
      <c r="AJ20" s="345">
        <f>AJ21+AJ22</f>
        <v>935.18400000000008</v>
      </c>
      <c r="AK20" s="345"/>
      <c r="AL20" s="345"/>
      <c r="AM20" s="345"/>
      <c r="AN20" s="345"/>
      <c r="AO20" s="345">
        <f>AO21+AO22</f>
        <v>533.23199999999997</v>
      </c>
      <c r="AP20" s="345"/>
      <c r="AQ20" s="345"/>
      <c r="AR20" s="345"/>
      <c r="AS20" s="345"/>
      <c r="AT20" s="345">
        <f>AT21+AT22</f>
        <v>865.79750000000013</v>
      </c>
      <c r="AU20" s="345"/>
      <c r="AV20" s="345"/>
      <c r="AW20" s="345"/>
      <c r="AX20" s="345"/>
      <c r="AY20" s="345">
        <f>AY21+AY22</f>
        <v>695.84050000000002</v>
      </c>
      <c r="AZ20" s="345"/>
      <c r="BA20" s="345"/>
      <c r="BB20" s="345"/>
      <c r="BC20" s="345"/>
      <c r="BD20" s="345">
        <f>BD21+BD22</f>
        <v>923.34300000000007</v>
      </c>
      <c r="BE20" s="345"/>
      <c r="BF20" s="345"/>
      <c r="BG20" s="345"/>
      <c r="BH20" s="345"/>
      <c r="BI20" s="345">
        <f>BI21+BI22</f>
        <v>713.01599999999996</v>
      </c>
      <c r="BJ20" s="316"/>
      <c r="BK20" s="316"/>
      <c r="BL20" s="316"/>
      <c r="BM20" s="316"/>
      <c r="BN20" s="345">
        <f>BN21+BN22</f>
        <v>313</v>
      </c>
    </row>
    <row r="21" spans="1:66" hidden="1" outlineLevel="1" x14ac:dyDescent="0.25">
      <c r="E21" s="305" t="s">
        <v>1327</v>
      </c>
      <c r="F21" s="346" t="s">
        <v>1318</v>
      </c>
      <c r="G21" s="347"/>
      <c r="H21" s="347"/>
      <c r="I21" s="347"/>
      <c r="J21" s="347"/>
      <c r="K21" s="348">
        <f>SLSX!D9+SLSX!D10+SLSX!D11</f>
        <v>248.99699999999999</v>
      </c>
      <c r="L21" s="348"/>
      <c r="M21" s="348"/>
      <c r="N21" s="348"/>
      <c r="O21" s="348"/>
      <c r="P21" s="348">
        <f>SLSX!E9+SLSX!E10+SLSX!E11</f>
        <v>339.12599999999998</v>
      </c>
      <c r="Q21" s="348"/>
      <c r="R21" s="348"/>
      <c r="S21" s="348"/>
      <c r="T21" s="348"/>
      <c r="U21" s="348">
        <f>SLSX!F9+SLSX!F10+SLSX!F11</f>
        <v>468.524</v>
      </c>
      <c r="V21" s="348"/>
      <c r="W21" s="348"/>
      <c r="X21" s="348"/>
      <c r="Y21" s="348"/>
      <c r="Z21" s="348">
        <f>SLSX!G9+SLSX!G10+SLSX!G11</f>
        <v>422.37099999999998</v>
      </c>
      <c r="AA21" s="348"/>
      <c r="AB21" s="348"/>
      <c r="AC21" s="348"/>
      <c r="AD21" s="348"/>
      <c r="AE21" s="348">
        <f>SLSX!H9+SLSX!H10+SLSX!H11</f>
        <v>578.60899999999992</v>
      </c>
      <c r="AF21" s="348"/>
      <c r="AG21" s="348"/>
      <c r="AH21" s="348"/>
      <c r="AI21" s="348"/>
      <c r="AJ21" s="348">
        <f>SLSX!I9+SLSX!I10+SLSX!I11</f>
        <v>391.51499999999999</v>
      </c>
      <c r="AK21" s="348"/>
      <c r="AL21" s="348"/>
      <c r="AM21" s="348"/>
      <c r="AN21" s="348"/>
      <c r="AO21" s="348">
        <f>SLSX!J9+SLSX!J10+SLSX!J11</f>
        <v>413.84100000000001</v>
      </c>
      <c r="AP21" s="348"/>
      <c r="AQ21" s="348"/>
      <c r="AR21" s="348"/>
      <c r="AS21" s="348"/>
      <c r="AT21" s="348">
        <f>SLSX!K9+SLSX!K10+SLSX!K11</f>
        <v>385.66450000000003</v>
      </c>
      <c r="AU21" s="348"/>
      <c r="AV21" s="348"/>
      <c r="AW21" s="348"/>
      <c r="AX21" s="348"/>
      <c r="AY21" s="348">
        <f>SLSX!L9+SLSX!L10+SLSX!L11</f>
        <v>391.95800000000003</v>
      </c>
      <c r="AZ21" s="348"/>
      <c r="BA21" s="348"/>
      <c r="BB21" s="348"/>
      <c r="BC21" s="348"/>
      <c r="BD21" s="348">
        <f>SLSX!M9+SLSX!M10+SLSX!M11</f>
        <v>475.36800000000005</v>
      </c>
      <c r="BE21" s="348"/>
      <c r="BF21" s="348"/>
      <c r="BG21" s="348"/>
      <c r="BH21" s="348"/>
      <c r="BI21" s="348">
        <f>SLSX!N9+SLSX!N10+SLSX!N11</f>
        <v>399.75399999999996</v>
      </c>
      <c r="BJ21" s="349"/>
      <c r="BK21" s="349"/>
      <c r="BL21" s="349"/>
      <c r="BM21" s="349"/>
      <c r="BN21" s="348">
        <f>SLSX!O9+SLSX!O10+SLSX!O11</f>
        <v>313</v>
      </c>
    </row>
    <row r="22" spans="1:66" hidden="1" outlineLevel="1" x14ac:dyDescent="0.25">
      <c r="E22" s="305" t="s">
        <v>1328</v>
      </c>
      <c r="F22" s="346" t="s">
        <v>1319</v>
      </c>
      <c r="G22" s="347"/>
      <c r="H22" s="347"/>
      <c r="I22" s="347"/>
      <c r="J22" s="347"/>
      <c r="K22" s="348">
        <f>SLSX!D12+SLSX!D13</f>
        <v>398.65999999999991</v>
      </c>
      <c r="L22" s="348"/>
      <c r="M22" s="348"/>
      <c r="N22" s="348"/>
      <c r="O22" s="348"/>
      <c r="P22" s="348">
        <f>SLSX!E12+SLSX!E13</f>
        <v>492.505</v>
      </c>
      <c r="Q22" s="348"/>
      <c r="R22" s="348"/>
      <c r="S22" s="348"/>
      <c r="T22" s="348"/>
      <c r="U22" s="348">
        <f>SLSX!F12+SLSX!F13</f>
        <v>508.85899999999992</v>
      </c>
      <c r="V22" s="348"/>
      <c r="W22" s="348"/>
      <c r="X22" s="348"/>
      <c r="Y22" s="348"/>
      <c r="Z22" s="348">
        <f>SLSX!G12+SLSX!G13</f>
        <v>507.51700000000011</v>
      </c>
      <c r="AA22" s="348"/>
      <c r="AB22" s="348"/>
      <c r="AC22" s="348"/>
      <c r="AD22" s="348"/>
      <c r="AE22" s="348">
        <f>SLSX!H12+SLSX!H13</f>
        <v>245.00000000000006</v>
      </c>
      <c r="AF22" s="348"/>
      <c r="AG22" s="348"/>
      <c r="AH22" s="348"/>
      <c r="AI22" s="348"/>
      <c r="AJ22" s="348">
        <f>SLSX!I12+SLSX!I13</f>
        <v>543.6690000000001</v>
      </c>
      <c r="AK22" s="348"/>
      <c r="AL22" s="348"/>
      <c r="AM22" s="348"/>
      <c r="AN22" s="348"/>
      <c r="AO22" s="348">
        <f>SLSX!J12+SLSX!J13</f>
        <v>119.39100000000001</v>
      </c>
      <c r="AP22" s="348"/>
      <c r="AQ22" s="348"/>
      <c r="AR22" s="348"/>
      <c r="AS22" s="348"/>
      <c r="AT22" s="348">
        <f>SLSX!K12+SLSX!K13</f>
        <v>480.13300000000004</v>
      </c>
      <c r="AU22" s="348"/>
      <c r="AV22" s="348"/>
      <c r="AW22" s="348"/>
      <c r="AX22" s="348"/>
      <c r="AY22" s="348">
        <f>SLSX!L12+SLSX!L13</f>
        <v>303.88250000000005</v>
      </c>
      <c r="AZ22" s="348"/>
      <c r="BA22" s="348"/>
      <c r="BB22" s="348"/>
      <c r="BC22" s="348"/>
      <c r="BD22" s="348">
        <f>SLSX!M12+SLSX!M13</f>
        <v>447.97500000000002</v>
      </c>
      <c r="BE22" s="348"/>
      <c r="BF22" s="348"/>
      <c r="BG22" s="348"/>
      <c r="BH22" s="348"/>
      <c r="BI22" s="348">
        <f>SLSX!N12+SLSX!N13</f>
        <v>313.262</v>
      </c>
      <c r="BJ22" s="349"/>
      <c r="BK22" s="349"/>
      <c r="BL22" s="349"/>
      <c r="BM22" s="349"/>
      <c r="BN22" s="348">
        <f>SLSX!O12+SLSX!O13</f>
        <v>0</v>
      </c>
    </row>
    <row r="23" spans="1:66" collapsed="1" x14ac:dyDescent="0.25">
      <c r="P23" s="306"/>
      <c r="U23" s="306"/>
      <c r="Z23" s="306"/>
      <c r="AE23" s="306"/>
      <c r="AJ23" s="306"/>
      <c r="AO23" s="306"/>
      <c r="AT23" s="306"/>
      <c r="AY23" s="306"/>
      <c r="BD23" s="306"/>
      <c r="BI23" s="306"/>
      <c r="BN23" s="306"/>
    </row>
    <row r="24" spans="1:66" x14ac:dyDescent="0.25">
      <c r="B24" s="342" t="s">
        <v>1322</v>
      </c>
      <c r="C24" s="343" t="s">
        <v>1308</v>
      </c>
      <c r="D24" s="343"/>
      <c r="E24" s="343"/>
      <c r="F24" s="316" t="s">
        <v>1306</v>
      </c>
      <c r="K24" s="345">
        <f>K25+K26</f>
        <v>44725.69</v>
      </c>
      <c r="L24" s="345"/>
      <c r="M24" s="345"/>
      <c r="N24" s="345"/>
      <c r="O24" s="345"/>
      <c r="P24" s="345">
        <f>P25+P26</f>
        <v>39206.119999999995</v>
      </c>
      <c r="Q24" s="345"/>
      <c r="R24" s="345"/>
      <c r="S24" s="345"/>
      <c r="T24" s="345"/>
      <c r="U24" s="345">
        <f>U25+U26</f>
        <v>48073.46</v>
      </c>
      <c r="V24" s="345"/>
      <c r="W24" s="345"/>
      <c r="X24" s="345"/>
      <c r="Y24" s="345"/>
      <c r="Z24" s="345">
        <f>Z25+Z26</f>
        <v>53319.459999999992</v>
      </c>
      <c r="AA24" s="345"/>
      <c r="AB24" s="345"/>
      <c r="AC24" s="345"/>
      <c r="AD24" s="345"/>
      <c r="AE24" s="345">
        <f>AE25+AE26</f>
        <v>52442.91</v>
      </c>
      <c r="AF24" s="345"/>
      <c r="AG24" s="345"/>
      <c r="AH24" s="345"/>
      <c r="AI24" s="345"/>
      <c r="AJ24" s="345">
        <f>AJ25+AJ26</f>
        <v>57562.270000000004</v>
      </c>
      <c r="AK24" s="345"/>
      <c r="AL24" s="345"/>
      <c r="AM24" s="345"/>
      <c r="AN24" s="345"/>
      <c r="AO24" s="345">
        <f>AO25+AO26</f>
        <v>53727.420000000006</v>
      </c>
      <c r="AP24" s="345"/>
      <c r="AQ24" s="345"/>
      <c r="AR24" s="345"/>
      <c r="AS24" s="345"/>
      <c r="AT24" s="345">
        <f>AT25+AT26</f>
        <v>56885.11</v>
      </c>
      <c r="AU24" s="345"/>
      <c r="AV24" s="345"/>
      <c r="AW24" s="345"/>
      <c r="AX24" s="345"/>
      <c r="AY24" s="345">
        <f>AY25+AY26</f>
        <v>65020.400000000009</v>
      </c>
      <c r="AZ24" s="345"/>
      <c r="BA24" s="345"/>
      <c r="BB24" s="345"/>
      <c r="BC24" s="345"/>
      <c r="BD24" s="345">
        <f>BD25+BD26</f>
        <v>61540.19</v>
      </c>
      <c r="BE24" s="345"/>
      <c r="BF24" s="345"/>
      <c r="BG24" s="345"/>
      <c r="BH24" s="345"/>
      <c r="BI24" s="345">
        <f>BI25+BI26</f>
        <v>55740.890000000007</v>
      </c>
      <c r="BJ24" s="316"/>
      <c r="BK24" s="316"/>
      <c r="BL24" s="316"/>
      <c r="BM24" s="316"/>
      <c r="BN24" s="345">
        <f>BN25+BN26</f>
        <v>54188.47</v>
      </c>
    </row>
    <row r="25" spans="1:66" x14ac:dyDescent="0.25">
      <c r="B25" s="342"/>
      <c r="C25" s="343"/>
      <c r="D25" s="343"/>
      <c r="E25" s="343"/>
      <c r="F25" s="355" t="s">
        <v>12</v>
      </c>
      <c r="K25" s="348">
        <f>SUMIFS(K$6:K$14,$D$6:$D$14,$F$24,$E$6:$E$14,$F25)</f>
        <v>5646.36</v>
      </c>
      <c r="L25" s="348"/>
      <c r="M25" s="348"/>
      <c r="N25" s="348"/>
      <c r="O25" s="348"/>
      <c r="P25" s="348">
        <f>SUMIFS(P$6:P$14,$D$6:$D$14,$F$24,$E$6:$E$14,$F25)</f>
        <v>4663.21</v>
      </c>
      <c r="Q25" s="348"/>
      <c r="R25" s="348"/>
      <c r="S25" s="348"/>
      <c r="T25" s="348"/>
      <c r="U25" s="348">
        <f>SUMIFS(U$6:U$14,$D$6:$D$14,$F$24,$E$6:$E$14,$F25)</f>
        <v>6192.14</v>
      </c>
      <c r="V25" s="348"/>
      <c r="W25" s="348"/>
      <c r="X25" s="348"/>
      <c r="Y25" s="348"/>
      <c r="Z25" s="348">
        <f>SUMIFS(Z$6:Z$14,$D$6:$D$14,$F$24,$E$6:$E$14,$F25)</f>
        <v>6762.16</v>
      </c>
      <c r="AA25" s="348"/>
      <c r="AB25" s="348"/>
      <c r="AC25" s="348"/>
      <c r="AD25" s="348"/>
      <c r="AE25" s="348">
        <f>SUMIFS(AE$6:AE$14,$D$6:$D$14,$F$24,$E$6:$E$14,$F25)</f>
        <v>6381.07</v>
      </c>
      <c r="AF25" s="348"/>
      <c r="AG25" s="348"/>
      <c r="AH25" s="348"/>
      <c r="AI25" s="348"/>
      <c r="AJ25" s="348">
        <f>SUMIFS(AJ$6:AJ$14,$D$6:$D$14,$F$24,$E$6:$E$14,$F25)</f>
        <v>7041.58</v>
      </c>
      <c r="AK25" s="348"/>
      <c r="AL25" s="348"/>
      <c r="AM25" s="348"/>
      <c r="AN25" s="348"/>
      <c r="AO25" s="348">
        <f>SUMIFS(AO$6:AO$14,$D$6:$D$14,$F$24,$E$6:$E$14,$F25)</f>
        <v>6656.22</v>
      </c>
      <c r="AP25" s="348"/>
      <c r="AQ25" s="348"/>
      <c r="AR25" s="348"/>
      <c r="AS25" s="348"/>
      <c r="AT25" s="348">
        <f>SUMIFS(AT$6:AT$14,$D$6:$D$14,$F$24,$E$6:$E$14,$F25)</f>
        <v>6523.06</v>
      </c>
      <c r="AU25" s="348"/>
      <c r="AV25" s="348"/>
      <c r="AW25" s="348"/>
      <c r="AX25" s="348"/>
      <c r="AY25" s="348">
        <f>SUMIFS(AY$6:AY$14,$D$6:$D$14,$F$24,$E$6:$E$14,$F25)</f>
        <v>6746.62</v>
      </c>
      <c r="AZ25" s="348"/>
      <c r="BA25" s="348"/>
      <c r="BB25" s="348"/>
      <c r="BC25" s="348"/>
      <c r="BD25" s="348">
        <f>SUMIFS(BD$6:BD$14,$D$6:$D$14,$F$24,$E$6:$E$14,$F25)</f>
        <v>6216.65</v>
      </c>
      <c r="BE25" s="348"/>
      <c r="BF25" s="348"/>
      <c r="BG25" s="348"/>
      <c r="BH25" s="348"/>
      <c r="BI25" s="348">
        <f>SUMIFS(BI$6:BI$14,$D$6:$D$14,$F$24,$E$6:$E$14,$F25)</f>
        <v>5768.82</v>
      </c>
      <c r="BJ25" s="349"/>
      <c r="BK25" s="349"/>
      <c r="BL25" s="349"/>
      <c r="BM25" s="349"/>
      <c r="BN25" s="348">
        <f>SUMIFS(BN$6:BN$14,$D$6:$D$14,$F$24,$E$6:$E$14,$F25)</f>
        <v>5728.27</v>
      </c>
    </row>
    <row r="26" spans="1:66" x14ac:dyDescent="0.25">
      <c r="B26" s="342"/>
      <c r="C26" s="343"/>
      <c r="D26" s="343"/>
      <c r="E26" s="343"/>
      <c r="F26" s="356" t="s">
        <v>13</v>
      </c>
      <c r="K26" s="348">
        <f>SUMIFS(K$6:K$14,$D$6:$D$14,$F$24,$E$6:$E$14,$F26)</f>
        <v>39079.33</v>
      </c>
      <c r="L26" s="348"/>
      <c r="M26" s="348"/>
      <c r="N26" s="348"/>
      <c r="O26" s="348"/>
      <c r="P26" s="348">
        <f>SUMIFS(P$6:P$14,$D$6:$D$14,$F$24,$E$6:$E$14,$F26)</f>
        <v>34542.909999999996</v>
      </c>
      <c r="Q26" s="348"/>
      <c r="R26" s="348"/>
      <c r="S26" s="348"/>
      <c r="T26" s="348"/>
      <c r="U26" s="348">
        <f>SUMIFS(U$6:U$14,$D$6:$D$14,$F$24,$E$6:$E$14,$F26)</f>
        <v>41881.32</v>
      </c>
      <c r="V26" s="348"/>
      <c r="W26" s="348"/>
      <c r="X26" s="348"/>
      <c r="Y26" s="348"/>
      <c r="Z26" s="348">
        <f>SUMIFS(Z$6:Z$14,$D$6:$D$14,$F$24,$E$6:$E$14,$F26)</f>
        <v>46557.299999999996</v>
      </c>
      <c r="AA26" s="348"/>
      <c r="AB26" s="348"/>
      <c r="AC26" s="348"/>
      <c r="AD26" s="348"/>
      <c r="AE26" s="348">
        <f>SUMIFS(AE$6:AE$14,$D$6:$D$14,$F$24,$E$6:$E$14,$F26)</f>
        <v>46061.840000000004</v>
      </c>
      <c r="AF26" s="348"/>
      <c r="AG26" s="348"/>
      <c r="AH26" s="348"/>
      <c r="AI26" s="348"/>
      <c r="AJ26" s="348">
        <f>SUMIFS(AJ$6:AJ$14,$D$6:$D$14,$F$24,$E$6:$E$14,$F26)</f>
        <v>50520.69</v>
      </c>
      <c r="AK26" s="348"/>
      <c r="AL26" s="348"/>
      <c r="AM26" s="348"/>
      <c r="AN26" s="348"/>
      <c r="AO26" s="348">
        <f>SUMIFS(AO$6:AO$14,$D$6:$D$14,$F$24,$E$6:$E$14,$F26)</f>
        <v>47071.200000000004</v>
      </c>
      <c r="AP26" s="348"/>
      <c r="AQ26" s="348"/>
      <c r="AR26" s="348"/>
      <c r="AS26" s="348"/>
      <c r="AT26" s="348">
        <f>SUMIFS(AT$6:AT$14,$D$6:$D$14,$F$24,$E$6:$E$14,$F26)</f>
        <v>50362.05</v>
      </c>
      <c r="AU26" s="348"/>
      <c r="AV26" s="348"/>
      <c r="AW26" s="348"/>
      <c r="AX26" s="348"/>
      <c r="AY26" s="348">
        <f>SUMIFS(AY$6:AY$14,$D$6:$D$14,$F$24,$E$6:$E$14,$F26)</f>
        <v>58273.780000000006</v>
      </c>
      <c r="AZ26" s="348"/>
      <c r="BA26" s="348"/>
      <c r="BB26" s="348"/>
      <c r="BC26" s="348"/>
      <c r="BD26" s="348">
        <f>SUMIFS(BD$6:BD$14,$D$6:$D$14,$F$24,$E$6:$E$14,$F26)</f>
        <v>55323.54</v>
      </c>
      <c r="BE26" s="348"/>
      <c r="BF26" s="348"/>
      <c r="BG26" s="348"/>
      <c r="BH26" s="348"/>
      <c r="BI26" s="348">
        <f>SUMIFS(BI$6:BI$14,$D$6:$D$14,$F$24,$E$6:$E$14,$F26)</f>
        <v>49972.070000000007</v>
      </c>
      <c r="BJ26" s="349"/>
      <c r="BK26" s="349"/>
      <c r="BL26" s="349"/>
      <c r="BM26" s="349"/>
      <c r="BN26" s="348">
        <f>SUMIFS(BN$6:BN$14,$D$6:$D$14,$F$24,$E$6:$E$14,$F26)</f>
        <v>48460.200000000004</v>
      </c>
    </row>
    <row r="27" spans="1:66" x14ac:dyDescent="0.25">
      <c r="F27" s="316" t="s">
        <v>1307</v>
      </c>
      <c r="K27" s="345">
        <f>K28+K29</f>
        <v>9740.7199999999993</v>
      </c>
      <c r="L27" s="345"/>
      <c r="M27" s="345"/>
      <c r="N27" s="345"/>
      <c r="O27" s="345"/>
      <c r="P27" s="345">
        <f>P28+P29</f>
        <v>7705.08</v>
      </c>
      <c r="Q27" s="345"/>
      <c r="R27" s="345"/>
      <c r="S27" s="345"/>
      <c r="T27" s="345"/>
      <c r="U27" s="345">
        <f>U28+U29</f>
        <v>9487.5</v>
      </c>
      <c r="V27" s="345"/>
      <c r="W27" s="345"/>
      <c r="X27" s="345"/>
      <c r="Y27" s="345"/>
      <c r="Z27" s="345">
        <f>Z28+Z29</f>
        <v>10851.910000000002</v>
      </c>
      <c r="AA27" s="345"/>
      <c r="AB27" s="345"/>
      <c r="AC27" s="345"/>
      <c r="AD27" s="345"/>
      <c r="AE27" s="345">
        <f>AE28+AE29</f>
        <v>11089.560000000001</v>
      </c>
      <c r="AF27" s="345"/>
      <c r="AG27" s="345"/>
      <c r="AH27" s="345"/>
      <c r="AI27" s="345"/>
      <c r="AJ27" s="345">
        <f>AJ28+AJ29</f>
        <v>14856.77</v>
      </c>
      <c r="AK27" s="345"/>
      <c r="AL27" s="345"/>
      <c r="AM27" s="345"/>
      <c r="AN27" s="345"/>
      <c r="AO27" s="345">
        <f>AO28+AO29</f>
        <v>12061.279999999999</v>
      </c>
      <c r="AP27" s="345"/>
      <c r="AQ27" s="345"/>
      <c r="AR27" s="345"/>
      <c r="AS27" s="345"/>
      <c r="AT27" s="345">
        <f>AT28+AT29</f>
        <v>11298.33</v>
      </c>
      <c r="AU27" s="345"/>
      <c r="AV27" s="345"/>
      <c r="AW27" s="345"/>
      <c r="AX27" s="345"/>
      <c r="AY27" s="345">
        <f>AY28+AY29</f>
        <v>11927.48</v>
      </c>
      <c r="AZ27" s="345"/>
      <c r="BA27" s="345"/>
      <c r="BB27" s="345"/>
      <c r="BC27" s="345"/>
      <c r="BD27" s="345">
        <f>BD28+BD29</f>
        <v>11671.95</v>
      </c>
      <c r="BE27" s="345"/>
      <c r="BF27" s="345"/>
      <c r="BG27" s="345"/>
      <c r="BH27" s="345"/>
      <c r="BI27" s="345">
        <f>BI28+BI29</f>
        <v>11078.869999999999</v>
      </c>
      <c r="BJ27" s="316"/>
      <c r="BK27" s="316"/>
      <c r="BL27" s="316"/>
      <c r="BM27" s="316"/>
      <c r="BN27" s="345">
        <f>BN28+BN29</f>
        <v>10682.62</v>
      </c>
    </row>
    <row r="28" spans="1:66" x14ac:dyDescent="0.25">
      <c r="F28" s="355" t="s">
        <v>12</v>
      </c>
      <c r="K28" s="348">
        <f>SUMIFS(K$6:K$14,$D$6:$D$14,$F$27,$E$6:$E$14,$F28)</f>
        <v>2455.11</v>
      </c>
      <c r="L28" s="348"/>
      <c r="M28" s="348"/>
      <c r="N28" s="348"/>
      <c r="O28" s="348"/>
      <c r="P28" s="348">
        <f>SUMIFS(P$6:P$14,$D$6:$D$14,$F$27,$E$6:$E$14,$F28)</f>
        <v>1939.4</v>
      </c>
      <c r="Q28" s="348"/>
      <c r="R28" s="348"/>
      <c r="S28" s="348"/>
      <c r="T28" s="348"/>
      <c r="U28" s="348">
        <f>SUMIFS(U$6:U$14,$D$6:$D$14,$F$27,$E$6:$E$14,$F28)</f>
        <v>2569.52</v>
      </c>
      <c r="V28" s="348"/>
      <c r="W28" s="348"/>
      <c r="X28" s="348"/>
      <c r="Y28" s="348"/>
      <c r="Z28" s="348">
        <f>SUMIFS(Z$6:Z$14,$D$6:$D$14,$F$27,$E$6:$E$14,$F28)</f>
        <v>2873.77</v>
      </c>
      <c r="AA28" s="348"/>
      <c r="AB28" s="348"/>
      <c r="AC28" s="348"/>
      <c r="AD28" s="348"/>
      <c r="AE28" s="348">
        <f>SUMIFS(AE$6:AE$14,$D$6:$D$14,$F$27,$E$6:$E$14,$F28)</f>
        <v>2538.44</v>
      </c>
      <c r="AF28" s="348"/>
      <c r="AG28" s="348"/>
      <c r="AH28" s="348"/>
      <c r="AI28" s="348"/>
      <c r="AJ28" s="348">
        <f>SUMIFS(AJ$6:AJ$14,$D$6:$D$14,$F$27,$E$6:$E$14,$F28)</f>
        <v>2858.44</v>
      </c>
      <c r="AK28" s="348"/>
      <c r="AL28" s="348"/>
      <c r="AM28" s="348"/>
      <c r="AN28" s="348"/>
      <c r="AO28" s="348">
        <f>SUMIFS(AO$6:AO$14,$D$6:$D$14,$F$27,$E$6:$E$14,$F28)</f>
        <v>2633.91</v>
      </c>
      <c r="AP28" s="348"/>
      <c r="AQ28" s="348"/>
      <c r="AR28" s="348"/>
      <c r="AS28" s="348"/>
      <c r="AT28" s="348">
        <f>SUMIFS(AT$6:AT$14,$D$6:$D$14,$F$27,$E$6:$E$14,$F28)</f>
        <v>2403.81</v>
      </c>
      <c r="AU28" s="348"/>
      <c r="AV28" s="348"/>
      <c r="AW28" s="348"/>
      <c r="AX28" s="348"/>
      <c r="AY28" s="348">
        <f>SUMIFS(AY$6:AY$14,$D$6:$D$14,$F$27,$E$6:$E$14,$F28)</f>
        <v>2411.0299999999997</v>
      </c>
      <c r="AZ28" s="348"/>
      <c r="BA28" s="348"/>
      <c r="BB28" s="348"/>
      <c r="BC28" s="348"/>
      <c r="BD28" s="348">
        <f>SUMIFS(BD$6:BD$14,$D$6:$D$14,$F$27,$E$6:$E$14,$F28)</f>
        <v>2438.3200000000002</v>
      </c>
      <c r="BE28" s="348"/>
      <c r="BF28" s="348"/>
      <c r="BG28" s="348"/>
      <c r="BH28" s="348"/>
      <c r="BI28" s="348">
        <f>SUMIFS(BI$6:BI$14,$D$6:$D$14,$F$27,$E$6:$E$14,$F28)</f>
        <v>2438.25</v>
      </c>
      <c r="BJ28" s="349"/>
      <c r="BK28" s="349"/>
      <c r="BL28" s="349"/>
      <c r="BM28" s="349"/>
      <c r="BN28" s="348">
        <f>SUMIFS(BN$6:BN$14,$D$6:$D$14,$F$27,$E$6:$E$14,$F28)</f>
        <v>2456.0300000000002</v>
      </c>
    </row>
    <row r="29" spans="1:66" x14ac:dyDescent="0.25">
      <c r="F29" s="356" t="s">
        <v>13</v>
      </c>
      <c r="K29" s="348">
        <f>SUMIFS(K$6:K$14,$D$6:$D$14,$F$27,$E$6:$E$14,$F29)</f>
        <v>7285.61</v>
      </c>
      <c r="L29" s="348"/>
      <c r="M29" s="348"/>
      <c r="N29" s="348"/>
      <c r="O29" s="348"/>
      <c r="P29" s="348">
        <f>SUMIFS(P$6:P$14,$D$6:$D$14,$F$27,$E$6:$E$14,$F29)</f>
        <v>5765.68</v>
      </c>
      <c r="Q29" s="348"/>
      <c r="R29" s="348"/>
      <c r="S29" s="348"/>
      <c r="T29" s="348"/>
      <c r="U29" s="348">
        <f>SUMIFS(U$6:U$14,$D$6:$D$14,$F$27,$E$6:$E$14,$F29)</f>
        <v>6917.98</v>
      </c>
      <c r="V29" s="348"/>
      <c r="W29" s="348"/>
      <c r="X29" s="348"/>
      <c r="Y29" s="348"/>
      <c r="Z29" s="348">
        <f>SUMIFS(Z$6:Z$14,$D$6:$D$14,$F$27,$E$6:$E$14,$F29)</f>
        <v>7978.1400000000012</v>
      </c>
      <c r="AA29" s="348"/>
      <c r="AB29" s="348"/>
      <c r="AC29" s="348"/>
      <c r="AD29" s="348"/>
      <c r="AE29" s="348">
        <f>SUMIFS(AE$6:AE$14,$D$6:$D$14,$F$27,$E$6:$E$14,$F29)</f>
        <v>8551.1200000000008</v>
      </c>
      <c r="AF29" s="348"/>
      <c r="AG29" s="348"/>
      <c r="AH29" s="348"/>
      <c r="AI29" s="348"/>
      <c r="AJ29" s="348">
        <f>SUMIFS(AJ$6:AJ$14,$D$6:$D$14,$F$27,$E$6:$E$14,$F29)</f>
        <v>11998.33</v>
      </c>
      <c r="AK29" s="348"/>
      <c r="AL29" s="348"/>
      <c r="AM29" s="348"/>
      <c r="AN29" s="348"/>
      <c r="AO29" s="348">
        <f>SUMIFS(AO$6:AO$14,$D$6:$D$14,$F$27,$E$6:$E$14,$F29)</f>
        <v>9427.369999999999</v>
      </c>
      <c r="AP29" s="348"/>
      <c r="AQ29" s="348"/>
      <c r="AR29" s="348"/>
      <c r="AS29" s="348"/>
      <c r="AT29" s="348">
        <f>SUMIFS(AT$6:AT$14,$D$6:$D$14,$F$27,$E$6:$E$14,$F29)</f>
        <v>8894.52</v>
      </c>
      <c r="AU29" s="348"/>
      <c r="AV29" s="348"/>
      <c r="AW29" s="348"/>
      <c r="AX29" s="348"/>
      <c r="AY29" s="348">
        <f>SUMIFS(AY$6:AY$14,$D$6:$D$14,$F$27,$E$6:$E$14,$F29)</f>
        <v>9516.4499999999989</v>
      </c>
      <c r="AZ29" s="348"/>
      <c r="BA29" s="348"/>
      <c r="BB29" s="348"/>
      <c r="BC29" s="348"/>
      <c r="BD29" s="348">
        <f>SUMIFS(BD$6:BD$14,$D$6:$D$14,$F$27,$E$6:$E$14,$F29)</f>
        <v>9233.630000000001</v>
      </c>
      <c r="BE29" s="348"/>
      <c r="BF29" s="348"/>
      <c r="BG29" s="348"/>
      <c r="BH29" s="348"/>
      <c r="BI29" s="348">
        <f>SUMIFS(BI$6:BI$14,$D$6:$D$14,$F$27,$E$6:$E$14,$F29)</f>
        <v>8640.619999999999</v>
      </c>
      <c r="BJ29" s="349"/>
      <c r="BK29" s="349"/>
      <c r="BL29" s="349"/>
      <c r="BM29" s="349"/>
      <c r="BN29" s="348">
        <f>SUMIFS(BN$6:BN$14,$D$6:$D$14,$F$27,$E$6:$E$14,$F29)</f>
        <v>8226.59</v>
      </c>
    </row>
    <row r="30" spans="1:66" x14ac:dyDescent="0.25">
      <c r="F30" s="316"/>
      <c r="P30" s="306"/>
      <c r="U30" s="306"/>
      <c r="Z30" s="306"/>
      <c r="AE30" s="306"/>
    </row>
    <row r="31" spans="1:66" x14ac:dyDescent="0.25">
      <c r="A31" s="373">
        <v>1</v>
      </c>
      <c r="B31" s="371"/>
      <c r="C31" s="371"/>
      <c r="D31" s="371"/>
      <c r="E31" s="371"/>
      <c r="F31" s="371"/>
      <c r="K31" s="371">
        <v>1</v>
      </c>
      <c r="L31" s="372"/>
      <c r="M31" s="372"/>
      <c r="N31" s="372"/>
      <c r="O31" s="372"/>
      <c r="P31" s="371">
        <v>2</v>
      </c>
      <c r="Q31" s="372"/>
      <c r="R31" s="372"/>
      <c r="S31" s="372"/>
      <c r="T31" s="372"/>
      <c r="U31" s="371">
        <v>3</v>
      </c>
      <c r="V31" s="372"/>
      <c r="W31" s="372"/>
      <c r="X31" s="372"/>
      <c r="Y31" s="372"/>
      <c r="Z31" s="371">
        <v>4</v>
      </c>
      <c r="AA31" s="372"/>
      <c r="AB31" s="372"/>
      <c r="AC31" s="372"/>
      <c r="AD31" s="372"/>
      <c r="AE31" s="371">
        <v>5</v>
      </c>
      <c r="AF31" s="372"/>
      <c r="AG31" s="372"/>
      <c r="AH31" s="372"/>
      <c r="AI31" s="372"/>
      <c r="AJ31" s="372">
        <v>6</v>
      </c>
      <c r="AK31" s="372"/>
      <c r="AL31" s="372"/>
      <c r="AM31" s="372"/>
      <c r="AN31" s="372"/>
      <c r="AO31" s="372">
        <v>7</v>
      </c>
      <c r="AP31" s="372"/>
      <c r="AQ31" s="372"/>
      <c r="AR31" s="372"/>
      <c r="AS31" s="372"/>
      <c r="AT31" s="372">
        <v>8</v>
      </c>
      <c r="AU31" s="372"/>
      <c r="AV31" s="372"/>
      <c r="AW31" s="372"/>
      <c r="AX31" s="372"/>
      <c r="AY31" s="372">
        <v>9</v>
      </c>
      <c r="AZ31" s="372"/>
      <c r="BA31" s="372"/>
      <c r="BB31" s="372"/>
      <c r="BC31" s="372"/>
      <c r="BD31" s="372">
        <v>10</v>
      </c>
      <c r="BE31" s="372"/>
      <c r="BF31" s="372"/>
      <c r="BG31" s="372"/>
      <c r="BH31" s="372"/>
      <c r="BI31" s="372">
        <v>11</v>
      </c>
      <c r="BJ31" s="372"/>
      <c r="BK31" s="372"/>
      <c r="BL31" s="372"/>
      <c r="BM31" s="372"/>
      <c r="BN31" s="372">
        <v>12</v>
      </c>
    </row>
    <row r="32" spans="1:66" x14ac:dyDescent="0.25">
      <c r="A32" s="373">
        <f>ROWS($B$31:B32)</f>
        <v>2</v>
      </c>
      <c r="B32" s="342" t="s">
        <v>1323</v>
      </c>
      <c r="C32" s="343" t="s">
        <v>1329</v>
      </c>
      <c r="D32" s="343"/>
      <c r="E32" s="343"/>
      <c r="F32" s="316" t="s">
        <v>1306</v>
      </c>
      <c r="K32" s="306">
        <f>ROUND(K17/K24*10^3,0)</f>
        <v>97</v>
      </c>
      <c r="L32" s="341" t="e">
        <f>L17/L24</f>
        <v>#DIV/0!</v>
      </c>
      <c r="M32" s="341" t="e">
        <f>M17/M24</f>
        <v>#DIV/0!</v>
      </c>
      <c r="N32" s="341" t="e">
        <f>N17/N24</f>
        <v>#DIV/0!</v>
      </c>
      <c r="O32" s="341" t="e">
        <f>O17/O24</f>
        <v>#DIV/0!</v>
      </c>
      <c r="P32" s="306">
        <f>ROUND(P17/P24*10^3,0)</f>
        <v>167</v>
      </c>
      <c r="Q32" s="341" t="e">
        <f>Q17/Q24</f>
        <v>#DIV/0!</v>
      </c>
      <c r="R32" s="341" t="e">
        <f>R17/R24</f>
        <v>#DIV/0!</v>
      </c>
      <c r="S32" s="341" t="e">
        <f>S17/S24</f>
        <v>#DIV/0!</v>
      </c>
      <c r="T32" s="341" t="e">
        <f>T17/T24</f>
        <v>#DIV/0!</v>
      </c>
      <c r="U32" s="306">
        <f>ROUND(U17/U24*10^3,0)</f>
        <v>198</v>
      </c>
      <c r="V32" s="341" t="e">
        <f>V17/V24</f>
        <v>#DIV/0!</v>
      </c>
      <c r="W32" s="341" t="e">
        <f>W17/W24</f>
        <v>#DIV/0!</v>
      </c>
      <c r="X32" s="341" t="e">
        <f>X17/X24</f>
        <v>#DIV/0!</v>
      </c>
      <c r="Y32" s="341" t="e">
        <f>Y17/Y24</f>
        <v>#DIV/0!</v>
      </c>
      <c r="Z32" s="306">
        <f>ROUND(Z17/Z24*10^3,0)</f>
        <v>166</v>
      </c>
      <c r="AA32" s="341" t="e">
        <f>AA17/AA24</f>
        <v>#DIV/0!</v>
      </c>
      <c r="AB32" s="341" t="e">
        <f>AB17/AB24</f>
        <v>#DIV/0!</v>
      </c>
      <c r="AC32" s="341" t="e">
        <f>AC17/AC24</f>
        <v>#DIV/0!</v>
      </c>
      <c r="AD32" s="341" t="e">
        <f>AD17/AD24</f>
        <v>#DIV/0!</v>
      </c>
      <c r="AE32" s="306">
        <f>ROUND(AE17/AE24*10^3,0)</f>
        <v>193</v>
      </c>
      <c r="AF32" s="341" t="e">
        <f>AF17/AF24</f>
        <v>#DIV/0!</v>
      </c>
      <c r="AG32" s="341" t="e">
        <f>AG17/AG24</f>
        <v>#DIV/0!</v>
      </c>
      <c r="AH32" s="341" t="e">
        <f>AH17/AH24</f>
        <v>#DIV/0!</v>
      </c>
      <c r="AI32" s="341" t="e">
        <f>AI17/AI24</f>
        <v>#DIV/0!</v>
      </c>
      <c r="AJ32" s="306">
        <f>ROUND(AJ17/AJ24*10^3,0)</f>
        <v>158</v>
      </c>
      <c r="AK32" s="341" t="e">
        <f>AK17/AK24</f>
        <v>#DIV/0!</v>
      </c>
      <c r="AL32" s="341" t="e">
        <f>AL17/AL24</f>
        <v>#DIV/0!</v>
      </c>
      <c r="AM32" s="341" t="e">
        <f>AM17/AM24</f>
        <v>#DIV/0!</v>
      </c>
      <c r="AN32" s="341" t="e">
        <f>AN17/AN24</f>
        <v>#DIV/0!</v>
      </c>
      <c r="AO32" s="306">
        <f>ROUND(AO17/AO24*10^3,0)</f>
        <v>177</v>
      </c>
      <c r="AP32" s="341" t="e">
        <f>AP17/AP24</f>
        <v>#DIV/0!</v>
      </c>
      <c r="AQ32" s="341" t="e">
        <f>AQ17/AQ24</f>
        <v>#DIV/0!</v>
      </c>
      <c r="AR32" s="341" t="e">
        <f>AR17/AR24</f>
        <v>#DIV/0!</v>
      </c>
      <c r="AS32" s="341" t="e">
        <f>AS17/AS24</f>
        <v>#DIV/0!</v>
      </c>
      <c r="AT32" s="306">
        <f>ROUND(AT17/AT24*10^3,0)</f>
        <v>178</v>
      </c>
      <c r="AU32" s="341" t="e">
        <f>AU17/AU24</f>
        <v>#DIV/0!</v>
      </c>
      <c r="AV32" s="341" t="e">
        <f>AV17/AV24</f>
        <v>#DIV/0!</v>
      </c>
      <c r="AW32" s="341" t="e">
        <f>AW17/AW24</f>
        <v>#DIV/0!</v>
      </c>
      <c r="AX32" s="341" t="e">
        <f>AX17/AX24</f>
        <v>#DIV/0!</v>
      </c>
      <c r="AY32" s="306">
        <f>ROUND(AY17/AY24*10^3,0)</f>
        <v>156</v>
      </c>
      <c r="AZ32" s="341" t="e">
        <f>AZ17/AZ24</f>
        <v>#DIV/0!</v>
      </c>
      <c r="BA32" s="341" t="e">
        <f>BA17/BA24</f>
        <v>#DIV/0!</v>
      </c>
      <c r="BB32" s="341" t="e">
        <f>BB17/BB24</f>
        <v>#DIV/0!</v>
      </c>
      <c r="BC32" s="341" t="e">
        <f>BC17/BC24</f>
        <v>#DIV/0!</v>
      </c>
      <c r="BD32" s="306">
        <f>ROUND(BD17/BD24*10^3,0)</f>
        <v>149</v>
      </c>
      <c r="BE32" s="341" t="e">
        <f>BE17/BE24</f>
        <v>#DIV/0!</v>
      </c>
      <c r="BF32" s="341" t="e">
        <f>BF17/BF24</f>
        <v>#DIV/0!</v>
      </c>
      <c r="BG32" s="341" t="e">
        <f>BG17/BG24</f>
        <v>#DIV/0!</v>
      </c>
      <c r="BH32" s="341" t="e">
        <f>BH17/BH24</f>
        <v>#DIV/0!</v>
      </c>
      <c r="BI32" s="306">
        <f>ROUND(BI17/BI24*10^3,0)</f>
        <v>127</v>
      </c>
      <c r="BJ32" s="341" t="e">
        <f>BJ17/BJ24</f>
        <v>#DIV/0!</v>
      </c>
      <c r="BK32" s="341" t="e">
        <f>BK17/BK24</f>
        <v>#DIV/0!</v>
      </c>
      <c r="BL32" s="341" t="e">
        <f>BL17/BL24</f>
        <v>#DIV/0!</v>
      </c>
      <c r="BM32" s="341" t="e">
        <f>BM17/BM24</f>
        <v>#DIV/0!</v>
      </c>
      <c r="BN32" s="306">
        <f>ROUND(BN17/BN24*10^3,0)</f>
        <v>55</v>
      </c>
    </row>
    <row r="33" spans="1:66" x14ac:dyDescent="0.25">
      <c r="A33" s="373">
        <f>ROWS($B$31:B33)</f>
        <v>3</v>
      </c>
      <c r="C33" s="343" t="s">
        <v>1326</v>
      </c>
      <c r="F33" s="316" t="s">
        <v>1307</v>
      </c>
      <c r="K33" s="306">
        <f>ROUND(K20/K27*10^3,0)</f>
        <v>66</v>
      </c>
      <c r="L33" s="341" t="e">
        <f>L20/L27</f>
        <v>#DIV/0!</v>
      </c>
      <c r="M33" s="341" t="e">
        <f>M20/M27</f>
        <v>#DIV/0!</v>
      </c>
      <c r="N33" s="341" t="e">
        <f>N20/N27</f>
        <v>#DIV/0!</v>
      </c>
      <c r="O33" s="341" t="e">
        <f>O20/O27</f>
        <v>#DIV/0!</v>
      </c>
      <c r="P33" s="306">
        <f>ROUND(P20/P27*10^3,0)</f>
        <v>108</v>
      </c>
      <c r="Q33" s="341" t="e">
        <f>Q20/Q27</f>
        <v>#DIV/0!</v>
      </c>
      <c r="R33" s="341" t="e">
        <f>R20/R27</f>
        <v>#DIV/0!</v>
      </c>
      <c r="S33" s="341" t="e">
        <f>S20/S27</f>
        <v>#DIV/0!</v>
      </c>
      <c r="T33" s="341" t="e">
        <f>T20/T27</f>
        <v>#DIV/0!</v>
      </c>
      <c r="U33" s="306">
        <f>ROUND(U20/U27*10^3,0)</f>
        <v>103</v>
      </c>
      <c r="V33" s="341" t="e">
        <f>V20/V27</f>
        <v>#DIV/0!</v>
      </c>
      <c r="W33" s="341" t="e">
        <f>W20/W27</f>
        <v>#DIV/0!</v>
      </c>
      <c r="X33" s="341" t="e">
        <f>X20/X27</f>
        <v>#DIV/0!</v>
      </c>
      <c r="Y33" s="341" t="e">
        <f>Y20/Y27</f>
        <v>#DIV/0!</v>
      </c>
      <c r="Z33" s="306">
        <f>ROUND(Z20/Z27*10^3,0)</f>
        <v>86</v>
      </c>
      <c r="AA33" s="341" t="e">
        <f>AA20/AA27</f>
        <v>#DIV/0!</v>
      </c>
      <c r="AB33" s="341" t="e">
        <f>AB20/AB27</f>
        <v>#DIV/0!</v>
      </c>
      <c r="AC33" s="341" t="e">
        <f>AC20/AC27</f>
        <v>#DIV/0!</v>
      </c>
      <c r="AD33" s="341" t="e">
        <f>AD20/AD27</f>
        <v>#DIV/0!</v>
      </c>
      <c r="AE33" s="306">
        <f>ROUND(AE20/AE27*10^3,0)</f>
        <v>74</v>
      </c>
      <c r="AF33" s="341" t="e">
        <f>AF20/AF27</f>
        <v>#DIV/0!</v>
      </c>
      <c r="AG33" s="341" t="e">
        <f>AG20/AG27</f>
        <v>#DIV/0!</v>
      </c>
      <c r="AH33" s="341" t="e">
        <f>AH20/AH27</f>
        <v>#DIV/0!</v>
      </c>
      <c r="AI33" s="341" t="e">
        <f>AI20/AI27</f>
        <v>#DIV/0!</v>
      </c>
      <c r="AJ33" s="306">
        <f>ROUND(AJ20/AJ27*10^3,0)</f>
        <v>63</v>
      </c>
      <c r="AK33" s="341" t="e">
        <f>AK20/AK27</f>
        <v>#DIV/0!</v>
      </c>
      <c r="AL33" s="341" t="e">
        <f>AL20/AL27</f>
        <v>#DIV/0!</v>
      </c>
      <c r="AM33" s="341" t="e">
        <f>AM20/AM27</f>
        <v>#DIV/0!</v>
      </c>
      <c r="AN33" s="341" t="e">
        <f>AN20/AN27</f>
        <v>#DIV/0!</v>
      </c>
      <c r="AO33" s="306">
        <f>ROUND(AO20/AO27*10^3,0)</f>
        <v>44</v>
      </c>
      <c r="AP33" s="341" t="e">
        <f>AP20/AP27</f>
        <v>#DIV/0!</v>
      </c>
      <c r="AQ33" s="341" t="e">
        <f>AQ20/AQ27</f>
        <v>#DIV/0!</v>
      </c>
      <c r="AR33" s="341" t="e">
        <f>AR20/AR27</f>
        <v>#DIV/0!</v>
      </c>
      <c r="AS33" s="341" t="e">
        <f>AS20/AS27</f>
        <v>#DIV/0!</v>
      </c>
      <c r="AT33" s="306">
        <f>ROUND(AT20/AT27*10^3,0)</f>
        <v>77</v>
      </c>
      <c r="AU33" s="341" t="e">
        <f>AU20/AU27</f>
        <v>#DIV/0!</v>
      </c>
      <c r="AV33" s="341" t="e">
        <f>AV20/AV27</f>
        <v>#DIV/0!</v>
      </c>
      <c r="AW33" s="341" t="e">
        <f>AW20/AW27</f>
        <v>#DIV/0!</v>
      </c>
      <c r="AX33" s="341" t="e">
        <f>AX20/AX27</f>
        <v>#DIV/0!</v>
      </c>
      <c r="AY33" s="306">
        <f>ROUND(AY20/AY27*10^3,0)</f>
        <v>58</v>
      </c>
      <c r="AZ33" s="341" t="e">
        <f>AZ20/AZ27</f>
        <v>#DIV/0!</v>
      </c>
      <c r="BA33" s="341" t="e">
        <f>BA20/BA27</f>
        <v>#DIV/0!</v>
      </c>
      <c r="BB33" s="341" t="e">
        <f>BB20/BB27</f>
        <v>#DIV/0!</v>
      </c>
      <c r="BC33" s="341" t="e">
        <f>BC20/BC27</f>
        <v>#DIV/0!</v>
      </c>
      <c r="BD33" s="306">
        <f>ROUND(BD20/BD27*10^3,0)</f>
        <v>79</v>
      </c>
      <c r="BE33" s="341" t="e">
        <f>BE20/BE27</f>
        <v>#DIV/0!</v>
      </c>
      <c r="BF33" s="341" t="e">
        <f>BF20/BF27</f>
        <v>#DIV/0!</v>
      </c>
      <c r="BG33" s="341" t="e">
        <f>BG20/BG27</f>
        <v>#DIV/0!</v>
      </c>
      <c r="BH33" s="341" t="e">
        <f>BH20/BH27</f>
        <v>#DIV/0!</v>
      </c>
      <c r="BI33" s="306">
        <f>ROUND(BI20/BI27*10^3,0)</f>
        <v>64</v>
      </c>
      <c r="BJ33" s="340" t="e">
        <f>BJ20/BJ27</f>
        <v>#DIV/0!</v>
      </c>
      <c r="BK33" s="340" t="e">
        <f>BK20/BK27</f>
        <v>#DIV/0!</v>
      </c>
      <c r="BL33" s="340" t="e">
        <f>BL20/BL27</f>
        <v>#DIV/0!</v>
      </c>
      <c r="BM33" s="340" t="e">
        <f>BM20/BM27</f>
        <v>#DIV/0!</v>
      </c>
      <c r="BN33" s="306">
        <f>ROUND(BN20/BN27*10^3,0)</f>
        <v>29</v>
      </c>
    </row>
    <row r="34" spans="1:66" x14ac:dyDescent="0.25">
      <c r="A34" s="373"/>
      <c r="P34" s="306"/>
      <c r="U34" s="306"/>
      <c r="Z34" s="306"/>
      <c r="AE34" s="306"/>
      <c r="AJ34" s="306"/>
      <c r="AO34" s="306"/>
      <c r="AT34" s="306"/>
      <c r="AY34" s="306"/>
      <c r="BD34" s="306"/>
      <c r="BI34" s="306"/>
      <c r="BN34" s="306"/>
    </row>
    <row r="35" spans="1:66" x14ac:dyDescent="0.25">
      <c r="A35" s="373"/>
      <c r="P35" s="306"/>
      <c r="U35" s="306"/>
      <c r="Z35" s="306"/>
      <c r="AE35" s="306"/>
      <c r="AJ35" s="306"/>
      <c r="AO35" s="306"/>
      <c r="AT35" s="306"/>
      <c r="AY35" s="306"/>
      <c r="BD35" s="306"/>
      <c r="BI35" s="306"/>
      <c r="BN35" s="306"/>
    </row>
    <row r="36" spans="1:66" x14ac:dyDescent="0.25">
      <c r="A36" s="373">
        <f>ROWS($B$31:B36)</f>
        <v>6</v>
      </c>
      <c r="B36" s="361" t="s">
        <v>1324</v>
      </c>
      <c r="C36" s="362" t="s">
        <v>1325</v>
      </c>
      <c r="D36" s="362"/>
      <c r="E36" s="363"/>
      <c r="F36" s="363" t="s">
        <v>1306</v>
      </c>
      <c r="G36" s="364"/>
      <c r="H36" s="364"/>
      <c r="I36" s="364"/>
      <c r="J36" s="364"/>
      <c r="K36" s="364">
        <f>ROUND(K17/K26*10^3,0)</f>
        <v>112</v>
      </c>
      <c r="L36" s="365" t="e">
        <f>L21/L33</f>
        <v>#DIV/0!</v>
      </c>
      <c r="M36" s="365" t="e">
        <f>M21/M33</f>
        <v>#DIV/0!</v>
      </c>
      <c r="N36" s="365" t="e">
        <f>N21/N33</f>
        <v>#DIV/0!</v>
      </c>
      <c r="O36" s="365" t="e">
        <f>O21/O33</f>
        <v>#DIV/0!</v>
      </c>
      <c r="P36" s="364">
        <f>ROUND(P17/P26*10^3,0)</f>
        <v>189</v>
      </c>
      <c r="Q36" s="365" t="e">
        <f>Q21/Q33</f>
        <v>#DIV/0!</v>
      </c>
      <c r="R36" s="365" t="e">
        <f>R21/R33</f>
        <v>#DIV/0!</v>
      </c>
      <c r="S36" s="365" t="e">
        <f>S21/S33</f>
        <v>#DIV/0!</v>
      </c>
      <c r="T36" s="365" t="e">
        <f>T21/T33</f>
        <v>#DIV/0!</v>
      </c>
      <c r="U36" s="364">
        <f>ROUND(U17/U26*10^3,0)</f>
        <v>227</v>
      </c>
      <c r="V36" s="365" t="e">
        <f>V21/V33</f>
        <v>#DIV/0!</v>
      </c>
      <c r="W36" s="365" t="e">
        <f>W21/W33</f>
        <v>#DIV/0!</v>
      </c>
      <c r="X36" s="365" t="e">
        <f>X21/X33</f>
        <v>#DIV/0!</v>
      </c>
      <c r="Y36" s="365" t="e">
        <f>Y21/Y33</f>
        <v>#DIV/0!</v>
      </c>
      <c r="Z36" s="364">
        <f>ROUND(Z17/Z26*10^3,0)</f>
        <v>190</v>
      </c>
      <c r="AA36" s="365" t="e">
        <f>AA21/AA33</f>
        <v>#DIV/0!</v>
      </c>
      <c r="AB36" s="365" t="e">
        <f>AB21/AB33</f>
        <v>#DIV/0!</v>
      </c>
      <c r="AC36" s="365" t="e">
        <f>AC21/AC33</f>
        <v>#DIV/0!</v>
      </c>
      <c r="AD36" s="365" t="e">
        <f>AD21/AD33</f>
        <v>#DIV/0!</v>
      </c>
      <c r="AE36" s="364">
        <f>ROUND(AE17/AE26*10^3,0)</f>
        <v>220</v>
      </c>
      <c r="AF36" s="365" t="e">
        <f>AF21/AF33</f>
        <v>#DIV/0!</v>
      </c>
      <c r="AG36" s="365" t="e">
        <f>AG21/AG33</f>
        <v>#DIV/0!</v>
      </c>
      <c r="AH36" s="365" t="e">
        <f>AH21/AH33</f>
        <v>#DIV/0!</v>
      </c>
      <c r="AI36" s="365" t="e">
        <f>AI21/AI33</f>
        <v>#DIV/0!</v>
      </c>
      <c r="AJ36" s="364">
        <f>ROUND(AJ17/AJ26*10^3,0)</f>
        <v>179</v>
      </c>
      <c r="AK36" s="365" t="e">
        <f>AK21/AK33</f>
        <v>#DIV/0!</v>
      </c>
      <c r="AL36" s="365" t="e">
        <f>AL21/AL33</f>
        <v>#DIV/0!</v>
      </c>
      <c r="AM36" s="365" t="e">
        <f>AM21/AM33</f>
        <v>#DIV/0!</v>
      </c>
      <c r="AN36" s="365" t="e">
        <f>AN21/AN33</f>
        <v>#DIV/0!</v>
      </c>
      <c r="AO36" s="364">
        <f>ROUND(AO17/AO26*10^3,0)</f>
        <v>202</v>
      </c>
      <c r="AP36" s="365" t="e">
        <f>AP21/AP33</f>
        <v>#DIV/0!</v>
      </c>
      <c r="AQ36" s="365" t="e">
        <f>AQ21/AQ33</f>
        <v>#DIV/0!</v>
      </c>
      <c r="AR36" s="365" t="e">
        <f>AR21/AR33</f>
        <v>#DIV/0!</v>
      </c>
      <c r="AS36" s="365" t="e">
        <f>AS21/AS33</f>
        <v>#DIV/0!</v>
      </c>
      <c r="AT36" s="364">
        <f>ROUND(AT17/AT26*10^3,0)</f>
        <v>201</v>
      </c>
      <c r="AU36" s="365" t="e">
        <f>AU21/AU33</f>
        <v>#DIV/0!</v>
      </c>
      <c r="AV36" s="365" t="e">
        <f>AV21/AV33</f>
        <v>#DIV/0!</v>
      </c>
      <c r="AW36" s="365" t="e">
        <f>AW21/AW33</f>
        <v>#DIV/0!</v>
      </c>
      <c r="AX36" s="365" t="e">
        <f>AX21/AX33</f>
        <v>#DIV/0!</v>
      </c>
      <c r="AY36" s="364">
        <f>ROUND(AY17/AY26*10^3,0)</f>
        <v>174</v>
      </c>
      <c r="AZ36" s="365" t="e">
        <f>AZ21/AZ33</f>
        <v>#DIV/0!</v>
      </c>
      <c r="BA36" s="365" t="e">
        <f>BA21/BA33</f>
        <v>#DIV/0!</v>
      </c>
      <c r="BB36" s="365" t="e">
        <f>BB21/BB33</f>
        <v>#DIV/0!</v>
      </c>
      <c r="BC36" s="365" t="e">
        <f>BC21/BC33</f>
        <v>#DIV/0!</v>
      </c>
      <c r="BD36" s="364">
        <f>ROUND(BD17/BD26*10^3,0)</f>
        <v>165</v>
      </c>
      <c r="BE36" s="365" t="e">
        <f>BE21/BE33</f>
        <v>#DIV/0!</v>
      </c>
      <c r="BF36" s="365" t="e">
        <f>BF21/BF33</f>
        <v>#DIV/0!</v>
      </c>
      <c r="BG36" s="365" t="e">
        <f>BG21/BG33</f>
        <v>#DIV/0!</v>
      </c>
      <c r="BH36" s="365" t="e">
        <f>BH21/BH33</f>
        <v>#DIV/0!</v>
      </c>
      <c r="BI36" s="364">
        <f>ROUND(BI17/BI26*10^3,0)</f>
        <v>142</v>
      </c>
      <c r="BJ36" s="365" t="e">
        <f>BJ21/BJ33</f>
        <v>#DIV/0!</v>
      </c>
      <c r="BK36" s="365" t="e">
        <f>BK21/BK33</f>
        <v>#DIV/0!</v>
      </c>
      <c r="BL36" s="365" t="e">
        <f>BL21/BL33</f>
        <v>#DIV/0!</v>
      </c>
      <c r="BM36" s="365" t="e">
        <f>BM21/BM33</f>
        <v>#DIV/0!</v>
      </c>
      <c r="BN36" s="364">
        <f>ROUND(BN17/BN26*10^3,0)</f>
        <v>62</v>
      </c>
    </row>
    <row r="37" spans="1:66" x14ac:dyDescent="0.25">
      <c r="A37" s="373">
        <f>ROWS($B$31:B37)</f>
        <v>7</v>
      </c>
      <c r="B37" s="362"/>
      <c r="C37" s="362" t="s">
        <v>1326</v>
      </c>
      <c r="D37" s="362"/>
      <c r="E37" s="363"/>
      <c r="F37" s="363" t="s">
        <v>1307</v>
      </c>
      <c r="G37" s="364"/>
      <c r="H37" s="364"/>
      <c r="I37" s="364"/>
      <c r="J37" s="364"/>
      <c r="K37" s="364">
        <f>ROUND(K20/K29*10^3,0)</f>
        <v>89</v>
      </c>
      <c r="L37" s="365" t="e">
        <f>L24/L34</f>
        <v>#DIV/0!</v>
      </c>
      <c r="M37" s="365" t="e">
        <f>M24/M34</f>
        <v>#DIV/0!</v>
      </c>
      <c r="N37" s="365" t="e">
        <f>N24/N34</f>
        <v>#DIV/0!</v>
      </c>
      <c r="O37" s="365" t="e">
        <f>O24/O34</f>
        <v>#DIV/0!</v>
      </c>
      <c r="P37" s="364">
        <f>ROUND(P20/P29*10^3,0)</f>
        <v>144</v>
      </c>
      <c r="Q37" s="365" t="e">
        <f>Q24/Q34</f>
        <v>#DIV/0!</v>
      </c>
      <c r="R37" s="365" t="e">
        <f>R24/R34</f>
        <v>#DIV/0!</v>
      </c>
      <c r="S37" s="365" t="e">
        <f>S24/S34</f>
        <v>#DIV/0!</v>
      </c>
      <c r="T37" s="365" t="e">
        <f>T24/T34</f>
        <v>#DIV/0!</v>
      </c>
      <c r="U37" s="364">
        <f>ROUND(U20/U29*10^3,0)</f>
        <v>141</v>
      </c>
      <c r="V37" s="365" t="e">
        <f>V24/V34</f>
        <v>#DIV/0!</v>
      </c>
      <c r="W37" s="365" t="e">
        <f>W24/W34</f>
        <v>#DIV/0!</v>
      </c>
      <c r="X37" s="365" t="e">
        <f>X24/X34</f>
        <v>#DIV/0!</v>
      </c>
      <c r="Y37" s="365" t="e">
        <f>Y24/Y34</f>
        <v>#DIV/0!</v>
      </c>
      <c r="Z37" s="364">
        <f>ROUND(Z20/Z29*10^3,0)</f>
        <v>117</v>
      </c>
      <c r="AA37" s="365" t="e">
        <f>AA24/AA34</f>
        <v>#DIV/0!</v>
      </c>
      <c r="AB37" s="365" t="e">
        <f>AB24/AB34</f>
        <v>#DIV/0!</v>
      </c>
      <c r="AC37" s="365" t="e">
        <f>AC24/AC34</f>
        <v>#DIV/0!</v>
      </c>
      <c r="AD37" s="365" t="e">
        <f>AD24/AD34</f>
        <v>#DIV/0!</v>
      </c>
      <c r="AE37" s="364">
        <f>ROUND(AE20/AE29*10^3,0)</f>
        <v>96</v>
      </c>
      <c r="AF37" s="365" t="e">
        <f>AF24/AF34</f>
        <v>#DIV/0!</v>
      </c>
      <c r="AG37" s="365" t="e">
        <f>AG24/AG34</f>
        <v>#DIV/0!</v>
      </c>
      <c r="AH37" s="365" t="e">
        <f>AH24/AH34</f>
        <v>#DIV/0!</v>
      </c>
      <c r="AI37" s="365" t="e">
        <f>AI24/AI34</f>
        <v>#DIV/0!</v>
      </c>
      <c r="AJ37" s="364">
        <f>ROUND(AJ20/AJ29*10^3,0)</f>
        <v>78</v>
      </c>
      <c r="AK37" s="365" t="e">
        <f>AK24/AK34</f>
        <v>#DIV/0!</v>
      </c>
      <c r="AL37" s="365" t="e">
        <f>AL24/AL34</f>
        <v>#DIV/0!</v>
      </c>
      <c r="AM37" s="365" t="e">
        <f>AM24/AM34</f>
        <v>#DIV/0!</v>
      </c>
      <c r="AN37" s="365" t="e">
        <f>AN24/AN34</f>
        <v>#DIV/0!</v>
      </c>
      <c r="AO37" s="364">
        <f>ROUND(AO20/AO29*10^3,0)</f>
        <v>57</v>
      </c>
      <c r="AP37" s="365" t="e">
        <f>AP24/AP34</f>
        <v>#DIV/0!</v>
      </c>
      <c r="AQ37" s="365" t="e">
        <f>AQ24/AQ34</f>
        <v>#DIV/0!</v>
      </c>
      <c r="AR37" s="365" t="e">
        <f>AR24/AR34</f>
        <v>#DIV/0!</v>
      </c>
      <c r="AS37" s="365" t="e">
        <f>AS24/AS34</f>
        <v>#DIV/0!</v>
      </c>
      <c r="AT37" s="364">
        <f>ROUND(AT20/AT29*10^3,0)</f>
        <v>97</v>
      </c>
      <c r="AU37" s="365" t="e">
        <f>AU24/AU34</f>
        <v>#DIV/0!</v>
      </c>
      <c r="AV37" s="365" t="e">
        <f>AV24/AV34</f>
        <v>#DIV/0!</v>
      </c>
      <c r="AW37" s="365" t="e">
        <f>AW24/AW34</f>
        <v>#DIV/0!</v>
      </c>
      <c r="AX37" s="365" t="e">
        <f>AX24/AX34</f>
        <v>#DIV/0!</v>
      </c>
      <c r="AY37" s="364">
        <f>ROUND(AY20/AY29*10^3,0)</f>
        <v>73</v>
      </c>
      <c r="AZ37" s="365" t="e">
        <f>AZ24/AZ34</f>
        <v>#DIV/0!</v>
      </c>
      <c r="BA37" s="365" t="e">
        <f>BA24/BA34</f>
        <v>#DIV/0!</v>
      </c>
      <c r="BB37" s="365" t="e">
        <f>BB24/BB34</f>
        <v>#DIV/0!</v>
      </c>
      <c r="BC37" s="365" t="e">
        <f>BC24/BC34</f>
        <v>#DIV/0!</v>
      </c>
      <c r="BD37" s="364">
        <f>ROUND(BD20/BD29*10^3,0)</f>
        <v>100</v>
      </c>
      <c r="BE37" s="365" t="e">
        <f>BE24/BE34</f>
        <v>#DIV/0!</v>
      </c>
      <c r="BF37" s="365" t="e">
        <f>BF24/BF34</f>
        <v>#DIV/0!</v>
      </c>
      <c r="BG37" s="365" t="e">
        <f>BG24/BG34</f>
        <v>#DIV/0!</v>
      </c>
      <c r="BH37" s="365" t="e">
        <f>BH24/BH34</f>
        <v>#DIV/0!</v>
      </c>
      <c r="BI37" s="364">
        <f>ROUND(BI20/BI29*10^3,0)</f>
        <v>83</v>
      </c>
      <c r="BJ37" s="366" t="e">
        <f>BJ24/BJ34</f>
        <v>#DIV/0!</v>
      </c>
      <c r="BK37" s="366" t="e">
        <f>BK24/BK34</f>
        <v>#DIV/0!</v>
      </c>
      <c r="BL37" s="366" t="e">
        <f>BL24/BL34</f>
        <v>#DIV/0!</v>
      </c>
      <c r="BM37" s="366" t="e">
        <f>BM24/BM34</f>
        <v>#DIV/0!</v>
      </c>
      <c r="BN37" s="364">
        <f>ROUND(BN20/BN29*10^3,0)</f>
        <v>38</v>
      </c>
    </row>
  </sheetData>
  <autoFilter ref="C5:AS14" xr:uid="{273E12B0-8DD4-4FF2-8A99-A6305F03EA99}"/>
  <hyperlinks>
    <hyperlink ref="A1" location="'00. DM'!A1" display="00. DM" xr:uid="{36B491A4-9367-4352-83CC-BAF86ACDCBD8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2B25-A651-4F1C-892C-234C45968E90}">
  <sheetPr>
    <tabColor rgb="FF00B0F0"/>
  </sheetPr>
  <dimension ref="A1:O19"/>
  <sheetViews>
    <sheetView showGridLines="0" workbookViewId="0">
      <selection activeCell="BP12" sqref="BP12"/>
    </sheetView>
  </sheetViews>
  <sheetFormatPr defaultRowHeight="15" outlineLevelRow="1" x14ac:dyDescent="0.25"/>
  <cols>
    <col min="1" max="1" width="6.28515625" customWidth="1"/>
    <col min="2" max="2" width="17.7109375" customWidth="1"/>
    <col min="15" max="15" width="11" customWidth="1"/>
  </cols>
  <sheetData>
    <row r="1" spans="1:15" x14ac:dyDescent="0.25">
      <c r="A1" s="165" t="s">
        <v>254</v>
      </c>
    </row>
    <row r="2" spans="1:15" ht="21" x14ac:dyDescent="0.35">
      <c r="B2" s="124" t="s">
        <v>1333</v>
      </c>
    </row>
    <row r="4" spans="1:15" hidden="1" outlineLevel="1" x14ac:dyDescent="0.25"/>
    <row r="5" spans="1:15" hidden="1" outlineLevel="1" x14ac:dyDescent="0.25">
      <c r="B5" s="343" t="s">
        <v>1331</v>
      </c>
      <c r="H5" s="97" t="s">
        <v>1332</v>
      </c>
    </row>
    <row r="6" spans="1:15" hidden="1" outlineLevel="1" x14ac:dyDescent="0.25">
      <c r="B6" s="343" t="s">
        <v>1326</v>
      </c>
    </row>
    <row r="7" spans="1:15" hidden="1" outlineLevel="1" x14ac:dyDescent="0.25">
      <c r="B7" s="343"/>
    </row>
    <row r="8" spans="1:15" hidden="1" outlineLevel="1" x14ac:dyDescent="0.25">
      <c r="A8" s="209"/>
      <c r="B8" s="367"/>
      <c r="C8" s="367">
        <v>1</v>
      </c>
      <c r="D8" s="367">
        <v>2</v>
      </c>
      <c r="E8" s="367">
        <v>3</v>
      </c>
      <c r="F8" s="367">
        <v>4</v>
      </c>
      <c r="G8" s="367">
        <v>5</v>
      </c>
      <c r="H8" s="367">
        <v>6</v>
      </c>
      <c r="I8" s="367">
        <v>7</v>
      </c>
      <c r="J8" s="367">
        <v>8</v>
      </c>
      <c r="K8" s="367">
        <v>9</v>
      </c>
      <c r="L8" s="367">
        <v>10</v>
      </c>
      <c r="M8" s="367">
        <v>11</v>
      </c>
      <c r="N8" s="367">
        <v>12</v>
      </c>
      <c r="O8" s="367" t="s">
        <v>708</v>
      </c>
    </row>
    <row r="9" spans="1:15" hidden="1" outlineLevel="1" x14ac:dyDescent="0.25">
      <c r="A9" s="209">
        <f>'05. Giờ công'!A32</f>
        <v>2</v>
      </c>
      <c r="B9" s="316" t="s">
        <v>1306</v>
      </c>
      <c r="C9">
        <f>HLOOKUP(C$8,'05. Giờ công'!$K$31:$BN$37,'05. Giờ công'!$A32,0)</f>
        <v>97</v>
      </c>
      <c r="D9">
        <f>HLOOKUP(D$8,'05. Giờ công'!$K$31:$BN$37,'05. Giờ công'!$A32,0)</f>
        <v>167</v>
      </c>
      <c r="E9">
        <f>HLOOKUP(E$8,'05. Giờ công'!$K$31:$BN$37,'05. Giờ công'!$A32,0)</f>
        <v>198</v>
      </c>
      <c r="F9">
        <f>HLOOKUP(F$8,'05. Giờ công'!$K$31:$BN$37,'05. Giờ công'!$A32,0)</f>
        <v>166</v>
      </c>
      <c r="G9">
        <f>HLOOKUP(G$8,'05. Giờ công'!$K$31:$BN$37,'05. Giờ công'!$A32,0)</f>
        <v>193</v>
      </c>
      <c r="H9">
        <f>HLOOKUP(H$8,'05. Giờ công'!$K$31:$BN$37,'05. Giờ công'!$A32,0)</f>
        <v>158</v>
      </c>
      <c r="I9">
        <f>HLOOKUP(I$8,'05. Giờ công'!$K$31:$BN$37,'05. Giờ công'!$A32,0)</f>
        <v>177</v>
      </c>
      <c r="J9">
        <f>HLOOKUP(J$8,'05. Giờ công'!$K$31:$BN$37,'05. Giờ công'!$A32,0)</f>
        <v>178</v>
      </c>
      <c r="K9">
        <f>HLOOKUP(K$8,'05. Giờ công'!$K$31:$BN$37,'05. Giờ công'!$A32,0)</f>
        <v>156</v>
      </c>
      <c r="L9">
        <f>HLOOKUP(L$8,'05. Giờ công'!$K$31:$BN$37,'05. Giờ công'!$A32,0)</f>
        <v>149</v>
      </c>
      <c r="M9">
        <f>HLOOKUP(M$8,'05. Giờ công'!$K$31:$BN$37,'05. Giờ công'!$A32,0)</f>
        <v>127</v>
      </c>
      <c r="O9" s="166">
        <f>ROUND(AVERAGEIF(C9:N9,"&lt;&gt;0"),0)</f>
        <v>161</v>
      </c>
    </row>
    <row r="10" spans="1:15" hidden="1" outlineLevel="1" x14ac:dyDescent="0.25">
      <c r="A10" s="209">
        <f>'05. Giờ công'!A33</f>
        <v>3</v>
      </c>
      <c r="B10" s="316" t="s">
        <v>1307</v>
      </c>
      <c r="C10">
        <f>HLOOKUP(C$8,'05. Giờ công'!$K$31:$BN$37,'05. Giờ công'!$A33,0)</f>
        <v>66</v>
      </c>
      <c r="D10">
        <f>HLOOKUP(D$8,'05. Giờ công'!$K$31:$BN$37,'05. Giờ công'!$A33,0)</f>
        <v>108</v>
      </c>
      <c r="E10">
        <f>HLOOKUP(E$8,'05. Giờ công'!$K$31:$BN$37,'05. Giờ công'!$A33,0)</f>
        <v>103</v>
      </c>
      <c r="F10">
        <f>HLOOKUP(F$8,'05. Giờ công'!$K$31:$BN$37,'05. Giờ công'!$A33,0)</f>
        <v>86</v>
      </c>
      <c r="G10">
        <f>HLOOKUP(G$8,'05. Giờ công'!$K$31:$BN$37,'05. Giờ công'!$A33,0)</f>
        <v>74</v>
      </c>
      <c r="H10">
        <f>HLOOKUP(H$8,'05. Giờ công'!$K$31:$BN$37,'05. Giờ công'!$A33,0)</f>
        <v>63</v>
      </c>
      <c r="I10">
        <f>HLOOKUP(I$8,'05. Giờ công'!$K$31:$BN$37,'05. Giờ công'!$A33,0)</f>
        <v>44</v>
      </c>
      <c r="J10">
        <f>HLOOKUP(J$8,'05. Giờ công'!$K$31:$BN$37,'05. Giờ công'!$A33,0)</f>
        <v>77</v>
      </c>
      <c r="K10">
        <f>HLOOKUP(K$8,'05. Giờ công'!$K$31:$BN$37,'05. Giờ công'!$A33,0)</f>
        <v>58</v>
      </c>
      <c r="L10">
        <f>HLOOKUP(L$8,'05. Giờ công'!$K$31:$BN$37,'05. Giờ công'!$A33,0)</f>
        <v>79</v>
      </c>
      <c r="M10">
        <f>HLOOKUP(M$8,'05. Giờ công'!$K$31:$BN$37,'05. Giờ công'!$A33,0)</f>
        <v>64</v>
      </c>
      <c r="O10" s="166">
        <f>ROUND(AVERAGEIF(C10:N10,"&lt;&gt;0"),0)</f>
        <v>75</v>
      </c>
    </row>
    <row r="11" spans="1:15" hidden="1" outlineLevel="1" x14ac:dyDescent="0.25">
      <c r="A11" s="209"/>
    </row>
    <row r="12" spans="1:15" hidden="1" outlineLevel="1" x14ac:dyDescent="0.25">
      <c r="A12" s="209"/>
    </row>
    <row r="13" spans="1:15" hidden="1" outlineLevel="1" x14ac:dyDescent="0.25">
      <c r="A13" s="209"/>
      <c r="B13" s="343" t="s">
        <v>1330</v>
      </c>
      <c r="F13" s="97" t="s">
        <v>1332</v>
      </c>
    </row>
    <row r="14" spans="1:15" hidden="1" outlineLevel="1" x14ac:dyDescent="0.25">
      <c r="A14" s="209"/>
      <c r="B14" s="343" t="s">
        <v>1326</v>
      </c>
    </row>
    <row r="15" spans="1:15" hidden="1" outlineLevel="1" x14ac:dyDescent="0.25">
      <c r="A15" s="209"/>
      <c r="B15" s="367"/>
      <c r="C15" s="367">
        <v>1</v>
      </c>
      <c r="D15" s="367">
        <v>2</v>
      </c>
      <c r="E15" s="367">
        <v>3</v>
      </c>
      <c r="F15" s="367">
        <v>4</v>
      </c>
      <c r="G15" s="367">
        <v>5</v>
      </c>
      <c r="H15" s="367">
        <v>6</v>
      </c>
      <c r="I15" s="367">
        <v>7</v>
      </c>
      <c r="J15" s="367">
        <v>8</v>
      </c>
      <c r="K15" s="367">
        <v>9</v>
      </c>
      <c r="L15" s="367">
        <v>10</v>
      </c>
      <c r="M15" s="367">
        <v>11</v>
      </c>
      <c r="N15" s="367">
        <v>12</v>
      </c>
      <c r="O15" s="367" t="s">
        <v>708</v>
      </c>
    </row>
    <row r="16" spans="1:15" hidden="1" outlineLevel="1" x14ac:dyDescent="0.25">
      <c r="A16" s="209">
        <f>'05. Giờ công'!A36</f>
        <v>6</v>
      </c>
      <c r="B16" s="316" t="s">
        <v>1306</v>
      </c>
      <c r="C16">
        <f>HLOOKUP(C$8,'05. Giờ công'!$K$31:$BN$37,'05. Giờ công'!$A36,0)</f>
        <v>112</v>
      </c>
      <c r="D16">
        <f>HLOOKUP(D$8,'05. Giờ công'!$K$31:$BN$37,'05. Giờ công'!$A36,0)</f>
        <v>189</v>
      </c>
      <c r="E16">
        <f>HLOOKUP(E$8,'05. Giờ công'!$K$31:$BN$37,'05. Giờ công'!$A36,0)</f>
        <v>227</v>
      </c>
      <c r="F16">
        <f>HLOOKUP(F$8,'05. Giờ công'!$K$31:$BN$37,'05. Giờ công'!$A36,0)</f>
        <v>190</v>
      </c>
      <c r="G16">
        <f>HLOOKUP(G$8,'05. Giờ công'!$K$31:$BN$37,'05. Giờ công'!$A36,0)</f>
        <v>220</v>
      </c>
      <c r="H16">
        <f>HLOOKUP(H$8,'05. Giờ công'!$K$31:$BN$37,'05. Giờ công'!$A36,0)</f>
        <v>179</v>
      </c>
      <c r="I16">
        <f>HLOOKUP(I$8,'05. Giờ công'!$K$31:$BN$37,'05. Giờ công'!$A36,0)</f>
        <v>202</v>
      </c>
      <c r="J16">
        <f>HLOOKUP(J$8,'05. Giờ công'!$K$31:$BN$37,'05. Giờ công'!$A36,0)</f>
        <v>201</v>
      </c>
      <c r="K16">
        <f>HLOOKUP(K$8,'05. Giờ công'!$K$31:$BN$37,'05. Giờ công'!$A36,0)</f>
        <v>174</v>
      </c>
      <c r="L16">
        <f>HLOOKUP(L$8,'05. Giờ công'!$K$31:$BN$37,'05. Giờ công'!$A36,0)</f>
        <v>165</v>
      </c>
      <c r="M16">
        <f>HLOOKUP(M$8,'05. Giờ công'!$K$31:$BN$37,'05. Giờ công'!$A36,0)</f>
        <v>142</v>
      </c>
      <c r="O16" s="166">
        <f>ROUND(AVERAGEIF(C16:N16,"&lt;&gt;0"),0)</f>
        <v>182</v>
      </c>
    </row>
    <row r="17" spans="1:15" hidden="1" outlineLevel="1" x14ac:dyDescent="0.25">
      <c r="A17" s="209">
        <f>'05. Giờ công'!A37</f>
        <v>7</v>
      </c>
      <c r="B17" s="316" t="s">
        <v>1307</v>
      </c>
      <c r="C17">
        <f>HLOOKUP(C$8,'05. Giờ công'!$K$31:$BN$37,'05. Giờ công'!$A37,0)</f>
        <v>89</v>
      </c>
      <c r="D17">
        <f>HLOOKUP(D$8,'05. Giờ công'!$K$31:$BN$37,'05. Giờ công'!$A37,0)</f>
        <v>144</v>
      </c>
      <c r="E17">
        <f>HLOOKUP(E$8,'05. Giờ công'!$K$31:$BN$37,'05. Giờ công'!$A37,0)</f>
        <v>141</v>
      </c>
      <c r="F17">
        <f>HLOOKUP(F$8,'05. Giờ công'!$K$31:$BN$37,'05. Giờ công'!$A37,0)</f>
        <v>117</v>
      </c>
      <c r="G17">
        <f>HLOOKUP(G$8,'05. Giờ công'!$K$31:$BN$37,'05. Giờ công'!$A37,0)</f>
        <v>96</v>
      </c>
      <c r="H17">
        <f>HLOOKUP(H$8,'05. Giờ công'!$K$31:$BN$37,'05. Giờ công'!$A37,0)</f>
        <v>78</v>
      </c>
      <c r="I17">
        <f>HLOOKUP(I$8,'05. Giờ công'!$K$31:$BN$37,'05. Giờ công'!$A37,0)</f>
        <v>57</v>
      </c>
      <c r="J17">
        <f>HLOOKUP(J$8,'05. Giờ công'!$K$31:$BN$37,'05. Giờ công'!$A37,0)</f>
        <v>97</v>
      </c>
      <c r="K17">
        <f>HLOOKUP(K$8,'05. Giờ công'!$K$31:$BN$37,'05. Giờ công'!$A37,0)</f>
        <v>73</v>
      </c>
      <c r="L17">
        <f>HLOOKUP(L$8,'05. Giờ công'!$K$31:$BN$37,'05. Giờ công'!$A37,0)</f>
        <v>100</v>
      </c>
      <c r="M17">
        <f>HLOOKUP(M$8,'05. Giờ công'!$K$31:$BN$37,'05. Giờ công'!$A37,0)</f>
        <v>83</v>
      </c>
      <c r="O17" s="166">
        <f>ROUND(AVERAGEIF(C17:N17,"&lt;&gt;0"),0)</f>
        <v>98</v>
      </c>
    </row>
    <row r="18" spans="1:15" hidden="1" outlineLevel="1" x14ac:dyDescent="0.25"/>
    <row r="19" spans="1:15" collapsed="1" x14ac:dyDescent="0.25"/>
  </sheetData>
  <hyperlinks>
    <hyperlink ref="A1" location="'00. DM'!A1" display="00. DM" xr:uid="{423A19A2-DA76-41B5-95BE-9180CA5AB3DE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D777-FA38-46DD-83E9-93719E641B9B}">
  <sheetPr>
    <tabColor rgb="FF00B0F0"/>
  </sheetPr>
  <dimension ref="A1:N64"/>
  <sheetViews>
    <sheetView topLeftCell="A39" zoomScaleNormal="100" workbookViewId="0">
      <selection activeCell="G80" sqref="G80"/>
    </sheetView>
  </sheetViews>
  <sheetFormatPr defaultRowHeight="15" outlineLevelRow="1" x14ac:dyDescent="0.25"/>
  <cols>
    <col min="1" max="1" width="7.5703125" customWidth="1"/>
    <col min="2" max="2" width="22.42578125" customWidth="1"/>
    <col min="3" max="16" width="8.28515625" customWidth="1"/>
  </cols>
  <sheetData>
    <row r="1" spans="1:10" x14ac:dyDescent="0.25">
      <c r="A1" s="165" t="s">
        <v>254</v>
      </c>
    </row>
    <row r="2" spans="1:10" ht="21" x14ac:dyDescent="0.35">
      <c r="C2" s="200" t="s">
        <v>695</v>
      </c>
      <c r="D2" s="200"/>
      <c r="E2" s="201">
        <v>4</v>
      </c>
    </row>
    <row r="3" spans="1:10" x14ac:dyDescent="0.25">
      <c r="B3" s="224" t="s">
        <v>700</v>
      </c>
      <c r="F3" s="199">
        <f>E2</f>
        <v>4</v>
      </c>
      <c r="G3" s="199"/>
    </row>
    <row r="4" spans="1:10" ht="71.25" outlineLevel="1" x14ac:dyDescent="0.25">
      <c r="A4" s="160" t="s">
        <v>14</v>
      </c>
      <c r="B4" s="160" t="s">
        <v>11</v>
      </c>
      <c r="C4" s="160" t="s">
        <v>15</v>
      </c>
      <c r="D4" s="211" t="s">
        <v>1447</v>
      </c>
      <c r="E4" s="211" t="s">
        <v>701</v>
      </c>
      <c r="F4" s="211" t="s">
        <v>702</v>
      </c>
      <c r="G4" s="163" t="s">
        <v>1448</v>
      </c>
      <c r="H4" s="163" t="s">
        <v>696</v>
      </c>
      <c r="I4" s="163" t="s">
        <v>697</v>
      </c>
      <c r="J4" s="163" t="s">
        <v>698</v>
      </c>
    </row>
    <row r="5" spans="1:10" outlineLevel="1" x14ac:dyDescent="0.25">
      <c r="A5" s="25">
        <v>1</v>
      </c>
      <c r="B5" s="35" t="s">
        <v>0</v>
      </c>
      <c r="C5" s="25" t="s">
        <v>12</v>
      </c>
      <c r="D5" s="426">
        <f>SUMIF('02. ĐỊNH BIÊN'!$C$63:$C$75,'07. Chart nghỉ việc'!B5,'02. ĐỊNH BIÊN'!$R$63:$R$75)</f>
        <v>1</v>
      </c>
      <c r="E5" s="216">
        <f>SUMIF('02. ĐỊNH BIÊN'!$C$63:$C$75,'07. Chart nghỉ việc'!B5,'02. ĐỊNH BIÊN'!$AV$63:$AV$75)</f>
        <v>3</v>
      </c>
      <c r="F5" s="217">
        <f ca="1">SUMIF('02. ĐỊNH BIÊN'!$C$63:$C$75,'07. Chart nghỉ việc'!B5,'02. ĐỊNH BIÊN'!$BY$63:$BY$75)</f>
        <v>5</v>
      </c>
      <c r="G5" s="206">
        <f>D5/$D$17</f>
        <v>5.3475935828877002E-3</v>
      </c>
      <c r="H5" s="206">
        <f>E5/$E$17</f>
        <v>8.0645161290322578E-3</v>
      </c>
      <c r="I5" s="202">
        <f ca="1">F5/$F$17</f>
        <v>1.5576323987538941E-2</v>
      </c>
      <c r="J5" s="210">
        <f>IF(D5&lt;&gt;0,RANK(D5,$D$5:$D$16),"-")</f>
        <v>6</v>
      </c>
    </row>
    <row r="6" spans="1:10" outlineLevel="1" x14ac:dyDescent="0.25">
      <c r="A6" s="28">
        <v>2</v>
      </c>
      <c r="B6" s="36" t="s">
        <v>1</v>
      </c>
      <c r="C6" s="28" t="s">
        <v>12</v>
      </c>
      <c r="D6" s="427">
        <f>SUMIF('02. ĐỊNH BIÊN'!$C$63:$C$75,'07. Chart nghỉ việc'!B6,'02. ĐỊNH BIÊN'!$R$63:$R$75)</f>
        <v>1</v>
      </c>
      <c r="E6" s="218">
        <f>SUMIF('02. ĐỊNH BIÊN'!$C$63:$C$75,'07. Chart nghỉ việc'!B6,'02. ĐỊNH BIÊN'!$AV$63:$AV$75)</f>
        <v>2</v>
      </c>
      <c r="F6" s="219">
        <f ca="1">SUMIF('02. ĐỊNH BIÊN'!$C$63:$C$75,'07. Chart nghỉ việc'!B6,'02. ĐỊNH BIÊN'!$BY$63:$BY$75)</f>
        <v>0</v>
      </c>
      <c r="G6" s="219">
        <f t="shared" ref="G6:G16" si="0">D6/$D$17</f>
        <v>5.3475935828877002E-3</v>
      </c>
      <c r="H6" s="207">
        <f t="shared" ref="H6:H16" si="1">E6/$E$17</f>
        <v>5.3763440860215058E-3</v>
      </c>
      <c r="I6" s="204">
        <f t="shared" ref="I6:I16" ca="1" si="2">F6/$F$17</f>
        <v>0</v>
      </c>
      <c r="J6" s="210">
        <f t="shared" ref="J6:J16" si="3">IF(D6&lt;&gt;0,RANK(D6,$D$5:$D$16),"-")</f>
        <v>6</v>
      </c>
    </row>
    <row r="7" spans="1:10" outlineLevel="1" x14ac:dyDescent="0.25">
      <c r="A7" s="28">
        <v>3</v>
      </c>
      <c r="B7" s="36" t="s">
        <v>2</v>
      </c>
      <c r="C7" s="28" t="s">
        <v>12</v>
      </c>
      <c r="D7" s="427">
        <f>SUMIF('02. ĐỊNH BIÊN'!$C$63:$C$75,'07. Chart nghỉ việc'!B7,'02. ĐỊNH BIÊN'!$R$63:$R$75)</f>
        <v>0</v>
      </c>
      <c r="E7" s="218">
        <f>SUMIF('02. ĐỊNH BIÊN'!$C$63:$C$75,'07. Chart nghỉ việc'!B7,'02. ĐỊNH BIÊN'!$AV$63:$AV$75)</f>
        <v>2</v>
      </c>
      <c r="F7" s="219">
        <f ca="1">SUMIF('02. ĐỊNH BIÊN'!$C$63:$C$75,'07. Chart nghỉ việc'!B7,'02. ĐỊNH BIÊN'!$BY$63:$BY$75)</f>
        <v>2</v>
      </c>
      <c r="G7" s="219">
        <f t="shared" si="0"/>
        <v>0</v>
      </c>
      <c r="H7" s="207">
        <f t="shared" si="1"/>
        <v>5.3763440860215058E-3</v>
      </c>
      <c r="I7" s="204">
        <f t="shared" ca="1" si="2"/>
        <v>6.2305295950155761E-3</v>
      </c>
      <c r="J7" s="209" t="str">
        <f t="shared" si="3"/>
        <v>-</v>
      </c>
    </row>
    <row r="8" spans="1:10" outlineLevel="1" x14ac:dyDescent="0.25">
      <c r="A8" s="28">
        <v>4</v>
      </c>
      <c r="B8" s="36" t="s">
        <v>3</v>
      </c>
      <c r="C8" s="28" t="s">
        <v>12</v>
      </c>
      <c r="D8" s="427">
        <f>SUMIF('02. ĐỊNH BIÊN'!$C$63:$C$75,'07. Chart nghỉ việc'!B8,'02. ĐỊNH BIÊN'!$R$63:$R$75)</f>
        <v>1</v>
      </c>
      <c r="E8" s="218">
        <f>SUMIF('02. ĐỊNH BIÊN'!$C$63:$C$75,'07. Chart nghỉ việc'!B8,'02. ĐỊNH BIÊN'!$AV$63:$AV$75)</f>
        <v>6</v>
      </c>
      <c r="F8" s="219">
        <f ca="1">SUMIF('02. ĐỊNH BIÊN'!$C$63:$C$75,'07. Chart nghỉ việc'!B8,'02. ĐỊNH BIÊN'!$BY$63:$BY$75)</f>
        <v>13</v>
      </c>
      <c r="G8" s="219">
        <f t="shared" si="0"/>
        <v>5.3475935828877002E-3</v>
      </c>
      <c r="H8" s="207">
        <f t="shared" si="1"/>
        <v>1.6129032258064516E-2</v>
      </c>
      <c r="I8" s="204">
        <f t="shared" ca="1" si="2"/>
        <v>4.0498442367601244E-2</v>
      </c>
      <c r="J8" s="210">
        <f t="shared" si="3"/>
        <v>6</v>
      </c>
    </row>
    <row r="9" spans="1:10" outlineLevel="1" x14ac:dyDescent="0.25">
      <c r="A9" s="28">
        <v>5</v>
      </c>
      <c r="B9" s="36" t="s">
        <v>706</v>
      </c>
      <c r="C9" s="28" t="s">
        <v>12</v>
      </c>
      <c r="D9" s="427">
        <f>SUMIF('02. ĐỊNH BIÊN'!$C$63:$C$75,'07. Chart nghỉ việc'!B9,'02. ĐỊNH BIÊN'!$R$63:$R$75)</f>
        <v>0</v>
      </c>
      <c r="E9" s="218">
        <f>SUMIF('02. ĐỊNH BIÊN'!$C$63:$C$75,'07. Chart nghỉ việc'!B9,'02. ĐỊNH BIÊN'!$AV$63:$AV$75)</f>
        <v>0</v>
      </c>
      <c r="F9" s="219">
        <f>SUMIF('02. ĐỊNH BIÊN'!$C$63:$C$75,'07. Chart nghỉ việc'!B9,'02. ĐỊNH BIÊN'!$BY$63:$BY$75)</f>
        <v>0</v>
      </c>
      <c r="G9" s="219">
        <f t="shared" si="0"/>
        <v>0</v>
      </c>
      <c r="H9" s="207">
        <f t="shared" si="1"/>
        <v>0</v>
      </c>
      <c r="I9" s="204">
        <f t="shared" ca="1" si="2"/>
        <v>0</v>
      </c>
      <c r="J9" s="209" t="str">
        <f t="shared" si="3"/>
        <v>-</v>
      </c>
    </row>
    <row r="10" spans="1:10" outlineLevel="1" x14ac:dyDescent="0.25">
      <c r="A10" s="28">
        <v>6</v>
      </c>
      <c r="B10" s="36" t="s">
        <v>5</v>
      </c>
      <c r="C10" s="28" t="s">
        <v>12</v>
      </c>
      <c r="D10" s="427">
        <f>SUMIF('02. ĐỊNH BIÊN'!$C$63:$C$75,'07. Chart nghỉ việc'!B10,'02. ĐỊNH BIÊN'!$R$63:$R$75)</f>
        <v>2</v>
      </c>
      <c r="E10" s="218">
        <f>SUMIF('02. ĐỊNH BIÊN'!$C$63:$C$75,'07. Chart nghỉ việc'!B10,'02. ĐỊNH BIÊN'!$AV$63:$AV$75)</f>
        <v>0</v>
      </c>
      <c r="F10" s="219">
        <f ca="1">SUMIF('02. ĐỊNH BIÊN'!$C$63:$C$75,'07. Chart nghỉ việc'!B10,'02. ĐỊNH BIÊN'!$BY$63:$BY$75)</f>
        <v>1</v>
      </c>
      <c r="G10" s="219">
        <f t="shared" si="0"/>
        <v>1.06951871657754E-2</v>
      </c>
      <c r="H10" s="207">
        <f t="shared" si="1"/>
        <v>0</v>
      </c>
      <c r="I10" s="204">
        <f t="shared" ca="1" si="2"/>
        <v>3.1152647975077881E-3</v>
      </c>
      <c r="J10" s="209">
        <f t="shared" si="3"/>
        <v>5</v>
      </c>
    </row>
    <row r="11" spans="1:10" outlineLevel="1" x14ac:dyDescent="0.25">
      <c r="A11" s="28">
        <v>7</v>
      </c>
      <c r="B11" s="36" t="s">
        <v>705</v>
      </c>
      <c r="C11" s="28" t="s">
        <v>12</v>
      </c>
      <c r="D11" s="427">
        <f>SUMIF('02. ĐỊNH BIÊN'!$C$63:$C$75,'07. Chart nghỉ việc'!B11,'02. ĐỊNH BIÊN'!$R$63:$R$75)</f>
        <v>0</v>
      </c>
      <c r="E11" s="218">
        <f>SUMIF('02. ĐỊNH BIÊN'!$C$63:$C$75,'07. Chart nghỉ việc'!B11,'02. ĐỊNH BIÊN'!$AV$63:$AV$75)</f>
        <v>0</v>
      </c>
      <c r="F11" s="219">
        <f>SUMIF('02. ĐỊNH BIÊN'!$C$63:$C$75,'07. Chart nghỉ việc'!B11,'02. ĐỊNH BIÊN'!$BY$63:$BY$75)</f>
        <v>0</v>
      </c>
      <c r="G11" s="219">
        <f t="shared" si="0"/>
        <v>0</v>
      </c>
      <c r="H11" s="207">
        <f t="shared" si="1"/>
        <v>0</v>
      </c>
      <c r="I11" s="204">
        <f t="shared" ca="1" si="2"/>
        <v>0</v>
      </c>
      <c r="J11" s="209" t="str">
        <f t="shared" si="3"/>
        <v>-</v>
      </c>
    </row>
    <row r="12" spans="1:10" outlineLevel="1" x14ac:dyDescent="0.25">
      <c r="A12" s="28">
        <v>8</v>
      </c>
      <c r="B12" s="36" t="s">
        <v>7</v>
      </c>
      <c r="C12" s="28" t="s">
        <v>12</v>
      </c>
      <c r="D12" s="427">
        <f>SUMIF('02. ĐỊNH BIÊN'!$C$63:$C$75,'07. Chart nghỉ việc'!B12,'02. ĐỊNH BIÊN'!$R$63:$R$75)</f>
        <v>8</v>
      </c>
      <c r="E12" s="218">
        <f>SUMIF('02. ĐỊNH BIÊN'!$C$63:$C$75,'07. Chart nghỉ việc'!B12,'02. ĐỊNH BIÊN'!$AV$63:$AV$75)</f>
        <v>8</v>
      </c>
      <c r="F12" s="219">
        <f ca="1">SUMIF('02. ĐỊNH BIÊN'!$C$63:$C$75,'07. Chart nghỉ việc'!B12,'02. ĐỊNH BIÊN'!$BY$63:$BY$75)</f>
        <v>18</v>
      </c>
      <c r="G12" s="219">
        <f t="shared" si="0"/>
        <v>4.2780748663101602E-2</v>
      </c>
      <c r="H12" s="207">
        <f t="shared" si="1"/>
        <v>2.1505376344086023E-2</v>
      </c>
      <c r="I12" s="204">
        <f t="shared" ca="1" si="2"/>
        <v>5.6074766355140186E-2</v>
      </c>
      <c r="J12" s="209">
        <f t="shared" si="3"/>
        <v>2</v>
      </c>
    </row>
    <row r="13" spans="1:10" outlineLevel="1" x14ac:dyDescent="0.25">
      <c r="A13" s="28">
        <v>9</v>
      </c>
      <c r="B13" s="36" t="s">
        <v>9</v>
      </c>
      <c r="C13" s="28" t="s">
        <v>12</v>
      </c>
      <c r="D13" s="427">
        <f>SUMIF('02. ĐỊNH BIÊN'!$C$63:$C$75,'07. Chart nghỉ việc'!B13,'02. ĐỊNH BIÊN'!$R$63:$R$75)</f>
        <v>5</v>
      </c>
      <c r="E13" s="218">
        <f>SUMIF('02. ĐỊNH BIÊN'!$C$63:$C$75,'07. Chart nghỉ việc'!B13,'02. ĐỊNH BIÊN'!$AV$63:$AV$75)</f>
        <v>11</v>
      </c>
      <c r="F13" s="219">
        <f ca="1">SUMIF('02. ĐỊNH BIÊN'!$C$63:$C$75,'07. Chart nghỉ việc'!B13,'02. ĐỊNH BIÊN'!$BY$63:$BY$75)</f>
        <v>11</v>
      </c>
      <c r="G13" s="219">
        <f t="shared" si="0"/>
        <v>2.6737967914438502E-2</v>
      </c>
      <c r="H13" s="207">
        <f t="shared" si="1"/>
        <v>2.9569892473118281E-2</v>
      </c>
      <c r="I13" s="204">
        <f t="shared" ca="1" si="2"/>
        <v>3.4267912772585667E-2</v>
      </c>
      <c r="J13" s="209">
        <f t="shared" si="3"/>
        <v>4</v>
      </c>
    </row>
    <row r="14" spans="1:10" outlineLevel="1" x14ac:dyDescent="0.25">
      <c r="A14" s="28">
        <v>10</v>
      </c>
      <c r="B14" s="36" t="s">
        <v>10</v>
      </c>
      <c r="C14" s="28" t="s">
        <v>12</v>
      </c>
      <c r="D14" s="427">
        <f>SUMIF('02. ĐỊNH BIÊN'!$C$63:$C$75,'07. Chart nghỉ việc'!B14,'02. ĐỊNH BIÊN'!$R$63:$R$75)</f>
        <v>8</v>
      </c>
      <c r="E14" s="218">
        <f>SUMIF('02. ĐỊNH BIÊN'!$C$63:$C$75,'07. Chart nghỉ việc'!B14,'02. ĐỊNH BIÊN'!$AV$63:$AV$75)</f>
        <v>5</v>
      </c>
      <c r="F14" s="219">
        <f ca="1">SUMIF('02. ĐỊNH BIÊN'!$C$63:$C$75,'07. Chart nghỉ việc'!B14,'02. ĐỊNH BIÊN'!$BY$63:$BY$75)</f>
        <v>7</v>
      </c>
      <c r="G14" s="219">
        <f t="shared" si="0"/>
        <v>4.2780748663101602E-2</v>
      </c>
      <c r="H14" s="207">
        <f t="shared" si="1"/>
        <v>1.3440860215053764E-2</v>
      </c>
      <c r="I14" s="204">
        <f t="shared" ca="1" si="2"/>
        <v>2.1806853582554516E-2</v>
      </c>
      <c r="J14" s="209">
        <f t="shared" si="3"/>
        <v>2</v>
      </c>
    </row>
    <row r="15" spans="1:10" outlineLevel="1" x14ac:dyDescent="0.25">
      <c r="A15" s="28">
        <v>11</v>
      </c>
      <c r="B15" s="36" t="s">
        <v>8</v>
      </c>
      <c r="C15" s="28" t="s">
        <v>693</v>
      </c>
      <c r="D15" s="427">
        <f>SUMIF('02. ĐỊNH BIÊN'!$C$63:$C$75,'07. Chart nghỉ việc'!B15,'02. ĐỊNH BIÊN'!$R$63:$R$75)</f>
        <v>161</v>
      </c>
      <c r="E15" s="218">
        <f>SUMIF('02. ĐỊNH BIÊN'!$C$63:$C$75,'07. Chart nghỉ việc'!B15,'02. ĐỊNH BIÊN'!$AV$63:$AV$75)</f>
        <v>334</v>
      </c>
      <c r="F15" s="219">
        <f ca="1">SUMIF('02. ĐỊNH BIÊN'!$C$63:$C$75,'07. Chart nghỉ việc'!B15,'02. ĐỊNH BIÊN'!$BY$63:$BY$75)</f>
        <v>264</v>
      </c>
      <c r="G15" s="219">
        <f t="shared" si="0"/>
        <v>0.86096256684491979</v>
      </c>
      <c r="H15" s="207">
        <f t="shared" si="1"/>
        <v>0.89784946236559138</v>
      </c>
      <c r="I15" s="204">
        <f t="shared" ca="1" si="2"/>
        <v>0.82242990654205606</v>
      </c>
      <c r="J15" s="209">
        <f t="shared" si="3"/>
        <v>1</v>
      </c>
    </row>
    <row r="16" spans="1:10" outlineLevel="1" x14ac:dyDescent="0.25">
      <c r="A16" s="31">
        <v>12</v>
      </c>
      <c r="B16" s="37" t="s">
        <v>221</v>
      </c>
      <c r="C16" s="31" t="s">
        <v>12</v>
      </c>
      <c r="D16" s="428">
        <f>SUMIF('02. ĐỊNH BIÊN'!$C$63:$C$75,'07. Chart nghỉ việc'!B16,'02. ĐỊNH BIÊN'!$R$63:$R$75)</f>
        <v>0</v>
      </c>
      <c r="E16" s="220">
        <f>SUMIF('02. ĐỊNH BIÊN'!$C$63:$C$75,'07. Chart nghỉ việc'!B16,'02. ĐỊNH BIÊN'!$AV$63:$AV$75)</f>
        <v>1</v>
      </c>
      <c r="F16" s="221">
        <f ca="1">SUMIF('02. ĐỊNH BIÊN'!$C$63:$C$75,'07. Chart nghỉ việc'!B16,'02. ĐỊNH BIÊN'!$BY$63:$BY$75)</f>
        <v>0</v>
      </c>
      <c r="G16" s="221">
        <f t="shared" si="0"/>
        <v>0</v>
      </c>
      <c r="H16" s="208">
        <f t="shared" si="1"/>
        <v>2.6881720430107529E-3</v>
      </c>
      <c r="I16" s="205">
        <f t="shared" ca="1" si="2"/>
        <v>0</v>
      </c>
      <c r="J16" s="210" t="str">
        <f t="shared" si="3"/>
        <v>-</v>
      </c>
    </row>
    <row r="17" spans="1:10" outlineLevel="1" x14ac:dyDescent="0.25">
      <c r="A17" s="34"/>
      <c r="B17" s="38" t="s">
        <v>17</v>
      </c>
      <c r="C17" s="34"/>
      <c r="D17" s="34">
        <f>SUM(D5:D16)</f>
        <v>187</v>
      </c>
      <c r="E17" s="34">
        <f>SUM(E5:E16)</f>
        <v>372</v>
      </c>
      <c r="F17" s="34">
        <f ca="1">SUM(F5:F16)</f>
        <v>321</v>
      </c>
      <c r="G17" s="34"/>
      <c r="H17" s="203">
        <f>SUM(H5:H16)</f>
        <v>1</v>
      </c>
      <c r="I17" s="203">
        <f ca="1">SUM(I5:I16)</f>
        <v>1</v>
      </c>
      <c r="J17" s="97"/>
    </row>
    <row r="19" spans="1:10" x14ac:dyDescent="0.25">
      <c r="B19" s="224" t="s">
        <v>700</v>
      </c>
    </row>
    <row r="20" spans="1:10" ht="71.25" outlineLevel="1" x14ac:dyDescent="0.25">
      <c r="A20" s="211" t="s">
        <v>698</v>
      </c>
      <c r="B20" s="211" t="s">
        <v>11</v>
      </c>
      <c r="C20" s="211" t="s">
        <v>15</v>
      </c>
      <c r="D20" s="211" t="s">
        <v>1447</v>
      </c>
      <c r="E20" s="211" t="s">
        <v>701</v>
      </c>
      <c r="F20" s="211" t="s">
        <v>702</v>
      </c>
      <c r="G20" s="163" t="s">
        <v>1448</v>
      </c>
      <c r="H20" s="163" t="s">
        <v>696</v>
      </c>
      <c r="I20" s="163" t="s">
        <v>697</v>
      </c>
    </row>
    <row r="21" spans="1:10" outlineLevel="1" x14ac:dyDescent="0.25">
      <c r="A21" s="212">
        <v>1</v>
      </c>
      <c r="B21" s="213" t="str">
        <f>_xlfn.XLOOKUP($A21,$J$5:$J$17,$B$5:$B$17,0)</f>
        <v>Xưởng Sản Xuất</v>
      </c>
      <c r="C21" s="5" t="str">
        <f>_xlfn.XLOOKUP($A21,$J$5:$J$17,$C$5:$C$17,0)</f>
        <v>GT + TT</v>
      </c>
      <c r="D21" s="5">
        <f>_xlfn.XLOOKUP($A21,$J$5:$J$17,$D$5:$D$17,0)</f>
        <v>161</v>
      </c>
      <c r="E21" s="5">
        <f>_xlfn.XLOOKUP($A21,$J$5:$J$17,$E$5:$E$17,0)</f>
        <v>334</v>
      </c>
      <c r="F21" s="5">
        <f ca="1">_xlfn.XLOOKUP($A21,$J$5:$J$17,$F$5:$F$17,0)</f>
        <v>264</v>
      </c>
      <c r="G21" s="207">
        <f>D21/$D$33</f>
        <v>0.90960451977401124</v>
      </c>
      <c r="H21" s="207">
        <f>E21/$E$33</f>
        <v>0.9382022471910112</v>
      </c>
      <c r="I21" s="207">
        <f ca="1">F21/$F$33</f>
        <v>0.882943143812709</v>
      </c>
    </row>
    <row r="22" spans="1:10" outlineLevel="1" x14ac:dyDescent="0.25">
      <c r="A22" s="214">
        <v>2</v>
      </c>
      <c r="B22" s="5" t="str">
        <f>_xlfn.XLOOKUP($A22,$J$5:$J$17,$B$5:$B$17,0)</f>
        <v>Kỹ Thuật</v>
      </c>
      <c r="C22" s="5" t="str">
        <f>_xlfn.XLOOKUP($A22,$J$5:$J$17,$C$5:$C$17,0)</f>
        <v>Gián tiếp</v>
      </c>
      <c r="D22" s="5">
        <f t="shared" ref="D22:D32" si="4">_xlfn.XLOOKUP($A22,$J$5:$J$17,$D$5:$D$17,0)</f>
        <v>8</v>
      </c>
      <c r="E22" s="5">
        <f>_xlfn.XLOOKUP($A22,$J$5:$J$17,$E$5:$E$17,0)</f>
        <v>8</v>
      </c>
      <c r="F22" s="5">
        <f ca="1">_xlfn.XLOOKUP($A22,$J$5:$J$17,$F$5:$F$17,0)</f>
        <v>18</v>
      </c>
      <c r="G22" s="207">
        <f t="shared" ref="G22:G33" si="5">D22/$D$33</f>
        <v>4.519774011299435E-2</v>
      </c>
      <c r="H22" s="207">
        <f>E22/$E$33</f>
        <v>2.247191011235955E-2</v>
      </c>
      <c r="I22" s="207">
        <f ca="1">F22/$F$33</f>
        <v>6.0200668896321072E-2</v>
      </c>
    </row>
    <row r="23" spans="1:10" outlineLevel="1" x14ac:dyDescent="0.25">
      <c r="A23" s="214">
        <v>3</v>
      </c>
      <c r="B23" s="5">
        <f t="shared" ref="B23:B32" si="6">_xlfn.XLOOKUP($A23,$J$5:$J$17,$B$5:$B$17,0)</f>
        <v>0</v>
      </c>
      <c r="C23" s="5">
        <f t="shared" ref="C23:C32" si="7">_xlfn.XLOOKUP($A23,$J$5:$J$17,$C$5:$C$17,0)</f>
        <v>0</v>
      </c>
      <c r="D23" s="5">
        <f t="shared" si="4"/>
        <v>0</v>
      </c>
      <c r="E23" s="5">
        <f t="shared" ref="E23:E32" si="8">_xlfn.XLOOKUP($A23,$J$5:$J$17,$E$5:$E$17,0)</f>
        <v>0</v>
      </c>
      <c r="F23" s="5">
        <f t="shared" ref="F23:F32" si="9">_xlfn.XLOOKUP($A23,$J$5:$J$17,$F$5:$F$17,0)</f>
        <v>0</v>
      </c>
      <c r="G23" s="207">
        <f t="shared" si="5"/>
        <v>0</v>
      </c>
      <c r="H23" s="207">
        <f t="shared" ref="H23:H32" si="10">E23/$E$33</f>
        <v>0</v>
      </c>
      <c r="I23" s="207">
        <f t="shared" ref="I23:I32" ca="1" si="11">F23/$F$33</f>
        <v>0</v>
      </c>
    </row>
    <row r="24" spans="1:10" outlineLevel="1" x14ac:dyDescent="0.25">
      <c r="A24" s="214">
        <v>4</v>
      </c>
      <c r="B24" s="5" t="str">
        <f t="shared" si="6"/>
        <v>Hành Chánh Nhân Sự</v>
      </c>
      <c r="C24" s="5" t="str">
        <f t="shared" si="7"/>
        <v>Gián tiếp</v>
      </c>
      <c r="D24" s="5">
        <f t="shared" si="4"/>
        <v>5</v>
      </c>
      <c r="E24" s="5">
        <f t="shared" si="8"/>
        <v>11</v>
      </c>
      <c r="F24" s="5">
        <f t="shared" ca="1" si="9"/>
        <v>11</v>
      </c>
      <c r="G24" s="207">
        <f t="shared" si="5"/>
        <v>2.8248587570621469E-2</v>
      </c>
      <c r="H24" s="207">
        <f t="shared" si="10"/>
        <v>3.0898876404494381E-2</v>
      </c>
      <c r="I24" s="207">
        <f t="shared" ca="1" si="11"/>
        <v>3.678929765886288E-2</v>
      </c>
    </row>
    <row r="25" spans="1:10" outlineLevel="1" x14ac:dyDescent="0.25">
      <c r="A25" s="214">
        <v>5</v>
      </c>
      <c r="B25" s="5" t="str">
        <f t="shared" si="6"/>
        <v>Văn Phòng Giám Đốc</v>
      </c>
      <c r="C25" s="5" t="str">
        <f t="shared" si="7"/>
        <v>Gián tiếp</v>
      </c>
      <c r="D25" s="5">
        <f t="shared" si="4"/>
        <v>2</v>
      </c>
      <c r="E25" s="5">
        <f t="shared" si="8"/>
        <v>0</v>
      </c>
      <c r="F25" s="5">
        <f t="shared" ca="1" si="9"/>
        <v>1</v>
      </c>
      <c r="G25" s="207">
        <f t="shared" si="5"/>
        <v>1.1299435028248588E-2</v>
      </c>
      <c r="H25" s="207">
        <f t="shared" si="10"/>
        <v>0</v>
      </c>
      <c r="I25" s="207">
        <f t="shared" ca="1" si="11"/>
        <v>3.3444816053511705E-3</v>
      </c>
    </row>
    <row r="26" spans="1:10" outlineLevel="1" x14ac:dyDescent="0.25">
      <c r="A26" s="214">
        <v>6</v>
      </c>
      <c r="B26" s="5" t="str">
        <f t="shared" si="6"/>
        <v>Ban Giám Đốc</v>
      </c>
      <c r="C26" s="5" t="str">
        <f t="shared" si="7"/>
        <v>Gián tiếp</v>
      </c>
      <c r="D26" s="5">
        <f t="shared" si="4"/>
        <v>1</v>
      </c>
      <c r="E26" s="5">
        <f t="shared" si="8"/>
        <v>3</v>
      </c>
      <c r="F26" s="5">
        <f t="shared" ca="1" si="9"/>
        <v>5</v>
      </c>
      <c r="G26" s="207">
        <f t="shared" si="5"/>
        <v>5.6497175141242938E-3</v>
      </c>
      <c r="H26" s="207">
        <f t="shared" si="10"/>
        <v>8.4269662921348312E-3</v>
      </c>
      <c r="I26" s="207">
        <f t="shared" ca="1" si="11"/>
        <v>1.6722408026755852E-2</v>
      </c>
    </row>
    <row r="27" spans="1:10" outlineLevel="1" x14ac:dyDescent="0.25">
      <c r="A27" s="214">
        <v>7</v>
      </c>
      <c r="B27" s="5">
        <f t="shared" si="6"/>
        <v>0</v>
      </c>
      <c r="C27" s="5">
        <f t="shared" si="7"/>
        <v>0</v>
      </c>
      <c r="D27" s="5">
        <f t="shared" si="4"/>
        <v>0</v>
      </c>
      <c r="E27" s="5">
        <f t="shared" si="8"/>
        <v>0</v>
      </c>
      <c r="F27" s="5">
        <f t="shared" si="9"/>
        <v>0</v>
      </c>
      <c r="G27" s="207">
        <f t="shared" si="5"/>
        <v>0</v>
      </c>
      <c r="H27" s="207">
        <f t="shared" si="10"/>
        <v>0</v>
      </c>
      <c r="I27" s="207">
        <f t="shared" ca="1" si="11"/>
        <v>0</v>
      </c>
    </row>
    <row r="28" spans="1:10" outlineLevel="1" x14ac:dyDescent="0.25">
      <c r="A28" s="214">
        <v>8</v>
      </c>
      <c r="B28" s="5">
        <f t="shared" si="6"/>
        <v>0</v>
      </c>
      <c r="C28" s="5">
        <f t="shared" si="7"/>
        <v>0</v>
      </c>
      <c r="D28" s="5">
        <f t="shared" si="4"/>
        <v>0</v>
      </c>
      <c r="E28" s="5">
        <f t="shared" si="8"/>
        <v>0</v>
      </c>
      <c r="F28" s="5">
        <f t="shared" si="9"/>
        <v>0</v>
      </c>
      <c r="G28" s="207">
        <f t="shared" si="5"/>
        <v>0</v>
      </c>
      <c r="H28" s="207">
        <f t="shared" si="10"/>
        <v>0</v>
      </c>
      <c r="I28" s="207">
        <f t="shared" ca="1" si="11"/>
        <v>0</v>
      </c>
    </row>
    <row r="29" spans="1:10" outlineLevel="1" x14ac:dyDescent="0.25">
      <c r="A29" s="214">
        <v>9</v>
      </c>
      <c r="B29" s="5">
        <f t="shared" si="6"/>
        <v>0</v>
      </c>
      <c r="C29" s="5">
        <f t="shared" si="7"/>
        <v>0</v>
      </c>
      <c r="D29" s="5">
        <f t="shared" si="4"/>
        <v>0</v>
      </c>
      <c r="E29" s="5">
        <f t="shared" si="8"/>
        <v>0</v>
      </c>
      <c r="F29" s="5">
        <f t="shared" si="9"/>
        <v>0</v>
      </c>
      <c r="G29" s="207">
        <f t="shared" si="5"/>
        <v>0</v>
      </c>
      <c r="H29" s="207">
        <f t="shared" si="10"/>
        <v>0</v>
      </c>
      <c r="I29" s="207">
        <f t="shared" ca="1" si="11"/>
        <v>0</v>
      </c>
    </row>
    <row r="30" spans="1:10" outlineLevel="1" x14ac:dyDescent="0.25">
      <c r="A30" s="214">
        <v>10</v>
      </c>
      <c r="B30" s="5">
        <f t="shared" si="6"/>
        <v>0</v>
      </c>
      <c r="C30" s="5">
        <f t="shared" si="7"/>
        <v>0</v>
      </c>
      <c r="D30" s="5">
        <f t="shared" si="4"/>
        <v>0</v>
      </c>
      <c r="E30" s="5">
        <f t="shared" si="8"/>
        <v>0</v>
      </c>
      <c r="F30" s="5">
        <f t="shared" si="9"/>
        <v>0</v>
      </c>
      <c r="G30" s="207">
        <f t="shared" si="5"/>
        <v>0</v>
      </c>
      <c r="H30" s="207">
        <f t="shared" si="10"/>
        <v>0</v>
      </c>
      <c r="I30" s="207">
        <f t="shared" ca="1" si="11"/>
        <v>0</v>
      </c>
    </row>
    <row r="31" spans="1:10" outlineLevel="1" x14ac:dyDescent="0.25">
      <c r="A31" s="214">
        <v>11</v>
      </c>
      <c r="B31" s="5">
        <f t="shared" si="6"/>
        <v>0</v>
      </c>
      <c r="C31" s="5">
        <f t="shared" si="7"/>
        <v>0</v>
      </c>
      <c r="D31" s="5">
        <f t="shared" si="4"/>
        <v>0</v>
      </c>
      <c r="E31" s="5">
        <f t="shared" si="8"/>
        <v>0</v>
      </c>
      <c r="F31" s="5">
        <f t="shared" si="9"/>
        <v>0</v>
      </c>
      <c r="G31" s="207">
        <f t="shared" si="5"/>
        <v>0</v>
      </c>
      <c r="H31" s="207">
        <f t="shared" si="10"/>
        <v>0</v>
      </c>
      <c r="I31" s="207">
        <f t="shared" ca="1" si="11"/>
        <v>0</v>
      </c>
    </row>
    <row r="32" spans="1:10" outlineLevel="1" x14ac:dyDescent="0.25">
      <c r="A32" s="215">
        <v>12</v>
      </c>
      <c r="B32" s="6">
        <f t="shared" si="6"/>
        <v>0</v>
      </c>
      <c r="C32" s="5">
        <f t="shared" si="7"/>
        <v>0</v>
      </c>
      <c r="D32" s="5">
        <f t="shared" si="4"/>
        <v>0</v>
      </c>
      <c r="E32" s="5">
        <f t="shared" si="8"/>
        <v>0</v>
      </c>
      <c r="F32" s="5">
        <f t="shared" si="9"/>
        <v>0</v>
      </c>
      <c r="G32" s="207">
        <f t="shared" si="5"/>
        <v>0</v>
      </c>
      <c r="H32" s="207">
        <f t="shared" si="10"/>
        <v>0</v>
      </c>
      <c r="I32" s="207">
        <f t="shared" ca="1" si="11"/>
        <v>0</v>
      </c>
    </row>
    <row r="33" spans="1:10" outlineLevel="1" x14ac:dyDescent="0.25">
      <c r="A33" s="34"/>
      <c r="B33" s="38" t="s">
        <v>17</v>
      </c>
      <c r="C33" s="34"/>
      <c r="D33" s="34">
        <f>SUM(D21:D32)</f>
        <v>177</v>
      </c>
      <c r="E33" s="34">
        <f>SUM(E21:E32)</f>
        <v>356</v>
      </c>
      <c r="F33" s="34">
        <f ca="1">SUM(F21:F32)</f>
        <v>299</v>
      </c>
      <c r="G33" s="203">
        <f t="shared" si="5"/>
        <v>1</v>
      </c>
      <c r="H33" s="203">
        <f>SUM(H21:H32)</f>
        <v>1</v>
      </c>
      <c r="I33" s="203">
        <f ca="1">SUM(I21:I32)</f>
        <v>0.99999999999999989</v>
      </c>
      <c r="J33" s="97"/>
    </row>
    <row r="34" spans="1:10" outlineLevel="1" x14ac:dyDescent="0.25">
      <c r="C34" s="222" t="s">
        <v>699</v>
      </c>
      <c r="D34" s="222"/>
      <c r="E34" s="223">
        <f>E17-E33</f>
        <v>16</v>
      </c>
      <c r="F34" s="223">
        <f ca="1">F17-F33</f>
        <v>22</v>
      </c>
      <c r="G34" s="429"/>
    </row>
    <row r="37" spans="1:10" ht="20.65" customHeight="1" x14ac:dyDescent="0.25">
      <c r="A37" s="225" t="s">
        <v>21</v>
      </c>
      <c r="B37" s="226" t="str">
        <f>"LAO ĐỘNG NGHỈ VIỆC THEO BỘ PHẬN LŨY KẾ T"&amp;E2&amp;".2026"</f>
        <v>LAO ĐỘNG NGHỈ VIỆC THEO BỘ PHẬN LŨY KẾ T4.2026</v>
      </c>
    </row>
    <row r="56" spans="1:14" ht="18.75" x14ac:dyDescent="0.25">
      <c r="A56" s="225" t="s">
        <v>689</v>
      </c>
      <c r="B56" s="226" t="s">
        <v>1449</v>
      </c>
    </row>
    <row r="58" spans="1:14" x14ac:dyDescent="0.25">
      <c r="B58" s="227" t="s">
        <v>703</v>
      </c>
      <c r="C58" s="227">
        <v>1</v>
      </c>
      <c r="D58" s="227">
        <v>2</v>
      </c>
      <c r="E58" s="227">
        <v>3</v>
      </c>
      <c r="F58" s="227">
        <v>4</v>
      </c>
      <c r="G58" s="227">
        <v>5</v>
      </c>
      <c r="H58" s="227">
        <v>6</v>
      </c>
      <c r="I58" s="227">
        <v>7</v>
      </c>
      <c r="J58" s="227">
        <v>8</v>
      </c>
      <c r="K58" s="227">
        <v>9</v>
      </c>
      <c r="L58" s="227">
        <v>10</v>
      </c>
      <c r="M58" s="227">
        <v>11</v>
      </c>
      <c r="N58" s="227">
        <v>12</v>
      </c>
    </row>
    <row r="59" spans="1:14" x14ac:dyDescent="0.25">
      <c r="B59" s="454">
        <v>2024</v>
      </c>
      <c r="C59" s="213">
        <v>10</v>
      </c>
      <c r="D59" s="213">
        <v>33</v>
      </c>
      <c r="E59" s="213">
        <v>28</v>
      </c>
      <c r="F59" s="213">
        <v>49</v>
      </c>
      <c r="G59" s="213">
        <v>35</v>
      </c>
      <c r="H59" s="213">
        <v>47</v>
      </c>
      <c r="I59" s="213">
        <v>26</v>
      </c>
      <c r="J59" s="213">
        <v>21</v>
      </c>
      <c r="K59" s="213">
        <v>22</v>
      </c>
      <c r="L59" s="213">
        <v>25</v>
      </c>
      <c r="M59" s="213">
        <v>22</v>
      </c>
      <c r="N59" s="213">
        <v>15</v>
      </c>
    </row>
    <row r="60" spans="1:14" x14ac:dyDescent="0.25">
      <c r="B60" s="244">
        <v>2025</v>
      </c>
      <c r="C60" s="245">
        <f>'02. ĐỊNH BIÊN'!AI76</f>
        <v>20</v>
      </c>
      <c r="D60" s="245">
        <f>'02. ĐỊNH BIÊN'!AJ76</f>
        <v>35</v>
      </c>
      <c r="E60" s="245">
        <f>'02. ĐỊNH BIÊN'!AK76</f>
        <v>35</v>
      </c>
      <c r="F60" s="245">
        <f>'02. ĐỊNH BIÊN'!AL76</f>
        <v>41</v>
      </c>
      <c r="G60" s="245">
        <f>'02. ĐỊNH BIÊN'!AM76</f>
        <v>46</v>
      </c>
      <c r="H60" s="245">
        <f>'02. ĐỊNH BIÊN'!AN76</f>
        <v>42</v>
      </c>
      <c r="I60" s="245">
        <f>'02. ĐỊNH BIÊN'!AO76</f>
        <v>36</v>
      </c>
      <c r="J60" s="245">
        <f>'02. ĐỊNH BIÊN'!AP76</f>
        <v>36</v>
      </c>
      <c r="K60" s="245">
        <f>'02. ĐỊNH BIÊN'!AQ76</f>
        <v>33</v>
      </c>
      <c r="L60" s="245">
        <f>'02. ĐỊNH BIÊN'!AR76</f>
        <v>38</v>
      </c>
      <c r="M60" s="245">
        <f>'02. ĐỊNH BIÊN'!AS76</f>
        <v>16</v>
      </c>
      <c r="N60" s="245">
        <f>'02. ĐỊNH BIÊN'!AT76</f>
        <v>19</v>
      </c>
    </row>
    <row r="61" spans="1:14" x14ac:dyDescent="0.25">
      <c r="B61" s="244">
        <v>2026</v>
      </c>
      <c r="C61" s="245">
        <f>'02. ĐỊNH BIÊN'!E76</f>
        <v>36</v>
      </c>
      <c r="D61" s="245">
        <f>'02. ĐỊNH BIÊN'!F76</f>
        <v>38</v>
      </c>
      <c r="E61" s="245">
        <f>'02. ĐỊNH BIÊN'!G76</f>
        <v>66</v>
      </c>
      <c r="F61" s="245">
        <f>'02. ĐỊNH BIÊN'!H76</f>
        <v>57</v>
      </c>
      <c r="G61" s="245">
        <f>'02. ĐỊNH BIÊN'!I76</f>
        <v>0</v>
      </c>
      <c r="H61" s="245">
        <f>'02. ĐỊNH BIÊN'!J76</f>
        <v>0</v>
      </c>
      <c r="I61" s="245">
        <f>'02. ĐỊNH BIÊN'!K76</f>
        <v>0</v>
      </c>
      <c r="J61" s="245">
        <f>'02. ĐỊNH BIÊN'!L76</f>
        <v>0</v>
      </c>
      <c r="K61" s="245">
        <f>'02. ĐỊNH BIÊN'!M76</f>
        <v>0</v>
      </c>
      <c r="L61" s="245">
        <f>'02. ĐỊNH BIÊN'!N76</f>
        <v>0</v>
      </c>
      <c r="M61" s="245">
        <f>'02. ĐỊNH BIÊN'!O76</f>
        <v>0</v>
      </c>
      <c r="N61" s="245">
        <f>'02. ĐỊNH BIÊN'!P76</f>
        <v>0</v>
      </c>
    </row>
    <row r="62" spans="1:14" x14ac:dyDescent="0.25">
      <c r="B62" s="121" t="s">
        <v>694</v>
      </c>
      <c r="C62" s="5">
        <f>C59</f>
        <v>10</v>
      </c>
      <c r="D62" s="5">
        <f>SUM($C$59:D59)</f>
        <v>43</v>
      </c>
      <c r="E62" s="5">
        <f>SUM($C$59:E59)</f>
        <v>71</v>
      </c>
      <c r="F62" s="5">
        <f>SUM($C$59:F59)</f>
        <v>120</v>
      </c>
      <c r="G62" s="5">
        <f>SUM($C$59:G59)</f>
        <v>155</v>
      </c>
      <c r="H62" s="5">
        <f>SUM($C$59:H59)</f>
        <v>202</v>
      </c>
      <c r="I62" s="5">
        <f>SUM($C$59:I59)</f>
        <v>228</v>
      </c>
      <c r="J62" s="5">
        <f>SUM($C$59:J59)</f>
        <v>249</v>
      </c>
      <c r="K62" s="5">
        <f>SUM($C$59:K59)</f>
        <v>271</v>
      </c>
      <c r="L62" s="5">
        <f>SUM($C$59:L59)</f>
        <v>296</v>
      </c>
      <c r="M62" s="5">
        <f>SUM($C$59:M59)</f>
        <v>318</v>
      </c>
      <c r="N62" s="5">
        <f>SUM($C$59:N59)</f>
        <v>333</v>
      </c>
    </row>
    <row r="63" spans="1:14" x14ac:dyDescent="0.25">
      <c r="B63" s="122" t="s">
        <v>704</v>
      </c>
      <c r="C63" s="228">
        <f>C59</f>
        <v>10</v>
      </c>
      <c r="D63" s="228">
        <f>IF(D59&lt;&gt;0,SUM($C59:D$60),0)</f>
        <v>98</v>
      </c>
      <c r="E63" s="228">
        <f>IF(E59&lt;&gt;0,SUM($C59:E$60),0)</f>
        <v>161</v>
      </c>
      <c r="F63" s="228">
        <f>IF(F59&lt;&gt;0,SUM($C59:F$60),0)</f>
        <v>251</v>
      </c>
      <c r="G63" s="228">
        <f>IF(G59&lt;&gt;0,SUM($C59:G$60),0)</f>
        <v>332</v>
      </c>
      <c r="H63" s="228">
        <f>IF(H59&lt;&gt;0,SUM($C59:H$60),0)</f>
        <v>421</v>
      </c>
      <c r="I63" s="228">
        <f>IF(I59&lt;&gt;0,SUM($C59:I$60),0)</f>
        <v>483</v>
      </c>
      <c r="J63" s="228">
        <f>IF(J59&lt;&gt;0,SUM($C59:J$60),0)</f>
        <v>540</v>
      </c>
      <c r="K63" s="228">
        <f>IF(K59&lt;&gt;0,SUM($C59:K$60),0)</f>
        <v>595</v>
      </c>
      <c r="L63" s="228">
        <f>IF(L59&lt;&gt;0,SUM($C59:L$60),0)</f>
        <v>658</v>
      </c>
      <c r="M63" s="228">
        <f>IF(M59&lt;&gt;0,SUM($C59:M$60),0)</f>
        <v>696</v>
      </c>
      <c r="N63" s="228">
        <f>IF(N59&lt;&gt;0,SUM($C59:N$60),0)</f>
        <v>730</v>
      </c>
    </row>
    <row r="64" spans="1:14" x14ac:dyDescent="0.25">
      <c r="B64" s="122" t="s">
        <v>1577</v>
      </c>
      <c r="C64" s="228">
        <f>'02. ĐỊNH BIÊN'!E76</f>
        <v>36</v>
      </c>
      <c r="D64" s="228">
        <f>C64+'02. ĐỊNH BIÊN'!F76</f>
        <v>74</v>
      </c>
      <c r="E64" s="228">
        <f>+D64+'02. ĐỊNH BIÊN'!G76</f>
        <v>140</v>
      </c>
      <c r="F64" s="228">
        <f>+E64+'02. ĐỊNH BIÊN'!H76</f>
        <v>197</v>
      </c>
      <c r="G64" s="228">
        <f>+F64+'02. ĐỊNH BIÊN'!I76</f>
        <v>197</v>
      </c>
      <c r="H64" s="228">
        <f>+G64+'02. ĐỊNH BIÊN'!J76</f>
        <v>197</v>
      </c>
      <c r="I64" s="228">
        <f>+H64+'02. ĐỊNH BIÊN'!K76</f>
        <v>197</v>
      </c>
      <c r="J64" s="228">
        <f>+I64+'02. ĐỊNH BIÊN'!L76</f>
        <v>197</v>
      </c>
      <c r="K64" s="228">
        <f>+J64+'02. ĐỊNH BIÊN'!M76</f>
        <v>197</v>
      </c>
      <c r="L64" s="228">
        <f>+K64+'02. ĐỊNH BIÊN'!N76</f>
        <v>197</v>
      </c>
      <c r="M64" s="228">
        <f>+L64+'02. ĐỊNH BIÊN'!O76</f>
        <v>197</v>
      </c>
      <c r="N64" s="228">
        <f>+M64+'02. ĐỊNH BIÊN'!P76</f>
        <v>197</v>
      </c>
    </row>
  </sheetData>
  <hyperlinks>
    <hyperlink ref="A1" location="'00. DM'!A1" display="00. DM" xr:uid="{9388E9CD-A4E2-4148-925A-B80D17E256E6}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5377-23BB-400F-9F92-72410ADC7859}">
  <sheetPr>
    <tabColor theme="5" tint="0.39997558519241921"/>
  </sheetPr>
  <dimension ref="A1:O19"/>
  <sheetViews>
    <sheetView zoomScale="115" zoomScaleNormal="115" workbookViewId="0">
      <pane ySplit="2" topLeftCell="A3" activePane="bottomLeft" state="frozen"/>
      <selection pane="bottomLeft" activeCell="N5" sqref="N5"/>
    </sheetView>
  </sheetViews>
  <sheetFormatPr defaultColWidth="8.7109375" defaultRowHeight="15" x14ac:dyDescent="0.25"/>
  <cols>
    <col min="1" max="1" width="12.28515625" style="20" customWidth="1"/>
    <col min="2" max="2" width="8.28515625" style="20" customWidth="1"/>
    <col min="3" max="3" width="18.42578125" style="20" customWidth="1"/>
    <col min="4" max="16384" width="8.7109375" style="20"/>
  </cols>
  <sheetData>
    <row r="1" spans="1:15" x14ac:dyDescent="0.25">
      <c r="A1" s="165" t="s">
        <v>254</v>
      </c>
    </row>
    <row r="2" spans="1:15" x14ac:dyDescent="0.25">
      <c r="A2" s="368"/>
      <c r="B2" s="368"/>
      <c r="C2" s="368"/>
      <c r="D2" s="369">
        <v>1</v>
      </c>
      <c r="E2" s="369">
        <v>2</v>
      </c>
      <c r="F2" s="369">
        <v>3</v>
      </c>
      <c r="G2" s="369">
        <v>4</v>
      </c>
      <c r="H2" s="369">
        <v>5</v>
      </c>
      <c r="I2" s="369">
        <v>6</v>
      </c>
      <c r="J2" s="369">
        <v>7</v>
      </c>
      <c r="K2" s="369">
        <v>8</v>
      </c>
      <c r="L2" s="369">
        <v>9</v>
      </c>
      <c r="M2" s="369">
        <v>10</v>
      </c>
      <c r="N2" s="369">
        <v>11</v>
      </c>
      <c r="O2" s="370">
        <v>46020</v>
      </c>
    </row>
    <row r="3" spans="1:15" x14ac:dyDescent="0.25">
      <c r="A3" s="316" t="s">
        <v>1306</v>
      </c>
      <c r="B3" s="316" t="s">
        <v>1327</v>
      </c>
      <c r="C3" s="20" t="s">
        <v>1309</v>
      </c>
      <c r="D3" s="247">
        <v>1486.2339999999999</v>
      </c>
      <c r="E3" s="247">
        <v>2278.12</v>
      </c>
      <c r="F3" s="247">
        <v>4026.846</v>
      </c>
      <c r="G3" s="247">
        <v>3597.1</v>
      </c>
      <c r="H3" s="247">
        <v>4141.1620000000003</v>
      </c>
      <c r="I3" s="247">
        <v>3810.13</v>
      </c>
      <c r="J3" s="247">
        <v>3923.7</v>
      </c>
      <c r="K3" s="247">
        <v>3919.8</v>
      </c>
      <c r="L3" s="247">
        <v>3826.3</v>
      </c>
      <c r="M3" s="247">
        <v>2438.1999999999998</v>
      </c>
      <c r="N3" s="247">
        <v>1861.979</v>
      </c>
      <c r="O3" s="247">
        <v>2982</v>
      </c>
    </row>
    <row r="4" spans="1:15" x14ac:dyDescent="0.25">
      <c r="A4" s="316" t="s">
        <v>1306</v>
      </c>
      <c r="B4" s="316" t="s">
        <v>1327</v>
      </c>
      <c r="C4" s="20" t="s">
        <v>1312</v>
      </c>
      <c r="D4" s="247">
        <v>104.5</v>
      </c>
      <c r="E4" s="247">
        <v>340.02</v>
      </c>
      <c r="F4" s="247">
        <v>326.55</v>
      </c>
      <c r="G4" s="247">
        <v>68.778000000000006</v>
      </c>
      <c r="H4" s="247">
        <v>109.2</v>
      </c>
      <c r="I4" s="247">
        <v>30.808</v>
      </c>
      <c r="J4" s="247">
        <v>224.1</v>
      </c>
      <c r="K4" s="247">
        <v>265.10000000000002</v>
      </c>
      <c r="L4" s="247">
        <v>337.25</v>
      </c>
      <c r="M4" s="247">
        <v>260.35000000000002</v>
      </c>
      <c r="N4" s="247">
        <v>61.53</v>
      </c>
      <c r="O4" s="247">
        <v>6</v>
      </c>
    </row>
    <row r="5" spans="1:15" x14ac:dyDescent="0.25">
      <c r="A5" s="316" t="s">
        <v>1306</v>
      </c>
      <c r="B5" s="316" t="s">
        <v>1328</v>
      </c>
      <c r="C5" s="20" t="s">
        <v>1315</v>
      </c>
      <c r="D5" s="247">
        <v>691.65</v>
      </c>
      <c r="E5" s="247">
        <v>851.41</v>
      </c>
      <c r="F5" s="247">
        <v>1526.51</v>
      </c>
      <c r="G5" s="247">
        <v>1565.2550000000001</v>
      </c>
      <c r="H5" s="247">
        <v>1934.5630000000001</v>
      </c>
      <c r="I5" s="247">
        <v>1874.0360000000001</v>
      </c>
      <c r="J5" s="247">
        <v>2135.3530000000001</v>
      </c>
      <c r="K5" s="247">
        <v>2164</v>
      </c>
      <c r="L5" s="247">
        <v>2622.3310000000001</v>
      </c>
      <c r="M5" s="247">
        <v>2598.672</v>
      </c>
      <c r="N5" s="247">
        <v>1419.18</v>
      </c>
      <c r="O5" s="247"/>
    </row>
    <row r="6" spans="1:15" x14ac:dyDescent="0.25">
      <c r="A6" s="316" t="s">
        <v>1306</v>
      </c>
      <c r="B6" s="316" t="s">
        <v>1328</v>
      </c>
      <c r="C6" s="20" t="s">
        <v>1316</v>
      </c>
      <c r="D6" s="247">
        <v>2075.5239999999999</v>
      </c>
      <c r="E6" s="247">
        <v>3075.75</v>
      </c>
      <c r="F6" s="247">
        <v>3618.2858999999999</v>
      </c>
      <c r="G6" s="247">
        <v>3625.52</v>
      </c>
      <c r="H6" s="247">
        <v>3945.8</v>
      </c>
      <c r="I6" s="247">
        <v>3351.34</v>
      </c>
      <c r="J6" s="247">
        <v>3230.15</v>
      </c>
      <c r="K6" s="247">
        <v>3787.5650000000001</v>
      </c>
      <c r="L6" s="247">
        <v>3346</v>
      </c>
      <c r="M6" s="247">
        <v>3850.5</v>
      </c>
      <c r="N6" s="247">
        <v>3739.88</v>
      </c>
      <c r="O6" s="247"/>
    </row>
    <row r="7" spans="1:15" x14ac:dyDescent="0.25">
      <c r="D7" s="339">
        <f>SUM(D3:D6)</f>
        <v>4357.9079999999994</v>
      </c>
      <c r="E7" s="339">
        <f t="shared" ref="E7:N7" si="0">SUM(E3:E6)</f>
        <v>6545.2999999999993</v>
      </c>
      <c r="F7" s="339">
        <f t="shared" si="0"/>
        <v>9498.1918999999998</v>
      </c>
      <c r="G7" s="339">
        <f t="shared" si="0"/>
        <v>8856.6530000000002</v>
      </c>
      <c r="H7" s="339">
        <f t="shared" si="0"/>
        <v>10130.725</v>
      </c>
      <c r="I7" s="339">
        <f t="shared" si="0"/>
        <v>9066.3140000000003</v>
      </c>
      <c r="J7" s="339">
        <f t="shared" si="0"/>
        <v>9513.3029999999999</v>
      </c>
      <c r="K7" s="339">
        <f t="shared" si="0"/>
        <v>10136.465</v>
      </c>
      <c r="L7" s="339">
        <f t="shared" si="0"/>
        <v>10131.881000000001</v>
      </c>
      <c r="M7" s="339">
        <f t="shared" si="0"/>
        <v>9147.7219999999998</v>
      </c>
      <c r="N7" s="339">
        <f t="shared" si="0"/>
        <v>7082.5690000000004</v>
      </c>
      <c r="O7" s="247"/>
    </row>
    <row r="8" spans="1:15" x14ac:dyDescent="0.25"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</row>
    <row r="9" spans="1:15" x14ac:dyDescent="0.25">
      <c r="A9" s="316" t="s">
        <v>1307</v>
      </c>
      <c r="B9" s="316" t="s">
        <v>1327</v>
      </c>
      <c r="C9" s="20" t="s">
        <v>1310</v>
      </c>
      <c r="D9" s="247">
        <v>248.928</v>
      </c>
      <c r="E9" s="247">
        <v>338.13</v>
      </c>
      <c r="F9" s="247">
        <v>394.09899999999999</v>
      </c>
      <c r="G9" s="247">
        <v>394.50099999999998</v>
      </c>
      <c r="H9" s="247">
        <v>544.18899999999996</v>
      </c>
      <c r="I9" s="247">
        <v>389.34</v>
      </c>
      <c r="J9" s="247">
        <v>410.94200000000001</v>
      </c>
      <c r="K9" s="247">
        <v>305.041</v>
      </c>
      <c r="L9" s="247">
        <v>346.45699999999999</v>
      </c>
      <c r="M9" s="247">
        <v>438.99400000000003</v>
      </c>
      <c r="N9" s="247">
        <v>397.10399999999998</v>
      </c>
      <c r="O9" s="247">
        <v>301</v>
      </c>
    </row>
    <row r="10" spans="1:15" x14ac:dyDescent="0.25">
      <c r="A10" s="316" t="s">
        <v>1307</v>
      </c>
      <c r="B10" s="316" t="s">
        <v>1327</v>
      </c>
      <c r="C10" s="20" t="s">
        <v>1311</v>
      </c>
      <c r="D10" s="247">
        <v>6.9000000000000006E-2</v>
      </c>
      <c r="E10" s="247">
        <v>0.996</v>
      </c>
      <c r="F10" s="247">
        <v>74.424999999999997</v>
      </c>
      <c r="G10" s="247">
        <v>27.87</v>
      </c>
      <c r="H10" s="247">
        <v>30.577000000000002</v>
      </c>
      <c r="I10" s="247">
        <v>1.4999999999999999E-2</v>
      </c>
      <c r="J10" s="247">
        <v>2.75</v>
      </c>
      <c r="K10" s="247">
        <v>79.004499999999993</v>
      </c>
      <c r="L10" s="247">
        <v>41.715000000000003</v>
      </c>
      <c r="M10" s="247">
        <v>36.374000000000002</v>
      </c>
      <c r="N10" s="247">
        <v>0</v>
      </c>
      <c r="O10" s="247">
        <v>12</v>
      </c>
    </row>
    <row r="11" spans="1:15" x14ac:dyDescent="0.25">
      <c r="A11" s="316" t="s">
        <v>1307</v>
      </c>
      <c r="B11" s="316" t="s">
        <v>1327</v>
      </c>
      <c r="C11" s="20" t="s">
        <v>1313</v>
      </c>
      <c r="D11" s="247"/>
      <c r="E11" s="247"/>
      <c r="F11" s="247"/>
      <c r="G11" s="247"/>
      <c r="H11" s="247">
        <v>3.843</v>
      </c>
      <c r="I11" s="247">
        <v>2.16</v>
      </c>
      <c r="J11" s="247">
        <v>0.14899999999999999</v>
      </c>
      <c r="K11" s="247">
        <v>1.619</v>
      </c>
      <c r="L11" s="247">
        <v>3.786</v>
      </c>
      <c r="M11" s="247"/>
      <c r="N11" s="247">
        <v>2.65</v>
      </c>
      <c r="O11" s="247"/>
    </row>
    <row r="12" spans="1:15" x14ac:dyDescent="0.25">
      <c r="A12" s="316" t="s">
        <v>1307</v>
      </c>
      <c r="B12" s="316" t="s">
        <v>1328</v>
      </c>
      <c r="C12" s="20" t="s">
        <v>1314</v>
      </c>
      <c r="D12" s="247">
        <v>397.82499999999993</v>
      </c>
      <c r="E12" s="247">
        <v>492.505</v>
      </c>
      <c r="F12" s="247">
        <v>470.02899999999994</v>
      </c>
      <c r="G12" s="247">
        <v>482.57800000000009</v>
      </c>
      <c r="H12" s="247">
        <v>228.80000000000007</v>
      </c>
      <c r="I12" s="247">
        <v>511.77900000000005</v>
      </c>
      <c r="J12" s="247">
        <v>118.09100000000001</v>
      </c>
      <c r="K12" s="247">
        <v>427.63000000000005</v>
      </c>
      <c r="L12" s="247">
        <v>286.29100000000005</v>
      </c>
      <c r="M12" s="247">
        <v>447.97500000000002</v>
      </c>
      <c r="N12" s="247">
        <v>313.262</v>
      </c>
      <c r="O12" s="247"/>
    </row>
    <row r="13" spans="1:15" x14ac:dyDescent="0.25">
      <c r="A13" s="316" t="s">
        <v>1307</v>
      </c>
      <c r="B13" s="316" t="s">
        <v>1328</v>
      </c>
      <c r="C13" s="20" t="s">
        <v>1317</v>
      </c>
      <c r="D13" s="247">
        <v>0.83499999999999996</v>
      </c>
      <c r="E13" s="247">
        <v>0</v>
      </c>
      <c r="F13" s="247">
        <v>38.83</v>
      </c>
      <c r="G13" s="247">
        <v>24.939</v>
      </c>
      <c r="H13" s="247">
        <v>16.2</v>
      </c>
      <c r="I13" s="247">
        <v>31.89</v>
      </c>
      <c r="J13" s="247">
        <v>1.3</v>
      </c>
      <c r="K13" s="247">
        <v>52.503</v>
      </c>
      <c r="L13" s="247">
        <v>17.5915</v>
      </c>
      <c r="M13" s="247">
        <v>0</v>
      </c>
      <c r="N13" s="247">
        <v>0</v>
      </c>
    </row>
    <row r="14" spans="1:15" x14ac:dyDescent="0.25">
      <c r="D14" s="339">
        <f>SUM(D9:D13)</f>
        <v>647.65699999999993</v>
      </c>
      <c r="E14" s="339">
        <f t="shared" ref="E14:N14" si="1">SUM(E9:E13)</f>
        <v>831.63099999999997</v>
      </c>
      <c r="F14" s="339">
        <f t="shared" si="1"/>
        <v>977.38299999999992</v>
      </c>
      <c r="G14" s="339">
        <f t="shared" si="1"/>
        <v>929.88800000000003</v>
      </c>
      <c r="H14" s="339">
        <f t="shared" si="1"/>
        <v>823.60900000000004</v>
      </c>
      <c r="I14" s="339">
        <f t="shared" si="1"/>
        <v>935.18400000000008</v>
      </c>
      <c r="J14" s="339">
        <f t="shared" si="1"/>
        <v>533.23199999999997</v>
      </c>
      <c r="K14" s="339">
        <f t="shared" si="1"/>
        <v>865.79750000000013</v>
      </c>
      <c r="L14" s="339">
        <f t="shared" si="1"/>
        <v>695.84050000000002</v>
      </c>
      <c r="M14" s="339">
        <f t="shared" si="1"/>
        <v>923.34300000000007</v>
      </c>
      <c r="N14" s="339">
        <f t="shared" si="1"/>
        <v>713.01599999999996</v>
      </c>
      <c r="O14" s="247"/>
    </row>
    <row r="17" spans="4:15" x14ac:dyDescent="0.25"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8"/>
      <c r="O17" s="337"/>
    </row>
    <row r="19" spans="4:15" x14ac:dyDescent="0.25">
      <c r="D19" s="337"/>
      <c r="E19" s="337"/>
      <c r="F19" s="337"/>
      <c r="G19" s="337"/>
      <c r="H19" s="337"/>
      <c r="I19" s="337"/>
      <c r="J19" s="337"/>
      <c r="K19" s="337"/>
      <c r="L19" s="337"/>
      <c r="M19" s="337"/>
      <c r="N19" s="337"/>
    </row>
  </sheetData>
  <hyperlinks>
    <hyperlink ref="A1" location="'00. DM'!A1" display="00. DM" xr:uid="{F1C3AB1D-61D8-44A1-B8F6-CBBED2EAAAA2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79C2-D6C5-40E7-9C25-B411AA844B3D}">
  <sheetPr>
    <tabColor theme="5" tint="0.39997558519241921"/>
  </sheetPr>
  <dimension ref="A1:C45"/>
  <sheetViews>
    <sheetView workbookViewId="0">
      <pane ySplit="4" topLeftCell="A20" activePane="bottomLeft" state="frozen"/>
      <selection activeCell="E15" sqref="E15"/>
      <selection pane="bottomLeft" activeCell="E15" sqref="E15"/>
    </sheetView>
  </sheetViews>
  <sheetFormatPr defaultRowHeight="15" x14ac:dyDescent="0.25"/>
  <cols>
    <col min="1" max="1" width="12.7109375" style="47" customWidth="1"/>
    <col min="2" max="2" width="29.28515625" style="47" customWidth="1"/>
    <col min="3" max="3" width="8.7109375" style="47" customWidth="1"/>
  </cols>
  <sheetData>
    <row r="1" spans="1:3" ht="15.75" x14ac:dyDescent="0.25">
      <c r="A1" s="46" t="s">
        <v>176</v>
      </c>
    </row>
    <row r="4" spans="1:3" x14ac:dyDescent="0.25">
      <c r="A4" s="48" t="s">
        <v>177</v>
      </c>
      <c r="B4" s="48" t="s">
        <v>178</v>
      </c>
    </row>
    <row r="5" spans="1:3" x14ac:dyDescent="0.25">
      <c r="A5" s="49">
        <v>642</v>
      </c>
      <c r="B5" s="50" t="s">
        <v>0</v>
      </c>
    </row>
    <row r="6" spans="1:3" x14ac:dyDescent="0.25">
      <c r="A6" s="49">
        <v>642</v>
      </c>
      <c r="B6" s="50" t="s">
        <v>10</v>
      </c>
    </row>
    <row r="7" spans="1:3" x14ac:dyDescent="0.25">
      <c r="A7" s="49"/>
      <c r="B7" s="51" t="s">
        <v>179</v>
      </c>
      <c r="C7" s="47" t="s">
        <v>180</v>
      </c>
    </row>
    <row r="8" spans="1:3" x14ac:dyDescent="0.25">
      <c r="A8" s="49"/>
      <c r="B8" s="51" t="s">
        <v>181</v>
      </c>
      <c r="C8" s="47" t="s">
        <v>182</v>
      </c>
    </row>
    <row r="9" spans="1:3" x14ac:dyDescent="0.25">
      <c r="A9" s="49">
        <v>642</v>
      </c>
      <c r="B9" s="50" t="s">
        <v>9</v>
      </c>
    </row>
    <row r="10" spans="1:3" x14ac:dyDescent="0.25">
      <c r="A10" s="49"/>
      <c r="B10" s="51" t="s">
        <v>183</v>
      </c>
    </row>
    <row r="11" spans="1:3" x14ac:dyDescent="0.25">
      <c r="A11" s="49"/>
      <c r="B11" s="51" t="s">
        <v>184</v>
      </c>
    </row>
    <row r="12" spans="1:3" x14ac:dyDescent="0.25">
      <c r="A12" s="49"/>
      <c r="B12" s="51" t="s">
        <v>185</v>
      </c>
    </row>
    <row r="13" spans="1:3" x14ac:dyDescent="0.25">
      <c r="A13" s="49"/>
      <c r="B13" s="51" t="s">
        <v>186</v>
      </c>
    </row>
    <row r="14" spans="1:3" x14ac:dyDescent="0.25">
      <c r="A14" s="49">
        <v>642</v>
      </c>
      <c r="B14" s="50" t="s">
        <v>3</v>
      </c>
    </row>
    <row r="15" spans="1:3" x14ac:dyDescent="0.25">
      <c r="A15" s="49"/>
      <c r="B15" s="51" t="s">
        <v>187</v>
      </c>
    </row>
    <row r="16" spans="1:3" x14ac:dyDescent="0.25">
      <c r="A16" s="49"/>
      <c r="B16" s="51" t="s">
        <v>188</v>
      </c>
    </row>
    <row r="17" spans="1:2" x14ac:dyDescent="0.25">
      <c r="A17" s="49"/>
      <c r="B17" s="51" t="s">
        <v>189</v>
      </c>
    </row>
    <row r="18" spans="1:2" x14ac:dyDescent="0.25">
      <c r="A18" s="49">
        <v>627</v>
      </c>
      <c r="B18" s="50" t="s">
        <v>6</v>
      </c>
    </row>
    <row r="19" spans="1:2" x14ac:dyDescent="0.25">
      <c r="A19" s="49"/>
      <c r="B19" s="51" t="s">
        <v>190</v>
      </c>
    </row>
    <row r="20" spans="1:2" x14ac:dyDescent="0.25">
      <c r="A20" s="49"/>
      <c r="B20" s="51" t="s">
        <v>191</v>
      </c>
    </row>
    <row r="21" spans="1:2" x14ac:dyDescent="0.25">
      <c r="A21" s="49"/>
      <c r="B21" s="51" t="s">
        <v>192</v>
      </c>
    </row>
    <row r="22" spans="1:2" x14ac:dyDescent="0.25">
      <c r="A22" s="49">
        <v>641</v>
      </c>
      <c r="B22" s="50" t="s">
        <v>1</v>
      </c>
    </row>
    <row r="23" spans="1:2" x14ac:dyDescent="0.25">
      <c r="A23" s="49">
        <v>627</v>
      </c>
      <c r="B23" s="50" t="s">
        <v>7</v>
      </c>
    </row>
    <row r="24" spans="1:2" x14ac:dyDescent="0.25">
      <c r="A24" s="49"/>
      <c r="B24" s="51" t="s">
        <v>193</v>
      </c>
    </row>
    <row r="25" spans="1:2" x14ac:dyDescent="0.25">
      <c r="A25" s="49"/>
      <c r="B25" s="51" t="s">
        <v>194</v>
      </c>
    </row>
    <row r="26" spans="1:2" x14ac:dyDescent="0.25">
      <c r="A26" s="49"/>
      <c r="B26" s="51" t="s">
        <v>195</v>
      </c>
    </row>
    <row r="27" spans="1:2" x14ac:dyDescent="0.25">
      <c r="A27" s="49"/>
      <c r="B27" s="51" t="s">
        <v>196</v>
      </c>
    </row>
    <row r="28" spans="1:2" x14ac:dyDescent="0.25">
      <c r="A28" s="49"/>
      <c r="B28" s="51" t="s">
        <v>197</v>
      </c>
    </row>
    <row r="29" spans="1:2" x14ac:dyDescent="0.25">
      <c r="A29" s="49"/>
      <c r="B29" s="51" t="s">
        <v>198</v>
      </c>
    </row>
    <row r="30" spans="1:2" x14ac:dyDescent="0.25">
      <c r="A30" s="49">
        <v>642</v>
      </c>
      <c r="B30" s="50" t="s">
        <v>2</v>
      </c>
    </row>
    <row r="31" spans="1:2" x14ac:dyDescent="0.25">
      <c r="A31" s="49">
        <v>627</v>
      </c>
      <c r="B31" s="50" t="s">
        <v>4</v>
      </c>
    </row>
    <row r="32" spans="1:2" x14ac:dyDescent="0.25">
      <c r="A32" s="49">
        <v>642</v>
      </c>
      <c r="B32" s="50" t="s">
        <v>5</v>
      </c>
    </row>
    <row r="33" spans="1:2" x14ac:dyDescent="0.25">
      <c r="A33" s="49"/>
      <c r="B33" s="51" t="s">
        <v>199</v>
      </c>
    </row>
    <row r="34" spans="1:2" x14ac:dyDescent="0.25">
      <c r="A34" s="49"/>
      <c r="B34" s="51" t="s">
        <v>200</v>
      </c>
    </row>
    <row r="35" spans="1:2" x14ac:dyDescent="0.25">
      <c r="A35" s="49"/>
      <c r="B35" s="51" t="s">
        <v>201</v>
      </c>
    </row>
    <row r="36" spans="1:2" x14ac:dyDescent="0.25">
      <c r="A36" s="49"/>
      <c r="B36" s="50" t="s">
        <v>8</v>
      </c>
    </row>
    <row r="37" spans="1:2" x14ac:dyDescent="0.25">
      <c r="A37" s="49">
        <v>627</v>
      </c>
      <c r="B37" s="51" t="s">
        <v>202</v>
      </c>
    </row>
    <row r="38" spans="1:2" x14ac:dyDescent="0.25">
      <c r="A38" s="49">
        <v>627</v>
      </c>
      <c r="B38" s="51" t="s">
        <v>203</v>
      </c>
    </row>
    <row r="39" spans="1:2" x14ac:dyDescent="0.25">
      <c r="A39" s="49">
        <v>622</v>
      </c>
      <c r="B39" s="51" t="s">
        <v>204</v>
      </c>
    </row>
    <row r="40" spans="1:2" x14ac:dyDescent="0.25">
      <c r="A40" s="49">
        <v>622</v>
      </c>
      <c r="B40" s="51" t="s">
        <v>205</v>
      </c>
    </row>
    <row r="41" spans="1:2" x14ac:dyDescent="0.25">
      <c r="A41" s="49">
        <v>627</v>
      </c>
      <c r="B41" s="51" t="s">
        <v>206</v>
      </c>
    </row>
    <row r="42" spans="1:2" x14ac:dyDescent="0.25">
      <c r="A42" s="49">
        <v>627</v>
      </c>
      <c r="B42" s="51" t="s">
        <v>207</v>
      </c>
    </row>
    <row r="43" spans="1:2" x14ac:dyDescent="0.25">
      <c r="A43" s="49">
        <v>622</v>
      </c>
      <c r="B43" s="51" t="s">
        <v>208</v>
      </c>
    </row>
    <row r="44" spans="1:2" x14ac:dyDescent="0.25">
      <c r="A44" s="49">
        <v>622</v>
      </c>
      <c r="B44" s="51" t="s">
        <v>209</v>
      </c>
    </row>
    <row r="45" spans="1:2" x14ac:dyDescent="0.25">
      <c r="A45" s="52">
        <v>622</v>
      </c>
      <c r="B45" s="53" t="s">
        <v>210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654F-AFA1-48FF-95D7-9DD922A68D35}">
  <dimension ref="B5:C149"/>
  <sheetViews>
    <sheetView topLeftCell="A120" workbookViewId="0">
      <selection activeCell="E15" sqref="E15"/>
    </sheetView>
  </sheetViews>
  <sheetFormatPr defaultRowHeight="15" x14ac:dyDescent="0.25"/>
  <cols>
    <col min="2" max="2" width="23.7109375" style="9" customWidth="1"/>
  </cols>
  <sheetData>
    <row r="5" spans="2:3" x14ac:dyDescent="0.25">
      <c r="B5" s="10"/>
    </row>
    <row r="6" spans="2:3" x14ac:dyDescent="0.25">
      <c r="B6" s="10"/>
      <c r="C6" t="s">
        <v>169</v>
      </c>
    </row>
    <row r="7" spans="2:3" x14ac:dyDescent="0.25">
      <c r="B7" s="10" t="s">
        <v>26</v>
      </c>
    </row>
    <row r="8" spans="2:3" x14ac:dyDescent="0.25">
      <c r="B8" s="10" t="s">
        <v>27</v>
      </c>
    </row>
    <row r="9" spans="2:3" x14ac:dyDescent="0.25">
      <c r="B9" s="10" t="s">
        <v>28</v>
      </c>
    </row>
    <row r="10" spans="2:3" x14ac:dyDescent="0.25">
      <c r="B10" s="10" t="s">
        <v>29</v>
      </c>
    </row>
    <row r="11" spans="2:3" x14ac:dyDescent="0.25">
      <c r="B11" s="10" t="s">
        <v>30</v>
      </c>
    </row>
    <row r="12" spans="2:3" x14ac:dyDescent="0.25">
      <c r="B12" s="10" t="s">
        <v>31</v>
      </c>
    </row>
    <row r="13" spans="2:3" x14ac:dyDescent="0.25">
      <c r="B13" s="10" t="s">
        <v>32</v>
      </c>
    </row>
    <row r="14" spans="2:3" x14ac:dyDescent="0.25">
      <c r="B14" s="10" t="s">
        <v>33</v>
      </c>
    </row>
    <row r="15" spans="2:3" x14ac:dyDescent="0.25">
      <c r="B15" s="10" t="s">
        <v>34</v>
      </c>
    </row>
    <row r="16" spans="2:3" ht="22.5" x14ac:dyDescent="0.25">
      <c r="B16" s="10" t="s">
        <v>35</v>
      </c>
    </row>
    <row r="17" spans="2:2" x14ac:dyDescent="0.25">
      <c r="B17" s="10" t="s">
        <v>36</v>
      </c>
    </row>
    <row r="18" spans="2:2" x14ac:dyDescent="0.25">
      <c r="B18" s="10" t="s">
        <v>37</v>
      </c>
    </row>
    <row r="19" spans="2:2" x14ac:dyDescent="0.25">
      <c r="B19" s="10" t="s">
        <v>38</v>
      </c>
    </row>
    <row r="20" spans="2:2" x14ac:dyDescent="0.25">
      <c r="B20" s="10" t="s">
        <v>39</v>
      </c>
    </row>
    <row r="21" spans="2:2" x14ac:dyDescent="0.25">
      <c r="B21" s="10" t="s">
        <v>40</v>
      </c>
    </row>
    <row r="22" spans="2:2" x14ac:dyDescent="0.25">
      <c r="B22" s="10" t="s">
        <v>41</v>
      </c>
    </row>
    <row r="23" spans="2:2" x14ac:dyDescent="0.25">
      <c r="B23" s="10" t="s">
        <v>42</v>
      </c>
    </row>
    <row r="24" spans="2:2" x14ac:dyDescent="0.25">
      <c r="B24" s="10" t="s">
        <v>43</v>
      </c>
    </row>
    <row r="25" spans="2:2" x14ac:dyDescent="0.25">
      <c r="B25" s="10" t="s">
        <v>44</v>
      </c>
    </row>
    <row r="26" spans="2:2" x14ac:dyDescent="0.25">
      <c r="B26" s="10" t="s">
        <v>45</v>
      </c>
    </row>
    <row r="27" spans="2:2" x14ac:dyDescent="0.25">
      <c r="B27" s="10" t="s">
        <v>46</v>
      </c>
    </row>
    <row r="28" spans="2:2" x14ac:dyDescent="0.25">
      <c r="B28" s="10" t="s">
        <v>47</v>
      </c>
    </row>
    <row r="29" spans="2:2" x14ac:dyDescent="0.25">
      <c r="B29" s="10" t="s">
        <v>48</v>
      </c>
    </row>
    <row r="30" spans="2:2" x14ac:dyDescent="0.25">
      <c r="B30" s="10" t="s">
        <v>49</v>
      </c>
    </row>
    <row r="31" spans="2:2" x14ac:dyDescent="0.25">
      <c r="B31" s="10" t="s">
        <v>50</v>
      </c>
    </row>
    <row r="32" spans="2:2" ht="22.5" x14ac:dyDescent="0.25">
      <c r="B32" s="10" t="s">
        <v>51</v>
      </c>
    </row>
    <row r="33" spans="2:2" x14ac:dyDescent="0.25">
      <c r="B33" s="10" t="s">
        <v>52</v>
      </c>
    </row>
    <row r="34" spans="2:2" ht="22.5" x14ac:dyDescent="0.25">
      <c r="B34" s="10" t="s">
        <v>53</v>
      </c>
    </row>
    <row r="35" spans="2:2" x14ac:dyDescent="0.25">
      <c r="B35" s="10" t="s">
        <v>54</v>
      </c>
    </row>
    <row r="36" spans="2:2" x14ac:dyDescent="0.25">
      <c r="B36" s="10" t="s">
        <v>55</v>
      </c>
    </row>
    <row r="37" spans="2:2" x14ac:dyDescent="0.25">
      <c r="B37" s="10" t="s">
        <v>56</v>
      </c>
    </row>
    <row r="38" spans="2:2" x14ac:dyDescent="0.25">
      <c r="B38" s="10" t="s">
        <v>57</v>
      </c>
    </row>
    <row r="39" spans="2:2" x14ac:dyDescent="0.25">
      <c r="B39" s="10" t="s">
        <v>58</v>
      </c>
    </row>
    <row r="40" spans="2:2" x14ac:dyDescent="0.25">
      <c r="B40" s="10" t="s">
        <v>59</v>
      </c>
    </row>
    <row r="41" spans="2:2" x14ac:dyDescent="0.25">
      <c r="B41" s="10" t="s">
        <v>60</v>
      </c>
    </row>
    <row r="42" spans="2:2" x14ac:dyDescent="0.25">
      <c r="B42" s="10" t="s">
        <v>61</v>
      </c>
    </row>
    <row r="43" spans="2:2" x14ac:dyDescent="0.25">
      <c r="B43" s="10" t="s">
        <v>62</v>
      </c>
    </row>
    <row r="44" spans="2:2" x14ac:dyDescent="0.25">
      <c r="B44" s="10" t="s">
        <v>63</v>
      </c>
    </row>
    <row r="45" spans="2:2" x14ac:dyDescent="0.25">
      <c r="B45" s="10" t="s">
        <v>64</v>
      </c>
    </row>
    <row r="46" spans="2:2" x14ac:dyDescent="0.25">
      <c r="B46" s="10" t="s">
        <v>65</v>
      </c>
    </row>
    <row r="47" spans="2:2" x14ac:dyDescent="0.25">
      <c r="B47" s="10" t="s">
        <v>66</v>
      </c>
    </row>
    <row r="48" spans="2:2" x14ac:dyDescent="0.25">
      <c r="B48" s="10" t="s">
        <v>67</v>
      </c>
    </row>
    <row r="49" spans="2:2" x14ac:dyDescent="0.25">
      <c r="B49" s="10" t="s">
        <v>68</v>
      </c>
    </row>
    <row r="50" spans="2:2" ht="22.5" x14ac:dyDescent="0.25">
      <c r="B50" s="10" t="s">
        <v>69</v>
      </c>
    </row>
    <row r="51" spans="2:2" x14ac:dyDescent="0.25">
      <c r="B51" s="10" t="s">
        <v>70</v>
      </c>
    </row>
    <row r="52" spans="2:2" x14ac:dyDescent="0.25">
      <c r="B52" s="10" t="s">
        <v>71</v>
      </c>
    </row>
    <row r="53" spans="2:2" x14ac:dyDescent="0.25">
      <c r="B53" s="10" t="s">
        <v>72</v>
      </c>
    </row>
    <row r="54" spans="2:2" ht="22.5" x14ac:dyDescent="0.25">
      <c r="B54" s="10" t="s">
        <v>73</v>
      </c>
    </row>
    <row r="55" spans="2:2" x14ac:dyDescent="0.25">
      <c r="B55" s="10" t="s">
        <v>74</v>
      </c>
    </row>
    <row r="56" spans="2:2" x14ac:dyDescent="0.25">
      <c r="B56" s="10" t="s">
        <v>75</v>
      </c>
    </row>
    <row r="57" spans="2:2" x14ac:dyDescent="0.25">
      <c r="B57" s="10" t="s">
        <v>76</v>
      </c>
    </row>
    <row r="58" spans="2:2" x14ac:dyDescent="0.25">
      <c r="B58" s="10" t="s">
        <v>77</v>
      </c>
    </row>
    <row r="59" spans="2:2" x14ac:dyDescent="0.25">
      <c r="B59" s="10" t="s">
        <v>78</v>
      </c>
    </row>
    <row r="60" spans="2:2" x14ac:dyDescent="0.25">
      <c r="B60" s="10" t="s">
        <v>79</v>
      </c>
    </row>
    <row r="61" spans="2:2" x14ac:dyDescent="0.25">
      <c r="B61" s="10" t="s">
        <v>80</v>
      </c>
    </row>
    <row r="62" spans="2:2" x14ac:dyDescent="0.25">
      <c r="B62" s="10" t="s">
        <v>81</v>
      </c>
    </row>
    <row r="63" spans="2:2" x14ac:dyDescent="0.25">
      <c r="B63" s="10" t="s">
        <v>82</v>
      </c>
    </row>
    <row r="64" spans="2:2" x14ac:dyDescent="0.25">
      <c r="B64" s="10" t="s">
        <v>83</v>
      </c>
    </row>
    <row r="65" spans="2:2" x14ac:dyDescent="0.25">
      <c r="B65" s="10" t="s">
        <v>84</v>
      </c>
    </row>
    <row r="66" spans="2:2" ht="22.5" x14ac:dyDescent="0.25">
      <c r="B66" s="10" t="s">
        <v>85</v>
      </c>
    </row>
    <row r="67" spans="2:2" ht="22.5" x14ac:dyDescent="0.25">
      <c r="B67" s="10" t="s">
        <v>86</v>
      </c>
    </row>
    <row r="68" spans="2:2" x14ac:dyDescent="0.25">
      <c r="B68" s="10" t="s">
        <v>87</v>
      </c>
    </row>
    <row r="69" spans="2:2" x14ac:dyDescent="0.25">
      <c r="B69" s="10" t="s">
        <v>88</v>
      </c>
    </row>
    <row r="70" spans="2:2" x14ac:dyDescent="0.25">
      <c r="B70" s="10" t="s">
        <v>89</v>
      </c>
    </row>
    <row r="71" spans="2:2" x14ac:dyDescent="0.25">
      <c r="B71" s="10" t="s">
        <v>90</v>
      </c>
    </row>
    <row r="72" spans="2:2" x14ac:dyDescent="0.25">
      <c r="B72" s="10" t="s">
        <v>91</v>
      </c>
    </row>
    <row r="73" spans="2:2" ht="22.5" x14ac:dyDescent="0.25">
      <c r="B73" s="10" t="s">
        <v>92</v>
      </c>
    </row>
    <row r="74" spans="2:2" x14ac:dyDescent="0.25">
      <c r="B74" s="10" t="s">
        <v>93</v>
      </c>
    </row>
    <row r="75" spans="2:2" ht="22.5" x14ac:dyDescent="0.25">
      <c r="B75" s="10" t="s">
        <v>94</v>
      </c>
    </row>
    <row r="76" spans="2:2" ht="22.5" x14ac:dyDescent="0.25">
      <c r="B76" s="10" t="s">
        <v>95</v>
      </c>
    </row>
    <row r="77" spans="2:2" ht="22.5" x14ac:dyDescent="0.25">
      <c r="B77" s="10" t="s">
        <v>96</v>
      </c>
    </row>
    <row r="78" spans="2:2" x14ac:dyDescent="0.25">
      <c r="B78" s="10" t="s">
        <v>97</v>
      </c>
    </row>
    <row r="79" spans="2:2" ht="22.5" x14ac:dyDescent="0.25">
      <c r="B79" s="10" t="s">
        <v>98</v>
      </c>
    </row>
    <row r="80" spans="2:2" x14ac:dyDescent="0.25">
      <c r="B80" s="10" t="s">
        <v>99</v>
      </c>
    </row>
    <row r="81" spans="2:2" ht="22.5" x14ac:dyDescent="0.25">
      <c r="B81" s="10" t="s">
        <v>100</v>
      </c>
    </row>
    <row r="82" spans="2:2" x14ac:dyDescent="0.25">
      <c r="B82" s="10" t="s">
        <v>101</v>
      </c>
    </row>
    <row r="83" spans="2:2" x14ac:dyDescent="0.25">
      <c r="B83" s="10" t="s">
        <v>102</v>
      </c>
    </row>
    <row r="84" spans="2:2" x14ac:dyDescent="0.25">
      <c r="B84" s="10" t="s">
        <v>103</v>
      </c>
    </row>
    <row r="85" spans="2:2" x14ac:dyDescent="0.25">
      <c r="B85" s="10" t="s">
        <v>104</v>
      </c>
    </row>
    <row r="86" spans="2:2" x14ac:dyDescent="0.25">
      <c r="B86" s="10" t="s">
        <v>105</v>
      </c>
    </row>
    <row r="87" spans="2:2" x14ac:dyDescent="0.25">
      <c r="B87" s="10" t="s">
        <v>106</v>
      </c>
    </row>
    <row r="88" spans="2:2" x14ac:dyDescent="0.25">
      <c r="B88" s="10" t="s">
        <v>107</v>
      </c>
    </row>
    <row r="89" spans="2:2" x14ac:dyDescent="0.25">
      <c r="B89" s="10" t="s">
        <v>108</v>
      </c>
    </row>
    <row r="90" spans="2:2" x14ac:dyDescent="0.25">
      <c r="B90" s="10" t="s">
        <v>109</v>
      </c>
    </row>
    <row r="91" spans="2:2" x14ac:dyDescent="0.25">
      <c r="B91" s="10" t="s">
        <v>110</v>
      </c>
    </row>
    <row r="92" spans="2:2" x14ac:dyDescent="0.25">
      <c r="B92" s="10" t="s">
        <v>111</v>
      </c>
    </row>
    <row r="93" spans="2:2" x14ac:dyDescent="0.25">
      <c r="B93" s="10" t="s">
        <v>112</v>
      </c>
    </row>
    <row r="94" spans="2:2" x14ac:dyDescent="0.25">
      <c r="B94" s="10" t="s">
        <v>113</v>
      </c>
    </row>
    <row r="95" spans="2:2" x14ac:dyDescent="0.25">
      <c r="B95" s="10" t="s">
        <v>114</v>
      </c>
    </row>
    <row r="96" spans="2:2" x14ac:dyDescent="0.25">
      <c r="B96" s="10" t="s">
        <v>115</v>
      </c>
    </row>
    <row r="97" spans="2:2" x14ac:dyDescent="0.25">
      <c r="B97" s="10" t="s">
        <v>116</v>
      </c>
    </row>
    <row r="98" spans="2:2" x14ac:dyDescent="0.25">
      <c r="B98" s="10" t="s">
        <v>117</v>
      </c>
    </row>
    <row r="99" spans="2:2" x14ac:dyDescent="0.25">
      <c r="B99" s="10" t="s">
        <v>118</v>
      </c>
    </row>
    <row r="100" spans="2:2" x14ac:dyDescent="0.25">
      <c r="B100" s="10" t="s">
        <v>119</v>
      </c>
    </row>
    <row r="101" spans="2:2" x14ac:dyDescent="0.25">
      <c r="B101" s="10" t="s">
        <v>120</v>
      </c>
    </row>
    <row r="102" spans="2:2" x14ac:dyDescent="0.25">
      <c r="B102" s="10" t="s">
        <v>121</v>
      </c>
    </row>
    <row r="103" spans="2:2" x14ac:dyDescent="0.25">
      <c r="B103" s="10" t="s">
        <v>122</v>
      </c>
    </row>
    <row r="104" spans="2:2" x14ac:dyDescent="0.25">
      <c r="B104" s="10" t="s">
        <v>123</v>
      </c>
    </row>
    <row r="105" spans="2:2" x14ac:dyDescent="0.25">
      <c r="B105" s="10" t="s">
        <v>124</v>
      </c>
    </row>
    <row r="106" spans="2:2" x14ac:dyDescent="0.25">
      <c r="B106" s="10" t="s">
        <v>125</v>
      </c>
    </row>
    <row r="107" spans="2:2" x14ac:dyDescent="0.25">
      <c r="B107" s="10" t="s">
        <v>126</v>
      </c>
    </row>
    <row r="108" spans="2:2" x14ac:dyDescent="0.25">
      <c r="B108" s="10" t="s">
        <v>127</v>
      </c>
    </row>
    <row r="109" spans="2:2" x14ac:dyDescent="0.25">
      <c r="B109" s="10" t="s">
        <v>128</v>
      </c>
    </row>
    <row r="110" spans="2:2" x14ac:dyDescent="0.25">
      <c r="B110" s="10" t="s">
        <v>129</v>
      </c>
    </row>
    <row r="111" spans="2:2" x14ac:dyDescent="0.25">
      <c r="B111" s="10" t="s">
        <v>130</v>
      </c>
    </row>
    <row r="112" spans="2:2" x14ac:dyDescent="0.25">
      <c r="B112" s="10" t="s">
        <v>131</v>
      </c>
    </row>
    <row r="113" spans="2:2" x14ac:dyDescent="0.25">
      <c r="B113" s="10" t="s">
        <v>132</v>
      </c>
    </row>
    <row r="114" spans="2:2" x14ac:dyDescent="0.25">
      <c r="B114" s="10" t="s">
        <v>133</v>
      </c>
    </row>
    <row r="115" spans="2:2" x14ac:dyDescent="0.25">
      <c r="B115" s="10" t="s">
        <v>134</v>
      </c>
    </row>
    <row r="116" spans="2:2" x14ac:dyDescent="0.25">
      <c r="B116" s="10" t="s">
        <v>135</v>
      </c>
    </row>
    <row r="117" spans="2:2" x14ac:dyDescent="0.25">
      <c r="B117" s="10" t="s">
        <v>136</v>
      </c>
    </row>
    <row r="118" spans="2:2" x14ac:dyDescent="0.25">
      <c r="B118" s="10" t="s">
        <v>137</v>
      </c>
    </row>
    <row r="119" spans="2:2" x14ac:dyDescent="0.25">
      <c r="B119" s="10" t="s">
        <v>138</v>
      </c>
    </row>
    <row r="120" spans="2:2" x14ac:dyDescent="0.25">
      <c r="B120" s="10" t="s">
        <v>139</v>
      </c>
    </row>
    <row r="121" spans="2:2" x14ac:dyDescent="0.25">
      <c r="B121" s="10" t="s">
        <v>140</v>
      </c>
    </row>
    <row r="122" spans="2:2" x14ac:dyDescent="0.25">
      <c r="B122" s="10" t="s">
        <v>141</v>
      </c>
    </row>
    <row r="123" spans="2:2" x14ac:dyDescent="0.25">
      <c r="B123" s="10" t="s">
        <v>142</v>
      </c>
    </row>
    <row r="124" spans="2:2" x14ac:dyDescent="0.25">
      <c r="B124" s="10" t="s">
        <v>143</v>
      </c>
    </row>
    <row r="125" spans="2:2" x14ac:dyDescent="0.25">
      <c r="B125" s="10" t="s">
        <v>144</v>
      </c>
    </row>
    <row r="126" spans="2:2" x14ac:dyDescent="0.25">
      <c r="B126" s="10" t="s">
        <v>145</v>
      </c>
    </row>
    <row r="127" spans="2:2" x14ac:dyDescent="0.25">
      <c r="B127" s="10" t="s">
        <v>146</v>
      </c>
    </row>
    <row r="128" spans="2:2" x14ac:dyDescent="0.25">
      <c r="B128" s="10" t="s">
        <v>147</v>
      </c>
    </row>
    <row r="129" spans="2:2" x14ac:dyDescent="0.25">
      <c r="B129" s="10" t="s">
        <v>148</v>
      </c>
    </row>
    <row r="130" spans="2:2" x14ac:dyDescent="0.25">
      <c r="B130" s="10" t="s">
        <v>149</v>
      </c>
    </row>
    <row r="131" spans="2:2" x14ac:dyDescent="0.25">
      <c r="B131" s="10" t="s">
        <v>150</v>
      </c>
    </row>
    <row r="132" spans="2:2" x14ac:dyDescent="0.25">
      <c r="B132" s="10" t="s">
        <v>151</v>
      </c>
    </row>
    <row r="133" spans="2:2" x14ac:dyDescent="0.25">
      <c r="B133" s="10" t="s">
        <v>152</v>
      </c>
    </row>
    <row r="134" spans="2:2" x14ac:dyDescent="0.25">
      <c r="B134" s="10" t="s">
        <v>153</v>
      </c>
    </row>
    <row r="135" spans="2:2" x14ac:dyDescent="0.25">
      <c r="B135" s="10" t="s">
        <v>154</v>
      </c>
    </row>
    <row r="136" spans="2:2" x14ac:dyDescent="0.25">
      <c r="B136" s="10" t="s">
        <v>155</v>
      </c>
    </row>
    <row r="137" spans="2:2" x14ac:dyDescent="0.25">
      <c r="B137" s="10" t="s">
        <v>156</v>
      </c>
    </row>
    <row r="138" spans="2:2" x14ac:dyDescent="0.25">
      <c r="B138" s="10" t="s">
        <v>157</v>
      </c>
    </row>
    <row r="139" spans="2:2" ht="22.5" x14ac:dyDescent="0.25">
      <c r="B139" s="10" t="s">
        <v>158</v>
      </c>
    </row>
    <row r="140" spans="2:2" ht="22.5" x14ac:dyDescent="0.25">
      <c r="B140" s="10" t="s">
        <v>159</v>
      </c>
    </row>
    <row r="141" spans="2:2" x14ac:dyDescent="0.25">
      <c r="B141" s="10" t="s">
        <v>160</v>
      </c>
    </row>
    <row r="142" spans="2:2" x14ac:dyDescent="0.25">
      <c r="B142" s="10" t="s">
        <v>161</v>
      </c>
    </row>
    <row r="143" spans="2:2" x14ac:dyDescent="0.25">
      <c r="B143" s="10" t="s">
        <v>162</v>
      </c>
    </row>
    <row r="144" spans="2:2" ht="22.5" x14ac:dyDescent="0.25">
      <c r="B144" s="10" t="s">
        <v>163</v>
      </c>
    </row>
    <row r="145" spans="2:2" ht="22.5" x14ac:dyDescent="0.25">
      <c r="B145" s="10" t="s">
        <v>164</v>
      </c>
    </row>
    <row r="146" spans="2:2" x14ac:dyDescent="0.25">
      <c r="B146" s="10" t="s">
        <v>165</v>
      </c>
    </row>
    <row r="147" spans="2:2" x14ac:dyDescent="0.25">
      <c r="B147" s="11" t="s">
        <v>166</v>
      </c>
    </row>
    <row r="148" spans="2:2" x14ac:dyDescent="0.25">
      <c r="B148" s="11" t="s">
        <v>167</v>
      </c>
    </row>
    <row r="149" spans="2:2" x14ac:dyDescent="0.25">
      <c r="B149" s="1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00. DM</vt:lpstr>
      <vt:lpstr>Data&gt;&gt; 2025</vt:lpstr>
      <vt:lpstr>Mapping</vt:lpstr>
      <vt:lpstr>Data 2025 &gt;&gt;</vt:lpstr>
      <vt:lpstr>01. CP Nhân sự 2025</vt:lpstr>
      <vt:lpstr>Sheet3</vt:lpstr>
      <vt:lpstr>Data 2026&gt;&gt;</vt:lpstr>
      <vt:lpstr>01. CP Nhân sự </vt:lpstr>
      <vt:lpstr>02. ĐỊNH BIÊN</vt:lpstr>
      <vt:lpstr>ĐB</vt:lpstr>
      <vt:lpstr>Báo cáo&gt;&gt;</vt:lpstr>
      <vt:lpstr>03. Chart</vt:lpstr>
      <vt:lpstr>04. CP nhân sự thuê ngoài</vt:lpstr>
      <vt:lpstr>05. Giờ công</vt:lpstr>
      <vt:lpstr>06. Chart giờ công</vt:lpstr>
      <vt:lpstr>07. Chart nghỉ việc</vt:lpstr>
      <vt:lpstr>SLSX</vt:lpstr>
      <vt:lpstr>TKKT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Tâm, Lưu Thị Minh</dc:creator>
  <cp:lastModifiedBy>Tâm, Lưu Thị Minh</cp:lastModifiedBy>
  <dcterms:created xsi:type="dcterms:W3CDTF">2025-02-01T12:51:41Z</dcterms:created>
  <dcterms:modified xsi:type="dcterms:W3CDTF">2026-05-13T06:07:15Z</dcterms:modified>
</cp:coreProperties>
</file>